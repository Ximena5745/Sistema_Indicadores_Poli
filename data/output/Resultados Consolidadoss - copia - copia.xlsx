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https://d.docs.live.net/5f15395a9ed9a48f/Proyectos_DS/Sistema_Indicadores_Poli/data/output/"/>
    </mc:Choice>
  </mc:AlternateContent>
  <xr:revisionPtr revIDLastSave="29" documentId="11_11ACC9256CA17598DAE5FCB9D38C5FA780BC8281" xr6:coauthVersionLast="47" xr6:coauthVersionMax="47" xr10:uidLastSave="{A6877435-64A0-410E-B197-0EF242146EEF}"/>
  <bookViews>
    <workbookView xWindow="-108" yWindow="-108" windowWidth="23256" windowHeight="12456" tabRatio="692" activeTab="2" xr2:uid="{00000000-000D-0000-FFFF-FFFF00000000}"/>
  </bookViews>
  <sheets>
    <sheet name="Consolidado Historico" sheetId="1" r:id="rId1"/>
    <sheet name="Consolidado Semestral" sheetId="2" r:id="rId2"/>
    <sheet name="Consolidado Cierres" sheetId="3" r:id="rId3"/>
    <sheet name="Cierre PDI" sheetId="4" r:id="rId4"/>
    <sheet name="Logica" sheetId="5" r:id="rId5"/>
    <sheet name="Variables" sheetId="6" r:id="rId6"/>
    <sheet name="Desglose Series" sheetId="7" r:id="rId7"/>
    <sheet name="Catalogo Indicadores" sheetId="8" r:id="rId8"/>
  </sheets>
  <definedNames>
    <definedName name="_xlnm._FilterDatabase" localSheetId="3" hidden="1">'Cierre PDI'!$A$1:$R$97</definedName>
    <definedName name="_xlnm._FilterDatabase" localSheetId="2" hidden="1">'Consolidado Cierres'!$A$1:$S$831</definedName>
    <definedName name="_xlnm._FilterDatabase" localSheetId="0" hidden="1">'Consolidado Historico'!$A$1:$S$2389</definedName>
    <definedName name="_xlnm._FilterDatabase" localSheetId="1" hidden="1">'Consolidado Semestral'!$A$1:$S$1494</definedName>
    <definedName name="_xlnm._FilterDatabase" localSheetId="5" hidden="1">Variables!$A$1:$H$349</definedName>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97" i="4" l="1"/>
  <c r="R96" i="4"/>
  <c r="R95" i="4"/>
  <c r="R94" i="4"/>
  <c r="R93" i="4"/>
  <c r="R92" i="4"/>
  <c r="R91" i="4"/>
  <c r="M91" i="4"/>
  <c r="L91" i="4"/>
  <c r="R90" i="4"/>
  <c r="M90" i="4"/>
  <c r="L90" i="4"/>
  <c r="R89" i="4"/>
  <c r="M89" i="4"/>
  <c r="L89" i="4"/>
  <c r="R88" i="4"/>
  <c r="M88" i="4"/>
  <c r="L88" i="4"/>
  <c r="R87" i="4"/>
  <c r="M87" i="4"/>
  <c r="L87" i="4"/>
  <c r="R86" i="4"/>
  <c r="M86" i="4"/>
  <c r="L86" i="4"/>
  <c r="R85" i="4"/>
  <c r="M85" i="4"/>
  <c r="L85" i="4"/>
  <c r="R84" i="4"/>
  <c r="M84" i="4"/>
  <c r="L84" i="4"/>
  <c r="R83" i="4"/>
  <c r="M83" i="4"/>
  <c r="L83" i="4"/>
  <c r="R82" i="4"/>
  <c r="M82" i="4"/>
  <c r="L82" i="4"/>
  <c r="R81" i="4"/>
  <c r="M81" i="4"/>
  <c r="L81" i="4"/>
  <c r="R80" i="4"/>
  <c r="M80" i="4"/>
  <c r="L80" i="4"/>
  <c r="R79" i="4"/>
  <c r="M79" i="4"/>
  <c r="L79" i="4"/>
  <c r="R78" i="4"/>
  <c r="M78" i="4"/>
  <c r="L78" i="4"/>
  <c r="R77" i="4"/>
  <c r="M77" i="4"/>
  <c r="L77" i="4"/>
  <c r="R76" i="4"/>
  <c r="M76" i="4"/>
  <c r="L76" i="4"/>
  <c r="R75" i="4"/>
  <c r="M75" i="4"/>
  <c r="L75" i="4"/>
  <c r="R74" i="4"/>
  <c r="M74" i="4"/>
  <c r="L74" i="4"/>
  <c r="R73" i="4"/>
  <c r="M73" i="4"/>
  <c r="L73" i="4"/>
  <c r="R72" i="4"/>
  <c r="M72" i="4"/>
  <c r="L72" i="4"/>
  <c r="R71" i="4"/>
  <c r="M71" i="4"/>
  <c r="L71" i="4"/>
  <c r="R70" i="4"/>
  <c r="M70" i="4"/>
  <c r="L70" i="4"/>
  <c r="R69" i="4"/>
  <c r="M69" i="4"/>
  <c r="L69" i="4"/>
  <c r="R68" i="4"/>
  <c r="M68" i="4"/>
  <c r="L68" i="4"/>
  <c r="R67" i="4"/>
  <c r="M67" i="4"/>
  <c r="L67" i="4"/>
  <c r="R66" i="4"/>
  <c r="M66" i="4"/>
  <c r="L66" i="4"/>
  <c r="R65" i="4"/>
  <c r="M65" i="4"/>
  <c r="L65" i="4"/>
  <c r="R64" i="4"/>
  <c r="M64" i="4"/>
  <c r="L64" i="4"/>
  <c r="R63" i="4"/>
  <c r="M63" i="4"/>
  <c r="L63" i="4"/>
  <c r="R62" i="4"/>
  <c r="M62" i="4"/>
  <c r="L62" i="4"/>
  <c r="R61" i="4"/>
  <c r="M61" i="4"/>
  <c r="L61" i="4"/>
  <c r="R60" i="4"/>
  <c r="M60" i="4"/>
  <c r="L60" i="4"/>
  <c r="R59" i="4"/>
  <c r="M59" i="4"/>
  <c r="L59" i="4"/>
  <c r="R58" i="4"/>
  <c r="M58" i="4"/>
  <c r="L58" i="4"/>
  <c r="R57" i="4"/>
  <c r="M57" i="4"/>
  <c r="L57" i="4"/>
  <c r="R56" i="4"/>
  <c r="M56" i="4"/>
  <c r="L56" i="4"/>
  <c r="R55" i="4"/>
  <c r="M55" i="4"/>
  <c r="L55" i="4"/>
  <c r="R54" i="4"/>
  <c r="M54" i="4"/>
  <c r="L54" i="4"/>
  <c r="R53" i="4"/>
  <c r="M53" i="4"/>
  <c r="L53" i="4"/>
  <c r="R52" i="4"/>
  <c r="M52" i="4"/>
  <c r="L52" i="4"/>
  <c r="R51" i="4"/>
  <c r="M51" i="4"/>
  <c r="L51" i="4"/>
  <c r="R50" i="4"/>
  <c r="K50" i="4"/>
  <c r="J50" i="4"/>
  <c r="R49" i="4"/>
  <c r="M49" i="4"/>
  <c r="L49" i="4"/>
  <c r="R48" i="4"/>
  <c r="K48" i="4"/>
  <c r="J48" i="4"/>
  <c r="R47" i="4"/>
  <c r="K47" i="4"/>
  <c r="R46" i="4"/>
  <c r="M46" i="4"/>
  <c r="L46" i="4"/>
  <c r="R45" i="4"/>
  <c r="M45" i="4"/>
  <c r="L45" i="4"/>
  <c r="R44" i="4"/>
  <c r="M44" i="4"/>
  <c r="L44" i="4"/>
  <c r="R43" i="4"/>
  <c r="M43" i="4"/>
  <c r="L43" i="4"/>
  <c r="R42" i="4"/>
  <c r="M42" i="4"/>
  <c r="L42" i="4"/>
  <c r="R41" i="4"/>
  <c r="M41" i="4"/>
  <c r="L41" i="4"/>
  <c r="R40" i="4"/>
  <c r="M40" i="4"/>
  <c r="L40" i="4"/>
  <c r="R39" i="4"/>
  <c r="M39" i="4"/>
  <c r="L39" i="4"/>
  <c r="R38" i="4"/>
  <c r="M38" i="4"/>
  <c r="L38" i="4"/>
  <c r="R37" i="4"/>
  <c r="M37" i="4"/>
  <c r="L37" i="4"/>
  <c r="R36" i="4"/>
  <c r="M36" i="4"/>
  <c r="L36" i="4"/>
  <c r="R35" i="4"/>
  <c r="M35" i="4"/>
  <c r="L35" i="4"/>
  <c r="R34" i="4"/>
  <c r="M34" i="4"/>
  <c r="L34" i="4"/>
  <c r="R33" i="4"/>
  <c r="M33" i="4"/>
  <c r="L33" i="4"/>
  <c r="R32" i="4"/>
  <c r="M32" i="4"/>
  <c r="L32" i="4"/>
  <c r="R31" i="4"/>
  <c r="M31" i="4"/>
  <c r="L31" i="4"/>
  <c r="R30" i="4"/>
  <c r="M30" i="4"/>
  <c r="L30" i="4"/>
  <c r="R29" i="4"/>
  <c r="K29" i="4"/>
  <c r="J29" i="4"/>
  <c r="R28" i="4"/>
  <c r="M28" i="4"/>
  <c r="L28" i="4"/>
  <c r="R27" i="4"/>
  <c r="M27" i="4"/>
  <c r="L27" i="4"/>
  <c r="R26" i="4"/>
  <c r="K26" i="4"/>
  <c r="R25" i="4"/>
  <c r="K25" i="4"/>
  <c r="J25" i="4"/>
  <c r="R24" i="4"/>
  <c r="M24" i="4"/>
  <c r="L24" i="4"/>
  <c r="R23" i="4"/>
  <c r="M23" i="4"/>
  <c r="L23" i="4"/>
  <c r="R22" i="4"/>
  <c r="M22" i="4"/>
  <c r="L22" i="4"/>
  <c r="R21" i="4"/>
  <c r="M21" i="4"/>
  <c r="L21" i="4"/>
  <c r="R20" i="4"/>
  <c r="M20" i="4"/>
  <c r="L20" i="4"/>
  <c r="R19" i="4"/>
  <c r="M19" i="4"/>
  <c r="L19" i="4"/>
  <c r="R18" i="4"/>
  <c r="M18" i="4"/>
  <c r="L18" i="4"/>
  <c r="R17" i="4"/>
  <c r="M17" i="4"/>
  <c r="L17" i="4"/>
  <c r="R16" i="4"/>
  <c r="M16" i="4"/>
  <c r="L16" i="4"/>
  <c r="R15" i="4"/>
  <c r="M15" i="4"/>
  <c r="L15" i="4"/>
  <c r="R14" i="4"/>
  <c r="M14" i="4"/>
  <c r="L14" i="4"/>
  <c r="R13" i="4"/>
  <c r="M13" i="4"/>
  <c r="L13" i="4"/>
  <c r="R12" i="4"/>
  <c r="M12" i="4"/>
  <c r="L12" i="4"/>
  <c r="R11" i="4"/>
  <c r="M11" i="4"/>
  <c r="L11" i="4"/>
  <c r="R10" i="4"/>
  <c r="M10" i="4"/>
  <c r="L10" i="4"/>
  <c r="R9" i="4"/>
  <c r="M9" i="4"/>
  <c r="L9" i="4"/>
  <c r="R8" i="4"/>
  <c r="M8" i="4"/>
  <c r="L8" i="4"/>
  <c r="R7" i="4"/>
  <c r="M7" i="4"/>
  <c r="L7" i="4"/>
  <c r="R6" i="4"/>
  <c r="M6" i="4"/>
  <c r="L6" i="4"/>
  <c r="R5" i="4"/>
  <c r="M5" i="4"/>
  <c r="L5" i="4"/>
  <c r="R4" i="4"/>
  <c r="M4" i="4"/>
  <c r="L4" i="4"/>
  <c r="R3" i="4"/>
  <c r="M3" i="4"/>
  <c r="L3" i="4"/>
  <c r="R2" i="4"/>
  <c r="M2" i="4"/>
  <c r="L2" i="4"/>
  <c r="M831" i="3"/>
  <c r="L831" i="3"/>
  <c r="M830" i="3"/>
  <c r="L830" i="3"/>
  <c r="M829" i="3"/>
  <c r="L829" i="3"/>
  <c r="M828" i="3"/>
  <c r="L828" i="3"/>
  <c r="M827" i="3"/>
  <c r="L827" i="3"/>
  <c r="M826" i="3"/>
  <c r="L826" i="3"/>
  <c r="M825" i="3"/>
  <c r="L825" i="3"/>
  <c r="M824" i="3"/>
  <c r="L824" i="3"/>
  <c r="M823" i="3"/>
  <c r="L823" i="3"/>
  <c r="M822" i="3"/>
  <c r="L822" i="3"/>
  <c r="M821" i="3"/>
  <c r="L821" i="3"/>
  <c r="M820" i="3"/>
  <c r="L820" i="3"/>
  <c r="M819" i="3"/>
  <c r="L819" i="3"/>
  <c r="M818" i="3"/>
  <c r="L818" i="3"/>
  <c r="M817" i="3"/>
  <c r="L817" i="3"/>
  <c r="M816" i="3"/>
  <c r="L816" i="3"/>
  <c r="M815" i="3"/>
  <c r="L815" i="3"/>
  <c r="M814" i="3"/>
  <c r="L814" i="3"/>
  <c r="M813" i="3"/>
  <c r="L813" i="3"/>
  <c r="M812" i="3"/>
  <c r="L812" i="3"/>
  <c r="M811" i="3"/>
  <c r="L811" i="3"/>
  <c r="M810" i="3"/>
  <c r="L810" i="3"/>
  <c r="M809" i="3"/>
  <c r="L809" i="3"/>
  <c r="M808" i="3"/>
  <c r="L808" i="3"/>
  <c r="M807" i="3"/>
  <c r="L807" i="3"/>
  <c r="M806" i="3"/>
  <c r="L806" i="3"/>
  <c r="M805" i="3"/>
  <c r="L805" i="3"/>
  <c r="M804" i="3"/>
  <c r="L804" i="3"/>
  <c r="M803" i="3"/>
  <c r="L803" i="3"/>
  <c r="M802" i="3"/>
  <c r="L802" i="3"/>
  <c r="M801" i="3"/>
  <c r="L801" i="3"/>
  <c r="M800" i="3"/>
  <c r="L800" i="3"/>
  <c r="M799" i="3"/>
  <c r="L799" i="3"/>
  <c r="M798" i="3"/>
  <c r="L798" i="3"/>
  <c r="M797" i="3"/>
  <c r="L797" i="3"/>
  <c r="M796" i="3"/>
  <c r="L796" i="3"/>
  <c r="M795" i="3"/>
  <c r="L795" i="3"/>
  <c r="M794" i="3"/>
  <c r="L794" i="3"/>
  <c r="M793" i="3"/>
  <c r="L793" i="3"/>
  <c r="M792" i="3"/>
  <c r="L792" i="3"/>
  <c r="M791" i="3"/>
  <c r="L791" i="3"/>
  <c r="M790" i="3"/>
  <c r="L790" i="3"/>
  <c r="M789" i="3"/>
  <c r="L789" i="3"/>
  <c r="M788" i="3"/>
  <c r="L788" i="3"/>
  <c r="M787" i="3"/>
  <c r="L787" i="3"/>
  <c r="M786" i="3"/>
  <c r="L786" i="3"/>
  <c r="M785" i="3"/>
  <c r="L785" i="3"/>
  <c r="M784" i="3"/>
  <c r="L784" i="3"/>
  <c r="M783" i="3"/>
  <c r="L783" i="3"/>
  <c r="M782" i="3"/>
  <c r="L782" i="3"/>
  <c r="M781" i="3"/>
  <c r="L781" i="3"/>
  <c r="M780" i="3"/>
  <c r="L780" i="3"/>
  <c r="M779" i="3"/>
  <c r="L779" i="3"/>
  <c r="M778" i="3"/>
  <c r="L778" i="3"/>
  <c r="M777" i="3"/>
  <c r="L777" i="3"/>
  <c r="M776" i="3"/>
  <c r="L776" i="3"/>
  <c r="M775" i="3"/>
  <c r="L775" i="3"/>
  <c r="M774" i="3"/>
  <c r="L774" i="3"/>
  <c r="M773" i="3"/>
  <c r="L773" i="3"/>
  <c r="M772" i="3"/>
  <c r="L772" i="3"/>
  <c r="M771" i="3"/>
  <c r="L771" i="3"/>
  <c r="M770" i="3"/>
  <c r="L770" i="3"/>
  <c r="M769" i="3"/>
  <c r="L769" i="3"/>
  <c r="M768" i="3"/>
  <c r="L768" i="3"/>
  <c r="M767" i="3"/>
  <c r="L767" i="3"/>
  <c r="M766" i="3"/>
  <c r="L766" i="3"/>
  <c r="M765" i="3"/>
  <c r="L765" i="3"/>
  <c r="M764" i="3"/>
  <c r="L764" i="3"/>
  <c r="M763" i="3"/>
  <c r="L763" i="3"/>
  <c r="M762" i="3"/>
  <c r="L762" i="3"/>
  <c r="M761" i="3"/>
  <c r="L761" i="3"/>
  <c r="M760" i="3"/>
  <c r="L760" i="3"/>
  <c r="M759" i="3"/>
  <c r="L759" i="3"/>
  <c r="M758" i="3"/>
  <c r="L758" i="3"/>
  <c r="M757" i="3"/>
  <c r="L757" i="3"/>
  <c r="M756" i="3"/>
  <c r="L756" i="3"/>
  <c r="M755" i="3"/>
  <c r="L755" i="3"/>
  <c r="M754" i="3"/>
  <c r="L754" i="3"/>
  <c r="M753" i="3"/>
  <c r="L753" i="3"/>
  <c r="M752" i="3"/>
  <c r="L752" i="3"/>
  <c r="M751" i="3"/>
  <c r="L751" i="3"/>
  <c r="M750" i="3"/>
  <c r="L750" i="3"/>
  <c r="M749" i="3"/>
  <c r="L749" i="3"/>
  <c r="M748" i="3"/>
  <c r="L748" i="3"/>
  <c r="M747" i="3"/>
  <c r="L747" i="3"/>
  <c r="M746" i="3"/>
  <c r="L746" i="3"/>
  <c r="M745" i="3"/>
  <c r="L745" i="3"/>
  <c r="M744" i="3"/>
  <c r="L744" i="3"/>
  <c r="M743" i="3"/>
  <c r="L743" i="3"/>
  <c r="M742" i="3"/>
  <c r="L742" i="3"/>
  <c r="M741" i="3"/>
  <c r="L741" i="3"/>
  <c r="M740" i="3"/>
  <c r="L740" i="3"/>
  <c r="M739" i="3"/>
  <c r="L739" i="3"/>
  <c r="M738" i="3"/>
  <c r="L738" i="3"/>
  <c r="M737" i="3"/>
  <c r="L737" i="3"/>
  <c r="M736" i="3"/>
  <c r="L736" i="3"/>
  <c r="M735" i="3"/>
  <c r="L735" i="3"/>
  <c r="M734" i="3"/>
  <c r="L734" i="3"/>
  <c r="M733" i="3"/>
  <c r="L733" i="3"/>
  <c r="M732" i="3"/>
  <c r="L732" i="3"/>
  <c r="M731" i="3"/>
  <c r="L731" i="3"/>
  <c r="M730" i="3"/>
  <c r="L730" i="3"/>
  <c r="M729" i="3"/>
  <c r="L729" i="3"/>
  <c r="M728" i="3"/>
  <c r="L728" i="3"/>
  <c r="M727" i="3"/>
  <c r="L727" i="3"/>
  <c r="M726" i="3"/>
  <c r="L726" i="3"/>
  <c r="M725" i="3"/>
  <c r="L725" i="3"/>
  <c r="M724" i="3"/>
  <c r="L724" i="3"/>
  <c r="M723" i="3"/>
  <c r="L723" i="3"/>
  <c r="M722" i="3"/>
  <c r="L722" i="3"/>
  <c r="M721" i="3"/>
  <c r="L721" i="3"/>
  <c r="M720" i="3"/>
  <c r="L720" i="3"/>
  <c r="M719" i="3"/>
  <c r="L719" i="3"/>
  <c r="M718" i="3"/>
  <c r="L718" i="3"/>
  <c r="M717" i="3"/>
  <c r="L717" i="3"/>
  <c r="M716" i="3"/>
  <c r="L716" i="3"/>
  <c r="M715" i="3"/>
  <c r="L715" i="3"/>
  <c r="M714" i="3"/>
  <c r="L714" i="3"/>
  <c r="M713" i="3"/>
  <c r="L713" i="3"/>
  <c r="M712" i="3"/>
  <c r="L712" i="3"/>
  <c r="M711" i="3"/>
  <c r="L711" i="3"/>
  <c r="M710" i="3"/>
  <c r="L710" i="3"/>
  <c r="M709" i="3"/>
  <c r="L709" i="3"/>
  <c r="M708" i="3"/>
  <c r="L708" i="3"/>
  <c r="M707" i="3"/>
  <c r="L707" i="3"/>
  <c r="M706" i="3"/>
  <c r="L706" i="3"/>
  <c r="M705" i="3"/>
  <c r="L705" i="3"/>
  <c r="M704" i="3"/>
  <c r="L704" i="3"/>
  <c r="M703" i="3"/>
  <c r="L703" i="3"/>
  <c r="M702" i="3"/>
  <c r="L702" i="3"/>
  <c r="M701" i="3"/>
  <c r="L701" i="3"/>
  <c r="M700" i="3"/>
  <c r="L700" i="3"/>
  <c r="M699" i="3"/>
  <c r="L699" i="3"/>
  <c r="M698" i="3"/>
  <c r="L698" i="3"/>
  <c r="M697" i="3"/>
  <c r="L697" i="3"/>
  <c r="M696" i="3"/>
  <c r="L696" i="3"/>
  <c r="M695" i="3"/>
  <c r="L695" i="3"/>
  <c r="M694" i="3"/>
  <c r="L694" i="3"/>
  <c r="M693" i="3"/>
  <c r="L693" i="3"/>
  <c r="M692" i="3"/>
  <c r="L692" i="3"/>
  <c r="M691" i="3"/>
  <c r="L691" i="3"/>
  <c r="M690" i="3"/>
  <c r="L690" i="3"/>
  <c r="M689" i="3"/>
  <c r="L689" i="3"/>
  <c r="M688" i="3"/>
  <c r="L688" i="3"/>
  <c r="M687" i="3"/>
  <c r="L687" i="3"/>
  <c r="M686" i="3"/>
  <c r="L686" i="3"/>
  <c r="M685" i="3"/>
  <c r="L685" i="3"/>
  <c r="M684" i="3"/>
  <c r="L684" i="3"/>
  <c r="M683" i="3"/>
  <c r="L683" i="3"/>
  <c r="M682" i="3"/>
  <c r="L682" i="3"/>
  <c r="M681" i="3"/>
  <c r="L681" i="3"/>
  <c r="M680" i="3"/>
  <c r="L680" i="3"/>
  <c r="M679" i="3"/>
  <c r="L679" i="3"/>
  <c r="M678" i="3"/>
  <c r="L678" i="3"/>
  <c r="M677" i="3"/>
  <c r="L677" i="3"/>
  <c r="M676" i="3"/>
  <c r="L676" i="3"/>
  <c r="M675" i="3"/>
  <c r="L675" i="3"/>
  <c r="M674" i="3"/>
  <c r="L674" i="3"/>
  <c r="M673" i="3"/>
  <c r="L673" i="3"/>
  <c r="M672" i="3"/>
  <c r="L672" i="3"/>
  <c r="M671" i="3"/>
  <c r="L671" i="3"/>
  <c r="M670" i="3"/>
  <c r="L670" i="3"/>
  <c r="M669" i="3"/>
  <c r="L669" i="3"/>
  <c r="M668" i="3"/>
  <c r="L668" i="3"/>
  <c r="M667" i="3"/>
  <c r="L667" i="3"/>
  <c r="M666" i="3"/>
  <c r="L666" i="3"/>
  <c r="M665" i="3"/>
  <c r="L665" i="3"/>
  <c r="M664" i="3"/>
  <c r="L664" i="3"/>
  <c r="M663" i="3"/>
  <c r="L663" i="3"/>
  <c r="M662" i="3"/>
  <c r="L662" i="3"/>
  <c r="M661" i="3"/>
  <c r="L661" i="3"/>
  <c r="M660" i="3"/>
  <c r="L660" i="3"/>
  <c r="M659" i="3"/>
  <c r="L659" i="3"/>
  <c r="M656" i="3"/>
  <c r="L656" i="3"/>
  <c r="M655" i="3"/>
  <c r="L655" i="3"/>
  <c r="M654" i="3"/>
  <c r="L654" i="3"/>
  <c r="M653" i="3"/>
  <c r="L653" i="3"/>
  <c r="M652" i="3"/>
  <c r="L652" i="3"/>
  <c r="M651" i="3"/>
  <c r="L651" i="3"/>
  <c r="M650" i="3"/>
  <c r="L650" i="3"/>
  <c r="M649" i="3"/>
  <c r="L649" i="3"/>
  <c r="M648" i="3"/>
  <c r="L648" i="3"/>
  <c r="M647" i="3"/>
  <c r="L647" i="3"/>
  <c r="M646" i="3"/>
  <c r="L646" i="3"/>
  <c r="M645" i="3"/>
  <c r="L645" i="3"/>
  <c r="M644" i="3"/>
  <c r="L644" i="3"/>
  <c r="M643" i="3"/>
  <c r="L643" i="3"/>
  <c r="M642" i="3"/>
  <c r="L642" i="3"/>
  <c r="M641" i="3"/>
  <c r="L641" i="3"/>
  <c r="M640" i="3"/>
  <c r="L640" i="3"/>
  <c r="M639" i="3"/>
  <c r="L639" i="3"/>
  <c r="M638" i="3"/>
  <c r="L638" i="3"/>
  <c r="M637" i="3"/>
  <c r="L637" i="3"/>
  <c r="M636" i="3"/>
  <c r="L636" i="3"/>
  <c r="M635" i="3"/>
  <c r="L635" i="3"/>
  <c r="M634" i="3"/>
  <c r="L634" i="3"/>
  <c r="M632" i="3"/>
  <c r="L632" i="3"/>
  <c r="M631" i="3"/>
  <c r="L631" i="3"/>
  <c r="M630" i="3"/>
  <c r="L630" i="3"/>
  <c r="M629" i="3"/>
  <c r="L629" i="3"/>
  <c r="M628" i="3"/>
  <c r="L628" i="3"/>
  <c r="M627" i="3"/>
  <c r="L627" i="3"/>
  <c r="M625" i="3"/>
  <c r="L625" i="3"/>
  <c r="M624" i="3"/>
  <c r="L624" i="3"/>
  <c r="M623" i="3"/>
  <c r="L623" i="3"/>
  <c r="M622" i="3"/>
  <c r="L622" i="3"/>
  <c r="M620" i="3"/>
  <c r="L620" i="3"/>
  <c r="M619" i="3"/>
  <c r="L619" i="3"/>
  <c r="M618" i="3"/>
  <c r="L618" i="3"/>
  <c r="M617" i="3"/>
  <c r="L617" i="3"/>
  <c r="M616" i="3"/>
  <c r="L616" i="3"/>
  <c r="M615" i="3"/>
  <c r="L615" i="3"/>
  <c r="M614" i="3"/>
  <c r="L614" i="3"/>
  <c r="M613" i="3"/>
  <c r="L613" i="3"/>
  <c r="M612" i="3"/>
  <c r="L612" i="3"/>
  <c r="M611" i="3"/>
  <c r="L611" i="3"/>
  <c r="M610" i="3"/>
  <c r="L610" i="3"/>
  <c r="M609" i="3"/>
  <c r="L609" i="3"/>
  <c r="M608" i="3"/>
  <c r="L608" i="3"/>
  <c r="M607" i="3"/>
  <c r="L607" i="3"/>
  <c r="M606" i="3"/>
  <c r="L606" i="3"/>
  <c r="M605" i="3"/>
  <c r="L605" i="3"/>
  <c r="M604" i="3"/>
  <c r="L604" i="3"/>
  <c r="M603" i="3"/>
  <c r="L603" i="3"/>
  <c r="M602" i="3"/>
  <c r="L602" i="3"/>
  <c r="M601" i="3"/>
  <c r="L601" i="3"/>
  <c r="M600" i="3"/>
  <c r="L600" i="3"/>
  <c r="M599" i="3"/>
  <c r="L599" i="3"/>
  <c r="M598" i="3"/>
  <c r="L598" i="3"/>
  <c r="M597" i="3"/>
  <c r="L597" i="3"/>
  <c r="M596" i="3"/>
  <c r="L596" i="3"/>
  <c r="M595" i="3"/>
  <c r="L595" i="3"/>
  <c r="M594" i="3"/>
  <c r="L594" i="3"/>
  <c r="M593" i="3"/>
  <c r="L593" i="3"/>
  <c r="M592" i="3"/>
  <c r="L592" i="3"/>
  <c r="M591" i="3"/>
  <c r="L591" i="3"/>
  <c r="M590" i="3"/>
  <c r="L590" i="3"/>
  <c r="M589" i="3"/>
  <c r="L589" i="3"/>
  <c r="M588" i="3"/>
  <c r="L588" i="3"/>
  <c r="M587" i="3"/>
  <c r="L587" i="3"/>
  <c r="M586" i="3"/>
  <c r="L586" i="3"/>
  <c r="M585" i="3"/>
  <c r="L585" i="3"/>
  <c r="M584" i="3"/>
  <c r="L584" i="3"/>
  <c r="M583" i="3"/>
  <c r="L583" i="3"/>
  <c r="M582" i="3"/>
  <c r="L582" i="3"/>
  <c r="M581" i="3"/>
  <c r="L581" i="3"/>
  <c r="M580" i="3"/>
  <c r="L580" i="3"/>
  <c r="M579" i="3"/>
  <c r="L579" i="3"/>
  <c r="M578" i="3"/>
  <c r="L578" i="3"/>
  <c r="M577" i="3"/>
  <c r="L577" i="3"/>
  <c r="M576" i="3"/>
  <c r="L576" i="3"/>
  <c r="M575" i="3"/>
  <c r="L575" i="3"/>
  <c r="M574" i="3"/>
  <c r="L574" i="3"/>
  <c r="M573" i="3"/>
  <c r="L573" i="3"/>
  <c r="M572" i="3"/>
  <c r="L572" i="3"/>
  <c r="M571" i="3"/>
  <c r="L571" i="3"/>
  <c r="M570" i="3"/>
  <c r="L570" i="3"/>
  <c r="M569" i="3"/>
  <c r="L569" i="3"/>
  <c r="M568" i="3"/>
  <c r="L568" i="3"/>
  <c r="M567" i="3"/>
  <c r="L567" i="3"/>
  <c r="M566" i="3"/>
  <c r="L566" i="3"/>
  <c r="M565" i="3"/>
  <c r="L565" i="3"/>
  <c r="M564" i="3"/>
  <c r="L564" i="3"/>
  <c r="M563" i="3"/>
  <c r="L563" i="3"/>
  <c r="M562" i="3"/>
  <c r="L562" i="3"/>
  <c r="M561" i="3"/>
  <c r="L561" i="3"/>
  <c r="M560" i="3"/>
  <c r="L560" i="3"/>
  <c r="M559" i="3"/>
  <c r="L559" i="3"/>
  <c r="M558" i="3"/>
  <c r="L558" i="3"/>
  <c r="M557" i="3"/>
  <c r="L557" i="3"/>
  <c r="M556" i="3"/>
  <c r="L556" i="3"/>
  <c r="M554" i="3"/>
  <c r="L554" i="3"/>
  <c r="M553" i="3"/>
  <c r="L553" i="3"/>
  <c r="M552" i="3"/>
  <c r="L552" i="3"/>
  <c r="M551" i="3"/>
  <c r="L551" i="3"/>
  <c r="M550" i="3"/>
  <c r="L550" i="3"/>
  <c r="M549" i="3"/>
  <c r="L549" i="3"/>
  <c r="M548" i="3"/>
  <c r="L548" i="3"/>
  <c r="M545" i="3"/>
  <c r="L545" i="3"/>
  <c r="M543" i="3"/>
  <c r="L543" i="3"/>
  <c r="M542" i="3"/>
  <c r="L542" i="3"/>
  <c r="M541" i="3"/>
  <c r="L541" i="3"/>
  <c r="M540" i="3"/>
  <c r="L540" i="3"/>
  <c r="M539" i="3"/>
  <c r="L539" i="3"/>
  <c r="M538" i="3"/>
  <c r="L538" i="3"/>
  <c r="M537" i="3"/>
  <c r="L537" i="3"/>
  <c r="M536" i="3"/>
  <c r="L536" i="3"/>
  <c r="M535" i="3"/>
  <c r="L535" i="3"/>
  <c r="M534" i="3"/>
  <c r="L534" i="3"/>
  <c r="M533" i="3"/>
  <c r="L533" i="3"/>
  <c r="M532" i="3"/>
  <c r="L532" i="3"/>
  <c r="M531" i="3"/>
  <c r="L531" i="3"/>
  <c r="M530" i="3"/>
  <c r="L530" i="3"/>
  <c r="M529" i="3"/>
  <c r="L529" i="3"/>
  <c r="M528" i="3"/>
  <c r="L528" i="3"/>
  <c r="M527" i="3"/>
  <c r="L527" i="3"/>
  <c r="M526" i="3"/>
  <c r="L526" i="3"/>
  <c r="M525" i="3"/>
  <c r="L525" i="3"/>
  <c r="M524" i="3"/>
  <c r="L524" i="3"/>
  <c r="M523" i="3"/>
  <c r="L523" i="3"/>
  <c r="M522" i="3"/>
  <c r="L522" i="3"/>
  <c r="M521" i="3"/>
  <c r="L521" i="3"/>
  <c r="M520" i="3"/>
  <c r="L520" i="3"/>
  <c r="M519" i="3"/>
  <c r="L519" i="3"/>
  <c r="M518" i="3"/>
  <c r="L518" i="3"/>
  <c r="M517" i="3"/>
  <c r="L517" i="3"/>
  <c r="M516" i="3"/>
  <c r="L516" i="3"/>
  <c r="M515" i="3"/>
  <c r="L515" i="3"/>
  <c r="M514" i="3"/>
  <c r="L514" i="3"/>
  <c r="M513" i="3"/>
  <c r="L513" i="3"/>
  <c r="M512" i="3"/>
  <c r="L512" i="3"/>
  <c r="M511" i="3"/>
  <c r="L511" i="3"/>
  <c r="M510" i="3"/>
  <c r="L510" i="3"/>
  <c r="M509" i="3"/>
  <c r="L509" i="3"/>
  <c r="M508" i="3"/>
  <c r="L508" i="3"/>
  <c r="M507" i="3"/>
  <c r="L507" i="3"/>
  <c r="M506" i="3"/>
  <c r="L506" i="3"/>
  <c r="M505" i="3"/>
  <c r="L505" i="3"/>
  <c r="M504" i="3"/>
  <c r="L504" i="3"/>
  <c r="M503" i="3"/>
  <c r="L503" i="3"/>
  <c r="M502" i="3"/>
  <c r="L502" i="3"/>
  <c r="M501" i="3"/>
  <c r="L501" i="3"/>
  <c r="M500" i="3"/>
  <c r="L500" i="3"/>
  <c r="M499" i="3"/>
  <c r="L499" i="3"/>
  <c r="M498" i="3"/>
  <c r="L498" i="3"/>
  <c r="M497" i="3"/>
  <c r="L497" i="3"/>
  <c r="M496" i="3"/>
  <c r="L496" i="3"/>
  <c r="M495" i="3"/>
  <c r="L495" i="3"/>
  <c r="M494" i="3"/>
  <c r="L494" i="3"/>
  <c r="M493" i="3"/>
  <c r="L493" i="3"/>
  <c r="M492" i="3"/>
  <c r="L492" i="3"/>
  <c r="M491" i="3"/>
  <c r="L491" i="3"/>
  <c r="M490" i="3"/>
  <c r="L490" i="3"/>
  <c r="M489" i="3"/>
  <c r="L489" i="3"/>
  <c r="M488" i="3"/>
  <c r="L488" i="3"/>
  <c r="M487" i="3"/>
  <c r="L487" i="3"/>
  <c r="M486" i="3"/>
  <c r="L486" i="3"/>
  <c r="M485" i="3"/>
  <c r="L485" i="3"/>
  <c r="M483" i="3"/>
  <c r="L483" i="3"/>
  <c r="M481" i="3"/>
  <c r="L481" i="3"/>
  <c r="M480" i="3"/>
  <c r="L480" i="3"/>
  <c r="M479" i="3"/>
  <c r="L479" i="3"/>
  <c r="M478" i="3"/>
  <c r="L478" i="3"/>
  <c r="M477" i="3"/>
  <c r="L477" i="3"/>
  <c r="M476" i="3"/>
  <c r="L476" i="3"/>
  <c r="M475" i="3"/>
  <c r="L475" i="3"/>
  <c r="M474" i="3"/>
  <c r="L474" i="3"/>
  <c r="M472" i="3"/>
  <c r="L472" i="3"/>
  <c r="M471" i="3"/>
  <c r="L471" i="3"/>
  <c r="M470" i="3"/>
  <c r="L470" i="3"/>
  <c r="M469" i="3"/>
  <c r="L469" i="3"/>
  <c r="M467" i="3"/>
  <c r="L467" i="3"/>
  <c r="M466" i="3"/>
  <c r="L466" i="3"/>
  <c r="M465" i="3"/>
  <c r="L465" i="3"/>
  <c r="M464" i="3"/>
  <c r="L464" i="3"/>
  <c r="M463" i="3"/>
  <c r="L463" i="3"/>
  <c r="M462" i="3"/>
  <c r="L462" i="3"/>
  <c r="M461" i="3"/>
  <c r="L461" i="3"/>
  <c r="M460" i="3"/>
  <c r="L460" i="3"/>
  <c r="M459" i="3"/>
  <c r="L459" i="3"/>
  <c r="M458" i="3"/>
  <c r="L458" i="3"/>
  <c r="M457" i="3"/>
  <c r="L457" i="3"/>
  <c r="M456" i="3"/>
  <c r="L456" i="3"/>
  <c r="M455" i="3"/>
  <c r="L455" i="3"/>
  <c r="M454" i="3"/>
  <c r="L454" i="3"/>
  <c r="M453" i="3"/>
  <c r="L453" i="3"/>
  <c r="M452" i="3"/>
  <c r="L452" i="3"/>
  <c r="M449" i="3"/>
  <c r="L449" i="3"/>
  <c r="M448" i="3"/>
  <c r="L448" i="3"/>
  <c r="M447" i="3"/>
  <c r="L447" i="3"/>
  <c r="M446" i="3"/>
  <c r="L446" i="3"/>
  <c r="M445" i="3"/>
  <c r="L445" i="3"/>
  <c r="M442" i="3"/>
  <c r="L442" i="3"/>
  <c r="M441" i="3"/>
  <c r="L441" i="3"/>
  <c r="M440" i="3"/>
  <c r="L440" i="3"/>
  <c r="M439" i="3"/>
  <c r="L439" i="3"/>
  <c r="M438" i="3"/>
  <c r="L438" i="3"/>
  <c r="M437" i="3"/>
  <c r="L437" i="3"/>
  <c r="M436" i="3"/>
  <c r="L436" i="3"/>
  <c r="M435" i="3"/>
  <c r="L435" i="3"/>
  <c r="M434" i="3"/>
  <c r="L434" i="3"/>
  <c r="M433" i="3"/>
  <c r="L433" i="3"/>
  <c r="M432" i="3"/>
  <c r="L432" i="3"/>
  <c r="M431" i="3"/>
  <c r="L431" i="3"/>
  <c r="M430" i="3"/>
  <c r="L430" i="3"/>
  <c r="M429" i="3"/>
  <c r="L429" i="3"/>
  <c r="M428" i="3"/>
  <c r="L428" i="3"/>
  <c r="M427" i="3"/>
  <c r="L427" i="3"/>
  <c r="M426" i="3"/>
  <c r="L426" i="3"/>
  <c r="M425" i="3"/>
  <c r="L425" i="3"/>
  <c r="M424" i="3"/>
  <c r="L424" i="3"/>
  <c r="M423" i="3"/>
  <c r="L423" i="3"/>
  <c r="M420" i="3"/>
  <c r="L420" i="3"/>
  <c r="M419" i="3"/>
  <c r="L419" i="3"/>
  <c r="M418" i="3"/>
  <c r="L418" i="3"/>
  <c r="M417" i="3"/>
  <c r="L417" i="3"/>
  <c r="M416" i="3"/>
  <c r="L416" i="3"/>
  <c r="M415" i="3"/>
  <c r="L415" i="3"/>
  <c r="M414" i="3"/>
  <c r="L414" i="3"/>
  <c r="M413" i="3"/>
  <c r="L413" i="3"/>
  <c r="M412" i="3"/>
  <c r="L412" i="3"/>
  <c r="M411" i="3"/>
  <c r="L411" i="3"/>
  <c r="M410" i="3"/>
  <c r="L410" i="3"/>
  <c r="M409" i="3"/>
  <c r="L409" i="3"/>
  <c r="M408" i="3"/>
  <c r="L408" i="3"/>
  <c r="M407" i="3"/>
  <c r="L407" i="3"/>
  <c r="M406" i="3"/>
  <c r="L406" i="3"/>
  <c r="M405" i="3"/>
  <c r="L405" i="3"/>
  <c r="M404" i="3"/>
  <c r="L404" i="3"/>
  <c r="M403" i="3"/>
  <c r="L403" i="3"/>
  <c r="M402" i="3"/>
  <c r="L402" i="3"/>
  <c r="M401" i="3"/>
  <c r="L401" i="3"/>
  <c r="M400" i="3"/>
  <c r="L400" i="3"/>
  <c r="M399" i="3"/>
  <c r="L399" i="3"/>
  <c r="M398" i="3"/>
  <c r="L398" i="3"/>
  <c r="M397" i="3"/>
  <c r="L397" i="3"/>
  <c r="M396" i="3"/>
  <c r="L396" i="3"/>
  <c r="M394" i="3"/>
  <c r="L394" i="3"/>
  <c r="M393" i="3"/>
  <c r="L393" i="3"/>
  <c r="M392" i="3"/>
  <c r="L392" i="3"/>
  <c r="M391" i="3"/>
  <c r="L391" i="3"/>
  <c r="M390" i="3"/>
  <c r="L390" i="3"/>
  <c r="M389" i="3"/>
  <c r="L389" i="3"/>
  <c r="M388" i="3"/>
  <c r="L388" i="3"/>
  <c r="M387" i="3"/>
  <c r="L387" i="3"/>
  <c r="M386" i="3"/>
  <c r="L386" i="3"/>
  <c r="M385" i="3"/>
  <c r="L385" i="3"/>
  <c r="M384" i="3"/>
  <c r="L384" i="3"/>
  <c r="M383" i="3"/>
  <c r="L383" i="3"/>
  <c r="M382" i="3"/>
  <c r="L382" i="3"/>
  <c r="M381" i="3"/>
  <c r="L381" i="3"/>
  <c r="M380" i="3"/>
  <c r="L380" i="3"/>
  <c r="M379" i="3"/>
  <c r="L379" i="3"/>
  <c r="M378" i="3"/>
  <c r="L378" i="3"/>
  <c r="M377" i="3"/>
  <c r="L377" i="3"/>
  <c r="M376" i="3"/>
  <c r="L376" i="3"/>
  <c r="M375" i="3"/>
  <c r="L375" i="3"/>
  <c r="M374" i="3"/>
  <c r="L374" i="3"/>
  <c r="M373" i="3"/>
  <c r="L373" i="3"/>
  <c r="M372" i="3"/>
  <c r="L372" i="3"/>
  <c r="M371" i="3"/>
  <c r="L371" i="3"/>
  <c r="M370" i="3"/>
  <c r="L370" i="3"/>
  <c r="M367" i="3"/>
  <c r="L367" i="3"/>
  <c r="M366" i="3"/>
  <c r="L366" i="3"/>
  <c r="M365" i="3"/>
  <c r="L365" i="3"/>
  <c r="M364" i="3"/>
  <c r="L364" i="3"/>
  <c r="M362" i="3"/>
  <c r="L362" i="3"/>
  <c r="M361" i="3"/>
  <c r="L361" i="3"/>
  <c r="M360" i="3"/>
  <c r="L360" i="3"/>
  <c r="M359" i="3"/>
  <c r="L359" i="3"/>
  <c r="M358" i="3"/>
  <c r="L358" i="3"/>
  <c r="M357" i="3"/>
  <c r="L357" i="3"/>
  <c r="M356" i="3"/>
  <c r="L356" i="3"/>
  <c r="M355" i="3"/>
  <c r="L355" i="3"/>
  <c r="M354" i="3"/>
  <c r="L354" i="3"/>
  <c r="M353" i="3"/>
  <c r="L353" i="3"/>
  <c r="M352" i="3"/>
  <c r="L352" i="3"/>
  <c r="M351" i="3"/>
  <c r="L351" i="3"/>
  <c r="M350" i="3"/>
  <c r="L350" i="3"/>
  <c r="M349" i="3"/>
  <c r="L349" i="3"/>
  <c r="M348" i="3"/>
  <c r="L348" i="3"/>
  <c r="M347" i="3"/>
  <c r="L347" i="3"/>
  <c r="M346" i="3"/>
  <c r="L346" i="3"/>
  <c r="M345" i="3"/>
  <c r="L345" i="3"/>
  <c r="M342" i="3"/>
  <c r="L342" i="3"/>
  <c r="M341" i="3"/>
  <c r="L341" i="3"/>
  <c r="M339" i="3"/>
  <c r="L339" i="3"/>
  <c r="M338" i="3"/>
  <c r="L338" i="3"/>
  <c r="M337" i="3"/>
  <c r="L337" i="3"/>
  <c r="M336" i="3"/>
  <c r="L336" i="3"/>
  <c r="M330" i="3"/>
  <c r="L330" i="3"/>
  <c r="M329" i="3"/>
  <c r="L329" i="3"/>
  <c r="M328" i="3"/>
  <c r="L328" i="3"/>
  <c r="M327" i="3"/>
  <c r="L327" i="3"/>
  <c r="M326" i="3"/>
  <c r="L326" i="3"/>
  <c r="M325" i="3"/>
  <c r="L325" i="3"/>
  <c r="M324" i="3"/>
  <c r="L324" i="3"/>
  <c r="M323" i="3"/>
  <c r="L323" i="3"/>
  <c r="M322" i="3"/>
  <c r="L322" i="3"/>
  <c r="M321" i="3"/>
  <c r="L321" i="3"/>
  <c r="M320" i="3"/>
  <c r="L320" i="3"/>
  <c r="M319" i="3"/>
  <c r="L319" i="3"/>
  <c r="M318" i="3"/>
  <c r="L318" i="3"/>
  <c r="M317" i="3"/>
  <c r="L317" i="3"/>
  <c r="M316" i="3"/>
  <c r="L316" i="3"/>
  <c r="M315" i="3"/>
  <c r="L315" i="3"/>
  <c r="M311" i="3"/>
  <c r="L311" i="3"/>
  <c r="M310" i="3"/>
  <c r="L310" i="3"/>
  <c r="M309" i="3"/>
  <c r="L309" i="3"/>
  <c r="M308" i="3"/>
  <c r="L308" i="3"/>
  <c r="M307" i="3"/>
  <c r="L307" i="3"/>
  <c r="M306" i="3"/>
  <c r="L306" i="3"/>
  <c r="M305" i="3"/>
  <c r="L305" i="3"/>
  <c r="M304" i="3"/>
  <c r="L304" i="3"/>
  <c r="M303" i="3"/>
  <c r="L303" i="3"/>
  <c r="M302" i="3"/>
  <c r="L302" i="3"/>
  <c r="M301" i="3"/>
  <c r="L301" i="3"/>
  <c r="M300" i="3"/>
  <c r="L300" i="3"/>
  <c r="M299" i="3"/>
  <c r="L299" i="3"/>
  <c r="M298" i="3"/>
  <c r="L298" i="3"/>
  <c r="M297" i="3"/>
  <c r="L297" i="3"/>
  <c r="M296" i="3"/>
  <c r="L296" i="3"/>
  <c r="M295" i="3"/>
  <c r="L295" i="3"/>
  <c r="M294" i="3"/>
  <c r="L294" i="3"/>
  <c r="M293" i="3"/>
  <c r="L293" i="3"/>
  <c r="M292" i="3"/>
  <c r="L292" i="3"/>
  <c r="M291" i="3"/>
  <c r="L291" i="3"/>
  <c r="M290" i="3"/>
  <c r="L290" i="3"/>
  <c r="M289" i="3"/>
  <c r="L289" i="3"/>
  <c r="M288" i="3"/>
  <c r="L288" i="3"/>
  <c r="M287" i="3"/>
  <c r="L287" i="3"/>
  <c r="M286" i="3"/>
  <c r="L286" i="3"/>
  <c r="M285" i="3"/>
  <c r="L285" i="3"/>
  <c r="M284" i="3"/>
  <c r="L284" i="3"/>
  <c r="M283" i="3"/>
  <c r="L283" i="3"/>
  <c r="M282" i="3"/>
  <c r="L282" i="3"/>
  <c r="M280" i="3"/>
  <c r="L280" i="3"/>
  <c r="M279" i="3"/>
  <c r="L279" i="3"/>
  <c r="M278" i="3"/>
  <c r="L278" i="3"/>
  <c r="M277" i="3"/>
  <c r="L277" i="3"/>
  <c r="M276" i="3"/>
  <c r="L276" i="3"/>
  <c r="M275" i="3"/>
  <c r="L275" i="3"/>
  <c r="M273" i="3"/>
  <c r="L273" i="3"/>
  <c r="M272" i="3"/>
  <c r="L272" i="3"/>
  <c r="M271" i="3"/>
  <c r="L271" i="3"/>
  <c r="M270" i="3"/>
  <c r="L270" i="3"/>
  <c r="M269" i="3"/>
  <c r="L269" i="3"/>
  <c r="M265" i="3"/>
  <c r="L265" i="3"/>
  <c r="M264" i="3"/>
  <c r="L264" i="3"/>
  <c r="M263" i="3"/>
  <c r="L263" i="3"/>
  <c r="M262" i="3"/>
  <c r="L262" i="3"/>
  <c r="M261" i="3"/>
  <c r="L261" i="3"/>
  <c r="M260" i="3"/>
  <c r="L260" i="3"/>
  <c r="M259" i="3"/>
  <c r="L259" i="3"/>
  <c r="M258" i="3"/>
  <c r="L258" i="3"/>
  <c r="M257" i="3"/>
  <c r="L257" i="3"/>
  <c r="M256" i="3"/>
  <c r="L256" i="3"/>
  <c r="M255" i="3"/>
  <c r="L255" i="3"/>
  <c r="M254" i="3"/>
  <c r="L254" i="3"/>
  <c r="M253" i="3"/>
  <c r="L253" i="3"/>
  <c r="M252" i="3"/>
  <c r="L252" i="3"/>
  <c r="M251" i="3"/>
  <c r="L251" i="3"/>
  <c r="M250" i="3"/>
  <c r="L250" i="3"/>
  <c r="M249" i="3"/>
  <c r="L249" i="3"/>
  <c r="M248" i="3"/>
  <c r="L248" i="3"/>
  <c r="M247" i="3"/>
  <c r="L247" i="3"/>
  <c r="M246" i="3"/>
  <c r="L246" i="3"/>
  <c r="M245" i="3"/>
  <c r="L245" i="3"/>
  <c r="M244" i="3"/>
  <c r="L244" i="3"/>
  <c r="M243" i="3"/>
  <c r="L243" i="3"/>
  <c r="M242" i="3"/>
  <c r="L242" i="3"/>
  <c r="M241" i="3"/>
  <c r="L241" i="3"/>
  <c r="M240" i="3"/>
  <c r="L240" i="3"/>
  <c r="M239" i="3"/>
  <c r="L239" i="3"/>
  <c r="M238" i="3"/>
  <c r="L238" i="3"/>
  <c r="M237" i="3"/>
  <c r="L237" i="3"/>
  <c r="M236" i="3"/>
  <c r="L236" i="3"/>
  <c r="M235" i="3"/>
  <c r="L235" i="3"/>
  <c r="M234" i="3"/>
  <c r="L234" i="3"/>
  <c r="M233" i="3"/>
  <c r="L233" i="3"/>
  <c r="M232" i="3"/>
  <c r="L232" i="3"/>
  <c r="M231" i="3"/>
  <c r="L231" i="3"/>
  <c r="M230" i="3"/>
  <c r="L230" i="3"/>
  <c r="M229" i="3"/>
  <c r="L229" i="3"/>
  <c r="M228" i="3"/>
  <c r="L228" i="3"/>
  <c r="M227" i="3"/>
  <c r="L227" i="3"/>
  <c r="M226" i="3"/>
  <c r="L226" i="3"/>
  <c r="M225" i="3"/>
  <c r="L225" i="3"/>
  <c r="M224" i="3"/>
  <c r="L224" i="3"/>
  <c r="M223" i="3"/>
  <c r="L223" i="3"/>
  <c r="M222" i="3"/>
  <c r="L222" i="3"/>
  <c r="M221" i="3"/>
  <c r="L221" i="3"/>
  <c r="M220" i="3"/>
  <c r="L220" i="3"/>
  <c r="M219" i="3"/>
  <c r="L219" i="3"/>
  <c r="M218" i="3"/>
  <c r="L218" i="3"/>
  <c r="M217" i="3"/>
  <c r="L217" i="3"/>
  <c r="M216" i="3"/>
  <c r="L216" i="3"/>
  <c r="M215" i="3"/>
  <c r="L215" i="3"/>
  <c r="M214" i="3"/>
  <c r="L214" i="3"/>
  <c r="M213" i="3"/>
  <c r="L213" i="3"/>
  <c r="M212" i="3"/>
  <c r="L212" i="3"/>
  <c r="M211" i="3"/>
  <c r="L211" i="3"/>
  <c r="M210" i="3"/>
  <c r="L210" i="3"/>
  <c r="M209" i="3"/>
  <c r="L209" i="3"/>
  <c r="M208" i="3"/>
  <c r="L208" i="3"/>
  <c r="M207" i="3"/>
  <c r="L207" i="3"/>
  <c r="M206" i="3"/>
  <c r="L206" i="3"/>
  <c r="M205" i="3"/>
  <c r="L205" i="3"/>
  <c r="M204" i="3"/>
  <c r="L204" i="3"/>
  <c r="M203" i="3"/>
  <c r="L203" i="3"/>
  <c r="M201" i="3"/>
  <c r="L201" i="3"/>
  <c r="M200" i="3"/>
  <c r="L200" i="3"/>
  <c r="M199" i="3"/>
  <c r="L199" i="3"/>
  <c r="M198" i="3"/>
  <c r="L198" i="3"/>
  <c r="M197" i="3"/>
  <c r="L197" i="3"/>
  <c r="M196" i="3"/>
  <c r="L196" i="3"/>
  <c r="M195" i="3"/>
  <c r="L195" i="3"/>
  <c r="M194" i="3"/>
  <c r="L194" i="3"/>
  <c r="M193" i="3"/>
  <c r="L193" i="3"/>
  <c r="M192" i="3"/>
  <c r="L192" i="3"/>
  <c r="M191" i="3"/>
  <c r="L191" i="3"/>
  <c r="M190" i="3"/>
  <c r="L190" i="3"/>
  <c r="M189" i="3"/>
  <c r="L189" i="3"/>
  <c r="M188" i="3"/>
  <c r="L188" i="3"/>
  <c r="M187" i="3"/>
  <c r="L187" i="3"/>
  <c r="M186" i="3"/>
  <c r="L186" i="3"/>
  <c r="M184" i="3"/>
  <c r="L184" i="3"/>
  <c r="M183" i="3"/>
  <c r="L183" i="3"/>
  <c r="M182" i="3"/>
  <c r="L182" i="3"/>
  <c r="M180" i="3"/>
  <c r="L180" i="3"/>
  <c r="M179" i="3"/>
  <c r="L179" i="3"/>
  <c r="M178" i="3"/>
  <c r="L178" i="3"/>
  <c r="M177" i="3"/>
  <c r="L177" i="3"/>
  <c r="M176" i="3"/>
  <c r="L176" i="3"/>
  <c r="M175" i="3"/>
  <c r="L175" i="3"/>
  <c r="M174" i="3"/>
  <c r="L174" i="3"/>
  <c r="M173" i="3"/>
  <c r="L173" i="3"/>
  <c r="M172" i="3"/>
  <c r="L172" i="3"/>
  <c r="M171" i="3"/>
  <c r="L171" i="3"/>
  <c r="M170" i="3"/>
  <c r="L170" i="3"/>
  <c r="M169" i="3"/>
  <c r="L169" i="3"/>
  <c r="M168" i="3"/>
  <c r="L168" i="3"/>
  <c r="M167" i="3"/>
  <c r="L167" i="3"/>
  <c r="M165" i="3"/>
  <c r="L165" i="3"/>
  <c r="M164" i="3"/>
  <c r="L164" i="3"/>
  <c r="M163" i="3"/>
  <c r="L163" i="3"/>
  <c r="M162" i="3"/>
  <c r="L162" i="3"/>
  <c r="M161" i="3"/>
  <c r="L161" i="3"/>
  <c r="M160" i="3"/>
  <c r="L160" i="3"/>
  <c r="M159" i="3"/>
  <c r="L159" i="3"/>
  <c r="M158" i="3"/>
  <c r="L158" i="3"/>
  <c r="M157" i="3"/>
  <c r="L157" i="3"/>
  <c r="M156" i="3"/>
  <c r="L156" i="3"/>
  <c r="M155" i="3"/>
  <c r="L155" i="3"/>
  <c r="M154" i="3"/>
  <c r="L154" i="3"/>
  <c r="M152" i="3"/>
  <c r="L152" i="3"/>
  <c r="M150" i="3"/>
  <c r="L150" i="3"/>
  <c r="M149" i="3"/>
  <c r="L149" i="3"/>
  <c r="M148" i="3"/>
  <c r="L148" i="3"/>
  <c r="M147" i="3"/>
  <c r="L147" i="3"/>
  <c r="M146" i="3"/>
  <c r="L146" i="3"/>
  <c r="M145" i="3"/>
  <c r="L145" i="3"/>
  <c r="M144" i="3"/>
  <c r="L144" i="3"/>
  <c r="M143" i="3"/>
  <c r="L143" i="3"/>
  <c r="M142" i="3"/>
  <c r="L142" i="3"/>
  <c r="M141" i="3"/>
  <c r="L141" i="3"/>
  <c r="M140" i="3"/>
  <c r="L140" i="3"/>
  <c r="M139" i="3"/>
  <c r="L139" i="3"/>
  <c r="M138" i="3"/>
  <c r="L138" i="3"/>
  <c r="M137" i="3"/>
  <c r="L137" i="3"/>
  <c r="M136" i="3"/>
  <c r="L136" i="3"/>
  <c r="M135" i="3"/>
  <c r="L135" i="3"/>
  <c r="M134" i="3"/>
  <c r="L134" i="3"/>
  <c r="M133" i="3"/>
  <c r="L133" i="3"/>
  <c r="M132" i="3"/>
  <c r="L132" i="3"/>
  <c r="M131" i="3"/>
  <c r="L131" i="3"/>
  <c r="M130" i="3"/>
  <c r="L130" i="3"/>
  <c r="M129" i="3"/>
  <c r="L129" i="3"/>
  <c r="M128" i="3"/>
  <c r="L128" i="3"/>
  <c r="M127" i="3"/>
  <c r="L127" i="3"/>
  <c r="M126" i="3"/>
  <c r="L126" i="3"/>
  <c r="M125" i="3"/>
  <c r="L125" i="3"/>
  <c r="M124" i="3"/>
  <c r="L124" i="3"/>
  <c r="M123" i="3"/>
  <c r="L123" i="3"/>
  <c r="M122" i="3"/>
  <c r="L122" i="3"/>
  <c r="M121" i="3"/>
  <c r="L121" i="3"/>
  <c r="M120" i="3"/>
  <c r="L120" i="3"/>
  <c r="M119" i="3"/>
  <c r="L119" i="3"/>
  <c r="M118" i="3"/>
  <c r="L118" i="3"/>
  <c r="M117" i="3"/>
  <c r="L117" i="3"/>
  <c r="M116" i="3"/>
  <c r="L116" i="3"/>
  <c r="M115" i="3"/>
  <c r="L115" i="3"/>
  <c r="M114" i="3"/>
  <c r="L114" i="3"/>
  <c r="M113" i="3"/>
  <c r="L113" i="3"/>
  <c r="M112" i="3"/>
  <c r="L112" i="3"/>
  <c r="M111" i="3"/>
  <c r="L111" i="3"/>
  <c r="M110" i="3"/>
  <c r="L110" i="3"/>
  <c r="M109" i="3"/>
  <c r="L109" i="3"/>
  <c r="M108" i="3"/>
  <c r="L108" i="3"/>
  <c r="M107" i="3"/>
  <c r="L107" i="3"/>
  <c r="M106" i="3"/>
  <c r="L106" i="3"/>
  <c r="M105" i="3"/>
  <c r="L105" i="3"/>
  <c r="M104" i="3"/>
  <c r="L104" i="3"/>
  <c r="M103" i="3"/>
  <c r="L103" i="3"/>
  <c r="M102" i="3"/>
  <c r="L102" i="3"/>
  <c r="M101" i="3"/>
  <c r="L101" i="3"/>
  <c r="M100" i="3"/>
  <c r="L100" i="3"/>
  <c r="M99" i="3"/>
  <c r="L99" i="3"/>
  <c r="M98" i="3"/>
  <c r="L98" i="3"/>
  <c r="M97" i="3"/>
  <c r="L97" i="3"/>
  <c r="M96" i="3"/>
  <c r="L96" i="3"/>
  <c r="M95" i="3"/>
  <c r="L95" i="3"/>
  <c r="M94" i="3"/>
  <c r="L94" i="3"/>
  <c r="M93" i="3"/>
  <c r="L93" i="3"/>
  <c r="M92" i="3"/>
  <c r="L92" i="3"/>
  <c r="M91" i="3"/>
  <c r="L91" i="3"/>
  <c r="M90" i="3"/>
  <c r="L90" i="3"/>
  <c r="M89" i="3"/>
  <c r="L89" i="3"/>
  <c r="M88" i="3"/>
  <c r="L88" i="3"/>
  <c r="M87" i="3"/>
  <c r="L87" i="3"/>
  <c r="M86" i="3"/>
  <c r="L86" i="3"/>
  <c r="M84" i="3"/>
  <c r="L84" i="3"/>
  <c r="M83" i="3"/>
  <c r="L83" i="3"/>
  <c r="M82" i="3"/>
  <c r="L82" i="3"/>
  <c r="M81" i="3"/>
  <c r="L81" i="3"/>
  <c r="M80" i="3"/>
  <c r="L80" i="3"/>
  <c r="M79" i="3"/>
  <c r="L79" i="3"/>
  <c r="M78" i="3"/>
  <c r="L78" i="3"/>
  <c r="M77" i="3"/>
  <c r="L77" i="3"/>
  <c r="M76" i="3"/>
  <c r="L76" i="3"/>
  <c r="M75" i="3"/>
  <c r="L75" i="3"/>
  <c r="M74" i="3"/>
  <c r="L74" i="3"/>
  <c r="M73" i="3"/>
  <c r="L73" i="3"/>
  <c r="M72" i="3"/>
  <c r="L72" i="3"/>
  <c r="M71" i="3"/>
  <c r="L71" i="3"/>
  <c r="M70" i="3"/>
  <c r="L70" i="3"/>
  <c r="M69" i="3"/>
  <c r="L69" i="3"/>
  <c r="M68" i="3"/>
  <c r="L68" i="3"/>
  <c r="M67" i="3"/>
  <c r="L67" i="3"/>
  <c r="M66" i="3"/>
  <c r="L66" i="3"/>
  <c r="M65" i="3"/>
  <c r="L65" i="3"/>
  <c r="M64" i="3"/>
  <c r="L64" i="3"/>
  <c r="M62" i="3"/>
  <c r="L62" i="3"/>
  <c r="M61" i="3"/>
  <c r="L61" i="3"/>
  <c r="M60" i="3"/>
  <c r="L60" i="3"/>
  <c r="M59" i="3"/>
  <c r="L59" i="3"/>
  <c r="M58" i="3"/>
  <c r="L58" i="3"/>
  <c r="M57" i="3"/>
  <c r="L57" i="3"/>
  <c r="M56" i="3"/>
  <c r="L56" i="3"/>
  <c r="M55" i="3"/>
  <c r="L55" i="3"/>
  <c r="M54" i="3"/>
  <c r="L54" i="3"/>
  <c r="M53" i="3"/>
  <c r="L53" i="3"/>
  <c r="M52" i="3"/>
  <c r="L52" i="3"/>
  <c r="M51" i="3"/>
  <c r="L51" i="3"/>
  <c r="M50" i="3"/>
  <c r="L50" i="3"/>
  <c r="M49" i="3"/>
  <c r="L49" i="3"/>
  <c r="M48" i="3"/>
  <c r="L48" i="3"/>
  <c r="M47" i="3"/>
  <c r="L47" i="3"/>
  <c r="M46" i="3"/>
  <c r="L46" i="3"/>
  <c r="M45" i="3"/>
  <c r="L45" i="3"/>
  <c r="M44" i="3"/>
  <c r="L44" i="3"/>
  <c r="M43" i="3"/>
  <c r="L43" i="3"/>
  <c r="M42" i="3"/>
  <c r="L42" i="3"/>
  <c r="M41" i="3"/>
  <c r="L41" i="3"/>
  <c r="M40" i="3"/>
  <c r="L40" i="3"/>
  <c r="M39" i="3"/>
  <c r="L39" i="3"/>
  <c r="M38" i="3"/>
  <c r="L38" i="3"/>
  <c r="M37" i="3"/>
  <c r="L37" i="3"/>
  <c r="M36" i="3"/>
  <c r="L36" i="3"/>
  <c r="M35" i="3"/>
  <c r="L35" i="3"/>
  <c r="M34" i="3"/>
  <c r="L34" i="3"/>
  <c r="M33" i="3"/>
  <c r="L33" i="3"/>
  <c r="M32" i="3"/>
  <c r="L32" i="3"/>
  <c r="M31" i="3"/>
  <c r="L31" i="3"/>
  <c r="M30" i="3"/>
  <c r="L30" i="3"/>
  <c r="M29" i="3"/>
  <c r="L29" i="3"/>
  <c r="M28" i="3"/>
  <c r="L28" i="3"/>
  <c r="M27" i="3"/>
  <c r="L27" i="3"/>
  <c r="M26" i="3"/>
  <c r="L26" i="3"/>
  <c r="M25" i="3"/>
  <c r="L25" i="3"/>
  <c r="M24" i="3"/>
  <c r="L24" i="3"/>
  <c r="M23" i="3"/>
  <c r="L23" i="3"/>
  <c r="M22" i="3"/>
  <c r="L22" i="3"/>
  <c r="M21" i="3"/>
  <c r="L21" i="3"/>
  <c r="M20" i="3"/>
  <c r="L20" i="3"/>
  <c r="M19" i="3"/>
  <c r="L19" i="3"/>
  <c r="M18" i="3"/>
  <c r="L18" i="3"/>
  <c r="M17" i="3"/>
  <c r="L17" i="3"/>
  <c r="M16" i="3"/>
  <c r="L16" i="3"/>
  <c r="M15" i="3"/>
  <c r="L15" i="3"/>
  <c r="M14" i="3"/>
  <c r="L14" i="3"/>
  <c r="M13" i="3"/>
  <c r="L13" i="3"/>
  <c r="M12" i="3"/>
  <c r="L12" i="3"/>
  <c r="M11" i="3"/>
  <c r="L11" i="3"/>
  <c r="M10" i="3"/>
  <c r="L10" i="3"/>
  <c r="M9" i="3"/>
  <c r="L9" i="3"/>
  <c r="M8" i="3"/>
  <c r="L8" i="3"/>
  <c r="M7" i="3"/>
  <c r="L7" i="3"/>
  <c r="M6" i="3"/>
  <c r="L6" i="3"/>
  <c r="M5" i="3"/>
  <c r="L5" i="3"/>
  <c r="M4" i="3"/>
  <c r="L4" i="3"/>
  <c r="M3" i="3"/>
  <c r="L3" i="3"/>
  <c r="M2" i="3"/>
  <c r="L2" i="3"/>
  <c r="M1494" i="2"/>
  <c r="L1494" i="2"/>
  <c r="M1493" i="2"/>
  <c r="L1493" i="2"/>
  <c r="M1492" i="2"/>
  <c r="L1492" i="2"/>
  <c r="M1491" i="2"/>
  <c r="L1491" i="2"/>
  <c r="M1490" i="2"/>
  <c r="L1490" i="2"/>
  <c r="M1489" i="2"/>
  <c r="L1489" i="2"/>
  <c r="M1488" i="2"/>
  <c r="L1488" i="2"/>
  <c r="M1487" i="2"/>
  <c r="L1487" i="2"/>
  <c r="M1486" i="2"/>
  <c r="L1486" i="2"/>
  <c r="M1485" i="2"/>
  <c r="L1485" i="2"/>
  <c r="M1484" i="2"/>
  <c r="L1484" i="2"/>
  <c r="M1483" i="2"/>
  <c r="L1483" i="2"/>
  <c r="M1482" i="2"/>
  <c r="L1482" i="2"/>
  <c r="M1481" i="2"/>
  <c r="L1481" i="2"/>
  <c r="M1480" i="2"/>
  <c r="L1480" i="2"/>
  <c r="M1479" i="2"/>
  <c r="L1479" i="2"/>
  <c r="M1478" i="2"/>
  <c r="L1478" i="2"/>
  <c r="M1477" i="2"/>
  <c r="L1477" i="2"/>
  <c r="M1476" i="2"/>
  <c r="L1476" i="2"/>
  <c r="M1475" i="2"/>
  <c r="L1475" i="2"/>
  <c r="M1474" i="2"/>
  <c r="L1474" i="2"/>
  <c r="M1473" i="2"/>
  <c r="L1473" i="2"/>
  <c r="M1472" i="2"/>
  <c r="L1472" i="2"/>
  <c r="M1471" i="2"/>
  <c r="L1471" i="2"/>
  <c r="M1470" i="2"/>
  <c r="L1470" i="2"/>
  <c r="M1469" i="2"/>
  <c r="L1469" i="2"/>
  <c r="M1468" i="2"/>
  <c r="L1468" i="2"/>
  <c r="M1467" i="2"/>
  <c r="L1467" i="2"/>
  <c r="M1466" i="2"/>
  <c r="L1466" i="2"/>
  <c r="M1465" i="2"/>
  <c r="L1465" i="2"/>
  <c r="M1464" i="2"/>
  <c r="L1464" i="2"/>
  <c r="M1463" i="2"/>
  <c r="L1463" i="2"/>
  <c r="M1462" i="2"/>
  <c r="L1462" i="2"/>
  <c r="M1461" i="2"/>
  <c r="L1461" i="2"/>
  <c r="M1460" i="2"/>
  <c r="L1460" i="2"/>
  <c r="M1459" i="2"/>
  <c r="L1459" i="2"/>
  <c r="M1458" i="2"/>
  <c r="L1458" i="2"/>
  <c r="M1457" i="2"/>
  <c r="L1457" i="2"/>
  <c r="M1456" i="2"/>
  <c r="L1456" i="2"/>
  <c r="M1455" i="2"/>
  <c r="L1455" i="2"/>
  <c r="M1454" i="2"/>
  <c r="L1454" i="2"/>
  <c r="M1453" i="2"/>
  <c r="L1453" i="2"/>
  <c r="M1452" i="2"/>
  <c r="L1452" i="2"/>
  <c r="M1451" i="2"/>
  <c r="L1451" i="2"/>
  <c r="M1450" i="2"/>
  <c r="L1450" i="2"/>
  <c r="M1449" i="2"/>
  <c r="L1449" i="2"/>
  <c r="M1448" i="2"/>
  <c r="L1448" i="2"/>
  <c r="M1447" i="2"/>
  <c r="L1447" i="2"/>
  <c r="M1446" i="2"/>
  <c r="L1446" i="2"/>
  <c r="M1445" i="2"/>
  <c r="L1445" i="2"/>
  <c r="M1444" i="2"/>
  <c r="L1444" i="2"/>
  <c r="M1443" i="2"/>
  <c r="L1443" i="2"/>
  <c r="M1442" i="2"/>
  <c r="L1442" i="2"/>
  <c r="M1441" i="2"/>
  <c r="L1441" i="2"/>
  <c r="M1440" i="2"/>
  <c r="L1440" i="2"/>
  <c r="M1439" i="2"/>
  <c r="L1439" i="2"/>
  <c r="M1438" i="2"/>
  <c r="L1438" i="2"/>
  <c r="M1437" i="2"/>
  <c r="L1437" i="2"/>
  <c r="M1436" i="2"/>
  <c r="L1436" i="2"/>
  <c r="M1435" i="2"/>
  <c r="L1435" i="2"/>
  <c r="M1434" i="2"/>
  <c r="L1434" i="2"/>
  <c r="M1433" i="2"/>
  <c r="L1433" i="2"/>
  <c r="M1432" i="2"/>
  <c r="L1432" i="2"/>
  <c r="M1431" i="2"/>
  <c r="L1431" i="2"/>
  <c r="M1430" i="2"/>
  <c r="L1430" i="2"/>
  <c r="M1429" i="2"/>
  <c r="L1429" i="2"/>
  <c r="M1428" i="2"/>
  <c r="L1428" i="2"/>
  <c r="M1427" i="2"/>
  <c r="L1427" i="2"/>
  <c r="M1426" i="2"/>
  <c r="L1426" i="2"/>
  <c r="M1425" i="2"/>
  <c r="L1425" i="2"/>
  <c r="M1424" i="2"/>
  <c r="L1424" i="2"/>
  <c r="M1423" i="2"/>
  <c r="L1423" i="2"/>
  <c r="M1422" i="2"/>
  <c r="L1422" i="2"/>
  <c r="M1421" i="2"/>
  <c r="L1421" i="2"/>
  <c r="M1420" i="2"/>
  <c r="L1420" i="2"/>
  <c r="M1419" i="2"/>
  <c r="L1419" i="2"/>
  <c r="M1418" i="2"/>
  <c r="L1418" i="2"/>
  <c r="M1417" i="2"/>
  <c r="L1417" i="2"/>
  <c r="M1416" i="2"/>
  <c r="L1416" i="2"/>
  <c r="M1415" i="2"/>
  <c r="L1415" i="2"/>
  <c r="M1414" i="2"/>
  <c r="L1414" i="2"/>
  <c r="M1413" i="2"/>
  <c r="L1413" i="2"/>
  <c r="M1412" i="2"/>
  <c r="L1412" i="2"/>
  <c r="M1411" i="2"/>
  <c r="L1411" i="2"/>
  <c r="M1410" i="2"/>
  <c r="L1410" i="2"/>
  <c r="M1409" i="2"/>
  <c r="L1409" i="2"/>
  <c r="M1408" i="2"/>
  <c r="L1408" i="2"/>
  <c r="M1407" i="2"/>
  <c r="L1407" i="2"/>
  <c r="M1406" i="2"/>
  <c r="L1406" i="2"/>
  <c r="M1405" i="2"/>
  <c r="L1405" i="2"/>
  <c r="M1404" i="2"/>
  <c r="L1404" i="2"/>
  <c r="M1403" i="2"/>
  <c r="L1403" i="2"/>
  <c r="M1402" i="2"/>
  <c r="L1402" i="2"/>
  <c r="M1401" i="2"/>
  <c r="L1401" i="2"/>
  <c r="M1400" i="2"/>
  <c r="L1400" i="2"/>
  <c r="M1399" i="2"/>
  <c r="L1399" i="2"/>
  <c r="M1398" i="2"/>
  <c r="L1398" i="2"/>
  <c r="M1397" i="2"/>
  <c r="L1397" i="2"/>
  <c r="M1396" i="2"/>
  <c r="L1396" i="2"/>
  <c r="M1395" i="2"/>
  <c r="L1395" i="2"/>
  <c r="M1394" i="2"/>
  <c r="L1394" i="2"/>
  <c r="M1393" i="2"/>
  <c r="L1393" i="2"/>
  <c r="M1392" i="2"/>
  <c r="L1392" i="2"/>
  <c r="M1391" i="2"/>
  <c r="L1391" i="2"/>
  <c r="M1390" i="2"/>
  <c r="L1390" i="2"/>
  <c r="M1389" i="2"/>
  <c r="L1389" i="2"/>
  <c r="M1388" i="2"/>
  <c r="L1388" i="2"/>
  <c r="M1387" i="2"/>
  <c r="L1387" i="2"/>
  <c r="M1386" i="2"/>
  <c r="L1386" i="2"/>
  <c r="M1385" i="2"/>
  <c r="L1385" i="2"/>
  <c r="M1384" i="2"/>
  <c r="L1384" i="2"/>
  <c r="M1383" i="2"/>
  <c r="L1383" i="2"/>
  <c r="M1382" i="2"/>
  <c r="L1382" i="2"/>
  <c r="M1381" i="2"/>
  <c r="L1381" i="2"/>
  <c r="M1380" i="2"/>
  <c r="L1380" i="2"/>
  <c r="M1379" i="2"/>
  <c r="L1379" i="2"/>
  <c r="M1378" i="2"/>
  <c r="L1378" i="2"/>
  <c r="M1377" i="2"/>
  <c r="L1377" i="2"/>
  <c r="M1376" i="2"/>
  <c r="L1376" i="2"/>
  <c r="M1375" i="2"/>
  <c r="L1375" i="2"/>
  <c r="M1374" i="2"/>
  <c r="L1374" i="2"/>
  <c r="M1373" i="2"/>
  <c r="L1373" i="2"/>
  <c r="M1372" i="2"/>
  <c r="L1372" i="2"/>
  <c r="M1371" i="2"/>
  <c r="L1371" i="2"/>
  <c r="M1370" i="2"/>
  <c r="L1370" i="2"/>
  <c r="M1369" i="2"/>
  <c r="L1369" i="2"/>
  <c r="M1368" i="2"/>
  <c r="L1368" i="2"/>
  <c r="M1367" i="2"/>
  <c r="L1367" i="2"/>
  <c r="M1366" i="2"/>
  <c r="L1366" i="2"/>
  <c r="M1365" i="2"/>
  <c r="L1365" i="2"/>
  <c r="M1364" i="2"/>
  <c r="L1364" i="2"/>
  <c r="M1363" i="2"/>
  <c r="L1363" i="2"/>
  <c r="M1362" i="2"/>
  <c r="L1362" i="2"/>
  <c r="M1361" i="2"/>
  <c r="L1361" i="2"/>
  <c r="M1360" i="2"/>
  <c r="L1360" i="2"/>
  <c r="M1359" i="2"/>
  <c r="L1359" i="2"/>
  <c r="M1358" i="2"/>
  <c r="L1358" i="2"/>
  <c r="M1357" i="2"/>
  <c r="L1357" i="2"/>
  <c r="M1356" i="2"/>
  <c r="L1356" i="2"/>
  <c r="M1355" i="2"/>
  <c r="L1355" i="2"/>
  <c r="M1354" i="2"/>
  <c r="L1354" i="2"/>
  <c r="M1353" i="2"/>
  <c r="L1353" i="2"/>
  <c r="M1352" i="2"/>
  <c r="L1352" i="2"/>
  <c r="M1351" i="2"/>
  <c r="L1351" i="2"/>
  <c r="M1350" i="2"/>
  <c r="L1350" i="2"/>
  <c r="M1349" i="2"/>
  <c r="L1349" i="2"/>
  <c r="M1348" i="2"/>
  <c r="L1348" i="2"/>
  <c r="M1347" i="2"/>
  <c r="L1347" i="2"/>
  <c r="M1346" i="2"/>
  <c r="L1346" i="2"/>
  <c r="M1345" i="2"/>
  <c r="L1345" i="2"/>
  <c r="M1344" i="2"/>
  <c r="L1344" i="2"/>
  <c r="M1343" i="2"/>
  <c r="L1343" i="2"/>
  <c r="M1342" i="2"/>
  <c r="L1342" i="2"/>
  <c r="M1341" i="2"/>
  <c r="L1341" i="2"/>
  <c r="M1340" i="2"/>
  <c r="L1340" i="2"/>
  <c r="M1339" i="2"/>
  <c r="L1339" i="2"/>
  <c r="M1338" i="2"/>
  <c r="L1338" i="2"/>
  <c r="M1337" i="2"/>
  <c r="L1337" i="2"/>
  <c r="M1336" i="2"/>
  <c r="L1336" i="2"/>
  <c r="M1335" i="2"/>
  <c r="L1335" i="2"/>
  <c r="M1334" i="2"/>
  <c r="L1334" i="2"/>
  <c r="M1333" i="2"/>
  <c r="L1333" i="2"/>
  <c r="M1332" i="2"/>
  <c r="L1332" i="2"/>
  <c r="M1331" i="2"/>
  <c r="L1331" i="2"/>
  <c r="M1330" i="2"/>
  <c r="L1330" i="2"/>
  <c r="M1329" i="2"/>
  <c r="L1329" i="2"/>
  <c r="M1328" i="2"/>
  <c r="L1328" i="2"/>
  <c r="M1327" i="2"/>
  <c r="L1327" i="2"/>
  <c r="M1326" i="2"/>
  <c r="L1326" i="2"/>
  <c r="M1325" i="2"/>
  <c r="L1325" i="2"/>
  <c r="M1324" i="2"/>
  <c r="L1324" i="2"/>
  <c r="M1323" i="2"/>
  <c r="L1323" i="2"/>
  <c r="M1322" i="2"/>
  <c r="L1322" i="2"/>
  <c r="M1321" i="2"/>
  <c r="L1321" i="2"/>
  <c r="M1320" i="2"/>
  <c r="L1320" i="2"/>
  <c r="M1319" i="2"/>
  <c r="L1319" i="2"/>
  <c r="M1318" i="2"/>
  <c r="L1318" i="2"/>
  <c r="M1317" i="2"/>
  <c r="L1317" i="2"/>
  <c r="M1316" i="2"/>
  <c r="L1316" i="2"/>
  <c r="M1315" i="2"/>
  <c r="L1315" i="2"/>
  <c r="M1314" i="2"/>
  <c r="L1314" i="2"/>
  <c r="M1313" i="2"/>
  <c r="L1313" i="2"/>
  <c r="M1312" i="2"/>
  <c r="L1312" i="2"/>
  <c r="M1311" i="2"/>
  <c r="L1311" i="2"/>
  <c r="M1310" i="2"/>
  <c r="L1310" i="2"/>
  <c r="M1309" i="2"/>
  <c r="L1309" i="2"/>
  <c r="M1308" i="2"/>
  <c r="L1308" i="2"/>
  <c r="M1307" i="2"/>
  <c r="L1307" i="2"/>
  <c r="M1306" i="2"/>
  <c r="L1306" i="2"/>
  <c r="M1305" i="2"/>
  <c r="L1305" i="2"/>
  <c r="M1304" i="2"/>
  <c r="L1304" i="2"/>
  <c r="M1303" i="2"/>
  <c r="L1303" i="2"/>
  <c r="M1302" i="2"/>
  <c r="L1302" i="2"/>
  <c r="M1301" i="2"/>
  <c r="L1301" i="2"/>
  <c r="M1300" i="2"/>
  <c r="L1300" i="2"/>
  <c r="M1299" i="2"/>
  <c r="L1299" i="2"/>
  <c r="M1298" i="2"/>
  <c r="L1298" i="2"/>
  <c r="M1297" i="2"/>
  <c r="L1297" i="2"/>
  <c r="M1296" i="2"/>
  <c r="L1296" i="2"/>
  <c r="M1295" i="2"/>
  <c r="L1295" i="2"/>
  <c r="M1294" i="2"/>
  <c r="L1294" i="2"/>
  <c r="M1293" i="2"/>
  <c r="L1293" i="2"/>
  <c r="M1292" i="2"/>
  <c r="L1292" i="2"/>
  <c r="M1291" i="2"/>
  <c r="L1291" i="2"/>
  <c r="M1290" i="2"/>
  <c r="L1290" i="2"/>
  <c r="M1289" i="2"/>
  <c r="L1289" i="2"/>
  <c r="M1288" i="2"/>
  <c r="L1288" i="2"/>
  <c r="M1287" i="2"/>
  <c r="L1287" i="2"/>
  <c r="M1286" i="2"/>
  <c r="L1286" i="2"/>
  <c r="M1285" i="2"/>
  <c r="L1285" i="2"/>
  <c r="M1284" i="2"/>
  <c r="L1284" i="2"/>
  <c r="M1283" i="2"/>
  <c r="L1283" i="2"/>
  <c r="M1282" i="2"/>
  <c r="L1282" i="2"/>
  <c r="M1281" i="2"/>
  <c r="L1281" i="2"/>
  <c r="M1280" i="2"/>
  <c r="L1280" i="2"/>
  <c r="M1279" i="2"/>
  <c r="L1279" i="2"/>
  <c r="M1278" i="2"/>
  <c r="L1278" i="2"/>
  <c r="M1277" i="2"/>
  <c r="L1277" i="2"/>
  <c r="M1276" i="2"/>
  <c r="L1276" i="2"/>
  <c r="M1275" i="2"/>
  <c r="L1275" i="2"/>
  <c r="M1274" i="2"/>
  <c r="L1274" i="2"/>
  <c r="M1273" i="2"/>
  <c r="L1273" i="2"/>
  <c r="M1272" i="2"/>
  <c r="L1272" i="2"/>
  <c r="M1271" i="2"/>
  <c r="L1271" i="2"/>
  <c r="M1270" i="2"/>
  <c r="L1270" i="2"/>
  <c r="M1269" i="2"/>
  <c r="L1269" i="2"/>
  <c r="M1268" i="2"/>
  <c r="L1268" i="2"/>
  <c r="M1267" i="2"/>
  <c r="L1267" i="2"/>
  <c r="M1266" i="2"/>
  <c r="L1266" i="2"/>
  <c r="M1265" i="2"/>
  <c r="L1265" i="2"/>
  <c r="M1264" i="2"/>
  <c r="L1264" i="2"/>
  <c r="M1263" i="2"/>
  <c r="L1263" i="2"/>
  <c r="M1262" i="2"/>
  <c r="L1262" i="2"/>
  <c r="M1261" i="2"/>
  <c r="L1261" i="2"/>
  <c r="M1260" i="2"/>
  <c r="L1260" i="2"/>
  <c r="M1259" i="2"/>
  <c r="L1259" i="2"/>
  <c r="M1258" i="2"/>
  <c r="L1258" i="2"/>
  <c r="M1257" i="2"/>
  <c r="L1257" i="2"/>
  <c r="M1256" i="2"/>
  <c r="L1256" i="2"/>
  <c r="M1255" i="2"/>
  <c r="L1255" i="2"/>
  <c r="M1254" i="2"/>
  <c r="L1254" i="2"/>
  <c r="M1253" i="2"/>
  <c r="L1253" i="2"/>
  <c r="M1252" i="2"/>
  <c r="L1252" i="2"/>
  <c r="M1251" i="2"/>
  <c r="L1251" i="2"/>
  <c r="M1250" i="2"/>
  <c r="L1250" i="2"/>
  <c r="M1249" i="2"/>
  <c r="L1249" i="2"/>
  <c r="M1248" i="2"/>
  <c r="L1248" i="2"/>
  <c r="M1247" i="2"/>
  <c r="L1247" i="2"/>
  <c r="M1246" i="2"/>
  <c r="L1246" i="2"/>
  <c r="M1245" i="2"/>
  <c r="L1245" i="2"/>
  <c r="M1244" i="2"/>
  <c r="L1244" i="2"/>
  <c r="M1243" i="2"/>
  <c r="L1243" i="2"/>
  <c r="M1242" i="2"/>
  <c r="L1242" i="2"/>
  <c r="M1241" i="2"/>
  <c r="L1241" i="2"/>
  <c r="M1240" i="2"/>
  <c r="L1240" i="2"/>
  <c r="M1239" i="2"/>
  <c r="L1239" i="2"/>
  <c r="M1238" i="2"/>
  <c r="L1238" i="2"/>
  <c r="M1237" i="2"/>
  <c r="L1237" i="2"/>
  <c r="M1236" i="2"/>
  <c r="L1236" i="2"/>
  <c r="M1235" i="2"/>
  <c r="L1235" i="2"/>
  <c r="M1234" i="2"/>
  <c r="L1234" i="2"/>
  <c r="M1233" i="2"/>
  <c r="L1233" i="2"/>
  <c r="M1232" i="2"/>
  <c r="L1232" i="2"/>
  <c r="M1231" i="2"/>
  <c r="L1231" i="2"/>
  <c r="M1230" i="2"/>
  <c r="L1230" i="2"/>
  <c r="M1229" i="2"/>
  <c r="L1229" i="2"/>
  <c r="M1228" i="2"/>
  <c r="L1228" i="2"/>
  <c r="M1227" i="2"/>
  <c r="L1227" i="2"/>
  <c r="M1226" i="2"/>
  <c r="L1226" i="2"/>
  <c r="M1225" i="2"/>
  <c r="L1225" i="2"/>
  <c r="M1224" i="2"/>
  <c r="L1224" i="2"/>
  <c r="M1223" i="2"/>
  <c r="L1223" i="2"/>
  <c r="M1222" i="2"/>
  <c r="L1222" i="2"/>
  <c r="M1221" i="2"/>
  <c r="L1221" i="2"/>
  <c r="M1220" i="2"/>
  <c r="L1220" i="2"/>
  <c r="M1219" i="2"/>
  <c r="L1219" i="2"/>
  <c r="M1218" i="2"/>
  <c r="L1218" i="2"/>
  <c r="M1217" i="2"/>
  <c r="L1217" i="2"/>
  <c r="M1216" i="2"/>
  <c r="L1216" i="2"/>
  <c r="M1215" i="2"/>
  <c r="L1215" i="2"/>
  <c r="M1214" i="2"/>
  <c r="L1214" i="2"/>
  <c r="M1213" i="2"/>
  <c r="L1213" i="2"/>
  <c r="M1212" i="2"/>
  <c r="L1212" i="2"/>
  <c r="M1211" i="2"/>
  <c r="L1211" i="2"/>
  <c r="M1210" i="2"/>
  <c r="L1210" i="2"/>
  <c r="M1209" i="2"/>
  <c r="L1209" i="2"/>
  <c r="M1208" i="2"/>
  <c r="L1208" i="2"/>
  <c r="M1207" i="2"/>
  <c r="L1207" i="2"/>
  <c r="M1206" i="2"/>
  <c r="L1206" i="2"/>
  <c r="M1205" i="2"/>
  <c r="L1205" i="2"/>
  <c r="M1204" i="2"/>
  <c r="L1204" i="2"/>
  <c r="M1203" i="2"/>
  <c r="L1203" i="2"/>
  <c r="M1202" i="2"/>
  <c r="L1202" i="2"/>
  <c r="M1201" i="2"/>
  <c r="L1201" i="2"/>
  <c r="M1200" i="2"/>
  <c r="L1200" i="2"/>
  <c r="M1199" i="2"/>
  <c r="L1199" i="2"/>
  <c r="M1198" i="2"/>
  <c r="L1198" i="2"/>
  <c r="M1197" i="2"/>
  <c r="L1197" i="2"/>
  <c r="M1196" i="2"/>
  <c r="L1196" i="2"/>
  <c r="M1195" i="2"/>
  <c r="L1195" i="2"/>
  <c r="M1194" i="2"/>
  <c r="L1194" i="2"/>
  <c r="M1193" i="2"/>
  <c r="L1193" i="2"/>
  <c r="M1192" i="2"/>
  <c r="L1192" i="2"/>
  <c r="M1191" i="2"/>
  <c r="L1191" i="2"/>
  <c r="M1190" i="2"/>
  <c r="L1190" i="2"/>
  <c r="M1189" i="2"/>
  <c r="L1189" i="2"/>
  <c r="M1188" i="2"/>
  <c r="L1188" i="2"/>
  <c r="M1186" i="2"/>
  <c r="L1186" i="2"/>
  <c r="M1184" i="2"/>
  <c r="L1184" i="2"/>
  <c r="M1183" i="2"/>
  <c r="L1183" i="2"/>
  <c r="M1182" i="2"/>
  <c r="L1182" i="2"/>
  <c r="M1181" i="2"/>
  <c r="L1181" i="2"/>
  <c r="M1179" i="2"/>
  <c r="L1179" i="2"/>
  <c r="M1178" i="2"/>
  <c r="L1178" i="2"/>
  <c r="M1177" i="2"/>
  <c r="L1177" i="2"/>
  <c r="M1175" i="2"/>
  <c r="L1175" i="2"/>
  <c r="M1174" i="2"/>
  <c r="L1174" i="2"/>
  <c r="M1173" i="2"/>
  <c r="L1173" i="2"/>
  <c r="M1172" i="2"/>
  <c r="L1172" i="2"/>
  <c r="M1171" i="2"/>
  <c r="L1171" i="2"/>
  <c r="M1170" i="2"/>
  <c r="L1170" i="2"/>
  <c r="M1168" i="2"/>
  <c r="L1168" i="2"/>
  <c r="M1167" i="2"/>
  <c r="L1167" i="2"/>
  <c r="M1166" i="2"/>
  <c r="L1166" i="2"/>
  <c r="M1165" i="2"/>
  <c r="L1165" i="2"/>
  <c r="M1164" i="2"/>
  <c r="L1164" i="2"/>
  <c r="M1163" i="2"/>
  <c r="L1163" i="2"/>
  <c r="M1162" i="2"/>
  <c r="L1162" i="2"/>
  <c r="M1161" i="2"/>
  <c r="L1161" i="2"/>
  <c r="M1160" i="2"/>
  <c r="L1160" i="2"/>
  <c r="M1159" i="2"/>
  <c r="L1159" i="2"/>
  <c r="M1158" i="2"/>
  <c r="L1158" i="2"/>
  <c r="M1157" i="2"/>
  <c r="L1157" i="2"/>
  <c r="M1156" i="2"/>
  <c r="L1156" i="2"/>
  <c r="M1155" i="2"/>
  <c r="L1155" i="2"/>
  <c r="M1154" i="2"/>
  <c r="L1154" i="2"/>
  <c r="M1153" i="2"/>
  <c r="L1153" i="2"/>
  <c r="M1152" i="2"/>
  <c r="L1152" i="2"/>
  <c r="M1151" i="2"/>
  <c r="L1151" i="2"/>
  <c r="M1150" i="2"/>
  <c r="L1150" i="2"/>
  <c r="M1149" i="2"/>
  <c r="L1149" i="2"/>
  <c r="M1148" i="2"/>
  <c r="L1148" i="2"/>
  <c r="M1147" i="2"/>
  <c r="L1147" i="2"/>
  <c r="M1146" i="2"/>
  <c r="L1146" i="2"/>
  <c r="M1145" i="2"/>
  <c r="L1145" i="2"/>
  <c r="M1144" i="2"/>
  <c r="L1144" i="2"/>
  <c r="M1143" i="2"/>
  <c r="L1143" i="2"/>
  <c r="M1142" i="2"/>
  <c r="L1142" i="2"/>
  <c r="M1141" i="2"/>
  <c r="L1141" i="2"/>
  <c r="M1140" i="2"/>
  <c r="L1140" i="2"/>
  <c r="M1139" i="2"/>
  <c r="L1139" i="2"/>
  <c r="M1138" i="2"/>
  <c r="L1138" i="2"/>
  <c r="M1136" i="2"/>
  <c r="L1136" i="2"/>
  <c r="M1135" i="2"/>
  <c r="L1135" i="2"/>
  <c r="M1134" i="2"/>
  <c r="L1134" i="2"/>
  <c r="M1133" i="2"/>
  <c r="L1133" i="2"/>
  <c r="M1132" i="2"/>
  <c r="L1132" i="2"/>
  <c r="M1131" i="2"/>
  <c r="L1131" i="2"/>
  <c r="M1129" i="2"/>
  <c r="L1129" i="2"/>
  <c r="M1127" i="2"/>
  <c r="L1127" i="2"/>
  <c r="M1126" i="2"/>
  <c r="L1126" i="2"/>
  <c r="M1125" i="2"/>
  <c r="L1125" i="2"/>
  <c r="M1124" i="2"/>
  <c r="L1124" i="2"/>
  <c r="M1123" i="2"/>
  <c r="L1123" i="2"/>
  <c r="M1122" i="2"/>
  <c r="L1122" i="2"/>
  <c r="M1121" i="2"/>
  <c r="L1121" i="2"/>
  <c r="M1120" i="2"/>
  <c r="L1120" i="2"/>
  <c r="M1119" i="2"/>
  <c r="L1119" i="2"/>
  <c r="M1118" i="2"/>
  <c r="L1118" i="2"/>
  <c r="M1117" i="2"/>
  <c r="L1117" i="2"/>
  <c r="M1116" i="2"/>
  <c r="L1116" i="2"/>
  <c r="M1115" i="2"/>
  <c r="L1115" i="2"/>
  <c r="M1114" i="2"/>
  <c r="L1114" i="2"/>
  <c r="M1113" i="2"/>
  <c r="L1113" i="2"/>
  <c r="M1111" i="2"/>
  <c r="L1111" i="2"/>
  <c r="M1110" i="2"/>
  <c r="L1110" i="2"/>
  <c r="M1109" i="2"/>
  <c r="L1109" i="2"/>
  <c r="M1108" i="2"/>
  <c r="L1108" i="2"/>
  <c r="M1107" i="2"/>
  <c r="L1107" i="2"/>
  <c r="M1106" i="2"/>
  <c r="L1106" i="2"/>
  <c r="M1105" i="2"/>
  <c r="L1105" i="2"/>
  <c r="M1104" i="2"/>
  <c r="L1104" i="2"/>
  <c r="M1103" i="2"/>
  <c r="L1103" i="2"/>
  <c r="M1102" i="2"/>
  <c r="L1102" i="2"/>
  <c r="M1101" i="2"/>
  <c r="L1101" i="2"/>
  <c r="M1100" i="2"/>
  <c r="L1100" i="2"/>
  <c r="M1099" i="2"/>
  <c r="L1099" i="2"/>
  <c r="M1098" i="2"/>
  <c r="L1098" i="2"/>
  <c r="M1097" i="2"/>
  <c r="L1097" i="2"/>
  <c r="M1096" i="2"/>
  <c r="L1096" i="2"/>
  <c r="M1095" i="2"/>
  <c r="L1095" i="2"/>
  <c r="M1094" i="2"/>
  <c r="L1094" i="2"/>
  <c r="M1093" i="2"/>
  <c r="L1093" i="2"/>
  <c r="M1092" i="2"/>
  <c r="L1092" i="2"/>
  <c r="M1091" i="2"/>
  <c r="L1091" i="2"/>
  <c r="M1090" i="2"/>
  <c r="L1090" i="2"/>
  <c r="M1089" i="2"/>
  <c r="L1089" i="2"/>
  <c r="M1088" i="2"/>
  <c r="L1088" i="2"/>
  <c r="M1087" i="2"/>
  <c r="L1087" i="2"/>
  <c r="M1086" i="2"/>
  <c r="L1086" i="2"/>
  <c r="M1085" i="2"/>
  <c r="L1085" i="2"/>
  <c r="M1084" i="2"/>
  <c r="L1084" i="2"/>
  <c r="M1083" i="2"/>
  <c r="L1083" i="2"/>
  <c r="M1082" i="2"/>
  <c r="L1082" i="2"/>
  <c r="M1081" i="2"/>
  <c r="L1081" i="2"/>
  <c r="M1080" i="2"/>
  <c r="L1080" i="2"/>
  <c r="M1079" i="2"/>
  <c r="L1079" i="2"/>
  <c r="M1078" i="2"/>
  <c r="L1078" i="2"/>
  <c r="M1077" i="2"/>
  <c r="L1077" i="2"/>
  <c r="M1076" i="2"/>
  <c r="L1076" i="2"/>
  <c r="M1075" i="2"/>
  <c r="L1075" i="2"/>
  <c r="M1074" i="2"/>
  <c r="L1074" i="2"/>
  <c r="M1073" i="2"/>
  <c r="L1073" i="2"/>
  <c r="M1072" i="2"/>
  <c r="L1072" i="2"/>
  <c r="M1071" i="2"/>
  <c r="L1071" i="2"/>
  <c r="M1070" i="2"/>
  <c r="L1070" i="2"/>
  <c r="M1069" i="2"/>
  <c r="L1069" i="2"/>
  <c r="M1068" i="2"/>
  <c r="L1068" i="2"/>
  <c r="M1067" i="2"/>
  <c r="L1067" i="2"/>
  <c r="M1066" i="2"/>
  <c r="L1066" i="2"/>
  <c r="M1065" i="2"/>
  <c r="L1065" i="2"/>
  <c r="M1064" i="2"/>
  <c r="L1064" i="2"/>
  <c r="M1063" i="2"/>
  <c r="L1063" i="2"/>
  <c r="M1062" i="2"/>
  <c r="L1062" i="2"/>
  <c r="M1061" i="2"/>
  <c r="L1061" i="2"/>
  <c r="M1060" i="2"/>
  <c r="L1060" i="2"/>
  <c r="M1059" i="2"/>
  <c r="L1059" i="2"/>
  <c r="M1058" i="2"/>
  <c r="L1058" i="2"/>
  <c r="M1057" i="2"/>
  <c r="L1057" i="2"/>
  <c r="M1056" i="2"/>
  <c r="L1056" i="2"/>
  <c r="M1055" i="2"/>
  <c r="L1055" i="2"/>
  <c r="M1054" i="2"/>
  <c r="L1054" i="2"/>
  <c r="M1053" i="2"/>
  <c r="L1053" i="2"/>
  <c r="M1052" i="2"/>
  <c r="L1052" i="2"/>
  <c r="M1051" i="2"/>
  <c r="L1051" i="2"/>
  <c r="M1050" i="2"/>
  <c r="L1050" i="2"/>
  <c r="M1049" i="2"/>
  <c r="L1049" i="2"/>
  <c r="M1048" i="2"/>
  <c r="L1048" i="2"/>
  <c r="M1047" i="2"/>
  <c r="L1047" i="2"/>
  <c r="M1046" i="2"/>
  <c r="L1046" i="2"/>
  <c r="M1045" i="2"/>
  <c r="L1045" i="2"/>
  <c r="M1044" i="2"/>
  <c r="L1044" i="2"/>
  <c r="M1043" i="2"/>
  <c r="L1043" i="2"/>
  <c r="M1042" i="2"/>
  <c r="L1042" i="2"/>
  <c r="M1041" i="2"/>
  <c r="L1041" i="2"/>
  <c r="M1040" i="2"/>
  <c r="L1040" i="2"/>
  <c r="M1039" i="2"/>
  <c r="L1039" i="2"/>
  <c r="M1038" i="2"/>
  <c r="L1038" i="2"/>
  <c r="M1037" i="2"/>
  <c r="L1037" i="2"/>
  <c r="M1036" i="2"/>
  <c r="L1036" i="2"/>
  <c r="M1035" i="2"/>
  <c r="L1035" i="2"/>
  <c r="M1034" i="2"/>
  <c r="L1034" i="2"/>
  <c r="M1033" i="2"/>
  <c r="L1033" i="2"/>
  <c r="M1032" i="2"/>
  <c r="L1032" i="2"/>
  <c r="M1031" i="2"/>
  <c r="L1031" i="2"/>
  <c r="M1030" i="2"/>
  <c r="L1030" i="2"/>
  <c r="M1029" i="2"/>
  <c r="L1029" i="2"/>
  <c r="M1028" i="2"/>
  <c r="L1028" i="2"/>
  <c r="M1026" i="2"/>
  <c r="L1026" i="2"/>
  <c r="M1025" i="2"/>
  <c r="L1025" i="2"/>
  <c r="M1024" i="2"/>
  <c r="L1024" i="2"/>
  <c r="M1023" i="2"/>
  <c r="L1023" i="2"/>
  <c r="M1022" i="2"/>
  <c r="L1022" i="2"/>
  <c r="M1021" i="2"/>
  <c r="L1021" i="2"/>
  <c r="M1020" i="2"/>
  <c r="L1020" i="2"/>
  <c r="M1019" i="2"/>
  <c r="L1019" i="2"/>
  <c r="M1018" i="2"/>
  <c r="L1018" i="2"/>
  <c r="M1017" i="2"/>
  <c r="L1017" i="2"/>
  <c r="M1016" i="2"/>
  <c r="L1016" i="2"/>
  <c r="M1015" i="2"/>
  <c r="L1015" i="2"/>
  <c r="M1014" i="2"/>
  <c r="L1014" i="2"/>
  <c r="M1013" i="2"/>
  <c r="L1013" i="2"/>
  <c r="M1012" i="2"/>
  <c r="L1012" i="2"/>
  <c r="M1011" i="2"/>
  <c r="L1011" i="2"/>
  <c r="M1010" i="2"/>
  <c r="L1010" i="2"/>
  <c r="M1009" i="2"/>
  <c r="L1009" i="2"/>
  <c r="M1008" i="2"/>
  <c r="L1008" i="2"/>
  <c r="M1007" i="2"/>
  <c r="L1007" i="2"/>
  <c r="M1006" i="2"/>
  <c r="L1006" i="2"/>
  <c r="M1005" i="2"/>
  <c r="L1005" i="2"/>
  <c r="M1004" i="2"/>
  <c r="L1004" i="2"/>
  <c r="M1003" i="2"/>
  <c r="L1003" i="2"/>
  <c r="M1002" i="2"/>
  <c r="L1002" i="2"/>
  <c r="M1001" i="2"/>
  <c r="L1001" i="2"/>
  <c r="M1000" i="2"/>
  <c r="L1000" i="2"/>
  <c r="M999" i="2"/>
  <c r="L999" i="2"/>
  <c r="M998" i="2"/>
  <c r="L998" i="2"/>
  <c r="M997" i="2"/>
  <c r="L997" i="2"/>
  <c r="M996" i="2"/>
  <c r="L996" i="2"/>
  <c r="M995" i="2"/>
  <c r="L995" i="2"/>
  <c r="M994" i="2"/>
  <c r="L994" i="2"/>
  <c r="M993" i="2"/>
  <c r="L993" i="2"/>
  <c r="M992" i="2"/>
  <c r="L992" i="2"/>
  <c r="M990" i="2"/>
  <c r="L990" i="2"/>
  <c r="M989" i="2"/>
  <c r="L989" i="2"/>
  <c r="M988" i="2"/>
  <c r="L988" i="2"/>
  <c r="M987" i="2"/>
  <c r="L987" i="2"/>
  <c r="M986" i="2"/>
  <c r="L986" i="2"/>
  <c r="M985" i="2"/>
  <c r="L985" i="2"/>
  <c r="M983" i="2"/>
  <c r="L983" i="2"/>
  <c r="M980" i="2"/>
  <c r="L980" i="2"/>
  <c r="M978" i="2"/>
  <c r="L978" i="2"/>
  <c r="M977" i="2"/>
  <c r="L977" i="2"/>
  <c r="M976" i="2"/>
  <c r="L976" i="2"/>
  <c r="M975" i="2"/>
  <c r="L975" i="2"/>
  <c r="M974" i="2"/>
  <c r="L974" i="2"/>
  <c r="M973" i="2"/>
  <c r="L973" i="2"/>
  <c r="M972" i="2"/>
  <c r="L972" i="2"/>
  <c r="M971" i="2"/>
  <c r="L971" i="2"/>
  <c r="M970" i="2"/>
  <c r="L970" i="2"/>
  <c r="M969" i="2"/>
  <c r="L969" i="2"/>
  <c r="M964" i="2"/>
  <c r="L964" i="2"/>
  <c r="M962" i="2"/>
  <c r="L962" i="2"/>
  <c r="M961" i="2"/>
  <c r="L961" i="2"/>
  <c r="M960" i="2"/>
  <c r="L960" i="2"/>
  <c r="M959" i="2"/>
  <c r="L959" i="2"/>
  <c r="M958" i="2"/>
  <c r="L958" i="2"/>
  <c r="M957" i="2"/>
  <c r="L957" i="2"/>
  <c r="M956" i="2"/>
  <c r="L956" i="2"/>
  <c r="M955" i="2"/>
  <c r="L955" i="2"/>
  <c r="M954" i="2"/>
  <c r="L954" i="2"/>
  <c r="M953" i="2"/>
  <c r="L953" i="2"/>
  <c r="M952" i="2"/>
  <c r="L952" i="2"/>
  <c r="M951" i="2"/>
  <c r="L951" i="2"/>
  <c r="M950" i="2"/>
  <c r="L950" i="2"/>
  <c r="M949" i="2"/>
  <c r="L949" i="2"/>
  <c r="M948" i="2"/>
  <c r="L948" i="2"/>
  <c r="M947" i="2"/>
  <c r="L947" i="2"/>
  <c r="M946" i="2"/>
  <c r="L946" i="2"/>
  <c r="M945" i="2"/>
  <c r="L945" i="2"/>
  <c r="M944" i="2"/>
  <c r="L944" i="2"/>
  <c r="M943" i="2"/>
  <c r="L943" i="2"/>
  <c r="M942" i="2"/>
  <c r="L942" i="2"/>
  <c r="M941" i="2"/>
  <c r="L941" i="2"/>
  <c r="M940" i="2"/>
  <c r="L940" i="2"/>
  <c r="M939" i="2"/>
  <c r="L939" i="2"/>
  <c r="M938" i="2"/>
  <c r="L938" i="2"/>
  <c r="M937" i="2"/>
  <c r="L937" i="2"/>
  <c r="M936" i="2"/>
  <c r="L936" i="2"/>
  <c r="M935" i="2"/>
  <c r="L935" i="2"/>
  <c r="M934" i="2"/>
  <c r="L934" i="2"/>
  <c r="M933" i="2"/>
  <c r="L933" i="2"/>
  <c r="M932" i="2"/>
  <c r="L932" i="2"/>
  <c r="M931" i="2"/>
  <c r="L931" i="2"/>
  <c r="M930" i="2"/>
  <c r="L930" i="2"/>
  <c r="M929" i="2"/>
  <c r="L929" i="2"/>
  <c r="M928" i="2"/>
  <c r="L928" i="2"/>
  <c r="M927" i="2"/>
  <c r="L927" i="2"/>
  <c r="M926" i="2"/>
  <c r="L926" i="2"/>
  <c r="M925" i="2"/>
  <c r="L925" i="2"/>
  <c r="M924" i="2"/>
  <c r="L924" i="2"/>
  <c r="M923" i="2"/>
  <c r="L923" i="2"/>
  <c r="M922" i="2"/>
  <c r="L922" i="2"/>
  <c r="M921" i="2"/>
  <c r="L921" i="2"/>
  <c r="M920" i="2"/>
  <c r="L920" i="2"/>
  <c r="M919" i="2"/>
  <c r="L919" i="2"/>
  <c r="M918" i="2"/>
  <c r="L918" i="2"/>
  <c r="M917" i="2"/>
  <c r="L917" i="2"/>
  <c r="M916" i="2"/>
  <c r="L916" i="2"/>
  <c r="M915" i="2"/>
  <c r="L915" i="2"/>
  <c r="M914" i="2"/>
  <c r="L914" i="2"/>
  <c r="M913" i="2"/>
  <c r="L913" i="2"/>
  <c r="M912" i="2"/>
  <c r="L912" i="2"/>
  <c r="M911" i="2"/>
  <c r="L911" i="2"/>
  <c r="M910" i="2"/>
  <c r="L910" i="2"/>
  <c r="M909" i="2"/>
  <c r="L909" i="2"/>
  <c r="M907" i="2"/>
  <c r="L907" i="2"/>
  <c r="M906" i="2"/>
  <c r="L906" i="2"/>
  <c r="M905" i="2"/>
  <c r="L905" i="2"/>
  <c r="M904" i="2"/>
  <c r="L904" i="2"/>
  <c r="M903" i="2"/>
  <c r="L903" i="2"/>
  <c r="M902" i="2"/>
  <c r="L902" i="2"/>
  <c r="M901" i="2"/>
  <c r="L901" i="2"/>
  <c r="M900" i="2"/>
  <c r="L900" i="2"/>
  <c r="M899" i="2"/>
  <c r="L899" i="2"/>
  <c r="M898" i="2"/>
  <c r="L898" i="2"/>
  <c r="M897" i="2"/>
  <c r="L897" i="2"/>
  <c r="M896" i="2"/>
  <c r="L896" i="2"/>
  <c r="M895" i="2"/>
  <c r="L895" i="2"/>
  <c r="M894" i="2"/>
  <c r="L894" i="2"/>
  <c r="M893" i="2"/>
  <c r="L893" i="2"/>
  <c r="M892" i="2"/>
  <c r="L892" i="2"/>
  <c r="M891" i="2"/>
  <c r="L891" i="2"/>
  <c r="M890" i="2"/>
  <c r="L890" i="2"/>
  <c r="M889" i="2"/>
  <c r="L889" i="2"/>
  <c r="M888" i="2"/>
  <c r="L888" i="2"/>
  <c r="M887" i="2"/>
  <c r="L887" i="2"/>
  <c r="M886" i="2"/>
  <c r="L886" i="2"/>
  <c r="M885" i="2"/>
  <c r="L885" i="2"/>
  <c r="M884" i="2"/>
  <c r="L884" i="2"/>
  <c r="M883" i="2"/>
  <c r="L883" i="2"/>
  <c r="M882" i="2"/>
  <c r="L882" i="2"/>
  <c r="M881" i="2"/>
  <c r="L881" i="2"/>
  <c r="M880" i="2"/>
  <c r="L880" i="2"/>
  <c r="M879" i="2"/>
  <c r="L879" i="2"/>
  <c r="M878" i="2"/>
  <c r="L878" i="2"/>
  <c r="M877" i="2"/>
  <c r="L877" i="2"/>
  <c r="M876" i="2"/>
  <c r="L876" i="2"/>
  <c r="M875" i="2"/>
  <c r="L875" i="2"/>
  <c r="M874" i="2"/>
  <c r="L874" i="2"/>
  <c r="M873" i="2"/>
  <c r="L873" i="2"/>
  <c r="M872" i="2"/>
  <c r="L872" i="2"/>
  <c r="M871" i="2"/>
  <c r="L871" i="2"/>
  <c r="M870" i="2"/>
  <c r="L870" i="2"/>
  <c r="M869" i="2"/>
  <c r="L869" i="2"/>
  <c r="M868" i="2"/>
  <c r="L868" i="2"/>
  <c r="M867" i="2"/>
  <c r="L867" i="2"/>
  <c r="M866" i="2"/>
  <c r="L866" i="2"/>
  <c r="M865" i="2"/>
  <c r="L865" i="2"/>
  <c r="M864" i="2"/>
  <c r="L864" i="2"/>
  <c r="M863" i="2"/>
  <c r="L863" i="2"/>
  <c r="M862" i="2"/>
  <c r="L862" i="2"/>
  <c r="M861" i="2"/>
  <c r="L861" i="2"/>
  <c r="M860" i="2"/>
  <c r="L860" i="2"/>
  <c r="M859" i="2"/>
  <c r="L859" i="2"/>
  <c r="M858" i="2"/>
  <c r="L858" i="2"/>
  <c r="M857" i="2"/>
  <c r="L857" i="2"/>
  <c r="M856" i="2"/>
  <c r="L856" i="2"/>
  <c r="M855" i="2"/>
  <c r="L855" i="2"/>
  <c r="M854" i="2"/>
  <c r="L854" i="2"/>
  <c r="M853" i="2"/>
  <c r="L853" i="2"/>
  <c r="M852" i="2"/>
  <c r="L852" i="2"/>
  <c r="M851" i="2"/>
  <c r="L851" i="2"/>
  <c r="M850" i="2"/>
  <c r="L850" i="2"/>
  <c r="M849" i="2"/>
  <c r="L849" i="2"/>
  <c r="M848" i="2"/>
  <c r="L848" i="2"/>
  <c r="M847" i="2"/>
  <c r="L847" i="2"/>
  <c r="M846" i="2"/>
  <c r="L846" i="2"/>
  <c r="M845" i="2"/>
  <c r="L845" i="2"/>
  <c r="M844" i="2"/>
  <c r="L844" i="2"/>
  <c r="M843" i="2"/>
  <c r="L843" i="2"/>
  <c r="M842" i="2"/>
  <c r="L842" i="2"/>
  <c r="M841" i="2"/>
  <c r="L841" i="2"/>
  <c r="M840" i="2"/>
  <c r="L840" i="2"/>
  <c r="M839" i="2"/>
  <c r="L839" i="2"/>
  <c r="M838" i="2"/>
  <c r="L838" i="2"/>
  <c r="M837" i="2"/>
  <c r="L837" i="2"/>
  <c r="M836" i="2"/>
  <c r="L836" i="2"/>
  <c r="M835" i="2"/>
  <c r="L835" i="2"/>
  <c r="M834" i="2"/>
  <c r="L834" i="2"/>
  <c r="M833" i="2"/>
  <c r="L833" i="2"/>
  <c r="M832" i="2"/>
  <c r="L832" i="2"/>
  <c r="M831" i="2"/>
  <c r="L831" i="2"/>
  <c r="M830" i="2"/>
  <c r="L830" i="2"/>
  <c r="M829" i="2"/>
  <c r="L829" i="2"/>
  <c r="M828" i="2"/>
  <c r="L828" i="2"/>
  <c r="M827" i="2"/>
  <c r="L827" i="2"/>
  <c r="M826" i="2"/>
  <c r="L826" i="2"/>
  <c r="M825" i="2"/>
  <c r="L825" i="2"/>
  <c r="M824" i="2"/>
  <c r="L824" i="2"/>
  <c r="M823" i="2"/>
  <c r="L823" i="2"/>
  <c r="M822" i="2"/>
  <c r="L822" i="2"/>
  <c r="M821" i="2"/>
  <c r="L821" i="2"/>
  <c r="M820" i="2"/>
  <c r="L820" i="2"/>
  <c r="M819" i="2"/>
  <c r="L819" i="2"/>
  <c r="M817" i="2"/>
  <c r="L817" i="2"/>
  <c r="M816" i="2"/>
  <c r="L816" i="2"/>
  <c r="M815" i="2"/>
  <c r="L815" i="2"/>
  <c r="M814" i="2"/>
  <c r="L814" i="2"/>
  <c r="M813" i="2"/>
  <c r="L813" i="2"/>
  <c r="M811" i="2"/>
  <c r="L811" i="2"/>
  <c r="M810" i="2"/>
  <c r="L810" i="2"/>
  <c r="M809" i="2"/>
  <c r="L809" i="2"/>
  <c r="M808" i="2"/>
  <c r="L808" i="2"/>
  <c r="M803" i="2"/>
  <c r="L803" i="2"/>
  <c r="M802" i="2"/>
  <c r="L802" i="2"/>
  <c r="M801" i="2"/>
  <c r="L801" i="2"/>
  <c r="M800" i="2"/>
  <c r="L800" i="2"/>
  <c r="M799" i="2"/>
  <c r="L799" i="2"/>
  <c r="M798" i="2"/>
  <c r="L798" i="2"/>
  <c r="M797" i="2"/>
  <c r="L797" i="2"/>
  <c r="M796" i="2"/>
  <c r="L796" i="2"/>
  <c r="M795" i="2"/>
  <c r="L795" i="2"/>
  <c r="M794" i="2"/>
  <c r="L794" i="2"/>
  <c r="M793" i="2"/>
  <c r="L793" i="2"/>
  <c r="M792" i="2"/>
  <c r="L792" i="2"/>
  <c r="M791" i="2"/>
  <c r="L791" i="2"/>
  <c r="M790" i="2"/>
  <c r="L790" i="2"/>
  <c r="M789" i="2"/>
  <c r="L789" i="2"/>
  <c r="M788" i="2"/>
  <c r="L788" i="2"/>
  <c r="M787" i="2"/>
  <c r="L787" i="2"/>
  <c r="M786" i="2"/>
  <c r="L786" i="2"/>
  <c r="M785" i="2"/>
  <c r="L785" i="2"/>
  <c r="M782" i="2"/>
  <c r="L782" i="2"/>
  <c r="M781" i="2"/>
  <c r="L781" i="2"/>
  <c r="M780" i="2"/>
  <c r="L780" i="2"/>
  <c r="M779" i="2"/>
  <c r="L779" i="2"/>
  <c r="M778" i="2"/>
  <c r="L778" i="2"/>
  <c r="M777" i="2"/>
  <c r="L777" i="2"/>
  <c r="M776" i="2"/>
  <c r="L776" i="2"/>
  <c r="M775" i="2"/>
  <c r="L775" i="2"/>
  <c r="M774" i="2"/>
  <c r="L774" i="2"/>
  <c r="M773" i="2"/>
  <c r="L773" i="2"/>
  <c r="M772" i="2"/>
  <c r="L772" i="2"/>
  <c r="M769" i="2"/>
  <c r="L769" i="2"/>
  <c r="M768" i="2"/>
  <c r="L768" i="2"/>
  <c r="M767" i="2"/>
  <c r="L767" i="2"/>
  <c r="M766" i="2"/>
  <c r="L766" i="2"/>
  <c r="M765" i="2"/>
  <c r="L765" i="2"/>
  <c r="M764" i="2"/>
  <c r="L764" i="2"/>
  <c r="M763" i="2"/>
  <c r="L763" i="2"/>
  <c r="M762" i="2"/>
  <c r="L762" i="2"/>
  <c r="M761" i="2"/>
  <c r="L761" i="2"/>
  <c r="M760" i="2"/>
  <c r="L760" i="2"/>
  <c r="M759" i="2"/>
  <c r="L759" i="2"/>
  <c r="M758" i="2"/>
  <c r="L758" i="2"/>
  <c r="M757" i="2"/>
  <c r="L757" i="2"/>
  <c r="M756" i="2"/>
  <c r="L756" i="2"/>
  <c r="M755" i="2"/>
  <c r="L755" i="2"/>
  <c r="M754" i="2"/>
  <c r="L754" i="2"/>
  <c r="M753" i="2"/>
  <c r="L753" i="2"/>
  <c r="M752" i="2"/>
  <c r="L752" i="2"/>
  <c r="M751" i="2"/>
  <c r="L751" i="2"/>
  <c r="M750" i="2"/>
  <c r="L750" i="2"/>
  <c r="M749" i="2"/>
  <c r="L749" i="2"/>
  <c r="M748" i="2"/>
  <c r="L748" i="2"/>
  <c r="M747" i="2"/>
  <c r="L747" i="2"/>
  <c r="M746" i="2"/>
  <c r="L746" i="2"/>
  <c r="M745" i="2"/>
  <c r="L745" i="2"/>
  <c r="M744" i="2"/>
  <c r="L744" i="2"/>
  <c r="M743" i="2"/>
  <c r="L743" i="2"/>
  <c r="M742" i="2"/>
  <c r="L742" i="2"/>
  <c r="M741" i="2"/>
  <c r="L741" i="2"/>
  <c r="M740" i="2"/>
  <c r="L740" i="2"/>
  <c r="M739" i="2"/>
  <c r="L739" i="2"/>
  <c r="M738" i="2"/>
  <c r="L738" i="2"/>
  <c r="M737" i="2"/>
  <c r="L737" i="2"/>
  <c r="M736" i="2"/>
  <c r="L736" i="2"/>
  <c r="M735" i="2"/>
  <c r="L735" i="2"/>
  <c r="M734" i="2"/>
  <c r="L734" i="2"/>
  <c r="M733" i="2"/>
  <c r="L733" i="2"/>
  <c r="M732" i="2"/>
  <c r="L732" i="2"/>
  <c r="M731" i="2"/>
  <c r="L731" i="2"/>
  <c r="M730" i="2"/>
  <c r="L730" i="2"/>
  <c r="M729" i="2"/>
  <c r="L729" i="2"/>
  <c r="M728" i="2"/>
  <c r="L728" i="2"/>
  <c r="M727" i="2"/>
  <c r="L727" i="2"/>
  <c r="M726" i="2"/>
  <c r="L726" i="2"/>
  <c r="M725" i="2"/>
  <c r="L725" i="2"/>
  <c r="M724" i="2"/>
  <c r="L724" i="2"/>
  <c r="M723" i="2"/>
  <c r="L723" i="2"/>
  <c r="M722" i="2"/>
  <c r="L722" i="2"/>
  <c r="M721" i="2"/>
  <c r="L721" i="2"/>
  <c r="M720" i="2"/>
  <c r="L720" i="2"/>
  <c r="M719" i="2"/>
  <c r="L719" i="2"/>
  <c r="M718" i="2"/>
  <c r="L718" i="2"/>
  <c r="M717" i="2"/>
  <c r="L717" i="2"/>
  <c r="M716" i="2"/>
  <c r="L716" i="2"/>
  <c r="M715" i="2"/>
  <c r="L715" i="2"/>
  <c r="M714" i="2"/>
  <c r="L714" i="2"/>
  <c r="M713" i="2"/>
  <c r="L713" i="2"/>
  <c r="M712" i="2"/>
  <c r="L712" i="2"/>
  <c r="M711" i="2"/>
  <c r="L711" i="2"/>
  <c r="M710" i="2"/>
  <c r="L710" i="2"/>
  <c r="M709" i="2"/>
  <c r="L709" i="2"/>
  <c r="M708" i="2"/>
  <c r="L708" i="2"/>
  <c r="M707" i="2"/>
  <c r="L707" i="2"/>
  <c r="M706" i="2"/>
  <c r="L706" i="2"/>
  <c r="M705" i="2"/>
  <c r="L705" i="2"/>
  <c r="M704" i="2"/>
  <c r="L704" i="2"/>
  <c r="M703" i="2"/>
  <c r="L703" i="2"/>
  <c r="M702" i="2"/>
  <c r="L702" i="2"/>
  <c r="M701" i="2"/>
  <c r="L701" i="2"/>
  <c r="M700" i="2"/>
  <c r="L700" i="2"/>
  <c r="M699" i="2"/>
  <c r="L699" i="2"/>
  <c r="M698" i="2"/>
  <c r="L698" i="2"/>
  <c r="M697" i="2"/>
  <c r="L697" i="2"/>
  <c r="M696" i="2"/>
  <c r="L696" i="2"/>
  <c r="M695" i="2"/>
  <c r="L695" i="2"/>
  <c r="M692" i="2"/>
  <c r="L692" i="2"/>
  <c r="M691" i="2"/>
  <c r="L691" i="2"/>
  <c r="M690" i="2"/>
  <c r="L690" i="2"/>
  <c r="M689" i="2"/>
  <c r="L689" i="2"/>
  <c r="M688" i="2"/>
  <c r="L688" i="2"/>
  <c r="M687" i="2"/>
  <c r="L687" i="2"/>
  <c r="M686" i="2"/>
  <c r="L686" i="2"/>
  <c r="M685" i="2"/>
  <c r="L685" i="2"/>
  <c r="M684" i="2"/>
  <c r="L684" i="2"/>
  <c r="M683" i="2"/>
  <c r="L683" i="2"/>
  <c r="M682" i="2"/>
  <c r="L682" i="2"/>
  <c r="M681" i="2"/>
  <c r="L681" i="2"/>
  <c r="M680" i="2"/>
  <c r="L680" i="2"/>
  <c r="M679" i="2"/>
  <c r="L679" i="2"/>
  <c r="M678" i="2"/>
  <c r="L678" i="2"/>
  <c r="M677" i="2"/>
  <c r="L677" i="2"/>
  <c r="M676" i="2"/>
  <c r="L676" i="2"/>
  <c r="M675" i="2"/>
  <c r="L675" i="2"/>
  <c r="M674" i="2"/>
  <c r="L674" i="2"/>
  <c r="M673" i="2"/>
  <c r="L673" i="2"/>
  <c r="M672" i="2"/>
  <c r="L672" i="2"/>
  <c r="M671" i="2"/>
  <c r="L671" i="2"/>
  <c r="M670" i="2"/>
  <c r="L670" i="2"/>
  <c r="M669" i="2"/>
  <c r="L669" i="2"/>
  <c r="M668" i="2"/>
  <c r="L668" i="2"/>
  <c r="M667" i="2"/>
  <c r="L667" i="2"/>
  <c r="M666" i="2"/>
  <c r="L666" i="2"/>
  <c r="M665" i="2"/>
  <c r="L665" i="2"/>
  <c r="M664" i="2"/>
  <c r="L664" i="2"/>
  <c r="M663" i="2"/>
  <c r="L663" i="2"/>
  <c r="M662" i="2"/>
  <c r="L662" i="2"/>
  <c r="M661" i="2"/>
  <c r="L661" i="2"/>
  <c r="M660" i="2"/>
  <c r="L660" i="2"/>
  <c r="M659" i="2"/>
  <c r="L659" i="2"/>
  <c r="M658" i="2"/>
  <c r="L658" i="2"/>
  <c r="M657" i="2"/>
  <c r="L657" i="2"/>
  <c r="M656" i="2"/>
  <c r="L656" i="2"/>
  <c r="M655" i="2"/>
  <c r="L655" i="2"/>
  <c r="M654" i="2"/>
  <c r="L654" i="2"/>
  <c r="M653" i="2"/>
  <c r="L653" i="2"/>
  <c r="M652" i="2"/>
  <c r="L652" i="2"/>
  <c r="M651" i="2"/>
  <c r="L651" i="2"/>
  <c r="M650" i="2"/>
  <c r="L650" i="2"/>
  <c r="M649" i="2"/>
  <c r="L649" i="2"/>
  <c r="M648" i="2"/>
  <c r="L648" i="2"/>
  <c r="M647" i="2"/>
  <c r="L647" i="2"/>
  <c r="M646" i="2"/>
  <c r="L646" i="2"/>
  <c r="M645" i="2"/>
  <c r="L645" i="2"/>
  <c r="M644" i="2"/>
  <c r="L644" i="2"/>
  <c r="M643" i="2"/>
  <c r="L643" i="2"/>
  <c r="M642" i="2"/>
  <c r="L642" i="2"/>
  <c r="M641" i="2"/>
  <c r="L641" i="2"/>
  <c r="M640" i="2"/>
  <c r="L640" i="2"/>
  <c r="M639" i="2"/>
  <c r="L639" i="2"/>
  <c r="M638" i="2"/>
  <c r="L638" i="2"/>
  <c r="M637" i="2"/>
  <c r="L637" i="2"/>
  <c r="M636" i="2"/>
  <c r="L636" i="2"/>
  <c r="M635" i="2"/>
  <c r="L635" i="2"/>
  <c r="M634" i="2"/>
  <c r="L634" i="2"/>
  <c r="M633" i="2"/>
  <c r="L633" i="2"/>
  <c r="M632" i="2"/>
  <c r="L632" i="2"/>
  <c r="M631" i="2"/>
  <c r="L631" i="2"/>
  <c r="M630" i="2"/>
  <c r="L630" i="2"/>
  <c r="M629" i="2"/>
  <c r="L629" i="2"/>
  <c r="M628" i="2"/>
  <c r="L628" i="2"/>
  <c r="M626" i="2"/>
  <c r="L626" i="2"/>
  <c r="M625" i="2"/>
  <c r="L625" i="2"/>
  <c r="M624" i="2"/>
  <c r="L624" i="2"/>
  <c r="M623" i="2"/>
  <c r="L623" i="2"/>
  <c r="M622" i="2"/>
  <c r="L622" i="2"/>
  <c r="M621" i="2"/>
  <c r="L621" i="2"/>
  <c r="M620" i="2"/>
  <c r="L620" i="2"/>
  <c r="M619" i="2"/>
  <c r="L619" i="2"/>
  <c r="M618" i="2"/>
  <c r="L618" i="2"/>
  <c r="M617" i="2"/>
  <c r="L617" i="2"/>
  <c r="M616" i="2"/>
  <c r="L616" i="2"/>
  <c r="M615" i="2"/>
  <c r="L615" i="2"/>
  <c r="M614" i="2"/>
  <c r="L614" i="2"/>
  <c r="M613" i="2"/>
  <c r="L613" i="2"/>
  <c r="M612" i="2"/>
  <c r="L612" i="2"/>
  <c r="M611" i="2"/>
  <c r="L611" i="2"/>
  <c r="M610" i="2"/>
  <c r="L610" i="2"/>
  <c r="M609" i="2"/>
  <c r="L609" i="2"/>
  <c r="M608" i="2"/>
  <c r="L608" i="2"/>
  <c r="M607" i="2"/>
  <c r="L607" i="2"/>
  <c r="M606" i="2"/>
  <c r="L606" i="2"/>
  <c r="M605" i="2"/>
  <c r="L605" i="2"/>
  <c r="M603" i="2"/>
  <c r="L603" i="2"/>
  <c r="M602" i="2"/>
  <c r="L602" i="2"/>
  <c r="M601" i="2"/>
  <c r="L601" i="2"/>
  <c r="M600" i="2"/>
  <c r="L600" i="2"/>
  <c r="M599" i="2"/>
  <c r="L599" i="2"/>
  <c r="M598" i="2"/>
  <c r="L598" i="2"/>
  <c r="M597" i="2"/>
  <c r="L597" i="2"/>
  <c r="M596" i="2"/>
  <c r="L596" i="2"/>
  <c r="M595" i="2"/>
  <c r="L595" i="2"/>
  <c r="M594" i="2"/>
  <c r="L594" i="2"/>
  <c r="M593" i="2"/>
  <c r="L593" i="2"/>
  <c r="M592" i="2"/>
  <c r="L592" i="2"/>
  <c r="M591" i="2"/>
  <c r="L591" i="2"/>
  <c r="M590" i="2"/>
  <c r="L590" i="2"/>
  <c r="M589" i="2"/>
  <c r="L589" i="2"/>
  <c r="M586" i="2"/>
  <c r="L586" i="2"/>
  <c r="M585" i="2"/>
  <c r="L585" i="2"/>
  <c r="M584" i="2"/>
  <c r="L584" i="2"/>
  <c r="M583" i="2"/>
  <c r="L583" i="2"/>
  <c r="M580" i="2"/>
  <c r="L580" i="2"/>
  <c r="M579" i="2"/>
  <c r="L579" i="2"/>
  <c r="M578" i="2"/>
  <c r="L578" i="2"/>
  <c r="M577" i="2"/>
  <c r="L577" i="2"/>
  <c r="M576" i="2"/>
  <c r="L576" i="2"/>
  <c r="M575" i="2"/>
  <c r="L575" i="2"/>
  <c r="M574" i="2"/>
  <c r="L574" i="2"/>
  <c r="M573" i="2"/>
  <c r="L573" i="2"/>
  <c r="M570" i="2"/>
  <c r="L570" i="2"/>
  <c r="M569" i="2"/>
  <c r="L569" i="2"/>
  <c r="M568" i="2"/>
  <c r="L568" i="2"/>
  <c r="M567" i="2"/>
  <c r="L567" i="2"/>
  <c r="M566" i="2"/>
  <c r="L566" i="2"/>
  <c r="M565" i="2"/>
  <c r="L565" i="2"/>
  <c r="M564" i="2"/>
  <c r="L564" i="2"/>
  <c r="M563" i="2"/>
  <c r="L563" i="2"/>
  <c r="M562" i="2"/>
  <c r="L562" i="2"/>
  <c r="M561" i="2"/>
  <c r="L561" i="2"/>
  <c r="M560" i="2"/>
  <c r="L560" i="2"/>
  <c r="M559" i="2"/>
  <c r="L559" i="2"/>
  <c r="M558" i="2"/>
  <c r="L558" i="2"/>
  <c r="M557" i="2"/>
  <c r="L557" i="2"/>
  <c r="M556" i="2"/>
  <c r="L556" i="2"/>
  <c r="M555" i="2"/>
  <c r="L555" i="2"/>
  <c r="M554" i="2"/>
  <c r="L554" i="2"/>
  <c r="M553" i="2"/>
  <c r="L553" i="2"/>
  <c r="M552" i="2"/>
  <c r="L552" i="2"/>
  <c r="M551" i="2"/>
  <c r="L551" i="2"/>
  <c r="M550" i="2"/>
  <c r="L550" i="2"/>
  <c r="M549" i="2"/>
  <c r="L549" i="2"/>
  <c r="M548" i="2"/>
  <c r="L548" i="2"/>
  <c r="M547" i="2"/>
  <c r="L547" i="2"/>
  <c r="M546" i="2"/>
  <c r="L546" i="2"/>
  <c r="M544" i="2"/>
  <c r="L544" i="2"/>
  <c r="M543" i="2"/>
  <c r="L543" i="2"/>
  <c r="M542" i="2"/>
  <c r="L542" i="2"/>
  <c r="M541" i="2"/>
  <c r="L541" i="2"/>
  <c r="M540" i="2"/>
  <c r="L540" i="2"/>
  <c r="M539" i="2"/>
  <c r="L539" i="2"/>
  <c r="M538" i="2"/>
  <c r="L538" i="2"/>
  <c r="M536" i="2"/>
  <c r="L536" i="2"/>
  <c r="M535" i="2"/>
  <c r="L535" i="2"/>
  <c r="M534" i="2"/>
  <c r="L534" i="2"/>
  <c r="M533" i="2"/>
  <c r="L533" i="2"/>
  <c r="M532" i="2"/>
  <c r="L532" i="2"/>
  <c r="M531" i="2"/>
  <c r="L531" i="2"/>
  <c r="M530" i="2"/>
  <c r="L530" i="2"/>
  <c r="M528" i="2"/>
  <c r="L528" i="2"/>
  <c r="M527" i="2"/>
  <c r="L527" i="2"/>
  <c r="M526" i="2"/>
  <c r="L526" i="2"/>
  <c r="M525" i="2"/>
  <c r="L525" i="2"/>
  <c r="M524" i="2"/>
  <c r="L524" i="2"/>
  <c r="M523" i="2"/>
  <c r="L523" i="2"/>
  <c r="M522" i="2"/>
  <c r="L522" i="2"/>
  <c r="M521" i="2"/>
  <c r="L521" i="2"/>
  <c r="M520" i="2"/>
  <c r="L520" i="2"/>
  <c r="M519" i="2"/>
  <c r="L519" i="2"/>
  <c r="M518" i="2"/>
  <c r="L518" i="2"/>
  <c r="M517" i="2"/>
  <c r="L517" i="2"/>
  <c r="M516" i="2"/>
  <c r="L516" i="2"/>
  <c r="M515" i="2"/>
  <c r="L515" i="2"/>
  <c r="M514" i="2"/>
  <c r="L514" i="2"/>
  <c r="M513" i="2"/>
  <c r="L513" i="2"/>
  <c r="M512" i="2"/>
  <c r="L512" i="2"/>
  <c r="M511" i="2"/>
  <c r="L511" i="2"/>
  <c r="M510" i="2"/>
  <c r="L510" i="2"/>
  <c r="M509" i="2"/>
  <c r="L509" i="2"/>
  <c r="M508" i="2"/>
  <c r="L508" i="2"/>
  <c r="M507" i="2"/>
  <c r="L507" i="2"/>
  <c r="M506" i="2"/>
  <c r="L506" i="2"/>
  <c r="M505" i="2"/>
  <c r="L505" i="2"/>
  <c r="M504" i="2"/>
  <c r="L504" i="2"/>
  <c r="M503" i="2"/>
  <c r="L503" i="2"/>
  <c r="M502" i="2"/>
  <c r="L502" i="2"/>
  <c r="M501" i="2"/>
  <c r="L501" i="2"/>
  <c r="M500" i="2"/>
  <c r="L500" i="2"/>
  <c r="M499" i="2"/>
  <c r="L499" i="2"/>
  <c r="M498" i="2"/>
  <c r="L498" i="2"/>
  <c r="M497" i="2"/>
  <c r="L497" i="2"/>
  <c r="M496" i="2"/>
  <c r="L496" i="2"/>
  <c r="M495" i="2"/>
  <c r="L495" i="2"/>
  <c r="M494" i="2"/>
  <c r="L494" i="2"/>
  <c r="M493" i="2"/>
  <c r="L493" i="2"/>
  <c r="M492" i="2"/>
  <c r="L492" i="2"/>
  <c r="M491" i="2"/>
  <c r="L491" i="2"/>
  <c r="M490" i="2"/>
  <c r="L490" i="2"/>
  <c r="M489" i="2"/>
  <c r="L489" i="2"/>
  <c r="M488" i="2"/>
  <c r="L488" i="2"/>
  <c r="M487" i="2"/>
  <c r="L487" i="2"/>
  <c r="M486" i="2"/>
  <c r="L486" i="2"/>
  <c r="M485" i="2"/>
  <c r="L485" i="2"/>
  <c r="M484" i="2"/>
  <c r="L484" i="2"/>
  <c r="M483" i="2"/>
  <c r="L483" i="2"/>
  <c r="M482" i="2"/>
  <c r="L482" i="2"/>
  <c r="M481" i="2"/>
  <c r="L481" i="2"/>
  <c r="M480" i="2"/>
  <c r="L480" i="2"/>
  <c r="M479" i="2"/>
  <c r="L479" i="2"/>
  <c r="M478" i="2"/>
  <c r="L478" i="2"/>
  <c r="M477" i="2"/>
  <c r="L477" i="2"/>
  <c r="M476" i="2"/>
  <c r="L476" i="2"/>
  <c r="M475" i="2"/>
  <c r="L475" i="2"/>
  <c r="M474" i="2"/>
  <c r="L474" i="2"/>
  <c r="M473" i="2"/>
  <c r="L473" i="2"/>
  <c r="M472" i="2"/>
  <c r="L472" i="2"/>
  <c r="M471" i="2"/>
  <c r="L471" i="2"/>
  <c r="M470" i="2"/>
  <c r="L470" i="2"/>
  <c r="M469" i="2"/>
  <c r="L469" i="2"/>
  <c r="M468" i="2"/>
  <c r="L468" i="2"/>
  <c r="M467" i="2"/>
  <c r="L467" i="2"/>
  <c r="M466" i="2"/>
  <c r="L466" i="2"/>
  <c r="M465" i="2"/>
  <c r="L465" i="2"/>
  <c r="M464" i="2"/>
  <c r="L464" i="2"/>
  <c r="M463" i="2"/>
  <c r="L463" i="2"/>
  <c r="M462" i="2"/>
  <c r="L462" i="2"/>
  <c r="M461" i="2"/>
  <c r="L461" i="2"/>
  <c r="M460" i="2"/>
  <c r="L460" i="2"/>
  <c r="M459" i="2"/>
  <c r="L459" i="2"/>
  <c r="M458" i="2"/>
  <c r="L458" i="2"/>
  <c r="M457" i="2"/>
  <c r="L457" i="2"/>
  <c r="M456" i="2"/>
  <c r="L456" i="2"/>
  <c r="M455" i="2"/>
  <c r="L455" i="2"/>
  <c r="M454" i="2"/>
  <c r="L454" i="2"/>
  <c r="M453" i="2"/>
  <c r="L453" i="2"/>
  <c r="M452" i="2"/>
  <c r="L452" i="2"/>
  <c r="M451" i="2"/>
  <c r="L451" i="2"/>
  <c r="M450" i="2"/>
  <c r="L450" i="2"/>
  <c r="M449" i="2"/>
  <c r="L449" i="2"/>
  <c r="M448" i="2"/>
  <c r="L448" i="2"/>
  <c r="M447" i="2"/>
  <c r="L447" i="2"/>
  <c r="M446" i="2"/>
  <c r="L446" i="2"/>
  <c r="M445" i="2"/>
  <c r="L445" i="2"/>
  <c r="M444" i="2"/>
  <c r="L444" i="2"/>
  <c r="M443" i="2"/>
  <c r="L443" i="2"/>
  <c r="M442" i="2"/>
  <c r="L442" i="2"/>
  <c r="M441" i="2"/>
  <c r="L441" i="2"/>
  <c r="M440" i="2"/>
  <c r="L440" i="2"/>
  <c r="M439" i="2"/>
  <c r="L439" i="2"/>
  <c r="M438" i="2"/>
  <c r="L438" i="2"/>
  <c r="M437" i="2"/>
  <c r="L437" i="2"/>
  <c r="M436" i="2"/>
  <c r="L436" i="2"/>
  <c r="M435" i="2"/>
  <c r="L435" i="2"/>
  <c r="M434" i="2"/>
  <c r="L434" i="2"/>
  <c r="M427" i="2"/>
  <c r="L427" i="2"/>
  <c r="M426" i="2"/>
  <c r="L426" i="2"/>
  <c r="M425" i="2"/>
  <c r="L425" i="2"/>
  <c r="M424" i="2"/>
  <c r="L424" i="2"/>
  <c r="M423" i="2"/>
  <c r="L423" i="2"/>
  <c r="M422" i="2"/>
  <c r="L422" i="2"/>
  <c r="M421" i="2"/>
  <c r="L421" i="2"/>
  <c r="M420" i="2"/>
  <c r="L420" i="2"/>
  <c r="M419" i="2"/>
  <c r="L419" i="2"/>
  <c r="M418" i="2"/>
  <c r="L418" i="2"/>
  <c r="M417" i="2"/>
  <c r="L417" i="2"/>
  <c r="M416" i="2"/>
  <c r="L416" i="2"/>
  <c r="M415" i="2"/>
  <c r="L415" i="2"/>
  <c r="M414" i="2"/>
  <c r="L414" i="2"/>
  <c r="M413" i="2"/>
  <c r="L413" i="2"/>
  <c r="M412" i="2"/>
  <c r="L412" i="2"/>
  <c r="M411" i="2"/>
  <c r="L411" i="2"/>
  <c r="M410" i="2"/>
  <c r="L410" i="2"/>
  <c r="M409" i="2"/>
  <c r="L409" i="2"/>
  <c r="M408" i="2"/>
  <c r="L408" i="2"/>
  <c r="M407" i="2"/>
  <c r="L407" i="2"/>
  <c r="M406" i="2"/>
  <c r="L406" i="2"/>
  <c r="M405" i="2"/>
  <c r="L405" i="2"/>
  <c r="M404" i="2"/>
  <c r="L404" i="2"/>
  <c r="M403" i="2"/>
  <c r="L403" i="2"/>
  <c r="M402" i="2"/>
  <c r="L402" i="2"/>
  <c r="M401" i="2"/>
  <c r="L401" i="2"/>
  <c r="M400" i="2"/>
  <c r="L400" i="2"/>
  <c r="M399" i="2"/>
  <c r="L399" i="2"/>
  <c r="M398" i="2"/>
  <c r="L398" i="2"/>
  <c r="M397" i="2"/>
  <c r="L397" i="2"/>
  <c r="M396" i="2"/>
  <c r="L396" i="2"/>
  <c r="M395" i="2"/>
  <c r="L395" i="2"/>
  <c r="M394" i="2"/>
  <c r="L394" i="2"/>
  <c r="M393" i="2"/>
  <c r="L393" i="2"/>
  <c r="M392" i="2"/>
  <c r="L392" i="2"/>
  <c r="M391" i="2"/>
  <c r="L391" i="2"/>
  <c r="M390" i="2"/>
  <c r="L390" i="2"/>
  <c r="M389" i="2"/>
  <c r="L389" i="2"/>
  <c r="M388" i="2"/>
  <c r="L388" i="2"/>
  <c r="M387" i="2"/>
  <c r="L387" i="2"/>
  <c r="M386" i="2"/>
  <c r="L386" i="2"/>
  <c r="M385" i="2"/>
  <c r="L385" i="2"/>
  <c r="M384" i="2"/>
  <c r="L384" i="2"/>
  <c r="M383" i="2"/>
  <c r="L383" i="2"/>
  <c r="M382" i="2"/>
  <c r="L382" i="2"/>
  <c r="M381" i="2"/>
  <c r="L381" i="2"/>
  <c r="M380" i="2"/>
  <c r="L380" i="2"/>
  <c r="M379" i="2"/>
  <c r="L379" i="2"/>
  <c r="M378" i="2"/>
  <c r="L378" i="2"/>
  <c r="M377" i="2"/>
  <c r="L377" i="2"/>
  <c r="M376" i="2"/>
  <c r="L376" i="2"/>
  <c r="M375" i="2"/>
  <c r="L375" i="2"/>
  <c r="M374" i="2"/>
  <c r="L374" i="2"/>
  <c r="M373" i="2"/>
  <c r="L373" i="2"/>
  <c r="M372" i="2"/>
  <c r="L372" i="2"/>
  <c r="M371" i="2"/>
  <c r="L371" i="2"/>
  <c r="M370" i="2"/>
  <c r="L370" i="2"/>
  <c r="M369" i="2"/>
  <c r="L369" i="2"/>
  <c r="M368" i="2"/>
  <c r="L368" i="2"/>
  <c r="M367" i="2"/>
  <c r="L367" i="2"/>
  <c r="M366" i="2"/>
  <c r="L366" i="2"/>
  <c r="M365" i="2"/>
  <c r="L365" i="2"/>
  <c r="M364" i="2"/>
  <c r="L364" i="2"/>
  <c r="M363" i="2"/>
  <c r="L363" i="2"/>
  <c r="M362" i="2"/>
  <c r="L362" i="2"/>
  <c r="M361" i="2"/>
  <c r="L361" i="2"/>
  <c r="M360" i="2"/>
  <c r="L360" i="2"/>
  <c r="M359" i="2"/>
  <c r="L359" i="2"/>
  <c r="M358" i="2"/>
  <c r="L358" i="2"/>
  <c r="M357" i="2"/>
  <c r="L357" i="2"/>
  <c r="M356" i="2"/>
  <c r="L356" i="2"/>
  <c r="M355" i="2"/>
  <c r="L355" i="2"/>
  <c r="M354" i="2"/>
  <c r="L354" i="2"/>
  <c r="M353" i="2"/>
  <c r="L353" i="2"/>
  <c r="M352" i="2"/>
  <c r="L352" i="2"/>
  <c r="M351" i="2"/>
  <c r="L351" i="2"/>
  <c r="M350" i="2"/>
  <c r="L350" i="2"/>
  <c r="M349" i="2"/>
  <c r="L349" i="2"/>
  <c r="M348" i="2"/>
  <c r="L348" i="2"/>
  <c r="M347" i="2"/>
  <c r="L347" i="2"/>
  <c r="M346" i="2"/>
  <c r="L346" i="2"/>
  <c r="M345" i="2"/>
  <c r="L345" i="2"/>
  <c r="M344" i="2"/>
  <c r="L344" i="2"/>
  <c r="M343" i="2"/>
  <c r="L343" i="2"/>
  <c r="M342" i="2"/>
  <c r="L342" i="2"/>
  <c r="M341" i="2"/>
  <c r="L341" i="2"/>
  <c r="M340" i="2"/>
  <c r="L340" i="2"/>
  <c r="M339" i="2"/>
  <c r="L339" i="2"/>
  <c r="M338" i="2"/>
  <c r="L338" i="2"/>
  <c r="M337" i="2"/>
  <c r="L337" i="2"/>
  <c r="M336" i="2"/>
  <c r="L336" i="2"/>
  <c r="M335" i="2"/>
  <c r="L335" i="2"/>
  <c r="M334" i="2"/>
  <c r="L334" i="2"/>
  <c r="M333" i="2"/>
  <c r="L333" i="2"/>
  <c r="M332" i="2"/>
  <c r="L332" i="2"/>
  <c r="M331" i="2"/>
  <c r="L331" i="2"/>
  <c r="M330" i="2"/>
  <c r="L330" i="2"/>
  <c r="M329" i="2"/>
  <c r="L329" i="2"/>
  <c r="M328" i="2"/>
  <c r="L328" i="2"/>
  <c r="M327" i="2"/>
  <c r="L327" i="2"/>
  <c r="M326" i="2"/>
  <c r="L326" i="2"/>
  <c r="M325" i="2"/>
  <c r="L325" i="2"/>
  <c r="M324" i="2"/>
  <c r="L324" i="2"/>
  <c r="M323" i="2"/>
  <c r="L323" i="2"/>
  <c r="M322" i="2"/>
  <c r="L322" i="2"/>
  <c r="M321" i="2"/>
  <c r="L321" i="2"/>
  <c r="M320" i="2"/>
  <c r="L320" i="2"/>
  <c r="M319" i="2"/>
  <c r="L319" i="2"/>
  <c r="M318" i="2"/>
  <c r="L318" i="2"/>
  <c r="M317" i="2"/>
  <c r="L317" i="2"/>
  <c r="M316" i="2"/>
  <c r="L316" i="2"/>
  <c r="M315" i="2"/>
  <c r="L315" i="2"/>
  <c r="M314" i="2"/>
  <c r="L314" i="2"/>
  <c r="M313" i="2"/>
  <c r="L313" i="2"/>
  <c r="M312" i="2"/>
  <c r="L312" i="2"/>
  <c r="M311" i="2"/>
  <c r="L311" i="2"/>
  <c r="M310" i="2"/>
  <c r="L310" i="2"/>
  <c r="M309" i="2"/>
  <c r="L309" i="2"/>
  <c r="M308" i="2"/>
  <c r="L308" i="2"/>
  <c r="M307" i="2"/>
  <c r="L307" i="2"/>
  <c r="M306" i="2"/>
  <c r="L306" i="2"/>
  <c r="M305" i="2"/>
  <c r="L305" i="2"/>
  <c r="M304" i="2"/>
  <c r="L304" i="2"/>
  <c r="M303" i="2"/>
  <c r="L303" i="2"/>
  <c r="M302" i="2"/>
  <c r="L302" i="2"/>
  <c r="M301" i="2"/>
  <c r="L301" i="2"/>
  <c r="M300" i="2"/>
  <c r="L300" i="2"/>
  <c r="M299" i="2"/>
  <c r="L299" i="2"/>
  <c r="M298" i="2"/>
  <c r="L298" i="2"/>
  <c r="M297" i="2"/>
  <c r="L297" i="2"/>
  <c r="M296" i="2"/>
  <c r="L296" i="2"/>
  <c r="M295" i="2"/>
  <c r="L295" i="2"/>
  <c r="M294" i="2"/>
  <c r="L294" i="2"/>
  <c r="M293" i="2"/>
  <c r="L293" i="2"/>
  <c r="M291" i="2"/>
  <c r="L291" i="2"/>
  <c r="M290" i="2"/>
  <c r="L290" i="2"/>
  <c r="M289" i="2"/>
  <c r="L289" i="2"/>
  <c r="M288" i="2"/>
  <c r="L288" i="2"/>
  <c r="M287" i="2"/>
  <c r="L287" i="2"/>
  <c r="M286" i="2"/>
  <c r="L286" i="2"/>
  <c r="M285" i="2"/>
  <c r="L285" i="2"/>
  <c r="M284" i="2"/>
  <c r="L284" i="2"/>
  <c r="M283" i="2"/>
  <c r="L283" i="2"/>
  <c r="M282" i="2"/>
  <c r="L282" i="2"/>
  <c r="M281" i="2"/>
  <c r="L281" i="2"/>
  <c r="M280" i="2"/>
  <c r="L280" i="2"/>
  <c r="M279" i="2"/>
  <c r="L279" i="2"/>
  <c r="M278" i="2"/>
  <c r="L278" i="2"/>
  <c r="M277" i="2"/>
  <c r="L277" i="2"/>
  <c r="M276" i="2"/>
  <c r="L276" i="2"/>
  <c r="M275" i="2"/>
  <c r="L275" i="2"/>
  <c r="M274" i="2"/>
  <c r="L274" i="2"/>
  <c r="M273" i="2"/>
  <c r="L273" i="2"/>
  <c r="M272" i="2"/>
  <c r="L272" i="2"/>
  <c r="M271" i="2"/>
  <c r="L271" i="2"/>
  <c r="M270" i="2"/>
  <c r="L270" i="2"/>
  <c r="M269" i="2"/>
  <c r="L269" i="2"/>
  <c r="M268" i="2"/>
  <c r="L268" i="2"/>
  <c r="M267" i="2"/>
  <c r="L267" i="2"/>
  <c r="M266" i="2"/>
  <c r="L266" i="2"/>
  <c r="M265" i="2"/>
  <c r="L265" i="2"/>
  <c r="M264" i="2"/>
  <c r="L264" i="2"/>
  <c r="M263" i="2"/>
  <c r="L263" i="2"/>
  <c r="M262" i="2"/>
  <c r="L262" i="2"/>
  <c r="M261" i="2"/>
  <c r="L261" i="2"/>
  <c r="M260" i="2"/>
  <c r="L260" i="2"/>
  <c r="M259" i="2"/>
  <c r="L259" i="2"/>
  <c r="M258" i="2"/>
  <c r="L258" i="2"/>
  <c r="M256" i="2"/>
  <c r="L256" i="2"/>
  <c r="M255" i="2"/>
  <c r="L255" i="2"/>
  <c r="M254" i="2"/>
  <c r="L254" i="2"/>
  <c r="M253" i="2"/>
  <c r="L253" i="2"/>
  <c r="M252" i="2"/>
  <c r="L252" i="2"/>
  <c r="M251" i="2"/>
  <c r="L251" i="2"/>
  <c r="M250" i="2"/>
  <c r="L250" i="2"/>
  <c r="M249" i="2"/>
  <c r="L249" i="2"/>
  <c r="M248" i="2"/>
  <c r="L248" i="2"/>
  <c r="M247" i="2"/>
  <c r="L247" i="2"/>
  <c r="M246" i="2"/>
  <c r="L246" i="2"/>
  <c r="M245" i="2"/>
  <c r="L245" i="2"/>
  <c r="M244" i="2"/>
  <c r="L244" i="2"/>
  <c r="M243" i="2"/>
  <c r="L243" i="2"/>
  <c r="M242" i="2"/>
  <c r="L242" i="2"/>
  <c r="M241" i="2"/>
  <c r="L241" i="2"/>
  <c r="M240" i="2"/>
  <c r="L240" i="2"/>
  <c r="M239" i="2"/>
  <c r="L239" i="2"/>
  <c r="M238" i="2"/>
  <c r="L238" i="2"/>
  <c r="M237" i="2"/>
  <c r="L237" i="2"/>
  <c r="M236" i="2"/>
  <c r="L236" i="2"/>
  <c r="M235" i="2"/>
  <c r="L235" i="2"/>
  <c r="M234" i="2"/>
  <c r="L234" i="2"/>
  <c r="M233" i="2"/>
  <c r="L233" i="2"/>
  <c r="M232" i="2"/>
  <c r="L232" i="2"/>
  <c r="M231" i="2"/>
  <c r="L231" i="2"/>
  <c r="M230" i="2"/>
  <c r="L230" i="2"/>
  <c r="M227" i="2"/>
  <c r="L227" i="2"/>
  <c r="M226" i="2"/>
  <c r="L226" i="2"/>
  <c r="M225" i="2"/>
  <c r="L225" i="2"/>
  <c r="M224" i="2"/>
  <c r="L224" i="2"/>
  <c r="M223" i="2"/>
  <c r="L223" i="2"/>
  <c r="M222" i="2"/>
  <c r="L222" i="2"/>
  <c r="M221" i="2"/>
  <c r="L221" i="2"/>
  <c r="M220" i="2"/>
  <c r="L220" i="2"/>
  <c r="M219" i="2"/>
  <c r="L219" i="2"/>
  <c r="M218" i="2"/>
  <c r="L218" i="2"/>
  <c r="M217" i="2"/>
  <c r="L217" i="2"/>
  <c r="M216" i="2"/>
  <c r="L216" i="2"/>
  <c r="M215" i="2"/>
  <c r="L215" i="2"/>
  <c r="M214" i="2"/>
  <c r="L214" i="2"/>
  <c r="M213" i="2"/>
  <c r="L213" i="2"/>
  <c r="M212" i="2"/>
  <c r="L212" i="2"/>
  <c r="M211" i="2"/>
  <c r="L211" i="2"/>
  <c r="M210" i="2"/>
  <c r="L210" i="2"/>
  <c r="M209" i="2"/>
  <c r="L209" i="2"/>
  <c r="M208" i="2"/>
  <c r="L208" i="2"/>
  <c r="M207" i="2"/>
  <c r="L207" i="2"/>
  <c r="M206" i="2"/>
  <c r="L206" i="2"/>
  <c r="M201" i="2"/>
  <c r="L201" i="2"/>
  <c r="M200" i="2"/>
  <c r="L200" i="2"/>
  <c r="M199" i="2"/>
  <c r="L199" i="2"/>
  <c r="M198" i="2"/>
  <c r="L198" i="2"/>
  <c r="M197" i="2"/>
  <c r="L197" i="2"/>
  <c r="M196" i="2"/>
  <c r="L196" i="2"/>
  <c r="M195" i="2"/>
  <c r="L195" i="2"/>
  <c r="M194" i="2"/>
  <c r="L194" i="2"/>
  <c r="M193" i="2"/>
  <c r="L193" i="2"/>
  <c r="M192" i="2"/>
  <c r="L192" i="2"/>
  <c r="M191" i="2"/>
  <c r="L191" i="2"/>
  <c r="M190" i="2"/>
  <c r="L190" i="2"/>
  <c r="M189" i="2"/>
  <c r="L189" i="2"/>
  <c r="M188" i="2"/>
  <c r="L188" i="2"/>
  <c r="M187" i="2"/>
  <c r="L187" i="2"/>
  <c r="M186" i="2"/>
  <c r="L186" i="2"/>
  <c r="M185" i="2"/>
  <c r="L185" i="2"/>
  <c r="M184" i="2"/>
  <c r="L184" i="2"/>
  <c r="M183" i="2"/>
  <c r="L183" i="2"/>
  <c r="M182" i="2"/>
  <c r="L182" i="2"/>
  <c r="M181" i="2"/>
  <c r="L181" i="2"/>
  <c r="M180" i="2"/>
  <c r="L180" i="2"/>
  <c r="M179" i="2"/>
  <c r="L179" i="2"/>
  <c r="M178" i="2"/>
  <c r="L178" i="2"/>
  <c r="M177" i="2"/>
  <c r="L177" i="2"/>
  <c r="M176" i="2"/>
  <c r="L176" i="2"/>
  <c r="M175" i="2"/>
  <c r="L175" i="2"/>
  <c r="M174" i="2"/>
  <c r="L174" i="2"/>
  <c r="M173" i="2"/>
  <c r="L173" i="2"/>
  <c r="M172" i="2"/>
  <c r="L172" i="2"/>
  <c r="M171" i="2"/>
  <c r="L171" i="2"/>
  <c r="M170" i="2"/>
  <c r="L170" i="2"/>
  <c r="M169" i="2"/>
  <c r="L169" i="2"/>
  <c r="M168" i="2"/>
  <c r="L168" i="2"/>
  <c r="M167" i="2"/>
  <c r="L167" i="2"/>
  <c r="M166" i="2"/>
  <c r="L166" i="2"/>
  <c r="M165" i="2"/>
  <c r="L165" i="2"/>
  <c r="M164" i="2"/>
  <c r="L164" i="2"/>
  <c r="M163" i="2"/>
  <c r="L163" i="2"/>
  <c r="M162" i="2"/>
  <c r="L162" i="2"/>
  <c r="M161" i="2"/>
  <c r="L161" i="2"/>
  <c r="M160" i="2"/>
  <c r="L160" i="2"/>
  <c r="M159" i="2"/>
  <c r="L159" i="2"/>
  <c r="M158" i="2"/>
  <c r="L158" i="2"/>
  <c r="M157" i="2"/>
  <c r="L157" i="2"/>
  <c r="M156" i="2"/>
  <c r="L156" i="2"/>
  <c r="M155" i="2"/>
  <c r="L155" i="2"/>
  <c r="M154" i="2"/>
  <c r="L154" i="2"/>
  <c r="M153" i="2"/>
  <c r="L153" i="2"/>
  <c r="M152" i="2"/>
  <c r="L152" i="2"/>
  <c r="M151" i="2"/>
  <c r="L151" i="2"/>
  <c r="M150" i="2"/>
  <c r="L150" i="2"/>
  <c r="M149" i="2"/>
  <c r="L149" i="2"/>
  <c r="M148" i="2"/>
  <c r="L148" i="2"/>
  <c r="M147" i="2"/>
  <c r="L147" i="2"/>
  <c r="M146" i="2"/>
  <c r="L146" i="2"/>
  <c r="M145" i="2"/>
  <c r="L145" i="2"/>
  <c r="M144" i="2"/>
  <c r="L144" i="2"/>
  <c r="M143" i="2"/>
  <c r="L143" i="2"/>
  <c r="M142" i="2"/>
  <c r="L142" i="2"/>
  <c r="M141" i="2"/>
  <c r="L141" i="2"/>
  <c r="M140" i="2"/>
  <c r="L140" i="2"/>
  <c r="M139" i="2"/>
  <c r="L139" i="2"/>
  <c r="M138" i="2"/>
  <c r="L138" i="2"/>
  <c r="M137" i="2"/>
  <c r="L137" i="2"/>
  <c r="M136" i="2"/>
  <c r="L136" i="2"/>
  <c r="M135" i="2"/>
  <c r="L135" i="2"/>
  <c r="M134" i="2"/>
  <c r="L134" i="2"/>
  <c r="M133" i="2"/>
  <c r="L133" i="2"/>
  <c r="M132" i="2"/>
  <c r="L132" i="2"/>
  <c r="M131" i="2"/>
  <c r="L131" i="2"/>
  <c r="M130" i="2"/>
  <c r="L130" i="2"/>
  <c r="M129" i="2"/>
  <c r="L129" i="2"/>
  <c r="M128" i="2"/>
  <c r="L128" i="2"/>
  <c r="M127" i="2"/>
  <c r="L127" i="2"/>
  <c r="M126" i="2"/>
  <c r="L126" i="2"/>
  <c r="M125" i="2"/>
  <c r="L125" i="2"/>
  <c r="M124" i="2"/>
  <c r="L124" i="2"/>
  <c r="M123" i="2"/>
  <c r="L123" i="2"/>
  <c r="M122" i="2"/>
  <c r="L122" i="2"/>
  <c r="M121" i="2"/>
  <c r="L121" i="2"/>
  <c r="M120" i="2"/>
  <c r="L120" i="2"/>
  <c r="M119" i="2"/>
  <c r="L119" i="2"/>
  <c r="M118" i="2"/>
  <c r="L118" i="2"/>
  <c r="M117" i="2"/>
  <c r="L117" i="2"/>
  <c r="M116" i="2"/>
  <c r="L116" i="2"/>
  <c r="M115" i="2"/>
  <c r="L115" i="2"/>
  <c r="M114" i="2"/>
  <c r="L114" i="2"/>
  <c r="M113" i="2"/>
  <c r="L113" i="2"/>
  <c r="M112" i="2"/>
  <c r="L112" i="2"/>
  <c r="M110" i="2"/>
  <c r="L110" i="2"/>
  <c r="M109" i="2"/>
  <c r="L109" i="2"/>
  <c r="M108" i="2"/>
  <c r="L108" i="2"/>
  <c r="M107" i="2"/>
  <c r="L107" i="2"/>
  <c r="M106" i="2"/>
  <c r="L106" i="2"/>
  <c r="M105" i="2"/>
  <c r="L105" i="2"/>
  <c r="M104" i="2"/>
  <c r="L104" i="2"/>
  <c r="M103" i="2"/>
  <c r="L103" i="2"/>
  <c r="M102" i="2"/>
  <c r="L102" i="2"/>
  <c r="M101" i="2"/>
  <c r="L101" i="2"/>
  <c r="M100" i="2"/>
  <c r="L100" i="2"/>
  <c r="M99" i="2"/>
  <c r="L99" i="2"/>
  <c r="M98" i="2"/>
  <c r="L98" i="2"/>
  <c r="M97" i="2"/>
  <c r="L97" i="2"/>
  <c r="M94" i="2"/>
  <c r="L94" i="2"/>
  <c r="M93" i="2"/>
  <c r="L93" i="2"/>
  <c r="M88" i="2"/>
  <c r="L88" i="2"/>
  <c r="M87" i="2"/>
  <c r="L87" i="2"/>
  <c r="M86" i="2"/>
  <c r="L86" i="2"/>
  <c r="M85" i="2"/>
  <c r="L85" i="2"/>
  <c r="M84" i="2"/>
  <c r="L84" i="2"/>
  <c r="M83" i="2"/>
  <c r="L83" i="2"/>
  <c r="M82" i="2"/>
  <c r="L82" i="2"/>
  <c r="M81" i="2"/>
  <c r="L81" i="2"/>
  <c r="M80" i="2"/>
  <c r="L80" i="2"/>
  <c r="M79" i="2"/>
  <c r="L79" i="2"/>
  <c r="M78" i="2"/>
  <c r="L78" i="2"/>
  <c r="M77" i="2"/>
  <c r="L77" i="2"/>
  <c r="M76" i="2"/>
  <c r="L76" i="2"/>
  <c r="M75" i="2"/>
  <c r="L75" i="2"/>
  <c r="M74" i="2"/>
  <c r="L74" i="2"/>
  <c r="M73" i="2"/>
  <c r="L73" i="2"/>
  <c r="M72" i="2"/>
  <c r="L72" i="2"/>
  <c r="M71" i="2"/>
  <c r="L71" i="2"/>
  <c r="M70" i="2"/>
  <c r="L70" i="2"/>
  <c r="M69" i="2"/>
  <c r="L69" i="2"/>
  <c r="M68" i="2"/>
  <c r="L68" i="2"/>
  <c r="M67" i="2"/>
  <c r="L67" i="2"/>
  <c r="M66" i="2"/>
  <c r="L66" i="2"/>
  <c r="M65" i="2"/>
  <c r="L65" i="2"/>
  <c r="M64" i="2"/>
  <c r="L64" i="2"/>
  <c r="M63" i="2"/>
  <c r="L63" i="2"/>
  <c r="M62" i="2"/>
  <c r="L62" i="2"/>
  <c r="M61" i="2"/>
  <c r="L61" i="2"/>
  <c r="M60" i="2"/>
  <c r="L60" i="2"/>
  <c r="M59" i="2"/>
  <c r="L59" i="2"/>
  <c r="M58" i="2"/>
  <c r="L58" i="2"/>
  <c r="M57" i="2"/>
  <c r="L57" i="2"/>
  <c r="M56" i="2"/>
  <c r="L56" i="2"/>
  <c r="M55" i="2"/>
  <c r="L55" i="2"/>
  <c r="M54" i="2"/>
  <c r="L54" i="2"/>
  <c r="M53" i="2"/>
  <c r="L53" i="2"/>
  <c r="M52" i="2"/>
  <c r="L52" i="2"/>
  <c r="M51" i="2"/>
  <c r="L51" i="2"/>
  <c r="M50" i="2"/>
  <c r="L50" i="2"/>
  <c r="M49" i="2"/>
  <c r="L49" i="2"/>
  <c r="M48" i="2"/>
  <c r="L48" i="2"/>
  <c r="M47" i="2"/>
  <c r="L47" i="2"/>
  <c r="M46" i="2"/>
  <c r="L46" i="2"/>
  <c r="M45" i="2"/>
  <c r="L45" i="2"/>
  <c r="M44" i="2"/>
  <c r="L44" i="2"/>
  <c r="M43" i="2"/>
  <c r="L43" i="2"/>
  <c r="M42" i="2"/>
  <c r="L42" i="2"/>
  <c r="M41" i="2"/>
  <c r="L41" i="2"/>
  <c r="M40" i="2"/>
  <c r="L40" i="2"/>
  <c r="M39" i="2"/>
  <c r="L39" i="2"/>
  <c r="M38" i="2"/>
  <c r="L38" i="2"/>
  <c r="M37" i="2"/>
  <c r="L37" i="2"/>
  <c r="M36" i="2"/>
  <c r="L36" i="2"/>
  <c r="M35" i="2"/>
  <c r="L35" i="2"/>
  <c r="M34" i="2"/>
  <c r="L34" i="2"/>
  <c r="M33" i="2"/>
  <c r="L33" i="2"/>
  <c r="M32" i="2"/>
  <c r="L32" i="2"/>
  <c r="M31" i="2"/>
  <c r="L31" i="2"/>
  <c r="M30" i="2"/>
  <c r="L30" i="2"/>
  <c r="M29" i="2"/>
  <c r="L29" i="2"/>
  <c r="M28" i="2"/>
  <c r="L28" i="2"/>
  <c r="M27" i="2"/>
  <c r="L27" i="2"/>
  <c r="M26" i="2"/>
  <c r="L26" i="2"/>
  <c r="M25" i="2"/>
  <c r="L25" i="2"/>
  <c r="M24" i="2"/>
  <c r="L24" i="2"/>
  <c r="M23" i="2"/>
  <c r="L23" i="2"/>
  <c r="M22" i="2"/>
  <c r="L22" i="2"/>
  <c r="M21" i="2"/>
  <c r="L21" i="2"/>
  <c r="M20" i="2"/>
  <c r="L20" i="2"/>
  <c r="M19" i="2"/>
  <c r="L19" i="2"/>
  <c r="M18" i="2"/>
  <c r="L18" i="2"/>
  <c r="M17" i="2"/>
  <c r="L17" i="2"/>
  <c r="M16" i="2"/>
  <c r="L16" i="2"/>
  <c r="M15" i="2"/>
  <c r="L15" i="2"/>
  <c r="M14" i="2"/>
  <c r="L14" i="2"/>
  <c r="M13" i="2"/>
  <c r="L13" i="2"/>
  <c r="M12" i="2"/>
  <c r="L12" i="2"/>
  <c r="M11" i="2"/>
  <c r="L11" i="2"/>
  <c r="M10" i="2"/>
  <c r="L10" i="2"/>
  <c r="M9" i="2"/>
  <c r="L9" i="2"/>
  <c r="M8" i="2"/>
  <c r="L8" i="2"/>
  <c r="M7" i="2"/>
  <c r="L7" i="2"/>
  <c r="M6" i="2"/>
  <c r="L6" i="2"/>
  <c r="M5" i="2"/>
  <c r="L5" i="2"/>
  <c r="M4" i="2"/>
  <c r="L4" i="2"/>
  <c r="M3" i="2"/>
  <c r="L3" i="2"/>
  <c r="M2" i="2"/>
  <c r="L2" i="2"/>
  <c r="M2389" i="1"/>
  <c r="L2389" i="1"/>
  <c r="M2388" i="1"/>
  <c r="L2388" i="1"/>
  <c r="M2387" i="1"/>
  <c r="L2387" i="1"/>
  <c r="M2386" i="1"/>
  <c r="L2386" i="1"/>
  <c r="M2385" i="1"/>
  <c r="L2385" i="1"/>
  <c r="M2384" i="1"/>
  <c r="L2384" i="1"/>
  <c r="M2383" i="1"/>
  <c r="L2383" i="1"/>
  <c r="M2382" i="1"/>
  <c r="L2382" i="1"/>
  <c r="M2381" i="1"/>
  <c r="L2381" i="1"/>
  <c r="M2380" i="1"/>
  <c r="L2380" i="1"/>
  <c r="M2379" i="1"/>
  <c r="L2379" i="1"/>
  <c r="M2378" i="1"/>
  <c r="L2378" i="1"/>
  <c r="M2377" i="1"/>
  <c r="L2377" i="1"/>
  <c r="M2376" i="1"/>
  <c r="L2376" i="1"/>
  <c r="M2375" i="1"/>
  <c r="L2375" i="1"/>
  <c r="M2374" i="1"/>
  <c r="L2374" i="1"/>
  <c r="M2373" i="1"/>
  <c r="L2373" i="1"/>
  <c r="M2372" i="1"/>
  <c r="L2372" i="1"/>
  <c r="M2371" i="1"/>
  <c r="L2371" i="1"/>
  <c r="M2370" i="1"/>
  <c r="L2370" i="1"/>
  <c r="M2369" i="1"/>
  <c r="L2369" i="1"/>
  <c r="M2368" i="1"/>
  <c r="L2368" i="1"/>
  <c r="M2367" i="1"/>
  <c r="L2367" i="1"/>
  <c r="M2366" i="1"/>
  <c r="L2366" i="1"/>
  <c r="M2365" i="1"/>
  <c r="L2365" i="1"/>
  <c r="M2364" i="1"/>
  <c r="L2364" i="1"/>
  <c r="M2363" i="1"/>
  <c r="L2363" i="1"/>
  <c r="M2362" i="1"/>
  <c r="L2362" i="1"/>
  <c r="M2361" i="1"/>
  <c r="L2361" i="1"/>
  <c r="M2360" i="1"/>
  <c r="L2360" i="1"/>
  <c r="M2359" i="1"/>
  <c r="L2359" i="1"/>
  <c r="M2358" i="1"/>
  <c r="L2358" i="1"/>
  <c r="M2357" i="1"/>
  <c r="L2357" i="1"/>
  <c r="M2356" i="1"/>
  <c r="L2356" i="1"/>
  <c r="M2355" i="1"/>
  <c r="L2355" i="1"/>
  <c r="M2354" i="1"/>
  <c r="L2354" i="1"/>
  <c r="M2353" i="1"/>
  <c r="L2353" i="1"/>
  <c r="M2352" i="1"/>
  <c r="L2352" i="1"/>
  <c r="M2351" i="1"/>
  <c r="L2351" i="1"/>
  <c r="M2350" i="1"/>
  <c r="L2350" i="1"/>
  <c r="M2349" i="1"/>
  <c r="L2349" i="1"/>
  <c r="M2348" i="1"/>
  <c r="L2348" i="1"/>
  <c r="M2347" i="1"/>
  <c r="L2347" i="1"/>
  <c r="M2346" i="1"/>
  <c r="L2346" i="1"/>
  <c r="M2345" i="1"/>
  <c r="L2345" i="1"/>
  <c r="M2344" i="1"/>
  <c r="L2344" i="1"/>
  <c r="M2343" i="1"/>
  <c r="L2343" i="1"/>
  <c r="M2342" i="1"/>
  <c r="L2342" i="1"/>
  <c r="M2341" i="1"/>
  <c r="L2341" i="1"/>
  <c r="M2340" i="1"/>
  <c r="L2340" i="1"/>
  <c r="M2339" i="1"/>
  <c r="L2339" i="1"/>
  <c r="M2338" i="1"/>
  <c r="L2338" i="1"/>
  <c r="M2337" i="1"/>
  <c r="L2337" i="1"/>
  <c r="M2336" i="1"/>
  <c r="L2336" i="1"/>
  <c r="M2335" i="1"/>
  <c r="L2335" i="1"/>
  <c r="M2334" i="1"/>
  <c r="L2334" i="1"/>
  <c r="M2333" i="1"/>
  <c r="L2333" i="1"/>
  <c r="M2332" i="1"/>
  <c r="L2332" i="1"/>
  <c r="M2331" i="1"/>
  <c r="L2331" i="1"/>
  <c r="M2330" i="1"/>
  <c r="L2330" i="1"/>
  <c r="M2329" i="1"/>
  <c r="L2329" i="1"/>
  <c r="M2328" i="1"/>
  <c r="L2328" i="1"/>
  <c r="M2327" i="1"/>
  <c r="L2327" i="1"/>
  <c r="M2326" i="1"/>
  <c r="L2326" i="1"/>
  <c r="M2325" i="1"/>
  <c r="L2325" i="1"/>
  <c r="M2324" i="1"/>
  <c r="L2324" i="1"/>
  <c r="M2323" i="1"/>
  <c r="L2323" i="1"/>
  <c r="M2322" i="1"/>
  <c r="L2322" i="1"/>
  <c r="M2321" i="1"/>
  <c r="L2321" i="1"/>
  <c r="M2320" i="1"/>
  <c r="L2320" i="1"/>
  <c r="M2319" i="1"/>
  <c r="L2319" i="1"/>
  <c r="M2318" i="1"/>
  <c r="L2318" i="1"/>
  <c r="M2317" i="1"/>
  <c r="L2317" i="1"/>
  <c r="M2316" i="1"/>
  <c r="L2316" i="1"/>
  <c r="M2315" i="1"/>
  <c r="L2315" i="1"/>
  <c r="M2314" i="1"/>
  <c r="L2314" i="1"/>
  <c r="M2313" i="1"/>
  <c r="L2313" i="1"/>
  <c r="M2312" i="1"/>
  <c r="L2312" i="1"/>
  <c r="M2311" i="1"/>
  <c r="L2311" i="1"/>
  <c r="M2310" i="1"/>
  <c r="L2310" i="1"/>
  <c r="M2309" i="1"/>
  <c r="L2309" i="1"/>
  <c r="M2308" i="1"/>
  <c r="L2308" i="1"/>
  <c r="M2307" i="1"/>
  <c r="L2307" i="1"/>
  <c r="M2306" i="1"/>
  <c r="L2306" i="1"/>
  <c r="M2305" i="1"/>
  <c r="L2305" i="1"/>
  <c r="M2304" i="1"/>
  <c r="L2304" i="1"/>
  <c r="M2303" i="1"/>
  <c r="L2303" i="1"/>
  <c r="M2302" i="1"/>
  <c r="L2302" i="1"/>
  <c r="M2301" i="1"/>
  <c r="L2301" i="1"/>
  <c r="M2300" i="1"/>
  <c r="L2300" i="1"/>
  <c r="M2299" i="1"/>
  <c r="L2299" i="1"/>
  <c r="M2298" i="1"/>
  <c r="L2298" i="1"/>
  <c r="M2297" i="1"/>
  <c r="L2297" i="1"/>
  <c r="M2296" i="1"/>
  <c r="L2296" i="1"/>
  <c r="M2295" i="1"/>
  <c r="L2295" i="1"/>
  <c r="M2294" i="1"/>
  <c r="L2294" i="1"/>
  <c r="M2293" i="1"/>
  <c r="L2293" i="1"/>
  <c r="M2292" i="1"/>
  <c r="L2292" i="1"/>
  <c r="M2291" i="1"/>
  <c r="L2291" i="1"/>
  <c r="M2290" i="1"/>
  <c r="L2290" i="1"/>
  <c r="M2289" i="1"/>
  <c r="L2289" i="1"/>
  <c r="M2288" i="1"/>
  <c r="L2288" i="1"/>
  <c r="M2287" i="1"/>
  <c r="L2287" i="1"/>
  <c r="M2286" i="1"/>
  <c r="L2286" i="1"/>
  <c r="M2285" i="1"/>
  <c r="L2285" i="1"/>
  <c r="M2284" i="1"/>
  <c r="L2284" i="1"/>
  <c r="M2283" i="1"/>
  <c r="L2283" i="1"/>
  <c r="M2282" i="1"/>
  <c r="L2282" i="1"/>
  <c r="M2281" i="1"/>
  <c r="L2281" i="1"/>
  <c r="M2280" i="1"/>
  <c r="L2280" i="1"/>
  <c r="M2279" i="1"/>
  <c r="L2279" i="1"/>
  <c r="M2278" i="1"/>
  <c r="L2278" i="1"/>
  <c r="M2277" i="1"/>
  <c r="L2277" i="1"/>
  <c r="M2276" i="1"/>
  <c r="L2276" i="1"/>
  <c r="M2275" i="1"/>
  <c r="L2275" i="1"/>
  <c r="M2274" i="1"/>
  <c r="L2274" i="1"/>
  <c r="M2273" i="1"/>
  <c r="L2273" i="1"/>
  <c r="M2272" i="1"/>
  <c r="L2272" i="1"/>
  <c r="M2271" i="1"/>
  <c r="L2271" i="1"/>
  <c r="M2270" i="1"/>
  <c r="L2270" i="1"/>
  <c r="M2269" i="1"/>
  <c r="L2269" i="1"/>
  <c r="M2268" i="1"/>
  <c r="L2268" i="1"/>
  <c r="M2267" i="1"/>
  <c r="L2267" i="1"/>
  <c r="M2266" i="1"/>
  <c r="L2266" i="1"/>
  <c r="M2265" i="1"/>
  <c r="L2265" i="1"/>
  <c r="M2264" i="1"/>
  <c r="L2264" i="1"/>
  <c r="M2263" i="1"/>
  <c r="L2263" i="1"/>
  <c r="M2262" i="1"/>
  <c r="L2262" i="1"/>
  <c r="M2261" i="1"/>
  <c r="L2261" i="1"/>
  <c r="M2260" i="1"/>
  <c r="L2260" i="1"/>
  <c r="M2259" i="1"/>
  <c r="L2259" i="1"/>
  <c r="M2258" i="1"/>
  <c r="L2258" i="1"/>
  <c r="M2257" i="1"/>
  <c r="L2257" i="1"/>
  <c r="M2256" i="1"/>
  <c r="L2256" i="1"/>
  <c r="M2255" i="1"/>
  <c r="L2255" i="1"/>
  <c r="M2254" i="1"/>
  <c r="L2254" i="1"/>
  <c r="M2253" i="1"/>
  <c r="L2253" i="1"/>
  <c r="M2252" i="1"/>
  <c r="L2252" i="1"/>
  <c r="M2251" i="1"/>
  <c r="L2251" i="1"/>
  <c r="M2250" i="1"/>
  <c r="L2250" i="1"/>
  <c r="M2249" i="1"/>
  <c r="L2249" i="1"/>
  <c r="M2248" i="1"/>
  <c r="L2248" i="1"/>
  <c r="M2247" i="1"/>
  <c r="L2247" i="1"/>
  <c r="M2246" i="1"/>
  <c r="L2246" i="1"/>
  <c r="M2245" i="1"/>
  <c r="L2245" i="1"/>
  <c r="M2244" i="1"/>
  <c r="L2244" i="1"/>
  <c r="M2243" i="1"/>
  <c r="L2243" i="1"/>
  <c r="M2242" i="1"/>
  <c r="L2242" i="1"/>
  <c r="M2241" i="1"/>
  <c r="L2241" i="1"/>
  <c r="M2240" i="1"/>
  <c r="L2240" i="1"/>
  <c r="M2239" i="1"/>
  <c r="L2239" i="1"/>
  <c r="M2238" i="1"/>
  <c r="L2238" i="1"/>
  <c r="M2237" i="1"/>
  <c r="L2237" i="1"/>
  <c r="M2236" i="1"/>
  <c r="L2236" i="1"/>
  <c r="M2235" i="1"/>
  <c r="L2235" i="1"/>
  <c r="M2234" i="1"/>
  <c r="L2234" i="1"/>
  <c r="M2233" i="1"/>
  <c r="L2233" i="1"/>
  <c r="M2232" i="1"/>
  <c r="L2232" i="1"/>
  <c r="M2231" i="1"/>
  <c r="L2231" i="1"/>
  <c r="M2230" i="1"/>
  <c r="L2230" i="1"/>
  <c r="M2229" i="1"/>
  <c r="L2229" i="1"/>
  <c r="M2228" i="1"/>
  <c r="L2228" i="1"/>
  <c r="M2227" i="1"/>
  <c r="L2227" i="1"/>
  <c r="M2226" i="1"/>
  <c r="L2226" i="1"/>
  <c r="M2225" i="1"/>
  <c r="L2225" i="1"/>
  <c r="M2224" i="1"/>
  <c r="L2224" i="1"/>
  <c r="M2223" i="1"/>
  <c r="L2223" i="1"/>
  <c r="M2222" i="1"/>
  <c r="L2222" i="1"/>
  <c r="M2221" i="1"/>
  <c r="L2221" i="1"/>
  <c r="M2220" i="1"/>
  <c r="L2220" i="1"/>
  <c r="M2219" i="1"/>
  <c r="L2219" i="1"/>
  <c r="M2218" i="1"/>
  <c r="L2218" i="1"/>
  <c r="M2217" i="1"/>
  <c r="L2217" i="1"/>
  <c r="M2216" i="1"/>
  <c r="L2216" i="1"/>
  <c r="M2215" i="1"/>
  <c r="L2215" i="1"/>
  <c r="M2214" i="1"/>
  <c r="L2214" i="1"/>
  <c r="M2213" i="1"/>
  <c r="L2213" i="1"/>
  <c r="M2212" i="1"/>
  <c r="L2212" i="1"/>
  <c r="M2211" i="1"/>
  <c r="L2211" i="1"/>
  <c r="M2210" i="1"/>
  <c r="L2210" i="1"/>
  <c r="M2209" i="1"/>
  <c r="L2209" i="1"/>
  <c r="M2208" i="1"/>
  <c r="L2208" i="1"/>
  <c r="M2207" i="1"/>
  <c r="L2207" i="1"/>
  <c r="M2206" i="1"/>
  <c r="L2206" i="1"/>
  <c r="M2205" i="1"/>
  <c r="L2205" i="1"/>
  <c r="M2204" i="1"/>
  <c r="L2204" i="1"/>
  <c r="M2203" i="1"/>
  <c r="L2203" i="1"/>
  <c r="M2202" i="1"/>
  <c r="L2202" i="1"/>
  <c r="M2201" i="1"/>
  <c r="L2201" i="1"/>
  <c r="M2200" i="1"/>
  <c r="L2200" i="1"/>
  <c r="M2199" i="1"/>
  <c r="L2199" i="1"/>
  <c r="M2198" i="1"/>
  <c r="L2198" i="1"/>
  <c r="M2197" i="1"/>
  <c r="L2197" i="1"/>
  <c r="M2196" i="1"/>
  <c r="L2196" i="1"/>
  <c r="M2195" i="1"/>
  <c r="L2195" i="1"/>
  <c r="M2194" i="1"/>
  <c r="L2194" i="1"/>
  <c r="M2193" i="1"/>
  <c r="L2193" i="1"/>
  <c r="M2192" i="1"/>
  <c r="L2192" i="1"/>
  <c r="M2191" i="1"/>
  <c r="L2191" i="1"/>
  <c r="M2190" i="1"/>
  <c r="L2190" i="1"/>
  <c r="M2189" i="1"/>
  <c r="L2189" i="1"/>
  <c r="M2188" i="1"/>
  <c r="L2188" i="1"/>
  <c r="M2187" i="1"/>
  <c r="L2187" i="1"/>
  <c r="M2186" i="1"/>
  <c r="L2186" i="1"/>
  <c r="M2185" i="1"/>
  <c r="L2185" i="1"/>
  <c r="M2184" i="1"/>
  <c r="L2184" i="1"/>
  <c r="M2183" i="1"/>
  <c r="L2183" i="1"/>
  <c r="M2182" i="1"/>
  <c r="L2182" i="1"/>
  <c r="M2181" i="1"/>
  <c r="L2181" i="1"/>
  <c r="M2180" i="1"/>
  <c r="L2180" i="1"/>
  <c r="M2179" i="1"/>
  <c r="L2179" i="1"/>
  <c r="M2178" i="1"/>
  <c r="L2178" i="1"/>
  <c r="M2177" i="1"/>
  <c r="L2177" i="1"/>
  <c r="M2176" i="1"/>
  <c r="L2176" i="1"/>
  <c r="M2175" i="1"/>
  <c r="L2175" i="1"/>
  <c r="M2174" i="1"/>
  <c r="L2174" i="1"/>
  <c r="M2173" i="1"/>
  <c r="L2173" i="1"/>
  <c r="M2172" i="1"/>
  <c r="L2172" i="1"/>
  <c r="M2171" i="1"/>
  <c r="L2171" i="1"/>
  <c r="M2170" i="1"/>
  <c r="L2170" i="1"/>
  <c r="M2169" i="1"/>
  <c r="L2169" i="1"/>
  <c r="M2168" i="1"/>
  <c r="L2168" i="1"/>
  <c r="M2167" i="1"/>
  <c r="L2167" i="1"/>
  <c r="M2166" i="1"/>
  <c r="L2166" i="1"/>
  <c r="M2165" i="1"/>
  <c r="L2165" i="1"/>
  <c r="M2164" i="1"/>
  <c r="L2164" i="1"/>
  <c r="M2163" i="1"/>
  <c r="L2163" i="1"/>
  <c r="M2162" i="1"/>
  <c r="L2162" i="1"/>
  <c r="M2161" i="1"/>
  <c r="L2161" i="1"/>
  <c r="M2160" i="1"/>
  <c r="L2160" i="1"/>
  <c r="M2159" i="1"/>
  <c r="L2159" i="1"/>
  <c r="M2158" i="1"/>
  <c r="L2158" i="1"/>
  <c r="M2157" i="1"/>
  <c r="L2157" i="1"/>
  <c r="M2156" i="1"/>
  <c r="L2156" i="1"/>
  <c r="M2155" i="1"/>
  <c r="L2155" i="1"/>
  <c r="M2154" i="1"/>
  <c r="L2154" i="1"/>
  <c r="M2153" i="1"/>
  <c r="L2153" i="1"/>
  <c r="M2152" i="1"/>
  <c r="L2152" i="1"/>
  <c r="M2151" i="1"/>
  <c r="L2151" i="1"/>
  <c r="M2150" i="1"/>
  <c r="L2150" i="1"/>
  <c r="M2149" i="1"/>
  <c r="L2149" i="1"/>
  <c r="M2148" i="1"/>
  <c r="L2148" i="1"/>
  <c r="M2147" i="1"/>
  <c r="L2147" i="1"/>
  <c r="M2146" i="1"/>
  <c r="L2146" i="1"/>
  <c r="M2145" i="1"/>
  <c r="L2145" i="1"/>
  <c r="M2144" i="1"/>
  <c r="L2144" i="1"/>
  <c r="M2143" i="1"/>
  <c r="L2143" i="1"/>
  <c r="M2142" i="1"/>
  <c r="L2142" i="1"/>
  <c r="M2141" i="1"/>
  <c r="L2141" i="1"/>
  <c r="M2140" i="1"/>
  <c r="L2140" i="1"/>
  <c r="M2139" i="1"/>
  <c r="L2139" i="1"/>
  <c r="M2138" i="1"/>
  <c r="L2138" i="1"/>
  <c r="M2137" i="1"/>
  <c r="L2137" i="1"/>
  <c r="M2136" i="1"/>
  <c r="L2136" i="1"/>
  <c r="M2135" i="1"/>
  <c r="L2135" i="1"/>
  <c r="M2134" i="1"/>
  <c r="L2134" i="1"/>
  <c r="M2133" i="1"/>
  <c r="L2133" i="1"/>
  <c r="M2132" i="1"/>
  <c r="L2132" i="1"/>
  <c r="M2131" i="1"/>
  <c r="L2131" i="1"/>
  <c r="M2130" i="1"/>
  <c r="L2130" i="1"/>
  <c r="M2129" i="1"/>
  <c r="L2129" i="1"/>
  <c r="M2128" i="1"/>
  <c r="L2128" i="1"/>
  <c r="M2127" i="1"/>
  <c r="L2127" i="1"/>
  <c r="M2126" i="1"/>
  <c r="L2126" i="1"/>
  <c r="M2125" i="1"/>
  <c r="L2125" i="1"/>
  <c r="M2124" i="1"/>
  <c r="L2124" i="1"/>
  <c r="M2123" i="1"/>
  <c r="L2123" i="1"/>
  <c r="M2122" i="1"/>
  <c r="L2122" i="1"/>
  <c r="M2121" i="1"/>
  <c r="L2121" i="1"/>
  <c r="M2120" i="1"/>
  <c r="L2120" i="1"/>
  <c r="M2119" i="1"/>
  <c r="L2119" i="1"/>
  <c r="M2118" i="1"/>
  <c r="L2118" i="1"/>
  <c r="M2117" i="1"/>
  <c r="L2117" i="1"/>
  <c r="M2116" i="1"/>
  <c r="L2116" i="1"/>
  <c r="M2115" i="1"/>
  <c r="L2115" i="1"/>
  <c r="M2114" i="1"/>
  <c r="L2114" i="1"/>
  <c r="M2113" i="1"/>
  <c r="L2113" i="1"/>
  <c r="M2112" i="1"/>
  <c r="L2112" i="1"/>
  <c r="M2111" i="1"/>
  <c r="L2111" i="1"/>
  <c r="M2110" i="1"/>
  <c r="L2110" i="1"/>
  <c r="M2109" i="1"/>
  <c r="L2109" i="1"/>
  <c r="M2108" i="1"/>
  <c r="L2108" i="1"/>
  <c r="M2107" i="1"/>
  <c r="L2107" i="1"/>
  <c r="M2106" i="1"/>
  <c r="L2106" i="1"/>
  <c r="M2105" i="1"/>
  <c r="L2105" i="1"/>
  <c r="M2104" i="1"/>
  <c r="L2104" i="1"/>
  <c r="M2103" i="1"/>
  <c r="L2103" i="1"/>
  <c r="M2102" i="1"/>
  <c r="L2102" i="1"/>
  <c r="M2101" i="1"/>
  <c r="L2101" i="1"/>
  <c r="M2100" i="1"/>
  <c r="L2100" i="1"/>
  <c r="M2099" i="1"/>
  <c r="L2099" i="1"/>
  <c r="M2098" i="1"/>
  <c r="L2098" i="1"/>
  <c r="M2097" i="1"/>
  <c r="L2097" i="1"/>
  <c r="M2096" i="1"/>
  <c r="L2096" i="1"/>
  <c r="M2095" i="1"/>
  <c r="L2095" i="1"/>
  <c r="M2094" i="1"/>
  <c r="L2094" i="1"/>
  <c r="M2093" i="1"/>
  <c r="L2093" i="1"/>
  <c r="M2092" i="1"/>
  <c r="L2092" i="1"/>
  <c r="M2091" i="1"/>
  <c r="L2091" i="1"/>
  <c r="M2090" i="1"/>
  <c r="L2090" i="1"/>
  <c r="M2089" i="1"/>
  <c r="L2089" i="1"/>
  <c r="M2088" i="1"/>
  <c r="L2088" i="1"/>
  <c r="M2087" i="1"/>
  <c r="L2087" i="1"/>
  <c r="M2086" i="1"/>
  <c r="L2086" i="1"/>
  <c r="M2085" i="1"/>
  <c r="L2085" i="1"/>
  <c r="M2084" i="1"/>
  <c r="L2084" i="1"/>
  <c r="M2083" i="1"/>
  <c r="L2083" i="1"/>
  <c r="M2082" i="1"/>
  <c r="L2082" i="1"/>
  <c r="M2081" i="1"/>
  <c r="L2081" i="1"/>
  <c r="M2080" i="1"/>
  <c r="L2080" i="1"/>
  <c r="M2079" i="1"/>
  <c r="L2079" i="1"/>
  <c r="M2078" i="1"/>
  <c r="L2078" i="1"/>
  <c r="M2077" i="1"/>
  <c r="L2077" i="1"/>
  <c r="M2076" i="1"/>
  <c r="L2076" i="1"/>
  <c r="M2075" i="1"/>
  <c r="L2075" i="1"/>
  <c r="M2074" i="1"/>
  <c r="L2074" i="1"/>
  <c r="M2073" i="1"/>
  <c r="L2073" i="1"/>
  <c r="M2072" i="1"/>
  <c r="L2072" i="1"/>
  <c r="M2071" i="1"/>
  <c r="L2071" i="1"/>
  <c r="M2070" i="1"/>
  <c r="L2070" i="1"/>
  <c r="M2069" i="1"/>
  <c r="L2069" i="1"/>
  <c r="M2068" i="1"/>
  <c r="L2068" i="1"/>
  <c r="M2067" i="1"/>
  <c r="L2067" i="1"/>
  <c r="M2066" i="1"/>
  <c r="L2066" i="1"/>
  <c r="M2065" i="1"/>
  <c r="L2065" i="1"/>
  <c r="M2064" i="1"/>
  <c r="L2064" i="1"/>
  <c r="M2063" i="1"/>
  <c r="L2063" i="1"/>
  <c r="M2062" i="1"/>
  <c r="L2062" i="1"/>
  <c r="M2061" i="1"/>
  <c r="L2061" i="1"/>
  <c r="M2060" i="1"/>
  <c r="L2060" i="1"/>
  <c r="M2059" i="1"/>
  <c r="L2059" i="1"/>
  <c r="M2058" i="1"/>
  <c r="L2058" i="1"/>
  <c r="M2057" i="1"/>
  <c r="L2057" i="1"/>
  <c r="M2056" i="1"/>
  <c r="L2056" i="1"/>
  <c r="M2055" i="1"/>
  <c r="L2055" i="1"/>
  <c r="M2054" i="1"/>
  <c r="L2054" i="1"/>
  <c r="M2053" i="1"/>
  <c r="L2053" i="1"/>
  <c r="M2052" i="1"/>
  <c r="L2052" i="1"/>
  <c r="M2051" i="1"/>
  <c r="L2051" i="1"/>
  <c r="M2050" i="1"/>
  <c r="L2050" i="1"/>
  <c r="M2049" i="1"/>
  <c r="L2049" i="1"/>
  <c r="M2048" i="1"/>
  <c r="L2048" i="1"/>
  <c r="M2047" i="1"/>
  <c r="L2047" i="1"/>
  <c r="M2046" i="1"/>
  <c r="L2046" i="1"/>
  <c r="M2045" i="1"/>
  <c r="L2045" i="1"/>
  <c r="M2044" i="1"/>
  <c r="L2044" i="1"/>
  <c r="M2043" i="1"/>
  <c r="L2043" i="1"/>
  <c r="M2042" i="1"/>
  <c r="L2042" i="1"/>
  <c r="M2041" i="1"/>
  <c r="L2041" i="1"/>
  <c r="M2040" i="1"/>
  <c r="L2040" i="1"/>
  <c r="M2039" i="1"/>
  <c r="L2039" i="1"/>
  <c r="M2038" i="1"/>
  <c r="L2038" i="1"/>
  <c r="M2037" i="1"/>
  <c r="L2037" i="1"/>
  <c r="M2036" i="1"/>
  <c r="L2036" i="1"/>
  <c r="M2035" i="1"/>
  <c r="L2035" i="1"/>
  <c r="M2034" i="1"/>
  <c r="L2034" i="1"/>
  <c r="M2033" i="1"/>
  <c r="L2033" i="1"/>
  <c r="M2032" i="1"/>
  <c r="L2032" i="1"/>
  <c r="M2031" i="1"/>
  <c r="L2031" i="1"/>
  <c r="M2030" i="1"/>
  <c r="L2030" i="1"/>
  <c r="M2029" i="1"/>
  <c r="L2029" i="1"/>
  <c r="M2028" i="1"/>
  <c r="L2028" i="1"/>
  <c r="M2027" i="1"/>
  <c r="L2027" i="1"/>
  <c r="M2026" i="1"/>
  <c r="L2026" i="1"/>
  <c r="M2025" i="1"/>
  <c r="L2025" i="1"/>
  <c r="M2024" i="1"/>
  <c r="L2024" i="1"/>
  <c r="M2023" i="1"/>
  <c r="L2023" i="1"/>
  <c r="M2022" i="1"/>
  <c r="L2022" i="1"/>
  <c r="M2021" i="1"/>
  <c r="L2021" i="1"/>
  <c r="M2020" i="1"/>
  <c r="L2020" i="1"/>
  <c r="M2019" i="1"/>
  <c r="L2019" i="1"/>
  <c r="M2018" i="1"/>
  <c r="L2018" i="1"/>
  <c r="M2017" i="1"/>
  <c r="L2017" i="1"/>
  <c r="M2016" i="1"/>
  <c r="L2016" i="1"/>
  <c r="M2015" i="1"/>
  <c r="L2015" i="1"/>
  <c r="M2014" i="1"/>
  <c r="L2014" i="1"/>
  <c r="M2013" i="1"/>
  <c r="L2013" i="1"/>
  <c r="M2012" i="1"/>
  <c r="L2012" i="1"/>
  <c r="M2011" i="1"/>
  <c r="L2011" i="1"/>
  <c r="M2010" i="1"/>
  <c r="L2010" i="1"/>
  <c r="M2009" i="1"/>
  <c r="L2009" i="1"/>
  <c r="M2008" i="1"/>
  <c r="L2008" i="1"/>
  <c r="M2007" i="1"/>
  <c r="L2007" i="1"/>
  <c r="M2006" i="1"/>
  <c r="L2006" i="1"/>
  <c r="M2005" i="1"/>
  <c r="L2005" i="1"/>
  <c r="M2004" i="1"/>
  <c r="L2004" i="1"/>
  <c r="M2003" i="1"/>
  <c r="L2003" i="1"/>
  <c r="M2002" i="1"/>
  <c r="L2002" i="1"/>
  <c r="M2001" i="1"/>
  <c r="L2001" i="1"/>
  <c r="M2000" i="1"/>
  <c r="L2000" i="1"/>
  <c r="M1999" i="1"/>
  <c r="L1999" i="1"/>
  <c r="M1998" i="1"/>
  <c r="L1998" i="1"/>
  <c r="M1997" i="1"/>
  <c r="L1997" i="1"/>
  <c r="M1996" i="1"/>
  <c r="L1996" i="1"/>
  <c r="M1995" i="1"/>
  <c r="L1995" i="1"/>
  <c r="M1994" i="1"/>
  <c r="L1994" i="1"/>
  <c r="M1993" i="1"/>
  <c r="L1993" i="1"/>
  <c r="M1992" i="1"/>
  <c r="L1992" i="1"/>
  <c r="M1991" i="1"/>
  <c r="L1991" i="1"/>
  <c r="M1990" i="1"/>
  <c r="L1990" i="1"/>
  <c r="M1989" i="1"/>
  <c r="L1989" i="1"/>
  <c r="M1988" i="1"/>
  <c r="L1988" i="1"/>
  <c r="M1987" i="1"/>
  <c r="L1987" i="1"/>
  <c r="M1986" i="1"/>
  <c r="L1986" i="1"/>
  <c r="M1985" i="1"/>
  <c r="L1985" i="1"/>
  <c r="M1984" i="1"/>
  <c r="L1984" i="1"/>
  <c r="M1983" i="1"/>
  <c r="L1983" i="1"/>
  <c r="M1982" i="1"/>
  <c r="L1982" i="1"/>
  <c r="M1981" i="1"/>
  <c r="L1981" i="1"/>
  <c r="M1980" i="1"/>
  <c r="L1980" i="1"/>
  <c r="M1979" i="1"/>
  <c r="L1979" i="1"/>
  <c r="M1978" i="1"/>
  <c r="L1978" i="1"/>
  <c r="M1977" i="1"/>
  <c r="L1977" i="1"/>
  <c r="M1976" i="1"/>
  <c r="L1976" i="1"/>
  <c r="M1975" i="1"/>
  <c r="L1975" i="1"/>
  <c r="M1974" i="1"/>
  <c r="L1974" i="1"/>
  <c r="M1973" i="1"/>
  <c r="L1973" i="1"/>
  <c r="M1972" i="1"/>
  <c r="L1972" i="1"/>
  <c r="M1971" i="1"/>
  <c r="L1971" i="1"/>
  <c r="M1970" i="1"/>
  <c r="L1970" i="1"/>
  <c r="M1969" i="1"/>
  <c r="L1969" i="1"/>
  <c r="M1968" i="1"/>
  <c r="L1968" i="1"/>
  <c r="M1967" i="1"/>
  <c r="L1967" i="1"/>
  <c r="M1966" i="1"/>
  <c r="L1966" i="1"/>
  <c r="M1965" i="1"/>
  <c r="L1965" i="1"/>
  <c r="M1964" i="1"/>
  <c r="L1964" i="1"/>
  <c r="M1963" i="1"/>
  <c r="L1963" i="1"/>
  <c r="M1962" i="1"/>
  <c r="L1962" i="1"/>
  <c r="M1961" i="1"/>
  <c r="L1961" i="1"/>
  <c r="M1960" i="1"/>
  <c r="L1960" i="1"/>
  <c r="M1959" i="1"/>
  <c r="L1959" i="1"/>
  <c r="M1958" i="1"/>
  <c r="L1958" i="1"/>
  <c r="M1957" i="1"/>
  <c r="L1957" i="1"/>
  <c r="M1956" i="1"/>
  <c r="L1956" i="1"/>
  <c r="M1955" i="1"/>
  <c r="L1955" i="1"/>
  <c r="M1954" i="1"/>
  <c r="L1954" i="1"/>
  <c r="M1953" i="1"/>
  <c r="L1953" i="1"/>
  <c r="M1952" i="1"/>
  <c r="L1952" i="1"/>
  <c r="M1951" i="1"/>
  <c r="L1951" i="1"/>
  <c r="M1950" i="1"/>
  <c r="L1950" i="1"/>
  <c r="M1949" i="1"/>
  <c r="L1949" i="1"/>
  <c r="M1948" i="1"/>
  <c r="L1948" i="1"/>
  <c r="M1947" i="1"/>
  <c r="L1947" i="1"/>
  <c r="M1946" i="1"/>
  <c r="L1946" i="1"/>
  <c r="M1945" i="1"/>
  <c r="L1945" i="1"/>
  <c r="M1944" i="1"/>
  <c r="L1944" i="1"/>
  <c r="M1943" i="1"/>
  <c r="L1943" i="1"/>
  <c r="M1942" i="1"/>
  <c r="L1942" i="1"/>
  <c r="M1941" i="1"/>
  <c r="L1941" i="1"/>
  <c r="M1940" i="1"/>
  <c r="L1940" i="1"/>
  <c r="M1939" i="1"/>
  <c r="L1939" i="1"/>
  <c r="M1938" i="1"/>
  <c r="L1938" i="1"/>
  <c r="M1937" i="1"/>
  <c r="L1937" i="1"/>
  <c r="M1936" i="1"/>
  <c r="L1936" i="1"/>
  <c r="M1935" i="1"/>
  <c r="L1935" i="1"/>
  <c r="M1934" i="1"/>
  <c r="L1934" i="1"/>
  <c r="M1933" i="1"/>
  <c r="L1933" i="1"/>
  <c r="M1932" i="1"/>
  <c r="L1932" i="1"/>
  <c r="M1931" i="1"/>
  <c r="L1931" i="1"/>
  <c r="M1930" i="1"/>
  <c r="L1930" i="1"/>
  <c r="M1929" i="1"/>
  <c r="L1929" i="1"/>
  <c r="M1928" i="1"/>
  <c r="L1928" i="1"/>
  <c r="M1927" i="1"/>
  <c r="L1927" i="1"/>
  <c r="M1926" i="1"/>
  <c r="L1926" i="1"/>
  <c r="M1925" i="1"/>
  <c r="L1925" i="1"/>
  <c r="M1924" i="1"/>
  <c r="L1924" i="1"/>
  <c r="M1923" i="1"/>
  <c r="L1923" i="1"/>
  <c r="M1922" i="1"/>
  <c r="L1922" i="1"/>
  <c r="M1921" i="1"/>
  <c r="L1921" i="1"/>
  <c r="M1920" i="1"/>
  <c r="L1920" i="1"/>
  <c r="M1919" i="1"/>
  <c r="L1919" i="1"/>
  <c r="M1918" i="1"/>
  <c r="L1918" i="1"/>
  <c r="M1917" i="1"/>
  <c r="L1917" i="1"/>
  <c r="M1916" i="1"/>
  <c r="L1916" i="1"/>
  <c r="M1915" i="1"/>
  <c r="L1915" i="1"/>
  <c r="M1914" i="1"/>
  <c r="L1914" i="1"/>
  <c r="M1913" i="1"/>
  <c r="L1913" i="1"/>
  <c r="M1912" i="1"/>
  <c r="L1912" i="1"/>
  <c r="M1911" i="1"/>
  <c r="L1911" i="1"/>
  <c r="M1910" i="1"/>
  <c r="L1910" i="1"/>
  <c r="M1909" i="1"/>
  <c r="L1909" i="1"/>
  <c r="M1908" i="1"/>
  <c r="L1908" i="1"/>
  <c r="M1907" i="1"/>
  <c r="L1907" i="1"/>
  <c r="M1906" i="1"/>
  <c r="L1906" i="1"/>
  <c r="M1905" i="1"/>
  <c r="L1905" i="1"/>
  <c r="M1904" i="1"/>
  <c r="L1904" i="1"/>
  <c r="M1903" i="1"/>
  <c r="L1903" i="1"/>
  <c r="M1902" i="1"/>
  <c r="L1902" i="1"/>
  <c r="M1901" i="1"/>
  <c r="L1901" i="1"/>
  <c r="M1900" i="1"/>
  <c r="L1900" i="1"/>
  <c r="M1899" i="1"/>
  <c r="L1899" i="1"/>
  <c r="M1898" i="1"/>
  <c r="L1898" i="1"/>
  <c r="M1897" i="1"/>
  <c r="L1897" i="1"/>
  <c r="M1896" i="1"/>
  <c r="L1896" i="1"/>
  <c r="M1895" i="1"/>
  <c r="L1895" i="1"/>
  <c r="M1894" i="1"/>
  <c r="L1894" i="1"/>
  <c r="M1893" i="1"/>
  <c r="L1893" i="1"/>
  <c r="M1892" i="1"/>
  <c r="L1892" i="1"/>
  <c r="M1891" i="1"/>
  <c r="L1891" i="1"/>
  <c r="M1890" i="1"/>
  <c r="L1890" i="1"/>
  <c r="M1889" i="1"/>
  <c r="L1889" i="1"/>
  <c r="M1888" i="1"/>
  <c r="L1888" i="1"/>
  <c r="M1887" i="1"/>
  <c r="L1887" i="1"/>
  <c r="M1886" i="1"/>
  <c r="L1886" i="1"/>
  <c r="M1885" i="1"/>
  <c r="L1885" i="1"/>
  <c r="M1884" i="1"/>
  <c r="L1884" i="1"/>
  <c r="M1883" i="1"/>
  <c r="L1883" i="1"/>
  <c r="M1882" i="1"/>
  <c r="L1882" i="1"/>
  <c r="M1881" i="1"/>
  <c r="L1881" i="1"/>
  <c r="M1880" i="1"/>
  <c r="L1880" i="1"/>
  <c r="M1879" i="1"/>
  <c r="L1879" i="1"/>
  <c r="M1878" i="1"/>
  <c r="L1878" i="1"/>
  <c r="M1877" i="1"/>
  <c r="L1877" i="1"/>
  <c r="M1876" i="1"/>
  <c r="L1876" i="1"/>
  <c r="M1875" i="1"/>
  <c r="L1875" i="1"/>
  <c r="M1874" i="1"/>
  <c r="L1874" i="1"/>
  <c r="M1873" i="1"/>
  <c r="L1873" i="1"/>
  <c r="M1872" i="1"/>
  <c r="L1872" i="1"/>
  <c r="M1871" i="1"/>
  <c r="L1871" i="1"/>
  <c r="M1870" i="1"/>
  <c r="L1870" i="1"/>
  <c r="M1869" i="1"/>
  <c r="L1869" i="1"/>
  <c r="M1868" i="1"/>
  <c r="L1868" i="1"/>
  <c r="M1867" i="1"/>
  <c r="L1867" i="1"/>
  <c r="M1866" i="1"/>
  <c r="L1866" i="1"/>
  <c r="M1865" i="1"/>
  <c r="L1865" i="1"/>
  <c r="M1864" i="1"/>
  <c r="L1864" i="1"/>
  <c r="M1863" i="1"/>
  <c r="L1863" i="1"/>
  <c r="M1862" i="1"/>
  <c r="L1862" i="1"/>
  <c r="M1861" i="1"/>
  <c r="L1861" i="1"/>
  <c r="M1860" i="1"/>
  <c r="L1860" i="1"/>
  <c r="M1859" i="1"/>
  <c r="L1859" i="1"/>
  <c r="M1858" i="1"/>
  <c r="L1858" i="1"/>
  <c r="M1857" i="1"/>
  <c r="L1857" i="1"/>
  <c r="M1856" i="1"/>
  <c r="L1856" i="1"/>
  <c r="M1855" i="1"/>
  <c r="L1855" i="1"/>
  <c r="M1854" i="1"/>
  <c r="L1854" i="1"/>
  <c r="M1853" i="1"/>
  <c r="L1853" i="1"/>
  <c r="M1852" i="1"/>
  <c r="L1852" i="1"/>
  <c r="M1851" i="1"/>
  <c r="L1851" i="1"/>
  <c r="M1850" i="1"/>
  <c r="L1850" i="1"/>
  <c r="M1849" i="1"/>
  <c r="L1849" i="1"/>
  <c r="M1848" i="1"/>
  <c r="L1848" i="1"/>
  <c r="M1847" i="1"/>
  <c r="L1847" i="1"/>
  <c r="M1846" i="1"/>
  <c r="L1846" i="1"/>
  <c r="M1836" i="1"/>
  <c r="L1836" i="1"/>
  <c r="M1833" i="1"/>
  <c r="L1833" i="1"/>
  <c r="M1832" i="1"/>
  <c r="L1832" i="1"/>
  <c r="M1831" i="1"/>
  <c r="L1831" i="1"/>
  <c r="M1830" i="1"/>
  <c r="L1830" i="1"/>
  <c r="M1822" i="1"/>
  <c r="L1822" i="1"/>
  <c r="M1821" i="1"/>
  <c r="L1821" i="1"/>
  <c r="M1820" i="1"/>
  <c r="L1820" i="1"/>
  <c r="M1819" i="1"/>
  <c r="L1819" i="1"/>
  <c r="M1817" i="1"/>
  <c r="L1817" i="1"/>
  <c r="M1816" i="1"/>
  <c r="L1816" i="1"/>
  <c r="M1815" i="1"/>
  <c r="L1815" i="1"/>
  <c r="M1814" i="1"/>
  <c r="L1814" i="1"/>
  <c r="M1813" i="1"/>
  <c r="L1813" i="1"/>
  <c r="M1812" i="1"/>
  <c r="L1812" i="1"/>
  <c r="M1810" i="1"/>
  <c r="L1810" i="1"/>
  <c r="M1809" i="1"/>
  <c r="L1809" i="1"/>
  <c r="M1808" i="1"/>
  <c r="L1808" i="1"/>
  <c r="M1807" i="1"/>
  <c r="L1807" i="1"/>
  <c r="M1806" i="1"/>
  <c r="L1806" i="1"/>
  <c r="M1805" i="1"/>
  <c r="L1805" i="1"/>
  <c r="M1804" i="1"/>
  <c r="L1804" i="1"/>
  <c r="M1803" i="1"/>
  <c r="L1803" i="1"/>
  <c r="M1802" i="1"/>
  <c r="L1802" i="1"/>
  <c r="M1801" i="1"/>
  <c r="L1801" i="1"/>
  <c r="M1800" i="1"/>
  <c r="L1800" i="1"/>
  <c r="M1799" i="1"/>
  <c r="L1799" i="1"/>
  <c r="M1798" i="1"/>
  <c r="L1798" i="1"/>
  <c r="M1797" i="1"/>
  <c r="L1797" i="1"/>
  <c r="M1796" i="1"/>
  <c r="L1796" i="1"/>
  <c r="M1795" i="1"/>
  <c r="L1795" i="1"/>
  <c r="M1794" i="1"/>
  <c r="L1794" i="1"/>
  <c r="M1793" i="1"/>
  <c r="L1793" i="1"/>
  <c r="M1792" i="1"/>
  <c r="L1792" i="1"/>
  <c r="M1791" i="1"/>
  <c r="L1791" i="1"/>
  <c r="M1790" i="1"/>
  <c r="L1790" i="1"/>
  <c r="M1789" i="1"/>
  <c r="L1789" i="1"/>
  <c r="M1788" i="1"/>
  <c r="L1788" i="1"/>
  <c r="M1787" i="1"/>
  <c r="L1787" i="1"/>
  <c r="M1786" i="1"/>
  <c r="L1786" i="1"/>
  <c r="M1785" i="1"/>
  <c r="L1785" i="1"/>
  <c r="M1784" i="1"/>
  <c r="L1784" i="1"/>
  <c r="M1783" i="1"/>
  <c r="L1783" i="1"/>
  <c r="M1782" i="1"/>
  <c r="L1782" i="1"/>
  <c r="M1781" i="1"/>
  <c r="L1781" i="1"/>
  <c r="M1780" i="1"/>
  <c r="L1780" i="1"/>
  <c r="M1779" i="1"/>
  <c r="L1779" i="1"/>
  <c r="M1778" i="1"/>
  <c r="L1778" i="1"/>
  <c r="M1777" i="1"/>
  <c r="L1777" i="1"/>
  <c r="M1776" i="1"/>
  <c r="L1776" i="1"/>
  <c r="M1775" i="1"/>
  <c r="L1775" i="1"/>
  <c r="M1774" i="1"/>
  <c r="L1774" i="1"/>
  <c r="M1773" i="1"/>
  <c r="L1773" i="1"/>
  <c r="M1772" i="1"/>
  <c r="L1772" i="1"/>
  <c r="M1771" i="1"/>
  <c r="L1771" i="1"/>
  <c r="M1770" i="1"/>
  <c r="L1770" i="1"/>
  <c r="M1769" i="1"/>
  <c r="L1769" i="1"/>
  <c r="M1768" i="1"/>
  <c r="L1768" i="1"/>
  <c r="M1767" i="1"/>
  <c r="L1767" i="1"/>
  <c r="M1766" i="1"/>
  <c r="L1766" i="1"/>
  <c r="M1765" i="1"/>
  <c r="L1765" i="1"/>
  <c r="M1764" i="1"/>
  <c r="L1764" i="1"/>
  <c r="M1763" i="1"/>
  <c r="L1763" i="1"/>
  <c r="M1762" i="1"/>
  <c r="L1762" i="1"/>
  <c r="M1761" i="1"/>
  <c r="L1761" i="1"/>
  <c r="M1760" i="1"/>
  <c r="L1760" i="1"/>
  <c r="M1759" i="1"/>
  <c r="L1759" i="1"/>
  <c r="M1758" i="1"/>
  <c r="L1758" i="1"/>
  <c r="M1757" i="1"/>
  <c r="L1757" i="1"/>
  <c r="M1756" i="1"/>
  <c r="L1756" i="1"/>
  <c r="M1755" i="1"/>
  <c r="L1755" i="1"/>
  <c r="M1754" i="1"/>
  <c r="L1754" i="1"/>
  <c r="M1753" i="1"/>
  <c r="L1753" i="1"/>
  <c r="M1752" i="1"/>
  <c r="L1752" i="1"/>
  <c r="M1751" i="1"/>
  <c r="L1751" i="1"/>
  <c r="M1750" i="1"/>
  <c r="L1750" i="1"/>
  <c r="M1749" i="1"/>
  <c r="L1749" i="1"/>
  <c r="M1748" i="1"/>
  <c r="L1748" i="1"/>
  <c r="M1747" i="1"/>
  <c r="L1747" i="1"/>
  <c r="M1745" i="1"/>
  <c r="L1745" i="1"/>
  <c r="M1744" i="1"/>
  <c r="L1744" i="1"/>
  <c r="M1743" i="1"/>
  <c r="L1743" i="1"/>
  <c r="M1742" i="1"/>
  <c r="L1742" i="1"/>
  <c r="M1741" i="1"/>
  <c r="L1741" i="1"/>
  <c r="M1740" i="1"/>
  <c r="L1740" i="1"/>
  <c r="M1739" i="1"/>
  <c r="L1739" i="1"/>
  <c r="M1738" i="1"/>
  <c r="L1738" i="1"/>
  <c r="M1737" i="1"/>
  <c r="L1737" i="1"/>
  <c r="M1736" i="1"/>
  <c r="L1736" i="1"/>
  <c r="M1735" i="1"/>
  <c r="L1735" i="1"/>
  <c r="M1734" i="1"/>
  <c r="L1734" i="1"/>
  <c r="M1733" i="1"/>
  <c r="L1733" i="1"/>
  <c r="M1732" i="1"/>
  <c r="L1732" i="1"/>
  <c r="M1731" i="1"/>
  <c r="L1731" i="1"/>
  <c r="M1730" i="1"/>
  <c r="L1730" i="1"/>
  <c r="M1729" i="1"/>
  <c r="L1729" i="1"/>
  <c r="M1728" i="1"/>
  <c r="L1728" i="1"/>
  <c r="M1727" i="1"/>
  <c r="L1727" i="1"/>
  <c r="M1725" i="1"/>
  <c r="L1725" i="1"/>
  <c r="M1724" i="1"/>
  <c r="L1724" i="1"/>
  <c r="M1723" i="1"/>
  <c r="L1723" i="1"/>
  <c r="M1721" i="1"/>
  <c r="L1721" i="1"/>
  <c r="M1720" i="1"/>
  <c r="L1720" i="1"/>
  <c r="M1719" i="1"/>
  <c r="L1719" i="1"/>
  <c r="M1718" i="1"/>
  <c r="L1718" i="1"/>
  <c r="M1717" i="1"/>
  <c r="L1717" i="1"/>
  <c r="M1716" i="1"/>
  <c r="L1716" i="1"/>
  <c r="M1715" i="1"/>
  <c r="L1715" i="1"/>
  <c r="M1714" i="1"/>
  <c r="L1714" i="1"/>
  <c r="M1713" i="1"/>
  <c r="L1713" i="1"/>
  <c r="M1712" i="1"/>
  <c r="L1712" i="1"/>
  <c r="M1711" i="1"/>
  <c r="L1711" i="1"/>
  <c r="M1710" i="1"/>
  <c r="L1710" i="1"/>
  <c r="M1709" i="1"/>
  <c r="L1709" i="1"/>
  <c r="M1708" i="1"/>
  <c r="L1708" i="1"/>
  <c r="M1707" i="1"/>
  <c r="L1707" i="1"/>
  <c r="M1706" i="1"/>
  <c r="L1706" i="1"/>
  <c r="M1705" i="1"/>
  <c r="L1705" i="1"/>
  <c r="M1704" i="1"/>
  <c r="L1704" i="1"/>
  <c r="M1703" i="1"/>
  <c r="L1703" i="1"/>
  <c r="M1702" i="1"/>
  <c r="L1702" i="1"/>
  <c r="M1701" i="1"/>
  <c r="L1701" i="1"/>
  <c r="M1700" i="1"/>
  <c r="L1700" i="1"/>
  <c r="M1693" i="1"/>
  <c r="L1693" i="1"/>
  <c r="M1692" i="1"/>
  <c r="L1692" i="1"/>
  <c r="M1691" i="1"/>
  <c r="L1691" i="1"/>
  <c r="M1689" i="1"/>
  <c r="L1689" i="1"/>
  <c r="M1688" i="1"/>
  <c r="L1688" i="1"/>
  <c r="M1687" i="1"/>
  <c r="L1687" i="1"/>
  <c r="M1686" i="1"/>
  <c r="L1686" i="1"/>
  <c r="M1685" i="1"/>
  <c r="L1685" i="1"/>
  <c r="M1684" i="1"/>
  <c r="L1684" i="1"/>
  <c r="M1683" i="1"/>
  <c r="L1683" i="1"/>
  <c r="M1682" i="1"/>
  <c r="L1682" i="1"/>
  <c r="M1681" i="1"/>
  <c r="L1681" i="1"/>
  <c r="M1680" i="1"/>
  <c r="L1680" i="1"/>
  <c r="M1679" i="1"/>
  <c r="L1679" i="1"/>
  <c r="M1678" i="1"/>
  <c r="L1678" i="1"/>
  <c r="M1677" i="1"/>
  <c r="L1677" i="1"/>
  <c r="M1676" i="1"/>
  <c r="L1676" i="1"/>
  <c r="M1675" i="1"/>
  <c r="L1675" i="1"/>
  <c r="M1674" i="1"/>
  <c r="L1674" i="1"/>
  <c r="M1673" i="1"/>
  <c r="L1673" i="1"/>
  <c r="M1672" i="1"/>
  <c r="L1672" i="1"/>
  <c r="M1671" i="1"/>
  <c r="L1671" i="1"/>
  <c r="M1670" i="1"/>
  <c r="L1670" i="1"/>
  <c r="M1669" i="1"/>
  <c r="L1669" i="1"/>
  <c r="M1668" i="1"/>
  <c r="L1668" i="1"/>
  <c r="M1667" i="1"/>
  <c r="L1667" i="1"/>
  <c r="M1666" i="1"/>
  <c r="L1666" i="1"/>
  <c r="M1665" i="1"/>
  <c r="L1665" i="1"/>
  <c r="M1664" i="1"/>
  <c r="L1664" i="1"/>
  <c r="M1663" i="1"/>
  <c r="L1663" i="1"/>
  <c r="M1662" i="1"/>
  <c r="L1662" i="1"/>
  <c r="M1661" i="1"/>
  <c r="L1661" i="1"/>
  <c r="M1660" i="1"/>
  <c r="L1660" i="1"/>
  <c r="M1659" i="1"/>
  <c r="L1659" i="1"/>
  <c r="M1658" i="1"/>
  <c r="L1658" i="1"/>
  <c r="M1657" i="1"/>
  <c r="L1657" i="1"/>
  <c r="M1656" i="1"/>
  <c r="L1656" i="1"/>
  <c r="M1653" i="1"/>
  <c r="L1653" i="1"/>
  <c r="M1652" i="1"/>
  <c r="L1652" i="1"/>
  <c r="M1651" i="1"/>
  <c r="L1651" i="1"/>
  <c r="M1650" i="1"/>
  <c r="L1650" i="1"/>
  <c r="M1649" i="1"/>
  <c r="L1649" i="1"/>
  <c r="M1648" i="1"/>
  <c r="L1648" i="1"/>
  <c r="M1647" i="1"/>
  <c r="L1647" i="1"/>
  <c r="M1646" i="1"/>
  <c r="L1646" i="1"/>
  <c r="M1645" i="1"/>
  <c r="L1645" i="1"/>
  <c r="M1644" i="1"/>
  <c r="L1644" i="1"/>
  <c r="M1643" i="1"/>
  <c r="L1643" i="1"/>
  <c r="M1642" i="1"/>
  <c r="L1642" i="1"/>
  <c r="M1641" i="1"/>
  <c r="L1641" i="1"/>
  <c r="M1640" i="1"/>
  <c r="L1640" i="1"/>
  <c r="M1639" i="1"/>
  <c r="L1639" i="1"/>
  <c r="M1638" i="1"/>
  <c r="L1638" i="1"/>
  <c r="M1637" i="1"/>
  <c r="L1637" i="1"/>
  <c r="M1636" i="1"/>
  <c r="L1636" i="1"/>
  <c r="M1635" i="1"/>
  <c r="L1635" i="1"/>
  <c r="M1634" i="1"/>
  <c r="L1634" i="1"/>
  <c r="M1633" i="1"/>
  <c r="L1633" i="1"/>
  <c r="M1632" i="1"/>
  <c r="L1632" i="1"/>
  <c r="M1631" i="1"/>
  <c r="L1631" i="1"/>
  <c r="M1630" i="1"/>
  <c r="L1630" i="1"/>
  <c r="M1629" i="1"/>
  <c r="L1629" i="1"/>
  <c r="M1628" i="1"/>
  <c r="L1628" i="1"/>
  <c r="M1627" i="1"/>
  <c r="L1627" i="1"/>
  <c r="M1626" i="1"/>
  <c r="L1626" i="1"/>
  <c r="M1625" i="1"/>
  <c r="L1625" i="1"/>
  <c r="M1624" i="1"/>
  <c r="L1624" i="1"/>
  <c r="M1623" i="1"/>
  <c r="L1623" i="1"/>
  <c r="M1622" i="1"/>
  <c r="L1622" i="1"/>
  <c r="M1621" i="1"/>
  <c r="L1621" i="1"/>
  <c r="M1620" i="1"/>
  <c r="L1620" i="1"/>
  <c r="M1619" i="1"/>
  <c r="L1619" i="1"/>
  <c r="M1618" i="1"/>
  <c r="L1618" i="1"/>
  <c r="M1617" i="1"/>
  <c r="L1617" i="1"/>
  <c r="M1616" i="1"/>
  <c r="L1616" i="1"/>
  <c r="M1615" i="1"/>
  <c r="L1615" i="1"/>
  <c r="M1614" i="1"/>
  <c r="L1614" i="1"/>
  <c r="M1613" i="1"/>
  <c r="L1613" i="1"/>
  <c r="M1612" i="1"/>
  <c r="L1612" i="1"/>
  <c r="M1611" i="1"/>
  <c r="L1611" i="1"/>
  <c r="M1610" i="1"/>
  <c r="L1610" i="1"/>
  <c r="M1608" i="1"/>
  <c r="L1608" i="1"/>
  <c r="M1607" i="1"/>
  <c r="L1607" i="1"/>
  <c r="M1606" i="1"/>
  <c r="L1606" i="1"/>
  <c r="M1605" i="1"/>
  <c r="L1605" i="1"/>
  <c r="M1604" i="1"/>
  <c r="L1604" i="1"/>
  <c r="M1603" i="1"/>
  <c r="L1603" i="1"/>
  <c r="M1602" i="1"/>
  <c r="L1602" i="1"/>
  <c r="M1601" i="1"/>
  <c r="L1601" i="1"/>
  <c r="M1600" i="1"/>
  <c r="L1600" i="1"/>
  <c r="M1599" i="1"/>
  <c r="L1599" i="1"/>
  <c r="M1598" i="1"/>
  <c r="L1598" i="1"/>
  <c r="M1597" i="1"/>
  <c r="L1597" i="1"/>
  <c r="M1596" i="1"/>
  <c r="L1596" i="1"/>
  <c r="M1595" i="1"/>
  <c r="L1595" i="1"/>
  <c r="M1594" i="1"/>
  <c r="L1594" i="1"/>
  <c r="M1593" i="1"/>
  <c r="L1593" i="1"/>
  <c r="M1592" i="1"/>
  <c r="L1592" i="1"/>
  <c r="M1591" i="1"/>
  <c r="L1591" i="1"/>
  <c r="M1590" i="1"/>
  <c r="L1590" i="1"/>
  <c r="M1589" i="1"/>
  <c r="L1589" i="1"/>
  <c r="M1588" i="1"/>
  <c r="L1588" i="1"/>
  <c r="M1587" i="1"/>
  <c r="L1587" i="1"/>
  <c r="M1586" i="1"/>
  <c r="L1586" i="1"/>
  <c r="M1585" i="1"/>
  <c r="L1585" i="1"/>
  <c r="M1584" i="1"/>
  <c r="L1584" i="1"/>
  <c r="M1583" i="1"/>
  <c r="L1583" i="1"/>
  <c r="M1582" i="1"/>
  <c r="L1582" i="1"/>
  <c r="M1581" i="1"/>
  <c r="L1581" i="1"/>
  <c r="M1580" i="1"/>
  <c r="L1580" i="1"/>
  <c r="M1579" i="1"/>
  <c r="L1579" i="1"/>
  <c r="M1578" i="1"/>
  <c r="L1578" i="1"/>
  <c r="M1577" i="1"/>
  <c r="L1577" i="1"/>
  <c r="M1576" i="1"/>
  <c r="L1576" i="1"/>
  <c r="M1575" i="1"/>
  <c r="L1575" i="1"/>
  <c r="M1574" i="1"/>
  <c r="L1574" i="1"/>
  <c r="M1573" i="1"/>
  <c r="L1573" i="1"/>
  <c r="M1572" i="1"/>
  <c r="L1572" i="1"/>
  <c r="M1571" i="1"/>
  <c r="L1571" i="1"/>
  <c r="M1570" i="1"/>
  <c r="L1570" i="1"/>
  <c r="M1569" i="1"/>
  <c r="L1569" i="1"/>
  <c r="M1568" i="1"/>
  <c r="L1568" i="1"/>
  <c r="M1567" i="1"/>
  <c r="L1567" i="1"/>
  <c r="M1566" i="1"/>
  <c r="L1566" i="1"/>
  <c r="M1565" i="1"/>
  <c r="L1565" i="1"/>
  <c r="M1564" i="1"/>
  <c r="L1564" i="1"/>
  <c r="M1563" i="1"/>
  <c r="L1563" i="1"/>
  <c r="M1562" i="1"/>
  <c r="L1562" i="1"/>
  <c r="M1561" i="1"/>
  <c r="L1561" i="1"/>
  <c r="M1560" i="1"/>
  <c r="L1560" i="1"/>
  <c r="M1559" i="1"/>
  <c r="L1559" i="1"/>
  <c r="M1558" i="1"/>
  <c r="L1558" i="1"/>
  <c r="M1557" i="1"/>
  <c r="L1557" i="1"/>
  <c r="M1556" i="1"/>
  <c r="L1556" i="1"/>
  <c r="M1555" i="1"/>
  <c r="L1555" i="1"/>
  <c r="M1554" i="1"/>
  <c r="L1554" i="1"/>
  <c r="M1553" i="1"/>
  <c r="L1553" i="1"/>
  <c r="M1552" i="1"/>
  <c r="L1552" i="1"/>
  <c r="M1551" i="1"/>
  <c r="L1551" i="1"/>
  <c r="M1550" i="1"/>
  <c r="L1550" i="1"/>
  <c r="M1547" i="1"/>
  <c r="L1547" i="1"/>
  <c r="M1545" i="1"/>
  <c r="L1545" i="1"/>
  <c r="M1543" i="1"/>
  <c r="L1543" i="1"/>
  <c r="M1542" i="1"/>
  <c r="L1542" i="1"/>
  <c r="M1541" i="1"/>
  <c r="L1541" i="1"/>
  <c r="M1540" i="1"/>
  <c r="L1540" i="1"/>
  <c r="M1539" i="1"/>
  <c r="L1539" i="1"/>
  <c r="M1538" i="1"/>
  <c r="L1538" i="1"/>
  <c r="M1537" i="1"/>
  <c r="L1537" i="1"/>
  <c r="M1536" i="1"/>
  <c r="L1536" i="1"/>
  <c r="M1535" i="1"/>
  <c r="L1535" i="1"/>
  <c r="M1534" i="1"/>
  <c r="L1534" i="1"/>
  <c r="M1533" i="1"/>
  <c r="L1533" i="1"/>
  <c r="M1528" i="1"/>
  <c r="L1528" i="1"/>
  <c r="M1526" i="1"/>
  <c r="L1526" i="1"/>
  <c r="M1525" i="1"/>
  <c r="L1525" i="1"/>
  <c r="M1524" i="1"/>
  <c r="L1524" i="1"/>
  <c r="M1523" i="1"/>
  <c r="L1523" i="1"/>
  <c r="M1522" i="1"/>
  <c r="L1522" i="1"/>
  <c r="M1521" i="1"/>
  <c r="L1521" i="1"/>
  <c r="M1520" i="1"/>
  <c r="L1520" i="1"/>
  <c r="M1519" i="1"/>
  <c r="L1519" i="1"/>
  <c r="M1518" i="1"/>
  <c r="L1518" i="1"/>
  <c r="M1517" i="1"/>
  <c r="L1517" i="1"/>
  <c r="M1516" i="1"/>
  <c r="L1516" i="1"/>
  <c r="M1515" i="1"/>
  <c r="L1515" i="1"/>
  <c r="M1514" i="1"/>
  <c r="L1514" i="1"/>
  <c r="M1513" i="1"/>
  <c r="L1513" i="1"/>
  <c r="M1512" i="1"/>
  <c r="L1512" i="1"/>
  <c r="M1511" i="1"/>
  <c r="L1511" i="1"/>
  <c r="M1510" i="1"/>
  <c r="L1510" i="1"/>
  <c r="M1509" i="1"/>
  <c r="L1509" i="1"/>
  <c r="M1508" i="1"/>
  <c r="L1508" i="1"/>
  <c r="M1507" i="1"/>
  <c r="L1507" i="1"/>
  <c r="M1506" i="1"/>
  <c r="L1506" i="1"/>
  <c r="M1505" i="1"/>
  <c r="L1505" i="1"/>
  <c r="M1504" i="1"/>
  <c r="L1504" i="1"/>
  <c r="M1503" i="1"/>
  <c r="L1503" i="1"/>
  <c r="M1502" i="1"/>
  <c r="L1502" i="1"/>
  <c r="M1501" i="1"/>
  <c r="L1501" i="1"/>
  <c r="M1500" i="1"/>
  <c r="L1500" i="1"/>
  <c r="M1499" i="1"/>
  <c r="L1499" i="1"/>
  <c r="M1498" i="1"/>
  <c r="L1498" i="1"/>
  <c r="M1497" i="1"/>
  <c r="L1497" i="1"/>
  <c r="M1496" i="1"/>
  <c r="L1496" i="1"/>
  <c r="M1495" i="1"/>
  <c r="L1495" i="1"/>
  <c r="M1494" i="1"/>
  <c r="L1494" i="1"/>
  <c r="M1493" i="1"/>
  <c r="L1493" i="1"/>
  <c r="M1492" i="1"/>
  <c r="L1492" i="1"/>
  <c r="M1491" i="1"/>
  <c r="L1491" i="1"/>
  <c r="M1490" i="1"/>
  <c r="L1490" i="1"/>
  <c r="M1489" i="1"/>
  <c r="L1489" i="1"/>
  <c r="M1488" i="1"/>
  <c r="L1488" i="1"/>
  <c r="M1487" i="1"/>
  <c r="L1487" i="1"/>
  <c r="M1486" i="1"/>
  <c r="L1486" i="1"/>
  <c r="M1485" i="1"/>
  <c r="L1485" i="1"/>
  <c r="M1484" i="1"/>
  <c r="L1484" i="1"/>
  <c r="M1483" i="1"/>
  <c r="L1483" i="1"/>
  <c r="M1482" i="1"/>
  <c r="L1482" i="1"/>
  <c r="M1481" i="1"/>
  <c r="L1481" i="1"/>
  <c r="M1480" i="1"/>
  <c r="L1480" i="1"/>
  <c r="M1479" i="1"/>
  <c r="L1479" i="1"/>
  <c r="M1478" i="1"/>
  <c r="L1478" i="1"/>
  <c r="M1477" i="1"/>
  <c r="L1477" i="1"/>
  <c r="M1476" i="1"/>
  <c r="L1476" i="1"/>
  <c r="M1475" i="1"/>
  <c r="L1475" i="1"/>
  <c r="M1474" i="1"/>
  <c r="L1474" i="1"/>
  <c r="M1473" i="1"/>
  <c r="L1473" i="1"/>
  <c r="M1472" i="1"/>
  <c r="L1472" i="1"/>
  <c r="M1471" i="1"/>
  <c r="L1471" i="1"/>
  <c r="M1470" i="1"/>
  <c r="L1470" i="1"/>
  <c r="M1469" i="1"/>
  <c r="L1469" i="1"/>
  <c r="M1468" i="1"/>
  <c r="L1468" i="1"/>
  <c r="M1467" i="1"/>
  <c r="L1467" i="1"/>
  <c r="M1466" i="1"/>
  <c r="L1466" i="1"/>
  <c r="M1465" i="1"/>
  <c r="L1465" i="1"/>
  <c r="M1464" i="1"/>
  <c r="L1464" i="1"/>
  <c r="M1463" i="1"/>
  <c r="L1463" i="1"/>
  <c r="M1462" i="1"/>
  <c r="L1462" i="1"/>
  <c r="M1461" i="1"/>
  <c r="L1461" i="1"/>
  <c r="M1460" i="1"/>
  <c r="L1460" i="1"/>
  <c r="M1459" i="1"/>
  <c r="L1459" i="1"/>
  <c r="M1458" i="1"/>
  <c r="L1458" i="1"/>
  <c r="M1457" i="1"/>
  <c r="L1457" i="1"/>
  <c r="M1456" i="1"/>
  <c r="L1456" i="1"/>
  <c r="M1455" i="1"/>
  <c r="L1455" i="1"/>
  <c r="M1454" i="1"/>
  <c r="L1454" i="1"/>
  <c r="M1453" i="1"/>
  <c r="L1453" i="1"/>
  <c r="M1452" i="1"/>
  <c r="L1452" i="1"/>
  <c r="M1451" i="1"/>
  <c r="L1451" i="1"/>
  <c r="M1450" i="1"/>
  <c r="L1450" i="1"/>
  <c r="M1449" i="1"/>
  <c r="L1449" i="1"/>
  <c r="M1448" i="1"/>
  <c r="L1448" i="1"/>
  <c r="M1447" i="1"/>
  <c r="L1447" i="1"/>
  <c r="M1446" i="1"/>
  <c r="L1446" i="1"/>
  <c r="M1445" i="1"/>
  <c r="L1445" i="1"/>
  <c r="M1444" i="1"/>
  <c r="L1444" i="1"/>
  <c r="M1443" i="1"/>
  <c r="L1443" i="1"/>
  <c r="M1442" i="1"/>
  <c r="L1442" i="1"/>
  <c r="M1441" i="1"/>
  <c r="L1441" i="1"/>
  <c r="M1440" i="1"/>
  <c r="L1440" i="1"/>
  <c r="M1439" i="1"/>
  <c r="L1439" i="1"/>
  <c r="K1438" i="1"/>
  <c r="J1438" i="1"/>
  <c r="K1437" i="1"/>
  <c r="J1437" i="1"/>
  <c r="K1436" i="1"/>
  <c r="J1436" i="1"/>
  <c r="M1435" i="1"/>
  <c r="L1435" i="1"/>
  <c r="M1434" i="1"/>
  <c r="L1434" i="1"/>
  <c r="M1433" i="1"/>
  <c r="L1433" i="1"/>
  <c r="M1432" i="1"/>
  <c r="L1432" i="1"/>
  <c r="M1431" i="1"/>
  <c r="L1431" i="1"/>
  <c r="M1430" i="1"/>
  <c r="L1430" i="1"/>
  <c r="M1429" i="1"/>
  <c r="L1429" i="1"/>
  <c r="M1428" i="1"/>
  <c r="L1428" i="1"/>
  <c r="M1427" i="1"/>
  <c r="L1427" i="1"/>
  <c r="M1426" i="1"/>
  <c r="L1426" i="1"/>
  <c r="M1425" i="1"/>
  <c r="L1425" i="1"/>
  <c r="M1424" i="1"/>
  <c r="L1424" i="1"/>
  <c r="M1423" i="1"/>
  <c r="L1423" i="1"/>
  <c r="M1422" i="1"/>
  <c r="L1422" i="1"/>
  <c r="M1421" i="1"/>
  <c r="L1421" i="1"/>
  <c r="M1420" i="1"/>
  <c r="L1420" i="1"/>
  <c r="M1419" i="1"/>
  <c r="L1419" i="1"/>
  <c r="M1418" i="1"/>
  <c r="L1418" i="1"/>
  <c r="M1417" i="1"/>
  <c r="L1417" i="1"/>
  <c r="M1416" i="1"/>
  <c r="L1416" i="1"/>
  <c r="M1415" i="1"/>
  <c r="L1415" i="1"/>
  <c r="M1414" i="1"/>
  <c r="L1414" i="1"/>
  <c r="M1413" i="1"/>
  <c r="L1413" i="1"/>
  <c r="M1412" i="1"/>
  <c r="L1412" i="1"/>
  <c r="M1411" i="1"/>
  <c r="L1411" i="1"/>
  <c r="M1410" i="1"/>
  <c r="L1410" i="1"/>
  <c r="M1409" i="1"/>
  <c r="L1409" i="1"/>
  <c r="M1408" i="1"/>
  <c r="L1408" i="1"/>
  <c r="M1407" i="1"/>
  <c r="L1407" i="1"/>
  <c r="M1406" i="1"/>
  <c r="L1406" i="1"/>
  <c r="M1405" i="1"/>
  <c r="L1405" i="1"/>
  <c r="M1404" i="1"/>
  <c r="L1404" i="1"/>
  <c r="M1403" i="1"/>
  <c r="L1403" i="1"/>
  <c r="M1402" i="1"/>
  <c r="L1402" i="1"/>
  <c r="M1401" i="1"/>
  <c r="L1401" i="1"/>
  <c r="M1400" i="1"/>
  <c r="L1400" i="1"/>
  <c r="M1399" i="1"/>
  <c r="L1399" i="1"/>
  <c r="M1398" i="1"/>
  <c r="L1398" i="1"/>
  <c r="M1397" i="1"/>
  <c r="L1397" i="1"/>
  <c r="M1396" i="1"/>
  <c r="L1396" i="1"/>
  <c r="M1395" i="1"/>
  <c r="L1395" i="1"/>
  <c r="M1394" i="1"/>
  <c r="L1394" i="1"/>
  <c r="M1393" i="1"/>
  <c r="L1393" i="1"/>
  <c r="M1392" i="1"/>
  <c r="L1392" i="1"/>
  <c r="M1391" i="1"/>
  <c r="L1391" i="1"/>
  <c r="M1390" i="1"/>
  <c r="L1390" i="1"/>
  <c r="M1389" i="1"/>
  <c r="L1389" i="1"/>
  <c r="M1388" i="1"/>
  <c r="L1388" i="1"/>
  <c r="M1387" i="1"/>
  <c r="L1387" i="1"/>
  <c r="M1386" i="1"/>
  <c r="L1386" i="1"/>
  <c r="M1385" i="1"/>
  <c r="L1385" i="1"/>
  <c r="M1384" i="1"/>
  <c r="L1384" i="1"/>
  <c r="M1383" i="1"/>
  <c r="L1383" i="1"/>
  <c r="M1382" i="1"/>
  <c r="L1382" i="1"/>
  <c r="M1381" i="1"/>
  <c r="L1381" i="1"/>
  <c r="M1380" i="1"/>
  <c r="L1380" i="1"/>
  <c r="M1379" i="1"/>
  <c r="L1379" i="1"/>
  <c r="M1378" i="1"/>
  <c r="L1378" i="1"/>
  <c r="M1377" i="1"/>
  <c r="L1377" i="1"/>
  <c r="M1376" i="1"/>
  <c r="L1376" i="1"/>
  <c r="M1375" i="1"/>
  <c r="L1375" i="1"/>
  <c r="M1374" i="1"/>
  <c r="L1374" i="1"/>
  <c r="M1373" i="1"/>
  <c r="L1373" i="1"/>
  <c r="M1372" i="1"/>
  <c r="L1372" i="1"/>
  <c r="M1371" i="1"/>
  <c r="L1371" i="1"/>
  <c r="M1370" i="1"/>
  <c r="L1370" i="1"/>
  <c r="M1369" i="1"/>
  <c r="L1369" i="1"/>
  <c r="M1368" i="1"/>
  <c r="L1368" i="1"/>
  <c r="M1367" i="1"/>
  <c r="L1367" i="1"/>
  <c r="M1366" i="1"/>
  <c r="L1366" i="1"/>
  <c r="M1365" i="1"/>
  <c r="L1365" i="1"/>
  <c r="M1364" i="1"/>
  <c r="L1364" i="1"/>
  <c r="M1363" i="1"/>
  <c r="L1363" i="1"/>
  <c r="M1362" i="1"/>
  <c r="L1362" i="1"/>
  <c r="M1361" i="1"/>
  <c r="L1361" i="1"/>
  <c r="M1360" i="1"/>
  <c r="L1360" i="1"/>
  <c r="M1359" i="1"/>
  <c r="L1359" i="1"/>
  <c r="M1358" i="1"/>
  <c r="L1358" i="1"/>
  <c r="M1357" i="1"/>
  <c r="L1357" i="1"/>
  <c r="M1356" i="1"/>
  <c r="L1356" i="1"/>
  <c r="M1355" i="1"/>
  <c r="L1355" i="1"/>
  <c r="M1354" i="1"/>
  <c r="L1354" i="1"/>
  <c r="M1353" i="1"/>
  <c r="L1353" i="1"/>
  <c r="M1352" i="1"/>
  <c r="L1352" i="1"/>
  <c r="M1351" i="1"/>
  <c r="L1351" i="1"/>
  <c r="M1348" i="1"/>
  <c r="L1348" i="1"/>
  <c r="M1347" i="1"/>
  <c r="L1347" i="1"/>
  <c r="M1346" i="1"/>
  <c r="L1346" i="1"/>
  <c r="M1345" i="1"/>
  <c r="L1345" i="1"/>
  <c r="M1344" i="1"/>
  <c r="L1344" i="1"/>
  <c r="M1343" i="1"/>
  <c r="L1343" i="1"/>
  <c r="M1342" i="1"/>
  <c r="L1342" i="1"/>
  <c r="M1341" i="1"/>
  <c r="L1341" i="1"/>
  <c r="M1340" i="1"/>
  <c r="L1340" i="1"/>
  <c r="M1335" i="1"/>
  <c r="L1335" i="1"/>
  <c r="M1334" i="1"/>
  <c r="L1334" i="1"/>
  <c r="M1333" i="1"/>
  <c r="L1333" i="1"/>
  <c r="M1332" i="1"/>
  <c r="L1332" i="1"/>
  <c r="M1331" i="1"/>
  <c r="L1331" i="1"/>
  <c r="M1330" i="1"/>
  <c r="L1330" i="1"/>
  <c r="M1329" i="1"/>
  <c r="L1329" i="1"/>
  <c r="M1328" i="1"/>
  <c r="L1328" i="1"/>
  <c r="M1327" i="1"/>
  <c r="L1327" i="1"/>
  <c r="M1326" i="1"/>
  <c r="L1326" i="1"/>
  <c r="M1325" i="1"/>
  <c r="L1325" i="1"/>
  <c r="M1324" i="1"/>
  <c r="L1324" i="1"/>
  <c r="M1323" i="1"/>
  <c r="L1323" i="1"/>
  <c r="M1322" i="1"/>
  <c r="L1322" i="1"/>
  <c r="M1321" i="1"/>
  <c r="L1321" i="1"/>
  <c r="M1320" i="1"/>
  <c r="L1320" i="1"/>
  <c r="M1319" i="1"/>
  <c r="L1319" i="1"/>
  <c r="M1318" i="1"/>
  <c r="L1318" i="1"/>
  <c r="M1317" i="1"/>
  <c r="L1317" i="1"/>
  <c r="M1316" i="1"/>
  <c r="L1316" i="1"/>
  <c r="M1315" i="1"/>
  <c r="L1315" i="1"/>
  <c r="M1314" i="1"/>
  <c r="L1314" i="1"/>
  <c r="M1313" i="1"/>
  <c r="L1313" i="1"/>
  <c r="M1312" i="1"/>
  <c r="L1312" i="1"/>
  <c r="M1311" i="1"/>
  <c r="L1311" i="1"/>
  <c r="M1310" i="1"/>
  <c r="L1310" i="1"/>
  <c r="M1309" i="1"/>
  <c r="L1309" i="1"/>
  <c r="M1308" i="1"/>
  <c r="L1308" i="1"/>
  <c r="M1307" i="1"/>
  <c r="L1307" i="1"/>
  <c r="M1306" i="1"/>
  <c r="L1306" i="1"/>
  <c r="M1305" i="1"/>
  <c r="L1305" i="1"/>
  <c r="M1304" i="1"/>
  <c r="L1304" i="1"/>
  <c r="M1303" i="1"/>
  <c r="L1303" i="1"/>
  <c r="M1302" i="1"/>
  <c r="L1302" i="1"/>
  <c r="M1301" i="1"/>
  <c r="L1301" i="1"/>
  <c r="M1300" i="1"/>
  <c r="L1300" i="1"/>
  <c r="M1299" i="1"/>
  <c r="L1299" i="1"/>
  <c r="M1298" i="1"/>
  <c r="L1298" i="1"/>
  <c r="M1297" i="1"/>
  <c r="L1297" i="1"/>
  <c r="M1296" i="1"/>
  <c r="L1296" i="1"/>
  <c r="M1295" i="1"/>
  <c r="L1295" i="1"/>
  <c r="M1294" i="1"/>
  <c r="L1294" i="1"/>
  <c r="M1293" i="1"/>
  <c r="L1293" i="1"/>
  <c r="M1292" i="1"/>
  <c r="L1292" i="1"/>
  <c r="M1289" i="1"/>
  <c r="L1289" i="1"/>
  <c r="M1288" i="1"/>
  <c r="L1288" i="1"/>
  <c r="M1287" i="1"/>
  <c r="L1287" i="1"/>
  <c r="M1286" i="1"/>
  <c r="L1286" i="1"/>
  <c r="M1285" i="1"/>
  <c r="L1285" i="1"/>
  <c r="M1284" i="1"/>
  <c r="L1284" i="1"/>
  <c r="M1283" i="1"/>
  <c r="L1283" i="1"/>
  <c r="M1282" i="1"/>
  <c r="L1282" i="1"/>
  <c r="M1281" i="1"/>
  <c r="L1281" i="1"/>
  <c r="M1280" i="1"/>
  <c r="L1280" i="1"/>
  <c r="M1279" i="1"/>
  <c r="L1279" i="1"/>
  <c r="M1278" i="1"/>
  <c r="L1278" i="1"/>
  <c r="M1277" i="1"/>
  <c r="L1277" i="1"/>
  <c r="M1276" i="1"/>
  <c r="L1276" i="1"/>
  <c r="M1275" i="1"/>
  <c r="L1275" i="1"/>
  <c r="M1274" i="1"/>
  <c r="L1274" i="1"/>
  <c r="M1273" i="1"/>
  <c r="L1273" i="1"/>
  <c r="M1272" i="1"/>
  <c r="L1272" i="1"/>
  <c r="M1271" i="1"/>
  <c r="L1271" i="1"/>
  <c r="M1270" i="1"/>
  <c r="L1270" i="1"/>
  <c r="M1268" i="1"/>
  <c r="L1268" i="1"/>
  <c r="M1267" i="1"/>
  <c r="L1267" i="1"/>
  <c r="M1266" i="1"/>
  <c r="L1266" i="1"/>
  <c r="M1265" i="1"/>
  <c r="L1265" i="1"/>
  <c r="M1264" i="1"/>
  <c r="L1264" i="1"/>
  <c r="M1263" i="1"/>
  <c r="L1263" i="1"/>
  <c r="M1262" i="1"/>
  <c r="L1262" i="1"/>
  <c r="M1261" i="1"/>
  <c r="L1261" i="1"/>
  <c r="M1260" i="1"/>
  <c r="L1260" i="1"/>
  <c r="M1259" i="1"/>
  <c r="L1259" i="1"/>
  <c r="M1258" i="1"/>
  <c r="L1258" i="1"/>
  <c r="M1257" i="1"/>
  <c r="L1257" i="1"/>
  <c r="M1256" i="1"/>
  <c r="L1256" i="1"/>
  <c r="M1255" i="1"/>
  <c r="L1255" i="1"/>
  <c r="M1254" i="1"/>
  <c r="L1254" i="1"/>
  <c r="M1253" i="1"/>
  <c r="L1253" i="1"/>
  <c r="M1251" i="1"/>
  <c r="L1251" i="1"/>
  <c r="M1250" i="1"/>
  <c r="L1250" i="1"/>
  <c r="M1249" i="1"/>
  <c r="L1249" i="1"/>
  <c r="M1248" i="1"/>
  <c r="L1248" i="1"/>
  <c r="M1247" i="1"/>
  <c r="L1247" i="1"/>
  <c r="M1246" i="1"/>
  <c r="L1246" i="1"/>
  <c r="M1245" i="1"/>
  <c r="L1245" i="1"/>
  <c r="M1244" i="1"/>
  <c r="L1244" i="1"/>
  <c r="M1243" i="1"/>
  <c r="L1243" i="1"/>
  <c r="M1242" i="1"/>
  <c r="L1242" i="1"/>
  <c r="M1241" i="1"/>
  <c r="L1241" i="1"/>
  <c r="M1240" i="1"/>
  <c r="L1240" i="1"/>
  <c r="M1239" i="1"/>
  <c r="L1239" i="1"/>
  <c r="M1238" i="1"/>
  <c r="L1238" i="1"/>
  <c r="M1237" i="1"/>
  <c r="L1237" i="1"/>
  <c r="M1236" i="1"/>
  <c r="L1236" i="1"/>
  <c r="M1235" i="1"/>
  <c r="L1235" i="1"/>
  <c r="M1234" i="1"/>
  <c r="L1234" i="1"/>
  <c r="M1233" i="1"/>
  <c r="L1233" i="1"/>
  <c r="M1232" i="1"/>
  <c r="L1232" i="1"/>
  <c r="M1231" i="1"/>
  <c r="L1231" i="1"/>
  <c r="M1230" i="1"/>
  <c r="L1230" i="1"/>
  <c r="M1229" i="1"/>
  <c r="L1229" i="1"/>
  <c r="M1228" i="1"/>
  <c r="L1228" i="1"/>
  <c r="M1227" i="1"/>
  <c r="L1227" i="1"/>
  <c r="M1226" i="1"/>
  <c r="L1226" i="1"/>
  <c r="M1225" i="1"/>
  <c r="L1225" i="1"/>
  <c r="M1224" i="1"/>
  <c r="L1224" i="1"/>
  <c r="M1223" i="1"/>
  <c r="L1223" i="1"/>
  <c r="M1222" i="1"/>
  <c r="L1222" i="1"/>
  <c r="M1221" i="1"/>
  <c r="L1221" i="1"/>
  <c r="M1220" i="1"/>
  <c r="L1220" i="1"/>
  <c r="M1219" i="1"/>
  <c r="L1219" i="1"/>
  <c r="M1218" i="1"/>
  <c r="L1218" i="1"/>
  <c r="M1217" i="1"/>
  <c r="L1217" i="1"/>
  <c r="M1216" i="1"/>
  <c r="L1216" i="1"/>
  <c r="M1215" i="1"/>
  <c r="L1215" i="1"/>
  <c r="M1214" i="1"/>
  <c r="L1214" i="1"/>
  <c r="M1213" i="1"/>
  <c r="L1213" i="1"/>
  <c r="M1212" i="1"/>
  <c r="L1212" i="1"/>
  <c r="M1211" i="1"/>
  <c r="L1211" i="1"/>
  <c r="M1210" i="1"/>
  <c r="L1210" i="1"/>
  <c r="M1209" i="1"/>
  <c r="L1209" i="1"/>
  <c r="M1208" i="1"/>
  <c r="L1208" i="1"/>
  <c r="M1207" i="1"/>
  <c r="L1207" i="1"/>
  <c r="M1206" i="1"/>
  <c r="L1206" i="1"/>
  <c r="M1205" i="1"/>
  <c r="L1205" i="1"/>
  <c r="M1204" i="1"/>
  <c r="L1204" i="1"/>
  <c r="M1203" i="1"/>
  <c r="L1203" i="1"/>
  <c r="M1202" i="1"/>
  <c r="L1202" i="1"/>
  <c r="M1201" i="1"/>
  <c r="L1201" i="1"/>
  <c r="M1200" i="1"/>
  <c r="L1200" i="1"/>
  <c r="M1199" i="1"/>
  <c r="L1199" i="1"/>
  <c r="M1198" i="1"/>
  <c r="L1198" i="1"/>
  <c r="M1197" i="1"/>
  <c r="L1197" i="1"/>
  <c r="M1196" i="1"/>
  <c r="L1196" i="1"/>
  <c r="M1195" i="1"/>
  <c r="L1195" i="1"/>
  <c r="M1194" i="1"/>
  <c r="L1194" i="1"/>
  <c r="M1193" i="1"/>
  <c r="L1193" i="1"/>
  <c r="M1192" i="1"/>
  <c r="L1192" i="1"/>
  <c r="M1191" i="1"/>
  <c r="L1191" i="1"/>
  <c r="M1190" i="1"/>
  <c r="L1190" i="1"/>
  <c r="M1189" i="1"/>
  <c r="L1189" i="1"/>
  <c r="M1188" i="1"/>
  <c r="L1188" i="1"/>
  <c r="M1187" i="1"/>
  <c r="L1187" i="1"/>
  <c r="M1186" i="1"/>
  <c r="L1186" i="1"/>
  <c r="M1185" i="1"/>
  <c r="L1185" i="1"/>
  <c r="M1184" i="1"/>
  <c r="L1184" i="1"/>
  <c r="M1183" i="1"/>
  <c r="L1183" i="1"/>
  <c r="M1182" i="1"/>
  <c r="L1182" i="1"/>
  <c r="M1181" i="1"/>
  <c r="L1181" i="1"/>
  <c r="M1180" i="1"/>
  <c r="L1180" i="1"/>
  <c r="M1179" i="1"/>
  <c r="L1179" i="1"/>
  <c r="M1178" i="1"/>
  <c r="L1178" i="1"/>
  <c r="M1177" i="1"/>
  <c r="L1177" i="1"/>
  <c r="M1176" i="1"/>
  <c r="L1176" i="1"/>
  <c r="M1175" i="1"/>
  <c r="L1175" i="1"/>
  <c r="M1174" i="1"/>
  <c r="L1174" i="1"/>
  <c r="M1173" i="1"/>
  <c r="L1173" i="1"/>
  <c r="M1172" i="1"/>
  <c r="L1172" i="1"/>
  <c r="M1171" i="1"/>
  <c r="L1171" i="1"/>
  <c r="M1170" i="1"/>
  <c r="L1170" i="1"/>
  <c r="M1169" i="1"/>
  <c r="L1169" i="1"/>
  <c r="M1168" i="1"/>
  <c r="L1168" i="1"/>
  <c r="M1167" i="1"/>
  <c r="L1167" i="1"/>
  <c r="M1166" i="1"/>
  <c r="L1166" i="1"/>
  <c r="M1165" i="1"/>
  <c r="L1165" i="1"/>
  <c r="M1164" i="1"/>
  <c r="L1164" i="1"/>
  <c r="M1163" i="1"/>
  <c r="L1163" i="1"/>
  <c r="M1162" i="1"/>
  <c r="L1162" i="1"/>
  <c r="M1161" i="1"/>
  <c r="L1161" i="1"/>
  <c r="M1160" i="1"/>
  <c r="L1160" i="1"/>
  <c r="M1159" i="1"/>
  <c r="L1159" i="1"/>
  <c r="M1158" i="1"/>
  <c r="L1158" i="1"/>
  <c r="M1157" i="1"/>
  <c r="L1157" i="1"/>
  <c r="M1156" i="1"/>
  <c r="L1156" i="1"/>
  <c r="M1155" i="1"/>
  <c r="L1155" i="1"/>
  <c r="M1154" i="1"/>
  <c r="L1154" i="1"/>
  <c r="M1153" i="1"/>
  <c r="L1153" i="1"/>
  <c r="M1152" i="1"/>
  <c r="L1152" i="1"/>
  <c r="M1151" i="1"/>
  <c r="L1151" i="1"/>
  <c r="M1150" i="1"/>
  <c r="L1150" i="1"/>
  <c r="M1149" i="1"/>
  <c r="L1149" i="1"/>
  <c r="M1148" i="1"/>
  <c r="L1148" i="1"/>
  <c r="M1147" i="1"/>
  <c r="L1147" i="1"/>
  <c r="M1146" i="1"/>
  <c r="L1146" i="1"/>
  <c r="M1145" i="1"/>
  <c r="L1145" i="1"/>
  <c r="M1144" i="1"/>
  <c r="L1144" i="1"/>
  <c r="M1143" i="1"/>
  <c r="L1143" i="1"/>
  <c r="M1142" i="1"/>
  <c r="L1142" i="1"/>
  <c r="M1141" i="1"/>
  <c r="L1141" i="1"/>
  <c r="M1140" i="1"/>
  <c r="L1140" i="1"/>
  <c r="M1138" i="1"/>
  <c r="L1138" i="1"/>
  <c r="M1137" i="1"/>
  <c r="L1137" i="1"/>
  <c r="M1136" i="1"/>
  <c r="L1136" i="1"/>
  <c r="M1135" i="1"/>
  <c r="L1135" i="1"/>
  <c r="M1134" i="1"/>
  <c r="L1134" i="1"/>
  <c r="M1133" i="1"/>
  <c r="L1133" i="1"/>
  <c r="M1132" i="1"/>
  <c r="L1132" i="1"/>
  <c r="M1131" i="1"/>
  <c r="L1131" i="1"/>
  <c r="M1130" i="1"/>
  <c r="L1130" i="1"/>
  <c r="M1129" i="1"/>
  <c r="L1129" i="1"/>
  <c r="M1128" i="1"/>
  <c r="L1128" i="1"/>
  <c r="M1127" i="1"/>
  <c r="L1127" i="1"/>
  <c r="M1126" i="1"/>
  <c r="L1126" i="1"/>
  <c r="M1125" i="1"/>
  <c r="L1125" i="1"/>
  <c r="M1124" i="1"/>
  <c r="L1124" i="1"/>
  <c r="M1123" i="1"/>
  <c r="L1123" i="1"/>
  <c r="M1122" i="1"/>
  <c r="L1122" i="1"/>
  <c r="M1121" i="1"/>
  <c r="L1121" i="1"/>
  <c r="M1120" i="1"/>
  <c r="L1120" i="1"/>
  <c r="M1119" i="1"/>
  <c r="L1119" i="1"/>
  <c r="M1118" i="1"/>
  <c r="L1118" i="1"/>
  <c r="M1117" i="1"/>
  <c r="L1117" i="1"/>
  <c r="M1116" i="1"/>
  <c r="L1116" i="1"/>
  <c r="M1115" i="1"/>
  <c r="L1115" i="1"/>
  <c r="M1114" i="1"/>
  <c r="L1114" i="1"/>
  <c r="M1113" i="1"/>
  <c r="L1113" i="1"/>
  <c r="M1112" i="1"/>
  <c r="L1112" i="1"/>
  <c r="M1111" i="1"/>
  <c r="L1111" i="1"/>
  <c r="M1110" i="1"/>
  <c r="L1110" i="1"/>
  <c r="M1109" i="1"/>
  <c r="L1109"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0" i="1"/>
  <c r="L1090" i="1"/>
  <c r="M1089" i="1"/>
  <c r="L1089" i="1"/>
  <c r="M1088" i="1"/>
  <c r="L1088" i="1"/>
  <c r="M1087" i="1"/>
  <c r="L1087" i="1"/>
  <c r="M1084" i="1"/>
  <c r="L1084" i="1"/>
  <c r="M1083" i="1"/>
  <c r="L1083" i="1"/>
  <c r="M1082" i="1"/>
  <c r="L1082" i="1"/>
  <c r="M1081" i="1"/>
  <c r="L1081" i="1"/>
  <c r="M1080" i="1"/>
  <c r="L1080" i="1"/>
  <c r="M1079" i="1"/>
  <c r="L1079" i="1"/>
  <c r="M1078" i="1"/>
  <c r="L1078" i="1"/>
  <c r="M1077" i="1"/>
  <c r="L1077" i="1"/>
  <c r="M1074" i="1"/>
  <c r="L1074" i="1"/>
  <c r="M1071" i="1"/>
  <c r="L1071" i="1"/>
  <c r="M1070" i="1"/>
  <c r="L1070" i="1"/>
  <c r="M1069" i="1"/>
  <c r="L1069"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909" i="1"/>
  <c r="L909" i="1"/>
  <c r="M908" i="1"/>
  <c r="L908" i="1"/>
  <c r="M907" i="1"/>
  <c r="L907" i="1"/>
  <c r="M906" i="1"/>
  <c r="L906" i="1"/>
  <c r="M905" i="1"/>
  <c r="L905" i="1"/>
  <c r="M904" i="1"/>
  <c r="L904" i="1"/>
  <c r="M903" i="1"/>
  <c r="L903" i="1"/>
  <c r="M902" i="1"/>
  <c r="L902" i="1"/>
  <c r="M901" i="1"/>
  <c r="L901" i="1"/>
  <c r="M900" i="1"/>
  <c r="L900" i="1"/>
  <c r="M899" i="1"/>
  <c r="L899" i="1"/>
  <c r="M898" i="1"/>
  <c r="L898" i="1"/>
  <c r="M897" i="1"/>
  <c r="L897" i="1"/>
  <c r="M896" i="1"/>
  <c r="L896" i="1"/>
  <c r="M895" i="1"/>
  <c r="L895" i="1"/>
  <c r="M894" i="1"/>
  <c r="L894" i="1"/>
  <c r="M893" i="1"/>
  <c r="L893" i="1"/>
  <c r="M892" i="1"/>
  <c r="L892" i="1"/>
  <c r="M891" i="1"/>
  <c r="L891" i="1"/>
  <c r="M890" i="1"/>
  <c r="L890" i="1"/>
  <c r="M889" i="1"/>
  <c r="L889" i="1"/>
  <c r="M888" i="1"/>
  <c r="L888" i="1"/>
  <c r="M887" i="1"/>
  <c r="L887" i="1"/>
  <c r="M886" i="1"/>
  <c r="L886" i="1"/>
  <c r="M885" i="1"/>
  <c r="L885" i="1"/>
  <c r="M848" i="1"/>
  <c r="L848" i="1"/>
  <c r="M847" i="1"/>
  <c r="L847" i="1"/>
  <c r="M846" i="1"/>
  <c r="L846" i="1"/>
  <c r="M845" i="1"/>
  <c r="L845" i="1"/>
  <c r="M844" i="1"/>
  <c r="L844" i="1"/>
  <c r="M843" i="1"/>
  <c r="L843" i="1"/>
  <c r="M842" i="1"/>
  <c r="L842" i="1"/>
  <c r="M841" i="1"/>
  <c r="L841" i="1"/>
  <c r="M836" i="1"/>
  <c r="L836" i="1"/>
  <c r="M835" i="1"/>
  <c r="L835" i="1"/>
  <c r="M834" i="1"/>
  <c r="L834" i="1"/>
  <c r="M833" i="1"/>
  <c r="L833" i="1"/>
  <c r="M832" i="1"/>
  <c r="L832" i="1"/>
  <c r="M830" i="1"/>
  <c r="L830" i="1"/>
  <c r="M829" i="1"/>
  <c r="L829" i="1"/>
  <c r="M828" i="1"/>
  <c r="L828" i="1"/>
  <c r="M827" i="1"/>
  <c r="L827" i="1"/>
  <c r="M826" i="1"/>
  <c r="L826" i="1"/>
  <c r="M825" i="1"/>
  <c r="L825" i="1"/>
  <c r="M824" i="1"/>
  <c r="L824"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7" i="1"/>
  <c r="L737" i="1"/>
  <c r="M736" i="1"/>
  <c r="L736" i="1"/>
  <c r="M735" i="1"/>
  <c r="L735" i="1"/>
  <c r="M734" i="1"/>
  <c r="L734" i="1"/>
  <c r="M733" i="1"/>
  <c r="L733" i="1"/>
  <c r="M732" i="1"/>
  <c r="L732" i="1"/>
  <c r="M731" i="1"/>
  <c r="L731" i="1"/>
  <c r="M730" i="1"/>
  <c r="L730" i="1"/>
  <c r="M729" i="1"/>
  <c r="L729" i="1"/>
  <c r="M728" i="1"/>
  <c r="L728" i="1"/>
  <c r="M727" i="1"/>
  <c r="L727" i="1"/>
  <c r="M726" i="1"/>
  <c r="L726" i="1"/>
  <c r="M725" i="1"/>
  <c r="L725" i="1"/>
  <c r="M724" i="1"/>
  <c r="L724" i="1"/>
  <c r="M723" i="1"/>
  <c r="L723" i="1"/>
  <c r="M722" i="1"/>
  <c r="L722" i="1"/>
  <c r="M721" i="1"/>
  <c r="L721" i="1"/>
  <c r="M720" i="1"/>
  <c r="L720" i="1"/>
  <c r="M719" i="1"/>
  <c r="L719" i="1"/>
  <c r="M718" i="1"/>
  <c r="L718" i="1"/>
  <c r="M717" i="1"/>
  <c r="L717" i="1"/>
  <c r="M716" i="1"/>
  <c r="L716" i="1"/>
  <c r="M715" i="1"/>
  <c r="L715" i="1"/>
  <c r="M714" i="1"/>
  <c r="L714" i="1"/>
  <c r="M713" i="1"/>
  <c r="L713" i="1"/>
  <c r="M712" i="1"/>
  <c r="L712" i="1"/>
  <c r="M711" i="1"/>
  <c r="L711" i="1"/>
  <c r="M710" i="1"/>
  <c r="L710" i="1"/>
  <c r="M709" i="1"/>
  <c r="L709" i="1"/>
  <c r="M708" i="1"/>
  <c r="L708" i="1"/>
  <c r="M707" i="1"/>
  <c r="L707" i="1"/>
  <c r="M706" i="1"/>
  <c r="L706" i="1"/>
  <c r="M705" i="1"/>
  <c r="L705" i="1"/>
  <c r="M704" i="1"/>
  <c r="L704"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64" i="1"/>
  <c r="L664" i="1"/>
  <c r="M663" i="1"/>
  <c r="L663" i="1"/>
  <c r="M662" i="1"/>
  <c r="L662" i="1"/>
  <c r="M661" i="1"/>
  <c r="L661" i="1"/>
  <c r="M660" i="1"/>
  <c r="L660" i="1"/>
  <c r="M659" i="1"/>
  <c r="L659" i="1"/>
  <c r="M658" i="1"/>
  <c r="L658" i="1"/>
  <c r="M657" i="1"/>
  <c r="L657"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4" i="1"/>
  <c r="L544" i="1"/>
  <c r="M543" i="1"/>
  <c r="L543" i="1"/>
  <c r="M542" i="1"/>
  <c r="L542" i="1"/>
  <c r="M540" i="1"/>
  <c r="L540" i="1"/>
  <c r="M539" i="1"/>
  <c r="L539" i="1"/>
  <c r="M538" i="1"/>
  <c r="L538" i="1"/>
  <c r="M537" i="1"/>
  <c r="L537" i="1"/>
  <c r="M534" i="1"/>
  <c r="L534" i="1"/>
  <c r="M533" i="1"/>
  <c r="L533" i="1"/>
  <c r="M532" i="1"/>
  <c r="L532" i="1"/>
  <c r="M531" i="1"/>
  <c r="L531" i="1"/>
  <c r="M530" i="1"/>
  <c r="L530" i="1"/>
  <c r="M529" i="1"/>
  <c r="L529" i="1"/>
  <c r="M528" i="1"/>
  <c r="L528" i="1"/>
  <c r="M527" i="1"/>
  <c r="L527" i="1"/>
  <c r="M526" i="1"/>
  <c r="L526" i="1"/>
  <c r="M525" i="1"/>
  <c r="L525"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2" i="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 r="M50" i="4" l="1"/>
  <c r="L50" i="4"/>
  <c r="M48" i="4"/>
  <c r="L48" i="4"/>
  <c r="M47" i="4"/>
  <c r="L47" i="4"/>
  <c r="M29" i="4"/>
  <c r="L29" i="4"/>
  <c r="M26" i="4"/>
  <c r="L26" i="4"/>
  <c r="M25" i="4"/>
  <c r="L25" i="4"/>
  <c r="M1438" i="1"/>
  <c r="L1438" i="1"/>
  <c r="M1437" i="1"/>
  <c r="L1437" i="1"/>
  <c r="M1436" i="1"/>
  <c r="L1436" i="1"/>
</calcChain>
</file>

<file path=xl/sharedStrings.xml><?xml version="1.0" encoding="utf-8"?>
<sst xmlns="http://schemas.openxmlformats.org/spreadsheetml/2006/main" count="80794" uniqueCount="5757">
  <si>
    <t>Id</t>
  </si>
  <si>
    <t>Indicador</t>
  </si>
  <si>
    <t>Proceso</t>
  </si>
  <si>
    <t>Periodicidad</t>
  </si>
  <si>
    <t>Sentido</t>
  </si>
  <si>
    <t>Fecha</t>
  </si>
  <si>
    <t>Año</t>
  </si>
  <si>
    <t>Mes</t>
  </si>
  <si>
    <t>Semestre</t>
  </si>
  <si>
    <t>Meta</t>
  </si>
  <si>
    <t>Ejecucion</t>
  </si>
  <si>
    <t>Cumplimiento</t>
  </si>
  <si>
    <t>Cumplimiento Real</t>
  </si>
  <si>
    <t>Meta_Signo</t>
  </si>
  <si>
    <t>Ejecucion_Signo</t>
  </si>
  <si>
    <t>Decimales_Meta</t>
  </si>
  <si>
    <t>Decimales_Ejecucion</t>
  </si>
  <si>
    <t>LLAVE</t>
  </si>
  <si>
    <t>Tipo_Registro</t>
  </si>
  <si>
    <t>Evaluación de desempeño a proveedores críticos</t>
  </si>
  <si>
    <t>GESTIÓN DE ABASTECIMIENTO</t>
  </si>
  <si>
    <t>Semestral</t>
  </si>
  <si>
    <t>Positivo</t>
  </si>
  <si>
    <t>Junio</t>
  </si>
  <si>
    <t>2022-1</t>
  </si>
  <si>
    <t>%</t>
  </si>
  <si>
    <t>68-2022-06-30</t>
  </si>
  <si>
    <t>Diciembre</t>
  </si>
  <si>
    <t>2022-2</t>
  </si>
  <si>
    <t>68-2022-12-31</t>
  </si>
  <si>
    <t>2023-1</t>
  </si>
  <si>
    <t>68-2023-06-30</t>
  </si>
  <si>
    <t>2023-2</t>
  </si>
  <si>
    <t>68-2023-12-31</t>
  </si>
  <si>
    <t>2024-1</t>
  </si>
  <si>
    <t>68-2024-06-30</t>
  </si>
  <si>
    <t>2024-2</t>
  </si>
  <si>
    <t>68-2024-12-31</t>
  </si>
  <si>
    <t>Oportunidad de Respuesta Solicitudes de Compra No Licitadas</t>
  </si>
  <si>
    <t>Trimestral</t>
  </si>
  <si>
    <t>Marzo</t>
  </si>
  <si>
    <t>69-2022-03-31</t>
  </si>
  <si>
    <t>69-2022-06-30</t>
  </si>
  <si>
    <t>Septiembre</t>
  </si>
  <si>
    <t>69-2022-09-30</t>
  </si>
  <si>
    <t>69-2022-12-31</t>
  </si>
  <si>
    <t>69-2023-03-31</t>
  </si>
  <si>
    <t>69-2023-06-30</t>
  </si>
  <si>
    <t>69-2023-09-30</t>
  </si>
  <si>
    <t>69-2023-12-31</t>
  </si>
  <si>
    <t>69-2024-03-31</t>
  </si>
  <si>
    <t>69-2024-06-30</t>
  </si>
  <si>
    <t>69-2024-09-30</t>
  </si>
  <si>
    <t>69-2024-12-31</t>
  </si>
  <si>
    <t>Tiempo respuesta selección y contratación de colaboradores de planta</t>
  </si>
  <si>
    <t>GESTIÓN Y DESARROLLO DEL TALENTO HUMANO</t>
  </si>
  <si>
    <t>Negativo</t>
  </si>
  <si>
    <t>Días</t>
  </si>
  <si>
    <t>73-2022-06-30</t>
  </si>
  <si>
    <t>73-2022-12-31</t>
  </si>
  <si>
    <t>73-2023-06-30</t>
  </si>
  <si>
    <t>73-2023-12-31</t>
  </si>
  <si>
    <t>73-2024-06-30</t>
  </si>
  <si>
    <t>73-2024-12-31</t>
  </si>
  <si>
    <t>Efectividad en las contrataciones</t>
  </si>
  <si>
    <t>74-2022-06-30</t>
  </si>
  <si>
    <t>74-2022-12-31</t>
  </si>
  <si>
    <t>74-2023-06-30</t>
  </si>
  <si>
    <t>74-2023-12-31</t>
  </si>
  <si>
    <t>74-2024-06-30</t>
  </si>
  <si>
    <t>74-2024-12-31</t>
  </si>
  <si>
    <t>Disponibilidad de servicios tecnológicos</t>
  </si>
  <si>
    <t>GESTIÓN DE LA TECNOLOGÍA E INNOVACIÓN DIGITAL</t>
  </si>
  <si>
    <t>Mensual</t>
  </si>
  <si>
    <t>Enero</t>
  </si>
  <si>
    <t>77-2022-01-31</t>
  </si>
  <si>
    <t>Febrero</t>
  </si>
  <si>
    <t>77-2022-02-28</t>
  </si>
  <si>
    <t>77-2022-03-31</t>
  </si>
  <si>
    <t>Abril</t>
  </si>
  <si>
    <t>77-2022-04-30</t>
  </si>
  <si>
    <t>Mayo</t>
  </si>
  <si>
    <t>77-2022-05-31</t>
  </si>
  <si>
    <t>77-2022-06-30</t>
  </si>
  <si>
    <t>Julio</t>
  </si>
  <si>
    <t>77-2022-07-31</t>
  </si>
  <si>
    <t>Agosto</t>
  </si>
  <si>
    <t>77-2022-08-31</t>
  </si>
  <si>
    <t>77-2022-09-30</t>
  </si>
  <si>
    <t>Octubre</t>
  </si>
  <si>
    <t>77-2022-10-31</t>
  </si>
  <si>
    <t>Noviembre</t>
  </si>
  <si>
    <t>77-2022-11-30</t>
  </si>
  <si>
    <t>77-2022-12-31</t>
  </si>
  <si>
    <t>Gestión de la tecnología e innovación digital</t>
  </si>
  <si>
    <t>77-2023-01-31</t>
  </si>
  <si>
    <t>77-2023-02-28</t>
  </si>
  <si>
    <t>77-2023-03-31</t>
  </si>
  <si>
    <t>77-2023-04-30</t>
  </si>
  <si>
    <t>77-2023-05-31</t>
  </si>
  <si>
    <t>77-2023-06-30</t>
  </si>
  <si>
    <t>77-2023-07-31</t>
  </si>
  <si>
    <t>77-2023-08-31</t>
  </si>
  <si>
    <t>77-2023-09-30</t>
  </si>
  <si>
    <t>77-2023-10-31</t>
  </si>
  <si>
    <t>77-2023-11-30</t>
  </si>
  <si>
    <t>77-2023-12-31</t>
  </si>
  <si>
    <t>77-2024-01-31</t>
  </si>
  <si>
    <t>77-2024-02-29</t>
  </si>
  <si>
    <t>77-2024-03-31</t>
  </si>
  <si>
    <t>77-2024-04-30</t>
  </si>
  <si>
    <t>77-2024-05-31</t>
  </si>
  <si>
    <t>77-2024-06-30</t>
  </si>
  <si>
    <t>77-2024-07-31</t>
  </si>
  <si>
    <t>77-2024-08-31</t>
  </si>
  <si>
    <t>77-2024-09-30</t>
  </si>
  <si>
    <t>77-2024-10-31</t>
  </si>
  <si>
    <t>77-2024-11-30</t>
  </si>
  <si>
    <t>77-2024-12-31</t>
  </si>
  <si>
    <t>Cumplimiento programa de auditoría</t>
  </si>
  <si>
    <t>AUDITORÍA INTERNA</t>
  </si>
  <si>
    <t>Bimestral</t>
  </si>
  <si>
    <t>78-2023-04-30</t>
  </si>
  <si>
    <t>78-2023-06-30</t>
  </si>
  <si>
    <t>78-2023-08-31</t>
  </si>
  <si>
    <t>78-2023-10-31</t>
  </si>
  <si>
    <t>78-2023-12-31</t>
  </si>
  <si>
    <t>78-2024-04-30</t>
  </si>
  <si>
    <t>78-2024-06-30</t>
  </si>
  <si>
    <t>78-2024-08-31</t>
  </si>
  <si>
    <t>78-2024-10-31</t>
  </si>
  <si>
    <t>78-2024-12-31</t>
  </si>
  <si>
    <t>Cierre Eficaz De Oportunidades De Mejora De Auditoria Interna</t>
  </si>
  <si>
    <t>79-2023-06-30</t>
  </si>
  <si>
    <t>79-2023-08-31</t>
  </si>
  <si>
    <t>79-2023-10-31</t>
  </si>
  <si>
    <t>79-2023-12-31</t>
  </si>
  <si>
    <t>Funcionamiento del COPASST</t>
  </si>
  <si>
    <t>GESTIÓN DE SEGURIDAD Y SALUD EN EL TRABAJO</t>
  </si>
  <si>
    <t>Anual</t>
  </si>
  <si>
    <t>84-2022-12-31</t>
  </si>
  <si>
    <t>84-2023-12-31</t>
  </si>
  <si>
    <t>84-2024-12-31</t>
  </si>
  <si>
    <t>Plan de Emergencias</t>
  </si>
  <si>
    <t>85-2022-12-31</t>
  </si>
  <si>
    <t>85-2023-12-31</t>
  </si>
  <si>
    <t>85-2024-12-31</t>
  </si>
  <si>
    <t>Reporte e investigación</t>
  </si>
  <si>
    <t>86-2022-06-30</t>
  </si>
  <si>
    <t>86-2022-12-31</t>
  </si>
  <si>
    <t>86-2023-06-30</t>
  </si>
  <si>
    <t>86-2023-12-31</t>
  </si>
  <si>
    <t>86-2024-06-30</t>
  </si>
  <si>
    <t>86-2024-12-31</t>
  </si>
  <si>
    <t>Autoevaluación</t>
  </si>
  <si>
    <t>87-2022-12-31</t>
  </si>
  <si>
    <t>87-2023-12-31</t>
  </si>
  <si>
    <t>87-2024-12-31</t>
  </si>
  <si>
    <t>Ejecución del plan de trabajo</t>
  </si>
  <si>
    <t>88-2022-12-31</t>
  </si>
  <si>
    <t>88-2023-12-31</t>
  </si>
  <si>
    <t>88-2024-12-31</t>
  </si>
  <si>
    <t>Ejecución plan de capacitación</t>
  </si>
  <si>
    <t>89-2022-12-31</t>
  </si>
  <si>
    <t>89-2023-12-31</t>
  </si>
  <si>
    <t>89-2024-12-31</t>
  </si>
  <si>
    <t>Ejecución de Simulacros</t>
  </si>
  <si>
    <t>90-2022-12-31</t>
  </si>
  <si>
    <t>90-2023-12-31</t>
  </si>
  <si>
    <t>90-2024-12-31</t>
  </si>
  <si>
    <t>Participación en capacitaciones SST</t>
  </si>
  <si>
    <t>91-2022-12-31</t>
  </si>
  <si>
    <t>91-2023-12-31</t>
  </si>
  <si>
    <t>91-2024-12-31</t>
  </si>
  <si>
    <t>Evaluación condiciones de salud (examen médico)</t>
  </si>
  <si>
    <t>92-2022-12-31</t>
  </si>
  <si>
    <t>92-2023-12-31</t>
  </si>
  <si>
    <t>92-2024-12-31</t>
  </si>
  <si>
    <t>Cobertura Elementos de Protección Personal</t>
  </si>
  <si>
    <t>94-2022-12-31</t>
  </si>
  <si>
    <t>94-2023-12-31</t>
  </si>
  <si>
    <t>94-2024-12-31</t>
  </si>
  <si>
    <t>Inspecciones de seguridad</t>
  </si>
  <si>
    <t>95-2022-06-30</t>
  </si>
  <si>
    <t>95-2022-12-31</t>
  </si>
  <si>
    <t>95-2023-06-30</t>
  </si>
  <si>
    <t>95-2023-12-31</t>
  </si>
  <si>
    <t>95-2024-06-30</t>
  </si>
  <si>
    <t>95-2024-12-31</t>
  </si>
  <si>
    <t>Productos de investigación, innovación y creación</t>
  </si>
  <si>
    <t>Investigación, desarrollo tecnológico, innovación y creación</t>
  </si>
  <si>
    <t>96-2022-12-31</t>
  </si>
  <si>
    <t>Cumplimiento de requisitos legales SST</t>
  </si>
  <si>
    <t>100-2022-12-31</t>
  </si>
  <si>
    <t>100-2023-12-31</t>
  </si>
  <si>
    <t>100-2024-12-31</t>
  </si>
  <si>
    <t>Tasa de accidentalidad</t>
  </si>
  <si>
    <t>DEC</t>
  </si>
  <si>
    <t>104-2022-12-31</t>
  </si>
  <si>
    <t>104-2023-12-31</t>
  </si>
  <si>
    <t>104-2024-12-31</t>
  </si>
  <si>
    <t>Mortalidad de los accidentes laborales</t>
  </si>
  <si>
    <t>106-2022-12-31</t>
  </si>
  <si>
    <t>ENT</t>
  </si>
  <si>
    <t>106-2023-12-31</t>
  </si>
  <si>
    <t>106-2024-12-31</t>
  </si>
  <si>
    <t>Nivel de Satisfacción Servicios Prestados</t>
  </si>
  <si>
    <t>Comunicaciones Internas</t>
  </si>
  <si>
    <t>109-2023-10-31</t>
  </si>
  <si>
    <t>109-2024-10-31</t>
  </si>
  <si>
    <t>Planeación Financiera</t>
  </si>
  <si>
    <t>110-2022-10-31</t>
  </si>
  <si>
    <t>110-2023-10-31</t>
  </si>
  <si>
    <t>110-2023-12-31</t>
  </si>
  <si>
    <t>111-2022-09-30</t>
  </si>
  <si>
    <t>111-2023-03-31</t>
  </si>
  <si>
    <t>111-2023-06-30</t>
  </si>
  <si>
    <t>111-2023-09-30</t>
  </si>
  <si>
    <t>111-2023-12-31</t>
  </si>
  <si>
    <t>111-2024-03-31</t>
  </si>
  <si>
    <t>111-2024-06-30</t>
  </si>
  <si>
    <t>111-2024-09-30</t>
  </si>
  <si>
    <t>111-2024-12-31</t>
  </si>
  <si>
    <t>No Aplica</t>
  </si>
  <si>
    <t>Gestión Infraestructura Física</t>
  </si>
  <si>
    <t>112-2022-10-31</t>
  </si>
  <si>
    <t>112-2023-10-31</t>
  </si>
  <si>
    <t>112-2024-10-31</t>
  </si>
  <si>
    <t>Gestión y Desarrollo del Talento Humano</t>
  </si>
  <si>
    <t>113-2022-10-31</t>
  </si>
  <si>
    <t>113-2023-10-31</t>
  </si>
  <si>
    <t>113-2024-10-31</t>
  </si>
  <si>
    <t>114-2022-10-31</t>
  </si>
  <si>
    <t>114-2023-10-31</t>
  </si>
  <si>
    <t>114-2024-10-31</t>
  </si>
  <si>
    <t>115-2022-10-31</t>
  </si>
  <si>
    <t>Gestión de seguridad y salud en el trabajo</t>
  </si>
  <si>
    <t>115-2023-10-31</t>
  </si>
  <si>
    <t>115-2023-12-31</t>
  </si>
  <si>
    <t>115-2024-10-31</t>
  </si>
  <si>
    <t>116-2023-04-30</t>
  </si>
  <si>
    <t>116-2023-06-30</t>
  </si>
  <si>
    <t>116-2023-08-31</t>
  </si>
  <si>
    <t>116-2023-10-31</t>
  </si>
  <si>
    <t>116-2023-12-31</t>
  </si>
  <si>
    <t>116-2024-02-29</t>
  </si>
  <si>
    <t>116-2024-04-30</t>
  </si>
  <si>
    <t>116-2024-06-30</t>
  </si>
  <si>
    <t>116-2024-08-31</t>
  </si>
  <si>
    <t>116-2024-10-31</t>
  </si>
  <si>
    <t>116-2024-12-31</t>
  </si>
  <si>
    <t>GESTIÓN AMBIENTAL</t>
  </si>
  <si>
    <t>117-2022-10-31</t>
  </si>
  <si>
    <t>117-2023-10-31</t>
  </si>
  <si>
    <t>117-2024-10-31</t>
  </si>
  <si>
    <t>Gestión de Calidad</t>
  </si>
  <si>
    <t>118-2022-10-31</t>
  </si>
  <si>
    <t>Nivel de Satisfacción del sistema de gestión de calidad</t>
  </si>
  <si>
    <t>Gestión de calidad</t>
  </si>
  <si>
    <t>118-2023-10-31</t>
  </si>
  <si>
    <t>118-2023-12-31</t>
  </si>
  <si>
    <t>118-2024-10-31</t>
  </si>
  <si>
    <t>118-2024-12-31</t>
  </si>
  <si>
    <t>Ejecución presupuestal de la nómina acumulada</t>
  </si>
  <si>
    <t>$</t>
  </si>
  <si>
    <t>121-2022-01-31</t>
  </si>
  <si>
    <t>121-2022-02-28</t>
  </si>
  <si>
    <t>121-2022-03-31</t>
  </si>
  <si>
    <t>121-2022-04-30</t>
  </si>
  <si>
    <t>121-2022-05-31</t>
  </si>
  <si>
    <t>121-2022-06-30</t>
  </si>
  <si>
    <t>121-2022-07-31</t>
  </si>
  <si>
    <t>121-2022-08-31</t>
  </si>
  <si>
    <t>121-2022-09-30</t>
  </si>
  <si>
    <t>121-2022-10-31</t>
  </si>
  <si>
    <t>121-2022-11-30</t>
  </si>
  <si>
    <t>121-2022-12-31</t>
  </si>
  <si>
    <t>121-2023-01-31</t>
  </si>
  <si>
    <t>121-2023-02-28</t>
  </si>
  <si>
    <t>121-2023-03-31</t>
  </si>
  <si>
    <t>121-2023-04-30</t>
  </si>
  <si>
    <t>121-2023-05-31</t>
  </si>
  <si>
    <t>121-2023-06-30</t>
  </si>
  <si>
    <t>121-2023-07-31</t>
  </si>
  <si>
    <t>121-2023-08-31</t>
  </si>
  <si>
    <t>121-2023-09-30</t>
  </si>
  <si>
    <t>121-2023-10-31</t>
  </si>
  <si>
    <t>121-2023-11-30</t>
  </si>
  <si>
    <t>121-2023-12-31</t>
  </si>
  <si>
    <t>121-2024-01-31</t>
  </si>
  <si>
    <t>121-2024-02-29</t>
  </si>
  <si>
    <t>121-2024-03-31</t>
  </si>
  <si>
    <t>121-2024-04-30</t>
  </si>
  <si>
    <t>121-2024-05-31</t>
  </si>
  <si>
    <t>121-2024-06-30</t>
  </si>
  <si>
    <t>121-2024-07-31</t>
  </si>
  <si>
    <t>121-2024-08-31</t>
  </si>
  <si>
    <t>121-2024-09-30</t>
  </si>
  <si>
    <t>121-2024-10-31</t>
  </si>
  <si>
    <t>121-2024-11-30</t>
  </si>
  <si>
    <t>121-2024-12-31</t>
  </si>
  <si>
    <t>Eficacia en la solicitud documental- por periodo</t>
  </si>
  <si>
    <t>122-2022-02-28</t>
  </si>
  <si>
    <t>122-2022-04-30</t>
  </si>
  <si>
    <t>122-2022-06-30</t>
  </si>
  <si>
    <t>122-2022-07-31</t>
  </si>
  <si>
    <t>122-2022-08-31</t>
  </si>
  <si>
    <t>122-2022-09-30</t>
  </si>
  <si>
    <t>122-2022-10-31</t>
  </si>
  <si>
    <t>122-2022-11-30</t>
  </si>
  <si>
    <t>122-2022-12-31</t>
  </si>
  <si>
    <t>122-2023-01-31</t>
  </si>
  <si>
    <t>122-2023-02-28</t>
  </si>
  <si>
    <t>122-2023-03-31</t>
  </si>
  <si>
    <t>122-2023-04-30</t>
  </si>
  <si>
    <t>122-2023-05-31</t>
  </si>
  <si>
    <t>122-2023-06-30</t>
  </si>
  <si>
    <t>122-2023-07-31</t>
  </si>
  <si>
    <t>122-2023-08-31</t>
  </si>
  <si>
    <t>122-2023-09-30</t>
  </si>
  <si>
    <t>122-2023-10-31</t>
  </si>
  <si>
    <t>122-2023-11-30</t>
  </si>
  <si>
    <t>122-2023-12-31</t>
  </si>
  <si>
    <t>122-2024-01-31</t>
  </si>
  <si>
    <t>122-2024-02-29</t>
  </si>
  <si>
    <t>122-2024-03-31</t>
  </si>
  <si>
    <t>122-2024-04-30</t>
  </si>
  <si>
    <t>122-2024-05-31</t>
  </si>
  <si>
    <t>122-2024-06-30</t>
  </si>
  <si>
    <t>122-2024-07-31</t>
  </si>
  <si>
    <t>122-2024-08-31</t>
  </si>
  <si>
    <t>122-2024-09-30</t>
  </si>
  <si>
    <t>122-2024-10-31</t>
  </si>
  <si>
    <t>122-2024-11-30</t>
  </si>
  <si>
    <t>122-2024-12-31</t>
  </si>
  <si>
    <t>Indice de Frecuencia de accidentalidad</t>
  </si>
  <si>
    <t>124-2022-01-31</t>
  </si>
  <si>
    <t>124-2022-02-28</t>
  </si>
  <si>
    <t>124-2022-03-31</t>
  </si>
  <si>
    <t>124-2022-04-30</t>
  </si>
  <si>
    <t>124-2022-05-31</t>
  </si>
  <si>
    <t>124-2022-06-30</t>
  </si>
  <si>
    <t>124-2022-07-31</t>
  </si>
  <si>
    <t>124-2022-08-31</t>
  </si>
  <si>
    <t>124-2022-09-30</t>
  </si>
  <si>
    <t>124-2022-10-31</t>
  </si>
  <si>
    <t>124-2022-11-30</t>
  </si>
  <si>
    <t>124-2022-12-31</t>
  </si>
  <si>
    <t>124-2023-01-31</t>
  </si>
  <si>
    <t>124-2023-02-28</t>
  </si>
  <si>
    <t>124-2023-03-31</t>
  </si>
  <si>
    <t>124-2023-04-30</t>
  </si>
  <si>
    <t>124-2023-05-31</t>
  </si>
  <si>
    <t>124-2023-06-30</t>
  </si>
  <si>
    <t>124-2023-07-31</t>
  </si>
  <si>
    <t>124-2023-08-31</t>
  </si>
  <si>
    <t>124-2023-09-30</t>
  </si>
  <si>
    <t>124-2023-10-31</t>
  </si>
  <si>
    <t>124-2023-11-30</t>
  </si>
  <si>
    <t>124-2023-12-31</t>
  </si>
  <si>
    <t>124-2024-01-31</t>
  </si>
  <si>
    <t>124-2024-02-29</t>
  </si>
  <si>
    <t>124-2024-03-31</t>
  </si>
  <si>
    <t>124-2024-04-30</t>
  </si>
  <si>
    <t>124-2024-05-31</t>
  </si>
  <si>
    <t>124-2024-06-30</t>
  </si>
  <si>
    <t>124-2024-07-31</t>
  </si>
  <si>
    <t>124-2024-08-31</t>
  </si>
  <si>
    <t>124-2024-09-30</t>
  </si>
  <si>
    <t>124-2024-10-31</t>
  </si>
  <si>
    <t>124-2024-11-30</t>
  </si>
  <si>
    <t>124-2024-12-31</t>
  </si>
  <si>
    <t>Indice de severidad</t>
  </si>
  <si>
    <t>125-2022-01-31</t>
  </si>
  <si>
    <t>125-2022-02-28</t>
  </si>
  <si>
    <t>125-2022-03-31</t>
  </si>
  <si>
    <t>125-2022-04-30</t>
  </si>
  <si>
    <t>125-2022-05-31</t>
  </si>
  <si>
    <t>125-2022-06-30</t>
  </si>
  <si>
    <t>125-2022-07-31</t>
  </si>
  <si>
    <t>125-2022-08-31</t>
  </si>
  <si>
    <t>125-2022-09-30</t>
  </si>
  <si>
    <t>125-2022-10-31</t>
  </si>
  <si>
    <t>125-2022-11-30</t>
  </si>
  <si>
    <t>125-2022-12-31</t>
  </si>
  <si>
    <t>125-2023-01-31</t>
  </si>
  <si>
    <t>125-2023-02-28</t>
  </si>
  <si>
    <t>125-2023-03-31</t>
  </si>
  <si>
    <t>125-2023-04-30</t>
  </si>
  <si>
    <t>125-2023-05-31</t>
  </si>
  <si>
    <t>125-2023-06-30</t>
  </si>
  <si>
    <t>125-2023-07-31</t>
  </si>
  <si>
    <t>125-2023-08-31</t>
  </si>
  <si>
    <t>125-2023-09-30</t>
  </si>
  <si>
    <t>125-2023-10-31</t>
  </si>
  <si>
    <t>125-2023-11-30</t>
  </si>
  <si>
    <t>125-2023-12-31</t>
  </si>
  <si>
    <t>125-2024-01-31</t>
  </si>
  <si>
    <t>125-2024-02-29</t>
  </si>
  <si>
    <t>125-2024-03-31</t>
  </si>
  <si>
    <t>125-2024-04-30</t>
  </si>
  <si>
    <t>125-2024-05-31</t>
  </si>
  <si>
    <t>125-2024-06-30</t>
  </si>
  <si>
    <t>125-2024-07-31</t>
  </si>
  <si>
    <t>125-2024-08-31</t>
  </si>
  <si>
    <t>125-2024-09-30</t>
  </si>
  <si>
    <t>125-2024-10-31</t>
  </si>
  <si>
    <t>125-2024-11-30</t>
  </si>
  <si>
    <t>125-2024-12-31</t>
  </si>
  <si>
    <t>Indice de Prevalencia EL Enfermedad laboral</t>
  </si>
  <si>
    <t>126-2022-12-31</t>
  </si>
  <si>
    <t>126-2023-12-31</t>
  </si>
  <si>
    <t>126-2024-12-31</t>
  </si>
  <si>
    <t>Indice de Incidencia EL Enfermedad laboral</t>
  </si>
  <si>
    <t>127-2022-12-31</t>
  </si>
  <si>
    <t>127-2023-12-31</t>
  </si>
  <si>
    <t>127-2024-12-31</t>
  </si>
  <si>
    <t>Ausentísmo por causa médica</t>
  </si>
  <si>
    <t>128-2022-01-31</t>
  </si>
  <si>
    <t>128-2022-02-28</t>
  </si>
  <si>
    <t>128-2022-03-31</t>
  </si>
  <si>
    <t>128-2022-04-30</t>
  </si>
  <si>
    <t>128-2022-05-31</t>
  </si>
  <si>
    <t>128-2022-06-30</t>
  </si>
  <si>
    <t>128-2022-07-31</t>
  </si>
  <si>
    <t>128-2022-08-31</t>
  </si>
  <si>
    <t>128-2022-09-30</t>
  </si>
  <si>
    <t>128-2022-10-31</t>
  </si>
  <si>
    <t>128-2022-11-30</t>
  </si>
  <si>
    <t>128-2022-12-31</t>
  </si>
  <si>
    <t>128-2023-01-31</t>
  </si>
  <si>
    <t>128-2023-02-28</t>
  </si>
  <si>
    <t>128-2023-03-31</t>
  </si>
  <si>
    <t>128-2023-04-30</t>
  </si>
  <si>
    <t>128-2023-05-31</t>
  </si>
  <si>
    <t>128-2023-06-30</t>
  </si>
  <si>
    <t>128-2023-07-31</t>
  </si>
  <si>
    <t>128-2023-08-31</t>
  </si>
  <si>
    <t>128-2023-09-30</t>
  </si>
  <si>
    <t>128-2023-10-31</t>
  </si>
  <si>
    <t>128-2023-11-30</t>
  </si>
  <si>
    <t>128-2023-12-31</t>
  </si>
  <si>
    <t>128-2024-01-31</t>
  </si>
  <si>
    <t>128-2024-02-29</t>
  </si>
  <si>
    <t>128-2024-03-31</t>
  </si>
  <si>
    <t>128-2024-04-30</t>
  </si>
  <si>
    <t>128-2024-05-31</t>
  </si>
  <si>
    <t>128-2024-06-30</t>
  </si>
  <si>
    <t>128-2024-07-31</t>
  </si>
  <si>
    <t>128-2024-08-31</t>
  </si>
  <si>
    <t>128-2024-09-30</t>
  </si>
  <si>
    <t>128-2024-10-31</t>
  </si>
  <si>
    <t>128-2024-11-30</t>
  </si>
  <si>
    <t>128-2024-12-31</t>
  </si>
  <si>
    <t>VISIBILIDAD NACIONAL E INTERNACIONAL</t>
  </si>
  <si>
    <t>133-2022-10-31</t>
  </si>
  <si>
    <t>133-2023-10-31</t>
  </si>
  <si>
    <t>133-2023-12-31</t>
  </si>
  <si>
    <t>133-2024-10-31</t>
  </si>
  <si>
    <t>133-2024-12-31</t>
  </si>
  <si>
    <t>Ejecución de actividades culturales</t>
  </si>
  <si>
    <t>Biblioteca Institucional</t>
  </si>
  <si>
    <t>136-2023-06-30</t>
  </si>
  <si>
    <t>136-2023-12-31</t>
  </si>
  <si>
    <t>Ejecución de Talleres de formación</t>
  </si>
  <si>
    <t>137-2023-03-31</t>
  </si>
  <si>
    <t>137-2023-06-30</t>
  </si>
  <si>
    <t>137-2023-09-30</t>
  </si>
  <si>
    <t>137-2023-12-31</t>
  </si>
  <si>
    <t>Ejecución presupuestal del gasto</t>
  </si>
  <si>
    <t>139-2023-01-31</t>
  </si>
  <si>
    <t>139-2023-02-28</t>
  </si>
  <si>
    <t>139-2023-03-31</t>
  </si>
  <si>
    <t>139-2023-04-30</t>
  </si>
  <si>
    <t>139-2023-05-31</t>
  </si>
  <si>
    <t>139-2023-06-30</t>
  </si>
  <si>
    <t>139-2023-07-31</t>
  </si>
  <si>
    <t>139-2023-08-31</t>
  </si>
  <si>
    <t>139-2023-09-30</t>
  </si>
  <si>
    <t>139-2023-10-31</t>
  </si>
  <si>
    <t>139-2023-11-30</t>
  </si>
  <si>
    <t>139-2023-12-31</t>
  </si>
  <si>
    <t>139-2024-01-31</t>
  </si>
  <si>
    <t>139-2024-02-29</t>
  </si>
  <si>
    <t>139-2024-03-31</t>
  </si>
  <si>
    <t>139-2024-04-30</t>
  </si>
  <si>
    <t>139-2024-05-31</t>
  </si>
  <si>
    <t>139-2024-06-30</t>
  </si>
  <si>
    <t>139-2024-07-31</t>
  </si>
  <si>
    <t>139-2024-08-31</t>
  </si>
  <si>
    <t>139-2024-09-30</t>
  </si>
  <si>
    <t>139-2024-10-31</t>
  </si>
  <si>
    <t>139-2024-11-30</t>
  </si>
  <si>
    <t>139-2024-12-31</t>
  </si>
  <si>
    <t>Proyectos de investigación e innovación- Metrica</t>
  </si>
  <si>
    <t>Metrica</t>
  </si>
  <si>
    <t>143-2022-06-30</t>
  </si>
  <si>
    <t>143-2022-12-31</t>
  </si>
  <si>
    <t>Proyectos de investigación e innovación</t>
  </si>
  <si>
    <t>143-2023-06-30</t>
  </si>
  <si>
    <t>143-2023-12-31</t>
  </si>
  <si>
    <t>143-2024-06-30</t>
  </si>
  <si>
    <t>143-2024-12-31</t>
  </si>
  <si>
    <t>Productos de investigación</t>
  </si>
  <si>
    <t>144-2022-06-30</t>
  </si>
  <si>
    <t>144-2022-12-31</t>
  </si>
  <si>
    <t>144-2023-12-31</t>
  </si>
  <si>
    <t>144-2024-12-31</t>
  </si>
  <si>
    <t>Semilleros de Investigación, Innovación y Creación</t>
  </si>
  <si>
    <t>Formación para la investigación, creación e innovación</t>
  </si>
  <si>
    <t>145-2022-06-30</t>
  </si>
  <si>
    <t>145-2022-12-31</t>
  </si>
  <si>
    <t>145-2023-06-30</t>
  </si>
  <si>
    <t>145-2023-12-31</t>
  </si>
  <si>
    <t>145-2024-06-30</t>
  </si>
  <si>
    <t>145-2024-12-31</t>
  </si>
  <si>
    <t>Docentes vinculados a investigación</t>
  </si>
  <si>
    <t>146-2022-06-30</t>
  </si>
  <si>
    <t>146-2022-12-31</t>
  </si>
  <si>
    <t>146-2023-06-30</t>
  </si>
  <si>
    <t>146-2023-12-31</t>
  </si>
  <si>
    <t>146-2024-06-30</t>
  </si>
  <si>
    <t>146-2024-12-31</t>
  </si>
  <si>
    <t>Grupos de investigación categorizados</t>
  </si>
  <si>
    <t>147-2022-12-31</t>
  </si>
  <si>
    <t>147-2023-12-31</t>
  </si>
  <si>
    <t>147-2024-12-31</t>
  </si>
  <si>
    <t>Estudiantes vinculados a investigación</t>
  </si>
  <si>
    <t>148-2022-06-30</t>
  </si>
  <si>
    <t>% Estudiantes vinculados a investigación</t>
  </si>
  <si>
    <t>148-2022-12-31</t>
  </si>
  <si>
    <t>148-2023-06-30</t>
  </si>
  <si>
    <t>148-2023-12-31</t>
  </si>
  <si>
    <t>148-2024-06-30</t>
  </si>
  <si>
    <t>148-2024-12-31</t>
  </si>
  <si>
    <t>Investigación, desarrollo tecnológico e innovación</t>
  </si>
  <si>
    <t>150-2022-10-31</t>
  </si>
  <si>
    <t>INVESTIGACIÓN, INNOVACIÓN Y CREACIÓN</t>
  </si>
  <si>
    <t>150-2023-10-31</t>
  </si>
  <si>
    <t>150-2023-12-31</t>
  </si>
  <si>
    <t>Nivel de Satisfacción Servicios Prestados- Investigación, desarrollo tecnológico, innovación y creación</t>
  </si>
  <si>
    <t>150-2024-10-31</t>
  </si>
  <si>
    <t>151-2022-10-31</t>
  </si>
  <si>
    <t>151-2023-10-31</t>
  </si>
  <si>
    <t>151-2024-10-31</t>
  </si>
  <si>
    <t>Indexación de bases de datos o SIRES</t>
  </si>
  <si>
    <t>Editorial y Publicaciones</t>
  </si>
  <si>
    <t>157-2023-06-30</t>
  </si>
  <si>
    <t>157-2023-12-31</t>
  </si>
  <si>
    <t>157-2024-12-31</t>
  </si>
  <si>
    <t>159-2022-06-30</t>
  </si>
  <si>
    <t>159-2022-12-31</t>
  </si>
  <si>
    <t>159-2023-06-30</t>
  </si>
  <si>
    <t>159-2023-12-31</t>
  </si>
  <si>
    <t>159-2024-06-30</t>
  </si>
  <si>
    <t>159-2024-12-31</t>
  </si>
  <si>
    <t>Satisfacción actividades plan de bienestar</t>
  </si>
  <si>
    <t>167-2022-03-31</t>
  </si>
  <si>
    <t>167-2022-06-30</t>
  </si>
  <si>
    <t>167-2022-12-31</t>
  </si>
  <si>
    <t>167-2023-06-30</t>
  </si>
  <si>
    <t>167-2023-12-31</t>
  </si>
  <si>
    <t>167-2024-06-30</t>
  </si>
  <si>
    <t>167-2024-12-31</t>
  </si>
  <si>
    <t>Cumplimiento plan operativo del SGC</t>
  </si>
  <si>
    <t>172-2022-01-31</t>
  </si>
  <si>
    <t>172-2022-02-28</t>
  </si>
  <si>
    <t>172-2022-03-31</t>
  </si>
  <si>
    <t>172-2022-04-30</t>
  </si>
  <si>
    <t>172-2022-05-31</t>
  </si>
  <si>
    <t>172-2022-06-30</t>
  </si>
  <si>
    <t>172-2022-07-31</t>
  </si>
  <si>
    <t>172-2022-08-31</t>
  </si>
  <si>
    <t>172-2022-09-30</t>
  </si>
  <si>
    <t>172-2022-10-31</t>
  </si>
  <si>
    <t>172-2022-11-30</t>
  </si>
  <si>
    <t>172-2022-12-31</t>
  </si>
  <si>
    <t>172-2023-01-31</t>
  </si>
  <si>
    <t>172-2023-03-31</t>
  </si>
  <si>
    <t>172-2023-04-30</t>
  </si>
  <si>
    <t>172-2023-05-31</t>
  </si>
  <si>
    <t>172-2023-06-30</t>
  </si>
  <si>
    <t>172-2023-07-31</t>
  </si>
  <si>
    <t>172-2023-08-31</t>
  </si>
  <si>
    <t>172-2023-09-30</t>
  </si>
  <si>
    <t>172-2023-10-31</t>
  </si>
  <si>
    <t>172-2023-11-30</t>
  </si>
  <si>
    <t>172-2023-12-31</t>
  </si>
  <si>
    <t>172-2024-01-31</t>
  </si>
  <si>
    <t>172-2024-02-29</t>
  </si>
  <si>
    <t>172-2024-03-31</t>
  </si>
  <si>
    <t>172-2024-04-30</t>
  </si>
  <si>
    <t>172-2024-05-31</t>
  </si>
  <si>
    <t>172-2024-06-30</t>
  </si>
  <si>
    <t>172-2024-07-31</t>
  </si>
  <si>
    <t>172-2024-08-31</t>
  </si>
  <si>
    <t>172-2024-09-30</t>
  </si>
  <si>
    <t>172-2024-10-31</t>
  </si>
  <si>
    <t>172-2024-11-30</t>
  </si>
  <si>
    <t>172-2024-12-31</t>
  </si>
  <si>
    <t>Cumplimiento Plan de Formación SGC</t>
  </si>
  <si>
    <t>174-2023-06-30</t>
  </si>
  <si>
    <t>174-2023-12-31</t>
  </si>
  <si>
    <t>Cumplimiento Planes de Mejora</t>
  </si>
  <si>
    <t>176-2023-04-30</t>
  </si>
  <si>
    <t>176-2023-05-31</t>
  </si>
  <si>
    <t>176-2023-06-30</t>
  </si>
  <si>
    <t>176-2023-07-31</t>
  </si>
  <si>
    <t>176-2023-08-31</t>
  </si>
  <si>
    <t>176-2023-09-30</t>
  </si>
  <si>
    <t>176-2023-10-31</t>
  </si>
  <si>
    <t>176-2023-11-30</t>
  </si>
  <si>
    <t>176-2023-12-31</t>
  </si>
  <si>
    <t>N/A</t>
  </si>
  <si>
    <t>176-2024-01-31</t>
  </si>
  <si>
    <t>176-2024-02-28</t>
  </si>
  <si>
    <t>176-2024-02-29</t>
  </si>
  <si>
    <t>176-2024-03-31</t>
  </si>
  <si>
    <t>176-2024-04-30</t>
  </si>
  <si>
    <t>176-2024-05-31</t>
  </si>
  <si>
    <t>176-2024-06-30</t>
  </si>
  <si>
    <t>176-2024-07-31</t>
  </si>
  <si>
    <t>176-2024-08-31</t>
  </si>
  <si>
    <t>176-2024-09-30</t>
  </si>
  <si>
    <t>Mejorar flujo de atención en todos los niveles de servicio al estudiante (ANS)</t>
  </si>
  <si>
    <t>Servicio</t>
  </si>
  <si>
    <t>193-2022-06-30</t>
  </si>
  <si>
    <t>193-2022-12-31</t>
  </si>
  <si>
    <t>193-2023-06-30</t>
  </si>
  <si>
    <t>193-2023-12-31</t>
  </si>
  <si>
    <t>193-2024-06-30</t>
  </si>
  <si>
    <t>193-2024-12-31</t>
  </si>
  <si>
    <t>Porcentaje de Cumplimiento del Acuerdo de Nivel de Servicio (ANS)</t>
  </si>
  <si>
    <t>Índice de satisfacción del estudiante (SSI)</t>
  </si>
  <si>
    <t>194-2022-06-30</t>
  </si>
  <si>
    <t>194-2022-12-31</t>
  </si>
  <si>
    <t>194-2023-06-30</t>
  </si>
  <si>
    <t>194-2023-12-31</t>
  </si>
  <si>
    <t>194-2024-06-30</t>
  </si>
  <si>
    <t>194-2024-12-31</t>
  </si>
  <si>
    <t>NPS- Net Promotor Score</t>
  </si>
  <si>
    <t>195-2022-06-30</t>
  </si>
  <si>
    <t>195-2022-12-31</t>
  </si>
  <si>
    <t>195-2023-06-30</t>
  </si>
  <si>
    <t>195-2023-12-31</t>
  </si>
  <si>
    <t>(% de solicitudes procesos Pareto)</t>
  </si>
  <si>
    <t>196-2023-06-30</t>
  </si>
  <si>
    <t>196-2023-12-31</t>
  </si>
  <si>
    <t>Cumplimiento cronograma Mantenimiento de Equipos</t>
  </si>
  <si>
    <t>197-2022-03-31</t>
  </si>
  <si>
    <t>197-2022-06-30</t>
  </si>
  <si>
    <t>197-2022-09-30</t>
  </si>
  <si>
    <t>197-2022-12-31</t>
  </si>
  <si>
    <t>197-2023-03-31</t>
  </si>
  <si>
    <t>197-2023-06-30</t>
  </si>
  <si>
    <t>197-2023-09-30</t>
  </si>
  <si>
    <t>197-2023-12-31</t>
  </si>
  <si>
    <t>197-2024-03-31</t>
  </si>
  <si>
    <t>197-2024-06-30</t>
  </si>
  <si>
    <t>197-2024-09-30</t>
  </si>
  <si>
    <t>197-2024-12-31</t>
  </si>
  <si>
    <t>Nivel de cumplimiento de eficacia las capacitaciones</t>
  </si>
  <si>
    <t>199-2022-06-30</t>
  </si>
  <si>
    <t>199-2022-12-31</t>
  </si>
  <si>
    <t>199-2023-06-30</t>
  </si>
  <si>
    <t>199-2023-12-31</t>
  </si>
  <si>
    <t>199-2024-06-30</t>
  </si>
  <si>
    <t>199-2024-12-31</t>
  </si>
  <si>
    <t>Nivel de efectividad de las capacitaciones</t>
  </si>
  <si>
    <t>200-2022-12-31</t>
  </si>
  <si>
    <t>Linea Base</t>
  </si>
  <si>
    <t>200-2023-12-31</t>
  </si>
  <si>
    <t>200-2024-12-31</t>
  </si>
  <si>
    <t>Great Place to Work</t>
  </si>
  <si>
    <t>202-2023-12-31</t>
  </si>
  <si>
    <t>202-2024-12-31</t>
  </si>
  <si>
    <t>Cumplimiento de Ingresos</t>
  </si>
  <si>
    <t>203-2022-06-30</t>
  </si>
  <si>
    <t>203-2022-12-31</t>
  </si>
  <si>
    <t>203-2023-06-30</t>
  </si>
  <si>
    <t>203-2023-12-31</t>
  </si>
  <si>
    <t>203-2024-06-30</t>
  </si>
  <si>
    <t>203-2024-12-31</t>
  </si>
  <si>
    <t>203-2025-06-30</t>
  </si>
  <si>
    <t>203-2025-12-31</t>
  </si>
  <si>
    <t>Caja</t>
  </si>
  <si>
    <t>204-2022-06-30</t>
  </si>
  <si>
    <t>204-2022-12-30</t>
  </si>
  <si>
    <t>204-2023-06-30</t>
  </si>
  <si>
    <t>204-2023-12-31</t>
  </si>
  <si>
    <t>204-2024-06-30</t>
  </si>
  <si>
    <t>204-2024-12-31</t>
  </si>
  <si>
    <t>Utilidad Neta</t>
  </si>
  <si>
    <t>205-2022-12-31</t>
  </si>
  <si>
    <t>205-2023-06-30</t>
  </si>
  <si>
    <t>205-2023-12-31</t>
  </si>
  <si>
    <t>205-2024-06-30</t>
  </si>
  <si>
    <t>205-2024-12-31</t>
  </si>
  <si>
    <t>Inversión en CAPEX de la utilidad anterior</t>
  </si>
  <si>
    <t>206-2023-06-30</t>
  </si>
  <si>
    <t>206-2023-12-31</t>
  </si>
  <si>
    <t>206-2024-12-31</t>
  </si>
  <si>
    <t>Nivel de Cumplimiento Opex</t>
  </si>
  <si>
    <t>207-2023-06-30</t>
  </si>
  <si>
    <t>207-2023-12-31</t>
  </si>
  <si>
    <t>207-2024-06-30</t>
  </si>
  <si>
    <t>207-2024-12-31</t>
  </si>
  <si>
    <t>Consumo de Agua m3 Mensual</t>
  </si>
  <si>
    <t>m3</t>
  </si>
  <si>
    <t>208-2022-01-31</t>
  </si>
  <si>
    <t>208-2022-02-28</t>
  </si>
  <si>
    <t>208-2022-03-31</t>
  </si>
  <si>
    <t>208-2022-04-30</t>
  </si>
  <si>
    <t>208-2022-05-31</t>
  </si>
  <si>
    <t>208-2022-06-30</t>
  </si>
  <si>
    <t>208-2022-07-31</t>
  </si>
  <si>
    <t>208-2022-08-31</t>
  </si>
  <si>
    <t>208-2022-09-30</t>
  </si>
  <si>
    <t>208-2022-10-31</t>
  </si>
  <si>
    <t>208-2022-11-30</t>
  </si>
  <si>
    <t>208-2022-12-31</t>
  </si>
  <si>
    <t>208-2023-01-31</t>
  </si>
  <si>
    <t>208-2023-02-28</t>
  </si>
  <si>
    <t>208-2023-03-31</t>
  </si>
  <si>
    <t>208-2023-04-30</t>
  </si>
  <si>
    <t>208-2023-05-31</t>
  </si>
  <si>
    <t>208-2023-06-30</t>
  </si>
  <si>
    <t>208-2023-07-31</t>
  </si>
  <si>
    <t>208-2023-08-31</t>
  </si>
  <si>
    <t>208-2023-09-30</t>
  </si>
  <si>
    <t>208-2023-10-31</t>
  </si>
  <si>
    <t>208-2023-11-30</t>
  </si>
  <si>
    <t>208-2023-12-31</t>
  </si>
  <si>
    <t>208-2024-01-31</t>
  </si>
  <si>
    <t>208-2024-02-29</t>
  </si>
  <si>
    <t>208-2024-03-31</t>
  </si>
  <si>
    <t>208-2024-04-30</t>
  </si>
  <si>
    <t>208-2024-05-31</t>
  </si>
  <si>
    <t>208-2024-06-30</t>
  </si>
  <si>
    <t>208-2024-07-31</t>
  </si>
  <si>
    <t>208-2024-08-31</t>
  </si>
  <si>
    <t>208-2024-09-30</t>
  </si>
  <si>
    <t>208-2024-10-31</t>
  </si>
  <si>
    <t>208-2024-11-30</t>
  </si>
  <si>
    <t>208-2024-12-31</t>
  </si>
  <si>
    <t>208-2025-01-31</t>
  </si>
  <si>
    <t>208-2025-02-28</t>
  </si>
  <si>
    <t>208-2025-03-31</t>
  </si>
  <si>
    <t>208-2025-04-30</t>
  </si>
  <si>
    <t>208-2025-05-31</t>
  </si>
  <si>
    <t>208-2025-06-30</t>
  </si>
  <si>
    <t>208-2025-07-31</t>
  </si>
  <si>
    <t>208-2025-08-31</t>
  </si>
  <si>
    <t>208-2025-09-30</t>
  </si>
  <si>
    <t>208-2025-10-31</t>
  </si>
  <si>
    <t>208-2025-11-30</t>
  </si>
  <si>
    <t>208-2025-12-31</t>
  </si>
  <si>
    <t>Cumplimiento del Plan Anual del Sistema de Gestión Ambiental</t>
  </si>
  <si>
    <t>213-2022-03-31</t>
  </si>
  <si>
    <t>213-2022-06-30</t>
  </si>
  <si>
    <t>213-2022-09-30</t>
  </si>
  <si>
    <t>213-2022-12-31</t>
  </si>
  <si>
    <t>213-2023-03-31</t>
  </si>
  <si>
    <t>213-2023-06-30</t>
  </si>
  <si>
    <t>213-2023-09-30</t>
  </si>
  <si>
    <t>213-2023-12-31</t>
  </si>
  <si>
    <t>213-2024-03-31</t>
  </si>
  <si>
    <t>213-2024-06-30</t>
  </si>
  <si>
    <t>213-2024-09-30</t>
  </si>
  <si>
    <t>213-2024-12-31</t>
  </si>
  <si>
    <t>213-2025-03-31</t>
  </si>
  <si>
    <t>213-2025-06-30</t>
  </si>
  <si>
    <t>213-2025-09-30</t>
  </si>
  <si>
    <t>213-2025-12-31</t>
  </si>
  <si>
    <t>Generación de Residuos Sólidos Mensual</t>
  </si>
  <si>
    <t>Kg</t>
  </si>
  <si>
    <t>214-2022-01-31</t>
  </si>
  <si>
    <t>214-2022-02-28</t>
  </si>
  <si>
    <t>214-2022-03-31</t>
  </si>
  <si>
    <t>214-2022-04-30</t>
  </si>
  <si>
    <t>214-2022-05-31</t>
  </si>
  <si>
    <t>214-2022-06-30</t>
  </si>
  <si>
    <t>214-2022-07-31</t>
  </si>
  <si>
    <t>214-2022-08-31</t>
  </si>
  <si>
    <t>214-2022-09-30</t>
  </si>
  <si>
    <t>214-2022-10-31</t>
  </si>
  <si>
    <t>214-2022-11-30</t>
  </si>
  <si>
    <t>214-2022-12-31</t>
  </si>
  <si>
    <t>214-2023-01-31</t>
  </si>
  <si>
    <t>214-2023-02-28</t>
  </si>
  <si>
    <t>214-2023-03-31</t>
  </si>
  <si>
    <t>214-2023-04-30</t>
  </si>
  <si>
    <t>214-2023-05-31</t>
  </si>
  <si>
    <t>214-2023-06-30</t>
  </si>
  <si>
    <t>214-2023-07-31</t>
  </si>
  <si>
    <t>214-2023-08-31</t>
  </si>
  <si>
    <t>214-2023-09-30</t>
  </si>
  <si>
    <t>214-2023-10-31</t>
  </si>
  <si>
    <t>214-2023-11-30</t>
  </si>
  <si>
    <t>214-2023-12-31</t>
  </si>
  <si>
    <t>214-2024-01-31</t>
  </si>
  <si>
    <t>214-2024-02-29</t>
  </si>
  <si>
    <t>214-2024-03-31</t>
  </si>
  <si>
    <t>214-2024-04-30</t>
  </si>
  <si>
    <t>214-2024-05-31</t>
  </si>
  <si>
    <t>214-2024-06-30</t>
  </si>
  <si>
    <t>214-2024-07-31</t>
  </si>
  <si>
    <t>214-2024-08-31</t>
  </si>
  <si>
    <t>214-2024-09-30</t>
  </si>
  <si>
    <t>214-2024-10-31</t>
  </si>
  <si>
    <t>214-2024-11-30</t>
  </si>
  <si>
    <t>214-2024-12-31</t>
  </si>
  <si>
    <t>214-2025-01-31</t>
  </si>
  <si>
    <t>214-2025-02-28</t>
  </si>
  <si>
    <t>214-2025-03-31</t>
  </si>
  <si>
    <t>214-2025-04-30</t>
  </si>
  <si>
    <t>214-2025-05-31</t>
  </si>
  <si>
    <t>214-2025-06-30</t>
  </si>
  <si>
    <t>214-2025-07-31</t>
  </si>
  <si>
    <t>214-2025-08-31</t>
  </si>
  <si>
    <t>214-2025-09-30</t>
  </si>
  <si>
    <t>214-2025-10-31</t>
  </si>
  <si>
    <t>214-2025-11-30</t>
  </si>
  <si>
    <t>214-2025-12-31</t>
  </si>
  <si>
    <t>Disminución de la Generación de Residuos per Cápita</t>
  </si>
  <si>
    <t>215-2022-02-28</t>
  </si>
  <si>
    <t>215-2022-03-31</t>
  </si>
  <si>
    <t>215-2022-06-30</t>
  </si>
  <si>
    <t>215-2022-12-31</t>
  </si>
  <si>
    <t>215-2023-06-30</t>
  </si>
  <si>
    <t>215-2023-12-31</t>
  </si>
  <si>
    <t>215-2024-06-30</t>
  </si>
  <si>
    <t>215-2024-12-31</t>
  </si>
  <si>
    <t>215-2025-06-30</t>
  </si>
  <si>
    <t>215-2025-12-31</t>
  </si>
  <si>
    <t>Disposición Ambientalmente Adecuada de Residuos Peligrosos</t>
  </si>
  <si>
    <t>216-2022-12-31</t>
  </si>
  <si>
    <t>216-2023-12-31</t>
  </si>
  <si>
    <t>216-2024-12-31</t>
  </si>
  <si>
    <t>216-2025-12-31</t>
  </si>
  <si>
    <t>Aprovechamiento de Residuos</t>
  </si>
  <si>
    <t>217-2022-01-31</t>
  </si>
  <si>
    <t>217-2022-02-28</t>
  </si>
  <si>
    <t>217-2022-04-30</t>
  </si>
  <si>
    <t>217-2022-05-31</t>
  </si>
  <si>
    <t>217-2022-06-30</t>
  </si>
  <si>
    <t>217-2022-07-31</t>
  </si>
  <si>
    <t>217-2022-08-31</t>
  </si>
  <si>
    <t>217-2022-09-30</t>
  </si>
  <si>
    <t>217-2022-10-31</t>
  </si>
  <si>
    <t>217-2022-11-30</t>
  </si>
  <si>
    <t>217-2022-12-31</t>
  </si>
  <si>
    <t>217-2023-01-31</t>
  </si>
  <si>
    <t>217-2023-02-28</t>
  </si>
  <si>
    <t>217-2023-03-31</t>
  </si>
  <si>
    <t>217-2023-04-30</t>
  </si>
  <si>
    <t>217-2023-05-31</t>
  </si>
  <si>
    <t>217-2023-06-30</t>
  </si>
  <si>
    <t>217-2023-07-31</t>
  </si>
  <si>
    <t>217-2023-08-31</t>
  </si>
  <si>
    <t>217-2023-09-30</t>
  </si>
  <si>
    <t>217-2023-10-31</t>
  </si>
  <si>
    <t>217-2023-11-30</t>
  </si>
  <si>
    <t>217-2023-12-31</t>
  </si>
  <si>
    <t>217-2024-01-31</t>
  </si>
  <si>
    <t>217-2024-02-29</t>
  </si>
  <si>
    <t>217-2024-03-31</t>
  </si>
  <si>
    <t>217-2024-04-30</t>
  </si>
  <si>
    <t>217-2024-05-31</t>
  </si>
  <si>
    <t>217-2024-06-30</t>
  </si>
  <si>
    <t>217-2024-07-31</t>
  </si>
  <si>
    <t>217-2024-08-31</t>
  </si>
  <si>
    <t>217-2024-09-30</t>
  </si>
  <si>
    <t>217-2024-10-31</t>
  </si>
  <si>
    <t>217-2024-11-30</t>
  </si>
  <si>
    <t>217-2024-12-31</t>
  </si>
  <si>
    <t>217-2025-01-31</t>
  </si>
  <si>
    <t>217-2025-02-28</t>
  </si>
  <si>
    <t>217-2025-03-31</t>
  </si>
  <si>
    <t>217-2025-04-30</t>
  </si>
  <si>
    <t>217-2025-05-31</t>
  </si>
  <si>
    <t>217-2025-06-30</t>
  </si>
  <si>
    <t>217-2025-07-31</t>
  </si>
  <si>
    <t>217-2025-08-31</t>
  </si>
  <si>
    <t>217-2025-09-30</t>
  </si>
  <si>
    <t>217-2025-10-31</t>
  </si>
  <si>
    <t>217-2025-11-30</t>
  </si>
  <si>
    <t>217-2025-12-31</t>
  </si>
  <si>
    <t>Consumo de Energía Eléctrica kWh Mensual</t>
  </si>
  <si>
    <t>kWh</t>
  </si>
  <si>
    <t>218-2022-01-31</t>
  </si>
  <si>
    <t>218-2022-02-28</t>
  </si>
  <si>
    <t>218-2022-03-31</t>
  </si>
  <si>
    <t>218-2022-04-30</t>
  </si>
  <si>
    <t>218-2022-05-31</t>
  </si>
  <si>
    <t>218-2022-06-30</t>
  </si>
  <si>
    <t>218-2022-07-31</t>
  </si>
  <si>
    <t>218-2022-08-31</t>
  </si>
  <si>
    <t>218-2022-09-30</t>
  </si>
  <si>
    <t>218-2022-10-31</t>
  </si>
  <si>
    <t>218-2022-11-30</t>
  </si>
  <si>
    <t>218-2022-12-31</t>
  </si>
  <si>
    <t>218-2023-01-31</t>
  </si>
  <si>
    <t>218-2023-02-28</t>
  </si>
  <si>
    <t>218-2023-03-31</t>
  </si>
  <si>
    <t>218-2023-04-30</t>
  </si>
  <si>
    <t>218-2023-05-31</t>
  </si>
  <si>
    <t>218-2023-06-30</t>
  </si>
  <si>
    <t>218-2023-07-31</t>
  </si>
  <si>
    <t>218-2023-08-31</t>
  </si>
  <si>
    <t>218-2023-09-30</t>
  </si>
  <si>
    <t>218-2023-10-31</t>
  </si>
  <si>
    <t>218-2023-11-30</t>
  </si>
  <si>
    <t>218-2023-12-31</t>
  </si>
  <si>
    <t>218-2024-01-31</t>
  </si>
  <si>
    <t>218-2024-02-29</t>
  </si>
  <si>
    <t>218-2024-03-31</t>
  </si>
  <si>
    <t>218-2024-04-30</t>
  </si>
  <si>
    <t>218-2024-05-31</t>
  </si>
  <si>
    <t>218-2024-06-30</t>
  </si>
  <si>
    <t>218-2024-07-31</t>
  </si>
  <si>
    <t>218-2024-08-31</t>
  </si>
  <si>
    <t>218-2024-09-30</t>
  </si>
  <si>
    <t>218-2024-10-31</t>
  </si>
  <si>
    <t>218-2024-11-30</t>
  </si>
  <si>
    <t>218-2024-12-31</t>
  </si>
  <si>
    <t>218-2025-01-31</t>
  </si>
  <si>
    <t>218-2025-02-28</t>
  </si>
  <si>
    <t>218-2025-03-31</t>
  </si>
  <si>
    <t>218-2025-04-30</t>
  </si>
  <si>
    <t>218-2025-05-31</t>
  </si>
  <si>
    <t>218-2025-06-30</t>
  </si>
  <si>
    <t>218-2025-07-31</t>
  </si>
  <si>
    <t>218-2025-08-31</t>
  </si>
  <si>
    <t>218-2025-09-30</t>
  </si>
  <si>
    <t>218-2025-10-31</t>
  </si>
  <si>
    <t>218-2025-11-30</t>
  </si>
  <si>
    <t>218-2025-12-31</t>
  </si>
  <si>
    <t>Disminución del Consumo de Energía Eléctrica per Cápita</t>
  </si>
  <si>
    <t>219-2022-06-30</t>
  </si>
  <si>
    <t>219-2022-12-31</t>
  </si>
  <si>
    <t>219-2023-06-30</t>
  </si>
  <si>
    <t>219-2023-12-31</t>
  </si>
  <si>
    <t>219-2024-06-30</t>
  </si>
  <si>
    <t>219-2024-12-31</t>
  </si>
  <si>
    <t>219-2025-06-30</t>
  </si>
  <si>
    <t>219-2025-12-31</t>
  </si>
  <si>
    <t>Disminución del Consumo de Agua per Cápita</t>
  </si>
  <si>
    <t>220-2022-06-30</t>
  </si>
  <si>
    <t>220-2022-12-31</t>
  </si>
  <si>
    <t>220-2023-06-30</t>
  </si>
  <si>
    <t>220-2023-12-31</t>
  </si>
  <si>
    <t>220-2024-06-30</t>
  </si>
  <si>
    <t>220-2024-12-31</t>
  </si>
  <si>
    <t>220-2025-06-30</t>
  </si>
  <si>
    <t>220-2025-12-31</t>
  </si>
  <si>
    <t>Riesgo de la Calidad del Agua Potable</t>
  </si>
  <si>
    <t>221-2022-12-31</t>
  </si>
  <si>
    <t>221-2023-12-31</t>
  </si>
  <si>
    <t>221-2024-12-31</t>
  </si>
  <si>
    <t>221-2025-12-31</t>
  </si>
  <si>
    <t>Calidad de las Aguas Residuales Domesticas</t>
  </si>
  <si>
    <t>222-2022-12-31</t>
  </si>
  <si>
    <t>222-2023-12-31</t>
  </si>
  <si>
    <t>222-2024-12-31</t>
  </si>
  <si>
    <t>222-2025-12-31</t>
  </si>
  <si>
    <t>Registro de Publicidad Exterior Visual</t>
  </si>
  <si>
    <t>223-2022-12-31</t>
  </si>
  <si>
    <t>223-2023-12-31</t>
  </si>
  <si>
    <t>223-2024-12-31</t>
  </si>
  <si>
    <t>223-2025-12-31</t>
  </si>
  <si>
    <t>Cumplimiento Nivel de Emisión de Ruido</t>
  </si>
  <si>
    <t>224-2022-12-31</t>
  </si>
  <si>
    <t>224-2023-12-31</t>
  </si>
  <si>
    <t>224-2024-12-31</t>
  </si>
  <si>
    <t>224-2025-12-31</t>
  </si>
  <si>
    <t>Acciones para el Cuidado y Mantenimiento de las Especies de Flora y el Suelo de las Áreas Naturales</t>
  </si>
  <si>
    <t>225-2022-01-31</t>
  </si>
  <si>
    <t>225-2022-02-28</t>
  </si>
  <si>
    <t>225-2022-03-31</t>
  </si>
  <si>
    <t>225-2022-04-30</t>
  </si>
  <si>
    <t>225-2022-05-31</t>
  </si>
  <si>
    <t>225-2022-06-30</t>
  </si>
  <si>
    <t>225-2022-07-31</t>
  </si>
  <si>
    <t>225-2022-08-31</t>
  </si>
  <si>
    <t>225-2022-09-30</t>
  </si>
  <si>
    <t>225-2022-10-31</t>
  </si>
  <si>
    <t>225-2022-11-30</t>
  </si>
  <si>
    <t>225-2022-12-31</t>
  </si>
  <si>
    <t>225-2023-01-31</t>
  </si>
  <si>
    <t>225-2023-02-28</t>
  </si>
  <si>
    <t>225-2023-03-31</t>
  </si>
  <si>
    <t>225-2023-04-30</t>
  </si>
  <si>
    <t>225-2023-05-31</t>
  </si>
  <si>
    <t>225-2023-06-30</t>
  </si>
  <si>
    <t>225-2023-07-31</t>
  </si>
  <si>
    <t>225-2023-08-31</t>
  </si>
  <si>
    <t>225-2023-09-30</t>
  </si>
  <si>
    <t>225-2023-10-31</t>
  </si>
  <si>
    <t>225-2023-11-30</t>
  </si>
  <si>
    <t>225-2023-12-31</t>
  </si>
  <si>
    <t>225-2024-01-31</t>
  </si>
  <si>
    <t>225-2024-02-29</t>
  </si>
  <si>
    <t>225-2024-03-31</t>
  </si>
  <si>
    <t>225-2024-04-30</t>
  </si>
  <si>
    <t>225-2024-05-31</t>
  </si>
  <si>
    <t>225-2024-06-30</t>
  </si>
  <si>
    <t>225-2024-07-31</t>
  </si>
  <si>
    <t>225-2024-08-31</t>
  </si>
  <si>
    <t>225-2024-09-30</t>
  </si>
  <si>
    <t>225-2024-10-31</t>
  </si>
  <si>
    <t>225-2024-11-30</t>
  </si>
  <si>
    <t>225-2024-12-31</t>
  </si>
  <si>
    <t>225-2025-01-31</t>
  </si>
  <si>
    <t>225-2025-02-28</t>
  </si>
  <si>
    <t>225-2025-03-31</t>
  </si>
  <si>
    <t>225-2025-04-30</t>
  </si>
  <si>
    <t>225-2025-05-31</t>
  </si>
  <si>
    <t>225-2025-06-30</t>
  </si>
  <si>
    <t>225-2025-07-31</t>
  </si>
  <si>
    <t>225-2025-08-31</t>
  </si>
  <si>
    <t>225-2025-09-30</t>
  </si>
  <si>
    <t>225-2025-10-31</t>
  </si>
  <si>
    <t>225-2025-11-30</t>
  </si>
  <si>
    <t>225-2025-12-31</t>
  </si>
  <si>
    <t>Generación de Gases de Efecto Invernadero</t>
  </si>
  <si>
    <t>226-2022-12-31</t>
  </si>
  <si>
    <t>226-2023-12-31</t>
  </si>
  <si>
    <t>226-2024-12-31</t>
  </si>
  <si>
    <t>Generación de  Gases de Efecto Invernadero per Cápita</t>
  </si>
  <si>
    <t>227-2022-12-31</t>
  </si>
  <si>
    <t>227-2023-12-31</t>
  </si>
  <si>
    <t>227-2024-12-31</t>
  </si>
  <si>
    <t>Compensación de Gases de Efecto Invernadero</t>
  </si>
  <si>
    <t>tCO2e</t>
  </si>
  <si>
    <t>228-2022-12-31</t>
  </si>
  <si>
    <t>228-2023-12-31</t>
  </si>
  <si>
    <t>228-2024-12-31</t>
  </si>
  <si>
    <t>Ejecución de Eventos de Formación en Materia Ambiental</t>
  </si>
  <si>
    <t>230-2023-06-30</t>
  </si>
  <si>
    <t>230-2023-12-31</t>
  </si>
  <si>
    <t>230-2024-06-30</t>
  </si>
  <si>
    <t>230-2024-12-31</t>
  </si>
  <si>
    <t>Asistencia Eventos de Formación en Materia Ambiental</t>
  </si>
  <si>
    <t>231-2023-06-30</t>
  </si>
  <si>
    <t>231-2023-12-31</t>
  </si>
  <si>
    <t>231-2024-06-30</t>
  </si>
  <si>
    <t>231-2024-12-31</t>
  </si>
  <si>
    <t>Ejecución de las Comunicaciones en Materia Ambiental</t>
  </si>
  <si>
    <t>232-2023-06-30</t>
  </si>
  <si>
    <t>232-2023-12-31</t>
  </si>
  <si>
    <t>232-2024-06-30</t>
  </si>
  <si>
    <t>232-2024-12-31</t>
  </si>
  <si>
    <t>Impacto de las Comunicaciones Correo Electrónico</t>
  </si>
  <si>
    <t>233-2023-03-31</t>
  </si>
  <si>
    <t>233-2023-06-30</t>
  </si>
  <si>
    <t>233-2023-09-30</t>
  </si>
  <si>
    <t>233-2023-12-31</t>
  </si>
  <si>
    <t>233-2024-03-31</t>
  </si>
  <si>
    <t>233-2024-06-30</t>
  </si>
  <si>
    <t>233-2024-09-30</t>
  </si>
  <si>
    <t>233-2024-12-31</t>
  </si>
  <si>
    <t>Impacto de las Comunicaciones en Materia Ambiental a Través de Redes Sociales - Instagram</t>
  </si>
  <si>
    <t>234-2023-03-31</t>
  </si>
  <si>
    <t>234-2023-06-30</t>
  </si>
  <si>
    <t>234-2023-09-30</t>
  </si>
  <si>
    <t>234-2023-12-31</t>
  </si>
  <si>
    <t>234-2024-03-31</t>
  </si>
  <si>
    <t>234-2024-06-30</t>
  </si>
  <si>
    <t>234-2024-09-30</t>
  </si>
  <si>
    <t>234-2024-12-31</t>
  </si>
  <si>
    <t>Cumplimiento de Requisitos Legales Ambientales Aplicables</t>
  </si>
  <si>
    <t>235-2023-12-31</t>
  </si>
  <si>
    <t>235-2024-12-31</t>
  </si>
  <si>
    <t>Actos Administrativos o Decisiones Judiciales Ambientales</t>
  </si>
  <si>
    <t>236-2023-12-31</t>
  </si>
  <si>
    <t>236-2024-12-31</t>
  </si>
  <si>
    <t>Cumplimiento de la Protección del Medio Ambiente</t>
  </si>
  <si>
    <t>Sin Reporte</t>
  </si>
  <si>
    <t>238-2022-03-31</t>
  </si>
  <si>
    <t>238-2022-06-30</t>
  </si>
  <si>
    <t>238-2022-09-30</t>
  </si>
  <si>
    <t>238-2022-12-31</t>
  </si>
  <si>
    <t>238-2023-03-31</t>
  </si>
  <si>
    <t>238-2023-06-30</t>
  </si>
  <si>
    <t>238-2023-09-30</t>
  </si>
  <si>
    <t>238-2023-12-31</t>
  </si>
  <si>
    <t>238-2024-03-31</t>
  </si>
  <si>
    <t>238-2024-06-30</t>
  </si>
  <si>
    <t>238-2024-09-30</t>
  </si>
  <si>
    <t>238-2024-12-31</t>
  </si>
  <si>
    <t>238-2025-03-31</t>
  </si>
  <si>
    <t>238-2025-06-30</t>
  </si>
  <si>
    <t>238-2025-09-30</t>
  </si>
  <si>
    <t>238-2025-12-31</t>
  </si>
  <si>
    <t>Portafolio de Proyectos - Metrica</t>
  </si>
  <si>
    <t>Gestión de Proyectos</t>
  </si>
  <si>
    <t>239-2022-01-31</t>
  </si>
  <si>
    <t>239-2022-02-28</t>
  </si>
  <si>
    <t>239-2022-03-31</t>
  </si>
  <si>
    <t>239-2022-04-30</t>
  </si>
  <si>
    <t>239-2022-05-31</t>
  </si>
  <si>
    <t>239-2022-06-30</t>
  </si>
  <si>
    <t>239-2022-07-31</t>
  </si>
  <si>
    <t>239-2022-08-31</t>
  </si>
  <si>
    <t>239-2022-09-30</t>
  </si>
  <si>
    <t>239-2022-10-31</t>
  </si>
  <si>
    <t>239-2022-11-30</t>
  </si>
  <si>
    <t>239-2022-12-31</t>
  </si>
  <si>
    <t>Portafolio de Proyectos</t>
  </si>
  <si>
    <t>239-2023-01-31</t>
  </si>
  <si>
    <t>239-2023-02-28</t>
  </si>
  <si>
    <t>239-2023-03-31</t>
  </si>
  <si>
    <t>239-2023-04-30</t>
  </si>
  <si>
    <t>239-2023-05-31</t>
  </si>
  <si>
    <t>239-2023-06-30</t>
  </si>
  <si>
    <t>239-2023-07-31</t>
  </si>
  <si>
    <t>239-2023-08-31</t>
  </si>
  <si>
    <t>239-2023-09-30</t>
  </si>
  <si>
    <t>239-2023-10-31</t>
  </si>
  <si>
    <t>239-2023-11-30</t>
  </si>
  <si>
    <t>239-2023-12-31</t>
  </si>
  <si>
    <t>239-2024-01-31</t>
  </si>
  <si>
    <t>239-2024-02-29</t>
  </si>
  <si>
    <t>239-2024-03-31</t>
  </si>
  <si>
    <t>239-2024-04-30</t>
  </si>
  <si>
    <t>239-2024-05-31</t>
  </si>
  <si>
    <t>239-2024-06-30</t>
  </si>
  <si>
    <t>239-2024-07-31</t>
  </si>
  <si>
    <t>239-2024-08-31</t>
  </si>
  <si>
    <t>239-2024-09-30</t>
  </si>
  <si>
    <t>239-2024-10-31</t>
  </si>
  <si>
    <t>239-2024-11-30</t>
  </si>
  <si>
    <t>239-2024-12-31</t>
  </si>
  <si>
    <t>239-2025-03-31</t>
  </si>
  <si>
    <t>239-2025-04-30</t>
  </si>
  <si>
    <t>239-2025-05-31</t>
  </si>
  <si>
    <t>239-2025-06-30</t>
  </si>
  <si>
    <t>239-2025-07-31</t>
  </si>
  <si>
    <t>239-2025-08-31</t>
  </si>
  <si>
    <t>239-2025-09-30</t>
  </si>
  <si>
    <t>239-2025-10-31</t>
  </si>
  <si>
    <t>239-2025-11-30</t>
  </si>
  <si>
    <t>239-2025-12-31</t>
  </si>
  <si>
    <t>Cumplimiento de Gestión De Proyectos Cerrados</t>
  </si>
  <si>
    <t>240-2023-03-31</t>
  </si>
  <si>
    <t>240-2023-06-30</t>
  </si>
  <si>
    <t>240-2023-09-30</t>
  </si>
  <si>
    <t>240-2023-12-31</t>
  </si>
  <si>
    <t>240-2024-03-31</t>
  </si>
  <si>
    <t>240-2024-06-30</t>
  </si>
  <si>
    <t>240-2024-09-30</t>
  </si>
  <si>
    <t>240-2024-12-31</t>
  </si>
  <si>
    <t>Cumplimiento de gestión de proyectos fase inicio</t>
  </si>
  <si>
    <t>241-2023-01-31</t>
  </si>
  <si>
    <t>241-2023-02-28</t>
  </si>
  <si>
    <t>241-2023-03-31</t>
  </si>
  <si>
    <t>241-2023-04-30</t>
  </si>
  <si>
    <t>241-2023-05-31</t>
  </si>
  <si>
    <t>241-2023-06-30</t>
  </si>
  <si>
    <t>241-2023-07-31</t>
  </si>
  <si>
    <t>241-2023-08-31</t>
  </si>
  <si>
    <t>241-2023-09-30</t>
  </si>
  <si>
    <t>241-2023-10-31</t>
  </si>
  <si>
    <t>241-2023-11-30</t>
  </si>
  <si>
    <t>241-2023-12-31</t>
  </si>
  <si>
    <t>241-2024-01-31</t>
  </si>
  <si>
    <t>241-2024-02-29</t>
  </si>
  <si>
    <t>241-2024-03-31</t>
  </si>
  <si>
    <t>241-2024-04-30</t>
  </si>
  <si>
    <t>241-2024-05-31</t>
  </si>
  <si>
    <t>241-2024-06-30</t>
  </si>
  <si>
    <t>241-2024-07-31</t>
  </si>
  <si>
    <t>241-2024-08-31</t>
  </si>
  <si>
    <t>241-2024-09-30</t>
  </si>
  <si>
    <t>241-2024-10-31</t>
  </si>
  <si>
    <t>241-2024-11-30</t>
  </si>
  <si>
    <t>241-2024-12-31</t>
  </si>
  <si>
    <t>Cumplimiento a cronograma de proyectos 2023</t>
  </si>
  <si>
    <t>242-2023-01-31</t>
  </si>
  <si>
    <t>242-2023-02-28</t>
  </si>
  <si>
    <t>242-2023-03-31</t>
  </si>
  <si>
    <t>242-2023-04-30</t>
  </si>
  <si>
    <t>242-2023-05-31</t>
  </si>
  <si>
    <t>242-2023-06-30</t>
  </si>
  <si>
    <t>242-2023-07-31</t>
  </si>
  <si>
    <t>242-2023-08-31</t>
  </si>
  <si>
    <t>242-2023-09-30</t>
  </si>
  <si>
    <t>242-2023-10-31</t>
  </si>
  <si>
    <t>242-2023-11-30</t>
  </si>
  <si>
    <t>242-2023-12-31</t>
  </si>
  <si>
    <t>Cumplimiento de gestión de proyectos control de cambios</t>
  </si>
  <si>
    <t>243-2023-01-31</t>
  </si>
  <si>
    <t>243-2023-02-28</t>
  </si>
  <si>
    <t>243-2023-03-31</t>
  </si>
  <si>
    <t>243-2023-04-30</t>
  </si>
  <si>
    <t>243-2023-05-31</t>
  </si>
  <si>
    <t>243-2023-06-30</t>
  </si>
  <si>
    <t>243-2023-07-31</t>
  </si>
  <si>
    <t>243-2023-08-31</t>
  </si>
  <si>
    <t>243-2023-09-30</t>
  </si>
  <si>
    <t>243-2023-10-31</t>
  </si>
  <si>
    <t>243-2023-11-30</t>
  </si>
  <si>
    <t>243-2023-12-31</t>
  </si>
  <si>
    <t>GreenMetric - Nacional</t>
  </si>
  <si>
    <t>244-2023-12-31</t>
  </si>
  <si>
    <t>244-2024-12-31</t>
  </si>
  <si>
    <t>Permanencia Intersemestral</t>
  </si>
  <si>
    <t>Permanencia</t>
  </si>
  <si>
    <t>245-2023-06-30</t>
  </si>
  <si>
    <t>245-2023-12-31</t>
  </si>
  <si>
    <t>245-2024-06-30</t>
  </si>
  <si>
    <t>245-2024-12-31</t>
  </si>
  <si>
    <t>Tasa de Permanencia Intersemestral</t>
  </si>
  <si>
    <t>Satisfacción del proceso de grados</t>
  </si>
  <si>
    <t>Registro y Control</t>
  </si>
  <si>
    <t>246-2023-12-31</t>
  </si>
  <si>
    <t>Satisfacción del proceso de grados presencial</t>
  </si>
  <si>
    <t>246-2024-06-30</t>
  </si>
  <si>
    <t>246-2024-12-31</t>
  </si>
  <si>
    <t>Solicitud de certificados</t>
  </si>
  <si>
    <t>247-2023-01-31</t>
  </si>
  <si>
    <t>247-2023-02-28</t>
  </si>
  <si>
    <t>247-2023-03-31</t>
  </si>
  <si>
    <t>247-2023-04-30</t>
  </si>
  <si>
    <t>247-2023-05-31</t>
  </si>
  <si>
    <t>247-2023-06-30</t>
  </si>
  <si>
    <t>247-2023-07-31</t>
  </si>
  <si>
    <t>247-2023-08-31</t>
  </si>
  <si>
    <t>247-2023-09-30</t>
  </si>
  <si>
    <t>247-2023-10-31</t>
  </si>
  <si>
    <t>247-2023-11-30</t>
  </si>
  <si>
    <t>247-2023-12-31</t>
  </si>
  <si>
    <t>Programas con reforzamiento curricular</t>
  </si>
  <si>
    <t>Gestión, Evaluación e Innovación Curricular</t>
  </si>
  <si>
    <t>248-2023-06-30</t>
  </si>
  <si>
    <t>248-2023-12-31</t>
  </si>
  <si>
    <t>Programas con matriz de resultado de aprendizaje</t>
  </si>
  <si>
    <t>249-2023-06-30</t>
  </si>
  <si>
    <t>249-2023-12-31</t>
  </si>
  <si>
    <t>Subprocesos Con CMI Estructurado</t>
  </si>
  <si>
    <t>Desempeño Institucional</t>
  </si>
  <si>
    <t>251-2023-06-30</t>
  </si>
  <si>
    <t>251-2023-09-30</t>
  </si>
  <si>
    <t>251-2023-12-31</t>
  </si>
  <si>
    <t>Subprocesos Con indicadores definidos</t>
  </si>
  <si>
    <t>251-2024-03-31</t>
  </si>
  <si>
    <t>251-2024-06-30</t>
  </si>
  <si>
    <t>251-2024-09-30</t>
  </si>
  <si>
    <t>251-2024-12-31</t>
  </si>
  <si>
    <t>Permanencia intersemestral ingresantes</t>
  </si>
  <si>
    <t>252-2023-06-30</t>
  </si>
  <si>
    <t>252-2023-12-31</t>
  </si>
  <si>
    <t>252-2024-06-30</t>
  </si>
  <si>
    <t>252-2024-12-31</t>
  </si>
  <si>
    <t>Tasa de Permanencia Intersemestral de Estudiantes Ingresantes</t>
  </si>
  <si>
    <t>Oportunidad en la entrega de informes de auditoria</t>
  </si>
  <si>
    <t>253-2023-04-30</t>
  </si>
  <si>
    <t>253-2023-06-30</t>
  </si>
  <si>
    <t>253-2023-08-31</t>
  </si>
  <si>
    <t>253-2023-10-31</t>
  </si>
  <si>
    <t>253-2023-12-31</t>
  </si>
  <si>
    <t>Áreas con reportes de plan de retos</t>
  </si>
  <si>
    <t>Planeación Estratégica</t>
  </si>
  <si>
    <t>254-2023-03-31</t>
  </si>
  <si>
    <t>Trianual</t>
  </si>
  <si>
    <t>254-2023-06-30</t>
  </si>
  <si>
    <t>254-2023-09-30</t>
  </si>
  <si>
    <t>254-2023-12-31</t>
  </si>
  <si>
    <t>254-2024-03-31</t>
  </si>
  <si>
    <t>254-2024-06-30</t>
  </si>
  <si>
    <t>254-2024-09-30</t>
  </si>
  <si>
    <t>254-2024-12-31</t>
  </si>
  <si>
    <t>Informe anual de variación de índice H</t>
  </si>
  <si>
    <t>255-2023-12-31</t>
  </si>
  <si>
    <t>255-2024-12-31</t>
  </si>
  <si>
    <t>Informe anual de índice H</t>
  </si>
  <si>
    <t>Publicaciones editadas por la editorial</t>
  </si>
  <si>
    <t>256-2023-06-30</t>
  </si>
  <si>
    <t>256-2023-12-31</t>
  </si>
  <si>
    <t>256-2024-06-30</t>
  </si>
  <si>
    <t>256-2024-12-31</t>
  </si>
  <si>
    <t>N de publicaciones aprobadas en convocatorias</t>
  </si>
  <si>
    <t>257-2023-06-30</t>
  </si>
  <si>
    <t>257-2023-12-31</t>
  </si>
  <si>
    <t>Subprocesos con indicadores reportados oportunamente</t>
  </si>
  <si>
    <t>259-2023-06-30</t>
  </si>
  <si>
    <t>259-2023-09-30</t>
  </si>
  <si>
    <t>259-2024-06-30</t>
  </si>
  <si>
    <t>259-2024-09-30</t>
  </si>
  <si>
    <t>259-2024-12-31</t>
  </si>
  <si>
    <t>CES- Costumer Effort Score del proceso de Rematrícula</t>
  </si>
  <si>
    <t>Rematrícula</t>
  </si>
  <si>
    <t>260-2023-06-30</t>
  </si>
  <si>
    <t>260-2023-12-31</t>
  </si>
  <si>
    <t>260-2024-06-30</t>
  </si>
  <si>
    <t>260-2024-12-31</t>
  </si>
  <si>
    <t>CES- Costumer Effort Score del proceso de Saber Pro</t>
  </si>
  <si>
    <t>261-2023-06-30</t>
  </si>
  <si>
    <t>261-2023-12-31</t>
  </si>
  <si>
    <t>261-2024-06-30</t>
  </si>
  <si>
    <t>261-2024-12-31</t>
  </si>
  <si>
    <t>Evitar erogación de dinero por multas asociadas en contra del POLI por los procesos en curso</t>
  </si>
  <si>
    <t>GESTIÓN JURÍDICA Y NORMATIVA</t>
  </si>
  <si>
    <t>262-2023-06-30</t>
  </si>
  <si>
    <t>262-2023-12-31</t>
  </si>
  <si>
    <t>Reducción de número de sentencias condenatorias en contra del Poli</t>
  </si>
  <si>
    <t>262-2024-06-30</t>
  </si>
  <si>
    <t>262-2024-12-31</t>
  </si>
  <si>
    <t>Oportunidad de respuesta de PQRS</t>
  </si>
  <si>
    <t>263-2023-03-31</t>
  </si>
  <si>
    <t>263-2023-06-30</t>
  </si>
  <si>
    <t>263-2023-09-30</t>
  </si>
  <si>
    <t>263-2023-12-31</t>
  </si>
  <si>
    <t>263-2024-03-31</t>
  </si>
  <si>
    <t>263-2024-06-30</t>
  </si>
  <si>
    <t>263-2024-09-30</t>
  </si>
  <si>
    <t>263-2024-12-31</t>
  </si>
  <si>
    <t>Emisión De Conceptos Jurídicos (Educación)</t>
  </si>
  <si>
    <t>264-2023-06-30</t>
  </si>
  <si>
    <t>264-2023-12-31</t>
  </si>
  <si>
    <t>Eficiencia Emisión De Conceptos Jurídicos (Educación)</t>
  </si>
  <si>
    <t>264-2024-06-30</t>
  </si>
  <si>
    <t>264-2024-12-31</t>
  </si>
  <si>
    <t>Emisión De Conceptos Jurídicos (Jurídicos)</t>
  </si>
  <si>
    <t>265-2023-06-30</t>
  </si>
  <si>
    <t>265-2023-12-31</t>
  </si>
  <si>
    <t>Eficiencia Emisión De Conceptos Jurídicos (Jurídicos)</t>
  </si>
  <si>
    <t>265-2024-06-30</t>
  </si>
  <si>
    <t>265-2024-12-31</t>
  </si>
  <si>
    <t>Oportunidad en la elaboración de contratos</t>
  </si>
  <si>
    <t>266-2023-06-30</t>
  </si>
  <si>
    <t>266-2023-12-31</t>
  </si>
  <si>
    <t>266-2024-06-30</t>
  </si>
  <si>
    <t>266-2024-12-31</t>
  </si>
  <si>
    <t>Cantidad de usuarios</t>
  </si>
  <si>
    <t>Centro de Medios Audiovisuales</t>
  </si>
  <si>
    <t>268-2023-06-30</t>
  </si>
  <si>
    <t>268-2023-12-31</t>
  </si>
  <si>
    <t>268-2024-06-30</t>
  </si>
  <si>
    <t>268-2024-12-31</t>
  </si>
  <si>
    <t>Cantidad de usuarios - (Metrica)</t>
  </si>
  <si>
    <t>N de personas promedio por evento</t>
  </si>
  <si>
    <t>269-2023-06-30</t>
  </si>
  <si>
    <t>269-2023-12-31</t>
  </si>
  <si>
    <t>269-2024-06-30</t>
  </si>
  <si>
    <t>269-2024-12-31</t>
  </si>
  <si>
    <t>N de personas promedio por evento - (Metrica)</t>
  </si>
  <si>
    <t>N de horas promedio por evento</t>
  </si>
  <si>
    <t>270-2023-06-30</t>
  </si>
  <si>
    <t>270-2023-12-31</t>
  </si>
  <si>
    <t>270-2024-06-30</t>
  </si>
  <si>
    <t>270-2024-12-31</t>
  </si>
  <si>
    <t>N de horas promedio por evento - (Metrica)</t>
  </si>
  <si>
    <t>N de horas por solicitud</t>
  </si>
  <si>
    <t>271-2023-06-30</t>
  </si>
  <si>
    <t>271-2023-12-31</t>
  </si>
  <si>
    <t>271-2024-06-30</t>
  </si>
  <si>
    <t>N de horas por solicitud - (Metrica)</t>
  </si>
  <si>
    <t>271-2024-12-31</t>
  </si>
  <si>
    <t>Proporción de accidentes de trabajo mortales</t>
  </si>
  <si>
    <t>272-2023-12-31</t>
  </si>
  <si>
    <t>272-2024-12-31</t>
  </si>
  <si>
    <t>Número de programas con condiciones iniciales elaboradas y analizadas institucionalmente</t>
  </si>
  <si>
    <t>Autoevaluación de programas académicos</t>
  </si>
  <si>
    <t>273-2023-06-30</t>
  </si>
  <si>
    <t>273-2023-12-31</t>
  </si>
  <si>
    <t>273-2024-06-30</t>
  </si>
  <si>
    <t>273-2024-12-31</t>
  </si>
  <si>
    <t>Cumplimiento total estudiantes antiguos</t>
  </si>
  <si>
    <t>274-2023-06-30</t>
  </si>
  <si>
    <t>274-2023-12-31</t>
  </si>
  <si>
    <t>274-2024-06-30</t>
  </si>
  <si>
    <t>274-2025-06-30</t>
  </si>
  <si>
    <t>274-2025-12-31</t>
  </si>
  <si>
    <t>Satisfacción Institucional por grupo de interes</t>
  </si>
  <si>
    <t>EXPERIENCIA INSTITUCIONAL</t>
  </si>
  <si>
    <t>275-2023-12-31</t>
  </si>
  <si>
    <t>275-2024-06-30</t>
  </si>
  <si>
    <t>275-2024-12-31</t>
  </si>
  <si>
    <t>275-2025-06-30</t>
  </si>
  <si>
    <t>275-2025-12-31</t>
  </si>
  <si>
    <t>Relación Estudiante-Docente Tiempo completo</t>
  </si>
  <si>
    <t>Gestión Docente</t>
  </si>
  <si>
    <t>276-2023-06-30</t>
  </si>
  <si>
    <t>276-2023-12-31</t>
  </si>
  <si>
    <t>276-2024-06-30</t>
  </si>
  <si>
    <t>276-2024-12-31</t>
  </si>
  <si>
    <t>Relación estudiante docente Tiempo Completo Equivalente</t>
  </si>
  <si>
    <t>277-2023-06-30</t>
  </si>
  <si>
    <t>277-2023-12-31</t>
  </si>
  <si>
    <t>277-2024-06-30</t>
  </si>
  <si>
    <t>277-2024-12-31</t>
  </si>
  <si>
    <t>Relación estudiante docente TCE (Tiempo Completo Equivalente)</t>
  </si>
  <si>
    <t>Docentes contratados</t>
  </si>
  <si>
    <t>278-2023-06-30</t>
  </si>
  <si>
    <t>278-2023-12-31</t>
  </si>
  <si>
    <t>278-2024-06-30</t>
  </si>
  <si>
    <t>278-2024-12-31</t>
  </si>
  <si>
    <t>Docentes contratados - Metrica</t>
  </si>
  <si>
    <t>278-2025-06-30</t>
  </si>
  <si>
    <t>278-2025-12-31</t>
  </si>
  <si>
    <t>Docentes tiempo completo</t>
  </si>
  <si>
    <t>279-2023-06-30</t>
  </si>
  <si>
    <t>Docentes medio tiempo</t>
  </si>
  <si>
    <t>280-2023-06-30</t>
  </si>
  <si>
    <t>280-2023-12-31</t>
  </si>
  <si>
    <t>Docentes cátedra</t>
  </si>
  <si>
    <t>281-2023-06-30</t>
  </si>
  <si>
    <t>281-2023-12-31</t>
  </si>
  <si>
    <t>Docentes evaluados</t>
  </si>
  <si>
    <t>282-2023-06-30</t>
  </si>
  <si>
    <t>282-2023-12-31</t>
  </si>
  <si>
    <t>282-2024-06-30</t>
  </si>
  <si>
    <t>282-2024-12-31</t>
  </si>
  <si>
    <t>Resultado evaluación docente</t>
  </si>
  <si>
    <t>283-2023-06-30</t>
  </si>
  <si>
    <t>283-2023-12-31</t>
  </si>
  <si>
    <t>283-2024-06-30</t>
  </si>
  <si>
    <t>283-2024-12-31</t>
  </si>
  <si>
    <t>Número Horas semanales docentes</t>
  </si>
  <si>
    <t>284-2023-06-30</t>
  </si>
  <si>
    <t>284-2023-12-31</t>
  </si>
  <si>
    <t>Docentes con plan de trabajo asignado</t>
  </si>
  <si>
    <t>285-2023-06-30</t>
  </si>
  <si>
    <t>285-2023-12-31</t>
  </si>
  <si>
    <t>285-2024-06-30</t>
  </si>
  <si>
    <t>285-2024-12-31</t>
  </si>
  <si>
    <t>Total docentes por nivel de estudios</t>
  </si>
  <si>
    <t>286-2023-06-30</t>
  </si>
  <si>
    <t>286-2023-12-31</t>
  </si>
  <si>
    <t>286-2024-06-30</t>
  </si>
  <si>
    <t>286-2024-12-31</t>
  </si>
  <si>
    <t>Total docentes por nivel de estudios - Metrica</t>
  </si>
  <si>
    <t>286-2025-06-30</t>
  </si>
  <si>
    <t>286-2025-12-31</t>
  </si>
  <si>
    <t>Número docentes escalafonados presentados en convocatoria</t>
  </si>
  <si>
    <t>288-2023-06-30</t>
  </si>
  <si>
    <t>288-2023-12-31</t>
  </si>
  <si>
    <t>288-2024-06-30</t>
  </si>
  <si>
    <t>288-2024-12-31</t>
  </si>
  <si>
    <t>Cumplimiento plan de comunicaciones SGC</t>
  </si>
  <si>
    <t>289-2023-06-30</t>
  </si>
  <si>
    <t>289-2023-09-30</t>
  </si>
  <si>
    <t>289-2024-06-30</t>
  </si>
  <si>
    <t>289-2024-09-30</t>
  </si>
  <si>
    <t>289-2024-12-31</t>
  </si>
  <si>
    <t>Cierre eficaz de las oportunidades de mejora</t>
  </si>
  <si>
    <t>Planificación POLISIGS</t>
  </si>
  <si>
    <t>290-2023-06-30</t>
  </si>
  <si>
    <t>290-2023-08-30</t>
  </si>
  <si>
    <t>290-2023-10-31</t>
  </si>
  <si>
    <t>290-2023-12-31</t>
  </si>
  <si>
    <t>290-2024-02-29</t>
  </si>
  <si>
    <t>290-2024-04-30</t>
  </si>
  <si>
    <t>290-2024-06-30</t>
  </si>
  <si>
    <t>290-2024-08-31</t>
  </si>
  <si>
    <t>290-2024-10-31</t>
  </si>
  <si>
    <t>290-2024-12-31</t>
  </si>
  <si>
    <t>Cumplimiento del cronograma de actividades deportivas</t>
  </si>
  <si>
    <t>Cultura y Deporte</t>
  </si>
  <si>
    <t>291-2023-06-30</t>
  </si>
  <si>
    <t>291-2023-12-31</t>
  </si>
  <si>
    <t>291-2024-06-30</t>
  </si>
  <si>
    <t>291-2024-12-31</t>
  </si>
  <si>
    <t>Participación en Actividades deportivas</t>
  </si>
  <si>
    <t>292-2023-06-30</t>
  </si>
  <si>
    <t>292-2023-12-31</t>
  </si>
  <si>
    <t>292-2024-06-30</t>
  </si>
  <si>
    <t>292-2024-12-31</t>
  </si>
  <si>
    <t>292-2025-06-30</t>
  </si>
  <si>
    <t>292-2025-12-31</t>
  </si>
  <si>
    <t>Cumplimiento del cronograma de actividades culturales</t>
  </si>
  <si>
    <t>293-2023-06-30</t>
  </si>
  <si>
    <t>293-2023-12-31</t>
  </si>
  <si>
    <t>293-2024-06-30</t>
  </si>
  <si>
    <t>293-2024-12-31</t>
  </si>
  <si>
    <t>Participación en actividades culturales presenciales</t>
  </si>
  <si>
    <t>294-2023-06-30</t>
  </si>
  <si>
    <t>294-2023-12-31</t>
  </si>
  <si>
    <t>294-2024-06-30</t>
  </si>
  <si>
    <t>Participación en actividades culturales</t>
  </si>
  <si>
    <t>294-2024-12-31</t>
  </si>
  <si>
    <t>294-2025-06-30</t>
  </si>
  <si>
    <t>294-2025-12-31</t>
  </si>
  <si>
    <t>Cumplimiento Del Cierre De Oportunidades De Mejora De Auditoria</t>
  </si>
  <si>
    <t>295-2023-06-30</t>
  </si>
  <si>
    <t>295-2023-12-31</t>
  </si>
  <si>
    <t>295-2024-06-30</t>
  </si>
  <si>
    <t>Gestión de riesgos por subprocesos</t>
  </si>
  <si>
    <t>GESTIÓN DE RIESGOS</t>
  </si>
  <si>
    <t>296-2023-08-31</t>
  </si>
  <si>
    <t>296-2023-10-31</t>
  </si>
  <si>
    <t>296-2023-12-31</t>
  </si>
  <si>
    <t>N de riesgos operacionales intervenidos</t>
  </si>
  <si>
    <t>297-2023-08-31</t>
  </si>
  <si>
    <t>297-2023-10-31</t>
  </si>
  <si>
    <t>297-2023-12-31</t>
  </si>
  <si>
    <t>N de riesgos materializados</t>
  </si>
  <si>
    <t>298-2023-12-31</t>
  </si>
  <si>
    <t>Cumplimiento de Inspecciones de control</t>
  </si>
  <si>
    <t>Administración de Servicios Generales</t>
  </si>
  <si>
    <t>300-2023-03-31</t>
  </si>
  <si>
    <t>300-2023-06-30</t>
  </si>
  <si>
    <t>300-2023-09-30</t>
  </si>
  <si>
    <t>300-2023-12-31</t>
  </si>
  <si>
    <t>300-2024-03-31</t>
  </si>
  <si>
    <t>300-2024-06-30</t>
  </si>
  <si>
    <t>300-2024-09-30</t>
  </si>
  <si>
    <t>300-2024-12-31</t>
  </si>
  <si>
    <t>Cumplimiento plan de trabajo</t>
  </si>
  <si>
    <t>301-2023-03-31</t>
  </si>
  <si>
    <t>301-2023-06-30</t>
  </si>
  <si>
    <t>301-2023-09-30</t>
  </si>
  <si>
    <t>301-2023-12-31</t>
  </si>
  <si>
    <t>301-2024-03-31</t>
  </si>
  <si>
    <t>301-2024-06-30</t>
  </si>
  <si>
    <t>301-2024-09-30</t>
  </si>
  <si>
    <t>301-2024-12-31</t>
  </si>
  <si>
    <t>N de solicitudes radicadas</t>
  </si>
  <si>
    <t>302-2023-06-30</t>
  </si>
  <si>
    <t>302-2023-12-31</t>
  </si>
  <si>
    <t>302-2024-06-30</t>
  </si>
  <si>
    <t>302-2024-12-31</t>
  </si>
  <si>
    <t>N de solicitudes radicadas - (Metrica)</t>
  </si>
  <si>
    <t>302-2025-06-30</t>
  </si>
  <si>
    <t>302-2025-12-31</t>
  </si>
  <si>
    <t>Cumplimiento del cronograma de actividades de salud</t>
  </si>
  <si>
    <t>Servicio de Salud</t>
  </si>
  <si>
    <t>303-2023-06-30</t>
  </si>
  <si>
    <t>303-2023-12-31</t>
  </si>
  <si>
    <t>303-2024-06-30</t>
  </si>
  <si>
    <t>303-2024-12-31</t>
  </si>
  <si>
    <t>303-2025-06-30</t>
  </si>
  <si>
    <t>303-2025-12-31</t>
  </si>
  <si>
    <t>Impacto de Campañas de promoción y prevención</t>
  </si>
  <si>
    <t>304-2023-06-30</t>
  </si>
  <si>
    <t>304-2023-12-31</t>
  </si>
  <si>
    <t>304-2024-06-30</t>
  </si>
  <si>
    <t>304-2024-12-31</t>
  </si>
  <si>
    <t>Cumplimiento del plan anual de mantenimiento de equipos médicos</t>
  </si>
  <si>
    <t>305-2023-12-31</t>
  </si>
  <si>
    <t>305-2024-12-31</t>
  </si>
  <si>
    <t>Seguimiento KPI Plan de Desarrollo Institucional</t>
  </si>
  <si>
    <t>306-2023-03-31</t>
  </si>
  <si>
    <t>306-2023-06-30</t>
  </si>
  <si>
    <t>306-2023-09-30</t>
  </si>
  <si>
    <t>306-2023-12-31</t>
  </si>
  <si>
    <t>306-2024-03-31</t>
  </si>
  <si>
    <t>306-2024-06-30</t>
  </si>
  <si>
    <t>306-2024-09-30</t>
  </si>
  <si>
    <t>306-2024-12-31</t>
  </si>
  <si>
    <t>306-2025-06-30</t>
  </si>
  <si>
    <t>306-2025-09-30</t>
  </si>
  <si>
    <t>306-2025-12-31</t>
  </si>
  <si>
    <t>Organización de escenarios de visibilidad nacional e internacional</t>
  </si>
  <si>
    <t>307-2023-06-30</t>
  </si>
  <si>
    <t>307-2023-12-31</t>
  </si>
  <si>
    <t>307-2024-06-30</t>
  </si>
  <si>
    <t>307-2024-12-31</t>
  </si>
  <si>
    <t>Movilidad Física Entrantes Profesores</t>
  </si>
  <si>
    <t>308-2023-06-30</t>
  </si>
  <si>
    <t>308-2023-12-31</t>
  </si>
  <si>
    <t>308-2024-06-30</t>
  </si>
  <si>
    <t>308-2024-12-31</t>
  </si>
  <si>
    <t>Movilidad Física Profesores Salientes</t>
  </si>
  <si>
    <t>309-2023-06-30</t>
  </si>
  <si>
    <t>309-2023-12-31</t>
  </si>
  <si>
    <t>309-2024-06-30</t>
  </si>
  <si>
    <t>Movilidad Física Salientes Profesores</t>
  </si>
  <si>
    <t>309-2024-12-31</t>
  </si>
  <si>
    <t>Movilidad Física Entrante Estudiantes</t>
  </si>
  <si>
    <t>310-2023-06-30</t>
  </si>
  <si>
    <t>310-2023-12-31</t>
  </si>
  <si>
    <t>310-2024-06-30</t>
  </si>
  <si>
    <t>310-2024-12-31</t>
  </si>
  <si>
    <t>Movilidad Física Saliente Estudiantes</t>
  </si>
  <si>
    <t>311-2023-06-30</t>
  </si>
  <si>
    <t>311-2023-12-31</t>
  </si>
  <si>
    <t>311-2024-06-30</t>
  </si>
  <si>
    <t>311-2024-12-31</t>
  </si>
  <si>
    <t>Clases espejo</t>
  </si>
  <si>
    <t>312-2023-06-30</t>
  </si>
  <si>
    <t>312-2023-12-31</t>
  </si>
  <si>
    <t>312-2024-06-30</t>
  </si>
  <si>
    <t>312-2024-12-31</t>
  </si>
  <si>
    <t>Seminarios y cursos internacionales virtuales impartidos y certificados por entidades externas</t>
  </si>
  <si>
    <t>313-2023-06-30</t>
  </si>
  <si>
    <t>313-2023-12-31</t>
  </si>
  <si>
    <t>313-2024-06-30</t>
  </si>
  <si>
    <t>313-2024-12-31</t>
  </si>
  <si>
    <t>N de asignaturas COIL - (Collaborative Online International Learning)</t>
  </si>
  <si>
    <t>314-2023-06-30</t>
  </si>
  <si>
    <t>314-2023-12-31</t>
  </si>
  <si>
    <t>314-2024-06-30</t>
  </si>
  <si>
    <t>314-2024-12-31</t>
  </si>
  <si>
    <t>Convenios con doble titulación</t>
  </si>
  <si>
    <t>315-2023-06-30</t>
  </si>
  <si>
    <t>Asignaturas con sesiones en segundo idioma</t>
  </si>
  <si>
    <t>316-2023-06-30</t>
  </si>
  <si>
    <t>316-2023-12-31</t>
  </si>
  <si>
    <t>Plan De Internacionalización A 7 Años</t>
  </si>
  <si>
    <t>317-2023-12-31</t>
  </si>
  <si>
    <t>317-2024-12-31</t>
  </si>
  <si>
    <t>Convenios, alianzas activas con actividades desde 2018</t>
  </si>
  <si>
    <t>318-2023-06-30</t>
  </si>
  <si>
    <t>318-2023-12-31</t>
  </si>
  <si>
    <t>Convenios, alianzas activas con actividades en los últimos 5 años</t>
  </si>
  <si>
    <t>318-2024-12-31</t>
  </si>
  <si>
    <t>Nivel de cumplimiento de la gestión de internacionalización descrito en el plan de trabajo de la ORNI</t>
  </si>
  <si>
    <t>319-2023-06-30</t>
  </si>
  <si>
    <t>319-2023-12-31</t>
  </si>
  <si>
    <t>319-2024-06-30</t>
  </si>
  <si>
    <t>319-2024-12-31</t>
  </si>
  <si>
    <t>Participación docentes eventos académicos internacionales virtuales</t>
  </si>
  <si>
    <t>320-2023-06-30</t>
  </si>
  <si>
    <t>320-2023-12-31</t>
  </si>
  <si>
    <t>Participación docentes Poli en eventos académicos internacionales virtuales</t>
  </si>
  <si>
    <t>320-2024-06-30</t>
  </si>
  <si>
    <t>320-2024-12-31</t>
  </si>
  <si>
    <t>Participación estudiantes eventos académicos internacionales virtuales</t>
  </si>
  <si>
    <t>321-2023-06-30</t>
  </si>
  <si>
    <t>321-2023-12-31</t>
  </si>
  <si>
    <t>Participación estudiantes Poli en eventos académicos internacionales virtuales</t>
  </si>
  <si>
    <t>321-2024-06-30</t>
  </si>
  <si>
    <t>321-2024-12-31</t>
  </si>
  <si>
    <t>Número de renovaciones de registro calificado</t>
  </si>
  <si>
    <t>Creación, modificación y cierre de programas académicos</t>
  </si>
  <si>
    <t>323-2023-06-30</t>
  </si>
  <si>
    <t>323-2023-12-31</t>
  </si>
  <si>
    <t>323-2024-06-30</t>
  </si>
  <si>
    <t>323-2024-12-31</t>
  </si>
  <si>
    <t>Número de programas nuevos radicados en el Ministerio de Educación</t>
  </si>
  <si>
    <t>324-2023-06-30</t>
  </si>
  <si>
    <t>324-2023-12-31</t>
  </si>
  <si>
    <t>324-2024-06-30</t>
  </si>
  <si>
    <t>324-2024-12-31</t>
  </si>
  <si>
    <t>Número de programas nuevos con registro calificado aprobado</t>
  </si>
  <si>
    <t>325-2023-06-30</t>
  </si>
  <si>
    <t>325-2023-12-31</t>
  </si>
  <si>
    <t>325-2024-06-30</t>
  </si>
  <si>
    <t>325-2024-12-31</t>
  </si>
  <si>
    <t>Número de programas nuevos con registro calificado aprobado - Metrica</t>
  </si>
  <si>
    <t>Número de informes de autoevaluación con fines de acreditación en alta calidad radicados</t>
  </si>
  <si>
    <t>326-2023-12-31</t>
  </si>
  <si>
    <t>Número de informes de autoevaluación con fines de acreditación en alta calidad radicados- Metrica</t>
  </si>
  <si>
    <t>326-2024-12-31</t>
  </si>
  <si>
    <t>Número de programas con obtención de acreditación por primera vez</t>
  </si>
  <si>
    <t>327-2023-06-30</t>
  </si>
  <si>
    <t>327-2023-12-31</t>
  </si>
  <si>
    <t>327-2024-06-30</t>
  </si>
  <si>
    <t>327-2024-12-31</t>
  </si>
  <si>
    <t>Número de programas con obtención de acreditación por primera vez- Metrica</t>
  </si>
  <si>
    <t>Nivel de encuestas obtenidas en el encuentro institucional de graduados</t>
  </si>
  <si>
    <t>Gestión de Graduados</t>
  </si>
  <si>
    <t>328-2023-12-31</t>
  </si>
  <si>
    <t>328-2024-12-31</t>
  </si>
  <si>
    <t>Participación en actividades diseñadas para graduados</t>
  </si>
  <si>
    <t>329-2023-12-31</t>
  </si>
  <si>
    <t>329-2024-12-31</t>
  </si>
  <si>
    <t>Nivel de empleabilidad del graduado</t>
  </si>
  <si>
    <t>331-2023-12-31</t>
  </si>
  <si>
    <t>331-2024-12-31</t>
  </si>
  <si>
    <t>Índice de rotación</t>
  </si>
  <si>
    <t>332-2023-06-30</t>
  </si>
  <si>
    <t>332-2023-12-31</t>
  </si>
  <si>
    <t>332-2024-06-30</t>
  </si>
  <si>
    <t>332-2024-12-31</t>
  </si>
  <si>
    <t>Resultado de la evaluación 360 (evaluación por competencias)</t>
  </si>
  <si>
    <t>334-2023-12-31</t>
  </si>
  <si>
    <t>334-2024-12-31</t>
  </si>
  <si>
    <t>Cumplimiento de diagnóstico necesidades de capacitación por área</t>
  </si>
  <si>
    <t>335-2023-12-31</t>
  </si>
  <si>
    <t>335-2024-12-31</t>
  </si>
  <si>
    <t>Materiales bibliográficos en formato físico con estado de perdida</t>
  </si>
  <si>
    <t>336-2023-12-31</t>
  </si>
  <si>
    <t>336-2024-12-31</t>
  </si>
  <si>
    <t>Número de programas con renovación de acreditación en alta calidad - Metrica</t>
  </si>
  <si>
    <t>337-2023-06-30</t>
  </si>
  <si>
    <t>Número de programas con renovación de acreditación en alta calidad</t>
  </si>
  <si>
    <t>337-2023-12-31</t>
  </si>
  <si>
    <t>337-2024-06-30</t>
  </si>
  <si>
    <t>337-2024-12-31</t>
  </si>
  <si>
    <t>Número de programas con condiciones iniciales aprobadas (indicador externo)</t>
  </si>
  <si>
    <t>338-2023-06-30</t>
  </si>
  <si>
    <t>Número de programas con condiciones iniciales aprobadas (indicador externo)- Metrica</t>
  </si>
  <si>
    <t>338-2023-12-31</t>
  </si>
  <si>
    <t>Número de programas con condiciones iniciales aprobadas</t>
  </si>
  <si>
    <t>338-2024-06-30</t>
  </si>
  <si>
    <t>338-2024-12-31</t>
  </si>
  <si>
    <t>Programas acreditables acreditados Sede Bogotá</t>
  </si>
  <si>
    <t>Autoevaluación institucional</t>
  </si>
  <si>
    <t>339-2023-12-31</t>
  </si>
  <si>
    <t>339-2024-12-31</t>
  </si>
  <si>
    <t>Cumplimiento cronograma revisiones locativas</t>
  </si>
  <si>
    <t>340-2023-03-31</t>
  </si>
  <si>
    <t>340-2023-06-30</t>
  </si>
  <si>
    <t>340-2023-09-30</t>
  </si>
  <si>
    <t>340-2023-12-31</t>
  </si>
  <si>
    <t>340-2024-03-31</t>
  </si>
  <si>
    <t>340-2024-06-30</t>
  </si>
  <si>
    <t>340-2024-09-30</t>
  </si>
  <si>
    <t>340-2024-12-31</t>
  </si>
  <si>
    <t>Monto total de ahorro en gestión de abastecimiento</t>
  </si>
  <si>
    <t>341-2023-06-30</t>
  </si>
  <si>
    <t>341-2023-12-31</t>
  </si>
  <si>
    <t>Reducción de costos en gestión de abastecimiento</t>
  </si>
  <si>
    <t>341-2024-06-30</t>
  </si>
  <si>
    <t>341-2024-12-31</t>
  </si>
  <si>
    <t>Eficiencia en la reducción de costos en la gestión del abastecimiento</t>
  </si>
  <si>
    <t>Cumplimiento del plan de Inducción institucional</t>
  </si>
  <si>
    <t>344-2023-06-30</t>
  </si>
  <si>
    <t>344-2023-12-31</t>
  </si>
  <si>
    <t>344-2024-06-30</t>
  </si>
  <si>
    <t>344-2024-12-31</t>
  </si>
  <si>
    <t>% de profesores impactados plan de desarrollo docente</t>
  </si>
  <si>
    <t>345-2023-12-31</t>
  </si>
  <si>
    <t>% de profesores impactados en actividades de Bienestar</t>
  </si>
  <si>
    <t>346-2023-12-31</t>
  </si>
  <si>
    <t>346-2024-12-31</t>
  </si>
  <si>
    <t>Legalizaciones y anticipos</t>
  </si>
  <si>
    <t>Contabilidad</t>
  </si>
  <si>
    <t>347-2023-03-31</t>
  </si>
  <si>
    <t>347-2023-06-30</t>
  </si>
  <si>
    <t>347-2023-09-30</t>
  </si>
  <si>
    <t>347-2023-12-31</t>
  </si>
  <si>
    <t>347-2024-03-31</t>
  </si>
  <si>
    <t>347-2024-06-30</t>
  </si>
  <si>
    <t>347-2024-09-30</t>
  </si>
  <si>
    <t>347-2024-12-31</t>
  </si>
  <si>
    <t>Cuentas por pagar</t>
  </si>
  <si>
    <t>348-2023-03-31</t>
  </si>
  <si>
    <t>348-2023-06-30</t>
  </si>
  <si>
    <t>348-2023-09-30</t>
  </si>
  <si>
    <t>348-2023-12-31</t>
  </si>
  <si>
    <t>348-2024-03-31</t>
  </si>
  <si>
    <t>348-2024-06-30</t>
  </si>
  <si>
    <t>348-2024-09-30</t>
  </si>
  <si>
    <t>348-2024-12-31</t>
  </si>
  <si>
    <t>Partidas conciliatorias de bancos</t>
  </si>
  <si>
    <t>351-2023-03-31</t>
  </si>
  <si>
    <t>351-2023-06-30</t>
  </si>
  <si>
    <t>351-2023-09-30</t>
  </si>
  <si>
    <t>351-2023-12-31</t>
  </si>
  <si>
    <t>351-2024-03-31</t>
  </si>
  <si>
    <t>351-2024-06-30</t>
  </si>
  <si>
    <t>351-2024-09-30</t>
  </si>
  <si>
    <t>351-2024-12-31</t>
  </si>
  <si>
    <t>Nivel de facturas generadas con error</t>
  </si>
  <si>
    <t>352-2023-03-31</t>
  </si>
  <si>
    <t>352-2023-06-30</t>
  </si>
  <si>
    <t>352-2023-09-30</t>
  </si>
  <si>
    <t>352-2023-12-31</t>
  </si>
  <si>
    <t>352-2024-03-31</t>
  </si>
  <si>
    <t>352-2024-06-30</t>
  </si>
  <si>
    <t>352-2024-09-30</t>
  </si>
  <si>
    <t>352-2024-12-31</t>
  </si>
  <si>
    <t>Cobertura de tableros BI en procesos</t>
  </si>
  <si>
    <t>DATOS Y ANALÍTICA</t>
  </si>
  <si>
    <t>353-2023-06-30</t>
  </si>
  <si>
    <t>353-2023-12-31</t>
  </si>
  <si>
    <t>Plan de formación en analitica</t>
  </si>
  <si>
    <t>354-2023-06-30</t>
  </si>
  <si>
    <t>354-2023-12-31</t>
  </si>
  <si>
    <t>Indice de liquidez</t>
  </si>
  <si>
    <t>Tesorería</t>
  </si>
  <si>
    <t>355-2023-06-30</t>
  </si>
  <si>
    <t>355-2023-12-31</t>
  </si>
  <si>
    <t>355-2024-12-31</t>
  </si>
  <si>
    <t>Indice de Endeudamiento</t>
  </si>
  <si>
    <t>356-2023-06-30</t>
  </si>
  <si>
    <t>356-2023-12-31</t>
  </si>
  <si>
    <t>356-2024-06-30</t>
  </si>
  <si>
    <t>356-2024-12-31</t>
  </si>
  <si>
    <t>Cartera</t>
  </si>
  <si>
    <t>357-2023-06-30</t>
  </si>
  <si>
    <t>357-2023-12-31</t>
  </si>
  <si>
    <t>357-2024-06-30</t>
  </si>
  <si>
    <t>357-2024-12-31</t>
  </si>
  <si>
    <t>Cartera - Metrica</t>
  </si>
  <si>
    <t>Acompañamiento a estudiantes en practicas</t>
  </si>
  <si>
    <t>Prácticas</t>
  </si>
  <si>
    <t>358-2023-06-30</t>
  </si>
  <si>
    <t>358-2023-12-31</t>
  </si>
  <si>
    <t>358-2024-06-30</t>
  </si>
  <si>
    <t>358-2024-12-31</t>
  </si>
  <si>
    <t>Nivel de acompañamiento a estudiantes en práctica</t>
  </si>
  <si>
    <t>Satisfacción Institucional CSAT</t>
  </si>
  <si>
    <t>359-2024-06-30</t>
  </si>
  <si>
    <t>Satisfacción Institucional</t>
  </si>
  <si>
    <t>359-2024-12-31</t>
  </si>
  <si>
    <t>Cumplimiento de cronogramas</t>
  </si>
  <si>
    <t>Experiencia institucional</t>
  </si>
  <si>
    <t>360-2023-06-30</t>
  </si>
  <si>
    <t>360-2023-12-31</t>
  </si>
  <si>
    <t>% Inclusión</t>
  </si>
  <si>
    <t>Gestión de la Responsabilidad Social</t>
  </si>
  <si>
    <t>361-2023-12-31</t>
  </si>
  <si>
    <t>Índice de Inclusión</t>
  </si>
  <si>
    <t>361-2024-12-31</t>
  </si>
  <si>
    <t>Aseguramiento de matricula académica presencial</t>
  </si>
  <si>
    <t>Operaciones Académicas</t>
  </si>
  <si>
    <t>362-2023-06-30</t>
  </si>
  <si>
    <t>362-2023-12-31</t>
  </si>
  <si>
    <t>362-2024-06-30</t>
  </si>
  <si>
    <t>362-2024-12-31</t>
  </si>
  <si>
    <t>362-2025-06-30</t>
  </si>
  <si>
    <t>362-2025-12-31</t>
  </si>
  <si>
    <t>Seguimiento a la parametrización de aulas master y secciones de asignaturas</t>
  </si>
  <si>
    <t>363-2023-12-31</t>
  </si>
  <si>
    <t>363-2024-06-30</t>
  </si>
  <si>
    <t>363-2024-12-31</t>
  </si>
  <si>
    <t>Impacto de actividades de Responsabilidad y proyección</t>
  </si>
  <si>
    <t>364-2023-06-30</t>
  </si>
  <si>
    <t>364-2023-12-31</t>
  </si>
  <si>
    <t>364-2024-06-30</t>
  </si>
  <si>
    <t>364-2024-12-31</t>
  </si>
  <si>
    <t>Seguimiento de asignación docente a NRC Pregrado-Posgrado Presencial</t>
  </si>
  <si>
    <t>365-2023-12-31</t>
  </si>
  <si>
    <t>Normalización de cobros pecuniarios</t>
  </si>
  <si>
    <t>366-2023-12-31</t>
  </si>
  <si>
    <t>366-2024-12-31</t>
  </si>
  <si>
    <t>% Estudiantes con Becas</t>
  </si>
  <si>
    <t>367-2023-12-31</t>
  </si>
  <si>
    <t>Estudiantes con Becas</t>
  </si>
  <si>
    <t>367-2024-12-31</t>
  </si>
  <si>
    <t>Satisfacción de los estudiantes de Educación para toda la vida</t>
  </si>
  <si>
    <t>Operación de Educación no Formal</t>
  </si>
  <si>
    <t>368-2023-09-30</t>
  </si>
  <si>
    <t>368-2023-12-31</t>
  </si>
  <si>
    <t>368-2024-03-31</t>
  </si>
  <si>
    <t>368-2024-06-30</t>
  </si>
  <si>
    <t>368-2024-09-30</t>
  </si>
  <si>
    <t>368-2024-12-31</t>
  </si>
  <si>
    <t>Operación de nuevos negocios y CI</t>
  </si>
  <si>
    <t>Participación de POLI- voluntariados (Estudiantes- Colaboradores)</t>
  </si>
  <si>
    <t>369-2023-06-30</t>
  </si>
  <si>
    <t>369-2023-12-31</t>
  </si>
  <si>
    <t>369-2024-06-30</t>
  </si>
  <si>
    <t>369-2024-12-31</t>
  </si>
  <si>
    <t>369-2025-06-30</t>
  </si>
  <si>
    <t>369-2025-12-31</t>
  </si>
  <si>
    <t>Oportunidades de mejora - Huella Verde</t>
  </si>
  <si>
    <t>370-2023-06-30</t>
  </si>
  <si>
    <t>Recaudación de fondos</t>
  </si>
  <si>
    <t>371-2023-06-30</t>
  </si>
  <si>
    <t>371-2023-12-31</t>
  </si>
  <si>
    <t>371-2024-06-30</t>
  </si>
  <si>
    <t>371-2024-12-31</t>
  </si>
  <si>
    <t>Satisfacción de los clientes corporativos Educación para toda la vida</t>
  </si>
  <si>
    <t>372-2023-09-30</t>
  </si>
  <si>
    <t>372-2023-12-31</t>
  </si>
  <si>
    <t>372-2024-03-31</t>
  </si>
  <si>
    <t>372-2024-06-30</t>
  </si>
  <si>
    <t>372-2024-09-30</t>
  </si>
  <si>
    <t>372-2024-12-31</t>
  </si>
  <si>
    <t>Cumplimiento de planes anuales por líneas</t>
  </si>
  <si>
    <t>373-2023-03-31</t>
  </si>
  <si>
    <t>373-2023-06-30</t>
  </si>
  <si>
    <t>373-2023-09-30</t>
  </si>
  <si>
    <t>373-2023-12-31</t>
  </si>
  <si>
    <t>373-2024-03-31</t>
  </si>
  <si>
    <t>373-2024-06-30</t>
  </si>
  <si>
    <t>373-2024-09-30</t>
  </si>
  <si>
    <t>373-2024-12-31</t>
  </si>
  <si>
    <t>373-2025-03-31</t>
  </si>
  <si>
    <t>373-2025-06-30</t>
  </si>
  <si>
    <t>373-2025-09-30</t>
  </si>
  <si>
    <t>373-2025-12-31</t>
  </si>
  <si>
    <t>Disponibilidad de máster modalidad virtual</t>
  </si>
  <si>
    <t>374-2023-12-31</t>
  </si>
  <si>
    <t>Disponibilidad de catálogo de asignaturas pregrado y posgrado presencial</t>
  </si>
  <si>
    <t>375-2023-06-30</t>
  </si>
  <si>
    <t>375-2023-12-31</t>
  </si>
  <si>
    <t>375-2024-06-30</t>
  </si>
  <si>
    <t>375-2024-12-31</t>
  </si>
  <si>
    <t>375-2025-06-30</t>
  </si>
  <si>
    <t>375-2025-12-31</t>
  </si>
  <si>
    <t>Cumplimiento EBIDTA</t>
  </si>
  <si>
    <t>376-2023-06-30</t>
  </si>
  <si>
    <t>376-2023-12-31</t>
  </si>
  <si>
    <t>376-2024-06-30</t>
  </si>
  <si>
    <t>Cumplimiento EBITDA</t>
  </si>
  <si>
    <t>376-2024-12-31</t>
  </si>
  <si>
    <t>CAPEX</t>
  </si>
  <si>
    <t>377-2023-06-30</t>
  </si>
  <si>
    <t>377-2023-12-31</t>
  </si>
  <si>
    <t>377-2024-06-30</t>
  </si>
  <si>
    <t>377-2024-12-31</t>
  </si>
  <si>
    <t>Proyectos tecnológicos</t>
  </si>
  <si>
    <t>378-2023-01-31</t>
  </si>
  <si>
    <t>378-2023-02-28</t>
  </si>
  <si>
    <t>378-2023-03-31</t>
  </si>
  <si>
    <t>378-2023-04-30</t>
  </si>
  <si>
    <t>378-2023-05-31</t>
  </si>
  <si>
    <t>378-2023-06-30</t>
  </si>
  <si>
    <t>378-2023-07-31</t>
  </si>
  <si>
    <t>378-2023-08-31</t>
  </si>
  <si>
    <t>378-2023-09-30</t>
  </si>
  <si>
    <t>378-2023-10-31</t>
  </si>
  <si>
    <t>378-2023-11-30</t>
  </si>
  <si>
    <t>378-2023-12-31</t>
  </si>
  <si>
    <t>378-2024-01-31</t>
  </si>
  <si>
    <t>378-2024-02-29</t>
  </si>
  <si>
    <t>378-2024-03-31</t>
  </si>
  <si>
    <t>378-2024-04-30</t>
  </si>
  <si>
    <t>378-2024-05-31</t>
  </si>
  <si>
    <t>378-2024-06-30</t>
  </si>
  <si>
    <t>378-2024-07-31</t>
  </si>
  <si>
    <t>378-2024-08-31</t>
  </si>
  <si>
    <t>378-2024-09-30</t>
  </si>
  <si>
    <t>378-2024-10-31</t>
  </si>
  <si>
    <t>378-2024-11-30</t>
  </si>
  <si>
    <t>378-2024-12-31</t>
  </si>
  <si>
    <t>Total estudiantes nuevos</t>
  </si>
  <si>
    <t>Inscripción, admisión y matrícula de estudiantes nuevos</t>
  </si>
  <si>
    <t>379-2023-06-30</t>
  </si>
  <si>
    <t>379-2023-12-31</t>
  </si>
  <si>
    <t>379-2024-06-30</t>
  </si>
  <si>
    <t>379-2024-12-31</t>
  </si>
  <si>
    <t>Ingresos de matriculas de estudiantes nuevos</t>
  </si>
  <si>
    <t>380-2023-06-30</t>
  </si>
  <si>
    <t>380-2023-12-31</t>
  </si>
  <si>
    <t>380-2024-06-30</t>
  </si>
  <si>
    <t>380-2024-12-31</t>
  </si>
  <si>
    <t>Cumplimiento de matrículas pregrado presencial nuevos</t>
  </si>
  <si>
    <t>381-2023-06-30</t>
  </si>
  <si>
    <t>381-2023-12-31</t>
  </si>
  <si>
    <t>381-2024-06-30</t>
  </si>
  <si>
    <t>381-2024-12-31</t>
  </si>
  <si>
    <t>Cumplimiento de matrículas pregrado virtual nuevos</t>
  </si>
  <si>
    <t>382-2023-06-30</t>
  </si>
  <si>
    <t>382-2023-12-31</t>
  </si>
  <si>
    <t>382-2024-06-30</t>
  </si>
  <si>
    <t>382-2024-12-31</t>
  </si>
  <si>
    <t>Cumplimiento de matrículas posgrado virtual nuevos</t>
  </si>
  <si>
    <t>383-2023-06-30</t>
  </si>
  <si>
    <t>383-2023-12-31</t>
  </si>
  <si>
    <t>383-2024-06-30</t>
  </si>
  <si>
    <t>383-2024-12-31</t>
  </si>
  <si>
    <t>Cumplimiento de matrículas posgrado presencial nuevos</t>
  </si>
  <si>
    <t>384-2023-06-30</t>
  </si>
  <si>
    <t>384-2023-12-31</t>
  </si>
  <si>
    <t>384-2024-06-30</t>
  </si>
  <si>
    <t>384-2024-12-31</t>
  </si>
  <si>
    <t>Ingresos totales de educación para la vida</t>
  </si>
  <si>
    <t>Mercadeo y venta de educación para la vida</t>
  </si>
  <si>
    <t>385-2023-06-30</t>
  </si>
  <si>
    <t>385-2023-12-31</t>
  </si>
  <si>
    <t>385-2024-06-30</t>
  </si>
  <si>
    <t>385-2024-12-31</t>
  </si>
  <si>
    <t>Cumplimiento Meta comercial Educación para toda la vida por linea</t>
  </si>
  <si>
    <t>386-2023-06-30</t>
  </si>
  <si>
    <t>386-2023-12-31</t>
  </si>
  <si>
    <t>386-2024-06-30</t>
  </si>
  <si>
    <t>386-2024-12-31</t>
  </si>
  <si>
    <t>386-2025-06-30</t>
  </si>
  <si>
    <t>386-2025-12-31</t>
  </si>
  <si>
    <t>Programas con reforzamiento curricular por escuela</t>
  </si>
  <si>
    <t>387-2023-06-30</t>
  </si>
  <si>
    <t>387-2023-12-31</t>
  </si>
  <si>
    <t>Programas con matriz de resultados de aprendizaje por escuela</t>
  </si>
  <si>
    <t>388-2023-06-30</t>
  </si>
  <si>
    <t>388-2023-12-31</t>
  </si>
  <si>
    <t>Permanencia por escuela</t>
  </si>
  <si>
    <t>389-2023-06-30</t>
  </si>
  <si>
    <t>389-2023-12-31</t>
  </si>
  <si>
    <t>389-2024-06-30</t>
  </si>
  <si>
    <t>389-2024-12-31</t>
  </si>
  <si>
    <t>Gestión de Unidades Académicas</t>
  </si>
  <si>
    <t>Cumplimiento Plan Anual por escuela</t>
  </si>
  <si>
    <t>390-2023-03-31</t>
  </si>
  <si>
    <t>390-2023-06-30</t>
  </si>
  <si>
    <t>390-2023-09-30</t>
  </si>
  <si>
    <t>390-2023-12-31</t>
  </si>
  <si>
    <t>390-2024-03-31</t>
  </si>
  <si>
    <t>390-2024-06-30</t>
  </si>
  <si>
    <t>390-2024-09-30</t>
  </si>
  <si>
    <t>390-2024-12-31</t>
  </si>
  <si>
    <t>390-2025-03-31</t>
  </si>
  <si>
    <t>390-2025-06-30</t>
  </si>
  <si>
    <t>390-2025-09-30</t>
  </si>
  <si>
    <t>390-2025-12-31</t>
  </si>
  <si>
    <t>Satisfacción del cliente con campañas integradas de marketing</t>
  </si>
  <si>
    <t>Gestión de campañas integradas de marketing</t>
  </si>
  <si>
    <t>391-2023-06-30</t>
  </si>
  <si>
    <t>391-2023-12-31</t>
  </si>
  <si>
    <t>391-2024-06-30</t>
  </si>
  <si>
    <t>391-2024-12-31</t>
  </si>
  <si>
    <t>Ahorro institucional con base en la monetización de los servicios</t>
  </si>
  <si>
    <t>392-2023-06-30</t>
  </si>
  <si>
    <t>392-2023-12-31</t>
  </si>
  <si>
    <t>392-2024-06-30</t>
  </si>
  <si>
    <t>392-2024-12-31</t>
  </si>
  <si>
    <t>Disminución de los tiempos empleados en el desarrollo de las solicitudes</t>
  </si>
  <si>
    <t>393-2023-12-31</t>
  </si>
  <si>
    <t>393-2024-12-31</t>
  </si>
  <si>
    <t>Publicaciones en medios de comunicación Tier 1 y Tier 2</t>
  </si>
  <si>
    <t>Comunicaciones Externas</t>
  </si>
  <si>
    <t>394-2023-03-31</t>
  </si>
  <si>
    <t>394-2023-06-30</t>
  </si>
  <si>
    <t>394-2023-09-30</t>
  </si>
  <si>
    <t>394-2023-12-31</t>
  </si>
  <si>
    <t>394-2024-03-31</t>
  </si>
  <si>
    <t>394-2024-06-30</t>
  </si>
  <si>
    <t>394-2024-09-30</t>
  </si>
  <si>
    <t>394-2024-12-31</t>
  </si>
  <si>
    <t>Publicaciones en medios de comunicación de la región Antioquia</t>
  </si>
  <si>
    <t>395-2023-03-31</t>
  </si>
  <si>
    <t>Publicaciones en medios de comunicación Tier 1 y Tier 2 de la región Antioquia</t>
  </si>
  <si>
    <t>395-2023-06-30</t>
  </si>
  <si>
    <t>395-2023-12-31</t>
  </si>
  <si>
    <t>395-2024-03-31</t>
  </si>
  <si>
    <t>395-2024-06-30</t>
  </si>
  <si>
    <t>395-2024-09-30</t>
  </si>
  <si>
    <t>395-2024-12-31</t>
  </si>
  <si>
    <t>Publicaciones en el Campus Virtual</t>
  </si>
  <si>
    <t>396-2023-12-31</t>
  </si>
  <si>
    <t>Diseño de Contenido Virtual</t>
  </si>
  <si>
    <t>396-2024-06-30</t>
  </si>
  <si>
    <t>Gestión de casos del Estudio de Emisión</t>
  </si>
  <si>
    <t>397-2023-06-30</t>
  </si>
  <si>
    <t>397-2023-12-31</t>
  </si>
  <si>
    <t>397-2024-06-30</t>
  </si>
  <si>
    <t>397-2024-12-31</t>
  </si>
  <si>
    <t>Gestión de casos del Estudio de Grabación Virtual</t>
  </si>
  <si>
    <t>Participación en actividades de desarrollo de Cultura y Formación Emprendedora</t>
  </si>
  <si>
    <t>Emprendimiento</t>
  </si>
  <si>
    <t>398-2023-06-30</t>
  </si>
  <si>
    <t>398-2023-12-31</t>
  </si>
  <si>
    <t>398-2024-06-30</t>
  </si>
  <si>
    <t>398-2024-12-31</t>
  </si>
  <si>
    <t>Acompañamiento a emprendedores en creación de empresas</t>
  </si>
  <si>
    <t>399-2023-06-30</t>
  </si>
  <si>
    <t>399-2023-12-31</t>
  </si>
  <si>
    <t>Sesiones de Acompañamiento a emprendedores en creación de empresas</t>
  </si>
  <si>
    <t>399-2024-06-30</t>
  </si>
  <si>
    <t>399-2024-12-31</t>
  </si>
  <si>
    <t>Puesta en marcha de proyectos de emprendimiento</t>
  </si>
  <si>
    <t>400-2023-06-30</t>
  </si>
  <si>
    <t>400-2023-12-31</t>
  </si>
  <si>
    <t>400-2024-06-30</t>
  </si>
  <si>
    <t>400-2024-12-31</t>
  </si>
  <si>
    <t>Producción de nuevos MI-Books</t>
  </si>
  <si>
    <t>LEI</t>
  </si>
  <si>
    <t>401-2023-06-30</t>
  </si>
  <si>
    <t>401-2023-12-31</t>
  </si>
  <si>
    <t>401-2024-06-30</t>
  </si>
  <si>
    <t>401-2024-12-31</t>
  </si>
  <si>
    <t>Informe anual de consulta de MI-Books</t>
  </si>
  <si>
    <t>402-2023-12-31</t>
  </si>
  <si>
    <t>402-2024-12-31</t>
  </si>
  <si>
    <t>Número de estudiantes que ha realizado la simulación</t>
  </si>
  <si>
    <t>403-2023-06-30</t>
  </si>
  <si>
    <t>403-2023-12-31</t>
  </si>
  <si>
    <t>403-2024-06-30</t>
  </si>
  <si>
    <t>403-2024-12-31</t>
  </si>
  <si>
    <t>Número de estudiantes que ha realizado la simulación (Metrica)</t>
  </si>
  <si>
    <t>Casos presentados y solucionados</t>
  </si>
  <si>
    <t>404-2023-06-30</t>
  </si>
  <si>
    <t>404-2023-12-31</t>
  </si>
  <si>
    <t>404-2024-06-30</t>
  </si>
  <si>
    <t>404-2024-12-31</t>
  </si>
  <si>
    <t>Avance de reingenieria y arquitectura de software LEI</t>
  </si>
  <si>
    <t>405-2023-06-30</t>
  </si>
  <si>
    <t>405-2023-12-31</t>
  </si>
  <si>
    <t>Proyecto de reingenieria y arquitectura de software LEI</t>
  </si>
  <si>
    <t>405-2024-06-30</t>
  </si>
  <si>
    <t>405-2024-12-31</t>
  </si>
  <si>
    <t>Programas con condiciones iniciales aprobadas por facultad</t>
  </si>
  <si>
    <t>406-2023-12-31</t>
  </si>
  <si>
    <t>406-2024-06-30</t>
  </si>
  <si>
    <t>Programas 1ra fase de condiciones iniciales radicadas por facultad</t>
  </si>
  <si>
    <t>407-2023-12-31</t>
  </si>
  <si>
    <t>Programas nuevos radicados por facultad</t>
  </si>
  <si>
    <t>408-2023-06-30</t>
  </si>
  <si>
    <t>408-2023-12-31</t>
  </si>
  <si>
    <t>408-2024-06-30</t>
  </si>
  <si>
    <t>408-2024-12-31</t>
  </si>
  <si>
    <t>408-2025-06-30</t>
  </si>
  <si>
    <t>408-2025-12-31</t>
  </si>
  <si>
    <t>Oportunidad en tiempo de envios</t>
  </si>
  <si>
    <t>409-2023-03-31</t>
  </si>
  <si>
    <t>409-2023-06-30</t>
  </si>
  <si>
    <t>409-2023-09-30</t>
  </si>
  <si>
    <t>409-2023-12-31</t>
  </si>
  <si>
    <t>409-2024-03-31</t>
  </si>
  <si>
    <t>409-2024-06-30</t>
  </si>
  <si>
    <t>409-2024-09-30</t>
  </si>
  <si>
    <t>409-2024-12-31</t>
  </si>
  <si>
    <t>409-2025-03-31</t>
  </si>
  <si>
    <t>Solicitudes de gestión documental</t>
  </si>
  <si>
    <t>410-2023-09-30</t>
  </si>
  <si>
    <t>Cumplimiento Planes De Relacionamiento</t>
  </si>
  <si>
    <t>411-2023-12-31</t>
  </si>
  <si>
    <t>Participaciones en 2 eventos externos de impacto</t>
  </si>
  <si>
    <t>412-2023-12-31</t>
  </si>
  <si>
    <t>Participación en eventos externos de impacto</t>
  </si>
  <si>
    <t>412-2024-12-31</t>
  </si>
  <si>
    <t>Participaciones del Poli como sede o patrocinador</t>
  </si>
  <si>
    <t>413-2023-12-31</t>
  </si>
  <si>
    <t>Participación del Poli como sede o patrocinador</t>
  </si>
  <si>
    <t>413-2024-12-31</t>
  </si>
  <si>
    <t>Cumplimiento Plan Anual Rectoría</t>
  </si>
  <si>
    <t>414-2023-03-31</t>
  </si>
  <si>
    <t>414-2023-06-30</t>
  </si>
  <si>
    <t>414-2023-09-30</t>
  </si>
  <si>
    <t>414-2023-12-31</t>
  </si>
  <si>
    <t>414-2024-03-31</t>
  </si>
  <si>
    <t>414-2024-06-30</t>
  </si>
  <si>
    <t>414-2024-09-30</t>
  </si>
  <si>
    <t>414-2024-12-31</t>
  </si>
  <si>
    <t>414-2025-03-31</t>
  </si>
  <si>
    <t>414-2025-06-30</t>
  </si>
  <si>
    <t>414-2025-09-30</t>
  </si>
  <si>
    <t>414-2025-12-31</t>
  </si>
  <si>
    <t>Cumplimiento Plan Anual Vicerrectoría del estudiante</t>
  </si>
  <si>
    <t>415-2023-03-31</t>
  </si>
  <si>
    <t>415-2023-06-30</t>
  </si>
  <si>
    <t>415-2023-09-30</t>
  </si>
  <si>
    <t>415-2023-12-31</t>
  </si>
  <si>
    <t>415-2024-03-31</t>
  </si>
  <si>
    <t>415-2024-06-30</t>
  </si>
  <si>
    <t>415-2024-09-30</t>
  </si>
  <si>
    <t>415-2024-12-31</t>
  </si>
  <si>
    <t>415-2025-03-31</t>
  </si>
  <si>
    <t>415-2025-06-30</t>
  </si>
  <si>
    <t>415-2025-09-30</t>
  </si>
  <si>
    <t>415-2025-12-31</t>
  </si>
  <si>
    <t>Cumplimiento Plan Anual Vicerrectoría de crecimiento</t>
  </si>
  <si>
    <t>416-2023-03-31</t>
  </si>
  <si>
    <t>416-2023-06-30</t>
  </si>
  <si>
    <t>416-2023-09-30</t>
  </si>
  <si>
    <t>416-2023-12-31</t>
  </si>
  <si>
    <t>416-2024-03-31</t>
  </si>
  <si>
    <t>416-2024-06-30</t>
  </si>
  <si>
    <t>416-2024-09-30</t>
  </si>
  <si>
    <t>416-2024-12-31</t>
  </si>
  <si>
    <t>416-2025-03-31</t>
  </si>
  <si>
    <t>416-2025-06-30</t>
  </si>
  <si>
    <t>416-2025-09-30</t>
  </si>
  <si>
    <t>416-2025-12-31</t>
  </si>
  <si>
    <t>Cumplimiento Plan Anual Vicerrectoría Financiera</t>
  </si>
  <si>
    <t>417-2023-03-31</t>
  </si>
  <si>
    <t>417-2023-06-30</t>
  </si>
  <si>
    <t>417-2023-09-30</t>
  </si>
  <si>
    <t>417-2023-12-31</t>
  </si>
  <si>
    <t>417-2024-03-31</t>
  </si>
  <si>
    <t>417-2024-06-30</t>
  </si>
  <si>
    <t>417-2024-09-30</t>
  </si>
  <si>
    <t>417-2024-12-31</t>
  </si>
  <si>
    <t>417-2025-03-31</t>
  </si>
  <si>
    <t>417-2025-06-30</t>
  </si>
  <si>
    <t>417-2025-09-30</t>
  </si>
  <si>
    <t>417-2025-12-31</t>
  </si>
  <si>
    <t>Cumplimiento Plan Anual Vicerrectoría Académica</t>
  </si>
  <si>
    <t>418-2023-03-31</t>
  </si>
  <si>
    <t>418-2023-06-30</t>
  </si>
  <si>
    <t>418-2023-09-30</t>
  </si>
  <si>
    <t>418-2023-12-31</t>
  </si>
  <si>
    <t>418-2024-03-31</t>
  </si>
  <si>
    <t>418-2024-06-30</t>
  </si>
  <si>
    <t>418-2024-09-30</t>
  </si>
  <si>
    <t>418-2024-12-31</t>
  </si>
  <si>
    <t>418-2025-03-31</t>
  </si>
  <si>
    <t>418-2025-06-30</t>
  </si>
  <si>
    <t>418-2025-09-30</t>
  </si>
  <si>
    <t>418-2025-12-31</t>
  </si>
  <si>
    <t>Cumplimiento Plan Anual Áreas sede Medellín</t>
  </si>
  <si>
    <t>419-2023-06-30</t>
  </si>
  <si>
    <t>419-2023-09-30</t>
  </si>
  <si>
    <t>419-2023-12-31</t>
  </si>
  <si>
    <t>Cumplimiento Plan Anual Gerencia de estrategia</t>
  </si>
  <si>
    <t>420-2023-03-31</t>
  </si>
  <si>
    <t>420-2023-06-30</t>
  </si>
  <si>
    <t>420-2023-09-30</t>
  </si>
  <si>
    <t>420-2023-12-31</t>
  </si>
  <si>
    <t>420-2024-03-31</t>
  </si>
  <si>
    <t>420-2024-06-30</t>
  </si>
  <si>
    <t>420-2024-09-30</t>
  </si>
  <si>
    <t>420-2024-12-31</t>
  </si>
  <si>
    <t>420-2025-03-31</t>
  </si>
  <si>
    <t>420-2025-06-30</t>
  </si>
  <si>
    <t>420-2025-09-30</t>
  </si>
  <si>
    <t>420-2025-12-31</t>
  </si>
  <si>
    <t>Total Leads por canales de captación</t>
  </si>
  <si>
    <t>Mercadeo de programas académicos</t>
  </si>
  <si>
    <t>421-2023-06-30</t>
  </si>
  <si>
    <t>421-2023-12-31</t>
  </si>
  <si>
    <t>421-2024-06-30</t>
  </si>
  <si>
    <t>421-2024-12-31</t>
  </si>
  <si>
    <t>Total conversión</t>
  </si>
  <si>
    <t>422-2023-06-30</t>
  </si>
  <si>
    <t>422-2023-12-31</t>
  </si>
  <si>
    <t>422-2024-06-30</t>
  </si>
  <si>
    <t>422-2024-12-31</t>
  </si>
  <si>
    <t>Brand equity</t>
  </si>
  <si>
    <t>423-2023-12-31</t>
  </si>
  <si>
    <t>423-2024-12-31</t>
  </si>
  <si>
    <t>Conocimiento espontaneo</t>
  </si>
  <si>
    <t>424-2023-12-31</t>
  </si>
  <si>
    <t>424-2024-12-31</t>
  </si>
  <si>
    <t>Conocimiento espontáneo</t>
  </si>
  <si>
    <t>Cumplimiento Leads Educación para la vida</t>
  </si>
  <si>
    <t>425-2023-12-31</t>
  </si>
  <si>
    <t>425-2024-06-30</t>
  </si>
  <si>
    <t>425-2024-12-31</t>
  </si>
  <si>
    <t>Cumplimiento en la respuesta a solicitudes de comunicaciones internas</t>
  </si>
  <si>
    <t>426-2023-06-30</t>
  </si>
  <si>
    <t>426-2023-12-31</t>
  </si>
  <si>
    <t>426-2024-06-30</t>
  </si>
  <si>
    <t>426-2024-12-31</t>
  </si>
  <si>
    <t>Consumo de Agua per Cápita Semestral</t>
  </si>
  <si>
    <t>427-2023-06-30</t>
  </si>
  <si>
    <t>427-2023-12-31</t>
  </si>
  <si>
    <t>427-2024-06-30</t>
  </si>
  <si>
    <t>427-2024-12-31</t>
  </si>
  <si>
    <t>427-2025-06-30</t>
  </si>
  <si>
    <t>427-2025-12-31</t>
  </si>
  <si>
    <t>Consumo de Energía Eléctrica per Cápita Semestral</t>
  </si>
  <si>
    <t>428-2023-06-30</t>
  </si>
  <si>
    <t>428-2023-12-31</t>
  </si>
  <si>
    <t>428-2024-06-30</t>
  </si>
  <si>
    <t>428-2024-12-31</t>
  </si>
  <si>
    <t>428-2025-06-30</t>
  </si>
  <si>
    <t>428-2025-12-31</t>
  </si>
  <si>
    <t>Generación de Residuos Sólidos per Cápita Semestral</t>
  </si>
  <si>
    <t>429-2023-06-30</t>
  </si>
  <si>
    <t>429-2023-12-31</t>
  </si>
  <si>
    <t>429-2024-06-30</t>
  </si>
  <si>
    <t>429-2024-12-31</t>
  </si>
  <si>
    <t>429-2025-06-30</t>
  </si>
  <si>
    <t>429-2025-12-31</t>
  </si>
  <si>
    <t>Cumplimiento ingresos por matriculas</t>
  </si>
  <si>
    <t>430-2023-06-30</t>
  </si>
  <si>
    <t>430-2023-12-31</t>
  </si>
  <si>
    <t>430-2024-06-30</t>
  </si>
  <si>
    <t>430-2024-12-31</t>
  </si>
  <si>
    <t>430-2025-06-30</t>
  </si>
  <si>
    <t>430-2025-12-31</t>
  </si>
  <si>
    <t>Gestión de casos de salud que impactan a los colaboradores</t>
  </si>
  <si>
    <t>431-2023-09-30</t>
  </si>
  <si>
    <t>431-2023-12-31</t>
  </si>
  <si>
    <t>431-2024-03-31</t>
  </si>
  <si>
    <t>431-2024-06-30</t>
  </si>
  <si>
    <t>431-2024-09-30</t>
  </si>
  <si>
    <t>431-2024-12-31</t>
  </si>
  <si>
    <t>Intervención a la gestión del riesgo de los colaboradores</t>
  </si>
  <si>
    <t>432-2023-03-31</t>
  </si>
  <si>
    <t>432-2023-06-30</t>
  </si>
  <si>
    <t>432-2023-09-30</t>
  </si>
  <si>
    <t>432-2023-12-31</t>
  </si>
  <si>
    <t>432-2024-03-31</t>
  </si>
  <si>
    <t>432-2024-06-30</t>
  </si>
  <si>
    <t>432-2024-09-30</t>
  </si>
  <si>
    <t>432-2024-12-31</t>
  </si>
  <si>
    <t>432-2025-03-31</t>
  </si>
  <si>
    <t>432-2025-06-30</t>
  </si>
  <si>
    <t>432-2025-09-30</t>
  </si>
  <si>
    <t>432-2025-12-31</t>
  </si>
  <si>
    <t>Generación de Residuos Peligrosos per Cápita Semestral</t>
  </si>
  <si>
    <t>433-2023-06-30</t>
  </si>
  <si>
    <t>433-2023-12-31</t>
  </si>
  <si>
    <t>433-2024-06-30</t>
  </si>
  <si>
    <t>433-2024-12-31</t>
  </si>
  <si>
    <t>433-2025-06-30</t>
  </si>
  <si>
    <t>433-2025-12-31</t>
  </si>
  <si>
    <t>Generación de Residuos Peligrosos Mensual</t>
  </si>
  <si>
    <t>434-2023-01-31</t>
  </si>
  <si>
    <t>434-2023-02-28</t>
  </si>
  <si>
    <t>434-2023-03-31</t>
  </si>
  <si>
    <t>434-2023-04-30</t>
  </si>
  <si>
    <t>434-2023-05-31</t>
  </si>
  <si>
    <t>434-2023-06-30</t>
  </si>
  <si>
    <t>434-2023-07-31</t>
  </si>
  <si>
    <t>434-2023-08-31</t>
  </si>
  <si>
    <t>434-2023-09-30</t>
  </si>
  <si>
    <t>434-2023-10-31</t>
  </si>
  <si>
    <t>434-2023-11-30</t>
  </si>
  <si>
    <t>434-2023-12-31</t>
  </si>
  <si>
    <t>434-2024-01-31</t>
  </si>
  <si>
    <t>434-2024-02-29</t>
  </si>
  <si>
    <t>434-2024-03-31</t>
  </si>
  <si>
    <t>434-2024-04-30</t>
  </si>
  <si>
    <t>434-2024-05-31</t>
  </si>
  <si>
    <t>434-2024-06-30</t>
  </si>
  <si>
    <t>434-2024-07-31</t>
  </si>
  <si>
    <t>434-2024-08-31</t>
  </si>
  <si>
    <t>434-2024-09-30</t>
  </si>
  <si>
    <t>434-2024-10-31</t>
  </si>
  <si>
    <t>434-2024-11-30</t>
  </si>
  <si>
    <t>434-2024-12-31</t>
  </si>
  <si>
    <t>434-2025-01-31</t>
  </si>
  <si>
    <t>434-2025-02-28</t>
  </si>
  <si>
    <t>434-2025-03-31</t>
  </si>
  <si>
    <t>434-2025-04-30</t>
  </si>
  <si>
    <t>434-2025-05-31</t>
  </si>
  <si>
    <t>434-2025-06-30</t>
  </si>
  <si>
    <t>434-2025-07-31</t>
  </si>
  <si>
    <t>434-2025-08-31</t>
  </si>
  <si>
    <t>434-2025-09-30</t>
  </si>
  <si>
    <t>434-2025-10-31</t>
  </si>
  <si>
    <t>434-2025-11-30</t>
  </si>
  <si>
    <t>434-2025-12-31</t>
  </si>
  <si>
    <t>Disminución de la Generación de Residuos Peligrosos per Cápita</t>
  </si>
  <si>
    <t>435-2023-06-30</t>
  </si>
  <si>
    <t>435-2023-12-31</t>
  </si>
  <si>
    <t>435-2024-06-30</t>
  </si>
  <si>
    <t>435-2024-12-31</t>
  </si>
  <si>
    <t>435-2025-06-30</t>
  </si>
  <si>
    <t>435-2025-12-31</t>
  </si>
  <si>
    <t>ANS documentos operativos</t>
  </si>
  <si>
    <t>436-2023-01-31</t>
  </si>
  <si>
    <t>436-2023-02-28</t>
  </si>
  <si>
    <t>436-2023-03-31</t>
  </si>
  <si>
    <t>436-2023-04-30</t>
  </si>
  <si>
    <t>436-2023-05-31</t>
  </si>
  <si>
    <t>436-2023-06-30</t>
  </si>
  <si>
    <t>436-2023-07-31</t>
  </si>
  <si>
    <t>436-2023-08-31</t>
  </si>
  <si>
    <t>436-2023-09-30</t>
  </si>
  <si>
    <t>436-2023-10-31</t>
  </si>
  <si>
    <t>436-2023-11-30</t>
  </si>
  <si>
    <t>436-2023-12-31</t>
  </si>
  <si>
    <t>436-2024-01-31</t>
  </si>
  <si>
    <t>436-2024-02-29</t>
  </si>
  <si>
    <t>436-2024-03-31</t>
  </si>
  <si>
    <t>436-2024-04-30</t>
  </si>
  <si>
    <t>436-2024-05-31</t>
  </si>
  <si>
    <t>436-2024-06-30</t>
  </si>
  <si>
    <t>436-2024-07-31</t>
  </si>
  <si>
    <t>436-2024-08-31</t>
  </si>
  <si>
    <t>436-2024-09-30</t>
  </si>
  <si>
    <t>436-2024-10-31</t>
  </si>
  <si>
    <t>436-2024-11-30</t>
  </si>
  <si>
    <t>436-2024-12-31</t>
  </si>
  <si>
    <t>436-2025-01-31</t>
  </si>
  <si>
    <t>436-2025-02-28</t>
  </si>
  <si>
    <t>436-2025-03-31</t>
  </si>
  <si>
    <t>436-2025-04-30</t>
  </si>
  <si>
    <t>436-2025-05-31</t>
  </si>
  <si>
    <t>436-2025-06-30</t>
  </si>
  <si>
    <t>436-2025-07-31</t>
  </si>
  <si>
    <t>436-2025-08-31</t>
  </si>
  <si>
    <t>436-2025-09-30</t>
  </si>
  <si>
    <t>436-2025-10-31</t>
  </si>
  <si>
    <t>436-2025-11-30</t>
  </si>
  <si>
    <t>436-2025-12-31</t>
  </si>
  <si>
    <t>437-2023-10-31</t>
  </si>
  <si>
    <t>Nivel de Satisfacción Servicios Prestados - Riesgos</t>
  </si>
  <si>
    <t>437-2023-12-31</t>
  </si>
  <si>
    <t>437-2024-12-31</t>
  </si>
  <si>
    <t>Seguimiento de asignación docente a NRC Pregrado-Posgrado Virtual</t>
  </si>
  <si>
    <t>438-2023-12-31</t>
  </si>
  <si>
    <t>Disponibilidad de catálogo de asignaturas pregrado y posgrado virtual</t>
  </si>
  <si>
    <t>439-2023-06-30</t>
  </si>
  <si>
    <t>439-2023-12-31</t>
  </si>
  <si>
    <t>439-2024-06-30</t>
  </si>
  <si>
    <t>439-2024-12-31</t>
  </si>
  <si>
    <t>439-2025-06-30</t>
  </si>
  <si>
    <t>439-2025-12-31</t>
  </si>
  <si>
    <t>Aseguramiento de matricula académica virtual</t>
  </si>
  <si>
    <t>440-2023-06-30</t>
  </si>
  <si>
    <t>440-2023-12-31</t>
  </si>
  <si>
    <t>440-2024-06-30</t>
  </si>
  <si>
    <t>440-2024-12-31</t>
  </si>
  <si>
    <t>440-2025-06-30</t>
  </si>
  <si>
    <t>440-2025-12-31</t>
  </si>
  <si>
    <t>Cumplimiento a cronograma de proyectos 2024</t>
  </si>
  <si>
    <t>441-2024-01-31</t>
  </si>
  <si>
    <t>441-2024-02-29</t>
  </si>
  <si>
    <t>441-2024-03-31</t>
  </si>
  <si>
    <t>441-2024-04-30</t>
  </si>
  <si>
    <t>441-2024-05-31</t>
  </si>
  <si>
    <t>441-2024-06-30</t>
  </si>
  <si>
    <t>441-2024-07-31</t>
  </si>
  <si>
    <t>441-2024-08-31</t>
  </si>
  <si>
    <t>441-2024-09-30</t>
  </si>
  <si>
    <t>441-2024-10-31</t>
  </si>
  <si>
    <t>441-2024-11-30</t>
  </si>
  <si>
    <t>441-2024-12-31</t>
  </si>
  <si>
    <t>Participación de docentes invitados en eventos académicos virtuales en Poli</t>
  </si>
  <si>
    <t>442-2024-06-30</t>
  </si>
  <si>
    <t>442-2024-12-31</t>
  </si>
  <si>
    <t>Participación de estudiantes invitados en eventos académicos virtuales en Poli</t>
  </si>
  <si>
    <t>443-2024-06-30</t>
  </si>
  <si>
    <t>443-2024-12-31</t>
  </si>
  <si>
    <t>CES Proceso de grados</t>
  </si>
  <si>
    <t>444-2024-12-31</t>
  </si>
  <si>
    <t>Satisfacción del proceso de grados virtual</t>
  </si>
  <si>
    <t>445-2024-06-30</t>
  </si>
  <si>
    <t>445-2024-12-31</t>
  </si>
  <si>
    <t>447-2024-06-30</t>
  </si>
  <si>
    <t>447-2024-12-31</t>
  </si>
  <si>
    <t>Participación en actividades de formación</t>
  </si>
  <si>
    <t>448-2024-06-30</t>
  </si>
  <si>
    <t>448-2024-12-31</t>
  </si>
  <si>
    <t>Cumplimiento en la supervisión y monitoreo a los planes de tratamiento de los riesgos institucionales en nivel alto y extremo</t>
  </si>
  <si>
    <t>449-2024-03-31</t>
  </si>
  <si>
    <t>449-2024-09-30</t>
  </si>
  <si>
    <t>449-2024-12-31</t>
  </si>
  <si>
    <t>% Participación de publicaciones positiva</t>
  </si>
  <si>
    <t>451-2024-06-30</t>
  </si>
  <si>
    <t>451-2024-12-31</t>
  </si>
  <si>
    <t>% de publicaciones con sentimiento positivo</t>
  </si>
  <si>
    <t>Seguimiento a eventos internos y externos institucionales</t>
  </si>
  <si>
    <t>452-2024-06-30</t>
  </si>
  <si>
    <t>452-2024-12-31</t>
  </si>
  <si>
    <t>Número de cursos diseñados</t>
  </si>
  <si>
    <t>453-2024-03-31</t>
  </si>
  <si>
    <t>453-2024-06-30</t>
  </si>
  <si>
    <t>453-2024-09-30</t>
  </si>
  <si>
    <t>453-2024-12-31</t>
  </si>
  <si>
    <t>Satisfacción de la calidad del contenido</t>
  </si>
  <si>
    <t>454-2024-09-30</t>
  </si>
  <si>
    <t>454-2024-12-31</t>
  </si>
  <si>
    <t>ANS Diseño de contenidos virtuales</t>
  </si>
  <si>
    <t>455-2024-09-30</t>
  </si>
  <si>
    <t>455-2024-12-31</t>
  </si>
  <si>
    <t>Impacto de campañas de Mailing</t>
  </si>
  <si>
    <t>456-2024-06-30</t>
  </si>
  <si>
    <t>456-2024-12-31</t>
  </si>
  <si>
    <t>456-2025-03-31</t>
  </si>
  <si>
    <t>456-2025-06-30</t>
  </si>
  <si>
    <t>456-2025-09-30</t>
  </si>
  <si>
    <t>456-2025-12-31</t>
  </si>
  <si>
    <t>Apertura de enlaces en mensajes de texto</t>
  </si>
  <si>
    <t>457-2024-06-30</t>
  </si>
  <si>
    <t>457-2024-12-31</t>
  </si>
  <si>
    <t>457-2025-03-31</t>
  </si>
  <si>
    <t>457-2025-06-30</t>
  </si>
  <si>
    <t>457-2025-09-30</t>
  </si>
  <si>
    <t>457-2025-12-31</t>
  </si>
  <si>
    <t>Número de publicaciones e historias</t>
  </si>
  <si>
    <t>459-2024-06-30</t>
  </si>
  <si>
    <t>459-2024-09-30</t>
  </si>
  <si>
    <t>% de profesores (Contrato Indefinido- Fijo) impactados plan de desarrollo docente</t>
  </si>
  <si>
    <t>460-2024-12-31</t>
  </si>
  <si>
    <t>Nivel Esfuerzo Editorial</t>
  </si>
  <si>
    <t>462-2024-06-30</t>
  </si>
  <si>
    <t>462-2024-12-31</t>
  </si>
  <si>
    <t>Cumplimiento de las acciones del Plan de mejoramiento GPW</t>
  </si>
  <si>
    <t>463-2024-06-30</t>
  </si>
  <si>
    <t>463-2024-12-31</t>
  </si>
  <si>
    <t>% de depuración histórico  SNIES</t>
  </si>
  <si>
    <t>465-2024-06-30</t>
  </si>
  <si>
    <t>465-2024-12-31</t>
  </si>
  <si>
    <t>NPS Estudiantes</t>
  </si>
  <si>
    <t>466-2024-06-30</t>
  </si>
  <si>
    <t>466-2024-12-31</t>
  </si>
  <si>
    <t>NPS Graduados</t>
  </si>
  <si>
    <t>467-2024-06-30</t>
  </si>
  <si>
    <t>467-2024-12-31</t>
  </si>
  <si>
    <t>CES General</t>
  </si>
  <si>
    <t>468-2024-06-30</t>
  </si>
  <si>
    <t>468-2024-12-31</t>
  </si>
  <si>
    <t>469-2024-03-31</t>
  </si>
  <si>
    <t>Sede Medellín</t>
  </si>
  <si>
    <t>469-2024-06-30</t>
  </si>
  <si>
    <t>469-2024-09-30</t>
  </si>
  <si>
    <t>469-2024-12-31</t>
  </si>
  <si>
    <t>469-2025-03-31</t>
  </si>
  <si>
    <t>469-2025-06-30</t>
  </si>
  <si>
    <t>469-2025-09-30</t>
  </si>
  <si>
    <t>469-2025-12-31</t>
  </si>
  <si>
    <t>Cumplimiento plan anual Secretaria académica y de extensión</t>
  </si>
  <si>
    <t>470-2024-03-31</t>
  </si>
  <si>
    <t>470-2024-06-30</t>
  </si>
  <si>
    <t>470-2024-09-30</t>
  </si>
  <si>
    <t>470-2024-12-31</t>
  </si>
  <si>
    <t>470-2025-03-31</t>
  </si>
  <si>
    <t>470-2025-06-30</t>
  </si>
  <si>
    <t>470-2025-09-30</t>
  </si>
  <si>
    <t>470-2025-12-31</t>
  </si>
  <si>
    <t>Cumplimiento plan anual Gerencia de Talento Humano</t>
  </si>
  <si>
    <t>471-2024-03-31</t>
  </si>
  <si>
    <t>471-2024-06-30</t>
  </si>
  <si>
    <t>471-2024-09-30</t>
  </si>
  <si>
    <t>471-2024-12-31</t>
  </si>
  <si>
    <t>471-2025-03-31</t>
  </si>
  <si>
    <t>471-2025-06-30</t>
  </si>
  <si>
    <t>471-2025-09-30</t>
  </si>
  <si>
    <t>471-2025-12-31</t>
  </si>
  <si>
    <t>Cobertura de Recolección de Variables ADA (Arquitectura de datos para la analitica)</t>
  </si>
  <si>
    <t>472-2024-06-30</t>
  </si>
  <si>
    <t>472-2024-12-31</t>
  </si>
  <si>
    <t>Programas con alineación curricular</t>
  </si>
  <si>
    <t>473-2024-06-30</t>
  </si>
  <si>
    <t>Programas con planes de estudios definidos</t>
  </si>
  <si>
    <t>473-2024-12-31</t>
  </si>
  <si>
    <t>473-2025-06-30</t>
  </si>
  <si>
    <t>473-2025-12-31</t>
  </si>
  <si>
    <t>Programas con alineación curricular por escuela</t>
  </si>
  <si>
    <t>474-2024-06-30</t>
  </si>
  <si>
    <t>Programas con planes de estudios definidos por escuela (Nuevos Programas)</t>
  </si>
  <si>
    <t>474-2024-12-31</t>
  </si>
  <si>
    <t>Número de renovaciones de registro calificado radicadas al MEN</t>
  </si>
  <si>
    <t>475-2024-06-30</t>
  </si>
  <si>
    <t>475-2024-12-31</t>
  </si>
  <si>
    <t>Programas con resultados de aprendizaje definidos</t>
  </si>
  <si>
    <t>476-2024-06-30</t>
  </si>
  <si>
    <t>476-2024-12-31</t>
  </si>
  <si>
    <t>476-2025-06-30</t>
  </si>
  <si>
    <t>476-2025-12-31</t>
  </si>
  <si>
    <t>Programas con planes de estudios definidos por escuela (Programas Renovación, modificación y acreditación)</t>
  </si>
  <si>
    <t>477-2024-06-30</t>
  </si>
  <si>
    <t>477-2024-12-31</t>
  </si>
  <si>
    <t>Programas con planes de estudios definidos por escuela (Mantenimiento de programas)</t>
  </si>
  <si>
    <t>478-2024-06-30</t>
  </si>
  <si>
    <t>478-2024-12-31</t>
  </si>
  <si>
    <t>Programas con resultados de aprendizaje definidos por escuela (Nuevos Programas)</t>
  </si>
  <si>
    <t>479-2024-06-30</t>
  </si>
  <si>
    <t>479-2024-12-31</t>
  </si>
  <si>
    <t>Programas con resultados de aprendizaje definidos por escuela (Programas Renovación, modificación y acreditación)</t>
  </si>
  <si>
    <t>480-2024-06-30</t>
  </si>
  <si>
    <t>480-2024-12-31</t>
  </si>
  <si>
    <t>Solicitudes de documentación completadas</t>
  </si>
  <si>
    <t>481-2024-06-30</t>
  </si>
  <si>
    <t>481-2024-12-31</t>
  </si>
  <si>
    <t>Tasa de incremento en la resolución de solicitudes de la vicerrectoría de crecimiento</t>
  </si>
  <si>
    <t>483-2024-12-31</t>
  </si>
  <si>
    <t>Cumplimiento del Programa de la Cultura del Autocuidado</t>
  </si>
  <si>
    <t>484-2024-06-30</t>
  </si>
  <si>
    <t>484-2024-09-30</t>
  </si>
  <si>
    <t>484-2024-12-31</t>
  </si>
  <si>
    <t>Oportunidad en el cierre de acciones</t>
  </si>
  <si>
    <t>485-2024-01-31</t>
  </si>
  <si>
    <t>485-2024-02-29</t>
  </si>
  <si>
    <t>485-2024-03-31</t>
  </si>
  <si>
    <t>485-2024-04-30</t>
  </si>
  <si>
    <t>485-2024-05-31</t>
  </si>
  <si>
    <t>485-2024-06-30</t>
  </si>
  <si>
    <t>485-2024-07-31</t>
  </si>
  <si>
    <t>485-2024-09-30</t>
  </si>
  <si>
    <t>485-2024-10-31</t>
  </si>
  <si>
    <t>485-2024-11-30</t>
  </si>
  <si>
    <t>485-2024-12-31</t>
  </si>
  <si>
    <t>485-2025-01-31</t>
  </si>
  <si>
    <t>485-2025-02-28</t>
  </si>
  <si>
    <t>485-2025-03-31</t>
  </si>
  <si>
    <t>485-2025-04-30</t>
  </si>
  <si>
    <t>485-2025-05-31</t>
  </si>
  <si>
    <t>485-2025-06-30</t>
  </si>
  <si>
    <t>485-2025-07-31</t>
  </si>
  <si>
    <t>485-2025-08-31</t>
  </si>
  <si>
    <t>485-2025-09-30</t>
  </si>
  <si>
    <t>485-2025-10-31</t>
  </si>
  <si>
    <t>485-2025-11-30</t>
  </si>
  <si>
    <t>485-2025-12-31</t>
  </si>
  <si>
    <t>Número de visitas a la página web</t>
  </si>
  <si>
    <t>486-2024-06-30</t>
  </si>
  <si>
    <t>486-2024-12-31</t>
  </si>
  <si>
    <t>Impactados Talleres de formación</t>
  </si>
  <si>
    <t>487-2024-12-31</t>
  </si>
  <si>
    <t>Número Impactados Talleres de formación</t>
  </si>
  <si>
    <t>Oportunidad en el cierre de actividades de los planes de mejora</t>
  </si>
  <si>
    <t>488-2024-01-31</t>
  </si>
  <si>
    <t>488-2024-02-29</t>
  </si>
  <si>
    <t>488-2024-03-31</t>
  </si>
  <si>
    <t>488-2024-04-30</t>
  </si>
  <si>
    <t>488-2024-05-31</t>
  </si>
  <si>
    <t>488-2024-06-30</t>
  </si>
  <si>
    <t>488-2024-07-31</t>
  </si>
  <si>
    <t>488-2024-08-31</t>
  </si>
  <si>
    <t>488-2024-09-30</t>
  </si>
  <si>
    <t>488-2024-10-31</t>
  </si>
  <si>
    <t>488-2024-11-30</t>
  </si>
  <si>
    <t>488-2024-12-31</t>
  </si>
  <si>
    <t>488-2025-01-31</t>
  </si>
  <si>
    <t>488-2025-02-28</t>
  </si>
  <si>
    <t>488-2025-03-31</t>
  </si>
  <si>
    <t>488-2025-04-30</t>
  </si>
  <si>
    <t>488-2025-05-31</t>
  </si>
  <si>
    <t>488-2025-06-30</t>
  </si>
  <si>
    <t>488-2025-07-31</t>
  </si>
  <si>
    <t>488-2025-08-31</t>
  </si>
  <si>
    <t>488-2025-09-30</t>
  </si>
  <si>
    <t>488-2025-10-31</t>
  </si>
  <si>
    <t>488-2025-11-30</t>
  </si>
  <si>
    <t>488-2025-12-31</t>
  </si>
  <si>
    <t>Cumplimiento en la evaluación de las oportunidades de mejora (OM)</t>
  </si>
  <si>
    <t>489-2024-10-31</t>
  </si>
  <si>
    <t>489-2024-11-30</t>
  </si>
  <si>
    <t>489-2024-12-31</t>
  </si>
  <si>
    <t>Nivel de Satisfacción Servicios Prestados - Planeación Estratégica</t>
  </si>
  <si>
    <t>490-2024-12-31</t>
  </si>
  <si>
    <t>Nivel de Satisfacción Servicios Prestados - Gestión de proyectos</t>
  </si>
  <si>
    <t>491-2024-12-31</t>
  </si>
  <si>
    <t>Nivel de Satisfacción Servicios Prestados - Desempeño Institucional</t>
  </si>
  <si>
    <t>492-2024-12-31</t>
  </si>
  <si>
    <t>Nivel de Satisfacción Servicios Prestados - Gestión Jurídica Y Normativa</t>
  </si>
  <si>
    <t>493-2024-12-31</t>
  </si>
  <si>
    <t>Nivel de Satisfacción Servicios Prestados - Administración De Servicios Generales</t>
  </si>
  <si>
    <t>494-2024-12-31</t>
  </si>
  <si>
    <t>Nivel de Satisfacción Servicios Prestados - Contabilidad</t>
  </si>
  <si>
    <t>495-2024-12-31</t>
  </si>
  <si>
    <t>Nivel de Satisfacción Servicios Prestados - Planeación Financiera</t>
  </si>
  <si>
    <t>496-2024-12-31</t>
  </si>
  <si>
    <t>Nivel de Satisfacción Servicios Prestados - Tesorería</t>
  </si>
  <si>
    <t>497-2024-12-31</t>
  </si>
  <si>
    <t>Nivel de Satisfacción Servicios Prestados - Centro de Medios Audiovisuales</t>
  </si>
  <si>
    <t>498-2024-12-31</t>
  </si>
  <si>
    <t>Nivel de Satisfacción Servicios Prestados - Datos y analítica</t>
  </si>
  <si>
    <t>499-2024-12-31</t>
  </si>
  <si>
    <t>Nivel de Satisfacción Servicios Prestados -Servicio de Salud</t>
  </si>
  <si>
    <t>500-2024-12-31</t>
  </si>
  <si>
    <t>Nivel de Satisfacción Servicios Prestados -Gestión, evaluación e innovación curricular</t>
  </si>
  <si>
    <t>501-2024-12-31</t>
  </si>
  <si>
    <t>Nivel de Satisfacción Servicios Prestados -Formación para la investigación, creación e innovación</t>
  </si>
  <si>
    <t>502-2024-12-31</t>
  </si>
  <si>
    <t>Nivel de Satisfacción Servicios Prestados -Gestión de Unidades Académicas</t>
  </si>
  <si>
    <t>503-2024-12-31</t>
  </si>
  <si>
    <t>Nivel de Satisfacción Servicios Prestados - LEI</t>
  </si>
  <si>
    <t>504-2024-12-31</t>
  </si>
  <si>
    <t>Nivel de Satisfacción Servicios Prestados - Mercadeo de programas académicos</t>
  </si>
  <si>
    <t>505-2024-12-31</t>
  </si>
  <si>
    <t>Nivel de Satisfacción Servicios Prestados - Prácticas</t>
  </si>
  <si>
    <t>506-2024-12-31</t>
  </si>
  <si>
    <t>Nivel de Satisfacción Servicios Prestados -Cultura y Deporte</t>
  </si>
  <si>
    <t>507-2024-12-31</t>
  </si>
  <si>
    <t>Nivel de Satisfacción Servicios Prestados - Diseño y contenido virtual</t>
  </si>
  <si>
    <t>508-2024-12-31</t>
  </si>
  <si>
    <t>Cumplimiento a cronograma de proyectos 2025</t>
  </si>
  <si>
    <t>509-2025-01-31</t>
  </si>
  <si>
    <t>509-2025-02-28</t>
  </si>
  <si>
    <t>509-2025-03-31</t>
  </si>
  <si>
    <t>509-2025-04-30</t>
  </si>
  <si>
    <t>509-2025-05-31</t>
  </si>
  <si>
    <t>509-2025-06-30</t>
  </si>
  <si>
    <t>509-2025-07-31</t>
  </si>
  <si>
    <t>509-2025-08-31</t>
  </si>
  <si>
    <t>509-2025-09-30</t>
  </si>
  <si>
    <t>509-2025-11-30</t>
  </si>
  <si>
    <t>509-2025-12-31</t>
  </si>
  <si>
    <t>Frecuencia de incidentes de riesgos</t>
  </si>
  <si>
    <t>510-2025-03-31</t>
  </si>
  <si>
    <t>510-2025-06-30</t>
  </si>
  <si>
    <t>510-2025-09-30</t>
  </si>
  <si>
    <t>510-2025-12-31</t>
  </si>
  <si>
    <t>Eficacia de controles</t>
  </si>
  <si>
    <t>511-2025-03-31</t>
  </si>
  <si>
    <t>511-2025-06-30</t>
  </si>
  <si>
    <t>511-2025-09-30</t>
  </si>
  <si>
    <t>511-2025-12-31</t>
  </si>
  <si>
    <t>Nivel de cumplimiento del plan de seguimiento a controles</t>
  </si>
  <si>
    <t>Respuesta ante nuevas necesidades de control</t>
  </si>
  <si>
    <t>Porcentaje de procesos de control implementados</t>
  </si>
  <si>
    <t>Porcentaje de colaboradores formados en ciberseguridad</t>
  </si>
  <si>
    <t>% de publicaciones con sentimiento neutro o negativo</t>
  </si>
  <si>
    <t>519-2025-06-30</t>
  </si>
  <si>
    <t>519-2025-12-31</t>
  </si>
  <si>
    <t>Asignaturas o modulos con mecanismos de evaluación implementados</t>
  </si>
  <si>
    <t>523-2025-06-30</t>
  </si>
  <si>
    <t>523-2025-12-31</t>
  </si>
  <si>
    <t>524-2025-06-30</t>
  </si>
  <si>
    <t>524-2025-12-31</t>
  </si>
  <si>
    <t>Cumplimiento Politica Polisigs</t>
  </si>
  <si>
    <t>Participación de Grupos de Interés en la construcción del nuevo plan de desarrollo (PDI)</t>
  </si>
  <si>
    <t>Participación de la comunidad en la Rendición de Cuentas</t>
  </si>
  <si>
    <t>Oportunidad en la solución de solicitudes de infraestructura</t>
  </si>
  <si>
    <t>529-2025-09-30</t>
  </si>
  <si>
    <t>529-2025-12-31</t>
  </si>
  <si>
    <t>Índice de Cumplimiento del Sprint</t>
  </si>
  <si>
    <t>Eficiencia de capacidad instalada</t>
  </si>
  <si>
    <t>Actividades de Cooperación en Internacionalización</t>
  </si>
  <si>
    <t>532-2025-06-30</t>
  </si>
  <si>
    <t>532-2025-12-31</t>
  </si>
  <si>
    <t>Participación de estudiantes externos invitados a actividades de cooperación nacional e internacional</t>
  </si>
  <si>
    <t>533-2025-06-30</t>
  </si>
  <si>
    <t>533-2025-12-31</t>
  </si>
  <si>
    <t>Participación de estudiantes POLI en actividades de cooperación nacional e internacional</t>
  </si>
  <si>
    <t>534-2025-06-30</t>
  </si>
  <si>
    <t>534-2025-12-31</t>
  </si>
  <si>
    <t>Participación de profesores externos invitados a actividades de cooperación nacional e internacional</t>
  </si>
  <si>
    <t>535-2025-06-30</t>
  </si>
  <si>
    <t>535-2025-12-31</t>
  </si>
  <si>
    <t>Participación de profesores POLI en actividades de cooperación nacional e internacional</t>
  </si>
  <si>
    <t>536-2025-06-30</t>
  </si>
  <si>
    <t>536-2025-12-31</t>
  </si>
  <si>
    <t>FCR- Resolución en primer contacto</t>
  </si>
  <si>
    <t>Cumplimiento de sesiones de socialización de planeación académica</t>
  </si>
  <si>
    <t>CES emisión de certificados</t>
  </si>
  <si>
    <t>Nivel de Calidad de los Datos Cargados al SNIES</t>
  </si>
  <si>
    <t>Participación de graduados en actividades de empleabilidad y relacionamiento</t>
  </si>
  <si>
    <t>Tasa de cotización del graduado - Metrica</t>
  </si>
  <si>
    <t>542-2025-12-31</t>
  </si>
  <si>
    <t>Tasa de interacción por usuario</t>
  </si>
  <si>
    <t>543-2025-06-30</t>
  </si>
  <si>
    <t>Producción de ambientes inmersivos LEI</t>
  </si>
  <si>
    <t>544-2025-06-30</t>
  </si>
  <si>
    <t>544-2025-12-31</t>
  </si>
  <si>
    <t>Tasa de participación de graduados en instrumentos de seguimiento (M0, M1, M5)</t>
  </si>
  <si>
    <t>546-2025-12-31</t>
  </si>
  <si>
    <t>Nivel de satisfacción del graduado con la institución</t>
  </si>
  <si>
    <t>Nivel de satisfacción con las actividades de formación</t>
  </si>
  <si>
    <t>Evaluación del desempeño de los mentores</t>
  </si>
  <si>
    <t>Nivel de Satisfacción Servicios Prestados -Gestión de la Responsabilidad Social</t>
  </si>
  <si>
    <t>Nivel de Satisfacción Servicios Prestados -Inscripción, admisión y matrícula de estudiantes nuevos</t>
  </si>
  <si>
    <t>Nivel de Satisfacción Servicios Prestados -Permanencia</t>
  </si>
  <si>
    <t>Nivel de Satisfacción Servicios Prestados -Mercadeo y venta de educación para la vida</t>
  </si>
  <si>
    <t>Cumplimiento Plan de formación Institucional</t>
  </si>
  <si>
    <t>Número de Visitas al Informe de Sostenibilidad por Año</t>
  </si>
  <si>
    <t>Nivel de Satisfacción de servicios prestados - Estudios Internos</t>
  </si>
  <si>
    <t>Estudios Internos</t>
  </si>
  <si>
    <t>Tasa de Ejecución Presupuestal del Proceso</t>
  </si>
  <si>
    <t>Quincenal</t>
  </si>
  <si>
    <t>Índice de Conformidad Normativa Contractual</t>
  </si>
  <si>
    <t>Tasa de crecimiento de estudiantes beneficiarios de becas</t>
  </si>
  <si>
    <t>Tasa de Permanencia de Beneficiarios del Programa de Becas</t>
  </si>
  <si>
    <t>Índice de Satisfacción de benefactores con la Gestión de Responsabilidad Social</t>
  </si>
  <si>
    <t>Nivel Satisfacción con la Oficina de inclusión</t>
  </si>
  <si>
    <t>Satisfacción con la estrategia de acompañamiento del proceso de inclusión</t>
  </si>
  <si>
    <t>Relación Estudiante-Docente Tiempo completo  Equivalente (Población AAC/Institucional - Bogotá Virtual)</t>
  </si>
  <si>
    <t>Nivel de satisfacción Gestión docente</t>
  </si>
  <si>
    <t>Nivel de Cumplimiento en la actualización de información normativa de programas académicos</t>
  </si>
  <si>
    <t>Nivel de Cumplimiento de Tamaños Muestrales por Grupo de Interés</t>
  </si>
  <si>
    <t>Cumplimiento Meta de estudiantes de Reintegros</t>
  </si>
  <si>
    <t>Tasa de Sostenibilidad de Emprendimientos</t>
  </si>
  <si>
    <t>Nivel de satisfacción Biblioteca Presencial</t>
  </si>
  <si>
    <t>CES Recursos digitales</t>
  </si>
  <si>
    <t>Indice de impacto Psicosocial de las actividades de bienestar</t>
  </si>
  <si>
    <t>Cumplimiento a cronograma de proyectos 2026</t>
  </si>
  <si>
    <t>Satisfacción con las campañas integradas de marketing y contenidos directivos</t>
  </si>
  <si>
    <t>Nivel de Satisfacción Servicios Prestados - Gerencia de tecnología e innovación</t>
  </si>
  <si>
    <t>CES Proceso de Matricula estudiantes B2C</t>
  </si>
  <si>
    <t>NPS Clientes Corporativos</t>
  </si>
  <si>
    <t>14</t>
  </si>
  <si>
    <t>Total Población</t>
  </si>
  <si>
    <t>14-2023-06-30</t>
  </si>
  <si>
    <t>14-2023-12-31</t>
  </si>
  <si>
    <t>14-2024-06-30</t>
  </si>
  <si>
    <t>14.1</t>
  </si>
  <si>
    <t>Estudiantes Presencial</t>
  </si>
  <si>
    <t>14.1-2023-06-30</t>
  </si>
  <si>
    <t>14.1-2023-12-31</t>
  </si>
  <si>
    <t>14.1-2024-06-30</t>
  </si>
  <si>
    <t>14.2</t>
  </si>
  <si>
    <t>Estudiantes Virtual</t>
  </si>
  <si>
    <t>14.2-2023-06-30</t>
  </si>
  <si>
    <t>14.2-2023-12-31</t>
  </si>
  <si>
    <t>14.2-2024-06-30</t>
  </si>
  <si>
    <t>14.3</t>
  </si>
  <si>
    <t>Estudiantes Pregrado</t>
  </si>
  <si>
    <t>14.3-2023-06-30</t>
  </si>
  <si>
    <t>14.3-2023-12-31</t>
  </si>
  <si>
    <t>14.3-2024-06-30</t>
  </si>
  <si>
    <t>14.4</t>
  </si>
  <si>
    <t>Estudiantes Posgrado</t>
  </si>
  <si>
    <t>14.4-2023-06-30</t>
  </si>
  <si>
    <t>14.4-2023-12-31</t>
  </si>
  <si>
    <t>14.4-2024-06-30</t>
  </si>
  <si>
    <t>373.1</t>
  </si>
  <si>
    <t>Cumplimiento de planes anuales por líneas — Expansión</t>
  </si>
  <si>
    <t>373.1-2023-06-30</t>
  </si>
  <si>
    <t>373.1-2023-09-30</t>
  </si>
  <si>
    <t>373.1-2023-12-31</t>
  </si>
  <si>
    <t>373.1-2024-09-30</t>
  </si>
  <si>
    <t>373.1-2024-12-31</t>
  </si>
  <si>
    <t>373.2</t>
  </si>
  <si>
    <t>Cumplimiento de planes anuales por líneas — Educación para toda la vida</t>
  </si>
  <si>
    <t>373.2-2023-06-30</t>
  </si>
  <si>
    <t>373.2-2023-09-30</t>
  </si>
  <si>
    <t>373.2-2023-12-31</t>
  </si>
  <si>
    <t>373.2-2024-09-30</t>
  </si>
  <si>
    <t>373.2-2024-12-31</t>
  </si>
  <si>
    <t>373.3</t>
  </si>
  <si>
    <t>Cumplimiento de planes anuales por líneas — Trasformación Organizacional</t>
  </si>
  <si>
    <t>373.3-2023-06-30</t>
  </si>
  <si>
    <t>373.3-2023-09-30</t>
  </si>
  <si>
    <t>373.3-2023-12-31</t>
  </si>
  <si>
    <t>373.3-2024-09-30</t>
  </si>
  <si>
    <t>373.3-2024-12-31</t>
  </si>
  <si>
    <t>373.4</t>
  </si>
  <si>
    <t>Cumplimiento de planes anuales por líneas — Experiencia</t>
  </si>
  <si>
    <t>373.4-2023-06-30</t>
  </si>
  <si>
    <t>373.4-2023-09-30</t>
  </si>
  <si>
    <t>373.4-2023-12-31</t>
  </si>
  <si>
    <t>373.4-2024-09-30</t>
  </si>
  <si>
    <t>373.4-2024-12-31</t>
  </si>
  <si>
    <t>373.5</t>
  </si>
  <si>
    <t>Cumplimiento de planes anuales por líneas — Sostenibilidad</t>
  </si>
  <si>
    <t>373.5-2023-06-30</t>
  </si>
  <si>
    <t>373.5-2023-09-30</t>
  </si>
  <si>
    <t>373.5-2023-12-31</t>
  </si>
  <si>
    <t>373.5-2024-03-31</t>
  </si>
  <si>
    <t>373.5-2024-06-30</t>
  </si>
  <si>
    <t>373.5-2024-09-30</t>
  </si>
  <si>
    <t>373.5-2024-12-31</t>
  </si>
  <si>
    <t>373.6</t>
  </si>
  <si>
    <t>Cumplimiento de planes anuales por líneas — Calidad</t>
  </si>
  <si>
    <t>373.6-2023-06-30</t>
  </si>
  <si>
    <t>373.6-2023-09-30</t>
  </si>
  <si>
    <t>373.6-2023-12-31</t>
  </si>
  <si>
    <t>373.6-2024-09-30</t>
  </si>
  <si>
    <t>373.6-2024-12-31</t>
  </si>
  <si>
    <t>390.1</t>
  </si>
  <si>
    <t>Cumplimiento Plan Anual por escuela — ESCUELA DE CIENCIAS BÁSICAS</t>
  </si>
  <si>
    <t>390.1-2023-06-30</t>
  </si>
  <si>
    <t>390.1-2023-09-30</t>
  </si>
  <si>
    <t>390.1-2023-12-31</t>
  </si>
  <si>
    <t>Plan anual Escuela De Ciencias Basicas</t>
  </si>
  <si>
    <t>Gestión de unidades académicas</t>
  </si>
  <si>
    <t>390.1-2024-06-30</t>
  </si>
  <si>
    <t>390.1-2024-09-30</t>
  </si>
  <si>
    <t>390.1-2024-12-31</t>
  </si>
  <si>
    <t>390.10</t>
  </si>
  <si>
    <t>Cumplimiento Plan Anual por escuela — ESCUELA DE MARKETING Y BRANDING</t>
  </si>
  <si>
    <t>390.10-2023-06-30</t>
  </si>
  <si>
    <t>390.10-2023-09-30</t>
  </si>
  <si>
    <t>390.10-2023-12-31</t>
  </si>
  <si>
    <t>Plan anual Escuela De Derecho Y Gobierno</t>
  </si>
  <si>
    <t>390.10-2024-06-30</t>
  </si>
  <si>
    <t>390.10-2024-09-30</t>
  </si>
  <si>
    <t>390.10-2024-12-31</t>
  </si>
  <si>
    <t>390.11</t>
  </si>
  <si>
    <t>Cumplimiento Plan Anual por escuela — ESCUELA DE PSIC, TALENTO HUM Y SOC</t>
  </si>
  <si>
    <t>390.11-2023-06-30</t>
  </si>
  <si>
    <t>390.11-2023-09-30</t>
  </si>
  <si>
    <t>390.11-2023-12-31</t>
  </si>
  <si>
    <t>390.11-2024-03-31</t>
  </si>
  <si>
    <t>390.11-2024-06-30</t>
  </si>
  <si>
    <t>390.11-2024-09-30</t>
  </si>
  <si>
    <t>390.11-2024-12-31</t>
  </si>
  <si>
    <t>390.12</t>
  </si>
  <si>
    <t>Cumplimiento Plan Anual por escuela — ESCUELA DE EDUCACIÓN E INNOVACIÓN</t>
  </si>
  <si>
    <t>390.12-2023-06-30</t>
  </si>
  <si>
    <t>390.12-2023-09-30</t>
  </si>
  <si>
    <t>390.12-2023-12-31</t>
  </si>
  <si>
    <t>Plan anual Escuela De Psic, Talento Hum Y Soc</t>
  </si>
  <si>
    <t>390.12-2024-06-30</t>
  </si>
  <si>
    <t>390.12-2024-09-30</t>
  </si>
  <si>
    <t>390.12-2024-12-31</t>
  </si>
  <si>
    <t>390.2</t>
  </si>
  <si>
    <t>Cumplimiento Plan Anual por escuela — ESCUELA DE  DISEÑO</t>
  </si>
  <si>
    <t>390.2-2023-06-30</t>
  </si>
  <si>
    <t>390.2-2023-09-30</t>
  </si>
  <si>
    <t>390.2-2023-12-31</t>
  </si>
  <si>
    <t>Plan anual Escuela De  Diseño</t>
  </si>
  <si>
    <t>390.2-2024-06-30</t>
  </si>
  <si>
    <t>390.2-2024-09-30</t>
  </si>
  <si>
    <t>390.2-2024-12-31</t>
  </si>
  <si>
    <t>390.3</t>
  </si>
  <si>
    <t>Cumplimiento Plan Anual por escuela — ESCUELA DE OPTIMIZACIÓN, INFRA Y AUTO</t>
  </si>
  <si>
    <t>390.3-2023-06-30</t>
  </si>
  <si>
    <t>390.3-2023-09-30</t>
  </si>
  <si>
    <t>390.3-2023-12-31</t>
  </si>
  <si>
    <t>Plan anual Escuela De Optimización, Infra Y Auto</t>
  </si>
  <si>
    <t>390.3-2024-06-30</t>
  </si>
  <si>
    <t>390.3-2024-09-30</t>
  </si>
  <si>
    <t>390.3-2024-12-31</t>
  </si>
  <si>
    <t>390.4</t>
  </si>
  <si>
    <t>Cumplimiento Plan Anual por escuela — ESCUELA TIC</t>
  </si>
  <si>
    <t>390.4-2023-06-30</t>
  </si>
  <si>
    <t>390.4-2023-09-30</t>
  </si>
  <si>
    <t>390.4-2023-12-31</t>
  </si>
  <si>
    <t>Plan anual Escuela TIC</t>
  </si>
  <si>
    <t>390.4-2024-06-30</t>
  </si>
  <si>
    <t>390.4-2024-09-30</t>
  </si>
  <si>
    <t>390.4-2024-12-31</t>
  </si>
  <si>
    <t>390.5</t>
  </si>
  <si>
    <t>Cumplimiento Plan Anual por escuela — ESCUELA DE ADMINISTRACIÓN Y COMPETITIVIDAD</t>
  </si>
  <si>
    <t>390.5-2023-06-30</t>
  </si>
  <si>
    <t>390.5-2023-09-30</t>
  </si>
  <si>
    <t>390.5-2023-12-31</t>
  </si>
  <si>
    <t>Plan anual Escuela De Administración y competitividad</t>
  </si>
  <si>
    <t>390.5-2024-06-30</t>
  </si>
  <si>
    <t>390.5-2024-09-30</t>
  </si>
  <si>
    <t>390.5-2024-12-31</t>
  </si>
  <si>
    <t>390.6</t>
  </si>
  <si>
    <t>Cumplimiento Plan Anual por escuela — ESCUELA DE CONTABILIDAD INTERNACIONAL</t>
  </si>
  <si>
    <t>390.6-2023-06-30</t>
  </si>
  <si>
    <t>390.6-2023-09-30</t>
  </si>
  <si>
    <t>390.6-2023-12-31</t>
  </si>
  <si>
    <t>Plan anual Escuela De Contabilidad Internacional</t>
  </si>
  <si>
    <t>390.6-2024-06-30</t>
  </si>
  <si>
    <t>390.6-2024-09-30</t>
  </si>
  <si>
    <t>390.6-2024-12-31</t>
  </si>
  <si>
    <t>390.7</t>
  </si>
  <si>
    <t>Cumplimiento Plan Anual por escuela — ESCUELA DE NEGOCIOS Y DESARROLLO INTERNACIONAL</t>
  </si>
  <si>
    <t>390.7-2023-06-30</t>
  </si>
  <si>
    <t>390.7-2023-09-30</t>
  </si>
  <si>
    <t>390.7-2023-12-31</t>
  </si>
  <si>
    <t>Plan anual Escuela De Negocios Y Desarrollo Internacional</t>
  </si>
  <si>
    <t>390.7-2024-06-30</t>
  </si>
  <si>
    <t>390.7-2024-09-30</t>
  </si>
  <si>
    <t>390.7-2024-12-31</t>
  </si>
  <si>
    <t>390.8</t>
  </si>
  <si>
    <t>Cumplimiento Plan Anual por escuela — ESCUELA DE COMUNICACIÓN ARTES VISUALES Y DIGITALES</t>
  </si>
  <si>
    <t>390.8-2023-06-30</t>
  </si>
  <si>
    <t>390.8-2023-09-30</t>
  </si>
  <si>
    <t>390.8-2023-12-31</t>
  </si>
  <si>
    <t>Plan anual Escuela De Comunicaciones, Artes Visuales Y Digitales</t>
  </si>
  <si>
    <t>390.8-2024-06-30</t>
  </si>
  <si>
    <t>390.8-2024-09-30</t>
  </si>
  <si>
    <t>390.8-2024-12-31</t>
  </si>
  <si>
    <t>390.9</t>
  </si>
  <si>
    <t>Cumplimiento Plan Anual por escuela — ESCUELA DE DERECHO Y GOBIERNO</t>
  </si>
  <si>
    <t>390.9-2023-06-30</t>
  </si>
  <si>
    <t>390.9-2023-09-30</t>
  </si>
  <si>
    <t>390.9-2023-12-31</t>
  </si>
  <si>
    <t>Plan anual Escuela De Educación E Innovación</t>
  </si>
  <si>
    <t>390.9-2024-06-30</t>
  </si>
  <si>
    <t>390.9-2024-09-30</t>
  </si>
  <si>
    <t>390.9-2024-12-31</t>
  </si>
  <si>
    <t>414.1</t>
  </si>
  <si>
    <t>Cumplimiento Plan Anual Rectoría — Vicerrectoría de crecimiento</t>
  </si>
  <si>
    <t>414.1-2023-06-30</t>
  </si>
  <si>
    <t>414.1-2023-09-30</t>
  </si>
  <si>
    <t>414.1-2023-12-31</t>
  </si>
  <si>
    <t>414.1-2024-03-31</t>
  </si>
  <si>
    <t>414.1-2024-06-30</t>
  </si>
  <si>
    <t>414.1-2024-09-30</t>
  </si>
  <si>
    <t>414.1-2024-12-31</t>
  </si>
  <si>
    <t>414.2</t>
  </si>
  <si>
    <t>Cumplimiento Plan Anual Rectoría — Vicerrectoría del estudiante</t>
  </si>
  <si>
    <t>414.2-2023-06-30</t>
  </si>
  <si>
    <t>414.2-2023-09-30</t>
  </si>
  <si>
    <t>414.2-2023-12-31</t>
  </si>
  <si>
    <t>414.2-2024-03-31</t>
  </si>
  <si>
    <t>414.2-2024-06-30</t>
  </si>
  <si>
    <t>414.2-2024-09-30</t>
  </si>
  <si>
    <t>414.2-2024-12-31</t>
  </si>
  <si>
    <t>414.3</t>
  </si>
  <si>
    <t>Cumplimiento Plan Anual Rectoría — Vicerrectoría financiera</t>
  </si>
  <si>
    <t>414.3-2023-06-30</t>
  </si>
  <si>
    <t>414.3-2023-09-30</t>
  </si>
  <si>
    <t>414.3-2023-12-31</t>
  </si>
  <si>
    <t>414.3-2024-03-31</t>
  </si>
  <si>
    <t>414.3-2024-06-30</t>
  </si>
  <si>
    <t>414.3-2024-09-30</t>
  </si>
  <si>
    <t>414.3-2024-12-31</t>
  </si>
  <si>
    <t>414.4</t>
  </si>
  <si>
    <t>Cumplimiento Plan Anual Rectoría — Gerencia de estrategia</t>
  </si>
  <si>
    <t>414.4-2023-06-30</t>
  </si>
  <si>
    <t>414.4-2023-09-30</t>
  </si>
  <si>
    <t>414.4-2023-12-31</t>
  </si>
  <si>
    <t>414.4-2024-03-31</t>
  </si>
  <si>
    <t>414.4-2024-06-30</t>
  </si>
  <si>
    <t>414.4-2024-09-30</t>
  </si>
  <si>
    <t>414.4-2024-12-31</t>
  </si>
  <si>
    <t>414.5</t>
  </si>
  <si>
    <t>Cumplimiento Plan Anual Rectoría — Gerencia de  talento humano y desarrollo</t>
  </si>
  <si>
    <t>414.5-2023-06-30</t>
  </si>
  <si>
    <t>414.5-2023-09-30</t>
  </si>
  <si>
    <t>414.5-2023-12-31</t>
  </si>
  <si>
    <t>414.5-2024-03-31</t>
  </si>
  <si>
    <t>414.5-2024-06-30</t>
  </si>
  <si>
    <t>414.5-2024-09-30</t>
  </si>
  <si>
    <t>414.5-2024-12-31</t>
  </si>
  <si>
    <t>414.6</t>
  </si>
  <si>
    <t>Cumplimiento Plan Anual Rectoría — Gerencia sede Medellín</t>
  </si>
  <si>
    <t>414.6-2023-06-30</t>
  </si>
  <si>
    <t>414.6-2023-09-30</t>
  </si>
  <si>
    <t>414.6-2023-12-31</t>
  </si>
  <si>
    <t>414.6-2024-03-31</t>
  </si>
  <si>
    <t>414.6-2024-06-30</t>
  </si>
  <si>
    <t>414.6-2024-09-30</t>
  </si>
  <si>
    <t>414.6-2024-12-31</t>
  </si>
  <si>
    <t>414.7</t>
  </si>
  <si>
    <t>Cumplimiento Plan Anual Rectoría — Secretaria general</t>
  </si>
  <si>
    <t>414.7-2023-06-30</t>
  </si>
  <si>
    <t>414.7-2023-09-30</t>
  </si>
  <si>
    <t>414.7-2023-12-31</t>
  </si>
  <si>
    <t>414.7-2024-03-31</t>
  </si>
  <si>
    <t>414.7-2024-06-30</t>
  </si>
  <si>
    <t>414.7-2024-09-30</t>
  </si>
  <si>
    <t>414.7-2024-12-31</t>
  </si>
  <si>
    <t>414.8</t>
  </si>
  <si>
    <t>Plan anual Secretaría General</t>
  </si>
  <si>
    <t>414.8-2023-06-30</t>
  </si>
  <si>
    <t>414.8-2023-12-31</t>
  </si>
  <si>
    <t>Cumplimiento Plan Anual Rectoría — Gerencia de educación virtual</t>
  </si>
  <si>
    <t>414.8-2024-03-31</t>
  </si>
  <si>
    <t>414.8-2024-06-30</t>
  </si>
  <si>
    <t>414.8-2024-09-30</t>
  </si>
  <si>
    <t>414.8-2024-12-31</t>
  </si>
  <si>
    <t>414.9</t>
  </si>
  <si>
    <t>Cumplimiento Plan Anual Rectoría — Vicerrectoría académica</t>
  </si>
  <si>
    <t>414.9-2023-06-30</t>
  </si>
  <si>
    <t>414.9-2023-09-30</t>
  </si>
  <si>
    <t>414.9-2023-12-31</t>
  </si>
  <si>
    <t>414.9-2024-03-31</t>
  </si>
  <si>
    <t>414.9-2024-06-30</t>
  </si>
  <si>
    <t>414.9-2024-09-30</t>
  </si>
  <si>
    <t>414.9-2024-12-31</t>
  </si>
  <si>
    <t>415.1</t>
  </si>
  <si>
    <t>Cumplimiento Plan Anual Vicerrectoría del estudiante — Gerencia de operaciones</t>
  </si>
  <si>
    <t>415.1-2023-06-30</t>
  </si>
  <si>
    <t>415.1-2023-09-30</t>
  </si>
  <si>
    <t>415.1-2023-12-31</t>
  </si>
  <si>
    <t>415.1-2024-03-31</t>
  </si>
  <si>
    <t>415.1-2024-06-30</t>
  </si>
  <si>
    <t>415.1-2024-09-30</t>
  </si>
  <si>
    <t>415.1-2024-12-31</t>
  </si>
  <si>
    <t>415.10</t>
  </si>
  <si>
    <t>Plan anual Gerencia de tecnologÍa e innovación digital</t>
  </si>
  <si>
    <t>415.10-2023-06-30</t>
  </si>
  <si>
    <t>415.10-2023-12-31</t>
  </si>
  <si>
    <t>Cumplimiento Plan Anual Vicerrectoría del estudiante — Director de operaciones IT</t>
  </si>
  <si>
    <t>415.10-2024-03-31</t>
  </si>
  <si>
    <t>415.10-2024-06-30</t>
  </si>
  <si>
    <t>415.10-2024-09-30</t>
  </si>
  <si>
    <t>415.10-2024-12-31</t>
  </si>
  <si>
    <t>415.11</t>
  </si>
  <si>
    <t>Cumplimiento Plan Anual Vicerrectoría del estudiante — Director de operaciones integrales</t>
  </si>
  <si>
    <t>415.11-2024-03-31</t>
  </si>
  <si>
    <t>415.11-2024-06-30</t>
  </si>
  <si>
    <t>415.11-2024-09-30</t>
  </si>
  <si>
    <t>415.11-2024-12-31</t>
  </si>
  <si>
    <t>415.12</t>
  </si>
  <si>
    <t>Cumplimiento Plan Anual Vicerrectoría del estudiante — Director de permanencia</t>
  </si>
  <si>
    <t>415.12-2024-03-31</t>
  </si>
  <si>
    <t>415.12-2024-06-30</t>
  </si>
  <si>
    <t>415.12-2024-09-30</t>
  </si>
  <si>
    <t>415.12-2024-12-31</t>
  </si>
  <si>
    <t>415.13</t>
  </si>
  <si>
    <t>Cumplimiento Plan Anual Vicerrectoría del estudiante — Director de servicio</t>
  </si>
  <si>
    <t>415.13-2024-03-31</t>
  </si>
  <si>
    <t>415.13-2024-06-30</t>
  </si>
  <si>
    <t>415.13-2024-09-30</t>
  </si>
  <si>
    <t>415.13-2024-12-31</t>
  </si>
  <si>
    <t>415.14</t>
  </si>
  <si>
    <t>Cumplimiento Plan Anual Vicerrectoría del estudiante — Direccion bienestar universitario y huella grancolombiana</t>
  </si>
  <si>
    <t>415.14-2023-06-30</t>
  </si>
  <si>
    <t>415.14-2023-09-30</t>
  </si>
  <si>
    <t>415.14-2023-12-31</t>
  </si>
  <si>
    <t>415.14-2024-03-31</t>
  </si>
  <si>
    <t>415.14-2024-06-30</t>
  </si>
  <si>
    <t>415.14-2024-09-30</t>
  </si>
  <si>
    <t>415.14-2024-12-31</t>
  </si>
  <si>
    <t>415.2</t>
  </si>
  <si>
    <t>Cumplimiento Plan Anual Vicerrectoría del estudiante — Gerencia de servicio y permanencia</t>
  </si>
  <si>
    <t>415.2-2023-06-30</t>
  </si>
  <si>
    <t>415.2-2023-09-30</t>
  </si>
  <si>
    <t>415.2-2023-12-31</t>
  </si>
  <si>
    <t>415.2-2024-03-31</t>
  </si>
  <si>
    <t>415.2-2024-06-30</t>
  </si>
  <si>
    <t>415.2-2024-09-30</t>
  </si>
  <si>
    <t>415.2-2024-12-31</t>
  </si>
  <si>
    <t>415.3</t>
  </si>
  <si>
    <t>Cumplimiento Plan Anual Vicerrectoría del estudiante — Gerencia de tecnología e innovación digital</t>
  </si>
  <si>
    <t>415.3-2023-06-30</t>
  </si>
  <si>
    <t>415.3-2023-09-30</t>
  </si>
  <si>
    <t>415.3-2023-12-31</t>
  </si>
  <si>
    <t>Plan anual BI y analitica</t>
  </si>
  <si>
    <t>415.3-2024-06-30</t>
  </si>
  <si>
    <t>415.3-2024-09-30</t>
  </si>
  <si>
    <t>415.3-2024-12-31</t>
  </si>
  <si>
    <t>415.4</t>
  </si>
  <si>
    <t>Cumplimiento Plan Anual Vicerrectoría del estudiante — BI y analítica</t>
  </si>
  <si>
    <t>415.4-2023-06-30</t>
  </si>
  <si>
    <t>415.4-2023-09-30</t>
  </si>
  <si>
    <t>415.4-2023-12-31</t>
  </si>
  <si>
    <t>415.4-2024-03-31</t>
  </si>
  <si>
    <t>415.4-2024-06-30</t>
  </si>
  <si>
    <t>415.4-2024-09-30</t>
  </si>
  <si>
    <t>415.4-2024-12-31</t>
  </si>
  <si>
    <t>415.5</t>
  </si>
  <si>
    <t>Cumplimiento Plan Anual Vicerrectoría del estudiante — Dirección nacional de registro y control</t>
  </si>
  <si>
    <t>415.5-2023-06-30</t>
  </si>
  <si>
    <t>415.5-2023-09-30</t>
  </si>
  <si>
    <t>415.5-2023-12-31</t>
  </si>
  <si>
    <t>415.5-2024-03-31</t>
  </si>
  <si>
    <t>415.5-2024-06-30</t>
  </si>
  <si>
    <t>415.5-2024-09-30</t>
  </si>
  <si>
    <t>415.5-2024-12-31</t>
  </si>
  <si>
    <t>415.6</t>
  </si>
  <si>
    <t>Cumplimiento Plan Anual Vicerrectoría del estudiante — Dirección de Experiencia E Inclusion</t>
  </si>
  <si>
    <t>415.6-2023-06-30</t>
  </si>
  <si>
    <t>415.6-2023-09-30</t>
  </si>
  <si>
    <t>415.6-2023-12-31</t>
  </si>
  <si>
    <t>415.6-2024-03-31</t>
  </si>
  <si>
    <t>415.6-2024-06-30</t>
  </si>
  <si>
    <t>415.6-2024-09-30</t>
  </si>
  <si>
    <t>415.6-2024-12-31</t>
  </si>
  <si>
    <t>415.7</t>
  </si>
  <si>
    <t>Cumplimiento Plan Anual Vicerrectoría del estudiante — Director de gobierno digital</t>
  </si>
  <si>
    <t>415.7-2023-12-31</t>
  </si>
  <si>
    <t>415.7-2024-03-31</t>
  </si>
  <si>
    <t>415.7-2024-06-30</t>
  </si>
  <si>
    <t>415.7-2024-09-30</t>
  </si>
  <si>
    <t>415.7-2024-12-31</t>
  </si>
  <si>
    <t>415.8</t>
  </si>
  <si>
    <t>Cumplimiento Plan Anual Vicerrectoría del estudiante — Gerente de innovación y producto</t>
  </si>
  <si>
    <t>415.8-2024-03-31</t>
  </si>
  <si>
    <t>415.8-2024-06-30</t>
  </si>
  <si>
    <t>415.8-2024-09-30</t>
  </si>
  <si>
    <t>415.8-2024-12-31</t>
  </si>
  <si>
    <t>415.9</t>
  </si>
  <si>
    <t>Cumplimiento Plan Anual Vicerrectoría del estudiante — Dirección de desarrollo e innovación</t>
  </si>
  <si>
    <t>415.9-2024-03-31</t>
  </si>
  <si>
    <t>415.9-2024-06-30</t>
  </si>
  <si>
    <t>415.9-2024-09-30</t>
  </si>
  <si>
    <t>415.9-2024-12-31</t>
  </si>
  <si>
    <t>416.1</t>
  </si>
  <si>
    <t>Cumplimiento Plan Anual Vicerrectoría de crecimiento — Gerencia de matriculas</t>
  </si>
  <si>
    <t>416.1-2023-06-30</t>
  </si>
  <si>
    <t>416.1-2023-09-30</t>
  </si>
  <si>
    <t>416.1-2023-12-31</t>
  </si>
  <si>
    <t>416.1-2024-03-31</t>
  </si>
  <si>
    <t>416.1-2024-06-30</t>
  </si>
  <si>
    <t>416.1-2024-09-30</t>
  </si>
  <si>
    <t>416.1-2024-12-31</t>
  </si>
  <si>
    <t>416.2</t>
  </si>
  <si>
    <t>Cumplimiento Plan Anual Vicerrectoría de crecimiento — Gerencia de mercadeo</t>
  </si>
  <si>
    <t>416.2-2023-06-30</t>
  </si>
  <si>
    <t>416.2-2023-09-30</t>
  </si>
  <si>
    <t>416.2-2023-12-31</t>
  </si>
  <si>
    <t>416.2-2024-03-31</t>
  </si>
  <si>
    <t>416.2-2024-06-30</t>
  </si>
  <si>
    <t>416.2-2024-09-30</t>
  </si>
  <si>
    <t>416.2-2024-12-31</t>
  </si>
  <si>
    <t>416.3</t>
  </si>
  <si>
    <t>Cumplimiento Plan Anual Vicerrectoría de crecimiento — Gerencia de servicios corporativos</t>
  </si>
  <si>
    <t>416.3-2024-03-31</t>
  </si>
  <si>
    <t>416.3-2024-06-30</t>
  </si>
  <si>
    <t>416.3-2024-09-30</t>
  </si>
  <si>
    <t>416.3-2024-12-31</t>
  </si>
  <si>
    <t>416.4</t>
  </si>
  <si>
    <t>Cumplimiento Plan Anual Vicerrectoría de crecimiento — Director B2B y B2C</t>
  </si>
  <si>
    <t>416.4-2024-03-31</t>
  </si>
  <si>
    <t>416.4-2024-06-30</t>
  </si>
  <si>
    <t>416.4-2024-09-30</t>
  </si>
  <si>
    <t>416.4-2024-12-31</t>
  </si>
  <si>
    <t>416.5</t>
  </si>
  <si>
    <t>Cumplimiento Plan Anual Vicerrectoría de crecimiento — Director de producto</t>
  </si>
  <si>
    <t>416.5-2024-03-31</t>
  </si>
  <si>
    <t>416.5-2024-06-30</t>
  </si>
  <si>
    <t>416.5-2024-09-30</t>
  </si>
  <si>
    <t>416.5-2024-12-31</t>
  </si>
  <si>
    <t>416.6</t>
  </si>
  <si>
    <t>Cumplimiento Plan Anual Vicerrectoría de crecimiento — Director de estrategia marca</t>
  </si>
  <si>
    <t>416.6-2024-03-31</t>
  </si>
  <si>
    <t>416.6-2024-06-30</t>
  </si>
  <si>
    <t>416.6-2024-09-30</t>
  </si>
  <si>
    <t>416.6-2024-12-31</t>
  </si>
  <si>
    <t>417.1</t>
  </si>
  <si>
    <t>Cumplimiento Plan Anual Vicerrectoría Financiera — Dirección de contabilidad</t>
  </si>
  <si>
    <t>417.1-2023-06-30</t>
  </si>
  <si>
    <t>417.1-2023-09-30</t>
  </si>
  <si>
    <t>417.1-2023-12-31</t>
  </si>
  <si>
    <t>417.1-2024-03-31</t>
  </si>
  <si>
    <t>417.1-2024-06-30</t>
  </si>
  <si>
    <t>417.1-2024-09-30</t>
  </si>
  <si>
    <t>417.1-2024-12-31</t>
  </si>
  <si>
    <t>417.2</t>
  </si>
  <si>
    <t>Cumplimiento Plan Anual Vicerrectoría Financiera — Dirección de infraestructura</t>
  </si>
  <si>
    <t>417.2-2023-06-30</t>
  </si>
  <si>
    <t>417.2-2023-09-30</t>
  </si>
  <si>
    <t>417.2-2023-12-31</t>
  </si>
  <si>
    <t>417.2-2024-03-31</t>
  </si>
  <si>
    <t>417.2-2024-06-30</t>
  </si>
  <si>
    <t>417.2-2024-09-30</t>
  </si>
  <si>
    <t>417.2-2024-12-31</t>
  </si>
  <si>
    <t>417.3</t>
  </si>
  <si>
    <t>Cumplimiento Plan Anual Vicerrectoría Financiera — Dirección planeación financiera y tesorería</t>
  </si>
  <si>
    <t>417.3-2023-06-30</t>
  </si>
  <si>
    <t>417.3-2023-09-30</t>
  </si>
  <si>
    <t>417.3-2023-12-31</t>
  </si>
  <si>
    <t>417.3-2024-03-31</t>
  </si>
  <si>
    <t>417.3-2024-06-30</t>
  </si>
  <si>
    <t>417.3-2024-09-30</t>
  </si>
  <si>
    <t>417.3-2024-12-31</t>
  </si>
  <si>
    <t>417.4</t>
  </si>
  <si>
    <t>Cumplimiento Plan Anual Vicerrectoría Financiera — Dirección de servicios administrativos</t>
  </si>
  <si>
    <t>417.4-2023-06-30</t>
  </si>
  <si>
    <t>417.4-2023-09-30</t>
  </si>
  <si>
    <t>417.4-2023-12-31</t>
  </si>
  <si>
    <t>417.4-2024-03-31</t>
  </si>
  <si>
    <t>417.4-2024-06-30</t>
  </si>
  <si>
    <t>417.4-2024-09-30</t>
  </si>
  <si>
    <t>417.4-2024-12-31</t>
  </si>
  <si>
    <t>417.5</t>
  </si>
  <si>
    <t>Cumplimiento Plan Anual Vicerrectoría Financiera — Dirección de compras y abastecimiento</t>
  </si>
  <si>
    <t>417.5-2023-06-30</t>
  </si>
  <si>
    <t>417.5-2023-09-30</t>
  </si>
  <si>
    <t>417.5-2023-12-31</t>
  </si>
  <si>
    <t>417.5-2024-03-31</t>
  </si>
  <si>
    <t>417.5-2024-06-30</t>
  </si>
  <si>
    <t>417.5-2024-09-30</t>
  </si>
  <si>
    <t>417.5-2024-12-31</t>
  </si>
  <si>
    <t>417.6</t>
  </si>
  <si>
    <t>Cumplimiento Plan Anual Vicerrectoría Financiera — Dirección de relacionamiento de CSU</t>
  </si>
  <si>
    <t>417.6-2023-06-30</t>
  </si>
  <si>
    <t>417.6-2023-09-30</t>
  </si>
  <si>
    <t>417.6-2023-12-31</t>
  </si>
  <si>
    <t>417.6-2024-03-31</t>
  </si>
  <si>
    <t>417.6-2024-06-30</t>
  </si>
  <si>
    <t>417.6-2024-09-30</t>
  </si>
  <si>
    <t>417.6-2024-12-31</t>
  </si>
  <si>
    <t>418.1</t>
  </si>
  <si>
    <t>Cumplimiento Plan Anual Vicerrectoría Académica — Dirección aseguramiento de la calidad</t>
  </si>
  <si>
    <t>418.1-2023-06-30</t>
  </si>
  <si>
    <t>418.1-2023-09-30</t>
  </si>
  <si>
    <t>418.1-2023-12-31</t>
  </si>
  <si>
    <t>418.1-2024-03-31</t>
  </si>
  <si>
    <t>418.1-2024-06-30</t>
  </si>
  <si>
    <t>418.1-2024-09-30</t>
  </si>
  <si>
    <t>418.1-2024-12-31</t>
  </si>
  <si>
    <t>418.2</t>
  </si>
  <si>
    <t>Cumplimiento Plan Anual Vicerrectoría Académica — Dirección relaciones nacionales e internacionales</t>
  </si>
  <si>
    <t>418.2-2023-06-30</t>
  </si>
  <si>
    <t>418.2-2023-09-30</t>
  </si>
  <si>
    <t>418.2-2023-12-31</t>
  </si>
  <si>
    <t>418.2-2024-03-31</t>
  </si>
  <si>
    <t>418.2-2024-06-30</t>
  </si>
  <si>
    <t>418.2-2024-09-30</t>
  </si>
  <si>
    <t>418.2-2024-12-31</t>
  </si>
  <si>
    <t>418.3</t>
  </si>
  <si>
    <t>Cumplimiento Plan Anual Vicerrectoría Académica — Secretaria académica y de extensión</t>
  </si>
  <si>
    <t>418.3-2023-06-30</t>
  </si>
  <si>
    <t>418.3-2023-09-30</t>
  </si>
  <si>
    <t>418.3-2023-12-31</t>
  </si>
  <si>
    <t>418.3-2024-03-31</t>
  </si>
  <si>
    <t>418.3-2024-06-30</t>
  </si>
  <si>
    <t>418.3-2024-09-30</t>
  </si>
  <si>
    <t>418.3-2024-12-31</t>
  </si>
  <si>
    <t>418.4</t>
  </si>
  <si>
    <t>Cumplimiento Plan Anual Vicerrectoría Académica — Dirección de docencia</t>
  </si>
  <si>
    <t>418.4-2023-06-30</t>
  </si>
  <si>
    <t>418.4-2023-09-30</t>
  </si>
  <si>
    <t>418.4-2023-12-31</t>
  </si>
  <si>
    <t>418.4-2024-03-31</t>
  </si>
  <si>
    <t>418.4-2024-06-30</t>
  </si>
  <si>
    <t>418.4-2024-09-30</t>
  </si>
  <si>
    <t>418.4-2024-12-31</t>
  </si>
  <si>
    <t>418.5</t>
  </si>
  <si>
    <t>Cumplimiento Plan Anual Vicerrectoría Académica — Dirección de currículo presencial y virtual</t>
  </si>
  <si>
    <t>418.5-2023-06-30</t>
  </si>
  <si>
    <t>418.5-2023-09-30</t>
  </si>
  <si>
    <t>418.5-2023-12-31</t>
  </si>
  <si>
    <t>418.5-2024-03-31</t>
  </si>
  <si>
    <t>418.5-2024-06-30</t>
  </si>
  <si>
    <t>418.5-2024-09-30</t>
  </si>
  <si>
    <t>418.5-2024-12-31</t>
  </si>
  <si>
    <t>418.6</t>
  </si>
  <si>
    <t>Cumplimiento Plan Anual Vicerrectoría Académica — Facultad ingeniería diseño e innovación</t>
  </si>
  <si>
    <t>418.6-2023-06-30</t>
  </si>
  <si>
    <t>418.6-2023-09-30</t>
  </si>
  <si>
    <t>418.6-2023-12-31</t>
  </si>
  <si>
    <t>418.6-2024-03-31</t>
  </si>
  <si>
    <t>418.6-2024-06-30</t>
  </si>
  <si>
    <t>418.6-2024-09-30</t>
  </si>
  <si>
    <t>418.6-2024-12-31</t>
  </si>
  <si>
    <t>418.7</t>
  </si>
  <si>
    <t>Cumplimiento Plan Anual Vicerrectoría Académica — Facultad negocios gestión y sostenibilidad</t>
  </si>
  <si>
    <t>418.7-2023-06-30</t>
  </si>
  <si>
    <t>418.7-2023-09-30</t>
  </si>
  <si>
    <t>418.7-2023-12-31</t>
  </si>
  <si>
    <t>418.7-2024-03-31</t>
  </si>
  <si>
    <t>418.7-2024-06-30</t>
  </si>
  <si>
    <t>418.7-2024-09-30</t>
  </si>
  <si>
    <t>418.7-2024-12-31</t>
  </si>
  <si>
    <t>418.8</t>
  </si>
  <si>
    <t>Cumplimiento Plan Anual Vicerrectoría Académica — Facultad sociedad cultura y creatividad</t>
  </si>
  <si>
    <t>418.8-2023-06-30</t>
  </si>
  <si>
    <t>418.8-2023-09-30</t>
  </si>
  <si>
    <t>418.8-2023-12-31</t>
  </si>
  <si>
    <t>418.8-2024-03-31</t>
  </si>
  <si>
    <t>418.8-2024-06-30</t>
  </si>
  <si>
    <t>418.8-2024-09-30</t>
  </si>
  <si>
    <t>418.8-2024-12-31</t>
  </si>
  <si>
    <t>418.9</t>
  </si>
  <si>
    <t>Cumplimiento Plan Anual Vicerrectoría Académica — Dirección investigación innovación y creación</t>
  </si>
  <si>
    <t>418.9-2023-06-30</t>
  </si>
  <si>
    <t>418.9-2023-09-30</t>
  </si>
  <si>
    <t>418.9-2023-12-31</t>
  </si>
  <si>
    <t>418.9-2024-03-31</t>
  </si>
  <si>
    <t>418.9-2024-06-30</t>
  </si>
  <si>
    <t>418.9-2024-09-30</t>
  </si>
  <si>
    <t>418.9-2024-12-31</t>
  </si>
  <si>
    <t>420.1</t>
  </si>
  <si>
    <t>Cumplimiento Plan Anual Gerencia de estrategia — SGC</t>
  </si>
  <si>
    <t>420.1-2023-06-30</t>
  </si>
  <si>
    <t>420.1-2023-09-30</t>
  </si>
  <si>
    <t>420.1-2023-12-31</t>
  </si>
  <si>
    <t>420.1-2024-03-31</t>
  </si>
  <si>
    <t>420.1-2024-06-30</t>
  </si>
  <si>
    <t>420.1-2024-09-30</t>
  </si>
  <si>
    <t>420.1-2024-12-31</t>
  </si>
  <si>
    <t>420.2</t>
  </si>
  <si>
    <t>Cumplimiento Plan Anual Gerencia de estrategia — SGA</t>
  </si>
  <si>
    <t>420.2-2023-06-30</t>
  </si>
  <si>
    <t>420.2-2023-09-30</t>
  </si>
  <si>
    <t>420.2-2023-12-31</t>
  </si>
  <si>
    <t>420.2-2024-03-31</t>
  </si>
  <si>
    <t>420.2-2024-06-30</t>
  </si>
  <si>
    <t>420.2-2024-09-30</t>
  </si>
  <si>
    <t>420.2-2024-12-31</t>
  </si>
  <si>
    <t>420.3</t>
  </si>
  <si>
    <t>Cumplimiento Plan Anual Gerencia de estrategia — Riesgos</t>
  </si>
  <si>
    <t>420.3-2023-06-30</t>
  </si>
  <si>
    <t>420.3-2023-09-30</t>
  </si>
  <si>
    <t>420.3-2023-12-31</t>
  </si>
  <si>
    <t>420.3-2024-03-31</t>
  </si>
  <si>
    <t>420.3-2024-06-30</t>
  </si>
  <si>
    <t>420.3-2024-09-30</t>
  </si>
  <si>
    <t>420.3-2024-12-31</t>
  </si>
  <si>
    <t>420.4</t>
  </si>
  <si>
    <t>Cumplimiento Plan Anual Gerencia de estrategia — Auditoría</t>
  </si>
  <si>
    <t>420.4-2023-06-30</t>
  </si>
  <si>
    <t>420.4-2023-09-30</t>
  </si>
  <si>
    <t>420.4-2023-12-31</t>
  </si>
  <si>
    <t>420.4-2024-03-31</t>
  </si>
  <si>
    <t>420.4-2024-06-30</t>
  </si>
  <si>
    <t>420.4-2024-09-30</t>
  </si>
  <si>
    <t>420.4-2024-12-31</t>
  </si>
  <si>
    <t>420.5</t>
  </si>
  <si>
    <t>Cumplimiento Plan Anual Gerencia de estrategia — Planeación estratégica</t>
  </si>
  <si>
    <t>420.5-2023-06-30</t>
  </si>
  <si>
    <t>420.5-2023-09-30</t>
  </si>
  <si>
    <t>420.5-2023-12-31</t>
  </si>
  <si>
    <t>420.5-2024-03-31</t>
  </si>
  <si>
    <t>420.5-2024-06-30</t>
  </si>
  <si>
    <t>420.5-2024-09-30</t>
  </si>
  <si>
    <t>420.5-2024-12-31</t>
  </si>
  <si>
    <t>420.6</t>
  </si>
  <si>
    <t>Cumplimiento Plan Anual Gerencia de estrategia — Estudios Internos</t>
  </si>
  <si>
    <t>420.6-2024-03-31</t>
  </si>
  <si>
    <t>420.6-2024-06-30</t>
  </si>
  <si>
    <t>420.6-2024-09-30</t>
  </si>
  <si>
    <t>420.6-2024-12-31</t>
  </si>
  <si>
    <t>469.1</t>
  </si>
  <si>
    <t>Cumplimiento Plan Anual Áreas sede Medellín — FSCC- DERECHO Y GOBIERNO-DERECHO</t>
  </si>
  <si>
    <t>469.1-2024-03-31</t>
  </si>
  <si>
    <t>469.1-2024-06-30</t>
  </si>
  <si>
    <t>469.1-2024-09-30</t>
  </si>
  <si>
    <t>469.1-2024-12-31</t>
  </si>
  <si>
    <t>469.2</t>
  </si>
  <si>
    <t>Cumplimiento Plan Anual Áreas sede Medellín — FIDI-TIC -INGENIERIA DE SISTEMAS</t>
  </si>
  <si>
    <t>469.2-2024-03-31</t>
  </si>
  <si>
    <t>469.2-2024-06-30</t>
  </si>
  <si>
    <t>469.2-2024-09-30</t>
  </si>
  <si>
    <t>469.2-2024-12-31</t>
  </si>
  <si>
    <t>469.3</t>
  </si>
  <si>
    <t>Cumplimiento Plan Anual Áreas sede Medellín — FIDI-OPINA-INGENIERIA INDUSTRIAL</t>
  </si>
  <si>
    <t>469.3-2024-03-31</t>
  </si>
  <si>
    <t>469.3-2024-06-30</t>
  </si>
  <si>
    <t>469.3-2024-09-30</t>
  </si>
  <si>
    <t>469.3-2024-12-31</t>
  </si>
  <si>
    <t>469.4</t>
  </si>
  <si>
    <t>Cumplimiento Plan Anual Áreas sede Medellín — FNGS-NEG Y DLLO INTER-NEGOCIOS INTERNACIONALES</t>
  </si>
  <si>
    <t>469.4-2024-03-31</t>
  </si>
  <si>
    <t>469.4-2024-06-30</t>
  </si>
  <si>
    <t>469.4-2024-09-30</t>
  </si>
  <si>
    <t>469.4-2024-12-31</t>
  </si>
  <si>
    <t>469.5</t>
  </si>
  <si>
    <t>Cumplimiento Plan Anual Áreas sede Medellín — FSCC- EST.PSIC,TH Y SOC- PSICOLOGIA</t>
  </si>
  <si>
    <t>469.5-2024-03-31</t>
  </si>
  <si>
    <t>469.5-2024-06-30</t>
  </si>
  <si>
    <t>469.5-2024-09-30</t>
  </si>
  <si>
    <t>469.5-2024-12-31</t>
  </si>
  <si>
    <t>469.6</t>
  </si>
  <si>
    <t>Cumplimiento Plan Anual Áreas sede Medellín — FIDI-CIENCIAS BÁSICAS MED</t>
  </si>
  <si>
    <t>469.6-2024-03-31</t>
  </si>
  <si>
    <t>469.6-2024-06-30</t>
  </si>
  <si>
    <t>469.6-2024-09-30</t>
  </si>
  <si>
    <t>469.6-2024-12-31</t>
  </si>
  <si>
    <t>469.7</t>
  </si>
  <si>
    <t>Cumplimiento Plan Anual Áreas sede Medellín — ADMON DE EMPRESAS</t>
  </si>
  <si>
    <t>469.7-2024-03-31</t>
  </si>
  <si>
    <t>469.7-2024-06-30</t>
  </si>
  <si>
    <t>469.7-2024-09-30</t>
  </si>
  <si>
    <t>469.7-2024-12-31</t>
  </si>
  <si>
    <t>469.8</t>
  </si>
  <si>
    <t>Cumplimiento Plan Anual Áreas sede Medellín — FSCC - MARKETING MED</t>
  </si>
  <si>
    <t>469.8-2024-03-31</t>
  </si>
  <si>
    <t>469.8-2024-06-30</t>
  </si>
  <si>
    <t>469.8-2024-09-30</t>
  </si>
  <si>
    <t>469.8-2024-12-31</t>
  </si>
  <si>
    <t>469.9</t>
  </si>
  <si>
    <t>Cumplimiento Plan Anual Áreas sede Medellín — FIDI-DISEÑO-DISEÑO GRAFICO</t>
  </si>
  <si>
    <t>469.9-2024-03-31</t>
  </si>
  <si>
    <t>469.9-2024-06-30</t>
  </si>
  <si>
    <t>469.9-2024-09-30</t>
  </si>
  <si>
    <t>469.9-2024-12-31</t>
  </si>
  <si>
    <t>470.1</t>
  </si>
  <si>
    <t>Cumplimiento plan anual Secretaria académica y de extensión — DIRECTOR EDITORIAL</t>
  </si>
  <si>
    <t>470.1-2024-03-31</t>
  </si>
  <si>
    <t>470.1-2024-06-30</t>
  </si>
  <si>
    <t>470.1-2024-09-30</t>
  </si>
  <si>
    <t>470.1-2024-12-31</t>
  </si>
  <si>
    <t>470.2</t>
  </si>
  <si>
    <t>Cumplimiento plan anual Secretaria académica y de extensión — DIRECTOR CENTRO MEDIOS AUDIOVISUALES</t>
  </si>
  <si>
    <t>470.2-2024-03-31</t>
  </si>
  <si>
    <t>470.2-2024-06-30</t>
  </si>
  <si>
    <t>470.2-2024-09-30</t>
  </si>
  <si>
    <t>470.2-2024-12-31</t>
  </si>
  <si>
    <t>470.3</t>
  </si>
  <si>
    <t>Cumplimiento plan anual Secretaria académica y de extensión — DIRECTOR AGENCIA TROMPO</t>
  </si>
  <si>
    <t>470.3-2024-03-31</t>
  </si>
  <si>
    <t>470.3-2024-06-30</t>
  </si>
  <si>
    <t>470.3-2024-09-30</t>
  </si>
  <si>
    <t>470.3-2024-12-31</t>
  </si>
  <si>
    <t>470.4</t>
  </si>
  <si>
    <t>Cumplimiento plan anual Secretaria académica y de extensión — DIRECTOR DE GRADUADOS Y PROYECCION EMP.</t>
  </si>
  <si>
    <t>470.4-2024-03-31</t>
  </si>
  <si>
    <t>470.4-2024-06-30</t>
  </si>
  <si>
    <t>470.4-2024-09-30</t>
  </si>
  <si>
    <t>470.4-2024-12-31</t>
  </si>
  <si>
    <t>470.5</t>
  </si>
  <si>
    <t>Cumplimiento plan anual Secretaria académica y de extensión — DIRECTOR SISTEMA NACIONAL DE BIBLIOTECAS</t>
  </si>
  <si>
    <t>470.5-2024-03-31</t>
  </si>
  <si>
    <t>470.5-2024-06-30</t>
  </si>
  <si>
    <t>470.5-2024-09-30</t>
  </si>
  <si>
    <t>470.5-2024-12-31</t>
  </si>
  <si>
    <t>471.1</t>
  </si>
  <si>
    <t>Cumplimiento plan anual Gerencia de Talento Humano — DIRECTOR DE BIENESTAR Y RELAC. LABORALES</t>
  </si>
  <si>
    <t>471.1-2024-03-31</t>
  </si>
  <si>
    <t>471.1-2024-06-30</t>
  </si>
  <si>
    <t>471.1-2024-09-30</t>
  </si>
  <si>
    <t>471.1-2024-12-31</t>
  </si>
  <si>
    <t>471.2</t>
  </si>
  <si>
    <t>Cumplimiento plan anual Gerencia de Talento Humano — DIRECTOR DE FORMACION Y DESARROLLO</t>
  </si>
  <si>
    <t>471.2-2024-03-31</t>
  </si>
  <si>
    <t>471.2-2024-06-30</t>
  </si>
  <si>
    <t>471.2-2024-09-30</t>
  </si>
  <si>
    <t>471.2-2024-12-31</t>
  </si>
  <si>
    <t>471.3</t>
  </si>
  <si>
    <t>Cumplimiento plan anual Gerencia de Talento Humano — DIRECTOR DE RELACIONES PUBLICAS Y PROTOC</t>
  </si>
  <si>
    <t>471.3-2024-03-31</t>
  </si>
  <si>
    <t>471.3-2024-06-30</t>
  </si>
  <si>
    <t>471.3-2024-09-30</t>
  </si>
  <si>
    <t>471.3-2024-12-31</t>
  </si>
  <si>
    <t>471.4</t>
  </si>
  <si>
    <t>Cumplimiento plan anual Gerencia de Talento Humano — DIRECTOR DE COMUNICACIONES</t>
  </si>
  <si>
    <t>471.4-2024-03-31</t>
  </si>
  <si>
    <t>471.4-2024-06-30</t>
  </si>
  <si>
    <t>471.4-2024-09-30</t>
  </si>
  <si>
    <t>471.4-2024-12-31</t>
  </si>
  <si>
    <t>471.5</t>
  </si>
  <si>
    <t>Cumplimiento plan anual Gerencia de Talento Humano — DIRECTOR DE ADMON LABORAL Y COMPENSACION</t>
  </si>
  <si>
    <t>471.5-2024-03-31</t>
  </si>
  <si>
    <t>471.5-2024-06-30</t>
  </si>
  <si>
    <t>471.5-2024-09-30</t>
  </si>
  <si>
    <t>471.5-2024-12-31</t>
  </si>
  <si>
    <t>471.6</t>
  </si>
  <si>
    <t>Cumplimiento plan anual Gerencia de Talento Humano — DIRECTOR DE GESTION DE TALENTO</t>
  </si>
  <si>
    <t>471.6-2024-03-31</t>
  </si>
  <si>
    <t>471.6-2024-06-30</t>
  </si>
  <si>
    <t>471.6-2024-09-30</t>
  </si>
  <si>
    <t>471.6-2024-12-31</t>
  </si>
  <si>
    <t>471.7</t>
  </si>
  <si>
    <t>Cumplimiento plan anual Gerencia de Talento Humano — DIRECTOR DE COMUN. EXTERNAS SED MEDELLIN</t>
  </si>
  <si>
    <t>471.7-2024-03-31</t>
  </si>
  <si>
    <t>471.7-2024-06-30</t>
  </si>
  <si>
    <t>471.7-2024-09-30</t>
  </si>
  <si>
    <t>471.7-2024-12-31</t>
  </si>
  <si>
    <t>PRY-25</t>
  </si>
  <si>
    <t>Acreditación Institucional fase III Etapa de evaluación externa o evaluación por pares</t>
  </si>
  <si>
    <t>PRY-26</t>
  </si>
  <si>
    <t>Fortalecimiento de la investigación, la innovación y la creación</t>
  </si>
  <si>
    <t>PRY-27</t>
  </si>
  <si>
    <t>Fortalecimiento de planta docente</t>
  </si>
  <si>
    <t>PRY-28</t>
  </si>
  <si>
    <t>Plataforma Tecnologica de Gestión de información Curricular</t>
  </si>
  <si>
    <t>PRY-29</t>
  </si>
  <si>
    <t>Actualización de TRD y creación del Plan de Gestión documental</t>
  </si>
  <si>
    <t>PRY-30</t>
  </si>
  <si>
    <t>ADN POLI</t>
  </si>
  <si>
    <t>PRY-31</t>
  </si>
  <si>
    <t>Gobierno de datos</t>
  </si>
  <si>
    <t>PRY-32</t>
  </si>
  <si>
    <t>Herramientas de Gestión para el mejoramiento continuo</t>
  </si>
  <si>
    <t>PRY-34</t>
  </si>
  <si>
    <t>Reingenieria de aplicaciones</t>
  </si>
  <si>
    <t>PRY-35</t>
  </si>
  <si>
    <t>SOPHIA Sistema de Optimización y Programación Horaria Institucional  Académica  I Fase</t>
  </si>
  <si>
    <t>PRY-36</t>
  </si>
  <si>
    <t>PRY-38</t>
  </si>
  <si>
    <t>Proyecto de Permanencia institucional</t>
  </si>
  <si>
    <t>PRY-40</t>
  </si>
  <si>
    <t>Modelo de seguimiento al graduado</t>
  </si>
  <si>
    <t>PRY-42</t>
  </si>
  <si>
    <t>Titulación Autogestionada</t>
  </si>
  <si>
    <t>PRY-43</t>
  </si>
  <si>
    <t>Sistema de medición de resultados de aprendizaje</t>
  </si>
  <si>
    <t>PRY-51</t>
  </si>
  <si>
    <t>Adecuaciones campus principal</t>
  </si>
  <si>
    <t>PRY-52</t>
  </si>
  <si>
    <t>Implementación reforma Curricular</t>
  </si>
  <si>
    <t>PRY-53</t>
  </si>
  <si>
    <t>Optimización SEO AEO Captación</t>
  </si>
  <si>
    <t>PRY-54</t>
  </si>
  <si>
    <t>Sistematización proceso de la ORII</t>
  </si>
  <si>
    <t>Periodo</t>
  </si>
  <si>
    <t>DIRECCIONAMIENTO ESTRATÉGICO</t>
  </si>
  <si>
    <t>108-2023-12-31</t>
  </si>
  <si>
    <t>108-2024-12-31</t>
  </si>
  <si>
    <t>COMUNICACIÓN Y POSICIONAMIENTO ESTRATÉGICO</t>
  </si>
  <si>
    <t>109-2023-12-31</t>
  </si>
  <si>
    <t>109-2024-12-31</t>
  </si>
  <si>
    <t>GESTIÓN FINANCIERA</t>
  </si>
  <si>
    <t>110-2024-12-31</t>
  </si>
  <si>
    <t>111-2022-12-31</t>
  </si>
  <si>
    <t>112-2023-12-31</t>
  </si>
  <si>
    <t>112-2024-12-31</t>
  </si>
  <si>
    <t>115-2024-12-31</t>
  </si>
  <si>
    <t>117-2024-12-31</t>
  </si>
  <si>
    <t>150-2024-12-31</t>
  </si>
  <si>
    <t>151-2023-12-31</t>
  </si>
  <si>
    <t>151-2024-12-31</t>
  </si>
  <si>
    <t>174-2024-06-30</t>
  </si>
  <si>
    <t>174-2024-12-31</t>
  </si>
  <si>
    <t>176-2024-12-31</t>
  </si>
  <si>
    <t>Linea base</t>
  </si>
  <si>
    <t>205-2022-12-30</t>
  </si>
  <si>
    <t>Aporte de los Procesos a los Objetivos de Desarrollo Sostenible</t>
  </si>
  <si>
    <t>210-2023-12-31</t>
  </si>
  <si>
    <t>Cumplimiento a cronograma de proyectos</t>
  </si>
  <si>
    <t>259-2023-12-31</t>
  </si>
  <si>
    <t>Satisfacción procesos de Homologaciones</t>
  </si>
  <si>
    <t>267-2023-12-31</t>
  </si>
  <si>
    <t>279-2023-12-31</t>
  </si>
  <si>
    <t>289-2023-03-31</t>
  </si>
  <si>
    <t>289-2023-12-31</t>
  </si>
  <si>
    <t>Participación en Actividades deportivas presenciales</t>
  </si>
  <si>
    <t>315-2023-12-31</t>
  </si>
  <si>
    <t>Num de programas con convenios de doble titulación</t>
  </si>
  <si>
    <t>315-2024-06-30</t>
  </si>
  <si>
    <t>315-2024-12-31</t>
  </si>
  <si>
    <t>Número de redes de investigación</t>
  </si>
  <si>
    <t>349-2023-12-31</t>
  </si>
  <si>
    <t>Centros de investigación, ciencia y de apoyo a CTI en consolidación</t>
  </si>
  <si>
    <t>350-2023-12-31</t>
  </si>
  <si>
    <t>Porcentaje Iniciativas aprobadas</t>
  </si>
  <si>
    <t>359-2023-12-31</t>
  </si>
  <si>
    <t>Inclusión</t>
  </si>
  <si>
    <t>Operaciones Académica pregrado y posgrado presencial.</t>
  </si>
  <si>
    <t>Operaciones Académica pregrado y posgrado virtual</t>
  </si>
  <si>
    <t>363-2023-06-30</t>
  </si>
  <si>
    <t>370-2023-12-31</t>
  </si>
  <si>
    <t>396-2023-06-30</t>
  </si>
  <si>
    <t>396-2024-12-31</t>
  </si>
  <si>
    <t>406-2024-12-31</t>
  </si>
  <si>
    <t>407-2024-06-30</t>
  </si>
  <si>
    <t>407-2024-12-31</t>
  </si>
  <si>
    <t>410-2023-12-31</t>
  </si>
  <si>
    <t>411-2023-06-30</t>
  </si>
  <si>
    <t>419-2023-03-31</t>
  </si>
  <si>
    <t>Generación de Residuos Peligroso Mensual</t>
  </si>
  <si>
    <t>444-2024-06-30</t>
  </si>
  <si>
    <t>449-2024-06-30</t>
  </si>
  <si>
    <t>454-2024-06-30</t>
  </si>
  <si>
    <t>455-2024-06-30</t>
  </si>
  <si>
    <t>459-2024-12-31</t>
  </si>
  <si>
    <t>489-2024-06-30</t>
  </si>
  <si>
    <t>Llave</t>
  </si>
  <si>
    <t>Nivel de Satisfacción -Comunicaciones internas</t>
  </si>
  <si>
    <t>Porcentaje de cumplimiento del Acuerdo de Nivel de Servicio (ANS)</t>
  </si>
  <si>
    <t>Innovación curricular - Fase I</t>
  </si>
  <si>
    <t>Avance</t>
  </si>
  <si>
    <t>Plan Talento</t>
  </si>
  <si>
    <t>Nuevo POLISIGS</t>
  </si>
  <si>
    <t>Certificación SGA sede los Colores</t>
  </si>
  <si>
    <t>Gestión ambiental</t>
  </si>
  <si>
    <t>Equidad de Genero</t>
  </si>
  <si>
    <t>Portal Universitario</t>
  </si>
  <si>
    <t>Data Lake Institucional</t>
  </si>
  <si>
    <t>Monarca - Ecosistema Banner</t>
  </si>
  <si>
    <t>Acreditación Institucional Sede Bogotá - Fase II - Condiciones iniciales</t>
  </si>
  <si>
    <t>Creación del Instituto de Educación para el trabajo y el desarrollo humano - Stand By</t>
  </si>
  <si>
    <t>Creación del colegio de educación media virtual  - Stand By</t>
  </si>
  <si>
    <t>Diseño del Modelo de Experiencia Institucional - Fase 2</t>
  </si>
  <si>
    <t>Lanzamiento de nuevos programas presencial</t>
  </si>
  <si>
    <t>Lanzamiento de nuevos programas virtual</t>
  </si>
  <si>
    <t>Inversión en CAPEX de la utilidad anterior (veces)</t>
  </si>
  <si>
    <t>% Programas acreditables acreditados Sede Bogotá</t>
  </si>
  <si>
    <t>Experiencia Institucional - Fase 3- Hub de experiencia</t>
  </si>
  <si>
    <t>Centro de Idiomas Fase I - Stand By</t>
  </si>
  <si>
    <t>CREA Centro de Recursos y Experiencias para el aprendizaje - Fase de Adecuación</t>
  </si>
  <si>
    <t>Migración modelo de transporte rotativo</t>
  </si>
  <si>
    <t>Ecosistema E3</t>
  </si>
  <si>
    <t>Habilidades Poderosas</t>
  </si>
  <si>
    <t>Ser PRO</t>
  </si>
  <si>
    <t>Cultura de una buena docencia</t>
  </si>
  <si>
    <t>Proyecto Silver</t>
  </si>
  <si>
    <t>10.1</t>
  </si>
  <si>
    <t>Acreditación Institucional Sede Bogotá - Fase I</t>
  </si>
  <si>
    <t>11.1</t>
  </si>
  <si>
    <t xml:space="preserve"> Número de programas registrados en la SED</t>
  </si>
  <si>
    <t>13.1</t>
  </si>
  <si>
    <t>Diseño del Modelo de Experiencia Institucional - Fase 1</t>
  </si>
  <si>
    <t>386.1</t>
  </si>
  <si>
    <t>B2B</t>
  </si>
  <si>
    <t>386.2</t>
  </si>
  <si>
    <t>Total Ingresos B2G</t>
  </si>
  <si>
    <t>386.3</t>
  </si>
  <si>
    <t>Otros ingresos (Cursos -Opciones de grado)</t>
  </si>
  <si>
    <t>Prov-1</t>
  </si>
  <si>
    <t xml:space="preserve">Valor académico agregado </t>
  </si>
  <si>
    <t>Prov-2</t>
  </si>
  <si>
    <t>Aporte relativo</t>
  </si>
  <si>
    <t>Catalogo de recursos virtuales</t>
  </si>
  <si>
    <t>Acreditación Institucional  Fase III - Etapa de evaluación externa</t>
  </si>
  <si>
    <t>Fortalecimiento de la investigacion, la innovación y la creación</t>
  </si>
  <si>
    <t>Plataforma de gestión de la información curricular Fase I</t>
  </si>
  <si>
    <t>Actualización de TRD y creación del Plan de gestión documental</t>
  </si>
  <si>
    <t>ADN Poli</t>
  </si>
  <si>
    <t>Proyectos Ilumno Self Service S&amp;P</t>
  </si>
  <si>
    <t>Reingenia de aplicaciones</t>
  </si>
  <si>
    <t>SOPHIA Sistema de optimización y programación horaria institucional</t>
  </si>
  <si>
    <t>Prime</t>
  </si>
  <si>
    <t>Hubspot CRM</t>
  </si>
  <si>
    <t>Proyecto de permanencia institucional</t>
  </si>
  <si>
    <t>Pricing</t>
  </si>
  <si>
    <t>Centro Gastronómico</t>
  </si>
  <si>
    <t>Serie Unica</t>
  </si>
  <si>
    <t>Multiserie</t>
  </si>
  <si>
    <t>Base a generar</t>
  </si>
  <si>
    <t>Hoja a actualizar</t>
  </si>
  <si>
    <t>Fuente</t>
  </si>
  <si>
    <t>Variable</t>
  </si>
  <si>
    <t>Tipo 1 (Generales)</t>
  </si>
  <si>
    <t>Tipo 2 (Desglose de Variables)</t>
  </si>
  <si>
    <t>Tipo 2 (Desglose de Series)</t>
  </si>
  <si>
    <t>Resultados Consolidado</t>
  </si>
  <si>
    <t>Consolidado Historico</t>
  </si>
  <si>
    <t>Consolidado_API_Kawak.xlsx</t>
  </si>
  <si>
    <t>Meta / Cumplimiento en caso de que meta este vacio</t>
  </si>
  <si>
    <t>Valor de variable Meta</t>
  </si>
  <si>
    <t>Valor de series (Acumulado, Promedio, Cierre) Meta</t>
  </si>
  <si>
    <t>Ejecución</t>
  </si>
  <si>
    <t>Resultado</t>
  </si>
  <si>
    <t>Valor de variable Ejecución</t>
  </si>
  <si>
    <t>Valor de series (Acumulado, Promedio, Cierre) Ejecución</t>
  </si>
  <si>
    <t>Observación</t>
  </si>
  <si>
    <t>Extracción directa de la información</t>
  </si>
  <si>
    <t>Se debe validar el indicador en la Hoja Variables Columna Campo para identificar la Variable Meta y la Variable Ejecución  si es informativo extraer de forma general</t>
  </si>
  <si>
    <t>Se debe validar el indicador en la Hoja Catalogo Indicadores - Tipo de calculo</t>
  </si>
  <si>
    <t>Consolidado Semestral</t>
  </si>
  <si>
    <t>Buscar en el catalogo de indicadores la columna TipoCalculo e identificar si la variable Meta es acumulado (Suma), Cierre, Promedio por semestre</t>
  </si>
  <si>
    <t>Buscar en el catalogo de indicadores la columna TipoCalculo e identificar si la variable Ejecución es acumulado (Suma), Cierre, Promedio por semestre</t>
  </si>
  <si>
    <t>Consolidado Cierre</t>
  </si>
  <si>
    <t>Buscar en el catalogo de indicadores la columna TipoCalculo e identificar si la variable Meta es acumulado (Suma), Cierre, Promedio por año</t>
  </si>
  <si>
    <t>Buscar en el catalogo de indicadores la columna TipoCalculo e identificar si la variable Ejecución es acumulado (Suma), Cierre, Promedio por año</t>
  </si>
  <si>
    <t>var_simbolo</t>
  </si>
  <si>
    <t>var_nombre</t>
  </si>
  <si>
    <t>Campo</t>
  </si>
  <si>
    <t>PDST</t>
  </si>
  <si>
    <t>Promedio Disponilidad de los Servicios de TI</t>
  </si>
  <si>
    <t>GRNA</t>
  </si>
  <si>
    <t>Gasto real nómina acumulado</t>
  </si>
  <si>
    <t>GPNA</t>
  </si>
  <si>
    <t>Gasto planeado Nómina acumulado</t>
  </si>
  <si>
    <t>GRNHOY</t>
  </si>
  <si>
    <t>Gasto real  de nómina periodo actual</t>
  </si>
  <si>
    <t>GPNHOY</t>
  </si>
  <si>
    <t>Gasto planeado Nómina periodo actual</t>
  </si>
  <si>
    <t>NAPM</t>
  </si>
  <si>
    <t>Numero de accidentes de trabajo que se presentaron en el mes</t>
  </si>
  <si>
    <t>Informativo</t>
  </si>
  <si>
    <t>NTM</t>
  </si>
  <si>
    <t>Numero de trabajadores en el mes</t>
  </si>
  <si>
    <t>NDIAM</t>
  </si>
  <si>
    <t>Numero de días de incapacidad por accidente de trabajo en el mes</t>
  </si>
  <si>
    <t>NDCM</t>
  </si>
  <si>
    <t>Numero de días cargados en el mes</t>
  </si>
  <si>
    <t>NDAILM</t>
  </si>
  <si>
    <t>Numero de días de ausencia por incapacidad laboral o común en el mes</t>
  </si>
  <si>
    <t>NDTPM</t>
  </si>
  <si>
    <t>Número de días de trabajo programado en el mes</t>
  </si>
  <si>
    <t>aep</t>
  </si>
  <si>
    <t>total actividades ejecutadas en el periodo</t>
  </si>
  <si>
    <t>agcp</t>
  </si>
  <si>
    <t>actividades planeadas en el periodo</t>
  </si>
  <si>
    <t>TSDIP</t>
  </si>
  <si>
    <t>Total solicitudes documentales implementadas por periodo</t>
  </si>
  <si>
    <t>TSDPP</t>
  </si>
  <si>
    <t>Total solicitudes documentales por periodo</t>
  </si>
  <si>
    <t>SAB</t>
  </si>
  <si>
    <t>Resultado promedio satisfacción de actividades de bienestar</t>
  </si>
  <si>
    <t>NPCp</t>
  </si>
  <si>
    <t>Nivel de participación en las capacitaciones</t>
  </si>
  <si>
    <t>ICC</t>
  </si>
  <si>
    <t>Índice de contribución de las capacitaciones</t>
  </si>
  <si>
    <t>ESF</t>
  </si>
  <si>
    <t>Evaluación de la satisfacción del formador</t>
  </si>
  <si>
    <t>SC&amp;lt;=10</t>
  </si>
  <si>
    <t>Total de solicitudes de compra NO licitadas con tiempo de respuesta &amp;lt;= 10 dias</t>
  </si>
  <si>
    <t>TS</t>
  </si>
  <si>
    <t>Total solicitudes de compra no licitadas</t>
  </si>
  <si>
    <t>MtE</t>
  </si>
  <si>
    <t>Mantenimientos ejecutados</t>
  </si>
  <si>
    <t>MtP</t>
  </si>
  <si>
    <t>Mantenimientos Planeados</t>
  </si>
  <si>
    <t>PEP</t>
  </si>
  <si>
    <t>Promedio Evaluación de Proveedor</t>
  </si>
  <si>
    <t>TPCA</t>
  </si>
  <si>
    <t>Numero de días promedio entre Fecha de inicio del proceso de selección y Fecha de contratación final</t>
  </si>
  <si>
    <t>NCP&amp;gt;6</t>
  </si>
  <si>
    <t>Número de contrataciones exitosas mayores a 6 meses</t>
  </si>
  <si>
    <t>NCC</t>
  </si>
  <si>
    <t>Numero total de cargos contratados</t>
  </si>
  <si>
    <t>IR</t>
  </si>
  <si>
    <t>N° investigaciones realizadas</t>
  </si>
  <si>
    <t>NR</t>
  </si>
  <si>
    <t>N° reportes registrados</t>
  </si>
  <si>
    <t>TIR</t>
  </si>
  <si>
    <t>Total inspecciones realizadas</t>
  </si>
  <si>
    <t>TIP</t>
  </si>
  <si>
    <t>Total inspecciones planeadas</t>
  </si>
  <si>
    <t>PA</t>
  </si>
  <si>
    <t>Proyectos activos</t>
  </si>
  <si>
    <t>SI</t>
  </si>
  <si>
    <t>Semilleros de investigación</t>
  </si>
  <si>
    <t>PAc</t>
  </si>
  <si>
    <t>Programas académicos de pregrado</t>
  </si>
  <si>
    <t>TDVI</t>
  </si>
  <si>
    <t>Total de docentes vinculados a investigación</t>
  </si>
  <si>
    <t>TDVIE</t>
  </si>
  <si>
    <t>Total de docentes vinculados a investigación esperados</t>
  </si>
  <si>
    <t>EVI</t>
  </si>
  <si>
    <t>TEM</t>
  </si>
  <si>
    <t>Total estudiantes matriculados</t>
  </si>
  <si>
    <t>NSED</t>
  </si>
  <si>
    <t>NPIIC</t>
  </si>
  <si>
    <t>Número Productos de investigación, innovación y creación</t>
  </si>
  <si>
    <t>PF</t>
  </si>
  <si>
    <t>Proyectos asociados</t>
  </si>
  <si>
    <t>NSGAB</t>
  </si>
  <si>
    <t>Nivel de satisfacción Gestión Abastecimiento</t>
  </si>
  <si>
    <t>NSGI</t>
  </si>
  <si>
    <t>Nivel de satisfacción Gestión Infraestructura</t>
  </si>
  <si>
    <t>NSGHM</t>
  </si>
  <si>
    <t>Nivel de satisfacción Gestión Humana</t>
  </si>
  <si>
    <t>NSTI</t>
  </si>
  <si>
    <t>Nivel de Satisfacción Gestión de Recursos Tecnológicos</t>
  </si>
  <si>
    <t>NS SST</t>
  </si>
  <si>
    <t>Nivel de Satisfacción Gestión SST</t>
  </si>
  <si>
    <t>NSGA</t>
  </si>
  <si>
    <t>Nivel de Satisfacción Gestión Ambiental</t>
  </si>
  <si>
    <t>NSGC</t>
  </si>
  <si>
    <t>Nivel de Satisfacción Gestión de Calidad</t>
  </si>
  <si>
    <t>NSI</t>
  </si>
  <si>
    <t>Nivel de Satisfacción Internacionalización</t>
  </si>
  <si>
    <t>NSGINV</t>
  </si>
  <si>
    <t>NSBI</t>
  </si>
  <si>
    <t>NRR</t>
  </si>
  <si>
    <t>N° de reuniones realizadas</t>
  </si>
  <si>
    <t>TRP</t>
  </si>
  <si>
    <t>Total de reuniones programadas en la vigencia</t>
  </si>
  <si>
    <t>SCPE</t>
  </si>
  <si>
    <t>N° de sedes con plan de emergencia</t>
  </si>
  <si>
    <t>NTS</t>
  </si>
  <si>
    <t>Total de sedes</t>
  </si>
  <si>
    <t>SIV</t>
  </si>
  <si>
    <t>Sumatoria de porcentajes de los ítems evaluados</t>
  </si>
  <si>
    <t>AD</t>
  </si>
  <si>
    <t>N° de actividades desarrolladas en el periodo</t>
  </si>
  <si>
    <t>APP</t>
  </si>
  <si>
    <t>N° actividades propuestas en el periodo</t>
  </si>
  <si>
    <t>NC</t>
  </si>
  <si>
    <t>N° Capacitaciones</t>
  </si>
  <si>
    <t>TCP</t>
  </si>
  <si>
    <t>Total de capacitaciones programados</t>
  </si>
  <si>
    <t>NSR</t>
  </si>
  <si>
    <t>N° de simulacros realizados</t>
  </si>
  <si>
    <t>NSP</t>
  </si>
  <si>
    <t>N° de simulacros programados</t>
  </si>
  <si>
    <t>TC</t>
  </si>
  <si>
    <t>N° trabajadores capacitados</t>
  </si>
  <si>
    <t>TP</t>
  </si>
  <si>
    <t>Total de trabajadores programados</t>
  </si>
  <si>
    <t>ER</t>
  </si>
  <si>
    <t>N° evaluaciones realizadas en el periodo</t>
  </si>
  <si>
    <t>NT</t>
  </si>
  <si>
    <t>N° de trabajadores</t>
  </si>
  <si>
    <t>TEPPE</t>
  </si>
  <si>
    <t>Total EPP entregados</t>
  </si>
  <si>
    <t>TEPPR</t>
  </si>
  <si>
    <t>Total EPP requeridos</t>
  </si>
  <si>
    <t>CMRL</t>
  </si>
  <si>
    <t>% cumplimiento matriz de requisitos legales</t>
  </si>
  <si>
    <t>NAT</t>
  </si>
  <si>
    <t>Numero de accidentes de trabajo</t>
  </si>
  <si>
    <t>PT</t>
  </si>
  <si>
    <t>Promedio de trabajadores</t>
  </si>
  <si>
    <t>NAMP</t>
  </si>
  <si>
    <t>Número de accidentes de trabajo mortales que se presentaron en el año</t>
  </si>
  <si>
    <t>TATP</t>
  </si>
  <si>
    <t>Total de accidentes de trabajo que se presentaron en el año</t>
  </si>
  <si>
    <t>NCNAELP</t>
  </si>
  <si>
    <t>Número de casos nuevos y antiguos de enfermedad laboral en el periodo</t>
  </si>
  <si>
    <t>PTP</t>
  </si>
  <si>
    <t>Promedio de trabajadores en el periodo</t>
  </si>
  <si>
    <t>NCNELP</t>
  </si>
  <si>
    <t>Numero de casos nuevos de enfermedad laboral en el periodo</t>
  </si>
  <si>
    <t>NGRC</t>
  </si>
  <si>
    <t>Número de grupos reconocidos o categorizados</t>
  </si>
  <si>
    <t>TG</t>
  </si>
  <si>
    <t>Total de grupos</t>
  </si>
  <si>
    <t>PEC</t>
  </si>
  <si>
    <t>Promedio efectividad de las capacitaciones</t>
  </si>
  <si>
    <t>RNGM</t>
  </si>
  <si>
    <t>Ranking nacional de campus verdes y sostenibilidad ambiental   GreenMetric</t>
  </si>
  <si>
    <t>NATMPA</t>
  </si>
  <si>
    <t>N accidentes de trabajo mortales que se presentaron en el año</t>
  </si>
  <si>
    <t>TATPA</t>
  </si>
  <si>
    <t>R360</t>
  </si>
  <si>
    <t>Resultado Evaluación 360</t>
  </si>
  <si>
    <t>NPFIC</t>
  </si>
  <si>
    <t>No Proyectos con fase de inicio completa</t>
  </si>
  <si>
    <t>NPEE</t>
  </si>
  <si>
    <t>No Proyectos en ejecución</t>
  </si>
  <si>
    <t>CEMAA</t>
  </si>
  <si>
    <t>Correos Electrónicos de Materia Ambiental Abiertos</t>
  </si>
  <si>
    <t>TCEMAE</t>
  </si>
  <si>
    <t>Total de Correos Electrónicos de Materia Ambiental Enviados</t>
  </si>
  <si>
    <t>VPMAING</t>
  </si>
  <si>
    <t>Visualizaciones de las Publicaciones en Materia Ambiental en Instagram (medido 15 días después de cada campaña)</t>
  </si>
  <si>
    <t>PMAING</t>
  </si>
  <si>
    <t>Publicaciones en Materia Ambiental en Instagram</t>
  </si>
  <si>
    <t>PFCE</t>
  </si>
  <si>
    <t>No Proyectos finalizados con evidencias</t>
  </si>
  <si>
    <t>NPF</t>
  </si>
  <si>
    <t>No Proyectos finalizados</t>
  </si>
  <si>
    <t>NARPRO</t>
  </si>
  <si>
    <t>Número de áreas con reporte de plan de retos realizado oportunamente</t>
  </si>
  <si>
    <t>NAPRD</t>
  </si>
  <si>
    <t>Número de áreas con Plan de retos definido</t>
  </si>
  <si>
    <t>PST</t>
  </si>
  <si>
    <t>PQRS solucionadas a tiempo</t>
  </si>
  <si>
    <t>PR</t>
  </si>
  <si>
    <t>PQRS Radicadas</t>
  </si>
  <si>
    <t>NPECJT</t>
  </si>
  <si>
    <t>N de productos de emisión de conceptos jurídicos a tiempo</t>
  </si>
  <si>
    <t>NPECJR</t>
  </si>
  <si>
    <t>N de productos de emisión de conceptos jurídicos radicados</t>
  </si>
  <si>
    <t>NCETD</t>
  </si>
  <si>
    <t>N de contratos elaborados en los tiempos definidos</t>
  </si>
  <si>
    <t>NSECR</t>
  </si>
  <si>
    <t>N de solicitudes de elaboración de contratos radicados</t>
  </si>
  <si>
    <t>NIE</t>
  </si>
  <si>
    <t># Inspecciones ejecutadas</t>
  </si>
  <si>
    <t>NIP</t>
  </si>
  <si>
    <t># Inspecciones planeadas</t>
  </si>
  <si>
    <t>AEPTSG</t>
  </si>
  <si>
    <t>Actividades ejecutadas plan de trabajo SG</t>
  </si>
  <si>
    <t>APPTSG</t>
  </si>
  <si>
    <t>Actividades planeadas plan de trabajo SG</t>
  </si>
  <si>
    <t>LANM45</t>
  </si>
  <si>
    <t>Legalizaciones y anticipos no mayores a 45 días</t>
  </si>
  <si>
    <t>FPEC</t>
  </si>
  <si>
    <t>Facturación de proveedores expedientes cargados</t>
  </si>
  <si>
    <t>FPECO</t>
  </si>
  <si>
    <t>Facturación de proveedores expedientes contabilizados</t>
  </si>
  <si>
    <t>PCNM180</t>
  </si>
  <si>
    <t>Partidas conciliatorias mayores a 180 días dependiendo de la tipología</t>
  </si>
  <si>
    <t>TPC</t>
  </si>
  <si>
    <t>Total Partidas conciliatorias</t>
  </si>
  <si>
    <t>NFCE</t>
  </si>
  <si>
    <t>N Facturas con error</t>
  </si>
  <si>
    <t>NFE</t>
  </si>
  <si>
    <t>N Facturas emitidas</t>
  </si>
  <si>
    <t>NPMCTR</t>
  </si>
  <si>
    <t>Número de publicaciones en medios de comunicación Tier 1 y Tier 2 realizadas</t>
  </si>
  <si>
    <t>NPMCTP</t>
  </si>
  <si>
    <t>Número de publicaciones en medios de comunicación Tier 1 y Tier 2 propuestas</t>
  </si>
  <si>
    <t>NPMCMTR</t>
  </si>
  <si>
    <t>Número de publicaciones en medios de comunicación Tier 1 y Tier 2 de la región Antioquia realizadas</t>
  </si>
  <si>
    <t>NPMCTAP</t>
  </si>
  <si>
    <t>Número de publicaciones en medios de comunicación Tier 1 y Tier 2 de la región Antioquia propuestas</t>
  </si>
  <si>
    <t>NSAI</t>
  </si>
  <si>
    <t>Nivel de Satisfacción Gestión de Auditoría Interna</t>
  </si>
  <si>
    <t>TCRDANS</t>
  </si>
  <si>
    <t>Total de casos resueltos dentro del ANS</t>
  </si>
  <si>
    <t>TCC</t>
  </si>
  <si>
    <t>Total de casos creados</t>
  </si>
  <si>
    <t>TCEP</t>
  </si>
  <si>
    <t>Total Caja ejecutado</t>
  </si>
  <si>
    <t>TCPS</t>
  </si>
  <si>
    <t>Total Caja Presupuestado</t>
  </si>
  <si>
    <t>UNE</t>
  </si>
  <si>
    <t>Utilidad neta ejecutada</t>
  </si>
  <si>
    <t>UNP</t>
  </si>
  <si>
    <t>Utilidad neta presupuestada</t>
  </si>
  <si>
    <t>PEJE</t>
  </si>
  <si>
    <t>Presupuesto Ejecutado</t>
  </si>
  <si>
    <t>PDEF</t>
  </si>
  <si>
    <t>Presupuesto definido</t>
  </si>
  <si>
    <t>EFMAEJ</t>
  </si>
  <si>
    <t>Eventos de Formaciones en Materia Ambiental Ejecutados</t>
  </si>
  <si>
    <t>EFMAPL</t>
  </si>
  <si>
    <t>Eventos de Formaciones en Materia Ambiental Planificado</t>
  </si>
  <si>
    <t>PAEFMA</t>
  </si>
  <si>
    <t>Personas que Asistieron a los Eventos de Formación en Materia Ambiental</t>
  </si>
  <si>
    <t>TPCEFMA</t>
  </si>
  <si>
    <t>Total de Personas Citadas o Esperadas en los eventos de Formación en Materia Ambiental</t>
  </si>
  <si>
    <t>CMAEJ</t>
  </si>
  <si>
    <t>Comunicaciones en Materia Ambiental Ejecutadas</t>
  </si>
  <si>
    <t>CMAPL</t>
  </si>
  <si>
    <t>Comunicaciones en Materia Ambiental Planificadas</t>
  </si>
  <si>
    <t>TPE</t>
  </si>
  <si>
    <t>Tasa de permanencia esperada</t>
  </si>
  <si>
    <t>TPR</t>
  </si>
  <si>
    <t>Tasa de permanencia real del periodo</t>
  </si>
  <si>
    <t>TPIE</t>
  </si>
  <si>
    <t>Tasa de permanencia ingresantes esperada</t>
  </si>
  <si>
    <t>TPIR</t>
  </si>
  <si>
    <t>Tasa de permanencia ingresantes real periodo</t>
  </si>
  <si>
    <t>NPIA</t>
  </si>
  <si>
    <t>Nuevas publicaciones incluidas en el año</t>
  </si>
  <si>
    <t>MPPP</t>
  </si>
  <si>
    <t>Meta de publicaciones por periodo</t>
  </si>
  <si>
    <t>CESREM</t>
  </si>
  <si>
    <t>CES Rematricula</t>
  </si>
  <si>
    <t>CESSP</t>
  </si>
  <si>
    <t>CES Saber Pro</t>
  </si>
  <si>
    <t>NAAC</t>
  </si>
  <si>
    <t>N de actos administrativos condenatorios</t>
  </si>
  <si>
    <t>NPEC</t>
  </si>
  <si>
    <t>N Procesos en curso</t>
  </si>
  <si>
    <t>NUA</t>
  </si>
  <si>
    <t>Número de usuarios atendidos</t>
  </si>
  <si>
    <t>NPA</t>
  </si>
  <si>
    <t>N de personas asignadas</t>
  </si>
  <si>
    <t>NDER</t>
  </si>
  <si>
    <t>N de eventos realizados</t>
  </si>
  <si>
    <t>NHU</t>
  </si>
  <si>
    <t>N de horas utilizadas</t>
  </si>
  <si>
    <t>NERS</t>
  </si>
  <si>
    <t>NHS</t>
  </si>
  <si>
    <t>NSE</t>
  </si>
  <si>
    <t>N de solicitudes ejecutadas</t>
  </si>
  <si>
    <t>NPCI</t>
  </si>
  <si>
    <t>Número de programas con informe</t>
  </si>
  <si>
    <t>NPIP</t>
  </si>
  <si>
    <t>Número de programas proyectados</t>
  </si>
  <si>
    <t>NE</t>
  </si>
  <si>
    <t>Número de Estudiantes</t>
  </si>
  <si>
    <t>NDTC</t>
  </si>
  <si>
    <t>Número Docentes Tiempo completo</t>
  </si>
  <si>
    <t>NDTCE</t>
  </si>
  <si>
    <t>Número Docentes Tiempo Completo Equivalente</t>
  </si>
  <si>
    <t>NDE</t>
  </si>
  <si>
    <t>Número Docentes Evaluados</t>
  </si>
  <si>
    <t>NDC</t>
  </si>
  <si>
    <t>Número Docentes Contratados</t>
  </si>
  <si>
    <t>PIED</t>
  </si>
  <si>
    <t>Promedio institucional evaluación docente</t>
  </si>
  <si>
    <t>NDPTA</t>
  </si>
  <si>
    <t>Número Docentes con plan de trabajo asignado</t>
  </si>
  <si>
    <t>NDCTC</t>
  </si>
  <si>
    <t>Número Docentes contratados tiempo completo</t>
  </si>
  <si>
    <t>NIAS</t>
  </si>
  <si>
    <t>N impactos en actividades de salud del periodo</t>
  </si>
  <si>
    <t>NIACE</t>
  </si>
  <si>
    <t>N impactos en actividades en salud esperados</t>
  </si>
  <si>
    <t>NPR</t>
  </si>
  <si>
    <t>Número de programas con renovación aprobada por el MEN</t>
  </si>
  <si>
    <t>NPP</t>
  </si>
  <si>
    <t>Número de programas proyectados para renovación</t>
  </si>
  <si>
    <t>NPNR</t>
  </si>
  <si>
    <t>Número de programas nuevos radicados</t>
  </si>
  <si>
    <t>NPPE</t>
  </si>
  <si>
    <t>Número de programas en proceso de elaboración</t>
  </si>
  <si>
    <t>PMEN</t>
  </si>
  <si>
    <t>Número de programas aprobados por MEN</t>
  </si>
  <si>
    <t>NPTR</t>
  </si>
  <si>
    <t>Número de programas en trámite</t>
  </si>
  <si>
    <t>NPOAPPA</t>
  </si>
  <si>
    <t>Numero de programas con obtención de acreditación por primera vez aprobados</t>
  </si>
  <si>
    <t>NPOAPPL</t>
  </si>
  <si>
    <t>Número de programas con obtención de acreditación por primera vez planeados</t>
  </si>
  <si>
    <t>PROTA</t>
  </si>
  <si>
    <t>% de rotación</t>
  </si>
  <si>
    <t>NPRA</t>
  </si>
  <si>
    <t>Número de programas con renovación de acreditación</t>
  </si>
  <si>
    <t>NPPR</t>
  </si>
  <si>
    <t>Número de programas previstos para renovar AC</t>
  </si>
  <si>
    <t>NPAMEN</t>
  </si>
  <si>
    <t>NPTRA</t>
  </si>
  <si>
    <t>MTAH</t>
  </si>
  <si>
    <t>Monto total ahorrado en el proceso de abastecimiento</t>
  </si>
  <si>
    <t>MTAP</t>
  </si>
  <si>
    <t>Monto total ahorrado propuesto en el proceso de abastecimiento</t>
  </si>
  <si>
    <t>TCINR</t>
  </si>
  <si>
    <t>Total colaboradores inducción realizada</t>
  </si>
  <si>
    <t>TCNV</t>
  </si>
  <si>
    <t>Total colaboradores nuevos</t>
  </si>
  <si>
    <t>PAST</t>
  </si>
  <si>
    <t>Pasivo total</t>
  </si>
  <si>
    <t>ACTTO</t>
  </si>
  <si>
    <t>Activo Total</t>
  </si>
  <si>
    <t>CM360</t>
  </si>
  <si>
    <t>Cartera mayor a 360 días</t>
  </si>
  <si>
    <t>TCAR</t>
  </si>
  <si>
    <t>Total cartera</t>
  </si>
  <si>
    <t>NESEG</t>
  </si>
  <si>
    <t>Número de Estudiantes visitados en seguimiento</t>
  </si>
  <si>
    <t>NEL</t>
  </si>
  <si>
    <t>Número de estudiantes que requieren seguimiento</t>
  </si>
  <si>
    <t>NPIMP</t>
  </si>
  <si>
    <t>N de personas impactadas en el periodo</t>
  </si>
  <si>
    <t>MDR</t>
  </si>
  <si>
    <t>Monto de dinero recaudado</t>
  </si>
  <si>
    <t>MDPP</t>
  </si>
  <si>
    <t>Monto de dinero presupuestado para el periodo</t>
  </si>
  <si>
    <t>EBITDARE</t>
  </si>
  <si>
    <t>EBITDA Real</t>
  </si>
  <si>
    <t>EBITDAPRE</t>
  </si>
  <si>
    <t>EBITDA Presupuesto</t>
  </si>
  <si>
    <t>NENTM</t>
  </si>
  <si>
    <t>N estudiantes nuevos total matriculados</t>
  </si>
  <si>
    <t>NTENMP</t>
  </si>
  <si>
    <t>N total de estudiantes nuevos matriculados presupuestados</t>
  </si>
  <si>
    <t>ENMPP</t>
  </si>
  <si>
    <t>N estudiantes nuevos matriculados en pregrado presencial</t>
  </si>
  <si>
    <t>TENPPP</t>
  </si>
  <si>
    <t>Total de estudiantes nuevos presupuestados pregrado presencial</t>
  </si>
  <si>
    <t>ENMPV</t>
  </si>
  <si>
    <t>N estudiantes nuevos matriculados en pregrado virtual</t>
  </si>
  <si>
    <t>TENPPV</t>
  </si>
  <si>
    <t>Total de estudiantes nuevos presupuestados pregrado virtual</t>
  </si>
  <si>
    <t>TEMPVP</t>
  </si>
  <si>
    <t>Total de estudiantes matriculados posgrado virtual presupuestados</t>
  </si>
  <si>
    <t>NENMPV</t>
  </si>
  <si>
    <t>N estudiantes nuevos matriculados en posgrados virtual</t>
  </si>
  <si>
    <t>NENMPP</t>
  </si>
  <si>
    <t>N estudiantes nuevos matriculados  posgrados presencial</t>
  </si>
  <si>
    <t>TENPPPR</t>
  </si>
  <si>
    <t>Total de estudiantes nuevos presupuestados posgrados presencial</t>
  </si>
  <si>
    <t>INEPVE</t>
  </si>
  <si>
    <t>Ingresos totales de educación para la vida ejecutados</t>
  </si>
  <si>
    <t>ITEPVP</t>
  </si>
  <si>
    <t>Ingresos totales de educación para la vida presupuestados</t>
  </si>
  <si>
    <t>NCGEE</t>
  </si>
  <si>
    <t># de casos gestionados del estudio de emisión</t>
  </si>
  <si>
    <t>NCSEE</t>
  </si>
  <si>
    <t># de casos solicitados en la mesa de soluciones del estudio de emisión</t>
  </si>
  <si>
    <t>NPADCF</t>
  </si>
  <si>
    <t>N de participantes en actividades de desarrollo de Cultura y Formación Emprendedora</t>
  </si>
  <si>
    <t>NPADCFP</t>
  </si>
  <si>
    <t>N de participantes a actividades de desarrollo de Cultura y Formación Emprendedora proyectados</t>
  </si>
  <si>
    <t>NMAEEP</t>
  </si>
  <si>
    <t>N de mentorías o asesorías especializadas a emprendedores proyectadas</t>
  </si>
  <si>
    <t>NMAEER</t>
  </si>
  <si>
    <t>N de mentorías o asesorías especializadas a emprendedores realizadas</t>
  </si>
  <si>
    <t>NEPEM</t>
  </si>
  <si>
    <t>N de emprendimientos en puesta en marcha</t>
  </si>
  <si>
    <t>NEES</t>
  </si>
  <si>
    <t>N de emprendimientos esperados</t>
  </si>
  <si>
    <t>NMBE</t>
  </si>
  <si>
    <t>N de MI-Book elaborados</t>
  </si>
  <si>
    <t>NTMEP</t>
  </si>
  <si>
    <t>N Total de MI-Ebooks proyectados en el periodo</t>
  </si>
  <si>
    <t>NEIAI</t>
  </si>
  <si>
    <t>N de estudiantes que ingresaron a los ambientes inmersivos</t>
  </si>
  <si>
    <t>TMATRIC</t>
  </si>
  <si>
    <t>Total Matrículas</t>
  </si>
  <si>
    <t>TLEADS</t>
  </si>
  <si>
    <t>Total leads budget</t>
  </si>
  <si>
    <t>NSRTE</t>
  </si>
  <si>
    <t>N de solicitudes resueltas</t>
  </si>
  <si>
    <t>TSRAD</t>
  </si>
  <si>
    <t>Total de solicitudes radicadas</t>
  </si>
  <si>
    <t>NOCE</t>
  </si>
  <si>
    <t>Número de subprocesos con Indicadores estructurados</t>
  </si>
  <si>
    <t>NPT</t>
  </si>
  <si>
    <t>Número de subprocesos totales</t>
  </si>
  <si>
    <t>ICAA</t>
  </si>
  <si>
    <t>Inversión CAPEX año actual</t>
  </si>
  <si>
    <t>UNAA</t>
  </si>
  <si>
    <t>Utilidad neta año anterior</t>
  </si>
  <si>
    <t>NDEREC</t>
  </si>
  <si>
    <t>Número Docentes Escalafonados</t>
  </si>
  <si>
    <t>NDEP</t>
  </si>
  <si>
    <t>Número Docentes Escalafonables Planeados</t>
  </si>
  <si>
    <t>NCA</t>
  </si>
  <si>
    <t>Número de convenios activos</t>
  </si>
  <si>
    <t>NCV</t>
  </si>
  <si>
    <t>Número de convenios vigentes</t>
  </si>
  <si>
    <t>ACTCO</t>
  </si>
  <si>
    <t>Activos Corrientes</t>
  </si>
  <si>
    <t>PASCO</t>
  </si>
  <si>
    <t>Pasivos Corrientes</t>
  </si>
  <si>
    <t>CAPEXE</t>
  </si>
  <si>
    <t>Capex Ejecutado</t>
  </si>
  <si>
    <t>CAPEXPR</t>
  </si>
  <si>
    <t>CAPEX Presupuestado</t>
  </si>
  <si>
    <t>MACP</t>
  </si>
  <si>
    <t>Monto ahorrado en campañas durante el periodo ejecutado</t>
  </si>
  <si>
    <t>MACPP</t>
  </si>
  <si>
    <t>Monto ahorrado en campañas durante el periodo presupuestado</t>
  </si>
  <si>
    <t>RESPPHBV</t>
  </si>
  <si>
    <t>Resultado de encuesta de satisfacción  programas presenciales, blended y virtuales</t>
  </si>
  <si>
    <t>RESC</t>
  </si>
  <si>
    <t>Resultado de encuesta de satisfacción de clientes corporativos</t>
  </si>
  <si>
    <t>TCCS</t>
  </si>
  <si>
    <t>Total de colaboradores con seguimiento</t>
  </si>
  <si>
    <t>TCICC</t>
  </si>
  <si>
    <t>Total de colaboradores identificados con condiciones</t>
  </si>
  <si>
    <t>NSCE</t>
  </si>
  <si>
    <t>Nivel de satisfacción Comunicación Estratégica</t>
  </si>
  <si>
    <t>RESPG</t>
  </si>
  <si>
    <t>Resultado de la encuesta de satisfacción del proceso de grado</t>
  </si>
  <si>
    <t>NAMSACP</t>
  </si>
  <si>
    <t>Número de Aulas máster y secciones de asignaturas correctamente parametrizadas</t>
  </si>
  <si>
    <t>TAMSAVCB</t>
  </si>
  <si>
    <t>Total de Aulas máster y secciones de asignaturas virtuales creadas en Banner)</t>
  </si>
  <si>
    <t>GPW</t>
  </si>
  <si>
    <t>Great place to work</t>
  </si>
  <si>
    <t>RLAC</t>
  </si>
  <si>
    <t>Requisitos Legales Ambientales Cumplidos</t>
  </si>
  <si>
    <t>RLAI</t>
  </si>
  <si>
    <t>Requisitos Legales Ambientales Identificados</t>
  </si>
  <si>
    <t>AADJADTA</t>
  </si>
  <si>
    <t>Actos Administrativos o Decisiones Judiciales Ambientales Desfavorables en Temas Legales Ambientales</t>
  </si>
  <si>
    <t>NIR</t>
  </si>
  <si>
    <t>Número de informes radicados</t>
  </si>
  <si>
    <t>NIPR</t>
  </si>
  <si>
    <t>Número de informes proyectados</t>
  </si>
  <si>
    <t>NVMB</t>
  </si>
  <si>
    <t>Número de volúmenes de materiales bibliográficos con estado de perdida</t>
  </si>
  <si>
    <t>TVMB</t>
  </si>
  <si>
    <t>Total de volúmenes de materiales bibliográficos</t>
  </si>
  <si>
    <t>PAB</t>
  </si>
  <si>
    <t>Programas acreditados Bogotá</t>
  </si>
  <si>
    <t>PACB</t>
  </si>
  <si>
    <t>Programas acreditables en Bogotá</t>
  </si>
  <si>
    <t>NTDCTI</t>
  </si>
  <si>
    <t>Numero Total docentes termino indefinido</t>
  </si>
  <si>
    <t>NPIB</t>
  </si>
  <si>
    <t>Numero Profesores impactados en actividades de Bienestar</t>
  </si>
  <si>
    <t>ININC</t>
  </si>
  <si>
    <t>Resultado de indice de inclusión</t>
  </si>
  <si>
    <t>NECVPN</t>
  </si>
  <si>
    <t>Número de estudiantes con cobro de valor pecuniario normalizado</t>
  </si>
  <si>
    <t>NECVPAP</t>
  </si>
  <si>
    <t>Número de estudiantes con cobro de valor pecuniario del año pasado</t>
  </si>
  <si>
    <t>TEBEC</t>
  </si>
  <si>
    <t>Total estudiantes becados</t>
  </si>
  <si>
    <t>TOEST</t>
  </si>
  <si>
    <t>Total de estudiantes</t>
  </si>
  <si>
    <t>DPES</t>
  </si>
  <si>
    <t>Días promedio empleados por solicitud en el año</t>
  </si>
  <si>
    <t>NUIP</t>
  </si>
  <si>
    <t>N de usuarios que ingresaron al portal en el periodo</t>
  </si>
  <si>
    <t>NUIPPA</t>
  </si>
  <si>
    <t>N Usuarios que ingresaron al portal en el periodo anterior</t>
  </si>
  <si>
    <t>NPPSP</t>
  </si>
  <si>
    <t>N de Participaciones del Poli como sede o patrocinador</t>
  </si>
  <si>
    <t>NPPSPP</t>
  </si>
  <si>
    <t>N de Participaciones del Poli como sede o patrocinador planeadas</t>
  </si>
  <si>
    <t>BREQUI</t>
  </si>
  <si>
    <t>% Brand Equity</t>
  </si>
  <si>
    <t>ECONESP</t>
  </si>
  <si>
    <t>Resultado de encuesta de conocimiento espontaneo</t>
  </si>
  <si>
    <t>NSGR</t>
  </si>
  <si>
    <t>Nivel de satisfacción gestión de riesgos</t>
  </si>
  <si>
    <t>NCD</t>
  </si>
  <si>
    <t>NCP</t>
  </si>
  <si>
    <t>Número de cursos planeados</t>
  </si>
  <si>
    <t>PSI</t>
  </si>
  <si>
    <t>% Satisfacción Institucional</t>
  </si>
  <si>
    <t>NPIPL</t>
  </si>
  <si>
    <t>Número de personas a impactar planeadas</t>
  </si>
  <si>
    <t>RESPGV</t>
  </si>
  <si>
    <t>Resultado de la encuesta de satisfacción del proceso de grado virtual</t>
  </si>
  <si>
    <t>NPPAA</t>
  </si>
  <si>
    <t>N Participantes periodo año actual</t>
  </si>
  <si>
    <t>NPPAAN</t>
  </si>
  <si>
    <t>N Participantes periodo año anterior</t>
  </si>
  <si>
    <t>NPPAAC</t>
  </si>
  <si>
    <t>NPPAANT</t>
  </si>
  <si>
    <t>PPPP</t>
  </si>
  <si>
    <t>NARE</t>
  </si>
  <si>
    <t>Num Actividades realizadas</t>
  </si>
  <si>
    <t>NAPC</t>
  </si>
  <si>
    <t>Num actividades planeadas</t>
  </si>
  <si>
    <t>NPSERP</t>
  </si>
  <si>
    <t>NPS Estudiantes Real del periodo</t>
  </si>
  <si>
    <t>NPSESP</t>
  </si>
  <si>
    <t>NPS Estudiantes Proyectado</t>
  </si>
  <si>
    <t>NPSGR</t>
  </si>
  <si>
    <t>NPS Graduados Real del periodo</t>
  </si>
  <si>
    <t>NPSESPG</t>
  </si>
  <si>
    <t>NPS Graduados Esperado</t>
  </si>
  <si>
    <t>CESGP</t>
  </si>
  <si>
    <t>CES General del periodo</t>
  </si>
  <si>
    <t>CESGPL</t>
  </si>
  <si>
    <t>CES General planeado</t>
  </si>
  <si>
    <t>NPRPR</t>
  </si>
  <si>
    <t>Número de programas proyectados a radicar para renovación</t>
  </si>
  <si>
    <t>NRRPR</t>
  </si>
  <si>
    <t>Número de programas radicados al MEN para renovación</t>
  </si>
  <si>
    <t>NVPWP</t>
  </si>
  <si>
    <t>Número de visitas a pagina web en el periodo</t>
  </si>
  <si>
    <t>NAECP</t>
  </si>
  <si>
    <t>N Actividades ejecutadas</t>
  </si>
  <si>
    <t>NAPCP</t>
  </si>
  <si>
    <t>N Actividades proyectadas</t>
  </si>
  <si>
    <t>NTCVD</t>
  </si>
  <si>
    <t>Número Total de cursos virtuales diseñados</t>
  </si>
  <si>
    <t>NCVF</t>
  </si>
  <si>
    <t>Número de cursos virtuales finalizados dentro de los tiempos (60días calendario)</t>
  </si>
  <si>
    <t>CESPGR</t>
  </si>
  <si>
    <t>RESPR</t>
  </si>
  <si>
    <t>Resultado de la encuesta de satisfacción institucional</t>
  </si>
  <si>
    <t>RESCD</t>
  </si>
  <si>
    <t>NPIPDD</t>
  </si>
  <si>
    <t>Numero Profesores impactados plan de desarrollo docente</t>
  </si>
  <si>
    <t>NTDTIFAS</t>
  </si>
  <si>
    <t>Número Total docentes termino indefinido - Fijo anual- Fijo Semestral</t>
  </si>
  <si>
    <t>NITPA</t>
  </si>
  <si>
    <t>N impactos periodo actual en talleres de producción audiovisual</t>
  </si>
  <si>
    <t>NIPAPA</t>
  </si>
  <si>
    <t>N impactos periodo anterior en talleres de producción audiovisual</t>
  </si>
  <si>
    <t>RESPE</t>
  </si>
  <si>
    <t>RESGP</t>
  </si>
  <si>
    <t>RESDI</t>
  </si>
  <si>
    <t>RESGJN</t>
  </si>
  <si>
    <t>RESSA</t>
  </si>
  <si>
    <t>RESCO</t>
  </si>
  <si>
    <t>RESPF</t>
  </si>
  <si>
    <t>REST</t>
  </si>
  <si>
    <t>RESCMA</t>
  </si>
  <si>
    <t>RESCDA</t>
  </si>
  <si>
    <t>RESSS</t>
  </si>
  <si>
    <t>RESGIC</t>
  </si>
  <si>
    <t>RESFII</t>
  </si>
  <si>
    <t>RESGUA</t>
  </si>
  <si>
    <t>RESLEI</t>
  </si>
  <si>
    <t>RESM</t>
  </si>
  <si>
    <t>RESDCV</t>
  </si>
  <si>
    <t>NASCEJ</t>
  </si>
  <si>
    <t>N° Actividades de seguimiento a controles ejecutadas</t>
  </si>
  <si>
    <t>NASCPP</t>
  </si>
  <si>
    <t>Número Actividades de seguimiento a controles planeadas en un periodo</t>
  </si>
  <si>
    <t>TAIRE</t>
  </si>
  <si>
    <t>Total de Auditorias internas realizadas</t>
  </si>
  <si>
    <t>TAIPR</t>
  </si>
  <si>
    <t>Total auditorias internas programadas</t>
  </si>
  <si>
    <t>PPPPE</t>
  </si>
  <si>
    <t>% Participación de publicaciones positiva esperada</t>
  </si>
  <si>
    <t>NCCI</t>
  </si>
  <si>
    <t>Número de causas con controles implementados</t>
  </si>
  <si>
    <t>NTCNINC</t>
  </si>
  <si>
    <t>Número total de causas de necesidades identificadas de nuevos controles</t>
  </si>
  <si>
    <t>NSRPC</t>
  </si>
  <si>
    <t>Número de solicitudes resultas en primer contacto</t>
  </si>
  <si>
    <t>NTSOL</t>
  </si>
  <si>
    <t>Número total de solicitudes</t>
  </si>
  <si>
    <t>PNCD</t>
  </si>
  <si>
    <t>% nivel de calidad de los datos cargados al SNIES</t>
  </si>
  <si>
    <t>NSF</t>
  </si>
  <si>
    <t>Nivel de saisfacción con la formación</t>
  </si>
  <si>
    <t>REDM</t>
  </si>
  <si>
    <t>Resultado de evaluación de desempeño de mentores</t>
  </si>
  <si>
    <t>PCPP</t>
  </si>
  <si>
    <t>Porcentaje de cumplimiento de la politica POLISIGS</t>
  </si>
  <si>
    <t>NTPE</t>
  </si>
  <si>
    <t>Número total de participantes esperados</t>
  </si>
  <si>
    <t>NPRCA</t>
  </si>
  <si>
    <t>Número de participantes en la rendición de cuentas</t>
  </si>
  <si>
    <t>NSGRS</t>
  </si>
  <si>
    <t>Satisfacción Gestión de la responsabilidad social</t>
  </si>
  <si>
    <t>NCI</t>
  </si>
  <si>
    <t>Número de controles implementados</t>
  </si>
  <si>
    <t>NCPPI</t>
  </si>
  <si>
    <t>Número Controles planeados de los procesos identificados</t>
  </si>
  <si>
    <t>NAS</t>
  </si>
  <si>
    <t>Número de asistentes a las sesiones</t>
  </si>
  <si>
    <t>NPO</t>
  </si>
  <si>
    <t>Número total de personas objetivo</t>
  </si>
  <si>
    <t>HUCO</t>
  </si>
  <si>
    <t>Historias de Usuario Completadas</t>
  </si>
  <si>
    <t>HUP</t>
  </si>
  <si>
    <t>Historias de Usuario Planificadas</t>
  </si>
  <si>
    <t>NRS</t>
  </si>
  <si>
    <t>Numero total de requerimientos solicitados</t>
  </si>
  <si>
    <t>NRA</t>
  </si>
  <si>
    <t>Numero de requerimientos atendidos</t>
  </si>
  <si>
    <t>NSPR</t>
  </si>
  <si>
    <t>N de sesiones programadas</t>
  </si>
  <si>
    <t>NSEJ</t>
  </si>
  <si>
    <t>N de sesiones ejecutadas</t>
  </si>
  <si>
    <t>CESEC</t>
  </si>
  <si>
    <t>NSPER</t>
  </si>
  <si>
    <t>Satisfacción de permanencia</t>
  </si>
  <si>
    <t>SMVEV</t>
  </si>
  <si>
    <t>Satisfacción Mercadeo y venta de educación para la vida</t>
  </si>
  <si>
    <t>AMMEP</t>
  </si>
  <si>
    <t>Asignaturas o módulos con mecanismos de evaluación planeados</t>
  </si>
  <si>
    <t>AMMEI</t>
  </si>
  <si>
    <t>Asignaturas o módulos con mecanismos de evaluación implementados</t>
  </si>
  <si>
    <t>NPPDI</t>
  </si>
  <si>
    <t>Número de participantes en construcción del Plan de Desarrollo PDI</t>
  </si>
  <si>
    <t>NPEPDI</t>
  </si>
  <si>
    <t>Número de participantes esperados</t>
  </si>
  <si>
    <t>NTGR</t>
  </si>
  <si>
    <t>Número total de graduados</t>
  </si>
  <si>
    <t>NGPA</t>
  </si>
  <si>
    <t>Número de graduados participantes en actividades</t>
  </si>
  <si>
    <t>SGI</t>
  </si>
  <si>
    <t>Satisfacción del graduado con la institución Escala1-5</t>
  </si>
  <si>
    <t>NSIAMN</t>
  </si>
  <si>
    <t>Satisfacción Inscripción, admisión y matrícula de estudiantes nuevos</t>
  </si>
  <si>
    <t>PARPF</t>
  </si>
  <si>
    <t>% de Avance Real del Plan de formación</t>
  </si>
  <si>
    <t>PAEPF</t>
  </si>
  <si>
    <t>% de Avance Esperado del Plan de formación</t>
  </si>
  <si>
    <t>fecha</t>
  </si>
  <si>
    <t>serie_nombre</t>
  </si>
  <si>
    <t>serie_meta</t>
  </si>
  <si>
    <t>serie_resultado</t>
  </si>
  <si>
    <t>var_M3AGUA2</t>
  </si>
  <si>
    <t>var_KGRA</t>
  </si>
  <si>
    <t>var_KGRNA</t>
  </si>
  <si>
    <t>var_KWHEE</t>
  </si>
  <si>
    <t>var_COLPRS</t>
  </si>
  <si>
    <t>var_DOCPPRES</t>
  </si>
  <si>
    <t>var_ESPRPRES</t>
  </si>
  <si>
    <t>var_ESPRPOSS</t>
  </si>
  <si>
    <t>var_COLPRSA</t>
  </si>
  <si>
    <t>var_DOCPPRESA</t>
  </si>
  <si>
    <t>var_ESPRPRESA</t>
  </si>
  <si>
    <t>var_ESPRPOSSA</t>
  </si>
  <si>
    <t>var_KWHEES</t>
  </si>
  <si>
    <t>var_KWHEESA</t>
  </si>
  <si>
    <t>var_M3S</t>
  </si>
  <si>
    <t>var_M3SA</t>
  </si>
  <si>
    <t>var_TKRAS</t>
  </si>
  <si>
    <t>var_TKRNAS</t>
  </si>
  <si>
    <t>var_KGRPCGPAN</t>
  </si>
  <si>
    <t>var_KGRPCGPAC</t>
  </si>
  <si>
    <t>var_KGRESPELGP</t>
  </si>
  <si>
    <t>var_KGRESPELDP</t>
  </si>
  <si>
    <t>var_PMSRIIRCA</t>
  </si>
  <si>
    <t>var_TPMAP</t>
  </si>
  <si>
    <t>var_PCNPEN</t>
  </si>
  <si>
    <t>var_TPEN</t>
  </si>
  <si>
    <t>var_PCNRPN</t>
  </si>
  <si>
    <t>var_TPM</t>
  </si>
  <si>
    <t>var_tCO2eq</t>
  </si>
  <si>
    <t>var_COLPRE3</t>
  </si>
  <si>
    <t>var_DOCPPRE3</t>
  </si>
  <si>
    <t>var_ESPRPRE3</t>
  </si>
  <si>
    <t>var_ESPRPOS3</t>
  </si>
  <si>
    <t>var_tCO2eqC</t>
  </si>
  <si>
    <t>var_KTGRA</t>
  </si>
  <si>
    <t>var_ACMEFSANE</t>
  </si>
  <si>
    <t>var_NPROY</t>
  </si>
  <si>
    <t>var_KGRP</t>
  </si>
  <si>
    <t>var_TAP</t>
  </si>
  <si>
    <t>var_TAE</t>
  </si>
  <si>
    <t>var_ICPAP</t>
  </si>
  <si>
    <t>var_IAP</t>
  </si>
  <si>
    <t>var_TIPRE</t>
  </si>
  <si>
    <t>var_TIEJE</t>
  </si>
  <si>
    <t>var_TEMS</t>
  </si>
  <si>
    <t>var_TEP</t>
  </si>
  <si>
    <t>var_NDCPT</t>
  </si>
  <si>
    <t>var_NDNF</t>
  </si>
  <si>
    <t>var_PADPSA</t>
  </si>
  <si>
    <t>var_PADPAA</t>
  </si>
  <si>
    <t>var_PACSA</t>
  </si>
  <si>
    <t>var_PACAA</t>
  </si>
  <si>
    <t>var_NAES</t>
  </si>
  <si>
    <t>var_NAPS</t>
  </si>
  <si>
    <t>var_NVP</t>
  </si>
  <si>
    <t>var_NPVPP</t>
  </si>
  <si>
    <t>var_ITEEPV</t>
  </si>
  <si>
    <t>var_ITPEPV</t>
  </si>
  <si>
    <t>var_PPPE</t>
  </si>
  <si>
    <t>var_NPNRPF</t>
  </si>
  <si>
    <t>var_NPNARPF</t>
  </si>
  <si>
    <t>var_TIPR</t>
  </si>
  <si>
    <t>var_TIEJEC</t>
  </si>
  <si>
    <t>var_TKRPS</t>
  </si>
  <si>
    <t>var_KGRPPCGPAN</t>
  </si>
  <si>
    <t>var_KGRPPCGPAC</t>
  </si>
  <si>
    <t>var_PCI</t>
  </si>
  <si>
    <t>var_PAVAN</t>
  </si>
  <si>
    <t>var_PEAVAN</t>
  </si>
  <si>
    <t>var_PAPRE</t>
  </si>
  <si>
    <t>var_PEPRE</t>
  </si>
  <si>
    <t>var_PAVR</t>
  </si>
  <si>
    <t>var_PERE</t>
  </si>
  <si>
    <t>var_PAVE</t>
  </si>
  <si>
    <t>var_PESVE</t>
  </si>
  <si>
    <t>var_PAVC</t>
  </si>
  <si>
    <t>var_PEVE</t>
  </si>
  <si>
    <t>var_PAVF</t>
  </si>
  <si>
    <t>var_PEVF</t>
  </si>
  <si>
    <t>var_PAVA</t>
  </si>
  <si>
    <t>var_PEVA</t>
  </si>
  <si>
    <t>var_PAGE</t>
  </si>
  <si>
    <t>var_PEGE</t>
  </si>
  <si>
    <t>var_PANSSOL</t>
  </si>
  <si>
    <t>var_NERDTE</t>
  </si>
  <si>
    <t>var_NERDP</t>
  </si>
  <si>
    <t>var_TAEPGR</t>
  </si>
  <si>
    <t>var_TAPGR</t>
  </si>
  <si>
    <t>var_NECMA</t>
  </si>
  <si>
    <t>var_NECMFP</t>
  </si>
  <si>
    <t>var_NAA</t>
  </si>
  <si>
    <t>var_TACGB</t>
  </si>
  <si>
    <t>var_NAAV</t>
  </si>
  <si>
    <t>var_TACBV</t>
  </si>
  <si>
    <t>var_NEMAV</t>
  </si>
  <si>
    <t>var_NEMFV</t>
  </si>
  <si>
    <t>var_EPEVRT</t>
  </si>
  <si>
    <t>var_TEPEV</t>
  </si>
  <si>
    <t>var_INDH</t>
  </si>
  <si>
    <t>var_PARM</t>
  </si>
  <si>
    <t>var_PAEM</t>
  </si>
  <si>
    <t>var_PASAE</t>
  </si>
  <si>
    <t>var_PESAE</t>
  </si>
  <si>
    <t>var_PAGTH</t>
  </si>
  <si>
    <t>var_PEGTH</t>
  </si>
  <si>
    <t>var_NSRT</t>
  </si>
  <si>
    <t>var_NPPED</t>
  </si>
  <si>
    <t>var_NPPEP</t>
  </si>
  <si>
    <t>var_NPPEDE</t>
  </si>
  <si>
    <t>var_NPPEPE</t>
  </si>
  <si>
    <t>var_NFRAE</t>
  </si>
  <si>
    <t>var_NFRAP</t>
  </si>
  <si>
    <t>var_NPPED2</t>
  </si>
  <si>
    <t>var_NPEP2</t>
  </si>
  <si>
    <t>var_NPPED3</t>
  </si>
  <si>
    <t>var_NPPEP3</t>
  </si>
  <si>
    <t>var_NFRAE2</t>
  </si>
  <si>
    <t>var_NFRAP2</t>
  </si>
  <si>
    <t>var_PIEG</t>
  </si>
  <si>
    <t>var_PIMR</t>
  </si>
  <si>
    <t>var_PAEME</t>
  </si>
  <si>
    <t>var_PAEMR</t>
  </si>
  <si>
    <t>var_TOMCEP</t>
  </si>
  <si>
    <t>var_TOMPCEP</t>
  </si>
  <si>
    <t>var_NACTE</t>
  </si>
  <si>
    <t>var_TAPP</t>
  </si>
  <si>
    <t>var_SP</t>
  </si>
  <si>
    <t>var_NFRAE3</t>
  </si>
  <si>
    <t>var_NFRA2</t>
  </si>
  <si>
    <t>var_PAEPR</t>
  </si>
  <si>
    <t>var_PARPR</t>
  </si>
  <si>
    <t>var_NRM</t>
  </si>
  <si>
    <t>var_NRD</t>
  </si>
  <si>
    <t>var_NCVNF</t>
  </si>
  <si>
    <t>var_NCE</t>
  </si>
  <si>
    <t>var_PSE</t>
  </si>
  <si>
    <t>var_PSER</t>
  </si>
  <si>
    <t>var_IPE</t>
  </si>
  <si>
    <t>var_IEE</t>
  </si>
  <si>
    <t>var_TOLEADS</t>
  </si>
  <si>
    <t>var_BULEADS</t>
  </si>
  <si>
    <t>var_NARVNI</t>
  </si>
  <si>
    <t>var_NAPP</t>
  </si>
  <si>
    <t>var_NEPI</t>
  </si>
  <si>
    <t>var_NEPA</t>
  </si>
  <si>
    <t>var_NEPACI</t>
  </si>
  <si>
    <t>var_NEPACIN</t>
  </si>
  <si>
    <t>var_NPPAC</t>
  </si>
  <si>
    <t>var_NPPAI</t>
  </si>
  <si>
    <t>var_NPPP</t>
  </si>
  <si>
    <t>var_NPPPACI</t>
  </si>
  <si>
    <t>var_TEE</t>
  </si>
  <si>
    <t>var_NUAC</t>
  </si>
  <si>
    <t>var_NDP</t>
  </si>
  <si>
    <t>var_NSPE</t>
  </si>
  <si>
    <t>var_TSCE</t>
  </si>
  <si>
    <t>var_NSCANS</t>
  </si>
  <si>
    <t>var_NGRI</t>
  </si>
  <si>
    <t>var_NGIC</t>
  </si>
  <si>
    <t>var_NGRIS</t>
  </si>
  <si>
    <t>var_NGM</t>
  </si>
  <si>
    <t>Campus Bogotá</t>
  </si>
  <si>
    <t>Campus-Medellín</t>
  </si>
  <si>
    <t>City Campus</t>
  </si>
  <si>
    <t>428-2022-06-30</t>
  </si>
  <si>
    <t>429-2022-06-30</t>
  </si>
  <si>
    <t>427-2022-12-31</t>
  </si>
  <si>
    <t>428-2022-12-31</t>
  </si>
  <si>
    <t>429-2022-12-31</t>
  </si>
  <si>
    <t>Sede Bienestar - Medellín</t>
  </si>
  <si>
    <t>Sede Posgrado-Calle 85</t>
  </si>
  <si>
    <t>Consultorio Psicología - Medellin</t>
  </si>
  <si>
    <t>Planificación</t>
  </si>
  <si>
    <t>Cierre</t>
  </si>
  <si>
    <t>Finalizados</t>
  </si>
  <si>
    <t>Programa de Gestión del Ahorro y Uso Eficiente de la Energía</t>
  </si>
  <si>
    <t>Programa de Gestión de la Calidad, Ahorro y Uso Eficiente del Agua</t>
  </si>
  <si>
    <t>Programa de Gestión del la Calidad del Aire,  Ruido Ambiental y Publicidad Exterior Visual</t>
  </si>
  <si>
    <t>Programa Gestión de la Educación y Comunicación Ambiental</t>
  </si>
  <si>
    <t>Actividades de Gestión</t>
  </si>
  <si>
    <t>Plan de Gestión Integral de Residuos</t>
  </si>
  <si>
    <t>Cumplimiento del Plan Anual del SGA</t>
  </si>
  <si>
    <t>Cumplimiento Gestión Integral de Residuos</t>
  </si>
  <si>
    <t>Cumplimiento Gestión del Ahorro y Uso Eficiente de Energía</t>
  </si>
  <si>
    <t>Cumplimiento Gestión de la Calidad, Ahorro y Uso Eficiente del Agua</t>
  </si>
  <si>
    <t>Cumplimiento Gestión de Áreas Naturales</t>
  </si>
  <si>
    <t>Cumplimiento Gestión de la Educación y Comunicación Ambiental</t>
  </si>
  <si>
    <t>Ingresos por matriculas</t>
  </si>
  <si>
    <t>Programas especiales</t>
  </si>
  <si>
    <t>Otros Ingresos</t>
  </si>
  <si>
    <t>Posgrado Presencial</t>
  </si>
  <si>
    <t>Pregrado Presencial</t>
  </si>
  <si>
    <t>Pregrado Virtual</t>
  </si>
  <si>
    <t>Posgrado Virtual</t>
  </si>
  <si>
    <t>Tiempo completo</t>
  </si>
  <si>
    <t>Medio tiempo</t>
  </si>
  <si>
    <t>Catedra</t>
  </si>
  <si>
    <t>Doctorado</t>
  </si>
  <si>
    <t>Maestría</t>
  </si>
  <si>
    <t>Especialización</t>
  </si>
  <si>
    <t>Pregrado</t>
  </si>
  <si>
    <t>Bogotá</t>
  </si>
  <si>
    <t>Medellín</t>
  </si>
  <si>
    <t>Virtual</t>
  </si>
  <si>
    <t>Colaboradores</t>
  </si>
  <si>
    <t>Estudiantes</t>
  </si>
  <si>
    <t>B2G</t>
  </si>
  <si>
    <t>ESCUELA DE CIENCIAS BÁSICAS</t>
  </si>
  <si>
    <t>ESCUELA DE  DISEÑO</t>
  </si>
  <si>
    <t>ESCUELA DE OPTIMIZACIÓN, INFRA Y AUTO</t>
  </si>
  <si>
    <t>ESCUELA TIC</t>
  </si>
  <si>
    <t>ESCUELA DE ADMINISTRACIÓN Y COMPETITIVIDAD</t>
  </si>
  <si>
    <t>ESCUELA DE CONTABILIDAD INTERNACIONAL</t>
  </si>
  <si>
    <t>ESCUELA DE NEGOCIOS Y DESARROLLO INTERNACIONAL</t>
  </si>
  <si>
    <t>ESCUELA DE COMUNICACIÓN ARTES VISUALES Y DIGITALES</t>
  </si>
  <si>
    <t>ESCUELA DE EDUCACIÓN E INNOVACIÓN</t>
  </si>
  <si>
    <t>ESCUELA DE DERECHO Y GOBIERNO</t>
  </si>
  <si>
    <t>ESCUELA DE MARKETING Y BRANDING</t>
  </si>
  <si>
    <t>ESCUELA DE PSIC, TALENTO HUM Y SOC</t>
  </si>
  <si>
    <t>Facultad de ingeniera, diseño e innovación</t>
  </si>
  <si>
    <t>Facultad negocios, gestión y sostenibilidad</t>
  </si>
  <si>
    <t>Facultad sociedad cultura y creatividad</t>
  </si>
  <si>
    <t>Nuevos presencial</t>
  </si>
  <si>
    <t>Nuevos Virtual</t>
  </si>
  <si>
    <t>Antiguos Presencial</t>
  </si>
  <si>
    <t>Antiguos Virtual</t>
  </si>
  <si>
    <t>Programa de Gestión de Áreas Naturales</t>
  </si>
  <si>
    <t>Programa de Gestión de la Medición y Compensación de Gases de Efecto Invernadero</t>
  </si>
  <si>
    <t>Cumplimiento Gestión del la Calidad del Aire,  Ruido Ambiental y Publicidad Exterior Visual</t>
  </si>
  <si>
    <t>Cumplimiento Gestión de la Medición y Compensación de GEI</t>
  </si>
  <si>
    <t>Sostenibilidad</t>
  </si>
  <si>
    <t>Experiencia</t>
  </si>
  <si>
    <t>Trasformación Organizacional</t>
  </si>
  <si>
    <t>Educación para toda la vida</t>
  </si>
  <si>
    <t>Expansión</t>
  </si>
  <si>
    <t>Calidad</t>
  </si>
  <si>
    <t>Vicerrectoría de crecimiento</t>
  </si>
  <si>
    <t>Vicerrectoría del estudiante</t>
  </si>
  <si>
    <t>Vicerrectoría financiera</t>
  </si>
  <si>
    <t>Vicerrectoría académica</t>
  </si>
  <si>
    <t>Gerencia de estrategia</t>
  </si>
  <si>
    <t>Gerencia de  talento humano y desarrollo</t>
  </si>
  <si>
    <t>Gerencia sede Medellín</t>
  </si>
  <si>
    <t>Secretaria general</t>
  </si>
  <si>
    <t>Gerencia de operaciones</t>
  </si>
  <si>
    <t>Gerencia de servicio y permanencia</t>
  </si>
  <si>
    <t>Gerencia de tecnología e innovación digital</t>
  </si>
  <si>
    <t>BI y analítica</t>
  </si>
  <si>
    <t>Dirección nacional de registro y control</t>
  </si>
  <si>
    <t>Dirección de Experiencia E Inclusion</t>
  </si>
  <si>
    <t>Direccion bienestar universitario y huella grancolombiana</t>
  </si>
  <si>
    <t>Gerencia de matriculas</t>
  </si>
  <si>
    <t>Gerencia de mercadeo</t>
  </si>
  <si>
    <t>Dirección de contabilidad</t>
  </si>
  <si>
    <t>Dirección de infraestructura</t>
  </si>
  <si>
    <t>Dirección planeación financiera y tesorería</t>
  </si>
  <si>
    <t>Dirección de relacionamiento de CSU</t>
  </si>
  <si>
    <t>Dirección de servicios administrativos</t>
  </si>
  <si>
    <t>Dirección de compras y abastecimiento</t>
  </si>
  <si>
    <t>Dirección aseguramiento de la calidad</t>
  </si>
  <si>
    <t>Dirección investigación innovación y creación</t>
  </si>
  <si>
    <t>Dirección relaciones nacionales e internacionales</t>
  </si>
  <si>
    <t>Secretaria académica y de extensión</t>
  </si>
  <si>
    <t>Dirección de docencia</t>
  </si>
  <si>
    <t>Dirección de currículo presencial y virtual</t>
  </si>
  <si>
    <t>Facultad ingeniería diseño e innovación</t>
  </si>
  <si>
    <t>Facultad negocios gestión y sostenibilidad</t>
  </si>
  <si>
    <t>SGC</t>
  </si>
  <si>
    <t>SGA</t>
  </si>
  <si>
    <t>Riesgos</t>
  </si>
  <si>
    <t>Auditoría</t>
  </si>
  <si>
    <t>Planeación estratégica</t>
  </si>
  <si>
    <t>Solicitud Documental</t>
  </si>
  <si>
    <t>Flujo de aprobación</t>
  </si>
  <si>
    <t>Diplomas</t>
  </si>
  <si>
    <t>Otro Material</t>
  </si>
  <si>
    <t>Plan estratégico de seguridad vial</t>
  </si>
  <si>
    <t>Plan de gestión de riesgo psicosocial</t>
  </si>
  <si>
    <t>Plan de gestión osteomuscular</t>
  </si>
  <si>
    <t>Plan de gestión TAR</t>
  </si>
  <si>
    <t>Plan de gestión de riesgo químico</t>
  </si>
  <si>
    <t>Plan de de gestión conservación de la voz</t>
  </si>
  <si>
    <t>Plan de gestión riesgo biológico</t>
  </si>
  <si>
    <t>Plan de gestión Teletrabajadores</t>
  </si>
  <si>
    <t>Plan de gestión inspecciones de seguridad</t>
  </si>
  <si>
    <t>Director de gobierno digital</t>
  </si>
  <si>
    <t>H5 Libros</t>
  </si>
  <si>
    <t>H10 Libros</t>
  </si>
  <si>
    <t>H1 Revistas</t>
  </si>
  <si>
    <t>H5 Revistas</t>
  </si>
  <si>
    <t>Gerencia de educación virtual</t>
  </si>
  <si>
    <t>Dirección de desarrollo e innovación</t>
  </si>
  <si>
    <t>Director de permanencia</t>
  </si>
  <si>
    <t>Gerente de innovación y producto</t>
  </si>
  <si>
    <t>Director de operaciones integrales</t>
  </si>
  <si>
    <t>Director de servicio</t>
  </si>
  <si>
    <t>Director de operaciones IT</t>
  </si>
  <si>
    <t>Director de estrategia marca</t>
  </si>
  <si>
    <t>Gerencia de servicios corporativos</t>
  </si>
  <si>
    <t>Director B2B y B2C</t>
  </si>
  <si>
    <t>Director de producto</t>
  </si>
  <si>
    <t>DIRECCIÓN DE MATRÍCULAS</t>
  </si>
  <si>
    <t>FNGS-NEG Y DLLO INTER-NEGOCIOS INTERNACIONALES</t>
  </si>
  <si>
    <t>FIDI-DISEÑO-DISEÑO GRAFICO</t>
  </si>
  <si>
    <t>ADMON DE EMPRESAS</t>
  </si>
  <si>
    <t>FSCC- DERECHO Y GOBIERNO-DERECHO</t>
  </si>
  <si>
    <t>FIDI-CIENCIAS BÁSICAS MED</t>
  </si>
  <si>
    <t>FIDI-OPINA-INGENIERIA INDUSTRIAL</t>
  </si>
  <si>
    <t>FSCC - MARKETING MED</t>
  </si>
  <si>
    <t>FSCC- EST.PSIC,TH Y SOC- PSICOLOGIA</t>
  </si>
  <si>
    <t>FIDI-TIC -INGENIERIA DE SISTEMAS</t>
  </si>
  <si>
    <t>DIRECTOR DE GRADUADOS Y PROYECCION EMP.</t>
  </si>
  <si>
    <t>DIRECTOR AGENCIA TROMPO</t>
  </si>
  <si>
    <t>DIRECTOR SISTEMA NACIONAL DE BIBLIOTECAS</t>
  </si>
  <si>
    <t>DIRECTOR EDITORIAL</t>
  </si>
  <si>
    <t>DIRECTOR CENTRO MEDIOS AUDIOVISUALES</t>
  </si>
  <si>
    <t>DIRECTOR DE FORMACION Y DESARROLLO</t>
  </si>
  <si>
    <t>DIRECTOR DE ADMON LABORAL Y COMPENSACION</t>
  </si>
  <si>
    <t>DIRECTOR DE BIENESTAR Y RELAC. LABORALES</t>
  </si>
  <si>
    <t>DIRECTOR DE RELACIONES PUBLICAS Y PROTOC</t>
  </si>
  <si>
    <t>DIRECTOR DE COMUNICACIONES</t>
  </si>
  <si>
    <t>DIRECTOR DE COMUN. EXTERNAS SED MEDELLIN</t>
  </si>
  <si>
    <t>DIRECTOR DE GESTION DE TALENTO</t>
  </si>
  <si>
    <t>Equipos</t>
  </si>
  <si>
    <t>Estudios</t>
  </si>
  <si>
    <t>Eventos</t>
  </si>
  <si>
    <t>Salas de postproducción</t>
  </si>
  <si>
    <t>Nuevos Programas Académicos</t>
  </si>
  <si>
    <t>Programas Renovación, modificación y acreditación</t>
  </si>
  <si>
    <t>Graduados</t>
  </si>
  <si>
    <t>Auditoría interna</t>
  </si>
  <si>
    <t>Auditoría externa</t>
  </si>
  <si>
    <t>Indicadores</t>
  </si>
  <si>
    <t>Entes de control</t>
  </si>
  <si>
    <t>Seguimiento y control</t>
  </si>
  <si>
    <t>Revisión por la dirección</t>
  </si>
  <si>
    <t>Administrativos</t>
  </si>
  <si>
    <t>Docentes</t>
  </si>
  <si>
    <t>Mantenimiento de programas</t>
  </si>
  <si>
    <t>H10 Revistas</t>
  </si>
  <si>
    <t>SER PRO Fase II</t>
  </si>
  <si>
    <t>Centro de Idiomas POLI</t>
  </si>
  <si>
    <t>Colegio Virtual</t>
  </si>
  <si>
    <t>Institución de educación para el trabajo y desarrollo humano IETDH</t>
  </si>
  <si>
    <t>Stand by</t>
  </si>
  <si>
    <t>Revisión y asesorías</t>
  </si>
  <si>
    <t>Estratégicos</t>
  </si>
  <si>
    <t>Proyectos</t>
  </si>
  <si>
    <t>Financieros</t>
  </si>
  <si>
    <t>Legal/ Cumplimiento</t>
  </si>
  <si>
    <t>Tecnológico</t>
  </si>
  <si>
    <t>Operativos</t>
  </si>
  <si>
    <t>Reputacionales</t>
  </si>
  <si>
    <t>Neutro</t>
  </si>
  <si>
    <t>Opciones de grado</t>
  </si>
  <si>
    <t>B2B- B2C</t>
  </si>
  <si>
    <t>Digital</t>
  </si>
  <si>
    <t>ATL</t>
  </si>
  <si>
    <t>BTL</t>
  </si>
  <si>
    <t>CSU-High School-B2B</t>
  </si>
  <si>
    <t>Whatsapp</t>
  </si>
  <si>
    <t>Inbound</t>
  </si>
  <si>
    <t>Participación estudiantes invitados en eventos académicos virtuales en Poli</t>
  </si>
  <si>
    <t>Participación estudiantes Poli en eventos académicos nacionales e internacionales virtuales</t>
  </si>
  <si>
    <t>Participación docentes invitados en eventos académicos virtuales en Poli</t>
  </si>
  <si>
    <t>Participación docentes Poli en eventos académicos nacionales e internacionales virtuales</t>
  </si>
  <si>
    <t>Catálogo Editorial (Libros)</t>
  </si>
  <si>
    <t>MI-Books (Libros interactivos)</t>
  </si>
  <si>
    <t>Diseño pedagógico</t>
  </si>
  <si>
    <t>Desarrollo</t>
  </si>
  <si>
    <t>Pruebas</t>
  </si>
  <si>
    <t>Implementación</t>
  </si>
  <si>
    <t>Momento 0</t>
  </si>
  <si>
    <t>Momento 1</t>
  </si>
  <si>
    <t>Momento 5</t>
  </si>
  <si>
    <t>Institucional</t>
  </si>
  <si>
    <t>Clasificacion</t>
  </si>
  <si>
    <t>Tipo_API</t>
  </si>
  <si>
    <t>Estado</t>
  </si>
  <si>
    <t>TipoCalculo</t>
  </si>
  <si>
    <t>Asociacion</t>
  </si>
  <si>
    <t>Formato_Valores</t>
  </si>
  <si>
    <t>Subproceso</t>
  </si>
  <si>
    <t>Linea_Estrategica</t>
  </si>
  <si>
    <t>Objetivo_Estrategico</t>
  </si>
  <si>
    <t>Meta_Estrategica</t>
  </si>
  <si>
    <t>Proyecto</t>
  </si>
  <si>
    <t>Orden_CMI</t>
  </si>
  <si>
    <t>Plan_Anual</t>
  </si>
  <si>
    <t>Formula</t>
  </si>
  <si>
    <t>Descripcion</t>
  </si>
  <si>
    <t>Unidad</t>
  </si>
  <si>
    <t>Responsable_Calculo</t>
  </si>
  <si>
    <t>Responsable_Analisis</t>
  </si>
  <si>
    <t>ID_Kawak</t>
  </si>
  <si>
    <t>CNA_SNIES</t>
  </si>
  <si>
    <t>Factor</t>
  </si>
  <si>
    <t>Caracteristica</t>
  </si>
  <si>
    <t>Indicadores_Clave</t>
  </si>
  <si>
    <t>Indicadores_Plan_Estrategico</t>
  </si>
  <si>
    <t>Indicadores_Vicerrectoria</t>
  </si>
  <si>
    <t>Subprocesos</t>
  </si>
  <si>
    <t>General</t>
  </si>
  <si>
    <t>Ind_Act</t>
  </si>
  <si>
    <t>Número de programas registrados en la SED</t>
  </si>
  <si>
    <t>Estratégico</t>
  </si>
  <si>
    <t>Directorio (sin datos)</t>
  </si>
  <si>
    <t>Educación_para_toda_la_vida</t>
  </si>
  <si>
    <t>Incursionar en los niveles de educación media y de educación para el trabajo y el desarrollo humano</t>
  </si>
  <si>
    <t>Creación del Instituto para la Educación para el Trabajo y el Desarrollo Humano a través del cual se propone ofrecer 10 programas de IETDH con 750 estudiantes por programa al año 2026.</t>
  </si>
  <si>
    <t>Rectoría</t>
  </si>
  <si>
    <t>Factor 5. Estructura y procesos académicos</t>
  </si>
  <si>
    <t>Característica 20: Procesos de creación, modificación y ampliación de programas académicos</t>
  </si>
  <si>
    <t>Acumulado</t>
  </si>
  <si>
    <t>Suma de total de indicador 379 y total indicador 274</t>
  </si>
  <si>
    <t xml:space="preserve">Crecer con compromiso social </t>
  </si>
  <si>
    <t xml:space="preserve">En el 2026, alcanzar una población estudiantil superior a 70.000 estudiantes </t>
  </si>
  <si>
    <t>Factor 11. Comunidad de estudiantes</t>
  </si>
  <si>
    <t>Característica 34: Admisión y permanencia de estudiantes</t>
  </si>
  <si>
    <t>Suman Nuevos- Antiguos</t>
  </si>
  <si>
    <t>Característica 27: Admisión y matrícula de estudiantes</t>
  </si>
  <si>
    <t>Operativo</t>
  </si>
  <si>
    <t>Activo</t>
  </si>
  <si>
    <t>API</t>
  </si>
  <si>
    <t>Promedio</t>
  </si>
  <si>
    <t>Transformación_Organizacional</t>
  </si>
  <si>
    <t>Fortalecer la gestión por procesos y la toma de decisiones basada en el análisis de los datos</t>
  </si>
  <si>
    <t>Resultado semestral evaluación de desempeño a proveedores críticos.</t>
  </si>
  <si>
    <t>Vicerrectoría financiera y administrativa</t>
  </si>
  <si>
    <t xml:space="preserve">Director de Compras y Abastecimiento
</t>
  </si>
  <si>
    <t>false</t>
  </si>
  <si>
    <t>Factor 3. Desarrollo, gestión y sostenibilidad institucional</t>
  </si>
  <si>
    <t>Característica 7: Administración y gestión</t>
  </si>
  <si>
    <t>Mide la capacidad de respuesta entre las solicitudes y las órdenes de compra, en un tiempo no mayor a 10 días hábiles.</t>
  </si>
  <si>
    <t>Director de Compras y Abastecimiento, Analista de compras</t>
  </si>
  <si>
    <t>Contar con un equipo humano feliz y apasionado, que trabaja de forma colaborativa para alcanzar las metas institucionales</t>
  </si>
  <si>
    <t>Mide el tiempo promedio de respuesta entre la solicitud y contratación del colaborador administrativo.</t>
  </si>
  <si>
    <t>Gerencia de talento humano y comunicaciones</t>
  </si>
  <si>
    <t xml:space="preserve">Director de Gestion de Talento, Gerente de Talento Humano y Comunicacion </t>
  </si>
  <si>
    <t>Característica 9: Capacidad de gestión</t>
  </si>
  <si>
    <t>Medir el porcentaje de contrataciones exitosas que tienen una permanencia superior a 180 días. (Contrato Indefinido)</t>
  </si>
  <si>
    <t>Director de Gestion de Talento</t>
  </si>
  <si>
    <t>Asegurar una arquitectura tecnológica institucional, centrada en la experiencia de la comunidad educativa</t>
  </si>
  <si>
    <t>Contar con una arquitectura IT implementada al 100%, con un 99,7% de disponibilidad</t>
  </si>
  <si>
    <t>Relación disponibilidad servicio infraestructura y comunicaciones.</t>
  </si>
  <si>
    <t>Director de Gobierno Digital</t>
  </si>
  <si>
    <t>Gerente de Tecnologia E Innovacion Dig.
Director de operaciones IT</t>
  </si>
  <si>
    <t>Característica 11: Infraestructura física y tecnológica</t>
  </si>
  <si>
    <t>Historico</t>
  </si>
  <si>
    <t>Impulsar la mejora y optimización de procesos</t>
  </si>
  <si>
    <t>Mide el cumplimiento del programa anual de auditoría</t>
  </si>
  <si>
    <t>Gerencia de planeación y gestión</t>
  </si>
  <si>
    <t>Director de Auditoria Interna</t>
  </si>
  <si>
    <t>Factor 4. Mejoramiento continuo y autorregulación</t>
  </si>
  <si>
    <t>Característica 15: Sistema interno de aseguramiento de la calidad</t>
  </si>
  <si>
    <t>Gerencia de Planeación y Gestión</t>
  </si>
  <si>
    <t>82</t>
  </si>
  <si>
    <t># de rutas diseñadas / #rutas implementadas</t>
  </si>
  <si>
    <t>Garantizar una experiencia significativa y de valor agregado a la comunidad POLI</t>
  </si>
  <si>
    <t>Factor 7. Impacto social</t>
  </si>
  <si>
    <t>83</t>
  </si>
  <si>
    <t>% de cumplimiento de implementación en cada eje</t>
  </si>
  <si>
    <t>% de cumplimiento de reuniones en el periodo.</t>
  </si>
  <si>
    <t>Jefe de Seguridad y Salud En el Trabajo- Analista de SST, Bussiness Partner de Th</t>
  </si>
  <si>
    <t>true</t>
  </si>
  <si>
    <t>Característica 35: Estímulos y apoyos para estudiantes</t>
  </si>
  <si>
    <t>Porcentaje de sedes con Plan de Emergencias</t>
  </si>
  <si>
    <t>Jefe de Seguridad y Salud En el Trabajo- Analista de SST</t>
  </si>
  <si>
    <t>Jefe de Seguridad y Salud En el Trabajo</t>
  </si>
  <si>
    <t>Mide el nivel de accidentes, incidentes o enfermedades investigados en el periodo</t>
  </si>
  <si>
    <t>efe de Seguridad y Salud En el Trabajo- Analista de SST, Bussiness Partner de Th</t>
  </si>
  <si>
    <t>Cumplimiento de estandares minimos en Seguridad y salud en el trabajo
Sumatoria de porcentajes de los ítems evaluados (Ministerio de trabajo y ARL)</t>
  </si>
  <si>
    <t>Característica 13: Cultura de la autoevaluación</t>
  </si>
  <si>
    <t>Seguimiento del cumplimiento de actividades cumplidas del plan de trabajo
1 Semestre parcial y 2 Semestre acumulado</t>
  </si>
  <si>
    <t>% de trabajadores capacitados según plan</t>
  </si>
  <si>
    <t>Factor 10. Comunidad de profesores</t>
  </si>
  <si>
    <t>Característica 31: Desarrollo profesoral</t>
  </si>
  <si>
    <t>% de simulacros ejecutados</t>
  </si>
  <si>
    <t>Evaluación condiciones de salud (examen médico) - 
A partir de 2024 en la línea base se tendrá en cuenta el número total de convocados</t>
  </si>
  <si>
    <t>93</t>
  </si>
  <si>
    <t>% avance plan de implementación</t>
  </si>
  <si>
    <t>Cobertura epp</t>
  </si>
  <si>
    <t>Inducción Institucional</t>
  </si>
  <si>
    <t>Asegurar la alta calidad a nivel institucional</t>
  </si>
  <si>
    <t xml:space="preserve">Al 2025 alcanzar la acreditación institucional en alta calidad de la sede Bogotá </t>
  </si>
  <si>
    <t>Factor 6. Aportes de la investigación, la innovación, el desarrollo tecnológico y la creación al entorno</t>
  </si>
  <si>
    <t>Característica 21: Formación para la investigación, creación e innovación</t>
  </si>
  <si>
    <t>97</t>
  </si>
  <si>
    <t>Diseñar un portafolio relevante y competitivo que garantice el crecimiento continuo del Poli.</t>
  </si>
  <si>
    <t>98</t>
  </si>
  <si>
    <t>Cumplimiento requisitos normativos SST</t>
  </si>
  <si>
    <t>Tasa de accidentalidad Por cada 100 trabajadores expuestos se presentan X accidentes en el período.</t>
  </si>
  <si>
    <t>. Mide el porcentaje (%) de accidentes de trabajo mortales  en el año.</t>
  </si>
  <si>
    <t>108</t>
  </si>
  <si>
    <t>Indica el nivel de satisfacción de los usuarios frente a los servicios que presta el proceso.</t>
  </si>
  <si>
    <t>Analista de arquitectura y mejora de procesos</t>
  </si>
  <si>
    <t>Gerente de Planeacion y Gestion Institu</t>
  </si>
  <si>
    <t>Factor 2. Gobierno institucional y transparencia</t>
  </si>
  <si>
    <t>Característica 5: Relación con grupos de interés</t>
  </si>
  <si>
    <t>108.1</t>
  </si>
  <si>
    <t>Característica 26: Satisfacción del estudiante y del cliente</t>
  </si>
  <si>
    <t>108.10</t>
  </si>
  <si>
    <t>108.11</t>
  </si>
  <si>
    <t>108.12</t>
  </si>
  <si>
    <t>108.13</t>
  </si>
  <si>
    <t>Nivel de Satisfacción Servicios Prestados - Formación para la investigación, creación e innovación</t>
  </si>
  <si>
    <t>108.14</t>
  </si>
  <si>
    <t>Nivel de Satisfacción Servicios Prestados - Registro y Control</t>
  </si>
  <si>
    <t>108.15</t>
  </si>
  <si>
    <t>Nivel de Satisfacción Servicios Prestados - Datos y Analítica</t>
  </si>
  <si>
    <t>108.2</t>
  </si>
  <si>
    <t>108.3</t>
  </si>
  <si>
    <t>Nivel de Satisfacción Servicios Prestados - Servicio de Salud</t>
  </si>
  <si>
    <t>108.4</t>
  </si>
  <si>
    <t>108.5</t>
  </si>
  <si>
    <t>Nivel de Satisfacción Servicios Prestados - Administración de Servicios Generales</t>
  </si>
  <si>
    <t>108.6</t>
  </si>
  <si>
    <t>108.7</t>
  </si>
  <si>
    <t>108.8</t>
  </si>
  <si>
    <t>Nivel de Satisfacción Servicios Prestados - Gestión jurídica y normativa</t>
  </si>
  <si>
    <t>108.9</t>
  </si>
  <si>
    <t>Nivel de Satisfacción Servicios Prestados - Gestión de Proyectos</t>
  </si>
  <si>
    <t>Mide el nivel de satisfacción del proceso</t>
  </si>
  <si>
    <t>GERENCIA DE SERVICIO Y PERMANENCIA</t>
  </si>
  <si>
    <t>Característica 12: Recursos y gestión financiera</t>
  </si>
  <si>
    <t>Director de Compras y Abastecimiento</t>
  </si>
  <si>
    <t>Director de infraestructura- Analista de infraestructura- Jefe de infraestructura - Coordinador administrativo</t>
  </si>
  <si>
    <t>Director de infraestructura- Analista de infraestructura- Coordinador administrativo</t>
  </si>
  <si>
    <t>Jefe de Sistema Integrado, Analista de arquitectura de procesos</t>
  </si>
  <si>
    <t>Gerente de tecnología e innovación digital, Director de infraestructura, Director de gobierno digital</t>
  </si>
  <si>
    <t>Indica el nivel de satisfacción de los usuarios frente al proceso de auditoria interna al sistema integrado</t>
  </si>
  <si>
    <t>Director de Control Interno</t>
  </si>
  <si>
    <t>Lider Sistema de Gestión Ambiental</t>
  </si>
  <si>
    <t>Factor 9. Bienestar institucional</t>
  </si>
  <si>
    <t>Característica 29: Eficiencia en el uso de recursos y reducción de impactos ambientales</t>
  </si>
  <si>
    <t>Director del Sistema Integrado
Analista de arquitectura y mejora de procesos</t>
  </si>
  <si>
    <t>Promover una cultura de optimización de recursos financieros como apalancador de la estrategia</t>
  </si>
  <si>
    <t>Mide la eficiencia presupuestal de la nómina institucional. Este indicador se mide con una frecuencia mensual y cada 12 periodos (cambio de año) se reinician los datos acumulados.</t>
  </si>
  <si>
    <t>Dirección de administración laboral y compensación, Analista de administración laboral y compensación</t>
  </si>
  <si>
    <t>Dirección de administración laboral y compensación</t>
  </si>
  <si>
    <t>Mide la eficacia del Plan documental Institucional durante el periodo
Inicia desde la creación, actualización y eliminación hasta la publicación documental.</t>
  </si>
  <si>
    <t>Director del Sistema Integrado
Analista de Arquitectura y Mejora Procesos
Documentador de procesos Junior</t>
  </si>
  <si>
    <t>Mide la cantidad de accidentes que se presentaron en un periodo, por cada 100 trabajadores.</t>
  </si>
  <si>
    <t>Mide los días perdidos por accidente de trabajo en el mes.</t>
  </si>
  <si>
    <t>Mide los casos de enfermedad laboral en un periodo.</t>
  </si>
  <si>
    <t>Mide los casos nuevos de enfermedad laboral en el periodo</t>
  </si>
  <si>
    <t>mide el % de días programados de trabajo perdidos por incapacidad médica</t>
  </si>
  <si>
    <t>Nivel de Satisfacción Servicios Prestados del proceso Internacionalización</t>
  </si>
  <si>
    <t>Lider de experiencia</t>
  </si>
  <si>
    <t>Factor 8. Visibilidad nacional e internacional</t>
  </si>
  <si>
    <t>Característica 25: Inserción de la institución en contextos académicos nacionales e internacionales</t>
  </si>
  <si>
    <t>Característica 24: Impacto cultural y artístico</t>
  </si>
  <si>
    <t>Característica 17: Componentes formativos</t>
  </si>
  <si>
    <t>Mide la ejecución presupuestal del gasto asignado mensual y acumulado de la Biblioteca</t>
  </si>
  <si>
    <t>Coordinador de Biblioteca</t>
  </si>
  <si>
    <t xml:space="preserve">Director Sistema Nacional de Bibliotecas, Coordinador de Biblioteca
</t>
  </si>
  <si>
    <t>Fortalecer la oferta educativa y la innovación curricular</t>
  </si>
  <si>
    <t>Avanzar en la construcción de una cultura de buena docencia centrada en el estudiante, su aprendizaje y en la excelencia pedagógica del equipo de profesores.</t>
  </si>
  <si>
    <t>Identificar en número de Proyectos de investigación e innovación activos</t>
  </si>
  <si>
    <t>Coordinador de fomento de la investigación
Lider de innovación y propiedad intelectual</t>
  </si>
  <si>
    <t>Característica 22: Investigación, desarrollo tecnológico, innovación y creación</t>
  </si>
  <si>
    <t>Identificar el número de productos de investigación (Nuevo conocimiento, apropiación social del conocimiento, desarrollo técnologico e innovación, formación del recurso humano) creados por cada proyecto asociado.</t>
  </si>
  <si>
    <t>Coordinador de fomento de la investigación</t>
  </si>
  <si>
    <t>Identificar el número de semilleros de investigación, innovación y creación por programa académico</t>
  </si>
  <si>
    <t xml:space="preserve">Director de investigación, innovación y creación, Líder en iniciación científica, </t>
  </si>
  <si>
    <t>Mide el cumplimiento en la participación de docentes vinculados en actividades de investigación vs la meta establecida.</t>
  </si>
  <si>
    <t>Coordinador de fomento de la investigación,
Lider de innovación y propiedad intelectual,
Lider En Iniciacion Cientifica,</t>
  </si>
  <si>
    <t xml:space="preserve">Coordinador de fomento de la investigación, 
Lider de innovación y propiedad intelectual, 
Lider En Iniciacion Cientifica, </t>
  </si>
  <si>
    <t>Mide el porcentaje de grupos de investigación reconocidos y categorizados sobre el total de grupos.
Se realiza seguimiento anual al indicador y el reconocimiento se realizará de acuerdo a las convocatorias definidas por Minciencias.</t>
  </si>
  <si>
    <t>Mide el porcentaje de estudiantes vinculados a investigación sobre el total de estudiantes matriculados</t>
  </si>
  <si>
    <t>Lider en iniciación cientifica</t>
  </si>
  <si>
    <t>Analista de arquitectura de procesos</t>
  </si>
  <si>
    <t>Indica el nivel de satisfacción de los usuarios frente a los servicios que presta el proceso - Recursos Digitales
Entre los sevicios se incluyen bases de datos, libros digitales, revistas, periodicos , portales especializados, actividades culturales y actividades de formación</t>
  </si>
  <si>
    <t>Director Sistema nacional de bibliotecas
Coordinador de biblioteca
Coordinador biblioteca Sede Medellín
Supervisor de recursos especializados</t>
  </si>
  <si>
    <t>Mide la inclusión de las obras y/o productos editoriales en nuevas bases de datos o SIRES académicos.</t>
  </si>
  <si>
    <t>Director Editorial</t>
  </si>
  <si>
    <t>Mide por periodo, el nivel de satisfacción de los colaboradores en las actividades ejecutadas del plan de bienestar</t>
  </si>
  <si>
    <t>Director de Bienestar y Relac. Laborales</t>
  </si>
  <si>
    <t>Característica 33: Derechos y deberes de los estudiantes</t>
  </si>
  <si>
    <t>171</t>
  </si>
  <si>
    <t>Ampliar el alcance del Sistema Integrado - POLISIGS y su apropiación en la comunidad</t>
  </si>
  <si>
    <t>Describe medir el nivel de cumplimiento de las actividades planeadas en el sistema SGC</t>
  </si>
  <si>
    <t>Director del Sistema Integrado</t>
  </si>
  <si>
    <t>Medir el cumplimiento a la planificación de las formaciones del SGC</t>
  </si>
  <si>
    <t>Medición del cierre de las actividades de los planes de acción en los tiempos establecidos.</t>
  </si>
  <si>
    <t>Alcanzar a una satisfacción del servicio superior al 85%.</t>
  </si>
  <si>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</si>
  <si>
    <t>Director de Servicio</t>
  </si>
  <si>
    <t>Gerente de Servicio y Permanencia, Director de Servicio</t>
  </si>
  <si>
    <t>Alcanzar una tasa de permanencia intersemestral superior al 90%</t>
  </si>
  <si>
    <t>Identificar el nivel de estudiantes satisfechos en la institución</t>
  </si>
  <si>
    <t>Gerente de Servicio y Permanencia</t>
  </si>
  <si>
    <t>Innovar en el modelo de bienestar universitario para velar por la calidad de vida de todos los actores del POLI.</t>
  </si>
  <si>
    <t>Medir el nivel de recomendación de la institución-
Debido a la estandarización del proceso no sera medido en 2025-1.</t>
  </si>
  <si>
    <t xml:space="preserve">Director de Experiencia E Inclusion
</t>
  </si>
  <si>
    <t>Permite evaluar el grado de cumplimiento del cronograma de mantenimiento planificado para los equipos</t>
  </si>
  <si>
    <t>Director de infraestructura- Analista de infraestructura- Jefe de infraestructura</t>
  </si>
  <si>
    <t>Director de infraestructura- Analista de infraestructura</t>
  </si>
  <si>
    <t>Medir el cumplimiento de las capacitaciones realizadas según la participación, contribución y la evaluación.</t>
  </si>
  <si>
    <t>Director de Formacion y Desarrollo</t>
  </si>
  <si>
    <t>Contribuir a la formación permanente del equipo humano</t>
  </si>
  <si>
    <t>Medir la efectividad de las capacitaciones con base al indicador de área planteado en el diagnóstico inicial de requerimiento de capacitación.</t>
  </si>
  <si>
    <t xml:space="preserve">Estar en el ranking de la 100 mejores empresas para trabajar en Colombia </t>
  </si>
  <si>
    <t>Medición del estándar de Great Place to work</t>
  </si>
  <si>
    <t>Gerente de Talento Humano y comunicaciones
Director de Bienestar y Relac. Laborales</t>
  </si>
  <si>
    <t>Incrementar los ingresos y el presupuesto de inversión en proyectos institucionales</t>
  </si>
  <si>
    <t>Identificar el % de cumplimiento en el incremento de ingresos 
Reporte del 1 semestre es cierre al mes de junio y el reporte del 2 semestre corresponde al acumulado del año</t>
  </si>
  <si>
    <t>Director de Planeacion Financiera y Teso
Lider Financiero</t>
  </si>
  <si>
    <t>Mide el nivel de caja en el periodo
Reporte del 1 semestre es cierre al mes de junio y el reporte del 2 semestre corresponde al cierre del año</t>
  </si>
  <si>
    <t>Director de Planeación Financiera y Teso
Líder Financiero</t>
  </si>
  <si>
    <t>Valor de ingresos- costos y gastos</t>
  </si>
  <si>
    <t>Director de Planeacion Financiera y Teso , Líder Financiero</t>
  </si>
  <si>
    <t>Director de Planeacion Financiera y Teso, Líder Financiero</t>
  </si>
  <si>
    <t>Permite medir la reinversión de la utilidad neta del año inmediatamente anterior en inversión</t>
  </si>
  <si>
    <t>Director de Planeación Financiera y Teso, Lider Financiero</t>
  </si>
  <si>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</si>
  <si>
    <t>Director de Planeacion Financiera y Teso, Lider financiero</t>
  </si>
  <si>
    <t>Contribuir a la inclusión, la proyección social y el cuidado del medio ambiente</t>
  </si>
  <si>
    <t>Líder Sistema de Gestión Ambiental</t>
  </si>
  <si>
    <t>210</t>
  </si>
  <si>
    <t xml:space="preserve">Líder Sistema de Gestión Ambiental
</t>
  </si>
  <si>
    <t>Característica 14. Procesos de autorregulación</t>
  </si>
  <si>
    <t>Dar cumplimiento al 100% de los estándares máximos permisibles de niveles emisión de ruido por fuentes internas, según el Artículo No. 9 de la Resolución No. 627 de 2006.</t>
  </si>
  <si>
    <t>EDGAR CAMILO CHACON MATAJUDÍOS</t>
  </si>
  <si>
    <t>Promover una cultura de protección y cuidado del medio ambiente</t>
  </si>
  <si>
    <t>Lider del Sistema de Gestión Ambiental</t>
  </si>
  <si>
    <t>Lider Sistema de Gestion Ambiental</t>
  </si>
  <si>
    <t>Contar con una asistencia del 35% de las personas citadas o esperadas a los eventos de formación en materia ambiental.</t>
  </si>
  <si>
    <t xml:space="preserve">Lider Sistema de Gestión Ambiental
</t>
  </si>
  <si>
    <t>237</t>
  </si>
  <si>
    <t>Cumplimiento Proyecto nuevo Polisigs</t>
  </si>
  <si>
    <t>Proteger el medio ambiente aplicando controles de prevención, mitigación, corrección y/o compensación, garantizando el uso sostenible de los recursos naturales, la preservación de la biodiversidad y los ecosistemas.</t>
  </si>
  <si>
    <t>Identificar el número de proyectos activos por etapa</t>
  </si>
  <si>
    <t>LIDER DE PROYECTOS</t>
  </si>
  <si>
    <t>Garantizar que los proyectos que se cierren cuenten con todas las evidencias de las actividades ejecutadas y los entregables definidos en el caso de negocio</t>
  </si>
  <si>
    <t>Garantizar que los proyectos cumplan la etapa de planeación (Caso de negocio y cronograma) previo a la ejecución.</t>
  </si>
  <si>
    <t>Lograr ubicarnos entre las primeras 20 instituciones de educación superior en el ranking nacional de campus verdes y sostenibilidad ambiental  GreenMetric.</t>
  </si>
  <si>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</si>
  <si>
    <t>Gerente de Servicio y Permanencia, Director de Permanencia</t>
  </si>
  <si>
    <t>Medir el nivel de satisfacción del proceso de grado presencial 2024</t>
  </si>
  <si>
    <t xml:space="preserve">Director Nac Admisiones, Registro y Cont
</t>
  </si>
  <si>
    <t>Innovar en el currículo</t>
  </si>
  <si>
    <t>Característica 18: Componentes pedagógicos y de evaluación</t>
  </si>
  <si>
    <t>Identificar el número de procesos con CMI Cuadros de mando integral definidos sobre el total de subprocesos activos</t>
  </si>
  <si>
    <t>Especialista de medición y mejora</t>
  </si>
  <si>
    <t xml:space="preserve">Mide el porcentaje de estudiantes que ingresan por primera vez a la institución en un periodo académico y que continúan matriculados en el periodo académico inmediato siguiente. </t>
  </si>
  <si>
    <t>Identificar el número de áreas que reportaron el avance del plan de retos dentro de los tiempos establecidos</t>
  </si>
  <si>
    <t>Especialista de planeación estratégica</t>
  </si>
  <si>
    <t>Característica 14: Procesos de autorregulación</t>
  </si>
  <si>
    <t>Identificar la variación del indice (H1 - H5)</t>
  </si>
  <si>
    <t>Mide el número de publicaciones editadas por la editorial</t>
  </si>
  <si>
    <t>Medir el número de indicadores que reportaron indicadores dentro de los tiempos establecidos revisar</t>
  </si>
  <si>
    <t>Mide el nivel de esfuerzo percibido por los estudiantes antiguos al realizar el proceso de rematrícula (inscripción, pago, validación y registro). Un valor bajo indica menor fricción y mejor experiencia.</t>
  </si>
  <si>
    <t>Gerente de Servicio y Permanencia, Director de rematricula</t>
  </si>
  <si>
    <t>Medir el nivel de esfuerzo para el proceso de Saber Pro</t>
  </si>
  <si>
    <t>Gerente de Servicio y Permanencia, Director de servicio</t>
  </si>
  <si>
    <t>Jefe de Pqrs y Litigios</t>
  </si>
  <si>
    <t>Característica 6: Rendición de cuentas</t>
  </si>
  <si>
    <t xml:space="preserve">Medir el nivel de oportunidad en la solución de PQRS de solicitudes de derecho de petición, requemientos del ministerio, tutelas y de otras entidades de acuerdo a los días definidos en el Manual gestión PQRSDF y Requerimientos
  </t>
  </si>
  <si>
    <t>Identificar el cumplimiento en la emisión de conceptos jurídicos para educación</t>
  </si>
  <si>
    <t>Identificar el cumplimiento en la emisión de conceptos jurídicos, Educación y todo tipo de normativa aplicable</t>
  </si>
  <si>
    <t>Director Jurídico</t>
  </si>
  <si>
    <t>2023-2026 T1
Identificar la oportunidad en la elaboración de contratos.
2026 T2
Identificar la oportunidad en el ciclo de solicitud de contratos que incluye las etapas (Solicitud, elaboración, revisión y firma)</t>
  </si>
  <si>
    <t>267</t>
  </si>
  <si>
    <t>Medir la cantidad de usuarios que acceden a los servicios del centro de medios audiovisuales</t>
  </si>
  <si>
    <t>Director centro de medios</t>
  </si>
  <si>
    <t>Medir el número de personas asignadas en promedio para eventos</t>
  </si>
  <si>
    <t>Medir el número de horas promedio utilizadas para la ejecución de eventos</t>
  </si>
  <si>
    <t>Medir el número de horas promedio utilizadas para la solución de solicitudes</t>
  </si>
  <si>
    <t>Característica 16: Evaluación de directivas, profesores y personal administrativo</t>
  </si>
  <si>
    <t>Identificar el número de programas con condiciones iniciales elaboradas y analizadas institucionalmente</t>
  </si>
  <si>
    <t>Director de aseguramiento de calidad, Analista de aseguramiento de la calidad</t>
  </si>
  <si>
    <t xml:space="preserve">Mide el grado de cumplimiento de la meta institucional de matrícula de estudiantes antiguos en un periodo determinado. </t>
  </si>
  <si>
    <t>Director de Rematriculas</t>
  </si>
  <si>
    <t>Mide el nivel de Satisfacción Institucional de los grupos de interés principales (Estudiantes, Docentes, Administrativos) en el periodo</t>
  </si>
  <si>
    <t xml:space="preserve">Identificar la relación estudiante vs docentes tiempo completo y fijo tiempo completo 11 meses	</t>
  </si>
  <si>
    <t>Secretaría académica y de docencia
Coordinador de Gestión Docente
Coordinadora de desarrollo docente</t>
  </si>
  <si>
    <t>Característica 19: Componente de interacción y relevancia social</t>
  </si>
  <si>
    <t xml:space="preserve">Secretaría académica y de docencia
Profesor Tiempo Completo Auxiliar - Coor. Desarrollo Docente   
Profesor Tiempo Completo Inicial - Coor. Gestion Docente </t>
  </si>
  <si>
    <t>Identificar en número de docentes contratados</t>
  </si>
  <si>
    <t>Dirección de docencia
Coordinador de Gestión Docente
Coordinador de Desarrollo Docente</t>
  </si>
  <si>
    <t>Característica 29: Planta profesoral</t>
  </si>
  <si>
    <t>Identificar el nivel de docentes evaluados sobre el total de docentes</t>
  </si>
  <si>
    <t>Secretaría académica y de docencia
Coordinación de Gestión Docente
Coordinación de Desarrollo Docente</t>
  </si>
  <si>
    <t>Característica 32: Interacción académica de los profesores</t>
  </si>
  <si>
    <t>Identificar resultado promedio de la evaluación docente institucional</t>
  </si>
  <si>
    <t>Secretaría académica y de docencia
Coordinador de Gestión Docente
Coordinador de Desarrollo Docente</t>
  </si>
  <si>
    <t>Característica 30: Trayectoria profesoral</t>
  </si>
  <si>
    <t>Identificar el nivel de docentes contratados que cuenta con un plan de trabajo asignado</t>
  </si>
  <si>
    <t>Dirección de docencia
Coordinación de Gestión Docente
Coordinación de Desarrollo Docente</t>
  </si>
  <si>
    <t>Identificar el número de docentes contratados por nivel de formación - Metrica</t>
  </si>
  <si>
    <t>Dirección de docencia
Coordinación de Desarrollo Docente
Coordinación de Gestión Docente</t>
  </si>
  <si>
    <t>287</t>
  </si>
  <si>
    <t>Número docentes escalafonados</t>
  </si>
  <si>
    <t>Identificar el nivel de docentes escalafonados en el periodo contra el total de docentes escalafonables que cumplen con los requisitos de la convocatoria - Metrica</t>
  </si>
  <si>
    <t xml:space="preserve">Secretaría académica y de docencia
</t>
  </si>
  <si>
    <t>Describe medir el nivel de cumplimiento de las actividades planeadas en el plan de comunicación SGC</t>
  </si>
  <si>
    <t>Mide el nivel de cierre efizaz de oportunides de mejora por tipologia</t>
  </si>
  <si>
    <t>Medir en nivel de cumplimiento de las actividades planificadas en el cronograma de actividades deportivas</t>
  </si>
  <si>
    <t>Jefe de cultura y deporte</t>
  </si>
  <si>
    <t>Medir el nivel de participación de la población en las actividades deportivas presenciales</t>
  </si>
  <si>
    <t>Medir en nivel de cumplimiento de las actividades planificadas en el cronograma de actividades culturales</t>
  </si>
  <si>
    <t>Cumplimiento Del Cierre Oportuno De Oportunidades De Mejora De Auditoria</t>
  </si>
  <si>
    <t>Medir el nivel de cumplimiento en las inspecciones de control planeadas.</t>
  </si>
  <si>
    <t>Director de Servicios Administrativos
Coordinador Administrativo</t>
  </si>
  <si>
    <t>Identificar el nivel de cumplimiento del plan de trabajo de servicios de aseo, seguridad y transporte</t>
  </si>
  <si>
    <t>Director de Servicios Administrativos</t>
  </si>
  <si>
    <t>Medir la cantidad de solicitudes radicadas por tipología</t>
  </si>
  <si>
    <t>Medir el nivel de cumplimiento de las actividades definidas en el cronograma de actividades de salud.</t>
  </si>
  <si>
    <t>Medico</t>
  </si>
  <si>
    <t>Medir el impacto en la población de las campañas de promoción y prevención</t>
  </si>
  <si>
    <t>Medir el nivel de cumplimiento del plan anual de mantenimiento de equipos médicos</t>
  </si>
  <si>
    <t>Medir el nivel de cumplimiento de los KPI asociados a las líneas estratégica del Plan de desarrollo institucional</t>
  </si>
  <si>
    <t>Identificar el número de eventos de visibilidad nacional e internacional ejecutados vs planeado.</t>
  </si>
  <si>
    <t>Directora oficina de relaciones nacionales e internacionales</t>
  </si>
  <si>
    <t>Medir el nivel de movilidad entrante profesores</t>
  </si>
  <si>
    <t>Medir el nivel de movilidad docente salientes</t>
  </si>
  <si>
    <t>Medir el nivel de movilidad entrante de estudiantes</t>
  </si>
  <si>
    <t>Medir el nivel de movilidad salientes estudiantes</t>
  </si>
  <si>
    <t>Medir el numero de clases espejo realizadas vs planeadas</t>
  </si>
  <si>
    <t>Medir los seminarios y cursos internacionales virtuales impartidos y certificados por entidades externas</t>
  </si>
  <si>
    <t>Medir el número de asignaturas COIL realizadas</t>
  </si>
  <si>
    <t>Medir el nivel de convenios y alianzas activos en los últimos 5 años</t>
  </si>
  <si>
    <t>Medir el nivel de cumplimiento de la gestión de internacionalización descrito en el plan de trabajo de la ORNI</t>
  </si>
  <si>
    <t>Mide el número de docentes de todas las sedes que participan en eventos académicos internacionales</t>
  </si>
  <si>
    <t>Contar con un portafolio de programas académicos innovador de calidad, pertinente y flexible, que responda a las necesidades del estudiante y del entorno.</t>
  </si>
  <si>
    <t>Identificar el número de renovaciones de registro calificado aprobadas</t>
  </si>
  <si>
    <t>Director de aseguramiento de calidad, 
Analista senior de aseguramiento de la calidad</t>
  </si>
  <si>
    <t>Director de aseguramiento de calidad
Analista senior de aseguramiento de la calidad</t>
  </si>
  <si>
    <t>Mide el número de programas nuevos radicados en el Ministerio de Educación</t>
  </si>
  <si>
    <t>Coordinadora de gestión de la información, Analista senior de aseguramiento de la calidad</t>
  </si>
  <si>
    <t>Director de aseguramiento de calidad, Analista senior de aseguramiento de la calidad</t>
  </si>
  <si>
    <t>Mide el número de programas nuevos con registro calificado aprobado</t>
  </si>
  <si>
    <t>325.1</t>
  </si>
  <si>
    <t>325.2</t>
  </si>
  <si>
    <t>Mide el número de informes de autoevaluación con fines de acreditación en alta calidad radicados</t>
  </si>
  <si>
    <t>Mide el número de programas con obtención de acreditación por primera vez- Metrica</t>
  </si>
  <si>
    <t>Medir el nivel de encuestas obtenidas en el encuentro institucional de graduados</t>
  </si>
  <si>
    <t>Dirección de graduados y proyección empresarial
Jefatura de graduados</t>
  </si>
  <si>
    <t>Factor 12. Comunidad de egresados</t>
  </si>
  <si>
    <t>Característica 37: Egresados y programas académicos</t>
  </si>
  <si>
    <t>Mejorar la empleabilidad de nuestros graduados</t>
  </si>
  <si>
    <t>Medir el nivel de empleabilidad de los graduados</t>
  </si>
  <si>
    <t>Implementar el Plan Talento para colaboradores alineado con la estrategia.</t>
  </si>
  <si>
    <t>Medir el nivel de rotación del talento humano en la institución (Contratos termino indefinido)</t>
  </si>
  <si>
    <t>Director de Admon Laboral y Compensacion</t>
  </si>
  <si>
    <t>Mide el resultado de la evaluación 360-por competencias en la institución</t>
  </si>
  <si>
    <t>Mide el % de respuesta a las necesidades identificadas en el diagnostico de capacitación por área</t>
  </si>
  <si>
    <t xml:space="preserve">Medir el número de materiales bibliográficos físicos con estado de perdida en todas la sedes
</t>
  </si>
  <si>
    <t>Director Sistema Nacional de Bibliotecas, Coordinador de gestión de colecciones, Coordinador de biblioteca Sede Medellín</t>
  </si>
  <si>
    <t>Mide el número de programas con renovación de acreditación en alta calidad durante el periodo evaluado - Metrica</t>
  </si>
  <si>
    <t>Ampliar el número de programas acreditables acreditados  en sede Bogotá</t>
  </si>
  <si>
    <t>Mide el número de programas con condiciones iniciales aprobadas (indicador externo)- - Metrica</t>
  </si>
  <si>
    <t>Identificar en número de programas acreditables acreditados en la Sede Bogotá</t>
  </si>
  <si>
    <t>Medir el avance de las actividades programadas en el cronograma de revisiones locativas</t>
  </si>
  <si>
    <t>Mide la capacidad del proceso de abastecimiento para generar ahorros frente al presupuesto estimado, a través de estrategias como negociación con proveedores o consolidación de compras entre otras.</t>
  </si>
  <si>
    <t>Mide el nivel de cobertura de la inducción institucional sobre los nuevos ingresos</t>
  </si>
  <si>
    <t>Director de gestión de talento</t>
  </si>
  <si>
    <t>Identificar el % de profesores termino indefinido impactados con las actividades de bienestar</t>
  </si>
  <si>
    <t>Mide el número de anticipos pendientes por legalizar no mayores a 45 días</t>
  </si>
  <si>
    <t>Jefe de cuentas por pagar y activos fijos, Especialista de contabilidad</t>
  </si>
  <si>
    <t>Director de contabilidad, Jefe de cuentas por pagar y activos fijos</t>
  </si>
  <si>
    <t>Mide el nivel de cargue de las cuentas por pagar mediente el control de los expedientes de proveedores radicados y contabilizados</t>
  </si>
  <si>
    <t>Jefe de cuentas por pagar y activos fijos</t>
  </si>
  <si>
    <t>Director de contabilidad</t>
  </si>
  <si>
    <t>349</t>
  </si>
  <si>
    <t>350</t>
  </si>
  <si>
    <t>Mide el nivel de partidas conciliatorias mayor de 180 días vs total de partidas conciliatorias</t>
  </si>
  <si>
    <t xml:space="preserve"> Analista de contabilidad</t>
  </si>
  <si>
    <t>Mide el porcentaje de facturas emitidas que presentan errores, inconsistencias o requieren corrección posterior respecto al total de facturas generadas en el periodo.</t>
  </si>
  <si>
    <t>Analista de contabilidad</t>
  </si>
  <si>
    <t>Promover el uso de los datos, a partir del diseño e implementación de soluciones analíticas</t>
  </si>
  <si>
    <t>Característica 14: Formación y desarrollo tecnológico</t>
  </si>
  <si>
    <t>Medir el nivel de liquidez financiero de la institución en el periodo</t>
  </si>
  <si>
    <t>Director de planeación financiera y tesoreria, Lider Financiero</t>
  </si>
  <si>
    <t xml:space="preserve">Mide el Índice de Endeudamiento 
</t>
  </si>
  <si>
    <t>Medir el nivel de cartera mayor a 360 días</t>
  </si>
  <si>
    <t>Medir el nivel de acompañamiento a los estudiantes en practicas</t>
  </si>
  <si>
    <t>Jefe de prácticas</t>
  </si>
  <si>
    <t>Mide el nivel de Satisfacción Institucional  promedio de los instrumentos que se miden en los diferentes procesos institucionales</t>
  </si>
  <si>
    <t>Director de Experiencia E Inclusion</t>
  </si>
  <si>
    <t>Mantener altos índices de inclusión institucional</t>
  </si>
  <si>
    <t>Medir la percepción de practicas inclusivas alineadas a los 12 factores de acreditación a nivel institucional</t>
  </si>
  <si>
    <t>Asegurar la matrícula académica de los estudiantes que cumplan las condiciones financieras y académicas pregrado y posgrado presencial</t>
  </si>
  <si>
    <t>Lider programación académica</t>
  </si>
  <si>
    <t>Lider programación académica, 
Director de operaciones pregrado y posgrado</t>
  </si>
  <si>
    <t>Asegurar la parametrización de las Máster para garantizar la salida a producción de cada una de las cohortes en su asignación de fechas y el funcionamiento de los diferentes enlaces en las asignaturas.</t>
  </si>
  <si>
    <t>Líder de Ambientes de Aprendizaje</t>
  </si>
  <si>
    <t xml:space="preserve">Líder de Ambientes de Aprendizaje, Director de operaciones pregrado y posgrado
</t>
  </si>
  <si>
    <t xml:space="preserve">Propiciar espacios de interacción con la comunidad del entorno </t>
  </si>
  <si>
    <t>Jefe de servicios de bienestar y huella grancolombiana, Profesional en proyección y responsabilidad social</t>
  </si>
  <si>
    <t>Asegurar la normalización de cobros de estudiantes nuevos antes de pecuniarios</t>
  </si>
  <si>
    <t>Jefe Procesos Financieros S.I.S y Ux</t>
  </si>
  <si>
    <t>Jefe Procesos Financieros S.I.S y Ux, Director de operaciones pregrado y posgrado</t>
  </si>
  <si>
    <t>Mantener hasta el 5% de estudiantes becados, sobre el total de estudiantes</t>
  </si>
  <si>
    <t>Medir el nivel de estudiantes becados vs total de estudiantes</t>
  </si>
  <si>
    <t>Jefe de servicios de bienestar y huella grancolombiana, Coordinadora Huella Grancolombiana regional norte</t>
  </si>
  <si>
    <t>Operación de Nuevos Negocios y CI</t>
  </si>
  <si>
    <t>Impulsar y potenciar la educación continua</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</si>
  <si>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</si>
  <si>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 xml:space="preserve">Director de Operac. Nuevos Negocios y Ci
Coordinador Proyectos Eplv
Jefe de Proyectos B2B   
Jefe de Proyectos B2G   
Lider Articulación de Proyectos  </t>
  </si>
  <si>
    <t>Director de Operac. Nuevos Negocios y Ci</t>
  </si>
  <si>
    <t>Identificar el numero de participantes en Poli-Voluntariados</t>
  </si>
  <si>
    <t>Característica 39: Gestión ambiental</t>
  </si>
  <si>
    <t>Medir los recursos recaudados para la financiación de actividades de la institución-
(A partir de 2025 solo se tiene  en cuenta los convenios nuevos en la meta de recaudación)</t>
  </si>
  <si>
    <t>Jefe de servicios de bienestar y huella grancolombiana</t>
  </si>
  <si>
    <t xml:space="preserve">Jefe de servicios de bienestar y huella grancolombiana
</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</si>
  <si>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</si>
  <si>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 xml:space="preserve">Director de operaciones nuevos negocios y CI
Coordinador Proyectos Eplv     
Jefe de Proyectos B2b   
Jefe de Proyectos B2g   
Lider Articulacion de Proyectos  </t>
  </si>
  <si>
    <t>Identificar el nivel de cumplimiento de los planes anuales por línea estratégica</t>
  </si>
  <si>
    <t>Asegurar la configuración en 100% del catálogo de asignaturas de Pregrado y Posgrado, modalidad presencial como insumo para la Programación Académica</t>
  </si>
  <si>
    <t>Jefe Funcional Procesos Academicos S.I.S</t>
  </si>
  <si>
    <t>Jefe Funcional Procesos Académicos S.I.S, Director de operaciones pregrado y posgrado</t>
  </si>
  <si>
    <t>Mide el cumplimiento del EBITDA
El primer semestre corresponde al corte de junio y segundo semestre a acumulado de enero a diciembre</t>
  </si>
  <si>
    <t>Director de Planeacion Financiera y Teso, Lider Financiero</t>
  </si>
  <si>
    <t>Medir el nivel de inversión en activos a largo plazo</t>
  </si>
  <si>
    <t>Nivel de cumplimiento acumulativo en la ejecución de los proyectos de infraestructura tecnológica</t>
  </si>
  <si>
    <t>Director de Desarrollo E Innovacion Dig.</t>
  </si>
  <si>
    <t>Medir el cumplimiento de estudiantes nuevos matriculados en la institución</t>
  </si>
  <si>
    <t>Gerente de Matriculas</t>
  </si>
  <si>
    <t>Identificar el nivel de ingresos generado por las matriculas de estudiantes nuevos</t>
  </si>
  <si>
    <t>Medir el cumplimiento de estudiantes nuevos matriculados en la modalidad pregrado presencial</t>
  </si>
  <si>
    <t>Gerente de Matriculas, Director de gestión comercial y canales</t>
  </si>
  <si>
    <t>Medir el cumplimiento de estudiantes nuevos matriculados en la modalidad pregrado virtual</t>
  </si>
  <si>
    <t>Medir el cumplimiento de estudiantes nuevos matriculados en la modalidad posgrado virtual</t>
  </si>
  <si>
    <t>Medir el cumplimiento de estudiantes nuevos matriculados en la modalidad posgrado presencial</t>
  </si>
  <si>
    <t>Incrementar en más del 50% los ingresos de B2B Y B2G para el año 2026</t>
  </si>
  <si>
    <t>Identificar el nivel de cumplimiento en ingresos totales generados por educación para toda la vida</t>
  </si>
  <si>
    <t>Identificar el nivel de ingresos generados en cada línea para educación para toda la vida</t>
  </si>
  <si>
    <t>Total Ingresos B2B</t>
  </si>
  <si>
    <t>Tasa de permanencia por escuela</t>
  </si>
  <si>
    <t>Decanos y directores de escuela</t>
  </si>
  <si>
    <t>Plan de retos</t>
  </si>
  <si>
    <t>Medir el nivel de cumplimiento de las escuelas en los planes anuales definidos</t>
  </si>
  <si>
    <t>Plan anual Escuela De Marketing Y Branding</t>
  </si>
  <si>
    <t>Medir el nivel de satisfacción del cliente con campañas integradas de marketing</t>
  </si>
  <si>
    <t>Monto de ahorro de las campañas de marketing integrado durante el periodo</t>
  </si>
  <si>
    <t>Mide el número de días empleados en el desarrollo de las solicitudes, 
A partir de 2025 la fecha de inicio se medira desde el momento en que el proceso reciba los recursos necesarios para iniciar el desarrollo.</t>
  </si>
  <si>
    <t>DIRECTOR AGENCIA TROMPO, Ejecutivo de cuenta</t>
  </si>
  <si>
    <t>Medir el número de publicaciones realizadas por la institución en los medios Tier 1 y Tier 2.</t>
  </si>
  <si>
    <t>JEFE DE PRENSA</t>
  </si>
  <si>
    <t xml:space="preserve">Director de Comun. Externas Sed Medellin, Jefe de prensa
</t>
  </si>
  <si>
    <t xml:space="preserve">Director de Comun. Externas Sed Medellin, Jefe de prensa
</t>
  </si>
  <si>
    <t>Medir el número de publicaciones realizadas en el campus virtual durante el periodo</t>
  </si>
  <si>
    <t>Coordinador de gestión de contenidos</t>
  </si>
  <si>
    <t>Medir el nivel de cumplimiento en la gestión de casos del estudio de grabación virtual</t>
  </si>
  <si>
    <t>Coordinador de Estudio de Grabacion Virt</t>
  </si>
  <si>
    <t>Coordinador de estudio de grabación Virt</t>
  </si>
  <si>
    <t>Medir el nivel de participación en las actividades de cultura y formación emprendedora (Internos - Externos)</t>
  </si>
  <si>
    <t>Wilinton Javier Ortiz Amador</t>
  </si>
  <si>
    <t>Medir el número de sesiones asesorías a emprendedores en el periodo vs sesiones proyectadas</t>
  </si>
  <si>
    <t>Medir  el número de proyectos de emprendimiento que empiezan a generar ingresos por ventas</t>
  </si>
  <si>
    <t>Medir el porcentaje de MI-ebooks elaborados en el periodo vs el proyectado</t>
  </si>
  <si>
    <t>Coor. de Innovacion y Desarrollo Virtual</t>
  </si>
  <si>
    <t>Director Crea
Coor. de Innovacion y Desarrollo Virtual</t>
  </si>
  <si>
    <t>Medir el número de usuarios que han utilizado los MI-Books - Metrica</t>
  </si>
  <si>
    <t>Medir el número de estudiantes que utilizan los ambientes inmersivos - Metrica</t>
  </si>
  <si>
    <t>Profesor Tiempo Completo Investigador Titular - Coor Proyectos Especiales</t>
  </si>
  <si>
    <t>Medir el nivel de casos reportados por simuladores vs el total de estudiantes que simularon</t>
  </si>
  <si>
    <t>Profesor Tiempo Completo Inicial Titular - Coor Proyectos Especiales</t>
  </si>
  <si>
    <t>Medir el avance del Proyecto de reingenieria y arquitectura de software LEI</t>
  </si>
  <si>
    <t>Coordinadora de gestión de la información</t>
  </si>
  <si>
    <t>Director de aseguramiento de calidad</t>
  </si>
  <si>
    <t>Medir el nivel de oportunidad en los tiempos de entrega de envios</t>
  </si>
  <si>
    <t>Participación en 2 eventos externos de impacto</t>
  </si>
  <si>
    <t xml:space="preserve">Director de Relaciones Publicas y Protoc
</t>
  </si>
  <si>
    <t>Medir la participación del Poli en eventos en los que la institución participa como sede o patrocinador</t>
  </si>
  <si>
    <t>Director de Relaciones Publicas y Protoc</t>
  </si>
  <si>
    <t>Medir el nivel de cumplimiento los planes anuales de las áreas que integran la rectoría</t>
  </si>
  <si>
    <t>Plan anual Vicerrectoría de crecimiento</t>
  </si>
  <si>
    <t>Plan anual Vicerrectoría del estudiante</t>
  </si>
  <si>
    <t>Plan anual Vicerrectoría financiera</t>
  </si>
  <si>
    <t>Plan anual Vicerrectoría academica</t>
  </si>
  <si>
    <t>Plan anual Gerencia de estrategia</t>
  </si>
  <si>
    <t>Plan anual Gerencia de talento humano y desarrollo</t>
  </si>
  <si>
    <t>Gestión y desarrollo del talento humano</t>
  </si>
  <si>
    <t>Plan anual Gerencia de Medellín</t>
  </si>
  <si>
    <t>Plan anual Gerencia de educación Virtual</t>
  </si>
  <si>
    <t>Medir el nivel de cumplimiento los planes anuales de las áreas que integran la vicerrectoría</t>
  </si>
  <si>
    <t>Plan anual Gerencia de operaciones</t>
  </si>
  <si>
    <t>Plan anual Director de operaciones integrales</t>
  </si>
  <si>
    <t>Plan anual Director de permanencia</t>
  </si>
  <si>
    <t>Plan anual Director de servicio</t>
  </si>
  <si>
    <t>Plan anual Director de operaciones IT</t>
  </si>
  <si>
    <t>Plan anual Gerencia de servicio y permanencia</t>
  </si>
  <si>
    <t>Plan anual Facultad registro y control</t>
  </si>
  <si>
    <t>Plan anual Dirección de experiencia e inclusión</t>
  </si>
  <si>
    <t>Plan anual Direccion bienestar universitario y huella grancolombiana</t>
  </si>
  <si>
    <t>Plan anual Director de gobierno digital</t>
  </si>
  <si>
    <t>Plan anual Gerente de innovación y producto</t>
  </si>
  <si>
    <t>Plan anual Dirección de desarrollo e innovación</t>
  </si>
  <si>
    <t>Plan anual Gerencia de matriculas</t>
  </si>
  <si>
    <t>Plan anual Gerencia de mercadeo</t>
  </si>
  <si>
    <t>Plan anual Gerencia de servicios corporativos</t>
  </si>
  <si>
    <t>Plan anual Director B2B y B2C</t>
  </si>
  <si>
    <t>Plan anual Director de producto</t>
  </si>
  <si>
    <t>Plan anual Director de estrategia de marca</t>
  </si>
  <si>
    <t>416.7</t>
  </si>
  <si>
    <t>Plan anual COORDINACIÓN COMERCIAL B2G</t>
  </si>
  <si>
    <t>416.8</t>
  </si>
  <si>
    <t>Plan anual JEFE DE SERVICIO</t>
  </si>
  <si>
    <t>Plan anual Dirección de contabilidad</t>
  </si>
  <si>
    <t>Plan anual Dirección de infraestructura</t>
  </si>
  <si>
    <t>Plan anual Dirección planeación financiera y tesorería</t>
  </si>
  <si>
    <t>Plan anual Dirección de servicios administrativos</t>
  </si>
  <si>
    <t>Plan anual Dirección de compras y abastecimiento</t>
  </si>
  <si>
    <t>Plan anual Dirección de relacionamiento de CSU</t>
  </si>
  <si>
    <t>Plan anual Dirección aseguramiento de la calidad</t>
  </si>
  <si>
    <t>Plan anual Dirección investigación innovación y creación</t>
  </si>
  <si>
    <t>Plan anual Dirección relaciones nacionales e internacionales</t>
  </si>
  <si>
    <t>Plan anual Secretaria academica y de extensión</t>
  </si>
  <si>
    <t>Plan anual Dirección  de docencia</t>
  </si>
  <si>
    <t>Plan anual Dirección de currículo presencial y virtual</t>
  </si>
  <si>
    <t>Plan anual Facultad ingeniería diseño e innovación</t>
  </si>
  <si>
    <t>Plan anual Facultad negocios gestión y sostenibilidad</t>
  </si>
  <si>
    <t>Plan anual Facultad sociedad cultura y creatividad</t>
  </si>
  <si>
    <t>Medir el nivel de cumplimiento los planes anuales de las áreas que integran la gerencia</t>
  </si>
  <si>
    <t>Plan anual SGC</t>
  </si>
  <si>
    <t>Plan anual SGA</t>
  </si>
  <si>
    <t>Plan anual Riesgos</t>
  </si>
  <si>
    <t>Plan anual Auditoría</t>
  </si>
  <si>
    <t>Plan anual Direccionamiento estratégico</t>
  </si>
  <si>
    <t>Plan anual Estudios Internos</t>
  </si>
  <si>
    <t>Identificar el cumplimiento entre número de leads obtenidos por canal de captación y el Budget establecido</t>
  </si>
  <si>
    <t>Gerente de mercadeo
Director de marca y desarrollo de canales
Director de desarrollo de mercado</t>
  </si>
  <si>
    <t>Identificar la tasa de conversión de los leads en matriculas</t>
  </si>
  <si>
    <t>Gerente de mercadeo, Director de marca y desarrollo de canale</t>
  </si>
  <si>
    <t>Posicionar al POLI como una de las opciones más atractivas para iniciar los estudios de educación superior.</t>
  </si>
  <si>
    <t>Evalúa el valor percibido de la marca institucional en el mercado, considerando aspectos como reconocimiento, preferencia y percepción del público objetivo</t>
  </si>
  <si>
    <t>Gerente de mercadeo- Director de marca y desarrollo de canales - Director de desarrollo de mercado</t>
  </si>
  <si>
    <t>Identificar el nivel de adopción del conocimiento espontaneo</t>
  </si>
  <si>
    <t>Medir el nivel de cumplimiento en Leads Educación para la vida</t>
  </si>
  <si>
    <t>Gerente de mercadeo</t>
  </si>
  <si>
    <t>Identificar el nivel de cumplimiento de las solicitudes de comunicaciones internas realizadas</t>
  </si>
  <si>
    <t xml:space="preserve">Director de Comunicaciones Interna
</t>
  </si>
  <si>
    <t xml:space="preserve">Medir el nivel  de cumplimiento de los ingresos generados por matriculas y nivel, 
Reporte del 1 semestre es cierre al mes de junio y el reporte del 2 semestre corresponde al acumulado del año
</t>
  </si>
  <si>
    <t>Medir el nivel de casos de salud que impactan a los colaboradores</t>
  </si>
  <si>
    <t>Identificar las actividades realizadas en pro de la gestión del riesgo de los colaboradores</t>
  </si>
  <si>
    <t>Característica 5: Identificación, evaluación y control de riesgos</t>
  </si>
  <si>
    <t>Mide el tiempo en días habiles promedio desde la solicitud (Modificación, Creación, Eliminación) del documento hasta la oficialización del documento en Kawak. Documentos Operativos (Procedimientos, manuales, formatos, caracterización, programas)</t>
  </si>
  <si>
    <t>Director del Sistema Integrado
Analista de arquitectura y mejora de procesos
Documentador de procesos Junior</t>
  </si>
  <si>
    <t>Indica el nivel de satisfacción de los usuarios frente a los servicios que presta el proceso CSAT.</t>
  </si>
  <si>
    <t>PROFESIONAL DE RIESGOS</t>
  </si>
  <si>
    <t>Asegurar la configuración en 100% del catálogo de asignaturas de Pregrado y Posgrado, modalidad virtual como insumo para la Programación Académica.</t>
  </si>
  <si>
    <t>Jefe Funcional Procesos Academicos S.I.S, Director de operaciones pregrado y posgrado</t>
  </si>
  <si>
    <t>Asegurar la matrícula académica de los estudiantes que cumplan las condiciones financieras y académicas pregrado y posgrado virtual</t>
  </si>
  <si>
    <t>Lider programación académica, Director de operaciones pregrado y posgrado</t>
  </si>
  <si>
    <t>Identificar el índice de cumplimiento de los cronogramas de proyectos en el 2024</t>
  </si>
  <si>
    <t>LIDER DE PROYECTOS.</t>
  </si>
  <si>
    <t>Medir el nivel de dificultad (Customer Effort Score) de los usuarios para acceder al proceso de grados</t>
  </si>
  <si>
    <t>Director Nac Admisiones, Registro y Cont</t>
  </si>
  <si>
    <t>Medir el nivel de satisfacción del proceso de grado virtual</t>
  </si>
  <si>
    <t>446</t>
  </si>
  <si>
    <t>Oportunidad Tiempos de respuesta homologaciones</t>
  </si>
  <si>
    <t>Identificar el nivel de participación de la comunidad en actividades culturales realizadas por biblioteca</t>
  </si>
  <si>
    <t>Director Sistema Nacional de Bibliotecas, Coordinador de Biblioteca</t>
  </si>
  <si>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</si>
  <si>
    <t>Director Sistema Nacional de Bibliotecas  , Coordinadora de biblioteca</t>
  </si>
  <si>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</si>
  <si>
    <t>Profesional de riesgos</t>
  </si>
  <si>
    <t>450</t>
  </si>
  <si>
    <t>Riesgos Materializados</t>
  </si>
  <si>
    <t>Medir el % Participación de las publicaciones por sentimiento ( Positivo, Neutro, Negatico</t>
  </si>
  <si>
    <t xml:space="preserve">JEFE DE PRENSA
</t>
  </si>
  <si>
    <t>Medir el número de cursos diseñados en el vs el número de cursos planeados en el periodo</t>
  </si>
  <si>
    <t>Gerente de educación virtual, Coordinador gestión de contenidos</t>
  </si>
  <si>
    <t>Identificar el nivel de satisfacción de los contenidos virtuales</t>
  </si>
  <si>
    <t>Gerente de educación virtual</t>
  </si>
  <si>
    <t>Medir el número de cursos desarrollados dentro de los tiempos establecidos</t>
  </si>
  <si>
    <t>Impacto de campañas de Mailing por grupo de interes</t>
  </si>
  <si>
    <t>Apertura de enlaces en mensajes de texto por grupo de interes</t>
  </si>
  <si>
    <t>458</t>
  </si>
  <si>
    <t>Visitas a Pagina Web</t>
  </si>
  <si>
    <t xml:space="preserve">Lider Produccion de Contenidos
</t>
  </si>
  <si>
    <t>Identificar el % de profesores (Indefinido- Fijo Anual y Semestral) impactados con el plan de desarrollo docente.
Para el calculo del indicador se tiene en cuenta la nomina de noviembre.</t>
  </si>
  <si>
    <t>Mide el cumplimiento de las acciones del Plan de mejoramiento GPW</t>
  </si>
  <si>
    <t>464</t>
  </si>
  <si>
    <t>Impacto en Redes Sociales por Tipo de Red Social</t>
  </si>
  <si>
    <t>Asegurar un esquema de gobierno y calidad de datos  institucional.</t>
  </si>
  <si>
    <t>Avance en la depuración de registros del SNIES</t>
  </si>
  <si>
    <t>Director de Datos y Analitica</t>
  </si>
  <si>
    <t>Medir el Net Promoter Score de los estudiantes en el periodo</t>
  </si>
  <si>
    <t>Medir el Net Promoter Score de Graduados</t>
  </si>
  <si>
    <t xml:space="preserve">Mide la facilidad de interacción con los servicios institucionales
</t>
  </si>
  <si>
    <t>Mide el cumplimiento del Plan Anual para las Áreas sede Medellín</t>
  </si>
  <si>
    <t>Plan anual DIRECCIÓN DE MATRÍCULAS</t>
  </si>
  <si>
    <t>469.10</t>
  </si>
  <si>
    <t>Plan anual FSCC - MARKETING MED</t>
  </si>
  <si>
    <t>Plan anual FSCC- DERECHO Y GOBIERNO-DERECHO</t>
  </si>
  <si>
    <t>Plan anual FIDI-DISEÑO-DISEÑO GRAFICO</t>
  </si>
  <si>
    <t>Plan anual FIDI-TIC -INGENIERIA DE SISTEMAS</t>
  </si>
  <si>
    <t>Plan anual FIDI-OPINA-INGENIERIA INDUSTRIAL</t>
  </si>
  <si>
    <t>Plan anual FNGS-NEG Y DLLO INTER-NEGOCIOS INTERNACIONALES</t>
  </si>
  <si>
    <t>Plan anual FSCC- EST.PSIC,TH Y SOC- PSICOLOGIA</t>
  </si>
  <si>
    <t>Plan anual FIDI-CIENCIAS BÁSICAS MED</t>
  </si>
  <si>
    <t>Plan anual ADMON DE EMPRESAS</t>
  </si>
  <si>
    <t>Medir el nivel de cumplimiento los planes anuales de las áreas que integran la secretaria
 académica y de extensión</t>
  </si>
  <si>
    <t>Plan anual Dirección Sistema nacional de bibliotecas</t>
  </si>
  <si>
    <t>Plan anual Dirección Editorial</t>
  </si>
  <si>
    <t>Plan anual Dirección Centro de medios audiovisuales</t>
  </si>
  <si>
    <t>Plan anual Dirección Agencia Trompo</t>
  </si>
  <si>
    <t>Plan anual Dirección de Graduados y proyección empresarial</t>
  </si>
  <si>
    <t>Cumplimiento plan anual de las direcciones de la Gerencia de Talento Humano</t>
  </si>
  <si>
    <t>Cumplimiento plan anual Director de bienestar y relac. laborales</t>
  </si>
  <si>
    <t>Cumplimiento plan anual Director de formacion y desarrollo</t>
  </si>
  <si>
    <t>Cumplimiento plan anual Director de comun. externas sed Medellin</t>
  </si>
  <si>
    <t>Cumplimiento plan anual Director de relaciones publicas y protoc</t>
  </si>
  <si>
    <t>Cumplimiento plan anual Director de comunicaciones</t>
  </si>
  <si>
    <t>Cumplimiento plan anual Director de admon laboral y compensacion</t>
  </si>
  <si>
    <t>Cumplimiento plan anual Director de gestion de talento</t>
  </si>
  <si>
    <t>Mide el grado de éxito en la recolección de las variables solicitadas por los procesos para los cierres estadísticos.</t>
  </si>
  <si>
    <t>Mide la proporción de programas académicos que han completado el proceso de definición de planes de estudio en comparación con el total de programas planificados.</t>
  </si>
  <si>
    <t>Director de Currículo , Líder de currículo</t>
  </si>
  <si>
    <t>Mide la proporción de Programas con planes de estudios definidos en relación con el número de programas con planes de estudio definidos por escuela (Nuevos Programas)</t>
  </si>
  <si>
    <t>Director de Currículo Presencial y Virtual, Líder de currículo</t>
  </si>
  <si>
    <t>Mide el Número de renovaciones de registro calificado radicadas al Ministerio de educación nacional</t>
  </si>
  <si>
    <t>Mide la proporción de programas académicos que han completado el proceso de definición de resultados de aprendizaje en comparación con el total de programas planeados.</t>
  </si>
  <si>
    <t>Director de Currículo, Líder de currículo</t>
  </si>
  <si>
    <t>Mide el número de Programas con planes de estudios definidos por escuela en relación con el número de programas (Programas Renovación, modificación y acreditación)</t>
  </si>
  <si>
    <t>Director de Curriculo Presencial y Virtual , Lider de curriculo</t>
  </si>
  <si>
    <t>Mide la proporción de Programas con planes de estudios definidos en relación con el número de programas con planes de estudio definidos por escuela (Mantenimiento de Programas)</t>
  </si>
  <si>
    <t>Mide la proporción de programas académicos que han completado el proceso de definición de resultados de aprendizaje en comparación con el total de programas planeados por escuela</t>
  </si>
  <si>
    <t>Director de Curriculo Presencial y Virtual</t>
  </si>
  <si>
    <t>Mide la proporción de programas académicos que han completado el proceso de definición de resultados de aprendizaje en comparación con el total de programas planeados. (Programas Renovación, modificación y acreditación)</t>
  </si>
  <si>
    <t>Documentos finalizados en el periodo</t>
  </si>
  <si>
    <t>Director de Currículo, Líder de Currículo</t>
  </si>
  <si>
    <t>Mide el cumplimiento del programa de la cultura del autocuidado como estrategia ADN Poli</t>
  </si>
  <si>
    <t>Mide la oportunidad de cierre de las acciones correctivas, preventivas y de mejora implementadas, producto del mejoramiento continuo de los procesos.</t>
  </si>
  <si>
    <t>Mide la cantidad total de veces que los usuarios acceden a un sitio web dentro de un período específico.</t>
  </si>
  <si>
    <t>Director de comunicaciones internas</t>
  </si>
  <si>
    <t>Medir el incremento anual en el número de personas impactadas en los talleres de formación</t>
  </si>
  <si>
    <t>Mide el nivel de cumplimiento en los tiempos de ejecución de las acciones planeadas durante el periodo</t>
  </si>
  <si>
    <t xml:space="preserve">Director del Sistema Integrado
Analista de arquitectura y mejora de procesos
</t>
  </si>
  <si>
    <t>Mide el porcentaje de oportunidades de mejora (OM) que fueron evaluadas en el período planificado en comparación con las OM que se programaron para su evaluación.</t>
  </si>
  <si>
    <t>Lider PMO Agile</t>
  </si>
  <si>
    <t>Secretario General
Director juridico
Jefe de PQRS y Litigios
Coordinador de gestión documental</t>
  </si>
  <si>
    <t>Director de Servicios administrativos</t>
  </si>
  <si>
    <t>Director de planeación financiera</t>
  </si>
  <si>
    <t>Director centro de medios audiovisuales</t>
  </si>
  <si>
    <t>Jefe de ingeniería de datos, Jefe de analítica, Especialista de datos, Analista de datos, Ingeniero de datos</t>
  </si>
  <si>
    <t>MEDICO</t>
  </si>
  <si>
    <t>Analista de arquitectura y mejora de procesos
Líder de iniciación científica</t>
  </si>
  <si>
    <t>Director de investigación</t>
  </si>
  <si>
    <t>Vicerrector académico</t>
  </si>
  <si>
    <t>Medir el índice de cumplimiento de los cronogramas de proyectos activos en el 2025</t>
  </si>
  <si>
    <t>Líder PMO</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</si>
  <si>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</si>
  <si>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Evalúa la eficacia de los controles fuertes implementados mediante la verificación individual de las variables que los conforman (Actividad, Documentación, Frecuencia, Naturaleza, Evidencia y Tipo)</t>
  </si>
  <si>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</si>
  <si>
    <t>Evalúa la capacidad de respuesta ante nuevas necesidades de control mediante la implementación de nuevos controles.</t>
  </si>
  <si>
    <t xml:space="preserve">Mide el porcentaje de procesos de control de seguridad implementados </t>
  </si>
  <si>
    <t>Directora de gobierno digital</t>
  </si>
  <si>
    <t>Porcentaje de personas que asisten a sesiones de transferencia de conocimiento en ciberseguridad respecto al número total de personas objetivo.</t>
  </si>
  <si>
    <t>Director de control interno</t>
  </si>
  <si>
    <t>520</t>
  </si>
  <si>
    <t>Impactos (Salud)</t>
  </si>
  <si>
    <t>Medir el impacto de campañas Prevención de embarazo - Tamizaje de riesgo cardiovascular
Remisiones o articulaciones en salud mental</t>
  </si>
  <si>
    <t>521</t>
  </si>
  <si>
    <t>Seleccione</t>
  </si>
  <si>
    <t>Medir el número de asignaturas o modulos con mecanismos de medición implementados sobre los planeados</t>
  </si>
  <si>
    <t>Mide la proporción de estudiantes que permanecen en el sistema educativo entre periodos consecutivos, desagregando por modalidad (presencial, virtual) y nivel (pregado, posgrado)</t>
  </si>
  <si>
    <t>Gerente de mercadeo, 
Director de marca y desarrollo de canales, 
Director de desarrollo de mercado</t>
  </si>
  <si>
    <t>525</t>
  </si>
  <si>
    <t>Medir la evolución de auxilios educativos</t>
  </si>
  <si>
    <t>525.1</t>
  </si>
  <si>
    <t>Total Ingresos B2B- B2C</t>
  </si>
  <si>
    <t>525.2</t>
  </si>
  <si>
    <t>525.3</t>
  </si>
  <si>
    <t>Total ingresos Opciones de grado</t>
  </si>
  <si>
    <t>Identificar el nivel de ingresos totales generados por educación para toda la vida por linea B2B- B2C, B2G y opciones de grado</t>
  </si>
  <si>
    <t>Mide el nivel de participación de la comunidad (profesores, administrativos, estudiantes, egresados u otros grupos de interés) en los espacios de construcción colectiva del Plan de Desarrollo Institucional (PDI).  (Focus group y encuestas)</t>
  </si>
  <si>
    <t>Mide el nivel de asistencia y participación efectiva de los grupos de interés (estudiantes, docentes, administrativos, egresados etc) presencial y offline en los espacios institucionales de rendición de cuentas, como mecanismo de transparencia.</t>
  </si>
  <si>
    <t>Medir el nivel de solución oportuna a las solicitudes de infraestructura gestionadas a traves del QR por sede</t>
  </si>
  <si>
    <t xml:space="preserve">Mide el porcentaje de historias de usuario comprometidas al inicio del sprint que fueron completadas dentro del mismo, permitiendo evaluar la efectividad en la planificación y ejecución del equipo.
</t>
  </si>
  <si>
    <t>Jefe de desarrollo</t>
  </si>
  <si>
    <t>Director de desarrollo e innovación digital</t>
  </si>
  <si>
    <t>Mide el porcentaje de requerimientos (ajustes, evolutivos y mejoras) del ecosistema tecnológico vigente que han sido atendidos con relación al total de solicitudes recibidas.</t>
  </si>
  <si>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</si>
  <si>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</si>
  <si>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</si>
  <si>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</si>
  <si>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</si>
  <si>
    <t>Mide el nivel de resolución en primer contacto de todos los niveles de atención</t>
  </si>
  <si>
    <t>Mide el porcentaje de sesiones de socialización de la planeación académica por periodo</t>
  </si>
  <si>
    <t>Mide el nivel de esfuerzo de los usuarios en la emisión de certificados Primer Nivel</t>
  </si>
  <si>
    <t xml:space="preserve">Mide el grado de calidad de los datos institucionales cargados al SNIES en cada uno de los cortes, considerando validaciones técnicas, consistencia, completitud y aceptación por parte del sistema. </t>
  </si>
  <si>
    <t>Analista de datos y analítica</t>
  </si>
  <si>
    <t>Jefe de ingeniería de datos</t>
  </si>
  <si>
    <t>Mide el porcentaje de graduados que participan en actividades institucionales orientadas al fortalecimiento de su vinculación con la institución, empleabilidad, formación continua, emprendimiento u otras iniciativas.
Linea Base 2024: 2,23%</t>
  </si>
  <si>
    <t>Mide el porcentaje de graduados que se encuentran realizando aportes al sistema de seguridad social (cotizantes) con respecto al total de graduados que responden la encuesta</t>
  </si>
  <si>
    <t>Dirección de graduados y proyección empresarial</t>
  </si>
  <si>
    <t>Mide el promedio de acciones o eventos (como clics, visualizaciones, desplazamientos, descargas, etc.) realizados por cada usuario activo en la plataforma. Refleja el nivel de exploración, participación e interés del usuario frente al contenido.</t>
  </si>
  <si>
    <t>Identificar el número de ambientes inmersivos LEI por etapa</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</si>
  <si>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</si>
  <si>
    <t>Director de graduados y proyección empresarial</t>
  </si>
  <si>
    <t>Evalúa el nivel de satisfacción general de los graduados con su proceso de formación y los servicios prestados por la institución.</t>
  </si>
  <si>
    <t>549</t>
  </si>
  <si>
    <t>CES Inscripción de asignaturas</t>
  </si>
  <si>
    <t>Mide el nivel de esfuerzo del estudiante en el proceso de inscripción de asignaturas en modalidad pregrado virtual y presencial.</t>
  </si>
  <si>
    <t>Medir el nivel de satisfacción con las actividades de formación</t>
  </si>
  <si>
    <t>Medir el desempeño del mentor en las asesorias realizadas en el periodo</t>
  </si>
  <si>
    <t>Medir el nivel de satisfacción de los usuarios con los servicios prestados por el proceso</t>
  </si>
  <si>
    <t>Director Bienestar Univer y Huella</t>
  </si>
  <si>
    <t xml:space="preserve">DIRECTOR DE PERMANENCIA
Gerente de Servicio y Permanencia   </t>
  </si>
  <si>
    <t>Director B2b y B2c</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</si>
  <si>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</si>
  <si>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Formación y Desarrollo</t>
  </si>
  <si>
    <t>Número de visitas al informe se sostenibilidad por año (Metrica)</t>
  </si>
  <si>
    <t>558</t>
  </si>
  <si>
    <t>Participación en el despliegue del PDI 2026-2030</t>
  </si>
  <si>
    <t>Mide el nivel de participación de las unidades académicas, administrativas y grupos de interés en las actividades, estrategias, iniciativas y acciones asociadas al despliegue del Plan de Desarrollo Institucional (PDI) 2026–2030.</t>
  </si>
  <si>
    <t>559</t>
  </si>
  <si>
    <t>Tasa de cancelación de retos estratégicos</t>
  </si>
  <si>
    <t>Mide el porcentaje de retos estratégicos institucionales que son cancelados, suspendidos o retirados de la herramienta de retos  durante un periodo determinado, respecto al total de retos estratégicos formulados en el periodo.</t>
  </si>
  <si>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</si>
  <si>
    <t>Director de Estudios Internos</t>
  </si>
  <si>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</si>
  <si>
    <t>Coordinador administrativo y logistico B2G
Jefe de Proyectos B2b
Jefe de Proyectos B2g 
Director de Operac. Nuevos Negocios y Ci</t>
  </si>
  <si>
    <t>Evalúa el cumplimiento de obligaciones generales y especificas de los contractos.</t>
  </si>
  <si>
    <t>Jefe de proyecto B2B
Jefe de proyecto B2G
Jefe de convenios institucionales y operaciones</t>
  </si>
  <si>
    <t>563</t>
  </si>
  <si>
    <t>Oportunidad en tiempos de fase inicio</t>
  </si>
  <si>
    <t>Mide el cumplimiento de los tiempos definidos para el inicio de los proyectos desde su aprobación hasta su ejecución formal, permite identificar retrasos estructurales en planeación y alistamiento, impactando cumplimiento estratégico.</t>
  </si>
  <si>
    <t>Lider de Proyectos</t>
  </si>
  <si>
    <t>564</t>
  </si>
  <si>
    <t>Oportunidad en la parametrización de aulas master</t>
  </si>
  <si>
    <t>Mide el grado en que la parametrización de las aulas máster (LMS) se realiza dentro de los tiempos definidos en el cronograma académico</t>
  </si>
  <si>
    <t>Líder Ambientes de Aprendizaje</t>
  </si>
  <si>
    <t>565</t>
  </si>
  <si>
    <t>Indice de optimización de la programación académica</t>
  </si>
  <si>
    <t>Evalúa el uso eficiente de recursos físicos (Salas), recursos virtuales , planta docente, calidad y oferta horaria.
Aplica solo para estudiantes en modalidad presencial.</t>
  </si>
  <si>
    <t>Líder de programación académica</t>
  </si>
  <si>
    <t>566</t>
  </si>
  <si>
    <t>Índice de Madurez de la Gestión de Riesgos (RM Maturity Index)</t>
  </si>
  <si>
    <t>Evalúa el nivel global de madurez del sistema de gestión de riesgos institucional.</t>
  </si>
  <si>
    <t>Profesional de Riesgos</t>
  </si>
  <si>
    <t>567</t>
  </si>
  <si>
    <t>Número de dias promedio de homologaciones externa - Metrica</t>
  </si>
  <si>
    <t>Mide el número promedio de días del proceso de homologación externa desde la radicación hasta la entrega del acta de homologación</t>
  </si>
  <si>
    <t>Dirección de registro y control</t>
  </si>
  <si>
    <t>Mide la variación porcentual en la cantidad de estudiantes beneficiados con becas entre periodos consecutivos</t>
  </si>
  <si>
    <t>Director Bienestar Univer y Huella Granc
Coordinador Huella Grancolombiana Regional Norte
Jefe de Serv. Bienestar y Huella Grancol</t>
  </si>
  <si>
    <t>Mide la permanencia académica efectiva de los beneficiarios de becas y apoyos económicos. Refleja si la beca cumple su propósito de sostenimiento y acceso.</t>
  </si>
  <si>
    <t>Coordinador Huella Grancolombiana Regional Norte   
Director Bienestar Univer y Huella Granc   
Jefe de Serv. Bienestar y Huella Grancol</t>
  </si>
  <si>
    <t>Mide el Índice de Satisfacción de benefactores con la Gestión de Responsabilidad Social del Poli</t>
  </si>
  <si>
    <t xml:space="preserve">Director Bienestar Univer y Huella Granc   
Jefe de Serv. Bienestar y Huella Grancol   </t>
  </si>
  <si>
    <t>Mide el nivel de satisfacción de los estudiantes y docentes en acompañamiento con el grupo de inclusión</t>
  </si>
  <si>
    <t>Dirección de experiencia e inclusión</t>
  </si>
  <si>
    <t>Mide el nivel satisfacción de la comunidad educativa con el acompañamiento del proceso de inclusión</t>
  </si>
  <si>
    <t>Identificar la relación estudiante docente tiempo completo equivalente de la (Población AAC/Institucional - Bogotá Virtual)</t>
  </si>
  <si>
    <t>574</t>
  </si>
  <si>
    <t>Total docentes por nivel de estudios (Población AAC/Institucional - Bogotá Virtual) - Metrica</t>
  </si>
  <si>
    <t>Identificar el número de docentes contratados por nivel de formación (Población AAC/Institucional - Bogotá Virtual)</t>
  </si>
  <si>
    <t>Mide el nivel de satisfacción de los docentes con el servicio prestado por el proceso de gestión docente</t>
  </si>
  <si>
    <t>576</t>
  </si>
  <si>
    <t>Cobertura de socialización del reglamento docente a profesores nuevos</t>
  </si>
  <si>
    <t>Medir el cumplimiento de la socialización del reglamento docente a los profesores que ingresan a la institución, garantizando que conozcan las políticas, normas y lineamientos institucionales para el ejercicio de la docencia.</t>
  </si>
  <si>
    <t>Secretario Academica y de Docencia
Profesor Tiempo Completo Auxiliar - Coor. Desarrollo Docente</t>
  </si>
  <si>
    <t xml:space="preserve">Secretario Academica y de Docencia
Profesor Tiempo Completo Auxiliar - Coor. Desarrollo Docente </t>
  </si>
  <si>
    <t>577</t>
  </si>
  <si>
    <t>Eficiencia Presupuestal Nómina Docente</t>
  </si>
  <si>
    <t>Mide el nivel de optimización en la ejecución del presupuesto destinado a la nómina docente, garantizando la prestación del servicio académico con un uso eficiente de los recursos financieros asignados.</t>
  </si>
  <si>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</si>
  <si>
    <t xml:space="preserve">Jefe Funcional Procesos Académicos S.I.S
Director de Operaciones Pregrado y Posgr   
Lider Programacion Academica
</t>
  </si>
  <si>
    <t>579</t>
  </si>
  <si>
    <t>Tiempo Promedio de Ciclo de un Estudio por actividad- Metrica</t>
  </si>
  <si>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</si>
  <si>
    <t>Director de estudios internos</t>
  </si>
  <si>
    <t>Mide el porcentaje de cumplimiento del tamaño muestral definido para cada grupo de interés en los diferentes estudios institucionales realizados durante un periodo determinado.</t>
  </si>
  <si>
    <t>Mide el grado en que se cumple la meta institucional de estudiantes que retornan a su programa académico en un periodo determinado.</t>
  </si>
  <si>
    <t>Director de rematricula</t>
  </si>
  <si>
    <t>583</t>
  </si>
  <si>
    <t>Nivel de satisfacción - Proceso de servicio</t>
  </si>
  <si>
    <t>Jefe de servicio formulario web
Jefe de servicio presencial Bogotá
Coordinadora de servicio canales
Directora de servicio</t>
  </si>
  <si>
    <t>584</t>
  </si>
  <si>
    <t>Tasa de Permanencia por modalidad y nivel</t>
  </si>
  <si>
    <t>585</t>
  </si>
  <si>
    <t>Tasa de deserción estudiantil</t>
  </si>
  <si>
    <t xml:space="preserve">Mide el porcentaje de estudiantes que interrumpen o abandonan su formación académica sin completar el periodo o sin matrícula en el siguiente ciclo. </t>
  </si>
  <si>
    <t>Gerente de Servicio y Permanencia
Director de Permanencia</t>
  </si>
  <si>
    <t>Evalúa sostenibilidad de los emprendimientos apoyados despues de 12 meses</t>
  </si>
  <si>
    <t>Wilinton Javier Ortiz Amado</t>
  </si>
  <si>
    <t xml:space="preserve">Medir el nivel de esfuerzo de los usuarios en el uso de los recursos digitales </t>
  </si>
  <si>
    <t>Director del sistema Nacional de Bibliotecas
Coordinador Sede Medellín
Supervisora de servicios especializados</t>
  </si>
  <si>
    <t>589</t>
  </si>
  <si>
    <t>Índice de Reputación Institucional en Medios Antioquia</t>
  </si>
  <si>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</si>
  <si>
    <t>Directora de comunicaciones externas Medellín</t>
  </si>
  <si>
    <t>590</t>
  </si>
  <si>
    <t>Índice de Calidad del Posicionamiento Mediático (ICPM)</t>
  </si>
  <si>
    <t xml:space="preserve">Mide la calidad del portafolio de medios donde aparece la institución, ponderando las publicaciones según la relevancia, circulación e influencia del medio (Tier 1 nacional, Tier 2 regional/sectorial, Tier 3 digital menor). </t>
  </si>
  <si>
    <t>Jefe de prensa</t>
  </si>
  <si>
    <t>591</t>
  </si>
  <si>
    <t>Valor Equivalente Publicitario Ponderado por Sentimiento (VEPS)</t>
  </si>
  <si>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</si>
  <si>
    <t>592</t>
  </si>
  <si>
    <t>Índice de Reputación Institucional en Medios</t>
  </si>
  <si>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</si>
  <si>
    <t>593</t>
  </si>
  <si>
    <t>Indice de satisfacción de eventos institucionales</t>
  </si>
  <si>
    <t>Medir el nivel de satisfacción de los asistentes respecto a la experiencia integral de los eventos institucionales organizados por la dirección de protocolo</t>
  </si>
  <si>
    <t>Dirección de protocolo y relaciones públicas</t>
  </si>
  <si>
    <t>594</t>
  </si>
  <si>
    <t>Nivel de satisfacción proceso de comunicaciones externas</t>
  </si>
  <si>
    <t>595</t>
  </si>
  <si>
    <t>Tasa de Eficiencia Editorial (TEE)</t>
  </si>
  <si>
    <t>Relación entre la oferta de proyectos editoriales aprobados y los productos efectivamente publicados. Mide la capacidad de conversión del pipeline editorial.
En el año actual se cierran los proyectos aprobados en la convocatoria del año anterior.</t>
  </si>
  <si>
    <t>Director editorial</t>
  </si>
  <si>
    <t>596</t>
  </si>
  <si>
    <t>Oportunidad en la radicación de facturas</t>
  </si>
  <si>
    <t>Mide la oportunidad en la radicación de facturas dependiendo de los siguientes ANS: 
Factura Electronica: 3 días habiles
Cuentas de cobro: 4 días habiles
Anticipos empleados: 2 días habiles
Legalizaciones: 4 días habiles
Servicios públicos: 4 días habiles</t>
  </si>
  <si>
    <t>Coordinador de Gestión documental</t>
  </si>
  <si>
    <t>Indice de impacto Psicosocial de las actividades de bienestar (Estudiantes, Administrativos, Docentes,Graduados)</t>
  </si>
  <si>
    <t>Satisfacción Front servicios de Talento Humano</t>
  </si>
  <si>
    <t xml:space="preserve">Mide el nivel de satisfacción del usuario con la solicitudes del área de talento humano </t>
  </si>
  <si>
    <t>599</t>
  </si>
  <si>
    <t>eNPS (indice de recomendación de colaboradores</t>
  </si>
  <si>
    <t>Mide el nivel de compromiso, satisfacción y lealtad de los colaboradores hacia el Poli</t>
  </si>
  <si>
    <t>600</t>
  </si>
  <si>
    <t>% de profesores impactados en actividades de Bienestar (Indefinido- Fijo Anualizado)</t>
  </si>
  <si>
    <t>Identificar el % de profesores termino indefinido y fijo anualizado impactados con las actividades de bienestar</t>
  </si>
  <si>
    <t>601</t>
  </si>
  <si>
    <t>Porcentaje de Colaboradores con movilidad interna</t>
  </si>
  <si>
    <t>Mide el porcentaje de cargos vacantes cubiertos por colaboradores vinculados previamente al Poli mediante promociones, ascensos o cambios de contratos respecto al total de vacantes abiertas (Contrato indefinido).</t>
  </si>
  <si>
    <t>Director de Gestión de Talento</t>
  </si>
  <si>
    <t>602</t>
  </si>
  <si>
    <t>Indice de retención del talento estratégico</t>
  </si>
  <si>
    <t>Representa el porcentaje de colaboradores clasificados como cargos estrategicos (DIrector, Gerentes, Vicerrectores, Secretarias, Rectoría) que permanecen en el periodo</t>
  </si>
  <si>
    <t>Director de admon laboral y compensación</t>
  </si>
  <si>
    <t>Medir el índice de cumplimiento de los cronogramas de proyectos en el 2026</t>
  </si>
  <si>
    <t>Lider PMO</t>
  </si>
  <si>
    <t>604</t>
  </si>
  <si>
    <t>Oportunidad en tiempo de fase de cierre de proyectos</t>
  </si>
  <si>
    <t>Mide el grado de cumplimiento del tiempo establecido para ejecutar la fase de cierre de los proyectos, de acuerdo con la planificación definida y los lineamientos metodológicos.</t>
  </si>
  <si>
    <t>605</t>
  </si>
  <si>
    <t>Seguimiento a ejecución presupuestal de los proyectos (Metrica)</t>
  </si>
  <si>
    <t xml:space="preserve">
Mide el nivel de ejecución del presupuesto asignado a los proyectos durante un periodo determinado, comparando los recursos efectivamente ejecutados frente al presupuesto aprobado o planificado</t>
  </si>
  <si>
    <t>606</t>
  </si>
  <si>
    <t>Índice de riesgos materializados en proyectos (Metrica)</t>
  </si>
  <si>
    <t>Mide la proporción de riesgos identificados en los proyectos que llegaron a materializarse durante un periodo determinado, frente al total de riesgos registrados o gestionados en la matriz de riesgos del proyecto.</t>
  </si>
  <si>
    <t>607</t>
  </si>
  <si>
    <t>Tasa de indicadores PDI con cumplimiento de meta en el período de seguimiento</t>
  </si>
  <si>
    <t>Mide las siguientes variables ( CES- NPS)</t>
  </si>
  <si>
    <t>608</t>
  </si>
  <si>
    <t>Índice de oportunidad en el reporte de indicadores</t>
  </si>
  <si>
    <t>Mide el porcentaje de indicadores institucionales cuya información es registrada y cargada dentro del plazo establecido para el período de seguimiento, de acuerdo con el cronograma definido por la metodología de seguimiento del desempeño institucional.</t>
  </si>
  <si>
    <t>610</t>
  </si>
  <si>
    <t>Tasa de incremento en la resolución de solicitudes</t>
  </si>
  <si>
    <t>Mide el porcentaje de incremento en la cantidad de solicitudes resueltas para en un periodo específico en comparación con un periodo anterior,</t>
  </si>
  <si>
    <t>DIRECTOR TROMPO
EJECUTIVO DE CUENTA</t>
  </si>
  <si>
    <t>DIRECTOR TROMPO</t>
  </si>
  <si>
    <t>Medir el nivel de cumplimiento del objetivo de las campañas de marketing y contenidos directivos realizadas desde el agencia Trompo</t>
  </si>
  <si>
    <t>DIRECTOR DE AGENCIA TROMPO
EJECUTIVO DE CUENTA (PAULA SOFIA ROMERO)</t>
  </si>
  <si>
    <t>DIRECTOR DE AGENCIA TROMPO</t>
  </si>
  <si>
    <t>612</t>
  </si>
  <si>
    <t>Índice de Efectividad del Acompañamiento al Autor</t>
  </si>
  <si>
    <t>Medir la efectividad del acompañamiento brindado al autor durante el proceso de gestión, asegurando que las solicitudes, documentos o entregables cumplan los requisitos definidos.</t>
  </si>
  <si>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</si>
  <si>
    <t>Coordinador de Gestion de Contenidos</t>
  </si>
  <si>
    <t>613</t>
  </si>
  <si>
    <t>Nivel de Satisfacción Servicios Prestados - Ludoteca</t>
  </si>
  <si>
    <t>Medir el nivel de satisfacción de los usuarios con la ludoteca</t>
  </si>
  <si>
    <t>Coordinador de Ludoteca</t>
  </si>
  <si>
    <t>614</t>
  </si>
  <si>
    <t>Tasa de Conversión de Sesiones de Planeación de Juego con Docentes en Sesiones Ejecutadas con Estudiantes</t>
  </si>
  <si>
    <t>Medir la efectividad del proceso de acompañamiento y planeación con docentes, evaluando qué proporción de las sesiones de planeación se materializan en sesiones de juego efectivamente ejecutadas con estudiantes.</t>
  </si>
  <si>
    <t>615</t>
  </si>
  <si>
    <t>Indice de Alcance, interacción y engagement de comunicaciones internas</t>
  </si>
  <si>
    <t>Mide el indice de alcance, interacción y engagement de las publicaciones realizadas por comunicaciones internas dirigidas a estudiantes y Graduados) a traves de Instagram , Facebook o Linkedln</t>
  </si>
  <si>
    <t>616</t>
  </si>
  <si>
    <t>Porcentaje de cumplimiento en la entrega de modulos</t>
  </si>
  <si>
    <t xml:space="preserve">Mide del grado de cumplimiento del plan de producción mediante la entrega oportuna de los modulos virtuales programados para un periodo determinado			
</t>
  </si>
  <si>
    <t xml:space="preserve">Coordinador de Gestion de Contenidos		
</t>
  </si>
  <si>
    <t>617</t>
  </si>
  <si>
    <t>Porcentaje de modulos entregados sin no conformidades</t>
  </si>
  <si>
    <t>Mide el porcentaje de modulos entregados al área de operaciones que cumplen con los requisitos funcionales y a completitud para la operación</t>
  </si>
  <si>
    <t>Probador de modulos		
Coordinador de Gestion de Contenidos</t>
  </si>
  <si>
    <t>618</t>
  </si>
  <si>
    <t>Tiempo Promedio de Producción de Materiales Educativos con IA Generativa</t>
  </si>
  <si>
    <t xml:space="preserve">Fortalecer la oferta educativa y la innovación curricular </t>
  </si>
  <si>
    <t>Medir el tiempo promedio requerido para producir materiales educativos mediante el uso de herramientas de inteligencia artificial generativa, con el fin de evaluar la eficiencia del proceso y promover la optimización continua.</t>
  </si>
  <si>
    <t xml:space="preserve">Director Crea 
Coordinador de Gestion de Contenidos </t>
  </si>
  <si>
    <t>700</t>
  </si>
  <si>
    <t>Tasa de exito de creación de programas y renovaciones
Tasa de exito de gestión del portafolio ante el MEN</t>
  </si>
  <si>
    <t>Pend</t>
  </si>
  <si>
    <t>800</t>
  </si>
  <si>
    <t>Nivel de Satisfacción estudios internos</t>
  </si>
  <si>
    <t>967</t>
  </si>
  <si>
    <t>Coherencia y Pertinencia de la Misión Institucional</t>
  </si>
  <si>
    <t>Evalúa el grado en que la Misión Institucional mantiene coherencia con la identidad, los propósitos, las funciones sustantivas y las políticas del Politécnico Grancolombiano, así como su pertinencia frente a las necesidades del entorno social, económico y educativo.</t>
  </si>
  <si>
    <t>Gerente de planeación y gestión institucional</t>
  </si>
  <si>
    <t>968</t>
  </si>
  <si>
    <t>Alineación del Proyecto Educativo Institucional (PEI) con la Identidad y los Procesos Misionales</t>
  </si>
  <si>
    <t>Evalúa el grado en que el Proyecto Educativo Institucional refleja la identidad, los principios, valores y propósitos del Politécnico Grancolombiano, así como su coherencia con los procesos misionales de docencia, investigación, extensión y proyección social.</t>
  </si>
  <si>
    <t>Director de aseguramiento de la calidad</t>
  </si>
  <si>
    <t>969</t>
  </si>
  <si>
    <t>970</t>
  </si>
  <si>
    <t>Oportunidad en tiempo de fase de cierre</t>
  </si>
  <si>
    <t>972</t>
  </si>
  <si>
    <t>973</t>
  </si>
  <si>
    <t>974</t>
  </si>
  <si>
    <t>Tiempo promedio de ciclo de un estudio (desde solicitud hasta entrega) - Metrica por actividad</t>
  </si>
  <si>
    <t>975</t>
  </si>
  <si>
    <t>Nivel de cumplimiento de tamaños muestrales por grupo de interes</t>
  </si>
  <si>
    <t>976</t>
  </si>
  <si>
    <t>977</t>
  </si>
  <si>
    <t>978</t>
  </si>
  <si>
    <t>979</t>
  </si>
  <si>
    <t>Índice de confiabilidad y consistencia de datos de indicadores</t>
  </si>
  <si>
    <t>Mide la calidad, trazabilidad y validez de los datos que alimentan los indicadores. Verifica ausencia de inconsistencias en los datos reportados.</t>
  </si>
  <si>
    <t>998</t>
  </si>
  <si>
    <t>Renovaciones de Registro Calificado Radicadas en el Ministerio de Educación Nacional</t>
  </si>
  <si>
    <t>999</t>
  </si>
  <si>
    <t>Presupuesto nomina docente</t>
  </si>
  <si>
    <t>1015</t>
  </si>
  <si>
    <t>CES Novus</t>
  </si>
  <si>
    <t>Medir el nivel de esfuerzo de los usuarios al utilizar la herramienta Novus</t>
  </si>
  <si>
    <t>1016</t>
  </si>
  <si>
    <t>Cumplimiento en el cargue de información al SNIES</t>
  </si>
  <si>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</si>
  <si>
    <t>Analista de datos y analítica
Jefe de ingeniería de datos</t>
  </si>
  <si>
    <t>Med 1</t>
  </si>
  <si>
    <t>Total Estudiantes  Sede Medellín</t>
  </si>
  <si>
    <t>Med 1.1</t>
  </si>
  <si>
    <t>Estudiante nuevos presencial pregrado</t>
  </si>
  <si>
    <t>Med 1.2</t>
  </si>
  <si>
    <t>Estudiante nuevos presencial posgrado</t>
  </si>
  <si>
    <t>Med 1.3</t>
  </si>
  <si>
    <t>Total estudiantes nuevos presencial Medellin</t>
  </si>
  <si>
    <t>Med 1.4</t>
  </si>
  <si>
    <t>Estudiantes antiguos presencial Medellin</t>
  </si>
  <si>
    <t>Med 10</t>
  </si>
  <si>
    <t>Total ingresos sede</t>
  </si>
  <si>
    <t>Med 11</t>
  </si>
  <si>
    <t>EBITDA sede</t>
  </si>
  <si>
    <t>Med 12</t>
  </si>
  <si>
    <t>Ejecución Presupuestal</t>
  </si>
  <si>
    <t>Med 13</t>
  </si>
  <si>
    <t>Eficiencia OPEX</t>
  </si>
  <si>
    <t>Med 14</t>
  </si>
  <si>
    <t>Cumplimiento proyecto Certificación SGA - medellín</t>
  </si>
  <si>
    <t>Med 15</t>
  </si>
  <si>
    <t>Cumplimiento del Plan Anual</t>
  </si>
  <si>
    <t>Med 16</t>
  </si>
  <si>
    <t>Convenios con impacto en ingresos adicionales</t>
  </si>
  <si>
    <t>Med 17</t>
  </si>
  <si>
    <t>Medición Clima organizacional Sede - Great Place to work</t>
  </si>
  <si>
    <t>Med 2</t>
  </si>
  <si>
    <t>Total Estudiantes Pregrado nuevos y antiguos Medellín</t>
  </si>
  <si>
    <t>Med 2.1</t>
  </si>
  <si>
    <t>Estudiantes virtuales pregrado nuevos</t>
  </si>
  <si>
    <t>Med 2.2</t>
  </si>
  <si>
    <t>Estudiantes virtuales pregrado antiguos - Medellín</t>
  </si>
  <si>
    <t>Med 3</t>
  </si>
  <si>
    <t>Estudiantes Postgrado antiguos</t>
  </si>
  <si>
    <t>Med 4</t>
  </si>
  <si>
    <t>Total estudiantes Postgrado antiguos y nuevos Medellin</t>
  </si>
  <si>
    <t>Med 4.1</t>
  </si>
  <si>
    <t>Estudiantes virtuales posgrado nuevos</t>
  </si>
  <si>
    <t>Med 4.2</t>
  </si>
  <si>
    <t>Estudiantes virtuales posgrado antiguos - Medellín</t>
  </si>
  <si>
    <t>Med 5</t>
  </si>
  <si>
    <t>Total Estudiantes virtuales antiguos-Antioquia</t>
  </si>
  <si>
    <t>Med 6</t>
  </si>
  <si>
    <t>Ingresos Educación para la vida</t>
  </si>
  <si>
    <t>Med 7</t>
  </si>
  <si>
    <t>Satisfacción NPS</t>
  </si>
  <si>
    <t>Med 8</t>
  </si>
  <si>
    <t>Tasa de permanencia</t>
  </si>
  <si>
    <t>Med 9</t>
  </si>
  <si>
    <t>Satisfacción SSI</t>
  </si>
  <si>
    <t>PRY-1</t>
  </si>
  <si>
    <t>PRY-10</t>
  </si>
  <si>
    <t>PRY-11</t>
  </si>
  <si>
    <t>Acreditación Institucional - Fase I</t>
  </si>
  <si>
    <t>PRY-12</t>
  </si>
  <si>
    <t>PRY-13</t>
  </si>
  <si>
    <t>Creación del colegio virtual -Tener una matrícula de 100 estudiantes en los niveles décimo y once de educación media al año 2026.</t>
  </si>
  <si>
    <t>PRY-14</t>
  </si>
  <si>
    <t>Diseñar e implementar el Modelo de experiencia institucional donde se definan los principios, valores, cualidades, indicadores y variables.</t>
  </si>
  <si>
    <t>PRY-15</t>
  </si>
  <si>
    <t>PRY-16</t>
  </si>
  <si>
    <t>Característica 31: Experiencia del estudiante</t>
  </si>
  <si>
    <t>PRY-17</t>
  </si>
  <si>
    <t>Ofrecer 250 Microcertificaciones con 
1000 estudiantes al año 2026</t>
  </si>
  <si>
    <t>PRY-18</t>
  </si>
  <si>
    <t>PRY-19</t>
  </si>
  <si>
    <t>PRY-2</t>
  </si>
  <si>
    <t>PRY-20</t>
  </si>
  <si>
    <t>Creación de la asociación de graduados</t>
  </si>
  <si>
    <t>PRY-21</t>
  </si>
  <si>
    <t>PRY-22</t>
  </si>
  <si>
    <t>PRY-23</t>
  </si>
  <si>
    <t>PRY-24</t>
  </si>
  <si>
    <t>PRY-3</t>
  </si>
  <si>
    <t>PRY-33</t>
  </si>
  <si>
    <t>Ilumno Self Service S&amp;P</t>
  </si>
  <si>
    <t>Reingeniería de aplicaciones</t>
  </si>
  <si>
    <t>PRY-37</t>
  </si>
  <si>
    <t>PRY-39</t>
  </si>
  <si>
    <t>PRY-4</t>
  </si>
  <si>
    <t>PRY-41</t>
  </si>
  <si>
    <t>PRY-44</t>
  </si>
  <si>
    <t>Fortalecimiento del proceso de visibilidad nacional e internacional</t>
  </si>
  <si>
    <t>PRY-45</t>
  </si>
  <si>
    <t>Portal de Talento Humano</t>
  </si>
  <si>
    <t>PRY-46</t>
  </si>
  <si>
    <t>Proyecto E2E - ILUMNO</t>
  </si>
  <si>
    <t>PRY-47</t>
  </si>
  <si>
    <t>Homologaciones IA - ILUMNO</t>
  </si>
  <si>
    <t>PRY-48</t>
  </si>
  <si>
    <t>Modelo Predictivo de deserción basado en Scoring</t>
  </si>
  <si>
    <t>PRY-49</t>
  </si>
  <si>
    <t>Voice IA - Recupero</t>
  </si>
  <si>
    <t>PRY-5</t>
  </si>
  <si>
    <t>PRY-50</t>
  </si>
  <si>
    <t>Whatsapp IA</t>
  </si>
  <si>
    <t>PRY-6</t>
  </si>
  <si>
    <t>PRY-7</t>
  </si>
  <si>
    <t>PRY-8</t>
  </si>
  <si>
    <t>PRY-9</t>
  </si>
  <si>
    <t>Monarca-Ecosistema Banner</t>
  </si>
  <si>
    <t>Valor académico agregado</t>
  </si>
  <si>
    <t>Prov-10</t>
  </si>
  <si>
    <t>Diseño del Gobierno de IT</t>
  </si>
  <si>
    <t>Prov-11</t>
  </si>
  <si>
    <t>Arquitectura de Microservicios</t>
  </si>
  <si>
    <t>Prov-12</t>
  </si>
  <si>
    <t>Smart Assistant</t>
  </si>
  <si>
    <t>Prov-13</t>
  </si>
  <si>
    <t>Optimización de procesos del ciclo de vida del estudiante</t>
  </si>
  <si>
    <t>Prov-14</t>
  </si>
  <si>
    <t>Cumplimiento proyecto creación del centro de excelencia analítica</t>
  </si>
  <si>
    <t>Prov-15</t>
  </si>
  <si>
    <t>ïndice de madurez analítica institucional y  por proceso</t>
  </si>
  <si>
    <t>Prov-16</t>
  </si>
  <si>
    <t>Desempeño de Modelos (Machine Learning - IA)</t>
  </si>
  <si>
    <t>Prov-3</t>
  </si>
  <si>
    <t>N° Programas con nuevo modelo evaluativo implementado</t>
  </si>
  <si>
    <t>Diseñar e implemetar nuevos modelo de evaluación institucional de programas</t>
  </si>
  <si>
    <t>Prov-4</t>
  </si>
  <si>
    <t>Programas en modalidad virtual y hibrida en 2025</t>
  </si>
  <si>
    <t>Prov-5</t>
  </si>
  <si>
    <t>Número de cursos  con microcertificación</t>
  </si>
  <si>
    <t>Prov-7</t>
  </si>
  <si>
    <t>Número de estudiantes matriculados  IEDTH</t>
  </si>
  <si>
    <t>Prov-8</t>
  </si>
  <si>
    <t>Índice de Permanencia Docente (NPS)</t>
  </si>
  <si>
    <t>Prov-9</t>
  </si>
  <si>
    <t>Índice de Permanencia Administrativos (NPS)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</si>
</sst>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 #,##0.00_-;\-&quot;$&quot;\ * #,##0.00_-;_-&quot;$&quot;\ * &quot;-&quot;??_-;_-@_-"/>
    <numFmt numFmtId="43" formatCode="_-* #,##0.00_-;\-* #,##0.00_-;_-* &quot;-&quot;??_-;_-@_-"/>
    <numFmt numFmtId="164" formatCode="_-* #,##0_-;\-* #,##0_-;_-* &quot;-&quot;??_-;_-@_-"/>
    <numFmt numFmtId="165" formatCode="yyyy\-mm\-dd"/>
    <numFmt numFmtId="166" formatCode="dd/mm/yyyy"/>
    <numFmt numFmtId="167" formatCode="_-* #,##0.0_-;\-* #,##0.0_-;_-* &quot;-&quot;??_-;_-@_-"/>
    <numFmt numFmtId="168" formatCode="0.0%"/>
    <numFmt numFmtId="169" formatCode="0.0"/>
  </numFmts>
  <fonts count="10" x14ac:knownFonts="1">
    <font>
      <sz val="11"/>
      <color theme="1"/>
      <name val="Calibri"/>
      <family val="2"/>
      <scheme val="minor"/>
    </font>
    <font>
      <sz val="11"/>
      <color theme="1"/>
      <name val="Calibri"/>
      <family val="2"/>
      <scheme val="minor"/>
    </font>
    <font>
      <b/>
      <sz val="11"/>
      <color indexed="8"/>
      <name val="Calibri"/>
      <family val="2"/>
    </font>
    <font>
      <b/>
      <sz val="11"/>
      <color theme="0"/>
      <name val="Calibri"/>
      <family val="2"/>
    </font>
    <font>
      <sz val="11"/>
      <color indexed="8"/>
      <name val="Calibri"/>
      <family val="2"/>
    </font>
    <font>
      <b/>
      <sz val="11"/>
      <color theme="1"/>
      <name val="Calibri"/>
      <family val="2"/>
      <scheme val="minor"/>
    </font>
    <font>
      <sz val="11"/>
      <color rgb="FF000000"/>
      <name val="Calibri"/>
      <family val="2"/>
      <scheme val="minor"/>
    </font>
    <font>
      <strike/>
      <sz val="11"/>
      <color theme="1"/>
      <name val="Calibri"/>
      <family val="2"/>
      <scheme val="minor"/>
    </font>
    <font>
      <b/>
      <sz val="11"/>
      <color theme="0"/>
      <name val="Calibri"/>
      <family val="2"/>
      <scheme val="minor"/>
    </font>
    <font>
      <sz val="11"/>
      <color theme="0"/>
      <name val="Calibri"/>
      <family val="2"/>
      <scheme val="minor"/>
    </font>
  </fonts>
  <fills count="10">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rgb="FFFFC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5">
    <xf numFmtId="0" fontId="0" fillId="0" borderId="0"/>
    <xf numFmtId="43" fontId="1" fillId="0" borderId="0"/>
    <xf numFmtId="9" fontId="1" fillId="0" borderId="0"/>
    <xf numFmtId="44" fontId="1" fillId="0" borderId="0"/>
    <xf numFmtId="0" fontId="4" fillId="0" borderId="0"/>
  </cellStyleXfs>
  <cellXfs count="89">
    <xf numFmtId="0" fontId="0" fillId="0" borderId="0" xfId="0"/>
    <xf numFmtId="0" fontId="3" fillId="2" borderId="1" xfId="0" applyFont="1" applyFill="1" applyBorder="1" applyAlignment="1">
      <alignment horizontal="center" vertical="center" wrapText="1"/>
    </xf>
    <xf numFmtId="0" fontId="0" fillId="3" borderId="0" xfId="0" applyFill="1"/>
    <xf numFmtId="0" fontId="5" fillId="0" borderId="1" xfId="0" applyFont="1" applyBorder="1"/>
    <xf numFmtId="0" fontId="3" fillId="2" borderId="1" xfId="0" applyFont="1" applyFill="1" applyBorder="1" applyAlignment="1">
      <alignment horizontal="center" vertical="center"/>
    </xf>
    <xf numFmtId="0" fontId="0" fillId="0" borderId="1" xfId="0" applyBorder="1"/>
    <xf numFmtId="14" fontId="0" fillId="0" borderId="1" xfId="0" applyNumberFormat="1" applyBorder="1"/>
    <xf numFmtId="164" fontId="0" fillId="0" borderId="1" xfId="1" applyNumberFormat="1" applyFont="1" applyBorder="1"/>
    <xf numFmtId="4" fontId="0" fillId="0" borderId="1" xfId="0" applyNumberFormat="1" applyBorder="1"/>
    <xf numFmtId="0" fontId="0" fillId="3" borderId="1" xfId="0" applyFill="1" applyBorder="1"/>
    <xf numFmtId="10" fontId="0" fillId="0" borderId="1" xfId="2" applyNumberFormat="1" applyFont="1" applyBorder="1"/>
    <xf numFmtId="1" fontId="0" fillId="0" borderId="1" xfId="0" applyNumberFormat="1" applyBorder="1"/>
    <xf numFmtId="0" fontId="4" fillId="0" borderId="1" xfId="0" applyFont="1" applyBorder="1"/>
    <xf numFmtId="1" fontId="0" fillId="0" borderId="1" xfId="0" applyNumberFormat="1" applyBorder="1" applyAlignment="1">
      <alignment horizontal="right"/>
    </xf>
    <xf numFmtId="0" fontId="0" fillId="0" borderId="1" xfId="0" applyBorder="1" applyAlignment="1">
      <alignment horizontal="right"/>
    </xf>
    <xf numFmtId="3" fontId="0" fillId="0" borderId="1" xfId="0" applyNumberFormat="1" applyBorder="1"/>
    <xf numFmtId="0" fontId="3" fillId="4" borderId="1" xfId="0" applyFont="1" applyFill="1" applyBorder="1" applyAlignment="1">
      <alignment horizontal="center" vertical="center"/>
    </xf>
    <xf numFmtId="0" fontId="3" fillId="7"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xf numFmtId="49" fontId="3" fillId="2" borderId="1" xfId="0" applyNumberFormat="1"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0" fontId="7" fillId="0" borderId="1" xfId="0" applyFont="1" applyBorder="1"/>
    <xf numFmtId="10" fontId="0" fillId="0" borderId="0" xfId="0" applyNumberFormat="1"/>
    <xf numFmtId="10" fontId="1" fillId="0" borderId="1" xfId="2" applyNumberFormat="1" applyBorder="1"/>
    <xf numFmtId="164" fontId="5" fillId="0" borderId="1" xfId="1" applyNumberFormat="1" applyFont="1" applyBorder="1"/>
    <xf numFmtId="164" fontId="1" fillId="0" borderId="1" xfId="1" applyNumberFormat="1" applyBorder="1"/>
    <xf numFmtId="164" fontId="0" fillId="0" borderId="1" xfId="0" applyNumberFormat="1" applyBorder="1"/>
    <xf numFmtId="0" fontId="4" fillId="0" borderId="1" xfId="4" applyBorder="1"/>
    <xf numFmtId="43" fontId="0" fillId="0" borderId="1" xfId="0" applyNumberFormat="1" applyBorder="1"/>
    <xf numFmtId="165" fontId="0" fillId="0" borderId="0" xfId="0" applyNumberFormat="1"/>
    <xf numFmtId="0" fontId="0" fillId="0" borderId="0" xfId="0" applyAlignment="1">
      <alignment wrapText="1"/>
    </xf>
    <xf numFmtId="0" fontId="8" fillId="2" borderId="0" xfId="0" applyFont="1" applyFill="1" applyAlignment="1">
      <alignment wrapText="1"/>
    </xf>
    <xf numFmtId="0" fontId="0" fillId="0" borderId="1" xfId="0" applyBorder="1" applyAlignment="1">
      <alignment wrapText="1"/>
    </xf>
    <xf numFmtId="0" fontId="0" fillId="0" borderId="1" xfId="0" applyBorder="1" applyAlignment="1">
      <alignment vertical="center" wrapText="1"/>
    </xf>
    <xf numFmtId="0" fontId="9" fillId="2" borderId="1" xfId="0" applyFont="1" applyFill="1" applyBorder="1" applyAlignment="1">
      <alignment wrapText="1"/>
    </xf>
    <xf numFmtId="0" fontId="1" fillId="0" borderId="1" xfId="0" applyFont="1" applyBorder="1" applyAlignment="1">
      <alignment horizontal="right"/>
    </xf>
    <xf numFmtId="0" fontId="1" fillId="0" borderId="1" xfId="0" applyFont="1" applyBorder="1"/>
    <xf numFmtId="166" fontId="4" fillId="0" borderId="1" xfId="0" applyNumberFormat="1" applyFont="1" applyBorder="1"/>
    <xf numFmtId="14" fontId="1" fillId="0" borderId="1" xfId="0" applyNumberFormat="1" applyFont="1" applyBorder="1"/>
    <xf numFmtId="1" fontId="1" fillId="0" borderId="1" xfId="0" applyNumberFormat="1" applyFont="1" applyBorder="1"/>
    <xf numFmtId="0" fontId="1" fillId="4" borderId="1" xfId="0" applyFont="1" applyFill="1" applyBorder="1"/>
    <xf numFmtId="166" fontId="1" fillId="0" borderId="1" xfId="0" applyNumberFormat="1" applyFont="1" applyBorder="1"/>
    <xf numFmtId="2" fontId="1" fillId="0" borderId="1" xfId="0" applyNumberFormat="1" applyFont="1" applyBorder="1"/>
    <xf numFmtId="0" fontId="1" fillId="0" borderId="1" xfId="2" applyNumberFormat="1" applyBorder="1"/>
    <xf numFmtId="0" fontId="1" fillId="5" borderId="1" xfId="0" applyFont="1" applyFill="1" applyBorder="1"/>
    <xf numFmtId="9" fontId="1" fillId="0" borderId="1" xfId="0" applyNumberFormat="1" applyFont="1" applyBorder="1"/>
    <xf numFmtId="0" fontId="1" fillId="9" borderId="1" xfId="0" applyFont="1" applyFill="1" applyBorder="1" applyAlignment="1">
      <alignment horizontal="right"/>
    </xf>
    <xf numFmtId="0" fontId="1" fillId="9" borderId="1" xfId="0" applyFont="1" applyFill="1" applyBorder="1"/>
    <xf numFmtId="166" fontId="1" fillId="9" borderId="1" xfId="0" applyNumberFormat="1" applyFont="1" applyFill="1" applyBorder="1"/>
    <xf numFmtId="14" fontId="1" fillId="9" borderId="1" xfId="0" applyNumberFormat="1" applyFont="1" applyFill="1" applyBorder="1"/>
    <xf numFmtId="10" fontId="1" fillId="9" borderId="1" xfId="2" applyNumberFormat="1" applyFill="1" applyBorder="1"/>
    <xf numFmtId="1" fontId="1" fillId="9" borderId="1" xfId="0" applyNumberFormat="1" applyFont="1" applyFill="1" applyBorder="1"/>
    <xf numFmtId="0" fontId="1" fillId="0" borderId="1" xfId="1" applyNumberFormat="1" applyBorder="1"/>
    <xf numFmtId="2" fontId="1" fillId="0" borderId="1" xfId="1" applyNumberFormat="1" applyBorder="1"/>
    <xf numFmtId="10" fontId="1" fillId="3" borderId="1" xfId="2" applyNumberFormat="1" applyFill="1" applyBorder="1"/>
    <xf numFmtId="164" fontId="1" fillId="0" borderId="1" xfId="0" applyNumberFormat="1" applyFont="1" applyBorder="1"/>
    <xf numFmtId="164" fontId="5" fillId="0" borderId="1" xfId="0" applyNumberFormat="1" applyFont="1" applyBorder="1"/>
    <xf numFmtId="43" fontId="1" fillId="0" borderId="1" xfId="1" applyBorder="1"/>
    <xf numFmtId="43" fontId="1" fillId="0" borderId="1" xfId="0" applyNumberFormat="1" applyFont="1" applyBorder="1"/>
    <xf numFmtId="4" fontId="1" fillId="0" borderId="1" xfId="0" applyNumberFormat="1" applyFont="1" applyBorder="1"/>
    <xf numFmtId="167" fontId="1" fillId="0" borderId="1" xfId="0" applyNumberFormat="1" applyFont="1" applyBorder="1"/>
    <xf numFmtId="0" fontId="1" fillId="7" borderId="1" xfId="0" applyFont="1" applyFill="1" applyBorder="1"/>
    <xf numFmtId="167" fontId="1" fillId="0" borderId="1" xfId="1" applyNumberFormat="1" applyBorder="1"/>
    <xf numFmtId="10" fontId="1" fillId="7" borderId="1" xfId="2" applyNumberFormat="1" applyFill="1" applyBorder="1"/>
    <xf numFmtId="10" fontId="1" fillId="0" borderId="1" xfId="0" applyNumberFormat="1" applyFont="1" applyBorder="1"/>
    <xf numFmtId="0" fontId="6" fillId="0" borderId="1" xfId="0" applyFont="1" applyBorder="1"/>
    <xf numFmtId="168" fontId="1" fillId="3" borderId="1" xfId="0" applyNumberFormat="1" applyFont="1" applyFill="1" applyBorder="1"/>
    <xf numFmtId="3" fontId="1" fillId="0" borderId="1" xfId="0" applyNumberFormat="1" applyFont="1" applyBorder="1"/>
    <xf numFmtId="0" fontId="1" fillId="8" borderId="1" xfId="0" applyFont="1" applyFill="1" applyBorder="1"/>
    <xf numFmtId="14" fontId="1" fillId="0" borderId="1" xfId="0" quotePrefix="1" applyNumberFormat="1" applyFont="1" applyBorder="1"/>
    <xf numFmtId="168" fontId="1" fillId="3" borderId="1" xfId="2" applyNumberFormat="1" applyFill="1" applyBorder="1"/>
    <xf numFmtId="0" fontId="1" fillId="6" borderId="1" xfId="0" applyFont="1" applyFill="1" applyBorder="1"/>
    <xf numFmtId="169" fontId="1" fillId="0" borderId="1" xfId="0" applyNumberFormat="1" applyFont="1" applyBorder="1"/>
    <xf numFmtId="10" fontId="1" fillId="3" borderId="1" xfId="0" applyNumberFormat="1" applyFont="1" applyFill="1" applyBorder="1"/>
    <xf numFmtId="0" fontId="1" fillId="0" borderId="1" xfId="0" quotePrefix="1" applyFont="1" applyBorder="1"/>
    <xf numFmtId="0" fontId="1" fillId="0" borderId="0" xfId="0" applyFont="1"/>
    <xf numFmtId="166" fontId="1" fillId="0" borderId="0" xfId="0" applyNumberFormat="1" applyFont="1"/>
    <xf numFmtId="10" fontId="1" fillId="0" borderId="0" xfId="0" applyNumberFormat="1" applyFont="1"/>
    <xf numFmtId="0" fontId="1" fillId="9" borderId="1" xfId="1" applyNumberFormat="1" applyFill="1" applyBorder="1"/>
    <xf numFmtId="2" fontId="1" fillId="9" borderId="1" xfId="1" applyNumberFormat="1" applyFill="1" applyBorder="1"/>
    <xf numFmtId="0" fontId="0" fillId="0" borderId="1" xfId="0" applyBorder="1" applyAlignment="1">
      <alignment horizontal="center" vertical="center" wrapText="1"/>
    </xf>
    <xf numFmtId="0" fontId="0" fillId="0" borderId="5" xfId="0" applyBorder="1"/>
    <xf numFmtId="0" fontId="0" fillId="0" borderId="2" xfId="0" applyBorder="1"/>
    <xf numFmtId="0" fontId="8" fillId="2" borderId="0" xfId="0" applyFont="1" applyFill="1" applyAlignment="1">
      <alignment horizontal="center" wrapText="1"/>
    </xf>
    <xf numFmtId="0" fontId="0" fillId="0" borderId="0" xfId="0" applyAlignment="1">
      <alignment wrapText="1"/>
    </xf>
    <xf numFmtId="0" fontId="9" fillId="2" borderId="1" xfId="0" applyFont="1" applyFill="1" applyBorder="1" applyAlignment="1">
      <alignment horizontal="center" wrapText="1"/>
    </xf>
    <xf numFmtId="0" fontId="0" fillId="0" borderId="3" xfId="0" applyBorder="1"/>
    <xf numFmtId="0" fontId="0" fillId="0" borderId="4" xfId="0" applyBorder="1"/>
  </cellXfs>
  <cellStyles count="5">
    <cellStyle name="Millares" xfId="1" builtinId="3"/>
    <cellStyle name="Moneda 2" xfId="3" xr:uid="{00000000-0005-0000-0000-000003000000}"/>
    <cellStyle name="Normal" xfId="0" builtinId="0"/>
    <cellStyle name="Normal 2" xfId="4" xr:uid="{00000000-0005-0000-0000-000004000000}"/>
    <cellStyle name="Porcentaje" xfId="2" builtinId="5"/>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1:S2389"/>
  <sheetViews>
    <sheetView showGridLines="0" zoomScale="75" zoomScaleNormal="75" workbookViewId="0"/>
  </sheetViews>
  <sheetFormatPr baseColWidth="10" defaultColWidth="11.44140625" defaultRowHeight="14.4" x14ac:dyDescent="0.3"/>
  <cols>
    <col min="2" max="2" width="48.109375" customWidth="1"/>
    <col min="3" max="3" width="51.6640625" bestFit="1" customWidth="1"/>
    <col min="4" max="6" width="11.5546875" customWidth="1"/>
    <col min="7" max="8" width="20" customWidth="1"/>
    <col min="10" max="11" width="20" bestFit="1" customWidth="1"/>
    <col min="12" max="12" width="11.5546875" customWidth="1"/>
    <col min="14" max="15" width="20" customWidth="1"/>
    <col min="17" max="17" width="10.44140625" bestFit="1" customWidth="1"/>
  </cols>
  <sheetData>
    <row r="1" spans="1:19" ht="28.8" customHeight="1" x14ac:dyDescent="0.3">
      <c r="A1" s="17" t="s">
        <v>0</v>
      </c>
      <c r="B1" s="16" t="s">
        <v>1</v>
      </c>
      <c r="C1" s="16" t="s">
        <v>2</v>
      </c>
      <c r="D1" s="16" t="s">
        <v>3</v>
      </c>
      <c r="E1" s="16" t="s">
        <v>4</v>
      </c>
      <c r="F1" s="16" t="s">
        <v>5</v>
      </c>
      <c r="G1" s="1" t="s">
        <v>6</v>
      </c>
      <c r="H1" s="1" t="s">
        <v>7</v>
      </c>
      <c r="I1" s="20" t="s">
        <v>8</v>
      </c>
      <c r="J1" s="1" t="s">
        <v>9</v>
      </c>
      <c r="K1" s="1" t="s">
        <v>10</v>
      </c>
      <c r="L1" s="4" t="s">
        <v>11</v>
      </c>
      <c r="M1" s="1" t="s">
        <v>12</v>
      </c>
      <c r="N1" s="1" t="s">
        <v>13</v>
      </c>
      <c r="O1" s="1" t="s">
        <v>14</v>
      </c>
      <c r="P1" s="21" t="s">
        <v>15</v>
      </c>
      <c r="Q1" s="21" t="s">
        <v>16</v>
      </c>
      <c r="R1" s="1" t="s">
        <v>17</v>
      </c>
      <c r="S1" s="5" t="s">
        <v>18</v>
      </c>
    </row>
    <row r="2" spans="1:19" x14ac:dyDescent="0.3">
      <c r="A2" s="37">
        <v>68</v>
      </c>
      <c r="B2" s="37" t="s">
        <v>19</v>
      </c>
      <c r="C2" s="37" t="s">
        <v>20</v>
      </c>
      <c r="D2" s="37" t="s">
        <v>21</v>
      </c>
      <c r="E2" s="37" t="s">
        <v>22</v>
      </c>
      <c r="F2" s="42">
        <v>44742</v>
      </c>
      <c r="G2" s="37">
        <v>2022</v>
      </c>
      <c r="H2" s="37" t="s">
        <v>23</v>
      </c>
      <c r="I2" s="37" t="s">
        <v>24</v>
      </c>
      <c r="J2" s="37">
        <v>1</v>
      </c>
      <c r="K2" s="37">
        <v>89</v>
      </c>
      <c r="L2" s="24">
        <f t="shared" ref="L2:L25" si="0">IFERROR(IF(OR(J2=0,K2=""),"",IF(E2="Positivo",MIN(MAX(K2/J2,0),1.3),MIN(MAX(J2/K2,0),1.3))),"")</f>
        <v>1.3</v>
      </c>
      <c r="M2" s="24">
        <f t="shared" ref="M2:M25" si="1">IFERROR(IF(OR(J2=0,K2=""),"",IF(E2="Positivo",MAX(K2/J2,0),MAX(J2/K2,0))),"")</f>
        <v>89</v>
      </c>
      <c r="N2" s="37" t="s">
        <v>25</v>
      </c>
      <c r="O2" s="37" t="s">
        <v>25</v>
      </c>
      <c r="P2" s="37">
        <v>0</v>
      </c>
      <c r="Q2" s="37">
        <v>1</v>
      </c>
      <c r="R2" s="37" t="s">
        <v>26</v>
      </c>
      <c r="S2" s="37"/>
    </row>
    <row r="3" spans="1:19" x14ac:dyDescent="0.3">
      <c r="A3" s="37">
        <v>68</v>
      </c>
      <c r="B3" s="37" t="s">
        <v>19</v>
      </c>
      <c r="C3" s="37" t="s">
        <v>20</v>
      </c>
      <c r="D3" s="37" t="s">
        <v>21</v>
      </c>
      <c r="E3" s="37" t="s">
        <v>22</v>
      </c>
      <c r="F3" s="42">
        <v>44926</v>
      </c>
      <c r="G3" s="37">
        <v>2022</v>
      </c>
      <c r="H3" s="37" t="s">
        <v>27</v>
      </c>
      <c r="I3" s="37" t="s">
        <v>28</v>
      </c>
      <c r="J3" s="37">
        <v>1</v>
      </c>
      <c r="K3" s="37">
        <v>93</v>
      </c>
      <c r="L3" s="24">
        <f t="shared" si="0"/>
        <v>1.3</v>
      </c>
      <c r="M3" s="24">
        <f t="shared" si="1"/>
        <v>93</v>
      </c>
      <c r="N3" s="37" t="s">
        <v>25</v>
      </c>
      <c r="O3" s="37" t="s">
        <v>25</v>
      </c>
      <c r="P3" s="37">
        <v>0</v>
      </c>
      <c r="Q3" s="37">
        <v>1</v>
      </c>
      <c r="R3" s="37" t="s">
        <v>29</v>
      </c>
      <c r="S3" s="37"/>
    </row>
    <row r="4" spans="1:19" x14ac:dyDescent="0.3">
      <c r="A4" s="36">
        <v>68</v>
      </c>
      <c r="B4" s="37" t="s">
        <v>19</v>
      </c>
      <c r="C4" s="37" t="s">
        <v>20</v>
      </c>
      <c r="D4" s="37" t="s">
        <v>21</v>
      </c>
      <c r="E4" s="37" t="s">
        <v>22</v>
      </c>
      <c r="F4" s="38">
        <v>45107</v>
      </c>
      <c r="G4" s="37">
        <v>2023</v>
      </c>
      <c r="H4" s="37" t="s">
        <v>23</v>
      </c>
      <c r="I4" s="39" t="s">
        <v>30</v>
      </c>
      <c r="J4" s="37">
        <v>80</v>
      </c>
      <c r="K4" s="37">
        <v>91.5</v>
      </c>
      <c r="L4" s="24">
        <f t="shared" si="0"/>
        <v>1.14375</v>
      </c>
      <c r="M4" s="24">
        <f t="shared" si="1"/>
        <v>1.14375</v>
      </c>
      <c r="N4" s="37" t="s">
        <v>25</v>
      </c>
      <c r="O4" s="37" t="s">
        <v>25</v>
      </c>
      <c r="P4" s="40">
        <v>1</v>
      </c>
      <c r="Q4" s="40">
        <v>1</v>
      </c>
      <c r="R4" s="37" t="s">
        <v>31</v>
      </c>
      <c r="S4" s="37"/>
    </row>
    <row r="5" spans="1:19" x14ac:dyDescent="0.3">
      <c r="A5" s="41">
        <v>68</v>
      </c>
      <c r="B5" s="37" t="s">
        <v>19</v>
      </c>
      <c r="C5" s="37" t="s">
        <v>20</v>
      </c>
      <c r="D5" s="37" t="s">
        <v>21</v>
      </c>
      <c r="E5" s="37" t="s">
        <v>22</v>
      </c>
      <c r="F5" s="42">
        <v>45291</v>
      </c>
      <c r="G5" s="37">
        <v>2023</v>
      </c>
      <c r="H5" s="37" t="s">
        <v>27</v>
      </c>
      <c r="I5" s="39" t="s">
        <v>32</v>
      </c>
      <c r="J5" s="37">
        <v>80</v>
      </c>
      <c r="K5" s="37">
        <v>85</v>
      </c>
      <c r="L5" s="24">
        <f t="shared" si="0"/>
        <v>1.0625</v>
      </c>
      <c r="M5" s="24">
        <f t="shared" si="1"/>
        <v>1.0625</v>
      </c>
      <c r="N5" s="37" t="s">
        <v>25</v>
      </c>
      <c r="O5" s="37" t="s">
        <v>25</v>
      </c>
      <c r="P5" s="40">
        <v>0</v>
      </c>
      <c r="Q5" s="40">
        <v>0</v>
      </c>
      <c r="R5" s="37" t="s">
        <v>33</v>
      </c>
      <c r="S5" s="37"/>
    </row>
    <row r="6" spans="1:19" x14ac:dyDescent="0.3">
      <c r="A6" s="37">
        <v>68</v>
      </c>
      <c r="B6" s="37" t="s">
        <v>19</v>
      </c>
      <c r="C6" s="37" t="s">
        <v>20</v>
      </c>
      <c r="D6" s="37" t="s">
        <v>21</v>
      </c>
      <c r="E6" s="37" t="s">
        <v>22</v>
      </c>
      <c r="F6" s="42">
        <v>45473</v>
      </c>
      <c r="G6" s="37">
        <v>2024</v>
      </c>
      <c r="H6" s="37" t="s">
        <v>23</v>
      </c>
      <c r="I6" s="39" t="s">
        <v>34</v>
      </c>
      <c r="J6" s="37">
        <v>80</v>
      </c>
      <c r="K6" s="37">
        <v>86</v>
      </c>
      <c r="L6" s="24">
        <f t="shared" si="0"/>
        <v>1.075</v>
      </c>
      <c r="M6" s="24">
        <f t="shared" si="1"/>
        <v>1.075</v>
      </c>
      <c r="N6" s="37" t="s">
        <v>25</v>
      </c>
      <c r="O6" s="37" t="s">
        <v>25</v>
      </c>
      <c r="P6" s="37">
        <v>1</v>
      </c>
      <c r="Q6" s="37">
        <v>1</v>
      </c>
      <c r="R6" s="37" t="s">
        <v>35</v>
      </c>
      <c r="S6" s="37"/>
    </row>
    <row r="7" spans="1:19" x14ac:dyDescent="0.3">
      <c r="A7" s="36">
        <v>68</v>
      </c>
      <c r="B7" s="37" t="s">
        <v>19</v>
      </c>
      <c r="C7" s="37" t="s">
        <v>20</v>
      </c>
      <c r="D7" s="37" t="s">
        <v>21</v>
      </c>
      <c r="E7" s="37" t="s">
        <v>22</v>
      </c>
      <c r="F7" s="42">
        <v>45657</v>
      </c>
      <c r="G7" s="37">
        <v>2024</v>
      </c>
      <c r="H7" s="37" t="s">
        <v>27</v>
      </c>
      <c r="I7" s="39" t="s">
        <v>36</v>
      </c>
      <c r="J7" s="37">
        <v>80</v>
      </c>
      <c r="K7" s="43">
        <v>87.5</v>
      </c>
      <c r="L7" s="24">
        <f t="shared" si="0"/>
        <v>1.09375</v>
      </c>
      <c r="M7" s="24">
        <f t="shared" si="1"/>
        <v>1.09375</v>
      </c>
      <c r="N7" s="37" t="s">
        <v>25</v>
      </c>
      <c r="O7" s="37" t="s">
        <v>25</v>
      </c>
      <c r="P7" s="40">
        <v>1</v>
      </c>
      <c r="Q7" s="40">
        <v>1</v>
      </c>
      <c r="R7" s="37" t="s">
        <v>37</v>
      </c>
      <c r="S7" s="37"/>
    </row>
    <row r="8" spans="1:19" x14ac:dyDescent="0.3">
      <c r="A8" s="37">
        <v>69</v>
      </c>
      <c r="B8" s="37" t="s">
        <v>38</v>
      </c>
      <c r="C8" s="37" t="s">
        <v>20</v>
      </c>
      <c r="D8" s="37" t="s">
        <v>39</v>
      </c>
      <c r="E8" s="37" t="s">
        <v>22</v>
      </c>
      <c r="F8" s="42">
        <v>44651</v>
      </c>
      <c r="G8" s="37">
        <v>2022</v>
      </c>
      <c r="H8" s="37" t="s">
        <v>40</v>
      </c>
      <c r="I8" s="37" t="s">
        <v>24</v>
      </c>
      <c r="J8" s="37">
        <v>1245</v>
      </c>
      <c r="K8" s="37">
        <v>997</v>
      </c>
      <c r="L8" s="24">
        <f t="shared" si="0"/>
        <v>0.80080321285140565</v>
      </c>
      <c r="M8" s="24">
        <f t="shared" si="1"/>
        <v>0.80080321285140565</v>
      </c>
      <c r="N8" s="44" t="s">
        <v>25</v>
      </c>
      <c r="O8" s="44" t="s">
        <v>25</v>
      </c>
      <c r="P8" s="37">
        <v>0</v>
      </c>
      <c r="Q8" s="37">
        <v>1</v>
      </c>
      <c r="R8" s="37" t="s">
        <v>41</v>
      </c>
      <c r="S8" s="37"/>
    </row>
    <row r="9" spans="1:19" x14ac:dyDescent="0.3">
      <c r="A9" s="37">
        <v>69</v>
      </c>
      <c r="B9" s="37" t="s">
        <v>38</v>
      </c>
      <c r="C9" s="37" t="s">
        <v>20</v>
      </c>
      <c r="D9" s="37" t="s">
        <v>39</v>
      </c>
      <c r="E9" s="37" t="s">
        <v>22</v>
      </c>
      <c r="F9" s="42">
        <v>44742</v>
      </c>
      <c r="G9" s="37">
        <v>2022</v>
      </c>
      <c r="H9" s="37" t="s">
        <v>23</v>
      </c>
      <c r="I9" s="37" t="s">
        <v>24</v>
      </c>
      <c r="J9" s="37">
        <v>1480</v>
      </c>
      <c r="K9" s="37">
        <v>1285</v>
      </c>
      <c r="L9" s="24">
        <f t="shared" si="0"/>
        <v>0.8682432432432432</v>
      </c>
      <c r="M9" s="24">
        <f t="shared" si="1"/>
        <v>0.8682432432432432</v>
      </c>
      <c r="N9" s="44" t="s">
        <v>25</v>
      </c>
      <c r="O9" s="44" t="s">
        <v>25</v>
      </c>
      <c r="P9" s="37">
        <v>0</v>
      </c>
      <c r="Q9" s="37">
        <v>1</v>
      </c>
      <c r="R9" s="37" t="s">
        <v>42</v>
      </c>
      <c r="S9" s="37"/>
    </row>
    <row r="10" spans="1:19" x14ac:dyDescent="0.3">
      <c r="A10" s="37">
        <v>69</v>
      </c>
      <c r="B10" s="37" t="s">
        <v>38</v>
      </c>
      <c r="C10" s="37" t="s">
        <v>20</v>
      </c>
      <c r="D10" s="37" t="s">
        <v>39</v>
      </c>
      <c r="E10" s="37" t="s">
        <v>22</v>
      </c>
      <c r="F10" s="42">
        <v>44834</v>
      </c>
      <c r="G10" s="37">
        <v>2022</v>
      </c>
      <c r="H10" s="37" t="s">
        <v>43</v>
      </c>
      <c r="I10" s="37" t="s">
        <v>28</v>
      </c>
      <c r="J10" s="37">
        <v>1123</v>
      </c>
      <c r="K10" s="37">
        <v>956</v>
      </c>
      <c r="L10" s="24">
        <f t="shared" si="0"/>
        <v>0.85129118432769368</v>
      </c>
      <c r="M10" s="24">
        <f t="shared" si="1"/>
        <v>0.85129118432769368</v>
      </c>
      <c r="N10" s="37" t="s">
        <v>25</v>
      </c>
      <c r="O10" s="37" t="s">
        <v>25</v>
      </c>
      <c r="P10" s="37">
        <v>0</v>
      </c>
      <c r="Q10" s="37">
        <v>1</v>
      </c>
      <c r="R10" s="37" t="s">
        <v>44</v>
      </c>
      <c r="S10" s="37"/>
    </row>
    <row r="11" spans="1:19" x14ac:dyDescent="0.3">
      <c r="A11" s="37">
        <v>69</v>
      </c>
      <c r="B11" s="37" t="s">
        <v>38</v>
      </c>
      <c r="C11" s="37" t="s">
        <v>20</v>
      </c>
      <c r="D11" s="37" t="s">
        <v>39</v>
      </c>
      <c r="E11" s="37" t="s">
        <v>22</v>
      </c>
      <c r="F11" s="42">
        <v>44926</v>
      </c>
      <c r="G11" s="37">
        <v>2022</v>
      </c>
      <c r="H11" s="37" t="s">
        <v>27</v>
      </c>
      <c r="I11" s="37" t="s">
        <v>28</v>
      </c>
      <c r="J11" s="37">
        <v>1108</v>
      </c>
      <c r="K11" s="37">
        <v>928</v>
      </c>
      <c r="L11" s="24">
        <f t="shared" si="0"/>
        <v>0.83754512635379064</v>
      </c>
      <c r="M11" s="24">
        <f t="shared" si="1"/>
        <v>0.83754512635379064</v>
      </c>
      <c r="N11" s="37" t="s">
        <v>25</v>
      </c>
      <c r="O11" s="37" t="s">
        <v>25</v>
      </c>
      <c r="P11" s="37">
        <v>0</v>
      </c>
      <c r="Q11" s="37">
        <v>1</v>
      </c>
      <c r="R11" s="37" t="s">
        <v>45</v>
      </c>
      <c r="S11" s="37"/>
    </row>
    <row r="12" spans="1:19" x14ac:dyDescent="0.3">
      <c r="A12" s="36">
        <v>69</v>
      </c>
      <c r="B12" s="37" t="s">
        <v>38</v>
      </c>
      <c r="C12" s="37" t="s">
        <v>20</v>
      </c>
      <c r="D12" s="37" t="s">
        <v>39</v>
      </c>
      <c r="E12" s="37" t="s">
        <v>22</v>
      </c>
      <c r="F12" s="42">
        <v>45016</v>
      </c>
      <c r="G12" s="37">
        <v>2023</v>
      </c>
      <c r="H12" s="37" t="s">
        <v>40</v>
      </c>
      <c r="I12" s="39" t="s">
        <v>30</v>
      </c>
      <c r="J12" s="37">
        <v>1089</v>
      </c>
      <c r="K12" s="37">
        <v>986</v>
      </c>
      <c r="L12" s="24">
        <f t="shared" si="0"/>
        <v>0.90541781450872361</v>
      </c>
      <c r="M12" s="24">
        <f t="shared" si="1"/>
        <v>0.90541781450872361</v>
      </c>
      <c r="N12" s="37" t="s">
        <v>25</v>
      </c>
      <c r="O12" s="37" t="s">
        <v>25</v>
      </c>
      <c r="P12" s="40">
        <v>0</v>
      </c>
      <c r="Q12" s="40">
        <v>0</v>
      </c>
      <c r="R12" s="37" t="s">
        <v>46</v>
      </c>
      <c r="S12" s="37"/>
    </row>
    <row r="13" spans="1:19" x14ac:dyDescent="0.3">
      <c r="A13" s="36">
        <v>69</v>
      </c>
      <c r="B13" s="37" t="s">
        <v>38</v>
      </c>
      <c r="C13" s="37" t="s">
        <v>20</v>
      </c>
      <c r="D13" s="37" t="s">
        <v>39</v>
      </c>
      <c r="E13" s="37" t="s">
        <v>22</v>
      </c>
      <c r="F13" s="42">
        <v>45107</v>
      </c>
      <c r="G13" s="37">
        <v>2023</v>
      </c>
      <c r="H13" s="37" t="s">
        <v>23</v>
      </c>
      <c r="I13" s="39" t="s">
        <v>30</v>
      </c>
      <c r="J13" s="37">
        <v>1031</v>
      </c>
      <c r="K13" s="37">
        <v>932</v>
      </c>
      <c r="L13" s="24">
        <f t="shared" si="0"/>
        <v>0.90397672162948595</v>
      </c>
      <c r="M13" s="24">
        <f t="shared" si="1"/>
        <v>0.90397672162948595</v>
      </c>
      <c r="N13" s="37" t="s">
        <v>25</v>
      </c>
      <c r="O13" s="37" t="s">
        <v>25</v>
      </c>
      <c r="P13" s="40">
        <v>0</v>
      </c>
      <c r="Q13" s="40">
        <v>0</v>
      </c>
      <c r="R13" s="37" t="s">
        <v>47</v>
      </c>
      <c r="S13" s="37"/>
    </row>
    <row r="14" spans="1:19" x14ac:dyDescent="0.3">
      <c r="A14" s="45">
        <v>69</v>
      </c>
      <c r="B14" s="37" t="s">
        <v>38</v>
      </c>
      <c r="C14" s="37" t="s">
        <v>20</v>
      </c>
      <c r="D14" s="37" t="s">
        <v>39</v>
      </c>
      <c r="E14" s="37" t="s">
        <v>22</v>
      </c>
      <c r="F14" s="42">
        <v>45199</v>
      </c>
      <c r="G14" s="37">
        <v>2023</v>
      </c>
      <c r="H14" s="37" t="s">
        <v>43</v>
      </c>
      <c r="I14" s="39" t="s">
        <v>32</v>
      </c>
      <c r="J14" s="37">
        <v>1351</v>
      </c>
      <c r="K14" s="37">
        <v>1255</v>
      </c>
      <c r="L14" s="24">
        <f t="shared" si="0"/>
        <v>0.92894152479644709</v>
      </c>
      <c r="M14" s="24">
        <f t="shared" si="1"/>
        <v>0.92894152479644709</v>
      </c>
      <c r="N14" s="37" t="s">
        <v>25</v>
      </c>
      <c r="O14" s="37" t="s">
        <v>25</v>
      </c>
      <c r="P14" s="40">
        <v>0</v>
      </c>
      <c r="Q14" s="40">
        <v>0</v>
      </c>
      <c r="R14" s="37" t="s">
        <v>48</v>
      </c>
      <c r="S14" s="37"/>
    </row>
    <row r="15" spans="1:19" x14ac:dyDescent="0.3">
      <c r="A15" s="41">
        <v>69</v>
      </c>
      <c r="B15" s="37" t="s">
        <v>38</v>
      </c>
      <c r="C15" s="37" t="s">
        <v>20</v>
      </c>
      <c r="D15" s="37" t="s">
        <v>39</v>
      </c>
      <c r="E15" s="37" t="s">
        <v>22</v>
      </c>
      <c r="F15" s="42">
        <v>45291</v>
      </c>
      <c r="G15" s="37">
        <v>2023</v>
      </c>
      <c r="H15" s="37" t="s">
        <v>27</v>
      </c>
      <c r="I15" s="39" t="s">
        <v>32</v>
      </c>
      <c r="J15" s="37">
        <v>1859</v>
      </c>
      <c r="K15" s="37">
        <v>1725</v>
      </c>
      <c r="L15" s="24">
        <f t="shared" si="0"/>
        <v>0.92791823561054332</v>
      </c>
      <c r="M15" s="24">
        <f t="shared" si="1"/>
        <v>0.92791823561054332</v>
      </c>
      <c r="N15" s="37" t="s">
        <v>25</v>
      </c>
      <c r="O15" s="37" t="s">
        <v>25</v>
      </c>
      <c r="P15" s="40">
        <v>0</v>
      </c>
      <c r="Q15" s="40">
        <v>0</v>
      </c>
      <c r="R15" s="37" t="s">
        <v>49</v>
      </c>
      <c r="S15" s="37"/>
    </row>
    <row r="16" spans="1:19" x14ac:dyDescent="0.3">
      <c r="A16" s="36">
        <v>69</v>
      </c>
      <c r="B16" s="37" t="s">
        <v>38</v>
      </c>
      <c r="C16" s="37" t="s">
        <v>20</v>
      </c>
      <c r="D16" s="37" t="s">
        <v>39</v>
      </c>
      <c r="E16" s="37" t="s">
        <v>22</v>
      </c>
      <c r="F16" s="42">
        <v>45382</v>
      </c>
      <c r="G16" s="37">
        <v>2024</v>
      </c>
      <c r="H16" s="37" t="s">
        <v>40</v>
      </c>
      <c r="I16" s="39" t="s">
        <v>34</v>
      </c>
      <c r="J16" s="37">
        <v>1025</v>
      </c>
      <c r="K16" s="43">
        <v>936</v>
      </c>
      <c r="L16" s="24">
        <f t="shared" si="0"/>
        <v>0.91317073170731711</v>
      </c>
      <c r="M16" s="24">
        <f t="shared" si="1"/>
        <v>0.91317073170731711</v>
      </c>
      <c r="N16" s="37" t="s">
        <v>25</v>
      </c>
      <c r="O16" s="37" t="s">
        <v>25</v>
      </c>
      <c r="P16" s="40">
        <v>0</v>
      </c>
      <c r="Q16" s="40">
        <v>0</v>
      </c>
      <c r="R16" s="37" t="s">
        <v>50</v>
      </c>
      <c r="S16" s="37"/>
    </row>
    <row r="17" spans="1:19" x14ac:dyDescent="0.3">
      <c r="A17" s="37">
        <v>69</v>
      </c>
      <c r="B17" s="37" t="s">
        <v>38</v>
      </c>
      <c r="C17" s="37" t="s">
        <v>20</v>
      </c>
      <c r="D17" s="37" t="s">
        <v>39</v>
      </c>
      <c r="E17" s="37" t="s">
        <v>22</v>
      </c>
      <c r="F17" s="42">
        <v>45473</v>
      </c>
      <c r="G17" s="37">
        <v>2024</v>
      </c>
      <c r="H17" s="37" t="s">
        <v>23</v>
      </c>
      <c r="I17" s="39" t="s">
        <v>34</v>
      </c>
      <c r="J17" s="37">
        <v>1107</v>
      </c>
      <c r="K17" s="37">
        <v>1011</v>
      </c>
      <c r="L17" s="24">
        <f t="shared" si="0"/>
        <v>0.91327913279132789</v>
      </c>
      <c r="M17" s="24">
        <f t="shared" si="1"/>
        <v>0.91327913279132789</v>
      </c>
      <c r="N17" s="37" t="s">
        <v>25</v>
      </c>
      <c r="O17" s="37" t="s">
        <v>25</v>
      </c>
      <c r="P17" s="37">
        <v>0</v>
      </c>
      <c r="Q17" s="37">
        <v>0</v>
      </c>
      <c r="R17" s="37" t="s">
        <v>51</v>
      </c>
      <c r="S17" s="37"/>
    </row>
    <row r="18" spans="1:19" x14ac:dyDescent="0.3">
      <c r="A18" s="36">
        <v>69</v>
      </c>
      <c r="B18" s="37" t="s">
        <v>38</v>
      </c>
      <c r="C18" s="37" t="s">
        <v>20</v>
      </c>
      <c r="D18" s="37" t="s">
        <v>39</v>
      </c>
      <c r="E18" s="37" t="s">
        <v>22</v>
      </c>
      <c r="F18" s="42">
        <v>45565</v>
      </c>
      <c r="G18" s="37">
        <v>2024</v>
      </c>
      <c r="H18" s="37" t="s">
        <v>43</v>
      </c>
      <c r="I18" s="39" t="s">
        <v>36</v>
      </c>
      <c r="J18" s="37">
        <v>1453</v>
      </c>
      <c r="K18" s="43">
        <v>1332</v>
      </c>
      <c r="L18" s="24">
        <f t="shared" si="0"/>
        <v>0.91672401927047487</v>
      </c>
      <c r="M18" s="24">
        <f t="shared" si="1"/>
        <v>0.91672401927047487</v>
      </c>
      <c r="N18" s="37" t="s">
        <v>25</v>
      </c>
      <c r="O18" s="37" t="s">
        <v>25</v>
      </c>
      <c r="P18" s="40">
        <v>0</v>
      </c>
      <c r="Q18" s="40">
        <v>0</v>
      </c>
      <c r="R18" s="37" t="s">
        <v>52</v>
      </c>
      <c r="S18" s="37"/>
    </row>
    <row r="19" spans="1:19" x14ac:dyDescent="0.3">
      <c r="A19" s="36">
        <v>69</v>
      </c>
      <c r="B19" s="37" t="s">
        <v>38</v>
      </c>
      <c r="C19" s="37" t="s">
        <v>20</v>
      </c>
      <c r="D19" s="37" t="s">
        <v>39</v>
      </c>
      <c r="E19" s="37" t="s">
        <v>22</v>
      </c>
      <c r="F19" s="42">
        <v>45657</v>
      </c>
      <c r="G19" s="37">
        <v>2024</v>
      </c>
      <c r="H19" s="37" t="s">
        <v>27</v>
      </c>
      <c r="I19" s="39" t="s">
        <v>36</v>
      </c>
      <c r="J19" s="37">
        <v>1221</v>
      </c>
      <c r="K19" s="43">
        <v>1105</v>
      </c>
      <c r="L19" s="24">
        <f t="shared" si="0"/>
        <v>0.90499590499590499</v>
      </c>
      <c r="M19" s="24">
        <f t="shared" si="1"/>
        <v>0.90499590499590499</v>
      </c>
      <c r="N19" s="37" t="s">
        <v>25</v>
      </c>
      <c r="O19" s="37" t="s">
        <v>25</v>
      </c>
      <c r="P19" s="40">
        <v>0</v>
      </c>
      <c r="Q19" s="40">
        <v>0</v>
      </c>
      <c r="R19" s="37" t="s">
        <v>53</v>
      </c>
      <c r="S19" s="37"/>
    </row>
    <row r="20" spans="1:19" x14ac:dyDescent="0.3">
      <c r="A20" s="37">
        <v>73</v>
      </c>
      <c r="B20" s="37" t="s">
        <v>54</v>
      </c>
      <c r="C20" s="37" t="s">
        <v>55</v>
      </c>
      <c r="D20" s="37" t="s">
        <v>21</v>
      </c>
      <c r="E20" s="37" t="s">
        <v>56</v>
      </c>
      <c r="F20" s="42">
        <v>44742</v>
      </c>
      <c r="G20" s="37">
        <v>2022</v>
      </c>
      <c r="H20" s="37" t="s">
        <v>23</v>
      </c>
      <c r="I20" s="37" t="s">
        <v>24</v>
      </c>
      <c r="J20" s="37">
        <v>1</v>
      </c>
      <c r="K20" s="37">
        <v>17.670000000000002</v>
      </c>
      <c r="L20" s="24">
        <f t="shared" si="0"/>
        <v>5.6593095642331628E-2</v>
      </c>
      <c r="M20" s="24">
        <f t="shared" si="1"/>
        <v>5.6593095642331628E-2</v>
      </c>
      <c r="N20" s="37" t="s">
        <v>57</v>
      </c>
      <c r="O20" s="37" t="s">
        <v>57</v>
      </c>
      <c r="P20" s="37">
        <v>0</v>
      </c>
      <c r="Q20" s="37">
        <v>0</v>
      </c>
      <c r="R20" s="37" t="s">
        <v>58</v>
      </c>
      <c r="S20" s="37"/>
    </row>
    <row r="21" spans="1:19" x14ac:dyDescent="0.3">
      <c r="A21" s="37">
        <v>73</v>
      </c>
      <c r="B21" s="37" t="s">
        <v>54</v>
      </c>
      <c r="C21" s="37" t="s">
        <v>55</v>
      </c>
      <c r="D21" s="37" t="s">
        <v>21</v>
      </c>
      <c r="E21" s="37" t="s">
        <v>56</v>
      </c>
      <c r="F21" s="42">
        <v>44926</v>
      </c>
      <c r="G21" s="37">
        <v>2022</v>
      </c>
      <c r="H21" s="37" t="s">
        <v>27</v>
      </c>
      <c r="I21" s="37" t="s">
        <v>28</v>
      </c>
      <c r="J21" s="37">
        <v>1</v>
      </c>
      <c r="K21" s="37">
        <v>20</v>
      </c>
      <c r="L21" s="24">
        <f t="shared" si="0"/>
        <v>0.05</v>
      </c>
      <c r="M21" s="24">
        <f t="shared" si="1"/>
        <v>0.05</v>
      </c>
      <c r="N21" s="37" t="s">
        <v>57</v>
      </c>
      <c r="O21" s="37" t="s">
        <v>57</v>
      </c>
      <c r="P21" s="37">
        <v>0</v>
      </c>
      <c r="Q21" s="37">
        <v>0</v>
      </c>
      <c r="R21" s="37" t="s">
        <v>59</v>
      </c>
      <c r="S21" s="37"/>
    </row>
    <row r="22" spans="1:19" x14ac:dyDescent="0.3">
      <c r="A22" s="36">
        <v>73</v>
      </c>
      <c r="B22" s="37" t="s">
        <v>54</v>
      </c>
      <c r="C22" s="37" t="s">
        <v>55</v>
      </c>
      <c r="D22" s="37" t="s">
        <v>21</v>
      </c>
      <c r="E22" s="37" t="s">
        <v>56</v>
      </c>
      <c r="F22" s="38">
        <v>45107</v>
      </c>
      <c r="G22" s="37">
        <v>2023</v>
      </c>
      <c r="H22" s="37" t="s">
        <v>23</v>
      </c>
      <c r="I22" s="39" t="s">
        <v>30</v>
      </c>
      <c r="J22" s="37">
        <v>20</v>
      </c>
      <c r="K22" s="37">
        <v>19</v>
      </c>
      <c r="L22" s="24">
        <f t="shared" si="0"/>
        <v>1.0526315789473684</v>
      </c>
      <c r="M22" s="24">
        <f t="shared" si="1"/>
        <v>1.0526315789473684</v>
      </c>
      <c r="N22" s="46" t="s">
        <v>57</v>
      </c>
      <c r="O22" s="46" t="s">
        <v>57</v>
      </c>
      <c r="P22" s="40">
        <v>0</v>
      </c>
      <c r="Q22" s="40">
        <v>0</v>
      </c>
      <c r="R22" s="37" t="s">
        <v>60</v>
      </c>
      <c r="S22" s="37"/>
    </row>
    <row r="23" spans="1:19" x14ac:dyDescent="0.3">
      <c r="A23" s="41">
        <v>73</v>
      </c>
      <c r="B23" s="37" t="s">
        <v>54</v>
      </c>
      <c r="C23" s="37" t="s">
        <v>55</v>
      </c>
      <c r="D23" s="37" t="s">
        <v>21</v>
      </c>
      <c r="E23" s="37" t="s">
        <v>56</v>
      </c>
      <c r="F23" s="42">
        <v>45291</v>
      </c>
      <c r="G23" s="37">
        <v>2023</v>
      </c>
      <c r="H23" s="37" t="s">
        <v>27</v>
      </c>
      <c r="I23" s="39" t="s">
        <v>32</v>
      </c>
      <c r="J23" s="37">
        <v>20</v>
      </c>
      <c r="K23" s="37">
        <v>17</v>
      </c>
      <c r="L23" s="24">
        <f t="shared" si="0"/>
        <v>1.1764705882352942</v>
      </c>
      <c r="M23" s="24">
        <f t="shared" si="1"/>
        <v>1.1764705882352942</v>
      </c>
      <c r="N23" s="46" t="s">
        <v>57</v>
      </c>
      <c r="O23" s="46" t="s">
        <v>57</v>
      </c>
      <c r="P23" s="40">
        <v>0</v>
      </c>
      <c r="Q23" s="40">
        <v>0</v>
      </c>
      <c r="R23" s="37" t="s">
        <v>61</v>
      </c>
      <c r="S23" s="37"/>
    </row>
    <row r="24" spans="1:19" x14ac:dyDescent="0.3">
      <c r="A24" s="37">
        <v>73</v>
      </c>
      <c r="B24" s="37" t="s">
        <v>54</v>
      </c>
      <c r="C24" s="37" t="s">
        <v>55</v>
      </c>
      <c r="D24" s="37" t="s">
        <v>21</v>
      </c>
      <c r="E24" s="37" t="s">
        <v>56</v>
      </c>
      <c r="F24" s="42">
        <v>45473</v>
      </c>
      <c r="G24" s="37">
        <v>2024</v>
      </c>
      <c r="H24" s="37" t="s">
        <v>23</v>
      </c>
      <c r="I24" s="39" t="s">
        <v>34</v>
      </c>
      <c r="J24" s="37">
        <v>20</v>
      </c>
      <c r="K24" s="37">
        <v>20</v>
      </c>
      <c r="L24" s="24">
        <f t="shared" si="0"/>
        <v>1</v>
      </c>
      <c r="M24" s="24">
        <f t="shared" si="1"/>
        <v>1</v>
      </c>
      <c r="N24" s="37" t="s">
        <v>57</v>
      </c>
      <c r="O24" s="37" t="s">
        <v>57</v>
      </c>
      <c r="P24" s="37">
        <v>0</v>
      </c>
      <c r="Q24" s="37">
        <v>0</v>
      </c>
      <c r="R24" s="37" t="s">
        <v>62</v>
      </c>
      <c r="S24" s="37"/>
    </row>
    <row r="25" spans="1:19" x14ac:dyDescent="0.3">
      <c r="A25" s="36">
        <v>73</v>
      </c>
      <c r="B25" s="37" t="s">
        <v>54</v>
      </c>
      <c r="C25" s="37" t="s">
        <v>55</v>
      </c>
      <c r="D25" s="37" t="s">
        <v>21</v>
      </c>
      <c r="E25" s="37" t="s">
        <v>56</v>
      </c>
      <c r="F25" s="42">
        <v>45657</v>
      </c>
      <c r="G25" s="37">
        <v>2024</v>
      </c>
      <c r="H25" s="37" t="s">
        <v>27</v>
      </c>
      <c r="I25" s="39" t="s">
        <v>36</v>
      </c>
      <c r="J25" s="37">
        <v>20</v>
      </c>
      <c r="K25" s="43">
        <v>17</v>
      </c>
      <c r="L25" s="24">
        <f t="shared" si="0"/>
        <v>1.1764705882352942</v>
      </c>
      <c r="M25" s="24">
        <f t="shared" si="1"/>
        <v>1.1764705882352942</v>
      </c>
      <c r="N25" s="37" t="s">
        <v>57</v>
      </c>
      <c r="O25" s="37" t="s">
        <v>57</v>
      </c>
      <c r="P25" s="40">
        <v>0</v>
      </c>
      <c r="Q25" s="40">
        <v>0</v>
      </c>
      <c r="R25" s="37" t="s">
        <v>63</v>
      </c>
      <c r="S25" s="37"/>
    </row>
    <row r="26" spans="1:19" x14ac:dyDescent="0.3">
      <c r="A26" s="37">
        <v>74</v>
      </c>
      <c r="B26" s="37" t="s">
        <v>64</v>
      </c>
      <c r="C26" s="37" t="s">
        <v>55</v>
      </c>
      <c r="D26" s="37" t="s">
        <v>21</v>
      </c>
      <c r="E26" s="37" t="s">
        <v>22</v>
      </c>
      <c r="F26" s="42">
        <v>44742</v>
      </c>
      <c r="G26" s="37">
        <v>2022</v>
      </c>
      <c r="H26" s="37" t="s">
        <v>23</v>
      </c>
      <c r="I26" s="37" t="s">
        <v>24</v>
      </c>
      <c r="J26" s="37">
        <v>80</v>
      </c>
      <c r="K26" s="37">
        <v>88</v>
      </c>
      <c r="L26" s="24">
        <f t="shared" ref="L26:L51" si="2">IFERROR(IF(OR(J26=0,K26=""),"",IF(E26="Positivo",MIN(MAX(K26/J26,0),1.3),MIN(MAX(J26/K26,0),1.3))),"")</f>
        <v>1.1000000000000001</v>
      </c>
      <c r="M26" s="24">
        <f t="shared" ref="M26:M51" si="3">IFERROR(IF(OR(J26=0,K26=""),"",IF(E26="Positivo",MAX(K26/J26,0),MAX(J26/K26,0))),"")</f>
        <v>1.1000000000000001</v>
      </c>
      <c r="N26" s="37" t="s">
        <v>25</v>
      </c>
      <c r="O26" s="37" t="s">
        <v>25</v>
      </c>
      <c r="P26" s="37">
        <v>0</v>
      </c>
      <c r="Q26" s="37">
        <v>0</v>
      </c>
      <c r="R26" s="37" t="s">
        <v>65</v>
      </c>
      <c r="S26" s="37"/>
    </row>
    <row r="27" spans="1:19" x14ac:dyDescent="0.3">
      <c r="A27" s="37">
        <v>74</v>
      </c>
      <c r="B27" s="37" t="s">
        <v>64</v>
      </c>
      <c r="C27" s="37" t="s">
        <v>55</v>
      </c>
      <c r="D27" s="37" t="s">
        <v>21</v>
      </c>
      <c r="E27" s="37" t="s">
        <v>22</v>
      </c>
      <c r="F27" s="42">
        <v>44926</v>
      </c>
      <c r="G27" s="37">
        <v>2022</v>
      </c>
      <c r="H27" s="37" t="s">
        <v>27</v>
      </c>
      <c r="I27" s="37" t="s">
        <v>28</v>
      </c>
      <c r="J27" s="37">
        <v>80</v>
      </c>
      <c r="K27" s="37">
        <v>82.894736842105004</v>
      </c>
      <c r="L27" s="24">
        <f t="shared" si="2"/>
        <v>1.0361842105263126</v>
      </c>
      <c r="M27" s="24">
        <f t="shared" si="3"/>
        <v>1.0361842105263126</v>
      </c>
      <c r="N27" s="37" t="s">
        <v>25</v>
      </c>
      <c r="O27" s="37" t="s">
        <v>25</v>
      </c>
      <c r="P27" s="37">
        <v>0</v>
      </c>
      <c r="Q27" s="37">
        <v>0</v>
      </c>
      <c r="R27" s="37" t="s">
        <v>66</v>
      </c>
      <c r="S27" s="37"/>
    </row>
    <row r="28" spans="1:19" x14ac:dyDescent="0.3">
      <c r="A28" s="36">
        <v>74</v>
      </c>
      <c r="B28" s="37" t="s">
        <v>64</v>
      </c>
      <c r="C28" s="37" t="s">
        <v>55</v>
      </c>
      <c r="D28" s="37" t="s">
        <v>21</v>
      </c>
      <c r="E28" s="37" t="s">
        <v>22</v>
      </c>
      <c r="F28" s="38">
        <v>45107</v>
      </c>
      <c r="G28" s="37">
        <v>2023</v>
      </c>
      <c r="H28" s="37" t="s">
        <v>23</v>
      </c>
      <c r="I28" s="39" t="s">
        <v>30</v>
      </c>
      <c r="J28" s="37">
        <v>80</v>
      </c>
      <c r="K28" s="37">
        <v>87.179487179486998</v>
      </c>
      <c r="L28" s="24">
        <f t="shared" si="2"/>
        <v>1.0897435897435874</v>
      </c>
      <c r="M28" s="24">
        <f t="shared" si="3"/>
        <v>1.0897435897435874</v>
      </c>
      <c r="N28" s="37" t="s">
        <v>25</v>
      </c>
      <c r="O28" s="37" t="s">
        <v>25</v>
      </c>
      <c r="P28" s="40">
        <v>0</v>
      </c>
      <c r="Q28" s="40">
        <v>0</v>
      </c>
      <c r="R28" s="37" t="s">
        <v>67</v>
      </c>
      <c r="S28" s="37"/>
    </row>
    <row r="29" spans="1:19" x14ac:dyDescent="0.3">
      <c r="A29" s="41">
        <v>74</v>
      </c>
      <c r="B29" s="37" t="s">
        <v>64</v>
      </c>
      <c r="C29" s="37" t="s">
        <v>55</v>
      </c>
      <c r="D29" s="37" t="s">
        <v>21</v>
      </c>
      <c r="E29" s="37" t="s">
        <v>22</v>
      </c>
      <c r="F29" s="42">
        <v>45291</v>
      </c>
      <c r="G29" s="37">
        <v>2023</v>
      </c>
      <c r="H29" s="37" t="s">
        <v>27</v>
      </c>
      <c r="I29" s="39" t="s">
        <v>32</v>
      </c>
      <c r="J29" s="37">
        <v>80</v>
      </c>
      <c r="K29" s="37">
        <v>94.64</v>
      </c>
      <c r="L29" s="24">
        <f t="shared" si="2"/>
        <v>1.1830000000000001</v>
      </c>
      <c r="M29" s="24">
        <f t="shared" si="3"/>
        <v>1.1830000000000001</v>
      </c>
      <c r="N29" s="37" t="s">
        <v>25</v>
      </c>
      <c r="O29" s="37" t="s">
        <v>25</v>
      </c>
      <c r="P29" s="40">
        <v>0</v>
      </c>
      <c r="Q29" s="40">
        <v>0</v>
      </c>
      <c r="R29" s="37" t="s">
        <v>68</v>
      </c>
      <c r="S29" s="37"/>
    </row>
    <row r="30" spans="1:19" x14ac:dyDescent="0.3">
      <c r="A30" s="37">
        <v>74</v>
      </c>
      <c r="B30" s="37" t="s">
        <v>64</v>
      </c>
      <c r="C30" s="37" t="s">
        <v>55</v>
      </c>
      <c r="D30" s="37" t="s">
        <v>21</v>
      </c>
      <c r="E30" s="37" t="s">
        <v>22</v>
      </c>
      <c r="F30" s="42">
        <v>45473</v>
      </c>
      <c r="G30" s="37">
        <v>2024</v>
      </c>
      <c r="H30" s="37" t="s">
        <v>23</v>
      </c>
      <c r="I30" s="39" t="s">
        <v>34</v>
      </c>
      <c r="J30" s="37">
        <v>80</v>
      </c>
      <c r="K30" s="37">
        <v>91.53</v>
      </c>
      <c r="L30" s="24">
        <f t="shared" si="2"/>
        <v>1.1441250000000001</v>
      </c>
      <c r="M30" s="24">
        <f t="shared" si="3"/>
        <v>1.1441250000000001</v>
      </c>
      <c r="N30" s="37" t="s">
        <v>25</v>
      </c>
      <c r="O30" s="37" t="s">
        <v>25</v>
      </c>
      <c r="P30" s="37">
        <v>0</v>
      </c>
      <c r="Q30" s="37">
        <v>0</v>
      </c>
      <c r="R30" s="37" t="s">
        <v>69</v>
      </c>
      <c r="S30" s="37"/>
    </row>
    <row r="31" spans="1:19" x14ac:dyDescent="0.3">
      <c r="A31" s="36">
        <v>74</v>
      </c>
      <c r="B31" s="37" t="s">
        <v>64</v>
      </c>
      <c r="C31" s="37" t="s">
        <v>55</v>
      </c>
      <c r="D31" s="37" t="s">
        <v>21</v>
      </c>
      <c r="E31" s="37" t="s">
        <v>22</v>
      </c>
      <c r="F31" s="42">
        <v>45657</v>
      </c>
      <c r="G31" s="37">
        <v>2024</v>
      </c>
      <c r="H31" s="37" t="s">
        <v>27</v>
      </c>
      <c r="I31" s="39" t="s">
        <v>36</v>
      </c>
      <c r="J31" s="37">
        <v>80</v>
      </c>
      <c r="K31" s="43">
        <v>95.45</v>
      </c>
      <c r="L31" s="24">
        <f t="shared" si="2"/>
        <v>1.193125</v>
      </c>
      <c r="M31" s="24">
        <f t="shared" si="3"/>
        <v>1.193125</v>
      </c>
      <c r="N31" s="37" t="s">
        <v>25</v>
      </c>
      <c r="O31" s="37" t="s">
        <v>25</v>
      </c>
      <c r="P31" s="40">
        <v>0</v>
      </c>
      <c r="Q31" s="40">
        <v>0</v>
      </c>
      <c r="R31" s="37" t="s">
        <v>70</v>
      </c>
      <c r="S31" s="37"/>
    </row>
    <row r="32" spans="1:19" x14ac:dyDescent="0.3">
      <c r="A32" s="37">
        <v>77</v>
      </c>
      <c r="B32" s="37" t="s">
        <v>71</v>
      </c>
      <c r="C32" s="37" t="s">
        <v>72</v>
      </c>
      <c r="D32" s="37" t="s">
        <v>73</v>
      </c>
      <c r="E32" s="37" t="s">
        <v>22</v>
      </c>
      <c r="F32" s="42">
        <v>44592</v>
      </c>
      <c r="G32" s="37">
        <v>2022</v>
      </c>
      <c r="H32" s="37" t="s">
        <v>74</v>
      </c>
      <c r="I32" s="39" t="s">
        <v>24</v>
      </c>
      <c r="J32" s="37">
        <v>97</v>
      </c>
      <c r="K32" s="37">
        <v>98.2</v>
      </c>
      <c r="L32" s="24">
        <f t="shared" si="2"/>
        <v>1.0123711340206185</v>
      </c>
      <c r="M32" s="24">
        <f t="shared" si="3"/>
        <v>1.0123711340206185</v>
      </c>
      <c r="N32" s="37" t="s">
        <v>25</v>
      </c>
      <c r="O32" s="37" t="s">
        <v>25</v>
      </c>
      <c r="P32" s="37">
        <v>1</v>
      </c>
      <c r="Q32" s="37">
        <v>1</v>
      </c>
      <c r="R32" s="37" t="s">
        <v>75</v>
      </c>
      <c r="S32" s="37"/>
    </row>
    <row r="33" spans="1:19" x14ac:dyDescent="0.3">
      <c r="A33" s="37">
        <v>77</v>
      </c>
      <c r="B33" s="37" t="s">
        <v>71</v>
      </c>
      <c r="C33" s="37" t="s">
        <v>72</v>
      </c>
      <c r="D33" s="37" t="s">
        <v>73</v>
      </c>
      <c r="E33" s="37" t="s">
        <v>22</v>
      </c>
      <c r="F33" s="42">
        <v>44620</v>
      </c>
      <c r="G33" s="37">
        <v>2022</v>
      </c>
      <c r="H33" s="37" t="s">
        <v>76</v>
      </c>
      <c r="I33" s="39" t="s">
        <v>24</v>
      </c>
      <c r="J33" s="37">
        <v>97</v>
      </c>
      <c r="K33" s="37">
        <v>96.1</v>
      </c>
      <c r="L33" s="24">
        <f t="shared" si="2"/>
        <v>0.990721649484536</v>
      </c>
      <c r="M33" s="24">
        <f t="shared" si="3"/>
        <v>0.990721649484536</v>
      </c>
      <c r="N33" s="37" t="s">
        <v>25</v>
      </c>
      <c r="O33" s="37" t="s">
        <v>25</v>
      </c>
      <c r="P33" s="37">
        <v>1</v>
      </c>
      <c r="Q33" s="37">
        <v>1</v>
      </c>
      <c r="R33" s="37" t="s">
        <v>77</v>
      </c>
      <c r="S33" s="37"/>
    </row>
    <row r="34" spans="1:19" x14ac:dyDescent="0.3">
      <c r="A34" s="37">
        <v>77</v>
      </c>
      <c r="B34" s="37" t="s">
        <v>71</v>
      </c>
      <c r="C34" s="37" t="s">
        <v>72</v>
      </c>
      <c r="D34" s="37" t="s">
        <v>73</v>
      </c>
      <c r="E34" s="37" t="s">
        <v>22</v>
      </c>
      <c r="F34" s="42">
        <v>44651</v>
      </c>
      <c r="G34" s="37">
        <v>2022</v>
      </c>
      <c r="H34" s="37" t="s">
        <v>40</v>
      </c>
      <c r="I34" s="39" t="s">
        <v>24</v>
      </c>
      <c r="J34" s="37">
        <v>97</v>
      </c>
      <c r="K34" s="37">
        <v>99.1</v>
      </c>
      <c r="L34" s="24">
        <f t="shared" si="2"/>
        <v>1.0216494845360824</v>
      </c>
      <c r="M34" s="24">
        <f t="shared" si="3"/>
        <v>1.0216494845360824</v>
      </c>
      <c r="N34" s="37" t="s">
        <v>25</v>
      </c>
      <c r="O34" s="37" t="s">
        <v>25</v>
      </c>
      <c r="P34" s="37">
        <v>1</v>
      </c>
      <c r="Q34" s="37">
        <v>1</v>
      </c>
      <c r="R34" s="37" t="s">
        <v>78</v>
      </c>
      <c r="S34" s="37"/>
    </row>
    <row r="35" spans="1:19" x14ac:dyDescent="0.3">
      <c r="A35" s="37">
        <v>77</v>
      </c>
      <c r="B35" s="37" t="s">
        <v>71</v>
      </c>
      <c r="C35" s="37" t="s">
        <v>72</v>
      </c>
      <c r="D35" s="37" t="s">
        <v>73</v>
      </c>
      <c r="E35" s="37" t="s">
        <v>22</v>
      </c>
      <c r="F35" s="42">
        <v>44681</v>
      </c>
      <c r="G35" s="37">
        <v>2022</v>
      </c>
      <c r="H35" s="37" t="s">
        <v>79</v>
      </c>
      <c r="I35" s="39" t="s">
        <v>24</v>
      </c>
      <c r="J35" s="37">
        <v>97</v>
      </c>
      <c r="K35" s="37">
        <v>96.5</v>
      </c>
      <c r="L35" s="24">
        <f t="shared" si="2"/>
        <v>0.99484536082474229</v>
      </c>
      <c r="M35" s="24">
        <f t="shared" si="3"/>
        <v>0.99484536082474229</v>
      </c>
      <c r="N35" s="37" t="s">
        <v>25</v>
      </c>
      <c r="O35" s="37" t="s">
        <v>25</v>
      </c>
      <c r="P35" s="37">
        <v>1</v>
      </c>
      <c r="Q35" s="37">
        <v>1</v>
      </c>
      <c r="R35" s="37" t="s">
        <v>80</v>
      </c>
      <c r="S35" s="37"/>
    </row>
    <row r="36" spans="1:19" x14ac:dyDescent="0.3">
      <c r="A36" s="37">
        <v>77</v>
      </c>
      <c r="B36" s="37" t="s">
        <v>71</v>
      </c>
      <c r="C36" s="37" t="s">
        <v>72</v>
      </c>
      <c r="D36" s="37" t="s">
        <v>73</v>
      </c>
      <c r="E36" s="37" t="s">
        <v>22</v>
      </c>
      <c r="F36" s="42">
        <v>44712</v>
      </c>
      <c r="G36" s="37">
        <v>2022</v>
      </c>
      <c r="H36" s="37" t="s">
        <v>81</v>
      </c>
      <c r="I36" s="39" t="s">
        <v>24</v>
      </c>
      <c r="J36" s="37">
        <v>97</v>
      </c>
      <c r="K36" s="37">
        <v>97.4</v>
      </c>
      <c r="L36" s="24">
        <f t="shared" si="2"/>
        <v>1.0041237113402062</v>
      </c>
      <c r="M36" s="24">
        <f t="shared" si="3"/>
        <v>1.0041237113402062</v>
      </c>
      <c r="N36" s="37" t="s">
        <v>25</v>
      </c>
      <c r="O36" s="37" t="s">
        <v>25</v>
      </c>
      <c r="P36" s="37">
        <v>1</v>
      </c>
      <c r="Q36" s="37">
        <v>1</v>
      </c>
      <c r="R36" s="37" t="s">
        <v>82</v>
      </c>
      <c r="S36" s="37"/>
    </row>
    <row r="37" spans="1:19" x14ac:dyDescent="0.3">
      <c r="A37" s="37">
        <v>77</v>
      </c>
      <c r="B37" s="37" t="s">
        <v>71</v>
      </c>
      <c r="C37" s="37" t="s">
        <v>72</v>
      </c>
      <c r="D37" s="37" t="s">
        <v>73</v>
      </c>
      <c r="E37" s="37" t="s">
        <v>22</v>
      </c>
      <c r="F37" s="42">
        <v>44742</v>
      </c>
      <c r="G37" s="37">
        <v>2022</v>
      </c>
      <c r="H37" s="37" t="s">
        <v>23</v>
      </c>
      <c r="I37" s="39" t="s">
        <v>24</v>
      </c>
      <c r="J37" s="37">
        <v>97</v>
      </c>
      <c r="K37" s="37">
        <v>98.8</v>
      </c>
      <c r="L37" s="24">
        <f t="shared" si="2"/>
        <v>1.0185567010309278</v>
      </c>
      <c r="M37" s="24">
        <f t="shared" si="3"/>
        <v>1.0185567010309278</v>
      </c>
      <c r="N37" s="37" t="s">
        <v>25</v>
      </c>
      <c r="O37" s="37" t="s">
        <v>25</v>
      </c>
      <c r="P37" s="37">
        <v>1</v>
      </c>
      <c r="Q37" s="37">
        <v>1</v>
      </c>
      <c r="R37" s="37" t="s">
        <v>83</v>
      </c>
      <c r="S37" s="37"/>
    </row>
    <row r="38" spans="1:19" x14ac:dyDescent="0.3">
      <c r="A38" s="37">
        <v>77</v>
      </c>
      <c r="B38" s="37" t="s">
        <v>71</v>
      </c>
      <c r="C38" s="37" t="s">
        <v>72</v>
      </c>
      <c r="D38" s="37" t="s">
        <v>73</v>
      </c>
      <c r="E38" s="37" t="s">
        <v>22</v>
      </c>
      <c r="F38" s="42">
        <v>44773</v>
      </c>
      <c r="G38" s="37">
        <v>2022</v>
      </c>
      <c r="H38" s="37" t="s">
        <v>84</v>
      </c>
      <c r="I38" s="39" t="s">
        <v>28</v>
      </c>
      <c r="J38" s="37">
        <v>97</v>
      </c>
      <c r="K38" s="37">
        <v>97.09</v>
      </c>
      <c r="L38" s="24">
        <f t="shared" si="2"/>
        <v>1.0009278350515465</v>
      </c>
      <c r="M38" s="24">
        <f t="shared" si="3"/>
        <v>1.0009278350515465</v>
      </c>
      <c r="N38" s="37" t="s">
        <v>25</v>
      </c>
      <c r="O38" s="37" t="s">
        <v>25</v>
      </c>
      <c r="P38" s="37">
        <v>1</v>
      </c>
      <c r="Q38" s="37">
        <v>1</v>
      </c>
      <c r="R38" s="37" t="s">
        <v>85</v>
      </c>
      <c r="S38" s="37"/>
    </row>
    <row r="39" spans="1:19" x14ac:dyDescent="0.3">
      <c r="A39" s="37">
        <v>77</v>
      </c>
      <c r="B39" s="37" t="s">
        <v>71</v>
      </c>
      <c r="C39" s="37" t="s">
        <v>72</v>
      </c>
      <c r="D39" s="37" t="s">
        <v>73</v>
      </c>
      <c r="E39" s="37" t="s">
        <v>22</v>
      </c>
      <c r="F39" s="42">
        <v>44804</v>
      </c>
      <c r="G39" s="37">
        <v>2022</v>
      </c>
      <c r="H39" s="37" t="s">
        <v>86</v>
      </c>
      <c r="I39" s="39" t="s">
        <v>28</v>
      </c>
      <c r="J39" s="37">
        <v>97</v>
      </c>
      <c r="K39" s="37">
        <v>99.01</v>
      </c>
      <c r="L39" s="24">
        <f t="shared" si="2"/>
        <v>1.0207216494845361</v>
      </c>
      <c r="M39" s="24">
        <f t="shared" si="3"/>
        <v>1.0207216494845361</v>
      </c>
      <c r="N39" s="37" t="s">
        <v>25</v>
      </c>
      <c r="O39" s="37" t="s">
        <v>25</v>
      </c>
      <c r="P39" s="37">
        <v>1</v>
      </c>
      <c r="Q39" s="37">
        <v>1</v>
      </c>
      <c r="R39" s="37" t="s">
        <v>87</v>
      </c>
      <c r="S39" s="37"/>
    </row>
    <row r="40" spans="1:19" x14ac:dyDescent="0.3">
      <c r="A40" s="37">
        <v>77</v>
      </c>
      <c r="B40" s="37" t="s">
        <v>71</v>
      </c>
      <c r="C40" s="37" t="s">
        <v>72</v>
      </c>
      <c r="D40" s="37" t="s">
        <v>73</v>
      </c>
      <c r="E40" s="37" t="s">
        <v>22</v>
      </c>
      <c r="F40" s="42">
        <v>44834</v>
      </c>
      <c r="G40" s="37">
        <v>2022</v>
      </c>
      <c r="H40" s="37" t="s">
        <v>43</v>
      </c>
      <c r="I40" s="39" t="s">
        <v>28</v>
      </c>
      <c r="J40" s="37">
        <v>97</v>
      </c>
      <c r="K40" s="37">
        <v>98.6</v>
      </c>
      <c r="L40" s="24">
        <f t="shared" si="2"/>
        <v>1.0164948453608247</v>
      </c>
      <c r="M40" s="24">
        <f t="shared" si="3"/>
        <v>1.0164948453608247</v>
      </c>
      <c r="N40" s="37" t="s">
        <v>25</v>
      </c>
      <c r="O40" s="37" t="s">
        <v>25</v>
      </c>
      <c r="P40" s="37">
        <v>1</v>
      </c>
      <c r="Q40" s="37">
        <v>1</v>
      </c>
      <c r="R40" s="37" t="s">
        <v>88</v>
      </c>
      <c r="S40" s="37"/>
    </row>
    <row r="41" spans="1:19" x14ac:dyDescent="0.3">
      <c r="A41" s="37">
        <v>77</v>
      </c>
      <c r="B41" s="37" t="s">
        <v>71</v>
      </c>
      <c r="C41" s="37" t="s">
        <v>72</v>
      </c>
      <c r="D41" s="37" t="s">
        <v>73</v>
      </c>
      <c r="E41" s="37" t="s">
        <v>22</v>
      </c>
      <c r="F41" s="42">
        <v>44865</v>
      </c>
      <c r="G41" s="37">
        <v>2022</v>
      </c>
      <c r="H41" s="37" t="s">
        <v>89</v>
      </c>
      <c r="I41" s="39" t="s">
        <v>28</v>
      </c>
      <c r="J41" s="37">
        <v>97</v>
      </c>
      <c r="K41" s="37">
        <v>98.3</v>
      </c>
      <c r="L41" s="24">
        <f t="shared" si="2"/>
        <v>1.0134020618556701</v>
      </c>
      <c r="M41" s="24">
        <f t="shared" si="3"/>
        <v>1.0134020618556701</v>
      </c>
      <c r="N41" s="37" t="s">
        <v>25</v>
      </c>
      <c r="O41" s="37" t="s">
        <v>25</v>
      </c>
      <c r="P41" s="37">
        <v>1</v>
      </c>
      <c r="Q41" s="37">
        <v>1</v>
      </c>
      <c r="R41" s="37" t="s">
        <v>90</v>
      </c>
      <c r="S41" s="37"/>
    </row>
    <row r="42" spans="1:19" x14ac:dyDescent="0.3">
      <c r="A42" s="37">
        <v>77</v>
      </c>
      <c r="B42" s="37" t="s">
        <v>71</v>
      </c>
      <c r="C42" s="37" t="s">
        <v>72</v>
      </c>
      <c r="D42" s="37" t="s">
        <v>73</v>
      </c>
      <c r="E42" s="37" t="s">
        <v>22</v>
      </c>
      <c r="F42" s="42">
        <v>44895</v>
      </c>
      <c r="G42" s="37">
        <v>2022</v>
      </c>
      <c r="H42" s="37" t="s">
        <v>91</v>
      </c>
      <c r="I42" s="39" t="s">
        <v>28</v>
      </c>
      <c r="J42" s="53">
        <v>97</v>
      </c>
      <c r="K42" s="37">
        <v>98.2</v>
      </c>
      <c r="L42" s="24">
        <f t="shared" si="2"/>
        <v>1.0123711340206185</v>
      </c>
      <c r="M42" s="24">
        <f t="shared" si="3"/>
        <v>1.0123711340206185</v>
      </c>
      <c r="N42" s="37" t="s">
        <v>25</v>
      </c>
      <c r="O42" s="37" t="s">
        <v>25</v>
      </c>
      <c r="P42" s="37">
        <v>1</v>
      </c>
      <c r="Q42" s="37">
        <v>1</v>
      </c>
      <c r="R42" s="37" t="s">
        <v>92</v>
      </c>
      <c r="S42" s="37"/>
    </row>
    <row r="43" spans="1:19" x14ac:dyDescent="0.3">
      <c r="A43" s="37">
        <v>77</v>
      </c>
      <c r="B43" s="37" t="s">
        <v>71</v>
      </c>
      <c r="C43" s="37" t="s">
        <v>72</v>
      </c>
      <c r="D43" s="37" t="s">
        <v>73</v>
      </c>
      <c r="E43" s="37" t="s">
        <v>22</v>
      </c>
      <c r="F43" s="42">
        <v>44926</v>
      </c>
      <c r="G43" s="37">
        <v>2022</v>
      </c>
      <c r="H43" s="37" t="s">
        <v>27</v>
      </c>
      <c r="I43" s="39" t="s">
        <v>28</v>
      </c>
      <c r="J43" s="37">
        <v>97</v>
      </c>
      <c r="K43" s="37">
        <v>97.5</v>
      </c>
      <c r="L43" s="24">
        <f t="shared" si="2"/>
        <v>1.0051546391752577</v>
      </c>
      <c r="M43" s="24">
        <f t="shared" si="3"/>
        <v>1.0051546391752577</v>
      </c>
      <c r="N43" s="37" t="s">
        <v>25</v>
      </c>
      <c r="O43" s="37" t="s">
        <v>25</v>
      </c>
      <c r="P43" s="37">
        <v>1</v>
      </c>
      <c r="Q43" s="37">
        <v>1</v>
      </c>
      <c r="R43" s="37" t="s">
        <v>93</v>
      </c>
      <c r="S43" s="37"/>
    </row>
    <row r="44" spans="1:19" x14ac:dyDescent="0.3">
      <c r="A44" s="36">
        <v>77</v>
      </c>
      <c r="B44" s="37" t="s">
        <v>71</v>
      </c>
      <c r="C44" s="37" t="s">
        <v>94</v>
      </c>
      <c r="D44" s="37" t="s">
        <v>73</v>
      </c>
      <c r="E44" s="37" t="s">
        <v>22</v>
      </c>
      <c r="F44" s="42">
        <v>44957</v>
      </c>
      <c r="G44" s="37">
        <v>2023</v>
      </c>
      <c r="H44" s="37" t="s">
        <v>74</v>
      </c>
      <c r="I44" s="39" t="s">
        <v>30</v>
      </c>
      <c r="J44" s="37">
        <v>97</v>
      </c>
      <c r="K44" s="43">
        <v>97.5</v>
      </c>
      <c r="L44" s="24">
        <f t="shared" si="2"/>
        <v>1.0051546391752577</v>
      </c>
      <c r="M44" s="24">
        <f t="shared" si="3"/>
        <v>1.0051546391752577</v>
      </c>
      <c r="N44" s="37" t="s">
        <v>25</v>
      </c>
      <c r="O44" s="37" t="s">
        <v>25</v>
      </c>
      <c r="P44" s="40">
        <v>1</v>
      </c>
      <c r="Q44" s="40">
        <v>1</v>
      </c>
      <c r="R44" s="37" t="s">
        <v>95</v>
      </c>
      <c r="S44" s="37"/>
    </row>
    <row r="45" spans="1:19" x14ac:dyDescent="0.3">
      <c r="A45" s="36">
        <v>77</v>
      </c>
      <c r="B45" s="37" t="s">
        <v>71</v>
      </c>
      <c r="C45" s="37" t="s">
        <v>94</v>
      </c>
      <c r="D45" s="37" t="s">
        <v>73</v>
      </c>
      <c r="E45" s="37" t="s">
        <v>22</v>
      </c>
      <c r="F45" s="38">
        <v>44985</v>
      </c>
      <c r="G45" s="37">
        <v>2023</v>
      </c>
      <c r="H45" s="37" t="s">
        <v>76</v>
      </c>
      <c r="I45" s="39" t="s">
        <v>30</v>
      </c>
      <c r="J45" s="37">
        <v>97</v>
      </c>
      <c r="K45" s="43">
        <v>97.2</v>
      </c>
      <c r="L45" s="24">
        <f t="shared" si="2"/>
        <v>1.0020618556701031</v>
      </c>
      <c r="M45" s="24">
        <f t="shared" si="3"/>
        <v>1.0020618556701031</v>
      </c>
      <c r="N45" s="37" t="s">
        <v>25</v>
      </c>
      <c r="O45" s="37" t="s">
        <v>25</v>
      </c>
      <c r="P45" s="40">
        <v>1</v>
      </c>
      <c r="Q45" s="40">
        <v>1</v>
      </c>
      <c r="R45" s="37" t="s">
        <v>96</v>
      </c>
      <c r="S45" s="37"/>
    </row>
    <row r="46" spans="1:19" x14ac:dyDescent="0.3">
      <c r="A46" s="36">
        <v>77</v>
      </c>
      <c r="B46" s="37" t="s">
        <v>71</v>
      </c>
      <c r="C46" s="37" t="s">
        <v>94</v>
      </c>
      <c r="D46" s="37" t="s">
        <v>73</v>
      </c>
      <c r="E46" s="37" t="s">
        <v>22</v>
      </c>
      <c r="F46" s="42">
        <v>45016</v>
      </c>
      <c r="G46" s="37">
        <v>2023</v>
      </c>
      <c r="H46" s="37" t="s">
        <v>40</v>
      </c>
      <c r="I46" s="39" t="s">
        <v>30</v>
      </c>
      <c r="J46" s="37">
        <v>97</v>
      </c>
      <c r="K46" s="43">
        <v>97.8</v>
      </c>
      <c r="L46" s="24">
        <f t="shared" si="2"/>
        <v>1.0082474226804123</v>
      </c>
      <c r="M46" s="24">
        <f t="shared" si="3"/>
        <v>1.0082474226804123</v>
      </c>
      <c r="N46" s="37" t="s">
        <v>25</v>
      </c>
      <c r="O46" s="37" t="s">
        <v>25</v>
      </c>
      <c r="P46" s="40">
        <v>1</v>
      </c>
      <c r="Q46" s="40">
        <v>1</v>
      </c>
      <c r="R46" s="37" t="s">
        <v>97</v>
      </c>
      <c r="S46" s="37"/>
    </row>
    <row r="47" spans="1:19" x14ac:dyDescent="0.3">
      <c r="A47" s="36">
        <v>77</v>
      </c>
      <c r="B47" s="37" t="s">
        <v>71</v>
      </c>
      <c r="C47" s="37" t="s">
        <v>94</v>
      </c>
      <c r="D47" s="37" t="s">
        <v>73</v>
      </c>
      <c r="E47" s="37" t="s">
        <v>22</v>
      </c>
      <c r="F47" s="42">
        <v>45046</v>
      </c>
      <c r="G47" s="37">
        <v>2023</v>
      </c>
      <c r="H47" s="37" t="s">
        <v>79</v>
      </c>
      <c r="I47" s="39" t="s">
        <v>30</v>
      </c>
      <c r="J47" s="37">
        <v>97</v>
      </c>
      <c r="K47" s="43">
        <v>95.6</v>
      </c>
      <c r="L47" s="24">
        <f t="shared" si="2"/>
        <v>0.98556701030927829</v>
      </c>
      <c r="M47" s="24">
        <f t="shared" si="3"/>
        <v>0.98556701030927829</v>
      </c>
      <c r="N47" s="37" t="s">
        <v>25</v>
      </c>
      <c r="O47" s="37" t="s">
        <v>25</v>
      </c>
      <c r="P47" s="40">
        <v>1</v>
      </c>
      <c r="Q47" s="40">
        <v>1</v>
      </c>
      <c r="R47" s="37" t="s">
        <v>98</v>
      </c>
      <c r="S47" s="37"/>
    </row>
    <row r="48" spans="1:19" x14ac:dyDescent="0.3">
      <c r="A48" s="36">
        <v>77</v>
      </c>
      <c r="B48" s="37" t="s">
        <v>71</v>
      </c>
      <c r="C48" s="37" t="s">
        <v>94</v>
      </c>
      <c r="D48" s="37" t="s">
        <v>73</v>
      </c>
      <c r="E48" s="37" t="s">
        <v>22</v>
      </c>
      <c r="F48" s="42">
        <v>45077</v>
      </c>
      <c r="G48" s="37">
        <v>2023</v>
      </c>
      <c r="H48" s="37" t="s">
        <v>81</v>
      </c>
      <c r="I48" s="39" t="s">
        <v>30</v>
      </c>
      <c r="J48" s="37">
        <v>97</v>
      </c>
      <c r="K48" s="43">
        <v>99.4</v>
      </c>
      <c r="L48" s="24">
        <f t="shared" si="2"/>
        <v>1.0247422680412372</v>
      </c>
      <c r="M48" s="24">
        <f t="shared" si="3"/>
        <v>1.0247422680412372</v>
      </c>
      <c r="N48" s="37" t="s">
        <v>25</v>
      </c>
      <c r="O48" s="37" t="s">
        <v>25</v>
      </c>
      <c r="P48" s="40">
        <v>1</v>
      </c>
      <c r="Q48" s="40">
        <v>1</v>
      </c>
      <c r="R48" s="37" t="s">
        <v>99</v>
      </c>
      <c r="S48" s="37"/>
    </row>
    <row r="49" spans="1:19" x14ac:dyDescent="0.3">
      <c r="A49" s="36">
        <v>77</v>
      </c>
      <c r="B49" s="37" t="s">
        <v>71</v>
      </c>
      <c r="C49" s="37" t="s">
        <v>94</v>
      </c>
      <c r="D49" s="37" t="s">
        <v>73</v>
      </c>
      <c r="E49" s="37" t="s">
        <v>22</v>
      </c>
      <c r="F49" s="42">
        <v>45107</v>
      </c>
      <c r="G49" s="37">
        <v>2023</v>
      </c>
      <c r="H49" s="37" t="s">
        <v>23</v>
      </c>
      <c r="I49" s="39" t="s">
        <v>30</v>
      </c>
      <c r="J49" s="37">
        <v>97</v>
      </c>
      <c r="K49" s="43">
        <v>98.6</v>
      </c>
      <c r="L49" s="24">
        <f t="shared" si="2"/>
        <v>1.0164948453608247</v>
      </c>
      <c r="M49" s="24">
        <f t="shared" si="3"/>
        <v>1.0164948453608247</v>
      </c>
      <c r="N49" s="37" t="s">
        <v>25</v>
      </c>
      <c r="O49" s="37" t="s">
        <v>25</v>
      </c>
      <c r="P49" s="40">
        <v>1</v>
      </c>
      <c r="Q49" s="40">
        <v>1</v>
      </c>
      <c r="R49" s="37" t="s">
        <v>100</v>
      </c>
      <c r="S49" s="37"/>
    </row>
    <row r="50" spans="1:19" x14ac:dyDescent="0.3">
      <c r="A50" s="36">
        <v>77</v>
      </c>
      <c r="B50" s="37" t="s">
        <v>71</v>
      </c>
      <c r="C50" s="37" t="s">
        <v>94</v>
      </c>
      <c r="D50" s="37" t="s">
        <v>73</v>
      </c>
      <c r="E50" s="37" t="s">
        <v>22</v>
      </c>
      <c r="F50" s="42">
        <v>45138</v>
      </c>
      <c r="G50" s="37">
        <v>2023</v>
      </c>
      <c r="H50" s="37" t="s">
        <v>84</v>
      </c>
      <c r="I50" s="39" t="s">
        <v>32</v>
      </c>
      <c r="J50" s="37">
        <v>97</v>
      </c>
      <c r="K50" s="43">
        <v>96.7</v>
      </c>
      <c r="L50" s="24">
        <f t="shared" si="2"/>
        <v>0.99690721649484537</v>
      </c>
      <c r="M50" s="24">
        <f t="shared" si="3"/>
        <v>0.99690721649484537</v>
      </c>
      <c r="N50" s="37" t="s">
        <v>25</v>
      </c>
      <c r="O50" s="37" t="s">
        <v>25</v>
      </c>
      <c r="P50" s="40">
        <v>1</v>
      </c>
      <c r="Q50" s="40">
        <v>1</v>
      </c>
      <c r="R50" s="37" t="s">
        <v>101</v>
      </c>
      <c r="S50" s="37"/>
    </row>
    <row r="51" spans="1:19" x14ac:dyDescent="0.3">
      <c r="A51" s="36">
        <v>77</v>
      </c>
      <c r="B51" s="37" t="s">
        <v>71</v>
      </c>
      <c r="C51" s="37" t="s">
        <v>94</v>
      </c>
      <c r="D51" s="37" t="s">
        <v>73</v>
      </c>
      <c r="E51" s="37" t="s">
        <v>22</v>
      </c>
      <c r="F51" s="42">
        <v>45169</v>
      </c>
      <c r="G51" s="37">
        <v>2023</v>
      </c>
      <c r="H51" s="37" t="s">
        <v>86</v>
      </c>
      <c r="I51" s="39" t="s">
        <v>32</v>
      </c>
      <c r="J51" s="37">
        <v>97</v>
      </c>
      <c r="K51" s="43">
        <v>98</v>
      </c>
      <c r="L51" s="24">
        <f t="shared" si="2"/>
        <v>1.0103092783505154</v>
      </c>
      <c r="M51" s="24">
        <f t="shared" si="3"/>
        <v>1.0103092783505154</v>
      </c>
      <c r="N51" s="37" t="s">
        <v>25</v>
      </c>
      <c r="O51" s="37" t="s">
        <v>25</v>
      </c>
      <c r="P51" s="40">
        <v>0</v>
      </c>
      <c r="Q51" s="40">
        <v>0</v>
      </c>
      <c r="R51" s="37" t="s">
        <v>102</v>
      </c>
      <c r="S51" s="37"/>
    </row>
    <row r="52" spans="1:19" x14ac:dyDescent="0.3">
      <c r="A52" s="36">
        <v>77</v>
      </c>
      <c r="B52" s="37" t="s">
        <v>71</v>
      </c>
      <c r="C52" s="37" t="s">
        <v>94</v>
      </c>
      <c r="D52" s="37" t="s">
        <v>73</v>
      </c>
      <c r="E52" s="37" t="s">
        <v>22</v>
      </c>
      <c r="F52" s="42">
        <v>45199</v>
      </c>
      <c r="G52" s="37">
        <v>2023</v>
      </c>
      <c r="H52" s="37" t="s">
        <v>43</v>
      </c>
      <c r="I52" s="39" t="s">
        <v>32</v>
      </c>
      <c r="J52" s="37">
        <v>97</v>
      </c>
      <c r="K52" s="43">
        <v>97.4</v>
      </c>
      <c r="L52" s="24">
        <f t="shared" ref="L52:L67" si="4">IFERROR(IF(OR(J52=0,K52=""),"",IF(E52="Positivo",MIN(MAX(K52/J52,0),1.3),MIN(MAX(J52/K52,0),1.3))),"")</f>
        <v>1.0041237113402062</v>
      </c>
      <c r="M52" s="24">
        <f t="shared" ref="M52:M67" si="5">IFERROR(IF(OR(J52=0,K52=""),"",IF(E52="Positivo",MAX(K52/J52,0),MAX(J52/K52,0))),"")</f>
        <v>1.0041237113402062</v>
      </c>
      <c r="N52" s="37" t="s">
        <v>25</v>
      </c>
      <c r="O52" s="37" t="s">
        <v>25</v>
      </c>
      <c r="P52" s="40">
        <v>1</v>
      </c>
      <c r="Q52" s="40">
        <v>1</v>
      </c>
      <c r="R52" s="37" t="s">
        <v>103</v>
      </c>
      <c r="S52" s="37"/>
    </row>
    <row r="53" spans="1:19" x14ac:dyDescent="0.3">
      <c r="A53" s="36">
        <v>77</v>
      </c>
      <c r="B53" s="37" t="s">
        <v>71</v>
      </c>
      <c r="C53" s="37" t="s">
        <v>94</v>
      </c>
      <c r="D53" s="37" t="s">
        <v>73</v>
      </c>
      <c r="E53" s="37" t="s">
        <v>22</v>
      </c>
      <c r="F53" s="42">
        <v>45230</v>
      </c>
      <c r="G53" s="37">
        <v>2023</v>
      </c>
      <c r="H53" s="37" t="s">
        <v>89</v>
      </c>
      <c r="I53" s="39" t="s">
        <v>32</v>
      </c>
      <c r="J53" s="37">
        <v>97</v>
      </c>
      <c r="K53" s="43">
        <v>97.5</v>
      </c>
      <c r="L53" s="24">
        <f t="shared" si="4"/>
        <v>1.0051546391752577</v>
      </c>
      <c r="M53" s="24">
        <f t="shared" si="5"/>
        <v>1.0051546391752577</v>
      </c>
      <c r="N53" s="37" t="s">
        <v>25</v>
      </c>
      <c r="O53" s="37" t="s">
        <v>25</v>
      </c>
      <c r="P53" s="40">
        <v>1</v>
      </c>
      <c r="Q53" s="40">
        <v>1</v>
      </c>
      <c r="R53" s="37" t="s">
        <v>104</v>
      </c>
      <c r="S53" s="37"/>
    </row>
    <row r="54" spans="1:19" x14ac:dyDescent="0.3">
      <c r="A54" s="36">
        <v>77</v>
      </c>
      <c r="B54" s="37" t="s">
        <v>71</v>
      </c>
      <c r="C54" s="37" t="s">
        <v>94</v>
      </c>
      <c r="D54" s="37" t="s">
        <v>73</v>
      </c>
      <c r="E54" s="37" t="s">
        <v>22</v>
      </c>
      <c r="F54" s="42">
        <v>45260</v>
      </c>
      <c r="G54" s="37">
        <v>2023</v>
      </c>
      <c r="H54" s="37" t="s">
        <v>91</v>
      </c>
      <c r="I54" s="39" t="s">
        <v>32</v>
      </c>
      <c r="J54" s="53">
        <v>97</v>
      </c>
      <c r="K54" s="54">
        <v>97.3</v>
      </c>
      <c r="L54" s="24">
        <f t="shared" si="4"/>
        <v>1.0030927835051546</v>
      </c>
      <c r="M54" s="24">
        <f t="shared" si="5"/>
        <v>1.0030927835051546</v>
      </c>
      <c r="N54" s="53" t="s">
        <v>25</v>
      </c>
      <c r="O54" s="53" t="s">
        <v>25</v>
      </c>
      <c r="P54" s="40">
        <v>1</v>
      </c>
      <c r="Q54" s="40">
        <v>1</v>
      </c>
      <c r="R54" s="37" t="s">
        <v>105</v>
      </c>
      <c r="S54" s="37"/>
    </row>
    <row r="55" spans="1:19" x14ac:dyDescent="0.3">
      <c r="A55" s="41">
        <v>77</v>
      </c>
      <c r="B55" s="37" t="s">
        <v>71</v>
      </c>
      <c r="C55" s="37" t="s">
        <v>94</v>
      </c>
      <c r="D55" s="37" t="s">
        <v>73</v>
      </c>
      <c r="E55" s="37" t="s">
        <v>22</v>
      </c>
      <c r="F55" s="42">
        <v>45291</v>
      </c>
      <c r="G55" s="37">
        <v>2023</v>
      </c>
      <c r="H55" s="37" t="s">
        <v>27</v>
      </c>
      <c r="I55" s="39" t="s">
        <v>32</v>
      </c>
      <c r="J55" s="53">
        <v>97</v>
      </c>
      <c r="K55" s="54">
        <v>98.6</v>
      </c>
      <c r="L55" s="24">
        <f t="shared" si="4"/>
        <v>1.0164948453608247</v>
      </c>
      <c r="M55" s="24">
        <f t="shared" si="5"/>
        <v>1.0164948453608247</v>
      </c>
      <c r="N55" s="53" t="s">
        <v>25</v>
      </c>
      <c r="O55" s="53" t="s">
        <v>25</v>
      </c>
      <c r="P55" s="40">
        <v>1</v>
      </c>
      <c r="Q55" s="40">
        <v>1</v>
      </c>
      <c r="R55" s="37" t="s">
        <v>106</v>
      </c>
      <c r="S55" s="37"/>
    </row>
    <row r="56" spans="1:19" x14ac:dyDescent="0.3">
      <c r="A56" s="36">
        <v>77</v>
      </c>
      <c r="B56" s="37" t="s">
        <v>71</v>
      </c>
      <c r="C56" s="37" t="s">
        <v>94</v>
      </c>
      <c r="D56" s="37" t="s">
        <v>73</v>
      </c>
      <c r="E56" s="37" t="s">
        <v>22</v>
      </c>
      <c r="F56" s="42">
        <v>45322</v>
      </c>
      <c r="G56" s="37">
        <v>2024</v>
      </c>
      <c r="H56" s="37" t="s">
        <v>74</v>
      </c>
      <c r="I56" s="39" t="s">
        <v>34</v>
      </c>
      <c r="J56" s="53">
        <v>97</v>
      </c>
      <c r="K56" s="54">
        <v>97</v>
      </c>
      <c r="L56" s="24">
        <f t="shared" si="4"/>
        <v>1</v>
      </c>
      <c r="M56" s="24">
        <f t="shared" si="5"/>
        <v>1</v>
      </c>
      <c r="N56" s="53" t="s">
        <v>25</v>
      </c>
      <c r="O56" s="53" t="s">
        <v>25</v>
      </c>
      <c r="P56" s="40">
        <v>1</v>
      </c>
      <c r="Q56" s="40">
        <v>1</v>
      </c>
      <c r="R56" s="37" t="s">
        <v>107</v>
      </c>
      <c r="S56" s="37"/>
    </row>
    <row r="57" spans="1:19" x14ac:dyDescent="0.3">
      <c r="A57" s="36">
        <v>77</v>
      </c>
      <c r="B57" s="37" t="s">
        <v>71</v>
      </c>
      <c r="C57" s="37" t="s">
        <v>72</v>
      </c>
      <c r="D57" s="37" t="s">
        <v>73</v>
      </c>
      <c r="E57" s="37" t="s">
        <v>22</v>
      </c>
      <c r="F57" s="42">
        <v>45351</v>
      </c>
      <c r="G57" s="37">
        <v>2024</v>
      </c>
      <c r="H57" s="37" t="s">
        <v>76</v>
      </c>
      <c r="I57" s="39" t="s">
        <v>34</v>
      </c>
      <c r="J57" s="53">
        <v>97</v>
      </c>
      <c r="K57" s="54">
        <v>98</v>
      </c>
      <c r="L57" s="24">
        <f t="shared" si="4"/>
        <v>1.0103092783505154</v>
      </c>
      <c r="M57" s="24">
        <f t="shared" si="5"/>
        <v>1.0103092783505154</v>
      </c>
      <c r="N57" s="53" t="s">
        <v>25</v>
      </c>
      <c r="O57" s="53" t="s">
        <v>25</v>
      </c>
      <c r="P57" s="40">
        <v>1</v>
      </c>
      <c r="Q57" s="40">
        <v>1</v>
      </c>
      <c r="R57" s="37" t="s">
        <v>108</v>
      </c>
      <c r="S57" s="37"/>
    </row>
    <row r="58" spans="1:19" x14ac:dyDescent="0.3">
      <c r="A58" s="36">
        <v>77</v>
      </c>
      <c r="B58" s="37" t="s">
        <v>71</v>
      </c>
      <c r="C58" s="37" t="s">
        <v>94</v>
      </c>
      <c r="D58" s="37" t="s">
        <v>73</v>
      </c>
      <c r="E58" s="37" t="s">
        <v>22</v>
      </c>
      <c r="F58" s="42">
        <v>45382</v>
      </c>
      <c r="G58" s="37">
        <v>2024</v>
      </c>
      <c r="H58" s="37" t="s">
        <v>40</v>
      </c>
      <c r="I58" s="39" t="s">
        <v>34</v>
      </c>
      <c r="J58" s="53">
        <v>97</v>
      </c>
      <c r="K58" s="54">
        <v>99.1</v>
      </c>
      <c r="L58" s="24">
        <f t="shared" si="4"/>
        <v>1.0216494845360824</v>
      </c>
      <c r="M58" s="24">
        <f t="shared" si="5"/>
        <v>1.0216494845360824</v>
      </c>
      <c r="N58" s="53" t="s">
        <v>25</v>
      </c>
      <c r="O58" s="53" t="s">
        <v>25</v>
      </c>
      <c r="P58" s="40">
        <v>1</v>
      </c>
      <c r="Q58" s="40">
        <v>1</v>
      </c>
      <c r="R58" s="37" t="s">
        <v>109</v>
      </c>
      <c r="S58" s="37"/>
    </row>
    <row r="59" spans="1:19" x14ac:dyDescent="0.3">
      <c r="A59" s="36">
        <v>77</v>
      </c>
      <c r="B59" s="37" t="s">
        <v>71</v>
      </c>
      <c r="C59" s="37" t="s">
        <v>94</v>
      </c>
      <c r="D59" s="37" t="s">
        <v>73</v>
      </c>
      <c r="E59" s="37" t="s">
        <v>22</v>
      </c>
      <c r="F59" s="42">
        <v>45412</v>
      </c>
      <c r="G59" s="37">
        <v>2024</v>
      </c>
      <c r="H59" s="37" t="s">
        <v>79</v>
      </c>
      <c r="I59" s="39" t="s">
        <v>34</v>
      </c>
      <c r="J59" s="53">
        <v>97</v>
      </c>
      <c r="K59" s="54">
        <v>98.09</v>
      </c>
      <c r="L59" s="24">
        <f t="shared" si="4"/>
        <v>1.0112371134020619</v>
      </c>
      <c r="M59" s="24">
        <f t="shared" si="5"/>
        <v>1.0112371134020619</v>
      </c>
      <c r="N59" s="53" t="s">
        <v>25</v>
      </c>
      <c r="O59" s="53" t="s">
        <v>25</v>
      </c>
      <c r="P59" s="40">
        <v>1</v>
      </c>
      <c r="Q59" s="40">
        <v>1</v>
      </c>
      <c r="R59" s="37" t="s">
        <v>110</v>
      </c>
      <c r="S59" s="37"/>
    </row>
    <row r="60" spans="1:19" x14ac:dyDescent="0.3">
      <c r="A60" s="36">
        <v>77</v>
      </c>
      <c r="B60" s="37" t="s">
        <v>71</v>
      </c>
      <c r="C60" s="37" t="s">
        <v>94</v>
      </c>
      <c r="D60" s="37" t="s">
        <v>73</v>
      </c>
      <c r="E60" s="37" t="s">
        <v>22</v>
      </c>
      <c r="F60" s="42">
        <v>45443</v>
      </c>
      <c r="G60" s="37">
        <v>2024</v>
      </c>
      <c r="H60" s="37" t="s">
        <v>81</v>
      </c>
      <c r="I60" s="39" t="s">
        <v>34</v>
      </c>
      <c r="J60" s="53">
        <v>97</v>
      </c>
      <c r="K60" s="54">
        <v>98.8</v>
      </c>
      <c r="L60" s="24">
        <f t="shared" si="4"/>
        <v>1.0185567010309278</v>
      </c>
      <c r="M60" s="24">
        <f t="shared" si="5"/>
        <v>1.0185567010309278</v>
      </c>
      <c r="N60" s="53" t="s">
        <v>25</v>
      </c>
      <c r="O60" s="53" t="s">
        <v>25</v>
      </c>
      <c r="P60" s="40">
        <v>1</v>
      </c>
      <c r="Q60" s="40">
        <v>1</v>
      </c>
      <c r="R60" s="37" t="s">
        <v>111</v>
      </c>
      <c r="S60" s="37"/>
    </row>
    <row r="61" spans="1:19" x14ac:dyDescent="0.3">
      <c r="A61" s="36">
        <v>77</v>
      </c>
      <c r="B61" s="37" t="s">
        <v>71</v>
      </c>
      <c r="C61" s="37" t="s">
        <v>94</v>
      </c>
      <c r="D61" s="37" t="s">
        <v>73</v>
      </c>
      <c r="E61" s="37" t="s">
        <v>22</v>
      </c>
      <c r="F61" s="42">
        <v>45473</v>
      </c>
      <c r="G61" s="37">
        <v>2024</v>
      </c>
      <c r="H61" s="37" t="s">
        <v>23</v>
      </c>
      <c r="I61" s="39" t="s">
        <v>34</v>
      </c>
      <c r="J61" s="53">
        <v>97</v>
      </c>
      <c r="K61" s="54">
        <v>99</v>
      </c>
      <c r="L61" s="24">
        <f t="shared" si="4"/>
        <v>1.0206185567010309</v>
      </c>
      <c r="M61" s="24">
        <f t="shared" si="5"/>
        <v>1.0206185567010309</v>
      </c>
      <c r="N61" s="53" t="s">
        <v>25</v>
      </c>
      <c r="O61" s="53" t="s">
        <v>25</v>
      </c>
      <c r="P61" s="40">
        <v>1</v>
      </c>
      <c r="Q61" s="40">
        <v>1</v>
      </c>
      <c r="R61" s="37" t="s">
        <v>112</v>
      </c>
      <c r="S61" s="37"/>
    </row>
    <row r="62" spans="1:19" x14ac:dyDescent="0.3">
      <c r="A62" s="36">
        <v>77</v>
      </c>
      <c r="B62" s="37" t="s">
        <v>71</v>
      </c>
      <c r="C62" s="37" t="s">
        <v>94</v>
      </c>
      <c r="D62" s="37" t="s">
        <v>73</v>
      </c>
      <c r="E62" s="37" t="s">
        <v>22</v>
      </c>
      <c r="F62" s="42">
        <v>45504</v>
      </c>
      <c r="G62" s="37">
        <v>2024</v>
      </c>
      <c r="H62" s="37" t="s">
        <v>84</v>
      </c>
      <c r="I62" s="39" t="s">
        <v>36</v>
      </c>
      <c r="J62" s="53">
        <v>97</v>
      </c>
      <c r="K62" s="54">
        <v>97</v>
      </c>
      <c r="L62" s="24">
        <f t="shared" si="4"/>
        <v>1</v>
      </c>
      <c r="M62" s="24">
        <f t="shared" si="5"/>
        <v>1</v>
      </c>
      <c r="N62" s="53" t="s">
        <v>25</v>
      </c>
      <c r="O62" s="53" t="s">
        <v>25</v>
      </c>
      <c r="P62" s="40">
        <v>1</v>
      </c>
      <c r="Q62" s="40">
        <v>1</v>
      </c>
      <c r="R62" s="37" t="s">
        <v>113</v>
      </c>
      <c r="S62" s="37"/>
    </row>
    <row r="63" spans="1:19" x14ac:dyDescent="0.3">
      <c r="A63" s="36">
        <v>77</v>
      </c>
      <c r="B63" s="37" t="s">
        <v>71</v>
      </c>
      <c r="C63" s="37" t="s">
        <v>94</v>
      </c>
      <c r="D63" s="37" t="s">
        <v>73</v>
      </c>
      <c r="E63" s="37" t="s">
        <v>22</v>
      </c>
      <c r="F63" s="42">
        <v>45535</v>
      </c>
      <c r="G63" s="37">
        <v>2024</v>
      </c>
      <c r="H63" s="37" t="s">
        <v>86</v>
      </c>
      <c r="I63" s="39" t="s">
        <v>36</v>
      </c>
      <c r="J63" s="53">
        <v>97</v>
      </c>
      <c r="K63" s="54">
        <v>92.7</v>
      </c>
      <c r="L63" s="24">
        <f t="shared" si="4"/>
        <v>0.95567010309278355</v>
      </c>
      <c r="M63" s="24">
        <f t="shared" si="5"/>
        <v>0.95567010309278355</v>
      </c>
      <c r="N63" s="53" t="s">
        <v>25</v>
      </c>
      <c r="O63" s="53" t="s">
        <v>25</v>
      </c>
      <c r="P63" s="40">
        <v>1</v>
      </c>
      <c r="Q63" s="40">
        <v>1</v>
      </c>
      <c r="R63" s="37" t="s">
        <v>114</v>
      </c>
      <c r="S63" s="37"/>
    </row>
    <row r="64" spans="1:19" x14ac:dyDescent="0.3">
      <c r="A64" s="36">
        <v>77</v>
      </c>
      <c r="B64" s="37" t="s">
        <v>71</v>
      </c>
      <c r="C64" s="37" t="s">
        <v>94</v>
      </c>
      <c r="D64" s="37" t="s">
        <v>73</v>
      </c>
      <c r="E64" s="37" t="s">
        <v>22</v>
      </c>
      <c r="F64" s="42">
        <v>45565</v>
      </c>
      <c r="G64" s="37">
        <v>2024</v>
      </c>
      <c r="H64" s="37" t="s">
        <v>43</v>
      </c>
      <c r="I64" s="39" t="s">
        <v>36</v>
      </c>
      <c r="J64" s="53">
        <v>97</v>
      </c>
      <c r="K64" s="54">
        <v>97</v>
      </c>
      <c r="L64" s="24">
        <f t="shared" si="4"/>
        <v>1</v>
      </c>
      <c r="M64" s="24">
        <f t="shared" si="5"/>
        <v>1</v>
      </c>
      <c r="N64" s="53" t="s">
        <v>25</v>
      </c>
      <c r="O64" s="53" t="s">
        <v>25</v>
      </c>
      <c r="P64" s="40">
        <v>1</v>
      </c>
      <c r="Q64" s="40">
        <v>1</v>
      </c>
      <c r="R64" s="37" t="s">
        <v>115</v>
      </c>
      <c r="S64" s="37"/>
    </row>
    <row r="65" spans="1:19" x14ac:dyDescent="0.3">
      <c r="A65" s="36">
        <v>77</v>
      </c>
      <c r="B65" s="37" t="s">
        <v>71</v>
      </c>
      <c r="C65" s="37" t="s">
        <v>94</v>
      </c>
      <c r="D65" s="37" t="s">
        <v>73</v>
      </c>
      <c r="E65" s="37" t="s">
        <v>22</v>
      </c>
      <c r="F65" s="42">
        <v>45596</v>
      </c>
      <c r="G65" s="37">
        <v>2024</v>
      </c>
      <c r="H65" s="37" t="s">
        <v>89</v>
      </c>
      <c r="I65" s="39" t="s">
        <v>36</v>
      </c>
      <c r="J65" s="53">
        <v>97</v>
      </c>
      <c r="K65" s="54">
        <v>97.3</v>
      </c>
      <c r="L65" s="24">
        <f t="shared" si="4"/>
        <v>1.0030927835051546</v>
      </c>
      <c r="M65" s="24">
        <f t="shared" si="5"/>
        <v>1.0030927835051546</v>
      </c>
      <c r="N65" s="53" t="s">
        <v>25</v>
      </c>
      <c r="O65" s="53" t="s">
        <v>25</v>
      </c>
      <c r="P65" s="40">
        <v>1</v>
      </c>
      <c r="Q65" s="40">
        <v>1</v>
      </c>
      <c r="R65" s="37" t="s">
        <v>116</v>
      </c>
      <c r="S65" s="37"/>
    </row>
    <row r="66" spans="1:19" x14ac:dyDescent="0.3">
      <c r="A66" s="36">
        <v>77</v>
      </c>
      <c r="B66" s="37" t="s">
        <v>71</v>
      </c>
      <c r="C66" s="37" t="s">
        <v>94</v>
      </c>
      <c r="D66" s="37" t="s">
        <v>73</v>
      </c>
      <c r="E66" s="37" t="s">
        <v>22</v>
      </c>
      <c r="F66" s="42">
        <v>45626</v>
      </c>
      <c r="G66" s="37">
        <v>2024</v>
      </c>
      <c r="H66" s="37" t="s">
        <v>91</v>
      </c>
      <c r="I66" s="39" t="s">
        <v>36</v>
      </c>
      <c r="J66" s="53">
        <v>97</v>
      </c>
      <c r="K66" s="54">
        <v>97</v>
      </c>
      <c r="L66" s="24">
        <f t="shared" si="4"/>
        <v>1</v>
      </c>
      <c r="M66" s="24">
        <f t="shared" si="5"/>
        <v>1</v>
      </c>
      <c r="N66" s="53" t="s">
        <v>25</v>
      </c>
      <c r="O66" s="53" t="s">
        <v>25</v>
      </c>
      <c r="P66" s="40">
        <v>1</v>
      </c>
      <c r="Q66" s="40">
        <v>1</v>
      </c>
      <c r="R66" s="37" t="s">
        <v>117</v>
      </c>
      <c r="S66" s="37"/>
    </row>
    <row r="67" spans="1:19" x14ac:dyDescent="0.3">
      <c r="A67" s="47">
        <v>77</v>
      </c>
      <c r="B67" s="48" t="s">
        <v>71</v>
      </c>
      <c r="C67" s="48" t="s">
        <v>94</v>
      </c>
      <c r="D67" s="48" t="s">
        <v>73</v>
      </c>
      <c r="E67" s="48" t="s">
        <v>22</v>
      </c>
      <c r="F67" s="49">
        <v>45657</v>
      </c>
      <c r="G67" s="48">
        <v>2024</v>
      </c>
      <c r="H67" s="48" t="s">
        <v>27</v>
      </c>
      <c r="I67" s="50" t="s">
        <v>36</v>
      </c>
      <c r="J67" s="79">
        <v>97</v>
      </c>
      <c r="K67" s="80">
        <v>98.2</v>
      </c>
      <c r="L67" s="51">
        <f t="shared" si="4"/>
        <v>1.0123711340206185</v>
      </c>
      <c r="M67" s="51">
        <f t="shared" si="5"/>
        <v>1.0123711340206185</v>
      </c>
      <c r="N67" s="79" t="s">
        <v>25</v>
      </c>
      <c r="O67" s="79" t="s">
        <v>25</v>
      </c>
      <c r="P67" s="52">
        <v>1</v>
      </c>
      <c r="Q67" s="52">
        <v>1</v>
      </c>
      <c r="R67" s="37" t="s">
        <v>118</v>
      </c>
      <c r="S67" s="37"/>
    </row>
    <row r="68" spans="1:19" x14ac:dyDescent="0.3">
      <c r="A68" s="36">
        <v>78</v>
      </c>
      <c r="B68" s="37" t="s">
        <v>119</v>
      </c>
      <c r="C68" s="37" t="s">
        <v>120</v>
      </c>
      <c r="D68" s="37" t="s">
        <v>121</v>
      </c>
      <c r="E68" s="37" t="s">
        <v>22</v>
      </c>
      <c r="F68" s="38">
        <v>45046</v>
      </c>
      <c r="G68" s="37">
        <v>2023</v>
      </c>
      <c r="H68" s="37" t="s">
        <v>79</v>
      </c>
      <c r="I68" s="39" t="s">
        <v>30</v>
      </c>
      <c r="J68" s="37">
        <v>100</v>
      </c>
      <c r="K68" s="54">
        <v>100</v>
      </c>
      <c r="L68" s="24">
        <f t="shared" ref="L68:L93" si="6">IFERROR(IF(OR(J68=0,K68=""),"",IF(E68="Positivo",MIN(MAX(K68/J68,0),1.3),MIN(MAX(J68/K68,0),1.3))),"")</f>
        <v>1</v>
      </c>
      <c r="M68" s="24">
        <f t="shared" ref="M68:M96" si="7">IFERROR(IF(OR(J68=0,K68=""),"",IF(E68="Positivo",MAX(K68/J68,0),MAX(J68/K68,0))),"")</f>
        <v>1</v>
      </c>
      <c r="N68" s="37" t="s">
        <v>25</v>
      </c>
      <c r="O68" s="37" t="s">
        <v>25</v>
      </c>
      <c r="P68" s="40">
        <v>0</v>
      </c>
      <c r="Q68" s="40">
        <v>0</v>
      </c>
      <c r="R68" s="37" t="s">
        <v>122</v>
      </c>
      <c r="S68" s="37"/>
    </row>
    <row r="69" spans="1:19" x14ac:dyDescent="0.3">
      <c r="A69" s="36">
        <v>78</v>
      </c>
      <c r="B69" s="37" t="s">
        <v>119</v>
      </c>
      <c r="C69" s="37" t="s">
        <v>120</v>
      </c>
      <c r="D69" s="37" t="s">
        <v>121</v>
      </c>
      <c r="E69" s="37" t="s">
        <v>22</v>
      </c>
      <c r="F69" s="42">
        <v>45107</v>
      </c>
      <c r="G69" s="37">
        <v>2023</v>
      </c>
      <c r="H69" s="37" t="s">
        <v>23</v>
      </c>
      <c r="I69" s="39" t="s">
        <v>30</v>
      </c>
      <c r="J69" s="37">
        <v>100</v>
      </c>
      <c r="K69" s="54">
        <v>100</v>
      </c>
      <c r="L69" s="24">
        <f t="shared" si="6"/>
        <v>1</v>
      </c>
      <c r="M69" s="24">
        <f t="shared" si="7"/>
        <v>1</v>
      </c>
      <c r="N69" s="37" t="s">
        <v>25</v>
      </c>
      <c r="O69" s="37" t="s">
        <v>25</v>
      </c>
      <c r="P69" s="40">
        <v>0</v>
      </c>
      <c r="Q69" s="40">
        <v>0</v>
      </c>
      <c r="R69" s="37" t="s">
        <v>123</v>
      </c>
      <c r="S69" s="37"/>
    </row>
    <row r="70" spans="1:19" x14ac:dyDescent="0.3">
      <c r="A70" s="36">
        <v>78</v>
      </c>
      <c r="B70" s="37" t="s">
        <v>119</v>
      </c>
      <c r="C70" s="37" t="s">
        <v>120</v>
      </c>
      <c r="D70" s="37" t="s">
        <v>121</v>
      </c>
      <c r="E70" s="37" t="s">
        <v>22</v>
      </c>
      <c r="F70" s="42">
        <v>45169</v>
      </c>
      <c r="G70" s="37">
        <v>2023</v>
      </c>
      <c r="H70" s="37" t="s">
        <v>86</v>
      </c>
      <c r="I70" s="39" t="s">
        <v>32</v>
      </c>
      <c r="J70" s="37">
        <v>100</v>
      </c>
      <c r="K70" s="54">
        <v>100</v>
      </c>
      <c r="L70" s="24">
        <f t="shared" si="6"/>
        <v>1</v>
      </c>
      <c r="M70" s="24">
        <f t="shared" si="7"/>
        <v>1</v>
      </c>
      <c r="N70" s="37" t="s">
        <v>25</v>
      </c>
      <c r="O70" s="37" t="s">
        <v>25</v>
      </c>
      <c r="P70" s="40">
        <v>0</v>
      </c>
      <c r="Q70" s="40">
        <v>0</v>
      </c>
      <c r="R70" s="37" t="s">
        <v>124</v>
      </c>
      <c r="S70" s="37"/>
    </row>
    <row r="71" spans="1:19" x14ac:dyDescent="0.3">
      <c r="A71" s="41">
        <v>78</v>
      </c>
      <c r="B71" s="37" t="s">
        <v>119</v>
      </c>
      <c r="C71" s="37" t="s">
        <v>120</v>
      </c>
      <c r="D71" s="37" t="s">
        <v>121</v>
      </c>
      <c r="E71" s="37" t="s">
        <v>22</v>
      </c>
      <c r="F71" s="42">
        <v>45230</v>
      </c>
      <c r="G71" s="37">
        <v>2023</v>
      </c>
      <c r="H71" s="37" t="s">
        <v>89</v>
      </c>
      <c r="I71" s="39" t="s">
        <v>32</v>
      </c>
      <c r="J71" s="37">
        <v>100</v>
      </c>
      <c r="K71" s="54">
        <v>100</v>
      </c>
      <c r="L71" s="24">
        <f t="shared" si="6"/>
        <v>1</v>
      </c>
      <c r="M71" s="24">
        <f t="shared" si="7"/>
        <v>1</v>
      </c>
      <c r="N71" s="37" t="s">
        <v>25</v>
      </c>
      <c r="O71" s="37" t="s">
        <v>25</v>
      </c>
      <c r="P71" s="40">
        <v>0</v>
      </c>
      <c r="Q71" s="40">
        <v>0</v>
      </c>
      <c r="R71" s="37" t="s">
        <v>125</v>
      </c>
      <c r="S71" s="37"/>
    </row>
    <row r="72" spans="1:19" x14ac:dyDescent="0.3">
      <c r="A72" s="41">
        <v>78</v>
      </c>
      <c r="B72" s="37" t="s">
        <v>119</v>
      </c>
      <c r="C72" s="37" t="s">
        <v>120</v>
      </c>
      <c r="D72" s="37" t="s">
        <v>121</v>
      </c>
      <c r="E72" s="37" t="s">
        <v>22</v>
      </c>
      <c r="F72" s="42">
        <v>45291</v>
      </c>
      <c r="G72" s="37">
        <v>2023</v>
      </c>
      <c r="H72" s="37" t="s">
        <v>27</v>
      </c>
      <c r="I72" s="39" t="s">
        <v>32</v>
      </c>
      <c r="J72" s="37">
        <v>100</v>
      </c>
      <c r="K72" s="54">
        <v>122.22</v>
      </c>
      <c r="L72" s="24">
        <f t="shared" si="6"/>
        <v>1.2222</v>
      </c>
      <c r="M72" s="24">
        <f t="shared" si="7"/>
        <v>1.2222</v>
      </c>
      <c r="N72" s="37" t="s">
        <v>25</v>
      </c>
      <c r="O72" s="37" t="s">
        <v>25</v>
      </c>
      <c r="P72" s="40">
        <v>0</v>
      </c>
      <c r="Q72" s="40">
        <v>0</v>
      </c>
      <c r="R72" s="37" t="s">
        <v>126</v>
      </c>
      <c r="S72" s="37"/>
    </row>
    <row r="73" spans="1:19" x14ac:dyDescent="0.3">
      <c r="A73" s="36">
        <v>78</v>
      </c>
      <c r="B73" s="37" t="s">
        <v>119</v>
      </c>
      <c r="C73" s="37" t="s">
        <v>120</v>
      </c>
      <c r="D73" s="37" t="s">
        <v>121</v>
      </c>
      <c r="E73" s="37" t="s">
        <v>22</v>
      </c>
      <c r="F73" s="42">
        <v>45412</v>
      </c>
      <c r="G73" s="37">
        <v>2024</v>
      </c>
      <c r="H73" s="37" t="s">
        <v>79</v>
      </c>
      <c r="I73" s="39" t="s">
        <v>34</v>
      </c>
      <c r="J73" s="37">
        <v>100</v>
      </c>
      <c r="K73" s="54">
        <v>100</v>
      </c>
      <c r="L73" s="24">
        <f t="shared" si="6"/>
        <v>1</v>
      </c>
      <c r="M73" s="24">
        <f t="shared" si="7"/>
        <v>1</v>
      </c>
      <c r="N73" s="37" t="s">
        <v>25</v>
      </c>
      <c r="O73" s="37" t="s">
        <v>25</v>
      </c>
      <c r="P73" s="40">
        <v>0</v>
      </c>
      <c r="Q73" s="40">
        <v>0</v>
      </c>
      <c r="R73" s="37" t="s">
        <v>127</v>
      </c>
      <c r="S73" s="37"/>
    </row>
    <row r="74" spans="1:19" x14ac:dyDescent="0.3">
      <c r="A74" s="37">
        <v>78</v>
      </c>
      <c r="B74" s="37" t="s">
        <v>119</v>
      </c>
      <c r="C74" s="37" t="s">
        <v>120</v>
      </c>
      <c r="D74" s="37" t="s">
        <v>121</v>
      </c>
      <c r="E74" s="37" t="s">
        <v>22</v>
      </c>
      <c r="F74" s="42">
        <v>45473</v>
      </c>
      <c r="G74" s="37">
        <v>2024</v>
      </c>
      <c r="H74" s="37" t="s">
        <v>23</v>
      </c>
      <c r="I74" s="39" t="s">
        <v>34</v>
      </c>
      <c r="J74" s="37">
        <v>100</v>
      </c>
      <c r="K74" s="53">
        <v>80</v>
      </c>
      <c r="L74" s="24">
        <f t="shared" si="6"/>
        <v>0.8</v>
      </c>
      <c r="M74" s="24">
        <f t="shared" si="7"/>
        <v>0.8</v>
      </c>
      <c r="N74" s="37" t="s">
        <v>25</v>
      </c>
      <c r="O74" s="37" t="s">
        <v>25</v>
      </c>
      <c r="P74" s="40">
        <v>0</v>
      </c>
      <c r="Q74" s="40">
        <v>0</v>
      </c>
      <c r="R74" s="37" t="s">
        <v>128</v>
      </c>
      <c r="S74" s="37"/>
    </row>
    <row r="75" spans="1:19" x14ac:dyDescent="0.3">
      <c r="A75" s="36">
        <v>78</v>
      </c>
      <c r="B75" s="37" t="s">
        <v>119</v>
      </c>
      <c r="C75" s="37" t="s">
        <v>120</v>
      </c>
      <c r="D75" s="37" t="s">
        <v>121</v>
      </c>
      <c r="E75" s="37" t="s">
        <v>22</v>
      </c>
      <c r="F75" s="42">
        <v>45535</v>
      </c>
      <c r="G75" s="37">
        <v>2024</v>
      </c>
      <c r="H75" s="37" t="s">
        <v>86</v>
      </c>
      <c r="I75" s="39" t="s">
        <v>36</v>
      </c>
      <c r="J75" s="37">
        <v>100</v>
      </c>
      <c r="K75" s="54">
        <v>100</v>
      </c>
      <c r="L75" s="24">
        <f t="shared" si="6"/>
        <v>1</v>
      </c>
      <c r="M75" s="24">
        <f t="shared" si="7"/>
        <v>1</v>
      </c>
      <c r="N75" s="37" t="s">
        <v>25</v>
      </c>
      <c r="O75" s="37" t="s">
        <v>25</v>
      </c>
      <c r="P75" s="40">
        <v>0</v>
      </c>
      <c r="Q75" s="40">
        <v>0</v>
      </c>
      <c r="R75" s="37" t="s">
        <v>129</v>
      </c>
      <c r="S75" s="37"/>
    </row>
    <row r="76" spans="1:19" x14ac:dyDescent="0.3">
      <c r="A76" s="36">
        <v>78</v>
      </c>
      <c r="B76" s="37" t="s">
        <v>119</v>
      </c>
      <c r="C76" s="37" t="s">
        <v>120</v>
      </c>
      <c r="D76" s="37" t="s">
        <v>121</v>
      </c>
      <c r="E76" s="37" t="s">
        <v>22</v>
      </c>
      <c r="F76" s="42">
        <v>45596</v>
      </c>
      <c r="G76" s="37">
        <v>2024</v>
      </c>
      <c r="H76" s="37" t="s">
        <v>89</v>
      </c>
      <c r="I76" s="39" t="s">
        <v>36</v>
      </c>
      <c r="J76" s="37">
        <v>100</v>
      </c>
      <c r="K76" s="54">
        <v>100</v>
      </c>
      <c r="L76" s="24">
        <f t="shared" si="6"/>
        <v>1</v>
      </c>
      <c r="M76" s="24">
        <f t="shared" si="7"/>
        <v>1</v>
      </c>
      <c r="N76" s="37" t="s">
        <v>25</v>
      </c>
      <c r="O76" s="37" t="s">
        <v>25</v>
      </c>
      <c r="P76" s="40">
        <v>0</v>
      </c>
      <c r="Q76" s="40">
        <v>0</v>
      </c>
      <c r="R76" s="37" t="s">
        <v>130</v>
      </c>
      <c r="S76" s="37"/>
    </row>
    <row r="77" spans="1:19" x14ac:dyDescent="0.3">
      <c r="A77" s="36">
        <v>78</v>
      </c>
      <c r="B77" s="37" t="s">
        <v>119</v>
      </c>
      <c r="C77" s="37" t="s">
        <v>120</v>
      </c>
      <c r="D77" s="37" t="s">
        <v>121</v>
      </c>
      <c r="E77" s="37" t="s">
        <v>22</v>
      </c>
      <c r="F77" s="42">
        <v>45657</v>
      </c>
      <c r="G77" s="37">
        <v>2024</v>
      </c>
      <c r="H77" s="37" t="s">
        <v>27</v>
      </c>
      <c r="I77" s="39" t="s">
        <v>36</v>
      </c>
      <c r="J77" s="37">
        <v>100</v>
      </c>
      <c r="K77" s="54">
        <v>112.5</v>
      </c>
      <c r="L77" s="24">
        <f t="shared" si="6"/>
        <v>1.125</v>
      </c>
      <c r="M77" s="24">
        <f t="shared" si="7"/>
        <v>1.125</v>
      </c>
      <c r="N77" s="37" t="s">
        <v>25</v>
      </c>
      <c r="O77" s="37" t="s">
        <v>25</v>
      </c>
      <c r="P77" s="40">
        <v>0</v>
      </c>
      <c r="Q77" s="40">
        <v>0</v>
      </c>
      <c r="R77" s="37" t="s">
        <v>131</v>
      </c>
      <c r="S77" s="37"/>
    </row>
    <row r="78" spans="1:19" x14ac:dyDescent="0.3">
      <c r="A78" s="36">
        <v>79</v>
      </c>
      <c r="B78" s="37" t="s">
        <v>132</v>
      </c>
      <c r="C78" s="37" t="s">
        <v>120</v>
      </c>
      <c r="D78" s="37" t="s">
        <v>121</v>
      </c>
      <c r="E78" s="37" t="s">
        <v>22</v>
      </c>
      <c r="F78" s="42">
        <v>45107</v>
      </c>
      <c r="G78" s="37">
        <v>2023</v>
      </c>
      <c r="H78" s="37" t="s">
        <v>23</v>
      </c>
      <c r="I78" s="39" t="s">
        <v>30</v>
      </c>
      <c r="J78" s="37">
        <v>85</v>
      </c>
      <c r="K78" s="54">
        <v>100</v>
      </c>
      <c r="L78" s="24">
        <f t="shared" si="6"/>
        <v>1.1764705882352942</v>
      </c>
      <c r="M78" s="24">
        <f t="shared" si="7"/>
        <v>1.1764705882352942</v>
      </c>
      <c r="N78" s="37" t="s">
        <v>25</v>
      </c>
      <c r="O78" s="37" t="s">
        <v>25</v>
      </c>
      <c r="P78" s="40">
        <v>0</v>
      </c>
      <c r="Q78" s="40">
        <v>0</v>
      </c>
      <c r="R78" s="37" t="s">
        <v>133</v>
      </c>
      <c r="S78" s="37"/>
    </row>
    <row r="79" spans="1:19" x14ac:dyDescent="0.3">
      <c r="A79" s="36">
        <v>79</v>
      </c>
      <c r="B79" s="37" t="s">
        <v>132</v>
      </c>
      <c r="C79" s="37" t="s">
        <v>120</v>
      </c>
      <c r="D79" s="37" t="s">
        <v>121</v>
      </c>
      <c r="E79" s="37" t="s">
        <v>22</v>
      </c>
      <c r="F79" s="38">
        <v>45169</v>
      </c>
      <c r="G79" s="37">
        <v>2023</v>
      </c>
      <c r="H79" s="37" t="s">
        <v>86</v>
      </c>
      <c r="I79" s="39" t="s">
        <v>32</v>
      </c>
      <c r="J79" s="37">
        <v>85</v>
      </c>
      <c r="K79" s="54">
        <v>100</v>
      </c>
      <c r="L79" s="24">
        <f t="shared" si="6"/>
        <v>1.1764705882352942</v>
      </c>
      <c r="M79" s="24">
        <f t="shared" si="7"/>
        <v>1.1764705882352942</v>
      </c>
      <c r="N79" s="37" t="s">
        <v>25</v>
      </c>
      <c r="O79" s="37" t="s">
        <v>25</v>
      </c>
      <c r="P79" s="40">
        <v>0</v>
      </c>
      <c r="Q79" s="40">
        <v>0</v>
      </c>
      <c r="R79" s="37" t="s">
        <v>134</v>
      </c>
      <c r="S79" s="37"/>
    </row>
    <row r="80" spans="1:19" x14ac:dyDescent="0.3">
      <c r="A80" s="41">
        <v>79</v>
      </c>
      <c r="B80" s="37" t="s">
        <v>132</v>
      </c>
      <c r="C80" s="37" t="s">
        <v>120</v>
      </c>
      <c r="D80" s="37" t="s">
        <v>121</v>
      </c>
      <c r="E80" s="37" t="s">
        <v>22</v>
      </c>
      <c r="F80" s="42">
        <v>45230</v>
      </c>
      <c r="G80" s="37">
        <v>2023</v>
      </c>
      <c r="H80" s="37" t="s">
        <v>89</v>
      </c>
      <c r="I80" s="39" t="s">
        <v>32</v>
      </c>
      <c r="J80" s="37">
        <v>85</v>
      </c>
      <c r="K80" s="43">
        <v>100</v>
      </c>
      <c r="L80" s="24">
        <f t="shared" si="6"/>
        <v>1.1764705882352942</v>
      </c>
      <c r="M80" s="24">
        <f t="shared" si="7"/>
        <v>1.1764705882352942</v>
      </c>
      <c r="N80" s="37" t="s">
        <v>25</v>
      </c>
      <c r="O80" s="37" t="s">
        <v>25</v>
      </c>
      <c r="P80" s="40">
        <v>0</v>
      </c>
      <c r="Q80" s="40">
        <v>0</v>
      </c>
      <c r="R80" s="37" t="s">
        <v>135</v>
      </c>
      <c r="S80" s="37"/>
    </row>
    <row r="81" spans="1:19" x14ac:dyDescent="0.3">
      <c r="A81" s="41">
        <v>79</v>
      </c>
      <c r="B81" s="37" t="s">
        <v>132</v>
      </c>
      <c r="C81" s="37" t="s">
        <v>120</v>
      </c>
      <c r="D81" s="37" t="s">
        <v>121</v>
      </c>
      <c r="E81" s="37" t="s">
        <v>22</v>
      </c>
      <c r="F81" s="42">
        <v>45291</v>
      </c>
      <c r="G81" s="37">
        <v>2023</v>
      </c>
      <c r="H81" s="37" t="s">
        <v>27</v>
      </c>
      <c r="I81" s="39" t="s">
        <v>32</v>
      </c>
      <c r="J81" s="37">
        <v>85</v>
      </c>
      <c r="K81" s="54">
        <v>95.45</v>
      </c>
      <c r="L81" s="24">
        <f t="shared" si="6"/>
        <v>1.1229411764705883</v>
      </c>
      <c r="M81" s="24">
        <f t="shared" si="7"/>
        <v>1.1229411764705883</v>
      </c>
      <c r="N81" s="37" t="s">
        <v>25</v>
      </c>
      <c r="O81" s="37" t="s">
        <v>25</v>
      </c>
      <c r="P81" s="40">
        <v>0</v>
      </c>
      <c r="Q81" s="40">
        <v>0</v>
      </c>
      <c r="R81" s="37" t="s">
        <v>136</v>
      </c>
      <c r="S81" s="37"/>
    </row>
    <row r="82" spans="1:19" x14ac:dyDescent="0.3">
      <c r="A82" s="37">
        <v>84</v>
      </c>
      <c r="B82" s="37" t="s">
        <v>137</v>
      </c>
      <c r="C82" s="37" t="s">
        <v>138</v>
      </c>
      <c r="D82" s="37" t="s">
        <v>139</v>
      </c>
      <c r="E82" s="37" t="s">
        <v>22</v>
      </c>
      <c r="F82" s="42">
        <v>44926</v>
      </c>
      <c r="G82" s="37">
        <v>2022</v>
      </c>
      <c r="H82" s="37" t="s">
        <v>27</v>
      </c>
      <c r="I82" s="37" t="s">
        <v>28</v>
      </c>
      <c r="J82" s="37">
        <v>100</v>
      </c>
      <c r="K82" s="53">
        <v>100</v>
      </c>
      <c r="L82" s="24">
        <f t="shared" si="6"/>
        <v>1</v>
      </c>
      <c r="M82" s="24">
        <f t="shared" si="7"/>
        <v>1</v>
      </c>
      <c r="N82" s="37" t="s">
        <v>25</v>
      </c>
      <c r="O82" s="37" t="s">
        <v>25</v>
      </c>
      <c r="P82" s="37">
        <v>0</v>
      </c>
      <c r="Q82" s="37">
        <v>0</v>
      </c>
      <c r="R82" s="37" t="s">
        <v>140</v>
      </c>
      <c r="S82" s="37"/>
    </row>
    <row r="83" spans="1:19" x14ac:dyDescent="0.3">
      <c r="A83" s="41">
        <v>84</v>
      </c>
      <c r="B83" s="37" t="s">
        <v>137</v>
      </c>
      <c r="C83" s="37" t="s">
        <v>138</v>
      </c>
      <c r="D83" s="37" t="s">
        <v>139</v>
      </c>
      <c r="E83" s="37" t="s">
        <v>22</v>
      </c>
      <c r="F83" s="42">
        <v>45291</v>
      </c>
      <c r="G83" s="37">
        <v>2023</v>
      </c>
      <c r="H83" s="37" t="s">
        <v>27</v>
      </c>
      <c r="I83" s="39" t="s">
        <v>32</v>
      </c>
      <c r="J83" s="37">
        <v>100</v>
      </c>
      <c r="K83" s="54">
        <v>100</v>
      </c>
      <c r="L83" s="24">
        <f t="shared" si="6"/>
        <v>1</v>
      </c>
      <c r="M83" s="24">
        <f t="shared" si="7"/>
        <v>1</v>
      </c>
      <c r="N83" s="37" t="s">
        <v>25</v>
      </c>
      <c r="O83" s="37" t="s">
        <v>25</v>
      </c>
      <c r="P83" s="40">
        <v>0</v>
      </c>
      <c r="Q83" s="40">
        <v>0</v>
      </c>
      <c r="R83" s="37" t="s">
        <v>141</v>
      </c>
      <c r="S83" s="37"/>
    </row>
    <row r="84" spans="1:19" x14ac:dyDescent="0.3">
      <c r="A84" s="36">
        <v>84</v>
      </c>
      <c r="B84" s="37" t="s">
        <v>137</v>
      </c>
      <c r="C84" s="37" t="s">
        <v>138</v>
      </c>
      <c r="D84" s="37" t="s">
        <v>139</v>
      </c>
      <c r="E84" s="37" t="s">
        <v>22</v>
      </c>
      <c r="F84" s="42">
        <v>45657</v>
      </c>
      <c r="G84" s="37">
        <v>2024</v>
      </c>
      <c r="H84" s="37" t="s">
        <v>27</v>
      </c>
      <c r="I84" s="39" t="s">
        <v>36</v>
      </c>
      <c r="J84" s="37">
        <v>100</v>
      </c>
      <c r="K84" s="54">
        <v>100</v>
      </c>
      <c r="L84" s="24">
        <f t="shared" si="6"/>
        <v>1</v>
      </c>
      <c r="M84" s="24">
        <f t="shared" si="7"/>
        <v>1</v>
      </c>
      <c r="N84" s="37" t="s">
        <v>25</v>
      </c>
      <c r="O84" s="37" t="s">
        <v>25</v>
      </c>
      <c r="P84" s="40">
        <v>0</v>
      </c>
      <c r="Q84" s="40">
        <v>0</v>
      </c>
      <c r="R84" s="37" t="s">
        <v>142</v>
      </c>
      <c r="S84" s="37"/>
    </row>
    <row r="85" spans="1:19" x14ac:dyDescent="0.3">
      <c r="A85" s="37">
        <v>85</v>
      </c>
      <c r="B85" s="37" t="s">
        <v>143</v>
      </c>
      <c r="C85" s="37" t="s">
        <v>138</v>
      </c>
      <c r="D85" s="37" t="s">
        <v>139</v>
      </c>
      <c r="E85" s="37" t="s">
        <v>22</v>
      </c>
      <c r="F85" s="42">
        <v>44926</v>
      </c>
      <c r="G85" s="37">
        <v>2022</v>
      </c>
      <c r="H85" s="37" t="s">
        <v>27</v>
      </c>
      <c r="I85" s="37" t="s">
        <v>28</v>
      </c>
      <c r="J85" s="37">
        <v>4</v>
      </c>
      <c r="K85" s="53">
        <v>4</v>
      </c>
      <c r="L85" s="24">
        <f t="shared" si="6"/>
        <v>1</v>
      </c>
      <c r="M85" s="24">
        <f t="shared" si="7"/>
        <v>1</v>
      </c>
      <c r="N85" s="37" t="s">
        <v>25</v>
      </c>
      <c r="O85" s="37" t="s">
        <v>25</v>
      </c>
      <c r="P85" s="37">
        <v>0</v>
      </c>
      <c r="Q85" s="37">
        <v>0</v>
      </c>
      <c r="R85" s="37" t="s">
        <v>144</v>
      </c>
      <c r="S85" s="37"/>
    </row>
    <row r="86" spans="1:19" x14ac:dyDescent="0.3">
      <c r="A86" s="41">
        <v>85</v>
      </c>
      <c r="B86" s="37" t="s">
        <v>143</v>
      </c>
      <c r="C86" s="37" t="s">
        <v>138</v>
      </c>
      <c r="D86" s="37" t="s">
        <v>139</v>
      </c>
      <c r="E86" s="37" t="s">
        <v>22</v>
      </c>
      <c r="F86" s="42">
        <v>45291</v>
      </c>
      <c r="G86" s="37">
        <v>2023</v>
      </c>
      <c r="H86" s="37" t="s">
        <v>27</v>
      </c>
      <c r="I86" s="39" t="s">
        <v>32</v>
      </c>
      <c r="J86" s="37">
        <v>3</v>
      </c>
      <c r="K86" s="54">
        <v>3</v>
      </c>
      <c r="L86" s="24">
        <f t="shared" si="6"/>
        <v>1</v>
      </c>
      <c r="M86" s="24">
        <f t="shared" si="7"/>
        <v>1</v>
      </c>
      <c r="N86" s="37" t="s">
        <v>25</v>
      </c>
      <c r="O86" s="37" t="s">
        <v>25</v>
      </c>
      <c r="P86" s="40">
        <v>0</v>
      </c>
      <c r="Q86" s="40">
        <v>0</v>
      </c>
      <c r="R86" s="37" t="s">
        <v>145</v>
      </c>
      <c r="S86" s="37"/>
    </row>
    <row r="87" spans="1:19" x14ac:dyDescent="0.3">
      <c r="A87" s="36">
        <v>85</v>
      </c>
      <c r="B87" s="37" t="s">
        <v>143</v>
      </c>
      <c r="C87" s="37" t="s">
        <v>138</v>
      </c>
      <c r="D87" s="37" t="s">
        <v>139</v>
      </c>
      <c r="E87" s="37" t="s">
        <v>22</v>
      </c>
      <c r="F87" s="42">
        <v>45657</v>
      </c>
      <c r="G87" s="37">
        <v>2024</v>
      </c>
      <c r="H87" s="37" t="s">
        <v>27</v>
      </c>
      <c r="I87" s="39" t="s">
        <v>36</v>
      </c>
      <c r="J87" s="37">
        <v>3</v>
      </c>
      <c r="K87" s="54">
        <v>3</v>
      </c>
      <c r="L87" s="24">
        <f t="shared" si="6"/>
        <v>1</v>
      </c>
      <c r="M87" s="24">
        <f t="shared" si="7"/>
        <v>1</v>
      </c>
      <c r="N87" s="37" t="s">
        <v>25</v>
      </c>
      <c r="O87" s="37" t="s">
        <v>25</v>
      </c>
      <c r="P87" s="40">
        <v>0</v>
      </c>
      <c r="Q87" s="40">
        <v>0</v>
      </c>
      <c r="R87" s="37" t="s">
        <v>146</v>
      </c>
      <c r="S87" s="37"/>
    </row>
    <row r="88" spans="1:19" x14ac:dyDescent="0.3">
      <c r="A88" s="37">
        <v>86</v>
      </c>
      <c r="B88" s="37" t="s">
        <v>147</v>
      </c>
      <c r="C88" s="37" t="s">
        <v>138</v>
      </c>
      <c r="D88" s="37" t="s">
        <v>21</v>
      </c>
      <c r="E88" s="37" t="s">
        <v>22</v>
      </c>
      <c r="F88" s="42">
        <v>44742</v>
      </c>
      <c r="G88" s="37">
        <v>2022</v>
      </c>
      <c r="H88" s="37" t="s">
        <v>23</v>
      </c>
      <c r="I88" s="37" t="s">
        <v>24</v>
      </c>
      <c r="J88" s="37">
        <v>1</v>
      </c>
      <c r="K88" s="53">
        <v>4</v>
      </c>
      <c r="L88" s="24">
        <f t="shared" si="6"/>
        <v>1.3</v>
      </c>
      <c r="M88" s="24">
        <f t="shared" si="7"/>
        <v>4</v>
      </c>
      <c r="N88" s="37" t="s">
        <v>25</v>
      </c>
      <c r="O88" s="37" t="s">
        <v>25</v>
      </c>
      <c r="P88" s="37">
        <v>0</v>
      </c>
      <c r="Q88" s="37">
        <v>0</v>
      </c>
      <c r="R88" s="37" t="s">
        <v>148</v>
      </c>
      <c r="S88" s="37"/>
    </row>
    <row r="89" spans="1:19" x14ac:dyDescent="0.3">
      <c r="A89" s="37">
        <v>86</v>
      </c>
      <c r="B89" s="37" t="s">
        <v>147</v>
      </c>
      <c r="C89" s="37" t="s">
        <v>138</v>
      </c>
      <c r="D89" s="37" t="s">
        <v>21</v>
      </c>
      <c r="E89" s="37" t="s">
        <v>22</v>
      </c>
      <c r="F89" s="42">
        <v>44926</v>
      </c>
      <c r="G89" s="37">
        <v>2022</v>
      </c>
      <c r="H89" s="37" t="s">
        <v>27</v>
      </c>
      <c r="I89" s="37" t="s">
        <v>28</v>
      </c>
      <c r="J89" s="37">
        <v>1</v>
      </c>
      <c r="K89" s="53">
        <v>14</v>
      </c>
      <c r="L89" s="24">
        <f t="shared" si="6"/>
        <v>1.3</v>
      </c>
      <c r="M89" s="24">
        <f t="shared" si="7"/>
        <v>14</v>
      </c>
      <c r="N89" s="37" t="s">
        <v>25</v>
      </c>
      <c r="O89" s="37" t="s">
        <v>25</v>
      </c>
      <c r="P89" s="37">
        <v>0</v>
      </c>
      <c r="Q89" s="37">
        <v>0</v>
      </c>
      <c r="R89" s="37" t="s">
        <v>149</v>
      </c>
      <c r="S89" s="37"/>
    </row>
    <row r="90" spans="1:19" x14ac:dyDescent="0.3">
      <c r="A90" s="36">
        <v>86</v>
      </c>
      <c r="B90" s="37" t="s">
        <v>147</v>
      </c>
      <c r="C90" s="37" t="s">
        <v>138</v>
      </c>
      <c r="D90" s="37" t="s">
        <v>21</v>
      </c>
      <c r="E90" s="37" t="s">
        <v>22</v>
      </c>
      <c r="F90" s="38">
        <v>45107</v>
      </c>
      <c r="G90" s="37">
        <v>2023</v>
      </c>
      <c r="H90" s="37" t="s">
        <v>23</v>
      </c>
      <c r="I90" s="39" t="s">
        <v>30</v>
      </c>
      <c r="J90" s="37">
        <v>100</v>
      </c>
      <c r="K90" s="54">
        <v>4</v>
      </c>
      <c r="L90" s="24">
        <f t="shared" si="6"/>
        <v>0.04</v>
      </c>
      <c r="M90" s="24">
        <f t="shared" si="7"/>
        <v>0.04</v>
      </c>
      <c r="N90" s="37" t="s">
        <v>25</v>
      </c>
      <c r="O90" s="37" t="s">
        <v>25</v>
      </c>
      <c r="P90" s="40">
        <v>0</v>
      </c>
      <c r="Q90" s="40">
        <v>0</v>
      </c>
      <c r="R90" s="37" t="s">
        <v>150</v>
      </c>
      <c r="S90" s="37"/>
    </row>
    <row r="91" spans="1:19" x14ac:dyDescent="0.3">
      <c r="A91" s="41">
        <v>86</v>
      </c>
      <c r="B91" s="37" t="s">
        <v>147</v>
      </c>
      <c r="C91" s="37" t="s">
        <v>138</v>
      </c>
      <c r="D91" s="37" t="s">
        <v>21</v>
      </c>
      <c r="E91" s="37" t="s">
        <v>22</v>
      </c>
      <c r="F91" s="42">
        <v>45291</v>
      </c>
      <c r="G91" s="37">
        <v>2023</v>
      </c>
      <c r="H91" s="37" t="s">
        <v>27</v>
      </c>
      <c r="I91" s="39" t="s">
        <v>32</v>
      </c>
      <c r="J91" s="37">
        <v>100</v>
      </c>
      <c r="K91" s="54">
        <v>4</v>
      </c>
      <c r="L91" s="24">
        <f t="shared" si="6"/>
        <v>0.04</v>
      </c>
      <c r="M91" s="24">
        <f t="shared" si="7"/>
        <v>0.04</v>
      </c>
      <c r="N91" s="37" t="s">
        <v>25</v>
      </c>
      <c r="O91" s="37" t="s">
        <v>25</v>
      </c>
      <c r="P91" s="40">
        <v>0</v>
      </c>
      <c r="Q91" s="40">
        <v>0</v>
      </c>
      <c r="R91" s="37" t="s">
        <v>151</v>
      </c>
      <c r="S91" s="37"/>
    </row>
    <row r="92" spans="1:19" x14ac:dyDescent="0.3">
      <c r="A92" s="37">
        <v>86</v>
      </c>
      <c r="B92" s="37" t="s">
        <v>147</v>
      </c>
      <c r="C92" s="37" t="s">
        <v>138</v>
      </c>
      <c r="D92" s="37" t="s">
        <v>21</v>
      </c>
      <c r="E92" s="37" t="s">
        <v>22</v>
      </c>
      <c r="F92" s="42">
        <v>45473</v>
      </c>
      <c r="G92" s="37">
        <v>2024</v>
      </c>
      <c r="H92" s="37" t="s">
        <v>23</v>
      </c>
      <c r="I92" s="39" t="s">
        <v>34</v>
      </c>
      <c r="J92" s="37">
        <v>100</v>
      </c>
      <c r="K92" s="53">
        <v>1</v>
      </c>
      <c r="L92" s="24">
        <f t="shared" si="6"/>
        <v>0.01</v>
      </c>
      <c r="M92" s="24">
        <f t="shared" si="7"/>
        <v>0.01</v>
      </c>
      <c r="N92" s="37" t="s">
        <v>25</v>
      </c>
      <c r="O92" s="37" t="s">
        <v>25</v>
      </c>
      <c r="P92" s="37">
        <v>0</v>
      </c>
      <c r="Q92" s="37">
        <v>0</v>
      </c>
      <c r="R92" s="37" t="s">
        <v>152</v>
      </c>
      <c r="S92" s="37"/>
    </row>
    <row r="93" spans="1:19" x14ac:dyDescent="0.3">
      <c r="A93" s="36">
        <v>86</v>
      </c>
      <c r="B93" s="37" t="s">
        <v>147</v>
      </c>
      <c r="C93" s="37" t="s">
        <v>138</v>
      </c>
      <c r="D93" s="37" t="s">
        <v>21</v>
      </c>
      <c r="E93" s="37" t="s">
        <v>22</v>
      </c>
      <c r="F93" s="42">
        <v>45657</v>
      </c>
      <c r="G93" s="37">
        <v>2024</v>
      </c>
      <c r="H93" s="37" t="s">
        <v>27</v>
      </c>
      <c r="I93" s="39" t="s">
        <v>36</v>
      </c>
      <c r="J93" s="37">
        <v>100</v>
      </c>
      <c r="K93" s="54">
        <v>1</v>
      </c>
      <c r="L93" s="24">
        <f t="shared" si="6"/>
        <v>0.01</v>
      </c>
      <c r="M93" s="24">
        <f t="shared" si="7"/>
        <v>0.01</v>
      </c>
      <c r="N93" s="37" t="s">
        <v>25</v>
      </c>
      <c r="O93" s="37" t="s">
        <v>25</v>
      </c>
      <c r="P93" s="37">
        <v>0</v>
      </c>
      <c r="Q93" s="37">
        <v>0</v>
      </c>
      <c r="R93" s="37" t="s">
        <v>153</v>
      </c>
      <c r="S93" s="37"/>
    </row>
    <row r="94" spans="1:19" x14ac:dyDescent="0.3">
      <c r="A94" s="37">
        <v>87</v>
      </c>
      <c r="B94" s="37" t="s">
        <v>154</v>
      </c>
      <c r="C94" s="37" t="s">
        <v>138</v>
      </c>
      <c r="D94" s="37" t="s">
        <v>139</v>
      </c>
      <c r="E94" s="37" t="s">
        <v>22</v>
      </c>
      <c r="F94" s="42">
        <v>44926</v>
      </c>
      <c r="G94" s="37">
        <v>2022</v>
      </c>
      <c r="H94" s="37" t="s">
        <v>27</v>
      </c>
      <c r="I94" s="37" t="s">
        <v>28</v>
      </c>
      <c r="J94" s="37">
        <v>1</v>
      </c>
      <c r="K94" s="53">
        <v>99</v>
      </c>
      <c r="L94" s="24">
        <f t="shared" ref="L94:L96" si="8">IFERROR(IF(OR(J94=0,K94=""),"",IF(E94="Positivo",MIN(MAX(K94/J94,0),1.3),MIN(MAX(J94/K94,0),1.3))),"")</f>
        <v>1.3</v>
      </c>
      <c r="M94" s="24">
        <f t="shared" si="7"/>
        <v>99</v>
      </c>
      <c r="N94" s="37" t="s">
        <v>25</v>
      </c>
      <c r="O94" s="37" t="s">
        <v>25</v>
      </c>
      <c r="P94" s="37">
        <v>0</v>
      </c>
      <c r="Q94" s="37">
        <v>0</v>
      </c>
      <c r="R94" s="37" t="s">
        <v>155</v>
      </c>
      <c r="S94" s="37"/>
    </row>
    <row r="95" spans="1:19" x14ac:dyDescent="0.3">
      <c r="A95" s="41">
        <v>87</v>
      </c>
      <c r="B95" s="37" t="s">
        <v>154</v>
      </c>
      <c r="C95" s="37" t="s">
        <v>138</v>
      </c>
      <c r="D95" s="37" t="s">
        <v>139</v>
      </c>
      <c r="E95" s="37" t="s">
        <v>22</v>
      </c>
      <c r="F95" s="42">
        <v>45291</v>
      </c>
      <c r="G95" s="37">
        <v>2023</v>
      </c>
      <c r="H95" s="37" t="s">
        <v>27</v>
      </c>
      <c r="I95" s="39" t="s">
        <v>32</v>
      </c>
      <c r="J95" s="37">
        <v>90</v>
      </c>
      <c r="K95" s="54">
        <v>100</v>
      </c>
      <c r="L95" s="24">
        <f t="shared" si="8"/>
        <v>1.1111111111111112</v>
      </c>
      <c r="M95" s="24">
        <f t="shared" si="7"/>
        <v>1.1111111111111112</v>
      </c>
      <c r="N95" s="37" t="s">
        <v>25</v>
      </c>
      <c r="O95" s="37" t="s">
        <v>25</v>
      </c>
      <c r="P95" s="40">
        <v>0</v>
      </c>
      <c r="Q95" s="40">
        <v>0</v>
      </c>
      <c r="R95" s="37" t="s">
        <v>156</v>
      </c>
      <c r="S95" s="37"/>
    </row>
    <row r="96" spans="1:19" x14ac:dyDescent="0.3">
      <c r="A96" s="37">
        <v>87</v>
      </c>
      <c r="B96" s="37" t="s">
        <v>154</v>
      </c>
      <c r="C96" s="37" t="s">
        <v>138</v>
      </c>
      <c r="D96" s="37" t="s">
        <v>139</v>
      </c>
      <c r="E96" s="37" t="s">
        <v>22</v>
      </c>
      <c r="F96" s="42">
        <v>45657</v>
      </c>
      <c r="G96" s="37">
        <v>2024</v>
      </c>
      <c r="H96" s="37" t="s">
        <v>27</v>
      </c>
      <c r="I96" s="37" t="s">
        <v>36</v>
      </c>
      <c r="J96" s="37">
        <v>1</v>
      </c>
      <c r="K96" s="53">
        <v>100</v>
      </c>
      <c r="L96" s="24">
        <f t="shared" si="8"/>
        <v>1.3</v>
      </c>
      <c r="M96" s="24">
        <f t="shared" si="7"/>
        <v>100</v>
      </c>
      <c r="N96" s="37" t="s">
        <v>25</v>
      </c>
      <c r="O96" s="37" t="s">
        <v>25</v>
      </c>
      <c r="P96" s="37">
        <v>0</v>
      </c>
      <c r="Q96" s="37">
        <v>0</v>
      </c>
      <c r="R96" s="37" t="s">
        <v>157</v>
      </c>
      <c r="S96" s="37"/>
    </row>
    <row r="97" spans="1:19" x14ac:dyDescent="0.3">
      <c r="A97" s="37">
        <v>88</v>
      </c>
      <c r="B97" s="37" t="s">
        <v>158</v>
      </c>
      <c r="C97" s="37" t="s">
        <v>138</v>
      </c>
      <c r="D97" s="37" t="s">
        <v>139</v>
      </c>
      <c r="E97" s="37" t="s">
        <v>22</v>
      </c>
      <c r="F97" s="42">
        <v>44926</v>
      </c>
      <c r="G97" s="37">
        <v>2022</v>
      </c>
      <c r="H97" s="37" t="s">
        <v>27</v>
      </c>
      <c r="I97" s="37" t="s">
        <v>28</v>
      </c>
      <c r="J97" s="37">
        <v>305</v>
      </c>
      <c r="K97" s="53">
        <v>303</v>
      </c>
      <c r="L97" s="24">
        <f>IFERROR(IF(OR(J97=0,K97=""),"",IF(E97="Positivo",MIN(MAX(K97/J97,0),1),MIN(MAX(J97/K97,0),1))),"")</f>
        <v>0.99344262295081964</v>
      </c>
      <c r="M97" s="24">
        <f>IFERROR(IF(OR(J97=0,K97=""),"",IF(E97="Positivo",MIN(MAX(K97/J97,0),1),MIN(MAX(J97/K97,0),1))),"")</f>
        <v>0.99344262295081964</v>
      </c>
      <c r="N97" s="37" t="s">
        <v>25</v>
      </c>
      <c r="O97" s="37" t="s">
        <v>25</v>
      </c>
      <c r="P97" s="37">
        <v>0</v>
      </c>
      <c r="Q97" s="37">
        <v>0</v>
      </c>
      <c r="R97" s="37" t="s">
        <v>159</v>
      </c>
      <c r="S97" s="37"/>
    </row>
    <row r="98" spans="1:19" x14ac:dyDescent="0.3">
      <c r="A98" s="41">
        <v>88</v>
      </c>
      <c r="B98" s="37" t="s">
        <v>158</v>
      </c>
      <c r="C98" s="37" t="s">
        <v>138</v>
      </c>
      <c r="D98" s="37" t="s">
        <v>139</v>
      </c>
      <c r="E98" s="37" t="s">
        <v>22</v>
      </c>
      <c r="F98" s="42">
        <v>45291</v>
      </c>
      <c r="G98" s="37">
        <v>2023</v>
      </c>
      <c r="H98" s="37" t="s">
        <v>27</v>
      </c>
      <c r="I98" s="39" t="s">
        <v>32</v>
      </c>
      <c r="J98" s="37">
        <v>290</v>
      </c>
      <c r="K98" s="54">
        <v>290</v>
      </c>
      <c r="L98" s="24">
        <f>IFERROR(IF(OR(J98=0,K98=""),"",IF(E98="Positivo",MIN(MAX(K98/J98,0),1),MIN(MAX(J98/K98,0),1))),"")</f>
        <v>1</v>
      </c>
      <c r="M98" s="24">
        <f>IFERROR(IF(OR(J98=0,K98=""),"",IF(E98="Positivo",MIN(MAX(K98/J98,0),1),MIN(MAX(J98/K98,0),1))),"")</f>
        <v>1</v>
      </c>
      <c r="N98" s="37" t="s">
        <v>25</v>
      </c>
      <c r="O98" s="37" t="s">
        <v>25</v>
      </c>
      <c r="P98" s="40">
        <v>0</v>
      </c>
      <c r="Q98" s="40">
        <v>0</v>
      </c>
      <c r="R98" s="37" t="s">
        <v>160</v>
      </c>
      <c r="S98" s="37"/>
    </row>
    <row r="99" spans="1:19" x14ac:dyDescent="0.3">
      <c r="A99" s="36">
        <v>88</v>
      </c>
      <c r="B99" s="37" t="s">
        <v>158</v>
      </c>
      <c r="C99" s="37" t="s">
        <v>138</v>
      </c>
      <c r="D99" s="37" t="s">
        <v>139</v>
      </c>
      <c r="E99" s="37" t="s">
        <v>22</v>
      </c>
      <c r="F99" s="42">
        <v>45657</v>
      </c>
      <c r="G99" s="37">
        <v>2024</v>
      </c>
      <c r="H99" s="37" t="s">
        <v>27</v>
      </c>
      <c r="I99" s="39" t="s">
        <v>36</v>
      </c>
      <c r="J99" s="37">
        <v>260</v>
      </c>
      <c r="K99" s="54">
        <v>260</v>
      </c>
      <c r="L99" s="24">
        <f>IFERROR(IF(OR(J99=0,K99=""),"",IF(E99="Positivo",MIN(MAX(K99/J99,0),1),MIN(MAX(J99/K99,0),1))),"")</f>
        <v>1</v>
      </c>
      <c r="M99" s="24">
        <f>IFERROR(IF(OR(J99=0,K99=""),"",IF(E99="Positivo",MIN(MAX(K99/J99,0),1),MIN(MAX(J99/K99,0),1))),"")</f>
        <v>1</v>
      </c>
      <c r="N99" s="37" t="s">
        <v>25</v>
      </c>
      <c r="O99" s="37" t="s">
        <v>25</v>
      </c>
      <c r="P99" s="40">
        <v>0</v>
      </c>
      <c r="Q99" s="40">
        <v>0</v>
      </c>
      <c r="R99" s="37" t="s">
        <v>161</v>
      </c>
      <c r="S99" s="37"/>
    </row>
    <row r="100" spans="1:19" x14ac:dyDescent="0.3">
      <c r="A100" s="37">
        <v>89</v>
      </c>
      <c r="B100" s="37" t="s">
        <v>162</v>
      </c>
      <c r="C100" s="37" t="s">
        <v>138</v>
      </c>
      <c r="D100" s="37" t="s">
        <v>139</v>
      </c>
      <c r="E100" s="37" t="s">
        <v>22</v>
      </c>
      <c r="F100" s="42">
        <v>44926</v>
      </c>
      <c r="G100" s="37">
        <v>2022</v>
      </c>
      <c r="H100" s="37" t="s">
        <v>27</v>
      </c>
      <c r="I100" s="37" t="s">
        <v>28</v>
      </c>
      <c r="J100" s="37">
        <v>56</v>
      </c>
      <c r="K100" s="53">
        <v>56</v>
      </c>
      <c r="L100" s="24">
        <f t="shared" ref="L100:L108" si="9">IFERROR(IF(OR(J100=0,K100=""),"",IF(E100="Positivo",MIN(MAX(K100/J100,0),1.3),MIN(MAX(J100/K100,0),1.3))),"")</f>
        <v>1</v>
      </c>
      <c r="M100" s="24">
        <f t="shared" ref="M100:M108" si="10">IFERROR(IF(OR(J100=0,K100=""),"",IF(E100="Positivo",MAX(K100/J100,0),MAX(J100/K100,0))),"")</f>
        <v>1</v>
      </c>
      <c r="N100" s="37" t="s">
        <v>25</v>
      </c>
      <c r="O100" s="37" t="s">
        <v>25</v>
      </c>
      <c r="P100" s="37">
        <v>0</v>
      </c>
      <c r="Q100" s="37">
        <v>0</v>
      </c>
      <c r="R100" s="37" t="s">
        <v>163</v>
      </c>
      <c r="S100" s="37"/>
    </row>
    <row r="101" spans="1:19" x14ac:dyDescent="0.3">
      <c r="A101" s="41">
        <v>89</v>
      </c>
      <c r="B101" s="37" t="s">
        <v>162</v>
      </c>
      <c r="C101" s="37" t="s">
        <v>138</v>
      </c>
      <c r="D101" s="37" t="s">
        <v>139</v>
      </c>
      <c r="E101" s="37" t="s">
        <v>22</v>
      </c>
      <c r="F101" s="42">
        <v>45291</v>
      </c>
      <c r="G101" s="37">
        <v>2023</v>
      </c>
      <c r="H101" s="37" t="s">
        <v>27</v>
      </c>
      <c r="I101" s="39" t="s">
        <v>32</v>
      </c>
      <c r="J101" s="37">
        <v>122</v>
      </c>
      <c r="K101" s="54">
        <v>122</v>
      </c>
      <c r="L101" s="24">
        <f t="shared" si="9"/>
        <v>1</v>
      </c>
      <c r="M101" s="24">
        <f t="shared" si="10"/>
        <v>1</v>
      </c>
      <c r="N101" s="37" t="s">
        <v>25</v>
      </c>
      <c r="O101" s="37" t="s">
        <v>25</v>
      </c>
      <c r="P101" s="40">
        <v>0</v>
      </c>
      <c r="Q101" s="40">
        <v>0</v>
      </c>
      <c r="R101" s="37" t="s">
        <v>164</v>
      </c>
      <c r="S101" s="37"/>
    </row>
    <row r="102" spans="1:19" x14ac:dyDescent="0.3">
      <c r="A102" s="36">
        <v>89</v>
      </c>
      <c r="B102" s="37" t="s">
        <v>162</v>
      </c>
      <c r="C102" s="37" t="s">
        <v>138</v>
      </c>
      <c r="D102" s="37" t="s">
        <v>139</v>
      </c>
      <c r="E102" s="37" t="s">
        <v>22</v>
      </c>
      <c r="F102" s="42">
        <v>45657</v>
      </c>
      <c r="G102" s="37">
        <v>2024</v>
      </c>
      <c r="H102" s="37" t="s">
        <v>27</v>
      </c>
      <c r="I102" s="39" t="s">
        <v>36</v>
      </c>
      <c r="J102" s="37">
        <v>154</v>
      </c>
      <c r="K102" s="54">
        <v>154</v>
      </c>
      <c r="L102" s="24">
        <f t="shared" si="9"/>
        <v>1</v>
      </c>
      <c r="M102" s="24">
        <f t="shared" si="10"/>
        <v>1</v>
      </c>
      <c r="N102" s="37" t="s">
        <v>25</v>
      </c>
      <c r="O102" s="37" t="s">
        <v>25</v>
      </c>
      <c r="P102" s="40">
        <v>0</v>
      </c>
      <c r="Q102" s="40">
        <v>0</v>
      </c>
      <c r="R102" s="37" t="s">
        <v>165</v>
      </c>
      <c r="S102" s="37"/>
    </row>
    <row r="103" spans="1:19" x14ac:dyDescent="0.3">
      <c r="A103" s="37">
        <v>90</v>
      </c>
      <c r="B103" s="37" t="s">
        <v>166</v>
      </c>
      <c r="C103" s="37" t="s">
        <v>138</v>
      </c>
      <c r="D103" s="37" t="s">
        <v>139</v>
      </c>
      <c r="E103" s="37" t="s">
        <v>22</v>
      </c>
      <c r="F103" s="42">
        <v>44926</v>
      </c>
      <c r="G103" s="37">
        <v>2022</v>
      </c>
      <c r="H103" s="37" t="s">
        <v>27</v>
      </c>
      <c r="I103" s="37" t="s">
        <v>28</v>
      </c>
      <c r="J103" s="37">
        <v>2</v>
      </c>
      <c r="K103" s="53">
        <v>2</v>
      </c>
      <c r="L103" s="24">
        <f t="shared" si="9"/>
        <v>1</v>
      </c>
      <c r="M103" s="24">
        <f t="shared" si="10"/>
        <v>1</v>
      </c>
      <c r="N103" s="37" t="s">
        <v>25</v>
      </c>
      <c r="O103" s="37" t="s">
        <v>25</v>
      </c>
      <c r="P103" s="37">
        <v>0</v>
      </c>
      <c r="Q103" s="37">
        <v>0</v>
      </c>
      <c r="R103" s="37" t="s">
        <v>167</v>
      </c>
      <c r="S103" s="37"/>
    </row>
    <row r="104" spans="1:19" x14ac:dyDescent="0.3">
      <c r="A104" s="41">
        <v>90</v>
      </c>
      <c r="B104" s="37" t="s">
        <v>166</v>
      </c>
      <c r="C104" s="37" t="s">
        <v>138</v>
      </c>
      <c r="D104" s="37" t="s">
        <v>139</v>
      </c>
      <c r="E104" s="37" t="s">
        <v>22</v>
      </c>
      <c r="F104" s="42">
        <v>45291</v>
      </c>
      <c r="G104" s="37">
        <v>2023</v>
      </c>
      <c r="H104" s="37" t="s">
        <v>27</v>
      </c>
      <c r="I104" s="39" t="s">
        <v>32</v>
      </c>
      <c r="J104" s="37">
        <v>7</v>
      </c>
      <c r="K104" s="54">
        <v>7</v>
      </c>
      <c r="L104" s="24">
        <f t="shared" si="9"/>
        <v>1</v>
      </c>
      <c r="M104" s="24">
        <f t="shared" si="10"/>
        <v>1</v>
      </c>
      <c r="N104" s="37" t="s">
        <v>25</v>
      </c>
      <c r="O104" s="37" t="s">
        <v>25</v>
      </c>
      <c r="P104" s="40">
        <v>0</v>
      </c>
      <c r="Q104" s="40">
        <v>0</v>
      </c>
      <c r="R104" s="37" t="s">
        <v>168</v>
      </c>
      <c r="S104" s="37"/>
    </row>
    <row r="105" spans="1:19" x14ac:dyDescent="0.3">
      <c r="A105" s="36">
        <v>90</v>
      </c>
      <c r="B105" s="37" t="s">
        <v>166</v>
      </c>
      <c r="C105" s="37" t="s">
        <v>138</v>
      </c>
      <c r="D105" s="37" t="s">
        <v>139</v>
      </c>
      <c r="E105" s="37" t="s">
        <v>22</v>
      </c>
      <c r="F105" s="42">
        <v>45657</v>
      </c>
      <c r="G105" s="37">
        <v>2024</v>
      </c>
      <c r="H105" s="37" t="s">
        <v>27</v>
      </c>
      <c r="I105" s="39" t="s">
        <v>36</v>
      </c>
      <c r="J105" s="37">
        <v>8</v>
      </c>
      <c r="K105" s="54">
        <v>8</v>
      </c>
      <c r="L105" s="24">
        <f t="shared" si="9"/>
        <v>1</v>
      </c>
      <c r="M105" s="24">
        <f t="shared" si="10"/>
        <v>1</v>
      </c>
      <c r="N105" s="37" t="s">
        <v>25</v>
      </c>
      <c r="O105" s="37" t="s">
        <v>25</v>
      </c>
      <c r="P105" s="40">
        <v>0</v>
      </c>
      <c r="Q105" s="40">
        <v>0</v>
      </c>
      <c r="R105" s="37" t="s">
        <v>169</v>
      </c>
      <c r="S105" s="37"/>
    </row>
    <row r="106" spans="1:19" x14ac:dyDescent="0.3">
      <c r="A106" s="37">
        <v>91</v>
      </c>
      <c r="B106" s="37" t="s">
        <v>170</v>
      </c>
      <c r="C106" s="37" t="s">
        <v>138</v>
      </c>
      <c r="D106" s="37" t="s">
        <v>139</v>
      </c>
      <c r="E106" s="37" t="s">
        <v>22</v>
      </c>
      <c r="F106" s="42">
        <v>44926</v>
      </c>
      <c r="G106" s="37">
        <v>2022</v>
      </c>
      <c r="H106" s="37" t="s">
        <v>27</v>
      </c>
      <c r="I106" s="37" t="s">
        <v>28</v>
      </c>
      <c r="J106" s="37">
        <v>1759</v>
      </c>
      <c r="K106" s="53">
        <v>1759</v>
      </c>
      <c r="L106" s="24">
        <f t="shared" si="9"/>
        <v>1</v>
      </c>
      <c r="M106" s="24">
        <f t="shared" si="10"/>
        <v>1</v>
      </c>
      <c r="N106" s="37" t="s">
        <v>25</v>
      </c>
      <c r="O106" s="37" t="s">
        <v>25</v>
      </c>
      <c r="P106" s="37">
        <v>0</v>
      </c>
      <c r="Q106" s="37">
        <v>0</v>
      </c>
      <c r="R106" s="37" t="s">
        <v>171</v>
      </c>
      <c r="S106" s="37"/>
    </row>
    <row r="107" spans="1:19" x14ac:dyDescent="0.3">
      <c r="A107" s="41">
        <v>91</v>
      </c>
      <c r="B107" s="37" t="s">
        <v>170</v>
      </c>
      <c r="C107" s="37" t="s">
        <v>138</v>
      </c>
      <c r="D107" s="37" t="s">
        <v>139</v>
      </c>
      <c r="E107" s="37" t="s">
        <v>22</v>
      </c>
      <c r="F107" s="42">
        <v>45291</v>
      </c>
      <c r="G107" s="37">
        <v>2023</v>
      </c>
      <c r="H107" s="37" t="s">
        <v>27</v>
      </c>
      <c r="I107" s="39" t="s">
        <v>32</v>
      </c>
      <c r="J107" s="37">
        <v>4314</v>
      </c>
      <c r="K107" s="54">
        <v>4314</v>
      </c>
      <c r="L107" s="24">
        <f t="shared" si="9"/>
        <v>1</v>
      </c>
      <c r="M107" s="24">
        <f t="shared" si="10"/>
        <v>1</v>
      </c>
      <c r="N107" s="37" t="s">
        <v>25</v>
      </c>
      <c r="O107" s="37" t="s">
        <v>25</v>
      </c>
      <c r="P107" s="40">
        <v>0</v>
      </c>
      <c r="Q107" s="40">
        <v>0</v>
      </c>
      <c r="R107" s="37" t="s">
        <v>172</v>
      </c>
      <c r="S107" s="37"/>
    </row>
    <row r="108" spans="1:19" x14ac:dyDescent="0.3">
      <c r="A108" s="36">
        <v>91</v>
      </c>
      <c r="B108" s="37" t="s">
        <v>170</v>
      </c>
      <c r="C108" s="37" t="s">
        <v>138</v>
      </c>
      <c r="D108" s="37" t="s">
        <v>139</v>
      </c>
      <c r="E108" s="37" t="s">
        <v>22</v>
      </c>
      <c r="F108" s="42">
        <v>45657</v>
      </c>
      <c r="G108" s="37">
        <v>2024</v>
      </c>
      <c r="H108" s="37" t="s">
        <v>27</v>
      </c>
      <c r="I108" s="39" t="s">
        <v>36</v>
      </c>
      <c r="J108" s="37">
        <v>5348</v>
      </c>
      <c r="K108" s="54">
        <v>5348</v>
      </c>
      <c r="L108" s="24">
        <f t="shared" si="9"/>
        <v>1</v>
      </c>
      <c r="M108" s="24">
        <f t="shared" si="10"/>
        <v>1</v>
      </c>
      <c r="N108" s="37" t="s">
        <v>25</v>
      </c>
      <c r="O108" s="37" t="s">
        <v>25</v>
      </c>
      <c r="P108" s="40">
        <v>0</v>
      </c>
      <c r="Q108" s="40">
        <v>0</v>
      </c>
      <c r="R108" s="37" t="s">
        <v>173</v>
      </c>
      <c r="S108" s="37"/>
    </row>
    <row r="109" spans="1:19" x14ac:dyDescent="0.3">
      <c r="A109" s="37">
        <v>92</v>
      </c>
      <c r="B109" s="37" t="s">
        <v>174</v>
      </c>
      <c r="C109" s="37" t="s">
        <v>138</v>
      </c>
      <c r="D109" s="37" t="s">
        <v>139</v>
      </c>
      <c r="E109" s="37" t="s">
        <v>22</v>
      </c>
      <c r="F109" s="42">
        <v>44926</v>
      </c>
      <c r="G109" s="37">
        <v>2022</v>
      </c>
      <c r="H109" s="37" t="s">
        <v>27</v>
      </c>
      <c r="I109" s="37" t="s">
        <v>28</v>
      </c>
      <c r="J109" s="37">
        <v>100</v>
      </c>
      <c r="K109" s="53">
        <v>100</v>
      </c>
      <c r="L109" s="24">
        <f>IFERROR(IF(OR(J109=0,K109=""),"",IF(E109="Positivo",MIN(MAX(K109/J109,0),1),MIN(MAX(J109/K109,0),1))),"")</f>
        <v>1</v>
      </c>
      <c r="M109" s="24">
        <f>IFERROR(IF(OR(J109=0,K109=""),"",IF(E109="Positivo",MIN(MAX(K109/J109,0),1),MIN(MAX(J109/K109,0),1))),"")</f>
        <v>1</v>
      </c>
      <c r="N109" s="37" t="s">
        <v>25</v>
      </c>
      <c r="O109" s="37" t="s">
        <v>25</v>
      </c>
      <c r="P109" s="37">
        <v>0</v>
      </c>
      <c r="Q109" s="37">
        <v>0</v>
      </c>
      <c r="R109" s="37" t="s">
        <v>175</v>
      </c>
      <c r="S109" s="37"/>
    </row>
    <row r="110" spans="1:19" x14ac:dyDescent="0.3">
      <c r="A110" s="41">
        <v>92</v>
      </c>
      <c r="B110" s="37" t="s">
        <v>174</v>
      </c>
      <c r="C110" s="37" t="s">
        <v>138</v>
      </c>
      <c r="D110" s="37" t="s">
        <v>139</v>
      </c>
      <c r="E110" s="37" t="s">
        <v>22</v>
      </c>
      <c r="F110" s="42">
        <v>45291</v>
      </c>
      <c r="G110" s="37">
        <v>2023</v>
      </c>
      <c r="H110" s="37" t="s">
        <v>27</v>
      </c>
      <c r="I110" s="39" t="s">
        <v>32</v>
      </c>
      <c r="J110" s="37">
        <v>100</v>
      </c>
      <c r="K110" s="54">
        <v>100</v>
      </c>
      <c r="L110" s="24">
        <f>IFERROR(IF(OR(J110=0,K110=""),"",IF(E110="Positivo",MIN(MAX(K110/J110,0),1),MIN(MAX(J110/K110,0),1))),"")</f>
        <v>1</v>
      </c>
      <c r="M110" s="24">
        <f>IFERROR(IF(OR(J110=0,K110=""),"",IF(E110="Positivo",MIN(MAX(K110/J110,0),1),MIN(MAX(J110/K110,0),1))),"")</f>
        <v>1</v>
      </c>
      <c r="N110" s="37" t="s">
        <v>25</v>
      </c>
      <c r="O110" s="37" t="s">
        <v>25</v>
      </c>
      <c r="P110" s="40">
        <v>0</v>
      </c>
      <c r="Q110" s="40">
        <v>0</v>
      </c>
      <c r="R110" s="37" t="s">
        <v>176</v>
      </c>
      <c r="S110" s="37"/>
    </row>
    <row r="111" spans="1:19" x14ac:dyDescent="0.3">
      <c r="A111" s="36">
        <v>92</v>
      </c>
      <c r="B111" s="37" t="s">
        <v>174</v>
      </c>
      <c r="C111" s="37" t="s">
        <v>138</v>
      </c>
      <c r="D111" s="37" t="s">
        <v>139</v>
      </c>
      <c r="E111" s="37" t="s">
        <v>22</v>
      </c>
      <c r="F111" s="42">
        <v>45657</v>
      </c>
      <c r="G111" s="37">
        <v>2024</v>
      </c>
      <c r="H111" s="37" t="s">
        <v>27</v>
      </c>
      <c r="I111" s="39" t="s">
        <v>36</v>
      </c>
      <c r="J111" s="37">
        <v>98</v>
      </c>
      <c r="K111" s="54">
        <v>100</v>
      </c>
      <c r="L111" s="24">
        <f>IFERROR(IF(OR(J111=0,K111=""),"",IF(E111="Positivo",MIN(MAX(K111/J111,0),1),MIN(MAX(J111/K111,0),1))),"")</f>
        <v>1</v>
      </c>
      <c r="M111" s="24">
        <f>IFERROR(IF(OR(J111=0,K111=""),"",IF(E111="Positivo",MIN(MAX(K111/J111,0),1),MIN(MAX(J111/K111,0),1))),"")</f>
        <v>1</v>
      </c>
      <c r="N111" s="37" t="s">
        <v>25</v>
      </c>
      <c r="O111" s="37" t="s">
        <v>25</v>
      </c>
      <c r="P111" s="40">
        <v>0</v>
      </c>
      <c r="Q111" s="40">
        <v>0</v>
      </c>
      <c r="R111" s="37" t="s">
        <v>177</v>
      </c>
      <c r="S111" s="37"/>
    </row>
    <row r="112" spans="1:19" x14ac:dyDescent="0.3">
      <c r="A112" s="37">
        <v>94</v>
      </c>
      <c r="B112" s="37" t="s">
        <v>178</v>
      </c>
      <c r="C112" s="37" t="s">
        <v>138</v>
      </c>
      <c r="D112" s="37" t="s">
        <v>139</v>
      </c>
      <c r="E112" s="37" t="s">
        <v>22</v>
      </c>
      <c r="F112" s="42">
        <v>44926</v>
      </c>
      <c r="G112" s="37">
        <v>2022</v>
      </c>
      <c r="H112" s="37" t="s">
        <v>27</v>
      </c>
      <c r="I112" s="37" t="s">
        <v>28</v>
      </c>
      <c r="J112" s="37">
        <v>100</v>
      </c>
      <c r="K112" s="53">
        <v>100</v>
      </c>
      <c r="L112" s="24">
        <f t="shared" ref="L112:L124" si="11">IFERROR(IF(OR(J112=0,K112=""),"",IF(E112="Positivo",MIN(MAX(K112/J112,0),1.3),MIN(MAX(J112/K112,0),1.3))),"")</f>
        <v>1</v>
      </c>
      <c r="M112" s="24">
        <f t="shared" ref="M112:M124" si="12">IFERROR(IF(OR(J112=0,K112=""),"",IF(E112="Positivo",MAX(K112/J112,0),MAX(J112/K112,0))),"")</f>
        <v>1</v>
      </c>
      <c r="N112" s="37" t="s">
        <v>25</v>
      </c>
      <c r="O112" s="37" t="s">
        <v>25</v>
      </c>
      <c r="P112" s="37">
        <v>0</v>
      </c>
      <c r="Q112" s="37">
        <v>0</v>
      </c>
      <c r="R112" s="37" t="s">
        <v>179</v>
      </c>
      <c r="S112" s="37"/>
    </row>
    <row r="113" spans="1:19" x14ac:dyDescent="0.3">
      <c r="A113" s="41">
        <v>94</v>
      </c>
      <c r="B113" s="37" t="s">
        <v>178</v>
      </c>
      <c r="C113" s="37" t="s">
        <v>138</v>
      </c>
      <c r="D113" s="37" t="s">
        <v>139</v>
      </c>
      <c r="E113" s="37" t="s">
        <v>22</v>
      </c>
      <c r="F113" s="42">
        <v>45291</v>
      </c>
      <c r="G113" s="37">
        <v>2023</v>
      </c>
      <c r="H113" s="37" t="s">
        <v>27</v>
      </c>
      <c r="I113" s="39" t="s">
        <v>32</v>
      </c>
      <c r="J113" s="37">
        <v>100</v>
      </c>
      <c r="K113" s="54">
        <v>100</v>
      </c>
      <c r="L113" s="24">
        <f t="shared" si="11"/>
        <v>1</v>
      </c>
      <c r="M113" s="24">
        <f t="shared" si="12"/>
        <v>1</v>
      </c>
      <c r="N113" s="37" t="s">
        <v>25</v>
      </c>
      <c r="O113" s="37" t="s">
        <v>25</v>
      </c>
      <c r="P113" s="40">
        <v>0</v>
      </c>
      <c r="Q113" s="40">
        <v>0</v>
      </c>
      <c r="R113" s="37" t="s">
        <v>180</v>
      </c>
      <c r="S113" s="37"/>
    </row>
    <row r="114" spans="1:19" x14ac:dyDescent="0.3">
      <c r="A114" s="36">
        <v>94</v>
      </c>
      <c r="B114" s="37" t="s">
        <v>178</v>
      </c>
      <c r="C114" s="37" t="s">
        <v>138</v>
      </c>
      <c r="D114" s="37" t="s">
        <v>139</v>
      </c>
      <c r="E114" s="37" t="s">
        <v>22</v>
      </c>
      <c r="F114" s="42">
        <v>45657</v>
      </c>
      <c r="G114" s="37">
        <v>2024</v>
      </c>
      <c r="H114" s="37" t="s">
        <v>27</v>
      </c>
      <c r="I114" s="39" t="s">
        <v>36</v>
      </c>
      <c r="J114" s="37">
        <v>100</v>
      </c>
      <c r="K114" s="54">
        <v>100</v>
      </c>
      <c r="L114" s="24">
        <f t="shared" si="11"/>
        <v>1</v>
      </c>
      <c r="M114" s="24">
        <f t="shared" si="12"/>
        <v>1</v>
      </c>
      <c r="N114" s="37" t="s">
        <v>25</v>
      </c>
      <c r="O114" s="37" t="s">
        <v>25</v>
      </c>
      <c r="P114" s="40">
        <v>0</v>
      </c>
      <c r="Q114" s="40">
        <v>0</v>
      </c>
      <c r="R114" s="37" t="s">
        <v>181</v>
      </c>
      <c r="S114" s="37"/>
    </row>
    <row r="115" spans="1:19" x14ac:dyDescent="0.3">
      <c r="A115" s="37">
        <v>95</v>
      </c>
      <c r="B115" s="37" t="s">
        <v>182</v>
      </c>
      <c r="C115" s="37" t="s">
        <v>138</v>
      </c>
      <c r="D115" s="37" t="s">
        <v>21</v>
      </c>
      <c r="E115" s="37" t="s">
        <v>22</v>
      </c>
      <c r="F115" s="42">
        <v>44742</v>
      </c>
      <c r="G115" s="37">
        <v>2022</v>
      </c>
      <c r="H115" s="37" t="s">
        <v>23</v>
      </c>
      <c r="I115" s="37" t="s">
        <v>24</v>
      </c>
      <c r="J115" s="37">
        <v>22</v>
      </c>
      <c r="K115" s="53">
        <v>22</v>
      </c>
      <c r="L115" s="24">
        <f t="shared" si="11"/>
        <v>1</v>
      </c>
      <c r="M115" s="24">
        <f t="shared" si="12"/>
        <v>1</v>
      </c>
      <c r="N115" s="37" t="s">
        <v>25</v>
      </c>
      <c r="O115" s="37" t="s">
        <v>25</v>
      </c>
      <c r="P115" s="37">
        <v>0</v>
      </c>
      <c r="Q115" s="37">
        <v>0</v>
      </c>
      <c r="R115" s="37" t="s">
        <v>183</v>
      </c>
      <c r="S115" s="37"/>
    </row>
    <row r="116" spans="1:19" x14ac:dyDescent="0.3">
      <c r="A116" s="37">
        <v>95</v>
      </c>
      <c r="B116" s="37" t="s">
        <v>182</v>
      </c>
      <c r="C116" s="37" t="s">
        <v>138</v>
      </c>
      <c r="D116" s="37" t="s">
        <v>21</v>
      </c>
      <c r="E116" s="37" t="s">
        <v>22</v>
      </c>
      <c r="F116" s="42">
        <v>44926</v>
      </c>
      <c r="G116" s="37">
        <v>2022</v>
      </c>
      <c r="H116" s="37" t="s">
        <v>27</v>
      </c>
      <c r="I116" s="37" t="s">
        <v>28</v>
      </c>
      <c r="J116" s="37">
        <v>54</v>
      </c>
      <c r="K116" s="37">
        <v>54</v>
      </c>
      <c r="L116" s="24">
        <f t="shared" si="11"/>
        <v>1</v>
      </c>
      <c r="M116" s="24">
        <f t="shared" si="12"/>
        <v>1</v>
      </c>
      <c r="N116" s="37" t="s">
        <v>25</v>
      </c>
      <c r="O116" s="37" t="s">
        <v>25</v>
      </c>
      <c r="P116" s="37">
        <v>0</v>
      </c>
      <c r="Q116" s="37">
        <v>0</v>
      </c>
      <c r="R116" s="37" t="s">
        <v>184</v>
      </c>
      <c r="S116" s="37"/>
    </row>
    <row r="117" spans="1:19" x14ac:dyDescent="0.3">
      <c r="A117" s="36">
        <v>95</v>
      </c>
      <c r="B117" s="37" t="s">
        <v>182</v>
      </c>
      <c r="C117" s="37" t="s">
        <v>138</v>
      </c>
      <c r="D117" s="37" t="s">
        <v>21</v>
      </c>
      <c r="E117" s="37" t="s">
        <v>22</v>
      </c>
      <c r="F117" s="38">
        <v>45107</v>
      </c>
      <c r="G117" s="37">
        <v>2023</v>
      </c>
      <c r="H117" s="37" t="s">
        <v>23</v>
      </c>
      <c r="I117" s="39" t="s">
        <v>30</v>
      </c>
      <c r="J117" s="37">
        <v>38</v>
      </c>
      <c r="K117" s="43">
        <v>38</v>
      </c>
      <c r="L117" s="24">
        <f t="shared" si="11"/>
        <v>1</v>
      </c>
      <c r="M117" s="24">
        <f t="shared" si="12"/>
        <v>1</v>
      </c>
      <c r="N117" s="37" t="s">
        <v>25</v>
      </c>
      <c r="O117" s="37" t="s">
        <v>25</v>
      </c>
      <c r="P117" s="40">
        <v>0</v>
      </c>
      <c r="Q117" s="40">
        <v>0</v>
      </c>
      <c r="R117" s="37" t="s">
        <v>185</v>
      </c>
      <c r="S117" s="37"/>
    </row>
    <row r="118" spans="1:19" x14ac:dyDescent="0.3">
      <c r="A118" s="41">
        <v>95</v>
      </c>
      <c r="B118" s="37" t="s">
        <v>182</v>
      </c>
      <c r="C118" s="37" t="s">
        <v>138</v>
      </c>
      <c r="D118" s="37" t="s">
        <v>21</v>
      </c>
      <c r="E118" s="37" t="s">
        <v>22</v>
      </c>
      <c r="F118" s="42">
        <v>45291</v>
      </c>
      <c r="G118" s="37">
        <v>2023</v>
      </c>
      <c r="H118" s="37" t="s">
        <v>27</v>
      </c>
      <c r="I118" s="39" t="s">
        <v>32</v>
      </c>
      <c r="J118" s="37">
        <v>70</v>
      </c>
      <c r="K118" s="54">
        <v>70</v>
      </c>
      <c r="L118" s="24">
        <f t="shared" si="11"/>
        <v>1</v>
      </c>
      <c r="M118" s="24">
        <f t="shared" si="12"/>
        <v>1</v>
      </c>
      <c r="N118" s="37" t="s">
        <v>25</v>
      </c>
      <c r="O118" s="37" t="s">
        <v>25</v>
      </c>
      <c r="P118" s="40">
        <v>0</v>
      </c>
      <c r="Q118" s="40">
        <v>0</v>
      </c>
      <c r="R118" s="37" t="s">
        <v>186</v>
      </c>
      <c r="S118" s="37"/>
    </row>
    <row r="119" spans="1:19" x14ac:dyDescent="0.3">
      <c r="A119" s="37">
        <v>95</v>
      </c>
      <c r="B119" s="37" t="s">
        <v>182</v>
      </c>
      <c r="C119" s="37" t="s">
        <v>138</v>
      </c>
      <c r="D119" s="37" t="s">
        <v>21</v>
      </c>
      <c r="E119" s="37" t="s">
        <v>22</v>
      </c>
      <c r="F119" s="42">
        <v>45473</v>
      </c>
      <c r="G119" s="37">
        <v>2024</v>
      </c>
      <c r="H119" s="37" t="s">
        <v>23</v>
      </c>
      <c r="I119" s="39" t="s">
        <v>34</v>
      </c>
      <c r="J119" s="37">
        <v>49</v>
      </c>
      <c r="K119" s="53">
        <v>49</v>
      </c>
      <c r="L119" s="24">
        <f t="shared" si="11"/>
        <v>1</v>
      </c>
      <c r="M119" s="24">
        <f t="shared" si="12"/>
        <v>1</v>
      </c>
      <c r="N119" s="37" t="s">
        <v>25</v>
      </c>
      <c r="O119" s="37" t="s">
        <v>25</v>
      </c>
      <c r="P119" s="37">
        <v>0</v>
      </c>
      <c r="Q119" s="37">
        <v>0</v>
      </c>
      <c r="R119" s="37" t="s">
        <v>187</v>
      </c>
      <c r="S119" s="37"/>
    </row>
    <row r="120" spans="1:19" x14ac:dyDescent="0.3">
      <c r="A120" s="36">
        <v>95</v>
      </c>
      <c r="B120" s="37" t="s">
        <v>182</v>
      </c>
      <c r="C120" s="37" t="s">
        <v>138</v>
      </c>
      <c r="D120" s="37" t="s">
        <v>21</v>
      </c>
      <c r="E120" s="37" t="s">
        <v>22</v>
      </c>
      <c r="F120" s="42">
        <v>45657</v>
      </c>
      <c r="G120" s="37">
        <v>2024</v>
      </c>
      <c r="H120" s="37" t="s">
        <v>27</v>
      </c>
      <c r="I120" s="39" t="s">
        <v>36</v>
      </c>
      <c r="J120" s="37">
        <v>34</v>
      </c>
      <c r="K120" s="54">
        <v>34</v>
      </c>
      <c r="L120" s="24">
        <f t="shared" si="11"/>
        <v>1</v>
      </c>
      <c r="M120" s="24">
        <f t="shared" si="12"/>
        <v>1</v>
      </c>
      <c r="N120" s="37" t="s">
        <v>25</v>
      </c>
      <c r="O120" s="37" t="s">
        <v>25</v>
      </c>
      <c r="P120" s="40">
        <v>0</v>
      </c>
      <c r="Q120" s="40">
        <v>0</v>
      </c>
      <c r="R120" s="37" t="s">
        <v>188</v>
      </c>
      <c r="S120" s="37"/>
    </row>
    <row r="121" spans="1:19" x14ac:dyDescent="0.3">
      <c r="A121" s="37">
        <v>96</v>
      </c>
      <c r="B121" s="12" t="s">
        <v>189</v>
      </c>
      <c r="C121" s="37" t="s">
        <v>190</v>
      </c>
      <c r="D121" s="37" t="s">
        <v>21</v>
      </c>
      <c r="E121" s="37" t="s">
        <v>22</v>
      </c>
      <c r="F121" s="42">
        <v>44926</v>
      </c>
      <c r="G121" s="37">
        <v>2022</v>
      </c>
      <c r="H121" s="37" t="s">
        <v>27</v>
      </c>
      <c r="I121" s="39" t="s">
        <v>28</v>
      </c>
      <c r="J121" s="37">
        <v>509</v>
      </c>
      <c r="K121" s="53">
        <v>566</v>
      </c>
      <c r="L121" s="24">
        <f t="shared" si="11"/>
        <v>1.111984282907662</v>
      </c>
      <c r="M121" s="24">
        <f t="shared" si="12"/>
        <v>1.111984282907662</v>
      </c>
      <c r="N121" s="37" t="s">
        <v>25</v>
      </c>
      <c r="O121" s="37" t="s">
        <v>25</v>
      </c>
      <c r="P121" s="37">
        <v>0</v>
      </c>
      <c r="Q121" s="37">
        <v>0</v>
      </c>
      <c r="R121" s="37" t="s">
        <v>191</v>
      </c>
      <c r="S121" s="37"/>
    </row>
    <row r="122" spans="1:19" s="2" customFormat="1" x14ac:dyDescent="0.3">
      <c r="A122" s="37">
        <v>100</v>
      </c>
      <c r="B122" s="37" t="s">
        <v>192</v>
      </c>
      <c r="C122" s="37" t="s">
        <v>138</v>
      </c>
      <c r="D122" s="37" t="s">
        <v>139</v>
      </c>
      <c r="E122" s="37" t="s">
        <v>22</v>
      </c>
      <c r="F122" s="42">
        <v>44926</v>
      </c>
      <c r="G122" s="37">
        <v>2022</v>
      </c>
      <c r="H122" s="37" t="s">
        <v>27</v>
      </c>
      <c r="I122" s="37" t="s">
        <v>28</v>
      </c>
      <c r="J122" s="53">
        <v>1</v>
      </c>
      <c r="K122" s="53">
        <v>98.3</v>
      </c>
      <c r="L122" s="24">
        <f t="shared" si="11"/>
        <v>1.3</v>
      </c>
      <c r="M122" s="24">
        <f t="shared" si="12"/>
        <v>98.3</v>
      </c>
      <c r="N122" s="53" t="s">
        <v>25</v>
      </c>
      <c r="O122" s="53" t="s">
        <v>25</v>
      </c>
      <c r="P122" s="37">
        <v>0</v>
      </c>
      <c r="Q122" s="37">
        <v>0</v>
      </c>
      <c r="R122" s="37" t="s">
        <v>193</v>
      </c>
      <c r="S122" s="37"/>
    </row>
    <row r="123" spans="1:19" s="2" customFormat="1" x14ac:dyDescent="0.3">
      <c r="A123" s="41">
        <v>100</v>
      </c>
      <c r="B123" s="37" t="s">
        <v>192</v>
      </c>
      <c r="C123" s="37" t="s">
        <v>138</v>
      </c>
      <c r="D123" s="37" t="s">
        <v>139</v>
      </c>
      <c r="E123" s="37" t="s">
        <v>22</v>
      </c>
      <c r="F123" s="42">
        <v>45291</v>
      </c>
      <c r="G123" s="37">
        <v>2023</v>
      </c>
      <c r="H123" s="37" t="s">
        <v>27</v>
      </c>
      <c r="I123" s="39" t="s">
        <v>32</v>
      </c>
      <c r="J123" s="53">
        <v>100</v>
      </c>
      <c r="K123" s="54">
        <v>99</v>
      </c>
      <c r="L123" s="24">
        <f t="shared" si="11"/>
        <v>0.99</v>
      </c>
      <c r="M123" s="24">
        <f t="shared" si="12"/>
        <v>0.99</v>
      </c>
      <c r="N123" s="53" t="s">
        <v>25</v>
      </c>
      <c r="O123" s="53" t="s">
        <v>25</v>
      </c>
      <c r="P123" s="40">
        <v>0</v>
      </c>
      <c r="Q123" s="40">
        <v>0</v>
      </c>
      <c r="R123" s="37" t="s">
        <v>194</v>
      </c>
      <c r="S123" s="37"/>
    </row>
    <row r="124" spans="1:19" s="2" customFormat="1" x14ac:dyDescent="0.3">
      <c r="A124" s="36">
        <v>100</v>
      </c>
      <c r="B124" s="37" t="s">
        <v>192</v>
      </c>
      <c r="C124" s="37" t="s">
        <v>138</v>
      </c>
      <c r="D124" s="37" t="s">
        <v>139</v>
      </c>
      <c r="E124" s="37" t="s">
        <v>22</v>
      </c>
      <c r="F124" s="42">
        <v>45657</v>
      </c>
      <c r="G124" s="37">
        <v>2024</v>
      </c>
      <c r="H124" s="37" t="s">
        <v>27</v>
      </c>
      <c r="I124" s="39" t="s">
        <v>36</v>
      </c>
      <c r="J124" s="53">
        <v>100</v>
      </c>
      <c r="K124" s="54">
        <v>99</v>
      </c>
      <c r="L124" s="24">
        <f t="shared" si="11"/>
        <v>0.99</v>
      </c>
      <c r="M124" s="24">
        <f t="shared" si="12"/>
        <v>0.99</v>
      </c>
      <c r="N124" s="53" t="s">
        <v>25</v>
      </c>
      <c r="O124" s="53" t="s">
        <v>25</v>
      </c>
      <c r="P124" s="40">
        <v>0</v>
      </c>
      <c r="Q124" s="40">
        <v>0</v>
      </c>
      <c r="R124" s="37" t="s">
        <v>195</v>
      </c>
      <c r="S124" s="37"/>
    </row>
    <row r="125" spans="1:19" s="2" customFormat="1" x14ac:dyDescent="0.3">
      <c r="A125" s="37">
        <v>104</v>
      </c>
      <c r="B125" s="37" t="s">
        <v>196</v>
      </c>
      <c r="C125" s="37" t="s">
        <v>138</v>
      </c>
      <c r="D125" s="37" t="s">
        <v>139</v>
      </c>
      <c r="E125" s="37" t="s">
        <v>56</v>
      </c>
      <c r="F125" s="42">
        <v>44926</v>
      </c>
      <c r="G125" s="37">
        <v>2022</v>
      </c>
      <c r="H125" s="37" t="s">
        <v>27</v>
      </c>
      <c r="I125" s="37" t="s">
        <v>28</v>
      </c>
      <c r="J125" s="53">
        <v>2.14</v>
      </c>
      <c r="K125" s="53">
        <v>0.37174721189590998</v>
      </c>
      <c r="L125" s="24">
        <f t="shared" ref="L125:L130" si="13">IFERROR(IF(OR(J125=0,K125=""),"",IF(E125="Positivo",MIN(MAX(K125/J125,0),1),MIN(MAX(J125/K125,0),1))),"")</f>
        <v>1</v>
      </c>
      <c r="M125" s="24">
        <f t="shared" ref="M125:M130" si="14">IFERROR(IF(OR(J125=0,K125=""),"",IF(E125="Positivo",MIN(MAX(K125/J125,0),1),MIN(MAX(J125/K125,0),1))),"")</f>
        <v>1</v>
      </c>
      <c r="N125" s="53" t="s">
        <v>197</v>
      </c>
      <c r="O125" s="53" t="s">
        <v>197</v>
      </c>
      <c r="P125" s="37">
        <v>1</v>
      </c>
      <c r="Q125" s="37">
        <v>2</v>
      </c>
      <c r="R125" s="37" t="s">
        <v>198</v>
      </c>
      <c r="S125" s="37"/>
    </row>
    <row r="126" spans="1:19" s="2" customFormat="1" x14ac:dyDescent="0.3">
      <c r="A126" s="41">
        <v>104</v>
      </c>
      <c r="B126" s="37" t="s">
        <v>196</v>
      </c>
      <c r="C126" s="37" t="s">
        <v>138</v>
      </c>
      <c r="D126" s="37" t="s">
        <v>139</v>
      </c>
      <c r="E126" s="37" t="s">
        <v>56</v>
      </c>
      <c r="F126" s="42">
        <v>45291</v>
      </c>
      <c r="G126" s="37">
        <v>2023</v>
      </c>
      <c r="H126" s="37" t="s">
        <v>27</v>
      </c>
      <c r="I126" s="39" t="s">
        <v>32</v>
      </c>
      <c r="J126" s="53">
        <v>2.14</v>
      </c>
      <c r="K126" s="54">
        <v>0.47</v>
      </c>
      <c r="L126" s="24">
        <f t="shared" si="13"/>
        <v>1</v>
      </c>
      <c r="M126" s="24">
        <f t="shared" si="14"/>
        <v>1</v>
      </c>
      <c r="N126" s="53" t="s">
        <v>197</v>
      </c>
      <c r="O126" s="53" t="s">
        <v>197</v>
      </c>
      <c r="P126" s="40">
        <v>2</v>
      </c>
      <c r="Q126" s="40">
        <v>2</v>
      </c>
      <c r="R126" s="37" t="s">
        <v>199</v>
      </c>
      <c r="S126" s="37"/>
    </row>
    <row r="127" spans="1:19" s="2" customFormat="1" x14ac:dyDescent="0.3">
      <c r="A127" s="36">
        <v>104</v>
      </c>
      <c r="B127" s="37" t="s">
        <v>196</v>
      </c>
      <c r="C127" s="37" t="s">
        <v>138</v>
      </c>
      <c r="D127" s="37" t="s">
        <v>139</v>
      </c>
      <c r="E127" s="37" t="s">
        <v>56</v>
      </c>
      <c r="F127" s="42">
        <v>45657</v>
      </c>
      <c r="G127" s="37">
        <v>2024</v>
      </c>
      <c r="H127" s="37" t="s">
        <v>27</v>
      </c>
      <c r="I127" s="39" t="s">
        <v>36</v>
      </c>
      <c r="J127" s="53">
        <v>1.2</v>
      </c>
      <c r="K127" s="54">
        <v>0.11</v>
      </c>
      <c r="L127" s="24">
        <f t="shared" si="13"/>
        <v>1</v>
      </c>
      <c r="M127" s="24">
        <f t="shared" si="14"/>
        <v>1</v>
      </c>
      <c r="N127" s="53" t="s">
        <v>197</v>
      </c>
      <c r="O127" s="53" t="s">
        <v>197</v>
      </c>
      <c r="P127" s="40">
        <v>2</v>
      </c>
      <c r="Q127" s="40">
        <v>2</v>
      </c>
      <c r="R127" s="37" t="s">
        <v>200</v>
      </c>
      <c r="S127" s="37"/>
    </row>
    <row r="128" spans="1:19" s="2" customFormat="1" x14ac:dyDescent="0.3">
      <c r="A128" s="37">
        <v>106</v>
      </c>
      <c r="B128" s="37" t="s">
        <v>201</v>
      </c>
      <c r="C128" s="37" t="s">
        <v>138</v>
      </c>
      <c r="D128" s="37" t="s">
        <v>139</v>
      </c>
      <c r="E128" s="37" t="s">
        <v>56</v>
      </c>
      <c r="F128" s="42">
        <v>44926</v>
      </c>
      <c r="G128" s="37">
        <v>2022</v>
      </c>
      <c r="H128" s="37" t="s">
        <v>27</v>
      </c>
      <c r="I128" s="37" t="s">
        <v>28</v>
      </c>
      <c r="J128" s="53">
        <v>0</v>
      </c>
      <c r="K128" s="53">
        <v>0</v>
      </c>
      <c r="L128" s="24" t="str">
        <f t="shared" si="13"/>
        <v/>
      </c>
      <c r="M128" s="24" t="str">
        <f t="shared" si="14"/>
        <v/>
      </c>
      <c r="N128" s="53" t="s">
        <v>197</v>
      </c>
      <c r="O128" s="53" t="s">
        <v>197</v>
      </c>
      <c r="P128" s="37">
        <v>0</v>
      </c>
      <c r="Q128" s="37">
        <v>0</v>
      </c>
      <c r="R128" s="37" t="s">
        <v>202</v>
      </c>
      <c r="S128" s="37"/>
    </row>
    <row r="129" spans="1:19" x14ac:dyDescent="0.3">
      <c r="A129" s="41">
        <v>106</v>
      </c>
      <c r="B129" s="37" t="s">
        <v>201</v>
      </c>
      <c r="C129" s="37" t="s">
        <v>138</v>
      </c>
      <c r="D129" s="37" t="s">
        <v>139</v>
      </c>
      <c r="E129" s="37" t="s">
        <v>56</v>
      </c>
      <c r="F129" s="42">
        <v>45291</v>
      </c>
      <c r="G129" s="37">
        <v>2023</v>
      </c>
      <c r="H129" s="37" t="s">
        <v>27</v>
      </c>
      <c r="I129" s="39" t="s">
        <v>32</v>
      </c>
      <c r="J129" s="53">
        <v>0</v>
      </c>
      <c r="K129" s="54">
        <v>0</v>
      </c>
      <c r="L129" s="24" t="str">
        <f t="shared" si="13"/>
        <v/>
      </c>
      <c r="M129" s="24" t="str">
        <f t="shared" si="14"/>
        <v/>
      </c>
      <c r="N129" s="53" t="s">
        <v>203</v>
      </c>
      <c r="O129" s="53" t="s">
        <v>203</v>
      </c>
      <c r="P129" s="40">
        <v>0</v>
      </c>
      <c r="Q129" s="40">
        <v>0</v>
      </c>
      <c r="R129" s="37" t="s">
        <v>204</v>
      </c>
      <c r="S129" s="37"/>
    </row>
    <row r="130" spans="1:19" x14ac:dyDescent="0.3">
      <c r="A130" s="36">
        <v>106</v>
      </c>
      <c r="B130" s="37" t="s">
        <v>201</v>
      </c>
      <c r="C130" s="37" t="s">
        <v>138</v>
      </c>
      <c r="D130" s="37" t="s">
        <v>139</v>
      </c>
      <c r="E130" s="37" t="s">
        <v>56</v>
      </c>
      <c r="F130" s="42">
        <v>45657</v>
      </c>
      <c r="G130" s="37">
        <v>2024</v>
      </c>
      <c r="H130" s="37" t="s">
        <v>27</v>
      </c>
      <c r="I130" s="39" t="s">
        <v>36</v>
      </c>
      <c r="J130" s="53">
        <v>0</v>
      </c>
      <c r="K130" s="54">
        <v>0</v>
      </c>
      <c r="L130" s="24" t="str">
        <f t="shared" si="13"/>
        <v/>
      </c>
      <c r="M130" s="24" t="str">
        <f t="shared" si="14"/>
        <v/>
      </c>
      <c r="N130" s="53" t="s">
        <v>203</v>
      </c>
      <c r="O130" s="53" t="s">
        <v>203</v>
      </c>
      <c r="P130" s="40">
        <v>0</v>
      </c>
      <c r="Q130" s="40">
        <v>0</v>
      </c>
      <c r="R130" s="37" t="s">
        <v>205</v>
      </c>
      <c r="S130" s="37"/>
    </row>
    <row r="131" spans="1:19" x14ac:dyDescent="0.3">
      <c r="A131" s="37">
        <v>109</v>
      </c>
      <c r="B131" s="37" t="s">
        <v>206</v>
      </c>
      <c r="C131" s="37" t="s">
        <v>207</v>
      </c>
      <c r="D131" s="37" t="s">
        <v>139</v>
      </c>
      <c r="E131" s="37" t="s">
        <v>22</v>
      </c>
      <c r="F131" s="42">
        <v>45230</v>
      </c>
      <c r="G131" s="37">
        <v>2023</v>
      </c>
      <c r="H131" s="37" t="s">
        <v>89</v>
      </c>
      <c r="I131" s="37" t="s">
        <v>32</v>
      </c>
      <c r="J131" s="53">
        <v>1</v>
      </c>
      <c r="K131" s="53">
        <v>0</v>
      </c>
      <c r="L131" s="24">
        <f t="shared" ref="L131:L162" si="15">IFERROR(IF(OR(J131=0,K131=""),"",IF(E131="Positivo",MIN(MAX(K131/J131,0),1.3),MIN(MAX(J131/K131,0),1.3))),"")</f>
        <v>0</v>
      </c>
      <c r="M131" s="24">
        <f t="shared" ref="M131:M162" si="16">IFERROR(IF(OR(J131=0,K131=""),"",IF(E131="Positivo",MAX(K131/J131,0),MAX(J131/K131,0))),"")</f>
        <v>0</v>
      </c>
      <c r="N131" s="53" t="s">
        <v>25</v>
      </c>
      <c r="O131" s="53" t="s">
        <v>25</v>
      </c>
      <c r="P131" s="37">
        <v>0</v>
      </c>
      <c r="Q131" s="37">
        <v>0</v>
      </c>
      <c r="R131" s="37" t="s">
        <v>208</v>
      </c>
      <c r="S131" s="37"/>
    </row>
    <row r="132" spans="1:19" x14ac:dyDescent="0.3">
      <c r="A132" s="37">
        <v>109</v>
      </c>
      <c r="B132" s="37" t="s">
        <v>206</v>
      </c>
      <c r="C132" s="37" t="s">
        <v>207</v>
      </c>
      <c r="D132" s="37" t="s">
        <v>139</v>
      </c>
      <c r="E132" s="37" t="s">
        <v>22</v>
      </c>
      <c r="F132" s="42">
        <v>45596</v>
      </c>
      <c r="G132" s="37">
        <v>2024</v>
      </c>
      <c r="H132" s="37" t="s">
        <v>89</v>
      </c>
      <c r="I132" s="37" t="s">
        <v>36</v>
      </c>
      <c r="J132" s="53">
        <v>1</v>
      </c>
      <c r="K132" s="53">
        <v>85</v>
      </c>
      <c r="L132" s="24">
        <f t="shared" si="15"/>
        <v>1.3</v>
      </c>
      <c r="M132" s="24">
        <f t="shared" si="16"/>
        <v>85</v>
      </c>
      <c r="N132" s="53" t="s">
        <v>25</v>
      </c>
      <c r="O132" s="53" t="s">
        <v>25</v>
      </c>
      <c r="P132" s="37">
        <v>0</v>
      </c>
      <c r="Q132" s="37">
        <v>0</v>
      </c>
      <c r="R132" s="37" t="s">
        <v>209</v>
      </c>
      <c r="S132" s="37"/>
    </row>
    <row r="133" spans="1:19" x14ac:dyDescent="0.3">
      <c r="A133" s="37">
        <v>110</v>
      </c>
      <c r="B133" s="37" t="s">
        <v>206</v>
      </c>
      <c r="C133" s="37" t="s">
        <v>210</v>
      </c>
      <c r="D133" s="37" t="s">
        <v>139</v>
      </c>
      <c r="E133" s="37" t="s">
        <v>22</v>
      </c>
      <c r="F133" s="42">
        <v>44865</v>
      </c>
      <c r="G133" s="37">
        <v>2022</v>
      </c>
      <c r="H133" s="37" t="s">
        <v>89</v>
      </c>
      <c r="I133" s="39" t="s">
        <v>28</v>
      </c>
      <c r="J133" s="37">
        <v>80</v>
      </c>
      <c r="K133" s="37">
        <v>73.401915113871596</v>
      </c>
      <c r="L133" s="55">
        <f t="shared" si="15"/>
        <v>0.9175239389233949</v>
      </c>
      <c r="M133" s="24">
        <f t="shared" si="16"/>
        <v>0.9175239389233949</v>
      </c>
      <c r="N133" s="37" t="s">
        <v>25</v>
      </c>
      <c r="O133" s="37" t="s">
        <v>25</v>
      </c>
      <c r="P133" s="37">
        <v>0</v>
      </c>
      <c r="Q133" s="37">
        <v>0</v>
      </c>
      <c r="R133" s="37" t="s">
        <v>211</v>
      </c>
      <c r="S133" s="37"/>
    </row>
    <row r="134" spans="1:19" x14ac:dyDescent="0.3">
      <c r="A134" s="36">
        <v>110</v>
      </c>
      <c r="B134" s="37" t="s">
        <v>206</v>
      </c>
      <c r="C134" s="37" t="s">
        <v>210</v>
      </c>
      <c r="D134" s="37" t="s">
        <v>139</v>
      </c>
      <c r="E134" s="37" t="s">
        <v>22</v>
      </c>
      <c r="F134" s="42">
        <v>45230</v>
      </c>
      <c r="G134" s="37">
        <v>2023</v>
      </c>
      <c r="H134" s="37" t="s">
        <v>89</v>
      </c>
      <c r="I134" s="39" t="s">
        <v>32</v>
      </c>
      <c r="J134" s="37">
        <v>80</v>
      </c>
      <c r="K134" s="43">
        <v>78</v>
      </c>
      <c r="L134" s="24">
        <f t="shared" si="15"/>
        <v>0.97499999999999998</v>
      </c>
      <c r="M134" s="24">
        <f t="shared" si="16"/>
        <v>0.97499999999999998</v>
      </c>
      <c r="N134" s="37" t="s">
        <v>25</v>
      </c>
      <c r="O134" s="37" t="s">
        <v>25</v>
      </c>
      <c r="P134" s="40">
        <v>0</v>
      </c>
      <c r="Q134" s="40">
        <v>0</v>
      </c>
      <c r="R134" s="37" t="s">
        <v>212</v>
      </c>
      <c r="S134" s="37"/>
    </row>
    <row r="135" spans="1:19" x14ac:dyDescent="0.3">
      <c r="A135" s="37">
        <v>110</v>
      </c>
      <c r="B135" s="37" t="s">
        <v>206</v>
      </c>
      <c r="C135" s="37" t="s">
        <v>210</v>
      </c>
      <c r="D135" s="37" t="s">
        <v>139</v>
      </c>
      <c r="E135" s="37" t="s">
        <v>22</v>
      </c>
      <c r="F135" s="42">
        <v>45291</v>
      </c>
      <c r="G135" s="37">
        <v>2023</v>
      </c>
      <c r="H135" s="37" t="s">
        <v>27</v>
      </c>
      <c r="I135" s="39" t="s">
        <v>32</v>
      </c>
      <c r="J135" s="37">
        <v>80</v>
      </c>
      <c r="K135" s="53">
        <v>78</v>
      </c>
      <c r="L135" s="24">
        <f t="shared" si="15"/>
        <v>0.97499999999999998</v>
      </c>
      <c r="M135" s="24">
        <f t="shared" si="16"/>
        <v>0.97499999999999998</v>
      </c>
      <c r="N135" s="37" t="s">
        <v>25</v>
      </c>
      <c r="O135" s="37" t="s">
        <v>25</v>
      </c>
      <c r="P135" s="37">
        <v>0</v>
      </c>
      <c r="Q135" s="37">
        <v>0</v>
      </c>
      <c r="R135" s="37" t="s">
        <v>213</v>
      </c>
      <c r="S135" s="37"/>
    </row>
    <row r="136" spans="1:19" x14ac:dyDescent="0.3">
      <c r="A136" s="37">
        <v>111</v>
      </c>
      <c r="B136" s="37" t="s">
        <v>206</v>
      </c>
      <c r="C136" s="37" t="s">
        <v>20</v>
      </c>
      <c r="D136" s="37" t="s">
        <v>39</v>
      </c>
      <c r="E136" s="37" t="s">
        <v>22</v>
      </c>
      <c r="F136" s="42">
        <v>44834</v>
      </c>
      <c r="G136" s="37">
        <v>2022</v>
      </c>
      <c r="H136" s="37" t="s">
        <v>43</v>
      </c>
      <c r="I136" s="37" t="s">
        <v>28</v>
      </c>
      <c r="J136" s="37">
        <v>1</v>
      </c>
      <c r="K136" s="53">
        <v>70</v>
      </c>
      <c r="L136" s="24">
        <f t="shared" si="15"/>
        <v>1.3</v>
      </c>
      <c r="M136" s="24">
        <f t="shared" si="16"/>
        <v>70</v>
      </c>
      <c r="N136" s="37" t="s">
        <v>25</v>
      </c>
      <c r="O136" s="37" t="s">
        <v>25</v>
      </c>
      <c r="P136" s="37">
        <v>0</v>
      </c>
      <c r="Q136" s="37">
        <v>0</v>
      </c>
      <c r="R136" s="37" t="s">
        <v>214</v>
      </c>
      <c r="S136" s="37"/>
    </row>
    <row r="137" spans="1:19" x14ac:dyDescent="0.3">
      <c r="A137" s="36">
        <v>111</v>
      </c>
      <c r="B137" s="37" t="s">
        <v>206</v>
      </c>
      <c r="C137" s="37" t="s">
        <v>20</v>
      </c>
      <c r="D137" s="37" t="s">
        <v>39</v>
      </c>
      <c r="E137" s="37" t="s">
        <v>22</v>
      </c>
      <c r="F137" s="42">
        <v>45016</v>
      </c>
      <c r="G137" s="37">
        <v>2023</v>
      </c>
      <c r="H137" s="37" t="s">
        <v>40</v>
      </c>
      <c r="I137" s="39" t="s">
        <v>30</v>
      </c>
      <c r="J137" s="37">
        <v>80</v>
      </c>
      <c r="K137" s="54">
        <v>87</v>
      </c>
      <c r="L137" s="24">
        <f t="shared" si="15"/>
        <v>1.0874999999999999</v>
      </c>
      <c r="M137" s="24">
        <f t="shared" si="16"/>
        <v>1.0874999999999999</v>
      </c>
      <c r="N137" s="37" t="s">
        <v>25</v>
      </c>
      <c r="O137" s="37" t="s">
        <v>25</v>
      </c>
      <c r="P137" s="40">
        <v>0</v>
      </c>
      <c r="Q137" s="40">
        <v>0</v>
      </c>
      <c r="R137" s="37" t="s">
        <v>215</v>
      </c>
      <c r="S137" s="37"/>
    </row>
    <row r="138" spans="1:19" x14ac:dyDescent="0.3">
      <c r="A138" s="36">
        <v>111</v>
      </c>
      <c r="B138" s="37" t="s">
        <v>206</v>
      </c>
      <c r="C138" s="37" t="s">
        <v>20</v>
      </c>
      <c r="D138" s="37" t="s">
        <v>39</v>
      </c>
      <c r="E138" s="37" t="s">
        <v>22</v>
      </c>
      <c r="F138" s="42">
        <v>45107</v>
      </c>
      <c r="G138" s="37">
        <v>2023</v>
      </c>
      <c r="H138" s="37" t="s">
        <v>23</v>
      </c>
      <c r="I138" s="39" t="s">
        <v>30</v>
      </c>
      <c r="J138" s="37">
        <v>80</v>
      </c>
      <c r="K138" s="43">
        <v>90</v>
      </c>
      <c r="L138" s="24">
        <f t="shared" si="15"/>
        <v>1.125</v>
      </c>
      <c r="M138" s="24">
        <f t="shared" si="16"/>
        <v>1.125</v>
      </c>
      <c r="N138" s="37" t="s">
        <v>25</v>
      </c>
      <c r="O138" s="37" t="s">
        <v>25</v>
      </c>
      <c r="P138" s="40">
        <v>0</v>
      </c>
      <c r="Q138" s="40">
        <v>0</v>
      </c>
      <c r="R138" s="37" t="s">
        <v>216</v>
      </c>
      <c r="S138" s="37"/>
    </row>
    <row r="139" spans="1:19" x14ac:dyDescent="0.3">
      <c r="A139" s="45">
        <v>111</v>
      </c>
      <c r="B139" s="37" t="s">
        <v>206</v>
      </c>
      <c r="C139" s="37" t="s">
        <v>20</v>
      </c>
      <c r="D139" s="37" t="s">
        <v>39</v>
      </c>
      <c r="E139" s="37" t="s">
        <v>22</v>
      </c>
      <c r="F139" s="42">
        <v>45199</v>
      </c>
      <c r="G139" s="37">
        <v>2023</v>
      </c>
      <c r="H139" s="37" t="s">
        <v>43</v>
      </c>
      <c r="I139" s="39" t="s">
        <v>32</v>
      </c>
      <c r="J139" s="37">
        <v>80</v>
      </c>
      <c r="K139" s="54">
        <v>93</v>
      </c>
      <c r="L139" s="24">
        <f t="shared" si="15"/>
        <v>1.1625000000000001</v>
      </c>
      <c r="M139" s="24">
        <f t="shared" si="16"/>
        <v>1.1625000000000001</v>
      </c>
      <c r="N139" s="37" t="s">
        <v>25</v>
      </c>
      <c r="O139" s="37" t="s">
        <v>25</v>
      </c>
      <c r="P139" s="40">
        <v>0</v>
      </c>
      <c r="Q139" s="40">
        <v>0</v>
      </c>
      <c r="R139" s="37" t="s">
        <v>217</v>
      </c>
      <c r="S139" s="37"/>
    </row>
    <row r="140" spans="1:19" x14ac:dyDescent="0.3">
      <c r="A140" s="41">
        <v>111</v>
      </c>
      <c r="B140" s="37" t="s">
        <v>206</v>
      </c>
      <c r="C140" s="37" t="s">
        <v>20</v>
      </c>
      <c r="D140" s="37" t="s">
        <v>39</v>
      </c>
      <c r="E140" s="37" t="s">
        <v>22</v>
      </c>
      <c r="F140" s="42">
        <v>45291</v>
      </c>
      <c r="G140" s="37">
        <v>2023</v>
      </c>
      <c r="H140" s="37" t="s">
        <v>27</v>
      </c>
      <c r="I140" s="39" t="s">
        <v>32</v>
      </c>
      <c r="J140" s="37">
        <v>80</v>
      </c>
      <c r="K140" s="54">
        <v>96</v>
      </c>
      <c r="L140" s="24">
        <f t="shared" si="15"/>
        <v>1.2</v>
      </c>
      <c r="M140" s="24">
        <f t="shared" si="16"/>
        <v>1.2</v>
      </c>
      <c r="N140" s="37" t="s">
        <v>25</v>
      </c>
      <c r="O140" s="37" t="s">
        <v>25</v>
      </c>
      <c r="P140" s="40">
        <v>0</v>
      </c>
      <c r="Q140" s="40">
        <v>0</v>
      </c>
      <c r="R140" s="37" t="s">
        <v>218</v>
      </c>
      <c r="S140" s="37"/>
    </row>
    <row r="141" spans="1:19" x14ac:dyDescent="0.3">
      <c r="A141" s="36">
        <v>111</v>
      </c>
      <c r="B141" s="37" t="s">
        <v>206</v>
      </c>
      <c r="C141" s="37" t="s">
        <v>20</v>
      </c>
      <c r="D141" s="37" t="s">
        <v>39</v>
      </c>
      <c r="E141" s="37" t="s">
        <v>22</v>
      </c>
      <c r="F141" s="42">
        <v>45382</v>
      </c>
      <c r="G141" s="37">
        <v>2024</v>
      </c>
      <c r="H141" s="37" t="s">
        <v>40</v>
      </c>
      <c r="I141" s="39" t="s">
        <v>34</v>
      </c>
      <c r="J141" s="37">
        <v>80</v>
      </c>
      <c r="K141" s="43">
        <v>94</v>
      </c>
      <c r="L141" s="24">
        <f t="shared" si="15"/>
        <v>1.175</v>
      </c>
      <c r="M141" s="24">
        <f t="shared" si="16"/>
        <v>1.175</v>
      </c>
      <c r="N141" s="37" t="s">
        <v>25</v>
      </c>
      <c r="O141" s="37" t="s">
        <v>25</v>
      </c>
      <c r="P141" s="40">
        <v>0</v>
      </c>
      <c r="Q141" s="40">
        <v>0</v>
      </c>
      <c r="R141" s="37" t="s">
        <v>219</v>
      </c>
      <c r="S141" s="37"/>
    </row>
    <row r="142" spans="1:19" x14ac:dyDescent="0.3">
      <c r="A142" s="37">
        <v>111</v>
      </c>
      <c r="B142" s="37" t="s">
        <v>206</v>
      </c>
      <c r="C142" s="37" t="s">
        <v>20</v>
      </c>
      <c r="D142" s="37" t="s">
        <v>39</v>
      </c>
      <c r="E142" s="37" t="s">
        <v>22</v>
      </c>
      <c r="F142" s="42">
        <v>45473</v>
      </c>
      <c r="G142" s="37">
        <v>2024</v>
      </c>
      <c r="H142" s="37" t="s">
        <v>23</v>
      </c>
      <c r="I142" s="39" t="s">
        <v>34</v>
      </c>
      <c r="J142" s="37">
        <v>80</v>
      </c>
      <c r="K142" s="53">
        <v>98</v>
      </c>
      <c r="L142" s="24">
        <f t="shared" si="15"/>
        <v>1.2250000000000001</v>
      </c>
      <c r="M142" s="24">
        <f t="shared" si="16"/>
        <v>1.2250000000000001</v>
      </c>
      <c r="N142" s="37" t="s">
        <v>25</v>
      </c>
      <c r="O142" s="37" t="s">
        <v>25</v>
      </c>
      <c r="P142" s="37">
        <v>0</v>
      </c>
      <c r="Q142" s="37">
        <v>0</v>
      </c>
      <c r="R142" s="37" t="s">
        <v>220</v>
      </c>
      <c r="S142" s="37"/>
    </row>
    <row r="143" spans="1:19" x14ac:dyDescent="0.3">
      <c r="A143" s="36">
        <v>111</v>
      </c>
      <c r="B143" s="37" t="s">
        <v>206</v>
      </c>
      <c r="C143" s="37" t="s">
        <v>20</v>
      </c>
      <c r="D143" s="37" t="s">
        <v>39</v>
      </c>
      <c r="E143" s="37" t="s">
        <v>22</v>
      </c>
      <c r="F143" s="42">
        <v>45565</v>
      </c>
      <c r="G143" s="37">
        <v>2024</v>
      </c>
      <c r="H143" s="37" t="s">
        <v>43</v>
      </c>
      <c r="I143" s="39" t="s">
        <v>36</v>
      </c>
      <c r="J143" s="37">
        <v>80</v>
      </c>
      <c r="K143" s="54">
        <v>86.7</v>
      </c>
      <c r="L143" s="24">
        <f t="shared" si="15"/>
        <v>1.08375</v>
      </c>
      <c r="M143" s="24">
        <f t="shared" si="16"/>
        <v>1.08375</v>
      </c>
      <c r="N143" s="37" t="s">
        <v>25</v>
      </c>
      <c r="O143" s="37" t="s">
        <v>25</v>
      </c>
      <c r="P143" s="40">
        <v>0</v>
      </c>
      <c r="Q143" s="40">
        <v>0</v>
      </c>
      <c r="R143" s="37" t="s">
        <v>221</v>
      </c>
      <c r="S143" s="37"/>
    </row>
    <row r="144" spans="1:19" x14ac:dyDescent="0.3">
      <c r="A144" s="36">
        <v>111</v>
      </c>
      <c r="B144" s="37" t="s">
        <v>206</v>
      </c>
      <c r="C144" s="37" t="s">
        <v>20</v>
      </c>
      <c r="D144" s="37" t="s">
        <v>39</v>
      </c>
      <c r="E144" s="37" t="s">
        <v>22</v>
      </c>
      <c r="F144" s="42">
        <v>45657</v>
      </c>
      <c r="G144" s="37">
        <v>2024</v>
      </c>
      <c r="H144" s="37" t="s">
        <v>27</v>
      </c>
      <c r="I144" s="39" t="s">
        <v>36</v>
      </c>
      <c r="J144" s="37">
        <v>80</v>
      </c>
      <c r="K144" s="43">
        <v>92</v>
      </c>
      <c r="L144" s="24">
        <f t="shared" si="15"/>
        <v>1.1499999999999999</v>
      </c>
      <c r="M144" s="24">
        <f t="shared" si="16"/>
        <v>1.1499999999999999</v>
      </c>
      <c r="N144" s="37" t="s">
        <v>25</v>
      </c>
      <c r="O144" s="37" t="s">
        <v>25</v>
      </c>
      <c r="P144" s="40">
        <v>0</v>
      </c>
      <c r="Q144" s="40">
        <v>0</v>
      </c>
      <c r="R144" s="37" t="s">
        <v>222</v>
      </c>
      <c r="S144" s="37"/>
    </row>
    <row r="145" spans="1:19" x14ac:dyDescent="0.3">
      <c r="A145" s="37">
        <v>112</v>
      </c>
      <c r="B145" s="37" t="s">
        <v>206</v>
      </c>
      <c r="C145" s="37" t="s">
        <v>224</v>
      </c>
      <c r="D145" s="37" t="s">
        <v>139</v>
      </c>
      <c r="E145" s="37" t="s">
        <v>22</v>
      </c>
      <c r="F145" s="42">
        <v>44865</v>
      </c>
      <c r="G145" s="37">
        <v>2022</v>
      </c>
      <c r="H145" s="37" t="s">
        <v>89</v>
      </c>
      <c r="I145" s="39" t="s">
        <v>28</v>
      </c>
      <c r="J145" s="37">
        <v>80</v>
      </c>
      <c r="K145" s="53">
        <v>85</v>
      </c>
      <c r="L145" s="55">
        <f t="shared" si="15"/>
        <v>1.0625</v>
      </c>
      <c r="M145" s="24">
        <f t="shared" si="16"/>
        <v>1.0625</v>
      </c>
      <c r="N145" s="37" t="s">
        <v>25</v>
      </c>
      <c r="O145" s="37" t="s">
        <v>25</v>
      </c>
      <c r="P145" s="37">
        <v>0</v>
      </c>
      <c r="Q145" s="37">
        <v>0</v>
      </c>
      <c r="R145" s="37" t="s">
        <v>225</v>
      </c>
      <c r="S145" s="37"/>
    </row>
    <row r="146" spans="1:19" x14ac:dyDescent="0.3">
      <c r="A146" s="36">
        <v>112</v>
      </c>
      <c r="B146" s="37" t="s">
        <v>206</v>
      </c>
      <c r="C146" s="37" t="s">
        <v>224</v>
      </c>
      <c r="D146" s="37" t="s">
        <v>139</v>
      </c>
      <c r="E146" s="37" t="s">
        <v>22</v>
      </c>
      <c r="F146" s="42">
        <v>45230</v>
      </c>
      <c r="G146" s="37">
        <v>2023</v>
      </c>
      <c r="H146" s="37" t="s">
        <v>89</v>
      </c>
      <c r="I146" s="39" t="s">
        <v>32</v>
      </c>
      <c r="J146" s="37">
        <v>80</v>
      </c>
      <c r="K146" s="37">
        <v>90</v>
      </c>
      <c r="L146" s="24">
        <f t="shared" si="15"/>
        <v>1.125</v>
      </c>
      <c r="M146" s="24">
        <f t="shared" si="16"/>
        <v>1.125</v>
      </c>
      <c r="N146" s="37" t="s">
        <v>25</v>
      </c>
      <c r="O146" s="37" t="s">
        <v>25</v>
      </c>
      <c r="P146" s="40">
        <v>0</v>
      </c>
      <c r="Q146" s="40">
        <v>0</v>
      </c>
      <c r="R146" s="37" t="s">
        <v>226</v>
      </c>
      <c r="S146" s="37"/>
    </row>
    <row r="147" spans="1:19" x14ac:dyDescent="0.3">
      <c r="A147" s="36">
        <v>112</v>
      </c>
      <c r="B147" s="37" t="s">
        <v>206</v>
      </c>
      <c r="C147" s="37" t="s">
        <v>224</v>
      </c>
      <c r="D147" s="37" t="s">
        <v>139</v>
      </c>
      <c r="E147" s="37" t="s">
        <v>22</v>
      </c>
      <c r="F147" s="42">
        <v>45596</v>
      </c>
      <c r="G147" s="37">
        <v>2024</v>
      </c>
      <c r="H147" s="37" t="s">
        <v>89</v>
      </c>
      <c r="I147" s="39" t="s">
        <v>36</v>
      </c>
      <c r="J147" s="37">
        <v>80</v>
      </c>
      <c r="K147" s="43">
        <v>90</v>
      </c>
      <c r="L147" s="24">
        <f t="shared" si="15"/>
        <v>1.125</v>
      </c>
      <c r="M147" s="24">
        <f t="shared" si="16"/>
        <v>1.125</v>
      </c>
      <c r="N147" s="37" t="s">
        <v>25</v>
      </c>
      <c r="O147" s="37" t="s">
        <v>25</v>
      </c>
      <c r="P147" s="40">
        <v>0</v>
      </c>
      <c r="Q147" s="40">
        <v>0</v>
      </c>
      <c r="R147" s="37" t="s">
        <v>227</v>
      </c>
      <c r="S147" s="37"/>
    </row>
    <row r="148" spans="1:19" x14ac:dyDescent="0.3">
      <c r="A148" s="37">
        <v>113</v>
      </c>
      <c r="B148" s="37" t="s">
        <v>206</v>
      </c>
      <c r="C148" s="37" t="s">
        <v>228</v>
      </c>
      <c r="D148" s="37" t="s">
        <v>139</v>
      </c>
      <c r="E148" s="37" t="s">
        <v>22</v>
      </c>
      <c r="F148" s="42">
        <v>44865</v>
      </c>
      <c r="G148" s="37">
        <v>2022</v>
      </c>
      <c r="H148" s="37" t="s">
        <v>89</v>
      </c>
      <c r="I148" s="39" t="s">
        <v>28</v>
      </c>
      <c r="J148" s="37">
        <v>80</v>
      </c>
      <c r="K148" s="53">
        <v>78</v>
      </c>
      <c r="L148" s="55">
        <f t="shared" si="15"/>
        <v>0.97499999999999998</v>
      </c>
      <c r="M148" s="24">
        <f t="shared" si="16"/>
        <v>0.97499999999999998</v>
      </c>
      <c r="N148" s="37" t="s">
        <v>25</v>
      </c>
      <c r="O148" s="37" t="s">
        <v>25</v>
      </c>
      <c r="P148" s="37">
        <v>0</v>
      </c>
      <c r="Q148" s="37">
        <v>0</v>
      </c>
      <c r="R148" s="37" t="s">
        <v>229</v>
      </c>
      <c r="S148" s="37"/>
    </row>
    <row r="149" spans="1:19" x14ac:dyDescent="0.3">
      <c r="A149" s="37">
        <v>113</v>
      </c>
      <c r="B149" s="37" t="s">
        <v>206</v>
      </c>
      <c r="C149" s="37" t="s">
        <v>228</v>
      </c>
      <c r="D149" s="37" t="s">
        <v>139</v>
      </c>
      <c r="E149" s="37" t="s">
        <v>22</v>
      </c>
      <c r="F149" s="42">
        <v>45230</v>
      </c>
      <c r="G149" s="37">
        <v>2023</v>
      </c>
      <c r="H149" s="37" t="s">
        <v>89</v>
      </c>
      <c r="I149" s="39" t="s">
        <v>32</v>
      </c>
      <c r="J149" s="37">
        <v>80</v>
      </c>
      <c r="K149" s="53">
        <v>88</v>
      </c>
      <c r="L149" s="24">
        <f t="shared" si="15"/>
        <v>1.1000000000000001</v>
      </c>
      <c r="M149" s="24">
        <f t="shared" si="16"/>
        <v>1.1000000000000001</v>
      </c>
      <c r="N149" s="37" t="s">
        <v>25</v>
      </c>
      <c r="O149" s="37" t="s">
        <v>25</v>
      </c>
      <c r="P149" s="37">
        <v>0</v>
      </c>
      <c r="Q149" s="37">
        <v>0</v>
      </c>
      <c r="R149" s="37" t="s">
        <v>230</v>
      </c>
      <c r="S149" s="37"/>
    </row>
    <row r="150" spans="1:19" x14ac:dyDescent="0.3">
      <c r="A150" s="36">
        <v>113</v>
      </c>
      <c r="B150" s="37" t="s">
        <v>206</v>
      </c>
      <c r="C150" s="37" t="s">
        <v>55</v>
      </c>
      <c r="D150" s="37" t="s">
        <v>139</v>
      </c>
      <c r="E150" s="37" t="s">
        <v>22</v>
      </c>
      <c r="F150" s="42">
        <v>45596</v>
      </c>
      <c r="G150" s="37">
        <v>2024</v>
      </c>
      <c r="H150" s="37" t="s">
        <v>89</v>
      </c>
      <c r="I150" s="39" t="s">
        <v>36</v>
      </c>
      <c r="J150" s="37">
        <v>80</v>
      </c>
      <c r="K150" s="54">
        <v>88</v>
      </c>
      <c r="L150" s="24">
        <f t="shared" si="15"/>
        <v>1.1000000000000001</v>
      </c>
      <c r="M150" s="24">
        <f t="shared" si="16"/>
        <v>1.1000000000000001</v>
      </c>
      <c r="N150" s="37" t="s">
        <v>25</v>
      </c>
      <c r="O150" s="37" t="s">
        <v>25</v>
      </c>
      <c r="P150" s="40">
        <v>0</v>
      </c>
      <c r="Q150" s="40">
        <v>0</v>
      </c>
      <c r="R150" s="37" t="s">
        <v>231</v>
      </c>
      <c r="S150" s="37"/>
    </row>
    <row r="151" spans="1:19" x14ac:dyDescent="0.3">
      <c r="A151" s="37">
        <v>114</v>
      </c>
      <c r="B151" s="37" t="s">
        <v>206</v>
      </c>
      <c r="C151" s="37" t="s">
        <v>94</v>
      </c>
      <c r="D151" s="37" t="s">
        <v>139</v>
      </c>
      <c r="E151" s="37" t="s">
        <v>22</v>
      </c>
      <c r="F151" s="42">
        <v>44865</v>
      </c>
      <c r="G151" s="37">
        <v>2022</v>
      </c>
      <c r="H151" s="37" t="s">
        <v>89</v>
      </c>
      <c r="I151" s="39" t="s">
        <v>28</v>
      </c>
      <c r="J151" s="37">
        <v>80</v>
      </c>
      <c r="K151" s="53">
        <v>82</v>
      </c>
      <c r="L151" s="55">
        <f t="shared" si="15"/>
        <v>1.0249999999999999</v>
      </c>
      <c r="M151" s="24">
        <f t="shared" si="16"/>
        <v>1.0249999999999999</v>
      </c>
      <c r="N151" s="37" t="s">
        <v>25</v>
      </c>
      <c r="O151" s="37" t="s">
        <v>25</v>
      </c>
      <c r="P151" s="37">
        <v>0</v>
      </c>
      <c r="Q151" s="37">
        <v>0</v>
      </c>
      <c r="R151" s="37" t="s">
        <v>232</v>
      </c>
      <c r="S151" s="37"/>
    </row>
    <row r="152" spans="1:19" x14ac:dyDescent="0.3">
      <c r="A152" s="36">
        <v>114</v>
      </c>
      <c r="B152" s="37" t="s">
        <v>206</v>
      </c>
      <c r="C152" s="37" t="s">
        <v>94</v>
      </c>
      <c r="D152" s="37" t="s">
        <v>139</v>
      </c>
      <c r="E152" s="37" t="s">
        <v>22</v>
      </c>
      <c r="F152" s="42">
        <v>45230</v>
      </c>
      <c r="G152" s="37">
        <v>2023</v>
      </c>
      <c r="H152" s="37" t="s">
        <v>89</v>
      </c>
      <c r="I152" s="39" t="s">
        <v>32</v>
      </c>
      <c r="J152" s="37">
        <v>80</v>
      </c>
      <c r="K152" s="54">
        <v>86</v>
      </c>
      <c r="L152" s="24">
        <f t="shared" si="15"/>
        <v>1.075</v>
      </c>
      <c r="M152" s="24">
        <f t="shared" si="16"/>
        <v>1.075</v>
      </c>
      <c r="N152" s="37" t="s">
        <v>25</v>
      </c>
      <c r="O152" s="37" t="s">
        <v>25</v>
      </c>
      <c r="P152" s="40">
        <v>0</v>
      </c>
      <c r="Q152" s="40">
        <v>0</v>
      </c>
      <c r="R152" s="37" t="s">
        <v>233</v>
      </c>
      <c r="S152" s="37"/>
    </row>
    <row r="153" spans="1:19" x14ac:dyDescent="0.3">
      <c r="A153" s="36">
        <v>114</v>
      </c>
      <c r="B153" s="37" t="s">
        <v>206</v>
      </c>
      <c r="C153" s="37" t="s">
        <v>94</v>
      </c>
      <c r="D153" s="37" t="s">
        <v>139</v>
      </c>
      <c r="E153" s="37" t="s">
        <v>22</v>
      </c>
      <c r="F153" s="42">
        <v>45596</v>
      </c>
      <c r="G153" s="37">
        <v>2024</v>
      </c>
      <c r="H153" s="37" t="s">
        <v>89</v>
      </c>
      <c r="I153" s="39" t="s">
        <v>36</v>
      </c>
      <c r="J153" s="37">
        <v>80</v>
      </c>
      <c r="K153" s="54">
        <v>81</v>
      </c>
      <c r="L153" s="24">
        <f t="shared" si="15"/>
        <v>1.0125</v>
      </c>
      <c r="M153" s="24">
        <f t="shared" si="16"/>
        <v>1.0125</v>
      </c>
      <c r="N153" s="37" t="s">
        <v>25</v>
      </c>
      <c r="O153" s="37" t="s">
        <v>25</v>
      </c>
      <c r="P153" s="40">
        <v>0</v>
      </c>
      <c r="Q153" s="40">
        <v>0</v>
      </c>
      <c r="R153" s="37" t="s">
        <v>234</v>
      </c>
      <c r="S153" s="37"/>
    </row>
    <row r="154" spans="1:19" x14ac:dyDescent="0.3">
      <c r="A154" s="37">
        <v>115</v>
      </c>
      <c r="B154" s="37" t="s">
        <v>206</v>
      </c>
      <c r="C154" s="37" t="s">
        <v>138</v>
      </c>
      <c r="D154" s="37" t="s">
        <v>139</v>
      </c>
      <c r="E154" s="37" t="s">
        <v>22</v>
      </c>
      <c r="F154" s="42">
        <v>44865</v>
      </c>
      <c r="G154" s="37">
        <v>2022</v>
      </c>
      <c r="H154" s="37" t="s">
        <v>89</v>
      </c>
      <c r="I154" s="37" t="s">
        <v>28</v>
      </c>
      <c r="J154" s="37">
        <v>1</v>
      </c>
      <c r="K154" s="53">
        <v>90</v>
      </c>
      <c r="L154" s="24">
        <f t="shared" si="15"/>
        <v>1.3</v>
      </c>
      <c r="M154" s="24">
        <f t="shared" si="16"/>
        <v>90</v>
      </c>
      <c r="N154" s="37" t="s">
        <v>25</v>
      </c>
      <c r="O154" s="37" t="s">
        <v>25</v>
      </c>
      <c r="P154" s="37">
        <v>0</v>
      </c>
      <c r="Q154" s="37">
        <v>0</v>
      </c>
      <c r="R154" s="37" t="s">
        <v>235</v>
      </c>
      <c r="S154" s="37"/>
    </row>
    <row r="155" spans="1:19" x14ac:dyDescent="0.3">
      <c r="A155" s="41">
        <v>115</v>
      </c>
      <c r="B155" s="37" t="s">
        <v>206</v>
      </c>
      <c r="C155" s="37" t="s">
        <v>236</v>
      </c>
      <c r="D155" s="37" t="s">
        <v>139</v>
      </c>
      <c r="E155" s="37" t="s">
        <v>22</v>
      </c>
      <c r="F155" s="42">
        <v>45230</v>
      </c>
      <c r="G155" s="37">
        <v>2023</v>
      </c>
      <c r="H155" s="37" t="s">
        <v>89</v>
      </c>
      <c r="I155" s="39" t="s">
        <v>32</v>
      </c>
      <c r="J155" s="37">
        <v>80</v>
      </c>
      <c r="K155" s="54">
        <v>91</v>
      </c>
      <c r="L155" s="24">
        <f t="shared" si="15"/>
        <v>1.1375</v>
      </c>
      <c r="M155" s="24">
        <f t="shared" si="16"/>
        <v>1.1375</v>
      </c>
      <c r="N155" s="37" t="s">
        <v>25</v>
      </c>
      <c r="O155" s="37" t="s">
        <v>25</v>
      </c>
      <c r="P155" s="40">
        <v>0</v>
      </c>
      <c r="Q155" s="40">
        <v>0</v>
      </c>
      <c r="R155" s="37" t="s">
        <v>237</v>
      </c>
      <c r="S155" s="37"/>
    </row>
    <row r="156" spans="1:19" x14ac:dyDescent="0.3">
      <c r="A156" s="37">
        <v>115</v>
      </c>
      <c r="B156" s="37" t="s">
        <v>206</v>
      </c>
      <c r="C156" s="37" t="s">
        <v>138</v>
      </c>
      <c r="D156" s="37" t="s">
        <v>139</v>
      </c>
      <c r="E156" s="37" t="s">
        <v>22</v>
      </c>
      <c r="F156" s="42">
        <v>45291</v>
      </c>
      <c r="G156" s="37">
        <v>2023</v>
      </c>
      <c r="H156" s="37" t="s">
        <v>27</v>
      </c>
      <c r="I156" s="39" t="s">
        <v>32</v>
      </c>
      <c r="J156" s="37">
        <v>80</v>
      </c>
      <c r="K156" s="53">
        <v>90.789405483854196</v>
      </c>
      <c r="L156" s="24">
        <f t="shared" si="15"/>
        <v>1.1348675685481775</v>
      </c>
      <c r="M156" s="24">
        <f t="shared" si="16"/>
        <v>1.1348675685481775</v>
      </c>
      <c r="N156" s="37" t="s">
        <v>25</v>
      </c>
      <c r="O156" s="37" t="s">
        <v>25</v>
      </c>
      <c r="P156" s="37">
        <v>0</v>
      </c>
      <c r="Q156" s="37">
        <v>0</v>
      </c>
      <c r="R156" s="37" t="s">
        <v>238</v>
      </c>
      <c r="S156" s="37"/>
    </row>
    <row r="157" spans="1:19" x14ac:dyDescent="0.3">
      <c r="A157" s="37">
        <v>115</v>
      </c>
      <c r="B157" s="37" t="s">
        <v>206</v>
      </c>
      <c r="C157" s="37" t="s">
        <v>138</v>
      </c>
      <c r="D157" s="37" t="s">
        <v>139</v>
      </c>
      <c r="E157" s="37" t="s">
        <v>22</v>
      </c>
      <c r="F157" s="42">
        <v>45596</v>
      </c>
      <c r="G157" s="37">
        <v>2024</v>
      </c>
      <c r="H157" s="37" t="s">
        <v>89</v>
      </c>
      <c r="I157" s="37" t="s">
        <v>36</v>
      </c>
      <c r="J157" s="37">
        <v>1</v>
      </c>
      <c r="K157" s="53">
        <v>90</v>
      </c>
      <c r="L157" s="24">
        <f t="shared" si="15"/>
        <v>1.3</v>
      </c>
      <c r="M157" s="24">
        <f t="shared" si="16"/>
        <v>90</v>
      </c>
      <c r="N157" s="37" t="s">
        <v>25</v>
      </c>
      <c r="O157" s="37" t="s">
        <v>25</v>
      </c>
      <c r="P157" s="37">
        <v>0</v>
      </c>
      <c r="Q157" s="37">
        <v>0</v>
      </c>
      <c r="R157" s="37" t="s">
        <v>239</v>
      </c>
      <c r="S157" s="37"/>
    </row>
    <row r="158" spans="1:19" x14ac:dyDescent="0.3">
      <c r="A158" s="36">
        <v>116</v>
      </c>
      <c r="B158" s="37" t="s">
        <v>206</v>
      </c>
      <c r="C158" s="37" t="s">
        <v>120</v>
      </c>
      <c r="D158" s="37" t="s">
        <v>121</v>
      </c>
      <c r="E158" s="37" t="s">
        <v>22</v>
      </c>
      <c r="F158" s="38">
        <v>45046</v>
      </c>
      <c r="G158" s="37">
        <v>2023</v>
      </c>
      <c r="H158" s="37" t="s">
        <v>79</v>
      </c>
      <c r="I158" s="39" t="s">
        <v>30</v>
      </c>
      <c r="J158" s="37">
        <v>80</v>
      </c>
      <c r="K158" s="54">
        <v>83</v>
      </c>
      <c r="L158" s="24">
        <f t="shared" si="15"/>
        <v>1.0375000000000001</v>
      </c>
      <c r="M158" s="24">
        <f t="shared" si="16"/>
        <v>1.0375000000000001</v>
      </c>
      <c r="N158" s="37" t="s">
        <v>25</v>
      </c>
      <c r="O158" s="37" t="s">
        <v>25</v>
      </c>
      <c r="P158" s="40">
        <v>0</v>
      </c>
      <c r="Q158" s="40">
        <v>0</v>
      </c>
      <c r="R158" s="37" t="s">
        <v>240</v>
      </c>
      <c r="S158" s="37"/>
    </row>
    <row r="159" spans="1:19" x14ac:dyDescent="0.3">
      <c r="A159" s="36">
        <v>116</v>
      </c>
      <c r="B159" s="37" t="s">
        <v>206</v>
      </c>
      <c r="C159" s="37" t="s">
        <v>120</v>
      </c>
      <c r="D159" s="37" t="s">
        <v>121</v>
      </c>
      <c r="E159" s="37" t="s">
        <v>22</v>
      </c>
      <c r="F159" s="42">
        <v>45107</v>
      </c>
      <c r="G159" s="37">
        <v>2023</v>
      </c>
      <c r="H159" s="37" t="s">
        <v>23</v>
      </c>
      <c r="I159" s="39" t="s">
        <v>30</v>
      </c>
      <c r="J159" s="37">
        <v>80</v>
      </c>
      <c r="K159" s="54">
        <v>84</v>
      </c>
      <c r="L159" s="24">
        <f t="shared" si="15"/>
        <v>1.05</v>
      </c>
      <c r="M159" s="24">
        <f t="shared" si="16"/>
        <v>1.05</v>
      </c>
      <c r="N159" s="37" t="s">
        <v>25</v>
      </c>
      <c r="O159" s="37" t="s">
        <v>25</v>
      </c>
      <c r="P159" s="40">
        <v>0</v>
      </c>
      <c r="Q159" s="40">
        <v>0</v>
      </c>
      <c r="R159" s="37" t="s">
        <v>241</v>
      </c>
      <c r="S159" s="37"/>
    </row>
    <row r="160" spans="1:19" x14ac:dyDescent="0.3">
      <c r="A160" s="36">
        <v>116</v>
      </c>
      <c r="B160" s="37" t="s">
        <v>206</v>
      </c>
      <c r="C160" s="37" t="s">
        <v>120</v>
      </c>
      <c r="D160" s="37" t="s">
        <v>121</v>
      </c>
      <c r="E160" s="37" t="s">
        <v>22</v>
      </c>
      <c r="F160" s="42">
        <v>45169</v>
      </c>
      <c r="G160" s="37">
        <v>2023</v>
      </c>
      <c r="H160" s="37" t="s">
        <v>86</v>
      </c>
      <c r="I160" s="39" t="s">
        <v>32</v>
      </c>
      <c r="J160" s="37">
        <v>80</v>
      </c>
      <c r="K160" s="54">
        <v>84</v>
      </c>
      <c r="L160" s="24">
        <f t="shared" si="15"/>
        <v>1.05</v>
      </c>
      <c r="M160" s="24">
        <f t="shared" si="16"/>
        <v>1.05</v>
      </c>
      <c r="N160" s="37" t="s">
        <v>25</v>
      </c>
      <c r="O160" s="37" t="s">
        <v>25</v>
      </c>
      <c r="P160" s="40">
        <v>0</v>
      </c>
      <c r="Q160" s="40">
        <v>0</v>
      </c>
      <c r="R160" s="37" t="s">
        <v>242</v>
      </c>
      <c r="S160" s="37"/>
    </row>
    <row r="161" spans="1:19" x14ac:dyDescent="0.3">
      <c r="A161" s="36">
        <v>116</v>
      </c>
      <c r="B161" s="37" t="s">
        <v>206</v>
      </c>
      <c r="C161" s="37" t="s">
        <v>120</v>
      </c>
      <c r="D161" s="37" t="s">
        <v>121</v>
      </c>
      <c r="E161" s="37" t="s">
        <v>22</v>
      </c>
      <c r="F161" s="42">
        <v>45230</v>
      </c>
      <c r="G161" s="37">
        <v>2023</v>
      </c>
      <c r="H161" s="37" t="s">
        <v>89</v>
      </c>
      <c r="I161" s="39" t="s">
        <v>32</v>
      </c>
      <c r="J161" s="37">
        <v>80</v>
      </c>
      <c r="K161" s="54">
        <v>88</v>
      </c>
      <c r="L161" s="24">
        <f t="shared" si="15"/>
        <v>1.1000000000000001</v>
      </c>
      <c r="M161" s="24">
        <f t="shared" si="16"/>
        <v>1.1000000000000001</v>
      </c>
      <c r="N161" s="37" t="s">
        <v>25</v>
      </c>
      <c r="O161" s="37" t="s">
        <v>25</v>
      </c>
      <c r="P161" s="40">
        <v>0</v>
      </c>
      <c r="Q161" s="40">
        <v>0</v>
      </c>
      <c r="R161" s="37" t="s">
        <v>243</v>
      </c>
      <c r="S161" s="37"/>
    </row>
    <row r="162" spans="1:19" x14ac:dyDescent="0.3">
      <c r="A162" s="41">
        <v>116</v>
      </c>
      <c r="B162" s="37" t="s">
        <v>206</v>
      </c>
      <c r="C162" s="37" t="s">
        <v>120</v>
      </c>
      <c r="D162" s="37" t="s">
        <v>121</v>
      </c>
      <c r="E162" s="37" t="s">
        <v>22</v>
      </c>
      <c r="F162" s="42">
        <v>45291</v>
      </c>
      <c r="G162" s="37">
        <v>2023</v>
      </c>
      <c r="H162" s="37" t="s">
        <v>27</v>
      </c>
      <c r="I162" s="39" t="s">
        <v>32</v>
      </c>
      <c r="J162" s="37">
        <v>80</v>
      </c>
      <c r="K162" s="54">
        <v>88</v>
      </c>
      <c r="L162" s="24">
        <f t="shared" si="15"/>
        <v>1.1000000000000001</v>
      </c>
      <c r="M162" s="24">
        <f t="shared" si="16"/>
        <v>1.1000000000000001</v>
      </c>
      <c r="N162" s="37" t="s">
        <v>25</v>
      </c>
      <c r="O162" s="37" t="s">
        <v>25</v>
      </c>
      <c r="P162" s="40">
        <v>0</v>
      </c>
      <c r="Q162" s="40">
        <v>0</v>
      </c>
      <c r="R162" s="37" t="s">
        <v>244</v>
      </c>
      <c r="S162" s="37"/>
    </row>
    <row r="163" spans="1:19" x14ac:dyDescent="0.3">
      <c r="A163" s="37">
        <v>116</v>
      </c>
      <c r="B163" s="37" t="s">
        <v>206</v>
      </c>
      <c r="C163" s="37" t="s">
        <v>120</v>
      </c>
      <c r="D163" s="37" t="s">
        <v>121</v>
      </c>
      <c r="E163" s="37" t="s">
        <v>22</v>
      </c>
      <c r="F163" s="42">
        <v>45351</v>
      </c>
      <c r="G163" s="37">
        <v>2024</v>
      </c>
      <c r="H163" s="37" t="s">
        <v>76</v>
      </c>
      <c r="I163" s="37" t="s">
        <v>34</v>
      </c>
      <c r="J163" s="37">
        <v>80</v>
      </c>
      <c r="K163" s="53"/>
      <c r="L163" s="24"/>
      <c r="M163" s="24"/>
      <c r="N163" s="37" t="s">
        <v>25</v>
      </c>
      <c r="O163" s="37" t="s">
        <v>223</v>
      </c>
      <c r="P163" s="37">
        <v>0</v>
      </c>
      <c r="Q163" s="37">
        <v>0</v>
      </c>
      <c r="R163" s="37" t="s">
        <v>245</v>
      </c>
      <c r="S163" s="37" t="s">
        <v>223</v>
      </c>
    </row>
    <row r="164" spans="1:19" x14ac:dyDescent="0.3">
      <c r="A164" s="37">
        <v>116</v>
      </c>
      <c r="B164" s="37" t="s">
        <v>206</v>
      </c>
      <c r="C164" s="37" t="s">
        <v>120</v>
      </c>
      <c r="D164" s="37" t="s">
        <v>121</v>
      </c>
      <c r="E164" s="37" t="s">
        <v>22</v>
      </c>
      <c r="F164" s="42">
        <v>45412</v>
      </c>
      <c r="G164" s="37">
        <v>2024</v>
      </c>
      <c r="H164" s="37" t="s">
        <v>79</v>
      </c>
      <c r="I164" s="37" t="s">
        <v>34</v>
      </c>
      <c r="J164" s="37">
        <v>80</v>
      </c>
      <c r="K164" s="53"/>
      <c r="L164" s="24"/>
      <c r="M164" s="24"/>
      <c r="N164" s="37" t="s">
        <v>25</v>
      </c>
      <c r="O164" s="37" t="s">
        <v>223</v>
      </c>
      <c r="P164" s="37">
        <v>0</v>
      </c>
      <c r="Q164" s="37">
        <v>0</v>
      </c>
      <c r="R164" s="37" t="s">
        <v>246</v>
      </c>
      <c r="S164" s="37" t="s">
        <v>223</v>
      </c>
    </row>
    <row r="165" spans="1:19" x14ac:dyDescent="0.3">
      <c r="A165" s="37">
        <v>116</v>
      </c>
      <c r="B165" s="37" t="s">
        <v>206</v>
      </c>
      <c r="C165" s="37" t="s">
        <v>120</v>
      </c>
      <c r="D165" s="37" t="s">
        <v>121</v>
      </c>
      <c r="E165" s="37" t="s">
        <v>22</v>
      </c>
      <c r="F165" s="42">
        <v>45473</v>
      </c>
      <c r="G165" s="37">
        <v>2024</v>
      </c>
      <c r="H165" s="37" t="s">
        <v>23</v>
      </c>
      <c r="I165" s="37" t="s">
        <v>34</v>
      </c>
      <c r="J165" s="37">
        <v>1</v>
      </c>
      <c r="K165" s="53">
        <v>0</v>
      </c>
      <c r="L165" s="24">
        <f t="shared" ref="L165:L190" si="17">IFERROR(IF(OR(J165=0,K165=""),"",IF(E165="Positivo",MIN(MAX(K165/J165,0),1.3),MIN(MAX(J165/K165,0),1.3))),"")</f>
        <v>0</v>
      </c>
      <c r="M165" s="24">
        <f t="shared" ref="M165:M190" si="18">IFERROR(IF(OR(J165=0,K165=""),"",IF(E165="Positivo",MAX(K165/J165,0),MAX(J165/K165,0))),"")</f>
        <v>0</v>
      </c>
      <c r="N165" s="37" t="s">
        <v>25</v>
      </c>
      <c r="O165" s="37" t="s">
        <v>25</v>
      </c>
      <c r="P165" s="37">
        <v>0</v>
      </c>
      <c r="Q165" s="37">
        <v>0</v>
      </c>
      <c r="R165" s="37" t="s">
        <v>247</v>
      </c>
      <c r="S165" s="37"/>
    </row>
    <row r="166" spans="1:19" x14ac:dyDescent="0.3">
      <c r="A166" s="36">
        <v>116</v>
      </c>
      <c r="B166" s="37" t="s">
        <v>206</v>
      </c>
      <c r="C166" s="37" t="s">
        <v>120</v>
      </c>
      <c r="D166" s="37" t="s">
        <v>121</v>
      </c>
      <c r="E166" s="37" t="s">
        <v>22</v>
      </c>
      <c r="F166" s="42">
        <v>45535</v>
      </c>
      <c r="G166" s="37">
        <v>2024</v>
      </c>
      <c r="H166" s="37" t="s">
        <v>86</v>
      </c>
      <c r="I166" s="39" t="s">
        <v>36</v>
      </c>
      <c r="J166" s="37">
        <v>80</v>
      </c>
      <c r="K166" s="54">
        <v>88</v>
      </c>
      <c r="L166" s="24">
        <f t="shared" si="17"/>
        <v>1.1000000000000001</v>
      </c>
      <c r="M166" s="24">
        <f t="shared" si="18"/>
        <v>1.1000000000000001</v>
      </c>
      <c r="N166" s="37" t="s">
        <v>25</v>
      </c>
      <c r="O166" s="37" t="s">
        <v>25</v>
      </c>
      <c r="P166" s="40">
        <v>0</v>
      </c>
      <c r="Q166" s="40">
        <v>0</v>
      </c>
      <c r="R166" s="37" t="s">
        <v>248</v>
      </c>
      <c r="S166" s="37"/>
    </row>
    <row r="167" spans="1:19" x14ac:dyDescent="0.3">
      <c r="A167" s="37">
        <v>116</v>
      </c>
      <c r="B167" s="37" t="s">
        <v>206</v>
      </c>
      <c r="C167" s="37" t="s">
        <v>120</v>
      </c>
      <c r="D167" s="37" t="s">
        <v>121</v>
      </c>
      <c r="E167" s="37" t="s">
        <v>22</v>
      </c>
      <c r="F167" s="42">
        <v>45596</v>
      </c>
      <c r="G167" s="37">
        <v>2024</v>
      </c>
      <c r="H167" s="37" t="s">
        <v>89</v>
      </c>
      <c r="I167" s="37" t="s">
        <v>36</v>
      </c>
      <c r="J167" s="37">
        <v>1</v>
      </c>
      <c r="K167" s="53">
        <v>0</v>
      </c>
      <c r="L167" s="24">
        <f t="shared" si="17"/>
        <v>0</v>
      </c>
      <c r="M167" s="24">
        <f t="shared" si="18"/>
        <v>0</v>
      </c>
      <c r="N167" s="37" t="s">
        <v>25</v>
      </c>
      <c r="O167" s="37" t="s">
        <v>25</v>
      </c>
      <c r="P167" s="37">
        <v>0</v>
      </c>
      <c r="Q167" s="37">
        <v>0</v>
      </c>
      <c r="R167" s="37" t="s">
        <v>249</v>
      </c>
      <c r="S167" s="37"/>
    </row>
    <row r="168" spans="1:19" x14ac:dyDescent="0.3">
      <c r="A168" s="37">
        <v>116</v>
      </c>
      <c r="B168" s="37" t="s">
        <v>206</v>
      </c>
      <c r="C168" s="37" t="s">
        <v>120</v>
      </c>
      <c r="D168" s="37" t="s">
        <v>121</v>
      </c>
      <c r="E168" s="37" t="s">
        <v>22</v>
      </c>
      <c r="F168" s="42">
        <v>45657</v>
      </c>
      <c r="G168" s="37">
        <v>2024</v>
      </c>
      <c r="H168" s="37" t="s">
        <v>27</v>
      </c>
      <c r="I168" s="37" t="s">
        <v>36</v>
      </c>
      <c r="J168" s="37">
        <v>1</v>
      </c>
      <c r="K168" s="53">
        <v>88</v>
      </c>
      <c r="L168" s="24">
        <f t="shared" si="17"/>
        <v>1.3</v>
      </c>
      <c r="M168" s="24">
        <f t="shared" si="18"/>
        <v>88</v>
      </c>
      <c r="N168" s="37" t="s">
        <v>25</v>
      </c>
      <c r="O168" s="37" t="s">
        <v>25</v>
      </c>
      <c r="P168" s="37">
        <v>0</v>
      </c>
      <c r="Q168" s="37">
        <v>0</v>
      </c>
      <c r="R168" s="37" t="s">
        <v>250</v>
      </c>
      <c r="S168" s="37"/>
    </row>
    <row r="169" spans="1:19" x14ac:dyDescent="0.3">
      <c r="A169" s="37">
        <v>117</v>
      </c>
      <c r="B169" s="37" t="s">
        <v>206</v>
      </c>
      <c r="C169" s="37" t="s">
        <v>251</v>
      </c>
      <c r="D169" s="37" t="s">
        <v>139</v>
      </c>
      <c r="E169" s="37" t="s">
        <v>22</v>
      </c>
      <c r="F169" s="42">
        <v>44865</v>
      </c>
      <c r="G169" s="37">
        <v>2022</v>
      </c>
      <c r="H169" s="37" t="s">
        <v>89</v>
      </c>
      <c r="I169" s="39" t="s">
        <v>28</v>
      </c>
      <c r="J169" s="37">
        <v>80</v>
      </c>
      <c r="K169" s="37">
        <v>93</v>
      </c>
      <c r="L169" s="55">
        <f t="shared" si="17"/>
        <v>1.1625000000000001</v>
      </c>
      <c r="M169" s="24">
        <f t="shared" si="18"/>
        <v>1.1625000000000001</v>
      </c>
      <c r="N169" s="37" t="s">
        <v>25</v>
      </c>
      <c r="O169" s="37" t="s">
        <v>25</v>
      </c>
      <c r="P169" s="37">
        <v>0</v>
      </c>
      <c r="Q169" s="37">
        <v>0</v>
      </c>
      <c r="R169" s="37" t="s">
        <v>252</v>
      </c>
      <c r="S169" s="37"/>
    </row>
    <row r="170" spans="1:19" x14ac:dyDescent="0.3">
      <c r="A170" s="36">
        <v>117</v>
      </c>
      <c r="B170" s="37" t="s">
        <v>206</v>
      </c>
      <c r="C170" s="37" t="s">
        <v>251</v>
      </c>
      <c r="D170" s="37" t="s">
        <v>139</v>
      </c>
      <c r="E170" s="37" t="s">
        <v>22</v>
      </c>
      <c r="F170" s="42">
        <v>45230</v>
      </c>
      <c r="G170" s="37">
        <v>2023</v>
      </c>
      <c r="H170" s="37" t="s">
        <v>89</v>
      </c>
      <c r="I170" s="39" t="s">
        <v>32</v>
      </c>
      <c r="J170" s="37">
        <v>80</v>
      </c>
      <c r="K170" s="43">
        <v>90</v>
      </c>
      <c r="L170" s="24">
        <f t="shared" si="17"/>
        <v>1.125</v>
      </c>
      <c r="M170" s="24">
        <f t="shared" si="18"/>
        <v>1.125</v>
      </c>
      <c r="N170" s="37" t="s">
        <v>25</v>
      </c>
      <c r="O170" s="37" t="s">
        <v>25</v>
      </c>
      <c r="P170" s="40">
        <v>0</v>
      </c>
      <c r="Q170" s="40">
        <v>0</v>
      </c>
      <c r="R170" s="37" t="s">
        <v>253</v>
      </c>
      <c r="S170" s="37"/>
    </row>
    <row r="171" spans="1:19" x14ac:dyDescent="0.3">
      <c r="A171" s="36">
        <v>117</v>
      </c>
      <c r="B171" s="37" t="s">
        <v>206</v>
      </c>
      <c r="C171" s="37" t="s">
        <v>251</v>
      </c>
      <c r="D171" s="37" t="s">
        <v>139</v>
      </c>
      <c r="E171" s="37" t="s">
        <v>22</v>
      </c>
      <c r="F171" s="42">
        <v>45596</v>
      </c>
      <c r="G171" s="37">
        <v>2024</v>
      </c>
      <c r="H171" s="37" t="s">
        <v>89</v>
      </c>
      <c r="I171" s="39" t="s">
        <v>36</v>
      </c>
      <c r="J171" s="37">
        <v>80</v>
      </c>
      <c r="K171" s="54">
        <v>89</v>
      </c>
      <c r="L171" s="24">
        <f t="shared" si="17"/>
        <v>1.1125</v>
      </c>
      <c r="M171" s="24">
        <f t="shared" si="18"/>
        <v>1.1125</v>
      </c>
      <c r="N171" s="37" t="s">
        <v>25</v>
      </c>
      <c r="O171" s="37" t="s">
        <v>25</v>
      </c>
      <c r="P171" s="40">
        <v>0</v>
      </c>
      <c r="Q171" s="40">
        <v>0</v>
      </c>
      <c r="R171" s="37" t="s">
        <v>254</v>
      </c>
      <c r="S171" s="37"/>
    </row>
    <row r="172" spans="1:19" x14ac:dyDescent="0.3">
      <c r="A172" s="37">
        <v>118</v>
      </c>
      <c r="B172" s="37" t="s">
        <v>206</v>
      </c>
      <c r="C172" s="37" t="s">
        <v>255</v>
      </c>
      <c r="D172" s="37" t="s">
        <v>139</v>
      </c>
      <c r="E172" s="37" t="s">
        <v>22</v>
      </c>
      <c r="F172" s="42">
        <v>44865</v>
      </c>
      <c r="G172" s="37">
        <v>2022</v>
      </c>
      <c r="H172" s="37" t="s">
        <v>89</v>
      </c>
      <c r="I172" s="39" t="s">
        <v>28</v>
      </c>
      <c r="J172" s="37">
        <v>80</v>
      </c>
      <c r="K172" s="37">
        <v>88</v>
      </c>
      <c r="L172" s="55">
        <f t="shared" si="17"/>
        <v>1.1000000000000001</v>
      </c>
      <c r="M172" s="24">
        <f t="shared" si="18"/>
        <v>1.1000000000000001</v>
      </c>
      <c r="N172" s="37" t="s">
        <v>25</v>
      </c>
      <c r="O172" s="37" t="s">
        <v>25</v>
      </c>
      <c r="P172" s="37">
        <v>0</v>
      </c>
      <c r="Q172" s="37">
        <v>0</v>
      </c>
      <c r="R172" s="37" t="s">
        <v>256</v>
      </c>
      <c r="S172" s="37"/>
    </row>
    <row r="173" spans="1:19" x14ac:dyDescent="0.3">
      <c r="A173" s="37">
        <v>118</v>
      </c>
      <c r="B173" s="37" t="s">
        <v>257</v>
      </c>
      <c r="C173" s="37" t="s">
        <v>258</v>
      </c>
      <c r="D173" s="37" t="s">
        <v>139</v>
      </c>
      <c r="E173" s="37" t="s">
        <v>22</v>
      </c>
      <c r="F173" s="42">
        <v>45230</v>
      </c>
      <c r="G173" s="37">
        <v>2023</v>
      </c>
      <c r="H173" s="37" t="s">
        <v>89</v>
      </c>
      <c r="I173" s="37" t="s">
        <v>32</v>
      </c>
      <c r="J173" s="53">
        <v>1</v>
      </c>
      <c r="K173" s="53">
        <v>94</v>
      </c>
      <c r="L173" s="24">
        <f t="shared" si="17"/>
        <v>1.3</v>
      </c>
      <c r="M173" s="24">
        <f t="shared" si="18"/>
        <v>94</v>
      </c>
      <c r="N173" s="37" t="s">
        <v>25</v>
      </c>
      <c r="O173" s="37" t="s">
        <v>25</v>
      </c>
      <c r="P173" s="37">
        <v>0</v>
      </c>
      <c r="Q173" s="37">
        <v>0</v>
      </c>
      <c r="R173" s="37" t="s">
        <v>259</v>
      </c>
      <c r="S173" s="37"/>
    </row>
    <row r="174" spans="1:19" x14ac:dyDescent="0.3">
      <c r="A174" s="37">
        <v>118</v>
      </c>
      <c r="B174" s="37" t="s">
        <v>206</v>
      </c>
      <c r="C174" s="37" t="s">
        <v>255</v>
      </c>
      <c r="D174" s="37" t="s">
        <v>139</v>
      </c>
      <c r="E174" s="37" t="s">
        <v>22</v>
      </c>
      <c r="F174" s="42">
        <v>45291</v>
      </c>
      <c r="G174" s="37">
        <v>2023</v>
      </c>
      <c r="H174" s="37" t="s">
        <v>27</v>
      </c>
      <c r="I174" s="39" t="s">
        <v>32</v>
      </c>
      <c r="J174" s="53">
        <v>80</v>
      </c>
      <c r="K174" s="53">
        <v>94.138576779026195</v>
      </c>
      <c r="L174" s="24">
        <f t="shared" si="17"/>
        <v>1.1767322097378274</v>
      </c>
      <c r="M174" s="24">
        <f t="shared" si="18"/>
        <v>1.1767322097378274</v>
      </c>
      <c r="N174" s="37" t="s">
        <v>25</v>
      </c>
      <c r="O174" s="37" t="s">
        <v>25</v>
      </c>
      <c r="P174" s="37">
        <v>0</v>
      </c>
      <c r="Q174" s="37">
        <v>0</v>
      </c>
      <c r="R174" s="37" t="s">
        <v>260</v>
      </c>
      <c r="S174" s="37"/>
    </row>
    <row r="175" spans="1:19" x14ac:dyDescent="0.3">
      <c r="A175" s="37">
        <v>118</v>
      </c>
      <c r="B175" s="37" t="s">
        <v>257</v>
      </c>
      <c r="C175" s="37" t="s">
        <v>258</v>
      </c>
      <c r="D175" s="37" t="s">
        <v>139</v>
      </c>
      <c r="E175" s="37" t="s">
        <v>22</v>
      </c>
      <c r="F175" s="42">
        <v>45596</v>
      </c>
      <c r="G175" s="37">
        <v>2024</v>
      </c>
      <c r="H175" s="37" t="s">
        <v>89</v>
      </c>
      <c r="I175" s="37" t="s">
        <v>36</v>
      </c>
      <c r="J175" s="37">
        <v>1</v>
      </c>
      <c r="K175" s="53">
        <v>86</v>
      </c>
      <c r="L175" s="24">
        <f t="shared" si="17"/>
        <v>1.3</v>
      </c>
      <c r="M175" s="24">
        <f t="shared" si="18"/>
        <v>86</v>
      </c>
      <c r="N175" s="37" t="s">
        <v>25</v>
      </c>
      <c r="O175" s="37" t="s">
        <v>25</v>
      </c>
      <c r="P175" s="37">
        <v>0</v>
      </c>
      <c r="Q175" s="37">
        <v>0</v>
      </c>
      <c r="R175" s="37" t="s">
        <v>261</v>
      </c>
      <c r="S175" s="37"/>
    </row>
    <row r="176" spans="1:19" x14ac:dyDescent="0.3">
      <c r="A176" s="36">
        <v>118</v>
      </c>
      <c r="B176" s="37" t="s">
        <v>257</v>
      </c>
      <c r="C176" s="37" t="s">
        <v>258</v>
      </c>
      <c r="D176" s="37" t="s">
        <v>139</v>
      </c>
      <c r="E176" s="37" t="s">
        <v>22</v>
      </c>
      <c r="F176" s="42">
        <v>45657</v>
      </c>
      <c r="G176" s="37">
        <v>2024</v>
      </c>
      <c r="H176" s="37" t="s">
        <v>27</v>
      </c>
      <c r="I176" s="39" t="s">
        <v>36</v>
      </c>
      <c r="J176" s="37">
        <v>80</v>
      </c>
      <c r="K176" s="54">
        <v>86</v>
      </c>
      <c r="L176" s="24">
        <f t="shared" si="17"/>
        <v>1.075</v>
      </c>
      <c r="M176" s="24">
        <f t="shared" si="18"/>
        <v>1.075</v>
      </c>
      <c r="N176" s="37" t="s">
        <v>25</v>
      </c>
      <c r="O176" s="37" t="s">
        <v>25</v>
      </c>
      <c r="P176" s="40">
        <v>0</v>
      </c>
      <c r="Q176" s="40">
        <v>0</v>
      </c>
      <c r="R176" s="37" t="s">
        <v>262</v>
      </c>
      <c r="S176" s="37"/>
    </row>
    <row r="177" spans="1:19" x14ac:dyDescent="0.3">
      <c r="A177" s="36">
        <v>121</v>
      </c>
      <c r="B177" s="37" t="s">
        <v>263</v>
      </c>
      <c r="C177" s="37" t="s">
        <v>55</v>
      </c>
      <c r="D177" s="37" t="s">
        <v>73</v>
      </c>
      <c r="E177" s="37" t="s">
        <v>56</v>
      </c>
      <c r="F177" s="42">
        <v>44592</v>
      </c>
      <c r="G177" s="37">
        <v>2022</v>
      </c>
      <c r="H177" s="37" t="s">
        <v>74</v>
      </c>
      <c r="I177" s="39" t="s">
        <v>24</v>
      </c>
      <c r="J177" s="3">
        <v>100</v>
      </c>
      <c r="K177" s="57">
        <v>99.930127235873996</v>
      </c>
      <c r="L177" s="24">
        <f t="shared" si="17"/>
        <v>1.0006992162029482</v>
      </c>
      <c r="M177" s="24">
        <f t="shared" si="18"/>
        <v>1.0006992162029482</v>
      </c>
      <c r="N177" s="56" t="s">
        <v>264</v>
      </c>
      <c r="O177" s="56" t="s">
        <v>264</v>
      </c>
      <c r="P177" s="40">
        <v>0</v>
      </c>
      <c r="Q177" s="40">
        <v>0</v>
      </c>
      <c r="R177" s="37" t="s">
        <v>265</v>
      </c>
      <c r="S177" s="37"/>
    </row>
    <row r="178" spans="1:19" x14ac:dyDescent="0.3">
      <c r="A178" s="36">
        <v>121</v>
      </c>
      <c r="B178" s="37" t="s">
        <v>263</v>
      </c>
      <c r="C178" s="37" t="s">
        <v>55</v>
      </c>
      <c r="D178" s="37" t="s">
        <v>73</v>
      </c>
      <c r="E178" s="37" t="s">
        <v>56</v>
      </c>
      <c r="F178" s="38">
        <v>44620</v>
      </c>
      <c r="G178" s="37">
        <v>2022</v>
      </c>
      <c r="H178" s="37" t="s">
        <v>76</v>
      </c>
      <c r="I178" s="39" t="s">
        <v>24</v>
      </c>
      <c r="J178" s="3">
        <v>100</v>
      </c>
      <c r="K178" s="57">
        <v>99.836200327347001</v>
      </c>
      <c r="L178" s="24">
        <f t="shared" si="17"/>
        <v>1.0016406841618164</v>
      </c>
      <c r="M178" s="24">
        <f t="shared" si="18"/>
        <v>1.0016406841618164</v>
      </c>
      <c r="N178" s="56" t="s">
        <v>264</v>
      </c>
      <c r="O178" s="56" t="s">
        <v>264</v>
      </c>
      <c r="P178" s="40">
        <v>0</v>
      </c>
      <c r="Q178" s="40">
        <v>0</v>
      </c>
      <c r="R178" s="37" t="s">
        <v>266</v>
      </c>
      <c r="S178" s="37"/>
    </row>
    <row r="179" spans="1:19" x14ac:dyDescent="0.3">
      <c r="A179" s="36">
        <v>121</v>
      </c>
      <c r="B179" s="37" t="s">
        <v>263</v>
      </c>
      <c r="C179" s="37" t="s">
        <v>55</v>
      </c>
      <c r="D179" s="37" t="s">
        <v>73</v>
      </c>
      <c r="E179" s="37" t="s">
        <v>56</v>
      </c>
      <c r="F179" s="42">
        <v>44651</v>
      </c>
      <c r="G179" s="37">
        <v>2022</v>
      </c>
      <c r="H179" s="37" t="s">
        <v>40</v>
      </c>
      <c r="I179" s="39" t="s">
        <v>24</v>
      </c>
      <c r="J179" s="3">
        <v>100</v>
      </c>
      <c r="K179" s="25">
        <v>100.01054895052999</v>
      </c>
      <c r="L179" s="24">
        <f t="shared" si="17"/>
        <v>0.999894521621562</v>
      </c>
      <c r="M179" s="24">
        <f t="shared" si="18"/>
        <v>0.999894521621562</v>
      </c>
      <c r="N179" s="56" t="s">
        <v>264</v>
      </c>
      <c r="O179" s="56" t="s">
        <v>264</v>
      </c>
      <c r="P179" s="40">
        <v>0</v>
      </c>
      <c r="Q179" s="40">
        <v>0</v>
      </c>
      <c r="R179" s="37" t="s">
        <v>267</v>
      </c>
      <c r="S179" s="37"/>
    </row>
    <row r="180" spans="1:19" x14ac:dyDescent="0.3">
      <c r="A180" s="36">
        <v>121</v>
      </c>
      <c r="B180" s="37" t="s">
        <v>263</v>
      </c>
      <c r="C180" s="37" t="s">
        <v>55</v>
      </c>
      <c r="D180" s="37" t="s">
        <v>73</v>
      </c>
      <c r="E180" s="37" t="s">
        <v>56</v>
      </c>
      <c r="F180" s="42">
        <v>44681</v>
      </c>
      <c r="G180" s="37">
        <v>2022</v>
      </c>
      <c r="H180" s="37" t="s">
        <v>79</v>
      </c>
      <c r="I180" s="39" t="s">
        <v>24</v>
      </c>
      <c r="J180" s="3">
        <v>100</v>
      </c>
      <c r="K180" s="25">
        <v>99.442905836212006</v>
      </c>
      <c r="L180" s="24">
        <f t="shared" si="17"/>
        <v>1.0056021508935544</v>
      </c>
      <c r="M180" s="24">
        <f t="shared" si="18"/>
        <v>1.0056021508935544</v>
      </c>
      <c r="N180" s="56" t="s">
        <v>264</v>
      </c>
      <c r="O180" s="56" t="s">
        <v>264</v>
      </c>
      <c r="P180" s="40">
        <v>0</v>
      </c>
      <c r="Q180" s="40">
        <v>0</v>
      </c>
      <c r="R180" s="37" t="s">
        <v>268</v>
      </c>
      <c r="S180" s="37"/>
    </row>
    <row r="181" spans="1:19" x14ac:dyDescent="0.3">
      <c r="A181" s="36">
        <v>121</v>
      </c>
      <c r="B181" s="37" t="s">
        <v>263</v>
      </c>
      <c r="C181" s="37" t="s">
        <v>55</v>
      </c>
      <c r="D181" s="37" t="s">
        <v>73</v>
      </c>
      <c r="E181" s="37" t="s">
        <v>56</v>
      </c>
      <c r="F181" s="42">
        <v>44712</v>
      </c>
      <c r="G181" s="37">
        <v>2022</v>
      </c>
      <c r="H181" s="37" t="s">
        <v>81</v>
      </c>
      <c r="I181" s="39" t="s">
        <v>24</v>
      </c>
      <c r="J181" s="3">
        <v>100</v>
      </c>
      <c r="K181" s="25">
        <v>99.527558823104002</v>
      </c>
      <c r="L181" s="24">
        <f t="shared" si="17"/>
        <v>1.004746837785258</v>
      </c>
      <c r="M181" s="24">
        <f t="shared" si="18"/>
        <v>1.004746837785258</v>
      </c>
      <c r="N181" s="56" t="s">
        <v>264</v>
      </c>
      <c r="O181" s="56" t="s">
        <v>264</v>
      </c>
      <c r="P181" s="40">
        <v>0</v>
      </c>
      <c r="Q181" s="40">
        <v>0</v>
      </c>
      <c r="R181" s="37" t="s">
        <v>269</v>
      </c>
      <c r="S181" s="37"/>
    </row>
    <row r="182" spans="1:19" x14ac:dyDescent="0.3">
      <c r="A182" s="36">
        <v>121</v>
      </c>
      <c r="B182" s="37" t="s">
        <v>263</v>
      </c>
      <c r="C182" s="37" t="s">
        <v>55</v>
      </c>
      <c r="D182" s="37" t="s">
        <v>73</v>
      </c>
      <c r="E182" s="37" t="s">
        <v>56</v>
      </c>
      <c r="F182" s="42">
        <v>44742</v>
      </c>
      <c r="G182" s="37">
        <v>2022</v>
      </c>
      <c r="H182" s="37" t="s">
        <v>23</v>
      </c>
      <c r="I182" s="39" t="s">
        <v>24</v>
      </c>
      <c r="J182" s="3">
        <v>100</v>
      </c>
      <c r="K182" s="25">
        <v>100.01207569838</v>
      </c>
      <c r="L182" s="24">
        <f t="shared" si="17"/>
        <v>0.99987925759668839</v>
      </c>
      <c r="M182" s="24">
        <f t="shared" si="18"/>
        <v>0.99987925759668839</v>
      </c>
      <c r="N182" s="56" t="s">
        <v>264</v>
      </c>
      <c r="O182" s="56" t="s">
        <v>264</v>
      </c>
      <c r="P182" s="40">
        <v>0</v>
      </c>
      <c r="Q182" s="40">
        <v>0</v>
      </c>
      <c r="R182" s="37" t="s">
        <v>270</v>
      </c>
      <c r="S182" s="37"/>
    </row>
    <row r="183" spans="1:19" x14ac:dyDescent="0.3">
      <c r="A183" s="36">
        <v>121</v>
      </c>
      <c r="B183" s="37" t="s">
        <v>263</v>
      </c>
      <c r="C183" s="37" t="s">
        <v>55</v>
      </c>
      <c r="D183" s="37" t="s">
        <v>73</v>
      </c>
      <c r="E183" s="37" t="s">
        <v>56</v>
      </c>
      <c r="F183" s="42">
        <v>44773</v>
      </c>
      <c r="G183" s="37">
        <v>2022</v>
      </c>
      <c r="H183" s="37" t="s">
        <v>84</v>
      </c>
      <c r="I183" s="39" t="s">
        <v>28</v>
      </c>
      <c r="J183" s="3">
        <v>100</v>
      </c>
      <c r="K183" s="25">
        <v>100.06964761423001</v>
      </c>
      <c r="L183" s="24">
        <f t="shared" si="17"/>
        <v>0.99930400859910595</v>
      </c>
      <c r="M183" s="24">
        <f t="shared" si="18"/>
        <v>0.99930400859910595</v>
      </c>
      <c r="N183" s="56" t="s">
        <v>264</v>
      </c>
      <c r="O183" s="56" t="s">
        <v>264</v>
      </c>
      <c r="P183" s="40">
        <v>0</v>
      </c>
      <c r="Q183" s="40">
        <v>0</v>
      </c>
      <c r="R183" s="37" t="s">
        <v>271</v>
      </c>
      <c r="S183" s="37"/>
    </row>
    <row r="184" spans="1:19" x14ac:dyDescent="0.3">
      <c r="A184" s="36">
        <v>121</v>
      </c>
      <c r="B184" s="37" t="s">
        <v>263</v>
      </c>
      <c r="C184" s="37" t="s">
        <v>55</v>
      </c>
      <c r="D184" s="37" t="s">
        <v>73</v>
      </c>
      <c r="E184" s="37" t="s">
        <v>56</v>
      </c>
      <c r="F184" s="42">
        <v>44804</v>
      </c>
      <c r="G184" s="37">
        <v>2022</v>
      </c>
      <c r="H184" s="37" t="s">
        <v>86</v>
      </c>
      <c r="I184" s="39" t="s">
        <v>28</v>
      </c>
      <c r="J184" s="3">
        <v>100</v>
      </c>
      <c r="K184" s="25">
        <v>100.56593556404</v>
      </c>
      <c r="L184" s="24">
        <f t="shared" si="17"/>
        <v>0.99437249242632841</v>
      </c>
      <c r="M184" s="24">
        <f t="shared" si="18"/>
        <v>0.99437249242632841</v>
      </c>
      <c r="N184" s="56" t="s">
        <v>264</v>
      </c>
      <c r="O184" s="56" t="s">
        <v>264</v>
      </c>
      <c r="P184" s="40">
        <v>0</v>
      </c>
      <c r="Q184" s="40">
        <v>0</v>
      </c>
      <c r="R184" s="37" t="s">
        <v>272</v>
      </c>
      <c r="S184" s="37"/>
    </row>
    <row r="185" spans="1:19" x14ac:dyDescent="0.3">
      <c r="A185" s="36">
        <v>121</v>
      </c>
      <c r="B185" s="37" t="s">
        <v>263</v>
      </c>
      <c r="C185" s="37" t="s">
        <v>55</v>
      </c>
      <c r="D185" s="37" t="s">
        <v>73</v>
      </c>
      <c r="E185" s="37" t="s">
        <v>56</v>
      </c>
      <c r="F185" s="42">
        <v>44834</v>
      </c>
      <c r="G185" s="37">
        <v>2022</v>
      </c>
      <c r="H185" s="37" t="s">
        <v>43</v>
      </c>
      <c r="I185" s="39" t="s">
        <v>28</v>
      </c>
      <c r="J185" s="3">
        <v>100</v>
      </c>
      <c r="K185" s="25">
        <v>100.37732729256</v>
      </c>
      <c r="L185" s="24">
        <f t="shared" si="17"/>
        <v>0.9962409111426106</v>
      </c>
      <c r="M185" s="24">
        <f t="shared" si="18"/>
        <v>0.9962409111426106</v>
      </c>
      <c r="N185" s="56" t="s">
        <v>264</v>
      </c>
      <c r="O185" s="56" t="s">
        <v>264</v>
      </c>
      <c r="P185" s="40">
        <v>0</v>
      </c>
      <c r="Q185" s="40">
        <v>0</v>
      </c>
      <c r="R185" s="37" t="s">
        <v>273</v>
      </c>
      <c r="S185" s="37"/>
    </row>
    <row r="186" spans="1:19" x14ac:dyDescent="0.3">
      <c r="A186" s="36">
        <v>121</v>
      </c>
      <c r="B186" s="37" t="s">
        <v>263</v>
      </c>
      <c r="C186" s="37" t="s">
        <v>55</v>
      </c>
      <c r="D186" s="37" t="s">
        <v>73</v>
      </c>
      <c r="E186" s="37" t="s">
        <v>56</v>
      </c>
      <c r="F186" s="42">
        <v>44865</v>
      </c>
      <c r="G186" s="37">
        <v>2022</v>
      </c>
      <c r="H186" s="37" t="s">
        <v>89</v>
      </c>
      <c r="I186" s="39" t="s">
        <v>28</v>
      </c>
      <c r="J186" s="3">
        <v>100</v>
      </c>
      <c r="K186" s="25">
        <v>101.60380995181001</v>
      </c>
      <c r="L186" s="24">
        <f t="shared" si="17"/>
        <v>0.98421506090597699</v>
      </c>
      <c r="M186" s="24">
        <f t="shared" si="18"/>
        <v>0.98421506090597699</v>
      </c>
      <c r="N186" s="56" t="s">
        <v>264</v>
      </c>
      <c r="O186" s="56" t="s">
        <v>264</v>
      </c>
      <c r="P186" s="40">
        <v>0</v>
      </c>
      <c r="Q186" s="40">
        <v>0</v>
      </c>
      <c r="R186" s="37" t="s">
        <v>274</v>
      </c>
      <c r="S186" s="37"/>
    </row>
    <row r="187" spans="1:19" x14ac:dyDescent="0.3">
      <c r="A187" s="36">
        <v>121</v>
      </c>
      <c r="B187" s="37" t="s">
        <v>263</v>
      </c>
      <c r="C187" s="37" t="s">
        <v>55</v>
      </c>
      <c r="D187" s="37" t="s">
        <v>73</v>
      </c>
      <c r="E187" s="37" t="s">
        <v>56</v>
      </c>
      <c r="F187" s="42">
        <v>44895</v>
      </c>
      <c r="G187" s="37">
        <v>2022</v>
      </c>
      <c r="H187" s="37" t="s">
        <v>91</v>
      </c>
      <c r="I187" s="39" t="s">
        <v>28</v>
      </c>
      <c r="J187" s="3">
        <v>100</v>
      </c>
      <c r="K187" s="25">
        <v>101.72418864889001</v>
      </c>
      <c r="L187" s="24">
        <f t="shared" si="17"/>
        <v>0.98305035732611057</v>
      </c>
      <c r="M187" s="24">
        <f t="shared" si="18"/>
        <v>0.98305035732611057</v>
      </c>
      <c r="N187" s="56" t="s">
        <v>264</v>
      </c>
      <c r="O187" s="56" t="s">
        <v>264</v>
      </c>
      <c r="P187" s="40">
        <v>0</v>
      </c>
      <c r="Q187" s="40">
        <v>0</v>
      </c>
      <c r="R187" s="37" t="s">
        <v>275</v>
      </c>
      <c r="S187" s="37"/>
    </row>
    <row r="188" spans="1:19" x14ac:dyDescent="0.3">
      <c r="A188" s="41">
        <v>121</v>
      </c>
      <c r="B188" s="37" t="s">
        <v>263</v>
      </c>
      <c r="C188" s="37" t="s">
        <v>55</v>
      </c>
      <c r="D188" s="37" t="s">
        <v>73</v>
      </c>
      <c r="E188" s="37" t="s">
        <v>56</v>
      </c>
      <c r="F188" s="42">
        <v>44926</v>
      </c>
      <c r="G188" s="37">
        <v>2022</v>
      </c>
      <c r="H188" s="37" t="s">
        <v>27</v>
      </c>
      <c r="I188" s="39" t="s">
        <v>28</v>
      </c>
      <c r="J188" s="3">
        <v>100</v>
      </c>
      <c r="K188" s="57">
        <v>99.868284606334001</v>
      </c>
      <c r="L188" s="24">
        <f t="shared" si="17"/>
        <v>1.0013188911192898</v>
      </c>
      <c r="M188" s="24">
        <f t="shared" si="18"/>
        <v>1.0013188911192898</v>
      </c>
      <c r="N188" s="56" t="s">
        <v>264</v>
      </c>
      <c r="O188" s="56" t="s">
        <v>264</v>
      </c>
      <c r="P188" s="40">
        <v>0</v>
      </c>
      <c r="Q188" s="40">
        <v>0</v>
      </c>
      <c r="R188" s="37" t="s">
        <v>276</v>
      </c>
      <c r="S188" s="37"/>
    </row>
    <row r="189" spans="1:19" x14ac:dyDescent="0.3">
      <c r="A189" s="36">
        <v>121</v>
      </c>
      <c r="B189" s="37" t="s">
        <v>263</v>
      </c>
      <c r="C189" s="37" t="s">
        <v>55</v>
      </c>
      <c r="D189" s="37" t="s">
        <v>73</v>
      </c>
      <c r="E189" s="37" t="s">
        <v>56</v>
      </c>
      <c r="F189" s="42">
        <v>44957</v>
      </c>
      <c r="G189" s="37">
        <v>2023</v>
      </c>
      <c r="H189" s="37" t="s">
        <v>74</v>
      </c>
      <c r="I189" s="39" t="s">
        <v>30</v>
      </c>
      <c r="J189" s="37">
        <v>100</v>
      </c>
      <c r="K189" s="56">
        <v>107.04104854011</v>
      </c>
      <c r="L189" s="24">
        <f t="shared" si="17"/>
        <v>0.93422104289765429</v>
      </c>
      <c r="M189" s="24">
        <f t="shared" si="18"/>
        <v>0.93422104289765429</v>
      </c>
      <c r="N189" s="56" t="s">
        <v>264</v>
      </c>
      <c r="O189" s="56" t="s">
        <v>264</v>
      </c>
      <c r="P189" s="40">
        <v>0</v>
      </c>
      <c r="Q189" s="40">
        <v>0</v>
      </c>
      <c r="R189" s="37" t="s">
        <v>277</v>
      </c>
      <c r="S189" s="37"/>
    </row>
    <row r="190" spans="1:19" x14ac:dyDescent="0.3">
      <c r="A190" s="36">
        <v>121</v>
      </c>
      <c r="B190" s="37" t="s">
        <v>263</v>
      </c>
      <c r="C190" s="37" t="s">
        <v>55</v>
      </c>
      <c r="D190" s="37" t="s">
        <v>73</v>
      </c>
      <c r="E190" s="37" t="s">
        <v>56</v>
      </c>
      <c r="F190" s="38">
        <v>44985</v>
      </c>
      <c r="G190" s="37">
        <v>2023</v>
      </c>
      <c r="H190" s="37" t="s">
        <v>76</v>
      </c>
      <c r="I190" s="39" t="s">
        <v>30</v>
      </c>
      <c r="J190" s="37">
        <v>100</v>
      </c>
      <c r="K190" s="56">
        <v>107.49236074846</v>
      </c>
      <c r="L190" s="24">
        <f t="shared" si="17"/>
        <v>0.93029866777237613</v>
      </c>
      <c r="M190" s="24">
        <f t="shared" si="18"/>
        <v>0.93029866777237613</v>
      </c>
      <c r="N190" s="56" t="s">
        <v>264</v>
      </c>
      <c r="O190" s="56" t="s">
        <v>264</v>
      </c>
      <c r="P190" s="40">
        <v>0</v>
      </c>
      <c r="Q190" s="40">
        <v>0</v>
      </c>
      <c r="R190" s="37" t="s">
        <v>278</v>
      </c>
      <c r="S190" s="37"/>
    </row>
    <row r="191" spans="1:19" x14ac:dyDescent="0.3">
      <c r="A191" s="36">
        <v>121</v>
      </c>
      <c r="B191" s="37" t="s">
        <v>263</v>
      </c>
      <c r="C191" s="37" t="s">
        <v>55</v>
      </c>
      <c r="D191" s="37" t="s">
        <v>73</v>
      </c>
      <c r="E191" s="37" t="s">
        <v>56</v>
      </c>
      <c r="F191" s="42">
        <v>45016</v>
      </c>
      <c r="G191" s="37">
        <v>2023</v>
      </c>
      <c r="H191" s="37" t="s">
        <v>40</v>
      </c>
      <c r="I191" s="39" t="s">
        <v>30</v>
      </c>
      <c r="J191" s="37">
        <v>100</v>
      </c>
      <c r="K191" s="56">
        <v>103.03666150559999</v>
      </c>
      <c r="L191" s="24">
        <f t="shared" ref="L191:L212" si="19">IFERROR(IF(OR(J191=0,K191=""),"",IF(E191="Positivo",MIN(MAX(K191/J191,0),1.3),MIN(MAX(J191/K191,0),1.3))),"")</f>
        <v>0.97052833951306783</v>
      </c>
      <c r="M191" s="24">
        <f t="shared" ref="M191:M212" si="20">IFERROR(IF(OR(J191=0,K191=""),"",IF(E191="Positivo",MAX(K191/J191,0),MAX(J191/K191,0))),"")</f>
        <v>0.97052833951306783</v>
      </c>
      <c r="N191" s="56" t="s">
        <v>264</v>
      </c>
      <c r="O191" s="56" t="s">
        <v>264</v>
      </c>
      <c r="P191" s="40">
        <v>0</v>
      </c>
      <c r="Q191" s="40">
        <v>0</v>
      </c>
      <c r="R191" s="37" t="s">
        <v>279</v>
      </c>
      <c r="S191" s="37"/>
    </row>
    <row r="192" spans="1:19" x14ac:dyDescent="0.3">
      <c r="A192" s="36">
        <v>121</v>
      </c>
      <c r="B192" s="37" t="s">
        <v>263</v>
      </c>
      <c r="C192" s="37" t="s">
        <v>55</v>
      </c>
      <c r="D192" s="37" t="s">
        <v>73</v>
      </c>
      <c r="E192" s="37" t="s">
        <v>56</v>
      </c>
      <c r="F192" s="42">
        <v>45046</v>
      </c>
      <c r="G192" s="37">
        <v>2023</v>
      </c>
      <c r="H192" s="37" t="s">
        <v>79</v>
      </c>
      <c r="I192" s="39" t="s">
        <v>30</v>
      </c>
      <c r="J192" s="37">
        <v>100</v>
      </c>
      <c r="K192" s="26">
        <v>98.504433782025998</v>
      </c>
      <c r="L192" s="24">
        <f t="shared" si="19"/>
        <v>1.0151827299599878</v>
      </c>
      <c r="M192" s="24">
        <f t="shared" si="20"/>
        <v>1.0151827299599878</v>
      </c>
      <c r="N192" s="56" t="s">
        <v>264</v>
      </c>
      <c r="O192" s="56" t="s">
        <v>264</v>
      </c>
      <c r="P192" s="40">
        <v>0</v>
      </c>
      <c r="Q192" s="40">
        <v>0</v>
      </c>
      <c r="R192" s="37" t="s">
        <v>280</v>
      </c>
      <c r="S192" s="37"/>
    </row>
    <row r="193" spans="1:19" x14ac:dyDescent="0.3">
      <c r="A193" s="36">
        <v>121</v>
      </c>
      <c r="B193" s="37" t="s">
        <v>263</v>
      </c>
      <c r="C193" s="37" t="s">
        <v>55</v>
      </c>
      <c r="D193" s="37" t="s">
        <v>73</v>
      </c>
      <c r="E193" s="37" t="s">
        <v>56</v>
      </c>
      <c r="F193" s="42">
        <v>45077</v>
      </c>
      <c r="G193" s="37">
        <v>2023</v>
      </c>
      <c r="H193" s="37" t="s">
        <v>81</v>
      </c>
      <c r="I193" s="39" t="s">
        <v>30</v>
      </c>
      <c r="J193" s="37">
        <v>100</v>
      </c>
      <c r="K193" s="26">
        <v>101.21742519278</v>
      </c>
      <c r="L193" s="24">
        <f t="shared" si="19"/>
        <v>0.98797217780968771</v>
      </c>
      <c r="M193" s="24">
        <f t="shared" si="20"/>
        <v>0.98797217780968771</v>
      </c>
      <c r="N193" s="56" t="s">
        <v>264</v>
      </c>
      <c r="O193" s="56" t="s">
        <v>264</v>
      </c>
      <c r="P193" s="40">
        <v>0</v>
      </c>
      <c r="Q193" s="40">
        <v>0</v>
      </c>
      <c r="R193" s="37" t="s">
        <v>281</v>
      </c>
      <c r="S193" s="37"/>
    </row>
    <row r="194" spans="1:19" x14ac:dyDescent="0.3">
      <c r="A194" s="36">
        <v>121</v>
      </c>
      <c r="B194" s="37" t="s">
        <v>263</v>
      </c>
      <c r="C194" s="37" t="s">
        <v>55</v>
      </c>
      <c r="D194" s="37" t="s">
        <v>73</v>
      </c>
      <c r="E194" s="37" t="s">
        <v>56</v>
      </c>
      <c r="F194" s="42">
        <v>45107</v>
      </c>
      <c r="G194" s="37">
        <v>2023</v>
      </c>
      <c r="H194" s="37" t="s">
        <v>23</v>
      </c>
      <c r="I194" s="39" t="s">
        <v>30</v>
      </c>
      <c r="J194" s="37">
        <v>100</v>
      </c>
      <c r="K194" s="26">
        <v>102.42831146953</v>
      </c>
      <c r="L194" s="24">
        <f t="shared" si="19"/>
        <v>0.97629257541502701</v>
      </c>
      <c r="M194" s="24">
        <f t="shared" si="20"/>
        <v>0.97629257541502701</v>
      </c>
      <c r="N194" s="56" t="s">
        <v>264</v>
      </c>
      <c r="O194" s="56" t="s">
        <v>264</v>
      </c>
      <c r="P194" s="40">
        <v>0</v>
      </c>
      <c r="Q194" s="40">
        <v>0</v>
      </c>
      <c r="R194" s="37" t="s">
        <v>282</v>
      </c>
      <c r="S194" s="37"/>
    </row>
    <row r="195" spans="1:19" x14ac:dyDescent="0.3">
      <c r="A195" s="36">
        <v>121</v>
      </c>
      <c r="B195" s="37" t="s">
        <v>263</v>
      </c>
      <c r="C195" s="37" t="s">
        <v>55</v>
      </c>
      <c r="D195" s="37" t="s">
        <v>73</v>
      </c>
      <c r="E195" s="37" t="s">
        <v>56</v>
      </c>
      <c r="F195" s="42">
        <v>45138</v>
      </c>
      <c r="G195" s="37">
        <v>2023</v>
      </c>
      <c r="H195" s="37" t="s">
        <v>84</v>
      </c>
      <c r="I195" s="39" t="s">
        <v>32</v>
      </c>
      <c r="J195" s="37">
        <v>100</v>
      </c>
      <c r="K195" s="26">
        <v>103.81483574783999</v>
      </c>
      <c r="L195" s="24">
        <f t="shared" si="19"/>
        <v>0.96325346256766231</v>
      </c>
      <c r="M195" s="24">
        <f t="shared" si="20"/>
        <v>0.96325346256766231</v>
      </c>
      <c r="N195" s="56" t="s">
        <v>264</v>
      </c>
      <c r="O195" s="56" t="s">
        <v>264</v>
      </c>
      <c r="P195" s="40">
        <v>0</v>
      </c>
      <c r="Q195" s="40">
        <v>0</v>
      </c>
      <c r="R195" s="37" t="s">
        <v>283</v>
      </c>
      <c r="S195" s="37"/>
    </row>
    <row r="196" spans="1:19" x14ac:dyDescent="0.3">
      <c r="A196" s="36">
        <v>121</v>
      </c>
      <c r="B196" s="37" t="s">
        <v>263</v>
      </c>
      <c r="C196" s="37" t="s">
        <v>55</v>
      </c>
      <c r="D196" s="37" t="s">
        <v>73</v>
      </c>
      <c r="E196" s="37" t="s">
        <v>56</v>
      </c>
      <c r="F196" s="42">
        <v>45169</v>
      </c>
      <c r="G196" s="37">
        <v>2023</v>
      </c>
      <c r="H196" s="37" t="s">
        <v>86</v>
      </c>
      <c r="I196" s="39" t="s">
        <v>32</v>
      </c>
      <c r="J196" s="37">
        <v>100</v>
      </c>
      <c r="K196" s="26">
        <v>105.15</v>
      </c>
      <c r="L196" s="24">
        <f t="shared" si="19"/>
        <v>0.951022349025202</v>
      </c>
      <c r="M196" s="24">
        <f t="shared" si="20"/>
        <v>0.951022349025202</v>
      </c>
      <c r="N196" s="56" t="s">
        <v>264</v>
      </c>
      <c r="O196" s="56" t="s">
        <v>264</v>
      </c>
      <c r="P196" s="40">
        <v>0</v>
      </c>
      <c r="Q196" s="40">
        <v>0</v>
      </c>
      <c r="R196" s="37" t="s">
        <v>284</v>
      </c>
      <c r="S196" s="37"/>
    </row>
    <row r="197" spans="1:19" x14ac:dyDescent="0.3">
      <c r="A197" s="36">
        <v>121</v>
      </c>
      <c r="B197" s="37" t="s">
        <v>263</v>
      </c>
      <c r="C197" s="37" t="s">
        <v>55</v>
      </c>
      <c r="D197" s="37" t="s">
        <v>73</v>
      </c>
      <c r="E197" s="37" t="s">
        <v>56</v>
      </c>
      <c r="F197" s="42">
        <v>45199</v>
      </c>
      <c r="G197" s="37">
        <v>2023</v>
      </c>
      <c r="H197" s="37" t="s">
        <v>43</v>
      </c>
      <c r="I197" s="39" t="s">
        <v>32</v>
      </c>
      <c r="J197" s="37">
        <v>100</v>
      </c>
      <c r="K197" s="26">
        <v>104.64</v>
      </c>
      <c r="L197" s="24">
        <f t="shared" si="19"/>
        <v>0.95565749235474007</v>
      </c>
      <c r="M197" s="24">
        <f t="shared" si="20"/>
        <v>0.95565749235474007</v>
      </c>
      <c r="N197" s="56" t="s">
        <v>264</v>
      </c>
      <c r="O197" s="56" t="s">
        <v>264</v>
      </c>
      <c r="P197" s="40">
        <v>0</v>
      </c>
      <c r="Q197" s="40">
        <v>0</v>
      </c>
      <c r="R197" s="37" t="s">
        <v>285</v>
      </c>
      <c r="S197" s="37"/>
    </row>
    <row r="198" spans="1:19" x14ac:dyDescent="0.3">
      <c r="A198" s="36">
        <v>121</v>
      </c>
      <c r="B198" s="37" t="s">
        <v>263</v>
      </c>
      <c r="C198" s="37" t="s">
        <v>55</v>
      </c>
      <c r="D198" s="37" t="s">
        <v>73</v>
      </c>
      <c r="E198" s="37" t="s">
        <v>56</v>
      </c>
      <c r="F198" s="42">
        <v>45230</v>
      </c>
      <c r="G198" s="37">
        <v>2023</v>
      </c>
      <c r="H198" s="37" t="s">
        <v>89</v>
      </c>
      <c r="I198" s="39" t="s">
        <v>32</v>
      </c>
      <c r="J198" s="37">
        <v>100</v>
      </c>
      <c r="K198" s="26">
        <v>106.58</v>
      </c>
      <c r="L198" s="24">
        <f t="shared" si="19"/>
        <v>0.93826233814974669</v>
      </c>
      <c r="M198" s="24">
        <f t="shared" si="20"/>
        <v>0.93826233814974669</v>
      </c>
      <c r="N198" s="56" t="s">
        <v>264</v>
      </c>
      <c r="O198" s="56" t="s">
        <v>264</v>
      </c>
      <c r="P198" s="40">
        <v>0</v>
      </c>
      <c r="Q198" s="40">
        <v>0</v>
      </c>
      <c r="R198" s="37" t="s">
        <v>286</v>
      </c>
      <c r="S198" s="37"/>
    </row>
    <row r="199" spans="1:19" x14ac:dyDescent="0.3">
      <c r="A199" s="36">
        <v>121</v>
      </c>
      <c r="B199" s="37" t="s">
        <v>263</v>
      </c>
      <c r="C199" s="37" t="s">
        <v>55</v>
      </c>
      <c r="D199" s="37" t="s">
        <v>73</v>
      </c>
      <c r="E199" s="37" t="s">
        <v>56</v>
      </c>
      <c r="F199" s="42">
        <v>45260</v>
      </c>
      <c r="G199" s="37">
        <v>2023</v>
      </c>
      <c r="H199" s="37" t="s">
        <v>91</v>
      </c>
      <c r="I199" s="39" t="s">
        <v>32</v>
      </c>
      <c r="J199" s="37">
        <v>100</v>
      </c>
      <c r="K199" s="56">
        <v>110.65</v>
      </c>
      <c r="L199" s="24">
        <f t="shared" si="19"/>
        <v>0.90375056484410299</v>
      </c>
      <c r="M199" s="24">
        <f t="shared" si="20"/>
        <v>0.90375056484410299</v>
      </c>
      <c r="N199" s="56" t="s">
        <v>264</v>
      </c>
      <c r="O199" s="56" t="s">
        <v>264</v>
      </c>
      <c r="P199" s="40">
        <v>0</v>
      </c>
      <c r="Q199" s="40">
        <v>0</v>
      </c>
      <c r="R199" s="37" t="s">
        <v>287</v>
      </c>
      <c r="S199" s="37"/>
    </row>
    <row r="200" spans="1:19" x14ac:dyDescent="0.3">
      <c r="A200" s="41">
        <v>121</v>
      </c>
      <c r="B200" s="37" t="s">
        <v>263</v>
      </c>
      <c r="C200" s="37" t="s">
        <v>55</v>
      </c>
      <c r="D200" s="37" t="s">
        <v>73</v>
      </c>
      <c r="E200" s="37" t="s">
        <v>56</v>
      </c>
      <c r="F200" s="42">
        <v>45291</v>
      </c>
      <c r="G200" s="37">
        <v>2023</v>
      </c>
      <c r="H200" s="37" t="s">
        <v>27</v>
      </c>
      <c r="I200" s="39" t="s">
        <v>32</v>
      </c>
      <c r="J200" s="37">
        <v>100</v>
      </c>
      <c r="K200" s="56">
        <v>111.3</v>
      </c>
      <c r="L200" s="24">
        <f t="shared" si="19"/>
        <v>0.89847259658580414</v>
      </c>
      <c r="M200" s="24">
        <f t="shared" si="20"/>
        <v>0.89847259658580414</v>
      </c>
      <c r="N200" s="56" t="s">
        <v>264</v>
      </c>
      <c r="O200" s="56" t="s">
        <v>264</v>
      </c>
      <c r="P200" s="40">
        <v>0</v>
      </c>
      <c r="Q200" s="40">
        <v>0</v>
      </c>
      <c r="R200" s="37" t="s">
        <v>288</v>
      </c>
      <c r="S200" s="37"/>
    </row>
    <row r="201" spans="1:19" x14ac:dyDescent="0.3">
      <c r="A201" s="36">
        <v>121</v>
      </c>
      <c r="B201" s="37" t="s">
        <v>263</v>
      </c>
      <c r="C201" s="37" t="s">
        <v>55</v>
      </c>
      <c r="D201" s="37" t="s">
        <v>73</v>
      </c>
      <c r="E201" s="37" t="s">
        <v>56</v>
      </c>
      <c r="F201" s="42">
        <v>45322</v>
      </c>
      <c r="G201" s="37">
        <v>2024</v>
      </c>
      <c r="H201" s="37" t="s">
        <v>74</v>
      </c>
      <c r="I201" s="39" t="s">
        <v>34</v>
      </c>
      <c r="J201" s="37">
        <v>100</v>
      </c>
      <c r="K201" s="56">
        <v>98.3</v>
      </c>
      <c r="L201" s="24">
        <f t="shared" si="19"/>
        <v>1.0172939979654121</v>
      </c>
      <c r="M201" s="24">
        <f t="shared" si="20"/>
        <v>1.0172939979654121</v>
      </c>
      <c r="N201" s="56" t="s">
        <v>264</v>
      </c>
      <c r="O201" s="56" t="s">
        <v>264</v>
      </c>
      <c r="P201" s="40">
        <v>0</v>
      </c>
      <c r="Q201" s="40">
        <v>0</v>
      </c>
      <c r="R201" s="37" t="s">
        <v>289</v>
      </c>
      <c r="S201" s="37"/>
    </row>
    <row r="202" spans="1:19" x14ac:dyDescent="0.3">
      <c r="A202" s="36">
        <v>121</v>
      </c>
      <c r="B202" s="37" t="s">
        <v>263</v>
      </c>
      <c r="C202" s="37" t="s">
        <v>55</v>
      </c>
      <c r="D202" s="37" t="s">
        <v>73</v>
      </c>
      <c r="E202" s="37" t="s">
        <v>56</v>
      </c>
      <c r="F202" s="42">
        <v>45351</v>
      </c>
      <c r="G202" s="37">
        <v>2024</v>
      </c>
      <c r="H202" s="37" t="s">
        <v>76</v>
      </c>
      <c r="I202" s="39" t="s">
        <v>34</v>
      </c>
      <c r="J202" s="37">
        <v>100</v>
      </c>
      <c r="K202" s="26">
        <v>100.37</v>
      </c>
      <c r="L202" s="24">
        <f t="shared" si="19"/>
        <v>0.9963136395337252</v>
      </c>
      <c r="M202" s="24">
        <f t="shared" si="20"/>
        <v>0.9963136395337252</v>
      </c>
      <c r="N202" s="56" t="s">
        <v>264</v>
      </c>
      <c r="O202" s="56" t="s">
        <v>264</v>
      </c>
      <c r="P202" s="40">
        <v>0</v>
      </c>
      <c r="Q202" s="40">
        <v>0</v>
      </c>
      <c r="R202" s="37" t="s">
        <v>290</v>
      </c>
      <c r="S202" s="37"/>
    </row>
    <row r="203" spans="1:19" x14ac:dyDescent="0.3">
      <c r="A203" s="36">
        <v>121</v>
      </c>
      <c r="B203" s="37" t="s">
        <v>263</v>
      </c>
      <c r="C203" s="37" t="s">
        <v>55</v>
      </c>
      <c r="D203" s="37" t="s">
        <v>73</v>
      </c>
      <c r="E203" s="37" t="s">
        <v>56</v>
      </c>
      <c r="F203" s="42">
        <v>45382</v>
      </c>
      <c r="G203" s="37">
        <v>2024</v>
      </c>
      <c r="H203" s="37" t="s">
        <v>40</v>
      </c>
      <c r="I203" s="39" t="s">
        <v>34</v>
      </c>
      <c r="J203" s="37">
        <v>100</v>
      </c>
      <c r="K203" s="26">
        <v>101.02</v>
      </c>
      <c r="L203" s="24">
        <f t="shared" si="19"/>
        <v>0.98990298950702837</v>
      </c>
      <c r="M203" s="24">
        <f t="shared" si="20"/>
        <v>0.98990298950702837</v>
      </c>
      <c r="N203" s="56" t="s">
        <v>264</v>
      </c>
      <c r="O203" s="56" t="s">
        <v>264</v>
      </c>
      <c r="P203" s="40">
        <v>0</v>
      </c>
      <c r="Q203" s="40">
        <v>0</v>
      </c>
      <c r="R203" s="37" t="s">
        <v>291</v>
      </c>
      <c r="S203" s="37"/>
    </row>
    <row r="204" spans="1:19" x14ac:dyDescent="0.3">
      <c r="A204" s="36">
        <v>121</v>
      </c>
      <c r="B204" s="37" t="s">
        <v>263</v>
      </c>
      <c r="C204" s="37" t="s">
        <v>55</v>
      </c>
      <c r="D204" s="37" t="s">
        <v>73</v>
      </c>
      <c r="E204" s="37" t="s">
        <v>56</v>
      </c>
      <c r="F204" s="42">
        <v>45412</v>
      </c>
      <c r="G204" s="37">
        <v>2024</v>
      </c>
      <c r="H204" s="37" t="s">
        <v>79</v>
      </c>
      <c r="I204" s="39" t="s">
        <v>34</v>
      </c>
      <c r="J204" s="37">
        <v>100</v>
      </c>
      <c r="K204" s="26">
        <v>102.83</v>
      </c>
      <c r="L204" s="24">
        <f t="shared" si="19"/>
        <v>0.9724788485850433</v>
      </c>
      <c r="M204" s="24">
        <f t="shared" si="20"/>
        <v>0.9724788485850433</v>
      </c>
      <c r="N204" s="56" t="s">
        <v>264</v>
      </c>
      <c r="O204" s="56" t="s">
        <v>264</v>
      </c>
      <c r="P204" s="40">
        <v>0</v>
      </c>
      <c r="Q204" s="40">
        <v>0</v>
      </c>
      <c r="R204" s="37" t="s">
        <v>292</v>
      </c>
      <c r="S204" s="37"/>
    </row>
    <row r="205" spans="1:19" x14ac:dyDescent="0.3">
      <c r="A205" s="36">
        <v>121</v>
      </c>
      <c r="B205" s="37" t="s">
        <v>263</v>
      </c>
      <c r="C205" s="37" t="s">
        <v>55</v>
      </c>
      <c r="D205" s="37" t="s">
        <v>73</v>
      </c>
      <c r="E205" s="37" t="s">
        <v>56</v>
      </c>
      <c r="F205" s="42">
        <v>45443</v>
      </c>
      <c r="G205" s="37">
        <v>2024</v>
      </c>
      <c r="H205" s="37" t="s">
        <v>81</v>
      </c>
      <c r="I205" s="39" t="s">
        <v>34</v>
      </c>
      <c r="J205" s="37">
        <v>100</v>
      </c>
      <c r="K205" s="26">
        <v>102.04</v>
      </c>
      <c r="L205" s="24">
        <f t="shared" si="19"/>
        <v>0.98000784006272046</v>
      </c>
      <c r="M205" s="24">
        <f t="shared" si="20"/>
        <v>0.98000784006272046</v>
      </c>
      <c r="N205" s="56" t="s">
        <v>264</v>
      </c>
      <c r="O205" s="56" t="s">
        <v>264</v>
      </c>
      <c r="P205" s="40">
        <v>0</v>
      </c>
      <c r="Q205" s="40">
        <v>0</v>
      </c>
      <c r="R205" s="37" t="s">
        <v>293</v>
      </c>
      <c r="S205" s="37"/>
    </row>
    <row r="206" spans="1:19" x14ac:dyDescent="0.3">
      <c r="A206" s="36">
        <v>121</v>
      </c>
      <c r="B206" s="37" t="s">
        <v>263</v>
      </c>
      <c r="C206" s="37" t="s">
        <v>55</v>
      </c>
      <c r="D206" s="37" t="s">
        <v>73</v>
      </c>
      <c r="E206" s="37" t="s">
        <v>56</v>
      </c>
      <c r="F206" s="42">
        <v>45473</v>
      </c>
      <c r="G206" s="37">
        <v>2024</v>
      </c>
      <c r="H206" s="37" t="s">
        <v>23</v>
      </c>
      <c r="I206" s="39" t="s">
        <v>34</v>
      </c>
      <c r="J206" s="37">
        <v>100</v>
      </c>
      <c r="K206" s="26">
        <v>101.89</v>
      </c>
      <c r="L206" s="24">
        <f t="shared" si="19"/>
        <v>0.98145058396309748</v>
      </c>
      <c r="M206" s="24">
        <f t="shared" si="20"/>
        <v>0.98145058396309748</v>
      </c>
      <c r="N206" s="56" t="s">
        <v>264</v>
      </c>
      <c r="O206" s="56" t="s">
        <v>264</v>
      </c>
      <c r="P206" s="40">
        <v>0</v>
      </c>
      <c r="Q206" s="40">
        <v>0</v>
      </c>
      <c r="R206" s="37" t="s">
        <v>294</v>
      </c>
      <c r="S206" s="37"/>
    </row>
    <row r="207" spans="1:19" x14ac:dyDescent="0.3">
      <c r="A207" s="36">
        <v>121</v>
      </c>
      <c r="B207" s="37" t="s">
        <v>263</v>
      </c>
      <c r="C207" s="37" t="s">
        <v>55</v>
      </c>
      <c r="D207" s="37" t="s">
        <v>73</v>
      </c>
      <c r="E207" s="37" t="s">
        <v>56</v>
      </c>
      <c r="F207" s="42">
        <v>45504</v>
      </c>
      <c r="G207" s="37">
        <v>2024</v>
      </c>
      <c r="H207" s="37" t="s">
        <v>84</v>
      </c>
      <c r="I207" s="39" t="s">
        <v>36</v>
      </c>
      <c r="J207" s="37">
        <v>100</v>
      </c>
      <c r="K207" s="26">
        <v>101.25</v>
      </c>
      <c r="L207" s="24">
        <f t="shared" si="19"/>
        <v>0.98765432098765427</v>
      </c>
      <c r="M207" s="24">
        <f t="shared" si="20"/>
        <v>0.98765432098765427</v>
      </c>
      <c r="N207" s="56" t="s">
        <v>264</v>
      </c>
      <c r="O207" s="56" t="s">
        <v>264</v>
      </c>
      <c r="P207" s="40">
        <v>0</v>
      </c>
      <c r="Q207" s="40">
        <v>0</v>
      </c>
      <c r="R207" s="37" t="s">
        <v>295</v>
      </c>
      <c r="S207" s="37"/>
    </row>
    <row r="208" spans="1:19" x14ac:dyDescent="0.3">
      <c r="A208" s="36">
        <v>121</v>
      </c>
      <c r="B208" s="37" t="s">
        <v>263</v>
      </c>
      <c r="C208" s="37" t="s">
        <v>55</v>
      </c>
      <c r="D208" s="37" t="s">
        <v>73</v>
      </c>
      <c r="E208" s="37" t="s">
        <v>56</v>
      </c>
      <c r="F208" s="42">
        <v>45535</v>
      </c>
      <c r="G208" s="37">
        <v>2024</v>
      </c>
      <c r="H208" s="37" t="s">
        <v>86</v>
      </c>
      <c r="I208" s="39" t="s">
        <v>36</v>
      </c>
      <c r="J208" s="37">
        <v>100</v>
      </c>
      <c r="K208" s="26">
        <v>99.83</v>
      </c>
      <c r="L208" s="24">
        <f t="shared" si="19"/>
        <v>1.0017028949213664</v>
      </c>
      <c r="M208" s="24">
        <f t="shared" si="20"/>
        <v>1.0017028949213664</v>
      </c>
      <c r="N208" s="56" t="s">
        <v>264</v>
      </c>
      <c r="O208" s="56" t="s">
        <v>264</v>
      </c>
      <c r="P208" s="40">
        <v>0</v>
      </c>
      <c r="Q208" s="40">
        <v>0</v>
      </c>
      <c r="R208" s="37" t="s">
        <v>296</v>
      </c>
      <c r="S208" s="37"/>
    </row>
    <row r="209" spans="1:19" x14ac:dyDescent="0.3">
      <c r="A209" s="36">
        <v>121</v>
      </c>
      <c r="B209" s="37" t="s">
        <v>263</v>
      </c>
      <c r="C209" s="37" t="s">
        <v>55</v>
      </c>
      <c r="D209" s="37" t="s">
        <v>73</v>
      </c>
      <c r="E209" s="37" t="s">
        <v>56</v>
      </c>
      <c r="F209" s="42">
        <v>45565</v>
      </c>
      <c r="G209" s="37">
        <v>2024</v>
      </c>
      <c r="H209" s="37" t="s">
        <v>43</v>
      </c>
      <c r="I209" s="39" t="s">
        <v>36</v>
      </c>
      <c r="J209" s="37">
        <v>100</v>
      </c>
      <c r="K209" s="26">
        <v>101.89</v>
      </c>
      <c r="L209" s="24">
        <f t="shared" si="19"/>
        <v>0.98145058396309748</v>
      </c>
      <c r="M209" s="24">
        <f t="shared" si="20"/>
        <v>0.98145058396309748</v>
      </c>
      <c r="N209" s="56" t="s">
        <v>264</v>
      </c>
      <c r="O209" s="56" t="s">
        <v>264</v>
      </c>
      <c r="P209" s="40">
        <v>0</v>
      </c>
      <c r="Q209" s="40">
        <v>0</v>
      </c>
      <c r="R209" s="37" t="s">
        <v>297</v>
      </c>
      <c r="S209" s="37"/>
    </row>
    <row r="210" spans="1:19" x14ac:dyDescent="0.3">
      <c r="A210" s="36">
        <v>121</v>
      </c>
      <c r="B210" s="37" t="s">
        <v>263</v>
      </c>
      <c r="C210" s="37" t="s">
        <v>55</v>
      </c>
      <c r="D210" s="37" t="s">
        <v>73</v>
      </c>
      <c r="E210" s="37" t="s">
        <v>56</v>
      </c>
      <c r="F210" s="42">
        <v>45596</v>
      </c>
      <c r="G210" s="37">
        <v>2024</v>
      </c>
      <c r="H210" s="37" t="s">
        <v>89</v>
      </c>
      <c r="I210" s="39" t="s">
        <v>36</v>
      </c>
      <c r="J210" s="37">
        <v>100</v>
      </c>
      <c r="K210" s="26">
        <v>100.89</v>
      </c>
      <c r="L210" s="24">
        <f t="shared" si="19"/>
        <v>0.9911785112498761</v>
      </c>
      <c r="M210" s="24">
        <f t="shared" si="20"/>
        <v>0.9911785112498761</v>
      </c>
      <c r="N210" s="56" t="s">
        <v>264</v>
      </c>
      <c r="O210" s="56" t="s">
        <v>264</v>
      </c>
      <c r="P210" s="40">
        <v>0</v>
      </c>
      <c r="Q210" s="40">
        <v>0</v>
      </c>
      <c r="R210" s="37" t="s">
        <v>298</v>
      </c>
      <c r="S210" s="37"/>
    </row>
    <row r="211" spans="1:19" x14ac:dyDescent="0.3">
      <c r="A211" s="36">
        <v>121</v>
      </c>
      <c r="B211" s="37" t="s">
        <v>263</v>
      </c>
      <c r="C211" s="37" t="s">
        <v>55</v>
      </c>
      <c r="D211" s="37" t="s">
        <v>73</v>
      </c>
      <c r="E211" s="37" t="s">
        <v>56</v>
      </c>
      <c r="F211" s="42">
        <v>45626</v>
      </c>
      <c r="G211" s="37">
        <v>2024</v>
      </c>
      <c r="H211" s="37" t="s">
        <v>91</v>
      </c>
      <c r="I211" s="39" t="s">
        <v>36</v>
      </c>
      <c r="J211" s="37">
        <v>100</v>
      </c>
      <c r="K211" s="26">
        <v>100.55</v>
      </c>
      <c r="L211" s="24">
        <f t="shared" si="19"/>
        <v>0.9945300845350572</v>
      </c>
      <c r="M211" s="24">
        <f t="shared" si="20"/>
        <v>0.9945300845350572</v>
      </c>
      <c r="N211" s="56" t="s">
        <v>264</v>
      </c>
      <c r="O211" s="56" t="s">
        <v>264</v>
      </c>
      <c r="P211" s="40">
        <v>0</v>
      </c>
      <c r="Q211" s="40">
        <v>0</v>
      </c>
      <c r="R211" s="37" t="s">
        <v>299</v>
      </c>
      <c r="S211" s="37"/>
    </row>
    <row r="212" spans="1:19" x14ac:dyDescent="0.3">
      <c r="A212" s="41">
        <v>121</v>
      </c>
      <c r="B212" s="37" t="s">
        <v>263</v>
      </c>
      <c r="C212" s="37" t="s">
        <v>55</v>
      </c>
      <c r="D212" s="37" t="s">
        <v>73</v>
      </c>
      <c r="E212" s="37" t="s">
        <v>56</v>
      </c>
      <c r="F212" s="42">
        <v>45657</v>
      </c>
      <c r="G212" s="37">
        <v>2024</v>
      </c>
      <c r="H212" s="37" t="s">
        <v>27</v>
      </c>
      <c r="I212" s="39" t="s">
        <v>36</v>
      </c>
      <c r="J212" s="37">
        <v>100</v>
      </c>
      <c r="K212" s="26">
        <v>100.17</v>
      </c>
      <c r="L212" s="24">
        <f t="shared" si="19"/>
        <v>0.99830288509533793</v>
      </c>
      <c r="M212" s="24">
        <f t="shared" si="20"/>
        <v>0.99830288509533793</v>
      </c>
      <c r="N212" s="56" t="s">
        <v>264</v>
      </c>
      <c r="O212" s="56" t="s">
        <v>264</v>
      </c>
      <c r="P212" s="40">
        <v>0</v>
      </c>
      <c r="Q212" s="40">
        <v>0</v>
      </c>
      <c r="R212" s="37" t="s">
        <v>300</v>
      </c>
      <c r="S212" s="37"/>
    </row>
    <row r="213" spans="1:19" x14ac:dyDescent="0.3">
      <c r="A213" s="37">
        <v>122</v>
      </c>
      <c r="B213" s="37" t="s">
        <v>301</v>
      </c>
      <c r="C213" s="37" t="s">
        <v>258</v>
      </c>
      <c r="D213" s="37" t="s">
        <v>121</v>
      </c>
      <c r="E213" s="37" t="s">
        <v>22</v>
      </c>
      <c r="F213" s="42">
        <v>44620</v>
      </c>
      <c r="G213" s="37">
        <v>2022</v>
      </c>
      <c r="H213" s="37" t="s">
        <v>76</v>
      </c>
      <c r="I213" s="37" t="s">
        <v>24</v>
      </c>
      <c r="J213" s="37">
        <v>10</v>
      </c>
      <c r="K213" s="37">
        <v>8</v>
      </c>
      <c r="L213" s="24">
        <f t="shared" ref="L213:L236" si="21">IFERROR(IF(OR(J213=0,K213=""),"",IF(E213="Positivo",MIN(MAX(K213/J213,0),1.3),MIN(MAX(J213/K213,0),1.3))),"")</f>
        <v>0.8</v>
      </c>
      <c r="M213" s="24">
        <f t="shared" ref="M213:M236" si="22">IFERROR(IF(OR(J213=0,K213=""),"",IF(E213="Positivo",MAX(K213/J213,0),MAX(J213/K213,0))),"")</f>
        <v>0.8</v>
      </c>
      <c r="N213" s="37" t="s">
        <v>25</v>
      </c>
      <c r="O213" s="37" t="s">
        <v>25</v>
      </c>
      <c r="P213" s="37">
        <v>0</v>
      </c>
      <c r="Q213" s="37">
        <v>0</v>
      </c>
      <c r="R213" s="37" t="s">
        <v>302</v>
      </c>
      <c r="S213" s="37"/>
    </row>
    <row r="214" spans="1:19" x14ac:dyDescent="0.3">
      <c r="A214" s="37">
        <v>122</v>
      </c>
      <c r="B214" s="37" t="s">
        <v>301</v>
      </c>
      <c r="C214" s="37" t="s">
        <v>258</v>
      </c>
      <c r="D214" s="37" t="s">
        <v>121</v>
      </c>
      <c r="E214" s="37" t="s">
        <v>22</v>
      </c>
      <c r="F214" s="42">
        <v>44681</v>
      </c>
      <c r="G214" s="37">
        <v>2022</v>
      </c>
      <c r="H214" s="37" t="s">
        <v>79</v>
      </c>
      <c r="I214" s="37" t="s">
        <v>24</v>
      </c>
      <c r="J214" s="37">
        <v>6</v>
      </c>
      <c r="K214" s="53">
        <v>6</v>
      </c>
      <c r="L214" s="24">
        <f t="shared" si="21"/>
        <v>1</v>
      </c>
      <c r="M214" s="24">
        <f t="shared" si="22"/>
        <v>1</v>
      </c>
      <c r="N214" s="37" t="s">
        <v>25</v>
      </c>
      <c r="O214" s="37" t="s">
        <v>25</v>
      </c>
      <c r="P214" s="37">
        <v>0</v>
      </c>
      <c r="Q214" s="37">
        <v>0</v>
      </c>
      <c r="R214" s="37" t="s">
        <v>303</v>
      </c>
      <c r="S214" s="37"/>
    </row>
    <row r="215" spans="1:19" x14ac:dyDescent="0.3">
      <c r="A215" s="37">
        <v>122</v>
      </c>
      <c r="B215" s="37" t="s">
        <v>301</v>
      </c>
      <c r="C215" s="37" t="s">
        <v>258</v>
      </c>
      <c r="D215" s="37" t="s">
        <v>121</v>
      </c>
      <c r="E215" s="37" t="s">
        <v>22</v>
      </c>
      <c r="F215" s="42">
        <v>44742</v>
      </c>
      <c r="G215" s="37">
        <v>2022</v>
      </c>
      <c r="H215" s="37" t="s">
        <v>23</v>
      </c>
      <c r="I215" s="37" t="s">
        <v>24</v>
      </c>
      <c r="J215" s="37">
        <v>21</v>
      </c>
      <c r="K215" s="37">
        <v>10</v>
      </c>
      <c r="L215" s="24">
        <f t="shared" si="21"/>
        <v>0.47619047619047616</v>
      </c>
      <c r="M215" s="24">
        <f t="shared" si="22"/>
        <v>0.47619047619047616</v>
      </c>
      <c r="N215" s="37" t="s">
        <v>25</v>
      </c>
      <c r="O215" s="37" t="s">
        <v>25</v>
      </c>
      <c r="P215" s="37">
        <v>0</v>
      </c>
      <c r="Q215" s="37">
        <v>0</v>
      </c>
      <c r="R215" s="37" t="s">
        <v>304</v>
      </c>
      <c r="S215" s="37"/>
    </row>
    <row r="216" spans="1:19" x14ac:dyDescent="0.3">
      <c r="A216" s="37">
        <v>122</v>
      </c>
      <c r="B216" s="37" t="s">
        <v>301</v>
      </c>
      <c r="C216" s="37" t="s">
        <v>258</v>
      </c>
      <c r="D216" s="37" t="s">
        <v>121</v>
      </c>
      <c r="E216" s="37" t="s">
        <v>22</v>
      </c>
      <c r="F216" s="42">
        <v>44773</v>
      </c>
      <c r="G216" s="37">
        <v>2022</v>
      </c>
      <c r="H216" s="37" t="s">
        <v>84</v>
      </c>
      <c r="I216" s="37" t="s">
        <v>28</v>
      </c>
      <c r="J216" s="37">
        <v>0</v>
      </c>
      <c r="K216" s="37">
        <v>0</v>
      </c>
      <c r="L216" s="24" t="str">
        <f t="shared" si="21"/>
        <v/>
      </c>
      <c r="M216" s="24" t="str">
        <f t="shared" si="22"/>
        <v/>
      </c>
      <c r="N216" s="37" t="s">
        <v>25</v>
      </c>
      <c r="O216" s="37" t="s">
        <v>25</v>
      </c>
      <c r="P216" s="37">
        <v>0</v>
      </c>
      <c r="Q216" s="37">
        <v>0</v>
      </c>
      <c r="R216" s="37" t="s">
        <v>305</v>
      </c>
      <c r="S216" s="37"/>
    </row>
    <row r="217" spans="1:19" x14ac:dyDescent="0.3">
      <c r="A217" s="37">
        <v>122</v>
      </c>
      <c r="B217" s="37" t="s">
        <v>301</v>
      </c>
      <c r="C217" s="37" t="s">
        <v>258</v>
      </c>
      <c r="D217" s="37" t="s">
        <v>121</v>
      </c>
      <c r="E217" s="37" t="s">
        <v>22</v>
      </c>
      <c r="F217" s="42">
        <v>44804</v>
      </c>
      <c r="G217" s="37">
        <v>2022</v>
      </c>
      <c r="H217" s="37" t="s">
        <v>86</v>
      </c>
      <c r="I217" s="37" t="s">
        <v>28</v>
      </c>
      <c r="J217" s="37">
        <v>78</v>
      </c>
      <c r="K217" s="37">
        <v>77</v>
      </c>
      <c r="L217" s="24">
        <f t="shared" si="21"/>
        <v>0.98717948717948723</v>
      </c>
      <c r="M217" s="24">
        <f t="shared" si="22"/>
        <v>0.98717948717948723</v>
      </c>
      <c r="N217" s="37" t="s">
        <v>25</v>
      </c>
      <c r="O217" s="37" t="s">
        <v>25</v>
      </c>
      <c r="P217" s="37">
        <v>0</v>
      </c>
      <c r="Q217" s="37">
        <v>0</v>
      </c>
      <c r="R217" s="37" t="s">
        <v>306</v>
      </c>
      <c r="S217" s="37"/>
    </row>
    <row r="218" spans="1:19" x14ac:dyDescent="0.3">
      <c r="A218" s="37">
        <v>122</v>
      </c>
      <c r="B218" s="37" t="s">
        <v>301</v>
      </c>
      <c r="C218" s="37" t="s">
        <v>258</v>
      </c>
      <c r="D218" s="37" t="s">
        <v>121</v>
      </c>
      <c r="E218" s="37" t="s">
        <v>22</v>
      </c>
      <c r="F218" s="42">
        <v>44834</v>
      </c>
      <c r="G218" s="37">
        <v>2022</v>
      </c>
      <c r="H218" s="37" t="s">
        <v>43</v>
      </c>
      <c r="I218" s="37" t="s">
        <v>28</v>
      </c>
      <c r="J218" s="37">
        <v>0</v>
      </c>
      <c r="K218" s="37">
        <v>0</v>
      </c>
      <c r="L218" s="24" t="str">
        <f t="shared" si="21"/>
        <v/>
      </c>
      <c r="M218" s="24" t="str">
        <f t="shared" si="22"/>
        <v/>
      </c>
      <c r="N218" s="37" t="s">
        <v>25</v>
      </c>
      <c r="O218" s="37" t="s">
        <v>25</v>
      </c>
      <c r="P218" s="37">
        <v>0</v>
      </c>
      <c r="Q218" s="37">
        <v>0</v>
      </c>
      <c r="R218" s="37" t="s">
        <v>307</v>
      </c>
      <c r="S218" s="37"/>
    </row>
    <row r="219" spans="1:19" x14ac:dyDescent="0.3">
      <c r="A219" s="37">
        <v>122</v>
      </c>
      <c r="B219" s="37" t="s">
        <v>301</v>
      </c>
      <c r="C219" s="37" t="s">
        <v>258</v>
      </c>
      <c r="D219" s="37" t="s">
        <v>121</v>
      </c>
      <c r="E219" s="37" t="s">
        <v>22</v>
      </c>
      <c r="F219" s="42">
        <v>44865</v>
      </c>
      <c r="G219" s="37">
        <v>2022</v>
      </c>
      <c r="H219" s="37" t="s">
        <v>89</v>
      </c>
      <c r="I219" s="37" t="s">
        <v>28</v>
      </c>
      <c r="J219" s="37">
        <v>16</v>
      </c>
      <c r="K219" s="37">
        <v>16</v>
      </c>
      <c r="L219" s="24">
        <f t="shared" si="21"/>
        <v>1</v>
      </c>
      <c r="M219" s="24">
        <f t="shared" si="22"/>
        <v>1</v>
      </c>
      <c r="N219" s="37" t="s">
        <v>25</v>
      </c>
      <c r="O219" s="37" t="s">
        <v>25</v>
      </c>
      <c r="P219" s="37">
        <v>0</v>
      </c>
      <c r="Q219" s="37">
        <v>0</v>
      </c>
      <c r="R219" s="37" t="s">
        <v>308</v>
      </c>
      <c r="S219" s="37"/>
    </row>
    <row r="220" spans="1:19" x14ac:dyDescent="0.3">
      <c r="A220" s="37">
        <v>122</v>
      </c>
      <c r="B220" s="37" t="s">
        <v>301</v>
      </c>
      <c r="C220" s="37" t="s">
        <v>258</v>
      </c>
      <c r="D220" s="37" t="s">
        <v>121</v>
      </c>
      <c r="E220" s="37" t="s">
        <v>22</v>
      </c>
      <c r="F220" s="42">
        <v>44895</v>
      </c>
      <c r="G220" s="37">
        <v>2022</v>
      </c>
      <c r="H220" s="37" t="s">
        <v>91</v>
      </c>
      <c r="I220" s="37" t="s">
        <v>28</v>
      </c>
      <c r="J220" s="37">
        <v>0</v>
      </c>
      <c r="K220" s="53">
        <v>0</v>
      </c>
      <c r="L220" s="24" t="str">
        <f t="shared" si="21"/>
        <v/>
      </c>
      <c r="M220" s="24" t="str">
        <f t="shared" si="22"/>
        <v/>
      </c>
      <c r="N220" s="37" t="s">
        <v>25</v>
      </c>
      <c r="O220" s="37" t="s">
        <v>25</v>
      </c>
      <c r="P220" s="37">
        <v>0</v>
      </c>
      <c r="Q220" s="37">
        <v>0</v>
      </c>
      <c r="R220" s="37" t="s">
        <v>309</v>
      </c>
      <c r="S220" s="37"/>
    </row>
    <row r="221" spans="1:19" x14ac:dyDescent="0.3">
      <c r="A221" s="37">
        <v>122</v>
      </c>
      <c r="B221" s="37" t="s">
        <v>301</v>
      </c>
      <c r="C221" s="37" t="s">
        <v>258</v>
      </c>
      <c r="D221" s="37" t="s">
        <v>121</v>
      </c>
      <c r="E221" s="37" t="s">
        <v>22</v>
      </c>
      <c r="F221" s="42">
        <v>44926</v>
      </c>
      <c r="G221" s="37">
        <v>2022</v>
      </c>
      <c r="H221" s="37" t="s">
        <v>27</v>
      </c>
      <c r="I221" s="37" t="s">
        <v>28</v>
      </c>
      <c r="J221" s="37">
        <v>9</v>
      </c>
      <c r="K221" s="53">
        <v>9</v>
      </c>
      <c r="L221" s="24">
        <f t="shared" si="21"/>
        <v>1</v>
      </c>
      <c r="M221" s="24">
        <f t="shared" si="22"/>
        <v>1</v>
      </c>
      <c r="N221" s="37" t="s">
        <v>25</v>
      </c>
      <c r="O221" s="37" t="s">
        <v>25</v>
      </c>
      <c r="P221" s="37">
        <v>0</v>
      </c>
      <c r="Q221" s="37">
        <v>0</v>
      </c>
      <c r="R221" s="37" t="s">
        <v>310</v>
      </c>
      <c r="S221" s="37"/>
    </row>
    <row r="222" spans="1:19" x14ac:dyDescent="0.3">
      <c r="A222" s="37">
        <v>122</v>
      </c>
      <c r="B222" s="37" t="s">
        <v>301</v>
      </c>
      <c r="C222" s="37" t="s">
        <v>258</v>
      </c>
      <c r="D222" s="37" t="s">
        <v>121</v>
      </c>
      <c r="E222" s="37" t="s">
        <v>22</v>
      </c>
      <c r="F222" s="42">
        <v>44957</v>
      </c>
      <c r="G222" s="37">
        <v>2023</v>
      </c>
      <c r="H222" s="37" t="s">
        <v>74</v>
      </c>
      <c r="I222" s="37" t="s">
        <v>30</v>
      </c>
      <c r="J222" s="37">
        <v>0</v>
      </c>
      <c r="K222" s="53">
        <v>0</v>
      </c>
      <c r="L222" s="24" t="str">
        <f t="shared" si="21"/>
        <v/>
      </c>
      <c r="M222" s="24" t="str">
        <f t="shared" si="22"/>
        <v/>
      </c>
      <c r="N222" s="37" t="s">
        <v>25</v>
      </c>
      <c r="O222" s="37" t="s">
        <v>25</v>
      </c>
      <c r="P222" s="37">
        <v>0</v>
      </c>
      <c r="Q222" s="37">
        <v>0</v>
      </c>
      <c r="R222" s="37" t="s">
        <v>311</v>
      </c>
      <c r="S222" s="37"/>
    </row>
    <row r="223" spans="1:19" x14ac:dyDescent="0.3">
      <c r="A223" s="36">
        <v>122</v>
      </c>
      <c r="B223" s="37" t="s">
        <v>301</v>
      </c>
      <c r="C223" s="37" t="s">
        <v>258</v>
      </c>
      <c r="D223" s="37" t="s">
        <v>121</v>
      </c>
      <c r="E223" s="37" t="s">
        <v>22</v>
      </c>
      <c r="F223" s="38">
        <v>44985</v>
      </c>
      <c r="G223" s="37">
        <v>2023</v>
      </c>
      <c r="H223" s="37" t="s">
        <v>76</v>
      </c>
      <c r="I223" s="39" t="s">
        <v>30</v>
      </c>
      <c r="J223" s="37">
        <v>9</v>
      </c>
      <c r="K223" s="58">
        <v>9</v>
      </c>
      <c r="L223" s="24">
        <f t="shared" si="21"/>
        <v>1</v>
      </c>
      <c r="M223" s="24">
        <f t="shared" si="22"/>
        <v>1</v>
      </c>
      <c r="N223" s="37" t="s">
        <v>25</v>
      </c>
      <c r="O223" s="37" t="s">
        <v>25</v>
      </c>
      <c r="P223" s="40">
        <v>0</v>
      </c>
      <c r="Q223" s="40">
        <v>0</v>
      </c>
      <c r="R223" s="37" t="s">
        <v>312</v>
      </c>
      <c r="S223" s="37"/>
    </row>
    <row r="224" spans="1:19" x14ac:dyDescent="0.3">
      <c r="A224" s="37">
        <v>122</v>
      </c>
      <c r="B224" s="37" t="s">
        <v>301</v>
      </c>
      <c r="C224" s="37" t="s">
        <v>258</v>
      </c>
      <c r="D224" s="37" t="s">
        <v>121</v>
      </c>
      <c r="E224" s="37" t="s">
        <v>22</v>
      </c>
      <c r="F224" s="42">
        <v>45016</v>
      </c>
      <c r="G224" s="37">
        <v>2023</v>
      </c>
      <c r="H224" s="37" t="s">
        <v>40</v>
      </c>
      <c r="I224" s="37" t="s">
        <v>30</v>
      </c>
      <c r="J224" s="37">
        <v>0</v>
      </c>
      <c r="K224" s="53">
        <v>0</v>
      </c>
      <c r="L224" s="24" t="str">
        <f t="shared" si="21"/>
        <v/>
      </c>
      <c r="M224" s="24" t="str">
        <f t="shared" si="22"/>
        <v/>
      </c>
      <c r="N224" s="37" t="s">
        <v>25</v>
      </c>
      <c r="O224" s="37" t="s">
        <v>25</v>
      </c>
      <c r="P224" s="37">
        <v>0</v>
      </c>
      <c r="Q224" s="37">
        <v>0</v>
      </c>
      <c r="R224" s="37" t="s">
        <v>313</v>
      </c>
      <c r="S224" s="37"/>
    </row>
    <row r="225" spans="1:19" x14ac:dyDescent="0.3">
      <c r="A225" s="36">
        <v>122</v>
      </c>
      <c r="B225" s="37" t="s">
        <v>301</v>
      </c>
      <c r="C225" s="37" t="s">
        <v>258</v>
      </c>
      <c r="D225" s="37" t="s">
        <v>121</v>
      </c>
      <c r="E225" s="37" t="s">
        <v>22</v>
      </c>
      <c r="F225" s="38">
        <v>45046</v>
      </c>
      <c r="G225" s="37">
        <v>2023</v>
      </c>
      <c r="H225" s="37" t="s">
        <v>79</v>
      </c>
      <c r="I225" s="39" t="s">
        <v>30</v>
      </c>
      <c r="J225" s="37">
        <v>13</v>
      </c>
      <c r="K225" s="58">
        <v>13</v>
      </c>
      <c r="L225" s="24">
        <f t="shared" si="21"/>
        <v>1</v>
      </c>
      <c r="M225" s="24">
        <f t="shared" si="22"/>
        <v>1</v>
      </c>
      <c r="N225" s="37" t="s">
        <v>25</v>
      </c>
      <c r="O225" s="37" t="s">
        <v>25</v>
      </c>
      <c r="P225" s="40">
        <v>0</v>
      </c>
      <c r="Q225" s="40">
        <v>0</v>
      </c>
      <c r="R225" s="37" t="s">
        <v>314</v>
      </c>
      <c r="S225" s="37"/>
    </row>
    <row r="226" spans="1:19" x14ac:dyDescent="0.3">
      <c r="A226" s="37">
        <v>122</v>
      </c>
      <c r="B226" s="37" t="s">
        <v>301</v>
      </c>
      <c r="C226" s="37" t="s">
        <v>258</v>
      </c>
      <c r="D226" s="37" t="s">
        <v>121</v>
      </c>
      <c r="E226" s="37" t="s">
        <v>22</v>
      </c>
      <c r="F226" s="42">
        <v>45077</v>
      </c>
      <c r="G226" s="37">
        <v>2023</v>
      </c>
      <c r="H226" s="37" t="s">
        <v>81</v>
      </c>
      <c r="I226" s="37" t="s">
        <v>30</v>
      </c>
      <c r="J226" s="37">
        <v>0</v>
      </c>
      <c r="K226" s="53">
        <v>0</v>
      </c>
      <c r="L226" s="24" t="str">
        <f t="shared" si="21"/>
        <v/>
      </c>
      <c r="M226" s="24" t="str">
        <f t="shared" si="22"/>
        <v/>
      </c>
      <c r="N226" s="37" t="s">
        <v>25</v>
      </c>
      <c r="O226" s="37" t="s">
        <v>25</v>
      </c>
      <c r="P226" s="37">
        <v>0</v>
      </c>
      <c r="Q226" s="37">
        <v>0</v>
      </c>
      <c r="R226" s="37" t="s">
        <v>315</v>
      </c>
      <c r="S226" s="37"/>
    </row>
    <row r="227" spans="1:19" x14ac:dyDescent="0.3">
      <c r="A227" s="36">
        <v>122</v>
      </c>
      <c r="B227" s="37" t="s">
        <v>301</v>
      </c>
      <c r="C227" s="37" t="s">
        <v>258</v>
      </c>
      <c r="D227" s="37" t="s">
        <v>121</v>
      </c>
      <c r="E227" s="37" t="s">
        <v>22</v>
      </c>
      <c r="F227" s="42">
        <v>45107</v>
      </c>
      <c r="G227" s="37">
        <v>2023</v>
      </c>
      <c r="H227" s="37" t="s">
        <v>23</v>
      </c>
      <c r="I227" s="39" t="s">
        <v>30</v>
      </c>
      <c r="J227" s="37">
        <v>16</v>
      </c>
      <c r="K227" s="58">
        <v>12</v>
      </c>
      <c r="L227" s="24">
        <f t="shared" si="21"/>
        <v>0.75</v>
      </c>
      <c r="M227" s="24">
        <f t="shared" si="22"/>
        <v>0.75</v>
      </c>
      <c r="N227" s="37" t="s">
        <v>25</v>
      </c>
      <c r="O227" s="37" t="s">
        <v>25</v>
      </c>
      <c r="P227" s="40">
        <v>0</v>
      </c>
      <c r="Q227" s="40">
        <v>0</v>
      </c>
      <c r="R227" s="37" t="s">
        <v>316</v>
      </c>
      <c r="S227" s="37"/>
    </row>
    <row r="228" spans="1:19" x14ac:dyDescent="0.3">
      <c r="A228" s="37">
        <v>122</v>
      </c>
      <c r="B228" s="37" t="s">
        <v>301</v>
      </c>
      <c r="C228" s="37" t="s">
        <v>258</v>
      </c>
      <c r="D228" s="37" t="s">
        <v>121</v>
      </c>
      <c r="E228" s="37" t="s">
        <v>22</v>
      </c>
      <c r="F228" s="42">
        <v>45138</v>
      </c>
      <c r="G228" s="37">
        <v>2023</v>
      </c>
      <c r="H228" s="37" t="s">
        <v>84</v>
      </c>
      <c r="I228" s="37" t="s">
        <v>32</v>
      </c>
      <c r="J228" s="37">
        <v>0</v>
      </c>
      <c r="K228" s="53">
        <v>0</v>
      </c>
      <c r="L228" s="24" t="str">
        <f t="shared" si="21"/>
        <v/>
      </c>
      <c r="M228" s="24" t="str">
        <f t="shared" si="22"/>
        <v/>
      </c>
      <c r="N228" s="37" t="s">
        <v>25</v>
      </c>
      <c r="O228" s="37" t="s">
        <v>25</v>
      </c>
      <c r="P228" s="37">
        <v>0</v>
      </c>
      <c r="Q228" s="37">
        <v>0</v>
      </c>
      <c r="R228" s="37" t="s">
        <v>317</v>
      </c>
      <c r="S228" s="37"/>
    </row>
    <row r="229" spans="1:19" x14ac:dyDescent="0.3">
      <c r="A229" s="36">
        <v>122</v>
      </c>
      <c r="B229" s="37" t="s">
        <v>301</v>
      </c>
      <c r="C229" s="37" t="s">
        <v>258</v>
      </c>
      <c r="D229" s="37" t="s">
        <v>121</v>
      </c>
      <c r="E229" s="37" t="s">
        <v>22</v>
      </c>
      <c r="F229" s="42">
        <v>45169</v>
      </c>
      <c r="G229" s="37">
        <v>2023</v>
      </c>
      <c r="H229" s="37" t="s">
        <v>86</v>
      </c>
      <c r="I229" s="39" t="s">
        <v>32</v>
      </c>
      <c r="J229" s="37">
        <v>40</v>
      </c>
      <c r="K229" s="58">
        <v>32</v>
      </c>
      <c r="L229" s="24">
        <f t="shared" si="21"/>
        <v>0.8</v>
      </c>
      <c r="M229" s="24">
        <f t="shared" si="22"/>
        <v>0.8</v>
      </c>
      <c r="N229" s="37" t="s">
        <v>25</v>
      </c>
      <c r="O229" s="37" t="s">
        <v>25</v>
      </c>
      <c r="P229" s="40">
        <v>0</v>
      </c>
      <c r="Q229" s="40">
        <v>0</v>
      </c>
      <c r="R229" s="37" t="s">
        <v>318</v>
      </c>
      <c r="S229" s="37"/>
    </row>
    <row r="230" spans="1:19" x14ac:dyDescent="0.3">
      <c r="A230" s="37">
        <v>122</v>
      </c>
      <c r="B230" s="37" t="s">
        <v>301</v>
      </c>
      <c r="C230" s="37" t="s">
        <v>258</v>
      </c>
      <c r="D230" s="37" t="s">
        <v>121</v>
      </c>
      <c r="E230" s="37" t="s">
        <v>22</v>
      </c>
      <c r="F230" s="42">
        <v>45199</v>
      </c>
      <c r="G230" s="37">
        <v>2023</v>
      </c>
      <c r="H230" s="37" t="s">
        <v>43</v>
      </c>
      <c r="I230" s="37" t="s">
        <v>32</v>
      </c>
      <c r="J230" s="37">
        <v>0</v>
      </c>
      <c r="K230" s="37">
        <v>0</v>
      </c>
      <c r="L230" s="24" t="str">
        <f t="shared" si="21"/>
        <v/>
      </c>
      <c r="M230" s="24" t="str">
        <f t="shared" si="22"/>
        <v/>
      </c>
      <c r="N230" s="37" t="s">
        <v>25</v>
      </c>
      <c r="O230" s="37" t="s">
        <v>25</v>
      </c>
      <c r="P230" s="37">
        <v>0</v>
      </c>
      <c r="Q230" s="37">
        <v>0</v>
      </c>
      <c r="R230" s="37" t="s">
        <v>319</v>
      </c>
      <c r="S230" s="37"/>
    </row>
    <row r="231" spans="1:19" x14ac:dyDescent="0.3">
      <c r="A231" s="36">
        <v>122</v>
      </c>
      <c r="B231" s="37" t="s">
        <v>301</v>
      </c>
      <c r="C231" s="37" t="s">
        <v>258</v>
      </c>
      <c r="D231" s="37" t="s">
        <v>121</v>
      </c>
      <c r="E231" s="37" t="s">
        <v>22</v>
      </c>
      <c r="F231" s="42">
        <v>45230</v>
      </c>
      <c r="G231" s="37">
        <v>2023</v>
      </c>
      <c r="H231" s="37" t="s">
        <v>89</v>
      </c>
      <c r="I231" s="39" t="s">
        <v>32</v>
      </c>
      <c r="J231" s="37">
        <v>28</v>
      </c>
      <c r="K231" s="58">
        <v>28</v>
      </c>
      <c r="L231" s="24">
        <f t="shared" si="21"/>
        <v>1</v>
      </c>
      <c r="M231" s="24">
        <f t="shared" si="22"/>
        <v>1</v>
      </c>
      <c r="N231" s="37" t="s">
        <v>25</v>
      </c>
      <c r="O231" s="37" t="s">
        <v>25</v>
      </c>
      <c r="P231" s="40">
        <v>0</v>
      </c>
      <c r="Q231" s="40">
        <v>0</v>
      </c>
      <c r="R231" s="37" t="s">
        <v>320</v>
      </c>
      <c r="S231" s="37"/>
    </row>
    <row r="232" spans="1:19" x14ac:dyDescent="0.3">
      <c r="A232" s="37">
        <v>122</v>
      </c>
      <c r="B232" s="37" t="s">
        <v>301</v>
      </c>
      <c r="C232" s="37" t="s">
        <v>258</v>
      </c>
      <c r="D232" s="37" t="s">
        <v>121</v>
      </c>
      <c r="E232" s="37" t="s">
        <v>22</v>
      </c>
      <c r="F232" s="42">
        <v>45260</v>
      </c>
      <c r="G232" s="37">
        <v>2023</v>
      </c>
      <c r="H232" s="37" t="s">
        <v>91</v>
      </c>
      <c r="I232" s="37" t="s">
        <v>32</v>
      </c>
      <c r="J232" s="37">
        <v>0</v>
      </c>
      <c r="K232" s="53">
        <v>0</v>
      </c>
      <c r="L232" s="24" t="str">
        <f t="shared" si="21"/>
        <v/>
      </c>
      <c r="M232" s="24" t="str">
        <f t="shared" si="22"/>
        <v/>
      </c>
      <c r="N232" s="37" t="s">
        <v>25</v>
      </c>
      <c r="O232" s="37" t="s">
        <v>25</v>
      </c>
      <c r="P232" s="37">
        <v>0</v>
      </c>
      <c r="Q232" s="37">
        <v>0</v>
      </c>
      <c r="R232" s="37" t="s">
        <v>321</v>
      </c>
      <c r="S232" s="37"/>
    </row>
    <row r="233" spans="1:19" x14ac:dyDescent="0.3">
      <c r="A233" s="41">
        <v>122</v>
      </c>
      <c r="B233" s="37" t="s">
        <v>301</v>
      </c>
      <c r="C233" s="37" t="s">
        <v>258</v>
      </c>
      <c r="D233" s="37" t="s">
        <v>121</v>
      </c>
      <c r="E233" s="37" t="s">
        <v>22</v>
      </c>
      <c r="F233" s="42">
        <v>45291</v>
      </c>
      <c r="G233" s="37">
        <v>2023</v>
      </c>
      <c r="H233" s="37" t="s">
        <v>27</v>
      </c>
      <c r="I233" s="39" t="s">
        <v>32</v>
      </c>
      <c r="J233" s="37">
        <v>11</v>
      </c>
      <c r="K233" s="58">
        <v>10</v>
      </c>
      <c r="L233" s="24">
        <f t="shared" si="21"/>
        <v>0.90909090909090906</v>
      </c>
      <c r="M233" s="24">
        <f t="shared" si="22"/>
        <v>0.90909090909090906</v>
      </c>
      <c r="N233" s="37" t="s">
        <v>25</v>
      </c>
      <c r="O233" s="37" t="s">
        <v>25</v>
      </c>
      <c r="P233" s="40">
        <v>0</v>
      </c>
      <c r="Q233" s="40">
        <v>0</v>
      </c>
      <c r="R233" s="37" t="s">
        <v>322</v>
      </c>
      <c r="S233" s="37"/>
    </row>
    <row r="234" spans="1:19" x14ac:dyDescent="0.3">
      <c r="A234" s="37">
        <v>122</v>
      </c>
      <c r="B234" s="37" t="s">
        <v>301</v>
      </c>
      <c r="C234" s="37" t="s">
        <v>258</v>
      </c>
      <c r="D234" s="37" t="s">
        <v>121</v>
      </c>
      <c r="E234" s="37" t="s">
        <v>22</v>
      </c>
      <c r="F234" s="42">
        <v>45322</v>
      </c>
      <c r="G234" s="37">
        <v>2024</v>
      </c>
      <c r="H234" s="37" t="s">
        <v>74</v>
      </c>
      <c r="I234" s="37" t="s">
        <v>34</v>
      </c>
      <c r="J234" s="37">
        <v>0</v>
      </c>
      <c r="K234" s="53">
        <v>0</v>
      </c>
      <c r="L234" s="24" t="str">
        <f t="shared" si="21"/>
        <v/>
      </c>
      <c r="M234" s="24" t="str">
        <f t="shared" si="22"/>
        <v/>
      </c>
      <c r="N234" s="37" t="s">
        <v>25</v>
      </c>
      <c r="O234" s="37" t="s">
        <v>25</v>
      </c>
      <c r="P234" s="37">
        <v>0</v>
      </c>
      <c r="Q234" s="37">
        <v>0</v>
      </c>
      <c r="R234" s="37" t="s">
        <v>323</v>
      </c>
      <c r="S234" s="37"/>
    </row>
    <row r="235" spans="1:19" x14ac:dyDescent="0.3">
      <c r="A235" s="36">
        <v>122</v>
      </c>
      <c r="B235" s="37" t="s">
        <v>301</v>
      </c>
      <c r="C235" s="37" t="s">
        <v>258</v>
      </c>
      <c r="D235" s="37" t="s">
        <v>121</v>
      </c>
      <c r="E235" s="37" t="s">
        <v>22</v>
      </c>
      <c r="F235" s="42">
        <v>45351</v>
      </c>
      <c r="G235" s="37">
        <v>2024</v>
      </c>
      <c r="H235" s="37" t="s">
        <v>76</v>
      </c>
      <c r="I235" s="39" t="s">
        <v>34</v>
      </c>
      <c r="J235" s="37">
        <v>60</v>
      </c>
      <c r="K235" s="43">
        <v>58</v>
      </c>
      <c r="L235" s="24">
        <f t="shared" si="21"/>
        <v>0.96666666666666667</v>
      </c>
      <c r="M235" s="24">
        <f t="shared" si="22"/>
        <v>0.96666666666666667</v>
      </c>
      <c r="N235" s="37" t="s">
        <v>25</v>
      </c>
      <c r="O235" s="37" t="s">
        <v>25</v>
      </c>
      <c r="P235" s="40">
        <v>0</v>
      </c>
      <c r="Q235" s="40">
        <v>0</v>
      </c>
      <c r="R235" s="37" t="s">
        <v>324</v>
      </c>
      <c r="S235" s="37"/>
    </row>
    <row r="236" spans="1:19" x14ac:dyDescent="0.3">
      <c r="A236" s="37">
        <v>122</v>
      </c>
      <c r="B236" s="37" t="s">
        <v>301</v>
      </c>
      <c r="C236" s="37" t="s">
        <v>258</v>
      </c>
      <c r="D236" s="37" t="s">
        <v>121</v>
      </c>
      <c r="E236" s="37" t="s">
        <v>22</v>
      </c>
      <c r="F236" s="42">
        <v>45382</v>
      </c>
      <c r="G236" s="37">
        <v>2024</v>
      </c>
      <c r="H236" s="37" t="s">
        <v>40</v>
      </c>
      <c r="I236" s="37" t="s">
        <v>34</v>
      </c>
      <c r="J236" s="37">
        <v>0</v>
      </c>
      <c r="K236" s="37">
        <v>0</v>
      </c>
      <c r="L236" s="24" t="str">
        <f t="shared" si="21"/>
        <v/>
      </c>
      <c r="M236" s="24" t="str">
        <f t="shared" si="22"/>
        <v/>
      </c>
      <c r="N236" s="37" t="s">
        <v>25</v>
      </c>
      <c r="O236" s="37" t="s">
        <v>25</v>
      </c>
      <c r="P236" s="37">
        <v>0</v>
      </c>
      <c r="Q236" s="37">
        <v>0</v>
      </c>
      <c r="R236" s="37" t="s">
        <v>325</v>
      </c>
      <c r="S236" s="37"/>
    </row>
    <row r="237" spans="1:19" x14ac:dyDescent="0.3">
      <c r="A237" s="36">
        <v>122</v>
      </c>
      <c r="B237" s="37" t="s">
        <v>301</v>
      </c>
      <c r="C237" s="37" t="s">
        <v>258</v>
      </c>
      <c r="D237" s="37" t="s">
        <v>121</v>
      </c>
      <c r="E237" s="37" t="s">
        <v>22</v>
      </c>
      <c r="F237" s="42">
        <v>45412</v>
      </c>
      <c r="G237" s="37">
        <v>2024</v>
      </c>
      <c r="H237" s="37" t="s">
        <v>79</v>
      </c>
      <c r="I237" s="39" t="s">
        <v>34</v>
      </c>
      <c r="J237" s="37">
        <v>43</v>
      </c>
      <c r="K237" s="54">
        <v>42</v>
      </c>
      <c r="L237" s="24">
        <f t="shared" ref="L237:L245" si="23">IFERROR(IF(OR(J237=0,K237=""),"",IF(E237="Positivo",MIN(MAX(K237/J237,0),1.3),MIN(MAX(J237/K237,0),1.3))),"")</f>
        <v>0.97674418604651159</v>
      </c>
      <c r="M237" s="24">
        <f t="shared" ref="M237:M245" si="24">IFERROR(IF(OR(J237=0,K237=""),"",IF(E237="Positivo",MAX(K237/J237,0),MAX(J237/K237,0))),"")</f>
        <v>0.97674418604651159</v>
      </c>
      <c r="N237" s="37" t="s">
        <v>25</v>
      </c>
      <c r="O237" s="37" t="s">
        <v>25</v>
      </c>
      <c r="P237" s="40">
        <v>0</v>
      </c>
      <c r="Q237" s="40">
        <v>0</v>
      </c>
      <c r="R237" s="37" t="s">
        <v>326</v>
      </c>
      <c r="S237" s="37"/>
    </row>
    <row r="238" spans="1:19" x14ac:dyDescent="0.3">
      <c r="A238" s="37">
        <v>122</v>
      </c>
      <c r="B238" s="37" t="s">
        <v>301</v>
      </c>
      <c r="C238" s="37" t="s">
        <v>258</v>
      </c>
      <c r="D238" s="37" t="s">
        <v>121</v>
      </c>
      <c r="E238" s="37" t="s">
        <v>22</v>
      </c>
      <c r="F238" s="42">
        <v>45443</v>
      </c>
      <c r="G238" s="37">
        <v>2024</v>
      </c>
      <c r="H238" s="37" t="s">
        <v>81</v>
      </c>
      <c r="I238" s="37" t="s">
        <v>34</v>
      </c>
      <c r="J238" s="37">
        <v>0</v>
      </c>
      <c r="K238" s="37">
        <v>0</v>
      </c>
      <c r="L238" s="24" t="str">
        <f t="shared" si="23"/>
        <v/>
      </c>
      <c r="M238" s="24" t="str">
        <f t="shared" si="24"/>
        <v/>
      </c>
      <c r="N238" s="37" t="s">
        <v>25</v>
      </c>
      <c r="O238" s="37" t="s">
        <v>25</v>
      </c>
      <c r="P238" s="37">
        <v>0</v>
      </c>
      <c r="Q238" s="37">
        <v>0</v>
      </c>
      <c r="R238" s="37" t="s">
        <v>327</v>
      </c>
      <c r="S238" s="37"/>
    </row>
    <row r="239" spans="1:19" x14ac:dyDescent="0.3">
      <c r="A239" s="37">
        <v>122</v>
      </c>
      <c r="B239" s="37" t="s">
        <v>301</v>
      </c>
      <c r="C239" s="37" t="s">
        <v>258</v>
      </c>
      <c r="D239" s="37" t="s">
        <v>121</v>
      </c>
      <c r="E239" s="37" t="s">
        <v>22</v>
      </c>
      <c r="F239" s="42">
        <v>45473</v>
      </c>
      <c r="G239" s="37">
        <v>2024</v>
      </c>
      <c r="H239" s="37" t="s">
        <v>23</v>
      </c>
      <c r="I239" s="39" t="s">
        <v>34</v>
      </c>
      <c r="J239" s="37">
        <v>60</v>
      </c>
      <c r="K239" s="37">
        <v>57</v>
      </c>
      <c r="L239" s="24">
        <f t="shared" si="23"/>
        <v>0.95</v>
      </c>
      <c r="M239" s="24">
        <f t="shared" si="24"/>
        <v>0.95</v>
      </c>
      <c r="N239" s="37" t="s">
        <v>25</v>
      </c>
      <c r="O239" s="37" t="s">
        <v>25</v>
      </c>
      <c r="P239" s="37">
        <v>0</v>
      </c>
      <c r="Q239" s="37">
        <v>0</v>
      </c>
      <c r="R239" s="37" t="s">
        <v>328</v>
      </c>
      <c r="S239" s="37"/>
    </row>
    <row r="240" spans="1:19" x14ac:dyDescent="0.3">
      <c r="A240" s="37">
        <v>122</v>
      </c>
      <c r="B240" s="37" t="s">
        <v>301</v>
      </c>
      <c r="C240" s="37" t="s">
        <v>258</v>
      </c>
      <c r="D240" s="37" t="s">
        <v>121</v>
      </c>
      <c r="E240" s="37" t="s">
        <v>22</v>
      </c>
      <c r="F240" s="42">
        <v>45504</v>
      </c>
      <c r="G240" s="37">
        <v>2024</v>
      </c>
      <c r="H240" s="37" t="s">
        <v>84</v>
      </c>
      <c r="I240" s="37" t="s">
        <v>36</v>
      </c>
      <c r="J240" s="37">
        <v>0</v>
      </c>
      <c r="K240" s="37">
        <v>0</v>
      </c>
      <c r="L240" s="24" t="str">
        <f t="shared" si="23"/>
        <v/>
      </c>
      <c r="M240" s="24" t="str">
        <f t="shared" si="24"/>
        <v/>
      </c>
      <c r="N240" s="37" t="s">
        <v>25</v>
      </c>
      <c r="O240" s="37" t="s">
        <v>25</v>
      </c>
      <c r="P240" s="37">
        <v>0</v>
      </c>
      <c r="Q240" s="37">
        <v>0</v>
      </c>
      <c r="R240" s="37" t="s">
        <v>329</v>
      </c>
      <c r="S240" s="37"/>
    </row>
    <row r="241" spans="1:19" x14ac:dyDescent="0.3">
      <c r="A241" s="36">
        <v>122</v>
      </c>
      <c r="B241" s="37" t="s">
        <v>301</v>
      </c>
      <c r="C241" s="37" t="s">
        <v>258</v>
      </c>
      <c r="D241" s="37" t="s">
        <v>121</v>
      </c>
      <c r="E241" s="37" t="s">
        <v>22</v>
      </c>
      <c r="F241" s="42">
        <v>45535</v>
      </c>
      <c r="G241" s="37">
        <v>2024</v>
      </c>
      <c r="H241" s="37" t="s">
        <v>86</v>
      </c>
      <c r="I241" s="39" t="s">
        <v>36</v>
      </c>
      <c r="J241" s="37">
        <v>43</v>
      </c>
      <c r="K241" s="43">
        <v>34</v>
      </c>
      <c r="L241" s="24">
        <f t="shared" si="23"/>
        <v>0.79069767441860461</v>
      </c>
      <c r="M241" s="24">
        <f t="shared" si="24"/>
        <v>0.79069767441860461</v>
      </c>
      <c r="N241" s="37" t="s">
        <v>25</v>
      </c>
      <c r="O241" s="37" t="s">
        <v>25</v>
      </c>
      <c r="P241" s="40">
        <v>0</v>
      </c>
      <c r="Q241" s="40">
        <v>0</v>
      </c>
      <c r="R241" s="37" t="s">
        <v>330</v>
      </c>
      <c r="S241" s="37"/>
    </row>
    <row r="242" spans="1:19" x14ac:dyDescent="0.3">
      <c r="A242" s="37">
        <v>122</v>
      </c>
      <c r="B242" s="37" t="s">
        <v>301</v>
      </c>
      <c r="C242" s="37" t="s">
        <v>258</v>
      </c>
      <c r="D242" s="37" t="s">
        <v>121</v>
      </c>
      <c r="E242" s="37" t="s">
        <v>22</v>
      </c>
      <c r="F242" s="42">
        <v>45565</v>
      </c>
      <c r="G242" s="37">
        <v>2024</v>
      </c>
      <c r="H242" s="37" t="s">
        <v>43</v>
      </c>
      <c r="I242" s="37" t="s">
        <v>36</v>
      </c>
      <c r="J242" s="37">
        <v>0</v>
      </c>
      <c r="K242" s="53">
        <v>0</v>
      </c>
      <c r="L242" s="24" t="str">
        <f t="shared" si="23"/>
        <v/>
      </c>
      <c r="M242" s="24" t="str">
        <f t="shared" si="24"/>
        <v/>
      </c>
      <c r="N242" s="37" t="s">
        <v>25</v>
      </c>
      <c r="O242" s="37" t="s">
        <v>25</v>
      </c>
      <c r="P242" s="37">
        <v>0</v>
      </c>
      <c r="Q242" s="37">
        <v>0</v>
      </c>
      <c r="R242" s="37" t="s">
        <v>331</v>
      </c>
      <c r="S242" s="37"/>
    </row>
    <row r="243" spans="1:19" x14ac:dyDescent="0.3">
      <c r="A243" s="36">
        <v>122</v>
      </c>
      <c r="B243" s="37" t="s">
        <v>301</v>
      </c>
      <c r="C243" s="37" t="s">
        <v>258</v>
      </c>
      <c r="D243" s="37" t="s">
        <v>121</v>
      </c>
      <c r="E243" s="37" t="s">
        <v>22</v>
      </c>
      <c r="F243" s="42">
        <v>45596</v>
      </c>
      <c r="G243" s="37">
        <v>2024</v>
      </c>
      <c r="H243" s="37" t="s">
        <v>89</v>
      </c>
      <c r="I243" s="39" t="s">
        <v>36</v>
      </c>
      <c r="J243" s="37">
        <v>40</v>
      </c>
      <c r="K243" s="54">
        <v>39</v>
      </c>
      <c r="L243" s="24">
        <f t="shared" si="23"/>
        <v>0.97499999999999998</v>
      </c>
      <c r="M243" s="24">
        <f t="shared" si="24"/>
        <v>0.97499999999999998</v>
      </c>
      <c r="N243" s="37" t="s">
        <v>25</v>
      </c>
      <c r="O243" s="37" t="s">
        <v>25</v>
      </c>
      <c r="P243" s="40">
        <v>0</v>
      </c>
      <c r="Q243" s="40">
        <v>0</v>
      </c>
      <c r="R243" s="37" t="s">
        <v>332</v>
      </c>
      <c r="S243" s="37"/>
    </row>
    <row r="244" spans="1:19" x14ac:dyDescent="0.3">
      <c r="A244" s="37">
        <v>122</v>
      </c>
      <c r="B244" s="37" t="s">
        <v>301</v>
      </c>
      <c r="C244" s="37" t="s">
        <v>258</v>
      </c>
      <c r="D244" s="37" t="s">
        <v>121</v>
      </c>
      <c r="E244" s="37" t="s">
        <v>22</v>
      </c>
      <c r="F244" s="42">
        <v>45626</v>
      </c>
      <c r="G244" s="37">
        <v>2024</v>
      </c>
      <c r="H244" s="37" t="s">
        <v>91</v>
      </c>
      <c r="I244" s="37" t="s">
        <v>36</v>
      </c>
      <c r="J244" s="37">
        <v>0</v>
      </c>
      <c r="K244" s="53">
        <v>0</v>
      </c>
      <c r="L244" s="24" t="str">
        <f t="shared" si="23"/>
        <v/>
      </c>
      <c r="M244" s="24" t="str">
        <f t="shared" si="24"/>
        <v/>
      </c>
      <c r="N244" s="37" t="s">
        <v>25</v>
      </c>
      <c r="O244" s="37" t="s">
        <v>25</v>
      </c>
      <c r="P244" s="37">
        <v>0</v>
      </c>
      <c r="Q244" s="37">
        <v>0</v>
      </c>
      <c r="R244" s="37" t="s">
        <v>333</v>
      </c>
      <c r="S244" s="37"/>
    </row>
    <row r="245" spans="1:19" x14ac:dyDescent="0.3">
      <c r="A245" s="36">
        <v>122</v>
      </c>
      <c r="B245" s="37" t="s">
        <v>301</v>
      </c>
      <c r="C245" s="37" t="s">
        <v>258</v>
      </c>
      <c r="D245" s="37" t="s">
        <v>121</v>
      </c>
      <c r="E245" s="37" t="s">
        <v>22</v>
      </c>
      <c r="F245" s="42">
        <v>45657</v>
      </c>
      <c r="G245" s="37">
        <v>2024</v>
      </c>
      <c r="H245" s="37" t="s">
        <v>27</v>
      </c>
      <c r="I245" s="39" t="s">
        <v>36</v>
      </c>
      <c r="J245" s="37">
        <v>12</v>
      </c>
      <c r="K245" s="43">
        <v>12</v>
      </c>
      <c r="L245" s="24">
        <f t="shared" si="23"/>
        <v>1</v>
      </c>
      <c r="M245" s="24">
        <f t="shared" si="24"/>
        <v>1</v>
      </c>
      <c r="N245" s="37" t="s">
        <v>25</v>
      </c>
      <c r="O245" s="37" t="s">
        <v>25</v>
      </c>
      <c r="P245" s="40">
        <v>0</v>
      </c>
      <c r="Q245" s="40">
        <v>0</v>
      </c>
      <c r="R245" s="37" t="s">
        <v>334</v>
      </c>
      <c r="S245" s="37"/>
    </row>
    <row r="246" spans="1:19" x14ac:dyDescent="0.3">
      <c r="A246" s="36">
        <v>124</v>
      </c>
      <c r="B246" s="37" t="s">
        <v>335</v>
      </c>
      <c r="C246" s="37" t="s">
        <v>138</v>
      </c>
      <c r="D246" s="37" t="s">
        <v>73</v>
      </c>
      <c r="E246" s="37" t="s">
        <v>56</v>
      </c>
      <c r="F246" s="42">
        <v>44592</v>
      </c>
      <c r="G246" s="37">
        <v>2022</v>
      </c>
      <c r="H246" s="37" t="s">
        <v>74</v>
      </c>
      <c r="I246" s="39" t="s">
        <v>24</v>
      </c>
      <c r="J246" s="37">
        <v>1.6</v>
      </c>
      <c r="K246" s="43">
        <v>0</v>
      </c>
      <c r="L246" s="24" t="str">
        <f t="shared" ref="L246:L277" si="25">IFERROR(IF(OR(J246=0,K246=""),"",IF(E246="Positivo",MIN(MAX(K246/J246,0),1),MIN(MAX(J246/K246,0),1))),"")</f>
        <v/>
      </c>
      <c r="M246" s="24" t="str">
        <f t="shared" ref="M246:M277" si="26">IFERROR(IF(OR(J246=0,K246=""),"",IF(E246="Positivo",MIN(MAX(K246/J246,0),1),MIN(MAX(J246/K246,0),1))),"")</f>
        <v/>
      </c>
      <c r="N246" s="37" t="s">
        <v>197</v>
      </c>
      <c r="O246" s="37" t="s">
        <v>25</v>
      </c>
      <c r="P246" s="40">
        <v>1</v>
      </c>
      <c r="Q246" s="40">
        <v>2</v>
      </c>
      <c r="R246" s="37" t="s">
        <v>336</v>
      </c>
      <c r="S246" s="37"/>
    </row>
    <row r="247" spans="1:19" x14ac:dyDescent="0.3">
      <c r="A247" s="36">
        <v>124</v>
      </c>
      <c r="B247" s="37" t="s">
        <v>335</v>
      </c>
      <c r="C247" s="37" t="s">
        <v>138</v>
      </c>
      <c r="D247" s="37" t="s">
        <v>73</v>
      </c>
      <c r="E247" s="37" t="s">
        <v>56</v>
      </c>
      <c r="F247" s="38">
        <v>44620</v>
      </c>
      <c r="G247" s="37">
        <v>2022</v>
      </c>
      <c r="H247" s="37" t="s">
        <v>76</v>
      </c>
      <c r="I247" s="39" t="s">
        <v>24</v>
      </c>
      <c r="J247" s="37">
        <v>1.6</v>
      </c>
      <c r="K247" s="43">
        <v>6.9881201956673994E-2</v>
      </c>
      <c r="L247" s="24">
        <f t="shared" si="25"/>
        <v>1</v>
      </c>
      <c r="M247" s="24">
        <f t="shared" si="26"/>
        <v>1</v>
      </c>
      <c r="N247" s="37" t="s">
        <v>197</v>
      </c>
      <c r="O247" s="37" t="s">
        <v>25</v>
      </c>
      <c r="P247" s="40">
        <v>1</v>
      </c>
      <c r="Q247" s="40">
        <v>2</v>
      </c>
      <c r="R247" s="37" t="s">
        <v>337</v>
      </c>
      <c r="S247" s="37"/>
    </row>
    <row r="248" spans="1:19" x14ac:dyDescent="0.3">
      <c r="A248" s="36">
        <v>124</v>
      </c>
      <c r="B248" s="37" t="s">
        <v>335</v>
      </c>
      <c r="C248" s="37" t="s">
        <v>138</v>
      </c>
      <c r="D248" s="37" t="s">
        <v>73</v>
      </c>
      <c r="E248" s="37" t="s">
        <v>56</v>
      </c>
      <c r="F248" s="42">
        <v>44651</v>
      </c>
      <c r="G248" s="37">
        <v>2022</v>
      </c>
      <c r="H248" s="37" t="s">
        <v>40</v>
      </c>
      <c r="I248" s="39" t="s">
        <v>24</v>
      </c>
      <c r="J248" s="37">
        <v>1.6</v>
      </c>
      <c r="K248" s="43">
        <v>0</v>
      </c>
      <c r="L248" s="24" t="str">
        <f t="shared" si="25"/>
        <v/>
      </c>
      <c r="M248" s="24" t="str">
        <f t="shared" si="26"/>
        <v/>
      </c>
      <c r="N248" s="37" t="s">
        <v>197</v>
      </c>
      <c r="O248" s="37" t="s">
        <v>25</v>
      </c>
      <c r="P248" s="40">
        <v>1</v>
      </c>
      <c r="Q248" s="40">
        <v>2</v>
      </c>
      <c r="R248" s="37" t="s">
        <v>338</v>
      </c>
      <c r="S248" s="37"/>
    </row>
    <row r="249" spans="1:19" x14ac:dyDescent="0.3">
      <c r="A249" s="36">
        <v>124</v>
      </c>
      <c r="B249" s="37" t="s">
        <v>335</v>
      </c>
      <c r="C249" s="37" t="s">
        <v>138</v>
      </c>
      <c r="D249" s="37" t="s">
        <v>73</v>
      </c>
      <c r="E249" s="37" t="s">
        <v>56</v>
      </c>
      <c r="F249" s="42">
        <v>44681</v>
      </c>
      <c r="G249" s="37">
        <v>2022</v>
      </c>
      <c r="H249" s="37" t="s">
        <v>79</v>
      </c>
      <c r="I249" s="39" t="s">
        <v>24</v>
      </c>
      <c r="J249" s="37">
        <v>1.6</v>
      </c>
      <c r="K249" s="43">
        <v>0</v>
      </c>
      <c r="L249" s="24" t="str">
        <f t="shared" si="25"/>
        <v/>
      </c>
      <c r="M249" s="24" t="str">
        <f t="shared" si="26"/>
        <v/>
      </c>
      <c r="N249" s="37" t="s">
        <v>197</v>
      </c>
      <c r="O249" s="37" t="s">
        <v>197</v>
      </c>
      <c r="P249" s="40">
        <v>1</v>
      </c>
      <c r="Q249" s="40">
        <v>2</v>
      </c>
      <c r="R249" s="37" t="s">
        <v>339</v>
      </c>
      <c r="S249" s="37"/>
    </row>
    <row r="250" spans="1:19" x14ac:dyDescent="0.3">
      <c r="A250" s="36">
        <v>124</v>
      </c>
      <c r="B250" s="37" t="s">
        <v>335</v>
      </c>
      <c r="C250" s="37" t="s">
        <v>138</v>
      </c>
      <c r="D250" s="37" t="s">
        <v>73</v>
      </c>
      <c r="E250" s="37" t="s">
        <v>56</v>
      </c>
      <c r="F250" s="42">
        <v>44712</v>
      </c>
      <c r="G250" s="37">
        <v>2022</v>
      </c>
      <c r="H250" s="37" t="s">
        <v>81</v>
      </c>
      <c r="I250" s="39" t="s">
        <v>24</v>
      </c>
      <c r="J250" s="37">
        <v>1.6</v>
      </c>
      <c r="K250" s="54">
        <v>5.3361792956243E-2</v>
      </c>
      <c r="L250" s="24">
        <f t="shared" si="25"/>
        <v>1</v>
      </c>
      <c r="M250" s="24">
        <f t="shared" si="26"/>
        <v>1</v>
      </c>
      <c r="N250" s="37" t="s">
        <v>197</v>
      </c>
      <c r="O250" s="37" t="s">
        <v>197</v>
      </c>
      <c r="P250" s="40">
        <v>1</v>
      </c>
      <c r="Q250" s="40">
        <v>2</v>
      </c>
      <c r="R250" s="37" t="s">
        <v>340</v>
      </c>
      <c r="S250" s="37"/>
    </row>
    <row r="251" spans="1:19" x14ac:dyDescent="0.3">
      <c r="A251" s="36">
        <v>124</v>
      </c>
      <c r="B251" s="37" t="s">
        <v>335</v>
      </c>
      <c r="C251" s="37" t="s">
        <v>138</v>
      </c>
      <c r="D251" s="37" t="s">
        <v>73</v>
      </c>
      <c r="E251" s="37" t="s">
        <v>56</v>
      </c>
      <c r="F251" s="42">
        <v>44742</v>
      </c>
      <c r="G251" s="37">
        <v>2022</v>
      </c>
      <c r="H251" s="37" t="s">
        <v>23</v>
      </c>
      <c r="I251" s="39" t="s">
        <v>24</v>
      </c>
      <c r="J251" s="37">
        <v>1.6</v>
      </c>
      <c r="K251" s="54">
        <v>0</v>
      </c>
      <c r="L251" s="24" t="str">
        <f t="shared" si="25"/>
        <v/>
      </c>
      <c r="M251" s="24" t="str">
        <f t="shared" si="26"/>
        <v/>
      </c>
      <c r="N251" s="37" t="s">
        <v>197</v>
      </c>
      <c r="O251" s="37" t="s">
        <v>197</v>
      </c>
      <c r="P251" s="40">
        <v>1</v>
      </c>
      <c r="Q251" s="40">
        <v>2</v>
      </c>
      <c r="R251" s="37" t="s">
        <v>341</v>
      </c>
      <c r="S251" s="37"/>
    </row>
    <row r="252" spans="1:19" x14ac:dyDescent="0.3">
      <c r="A252" s="36">
        <v>124</v>
      </c>
      <c r="B252" s="37" t="s">
        <v>335</v>
      </c>
      <c r="C252" s="37" t="s">
        <v>138</v>
      </c>
      <c r="D252" s="37" t="s">
        <v>73</v>
      </c>
      <c r="E252" s="37" t="s">
        <v>56</v>
      </c>
      <c r="F252" s="42">
        <v>44773</v>
      </c>
      <c r="G252" s="37">
        <v>2022</v>
      </c>
      <c r="H252" s="37" t="s">
        <v>84</v>
      </c>
      <c r="I252" s="39" t="s">
        <v>28</v>
      </c>
      <c r="J252" s="37">
        <v>1.6</v>
      </c>
      <c r="K252" s="54">
        <v>0</v>
      </c>
      <c r="L252" s="24" t="str">
        <f t="shared" si="25"/>
        <v/>
      </c>
      <c r="M252" s="24" t="str">
        <f t="shared" si="26"/>
        <v/>
      </c>
      <c r="N252" s="37" t="s">
        <v>197</v>
      </c>
      <c r="O252" s="37" t="s">
        <v>197</v>
      </c>
      <c r="P252" s="40">
        <v>1</v>
      </c>
      <c r="Q252" s="40">
        <v>2</v>
      </c>
      <c r="R252" s="37" t="s">
        <v>342</v>
      </c>
      <c r="S252" s="37"/>
    </row>
    <row r="253" spans="1:19" x14ac:dyDescent="0.3">
      <c r="A253" s="36">
        <v>124</v>
      </c>
      <c r="B253" s="37" t="s">
        <v>335</v>
      </c>
      <c r="C253" s="37" t="s">
        <v>138</v>
      </c>
      <c r="D253" s="37" t="s">
        <v>73</v>
      </c>
      <c r="E253" s="37" t="s">
        <v>56</v>
      </c>
      <c r="F253" s="42">
        <v>44804</v>
      </c>
      <c r="G253" s="37">
        <v>2022</v>
      </c>
      <c r="H253" s="37" t="s">
        <v>86</v>
      </c>
      <c r="I253" s="39" t="s">
        <v>28</v>
      </c>
      <c r="J253" s="37">
        <v>1.6</v>
      </c>
      <c r="K253" s="54">
        <v>0.18656716417909999</v>
      </c>
      <c r="L253" s="24">
        <f t="shared" si="25"/>
        <v>1</v>
      </c>
      <c r="M253" s="24">
        <f t="shared" si="26"/>
        <v>1</v>
      </c>
      <c r="N253" s="37" t="s">
        <v>197</v>
      </c>
      <c r="O253" s="37" t="s">
        <v>197</v>
      </c>
      <c r="P253" s="40">
        <v>1</v>
      </c>
      <c r="Q253" s="40">
        <v>2</v>
      </c>
      <c r="R253" s="37" t="s">
        <v>343</v>
      </c>
      <c r="S253" s="37"/>
    </row>
    <row r="254" spans="1:19" x14ac:dyDescent="0.3">
      <c r="A254" s="36">
        <v>124</v>
      </c>
      <c r="B254" s="37" t="s">
        <v>335</v>
      </c>
      <c r="C254" s="37" t="s">
        <v>138</v>
      </c>
      <c r="D254" s="37" t="s">
        <v>73</v>
      </c>
      <c r="E254" s="37" t="s">
        <v>56</v>
      </c>
      <c r="F254" s="42">
        <v>44834</v>
      </c>
      <c r="G254" s="37">
        <v>2022</v>
      </c>
      <c r="H254" s="37" t="s">
        <v>43</v>
      </c>
      <c r="I254" s="39" t="s">
        <v>28</v>
      </c>
      <c r="J254" s="37">
        <v>1.6</v>
      </c>
      <c r="K254" s="54">
        <v>0</v>
      </c>
      <c r="L254" s="24" t="str">
        <f t="shared" si="25"/>
        <v/>
      </c>
      <c r="M254" s="24" t="str">
        <f t="shared" si="26"/>
        <v/>
      </c>
      <c r="N254" s="37" t="s">
        <v>197</v>
      </c>
      <c r="O254" s="37" t="s">
        <v>197</v>
      </c>
      <c r="P254" s="40">
        <v>1</v>
      </c>
      <c r="Q254" s="40">
        <v>2</v>
      </c>
      <c r="R254" s="37" t="s">
        <v>344</v>
      </c>
      <c r="S254" s="37"/>
    </row>
    <row r="255" spans="1:19" x14ac:dyDescent="0.3">
      <c r="A255" s="41">
        <v>124</v>
      </c>
      <c r="B255" s="37" t="s">
        <v>335</v>
      </c>
      <c r="C255" s="37" t="s">
        <v>138</v>
      </c>
      <c r="D255" s="37" t="s">
        <v>73</v>
      </c>
      <c r="E255" s="37" t="s">
        <v>56</v>
      </c>
      <c r="F255" s="42">
        <v>44865</v>
      </c>
      <c r="G255" s="37">
        <v>2022</v>
      </c>
      <c r="H255" s="37" t="s">
        <v>89</v>
      </c>
      <c r="I255" s="39" t="s">
        <v>28</v>
      </c>
      <c r="J255" s="37">
        <v>1.6</v>
      </c>
      <c r="K255" s="54">
        <v>5.5187637969095003E-2</v>
      </c>
      <c r="L255" s="24">
        <f t="shared" si="25"/>
        <v>1</v>
      </c>
      <c r="M255" s="24">
        <f t="shared" si="26"/>
        <v>1</v>
      </c>
      <c r="N255" s="37" t="s">
        <v>197</v>
      </c>
      <c r="O255" s="37" t="s">
        <v>197</v>
      </c>
      <c r="P255" s="40">
        <v>1</v>
      </c>
      <c r="Q255" s="40">
        <v>2</v>
      </c>
      <c r="R255" s="37" t="s">
        <v>345</v>
      </c>
      <c r="S255" s="37"/>
    </row>
    <row r="256" spans="1:19" x14ac:dyDescent="0.3">
      <c r="A256" s="41">
        <v>124</v>
      </c>
      <c r="B256" s="37" t="s">
        <v>335</v>
      </c>
      <c r="C256" s="37" t="s">
        <v>138</v>
      </c>
      <c r="D256" s="37" t="s">
        <v>73</v>
      </c>
      <c r="E256" s="37" t="s">
        <v>56</v>
      </c>
      <c r="F256" s="42">
        <v>44895</v>
      </c>
      <c r="G256" s="37">
        <v>2022</v>
      </c>
      <c r="H256" s="37" t="s">
        <v>91</v>
      </c>
      <c r="I256" s="39" t="s">
        <v>28</v>
      </c>
      <c r="J256" s="37">
        <v>1.6</v>
      </c>
      <c r="K256" s="54">
        <v>0</v>
      </c>
      <c r="L256" s="24" t="str">
        <f t="shared" si="25"/>
        <v/>
      </c>
      <c r="M256" s="24" t="str">
        <f t="shared" si="26"/>
        <v/>
      </c>
      <c r="N256" s="37" t="s">
        <v>197</v>
      </c>
      <c r="O256" s="37" t="s">
        <v>197</v>
      </c>
      <c r="P256" s="40">
        <v>1</v>
      </c>
      <c r="Q256" s="40">
        <v>2</v>
      </c>
      <c r="R256" s="37" t="s">
        <v>346</v>
      </c>
      <c r="S256" s="37"/>
    </row>
    <row r="257" spans="1:19" x14ac:dyDescent="0.3">
      <c r="A257" s="41">
        <v>124</v>
      </c>
      <c r="B257" s="37" t="s">
        <v>335</v>
      </c>
      <c r="C257" s="37" t="s">
        <v>138</v>
      </c>
      <c r="D257" s="37" t="s">
        <v>73</v>
      </c>
      <c r="E257" s="37" t="s">
        <v>56</v>
      </c>
      <c r="F257" s="42">
        <v>44926</v>
      </c>
      <c r="G257" s="37">
        <v>2022</v>
      </c>
      <c r="H257" s="37" t="s">
        <v>27</v>
      </c>
      <c r="I257" s="39" t="s">
        <v>28</v>
      </c>
      <c r="J257" s="37">
        <v>1.6</v>
      </c>
      <c r="K257" s="54">
        <v>0</v>
      </c>
      <c r="L257" s="24" t="str">
        <f t="shared" si="25"/>
        <v/>
      </c>
      <c r="M257" s="24" t="str">
        <f t="shared" si="26"/>
        <v/>
      </c>
      <c r="N257" s="37" t="s">
        <v>197</v>
      </c>
      <c r="O257" s="37" t="s">
        <v>197</v>
      </c>
      <c r="P257" s="40">
        <v>1</v>
      </c>
      <c r="Q257" s="40">
        <v>2</v>
      </c>
      <c r="R257" s="37" t="s">
        <v>347</v>
      </c>
      <c r="S257" s="37"/>
    </row>
    <row r="258" spans="1:19" x14ac:dyDescent="0.3">
      <c r="A258" s="36">
        <v>124</v>
      </c>
      <c r="B258" s="37" t="s">
        <v>335</v>
      </c>
      <c r="C258" s="37" t="s">
        <v>138</v>
      </c>
      <c r="D258" s="37" t="s">
        <v>73</v>
      </c>
      <c r="E258" s="37" t="s">
        <v>56</v>
      </c>
      <c r="F258" s="42">
        <v>44957</v>
      </c>
      <c r="G258" s="37">
        <v>2023</v>
      </c>
      <c r="H258" s="37" t="s">
        <v>74</v>
      </c>
      <c r="I258" s="39" t="s">
        <v>30</v>
      </c>
      <c r="J258" s="37">
        <v>1.6</v>
      </c>
      <c r="K258" s="54">
        <v>0</v>
      </c>
      <c r="L258" s="24" t="str">
        <f t="shared" si="25"/>
        <v/>
      </c>
      <c r="M258" s="24" t="str">
        <f t="shared" si="26"/>
        <v/>
      </c>
      <c r="N258" s="37" t="s">
        <v>197</v>
      </c>
      <c r="O258" s="37" t="s">
        <v>197</v>
      </c>
      <c r="P258" s="40">
        <v>1</v>
      </c>
      <c r="Q258" s="40">
        <v>2</v>
      </c>
      <c r="R258" s="37" t="s">
        <v>348</v>
      </c>
      <c r="S258" s="37"/>
    </row>
    <row r="259" spans="1:19" x14ac:dyDescent="0.3">
      <c r="A259" s="36">
        <v>124</v>
      </c>
      <c r="B259" s="37" t="s">
        <v>335</v>
      </c>
      <c r="C259" s="37" t="s">
        <v>138</v>
      </c>
      <c r="D259" s="37" t="s">
        <v>73</v>
      </c>
      <c r="E259" s="37" t="s">
        <v>56</v>
      </c>
      <c r="F259" s="38">
        <v>44985</v>
      </c>
      <c r="G259" s="37">
        <v>2023</v>
      </c>
      <c r="H259" s="37" t="s">
        <v>76</v>
      </c>
      <c r="I259" s="39" t="s">
        <v>30</v>
      </c>
      <c r="J259" s="37">
        <v>1.6</v>
      </c>
      <c r="K259" s="54">
        <v>0</v>
      </c>
      <c r="L259" s="24" t="str">
        <f t="shared" si="25"/>
        <v/>
      </c>
      <c r="M259" s="24" t="str">
        <f t="shared" si="26"/>
        <v/>
      </c>
      <c r="N259" s="37" t="s">
        <v>197</v>
      </c>
      <c r="O259" s="37" t="s">
        <v>197</v>
      </c>
      <c r="P259" s="40">
        <v>1</v>
      </c>
      <c r="Q259" s="40">
        <v>2</v>
      </c>
      <c r="R259" s="37" t="s">
        <v>349</v>
      </c>
      <c r="S259" s="37"/>
    </row>
    <row r="260" spans="1:19" x14ac:dyDescent="0.3">
      <c r="A260" s="36">
        <v>124</v>
      </c>
      <c r="B260" s="37" t="s">
        <v>335</v>
      </c>
      <c r="C260" s="37" t="s">
        <v>138</v>
      </c>
      <c r="D260" s="37" t="s">
        <v>73</v>
      </c>
      <c r="E260" s="37" t="s">
        <v>56</v>
      </c>
      <c r="F260" s="42">
        <v>45016</v>
      </c>
      <c r="G260" s="37">
        <v>2023</v>
      </c>
      <c r="H260" s="37" t="s">
        <v>40</v>
      </c>
      <c r="I260" s="39" t="s">
        <v>30</v>
      </c>
      <c r="J260" s="37">
        <v>1.6</v>
      </c>
      <c r="K260" s="54">
        <v>0</v>
      </c>
      <c r="L260" s="24" t="str">
        <f t="shared" si="25"/>
        <v/>
      </c>
      <c r="M260" s="24" t="str">
        <f t="shared" si="26"/>
        <v/>
      </c>
      <c r="N260" s="37" t="s">
        <v>197</v>
      </c>
      <c r="O260" s="37" t="s">
        <v>197</v>
      </c>
      <c r="P260" s="40">
        <v>1</v>
      </c>
      <c r="Q260" s="40">
        <v>2</v>
      </c>
      <c r="R260" s="37" t="s">
        <v>350</v>
      </c>
      <c r="S260" s="37"/>
    </row>
    <row r="261" spans="1:19" x14ac:dyDescent="0.3">
      <c r="A261" s="36">
        <v>124</v>
      </c>
      <c r="B261" s="37" t="s">
        <v>335</v>
      </c>
      <c r="C261" s="37" t="s">
        <v>138</v>
      </c>
      <c r="D261" s="37" t="s">
        <v>73</v>
      </c>
      <c r="E261" s="37" t="s">
        <v>56</v>
      </c>
      <c r="F261" s="42">
        <v>45046</v>
      </c>
      <c r="G261" s="37">
        <v>2023</v>
      </c>
      <c r="H261" s="37" t="s">
        <v>79</v>
      </c>
      <c r="I261" s="39" t="s">
        <v>30</v>
      </c>
      <c r="J261" s="37">
        <v>1.6</v>
      </c>
      <c r="K261" s="58">
        <v>0.10435690060005</v>
      </c>
      <c r="L261" s="24">
        <f t="shared" si="25"/>
        <v>1</v>
      </c>
      <c r="M261" s="24">
        <f t="shared" si="26"/>
        <v>1</v>
      </c>
      <c r="N261" s="37" t="s">
        <v>197</v>
      </c>
      <c r="O261" s="37" t="s">
        <v>197</v>
      </c>
      <c r="P261" s="40">
        <v>1</v>
      </c>
      <c r="Q261" s="40">
        <v>2</v>
      </c>
      <c r="R261" s="37" t="s">
        <v>351</v>
      </c>
      <c r="S261" s="37"/>
    </row>
    <row r="262" spans="1:19" x14ac:dyDescent="0.3">
      <c r="A262" s="36">
        <v>124</v>
      </c>
      <c r="B262" s="37" t="s">
        <v>335</v>
      </c>
      <c r="C262" s="37" t="s">
        <v>138</v>
      </c>
      <c r="D262" s="37" t="s">
        <v>73</v>
      </c>
      <c r="E262" s="37" t="s">
        <v>56</v>
      </c>
      <c r="F262" s="42">
        <v>45077</v>
      </c>
      <c r="G262" s="37">
        <v>2023</v>
      </c>
      <c r="H262" s="37" t="s">
        <v>81</v>
      </c>
      <c r="I262" s="39" t="s">
        <v>30</v>
      </c>
      <c r="J262" s="37">
        <v>1.6</v>
      </c>
      <c r="K262" s="58">
        <v>5.1072522982635003E-2</v>
      </c>
      <c r="L262" s="24">
        <f t="shared" si="25"/>
        <v>1</v>
      </c>
      <c r="M262" s="24">
        <f t="shared" si="26"/>
        <v>1</v>
      </c>
      <c r="N262" s="37" t="s">
        <v>197</v>
      </c>
      <c r="O262" s="37" t="s">
        <v>197</v>
      </c>
      <c r="P262" s="40">
        <v>1</v>
      </c>
      <c r="Q262" s="40">
        <v>2</v>
      </c>
      <c r="R262" s="37" t="s">
        <v>352</v>
      </c>
      <c r="S262" s="37"/>
    </row>
    <row r="263" spans="1:19" x14ac:dyDescent="0.3">
      <c r="A263" s="36">
        <v>124</v>
      </c>
      <c r="B263" s="37" t="s">
        <v>335</v>
      </c>
      <c r="C263" s="37" t="s">
        <v>138</v>
      </c>
      <c r="D263" s="37" t="s">
        <v>73</v>
      </c>
      <c r="E263" s="37" t="s">
        <v>56</v>
      </c>
      <c r="F263" s="42">
        <v>45107</v>
      </c>
      <c r="G263" s="37">
        <v>2023</v>
      </c>
      <c r="H263" s="37" t="s">
        <v>23</v>
      </c>
      <c r="I263" s="39" t="s">
        <v>30</v>
      </c>
      <c r="J263" s="37">
        <v>1.6</v>
      </c>
      <c r="K263" s="54">
        <v>0</v>
      </c>
      <c r="L263" s="24" t="str">
        <f t="shared" si="25"/>
        <v/>
      </c>
      <c r="M263" s="24" t="str">
        <f t="shared" si="26"/>
        <v/>
      </c>
      <c r="N263" s="37" t="s">
        <v>197</v>
      </c>
      <c r="O263" s="37" t="s">
        <v>197</v>
      </c>
      <c r="P263" s="40">
        <v>1</v>
      </c>
      <c r="Q263" s="40">
        <v>2</v>
      </c>
      <c r="R263" s="37" t="s">
        <v>353</v>
      </c>
      <c r="S263" s="37"/>
    </row>
    <row r="264" spans="1:19" x14ac:dyDescent="0.3">
      <c r="A264" s="36">
        <v>124</v>
      </c>
      <c r="B264" s="37" t="s">
        <v>335</v>
      </c>
      <c r="C264" s="37" t="s">
        <v>138</v>
      </c>
      <c r="D264" s="37" t="s">
        <v>73</v>
      </c>
      <c r="E264" s="37" t="s">
        <v>56</v>
      </c>
      <c r="F264" s="42">
        <v>45138</v>
      </c>
      <c r="G264" s="37">
        <v>2023</v>
      </c>
      <c r="H264" s="37" t="s">
        <v>84</v>
      </c>
      <c r="I264" s="39" t="s">
        <v>32</v>
      </c>
      <c r="J264" s="37">
        <v>1.6</v>
      </c>
      <c r="K264" s="58">
        <v>7.5471698113208002E-2</v>
      </c>
      <c r="L264" s="24">
        <f t="shared" si="25"/>
        <v>1</v>
      </c>
      <c r="M264" s="24">
        <f t="shared" si="26"/>
        <v>1</v>
      </c>
      <c r="N264" s="37" t="s">
        <v>197</v>
      </c>
      <c r="O264" s="37" t="s">
        <v>197</v>
      </c>
      <c r="P264" s="40">
        <v>1</v>
      </c>
      <c r="Q264" s="40">
        <v>2</v>
      </c>
      <c r="R264" s="37" t="s">
        <v>354</v>
      </c>
      <c r="S264" s="37"/>
    </row>
    <row r="265" spans="1:19" x14ac:dyDescent="0.3">
      <c r="A265" s="36">
        <v>124</v>
      </c>
      <c r="B265" s="37" t="s">
        <v>335</v>
      </c>
      <c r="C265" s="37" t="s">
        <v>138</v>
      </c>
      <c r="D265" s="37" t="s">
        <v>73</v>
      </c>
      <c r="E265" s="37" t="s">
        <v>56</v>
      </c>
      <c r="F265" s="42">
        <v>45169</v>
      </c>
      <c r="G265" s="37">
        <v>2023</v>
      </c>
      <c r="H265" s="37" t="s">
        <v>86</v>
      </c>
      <c r="I265" s="39" t="s">
        <v>32</v>
      </c>
      <c r="J265" s="37">
        <v>1.6</v>
      </c>
      <c r="K265" s="58">
        <v>0.06</v>
      </c>
      <c r="L265" s="24">
        <f t="shared" si="25"/>
        <v>1</v>
      </c>
      <c r="M265" s="24">
        <f t="shared" si="26"/>
        <v>1</v>
      </c>
      <c r="N265" s="37" t="s">
        <v>197</v>
      </c>
      <c r="O265" s="37" t="s">
        <v>197</v>
      </c>
      <c r="P265" s="40">
        <v>1</v>
      </c>
      <c r="Q265" s="40">
        <v>2</v>
      </c>
      <c r="R265" s="37" t="s">
        <v>355</v>
      </c>
      <c r="S265" s="37"/>
    </row>
    <row r="266" spans="1:19" x14ac:dyDescent="0.3">
      <c r="A266" s="36">
        <v>124</v>
      </c>
      <c r="B266" s="37" t="s">
        <v>335</v>
      </c>
      <c r="C266" s="37" t="s">
        <v>138</v>
      </c>
      <c r="D266" s="37" t="s">
        <v>73</v>
      </c>
      <c r="E266" s="37" t="s">
        <v>56</v>
      </c>
      <c r="F266" s="42">
        <v>45199</v>
      </c>
      <c r="G266" s="37">
        <v>2023</v>
      </c>
      <c r="H266" s="37" t="s">
        <v>43</v>
      </c>
      <c r="I266" s="39" t="s">
        <v>32</v>
      </c>
      <c r="J266" s="37">
        <v>1.6</v>
      </c>
      <c r="K266" s="54">
        <v>0</v>
      </c>
      <c r="L266" s="24" t="str">
        <f t="shared" si="25"/>
        <v/>
      </c>
      <c r="M266" s="24" t="str">
        <f t="shared" si="26"/>
        <v/>
      </c>
      <c r="N266" s="37" t="s">
        <v>197</v>
      </c>
      <c r="O266" s="37" t="s">
        <v>197</v>
      </c>
      <c r="P266" s="40">
        <v>1</v>
      </c>
      <c r="Q266" s="40">
        <v>2</v>
      </c>
      <c r="R266" s="37" t="s">
        <v>356</v>
      </c>
      <c r="S266" s="37"/>
    </row>
    <row r="267" spans="1:19" x14ac:dyDescent="0.3">
      <c r="A267" s="41">
        <v>124</v>
      </c>
      <c r="B267" s="37" t="s">
        <v>335</v>
      </c>
      <c r="C267" s="37" t="s">
        <v>138</v>
      </c>
      <c r="D267" s="37" t="s">
        <v>73</v>
      </c>
      <c r="E267" s="37" t="s">
        <v>56</v>
      </c>
      <c r="F267" s="42">
        <v>45230</v>
      </c>
      <c r="G267" s="37">
        <v>2023</v>
      </c>
      <c r="H267" s="37" t="s">
        <v>89</v>
      </c>
      <c r="I267" s="39" t="s">
        <v>32</v>
      </c>
      <c r="J267" s="37">
        <v>1.6</v>
      </c>
      <c r="K267" s="58">
        <v>0.05</v>
      </c>
      <c r="L267" s="24">
        <f t="shared" si="25"/>
        <v>1</v>
      </c>
      <c r="M267" s="24">
        <f t="shared" si="26"/>
        <v>1</v>
      </c>
      <c r="N267" s="37" t="s">
        <v>197</v>
      </c>
      <c r="O267" s="37" t="s">
        <v>197</v>
      </c>
      <c r="P267" s="40">
        <v>1</v>
      </c>
      <c r="Q267" s="40">
        <v>2</v>
      </c>
      <c r="R267" s="37" t="s">
        <v>357</v>
      </c>
      <c r="S267" s="37"/>
    </row>
    <row r="268" spans="1:19" x14ac:dyDescent="0.3">
      <c r="A268" s="41">
        <v>124</v>
      </c>
      <c r="B268" s="37" t="s">
        <v>335</v>
      </c>
      <c r="C268" s="37" t="s">
        <v>138</v>
      </c>
      <c r="D268" s="37" t="s">
        <v>73</v>
      </c>
      <c r="E268" s="37" t="s">
        <v>56</v>
      </c>
      <c r="F268" s="42">
        <v>45260</v>
      </c>
      <c r="G268" s="37">
        <v>2023</v>
      </c>
      <c r="H268" s="37" t="s">
        <v>91</v>
      </c>
      <c r="I268" s="39" t="s">
        <v>32</v>
      </c>
      <c r="J268" s="37">
        <v>1.6</v>
      </c>
      <c r="K268" s="54">
        <v>0</v>
      </c>
      <c r="L268" s="24" t="str">
        <f t="shared" si="25"/>
        <v/>
      </c>
      <c r="M268" s="24" t="str">
        <f t="shared" si="26"/>
        <v/>
      </c>
      <c r="N268" s="37" t="s">
        <v>197</v>
      </c>
      <c r="O268" s="37" t="s">
        <v>197</v>
      </c>
      <c r="P268" s="40">
        <v>1</v>
      </c>
      <c r="Q268" s="40">
        <v>2</v>
      </c>
      <c r="R268" s="37" t="s">
        <v>358</v>
      </c>
      <c r="S268" s="37"/>
    </row>
    <row r="269" spans="1:19" x14ac:dyDescent="0.3">
      <c r="A269" s="41">
        <v>124</v>
      </c>
      <c r="B269" s="37" t="s">
        <v>335</v>
      </c>
      <c r="C269" s="37" t="s">
        <v>138</v>
      </c>
      <c r="D269" s="37" t="s">
        <v>73</v>
      </c>
      <c r="E269" s="37" t="s">
        <v>56</v>
      </c>
      <c r="F269" s="42">
        <v>45291</v>
      </c>
      <c r="G269" s="37">
        <v>2023</v>
      </c>
      <c r="H269" s="37" t="s">
        <v>27</v>
      </c>
      <c r="I269" s="39" t="s">
        <v>32</v>
      </c>
      <c r="J269" s="37">
        <v>1.6</v>
      </c>
      <c r="K269" s="54">
        <v>0</v>
      </c>
      <c r="L269" s="24" t="str">
        <f t="shared" si="25"/>
        <v/>
      </c>
      <c r="M269" s="24" t="str">
        <f t="shared" si="26"/>
        <v/>
      </c>
      <c r="N269" s="37" t="s">
        <v>197</v>
      </c>
      <c r="O269" s="37" t="s">
        <v>197</v>
      </c>
      <c r="P269" s="40">
        <v>1</v>
      </c>
      <c r="Q269" s="40">
        <v>2</v>
      </c>
      <c r="R269" s="37" t="s">
        <v>359</v>
      </c>
      <c r="S269" s="37"/>
    </row>
    <row r="270" spans="1:19" x14ac:dyDescent="0.3">
      <c r="A270" s="36">
        <v>124</v>
      </c>
      <c r="B270" s="37" t="s">
        <v>335</v>
      </c>
      <c r="C270" s="37" t="s">
        <v>138</v>
      </c>
      <c r="D270" s="37" t="s">
        <v>73</v>
      </c>
      <c r="E270" s="37" t="s">
        <v>56</v>
      </c>
      <c r="F270" s="42">
        <v>45322</v>
      </c>
      <c r="G270" s="37">
        <v>2024</v>
      </c>
      <c r="H270" s="37" t="s">
        <v>74</v>
      </c>
      <c r="I270" s="39" t="s">
        <v>34</v>
      </c>
      <c r="J270" s="37">
        <v>0.2</v>
      </c>
      <c r="K270" s="54">
        <v>0</v>
      </c>
      <c r="L270" s="24" t="str">
        <f t="shared" si="25"/>
        <v/>
      </c>
      <c r="M270" s="24" t="str">
        <f t="shared" si="26"/>
        <v/>
      </c>
      <c r="N270" s="37" t="s">
        <v>197</v>
      </c>
      <c r="O270" s="37" t="s">
        <v>197</v>
      </c>
      <c r="P270" s="40">
        <v>1</v>
      </c>
      <c r="Q270" s="40">
        <v>2</v>
      </c>
      <c r="R270" s="37" t="s">
        <v>360</v>
      </c>
      <c r="S270" s="37"/>
    </row>
    <row r="271" spans="1:19" x14ac:dyDescent="0.3">
      <c r="A271" s="36">
        <v>124</v>
      </c>
      <c r="B271" s="37" t="s">
        <v>335</v>
      </c>
      <c r="C271" s="37" t="s">
        <v>138</v>
      </c>
      <c r="D271" s="37" t="s">
        <v>73</v>
      </c>
      <c r="E271" s="37" t="s">
        <v>56</v>
      </c>
      <c r="F271" s="42">
        <v>45351</v>
      </c>
      <c r="G271" s="37">
        <v>2024</v>
      </c>
      <c r="H271" s="37" t="s">
        <v>76</v>
      </c>
      <c r="I271" s="39" t="s">
        <v>34</v>
      </c>
      <c r="J271" s="37">
        <v>0.2</v>
      </c>
      <c r="K271" s="54">
        <v>0</v>
      </c>
      <c r="L271" s="24" t="str">
        <f t="shared" si="25"/>
        <v/>
      </c>
      <c r="M271" s="24" t="str">
        <f t="shared" si="26"/>
        <v/>
      </c>
      <c r="N271" s="37" t="s">
        <v>197</v>
      </c>
      <c r="O271" s="37" t="s">
        <v>197</v>
      </c>
      <c r="P271" s="40">
        <v>1</v>
      </c>
      <c r="Q271" s="40">
        <v>2</v>
      </c>
      <c r="R271" s="37" t="s">
        <v>361</v>
      </c>
      <c r="S271" s="37"/>
    </row>
    <row r="272" spans="1:19" x14ac:dyDescent="0.3">
      <c r="A272" s="36">
        <v>124</v>
      </c>
      <c r="B272" s="37" t="s">
        <v>335</v>
      </c>
      <c r="C272" s="37" t="s">
        <v>138</v>
      </c>
      <c r="D272" s="37" t="s">
        <v>73</v>
      </c>
      <c r="E272" s="37" t="s">
        <v>56</v>
      </c>
      <c r="F272" s="42">
        <v>45382</v>
      </c>
      <c r="G272" s="37">
        <v>2024</v>
      </c>
      <c r="H272" s="37" t="s">
        <v>40</v>
      </c>
      <c r="I272" s="39" t="s">
        <v>34</v>
      </c>
      <c r="J272" s="37">
        <v>0.2</v>
      </c>
      <c r="K272" s="54">
        <v>0</v>
      </c>
      <c r="L272" s="24" t="str">
        <f t="shared" si="25"/>
        <v/>
      </c>
      <c r="M272" s="24" t="str">
        <f t="shared" si="26"/>
        <v/>
      </c>
      <c r="N272" s="37" t="s">
        <v>197</v>
      </c>
      <c r="O272" s="37" t="s">
        <v>197</v>
      </c>
      <c r="P272" s="40">
        <v>1</v>
      </c>
      <c r="Q272" s="40">
        <v>2</v>
      </c>
      <c r="R272" s="37" t="s">
        <v>362</v>
      </c>
      <c r="S272" s="37"/>
    </row>
    <row r="273" spans="1:19" x14ac:dyDescent="0.3">
      <c r="A273" s="36">
        <v>124</v>
      </c>
      <c r="B273" s="37" t="s">
        <v>335</v>
      </c>
      <c r="C273" s="37" t="s">
        <v>138</v>
      </c>
      <c r="D273" s="37" t="s">
        <v>73</v>
      </c>
      <c r="E273" s="37" t="s">
        <v>56</v>
      </c>
      <c r="F273" s="42">
        <v>45412</v>
      </c>
      <c r="G273" s="37">
        <v>2024</v>
      </c>
      <c r="H273" s="37" t="s">
        <v>79</v>
      </c>
      <c r="I273" s="39" t="s">
        <v>34</v>
      </c>
      <c r="J273" s="37">
        <v>0.2</v>
      </c>
      <c r="K273" s="54">
        <v>0</v>
      </c>
      <c r="L273" s="24" t="str">
        <f t="shared" si="25"/>
        <v/>
      </c>
      <c r="M273" s="24" t="str">
        <f t="shared" si="26"/>
        <v/>
      </c>
      <c r="N273" s="37" t="s">
        <v>197</v>
      </c>
      <c r="O273" s="37" t="s">
        <v>197</v>
      </c>
      <c r="P273" s="40">
        <v>1</v>
      </c>
      <c r="Q273" s="40">
        <v>2</v>
      </c>
      <c r="R273" s="37" t="s">
        <v>363</v>
      </c>
      <c r="S273" s="37"/>
    </row>
    <row r="274" spans="1:19" x14ac:dyDescent="0.3">
      <c r="A274" s="36">
        <v>124</v>
      </c>
      <c r="B274" s="37" t="s">
        <v>335</v>
      </c>
      <c r="C274" s="37" t="s">
        <v>138</v>
      </c>
      <c r="D274" s="37" t="s">
        <v>73</v>
      </c>
      <c r="E274" s="37" t="s">
        <v>56</v>
      </c>
      <c r="F274" s="42">
        <v>45443</v>
      </c>
      <c r="G274" s="37">
        <v>2024</v>
      </c>
      <c r="H274" s="37" t="s">
        <v>81</v>
      </c>
      <c r="I274" s="39" t="s">
        <v>34</v>
      </c>
      <c r="J274" s="37">
        <v>0.2</v>
      </c>
      <c r="K274" s="54">
        <v>4.1823504809702997E-2</v>
      </c>
      <c r="L274" s="24">
        <f t="shared" si="25"/>
        <v>1</v>
      </c>
      <c r="M274" s="24">
        <f t="shared" si="26"/>
        <v>1</v>
      </c>
      <c r="N274" s="37" t="s">
        <v>197</v>
      </c>
      <c r="O274" s="37" t="s">
        <v>197</v>
      </c>
      <c r="P274" s="40">
        <v>1</v>
      </c>
      <c r="Q274" s="40">
        <v>2</v>
      </c>
      <c r="R274" s="37" t="s">
        <v>364</v>
      </c>
      <c r="S274" s="37"/>
    </row>
    <row r="275" spans="1:19" x14ac:dyDescent="0.3">
      <c r="A275" s="36">
        <v>124</v>
      </c>
      <c r="B275" s="37" t="s">
        <v>335</v>
      </c>
      <c r="C275" s="37" t="s">
        <v>138</v>
      </c>
      <c r="D275" s="37" t="s">
        <v>73</v>
      </c>
      <c r="E275" s="37" t="s">
        <v>56</v>
      </c>
      <c r="F275" s="42">
        <v>45473</v>
      </c>
      <c r="G275" s="37">
        <v>2024</v>
      </c>
      <c r="H275" s="37" t="s">
        <v>23</v>
      </c>
      <c r="I275" s="39" t="s">
        <v>34</v>
      </c>
      <c r="J275" s="37">
        <v>0.2</v>
      </c>
      <c r="K275" s="54">
        <v>0</v>
      </c>
      <c r="L275" s="24" t="str">
        <f t="shared" si="25"/>
        <v/>
      </c>
      <c r="M275" s="24" t="str">
        <f t="shared" si="26"/>
        <v/>
      </c>
      <c r="N275" s="37" t="s">
        <v>197</v>
      </c>
      <c r="O275" s="37" t="s">
        <v>197</v>
      </c>
      <c r="P275" s="40">
        <v>1</v>
      </c>
      <c r="Q275" s="40">
        <v>2</v>
      </c>
      <c r="R275" s="37" t="s">
        <v>365</v>
      </c>
      <c r="S275" s="37"/>
    </row>
    <row r="276" spans="1:19" x14ac:dyDescent="0.3">
      <c r="A276" s="36">
        <v>124</v>
      </c>
      <c r="B276" s="37" t="s">
        <v>335</v>
      </c>
      <c r="C276" s="37" t="s">
        <v>138</v>
      </c>
      <c r="D276" s="37" t="s">
        <v>73</v>
      </c>
      <c r="E276" s="37" t="s">
        <v>56</v>
      </c>
      <c r="F276" s="42">
        <v>45504</v>
      </c>
      <c r="G276" s="37">
        <v>2024</v>
      </c>
      <c r="H276" s="37" t="s">
        <v>84</v>
      </c>
      <c r="I276" s="39" t="s">
        <v>36</v>
      </c>
      <c r="J276" s="37">
        <v>0.2</v>
      </c>
      <c r="K276" s="54">
        <v>0</v>
      </c>
      <c r="L276" s="24" t="str">
        <f t="shared" si="25"/>
        <v/>
      </c>
      <c r="M276" s="24" t="str">
        <f t="shared" si="26"/>
        <v/>
      </c>
      <c r="N276" s="37" t="s">
        <v>197</v>
      </c>
      <c r="O276" s="37" t="s">
        <v>197</v>
      </c>
      <c r="P276" s="40">
        <v>1</v>
      </c>
      <c r="Q276" s="40">
        <v>2</v>
      </c>
      <c r="R276" s="37" t="s">
        <v>366</v>
      </c>
      <c r="S276" s="37"/>
    </row>
    <row r="277" spans="1:19" x14ac:dyDescent="0.3">
      <c r="A277" s="36">
        <v>124</v>
      </c>
      <c r="B277" s="37" t="s">
        <v>335</v>
      </c>
      <c r="C277" s="37" t="s">
        <v>138</v>
      </c>
      <c r="D277" s="37" t="s">
        <v>73</v>
      </c>
      <c r="E277" s="37" t="s">
        <v>56</v>
      </c>
      <c r="F277" s="42">
        <v>45535</v>
      </c>
      <c r="G277" s="37">
        <v>2024</v>
      </c>
      <c r="H277" s="37" t="s">
        <v>86</v>
      </c>
      <c r="I277" s="39" t="s">
        <v>36</v>
      </c>
      <c r="J277" s="37">
        <v>0.2</v>
      </c>
      <c r="K277" s="43">
        <v>0</v>
      </c>
      <c r="L277" s="24" t="str">
        <f t="shared" si="25"/>
        <v/>
      </c>
      <c r="M277" s="24" t="str">
        <f t="shared" si="26"/>
        <v/>
      </c>
      <c r="N277" s="37" t="s">
        <v>197</v>
      </c>
      <c r="O277" s="37" t="s">
        <v>197</v>
      </c>
      <c r="P277" s="40">
        <v>1</v>
      </c>
      <c r="Q277" s="40">
        <v>2</v>
      </c>
      <c r="R277" s="37" t="s">
        <v>367</v>
      </c>
      <c r="S277" s="37"/>
    </row>
    <row r="278" spans="1:19" x14ac:dyDescent="0.3">
      <c r="A278" s="36">
        <v>124</v>
      </c>
      <c r="B278" s="37" t="s">
        <v>335</v>
      </c>
      <c r="C278" s="37" t="s">
        <v>138</v>
      </c>
      <c r="D278" s="37" t="s">
        <v>73</v>
      </c>
      <c r="E278" s="37" t="s">
        <v>56</v>
      </c>
      <c r="F278" s="42">
        <v>45565</v>
      </c>
      <c r="G278" s="37">
        <v>2024</v>
      </c>
      <c r="H278" s="37" t="s">
        <v>43</v>
      </c>
      <c r="I278" s="39" t="s">
        <v>36</v>
      </c>
      <c r="J278" s="37">
        <v>0.2</v>
      </c>
      <c r="K278" s="54">
        <v>0</v>
      </c>
      <c r="L278" s="24" t="str">
        <f t="shared" ref="L278:L292" si="27">IFERROR(IF(OR(J278=0,K278=""),"",IF(E278="Positivo",MIN(MAX(K278/J278,0),1),MIN(MAX(J278/K278,0),1))),"")</f>
        <v/>
      </c>
      <c r="M278" s="24" t="str">
        <f t="shared" ref="M278:M292" si="28">IFERROR(IF(OR(J278=0,K278=""),"",IF(E278="Positivo",MIN(MAX(K278/J278,0),1),MIN(MAX(J278/K278,0),1))),"")</f>
        <v/>
      </c>
      <c r="N278" s="37" t="s">
        <v>197</v>
      </c>
      <c r="O278" s="37" t="s">
        <v>197</v>
      </c>
      <c r="P278" s="40">
        <v>1</v>
      </c>
      <c r="Q278" s="40">
        <v>2</v>
      </c>
      <c r="R278" s="37" t="s">
        <v>368</v>
      </c>
      <c r="S278" s="37"/>
    </row>
    <row r="279" spans="1:19" x14ac:dyDescent="0.3">
      <c r="A279" s="41">
        <v>124</v>
      </c>
      <c r="B279" s="37" t="s">
        <v>335</v>
      </c>
      <c r="C279" s="37" t="s">
        <v>138</v>
      </c>
      <c r="D279" s="37" t="s">
        <v>73</v>
      </c>
      <c r="E279" s="37" t="s">
        <v>56</v>
      </c>
      <c r="F279" s="42">
        <v>45596</v>
      </c>
      <c r="G279" s="37">
        <v>2024</v>
      </c>
      <c r="H279" s="37" t="s">
        <v>89</v>
      </c>
      <c r="I279" s="39" t="s">
        <v>36</v>
      </c>
      <c r="J279" s="37">
        <v>0.2</v>
      </c>
      <c r="K279" s="43">
        <v>0</v>
      </c>
      <c r="L279" s="24" t="str">
        <f t="shared" si="27"/>
        <v/>
      </c>
      <c r="M279" s="24" t="str">
        <f t="shared" si="28"/>
        <v/>
      </c>
      <c r="N279" s="37" t="s">
        <v>197</v>
      </c>
      <c r="O279" s="37" t="s">
        <v>197</v>
      </c>
      <c r="P279" s="40">
        <v>1</v>
      </c>
      <c r="Q279" s="40">
        <v>2</v>
      </c>
      <c r="R279" s="37" t="s">
        <v>369</v>
      </c>
      <c r="S279" s="37"/>
    </row>
    <row r="280" spans="1:19" x14ac:dyDescent="0.3">
      <c r="A280" s="41">
        <v>124</v>
      </c>
      <c r="B280" s="37" t="s">
        <v>335</v>
      </c>
      <c r="C280" s="37" t="s">
        <v>138</v>
      </c>
      <c r="D280" s="37" t="s">
        <v>73</v>
      </c>
      <c r="E280" s="37" t="s">
        <v>56</v>
      </c>
      <c r="F280" s="42">
        <v>45626</v>
      </c>
      <c r="G280" s="37">
        <v>2024</v>
      </c>
      <c r="H280" s="37" t="s">
        <v>91</v>
      </c>
      <c r="I280" s="39" t="s">
        <v>36</v>
      </c>
      <c r="J280" s="37">
        <v>0.2</v>
      </c>
      <c r="K280" s="54">
        <v>0</v>
      </c>
      <c r="L280" s="24" t="str">
        <f t="shared" si="27"/>
        <v/>
      </c>
      <c r="M280" s="24" t="str">
        <f t="shared" si="28"/>
        <v/>
      </c>
      <c r="N280" s="37" t="s">
        <v>197</v>
      </c>
      <c r="O280" s="37" t="s">
        <v>197</v>
      </c>
      <c r="P280" s="40">
        <v>1</v>
      </c>
      <c r="Q280" s="40">
        <v>2</v>
      </c>
      <c r="R280" s="37" t="s">
        <v>370</v>
      </c>
      <c r="S280" s="37"/>
    </row>
    <row r="281" spans="1:19" x14ac:dyDescent="0.3">
      <c r="A281" s="41">
        <v>124</v>
      </c>
      <c r="B281" s="37" t="s">
        <v>335</v>
      </c>
      <c r="C281" s="37" t="s">
        <v>138</v>
      </c>
      <c r="D281" s="37" t="s">
        <v>73</v>
      </c>
      <c r="E281" s="37" t="s">
        <v>56</v>
      </c>
      <c r="F281" s="42">
        <v>45657</v>
      </c>
      <c r="G281" s="37">
        <v>2024</v>
      </c>
      <c r="H281" s="37" t="s">
        <v>27</v>
      </c>
      <c r="I281" s="39" t="s">
        <v>36</v>
      </c>
      <c r="J281" s="37">
        <v>0.2</v>
      </c>
      <c r="K281" s="54">
        <v>0.11415525114155251</v>
      </c>
      <c r="L281" s="24">
        <f t="shared" si="27"/>
        <v>1</v>
      </c>
      <c r="M281" s="24">
        <f t="shared" si="28"/>
        <v>1</v>
      </c>
      <c r="N281" s="37" t="s">
        <v>197</v>
      </c>
      <c r="O281" s="37" t="s">
        <v>197</v>
      </c>
      <c r="P281" s="40">
        <v>1</v>
      </c>
      <c r="Q281" s="40">
        <v>2</v>
      </c>
      <c r="R281" s="37" t="s">
        <v>371</v>
      </c>
      <c r="S281" s="37"/>
    </row>
    <row r="282" spans="1:19" x14ac:dyDescent="0.3">
      <c r="A282" s="36">
        <v>125</v>
      </c>
      <c r="B282" s="37" t="s">
        <v>372</v>
      </c>
      <c r="C282" s="37" t="s">
        <v>138</v>
      </c>
      <c r="D282" s="37" t="s">
        <v>73</v>
      </c>
      <c r="E282" s="37" t="s">
        <v>56</v>
      </c>
      <c r="F282" s="42">
        <v>44592</v>
      </c>
      <c r="G282" s="37">
        <v>2022</v>
      </c>
      <c r="H282" s="37" t="s">
        <v>74</v>
      </c>
      <c r="I282" s="39" t="s">
        <v>24</v>
      </c>
      <c r="J282" s="37">
        <v>4.7</v>
      </c>
      <c r="K282" s="58">
        <v>0</v>
      </c>
      <c r="L282" s="24" t="str">
        <f t="shared" si="27"/>
        <v/>
      </c>
      <c r="M282" s="24" t="str">
        <f t="shared" si="28"/>
        <v/>
      </c>
      <c r="N282" s="37" t="s">
        <v>197</v>
      </c>
      <c r="O282" s="60" t="s">
        <v>197</v>
      </c>
      <c r="P282" s="40">
        <v>1</v>
      </c>
      <c r="Q282" s="40">
        <v>2</v>
      </c>
      <c r="R282" s="37" t="s">
        <v>373</v>
      </c>
      <c r="S282" s="37"/>
    </row>
    <row r="283" spans="1:19" x14ac:dyDescent="0.3">
      <c r="A283" s="36">
        <v>125</v>
      </c>
      <c r="B283" s="37" t="s">
        <v>372</v>
      </c>
      <c r="C283" s="37" t="s">
        <v>138</v>
      </c>
      <c r="D283" s="37" t="s">
        <v>73</v>
      </c>
      <c r="E283" s="37" t="s">
        <v>56</v>
      </c>
      <c r="F283" s="38">
        <v>44620</v>
      </c>
      <c r="G283" s="37">
        <v>2022</v>
      </c>
      <c r="H283" s="37" t="s">
        <v>76</v>
      </c>
      <c r="I283" s="39" t="s">
        <v>24</v>
      </c>
      <c r="J283" s="37">
        <v>4.7</v>
      </c>
      <c r="K283" s="58">
        <v>0.20964360587002001</v>
      </c>
      <c r="L283" s="24">
        <f t="shared" si="27"/>
        <v>1</v>
      </c>
      <c r="M283" s="24">
        <f t="shared" si="28"/>
        <v>1</v>
      </c>
      <c r="N283" s="37" t="s">
        <v>197</v>
      </c>
      <c r="O283" s="60" t="s">
        <v>197</v>
      </c>
      <c r="P283" s="40">
        <v>1</v>
      </c>
      <c r="Q283" s="40">
        <v>2</v>
      </c>
      <c r="R283" s="37" t="s">
        <v>374</v>
      </c>
      <c r="S283" s="37"/>
    </row>
    <row r="284" spans="1:19" x14ac:dyDescent="0.3">
      <c r="A284" s="36">
        <v>125</v>
      </c>
      <c r="B284" s="37" t="s">
        <v>372</v>
      </c>
      <c r="C284" s="37" t="s">
        <v>138</v>
      </c>
      <c r="D284" s="37" t="s">
        <v>73</v>
      </c>
      <c r="E284" s="37" t="s">
        <v>56</v>
      </c>
      <c r="F284" s="42">
        <v>44651</v>
      </c>
      <c r="G284" s="37">
        <v>2022</v>
      </c>
      <c r="H284" s="37" t="s">
        <v>40</v>
      </c>
      <c r="I284" s="39" t="s">
        <v>24</v>
      </c>
      <c r="J284" s="37">
        <v>4.7</v>
      </c>
      <c r="K284" s="58">
        <v>0</v>
      </c>
      <c r="L284" s="24" t="str">
        <f t="shared" si="27"/>
        <v/>
      </c>
      <c r="M284" s="24" t="str">
        <f t="shared" si="28"/>
        <v/>
      </c>
      <c r="N284" s="37" t="s">
        <v>197</v>
      </c>
      <c r="O284" s="60" t="s">
        <v>197</v>
      </c>
      <c r="P284" s="40">
        <v>1</v>
      </c>
      <c r="Q284" s="40">
        <v>2</v>
      </c>
      <c r="R284" s="37" t="s">
        <v>375</v>
      </c>
      <c r="S284" s="37"/>
    </row>
    <row r="285" spans="1:19" x14ac:dyDescent="0.3">
      <c r="A285" s="36">
        <v>125</v>
      </c>
      <c r="B285" s="37" t="s">
        <v>372</v>
      </c>
      <c r="C285" s="37" t="s">
        <v>138</v>
      </c>
      <c r="D285" s="37" t="s">
        <v>73</v>
      </c>
      <c r="E285" s="37" t="s">
        <v>56</v>
      </c>
      <c r="F285" s="42">
        <v>44681</v>
      </c>
      <c r="G285" s="37">
        <v>2022</v>
      </c>
      <c r="H285" s="37" t="s">
        <v>79</v>
      </c>
      <c r="I285" s="39" t="s">
        <v>24</v>
      </c>
      <c r="J285" s="37">
        <v>4.7</v>
      </c>
      <c r="K285" s="59">
        <v>0</v>
      </c>
      <c r="L285" s="24" t="str">
        <f t="shared" si="27"/>
        <v/>
      </c>
      <c r="M285" s="24" t="str">
        <f t="shared" si="28"/>
        <v/>
      </c>
      <c r="N285" s="37" t="s">
        <v>197</v>
      </c>
      <c r="O285" s="37" t="s">
        <v>197</v>
      </c>
      <c r="P285" s="40">
        <v>1</v>
      </c>
      <c r="Q285" s="40">
        <v>2</v>
      </c>
      <c r="R285" s="37" t="s">
        <v>376</v>
      </c>
      <c r="S285" s="37"/>
    </row>
    <row r="286" spans="1:19" x14ac:dyDescent="0.3">
      <c r="A286" s="36">
        <v>125</v>
      </c>
      <c r="B286" s="37" t="s">
        <v>372</v>
      </c>
      <c r="C286" s="37" t="s">
        <v>138</v>
      </c>
      <c r="D286" s="37" t="s">
        <v>73</v>
      </c>
      <c r="E286" s="37" t="s">
        <v>56</v>
      </c>
      <c r="F286" s="42">
        <v>44712</v>
      </c>
      <c r="G286" s="37">
        <v>2022</v>
      </c>
      <c r="H286" s="37" t="s">
        <v>81</v>
      </c>
      <c r="I286" s="39" t="s">
        <v>24</v>
      </c>
      <c r="J286" s="37">
        <v>4.7</v>
      </c>
      <c r="K286" s="59">
        <v>0.26680896478122001</v>
      </c>
      <c r="L286" s="24">
        <f t="shared" si="27"/>
        <v>1</v>
      </c>
      <c r="M286" s="24">
        <f t="shared" si="28"/>
        <v>1</v>
      </c>
      <c r="N286" s="37" t="s">
        <v>197</v>
      </c>
      <c r="O286" s="60" t="s">
        <v>197</v>
      </c>
      <c r="P286" s="40">
        <v>1</v>
      </c>
      <c r="Q286" s="40">
        <v>2</v>
      </c>
      <c r="R286" s="37" t="s">
        <v>377</v>
      </c>
      <c r="S286" s="37"/>
    </row>
    <row r="287" spans="1:19" x14ac:dyDescent="0.3">
      <c r="A287" s="36">
        <v>125</v>
      </c>
      <c r="B287" s="37" t="s">
        <v>372</v>
      </c>
      <c r="C287" s="37" t="s">
        <v>138</v>
      </c>
      <c r="D287" s="37" t="s">
        <v>73</v>
      </c>
      <c r="E287" s="37" t="s">
        <v>56</v>
      </c>
      <c r="F287" s="42">
        <v>44742</v>
      </c>
      <c r="G287" s="37">
        <v>2022</v>
      </c>
      <c r="H287" s="37" t="s">
        <v>23</v>
      </c>
      <c r="I287" s="39" t="s">
        <v>24</v>
      </c>
      <c r="J287" s="37">
        <v>4.7</v>
      </c>
      <c r="K287" s="59">
        <v>0</v>
      </c>
      <c r="L287" s="24" t="str">
        <f t="shared" si="27"/>
        <v/>
      </c>
      <c r="M287" s="24" t="str">
        <f t="shared" si="28"/>
        <v/>
      </c>
      <c r="N287" s="37" t="s">
        <v>197</v>
      </c>
      <c r="O287" s="60" t="s">
        <v>197</v>
      </c>
      <c r="P287" s="40">
        <v>1</v>
      </c>
      <c r="Q287" s="40">
        <v>2</v>
      </c>
      <c r="R287" s="37" t="s">
        <v>378</v>
      </c>
      <c r="S287" s="37"/>
    </row>
    <row r="288" spans="1:19" x14ac:dyDescent="0.3">
      <c r="A288" s="36">
        <v>125</v>
      </c>
      <c r="B288" s="37" t="s">
        <v>372</v>
      </c>
      <c r="C288" s="37" t="s">
        <v>138</v>
      </c>
      <c r="D288" s="37" t="s">
        <v>73</v>
      </c>
      <c r="E288" s="37" t="s">
        <v>56</v>
      </c>
      <c r="F288" s="42">
        <v>44773</v>
      </c>
      <c r="G288" s="37">
        <v>2022</v>
      </c>
      <c r="H288" s="37" t="s">
        <v>84</v>
      </c>
      <c r="I288" s="39" t="s">
        <v>28</v>
      </c>
      <c r="J288" s="37">
        <v>4.7</v>
      </c>
      <c r="K288" s="58">
        <v>0</v>
      </c>
      <c r="L288" s="24" t="str">
        <f t="shared" si="27"/>
        <v/>
      </c>
      <c r="M288" s="24" t="str">
        <f t="shared" si="28"/>
        <v/>
      </c>
      <c r="N288" s="37" t="s">
        <v>197</v>
      </c>
      <c r="O288" s="37" t="s">
        <v>197</v>
      </c>
      <c r="P288" s="40">
        <v>1</v>
      </c>
      <c r="Q288" s="40">
        <v>2</v>
      </c>
      <c r="R288" s="37" t="s">
        <v>379</v>
      </c>
      <c r="S288" s="37"/>
    </row>
    <row r="289" spans="1:19" x14ac:dyDescent="0.3">
      <c r="A289" s="36">
        <v>125</v>
      </c>
      <c r="B289" s="37" t="s">
        <v>372</v>
      </c>
      <c r="C289" s="37" t="s">
        <v>138</v>
      </c>
      <c r="D289" s="37" t="s">
        <v>73</v>
      </c>
      <c r="E289" s="37" t="s">
        <v>56</v>
      </c>
      <c r="F289" s="42">
        <v>44804</v>
      </c>
      <c r="G289" s="37">
        <v>2022</v>
      </c>
      <c r="H289" s="37" t="s">
        <v>86</v>
      </c>
      <c r="I289" s="39" t="s">
        <v>28</v>
      </c>
      <c r="J289" s="37">
        <v>4.7</v>
      </c>
      <c r="K289" s="58">
        <v>0.31094527363183999</v>
      </c>
      <c r="L289" s="24">
        <f t="shared" si="27"/>
        <v>1</v>
      </c>
      <c r="M289" s="24">
        <f t="shared" si="28"/>
        <v>1</v>
      </c>
      <c r="N289" s="37" t="s">
        <v>197</v>
      </c>
      <c r="O289" s="37" t="s">
        <v>197</v>
      </c>
      <c r="P289" s="40">
        <v>1</v>
      </c>
      <c r="Q289" s="40">
        <v>2</v>
      </c>
      <c r="R289" s="37" t="s">
        <v>380</v>
      </c>
      <c r="S289" s="37"/>
    </row>
    <row r="290" spans="1:19" x14ac:dyDescent="0.3">
      <c r="A290" s="36">
        <v>125</v>
      </c>
      <c r="B290" s="37" t="s">
        <v>372</v>
      </c>
      <c r="C290" s="37" t="s">
        <v>138</v>
      </c>
      <c r="D290" s="37" t="s">
        <v>73</v>
      </c>
      <c r="E290" s="37" t="s">
        <v>56</v>
      </c>
      <c r="F290" s="42">
        <v>44834</v>
      </c>
      <c r="G290" s="37">
        <v>2022</v>
      </c>
      <c r="H290" s="37" t="s">
        <v>43</v>
      </c>
      <c r="I290" s="39" t="s">
        <v>28</v>
      </c>
      <c r="J290" s="37">
        <v>4.7</v>
      </c>
      <c r="K290" s="59">
        <v>0</v>
      </c>
      <c r="L290" s="24" t="str">
        <f t="shared" si="27"/>
        <v/>
      </c>
      <c r="M290" s="24" t="str">
        <f t="shared" si="28"/>
        <v/>
      </c>
      <c r="N290" s="37" t="s">
        <v>197</v>
      </c>
      <c r="O290" s="60" t="s">
        <v>197</v>
      </c>
      <c r="P290" s="40">
        <v>1</v>
      </c>
      <c r="Q290" s="40">
        <v>2</v>
      </c>
      <c r="R290" s="37" t="s">
        <v>381</v>
      </c>
      <c r="S290" s="37"/>
    </row>
    <row r="291" spans="1:19" x14ac:dyDescent="0.3">
      <c r="A291" s="41">
        <v>125</v>
      </c>
      <c r="B291" s="37" t="s">
        <v>372</v>
      </c>
      <c r="C291" s="37" t="s">
        <v>138</v>
      </c>
      <c r="D291" s="37" t="s">
        <v>73</v>
      </c>
      <c r="E291" s="37" t="s">
        <v>56</v>
      </c>
      <c r="F291" s="42">
        <v>44865</v>
      </c>
      <c r="G291" s="37">
        <v>2022</v>
      </c>
      <c r="H291" s="37" t="s">
        <v>89</v>
      </c>
      <c r="I291" s="39" t="s">
        <v>28</v>
      </c>
      <c r="J291" s="37">
        <v>4.7</v>
      </c>
      <c r="K291" s="58">
        <v>0.16556291390728001</v>
      </c>
      <c r="L291" s="24">
        <f t="shared" si="27"/>
        <v>1</v>
      </c>
      <c r="M291" s="24">
        <f t="shared" si="28"/>
        <v>1</v>
      </c>
      <c r="N291" s="37" t="s">
        <v>197</v>
      </c>
      <c r="O291" s="37" t="s">
        <v>197</v>
      </c>
      <c r="P291" s="40">
        <v>1</v>
      </c>
      <c r="Q291" s="40">
        <v>2</v>
      </c>
      <c r="R291" s="37" t="s">
        <v>382</v>
      </c>
      <c r="S291" s="37"/>
    </row>
    <row r="292" spans="1:19" x14ac:dyDescent="0.3">
      <c r="A292" s="36">
        <v>125</v>
      </c>
      <c r="B292" s="37" t="s">
        <v>372</v>
      </c>
      <c r="C292" s="37" t="s">
        <v>138</v>
      </c>
      <c r="D292" s="37" t="s">
        <v>73</v>
      </c>
      <c r="E292" s="37" t="s">
        <v>56</v>
      </c>
      <c r="F292" s="42">
        <v>44895</v>
      </c>
      <c r="G292" s="37">
        <v>2022</v>
      </c>
      <c r="H292" s="37" t="s">
        <v>91</v>
      </c>
      <c r="I292" s="39" t="s">
        <v>28</v>
      </c>
      <c r="J292" s="37">
        <v>4.7</v>
      </c>
      <c r="K292" s="58">
        <v>0</v>
      </c>
      <c r="L292" s="24" t="str">
        <f t="shared" si="27"/>
        <v/>
      </c>
      <c r="M292" s="24" t="str">
        <f t="shared" si="28"/>
        <v/>
      </c>
      <c r="N292" s="37" t="s">
        <v>197</v>
      </c>
      <c r="O292" s="37" t="s">
        <v>197</v>
      </c>
      <c r="P292" s="40">
        <v>1</v>
      </c>
      <c r="Q292" s="40">
        <v>2</v>
      </c>
      <c r="R292" s="37" t="s">
        <v>383</v>
      </c>
      <c r="S292" s="37"/>
    </row>
    <row r="293" spans="1:19" x14ac:dyDescent="0.3">
      <c r="A293" s="36">
        <v>125</v>
      </c>
      <c r="B293" s="37" t="s">
        <v>372</v>
      </c>
      <c r="C293" s="37" t="s">
        <v>138</v>
      </c>
      <c r="D293" s="37" t="s">
        <v>73</v>
      </c>
      <c r="E293" s="37" t="s">
        <v>56</v>
      </c>
      <c r="F293" s="42">
        <v>44926</v>
      </c>
      <c r="G293" s="37">
        <v>2022</v>
      </c>
      <c r="H293" s="37" t="s">
        <v>27</v>
      </c>
      <c r="I293" s="39" t="s">
        <v>28</v>
      </c>
      <c r="J293" s="37">
        <v>4.7</v>
      </c>
      <c r="K293" s="59">
        <v>0</v>
      </c>
      <c r="L293" s="24" t="str">
        <f t="shared" ref="L293:L317" si="29">IFERROR(IF(OR(J293=0,K293=""),"",IF(E293="Positivo",MIN(MAX(K293/J293,0),1),MIN(MAX(J293/K293,0),1))),"")</f>
        <v/>
      </c>
      <c r="M293" s="24" t="str">
        <f t="shared" ref="M293:M317" si="30">IFERROR(IF(OR(J293=0,K293=""),"",IF(E293="Positivo",MIN(MAX(K293/J293,0),1),MIN(MAX(J293/K293,0),1))),"")</f>
        <v/>
      </c>
      <c r="N293" s="37" t="s">
        <v>197</v>
      </c>
      <c r="O293" s="37" t="s">
        <v>197</v>
      </c>
      <c r="P293" s="40">
        <v>1</v>
      </c>
      <c r="Q293" s="40">
        <v>2</v>
      </c>
      <c r="R293" s="37" t="s">
        <v>384</v>
      </c>
      <c r="S293" s="37"/>
    </row>
    <row r="294" spans="1:19" x14ac:dyDescent="0.3">
      <c r="A294" s="36">
        <v>125</v>
      </c>
      <c r="B294" s="37" t="s">
        <v>372</v>
      </c>
      <c r="C294" s="37" t="s">
        <v>138</v>
      </c>
      <c r="D294" s="37" t="s">
        <v>73</v>
      </c>
      <c r="E294" s="37" t="s">
        <v>56</v>
      </c>
      <c r="F294" s="42">
        <v>44957</v>
      </c>
      <c r="G294" s="37">
        <v>2023</v>
      </c>
      <c r="H294" s="37" t="s">
        <v>74</v>
      </c>
      <c r="I294" s="39" t="s">
        <v>30</v>
      </c>
      <c r="J294" s="37">
        <v>4.7</v>
      </c>
      <c r="K294" s="58">
        <v>0</v>
      </c>
      <c r="L294" s="24" t="str">
        <f t="shared" si="29"/>
        <v/>
      </c>
      <c r="M294" s="24" t="str">
        <f t="shared" si="30"/>
        <v/>
      </c>
      <c r="N294" s="37" t="s">
        <v>197</v>
      </c>
      <c r="O294" s="60" t="s">
        <v>197</v>
      </c>
      <c r="P294" s="40">
        <v>1</v>
      </c>
      <c r="Q294" s="40">
        <v>2</v>
      </c>
      <c r="R294" s="37" t="s">
        <v>385</v>
      </c>
      <c r="S294" s="37"/>
    </row>
    <row r="295" spans="1:19" x14ac:dyDescent="0.3">
      <c r="A295" s="36">
        <v>125</v>
      </c>
      <c r="B295" s="37" t="s">
        <v>372</v>
      </c>
      <c r="C295" s="37" t="s">
        <v>138</v>
      </c>
      <c r="D295" s="37" t="s">
        <v>73</v>
      </c>
      <c r="E295" s="37" t="s">
        <v>56</v>
      </c>
      <c r="F295" s="38">
        <v>44985</v>
      </c>
      <c r="G295" s="37">
        <v>2023</v>
      </c>
      <c r="H295" s="37" t="s">
        <v>76</v>
      </c>
      <c r="I295" s="39" t="s">
        <v>30</v>
      </c>
      <c r="J295" s="37">
        <v>4.7</v>
      </c>
      <c r="K295" s="58">
        <v>0</v>
      </c>
      <c r="L295" s="24" t="str">
        <f t="shared" si="29"/>
        <v/>
      </c>
      <c r="M295" s="24" t="str">
        <f t="shared" si="30"/>
        <v/>
      </c>
      <c r="N295" s="37" t="s">
        <v>197</v>
      </c>
      <c r="O295" s="60" t="s">
        <v>197</v>
      </c>
      <c r="P295" s="40">
        <v>1</v>
      </c>
      <c r="Q295" s="40">
        <v>2</v>
      </c>
      <c r="R295" s="37" t="s">
        <v>386</v>
      </c>
      <c r="S295" s="37"/>
    </row>
    <row r="296" spans="1:19" x14ac:dyDescent="0.3">
      <c r="A296" s="36">
        <v>125</v>
      </c>
      <c r="B296" s="37" t="s">
        <v>372</v>
      </c>
      <c r="C296" s="37" t="s">
        <v>138</v>
      </c>
      <c r="D296" s="37" t="s">
        <v>73</v>
      </c>
      <c r="E296" s="37" t="s">
        <v>56</v>
      </c>
      <c r="F296" s="42">
        <v>45016</v>
      </c>
      <c r="G296" s="37">
        <v>2023</v>
      </c>
      <c r="H296" s="37" t="s">
        <v>40</v>
      </c>
      <c r="I296" s="39" t="s">
        <v>30</v>
      </c>
      <c r="J296" s="37">
        <v>4.7</v>
      </c>
      <c r="K296" s="59">
        <v>0</v>
      </c>
      <c r="L296" s="24" t="str">
        <f t="shared" si="29"/>
        <v/>
      </c>
      <c r="M296" s="24" t="str">
        <f t="shared" si="30"/>
        <v/>
      </c>
      <c r="N296" s="37" t="s">
        <v>197</v>
      </c>
      <c r="O296" s="60" t="s">
        <v>197</v>
      </c>
      <c r="P296" s="40">
        <v>1</v>
      </c>
      <c r="Q296" s="40">
        <v>2</v>
      </c>
      <c r="R296" s="37" t="s">
        <v>387</v>
      </c>
      <c r="S296" s="37"/>
    </row>
    <row r="297" spans="1:19" x14ac:dyDescent="0.3">
      <c r="A297" s="36">
        <v>125</v>
      </c>
      <c r="B297" s="37" t="s">
        <v>372</v>
      </c>
      <c r="C297" s="37" t="s">
        <v>138</v>
      </c>
      <c r="D297" s="37" t="s">
        <v>73</v>
      </c>
      <c r="E297" s="37" t="s">
        <v>56</v>
      </c>
      <c r="F297" s="42">
        <v>45046</v>
      </c>
      <c r="G297" s="37">
        <v>2023</v>
      </c>
      <c r="H297" s="37" t="s">
        <v>79</v>
      </c>
      <c r="I297" s="39" t="s">
        <v>30</v>
      </c>
      <c r="J297" s="37">
        <v>4.7</v>
      </c>
      <c r="K297" s="59">
        <v>0.13044612575007</v>
      </c>
      <c r="L297" s="24">
        <f t="shared" si="29"/>
        <v>1</v>
      </c>
      <c r="M297" s="24">
        <f t="shared" si="30"/>
        <v>1</v>
      </c>
      <c r="N297" s="37" t="s">
        <v>197</v>
      </c>
      <c r="O297" s="37" t="s">
        <v>197</v>
      </c>
      <c r="P297" s="40">
        <v>1</v>
      </c>
      <c r="Q297" s="40">
        <v>2</v>
      </c>
      <c r="R297" s="37" t="s">
        <v>388</v>
      </c>
      <c r="S297" s="37"/>
    </row>
    <row r="298" spans="1:19" x14ac:dyDescent="0.3">
      <c r="A298" s="36">
        <v>125</v>
      </c>
      <c r="B298" s="37" t="s">
        <v>372</v>
      </c>
      <c r="C298" s="37" t="s">
        <v>138</v>
      </c>
      <c r="D298" s="37" t="s">
        <v>73</v>
      </c>
      <c r="E298" s="37" t="s">
        <v>56</v>
      </c>
      <c r="F298" s="42">
        <v>45077</v>
      </c>
      <c r="G298" s="37">
        <v>2023</v>
      </c>
      <c r="H298" s="37" t="s">
        <v>81</v>
      </c>
      <c r="I298" s="39" t="s">
        <v>30</v>
      </c>
      <c r="J298" s="37">
        <v>4.7</v>
      </c>
      <c r="K298" s="58">
        <v>0</v>
      </c>
      <c r="L298" s="24" t="str">
        <f t="shared" si="29"/>
        <v/>
      </c>
      <c r="M298" s="24" t="str">
        <f t="shared" si="30"/>
        <v/>
      </c>
      <c r="N298" s="37" t="s">
        <v>197</v>
      </c>
      <c r="O298" s="60" t="s">
        <v>197</v>
      </c>
      <c r="P298" s="40">
        <v>1</v>
      </c>
      <c r="Q298" s="40">
        <v>2</v>
      </c>
      <c r="R298" s="37" t="s">
        <v>389</v>
      </c>
      <c r="S298" s="37"/>
    </row>
    <row r="299" spans="1:19" x14ac:dyDescent="0.3">
      <c r="A299" s="36">
        <v>125</v>
      </c>
      <c r="B299" s="37" t="s">
        <v>372</v>
      </c>
      <c r="C299" s="37" t="s">
        <v>138</v>
      </c>
      <c r="D299" s="37" t="s">
        <v>73</v>
      </c>
      <c r="E299" s="37" t="s">
        <v>56</v>
      </c>
      <c r="F299" s="42">
        <v>45107</v>
      </c>
      <c r="G299" s="37">
        <v>2023</v>
      </c>
      <c r="H299" s="37" t="s">
        <v>23</v>
      </c>
      <c r="I299" s="39" t="s">
        <v>30</v>
      </c>
      <c r="J299" s="37">
        <v>4.7</v>
      </c>
      <c r="K299" s="59">
        <v>0</v>
      </c>
      <c r="L299" s="24" t="str">
        <f t="shared" si="29"/>
        <v/>
      </c>
      <c r="M299" s="24" t="str">
        <f t="shared" si="30"/>
        <v/>
      </c>
      <c r="N299" s="37" t="s">
        <v>197</v>
      </c>
      <c r="O299" s="60" t="s">
        <v>197</v>
      </c>
      <c r="P299" s="40">
        <v>1</v>
      </c>
      <c r="Q299" s="40">
        <v>2</v>
      </c>
      <c r="R299" s="37" t="s">
        <v>390</v>
      </c>
      <c r="S299" s="37"/>
    </row>
    <row r="300" spans="1:19" x14ac:dyDescent="0.3">
      <c r="A300" s="36">
        <v>125</v>
      </c>
      <c r="B300" s="37" t="s">
        <v>372</v>
      </c>
      <c r="C300" s="37" t="s">
        <v>138</v>
      </c>
      <c r="D300" s="37" t="s">
        <v>73</v>
      </c>
      <c r="E300" s="37" t="s">
        <v>56</v>
      </c>
      <c r="F300" s="42">
        <v>45138</v>
      </c>
      <c r="G300" s="37">
        <v>2023</v>
      </c>
      <c r="H300" s="37" t="s">
        <v>84</v>
      </c>
      <c r="I300" s="39" t="s">
        <v>32</v>
      </c>
      <c r="J300" s="37">
        <v>4.7</v>
      </c>
      <c r="K300" s="58">
        <v>1.0566037735849001</v>
      </c>
      <c r="L300" s="24">
        <f t="shared" si="29"/>
        <v>1</v>
      </c>
      <c r="M300" s="24">
        <f t="shared" si="30"/>
        <v>1</v>
      </c>
      <c r="N300" s="37" t="s">
        <v>197</v>
      </c>
      <c r="O300" s="37" t="s">
        <v>197</v>
      </c>
      <c r="P300" s="40">
        <v>1</v>
      </c>
      <c r="Q300" s="40">
        <v>2</v>
      </c>
      <c r="R300" s="37" t="s">
        <v>391</v>
      </c>
      <c r="S300" s="37"/>
    </row>
    <row r="301" spans="1:19" x14ac:dyDescent="0.3">
      <c r="A301" s="36">
        <v>125</v>
      </c>
      <c r="B301" s="37" t="s">
        <v>372</v>
      </c>
      <c r="C301" s="37" t="s">
        <v>138</v>
      </c>
      <c r="D301" s="37" t="s">
        <v>73</v>
      </c>
      <c r="E301" s="37" t="s">
        <v>56</v>
      </c>
      <c r="F301" s="42">
        <v>45169</v>
      </c>
      <c r="G301" s="37">
        <v>2023</v>
      </c>
      <c r="H301" s="37" t="s">
        <v>86</v>
      </c>
      <c r="I301" s="39" t="s">
        <v>32</v>
      </c>
      <c r="J301" s="37">
        <v>4.7</v>
      </c>
      <c r="K301" s="58">
        <v>0.92</v>
      </c>
      <c r="L301" s="24">
        <f t="shared" si="29"/>
        <v>1</v>
      </c>
      <c r="M301" s="24">
        <f t="shared" si="30"/>
        <v>1</v>
      </c>
      <c r="N301" s="37" t="s">
        <v>197</v>
      </c>
      <c r="O301" s="37" t="s">
        <v>197</v>
      </c>
      <c r="P301" s="40">
        <v>1</v>
      </c>
      <c r="Q301" s="40">
        <v>2</v>
      </c>
      <c r="R301" s="37" t="s">
        <v>392</v>
      </c>
      <c r="S301" s="37"/>
    </row>
    <row r="302" spans="1:19" x14ac:dyDescent="0.3">
      <c r="A302" s="36">
        <v>125</v>
      </c>
      <c r="B302" s="37" t="s">
        <v>372</v>
      </c>
      <c r="C302" s="37" t="s">
        <v>138</v>
      </c>
      <c r="D302" s="37" t="s">
        <v>73</v>
      </c>
      <c r="E302" s="37" t="s">
        <v>56</v>
      </c>
      <c r="F302" s="42">
        <v>45199</v>
      </c>
      <c r="G302" s="37">
        <v>2023</v>
      </c>
      <c r="H302" s="37" t="s">
        <v>43</v>
      </c>
      <c r="I302" s="39" t="s">
        <v>32</v>
      </c>
      <c r="J302" s="37">
        <v>4.7</v>
      </c>
      <c r="K302" s="59">
        <v>0</v>
      </c>
      <c r="L302" s="24" t="str">
        <f t="shared" si="29"/>
        <v/>
      </c>
      <c r="M302" s="24" t="str">
        <f t="shared" si="30"/>
        <v/>
      </c>
      <c r="N302" s="37" t="s">
        <v>197</v>
      </c>
      <c r="O302" s="60" t="s">
        <v>197</v>
      </c>
      <c r="P302" s="40">
        <v>1</v>
      </c>
      <c r="Q302" s="40">
        <v>2</v>
      </c>
      <c r="R302" s="37" t="s">
        <v>393</v>
      </c>
      <c r="S302" s="37"/>
    </row>
    <row r="303" spans="1:19" x14ac:dyDescent="0.3">
      <c r="A303" s="41">
        <v>125</v>
      </c>
      <c r="B303" s="37" t="s">
        <v>372</v>
      </c>
      <c r="C303" s="37" t="s">
        <v>138</v>
      </c>
      <c r="D303" s="37" t="s">
        <v>73</v>
      </c>
      <c r="E303" s="37" t="s">
        <v>56</v>
      </c>
      <c r="F303" s="42">
        <v>45230</v>
      </c>
      <c r="G303" s="37">
        <v>2023</v>
      </c>
      <c r="H303" s="37" t="s">
        <v>89</v>
      </c>
      <c r="I303" s="39" t="s">
        <v>32</v>
      </c>
      <c r="J303" s="37">
        <v>4.7</v>
      </c>
      <c r="K303" s="58">
        <v>0</v>
      </c>
      <c r="L303" s="24" t="str">
        <f t="shared" si="29"/>
        <v/>
      </c>
      <c r="M303" s="24" t="str">
        <f t="shared" si="30"/>
        <v/>
      </c>
      <c r="N303" s="37" t="s">
        <v>197</v>
      </c>
      <c r="O303" s="37" t="s">
        <v>197</v>
      </c>
      <c r="P303" s="40">
        <v>1</v>
      </c>
      <c r="Q303" s="40">
        <v>2</v>
      </c>
      <c r="R303" s="37" t="s">
        <v>394</v>
      </c>
      <c r="S303" s="37"/>
    </row>
    <row r="304" spans="1:19" x14ac:dyDescent="0.3">
      <c r="A304" s="36">
        <v>125</v>
      </c>
      <c r="B304" s="37" t="s">
        <v>372</v>
      </c>
      <c r="C304" s="37" t="s">
        <v>138</v>
      </c>
      <c r="D304" s="37" t="s">
        <v>73</v>
      </c>
      <c r="E304" s="37" t="s">
        <v>56</v>
      </c>
      <c r="F304" s="42">
        <v>45260</v>
      </c>
      <c r="G304" s="37">
        <v>2023</v>
      </c>
      <c r="H304" s="37" t="s">
        <v>91</v>
      </c>
      <c r="I304" s="39" t="s">
        <v>32</v>
      </c>
      <c r="J304" s="37">
        <v>4.7</v>
      </c>
      <c r="K304" s="58">
        <v>0</v>
      </c>
      <c r="L304" s="24" t="str">
        <f t="shared" si="29"/>
        <v/>
      </c>
      <c r="M304" s="24" t="str">
        <f t="shared" si="30"/>
        <v/>
      </c>
      <c r="N304" s="37" t="s">
        <v>197</v>
      </c>
      <c r="O304" s="37" t="s">
        <v>197</v>
      </c>
      <c r="P304" s="40">
        <v>1</v>
      </c>
      <c r="Q304" s="40">
        <v>2</v>
      </c>
      <c r="R304" s="37" t="s">
        <v>395</v>
      </c>
      <c r="S304" s="37"/>
    </row>
    <row r="305" spans="1:19" x14ac:dyDescent="0.3">
      <c r="A305" s="36">
        <v>125</v>
      </c>
      <c r="B305" s="37" t="s">
        <v>372</v>
      </c>
      <c r="C305" s="37" t="s">
        <v>138</v>
      </c>
      <c r="D305" s="37" t="s">
        <v>73</v>
      </c>
      <c r="E305" s="37" t="s">
        <v>56</v>
      </c>
      <c r="F305" s="42">
        <v>45291</v>
      </c>
      <c r="G305" s="37">
        <v>2023</v>
      </c>
      <c r="H305" s="37" t="s">
        <v>27</v>
      </c>
      <c r="I305" s="39" t="s">
        <v>32</v>
      </c>
      <c r="J305" s="37">
        <v>4.7</v>
      </c>
      <c r="K305" s="58">
        <v>0</v>
      </c>
      <c r="L305" s="24" t="str">
        <f t="shared" si="29"/>
        <v/>
      </c>
      <c r="M305" s="24" t="str">
        <f t="shared" si="30"/>
        <v/>
      </c>
      <c r="N305" s="37" t="s">
        <v>197</v>
      </c>
      <c r="O305" s="37" t="s">
        <v>197</v>
      </c>
      <c r="P305" s="40">
        <v>1</v>
      </c>
      <c r="Q305" s="40">
        <v>2</v>
      </c>
      <c r="R305" s="37" t="s">
        <v>396</v>
      </c>
      <c r="S305" s="37"/>
    </row>
    <row r="306" spans="1:19" x14ac:dyDescent="0.3">
      <c r="A306" s="36">
        <v>125</v>
      </c>
      <c r="B306" s="37" t="s">
        <v>372</v>
      </c>
      <c r="C306" s="37" t="s">
        <v>138</v>
      </c>
      <c r="D306" s="37" t="s">
        <v>73</v>
      </c>
      <c r="E306" s="37" t="s">
        <v>56</v>
      </c>
      <c r="F306" s="42">
        <v>45322</v>
      </c>
      <c r="G306" s="37">
        <v>2024</v>
      </c>
      <c r="H306" s="37" t="s">
        <v>74</v>
      </c>
      <c r="I306" s="39" t="s">
        <v>34</v>
      </c>
      <c r="J306" s="37">
        <v>1.9</v>
      </c>
      <c r="K306" s="58">
        <v>0</v>
      </c>
      <c r="L306" s="24" t="str">
        <f t="shared" si="29"/>
        <v/>
      </c>
      <c r="M306" s="24" t="str">
        <f t="shared" si="30"/>
        <v/>
      </c>
      <c r="N306" s="37" t="s">
        <v>197</v>
      </c>
      <c r="O306" s="37" t="s">
        <v>197</v>
      </c>
      <c r="P306" s="40">
        <v>1</v>
      </c>
      <c r="Q306" s="40">
        <v>2</v>
      </c>
      <c r="R306" s="37" t="s">
        <v>397</v>
      </c>
      <c r="S306" s="37"/>
    </row>
    <row r="307" spans="1:19" x14ac:dyDescent="0.3">
      <c r="A307" s="36">
        <v>125</v>
      </c>
      <c r="B307" s="37" t="s">
        <v>372</v>
      </c>
      <c r="C307" s="37" t="s">
        <v>138</v>
      </c>
      <c r="D307" s="37" t="s">
        <v>73</v>
      </c>
      <c r="E307" s="37" t="s">
        <v>56</v>
      </c>
      <c r="F307" s="42">
        <v>45351</v>
      </c>
      <c r="G307" s="37">
        <v>2024</v>
      </c>
      <c r="H307" s="37" t="s">
        <v>76</v>
      </c>
      <c r="I307" s="39" t="s">
        <v>34</v>
      </c>
      <c r="J307" s="37">
        <v>1.9</v>
      </c>
      <c r="K307" s="43">
        <v>0</v>
      </c>
      <c r="L307" s="24" t="str">
        <f t="shared" si="29"/>
        <v/>
      </c>
      <c r="M307" s="24" t="str">
        <f t="shared" si="30"/>
        <v/>
      </c>
      <c r="N307" s="37" t="s">
        <v>197</v>
      </c>
      <c r="O307" s="37" t="s">
        <v>197</v>
      </c>
      <c r="P307" s="40">
        <v>1</v>
      </c>
      <c r="Q307" s="40">
        <v>2</v>
      </c>
      <c r="R307" s="37" t="s">
        <v>398</v>
      </c>
      <c r="S307" s="37"/>
    </row>
    <row r="308" spans="1:19" x14ac:dyDescent="0.3">
      <c r="A308" s="36">
        <v>125</v>
      </c>
      <c r="B308" s="37" t="s">
        <v>372</v>
      </c>
      <c r="C308" s="37" t="s">
        <v>138</v>
      </c>
      <c r="D308" s="37" t="s">
        <v>73</v>
      </c>
      <c r="E308" s="37" t="s">
        <v>56</v>
      </c>
      <c r="F308" s="42">
        <v>45382</v>
      </c>
      <c r="G308" s="37">
        <v>2024</v>
      </c>
      <c r="H308" s="37" t="s">
        <v>40</v>
      </c>
      <c r="I308" s="39" t="s">
        <v>34</v>
      </c>
      <c r="J308" s="37">
        <v>1.9</v>
      </c>
      <c r="K308" s="59">
        <v>0</v>
      </c>
      <c r="L308" s="24" t="str">
        <f t="shared" si="29"/>
        <v/>
      </c>
      <c r="M308" s="24" t="str">
        <f t="shared" si="30"/>
        <v/>
      </c>
      <c r="N308" s="37" t="s">
        <v>197</v>
      </c>
      <c r="O308" s="37" t="s">
        <v>197</v>
      </c>
      <c r="P308" s="40">
        <v>1</v>
      </c>
      <c r="Q308" s="40">
        <v>2</v>
      </c>
      <c r="R308" s="37" t="s">
        <v>399</v>
      </c>
      <c r="S308" s="37"/>
    </row>
    <row r="309" spans="1:19" x14ac:dyDescent="0.3">
      <c r="A309" s="36">
        <v>125</v>
      </c>
      <c r="B309" s="37" t="s">
        <v>372</v>
      </c>
      <c r="C309" s="37" t="s">
        <v>138</v>
      </c>
      <c r="D309" s="37" t="s">
        <v>73</v>
      </c>
      <c r="E309" s="37" t="s">
        <v>56</v>
      </c>
      <c r="F309" s="42">
        <v>45412</v>
      </c>
      <c r="G309" s="37">
        <v>2024</v>
      </c>
      <c r="H309" s="37" t="s">
        <v>79</v>
      </c>
      <c r="I309" s="39" t="s">
        <v>34</v>
      </c>
      <c r="J309" s="37">
        <v>1.9</v>
      </c>
      <c r="K309" s="58">
        <v>0</v>
      </c>
      <c r="L309" s="24" t="str">
        <f t="shared" si="29"/>
        <v/>
      </c>
      <c r="M309" s="24" t="str">
        <f t="shared" si="30"/>
        <v/>
      </c>
      <c r="N309" s="37" t="s">
        <v>197</v>
      </c>
      <c r="O309" s="37" t="s">
        <v>197</v>
      </c>
      <c r="P309" s="40">
        <v>1</v>
      </c>
      <c r="Q309" s="40">
        <v>2</v>
      </c>
      <c r="R309" s="37" t="s">
        <v>400</v>
      </c>
      <c r="S309" s="37"/>
    </row>
    <row r="310" spans="1:19" x14ac:dyDescent="0.3">
      <c r="A310" s="36">
        <v>125</v>
      </c>
      <c r="B310" s="37" t="s">
        <v>372</v>
      </c>
      <c r="C310" s="37" t="s">
        <v>138</v>
      </c>
      <c r="D310" s="37" t="s">
        <v>73</v>
      </c>
      <c r="E310" s="37" t="s">
        <v>56</v>
      </c>
      <c r="F310" s="42">
        <v>45443</v>
      </c>
      <c r="G310" s="37">
        <v>2024</v>
      </c>
      <c r="H310" s="37" t="s">
        <v>81</v>
      </c>
      <c r="I310" s="39" t="s">
        <v>34</v>
      </c>
      <c r="J310" s="37">
        <v>1.9</v>
      </c>
      <c r="K310" s="58">
        <v>0.2091175240485153</v>
      </c>
      <c r="L310" s="24">
        <f t="shared" si="29"/>
        <v>1</v>
      </c>
      <c r="M310" s="24">
        <f t="shared" si="30"/>
        <v>1</v>
      </c>
      <c r="N310" s="37" t="s">
        <v>197</v>
      </c>
      <c r="O310" s="60" t="s">
        <v>197</v>
      </c>
      <c r="P310" s="40">
        <v>1</v>
      </c>
      <c r="Q310" s="40">
        <v>2</v>
      </c>
      <c r="R310" s="37" t="s">
        <v>401</v>
      </c>
      <c r="S310" s="37"/>
    </row>
    <row r="311" spans="1:19" x14ac:dyDescent="0.3">
      <c r="A311" s="36">
        <v>125</v>
      </c>
      <c r="B311" s="37" t="s">
        <v>372</v>
      </c>
      <c r="C311" s="37" t="s">
        <v>138</v>
      </c>
      <c r="D311" s="37" t="s">
        <v>73</v>
      </c>
      <c r="E311" s="37" t="s">
        <v>56</v>
      </c>
      <c r="F311" s="42">
        <v>45473</v>
      </c>
      <c r="G311" s="37">
        <v>2024</v>
      </c>
      <c r="H311" s="37" t="s">
        <v>23</v>
      </c>
      <c r="I311" s="39" t="s">
        <v>34</v>
      </c>
      <c r="J311" s="37">
        <v>1.9</v>
      </c>
      <c r="K311" s="59">
        <v>0</v>
      </c>
      <c r="L311" s="24" t="str">
        <f t="shared" si="29"/>
        <v/>
      </c>
      <c r="M311" s="24" t="str">
        <f t="shared" si="30"/>
        <v/>
      </c>
      <c r="N311" s="37" t="s">
        <v>197</v>
      </c>
      <c r="O311" s="60" t="s">
        <v>197</v>
      </c>
      <c r="P311" s="40">
        <v>1</v>
      </c>
      <c r="Q311" s="40">
        <v>2</v>
      </c>
      <c r="R311" s="37" t="s">
        <v>402</v>
      </c>
      <c r="S311" s="37"/>
    </row>
    <row r="312" spans="1:19" x14ac:dyDescent="0.3">
      <c r="A312" s="36">
        <v>125</v>
      </c>
      <c r="B312" s="37" t="s">
        <v>372</v>
      </c>
      <c r="C312" s="37" t="s">
        <v>138</v>
      </c>
      <c r="D312" s="37" t="s">
        <v>73</v>
      </c>
      <c r="E312" s="37" t="s">
        <v>56</v>
      </c>
      <c r="F312" s="42">
        <v>45504</v>
      </c>
      <c r="G312" s="37">
        <v>2024</v>
      </c>
      <c r="H312" s="37" t="s">
        <v>84</v>
      </c>
      <c r="I312" s="39" t="s">
        <v>36</v>
      </c>
      <c r="J312" s="37">
        <v>1.9</v>
      </c>
      <c r="K312" s="58">
        <v>0</v>
      </c>
      <c r="L312" s="24" t="str">
        <f t="shared" si="29"/>
        <v/>
      </c>
      <c r="M312" s="24" t="str">
        <f t="shared" si="30"/>
        <v/>
      </c>
      <c r="N312" s="37" t="s">
        <v>197</v>
      </c>
      <c r="O312" s="37" t="s">
        <v>197</v>
      </c>
      <c r="P312" s="40">
        <v>1</v>
      </c>
      <c r="Q312" s="40">
        <v>2</v>
      </c>
      <c r="R312" s="37" t="s">
        <v>403</v>
      </c>
      <c r="S312" s="37"/>
    </row>
    <row r="313" spans="1:19" x14ac:dyDescent="0.3">
      <c r="A313" s="36">
        <v>125</v>
      </c>
      <c r="B313" s="37" t="s">
        <v>372</v>
      </c>
      <c r="C313" s="37" t="s">
        <v>138</v>
      </c>
      <c r="D313" s="37" t="s">
        <v>73</v>
      </c>
      <c r="E313" s="37" t="s">
        <v>56</v>
      </c>
      <c r="F313" s="42">
        <v>45535</v>
      </c>
      <c r="G313" s="37">
        <v>2024</v>
      </c>
      <c r="H313" s="37" t="s">
        <v>86</v>
      </c>
      <c r="I313" s="39" t="s">
        <v>36</v>
      </c>
      <c r="J313" s="37">
        <v>1.9</v>
      </c>
      <c r="K313" s="58">
        <v>0</v>
      </c>
      <c r="L313" s="24" t="str">
        <f t="shared" si="29"/>
        <v/>
      </c>
      <c r="M313" s="24" t="str">
        <f t="shared" si="30"/>
        <v/>
      </c>
      <c r="N313" s="37" t="s">
        <v>197</v>
      </c>
      <c r="O313" s="37" t="s">
        <v>197</v>
      </c>
      <c r="P313" s="40">
        <v>1</v>
      </c>
      <c r="Q313" s="40">
        <v>2</v>
      </c>
      <c r="R313" s="37" t="s">
        <v>404</v>
      </c>
      <c r="S313" s="37"/>
    </row>
    <row r="314" spans="1:19" x14ac:dyDescent="0.3">
      <c r="A314" s="36">
        <v>125</v>
      </c>
      <c r="B314" s="37" t="s">
        <v>372</v>
      </c>
      <c r="C314" s="37" t="s">
        <v>138</v>
      </c>
      <c r="D314" s="37" t="s">
        <v>73</v>
      </c>
      <c r="E314" s="37" t="s">
        <v>56</v>
      </c>
      <c r="F314" s="42">
        <v>45565</v>
      </c>
      <c r="G314" s="37">
        <v>2024</v>
      </c>
      <c r="H314" s="37" t="s">
        <v>43</v>
      </c>
      <c r="I314" s="39" t="s">
        <v>36</v>
      </c>
      <c r="J314" s="37">
        <v>1.9</v>
      </c>
      <c r="K314" s="59">
        <v>0</v>
      </c>
      <c r="L314" s="24" t="str">
        <f t="shared" si="29"/>
        <v/>
      </c>
      <c r="M314" s="24" t="str">
        <f t="shared" si="30"/>
        <v/>
      </c>
      <c r="N314" s="37" t="s">
        <v>197</v>
      </c>
      <c r="O314" s="60" t="s">
        <v>197</v>
      </c>
      <c r="P314" s="40">
        <v>1</v>
      </c>
      <c r="Q314" s="40">
        <v>2</v>
      </c>
      <c r="R314" s="37" t="s">
        <v>405</v>
      </c>
      <c r="S314" s="37"/>
    </row>
    <row r="315" spans="1:19" x14ac:dyDescent="0.3">
      <c r="A315" s="41">
        <v>125</v>
      </c>
      <c r="B315" s="37" t="s">
        <v>372</v>
      </c>
      <c r="C315" s="37" t="s">
        <v>138</v>
      </c>
      <c r="D315" s="37" t="s">
        <v>73</v>
      </c>
      <c r="E315" s="37" t="s">
        <v>56</v>
      </c>
      <c r="F315" s="42">
        <v>45596</v>
      </c>
      <c r="G315" s="37">
        <v>2024</v>
      </c>
      <c r="H315" s="37" t="s">
        <v>89</v>
      </c>
      <c r="I315" s="39" t="s">
        <v>36</v>
      </c>
      <c r="J315" s="37">
        <v>1.9</v>
      </c>
      <c r="K315" s="26">
        <v>0</v>
      </c>
      <c r="L315" s="24" t="str">
        <f t="shared" si="29"/>
        <v/>
      </c>
      <c r="M315" s="24" t="str">
        <f t="shared" si="30"/>
        <v/>
      </c>
      <c r="N315" s="37" t="s">
        <v>197</v>
      </c>
      <c r="O315" s="37" t="s">
        <v>197</v>
      </c>
      <c r="P315" s="40">
        <v>1</v>
      </c>
      <c r="Q315" s="40">
        <v>2</v>
      </c>
      <c r="R315" s="37" t="s">
        <v>406</v>
      </c>
      <c r="S315" s="37"/>
    </row>
    <row r="316" spans="1:19" x14ac:dyDescent="0.3">
      <c r="A316" s="36">
        <v>125</v>
      </c>
      <c r="B316" s="37" t="s">
        <v>372</v>
      </c>
      <c r="C316" s="37" t="s">
        <v>138</v>
      </c>
      <c r="D316" s="37" t="s">
        <v>73</v>
      </c>
      <c r="E316" s="37" t="s">
        <v>56</v>
      </c>
      <c r="F316" s="42">
        <v>45626</v>
      </c>
      <c r="G316" s="37">
        <v>2024</v>
      </c>
      <c r="H316" s="37" t="s">
        <v>91</v>
      </c>
      <c r="I316" s="39" t="s">
        <v>36</v>
      </c>
      <c r="J316" s="37">
        <v>1.9</v>
      </c>
      <c r="K316" s="56">
        <v>0</v>
      </c>
      <c r="L316" s="24" t="str">
        <f t="shared" si="29"/>
        <v/>
      </c>
      <c r="M316" s="24" t="str">
        <f t="shared" si="30"/>
        <v/>
      </c>
      <c r="N316" s="37" t="s">
        <v>197</v>
      </c>
      <c r="O316" s="37" t="s">
        <v>197</v>
      </c>
      <c r="P316" s="40">
        <v>1</v>
      </c>
      <c r="Q316" s="40">
        <v>2</v>
      </c>
      <c r="R316" s="37" t="s">
        <v>407</v>
      </c>
      <c r="S316" s="37"/>
    </row>
    <row r="317" spans="1:19" x14ac:dyDescent="0.3">
      <c r="A317" s="36">
        <v>125</v>
      </c>
      <c r="B317" s="37" t="s">
        <v>372</v>
      </c>
      <c r="C317" s="37" t="s">
        <v>138</v>
      </c>
      <c r="D317" s="37" t="s">
        <v>73</v>
      </c>
      <c r="E317" s="37" t="s">
        <v>56</v>
      </c>
      <c r="F317" s="42">
        <v>45657</v>
      </c>
      <c r="G317" s="37">
        <v>2024</v>
      </c>
      <c r="H317" s="37" t="s">
        <v>27</v>
      </c>
      <c r="I317" s="39" t="s">
        <v>36</v>
      </c>
      <c r="J317" s="37">
        <v>1.9</v>
      </c>
      <c r="K317" s="59">
        <v>0.91324200913242004</v>
      </c>
      <c r="L317" s="24">
        <f t="shared" si="29"/>
        <v>1</v>
      </c>
      <c r="M317" s="24">
        <f t="shared" si="30"/>
        <v>1</v>
      </c>
      <c r="N317" s="37" t="s">
        <v>197</v>
      </c>
      <c r="O317" s="37" t="s">
        <v>197</v>
      </c>
      <c r="P317" s="40">
        <v>1</v>
      </c>
      <c r="Q317" s="40">
        <v>2</v>
      </c>
      <c r="R317" s="37" t="s">
        <v>408</v>
      </c>
      <c r="S317" s="37"/>
    </row>
    <row r="318" spans="1:19" x14ac:dyDescent="0.3">
      <c r="A318" s="41">
        <v>126</v>
      </c>
      <c r="B318" s="37" t="s">
        <v>409</v>
      </c>
      <c r="C318" s="37" t="s">
        <v>138</v>
      </c>
      <c r="D318" s="37" t="s">
        <v>139</v>
      </c>
      <c r="E318" s="37" t="s">
        <v>56</v>
      </c>
      <c r="F318" s="42">
        <v>44926</v>
      </c>
      <c r="G318" s="37">
        <v>2022</v>
      </c>
      <c r="H318" s="37" t="s">
        <v>27</v>
      </c>
      <c r="I318" s="39" t="s">
        <v>28</v>
      </c>
      <c r="J318" s="37">
        <v>2</v>
      </c>
      <c r="K318" s="58">
        <v>0.12391573729864</v>
      </c>
      <c r="L318" s="24">
        <f t="shared" ref="L318:L337" si="31">IFERROR(IF(OR(J318=0,K318=""),"",IF(E318="Positivo",MIN(MAX(K318/J318,0),1),MIN(MAX(J318/K318,0),1))),"")</f>
        <v>1</v>
      </c>
      <c r="M318" s="24">
        <f t="shared" ref="M318:M337" si="32">IFERROR(IF(OR(J318=0,K318=""),"",IF(E318="Positivo",MIN(MAX(K318/J318,0),1),MIN(MAX(J318/K318,0),1))),"")</f>
        <v>1</v>
      </c>
      <c r="N318" s="37" t="s">
        <v>197</v>
      </c>
      <c r="O318" s="37" t="s">
        <v>197</v>
      </c>
      <c r="P318" s="40">
        <v>0</v>
      </c>
      <c r="Q318" s="40">
        <v>2</v>
      </c>
      <c r="R318" s="37" t="s">
        <v>410</v>
      </c>
      <c r="S318" s="37"/>
    </row>
    <row r="319" spans="1:19" x14ac:dyDescent="0.3">
      <c r="A319" s="41">
        <v>126</v>
      </c>
      <c r="B319" s="37" t="s">
        <v>409</v>
      </c>
      <c r="C319" s="37" t="s">
        <v>138</v>
      </c>
      <c r="D319" s="37" t="s">
        <v>139</v>
      </c>
      <c r="E319" s="37" t="s">
        <v>56</v>
      </c>
      <c r="F319" s="42">
        <v>45291</v>
      </c>
      <c r="G319" s="37">
        <v>2023</v>
      </c>
      <c r="H319" s="37" t="s">
        <v>27</v>
      </c>
      <c r="I319" s="39" t="s">
        <v>32</v>
      </c>
      <c r="J319" s="37">
        <v>2</v>
      </c>
      <c r="K319" s="58">
        <v>0.12</v>
      </c>
      <c r="L319" s="24">
        <f t="shared" si="31"/>
        <v>1</v>
      </c>
      <c r="M319" s="24">
        <f t="shared" si="32"/>
        <v>1</v>
      </c>
      <c r="N319" s="37" t="s">
        <v>197</v>
      </c>
      <c r="O319" s="37" t="s">
        <v>197</v>
      </c>
      <c r="P319" s="40">
        <v>0</v>
      </c>
      <c r="Q319" s="40">
        <v>2</v>
      </c>
      <c r="R319" s="37" t="s">
        <v>411</v>
      </c>
      <c r="S319" s="37"/>
    </row>
    <row r="320" spans="1:19" x14ac:dyDescent="0.3">
      <c r="A320" s="36">
        <v>126</v>
      </c>
      <c r="B320" s="37" t="s">
        <v>409</v>
      </c>
      <c r="C320" s="37" t="s">
        <v>138</v>
      </c>
      <c r="D320" s="37" t="s">
        <v>139</v>
      </c>
      <c r="E320" s="37" t="s">
        <v>56</v>
      </c>
      <c r="F320" s="42">
        <v>45657</v>
      </c>
      <c r="G320" s="37">
        <v>2024</v>
      </c>
      <c r="H320" s="37" t="s">
        <v>27</v>
      </c>
      <c r="I320" s="39" t="s">
        <v>36</v>
      </c>
      <c r="J320" s="37">
        <v>2</v>
      </c>
      <c r="K320" s="54">
        <v>0.1</v>
      </c>
      <c r="L320" s="24">
        <f t="shared" si="31"/>
        <v>1</v>
      </c>
      <c r="M320" s="24">
        <f t="shared" si="32"/>
        <v>1</v>
      </c>
      <c r="N320" s="37" t="s">
        <v>197</v>
      </c>
      <c r="O320" s="37" t="s">
        <v>197</v>
      </c>
      <c r="P320" s="40">
        <v>0</v>
      </c>
      <c r="Q320" s="40">
        <v>1</v>
      </c>
      <c r="R320" s="37" t="s">
        <v>412</v>
      </c>
      <c r="S320" s="37"/>
    </row>
    <row r="321" spans="1:19" x14ac:dyDescent="0.3">
      <c r="A321" s="41">
        <v>127</v>
      </c>
      <c r="B321" s="37" t="s">
        <v>413</v>
      </c>
      <c r="C321" s="37" t="s">
        <v>138</v>
      </c>
      <c r="D321" s="37" t="s">
        <v>139</v>
      </c>
      <c r="E321" s="37" t="s">
        <v>56</v>
      </c>
      <c r="F321" s="42">
        <v>44926</v>
      </c>
      <c r="G321" s="37">
        <v>2022</v>
      </c>
      <c r="H321" s="37" t="s">
        <v>27</v>
      </c>
      <c r="I321" s="39" t="s">
        <v>28</v>
      </c>
      <c r="J321" s="37">
        <v>0</v>
      </c>
      <c r="K321" s="26">
        <v>0</v>
      </c>
      <c r="L321" s="24" t="str">
        <f t="shared" si="31"/>
        <v/>
      </c>
      <c r="M321" s="24" t="str">
        <f t="shared" si="32"/>
        <v/>
      </c>
      <c r="N321" s="37"/>
      <c r="O321" s="37"/>
      <c r="P321" s="40">
        <v>0</v>
      </c>
      <c r="Q321" s="40">
        <v>0</v>
      </c>
      <c r="R321" s="37" t="s">
        <v>414</v>
      </c>
      <c r="S321" s="37"/>
    </row>
    <row r="322" spans="1:19" x14ac:dyDescent="0.3">
      <c r="A322" s="41">
        <v>127</v>
      </c>
      <c r="B322" s="37" t="s">
        <v>413</v>
      </c>
      <c r="C322" s="37" t="s">
        <v>138</v>
      </c>
      <c r="D322" s="37" t="s">
        <v>139</v>
      </c>
      <c r="E322" s="37" t="s">
        <v>56</v>
      </c>
      <c r="F322" s="42">
        <v>45291</v>
      </c>
      <c r="G322" s="37">
        <v>2023</v>
      </c>
      <c r="H322" s="37" t="s">
        <v>27</v>
      </c>
      <c r="I322" s="39" t="s">
        <v>32</v>
      </c>
      <c r="J322" s="37">
        <v>0</v>
      </c>
      <c r="K322" s="26">
        <v>0</v>
      </c>
      <c r="L322" s="24" t="str">
        <f t="shared" si="31"/>
        <v/>
      </c>
      <c r="M322" s="24" t="str">
        <f t="shared" si="32"/>
        <v/>
      </c>
      <c r="N322" s="37"/>
      <c r="O322" s="37"/>
      <c r="P322" s="40">
        <v>0</v>
      </c>
      <c r="Q322" s="40">
        <v>0</v>
      </c>
      <c r="R322" s="37" t="s">
        <v>415</v>
      </c>
      <c r="S322" s="37"/>
    </row>
    <row r="323" spans="1:19" x14ac:dyDescent="0.3">
      <c r="A323" s="36">
        <v>127</v>
      </c>
      <c r="B323" s="37" t="s">
        <v>413</v>
      </c>
      <c r="C323" s="37" t="s">
        <v>138</v>
      </c>
      <c r="D323" s="37" t="s">
        <v>139</v>
      </c>
      <c r="E323" s="37" t="s">
        <v>56</v>
      </c>
      <c r="F323" s="42">
        <v>45657</v>
      </c>
      <c r="G323" s="37">
        <v>2024</v>
      </c>
      <c r="H323" s="37" t="s">
        <v>27</v>
      </c>
      <c r="I323" s="39" t="s">
        <v>36</v>
      </c>
      <c r="J323" s="37">
        <v>0</v>
      </c>
      <c r="K323" s="54">
        <v>0</v>
      </c>
      <c r="L323" s="24" t="str">
        <f t="shared" si="31"/>
        <v/>
      </c>
      <c r="M323" s="24" t="str">
        <f t="shared" si="32"/>
        <v/>
      </c>
      <c r="N323" s="37"/>
      <c r="O323" s="37"/>
      <c r="P323" s="40">
        <v>0</v>
      </c>
      <c r="Q323" s="40">
        <v>0</v>
      </c>
      <c r="R323" s="37" t="s">
        <v>416</v>
      </c>
      <c r="S323" s="37"/>
    </row>
    <row r="324" spans="1:19" x14ac:dyDescent="0.3">
      <c r="A324" s="36">
        <v>128</v>
      </c>
      <c r="B324" s="37" t="s">
        <v>417</v>
      </c>
      <c r="C324" s="37" t="s">
        <v>138</v>
      </c>
      <c r="D324" s="37" t="s">
        <v>73</v>
      </c>
      <c r="E324" s="37" t="s">
        <v>56</v>
      </c>
      <c r="F324" s="42">
        <v>44592</v>
      </c>
      <c r="G324" s="37">
        <v>2022</v>
      </c>
      <c r="H324" s="37" t="s">
        <v>74</v>
      </c>
      <c r="I324" s="39" t="s">
        <v>24</v>
      </c>
      <c r="J324" s="37">
        <v>1</v>
      </c>
      <c r="K324" s="59">
        <v>0.55904961565338995</v>
      </c>
      <c r="L324" s="24">
        <f t="shared" si="31"/>
        <v>1</v>
      </c>
      <c r="M324" s="24">
        <f t="shared" si="32"/>
        <v>1</v>
      </c>
      <c r="N324" s="37" t="s">
        <v>197</v>
      </c>
      <c r="O324" s="37" t="s">
        <v>197</v>
      </c>
      <c r="P324" s="40">
        <v>0</v>
      </c>
      <c r="Q324" s="40">
        <v>2</v>
      </c>
      <c r="R324" s="37" t="s">
        <v>418</v>
      </c>
      <c r="S324" s="37"/>
    </row>
    <row r="325" spans="1:19" x14ac:dyDescent="0.3">
      <c r="A325" s="36">
        <v>128</v>
      </c>
      <c r="B325" s="37" t="s">
        <v>417</v>
      </c>
      <c r="C325" s="37" t="s">
        <v>138</v>
      </c>
      <c r="D325" s="37" t="s">
        <v>73</v>
      </c>
      <c r="E325" s="37" t="s">
        <v>56</v>
      </c>
      <c r="F325" s="38">
        <v>44620</v>
      </c>
      <c r="G325" s="37">
        <v>2022</v>
      </c>
      <c r="H325" s="37" t="s">
        <v>76</v>
      </c>
      <c r="I325" s="39" t="s">
        <v>24</v>
      </c>
      <c r="J325" s="37">
        <v>1</v>
      </c>
      <c r="K325" s="58">
        <v>0.93990216631725998</v>
      </c>
      <c r="L325" s="24">
        <f t="shared" si="31"/>
        <v>1</v>
      </c>
      <c r="M325" s="24">
        <f t="shared" si="32"/>
        <v>1</v>
      </c>
      <c r="N325" s="37" t="s">
        <v>197</v>
      </c>
      <c r="O325" s="37" t="s">
        <v>197</v>
      </c>
      <c r="P325" s="40">
        <v>0</v>
      </c>
      <c r="Q325" s="40">
        <v>2</v>
      </c>
      <c r="R325" s="37" t="s">
        <v>419</v>
      </c>
      <c r="S325" s="37"/>
    </row>
    <row r="326" spans="1:19" x14ac:dyDescent="0.3">
      <c r="A326" s="36">
        <v>128</v>
      </c>
      <c r="B326" s="37" t="s">
        <v>417</v>
      </c>
      <c r="C326" s="37" t="s">
        <v>138</v>
      </c>
      <c r="D326" s="37" t="s">
        <v>73</v>
      </c>
      <c r="E326" s="37" t="s">
        <v>56</v>
      </c>
      <c r="F326" s="42">
        <v>44651</v>
      </c>
      <c r="G326" s="37">
        <v>2022</v>
      </c>
      <c r="H326" s="37" t="s">
        <v>40</v>
      </c>
      <c r="I326" s="39" t="s">
        <v>24</v>
      </c>
      <c r="J326" s="37">
        <v>1</v>
      </c>
      <c r="K326" s="58">
        <v>0.67280262662144996</v>
      </c>
      <c r="L326" s="24">
        <f t="shared" si="31"/>
        <v>1</v>
      </c>
      <c r="M326" s="24">
        <f t="shared" si="32"/>
        <v>1</v>
      </c>
      <c r="N326" s="37" t="s">
        <v>197</v>
      </c>
      <c r="O326" s="37" t="s">
        <v>197</v>
      </c>
      <c r="P326" s="40">
        <v>0</v>
      </c>
      <c r="Q326" s="40">
        <v>2</v>
      </c>
      <c r="R326" s="37" t="s">
        <v>420</v>
      </c>
      <c r="S326" s="37"/>
    </row>
    <row r="327" spans="1:19" x14ac:dyDescent="0.3">
      <c r="A327" s="36">
        <v>128</v>
      </c>
      <c r="B327" s="37" t="s">
        <v>417</v>
      </c>
      <c r="C327" s="37" t="s">
        <v>138</v>
      </c>
      <c r="D327" s="37" t="s">
        <v>73</v>
      </c>
      <c r="E327" s="37" t="s">
        <v>56</v>
      </c>
      <c r="F327" s="42">
        <v>44681</v>
      </c>
      <c r="G327" s="37">
        <v>2022</v>
      </c>
      <c r="H327" s="37" t="s">
        <v>79</v>
      </c>
      <c r="I327" s="39" t="s">
        <v>24</v>
      </c>
      <c r="J327" s="37">
        <v>1</v>
      </c>
      <c r="K327" s="59">
        <v>0.77818283791362997</v>
      </c>
      <c r="L327" s="24">
        <f t="shared" si="31"/>
        <v>1</v>
      </c>
      <c r="M327" s="24">
        <f t="shared" si="32"/>
        <v>1</v>
      </c>
      <c r="N327" s="37" t="s">
        <v>197</v>
      </c>
      <c r="O327" s="37" t="s">
        <v>197</v>
      </c>
      <c r="P327" s="40">
        <v>0</v>
      </c>
      <c r="Q327" s="40">
        <v>2</v>
      </c>
      <c r="R327" s="37" t="s">
        <v>421</v>
      </c>
      <c r="S327" s="37"/>
    </row>
    <row r="328" spans="1:19" x14ac:dyDescent="0.3">
      <c r="A328" s="36">
        <v>128</v>
      </c>
      <c r="B328" s="37" t="s">
        <v>417</v>
      </c>
      <c r="C328" s="37" t="s">
        <v>138</v>
      </c>
      <c r="D328" s="37" t="s">
        <v>73</v>
      </c>
      <c r="E328" s="37" t="s">
        <v>56</v>
      </c>
      <c r="F328" s="42">
        <v>44712</v>
      </c>
      <c r="G328" s="37">
        <v>2022</v>
      </c>
      <c r="H328" s="37" t="s">
        <v>81</v>
      </c>
      <c r="I328" s="39" t="s">
        <v>24</v>
      </c>
      <c r="J328" s="37">
        <v>1</v>
      </c>
      <c r="K328" s="59">
        <v>0.5412410428419</v>
      </c>
      <c r="L328" s="24">
        <f t="shared" si="31"/>
        <v>1</v>
      </c>
      <c r="M328" s="24">
        <f t="shared" si="32"/>
        <v>1</v>
      </c>
      <c r="N328" s="37" t="s">
        <v>197</v>
      </c>
      <c r="O328" s="37" t="s">
        <v>197</v>
      </c>
      <c r="P328" s="40">
        <v>0</v>
      </c>
      <c r="Q328" s="40">
        <v>2</v>
      </c>
      <c r="R328" s="37" t="s">
        <v>422</v>
      </c>
      <c r="S328" s="37"/>
    </row>
    <row r="329" spans="1:19" x14ac:dyDescent="0.3">
      <c r="A329" s="36">
        <v>128</v>
      </c>
      <c r="B329" s="37" t="s">
        <v>417</v>
      </c>
      <c r="C329" s="37" t="s">
        <v>138</v>
      </c>
      <c r="D329" s="37" t="s">
        <v>73</v>
      </c>
      <c r="E329" s="37" t="s">
        <v>56</v>
      </c>
      <c r="F329" s="42">
        <v>44742</v>
      </c>
      <c r="G329" s="37">
        <v>2022</v>
      </c>
      <c r="H329" s="37" t="s">
        <v>23</v>
      </c>
      <c r="I329" s="39" t="s">
        <v>24</v>
      </c>
      <c r="J329" s="37">
        <v>1</v>
      </c>
      <c r="K329" s="58">
        <v>0.81288343558281995</v>
      </c>
      <c r="L329" s="24">
        <f t="shared" si="31"/>
        <v>1</v>
      </c>
      <c r="M329" s="24">
        <f t="shared" si="32"/>
        <v>1</v>
      </c>
      <c r="N329" s="37" t="s">
        <v>197</v>
      </c>
      <c r="O329" s="37" t="s">
        <v>197</v>
      </c>
      <c r="P329" s="40">
        <v>0</v>
      </c>
      <c r="Q329" s="40">
        <v>2</v>
      </c>
      <c r="R329" s="37" t="s">
        <v>423</v>
      </c>
      <c r="S329" s="37"/>
    </row>
    <row r="330" spans="1:19" x14ac:dyDescent="0.3">
      <c r="A330" s="36">
        <v>128</v>
      </c>
      <c r="B330" s="37" t="s">
        <v>417</v>
      </c>
      <c r="C330" s="37" t="s">
        <v>138</v>
      </c>
      <c r="D330" s="37" t="s">
        <v>73</v>
      </c>
      <c r="E330" s="37" t="s">
        <v>56</v>
      </c>
      <c r="F330" s="42">
        <v>44773</v>
      </c>
      <c r="G330" s="37">
        <v>2022</v>
      </c>
      <c r="H330" s="37" t="s">
        <v>84</v>
      </c>
      <c r="I330" s="39" t="s">
        <v>28</v>
      </c>
      <c r="J330" s="37">
        <v>1</v>
      </c>
      <c r="K330" s="58">
        <v>1.1950826969832</v>
      </c>
      <c r="L330" s="24">
        <f t="shared" si="31"/>
        <v>0.83676217765042049</v>
      </c>
      <c r="M330" s="24">
        <f t="shared" si="32"/>
        <v>0.83676217765042049</v>
      </c>
      <c r="N330" s="37" t="s">
        <v>197</v>
      </c>
      <c r="O330" s="37" t="s">
        <v>197</v>
      </c>
      <c r="P330" s="40">
        <v>0</v>
      </c>
      <c r="Q330" s="40">
        <v>2</v>
      </c>
      <c r="R330" s="37" t="s">
        <v>424</v>
      </c>
      <c r="S330" s="37"/>
    </row>
    <row r="331" spans="1:19" x14ac:dyDescent="0.3">
      <c r="A331" s="36">
        <v>128</v>
      </c>
      <c r="B331" s="37" t="s">
        <v>417</v>
      </c>
      <c r="C331" s="37" t="s">
        <v>138</v>
      </c>
      <c r="D331" s="37" t="s">
        <v>73</v>
      </c>
      <c r="E331" s="37" t="s">
        <v>56</v>
      </c>
      <c r="F331" s="42">
        <v>44804</v>
      </c>
      <c r="G331" s="37">
        <v>2022</v>
      </c>
      <c r="H331" s="37" t="s">
        <v>86</v>
      </c>
      <c r="I331" s="39" t="s">
        <v>28</v>
      </c>
      <c r="J331" s="37">
        <v>1</v>
      </c>
      <c r="K331" s="58">
        <v>0.85085933966531002</v>
      </c>
      <c r="L331" s="24">
        <f t="shared" si="31"/>
        <v>1</v>
      </c>
      <c r="M331" s="24">
        <f t="shared" si="32"/>
        <v>1</v>
      </c>
      <c r="N331" s="37" t="s">
        <v>197</v>
      </c>
      <c r="O331" s="37" t="s">
        <v>197</v>
      </c>
      <c r="P331" s="40">
        <v>0</v>
      </c>
      <c r="Q331" s="40">
        <v>2</v>
      </c>
      <c r="R331" s="37" t="s">
        <v>425</v>
      </c>
      <c r="S331" s="37"/>
    </row>
    <row r="332" spans="1:19" x14ac:dyDescent="0.3">
      <c r="A332" s="36">
        <v>128</v>
      </c>
      <c r="B332" s="37" t="s">
        <v>417</v>
      </c>
      <c r="C332" s="37" t="s">
        <v>138</v>
      </c>
      <c r="D332" s="37" t="s">
        <v>73</v>
      </c>
      <c r="E332" s="37" t="s">
        <v>56</v>
      </c>
      <c r="F332" s="42">
        <v>44834</v>
      </c>
      <c r="G332" s="37">
        <v>2022</v>
      </c>
      <c r="H332" s="37" t="s">
        <v>43</v>
      </c>
      <c r="I332" s="39" t="s">
        <v>28</v>
      </c>
      <c r="J332" s="37">
        <v>1</v>
      </c>
      <c r="K332" s="58">
        <v>0.59967748437815005</v>
      </c>
      <c r="L332" s="24">
        <f t="shared" si="31"/>
        <v>1</v>
      </c>
      <c r="M332" s="24">
        <f t="shared" si="32"/>
        <v>1</v>
      </c>
      <c r="N332" s="37" t="s">
        <v>197</v>
      </c>
      <c r="O332" s="37" t="s">
        <v>197</v>
      </c>
      <c r="P332" s="40">
        <v>0</v>
      </c>
      <c r="Q332" s="40">
        <v>2</v>
      </c>
      <c r="R332" s="37" t="s">
        <v>426</v>
      </c>
      <c r="S332" s="37"/>
    </row>
    <row r="333" spans="1:19" x14ac:dyDescent="0.3">
      <c r="A333" s="41">
        <v>128</v>
      </c>
      <c r="B333" s="37" t="s">
        <v>417</v>
      </c>
      <c r="C333" s="37" t="s">
        <v>138</v>
      </c>
      <c r="D333" s="37" t="s">
        <v>73</v>
      </c>
      <c r="E333" s="37" t="s">
        <v>56</v>
      </c>
      <c r="F333" s="42">
        <v>44865</v>
      </c>
      <c r="G333" s="37">
        <v>2022</v>
      </c>
      <c r="H333" s="37" t="s">
        <v>89</v>
      </c>
      <c r="I333" s="39" t="s">
        <v>28</v>
      </c>
      <c r="J333" s="37">
        <v>1</v>
      </c>
      <c r="K333" s="59">
        <v>0.75110864745010997</v>
      </c>
      <c r="L333" s="24">
        <f t="shared" si="31"/>
        <v>1</v>
      </c>
      <c r="M333" s="24">
        <f t="shared" si="32"/>
        <v>1</v>
      </c>
      <c r="N333" s="37" t="s">
        <v>197</v>
      </c>
      <c r="O333" s="37" t="s">
        <v>197</v>
      </c>
      <c r="P333" s="40">
        <v>0</v>
      </c>
      <c r="Q333" s="40">
        <v>1</v>
      </c>
      <c r="R333" s="37" t="s">
        <v>427</v>
      </c>
      <c r="S333" s="37"/>
    </row>
    <row r="334" spans="1:19" x14ac:dyDescent="0.3">
      <c r="A334" s="41">
        <v>128</v>
      </c>
      <c r="B334" s="37" t="s">
        <v>417</v>
      </c>
      <c r="C334" s="37" t="s">
        <v>138</v>
      </c>
      <c r="D334" s="37" t="s">
        <v>73</v>
      </c>
      <c r="E334" s="37" t="s">
        <v>56</v>
      </c>
      <c r="F334" s="42">
        <v>44895</v>
      </c>
      <c r="G334" s="37">
        <v>2022</v>
      </c>
      <c r="H334" s="37" t="s">
        <v>91</v>
      </c>
      <c r="I334" s="39" t="s">
        <v>28</v>
      </c>
      <c r="J334" s="37">
        <v>1</v>
      </c>
      <c r="K334" s="59">
        <v>0.91717620900499996</v>
      </c>
      <c r="L334" s="24">
        <f t="shared" si="31"/>
        <v>1</v>
      </c>
      <c r="M334" s="24">
        <f t="shared" si="32"/>
        <v>1</v>
      </c>
      <c r="N334" s="37" t="s">
        <v>197</v>
      </c>
      <c r="O334" s="37" t="s">
        <v>197</v>
      </c>
      <c r="P334" s="40">
        <v>0</v>
      </c>
      <c r="Q334" s="40">
        <v>2</v>
      </c>
      <c r="R334" s="37" t="s">
        <v>428</v>
      </c>
      <c r="S334" s="37"/>
    </row>
    <row r="335" spans="1:19" x14ac:dyDescent="0.3">
      <c r="A335" s="41">
        <v>128</v>
      </c>
      <c r="B335" s="37" t="s">
        <v>417</v>
      </c>
      <c r="C335" s="37" t="s">
        <v>138</v>
      </c>
      <c r="D335" s="37" t="s">
        <v>73</v>
      </c>
      <c r="E335" s="37" t="s">
        <v>56</v>
      </c>
      <c r="F335" s="42">
        <v>44926</v>
      </c>
      <c r="G335" s="37">
        <v>2022</v>
      </c>
      <c r="H335" s="37" t="s">
        <v>27</v>
      </c>
      <c r="I335" s="39" t="s">
        <v>28</v>
      </c>
      <c r="J335" s="37">
        <v>1</v>
      </c>
      <c r="K335" s="58">
        <v>0.80006982427557005</v>
      </c>
      <c r="L335" s="24">
        <f t="shared" si="31"/>
        <v>1</v>
      </c>
      <c r="M335" s="24">
        <f t="shared" si="32"/>
        <v>1</v>
      </c>
      <c r="N335" s="37" t="s">
        <v>197</v>
      </c>
      <c r="O335" s="37" t="s">
        <v>197</v>
      </c>
      <c r="P335" s="40">
        <v>0</v>
      </c>
      <c r="Q335" s="40">
        <v>2</v>
      </c>
      <c r="R335" s="37" t="s">
        <v>429</v>
      </c>
      <c r="S335" s="37"/>
    </row>
    <row r="336" spans="1:19" x14ac:dyDescent="0.3">
      <c r="A336" s="36">
        <v>128</v>
      </c>
      <c r="B336" s="37" t="s">
        <v>417</v>
      </c>
      <c r="C336" s="37" t="s">
        <v>138</v>
      </c>
      <c r="D336" s="37" t="s">
        <v>73</v>
      </c>
      <c r="E336" s="37" t="s">
        <v>56</v>
      </c>
      <c r="F336" s="42">
        <v>44957</v>
      </c>
      <c r="G336" s="37">
        <v>2023</v>
      </c>
      <c r="H336" s="37" t="s">
        <v>74</v>
      </c>
      <c r="I336" s="39" t="s">
        <v>30</v>
      </c>
      <c r="J336" s="37">
        <v>1</v>
      </c>
      <c r="K336" s="58">
        <v>1.0928581372685999</v>
      </c>
      <c r="L336" s="24">
        <f t="shared" si="31"/>
        <v>0.91503184713371677</v>
      </c>
      <c r="M336" s="24">
        <f t="shared" si="32"/>
        <v>0.91503184713371677</v>
      </c>
      <c r="N336" s="37" t="s">
        <v>197</v>
      </c>
      <c r="O336" s="37" t="s">
        <v>197</v>
      </c>
      <c r="P336" s="40">
        <v>0</v>
      </c>
      <c r="Q336" s="40">
        <v>2</v>
      </c>
      <c r="R336" s="37" t="s">
        <v>430</v>
      </c>
      <c r="S336" s="37"/>
    </row>
    <row r="337" spans="1:19" x14ac:dyDescent="0.3">
      <c r="A337" s="36">
        <v>128</v>
      </c>
      <c r="B337" s="37" t="s">
        <v>417</v>
      </c>
      <c r="C337" s="37" t="s">
        <v>138</v>
      </c>
      <c r="D337" s="37" t="s">
        <v>73</v>
      </c>
      <c r="E337" s="37" t="s">
        <v>56</v>
      </c>
      <c r="F337" s="38">
        <v>44985</v>
      </c>
      <c r="G337" s="37">
        <v>2023</v>
      </c>
      <c r="H337" s="37" t="s">
        <v>76</v>
      </c>
      <c r="I337" s="39" t="s">
        <v>30</v>
      </c>
      <c r="J337" s="37">
        <v>1</v>
      </c>
      <c r="K337" s="59">
        <v>0.91508656224236995</v>
      </c>
      <c r="L337" s="24">
        <f t="shared" si="31"/>
        <v>1</v>
      </c>
      <c r="M337" s="24">
        <f t="shared" si="32"/>
        <v>1</v>
      </c>
      <c r="N337" s="37" t="s">
        <v>197</v>
      </c>
      <c r="O337" s="37" t="s">
        <v>197</v>
      </c>
      <c r="P337" s="40">
        <v>0</v>
      </c>
      <c r="Q337" s="40">
        <v>2</v>
      </c>
      <c r="R337" s="37" t="s">
        <v>431</v>
      </c>
      <c r="S337" s="37"/>
    </row>
    <row r="338" spans="1:19" x14ac:dyDescent="0.3">
      <c r="A338" s="36">
        <v>128</v>
      </c>
      <c r="B338" s="37" t="s">
        <v>417</v>
      </c>
      <c r="C338" s="37" t="s">
        <v>138</v>
      </c>
      <c r="D338" s="37" t="s">
        <v>73</v>
      </c>
      <c r="E338" s="37" t="s">
        <v>56</v>
      </c>
      <c r="F338" s="42">
        <v>45016</v>
      </c>
      <c r="G338" s="37">
        <v>2023</v>
      </c>
      <c r="H338" s="37" t="s">
        <v>40</v>
      </c>
      <c r="I338" s="39" t="s">
        <v>30</v>
      </c>
      <c r="J338" s="37">
        <v>1</v>
      </c>
      <c r="K338" s="59">
        <v>0.76441973592773005</v>
      </c>
      <c r="L338" s="24">
        <f t="shared" ref="L338:L359" si="33">IFERROR(IF(OR(J338=0,K338=""),"",IF(E338="Positivo",MIN(MAX(K338/J338,0),1),MIN(MAX(J338/K338,0),1))),"")</f>
        <v>1</v>
      </c>
      <c r="M338" s="24">
        <f t="shared" ref="M338:M359" si="34">IFERROR(IF(OR(J338=0,K338=""),"",IF(E338="Positivo",MIN(MAX(K338/J338,0),1),MIN(MAX(J338/K338,0),1))),"")</f>
        <v>1</v>
      </c>
      <c r="N338" s="37" t="s">
        <v>197</v>
      </c>
      <c r="O338" s="37" t="s">
        <v>197</v>
      </c>
      <c r="P338" s="40">
        <v>0</v>
      </c>
      <c r="Q338" s="40">
        <v>2</v>
      </c>
      <c r="R338" s="37" t="s">
        <v>432</v>
      </c>
      <c r="S338" s="37"/>
    </row>
    <row r="339" spans="1:19" x14ac:dyDescent="0.3">
      <c r="A339" s="36">
        <v>128</v>
      </c>
      <c r="B339" s="37" t="s">
        <v>417</v>
      </c>
      <c r="C339" s="37" t="s">
        <v>138</v>
      </c>
      <c r="D339" s="37" t="s">
        <v>73</v>
      </c>
      <c r="E339" s="37" t="s">
        <v>56</v>
      </c>
      <c r="F339" s="42">
        <v>45046</v>
      </c>
      <c r="G339" s="37">
        <v>2023</v>
      </c>
      <c r="H339" s="37" t="s">
        <v>79</v>
      </c>
      <c r="I339" s="39" t="s">
        <v>30</v>
      </c>
      <c r="J339" s="37">
        <v>1</v>
      </c>
      <c r="K339" s="58">
        <v>1.0132293339451</v>
      </c>
      <c r="L339" s="24">
        <f t="shared" si="33"/>
        <v>0.9869433962264097</v>
      </c>
      <c r="M339" s="24">
        <f t="shared" si="34"/>
        <v>0.9869433962264097</v>
      </c>
      <c r="N339" s="37" t="s">
        <v>197</v>
      </c>
      <c r="O339" s="37" t="s">
        <v>197</v>
      </c>
      <c r="P339" s="40">
        <v>0</v>
      </c>
      <c r="Q339" s="40">
        <v>2</v>
      </c>
      <c r="R339" s="37" t="s">
        <v>433</v>
      </c>
      <c r="S339" s="37"/>
    </row>
    <row r="340" spans="1:19" x14ac:dyDescent="0.3">
      <c r="A340" s="36">
        <v>128</v>
      </c>
      <c r="B340" s="37" t="s">
        <v>417</v>
      </c>
      <c r="C340" s="37" t="s">
        <v>138</v>
      </c>
      <c r="D340" s="37" t="s">
        <v>73</v>
      </c>
      <c r="E340" s="37" t="s">
        <v>56</v>
      </c>
      <c r="F340" s="42">
        <v>45077</v>
      </c>
      <c r="G340" s="37">
        <v>2023</v>
      </c>
      <c r="H340" s="37" t="s">
        <v>81</v>
      </c>
      <c r="I340" s="39" t="s">
        <v>30</v>
      </c>
      <c r="J340" s="37">
        <v>1</v>
      </c>
      <c r="K340" s="58">
        <v>0.75808249721292997</v>
      </c>
      <c r="L340" s="24">
        <f t="shared" si="33"/>
        <v>1</v>
      </c>
      <c r="M340" s="24">
        <f t="shared" si="34"/>
        <v>1</v>
      </c>
      <c r="N340" s="37" t="s">
        <v>197</v>
      </c>
      <c r="O340" s="37" t="s">
        <v>197</v>
      </c>
      <c r="P340" s="40">
        <v>0</v>
      </c>
      <c r="Q340" s="40">
        <v>2</v>
      </c>
      <c r="R340" s="37" t="s">
        <v>434</v>
      </c>
      <c r="S340" s="37"/>
    </row>
    <row r="341" spans="1:19" x14ac:dyDescent="0.3">
      <c r="A341" s="36">
        <v>128</v>
      </c>
      <c r="B341" s="37" t="s">
        <v>417</v>
      </c>
      <c r="C341" s="37" t="s">
        <v>138</v>
      </c>
      <c r="D341" s="37" t="s">
        <v>73</v>
      </c>
      <c r="E341" s="37" t="s">
        <v>56</v>
      </c>
      <c r="F341" s="42">
        <v>45107</v>
      </c>
      <c r="G341" s="37">
        <v>2023</v>
      </c>
      <c r="H341" s="37" t="s">
        <v>23</v>
      </c>
      <c r="I341" s="39" t="s">
        <v>30</v>
      </c>
      <c r="J341" s="37">
        <v>1</v>
      </c>
      <c r="K341" s="59">
        <v>1.1262282690854</v>
      </c>
      <c r="L341" s="24">
        <f t="shared" si="33"/>
        <v>0.88791946308725778</v>
      </c>
      <c r="M341" s="24">
        <f t="shared" si="34"/>
        <v>0.88791946308725778</v>
      </c>
      <c r="N341" s="37" t="s">
        <v>197</v>
      </c>
      <c r="O341" s="37" t="s">
        <v>197</v>
      </c>
      <c r="P341" s="40">
        <v>0</v>
      </c>
      <c r="Q341" s="40">
        <v>2</v>
      </c>
      <c r="R341" s="37" t="s">
        <v>435</v>
      </c>
      <c r="S341" s="37"/>
    </row>
    <row r="342" spans="1:19" x14ac:dyDescent="0.3">
      <c r="A342" s="36">
        <v>128</v>
      </c>
      <c r="B342" s="37" t="s">
        <v>417</v>
      </c>
      <c r="C342" s="37" t="s">
        <v>138</v>
      </c>
      <c r="D342" s="37" t="s">
        <v>73</v>
      </c>
      <c r="E342" s="37" t="s">
        <v>56</v>
      </c>
      <c r="F342" s="42">
        <v>45138</v>
      </c>
      <c r="G342" s="37">
        <v>2023</v>
      </c>
      <c r="H342" s="37" t="s">
        <v>84</v>
      </c>
      <c r="I342" s="39" t="s">
        <v>32</v>
      </c>
      <c r="J342" s="37">
        <v>1</v>
      </c>
      <c r="K342" s="58">
        <v>1.1748003549246</v>
      </c>
      <c r="L342" s="24">
        <f t="shared" si="33"/>
        <v>0.85120845921448596</v>
      </c>
      <c r="M342" s="24">
        <f t="shared" si="34"/>
        <v>0.85120845921448596</v>
      </c>
      <c r="N342" s="37" t="s">
        <v>197</v>
      </c>
      <c r="O342" s="37" t="s">
        <v>197</v>
      </c>
      <c r="P342" s="40">
        <v>0</v>
      </c>
      <c r="Q342" s="40">
        <v>2</v>
      </c>
      <c r="R342" s="37" t="s">
        <v>436</v>
      </c>
      <c r="S342" s="37"/>
    </row>
    <row r="343" spans="1:19" x14ac:dyDescent="0.3">
      <c r="A343" s="36">
        <v>128</v>
      </c>
      <c r="B343" s="37" t="s">
        <v>417</v>
      </c>
      <c r="C343" s="37" t="s">
        <v>138</v>
      </c>
      <c r="D343" s="37" t="s">
        <v>73</v>
      </c>
      <c r="E343" s="37" t="s">
        <v>56</v>
      </c>
      <c r="F343" s="42">
        <v>45169</v>
      </c>
      <c r="G343" s="37">
        <v>2023</v>
      </c>
      <c r="H343" s="37" t="s">
        <v>86</v>
      </c>
      <c r="I343" s="39" t="s">
        <v>32</v>
      </c>
      <c r="J343" s="37">
        <v>1</v>
      </c>
      <c r="K343" s="58">
        <v>0.95</v>
      </c>
      <c r="L343" s="24">
        <f t="shared" si="33"/>
        <v>1</v>
      </c>
      <c r="M343" s="24">
        <f t="shared" si="34"/>
        <v>1</v>
      </c>
      <c r="N343" s="37" t="s">
        <v>197</v>
      </c>
      <c r="O343" s="37" t="s">
        <v>197</v>
      </c>
      <c r="P343" s="40">
        <v>0</v>
      </c>
      <c r="Q343" s="40">
        <v>2</v>
      </c>
      <c r="R343" s="37" t="s">
        <v>437</v>
      </c>
      <c r="S343" s="37"/>
    </row>
    <row r="344" spans="1:19" x14ac:dyDescent="0.3">
      <c r="A344" s="36">
        <v>128</v>
      </c>
      <c r="B344" s="37" t="s">
        <v>417</v>
      </c>
      <c r="C344" s="37" t="s">
        <v>138</v>
      </c>
      <c r="D344" s="37" t="s">
        <v>73</v>
      </c>
      <c r="E344" s="37" t="s">
        <v>56</v>
      </c>
      <c r="F344" s="42">
        <v>45199</v>
      </c>
      <c r="G344" s="37">
        <v>2023</v>
      </c>
      <c r="H344" s="37" t="s">
        <v>43</v>
      </c>
      <c r="I344" s="39" t="s">
        <v>32</v>
      </c>
      <c r="J344" s="37">
        <v>1</v>
      </c>
      <c r="K344" s="58">
        <v>0.51</v>
      </c>
      <c r="L344" s="24">
        <f t="shared" si="33"/>
        <v>1</v>
      </c>
      <c r="M344" s="24">
        <f t="shared" si="34"/>
        <v>1</v>
      </c>
      <c r="N344" s="37" t="s">
        <v>197</v>
      </c>
      <c r="O344" s="37" t="s">
        <v>197</v>
      </c>
      <c r="P344" s="40">
        <v>0</v>
      </c>
      <c r="Q344" s="40">
        <v>2</v>
      </c>
      <c r="R344" s="37" t="s">
        <v>438</v>
      </c>
      <c r="S344" s="37"/>
    </row>
    <row r="345" spans="1:19" x14ac:dyDescent="0.3">
      <c r="A345" s="41">
        <v>128</v>
      </c>
      <c r="B345" s="37" t="s">
        <v>417</v>
      </c>
      <c r="C345" s="37" t="s">
        <v>138</v>
      </c>
      <c r="D345" s="37" t="s">
        <v>73</v>
      </c>
      <c r="E345" s="37" t="s">
        <v>56</v>
      </c>
      <c r="F345" s="42">
        <v>45230</v>
      </c>
      <c r="G345" s="37">
        <v>2023</v>
      </c>
      <c r="H345" s="37" t="s">
        <v>89</v>
      </c>
      <c r="I345" s="39" t="s">
        <v>32</v>
      </c>
      <c r="J345" s="37">
        <v>1</v>
      </c>
      <c r="K345" s="58">
        <v>0.5</v>
      </c>
      <c r="L345" s="24">
        <f t="shared" si="33"/>
        <v>1</v>
      </c>
      <c r="M345" s="24">
        <f t="shared" si="34"/>
        <v>1</v>
      </c>
      <c r="N345" s="37" t="s">
        <v>197</v>
      </c>
      <c r="O345" s="37" t="s">
        <v>197</v>
      </c>
      <c r="P345" s="40">
        <v>0</v>
      </c>
      <c r="Q345" s="40">
        <v>1</v>
      </c>
      <c r="R345" s="37" t="s">
        <v>439</v>
      </c>
      <c r="S345" s="37"/>
    </row>
    <row r="346" spans="1:19" x14ac:dyDescent="0.3">
      <c r="A346" s="41">
        <v>128</v>
      </c>
      <c r="B346" s="37" t="s">
        <v>417</v>
      </c>
      <c r="C346" s="37" t="s">
        <v>138</v>
      </c>
      <c r="D346" s="37" t="s">
        <v>73</v>
      </c>
      <c r="E346" s="37" t="s">
        <v>56</v>
      </c>
      <c r="F346" s="42">
        <v>45260</v>
      </c>
      <c r="G346" s="37">
        <v>2023</v>
      </c>
      <c r="H346" s="37" t="s">
        <v>91</v>
      </c>
      <c r="I346" s="39" t="s">
        <v>32</v>
      </c>
      <c r="J346" s="37">
        <v>1</v>
      </c>
      <c r="K346" s="59">
        <v>0.72</v>
      </c>
      <c r="L346" s="24">
        <f t="shared" si="33"/>
        <v>1</v>
      </c>
      <c r="M346" s="24">
        <f t="shared" si="34"/>
        <v>1</v>
      </c>
      <c r="N346" s="37" t="s">
        <v>197</v>
      </c>
      <c r="O346" s="37" t="s">
        <v>197</v>
      </c>
      <c r="P346" s="40">
        <v>0</v>
      </c>
      <c r="Q346" s="40">
        <v>2</v>
      </c>
      <c r="R346" s="37" t="s">
        <v>440</v>
      </c>
      <c r="S346" s="37"/>
    </row>
    <row r="347" spans="1:19" x14ac:dyDescent="0.3">
      <c r="A347" s="41">
        <v>128</v>
      </c>
      <c r="B347" s="37" t="s">
        <v>417</v>
      </c>
      <c r="C347" s="37" t="s">
        <v>138</v>
      </c>
      <c r="D347" s="37" t="s">
        <v>73</v>
      </c>
      <c r="E347" s="37" t="s">
        <v>56</v>
      </c>
      <c r="F347" s="42">
        <v>45291</v>
      </c>
      <c r="G347" s="37">
        <v>2023</v>
      </c>
      <c r="H347" s="37" t="s">
        <v>27</v>
      </c>
      <c r="I347" s="39" t="s">
        <v>32</v>
      </c>
      <c r="J347" s="37">
        <v>1</v>
      </c>
      <c r="K347" s="59">
        <v>0.64</v>
      </c>
      <c r="L347" s="24">
        <f t="shared" si="33"/>
        <v>1</v>
      </c>
      <c r="M347" s="24">
        <f t="shared" si="34"/>
        <v>1</v>
      </c>
      <c r="N347" s="37" t="s">
        <v>197</v>
      </c>
      <c r="O347" s="37" t="s">
        <v>197</v>
      </c>
      <c r="P347" s="40">
        <v>0</v>
      </c>
      <c r="Q347" s="40">
        <v>2</v>
      </c>
      <c r="R347" s="37" t="s">
        <v>441</v>
      </c>
      <c r="S347" s="37"/>
    </row>
    <row r="348" spans="1:19" x14ac:dyDescent="0.3">
      <c r="A348" s="36">
        <v>128</v>
      </c>
      <c r="B348" s="37" t="s">
        <v>417</v>
      </c>
      <c r="C348" s="37" t="s">
        <v>138</v>
      </c>
      <c r="D348" s="37" t="s">
        <v>73</v>
      </c>
      <c r="E348" s="37" t="s">
        <v>56</v>
      </c>
      <c r="F348" s="42">
        <v>45322</v>
      </c>
      <c r="G348" s="37">
        <v>2024</v>
      </c>
      <c r="H348" s="37" t="s">
        <v>74</v>
      </c>
      <c r="I348" s="39" t="s">
        <v>34</v>
      </c>
      <c r="J348" s="37">
        <v>1</v>
      </c>
      <c r="K348" s="58">
        <v>0.70466256906934877</v>
      </c>
      <c r="L348" s="24">
        <f t="shared" si="33"/>
        <v>1</v>
      </c>
      <c r="M348" s="24">
        <f t="shared" si="34"/>
        <v>1</v>
      </c>
      <c r="N348" s="37" t="s">
        <v>197</v>
      </c>
      <c r="O348" s="37" t="s">
        <v>197</v>
      </c>
      <c r="P348" s="40">
        <v>0</v>
      </c>
      <c r="Q348" s="40">
        <v>2</v>
      </c>
      <c r="R348" s="37" t="s">
        <v>442</v>
      </c>
      <c r="S348" s="37"/>
    </row>
    <row r="349" spans="1:19" x14ac:dyDescent="0.3">
      <c r="A349" s="36">
        <v>128</v>
      </c>
      <c r="B349" s="37" t="s">
        <v>417</v>
      </c>
      <c r="C349" s="37" t="s">
        <v>138</v>
      </c>
      <c r="D349" s="37" t="s">
        <v>73</v>
      </c>
      <c r="E349" s="37" t="s">
        <v>56</v>
      </c>
      <c r="F349" s="42">
        <v>45351</v>
      </c>
      <c r="G349" s="37">
        <v>2024</v>
      </c>
      <c r="H349" s="37" t="s">
        <v>76</v>
      </c>
      <c r="I349" s="39" t="s">
        <v>34</v>
      </c>
      <c r="J349" s="37">
        <v>1</v>
      </c>
      <c r="K349" s="54">
        <v>0.89769647696476973</v>
      </c>
      <c r="L349" s="24">
        <f t="shared" si="33"/>
        <v>1</v>
      </c>
      <c r="M349" s="24">
        <f t="shared" si="34"/>
        <v>1</v>
      </c>
      <c r="N349" s="37" t="s">
        <v>197</v>
      </c>
      <c r="O349" s="37" t="s">
        <v>197</v>
      </c>
      <c r="P349" s="40">
        <v>0</v>
      </c>
      <c r="Q349" s="40">
        <v>2</v>
      </c>
      <c r="R349" s="37" t="s">
        <v>443</v>
      </c>
      <c r="S349" s="37"/>
    </row>
    <row r="350" spans="1:19" x14ac:dyDescent="0.3">
      <c r="A350" s="36">
        <v>128</v>
      </c>
      <c r="B350" s="37" t="s">
        <v>417</v>
      </c>
      <c r="C350" s="37" t="s">
        <v>138</v>
      </c>
      <c r="D350" s="37" t="s">
        <v>73</v>
      </c>
      <c r="E350" s="37" t="s">
        <v>56</v>
      </c>
      <c r="F350" s="42">
        <v>45382</v>
      </c>
      <c r="G350" s="37">
        <v>2024</v>
      </c>
      <c r="H350" s="37" t="s">
        <v>40</v>
      </c>
      <c r="I350" s="39" t="s">
        <v>34</v>
      </c>
      <c r="J350" s="37">
        <v>1</v>
      </c>
      <c r="K350" s="58">
        <v>1.050740418118467</v>
      </c>
      <c r="L350" s="24">
        <f t="shared" si="33"/>
        <v>0.95170984455958541</v>
      </c>
      <c r="M350" s="24">
        <f t="shared" si="34"/>
        <v>0.95170984455958541</v>
      </c>
      <c r="N350" s="37" t="s">
        <v>197</v>
      </c>
      <c r="O350" s="37" t="s">
        <v>197</v>
      </c>
      <c r="P350" s="40">
        <v>0</v>
      </c>
      <c r="Q350" s="40">
        <v>2</v>
      </c>
      <c r="R350" s="37" t="s">
        <v>444</v>
      </c>
      <c r="S350" s="37"/>
    </row>
    <row r="351" spans="1:19" x14ac:dyDescent="0.3">
      <c r="A351" s="36">
        <v>128</v>
      </c>
      <c r="B351" s="37" t="s">
        <v>417</v>
      </c>
      <c r="C351" s="37" t="s">
        <v>138</v>
      </c>
      <c r="D351" s="37" t="s">
        <v>73</v>
      </c>
      <c r="E351" s="37" t="s">
        <v>56</v>
      </c>
      <c r="F351" s="42">
        <v>45412</v>
      </c>
      <c r="G351" s="37">
        <v>2024</v>
      </c>
      <c r="H351" s="37" t="s">
        <v>79</v>
      </c>
      <c r="I351" s="39" t="s">
        <v>34</v>
      </c>
      <c r="J351" s="37">
        <v>1</v>
      </c>
      <c r="K351" s="58">
        <v>0.40188470066518839</v>
      </c>
      <c r="L351" s="24">
        <f t="shared" si="33"/>
        <v>1</v>
      </c>
      <c r="M351" s="24">
        <f t="shared" si="34"/>
        <v>1</v>
      </c>
      <c r="N351" s="37" t="s">
        <v>197</v>
      </c>
      <c r="O351" s="37" t="s">
        <v>197</v>
      </c>
      <c r="P351" s="40">
        <v>0</v>
      </c>
      <c r="Q351" s="40">
        <v>2</v>
      </c>
      <c r="R351" s="37" t="s">
        <v>445</v>
      </c>
      <c r="S351" s="37"/>
    </row>
    <row r="352" spans="1:19" x14ac:dyDescent="0.3">
      <c r="A352" s="36">
        <v>128</v>
      </c>
      <c r="B352" s="37" t="s">
        <v>417</v>
      </c>
      <c r="C352" s="37" t="s">
        <v>138</v>
      </c>
      <c r="D352" s="37" t="s">
        <v>73</v>
      </c>
      <c r="E352" s="37" t="s">
        <v>56</v>
      </c>
      <c r="F352" s="42">
        <v>45443</v>
      </c>
      <c r="G352" s="37">
        <v>2024</v>
      </c>
      <c r="H352" s="37" t="s">
        <v>81</v>
      </c>
      <c r="I352" s="39" t="s">
        <v>34</v>
      </c>
      <c r="J352" s="37">
        <v>1</v>
      </c>
      <c r="K352" s="58">
        <v>0.55130983612790385</v>
      </c>
      <c r="L352" s="24">
        <f t="shared" si="33"/>
        <v>1</v>
      </c>
      <c r="M352" s="24">
        <f t="shared" si="34"/>
        <v>1</v>
      </c>
      <c r="N352" s="37" t="s">
        <v>197</v>
      </c>
      <c r="O352" s="37" t="s">
        <v>197</v>
      </c>
      <c r="P352" s="40">
        <v>0</v>
      </c>
      <c r="Q352" s="40">
        <v>2</v>
      </c>
      <c r="R352" s="37" t="s">
        <v>446</v>
      </c>
      <c r="S352" s="37"/>
    </row>
    <row r="353" spans="1:19" x14ac:dyDescent="0.3">
      <c r="A353" s="36">
        <v>128</v>
      </c>
      <c r="B353" s="37" t="s">
        <v>417</v>
      </c>
      <c r="C353" s="37" t="s">
        <v>138</v>
      </c>
      <c r="D353" s="37" t="s">
        <v>73</v>
      </c>
      <c r="E353" s="37" t="s">
        <v>56</v>
      </c>
      <c r="F353" s="42">
        <v>45473</v>
      </c>
      <c r="G353" s="37">
        <v>2024</v>
      </c>
      <c r="H353" s="37" t="s">
        <v>23</v>
      </c>
      <c r="I353" s="39" t="s">
        <v>34</v>
      </c>
      <c r="J353" s="37">
        <v>1</v>
      </c>
      <c r="K353" s="58">
        <v>0.35768645357686463</v>
      </c>
      <c r="L353" s="24">
        <f t="shared" si="33"/>
        <v>1</v>
      </c>
      <c r="M353" s="24">
        <f t="shared" si="34"/>
        <v>1</v>
      </c>
      <c r="N353" s="37" t="s">
        <v>197</v>
      </c>
      <c r="O353" s="37" t="s">
        <v>197</v>
      </c>
      <c r="P353" s="40">
        <v>0</v>
      </c>
      <c r="Q353" s="40">
        <v>2</v>
      </c>
      <c r="R353" s="37" t="s">
        <v>447</v>
      </c>
      <c r="S353" s="37"/>
    </row>
    <row r="354" spans="1:19" x14ac:dyDescent="0.3">
      <c r="A354" s="36">
        <v>128</v>
      </c>
      <c r="B354" s="37" t="s">
        <v>417</v>
      </c>
      <c r="C354" s="37" t="s">
        <v>138</v>
      </c>
      <c r="D354" s="37" t="s">
        <v>73</v>
      </c>
      <c r="E354" s="37" t="s">
        <v>56</v>
      </c>
      <c r="F354" s="42">
        <v>45504</v>
      </c>
      <c r="G354" s="37">
        <v>2024</v>
      </c>
      <c r="H354" s="37" t="s">
        <v>84</v>
      </c>
      <c r="I354" s="39" t="s">
        <v>36</v>
      </c>
      <c r="J354" s="37">
        <v>1</v>
      </c>
      <c r="K354" s="58">
        <v>0.64974732048647743</v>
      </c>
      <c r="L354" s="24">
        <f t="shared" si="33"/>
        <v>1</v>
      </c>
      <c r="M354" s="24">
        <f t="shared" si="34"/>
        <v>1</v>
      </c>
      <c r="N354" s="37" t="s">
        <v>197</v>
      </c>
      <c r="O354" s="37" t="s">
        <v>197</v>
      </c>
      <c r="P354" s="40">
        <v>0</v>
      </c>
      <c r="Q354" s="40">
        <v>2</v>
      </c>
      <c r="R354" s="37" t="s">
        <v>448</v>
      </c>
      <c r="S354" s="37"/>
    </row>
    <row r="355" spans="1:19" x14ac:dyDescent="0.3">
      <c r="A355" s="36">
        <v>128</v>
      </c>
      <c r="B355" s="37" t="s">
        <v>417</v>
      </c>
      <c r="C355" s="37" t="s">
        <v>138</v>
      </c>
      <c r="D355" s="37" t="s">
        <v>73</v>
      </c>
      <c r="E355" s="37" t="s">
        <v>56</v>
      </c>
      <c r="F355" s="42">
        <v>45535</v>
      </c>
      <c r="G355" s="37">
        <v>2024</v>
      </c>
      <c r="H355" s="37" t="s">
        <v>86</v>
      </c>
      <c r="I355" s="39" t="s">
        <v>36</v>
      </c>
      <c r="J355" s="37">
        <v>1</v>
      </c>
      <c r="K355" s="58">
        <v>0.51168831168831175</v>
      </c>
      <c r="L355" s="24">
        <f t="shared" si="33"/>
        <v>1</v>
      </c>
      <c r="M355" s="24">
        <f t="shared" si="34"/>
        <v>1</v>
      </c>
      <c r="N355" s="37" t="s">
        <v>197</v>
      </c>
      <c r="O355" s="37" t="s">
        <v>197</v>
      </c>
      <c r="P355" s="40">
        <v>0</v>
      </c>
      <c r="Q355" s="40">
        <v>2</v>
      </c>
      <c r="R355" s="37" t="s">
        <v>449</v>
      </c>
      <c r="S355" s="37"/>
    </row>
    <row r="356" spans="1:19" x14ac:dyDescent="0.3">
      <c r="A356" s="36">
        <v>128</v>
      </c>
      <c r="B356" s="37" t="s">
        <v>417</v>
      </c>
      <c r="C356" s="37" t="s">
        <v>138</v>
      </c>
      <c r="D356" s="37" t="s">
        <v>73</v>
      </c>
      <c r="E356" s="37" t="s">
        <v>56</v>
      </c>
      <c r="F356" s="42">
        <v>45565</v>
      </c>
      <c r="G356" s="37">
        <v>2024</v>
      </c>
      <c r="H356" s="37" t="s">
        <v>43</v>
      </c>
      <c r="I356" s="39" t="s">
        <v>36</v>
      </c>
      <c r="J356" s="37">
        <v>1</v>
      </c>
      <c r="K356" s="58">
        <v>0.69743377483443703</v>
      </c>
      <c r="L356" s="24">
        <f t="shared" si="33"/>
        <v>1</v>
      </c>
      <c r="M356" s="24">
        <f t="shared" si="34"/>
        <v>1</v>
      </c>
      <c r="N356" s="37" t="s">
        <v>197</v>
      </c>
      <c r="O356" s="37" t="s">
        <v>197</v>
      </c>
      <c r="P356" s="40">
        <v>0</v>
      </c>
      <c r="Q356" s="40">
        <v>2</v>
      </c>
      <c r="R356" s="37" t="s">
        <v>450</v>
      </c>
      <c r="S356" s="37"/>
    </row>
    <row r="357" spans="1:19" x14ac:dyDescent="0.3">
      <c r="A357" s="41">
        <v>128</v>
      </c>
      <c r="B357" s="37" t="s">
        <v>417</v>
      </c>
      <c r="C357" s="37" t="s">
        <v>138</v>
      </c>
      <c r="D357" s="37" t="s">
        <v>73</v>
      </c>
      <c r="E357" s="37" t="s">
        <v>56</v>
      </c>
      <c r="F357" s="42">
        <v>45596</v>
      </c>
      <c r="G357" s="37">
        <v>2024</v>
      </c>
      <c r="H357" s="37" t="s">
        <v>89</v>
      </c>
      <c r="I357" s="39" t="s">
        <v>36</v>
      </c>
      <c r="J357" s="37">
        <v>1</v>
      </c>
      <c r="K357" s="58">
        <v>0.61192409895579924</v>
      </c>
      <c r="L357" s="24">
        <f t="shared" si="33"/>
        <v>1</v>
      </c>
      <c r="M357" s="24">
        <f t="shared" si="34"/>
        <v>1</v>
      </c>
      <c r="N357" s="37" t="s">
        <v>197</v>
      </c>
      <c r="O357" s="37" t="s">
        <v>197</v>
      </c>
      <c r="P357" s="40">
        <v>0</v>
      </c>
      <c r="Q357" s="40">
        <v>1</v>
      </c>
      <c r="R357" s="37" t="s">
        <v>451</v>
      </c>
      <c r="S357" s="37"/>
    </row>
    <row r="358" spans="1:19" x14ac:dyDescent="0.3">
      <c r="A358" s="41">
        <v>128</v>
      </c>
      <c r="B358" s="37" t="s">
        <v>417</v>
      </c>
      <c r="C358" s="37" t="s">
        <v>138</v>
      </c>
      <c r="D358" s="37" t="s">
        <v>73</v>
      </c>
      <c r="E358" s="37" t="s">
        <v>56</v>
      </c>
      <c r="F358" s="42">
        <v>45626</v>
      </c>
      <c r="G358" s="37">
        <v>2024</v>
      </c>
      <c r="H358" s="37" t="s">
        <v>91</v>
      </c>
      <c r="I358" s="39" t="s">
        <v>36</v>
      </c>
      <c r="J358" s="37">
        <v>1</v>
      </c>
      <c r="K358" s="58">
        <v>0.96</v>
      </c>
      <c r="L358" s="24">
        <f t="shared" si="33"/>
        <v>1</v>
      </c>
      <c r="M358" s="24">
        <f t="shared" si="34"/>
        <v>1</v>
      </c>
      <c r="N358" s="37" t="s">
        <v>197</v>
      </c>
      <c r="O358" s="37" t="s">
        <v>197</v>
      </c>
      <c r="P358" s="40">
        <v>0</v>
      </c>
      <c r="Q358" s="40">
        <v>2</v>
      </c>
      <c r="R358" s="37" t="s">
        <v>452</v>
      </c>
      <c r="S358" s="37"/>
    </row>
    <row r="359" spans="1:19" x14ac:dyDescent="0.3">
      <c r="A359" s="41">
        <v>128</v>
      </c>
      <c r="B359" s="37" t="s">
        <v>417</v>
      </c>
      <c r="C359" s="37" t="s">
        <v>138</v>
      </c>
      <c r="D359" s="37" t="s">
        <v>73</v>
      </c>
      <c r="E359" s="37" t="s">
        <v>56</v>
      </c>
      <c r="F359" s="42">
        <v>45657</v>
      </c>
      <c r="G359" s="37">
        <v>2024</v>
      </c>
      <c r="H359" s="37" t="s">
        <v>27</v>
      </c>
      <c r="I359" s="39" t="s">
        <v>36</v>
      </c>
      <c r="J359" s="37">
        <v>1</v>
      </c>
      <c r="K359" s="59">
        <v>0.77694235588972427</v>
      </c>
      <c r="L359" s="24">
        <f t="shared" si="33"/>
        <v>1</v>
      </c>
      <c r="M359" s="24">
        <f t="shared" si="34"/>
        <v>1</v>
      </c>
      <c r="N359" s="37" t="s">
        <v>197</v>
      </c>
      <c r="O359" s="37" t="s">
        <v>197</v>
      </c>
      <c r="P359" s="40">
        <v>0</v>
      </c>
      <c r="Q359" s="40">
        <v>2</v>
      </c>
      <c r="R359" s="37" t="s">
        <v>453</v>
      </c>
      <c r="S359" s="37"/>
    </row>
    <row r="360" spans="1:19" x14ac:dyDescent="0.3">
      <c r="A360" s="37">
        <v>133</v>
      </c>
      <c r="B360" s="37" t="s">
        <v>206</v>
      </c>
      <c r="C360" s="37" t="s">
        <v>454</v>
      </c>
      <c r="D360" s="37" t="s">
        <v>139</v>
      </c>
      <c r="E360" s="37" t="s">
        <v>22</v>
      </c>
      <c r="F360" s="42">
        <v>44865</v>
      </c>
      <c r="G360" s="37">
        <v>2022</v>
      </c>
      <c r="H360" s="37" t="s">
        <v>89</v>
      </c>
      <c r="I360" s="39" t="s">
        <v>28</v>
      </c>
      <c r="J360" s="37">
        <v>80</v>
      </c>
      <c r="K360" s="26">
        <v>90</v>
      </c>
      <c r="L360" s="55">
        <f t="shared" ref="L360:L390" si="35">IFERROR(IF(OR(J360=0,K360=""),"",IF(E360="Positivo",MIN(MAX(K360/J360,0),1.3),MIN(MAX(J360/K360,0),1.3))),"")</f>
        <v>1.125</v>
      </c>
      <c r="M360" s="24">
        <f t="shared" ref="M360:M390" si="36">IFERROR(IF(OR(J360=0,K360=""),"",IF(E360="Positivo",MAX(K360/J360,0),MAX(J360/K360,0))),"")</f>
        <v>1.125</v>
      </c>
      <c r="N360" s="37" t="s">
        <v>25</v>
      </c>
      <c r="O360" s="37" t="s">
        <v>25</v>
      </c>
      <c r="P360" s="37">
        <v>0</v>
      </c>
      <c r="Q360" s="37">
        <v>0</v>
      </c>
      <c r="R360" s="37" t="s">
        <v>455</v>
      </c>
      <c r="S360" s="37"/>
    </row>
    <row r="361" spans="1:19" x14ac:dyDescent="0.3">
      <c r="A361" s="37">
        <v>133</v>
      </c>
      <c r="B361" s="37" t="s">
        <v>206</v>
      </c>
      <c r="C361" s="37" t="s">
        <v>454</v>
      </c>
      <c r="D361" s="37" t="s">
        <v>139</v>
      </c>
      <c r="E361" s="37" t="s">
        <v>22</v>
      </c>
      <c r="F361" s="42">
        <v>45230</v>
      </c>
      <c r="G361" s="37">
        <v>2023</v>
      </c>
      <c r="H361" s="37" t="s">
        <v>89</v>
      </c>
      <c r="I361" s="37" t="s">
        <v>32</v>
      </c>
      <c r="J361" s="37">
        <v>1</v>
      </c>
      <c r="K361" s="53">
        <v>93</v>
      </c>
      <c r="L361" s="24">
        <f t="shared" si="35"/>
        <v>1.3</v>
      </c>
      <c r="M361" s="24">
        <f t="shared" si="36"/>
        <v>93</v>
      </c>
      <c r="N361" s="37" t="s">
        <v>25</v>
      </c>
      <c r="O361" s="37" t="s">
        <v>25</v>
      </c>
      <c r="P361" s="37">
        <v>0</v>
      </c>
      <c r="Q361" s="37">
        <v>0</v>
      </c>
      <c r="R361" s="37" t="s">
        <v>456</v>
      </c>
      <c r="S361" s="37"/>
    </row>
    <row r="362" spans="1:19" x14ac:dyDescent="0.3">
      <c r="A362" s="37">
        <v>133</v>
      </c>
      <c r="B362" s="37" t="s">
        <v>206</v>
      </c>
      <c r="C362" s="37" t="s">
        <v>454</v>
      </c>
      <c r="D362" s="37" t="s">
        <v>139</v>
      </c>
      <c r="E362" s="37" t="s">
        <v>22</v>
      </c>
      <c r="F362" s="42">
        <v>45291</v>
      </c>
      <c r="G362" s="37">
        <v>2023</v>
      </c>
      <c r="H362" s="37" t="s">
        <v>27</v>
      </c>
      <c r="I362" s="39" t="s">
        <v>32</v>
      </c>
      <c r="J362" s="37">
        <v>80</v>
      </c>
      <c r="K362" s="37">
        <v>92.789115646258509</v>
      </c>
      <c r="L362" s="24">
        <f t="shared" si="35"/>
        <v>1.1598639455782314</v>
      </c>
      <c r="M362" s="24">
        <f t="shared" si="36"/>
        <v>1.1598639455782314</v>
      </c>
      <c r="N362" s="37" t="s">
        <v>25</v>
      </c>
      <c r="O362" s="37" t="s">
        <v>25</v>
      </c>
      <c r="P362" s="37">
        <v>0</v>
      </c>
      <c r="Q362" s="37">
        <v>0</v>
      </c>
      <c r="R362" s="37" t="s">
        <v>457</v>
      </c>
      <c r="S362" s="37"/>
    </row>
    <row r="363" spans="1:19" x14ac:dyDescent="0.3">
      <c r="A363" s="37">
        <v>133</v>
      </c>
      <c r="B363" s="37" t="s">
        <v>206</v>
      </c>
      <c r="C363" s="37" t="s">
        <v>454</v>
      </c>
      <c r="D363" s="37" t="s">
        <v>139</v>
      </c>
      <c r="E363" s="37" t="s">
        <v>22</v>
      </c>
      <c r="F363" s="42">
        <v>45596</v>
      </c>
      <c r="G363" s="37">
        <v>2024</v>
      </c>
      <c r="H363" s="37" t="s">
        <v>89</v>
      </c>
      <c r="I363" s="37" t="s">
        <v>36</v>
      </c>
      <c r="J363" s="37">
        <v>1</v>
      </c>
      <c r="K363" s="37">
        <v>91</v>
      </c>
      <c r="L363" s="24">
        <f t="shared" si="35"/>
        <v>1.3</v>
      </c>
      <c r="M363" s="24">
        <f t="shared" si="36"/>
        <v>91</v>
      </c>
      <c r="N363" s="37" t="s">
        <v>25</v>
      </c>
      <c r="O363" s="37" t="s">
        <v>25</v>
      </c>
      <c r="P363" s="37">
        <v>0</v>
      </c>
      <c r="Q363" s="37">
        <v>0</v>
      </c>
      <c r="R363" s="37" t="s">
        <v>458</v>
      </c>
      <c r="S363" s="37"/>
    </row>
    <row r="364" spans="1:19" x14ac:dyDescent="0.3">
      <c r="A364" s="36">
        <v>133</v>
      </c>
      <c r="B364" s="37" t="s">
        <v>206</v>
      </c>
      <c r="C364" s="37" t="s">
        <v>454</v>
      </c>
      <c r="D364" s="37" t="s">
        <v>139</v>
      </c>
      <c r="E364" s="37" t="s">
        <v>22</v>
      </c>
      <c r="F364" s="42">
        <v>45657</v>
      </c>
      <c r="G364" s="37">
        <v>2024</v>
      </c>
      <c r="H364" s="37" t="s">
        <v>27</v>
      </c>
      <c r="I364" s="39" t="s">
        <v>36</v>
      </c>
      <c r="J364" s="37">
        <v>80</v>
      </c>
      <c r="K364" s="53">
        <v>91</v>
      </c>
      <c r="L364" s="24">
        <f t="shared" si="35"/>
        <v>1.1375</v>
      </c>
      <c r="M364" s="24">
        <f t="shared" si="36"/>
        <v>1.1375</v>
      </c>
      <c r="N364" s="37" t="s">
        <v>25</v>
      </c>
      <c r="O364" s="37" t="s">
        <v>25</v>
      </c>
      <c r="P364" s="40">
        <v>0</v>
      </c>
      <c r="Q364" s="40">
        <v>0</v>
      </c>
      <c r="R364" s="37" t="s">
        <v>459</v>
      </c>
      <c r="S364" s="37"/>
    </row>
    <row r="365" spans="1:19" x14ac:dyDescent="0.3">
      <c r="A365" s="36">
        <v>136</v>
      </c>
      <c r="B365" s="37" t="s">
        <v>460</v>
      </c>
      <c r="C365" s="37" t="s">
        <v>461</v>
      </c>
      <c r="D365" s="37" t="s">
        <v>21</v>
      </c>
      <c r="E365" s="37" t="s">
        <v>22</v>
      </c>
      <c r="F365" s="38">
        <v>45107</v>
      </c>
      <c r="G365" s="37">
        <v>2023</v>
      </c>
      <c r="H365" s="37" t="s">
        <v>23</v>
      </c>
      <c r="I365" s="39" t="s">
        <v>30</v>
      </c>
      <c r="J365" s="37">
        <v>90</v>
      </c>
      <c r="K365" s="56">
        <v>105.56</v>
      </c>
      <c r="L365" s="24">
        <f t="shared" si="35"/>
        <v>1.1728888888888889</v>
      </c>
      <c r="M365" s="24">
        <f t="shared" si="36"/>
        <v>1.1728888888888889</v>
      </c>
      <c r="N365" s="37" t="s">
        <v>25</v>
      </c>
      <c r="O365" s="37" t="s">
        <v>25</v>
      </c>
      <c r="P365" s="40">
        <v>0</v>
      </c>
      <c r="Q365" s="40">
        <v>0</v>
      </c>
      <c r="R365" s="37" t="s">
        <v>462</v>
      </c>
      <c r="S365" s="37"/>
    </row>
    <row r="366" spans="1:19" x14ac:dyDescent="0.3">
      <c r="A366" s="41">
        <v>136</v>
      </c>
      <c r="B366" s="37" t="s">
        <v>460</v>
      </c>
      <c r="C366" s="37" t="s">
        <v>461</v>
      </c>
      <c r="D366" s="37" t="s">
        <v>21</v>
      </c>
      <c r="E366" s="37" t="s">
        <v>22</v>
      </c>
      <c r="F366" s="42">
        <v>45291</v>
      </c>
      <c r="G366" s="37">
        <v>2023</v>
      </c>
      <c r="H366" s="37" t="s">
        <v>27</v>
      </c>
      <c r="I366" s="39" t="s">
        <v>32</v>
      </c>
      <c r="J366" s="37">
        <v>90</v>
      </c>
      <c r="K366" s="56">
        <v>94.44</v>
      </c>
      <c r="L366" s="24">
        <f t="shared" si="35"/>
        <v>1.0493333333333332</v>
      </c>
      <c r="M366" s="24">
        <f t="shared" si="36"/>
        <v>1.0493333333333332</v>
      </c>
      <c r="N366" s="37" t="s">
        <v>25</v>
      </c>
      <c r="O366" s="37" t="s">
        <v>25</v>
      </c>
      <c r="P366" s="40">
        <v>0</v>
      </c>
      <c r="Q366" s="40">
        <v>0</v>
      </c>
      <c r="R366" s="37" t="s">
        <v>463</v>
      </c>
      <c r="S366" s="37"/>
    </row>
    <row r="367" spans="1:19" x14ac:dyDescent="0.3">
      <c r="A367" s="36">
        <v>137</v>
      </c>
      <c r="B367" s="37" t="s">
        <v>464</v>
      </c>
      <c r="C367" s="37" t="s">
        <v>461</v>
      </c>
      <c r="D367" s="37" t="s">
        <v>39</v>
      </c>
      <c r="E367" s="37" t="s">
        <v>22</v>
      </c>
      <c r="F367" s="42">
        <v>45016</v>
      </c>
      <c r="G367" s="37">
        <v>2023</v>
      </c>
      <c r="H367" s="37" t="s">
        <v>40</v>
      </c>
      <c r="I367" s="39" t="s">
        <v>30</v>
      </c>
      <c r="J367" s="37">
        <v>86</v>
      </c>
      <c r="K367" s="26">
        <v>87</v>
      </c>
      <c r="L367" s="24">
        <f t="shared" si="35"/>
        <v>1.0116279069767442</v>
      </c>
      <c r="M367" s="24">
        <f t="shared" si="36"/>
        <v>1.0116279069767442</v>
      </c>
      <c r="N367" s="37" t="s">
        <v>25</v>
      </c>
      <c r="O367" s="37" t="s">
        <v>25</v>
      </c>
      <c r="P367" s="40">
        <v>0</v>
      </c>
      <c r="Q367" s="40">
        <v>0</v>
      </c>
      <c r="R367" s="37" t="s">
        <v>465</v>
      </c>
      <c r="S367" s="37"/>
    </row>
    <row r="368" spans="1:19" x14ac:dyDescent="0.3">
      <c r="A368" s="36">
        <v>137</v>
      </c>
      <c r="B368" s="37" t="s">
        <v>464</v>
      </c>
      <c r="C368" s="37" t="s">
        <v>461</v>
      </c>
      <c r="D368" s="37" t="s">
        <v>39</v>
      </c>
      <c r="E368" s="37" t="s">
        <v>22</v>
      </c>
      <c r="F368" s="42">
        <v>45107</v>
      </c>
      <c r="G368" s="37">
        <v>2023</v>
      </c>
      <c r="H368" s="37" t="s">
        <v>23</v>
      </c>
      <c r="I368" s="39" t="s">
        <v>30</v>
      </c>
      <c r="J368" s="37">
        <v>126</v>
      </c>
      <c r="K368" s="26">
        <v>126</v>
      </c>
      <c r="L368" s="24">
        <f t="shared" si="35"/>
        <v>1</v>
      </c>
      <c r="M368" s="24">
        <f t="shared" si="36"/>
        <v>1</v>
      </c>
      <c r="N368" s="37" t="s">
        <v>25</v>
      </c>
      <c r="O368" s="37" t="s">
        <v>25</v>
      </c>
      <c r="P368" s="40">
        <v>0</v>
      </c>
      <c r="Q368" s="40">
        <v>0</v>
      </c>
      <c r="R368" s="37" t="s">
        <v>466</v>
      </c>
      <c r="S368" s="37"/>
    </row>
    <row r="369" spans="1:19" x14ac:dyDescent="0.3">
      <c r="A369" s="45">
        <v>137</v>
      </c>
      <c r="B369" s="37" t="s">
        <v>464</v>
      </c>
      <c r="C369" s="37" t="s">
        <v>461</v>
      </c>
      <c r="D369" s="37" t="s">
        <v>39</v>
      </c>
      <c r="E369" s="37" t="s">
        <v>22</v>
      </c>
      <c r="F369" s="42">
        <v>45199</v>
      </c>
      <c r="G369" s="37">
        <v>2023</v>
      </c>
      <c r="H369" s="37" t="s">
        <v>43</v>
      </c>
      <c r="I369" s="39" t="s">
        <v>32</v>
      </c>
      <c r="J369" s="37">
        <v>138</v>
      </c>
      <c r="K369" s="56">
        <v>138</v>
      </c>
      <c r="L369" s="24">
        <f t="shared" si="35"/>
        <v>1</v>
      </c>
      <c r="M369" s="24">
        <f t="shared" si="36"/>
        <v>1</v>
      </c>
      <c r="N369" s="37" t="s">
        <v>25</v>
      </c>
      <c r="O369" s="37" t="s">
        <v>25</v>
      </c>
      <c r="P369" s="40">
        <v>0</v>
      </c>
      <c r="Q369" s="40">
        <v>0</v>
      </c>
      <c r="R369" s="37" t="s">
        <v>467</v>
      </c>
      <c r="S369" s="37"/>
    </row>
    <row r="370" spans="1:19" x14ac:dyDescent="0.3">
      <c r="A370" s="41">
        <v>137</v>
      </c>
      <c r="B370" s="37" t="s">
        <v>464</v>
      </c>
      <c r="C370" s="37" t="s">
        <v>461</v>
      </c>
      <c r="D370" s="37" t="s">
        <v>39</v>
      </c>
      <c r="E370" s="37" t="s">
        <v>22</v>
      </c>
      <c r="F370" s="42">
        <v>45291</v>
      </c>
      <c r="G370" s="37">
        <v>2023</v>
      </c>
      <c r="H370" s="37" t="s">
        <v>27</v>
      </c>
      <c r="I370" s="39" t="s">
        <v>32</v>
      </c>
      <c r="J370" s="37">
        <v>97</v>
      </c>
      <c r="K370" s="56">
        <v>97</v>
      </c>
      <c r="L370" s="24">
        <f t="shared" si="35"/>
        <v>1</v>
      </c>
      <c r="M370" s="24">
        <f t="shared" si="36"/>
        <v>1</v>
      </c>
      <c r="N370" s="37" t="s">
        <v>25</v>
      </c>
      <c r="O370" s="37" t="s">
        <v>25</v>
      </c>
      <c r="P370" s="40">
        <v>0</v>
      </c>
      <c r="Q370" s="40">
        <v>0</v>
      </c>
      <c r="R370" s="37" t="s">
        <v>468</v>
      </c>
      <c r="S370" s="37"/>
    </row>
    <row r="371" spans="1:19" x14ac:dyDescent="0.3">
      <c r="A371" s="36">
        <v>139</v>
      </c>
      <c r="B371" s="37" t="s">
        <v>469</v>
      </c>
      <c r="C371" s="37" t="s">
        <v>461</v>
      </c>
      <c r="D371" s="37" t="s">
        <v>73</v>
      </c>
      <c r="E371" s="37" t="s">
        <v>56</v>
      </c>
      <c r="F371" s="42">
        <v>44957</v>
      </c>
      <c r="G371" s="37">
        <v>2023</v>
      </c>
      <c r="H371" s="37" t="s">
        <v>74</v>
      </c>
      <c r="I371" s="39" t="s">
        <v>30</v>
      </c>
      <c r="J371" s="59">
        <v>58.043999999999997</v>
      </c>
      <c r="K371" s="58">
        <v>60.66</v>
      </c>
      <c r="L371" s="24">
        <f t="shared" si="35"/>
        <v>0.95687438180019779</v>
      </c>
      <c r="M371" s="24">
        <f t="shared" si="36"/>
        <v>0.95687438180019779</v>
      </c>
      <c r="N371" s="56" t="s">
        <v>264</v>
      </c>
      <c r="O371" s="56" t="s">
        <v>264</v>
      </c>
      <c r="P371" s="40">
        <v>2</v>
      </c>
      <c r="Q371" s="40">
        <v>2</v>
      </c>
      <c r="R371" s="37" t="s">
        <v>470</v>
      </c>
      <c r="S371" s="37"/>
    </row>
    <row r="372" spans="1:19" x14ac:dyDescent="0.3">
      <c r="A372" s="36">
        <v>139</v>
      </c>
      <c r="B372" s="37" t="s">
        <v>469</v>
      </c>
      <c r="C372" s="37" t="s">
        <v>461</v>
      </c>
      <c r="D372" s="37" t="s">
        <v>73</v>
      </c>
      <c r="E372" s="37" t="s">
        <v>56</v>
      </c>
      <c r="F372" s="38">
        <v>44985</v>
      </c>
      <c r="G372" s="37">
        <v>2023</v>
      </c>
      <c r="H372" s="37" t="s">
        <v>76</v>
      </c>
      <c r="I372" s="39" t="s">
        <v>30</v>
      </c>
      <c r="J372" s="59">
        <v>163.87299999999999</v>
      </c>
      <c r="K372" s="58">
        <v>115.42100000000001</v>
      </c>
      <c r="L372" s="24">
        <f t="shared" si="35"/>
        <v>1.3</v>
      </c>
      <c r="M372" s="24">
        <f t="shared" si="36"/>
        <v>1.4197849611422531</v>
      </c>
      <c r="N372" s="56" t="s">
        <v>264</v>
      </c>
      <c r="O372" s="56" t="s">
        <v>264</v>
      </c>
      <c r="P372" s="40">
        <v>2</v>
      </c>
      <c r="Q372" s="40">
        <v>2</v>
      </c>
      <c r="R372" s="37" t="s">
        <v>471</v>
      </c>
      <c r="S372" s="37"/>
    </row>
    <row r="373" spans="1:19" x14ac:dyDescent="0.3">
      <c r="A373" s="36">
        <v>139</v>
      </c>
      <c r="B373" s="37" t="s">
        <v>469</v>
      </c>
      <c r="C373" s="37" t="s">
        <v>461</v>
      </c>
      <c r="D373" s="37" t="s">
        <v>73</v>
      </c>
      <c r="E373" s="37" t="s">
        <v>56</v>
      </c>
      <c r="F373" s="42">
        <v>45016</v>
      </c>
      <c r="G373" s="37">
        <v>2023</v>
      </c>
      <c r="H373" s="37" t="s">
        <v>40</v>
      </c>
      <c r="I373" s="39" t="s">
        <v>30</v>
      </c>
      <c r="J373" s="59">
        <v>336.81799999999998</v>
      </c>
      <c r="K373" s="59">
        <v>167.49299999999999</v>
      </c>
      <c r="L373" s="24">
        <f t="shared" si="35"/>
        <v>1.3</v>
      </c>
      <c r="M373" s="24">
        <f t="shared" si="36"/>
        <v>2.0109377705336939</v>
      </c>
      <c r="N373" s="56" t="s">
        <v>264</v>
      </c>
      <c r="O373" s="56" t="s">
        <v>264</v>
      </c>
      <c r="P373" s="40">
        <v>2</v>
      </c>
      <c r="Q373" s="40">
        <v>2</v>
      </c>
      <c r="R373" s="37" t="s">
        <v>472</v>
      </c>
      <c r="S373" s="37"/>
    </row>
    <row r="374" spans="1:19" x14ac:dyDescent="0.3">
      <c r="A374" s="36">
        <v>139</v>
      </c>
      <c r="B374" s="37" t="s">
        <v>469</v>
      </c>
      <c r="C374" s="37" t="s">
        <v>461</v>
      </c>
      <c r="D374" s="37" t="s">
        <v>73</v>
      </c>
      <c r="E374" s="37" t="s">
        <v>56</v>
      </c>
      <c r="F374" s="42">
        <v>45046</v>
      </c>
      <c r="G374" s="37">
        <v>2023</v>
      </c>
      <c r="H374" s="37" t="s">
        <v>79</v>
      </c>
      <c r="I374" s="39" t="s">
        <v>30</v>
      </c>
      <c r="J374" s="59">
        <v>424.51799999999997</v>
      </c>
      <c r="K374" s="59">
        <v>251.40600000000001</v>
      </c>
      <c r="L374" s="24">
        <f t="shared" si="35"/>
        <v>1.3</v>
      </c>
      <c r="M374" s="24">
        <f t="shared" si="36"/>
        <v>1.6885754516598648</v>
      </c>
      <c r="N374" s="56" t="s">
        <v>264</v>
      </c>
      <c r="O374" s="56" t="s">
        <v>264</v>
      </c>
      <c r="P374" s="40">
        <v>2</v>
      </c>
      <c r="Q374" s="40">
        <v>2</v>
      </c>
      <c r="R374" s="37" t="s">
        <v>473</v>
      </c>
      <c r="S374" s="37"/>
    </row>
    <row r="375" spans="1:19" x14ac:dyDescent="0.3">
      <c r="A375" s="36">
        <v>139</v>
      </c>
      <c r="B375" s="37" t="s">
        <v>469</v>
      </c>
      <c r="C375" s="37" t="s">
        <v>461</v>
      </c>
      <c r="D375" s="37" t="s">
        <v>73</v>
      </c>
      <c r="E375" s="37" t="s">
        <v>56</v>
      </c>
      <c r="F375" s="42">
        <v>45077</v>
      </c>
      <c r="G375" s="37">
        <v>2023</v>
      </c>
      <c r="H375" s="37" t="s">
        <v>81</v>
      </c>
      <c r="I375" s="39" t="s">
        <v>30</v>
      </c>
      <c r="J375" s="59">
        <v>498.73899999999998</v>
      </c>
      <c r="K375" s="58">
        <v>329.68</v>
      </c>
      <c r="L375" s="24">
        <f t="shared" si="35"/>
        <v>1.3</v>
      </c>
      <c r="M375" s="24">
        <f t="shared" si="36"/>
        <v>1.5127972579471001</v>
      </c>
      <c r="N375" s="56" t="s">
        <v>264</v>
      </c>
      <c r="O375" s="56" t="s">
        <v>264</v>
      </c>
      <c r="P375" s="40">
        <v>2</v>
      </c>
      <c r="Q375" s="40">
        <v>2</v>
      </c>
      <c r="R375" s="37" t="s">
        <v>474</v>
      </c>
      <c r="S375" s="37"/>
    </row>
    <row r="376" spans="1:19" x14ac:dyDescent="0.3">
      <c r="A376" s="36">
        <v>139</v>
      </c>
      <c r="B376" s="37" t="s">
        <v>469</v>
      </c>
      <c r="C376" s="37" t="s">
        <v>461</v>
      </c>
      <c r="D376" s="37" t="s">
        <v>73</v>
      </c>
      <c r="E376" s="37" t="s">
        <v>56</v>
      </c>
      <c r="F376" s="42">
        <v>45107</v>
      </c>
      <c r="G376" s="37">
        <v>2023</v>
      </c>
      <c r="H376" s="37" t="s">
        <v>23</v>
      </c>
      <c r="I376" s="39" t="s">
        <v>30</v>
      </c>
      <c r="J376" s="59">
        <v>570.08299999999997</v>
      </c>
      <c r="K376" s="58">
        <v>410.077</v>
      </c>
      <c r="L376" s="24">
        <f t="shared" si="35"/>
        <v>1.3</v>
      </c>
      <c r="M376" s="24">
        <f t="shared" si="36"/>
        <v>1.3901852578905911</v>
      </c>
      <c r="N376" s="56" t="s">
        <v>264</v>
      </c>
      <c r="O376" s="56" t="s">
        <v>264</v>
      </c>
      <c r="P376" s="40">
        <v>2</v>
      </c>
      <c r="Q376" s="40">
        <v>2</v>
      </c>
      <c r="R376" s="37" t="s">
        <v>475</v>
      </c>
      <c r="S376" s="37"/>
    </row>
    <row r="377" spans="1:19" x14ac:dyDescent="0.3">
      <c r="A377" s="36">
        <v>139</v>
      </c>
      <c r="B377" s="37" t="s">
        <v>469</v>
      </c>
      <c r="C377" s="37" t="s">
        <v>461</v>
      </c>
      <c r="D377" s="37" t="s">
        <v>73</v>
      </c>
      <c r="E377" s="37" t="s">
        <v>56</v>
      </c>
      <c r="F377" s="42">
        <v>45138</v>
      </c>
      <c r="G377" s="37">
        <v>2023</v>
      </c>
      <c r="H377" s="37" t="s">
        <v>84</v>
      </c>
      <c r="I377" s="39" t="s">
        <v>32</v>
      </c>
      <c r="J377" s="59">
        <v>657.57899999999995</v>
      </c>
      <c r="K377" s="59">
        <v>491.44</v>
      </c>
      <c r="L377" s="24">
        <f t="shared" si="35"/>
        <v>1.3</v>
      </c>
      <c r="M377" s="24">
        <f t="shared" si="36"/>
        <v>1.3380656845189647</v>
      </c>
      <c r="N377" s="56" t="s">
        <v>264</v>
      </c>
      <c r="O377" s="56" t="s">
        <v>264</v>
      </c>
      <c r="P377" s="40">
        <v>2</v>
      </c>
      <c r="Q377" s="40">
        <v>2</v>
      </c>
      <c r="R377" s="37" t="s">
        <v>476</v>
      </c>
      <c r="S377" s="37"/>
    </row>
    <row r="378" spans="1:19" x14ac:dyDescent="0.3">
      <c r="A378" s="36">
        <v>139</v>
      </c>
      <c r="B378" s="37" t="s">
        <v>469</v>
      </c>
      <c r="C378" s="37" t="s">
        <v>461</v>
      </c>
      <c r="D378" s="37" t="s">
        <v>73</v>
      </c>
      <c r="E378" s="37" t="s">
        <v>56</v>
      </c>
      <c r="F378" s="42">
        <v>45169</v>
      </c>
      <c r="G378" s="37">
        <v>2023</v>
      </c>
      <c r="H378" s="37" t="s">
        <v>86</v>
      </c>
      <c r="I378" s="39" t="s">
        <v>32</v>
      </c>
      <c r="J378" s="59">
        <v>742.86199999999997</v>
      </c>
      <c r="K378" s="59">
        <v>579.83399999999995</v>
      </c>
      <c r="L378" s="24">
        <f t="shared" si="35"/>
        <v>1.2811632294760225</v>
      </c>
      <c r="M378" s="24">
        <f t="shared" si="36"/>
        <v>1.2811632294760225</v>
      </c>
      <c r="N378" s="56" t="s">
        <v>264</v>
      </c>
      <c r="O378" s="56" t="s">
        <v>264</v>
      </c>
      <c r="P378" s="40">
        <v>2</v>
      </c>
      <c r="Q378" s="40">
        <v>2</v>
      </c>
      <c r="R378" s="37" t="s">
        <v>477</v>
      </c>
      <c r="S378" s="37"/>
    </row>
    <row r="379" spans="1:19" x14ac:dyDescent="0.3">
      <c r="A379" s="36">
        <v>139</v>
      </c>
      <c r="B379" s="37" t="s">
        <v>469</v>
      </c>
      <c r="C379" s="37" t="s">
        <v>461</v>
      </c>
      <c r="D379" s="37" t="s">
        <v>73</v>
      </c>
      <c r="E379" s="37" t="s">
        <v>56</v>
      </c>
      <c r="F379" s="42">
        <v>45199</v>
      </c>
      <c r="G379" s="37">
        <v>2023</v>
      </c>
      <c r="H379" s="37" t="s">
        <v>43</v>
      </c>
      <c r="I379" s="39" t="s">
        <v>32</v>
      </c>
      <c r="J379" s="59">
        <v>767.86699999999996</v>
      </c>
      <c r="K379" s="58">
        <v>654.85500000000002</v>
      </c>
      <c r="L379" s="24">
        <f t="shared" si="35"/>
        <v>1.1725756083407777</v>
      </c>
      <c r="M379" s="24">
        <f t="shared" si="36"/>
        <v>1.1725756083407777</v>
      </c>
      <c r="N379" s="56" t="s">
        <v>264</v>
      </c>
      <c r="O379" s="56" t="s">
        <v>264</v>
      </c>
      <c r="P379" s="40">
        <v>2</v>
      </c>
      <c r="Q379" s="40">
        <v>2</v>
      </c>
      <c r="R379" s="37" t="s">
        <v>478</v>
      </c>
      <c r="S379" s="37"/>
    </row>
    <row r="380" spans="1:19" x14ac:dyDescent="0.3">
      <c r="A380" s="41">
        <v>139</v>
      </c>
      <c r="B380" s="37" t="s">
        <v>469</v>
      </c>
      <c r="C380" s="37" t="s">
        <v>461</v>
      </c>
      <c r="D380" s="37" t="s">
        <v>73</v>
      </c>
      <c r="E380" s="37" t="s">
        <v>56</v>
      </c>
      <c r="F380" s="42">
        <v>45230</v>
      </c>
      <c r="G380" s="37">
        <v>2023</v>
      </c>
      <c r="H380" s="37" t="s">
        <v>89</v>
      </c>
      <c r="I380" s="39" t="s">
        <v>32</v>
      </c>
      <c r="J380" s="59">
        <v>838.952</v>
      </c>
      <c r="K380" s="59">
        <v>743.86199999999997</v>
      </c>
      <c r="L380" s="24">
        <f t="shared" si="35"/>
        <v>1.1278328507169342</v>
      </c>
      <c r="M380" s="24">
        <f t="shared" si="36"/>
        <v>1.1278328507169342</v>
      </c>
      <c r="N380" s="56" t="s">
        <v>264</v>
      </c>
      <c r="O380" s="56" t="s">
        <v>264</v>
      </c>
      <c r="P380" s="40">
        <v>2</v>
      </c>
      <c r="Q380" s="40">
        <v>2</v>
      </c>
      <c r="R380" s="37" t="s">
        <v>479</v>
      </c>
      <c r="S380" s="37"/>
    </row>
    <row r="381" spans="1:19" x14ac:dyDescent="0.3">
      <c r="A381" s="41">
        <v>139</v>
      </c>
      <c r="B381" s="37" t="s">
        <v>469</v>
      </c>
      <c r="C381" s="37" t="s">
        <v>461</v>
      </c>
      <c r="D381" s="37" t="s">
        <v>73</v>
      </c>
      <c r="E381" s="37" t="s">
        <v>56</v>
      </c>
      <c r="F381" s="42">
        <v>45260</v>
      </c>
      <c r="G381" s="37">
        <v>2023</v>
      </c>
      <c r="H381" s="37" t="s">
        <v>91</v>
      </c>
      <c r="I381" s="39" t="s">
        <v>32</v>
      </c>
      <c r="J381" s="59">
        <v>910.10699999999997</v>
      </c>
      <c r="K381" s="59">
        <v>840.42200000000003</v>
      </c>
      <c r="L381" s="24">
        <f t="shared" si="35"/>
        <v>1.0829166775738854</v>
      </c>
      <c r="M381" s="24">
        <f t="shared" si="36"/>
        <v>1.0829166775738854</v>
      </c>
      <c r="N381" s="56" t="s">
        <v>264</v>
      </c>
      <c r="O381" s="56" t="s">
        <v>264</v>
      </c>
      <c r="P381" s="40">
        <v>2</v>
      </c>
      <c r="Q381" s="40">
        <v>2</v>
      </c>
      <c r="R381" s="37" t="s">
        <v>480</v>
      </c>
      <c r="S381" s="37"/>
    </row>
    <row r="382" spans="1:19" x14ac:dyDescent="0.3">
      <c r="A382" s="41">
        <v>139</v>
      </c>
      <c r="B382" s="37" t="s">
        <v>469</v>
      </c>
      <c r="C382" s="37" t="s">
        <v>461</v>
      </c>
      <c r="D382" s="37" t="s">
        <v>73</v>
      </c>
      <c r="E382" s="37" t="s">
        <v>56</v>
      </c>
      <c r="F382" s="42">
        <v>45291</v>
      </c>
      <c r="G382" s="37">
        <v>2023</v>
      </c>
      <c r="H382" s="37" t="s">
        <v>27</v>
      </c>
      <c r="I382" s="39" t="s">
        <v>32</v>
      </c>
      <c r="J382" s="59">
        <v>981.98199999999997</v>
      </c>
      <c r="K382" s="58">
        <v>964.28399999999999</v>
      </c>
      <c r="L382" s="24">
        <f t="shared" si="35"/>
        <v>1.0183535141099509</v>
      </c>
      <c r="M382" s="24">
        <f t="shared" si="36"/>
        <v>1.0183535141099509</v>
      </c>
      <c r="N382" s="56" t="s">
        <v>264</v>
      </c>
      <c r="O382" s="56" t="s">
        <v>264</v>
      </c>
      <c r="P382" s="40">
        <v>2</v>
      </c>
      <c r="Q382" s="40">
        <v>2</v>
      </c>
      <c r="R382" s="37" t="s">
        <v>481</v>
      </c>
      <c r="S382" s="37"/>
    </row>
    <row r="383" spans="1:19" x14ac:dyDescent="0.3">
      <c r="A383" s="36">
        <v>139</v>
      </c>
      <c r="B383" s="37" t="s">
        <v>469</v>
      </c>
      <c r="C383" s="37" t="s">
        <v>461</v>
      </c>
      <c r="D383" s="37" t="s">
        <v>73</v>
      </c>
      <c r="E383" s="37" t="s">
        <v>56</v>
      </c>
      <c r="F383" s="42">
        <v>45322</v>
      </c>
      <c r="G383" s="37">
        <v>2024</v>
      </c>
      <c r="H383" s="37" t="s">
        <v>74</v>
      </c>
      <c r="I383" s="39" t="s">
        <v>34</v>
      </c>
      <c r="J383" s="56">
        <v>79.365133</v>
      </c>
      <c r="K383" s="26">
        <v>79.446461999999997</v>
      </c>
      <c r="L383" s="24">
        <f t="shared" si="35"/>
        <v>0.99897630431925344</v>
      </c>
      <c r="M383" s="24">
        <f t="shared" si="36"/>
        <v>0.99897630431925344</v>
      </c>
      <c r="N383" s="56" t="s">
        <v>264</v>
      </c>
      <c r="O383" s="56" t="s">
        <v>264</v>
      </c>
      <c r="P383" s="40">
        <v>2</v>
      </c>
      <c r="Q383" s="40">
        <v>2</v>
      </c>
      <c r="R383" s="37" t="s">
        <v>482</v>
      </c>
      <c r="S383" s="37"/>
    </row>
    <row r="384" spans="1:19" x14ac:dyDescent="0.3">
      <c r="A384" s="36">
        <v>139</v>
      </c>
      <c r="B384" s="37" t="s">
        <v>469</v>
      </c>
      <c r="C384" s="37" t="s">
        <v>461</v>
      </c>
      <c r="D384" s="37" t="s">
        <v>73</v>
      </c>
      <c r="E384" s="37" t="s">
        <v>56</v>
      </c>
      <c r="F384" s="42">
        <v>45351</v>
      </c>
      <c r="G384" s="37">
        <v>2024</v>
      </c>
      <c r="H384" s="37" t="s">
        <v>76</v>
      </c>
      <c r="I384" s="39" t="s">
        <v>34</v>
      </c>
      <c r="J384" s="43">
        <v>181.94887900000001</v>
      </c>
      <c r="K384" s="43">
        <v>168.893529</v>
      </c>
      <c r="L384" s="24">
        <f t="shared" si="35"/>
        <v>1.0772992907265264</v>
      </c>
      <c r="M384" s="24">
        <f t="shared" si="36"/>
        <v>1.0772992907265264</v>
      </c>
      <c r="N384" s="56" t="s">
        <v>264</v>
      </c>
      <c r="O384" s="56" t="s">
        <v>264</v>
      </c>
      <c r="P384" s="40">
        <v>2</v>
      </c>
      <c r="Q384" s="40">
        <v>2</v>
      </c>
      <c r="R384" s="37" t="s">
        <v>483</v>
      </c>
      <c r="S384" s="37"/>
    </row>
    <row r="385" spans="1:19" x14ac:dyDescent="0.3">
      <c r="A385" s="36">
        <v>139</v>
      </c>
      <c r="B385" s="37" t="s">
        <v>469</v>
      </c>
      <c r="C385" s="37" t="s">
        <v>461</v>
      </c>
      <c r="D385" s="37" t="s">
        <v>73</v>
      </c>
      <c r="E385" s="37" t="s">
        <v>56</v>
      </c>
      <c r="F385" s="42">
        <v>45382</v>
      </c>
      <c r="G385" s="37">
        <v>2024</v>
      </c>
      <c r="H385" s="37" t="s">
        <v>40</v>
      </c>
      <c r="I385" s="39" t="s">
        <v>34</v>
      </c>
      <c r="J385" s="61">
        <v>357.09982600000001</v>
      </c>
      <c r="K385" s="61">
        <v>224.836963</v>
      </c>
      <c r="L385" s="24">
        <f t="shared" si="35"/>
        <v>1.3</v>
      </c>
      <c r="M385" s="24">
        <f t="shared" si="36"/>
        <v>1.5882612059654979</v>
      </c>
      <c r="N385" s="56" t="s">
        <v>264</v>
      </c>
      <c r="O385" s="56" t="s">
        <v>264</v>
      </c>
      <c r="P385" s="40">
        <v>2</v>
      </c>
      <c r="Q385" s="40">
        <v>2</v>
      </c>
      <c r="R385" s="37" t="s">
        <v>484</v>
      </c>
      <c r="S385" s="37"/>
    </row>
    <row r="386" spans="1:19" x14ac:dyDescent="0.3">
      <c r="A386" s="36">
        <v>139</v>
      </c>
      <c r="B386" s="37" t="s">
        <v>469</v>
      </c>
      <c r="C386" s="37" t="s">
        <v>461</v>
      </c>
      <c r="D386" s="37" t="s">
        <v>73</v>
      </c>
      <c r="E386" s="37" t="s">
        <v>56</v>
      </c>
      <c r="F386" s="42">
        <v>45412</v>
      </c>
      <c r="G386" s="37">
        <v>2024</v>
      </c>
      <c r="H386" s="37" t="s">
        <v>79</v>
      </c>
      <c r="I386" s="39" t="s">
        <v>34</v>
      </c>
      <c r="J386" s="61">
        <v>452.15224499999999</v>
      </c>
      <c r="K386" s="63">
        <v>311.054847</v>
      </c>
      <c r="L386" s="24">
        <f t="shared" si="35"/>
        <v>1.3</v>
      </c>
      <c r="M386" s="24">
        <f t="shared" si="36"/>
        <v>1.4536093854856407</v>
      </c>
      <c r="N386" s="56" t="s">
        <v>264</v>
      </c>
      <c r="O386" s="56" t="s">
        <v>264</v>
      </c>
      <c r="P386" s="40">
        <v>2</v>
      </c>
      <c r="Q386" s="40">
        <v>2</v>
      </c>
      <c r="R386" s="37" t="s">
        <v>485</v>
      </c>
      <c r="S386" s="37"/>
    </row>
    <row r="387" spans="1:19" x14ac:dyDescent="0.3">
      <c r="A387" s="36">
        <v>139</v>
      </c>
      <c r="B387" s="37" t="s">
        <v>469</v>
      </c>
      <c r="C387" s="37" t="s">
        <v>461</v>
      </c>
      <c r="D387" s="37" t="s">
        <v>73</v>
      </c>
      <c r="E387" s="37" t="s">
        <v>56</v>
      </c>
      <c r="F387" s="42">
        <v>45443</v>
      </c>
      <c r="G387" s="37">
        <v>2024</v>
      </c>
      <c r="H387" s="37" t="s">
        <v>81</v>
      </c>
      <c r="I387" s="39" t="s">
        <v>34</v>
      </c>
      <c r="J387" s="61">
        <v>539.12789899999996</v>
      </c>
      <c r="K387" s="63">
        <v>391.41320000000002</v>
      </c>
      <c r="L387" s="24">
        <f t="shared" si="35"/>
        <v>1.3</v>
      </c>
      <c r="M387" s="24">
        <f t="shared" si="36"/>
        <v>1.3773881386728908</v>
      </c>
      <c r="N387" s="56" t="s">
        <v>264</v>
      </c>
      <c r="O387" s="56" t="s">
        <v>264</v>
      </c>
      <c r="P387" s="40">
        <v>2</v>
      </c>
      <c r="Q387" s="40">
        <v>2</v>
      </c>
      <c r="R387" s="37" t="s">
        <v>486</v>
      </c>
      <c r="S387" s="37"/>
    </row>
    <row r="388" spans="1:19" x14ac:dyDescent="0.3">
      <c r="A388" s="36">
        <v>139</v>
      </c>
      <c r="B388" s="37" t="s">
        <v>469</v>
      </c>
      <c r="C388" s="37" t="s">
        <v>461</v>
      </c>
      <c r="D388" s="37" t="s">
        <v>73</v>
      </c>
      <c r="E388" s="37" t="s">
        <v>56</v>
      </c>
      <c r="F388" s="42">
        <v>45473</v>
      </c>
      <c r="G388" s="37">
        <v>2024</v>
      </c>
      <c r="H388" s="37" t="s">
        <v>23</v>
      </c>
      <c r="I388" s="39" t="s">
        <v>34</v>
      </c>
      <c r="J388" s="61">
        <v>624.02159300000005</v>
      </c>
      <c r="K388" s="61">
        <v>470.81177500000001</v>
      </c>
      <c r="L388" s="24">
        <f t="shared" si="35"/>
        <v>1.3</v>
      </c>
      <c r="M388" s="24">
        <f t="shared" si="36"/>
        <v>1.3254162833969054</v>
      </c>
      <c r="N388" s="56" t="s">
        <v>264</v>
      </c>
      <c r="O388" s="56" t="s">
        <v>264</v>
      </c>
      <c r="P388" s="40">
        <v>2</v>
      </c>
      <c r="Q388" s="40">
        <v>2</v>
      </c>
      <c r="R388" s="37" t="s">
        <v>487</v>
      </c>
      <c r="S388" s="37"/>
    </row>
    <row r="389" spans="1:19" x14ac:dyDescent="0.3">
      <c r="A389" s="36">
        <v>139</v>
      </c>
      <c r="B389" s="37" t="s">
        <v>469</v>
      </c>
      <c r="C389" s="37" t="s">
        <v>461</v>
      </c>
      <c r="D389" s="37" t="s">
        <v>73</v>
      </c>
      <c r="E389" s="37" t="s">
        <v>56</v>
      </c>
      <c r="F389" s="42">
        <v>45504</v>
      </c>
      <c r="G389" s="37">
        <v>2024</v>
      </c>
      <c r="H389" s="37" t="s">
        <v>84</v>
      </c>
      <c r="I389" s="39" t="s">
        <v>36</v>
      </c>
      <c r="J389" s="61">
        <v>720.62219600000003</v>
      </c>
      <c r="K389" s="63">
        <v>569.495364</v>
      </c>
      <c r="L389" s="24">
        <f t="shared" si="35"/>
        <v>1.2653697317894235</v>
      </c>
      <c r="M389" s="24">
        <f t="shared" si="36"/>
        <v>1.2653697317894235</v>
      </c>
      <c r="N389" s="56" t="s">
        <v>264</v>
      </c>
      <c r="O389" s="56" t="s">
        <v>264</v>
      </c>
      <c r="P389" s="40">
        <v>2</v>
      </c>
      <c r="Q389" s="40">
        <v>2</v>
      </c>
      <c r="R389" s="37" t="s">
        <v>488</v>
      </c>
      <c r="S389" s="37"/>
    </row>
    <row r="390" spans="1:19" x14ac:dyDescent="0.3">
      <c r="A390" s="36">
        <v>139</v>
      </c>
      <c r="B390" s="37" t="s">
        <v>469</v>
      </c>
      <c r="C390" s="37" t="s">
        <v>461</v>
      </c>
      <c r="D390" s="37" t="s">
        <v>73</v>
      </c>
      <c r="E390" s="37" t="s">
        <v>56</v>
      </c>
      <c r="F390" s="42">
        <v>45535</v>
      </c>
      <c r="G390" s="37">
        <v>2024</v>
      </c>
      <c r="H390" s="37" t="s">
        <v>86</v>
      </c>
      <c r="I390" s="39" t="s">
        <v>36</v>
      </c>
      <c r="J390" s="61">
        <v>822.01309600000002</v>
      </c>
      <c r="K390" s="61">
        <v>656.46144200000003</v>
      </c>
      <c r="L390" s="24">
        <f t="shared" si="35"/>
        <v>1.2521879327681822</v>
      </c>
      <c r="M390" s="24">
        <f t="shared" si="36"/>
        <v>1.2521879327681822</v>
      </c>
      <c r="N390" s="56" t="s">
        <v>264</v>
      </c>
      <c r="O390" s="56" t="s">
        <v>264</v>
      </c>
      <c r="P390" s="40">
        <v>2</v>
      </c>
      <c r="Q390" s="40">
        <v>2</v>
      </c>
      <c r="R390" s="37" t="s">
        <v>489</v>
      </c>
      <c r="S390" s="37"/>
    </row>
    <row r="391" spans="1:19" x14ac:dyDescent="0.3">
      <c r="A391" s="36">
        <v>139</v>
      </c>
      <c r="B391" s="37" t="s">
        <v>469</v>
      </c>
      <c r="C391" s="37" t="s">
        <v>461</v>
      </c>
      <c r="D391" s="37" t="s">
        <v>73</v>
      </c>
      <c r="E391" s="37" t="s">
        <v>56</v>
      </c>
      <c r="F391" s="42">
        <v>45565</v>
      </c>
      <c r="G391" s="37">
        <v>2024</v>
      </c>
      <c r="H391" s="37" t="s">
        <v>43</v>
      </c>
      <c r="I391" s="39" t="s">
        <v>36</v>
      </c>
      <c r="J391" s="61">
        <v>927.16113199999995</v>
      </c>
      <c r="K391" s="61">
        <v>737.62694799999997</v>
      </c>
      <c r="L391" s="24">
        <f t="shared" ref="L391:L416" si="37">IFERROR(IF(OR(J391=0,K391=""),"",IF(E391="Positivo",MIN(MAX(K391/J391,0),1.3),MIN(MAX(J391/K391,0),1.3))),"")</f>
        <v>1.2569512739656579</v>
      </c>
      <c r="M391" s="24">
        <f t="shared" ref="M391:M416" si="38">IFERROR(IF(OR(J391=0,K391=""),"",IF(E391="Positivo",MAX(K391/J391,0),MAX(J391/K391,0))),"")</f>
        <v>1.2569512739656579</v>
      </c>
      <c r="N391" s="56" t="s">
        <v>264</v>
      </c>
      <c r="O391" s="56" t="s">
        <v>264</v>
      </c>
      <c r="P391" s="40">
        <v>2</v>
      </c>
      <c r="Q391" s="40">
        <v>2</v>
      </c>
      <c r="R391" s="37" t="s">
        <v>490</v>
      </c>
      <c r="S391" s="37"/>
    </row>
    <row r="392" spans="1:19" x14ac:dyDescent="0.3">
      <c r="A392" s="41">
        <v>139</v>
      </c>
      <c r="B392" s="37" t="s">
        <v>469</v>
      </c>
      <c r="C392" s="37" t="s">
        <v>461</v>
      </c>
      <c r="D392" s="37" t="s">
        <v>73</v>
      </c>
      <c r="E392" s="37" t="s">
        <v>56</v>
      </c>
      <c r="F392" s="42">
        <v>45596</v>
      </c>
      <c r="G392" s="37">
        <v>2024</v>
      </c>
      <c r="H392" s="37" t="s">
        <v>89</v>
      </c>
      <c r="I392" s="39" t="s">
        <v>36</v>
      </c>
      <c r="J392" s="56">
        <v>1966.696715</v>
      </c>
      <c r="K392" s="56">
        <v>1039.535584</v>
      </c>
      <c r="L392" s="24">
        <f t="shared" si="37"/>
        <v>1.3</v>
      </c>
      <c r="M392" s="24">
        <f t="shared" si="38"/>
        <v>1.8918993685934278</v>
      </c>
      <c r="N392" s="56" t="s">
        <v>264</v>
      </c>
      <c r="O392" s="56" t="s">
        <v>264</v>
      </c>
      <c r="P392" s="40">
        <v>2</v>
      </c>
      <c r="Q392" s="40">
        <v>2</v>
      </c>
      <c r="R392" s="37" t="s">
        <v>491</v>
      </c>
      <c r="S392" s="37"/>
    </row>
    <row r="393" spans="1:19" x14ac:dyDescent="0.3">
      <c r="A393" s="41">
        <v>139</v>
      </c>
      <c r="B393" s="37" t="s">
        <v>469</v>
      </c>
      <c r="C393" s="37" t="s">
        <v>461</v>
      </c>
      <c r="D393" s="37" t="s">
        <v>73</v>
      </c>
      <c r="E393" s="37" t="s">
        <v>56</v>
      </c>
      <c r="F393" s="42">
        <v>45626</v>
      </c>
      <c r="G393" s="37">
        <v>2024</v>
      </c>
      <c r="H393" s="37" t="s">
        <v>91</v>
      </c>
      <c r="I393" s="39" t="s">
        <v>36</v>
      </c>
      <c r="J393" s="56">
        <v>2267.1264860000001</v>
      </c>
      <c r="K393" s="26">
        <v>1136.282148</v>
      </c>
      <c r="L393" s="24">
        <f t="shared" si="37"/>
        <v>1.3</v>
      </c>
      <c r="M393" s="24">
        <f t="shared" si="38"/>
        <v>1.995214384024627</v>
      </c>
      <c r="N393" s="56" t="s">
        <v>264</v>
      </c>
      <c r="O393" s="56" t="s">
        <v>264</v>
      </c>
      <c r="P393" s="40">
        <v>2</v>
      </c>
      <c r="Q393" s="40">
        <v>2</v>
      </c>
      <c r="R393" s="37" t="s">
        <v>492</v>
      </c>
      <c r="S393" s="37"/>
    </row>
    <row r="394" spans="1:19" x14ac:dyDescent="0.3">
      <c r="A394" s="41">
        <v>139</v>
      </c>
      <c r="B394" s="37" t="s">
        <v>469</v>
      </c>
      <c r="C394" s="37" t="s">
        <v>461</v>
      </c>
      <c r="D394" s="37" t="s">
        <v>73</v>
      </c>
      <c r="E394" s="37" t="s">
        <v>56</v>
      </c>
      <c r="F394" s="42">
        <v>45657</v>
      </c>
      <c r="G394" s="37">
        <v>2024</v>
      </c>
      <c r="H394" s="37" t="s">
        <v>27</v>
      </c>
      <c r="I394" s="39" t="s">
        <v>36</v>
      </c>
      <c r="J394" s="56">
        <v>1338.6143959999999</v>
      </c>
      <c r="K394" s="26">
        <v>1214.7518809999999</v>
      </c>
      <c r="L394" s="24">
        <f t="shared" si="37"/>
        <v>1.1019652794429384</v>
      </c>
      <c r="M394" s="24">
        <f t="shared" si="38"/>
        <v>1.1019652794429384</v>
      </c>
      <c r="N394" s="56" t="s">
        <v>264</v>
      </c>
      <c r="O394" s="56" t="s">
        <v>264</v>
      </c>
      <c r="P394" s="40">
        <v>2</v>
      </c>
      <c r="Q394" s="40">
        <v>2</v>
      </c>
      <c r="R394" s="37" t="s">
        <v>493</v>
      </c>
      <c r="S394" s="37"/>
    </row>
    <row r="395" spans="1:19" x14ac:dyDescent="0.3">
      <c r="A395" s="37">
        <v>143</v>
      </c>
      <c r="B395" s="37" t="s">
        <v>494</v>
      </c>
      <c r="C395" s="37" t="s">
        <v>190</v>
      </c>
      <c r="D395" s="37" t="s">
        <v>21</v>
      </c>
      <c r="E395" s="37" t="s">
        <v>22</v>
      </c>
      <c r="F395" s="42">
        <v>44742</v>
      </c>
      <c r="G395" s="37">
        <v>2022</v>
      </c>
      <c r="H395" s="37" t="s">
        <v>23</v>
      </c>
      <c r="I395" s="37" t="s">
        <v>24</v>
      </c>
      <c r="J395" s="37">
        <v>1</v>
      </c>
      <c r="K395" s="53">
        <v>147</v>
      </c>
      <c r="L395" s="24">
        <f t="shared" si="37"/>
        <v>1.3</v>
      </c>
      <c r="M395" s="24">
        <f t="shared" si="38"/>
        <v>147</v>
      </c>
      <c r="N395" s="37" t="s">
        <v>495</v>
      </c>
      <c r="O395" s="37"/>
      <c r="P395" s="37">
        <v>0</v>
      </c>
      <c r="Q395" s="37">
        <v>0</v>
      </c>
      <c r="R395" s="37" t="s">
        <v>496</v>
      </c>
      <c r="S395" s="37"/>
    </row>
    <row r="396" spans="1:19" x14ac:dyDescent="0.3">
      <c r="A396" s="37">
        <v>143</v>
      </c>
      <c r="B396" s="37" t="s">
        <v>494</v>
      </c>
      <c r="C396" s="37" t="s">
        <v>190</v>
      </c>
      <c r="D396" s="37" t="s">
        <v>21</v>
      </c>
      <c r="E396" s="37" t="s">
        <v>22</v>
      </c>
      <c r="F396" s="42">
        <v>44926</v>
      </c>
      <c r="G396" s="37">
        <v>2022</v>
      </c>
      <c r="H396" s="37" t="s">
        <v>27</v>
      </c>
      <c r="I396" s="37" t="s">
        <v>28</v>
      </c>
      <c r="J396" s="37">
        <v>1</v>
      </c>
      <c r="K396" s="53">
        <v>158</v>
      </c>
      <c r="L396" s="24">
        <f t="shared" si="37"/>
        <v>1.3</v>
      </c>
      <c r="M396" s="24">
        <f t="shared" si="38"/>
        <v>158</v>
      </c>
      <c r="N396" s="37" t="s">
        <v>495</v>
      </c>
      <c r="O396" s="37"/>
      <c r="P396" s="37">
        <v>0</v>
      </c>
      <c r="Q396" s="37">
        <v>0</v>
      </c>
      <c r="R396" s="37" t="s">
        <v>497</v>
      </c>
      <c r="S396" s="37"/>
    </row>
    <row r="397" spans="1:19" x14ac:dyDescent="0.3">
      <c r="A397" s="36">
        <v>143</v>
      </c>
      <c r="B397" s="37" t="s">
        <v>498</v>
      </c>
      <c r="C397" s="37" t="s">
        <v>190</v>
      </c>
      <c r="D397" s="37" t="s">
        <v>21</v>
      </c>
      <c r="E397" s="37" t="s">
        <v>22</v>
      </c>
      <c r="F397" s="38">
        <v>45107</v>
      </c>
      <c r="G397" s="37">
        <v>2023</v>
      </c>
      <c r="H397" s="37" t="s">
        <v>23</v>
      </c>
      <c r="I397" s="39" t="s">
        <v>30</v>
      </c>
      <c r="J397" s="37">
        <v>100</v>
      </c>
      <c r="K397" s="53">
        <v>146</v>
      </c>
      <c r="L397" s="24">
        <f t="shared" si="37"/>
        <v>1.3</v>
      </c>
      <c r="M397" s="24">
        <f t="shared" si="38"/>
        <v>1.46</v>
      </c>
      <c r="N397" s="37"/>
      <c r="O397" s="37" t="s">
        <v>203</v>
      </c>
      <c r="P397" s="40">
        <v>0</v>
      </c>
      <c r="Q397" s="40">
        <v>0</v>
      </c>
      <c r="R397" s="37" t="s">
        <v>499</v>
      </c>
      <c r="S397" s="37"/>
    </row>
    <row r="398" spans="1:19" x14ac:dyDescent="0.3">
      <c r="A398" s="37">
        <v>143</v>
      </c>
      <c r="B398" s="37" t="s">
        <v>498</v>
      </c>
      <c r="C398" s="37" t="s">
        <v>190</v>
      </c>
      <c r="D398" s="37" t="s">
        <v>21</v>
      </c>
      <c r="E398" s="37" t="s">
        <v>22</v>
      </c>
      <c r="F398" s="42">
        <v>45291</v>
      </c>
      <c r="G398" s="37">
        <v>2023</v>
      </c>
      <c r="H398" s="37" t="s">
        <v>27</v>
      </c>
      <c r="I398" s="39" t="s">
        <v>32</v>
      </c>
      <c r="J398" s="37">
        <v>100</v>
      </c>
      <c r="K398" s="53">
        <v>146</v>
      </c>
      <c r="L398" s="24">
        <f t="shared" si="37"/>
        <v>1.3</v>
      </c>
      <c r="M398" s="24">
        <f t="shared" si="38"/>
        <v>1.46</v>
      </c>
      <c r="N398" s="37"/>
      <c r="O398" s="37" t="s">
        <v>203</v>
      </c>
      <c r="P398" s="40">
        <v>0</v>
      </c>
      <c r="Q398" s="40">
        <v>0</v>
      </c>
      <c r="R398" s="37" t="s">
        <v>500</v>
      </c>
      <c r="S398" s="37"/>
    </row>
    <row r="399" spans="1:19" x14ac:dyDescent="0.3">
      <c r="A399" s="37">
        <v>143</v>
      </c>
      <c r="B399" s="37" t="s">
        <v>498</v>
      </c>
      <c r="C399" s="37" t="s">
        <v>190</v>
      </c>
      <c r="D399" s="37" t="s">
        <v>21</v>
      </c>
      <c r="E399" s="37" t="s">
        <v>22</v>
      </c>
      <c r="F399" s="42">
        <v>45473</v>
      </c>
      <c r="G399" s="37">
        <v>2024</v>
      </c>
      <c r="H399" s="37" t="s">
        <v>23</v>
      </c>
      <c r="I399" s="39" t="s">
        <v>34</v>
      </c>
      <c r="J399" s="37">
        <v>100</v>
      </c>
      <c r="K399" s="37">
        <v>112</v>
      </c>
      <c r="L399" s="24">
        <f t="shared" si="37"/>
        <v>1.1200000000000001</v>
      </c>
      <c r="M399" s="24">
        <f t="shared" si="38"/>
        <v>1.1200000000000001</v>
      </c>
      <c r="N399" s="37"/>
      <c r="O399" s="37" t="s">
        <v>203</v>
      </c>
      <c r="P399" s="37">
        <v>0</v>
      </c>
      <c r="Q399" s="37">
        <v>0</v>
      </c>
      <c r="R399" s="37" t="s">
        <v>501</v>
      </c>
      <c r="S399" s="37"/>
    </row>
    <row r="400" spans="1:19" x14ac:dyDescent="0.3">
      <c r="A400" s="36">
        <v>143</v>
      </c>
      <c r="B400" s="37" t="s">
        <v>498</v>
      </c>
      <c r="C400" s="37" t="s">
        <v>190</v>
      </c>
      <c r="D400" s="37" t="s">
        <v>21</v>
      </c>
      <c r="E400" s="37" t="s">
        <v>22</v>
      </c>
      <c r="F400" s="42">
        <v>45657</v>
      </c>
      <c r="G400" s="37">
        <v>2024</v>
      </c>
      <c r="H400" s="37" t="s">
        <v>27</v>
      </c>
      <c r="I400" s="39" t="s">
        <v>36</v>
      </c>
      <c r="J400" s="37">
        <v>100</v>
      </c>
      <c r="K400" s="53">
        <v>135</v>
      </c>
      <c r="L400" s="24">
        <f t="shared" si="37"/>
        <v>1.3</v>
      </c>
      <c r="M400" s="24">
        <f t="shared" si="38"/>
        <v>1.35</v>
      </c>
      <c r="N400" s="37"/>
      <c r="O400" s="37" t="s">
        <v>203</v>
      </c>
      <c r="P400" s="40">
        <v>0</v>
      </c>
      <c r="Q400" s="40">
        <v>0</v>
      </c>
      <c r="R400" s="37" t="s">
        <v>502</v>
      </c>
      <c r="S400" s="37"/>
    </row>
    <row r="401" spans="1:19" x14ac:dyDescent="0.3">
      <c r="A401" s="37">
        <v>144</v>
      </c>
      <c r="B401" s="37" t="s">
        <v>503</v>
      </c>
      <c r="C401" s="37" t="s">
        <v>190</v>
      </c>
      <c r="D401" s="37" t="s">
        <v>21</v>
      </c>
      <c r="E401" s="37" t="s">
        <v>22</v>
      </c>
      <c r="F401" s="42">
        <v>44742</v>
      </c>
      <c r="G401" s="37">
        <v>2022</v>
      </c>
      <c r="H401" s="37" t="s">
        <v>23</v>
      </c>
      <c r="I401" s="37" t="s">
        <v>24</v>
      </c>
      <c r="J401" s="37">
        <v>3</v>
      </c>
      <c r="K401" s="37">
        <v>3.2169811320755</v>
      </c>
      <c r="L401" s="24">
        <f t="shared" si="37"/>
        <v>1.0723270440251667</v>
      </c>
      <c r="M401" s="24">
        <f t="shared" si="38"/>
        <v>1.0723270440251667</v>
      </c>
      <c r="N401" s="37" t="s">
        <v>203</v>
      </c>
      <c r="O401" s="37" t="s">
        <v>197</v>
      </c>
      <c r="P401" s="37">
        <v>2</v>
      </c>
      <c r="Q401" s="37">
        <v>2</v>
      </c>
      <c r="R401" s="37" t="s">
        <v>504</v>
      </c>
      <c r="S401" s="37"/>
    </row>
    <row r="402" spans="1:19" x14ac:dyDescent="0.3">
      <c r="A402" s="37">
        <v>144</v>
      </c>
      <c r="B402" s="37" t="s">
        <v>503</v>
      </c>
      <c r="C402" s="37" t="s">
        <v>190</v>
      </c>
      <c r="D402" s="37" t="s">
        <v>21</v>
      </c>
      <c r="E402" s="37" t="s">
        <v>22</v>
      </c>
      <c r="F402" s="42">
        <v>44926</v>
      </c>
      <c r="G402" s="37">
        <v>2022</v>
      </c>
      <c r="H402" s="37" t="s">
        <v>27</v>
      </c>
      <c r="I402" s="37" t="s">
        <v>28</v>
      </c>
      <c r="J402" s="37">
        <v>3</v>
      </c>
      <c r="K402" s="53">
        <v>3.55</v>
      </c>
      <c r="L402" s="24">
        <f t="shared" si="37"/>
        <v>1.1833333333333333</v>
      </c>
      <c r="M402" s="24">
        <f t="shared" si="38"/>
        <v>1.1833333333333333</v>
      </c>
      <c r="N402" s="37" t="s">
        <v>203</v>
      </c>
      <c r="O402" s="37" t="s">
        <v>197</v>
      </c>
      <c r="P402" s="37">
        <v>2</v>
      </c>
      <c r="Q402" s="37">
        <v>2</v>
      </c>
      <c r="R402" s="37" t="s">
        <v>505</v>
      </c>
      <c r="S402" s="37"/>
    </row>
    <row r="403" spans="1:19" x14ac:dyDescent="0.3">
      <c r="A403" s="41">
        <v>144</v>
      </c>
      <c r="B403" s="37" t="s">
        <v>503</v>
      </c>
      <c r="C403" s="37" t="s">
        <v>190</v>
      </c>
      <c r="D403" s="37" t="s">
        <v>139</v>
      </c>
      <c r="E403" s="37" t="s">
        <v>22</v>
      </c>
      <c r="F403" s="42">
        <v>45291</v>
      </c>
      <c r="G403" s="37">
        <v>2023</v>
      </c>
      <c r="H403" s="37" t="s">
        <v>27</v>
      </c>
      <c r="I403" s="39" t="s">
        <v>32</v>
      </c>
      <c r="J403" s="37">
        <v>3</v>
      </c>
      <c r="K403" s="56">
        <v>4.83</v>
      </c>
      <c r="L403" s="24">
        <f t="shared" si="37"/>
        <v>1.3</v>
      </c>
      <c r="M403" s="24">
        <f t="shared" si="38"/>
        <v>1.61</v>
      </c>
      <c r="N403" s="37">
        <v>0</v>
      </c>
      <c r="O403" s="37" t="s">
        <v>203</v>
      </c>
      <c r="P403" s="40">
        <v>0</v>
      </c>
      <c r="Q403" s="40">
        <v>0</v>
      </c>
      <c r="R403" s="37" t="s">
        <v>506</v>
      </c>
      <c r="S403" s="37"/>
    </row>
    <row r="404" spans="1:19" x14ac:dyDescent="0.3">
      <c r="A404" s="36">
        <v>144</v>
      </c>
      <c r="B404" s="37" t="s">
        <v>503</v>
      </c>
      <c r="C404" s="37" t="s">
        <v>190</v>
      </c>
      <c r="D404" s="37" t="s">
        <v>139</v>
      </c>
      <c r="E404" s="37" t="s">
        <v>22</v>
      </c>
      <c r="F404" s="42">
        <v>45657</v>
      </c>
      <c r="G404" s="37">
        <v>2024</v>
      </c>
      <c r="H404" s="37" t="s">
        <v>27</v>
      </c>
      <c r="I404" s="39" t="s">
        <v>36</v>
      </c>
      <c r="J404" s="37">
        <v>3</v>
      </c>
      <c r="K404" s="43">
        <v>4.5999999999999996</v>
      </c>
      <c r="L404" s="24">
        <f t="shared" si="37"/>
        <v>1.3</v>
      </c>
      <c r="M404" s="24">
        <f t="shared" si="38"/>
        <v>1.5333333333333332</v>
      </c>
      <c r="N404" s="37"/>
      <c r="O404" s="37"/>
      <c r="P404" s="40">
        <v>0</v>
      </c>
      <c r="Q404" s="40">
        <v>0</v>
      </c>
      <c r="R404" s="37" t="s">
        <v>507</v>
      </c>
      <c r="S404" s="37"/>
    </row>
    <row r="405" spans="1:19" x14ac:dyDescent="0.3">
      <c r="A405" s="37">
        <v>145</v>
      </c>
      <c r="B405" s="37" t="s">
        <v>508</v>
      </c>
      <c r="C405" s="37" t="s">
        <v>509</v>
      </c>
      <c r="D405" s="37" t="s">
        <v>21</v>
      </c>
      <c r="E405" s="37" t="s">
        <v>22</v>
      </c>
      <c r="F405" s="42">
        <v>44742</v>
      </c>
      <c r="G405" s="37">
        <v>2022</v>
      </c>
      <c r="H405" s="37" t="s">
        <v>23</v>
      </c>
      <c r="I405" s="37" t="s">
        <v>24</v>
      </c>
      <c r="J405" s="37">
        <v>1</v>
      </c>
      <c r="K405" s="37">
        <v>2.1186440677966001</v>
      </c>
      <c r="L405" s="24">
        <f t="shared" si="37"/>
        <v>1.3</v>
      </c>
      <c r="M405" s="24">
        <f t="shared" si="38"/>
        <v>2.1186440677966001</v>
      </c>
      <c r="N405" s="37" t="s">
        <v>203</v>
      </c>
      <c r="O405" s="37" t="s">
        <v>197</v>
      </c>
      <c r="P405" s="37">
        <v>0</v>
      </c>
      <c r="Q405" s="37">
        <v>2</v>
      </c>
      <c r="R405" s="37" t="s">
        <v>510</v>
      </c>
      <c r="S405" s="37"/>
    </row>
    <row r="406" spans="1:19" x14ac:dyDescent="0.3">
      <c r="A406" s="37">
        <v>145</v>
      </c>
      <c r="B406" s="37" t="s">
        <v>508</v>
      </c>
      <c r="C406" s="37" t="s">
        <v>509</v>
      </c>
      <c r="D406" s="37" t="s">
        <v>21</v>
      </c>
      <c r="E406" s="37" t="s">
        <v>22</v>
      </c>
      <c r="F406" s="42">
        <v>44926</v>
      </c>
      <c r="G406" s="37">
        <v>2022</v>
      </c>
      <c r="H406" s="37" t="s">
        <v>27</v>
      </c>
      <c r="I406" s="37" t="s">
        <v>28</v>
      </c>
      <c r="J406" s="37">
        <v>1</v>
      </c>
      <c r="K406" s="53">
        <v>2.1186440677966001</v>
      </c>
      <c r="L406" s="24">
        <f t="shared" si="37"/>
        <v>1.3</v>
      </c>
      <c r="M406" s="24">
        <f t="shared" si="38"/>
        <v>2.1186440677966001</v>
      </c>
      <c r="N406" s="37" t="s">
        <v>203</v>
      </c>
      <c r="O406" s="37" t="s">
        <v>197</v>
      </c>
      <c r="P406" s="37">
        <v>0</v>
      </c>
      <c r="Q406" s="37">
        <v>2</v>
      </c>
      <c r="R406" s="37" t="s">
        <v>511</v>
      </c>
      <c r="S406" s="37"/>
    </row>
    <row r="407" spans="1:19" x14ac:dyDescent="0.3">
      <c r="A407" s="36">
        <v>145</v>
      </c>
      <c r="B407" s="37" t="s">
        <v>508</v>
      </c>
      <c r="C407" s="37" t="s">
        <v>509</v>
      </c>
      <c r="D407" s="37" t="s">
        <v>21</v>
      </c>
      <c r="E407" s="37" t="s">
        <v>22</v>
      </c>
      <c r="F407" s="38">
        <v>45107</v>
      </c>
      <c r="G407" s="37">
        <v>2023</v>
      </c>
      <c r="H407" s="37" t="s">
        <v>23</v>
      </c>
      <c r="I407" s="39" t="s">
        <v>30</v>
      </c>
      <c r="J407" s="37">
        <v>1</v>
      </c>
      <c r="K407" s="56">
        <v>2</v>
      </c>
      <c r="L407" s="24">
        <f t="shared" si="37"/>
        <v>1.3</v>
      </c>
      <c r="M407" s="24">
        <f t="shared" si="38"/>
        <v>2</v>
      </c>
      <c r="N407" s="37" t="s">
        <v>203</v>
      </c>
      <c r="O407" s="37" t="s">
        <v>197</v>
      </c>
      <c r="P407" s="40">
        <v>0</v>
      </c>
      <c r="Q407" s="40">
        <v>0</v>
      </c>
      <c r="R407" s="37" t="s">
        <v>512</v>
      </c>
      <c r="S407" s="37"/>
    </row>
    <row r="408" spans="1:19" x14ac:dyDescent="0.3">
      <c r="A408" s="36">
        <v>145</v>
      </c>
      <c r="B408" s="37" t="s">
        <v>508</v>
      </c>
      <c r="C408" s="37" t="s">
        <v>509</v>
      </c>
      <c r="D408" s="37" t="s">
        <v>21</v>
      </c>
      <c r="E408" s="37" t="s">
        <v>22</v>
      </c>
      <c r="F408" s="42">
        <v>45291</v>
      </c>
      <c r="G408" s="37">
        <v>2023</v>
      </c>
      <c r="H408" s="37" t="s">
        <v>27</v>
      </c>
      <c r="I408" s="39" t="s">
        <v>32</v>
      </c>
      <c r="J408" s="37">
        <v>1</v>
      </c>
      <c r="K408" s="26">
        <v>2</v>
      </c>
      <c r="L408" s="24">
        <f t="shared" si="37"/>
        <v>1.3</v>
      </c>
      <c r="M408" s="24">
        <f t="shared" si="38"/>
        <v>2</v>
      </c>
      <c r="N408" s="37" t="s">
        <v>203</v>
      </c>
      <c r="O408" s="37" t="s">
        <v>197</v>
      </c>
      <c r="P408" s="40">
        <v>0</v>
      </c>
      <c r="Q408" s="40">
        <v>0</v>
      </c>
      <c r="R408" s="37" t="s">
        <v>513</v>
      </c>
      <c r="S408" s="37"/>
    </row>
    <row r="409" spans="1:19" x14ac:dyDescent="0.3">
      <c r="A409" s="37">
        <v>145</v>
      </c>
      <c r="B409" s="37" t="s">
        <v>508</v>
      </c>
      <c r="C409" s="37" t="s">
        <v>509</v>
      </c>
      <c r="D409" s="37" t="s">
        <v>21</v>
      </c>
      <c r="E409" s="37" t="s">
        <v>22</v>
      </c>
      <c r="F409" s="42">
        <v>45473</v>
      </c>
      <c r="G409" s="37">
        <v>2024</v>
      </c>
      <c r="H409" s="37" t="s">
        <v>23</v>
      </c>
      <c r="I409" s="39" t="s">
        <v>34</v>
      </c>
      <c r="J409" s="37">
        <v>1</v>
      </c>
      <c r="K409" s="53">
        <v>1.97</v>
      </c>
      <c r="L409" s="24">
        <f t="shared" si="37"/>
        <v>1.3</v>
      </c>
      <c r="M409" s="24">
        <f t="shared" si="38"/>
        <v>1.97</v>
      </c>
      <c r="N409" s="37" t="s">
        <v>203</v>
      </c>
      <c r="O409" s="37" t="s">
        <v>197</v>
      </c>
      <c r="P409" s="37">
        <v>0</v>
      </c>
      <c r="Q409" s="40">
        <v>2</v>
      </c>
      <c r="R409" s="37" t="s">
        <v>514</v>
      </c>
      <c r="S409" s="37"/>
    </row>
    <row r="410" spans="1:19" x14ac:dyDescent="0.3">
      <c r="A410" s="36">
        <v>145</v>
      </c>
      <c r="B410" s="37" t="s">
        <v>508</v>
      </c>
      <c r="C410" s="37" t="s">
        <v>509</v>
      </c>
      <c r="D410" s="37" t="s">
        <v>21</v>
      </c>
      <c r="E410" s="37" t="s">
        <v>22</v>
      </c>
      <c r="F410" s="42">
        <v>45657</v>
      </c>
      <c r="G410" s="37">
        <v>2024</v>
      </c>
      <c r="H410" s="37" t="s">
        <v>27</v>
      </c>
      <c r="I410" s="39" t="s">
        <v>36</v>
      </c>
      <c r="J410" s="37">
        <v>1</v>
      </c>
      <c r="K410" s="54">
        <v>1.94</v>
      </c>
      <c r="L410" s="24">
        <f t="shared" si="37"/>
        <v>1.3</v>
      </c>
      <c r="M410" s="24">
        <f t="shared" si="38"/>
        <v>1.94</v>
      </c>
      <c r="N410" s="37" t="s">
        <v>203</v>
      </c>
      <c r="O410" s="37" t="s">
        <v>197</v>
      </c>
      <c r="P410" s="40">
        <v>0</v>
      </c>
      <c r="Q410" s="40">
        <v>2</v>
      </c>
      <c r="R410" s="37" t="s">
        <v>515</v>
      </c>
      <c r="S410" s="37"/>
    </row>
    <row r="411" spans="1:19" x14ac:dyDescent="0.3">
      <c r="A411" s="37">
        <v>146</v>
      </c>
      <c r="B411" s="37" t="s">
        <v>516</v>
      </c>
      <c r="C411" s="37" t="s">
        <v>190</v>
      </c>
      <c r="D411" s="37" t="s">
        <v>21</v>
      </c>
      <c r="E411" s="37" t="s">
        <v>22</v>
      </c>
      <c r="F411" s="42">
        <v>44742</v>
      </c>
      <c r="G411" s="37">
        <v>2022</v>
      </c>
      <c r="H411" s="37" t="s">
        <v>23</v>
      </c>
      <c r="I411" s="37" t="s">
        <v>24</v>
      </c>
      <c r="J411" s="53">
        <v>230</v>
      </c>
      <c r="K411" s="53">
        <v>231</v>
      </c>
      <c r="L411" s="24">
        <f t="shared" si="37"/>
        <v>1.0043478260869565</v>
      </c>
      <c r="M411" s="24">
        <f t="shared" si="38"/>
        <v>1.0043478260869565</v>
      </c>
      <c r="N411" s="37" t="s">
        <v>203</v>
      </c>
      <c r="O411" s="37" t="s">
        <v>203</v>
      </c>
      <c r="P411" s="37">
        <v>0</v>
      </c>
      <c r="Q411" s="37">
        <v>0</v>
      </c>
      <c r="R411" s="37" t="s">
        <v>517</v>
      </c>
      <c r="S411" s="37"/>
    </row>
    <row r="412" spans="1:19" x14ac:dyDescent="0.3">
      <c r="A412" s="37">
        <v>146</v>
      </c>
      <c r="B412" s="37" t="s">
        <v>516</v>
      </c>
      <c r="C412" s="37" t="s">
        <v>190</v>
      </c>
      <c r="D412" s="37" t="s">
        <v>21</v>
      </c>
      <c r="E412" s="37" t="s">
        <v>22</v>
      </c>
      <c r="F412" s="42">
        <v>44926</v>
      </c>
      <c r="G412" s="37">
        <v>2022</v>
      </c>
      <c r="H412" s="37" t="s">
        <v>27</v>
      </c>
      <c r="I412" s="37" t="s">
        <v>28</v>
      </c>
      <c r="J412" s="53">
        <v>230</v>
      </c>
      <c r="K412" s="53">
        <v>280</v>
      </c>
      <c r="L412" s="24">
        <f t="shared" si="37"/>
        <v>1.2173913043478262</v>
      </c>
      <c r="M412" s="24">
        <f t="shared" si="38"/>
        <v>1.2173913043478262</v>
      </c>
      <c r="N412" s="37" t="s">
        <v>203</v>
      </c>
      <c r="O412" s="37" t="s">
        <v>203</v>
      </c>
      <c r="P412" s="37">
        <v>0</v>
      </c>
      <c r="Q412" s="37">
        <v>0</v>
      </c>
      <c r="R412" s="37" t="s">
        <v>518</v>
      </c>
      <c r="S412" s="37"/>
    </row>
    <row r="413" spans="1:19" x14ac:dyDescent="0.3">
      <c r="A413" s="36">
        <v>146</v>
      </c>
      <c r="B413" s="37" t="s">
        <v>516</v>
      </c>
      <c r="C413" s="37" t="s">
        <v>190</v>
      </c>
      <c r="D413" s="37" t="s">
        <v>21</v>
      </c>
      <c r="E413" s="37" t="s">
        <v>22</v>
      </c>
      <c r="F413" s="38">
        <v>45107</v>
      </c>
      <c r="G413" s="37">
        <v>2023</v>
      </c>
      <c r="H413" s="37" t="s">
        <v>23</v>
      </c>
      <c r="I413" s="39" t="s">
        <v>30</v>
      </c>
      <c r="J413" s="53">
        <v>230</v>
      </c>
      <c r="K413" s="26">
        <v>278</v>
      </c>
      <c r="L413" s="24">
        <f t="shared" si="37"/>
        <v>1.2086956521739129</v>
      </c>
      <c r="M413" s="24">
        <f t="shared" si="38"/>
        <v>1.2086956521739129</v>
      </c>
      <c r="N413" s="37" t="s">
        <v>203</v>
      </c>
      <c r="O413" s="37" t="s">
        <v>203</v>
      </c>
      <c r="P413" s="40">
        <v>0</v>
      </c>
      <c r="Q413" s="40">
        <v>0</v>
      </c>
      <c r="R413" s="37" t="s">
        <v>519</v>
      </c>
      <c r="S413" s="37"/>
    </row>
    <row r="414" spans="1:19" x14ac:dyDescent="0.3">
      <c r="A414" s="41">
        <v>146</v>
      </c>
      <c r="B414" s="37" t="s">
        <v>516</v>
      </c>
      <c r="C414" s="37" t="s">
        <v>190</v>
      </c>
      <c r="D414" s="37" t="s">
        <v>21</v>
      </c>
      <c r="E414" s="37" t="s">
        <v>22</v>
      </c>
      <c r="F414" s="42">
        <v>45291</v>
      </c>
      <c r="G414" s="37">
        <v>2023</v>
      </c>
      <c r="H414" s="37" t="s">
        <v>27</v>
      </c>
      <c r="I414" s="39" t="s">
        <v>32</v>
      </c>
      <c r="J414" s="53">
        <v>230</v>
      </c>
      <c r="K414" s="26">
        <v>342</v>
      </c>
      <c r="L414" s="24">
        <f t="shared" si="37"/>
        <v>1.3</v>
      </c>
      <c r="M414" s="24">
        <f t="shared" si="38"/>
        <v>1.4869565217391305</v>
      </c>
      <c r="N414" s="37" t="s">
        <v>203</v>
      </c>
      <c r="O414" s="37" t="s">
        <v>203</v>
      </c>
      <c r="P414" s="40">
        <v>0</v>
      </c>
      <c r="Q414" s="40">
        <v>0</v>
      </c>
      <c r="R414" s="37" t="s">
        <v>520</v>
      </c>
      <c r="S414" s="37"/>
    </row>
    <row r="415" spans="1:19" x14ac:dyDescent="0.3">
      <c r="A415" s="37">
        <v>146</v>
      </c>
      <c r="B415" s="37" t="s">
        <v>516</v>
      </c>
      <c r="C415" s="37" t="s">
        <v>190</v>
      </c>
      <c r="D415" s="37" t="s">
        <v>21</v>
      </c>
      <c r="E415" s="37" t="s">
        <v>22</v>
      </c>
      <c r="F415" s="42">
        <v>45473</v>
      </c>
      <c r="G415" s="37">
        <v>2024</v>
      </c>
      <c r="H415" s="37" t="s">
        <v>23</v>
      </c>
      <c r="I415" s="39" t="s">
        <v>34</v>
      </c>
      <c r="J415" s="37">
        <v>294</v>
      </c>
      <c r="K415" s="53">
        <v>334</v>
      </c>
      <c r="L415" s="24">
        <f t="shared" si="37"/>
        <v>1.1360544217687074</v>
      </c>
      <c r="M415" s="24">
        <f t="shared" si="38"/>
        <v>1.1360544217687074</v>
      </c>
      <c r="N415" s="37" t="s">
        <v>203</v>
      </c>
      <c r="O415" s="37" t="s">
        <v>203</v>
      </c>
      <c r="P415" s="37">
        <v>0</v>
      </c>
      <c r="Q415" s="37">
        <v>0</v>
      </c>
      <c r="R415" s="37" t="s">
        <v>521</v>
      </c>
      <c r="S415" s="37"/>
    </row>
    <row r="416" spans="1:19" x14ac:dyDescent="0.3">
      <c r="A416" s="36">
        <v>146</v>
      </c>
      <c r="B416" s="37" t="s">
        <v>516</v>
      </c>
      <c r="C416" s="37" t="s">
        <v>190</v>
      </c>
      <c r="D416" s="37" t="s">
        <v>21</v>
      </c>
      <c r="E416" s="37" t="s">
        <v>22</v>
      </c>
      <c r="F416" s="42">
        <v>45657</v>
      </c>
      <c r="G416" s="37">
        <v>2024</v>
      </c>
      <c r="H416" s="37" t="s">
        <v>27</v>
      </c>
      <c r="I416" s="39" t="s">
        <v>36</v>
      </c>
      <c r="J416" s="37">
        <v>294</v>
      </c>
      <c r="K416" s="54">
        <v>343</v>
      </c>
      <c r="L416" s="24">
        <f t="shared" si="37"/>
        <v>1.1666666666666667</v>
      </c>
      <c r="M416" s="24">
        <f t="shared" si="38"/>
        <v>1.1666666666666667</v>
      </c>
      <c r="N416" s="37" t="s">
        <v>203</v>
      </c>
      <c r="O416" s="37" t="s">
        <v>203</v>
      </c>
      <c r="P416" s="40">
        <v>0</v>
      </c>
      <c r="Q416" s="40">
        <v>0</v>
      </c>
      <c r="R416" s="37" t="s">
        <v>522</v>
      </c>
      <c r="S416" s="37"/>
    </row>
    <row r="417" spans="1:19" x14ac:dyDescent="0.3">
      <c r="A417" s="37">
        <v>147</v>
      </c>
      <c r="B417" s="37" t="s">
        <v>523</v>
      </c>
      <c r="C417" s="37" t="s">
        <v>190</v>
      </c>
      <c r="D417" s="37" t="s">
        <v>139</v>
      </c>
      <c r="E417" s="37" t="s">
        <v>22</v>
      </c>
      <c r="F417" s="42">
        <v>44926</v>
      </c>
      <c r="G417" s="37">
        <v>2022</v>
      </c>
      <c r="H417" s="37" t="s">
        <v>27</v>
      </c>
      <c r="I417" s="37" t="s">
        <v>28</v>
      </c>
      <c r="J417" s="37">
        <v>16</v>
      </c>
      <c r="K417" s="53">
        <v>11</v>
      </c>
      <c r="L417" s="24">
        <f t="shared" ref="L417:L441" si="39">IFERROR(IF(OR(J417=0,K417=""),"",IF(E417="Positivo",MIN(MAX(K417/J417,0),1.3),MIN(MAX(J417/K417,0),1.3))),"")</f>
        <v>0.6875</v>
      </c>
      <c r="M417" s="24">
        <f t="shared" ref="M417:M441" si="40">IFERROR(IF(OR(J417=0,K417=""),"",IF(E417="Positivo",MAX(K417/J417,0),MAX(J417/K417,0))),"")</f>
        <v>0.6875</v>
      </c>
      <c r="N417" s="37" t="s">
        <v>203</v>
      </c>
      <c r="O417" s="37" t="s">
        <v>203</v>
      </c>
      <c r="P417" s="37">
        <v>0</v>
      </c>
      <c r="Q417" s="37">
        <v>0</v>
      </c>
      <c r="R417" s="37" t="s">
        <v>524</v>
      </c>
      <c r="S417" s="37"/>
    </row>
    <row r="418" spans="1:19" x14ac:dyDescent="0.3">
      <c r="A418" s="41">
        <v>147</v>
      </c>
      <c r="B418" s="37" t="s">
        <v>523</v>
      </c>
      <c r="C418" s="37" t="s">
        <v>190</v>
      </c>
      <c r="D418" s="37" t="s">
        <v>139</v>
      </c>
      <c r="E418" s="37" t="s">
        <v>22</v>
      </c>
      <c r="F418" s="42">
        <v>45291</v>
      </c>
      <c r="G418" s="37">
        <v>2023</v>
      </c>
      <c r="H418" s="37" t="s">
        <v>27</v>
      </c>
      <c r="I418" s="39" t="s">
        <v>32</v>
      </c>
      <c r="J418" s="37">
        <v>16</v>
      </c>
      <c r="K418" s="26">
        <v>12</v>
      </c>
      <c r="L418" s="24">
        <f t="shared" si="39"/>
        <v>0.75</v>
      </c>
      <c r="M418" s="24">
        <f t="shared" si="40"/>
        <v>0.75</v>
      </c>
      <c r="N418" s="37" t="s">
        <v>203</v>
      </c>
      <c r="O418" s="37" t="s">
        <v>203</v>
      </c>
      <c r="P418" s="40">
        <v>0</v>
      </c>
      <c r="Q418" s="40">
        <v>0</v>
      </c>
      <c r="R418" s="37" t="s">
        <v>525</v>
      </c>
      <c r="S418" s="37"/>
    </row>
    <row r="419" spans="1:19" x14ac:dyDescent="0.3">
      <c r="A419" s="36">
        <v>147</v>
      </c>
      <c r="B419" s="37" t="s">
        <v>523</v>
      </c>
      <c r="C419" s="37" t="s">
        <v>190</v>
      </c>
      <c r="D419" s="37" t="s">
        <v>139</v>
      </c>
      <c r="E419" s="37" t="s">
        <v>22</v>
      </c>
      <c r="F419" s="42">
        <v>45657</v>
      </c>
      <c r="G419" s="37">
        <v>2024</v>
      </c>
      <c r="H419" s="37" t="s">
        <v>27</v>
      </c>
      <c r="I419" s="39" t="s">
        <v>36</v>
      </c>
      <c r="J419" s="37">
        <v>17</v>
      </c>
      <c r="K419" s="43">
        <v>0</v>
      </c>
      <c r="L419" s="24">
        <f t="shared" si="39"/>
        <v>0</v>
      </c>
      <c r="M419" s="24">
        <f t="shared" si="40"/>
        <v>0</v>
      </c>
      <c r="N419" s="37"/>
      <c r="O419" s="37"/>
      <c r="P419" s="40">
        <v>0</v>
      </c>
      <c r="Q419" s="40">
        <v>0</v>
      </c>
      <c r="R419" s="37" t="s">
        <v>526</v>
      </c>
      <c r="S419" s="37"/>
    </row>
    <row r="420" spans="1:19" x14ac:dyDescent="0.3">
      <c r="A420" s="37">
        <v>148</v>
      </c>
      <c r="B420" s="37" t="s">
        <v>527</v>
      </c>
      <c r="C420" s="37" t="s">
        <v>509</v>
      </c>
      <c r="D420" s="37" t="s">
        <v>21</v>
      </c>
      <c r="E420" s="37" t="s">
        <v>22</v>
      </c>
      <c r="F420" s="42">
        <v>44742</v>
      </c>
      <c r="G420" s="37">
        <v>2022</v>
      </c>
      <c r="H420" s="37" t="s">
        <v>23</v>
      </c>
      <c r="I420" s="37" t="s">
        <v>24</v>
      </c>
      <c r="J420" s="37">
        <v>2</v>
      </c>
      <c r="K420" s="53">
        <v>1.56749025217</v>
      </c>
      <c r="L420" s="24">
        <f t="shared" si="39"/>
        <v>0.78374512608500002</v>
      </c>
      <c r="M420" s="24">
        <f t="shared" si="40"/>
        <v>0.78374512608500002</v>
      </c>
      <c r="N420" s="37" t="s">
        <v>25</v>
      </c>
      <c r="O420" s="37" t="s">
        <v>25</v>
      </c>
      <c r="P420" s="37">
        <v>0</v>
      </c>
      <c r="Q420" s="37">
        <v>1</v>
      </c>
      <c r="R420" s="37" t="s">
        <v>528</v>
      </c>
      <c r="S420" s="37"/>
    </row>
    <row r="421" spans="1:19" x14ac:dyDescent="0.3">
      <c r="A421" s="37">
        <v>148</v>
      </c>
      <c r="B421" s="37" t="s">
        <v>529</v>
      </c>
      <c r="C421" s="37" t="s">
        <v>509</v>
      </c>
      <c r="D421" s="37" t="s">
        <v>21</v>
      </c>
      <c r="E421" s="37" t="s">
        <v>22</v>
      </c>
      <c r="F421" s="42">
        <v>44926</v>
      </c>
      <c r="G421" s="37">
        <v>2022</v>
      </c>
      <c r="H421" s="37" t="s">
        <v>27</v>
      </c>
      <c r="I421" s="39" t="s">
        <v>28</v>
      </c>
      <c r="J421" s="37">
        <v>2</v>
      </c>
      <c r="K421" s="53">
        <v>3.0897703549061002</v>
      </c>
      <c r="L421" s="24">
        <f t="shared" si="39"/>
        <v>1.3</v>
      </c>
      <c r="M421" s="24">
        <f t="shared" si="40"/>
        <v>1.5448851774530501</v>
      </c>
      <c r="N421" s="37" t="s">
        <v>25</v>
      </c>
      <c r="O421" s="37" t="s">
        <v>25</v>
      </c>
      <c r="P421" s="37">
        <v>0</v>
      </c>
      <c r="Q421" s="37">
        <v>1</v>
      </c>
      <c r="R421" s="37" t="s">
        <v>530</v>
      </c>
      <c r="S421" s="37"/>
    </row>
    <row r="422" spans="1:19" x14ac:dyDescent="0.3">
      <c r="A422" s="62">
        <v>148</v>
      </c>
      <c r="B422" s="37" t="s">
        <v>529</v>
      </c>
      <c r="C422" s="37" t="s">
        <v>509</v>
      </c>
      <c r="D422" s="37" t="s">
        <v>21</v>
      </c>
      <c r="E422" s="37" t="s">
        <v>22</v>
      </c>
      <c r="F422" s="42">
        <v>45107</v>
      </c>
      <c r="G422" s="37">
        <v>2023</v>
      </c>
      <c r="H422" s="37" t="s">
        <v>23</v>
      </c>
      <c r="I422" s="39" t="s">
        <v>30</v>
      </c>
      <c r="J422" s="37">
        <v>2.5</v>
      </c>
      <c r="K422" s="63">
        <v>4.1100000000000003</v>
      </c>
      <c r="L422" s="64">
        <f t="shared" si="39"/>
        <v>1.3</v>
      </c>
      <c r="M422" s="24">
        <f t="shared" si="40"/>
        <v>1.6440000000000001</v>
      </c>
      <c r="N422" s="62" t="s">
        <v>25</v>
      </c>
      <c r="O422" s="37" t="s">
        <v>25</v>
      </c>
      <c r="P422" s="40">
        <v>2</v>
      </c>
      <c r="Q422" s="40">
        <v>1</v>
      </c>
      <c r="R422" s="37" t="s">
        <v>531</v>
      </c>
      <c r="S422" s="37"/>
    </row>
    <row r="423" spans="1:19" x14ac:dyDescent="0.3">
      <c r="A423" s="62">
        <v>148</v>
      </c>
      <c r="B423" s="37" t="s">
        <v>529</v>
      </c>
      <c r="C423" s="37" t="s">
        <v>509</v>
      </c>
      <c r="D423" s="37" t="s">
        <v>21</v>
      </c>
      <c r="E423" s="37" t="s">
        <v>22</v>
      </c>
      <c r="F423" s="42">
        <v>45291</v>
      </c>
      <c r="G423" s="37">
        <v>2023</v>
      </c>
      <c r="H423" s="37" t="s">
        <v>27</v>
      </c>
      <c r="I423" s="39" t="s">
        <v>32</v>
      </c>
      <c r="J423" s="37">
        <v>5</v>
      </c>
      <c r="K423" s="61">
        <v>5.71</v>
      </c>
      <c r="L423" s="24">
        <f t="shared" si="39"/>
        <v>1.1419999999999999</v>
      </c>
      <c r="M423" s="24">
        <f t="shared" si="40"/>
        <v>1.1419999999999999</v>
      </c>
      <c r="N423" s="62" t="s">
        <v>25</v>
      </c>
      <c r="O423" s="37" t="s">
        <v>25</v>
      </c>
      <c r="P423" s="40">
        <v>0</v>
      </c>
      <c r="Q423" s="40">
        <v>1</v>
      </c>
      <c r="R423" s="37" t="s">
        <v>532</v>
      </c>
      <c r="S423" s="37"/>
    </row>
    <row r="424" spans="1:19" x14ac:dyDescent="0.3">
      <c r="A424" s="62">
        <v>148</v>
      </c>
      <c r="B424" s="37" t="s">
        <v>529</v>
      </c>
      <c r="C424" s="37" t="s">
        <v>509</v>
      </c>
      <c r="D424" s="37" t="s">
        <v>21</v>
      </c>
      <c r="E424" s="37" t="s">
        <v>22</v>
      </c>
      <c r="F424" s="42">
        <v>45473</v>
      </c>
      <c r="G424" s="37">
        <v>2024</v>
      </c>
      <c r="H424" s="37" t="s">
        <v>23</v>
      </c>
      <c r="I424" s="39" t="s">
        <v>34</v>
      </c>
      <c r="J424" s="37">
        <v>5</v>
      </c>
      <c r="K424" s="61">
        <v>4.3</v>
      </c>
      <c r="L424" s="64">
        <f t="shared" si="39"/>
        <v>0.86</v>
      </c>
      <c r="M424" s="24">
        <f t="shared" si="40"/>
        <v>0.86</v>
      </c>
      <c r="N424" s="62" t="s">
        <v>25</v>
      </c>
      <c r="O424" s="37" t="s">
        <v>25</v>
      </c>
      <c r="P424" s="40">
        <v>0</v>
      </c>
      <c r="Q424" s="40">
        <v>1</v>
      </c>
      <c r="R424" s="37" t="s">
        <v>533</v>
      </c>
      <c r="S424" s="37"/>
    </row>
    <row r="425" spans="1:19" x14ac:dyDescent="0.3">
      <c r="A425" s="36">
        <v>148</v>
      </c>
      <c r="B425" s="37" t="s">
        <v>527</v>
      </c>
      <c r="C425" s="37" t="s">
        <v>509</v>
      </c>
      <c r="D425" s="37" t="s">
        <v>21</v>
      </c>
      <c r="E425" s="37" t="s">
        <v>22</v>
      </c>
      <c r="F425" s="42">
        <v>45657</v>
      </c>
      <c r="G425" s="37">
        <v>2024</v>
      </c>
      <c r="H425" s="37" t="s">
        <v>27</v>
      </c>
      <c r="I425" s="39" t="s">
        <v>36</v>
      </c>
      <c r="J425" s="37">
        <v>5</v>
      </c>
      <c r="K425" s="54">
        <v>6.3</v>
      </c>
      <c r="L425" s="24">
        <f t="shared" si="39"/>
        <v>1.26</v>
      </c>
      <c r="M425" s="24">
        <f t="shared" si="40"/>
        <v>1.26</v>
      </c>
      <c r="N425" s="37" t="s">
        <v>25</v>
      </c>
      <c r="O425" s="37" t="s">
        <v>25</v>
      </c>
      <c r="P425" s="40">
        <v>0</v>
      </c>
      <c r="Q425" s="40">
        <v>1</v>
      </c>
      <c r="R425" s="37" t="s">
        <v>534</v>
      </c>
      <c r="S425" s="37"/>
    </row>
    <row r="426" spans="1:19" x14ac:dyDescent="0.3">
      <c r="A426" s="37">
        <v>150</v>
      </c>
      <c r="B426" s="37" t="s">
        <v>206</v>
      </c>
      <c r="C426" s="37" t="s">
        <v>535</v>
      </c>
      <c r="D426" s="37" t="s">
        <v>139</v>
      </c>
      <c r="E426" s="37" t="s">
        <v>22</v>
      </c>
      <c r="F426" s="42">
        <v>44865</v>
      </c>
      <c r="G426" s="37">
        <v>2022</v>
      </c>
      <c r="H426" s="37" t="s">
        <v>89</v>
      </c>
      <c r="I426" s="39" t="s">
        <v>28</v>
      </c>
      <c r="J426" s="37">
        <v>80</v>
      </c>
      <c r="K426" s="56">
        <v>80</v>
      </c>
      <c r="L426" s="55">
        <f t="shared" si="39"/>
        <v>1</v>
      </c>
      <c r="M426" s="24">
        <f t="shared" si="40"/>
        <v>1</v>
      </c>
      <c r="N426" s="37" t="s">
        <v>25</v>
      </c>
      <c r="O426" s="37" t="s">
        <v>25</v>
      </c>
      <c r="P426" s="37">
        <v>0</v>
      </c>
      <c r="Q426" s="37">
        <v>0</v>
      </c>
      <c r="R426" s="37" t="s">
        <v>536</v>
      </c>
      <c r="S426" s="37"/>
    </row>
    <row r="427" spans="1:19" x14ac:dyDescent="0.3">
      <c r="A427" s="41">
        <v>150</v>
      </c>
      <c r="B427" s="37" t="s">
        <v>206</v>
      </c>
      <c r="C427" s="37" t="s">
        <v>537</v>
      </c>
      <c r="D427" s="37" t="s">
        <v>139</v>
      </c>
      <c r="E427" s="37" t="s">
        <v>22</v>
      </c>
      <c r="F427" s="42">
        <v>45230</v>
      </c>
      <c r="G427" s="37">
        <v>2023</v>
      </c>
      <c r="H427" s="37" t="s">
        <v>89</v>
      </c>
      <c r="I427" s="39" t="s">
        <v>32</v>
      </c>
      <c r="J427" s="37">
        <v>80</v>
      </c>
      <c r="K427" s="26">
        <v>94</v>
      </c>
      <c r="L427" s="24">
        <f t="shared" si="39"/>
        <v>1.175</v>
      </c>
      <c r="M427" s="24">
        <f t="shared" si="40"/>
        <v>1.175</v>
      </c>
      <c r="N427" s="37" t="s">
        <v>25</v>
      </c>
      <c r="O427" s="37" t="s">
        <v>25</v>
      </c>
      <c r="P427" s="40">
        <v>0</v>
      </c>
      <c r="Q427" s="40">
        <v>0</v>
      </c>
      <c r="R427" s="37" t="s">
        <v>538</v>
      </c>
      <c r="S427" s="37"/>
    </row>
    <row r="428" spans="1:19" x14ac:dyDescent="0.3">
      <c r="A428" s="37">
        <v>150</v>
      </c>
      <c r="B428" s="37" t="s">
        <v>206</v>
      </c>
      <c r="C428" s="37" t="s">
        <v>535</v>
      </c>
      <c r="D428" s="37" t="s">
        <v>139</v>
      </c>
      <c r="E428" s="37" t="s">
        <v>22</v>
      </c>
      <c r="F428" s="42">
        <v>45291</v>
      </c>
      <c r="G428" s="37">
        <v>2023</v>
      </c>
      <c r="H428" s="37" t="s">
        <v>27</v>
      </c>
      <c r="I428" s="39" t="s">
        <v>32</v>
      </c>
      <c r="J428" s="37">
        <v>80</v>
      </c>
      <c r="K428" s="53">
        <v>84.343500708111094</v>
      </c>
      <c r="L428" s="24">
        <f t="shared" si="39"/>
        <v>1.0542937588513888</v>
      </c>
      <c r="M428" s="24">
        <f t="shared" si="40"/>
        <v>1.0542937588513888</v>
      </c>
      <c r="N428" s="37" t="s">
        <v>25</v>
      </c>
      <c r="O428" s="37" t="s">
        <v>25</v>
      </c>
      <c r="P428" s="37">
        <v>0</v>
      </c>
      <c r="Q428" s="37">
        <v>0</v>
      </c>
      <c r="R428" s="37" t="s">
        <v>539</v>
      </c>
      <c r="S428" s="37"/>
    </row>
    <row r="429" spans="1:19" x14ac:dyDescent="0.3">
      <c r="A429" s="37">
        <v>150</v>
      </c>
      <c r="B429" s="37" t="s">
        <v>540</v>
      </c>
      <c r="C429" s="37" t="s">
        <v>190</v>
      </c>
      <c r="D429" s="37" t="s">
        <v>139</v>
      </c>
      <c r="E429" s="37" t="s">
        <v>22</v>
      </c>
      <c r="F429" s="42">
        <v>45596</v>
      </c>
      <c r="G429" s="37">
        <v>2024</v>
      </c>
      <c r="H429" s="37" t="s">
        <v>89</v>
      </c>
      <c r="I429" s="37" t="s">
        <v>36</v>
      </c>
      <c r="J429" s="37">
        <v>1</v>
      </c>
      <c r="K429" s="53">
        <v>89</v>
      </c>
      <c r="L429" s="24">
        <f t="shared" si="39"/>
        <v>1.3</v>
      </c>
      <c r="M429" s="24">
        <f t="shared" si="40"/>
        <v>89</v>
      </c>
      <c r="N429" s="37" t="s">
        <v>25</v>
      </c>
      <c r="O429" s="37" t="s">
        <v>25</v>
      </c>
      <c r="P429" s="37">
        <v>0</v>
      </c>
      <c r="Q429" s="37">
        <v>0</v>
      </c>
      <c r="R429" s="37" t="s">
        <v>541</v>
      </c>
      <c r="S429" s="37"/>
    </row>
    <row r="430" spans="1:19" x14ac:dyDescent="0.3">
      <c r="A430" s="37">
        <v>151</v>
      </c>
      <c r="B430" s="37" t="s">
        <v>206</v>
      </c>
      <c r="C430" s="37" t="s">
        <v>461</v>
      </c>
      <c r="D430" s="37" t="s">
        <v>139</v>
      </c>
      <c r="E430" s="37" t="s">
        <v>22</v>
      </c>
      <c r="F430" s="42">
        <v>44865</v>
      </c>
      <c r="G430" s="37">
        <v>2022</v>
      </c>
      <c r="H430" s="37" t="s">
        <v>89</v>
      </c>
      <c r="I430" s="37" t="s">
        <v>28</v>
      </c>
      <c r="J430" s="37">
        <v>1</v>
      </c>
      <c r="K430" s="37">
        <v>83</v>
      </c>
      <c r="L430" s="24">
        <f t="shared" si="39"/>
        <v>1.3</v>
      </c>
      <c r="M430" s="24">
        <f t="shared" si="40"/>
        <v>83</v>
      </c>
      <c r="N430" s="37" t="s">
        <v>25</v>
      </c>
      <c r="O430" s="37" t="s">
        <v>25</v>
      </c>
      <c r="P430" s="37">
        <v>0</v>
      </c>
      <c r="Q430" s="37">
        <v>0</v>
      </c>
      <c r="R430" s="37" t="s">
        <v>542</v>
      </c>
      <c r="S430" s="37"/>
    </row>
    <row r="431" spans="1:19" x14ac:dyDescent="0.3">
      <c r="A431" s="37">
        <v>151</v>
      </c>
      <c r="B431" s="37" t="s">
        <v>206</v>
      </c>
      <c r="C431" s="37" t="s">
        <v>461</v>
      </c>
      <c r="D431" s="37" t="s">
        <v>139</v>
      </c>
      <c r="E431" s="37" t="s">
        <v>22</v>
      </c>
      <c r="F431" s="42">
        <v>45230</v>
      </c>
      <c r="G431" s="37">
        <v>2023</v>
      </c>
      <c r="H431" s="37" t="s">
        <v>89</v>
      </c>
      <c r="I431" s="37" t="s">
        <v>32</v>
      </c>
      <c r="J431" s="37">
        <v>1</v>
      </c>
      <c r="K431" s="37">
        <v>90.37</v>
      </c>
      <c r="L431" s="24">
        <f t="shared" si="39"/>
        <v>1.3</v>
      </c>
      <c r="M431" s="24">
        <f t="shared" si="40"/>
        <v>90.37</v>
      </c>
      <c r="N431" s="37" t="s">
        <v>25</v>
      </c>
      <c r="O431" s="37" t="s">
        <v>25</v>
      </c>
      <c r="P431" s="37">
        <v>0</v>
      </c>
      <c r="Q431" s="37">
        <v>0</v>
      </c>
      <c r="R431" s="37" t="s">
        <v>543</v>
      </c>
      <c r="S431" s="37"/>
    </row>
    <row r="432" spans="1:19" x14ac:dyDescent="0.3">
      <c r="A432" s="37">
        <v>151</v>
      </c>
      <c r="B432" s="37" t="s">
        <v>206</v>
      </c>
      <c r="C432" s="37" t="s">
        <v>461</v>
      </c>
      <c r="D432" s="37" t="s">
        <v>139</v>
      </c>
      <c r="E432" s="37" t="s">
        <v>22</v>
      </c>
      <c r="F432" s="42">
        <v>45596</v>
      </c>
      <c r="G432" s="37">
        <v>2024</v>
      </c>
      <c r="H432" s="37" t="s">
        <v>89</v>
      </c>
      <c r="I432" s="37" t="s">
        <v>36</v>
      </c>
      <c r="J432" s="37">
        <v>1</v>
      </c>
      <c r="K432" s="37">
        <v>80</v>
      </c>
      <c r="L432" s="24">
        <f t="shared" si="39"/>
        <v>1.3</v>
      </c>
      <c r="M432" s="24">
        <f t="shared" si="40"/>
        <v>80</v>
      </c>
      <c r="N432" s="37" t="s">
        <v>25</v>
      </c>
      <c r="O432" s="37" t="s">
        <v>25</v>
      </c>
      <c r="P432" s="37">
        <v>0</v>
      </c>
      <c r="Q432" s="37">
        <v>0</v>
      </c>
      <c r="R432" s="37" t="s">
        <v>544</v>
      </c>
      <c r="S432" s="37"/>
    </row>
    <row r="433" spans="1:19" x14ac:dyDescent="0.3">
      <c r="A433" s="41">
        <v>157</v>
      </c>
      <c r="B433" s="37" t="s">
        <v>545</v>
      </c>
      <c r="C433" s="37" t="s">
        <v>546</v>
      </c>
      <c r="D433" s="37" t="s">
        <v>139</v>
      </c>
      <c r="E433" s="37" t="s">
        <v>22</v>
      </c>
      <c r="F433" s="42">
        <v>45107</v>
      </c>
      <c r="G433" s="37">
        <v>2023</v>
      </c>
      <c r="H433" s="37" t="s">
        <v>23</v>
      </c>
      <c r="I433" s="39" t="s">
        <v>30</v>
      </c>
      <c r="J433" s="37">
        <v>3</v>
      </c>
      <c r="K433" s="26">
        <v>4</v>
      </c>
      <c r="L433" s="24">
        <f t="shared" si="39"/>
        <v>1.3</v>
      </c>
      <c r="M433" s="24">
        <f t="shared" si="40"/>
        <v>1.3333333333333333</v>
      </c>
      <c r="N433" s="37" t="s">
        <v>223</v>
      </c>
      <c r="O433" s="37" t="s">
        <v>223</v>
      </c>
      <c r="P433" s="40">
        <v>0</v>
      </c>
      <c r="Q433" s="40">
        <v>0</v>
      </c>
      <c r="R433" s="37" t="s">
        <v>547</v>
      </c>
      <c r="S433" s="37"/>
    </row>
    <row r="434" spans="1:19" x14ac:dyDescent="0.3">
      <c r="A434" s="41">
        <v>157</v>
      </c>
      <c r="B434" s="37" t="s">
        <v>545</v>
      </c>
      <c r="C434" s="37" t="s">
        <v>546</v>
      </c>
      <c r="D434" s="37" t="s">
        <v>139</v>
      </c>
      <c r="E434" s="37" t="s">
        <v>22</v>
      </c>
      <c r="F434" s="42">
        <v>45291</v>
      </c>
      <c r="G434" s="37">
        <v>2023</v>
      </c>
      <c r="H434" s="37" t="s">
        <v>27</v>
      </c>
      <c r="I434" s="39" t="s">
        <v>32</v>
      </c>
      <c r="J434" s="37">
        <v>3</v>
      </c>
      <c r="K434" s="56">
        <v>7</v>
      </c>
      <c r="L434" s="24">
        <f t="shared" si="39"/>
        <v>1.3</v>
      </c>
      <c r="M434" s="24">
        <f t="shared" si="40"/>
        <v>2.3333333333333335</v>
      </c>
      <c r="N434" s="37" t="s">
        <v>223</v>
      </c>
      <c r="O434" s="37" t="s">
        <v>223</v>
      </c>
      <c r="P434" s="40">
        <v>0</v>
      </c>
      <c r="Q434" s="40">
        <v>0</v>
      </c>
      <c r="R434" s="37" t="s">
        <v>548</v>
      </c>
      <c r="S434" s="37"/>
    </row>
    <row r="435" spans="1:19" x14ac:dyDescent="0.3">
      <c r="A435" s="36">
        <v>157</v>
      </c>
      <c r="B435" s="37" t="s">
        <v>545</v>
      </c>
      <c r="C435" s="37" t="s">
        <v>546</v>
      </c>
      <c r="D435" s="37" t="s">
        <v>139</v>
      </c>
      <c r="E435" s="37" t="s">
        <v>22</v>
      </c>
      <c r="F435" s="42">
        <v>45657</v>
      </c>
      <c r="G435" s="37">
        <v>2024</v>
      </c>
      <c r="H435" s="37" t="s">
        <v>27</v>
      </c>
      <c r="I435" s="39" t="s">
        <v>36</v>
      </c>
      <c r="J435" s="37">
        <v>100</v>
      </c>
      <c r="K435" s="54">
        <v>125</v>
      </c>
      <c r="L435" s="24">
        <f t="shared" si="39"/>
        <v>1.25</v>
      </c>
      <c r="M435" s="24">
        <f t="shared" si="40"/>
        <v>1.25</v>
      </c>
      <c r="N435" s="37"/>
      <c r="O435" s="37"/>
      <c r="P435" s="40">
        <v>0</v>
      </c>
      <c r="Q435" s="40">
        <v>0</v>
      </c>
      <c r="R435" s="37" t="s">
        <v>549</v>
      </c>
      <c r="S435" s="37"/>
    </row>
    <row r="436" spans="1:19" x14ac:dyDescent="0.3">
      <c r="A436" s="37">
        <v>159</v>
      </c>
      <c r="B436" s="37" t="s">
        <v>206</v>
      </c>
      <c r="C436" s="37" t="s">
        <v>546</v>
      </c>
      <c r="D436" s="37" t="s">
        <v>139</v>
      </c>
      <c r="E436" s="37" t="s">
        <v>22</v>
      </c>
      <c r="F436" s="42">
        <v>44742</v>
      </c>
      <c r="G436" s="37">
        <v>2022</v>
      </c>
      <c r="H436" s="37" t="s">
        <v>23</v>
      </c>
      <c r="I436" s="37" t="s">
        <v>24</v>
      </c>
      <c r="J436" s="37">
        <v>1</v>
      </c>
      <c r="K436" s="53">
        <v>0</v>
      </c>
      <c r="L436" s="24">
        <f t="shared" si="39"/>
        <v>0</v>
      </c>
      <c r="M436" s="24">
        <f t="shared" si="40"/>
        <v>0</v>
      </c>
      <c r="N436" s="37" t="s">
        <v>25</v>
      </c>
      <c r="O436" s="37" t="s">
        <v>25</v>
      </c>
      <c r="P436" s="37">
        <v>0</v>
      </c>
      <c r="Q436" s="37">
        <v>0</v>
      </c>
      <c r="R436" s="37" t="s">
        <v>550</v>
      </c>
      <c r="S436" s="37"/>
    </row>
    <row r="437" spans="1:19" x14ac:dyDescent="0.3">
      <c r="A437" s="37">
        <v>159</v>
      </c>
      <c r="B437" s="37" t="s">
        <v>206</v>
      </c>
      <c r="C437" s="37" t="s">
        <v>546</v>
      </c>
      <c r="D437" s="37" t="s">
        <v>139</v>
      </c>
      <c r="E437" s="37" t="s">
        <v>22</v>
      </c>
      <c r="F437" s="42">
        <v>44926</v>
      </c>
      <c r="G437" s="37">
        <v>2022</v>
      </c>
      <c r="H437" s="37" t="s">
        <v>27</v>
      </c>
      <c r="I437" s="37" t="s">
        <v>28</v>
      </c>
      <c r="J437" s="37">
        <v>1</v>
      </c>
      <c r="K437" s="53">
        <v>70</v>
      </c>
      <c r="L437" s="24">
        <f t="shared" si="39"/>
        <v>1.3</v>
      </c>
      <c r="M437" s="24">
        <f t="shared" si="40"/>
        <v>70</v>
      </c>
      <c r="N437" s="37" t="s">
        <v>25</v>
      </c>
      <c r="O437" s="37" t="s">
        <v>25</v>
      </c>
      <c r="P437" s="37">
        <v>0</v>
      </c>
      <c r="Q437" s="37">
        <v>0</v>
      </c>
      <c r="R437" s="37" t="s">
        <v>551</v>
      </c>
      <c r="S437" s="37"/>
    </row>
    <row r="438" spans="1:19" x14ac:dyDescent="0.3">
      <c r="A438" s="36">
        <v>159</v>
      </c>
      <c r="B438" s="37" t="s">
        <v>206</v>
      </c>
      <c r="C438" s="37" t="s">
        <v>546</v>
      </c>
      <c r="D438" s="37" t="s">
        <v>21</v>
      </c>
      <c r="E438" s="37" t="s">
        <v>22</v>
      </c>
      <c r="F438" s="38">
        <v>45107</v>
      </c>
      <c r="G438" s="37">
        <v>2023</v>
      </c>
      <c r="H438" s="37" t="s">
        <v>23</v>
      </c>
      <c r="I438" s="39" t="s">
        <v>30</v>
      </c>
      <c r="J438" s="37">
        <v>80</v>
      </c>
      <c r="K438" s="26">
        <v>96</v>
      </c>
      <c r="L438" s="24">
        <f t="shared" si="39"/>
        <v>1.2</v>
      </c>
      <c r="M438" s="24">
        <f t="shared" si="40"/>
        <v>1.2</v>
      </c>
      <c r="N438" s="37" t="s">
        <v>25</v>
      </c>
      <c r="O438" s="37" t="s">
        <v>25</v>
      </c>
      <c r="P438" s="40">
        <v>0</v>
      </c>
      <c r="Q438" s="40">
        <v>0</v>
      </c>
      <c r="R438" s="37" t="s">
        <v>552</v>
      </c>
      <c r="S438" s="37"/>
    </row>
    <row r="439" spans="1:19" x14ac:dyDescent="0.3">
      <c r="A439" s="41">
        <v>159</v>
      </c>
      <c r="B439" s="37" t="s">
        <v>206</v>
      </c>
      <c r="C439" s="37" t="s">
        <v>546</v>
      </c>
      <c r="D439" s="37" t="s">
        <v>21</v>
      </c>
      <c r="E439" s="37" t="s">
        <v>22</v>
      </c>
      <c r="F439" s="42">
        <v>45291</v>
      </c>
      <c r="G439" s="37">
        <v>2023</v>
      </c>
      <c r="H439" s="37" t="s">
        <v>27</v>
      </c>
      <c r="I439" s="39" t="s">
        <v>32</v>
      </c>
      <c r="J439" s="37">
        <v>80</v>
      </c>
      <c r="K439" s="56">
        <v>100</v>
      </c>
      <c r="L439" s="24">
        <f t="shared" si="39"/>
        <v>1.25</v>
      </c>
      <c r="M439" s="24">
        <f t="shared" si="40"/>
        <v>1.25</v>
      </c>
      <c r="N439" s="37" t="s">
        <v>25</v>
      </c>
      <c r="O439" s="37" t="s">
        <v>25</v>
      </c>
      <c r="P439" s="40">
        <v>0</v>
      </c>
      <c r="Q439" s="40">
        <v>0</v>
      </c>
      <c r="R439" s="37" t="s">
        <v>553</v>
      </c>
      <c r="S439" s="37"/>
    </row>
    <row r="440" spans="1:19" x14ac:dyDescent="0.3">
      <c r="A440" s="37">
        <v>159</v>
      </c>
      <c r="B440" s="37" t="s">
        <v>206</v>
      </c>
      <c r="C440" s="37" t="s">
        <v>546</v>
      </c>
      <c r="D440" s="37" t="s">
        <v>21</v>
      </c>
      <c r="E440" s="37" t="s">
        <v>22</v>
      </c>
      <c r="F440" s="42">
        <v>45473</v>
      </c>
      <c r="G440" s="37">
        <v>2024</v>
      </c>
      <c r="H440" s="37" t="s">
        <v>23</v>
      </c>
      <c r="I440" s="39" t="s">
        <v>34</v>
      </c>
      <c r="J440" s="37">
        <v>80</v>
      </c>
      <c r="K440" s="53">
        <v>95</v>
      </c>
      <c r="L440" s="24">
        <f t="shared" si="39"/>
        <v>1.1875</v>
      </c>
      <c r="M440" s="24">
        <f t="shared" si="40"/>
        <v>1.1875</v>
      </c>
      <c r="N440" s="37" t="s">
        <v>25</v>
      </c>
      <c r="O440" s="37" t="s">
        <v>25</v>
      </c>
      <c r="P440" s="37">
        <v>0</v>
      </c>
      <c r="Q440" s="37">
        <v>0</v>
      </c>
      <c r="R440" s="37" t="s">
        <v>554</v>
      </c>
      <c r="S440" s="37"/>
    </row>
    <row r="441" spans="1:19" x14ac:dyDescent="0.3">
      <c r="A441" s="36">
        <v>159</v>
      </c>
      <c r="B441" s="37" t="s">
        <v>206</v>
      </c>
      <c r="C441" s="37" t="s">
        <v>546</v>
      </c>
      <c r="D441" s="37" t="s">
        <v>21</v>
      </c>
      <c r="E441" s="37" t="s">
        <v>22</v>
      </c>
      <c r="F441" s="42">
        <v>45657</v>
      </c>
      <c r="G441" s="37">
        <v>2024</v>
      </c>
      <c r="H441" s="37" t="s">
        <v>27</v>
      </c>
      <c r="I441" s="39" t="s">
        <v>36</v>
      </c>
      <c r="J441" s="37">
        <v>80</v>
      </c>
      <c r="K441" s="54">
        <v>97.8</v>
      </c>
      <c r="L441" s="24">
        <f t="shared" si="39"/>
        <v>1.2224999999999999</v>
      </c>
      <c r="M441" s="24">
        <f t="shared" si="40"/>
        <v>1.2224999999999999</v>
      </c>
      <c r="N441" s="37" t="s">
        <v>25</v>
      </c>
      <c r="O441" s="37" t="s">
        <v>25</v>
      </c>
      <c r="P441" s="40">
        <v>0</v>
      </c>
      <c r="Q441" s="40">
        <v>0</v>
      </c>
      <c r="R441" s="37" t="s">
        <v>555</v>
      </c>
      <c r="S441" s="37"/>
    </row>
    <row r="442" spans="1:19" x14ac:dyDescent="0.3">
      <c r="A442" s="37">
        <v>167</v>
      </c>
      <c r="B442" s="37" t="s">
        <v>556</v>
      </c>
      <c r="C442" s="37" t="s">
        <v>55</v>
      </c>
      <c r="D442" s="37" t="s">
        <v>21</v>
      </c>
      <c r="E442" s="37" t="s">
        <v>22</v>
      </c>
      <c r="F442" s="42">
        <v>44651</v>
      </c>
      <c r="G442" s="37">
        <v>2022</v>
      </c>
      <c r="H442" s="37" t="s">
        <v>40</v>
      </c>
      <c r="I442" s="37" t="s">
        <v>24</v>
      </c>
      <c r="J442" s="37">
        <v>1</v>
      </c>
      <c r="K442" s="37">
        <v>0</v>
      </c>
      <c r="L442" s="24">
        <f t="shared" ref="L442:L468" si="41">IFERROR(IF(OR(J442=0,K442=""),"",IF(E442="Positivo",MIN(MAX(K442/J442,0),1.3),MIN(MAX(J442/K442,0),1.3))),"")</f>
        <v>0</v>
      </c>
      <c r="M442" s="24">
        <f t="shared" ref="M442:M468" si="42">IFERROR(IF(OR(J442=0,K442=""),"",IF(E442="Positivo",MAX(K442/J442,0),MAX(J442/K442,0))),"")</f>
        <v>0</v>
      </c>
      <c r="N442" s="37" t="s">
        <v>25</v>
      </c>
      <c r="O442" s="37" t="s">
        <v>25</v>
      </c>
      <c r="P442" s="37">
        <v>0</v>
      </c>
      <c r="Q442" s="37">
        <v>1</v>
      </c>
      <c r="R442" s="37" t="s">
        <v>557</v>
      </c>
      <c r="S442" s="37"/>
    </row>
    <row r="443" spans="1:19" x14ac:dyDescent="0.3">
      <c r="A443" s="37">
        <v>167</v>
      </c>
      <c r="B443" s="37" t="s">
        <v>556</v>
      </c>
      <c r="C443" s="37" t="s">
        <v>55</v>
      </c>
      <c r="D443" s="37" t="s">
        <v>21</v>
      </c>
      <c r="E443" s="37" t="s">
        <v>22</v>
      </c>
      <c r="F443" s="42">
        <v>44742</v>
      </c>
      <c r="G443" s="37">
        <v>2022</v>
      </c>
      <c r="H443" s="37" t="s">
        <v>23</v>
      </c>
      <c r="I443" s="37" t="s">
        <v>24</v>
      </c>
      <c r="J443" s="37">
        <v>1</v>
      </c>
      <c r="K443" s="37">
        <v>97.64</v>
      </c>
      <c r="L443" s="24">
        <f t="shared" si="41"/>
        <v>1.3</v>
      </c>
      <c r="M443" s="24">
        <f t="shared" si="42"/>
        <v>97.64</v>
      </c>
      <c r="N443" s="37" t="s">
        <v>25</v>
      </c>
      <c r="O443" s="37" t="s">
        <v>25</v>
      </c>
      <c r="P443" s="37">
        <v>0</v>
      </c>
      <c r="Q443" s="37">
        <v>1</v>
      </c>
      <c r="R443" s="37" t="s">
        <v>558</v>
      </c>
      <c r="S443" s="37"/>
    </row>
    <row r="444" spans="1:19" x14ac:dyDescent="0.3">
      <c r="A444" s="37">
        <v>167</v>
      </c>
      <c r="B444" s="37" t="s">
        <v>556</v>
      </c>
      <c r="C444" s="37" t="s">
        <v>55</v>
      </c>
      <c r="D444" s="37" t="s">
        <v>21</v>
      </c>
      <c r="E444" s="37" t="s">
        <v>22</v>
      </c>
      <c r="F444" s="42">
        <v>44926</v>
      </c>
      <c r="G444" s="37">
        <v>2022</v>
      </c>
      <c r="H444" s="37" t="s">
        <v>27</v>
      </c>
      <c r="I444" s="37" t="s">
        <v>28</v>
      </c>
      <c r="J444" s="37">
        <v>1</v>
      </c>
      <c r="K444" s="37">
        <v>96.55</v>
      </c>
      <c r="L444" s="24">
        <f t="shared" si="41"/>
        <v>1.3</v>
      </c>
      <c r="M444" s="24">
        <f t="shared" si="42"/>
        <v>96.55</v>
      </c>
      <c r="N444" s="37" t="s">
        <v>25</v>
      </c>
      <c r="O444" s="37" t="s">
        <v>25</v>
      </c>
      <c r="P444" s="37">
        <v>0</v>
      </c>
      <c r="Q444" s="37">
        <v>1</v>
      </c>
      <c r="R444" s="37" t="s">
        <v>559</v>
      </c>
      <c r="S444" s="37"/>
    </row>
    <row r="445" spans="1:19" x14ac:dyDescent="0.3">
      <c r="A445" s="36">
        <v>167</v>
      </c>
      <c r="B445" s="37" t="s">
        <v>556</v>
      </c>
      <c r="C445" s="37" t="s">
        <v>55</v>
      </c>
      <c r="D445" s="37" t="s">
        <v>21</v>
      </c>
      <c r="E445" s="37" t="s">
        <v>22</v>
      </c>
      <c r="F445" s="38">
        <v>45107</v>
      </c>
      <c r="G445" s="37">
        <v>2023</v>
      </c>
      <c r="H445" s="37" t="s">
        <v>23</v>
      </c>
      <c r="I445" s="39" t="s">
        <v>30</v>
      </c>
      <c r="J445" s="37">
        <v>80</v>
      </c>
      <c r="K445" s="26">
        <v>97.7</v>
      </c>
      <c r="L445" s="24">
        <f t="shared" si="41"/>
        <v>1.2212499999999999</v>
      </c>
      <c r="M445" s="24">
        <f t="shared" si="42"/>
        <v>1.2212499999999999</v>
      </c>
      <c r="N445" s="37" t="s">
        <v>25</v>
      </c>
      <c r="O445" s="37" t="s">
        <v>25</v>
      </c>
      <c r="P445" s="40">
        <v>0</v>
      </c>
      <c r="Q445" s="40">
        <v>1</v>
      </c>
      <c r="R445" s="37" t="s">
        <v>560</v>
      </c>
      <c r="S445" s="37"/>
    </row>
    <row r="446" spans="1:19" x14ac:dyDescent="0.3">
      <c r="A446" s="41">
        <v>167</v>
      </c>
      <c r="B446" s="37" t="s">
        <v>556</v>
      </c>
      <c r="C446" s="37" t="s">
        <v>55</v>
      </c>
      <c r="D446" s="37" t="s">
        <v>21</v>
      </c>
      <c r="E446" s="37" t="s">
        <v>22</v>
      </c>
      <c r="F446" s="42">
        <v>45291</v>
      </c>
      <c r="G446" s="37">
        <v>2023</v>
      </c>
      <c r="H446" s="37" t="s">
        <v>27</v>
      </c>
      <c r="I446" s="39" t="s">
        <v>32</v>
      </c>
      <c r="J446" s="37">
        <v>80</v>
      </c>
      <c r="K446" s="26">
        <v>96.15</v>
      </c>
      <c r="L446" s="24">
        <f t="shared" si="41"/>
        <v>1.201875</v>
      </c>
      <c r="M446" s="24">
        <f t="shared" si="42"/>
        <v>1.201875</v>
      </c>
      <c r="N446" s="37" t="s">
        <v>25</v>
      </c>
      <c r="O446" s="37" t="s">
        <v>25</v>
      </c>
      <c r="P446" s="40">
        <v>0</v>
      </c>
      <c r="Q446" s="40">
        <v>1</v>
      </c>
      <c r="R446" s="37" t="s">
        <v>561</v>
      </c>
      <c r="S446" s="37"/>
    </row>
    <row r="447" spans="1:19" x14ac:dyDescent="0.3">
      <c r="A447" s="37">
        <v>167</v>
      </c>
      <c r="B447" s="37" t="s">
        <v>556</v>
      </c>
      <c r="C447" s="37" t="s">
        <v>55</v>
      </c>
      <c r="D447" s="37" t="s">
        <v>21</v>
      </c>
      <c r="E447" s="37" t="s">
        <v>22</v>
      </c>
      <c r="F447" s="42">
        <v>45473</v>
      </c>
      <c r="G447" s="37">
        <v>2024</v>
      </c>
      <c r="H447" s="37" t="s">
        <v>23</v>
      </c>
      <c r="I447" s="39" t="s">
        <v>34</v>
      </c>
      <c r="J447" s="37">
        <v>80</v>
      </c>
      <c r="K447" s="37">
        <v>96.86</v>
      </c>
      <c r="L447" s="24">
        <f t="shared" si="41"/>
        <v>1.21075</v>
      </c>
      <c r="M447" s="24">
        <f t="shared" si="42"/>
        <v>1.21075</v>
      </c>
      <c r="N447" s="37" t="s">
        <v>25</v>
      </c>
      <c r="O447" s="37" t="s">
        <v>25</v>
      </c>
      <c r="P447" s="37">
        <v>0</v>
      </c>
      <c r="Q447" s="37">
        <v>1</v>
      </c>
      <c r="R447" s="37" t="s">
        <v>562</v>
      </c>
      <c r="S447" s="37"/>
    </row>
    <row r="448" spans="1:19" x14ac:dyDescent="0.3">
      <c r="A448" s="36">
        <v>167</v>
      </c>
      <c r="B448" s="37" t="s">
        <v>556</v>
      </c>
      <c r="C448" s="37" t="s">
        <v>55</v>
      </c>
      <c r="D448" s="37" t="s">
        <v>21</v>
      </c>
      <c r="E448" s="37" t="s">
        <v>22</v>
      </c>
      <c r="F448" s="42">
        <v>45657</v>
      </c>
      <c r="G448" s="37">
        <v>2024</v>
      </c>
      <c r="H448" s="37" t="s">
        <v>27</v>
      </c>
      <c r="I448" s="39" t="s">
        <v>36</v>
      </c>
      <c r="J448" s="37">
        <v>85</v>
      </c>
      <c r="K448" s="43">
        <v>96.8</v>
      </c>
      <c r="L448" s="24">
        <f t="shared" si="41"/>
        <v>1.1388235294117646</v>
      </c>
      <c r="M448" s="24">
        <f t="shared" si="42"/>
        <v>1.1388235294117646</v>
      </c>
      <c r="N448" s="37" t="s">
        <v>25</v>
      </c>
      <c r="O448" s="37" t="s">
        <v>25</v>
      </c>
      <c r="P448" s="40">
        <v>0</v>
      </c>
      <c r="Q448" s="40">
        <v>1</v>
      </c>
      <c r="R448" s="37" t="s">
        <v>563</v>
      </c>
      <c r="S448" s="37"/>
    </row>
    <row r="449" spans="1:19" x14ac:dyDescent="0.3">
      <c r="A449" s="37">
        <v>172</v>
      </c>
      <c r="B449" s="37" t="s">
        <v>564</v>
      </c>
      <c r="C449" s="37" t="s">
        <v>258</v>
      </c>
      <c r="D449" s="37" t="s">
        <v>73</v>
      </c>
      <c r="E449" s="37" t="s">
        <v>22</v>
      </c>
      <c r="F449" s="42">
        <v>44592</v>
      </c>
      <c r="G449" s="37">
        <v>2022</v>
      </c>
      <c r="H449" s="37" t="s">
        <v>74</v>
      </c>
      <c r="I449" s="37" t="s">
        <v>24</v>
      </c>
      <c r="J449" s="37">
        <v>0</v>
      </c>
      <c r="K449" s="37">
        <v>0</v>
      </c>
      <c r="L449" s="24" t="str">
        <f t="shared" si="41"/>
        <v/>
      </c>
      <c r="M449" s="24" t="str">
        <f t="shared" si="42"/>
        <v/>
      </c>
      <c r="N449" s="37" t="s">
        <v>25</v>
      </c>
      <c r="O449" s="37" t="s">
        <v>25</v>
      </c>
      <c r="P449" s="37">
        <v>0</v>
      </c>
      <c r="Q449" s="37">
        <v>0</v>
      </c>
      <c r="R449" s="37" t="s">
        <v>565</v>
      </c>
      <c r="S449" s="37"/>
    </row>
    <row r="450" spans="1:19" x14ac:dyDescent="0.3">
      <c r="A450" s="37">
        <v>172</v>
      </c>
      <c r="B450" s="37" t="s">
        <v>564</v>
      </c>
      <c r="C450" s="37" t="s">
        <v>258</v>
      </c>
      <c r="D450" s="37" t="s">
        <v>73</v>
      </c>
      <c r="E450" s="37" t="s">
        <v>22</v>
      </c>
      <c r="F450" s="42">
        <v>44620</v>
      </c>
      <c r="G450" s="37">
        <v>2022</v>
      </c>
      <c r="H450" s="37" t="s">
        <v>76</v>
      </c>
      <c r="I450" s="37" t="s">
        <v>24</v>
      </c>
      <c r="J450" s="37">
        <v>0</v>
      </c>
      <c r="K450" s="37">
        <v>0</v>
      </c>
      <c r="L450" s="24" t="str">
        <f t="shared" si="41"/>
        <v/>
      </c>
      <c r="M450" s="24" t="str">
        <f t="shared" si="42"/>
        <v/>
      </c>
      <c r="N450" s="37" t="s">
        <v>25</v>
      </c>
      <c r="O450" s="37" t="s">
        <v>25</v>
      </c>
      <c r="P450" s="37">
        <v>0</v>
      </c>
      <c r="Q450" s="37">
        <v>0</v>
      </c>
      <c r="R450" s="37" t="s">
        <v>566</v>
      </c>
      <c r="S450" s="37"/>
    </row>
    <row r="451" spans="1:19" x14ac:dyDescent="0.3">
      <c r="A451" s="37">
        <v>172</v>
      </c>
      <c r="B451" s="37" t="s">
        <v>564</v>
      </c>
      <c r="C451" s="37" t="s">
        <v>258</v>
      </c>
      <c r="D451" s="37" t="s">
        <v>73</v>
      </c>
      <c r="E451" s="37" t="s">
        <v>22</v>
      </c>
      <c r="F451" s="42">
        <v>44651</v>
      </c>
      <c r="G451" s="37">
        <v>2022</v>
      </c>
      <c r="H451" s="37" t="s">
        <v>40</v>
      </c>
      <c r="I451" s="37" t="s">
        <v>24</v>
      </c>
      <c r="J451" s="37">
        <v>0</v>
      </c>
      <c r="K451" s="37">
        <v>0</v>
      </c>
      <c r="L451" s="24" t="str">
        <f t="shared" si="41"/>
        <v/>
      </c>
      <c r="M451" s="24" t="str">
        <f t="shared" si="42"/>
        <v/>
      </c>
      <c r="N451" s="37" t="s">
        <v>25</v>
      </c>
      <c r="O451" s="37" t="s">
        <v>25</v>
      </c>
      <c r="P451" s="37">
        <v>0</v>
      </c>
      <c r="Q451" s="37">
        <v>0</v>
      </c>
      <c r="R451" s="37" t="s">
        <v>567</v>
      </c>
      <c r="S451" s="37"/>
    </row>
    <row r="452" spans="1:19" x14ac:dyDescent="0.3">
      <c r="A452" s="37">
        <v>172</v>
      </c>
      <c r="B452" s="37" t="s">
        <v>564</v>
      </c>
      <c r="C452" s="37" t="s">
        <v>258</v>
      </c>
      <c r="D452" s="37" t="s">
        <v>73</v>
      </c>
      <c r="E452" s="37" t="s">
        <v>22</v>
      </c>
      <c r="F452" s="42">
        <v>44681</v>
      </c>
      <c r="G452" s="37">
        <v>2022</v>
      </c>
      <c r="H452" s="37" t="s">
        <v>79</v>
      </c>
      <c r="I452" s="37" t="s">
        <v>24</v>
      </c>
      <c r="J452" s="37">
        <v>0</v>
      </c>
      <c r="K452" s="37">
        <v>0</v>
      </c>
      <c r="L452" s="24" t="str">
        <f t="shared" si="41"/>
        <v/>
      </c>
      <c r="M452" s="24" t="str">
        <f t="shared" si="42"/>
        <v/>
      </c>
      <c r="N452" s="37" t="s">
        <v>25</v>
      </c>
      <c r="O452" s="37" t="s">
        <v>25</v>
      </c>
      <c r="P452" s="37">
        <v>0</v>
      </c>
      <c r="Q452" s="37">
        <v>0</v>
      </c>
      <c r="R452" s="37" t="s">
        <v>568</v>
      </c>
      <c r="S452" s="37"/>
    </row>
    <row r="453" spans="1:19" x14ac:dyDescent="0.3">
      <c r="A453" s="37">
        <v>172</v>
      </c>
      <c r="B453" s="37" t="s">
        <v>564</v>
      </c>
      <c r="C453" s="37" t="s">
        <v>258</v>
      </c>
      <c r="D453" s="37" t="s">
        <v>73</v>
      </c>
      <c r="E453" s="37" t="s">
        <v>22</v>
      </c>
      <c r="F453" s="42">
        <v>44712</v>
      </c>
      <c r="G453" s="37">
        <v>2022</v>
      </c>
      <c r="H453" s="37" t="s">
        <v>81</v>
      </c>
      <c r="I453" s="37" t="s">
        <v>24</v>
      </c>
      <c r="J453" s="37">
        <v>0</v>
      </c>
      <c r="K453" s="37">
        <v>0</v>
      </c>
      <c r="L453" s="24" t="str">
        <f t="shared" si="41"/>
        <v/>
      </c>
      <c r="M453" s="24" t="str">
        <f t="shared" si="42"/>
        <v/>
      </c>
      <c r="N453" s="37" t="s">
        <v>25</v>
      </c>
      <c r="O453" s="37" t="s">
        <v>25</v>
      </c>
      <c r="P453" s="37">
        <v>0</v>
      </c>
      <c r="Q453" s="37">
        <v>0</v>
      </c>
      <c r="R453" s="37" t="s">
        <v>569</v>
      </c>
      <c r="S453" s="37"/>
    </row>
    <row r="454" spans="1:19" x14ac:dyDescent="0.3">
      <c r="A454" s="36">
        <v>172</v>
      </c>
      <c r="B454" s="37" t="s">
        <v>564</v>
      </c>
      <c r="C454" s="37" t="s">
        <v>258</v>
      </c>
      <c r="D454" s="37" t="s">
        <v>73</v>
      </c>
      <c r="E454" s="37" t="s">
        <v>22</v>
      </c>
      <c r="F454" s="42">
        <v>44742</v>
      </c>
      <c r="G454" s="37">
        <v>2022</v>
      </c>
      <c r="H454" s="37" t="s">
        <v>23</v>
      </c>
      <c r="I454" s="39" t="s">
        <v>24</v>
      </c>
      <c r="J454" s="37">
        <v>21</v>
      </c>
      <c r="K454" s="61">
        <v>20</v>
      </c>
      <c r="L454" s="24">
        <f t="shared" si="41"/>
        <v>0.95238095238095233</v>
      </c>
      <c r="M454" s="24">
        <f t="shared" si="42"/>
        <v>0.95238095238095233</v>
      </c>
      <c r="N454" s="37" t="s">
        <v>25</v>
      </c>
      <c r="O454" s="37" t="s">
        <v>25</v>
      </c>
      <c r="P454" s="40">
        <v>0</v>
      </c>
      <c r="Q454" s="40">
        <v>0</v>
      </c>
      <c r="R454" s="37" t="s">
        <v>570</v>
      </c>
      <c r="S454" s="37"/>
    </row>
    <row r="455" spans="1:19" x14ac:dyDescent="0.3">
      <c r="A455" s="36">
        <v>172</v>
      </c>
      <c r="B455" s="37" t="s">
        <v>564</v>
      </c>
      <c r="C455" s="37" t="s">
        <v>258</v>
      </c>
      <c r="D455" s="37" t="s">
        <v>73</v>
      </c>
      <c r="E455" s="37" t="s">
        <v>22</v>
      </c>
      <c r="F455" s="42">
        <v>44773</v>
      </c>
      <c r="G455" s="37">
        <v>2022</v>
      </c>
      <c r="H455" s="37" t="s">
        <v>84</v>
      </c>
      <c r="I455" s="39" t="s">
        <v>28</v>
      </c>
      <c r="J455" s="37">
        <v>23</v>
      </c>
      <c r="K455" s="63">
        <v>22</v>
      </c>
      <c r="L455" s="24">
        <f t="shared" si="41"/>
        <v>0.95652173913043481</v>
      </c>
      <c r="M455" s="24">
        <f t="shared" si="42"/>
        <v>0.95652173913043481</v>
      </c>
      <c r="N455" s="37" t="s">
        <v>25</v>
      </c>
      <c r="O455" s="37" t="s">
        <v>25</v>
      </c>
      <c r="P455" s="40">
        <v>0</v>
      </c>
      <c r="Q455" s="40">
        <v>0</v>
      </c>
      <c r="R455" s="37" t="s">
        <v>571</v>
      </c>
      <c r="S455" s="37"/>
    </row>
    <row r="456" spans="1:19" x14ac:dyDescent="0.3">
      <c r="A456" s="36">
        <v>172</v>
      </c>
      <c r="B456" s="37" t="s">
        <v>564</v>
      </c>
      <c r="C456" s="37" t="s">
        <v>258</v>
      </c>
      <c r="D456" s="37" t="s">
        <v>73</v>
      </c>
      <c r="E456" s="37" t="s">
        <v>22</v>
      </c>
      <c r="F456" s="42">
        <v>44804</v>
      </c>
      <c r="G456" s="37">
        <v>2022</v>
      </c>
      <c r="H456" s="37" t="s">
        <v>86</v>
      </c>
      <c r="I456" s="39" t="s">
        <v>28</v>
      </c>
      <c r="J456" s="37">
        <v>51</v>
      </c>
      <c r="K456" s="63">
        <v>51</v>
      </c>
      <c r="L456" s="24">
        <f t="shared" si="41"/>
        <v>1</v>
      </c>
      <c r="M456" s="24">
        <f t="shared" si="42"/>
        <v>1</v>
      </c>
      <c r="N456" s="37" t="s">
        <v>25</v>
      </c>
      <c r="O456" s="37" t="s">
        <v>25</v>
      </c>
      <c r="P456" s="40">
        <v>0</v>
      </c>
      <c r="Q456" s="40">
        <v>0</v>
      </c>
      <c r="R456" s="37" t="s">
        <v>572</v>
      </c>
      <c r="S456" s="37"/>
    </row>
    <row r="457" spans="1:19" x14ac:dyDescent="0.3">
      <c r="A457" s="36">
        <v>172</v>
      </c>
      <c r="B457" s="37" t="s">
        <v>564</v>
      </c>
      <c r="C457" s="37" t="s">
        <v>258</v>
      </c>
      <c r="D457" s="37" t="s">
        <v>73</v>
      </c>
      <c r="E457" s="37" t="s">
        <v>22</v>
      </c>
      <c r="F457" s="42">
        <v>44834</v>
      </c>
      <c r="G457" s="37">
        <v>2022</v>
      </c>
      <c r="H457" s="37" t="s">
        <v>43</v>
      </c>
      <c r="I457" s="39" t="s">
        <v>28</v>
      </c>
      <c r="J457" s="37">
        <v>61</v>
      </c>
      <c r="K457" s="61">
        <v>61</v>
      </c>
      <c r="L457" s="24">
        <f t="shared" si="41"/>
        <v>1</v>
      </c>
      <c r="M457" s="24">
        <f t="shared" si="42"/>
        <v>1</v>
      </c>
      <c r="N457" s="37" t="s">
        <v>25</v>
      </c>
      <c r="O457" s="37" t="s">
        <v>25</v>
      </c>
      <c r="P457" s="40">
        <v>0</v>
      </c>
      <c r="Q457" s="40">
        <v>0</v>
      </c>
      <c r="R457" s="37" t="s">
        <v>573</v>
      </c>
      <c r="S457" s="37"/>
    </row>
    <row r="458" spans="1:19" x14ac:dyDescent="0.3">
      <c r="A458" s="41">
        <v>172</v>
      </c>
      <c r="B458" s="37" t="s">
        <v>564</v>
      </c>
      <c r="C458" s="37" t="s">
        <v>258</v>
      </c>
      <c r="D458" s="37" t="s">
        <v>73</v>
      </c>
      <c r="E458" s="37" t="s">
        <v>22</v>
      </c>
      <c r="F458" s="42">
        <v>44865</v>
      </c>
      <c r="G458" s="37">
        <v>2022</v>
      </c>
      <c r="H458" s="37" t="s">
        <v>89</v>
      </c>
      <c r="I458" s="39" t="s">
        <v>28</v>
      </c>
      <c r="J458" s="37">
        <v>83</v>
      </c>
      <c r="K458" s="61">
        <v>80</v>
      </c>
      <c r="L458" s="24">
        <f t="shared" si="41"/>
        <v>0.96385542168674698</v>
      </c>
      <c r="M458" s="24">
        <f t="shared" si="42"/>
        <v>0.96385542168674698</v>
      </c>
      <c r="N458" s="37" t="s">
        <v>25</v>
      </c>
      <c r="O458" s="37" t="s">
        <v>25</v>
      </c>
      <c r="P458" s="40">
        <v>0</v>
      </c>
      <c r="Q458" s="40">
        <v>0</v>
      </c>
      <c r="R458" s="37" t="s">
        <v>574</v>
      </c>
      <c r="S458" s="37"/>
    </row>
    <row r="459" spans="1:19" x14ac:dyDescent="0.3">
      <c r="A459" s="41">
        <v>172</v>
      </c>
      <c r="B459" s="37" t="s">
        <v>564</v>
      </c>
      <c r="C459" s="37" t="s">
        <v>258</v>
      </c>
      <c r="D459" s="37" t="s">
        <v>73</v>
      </c>
      <c r="E459" s="37" t="s">
        <v>22</v>
      </c>
      <c r="F459" s="42">
        <v>44895</v>
      </c>
      <c r="G459" s="37">
        <v>2022</v>
      </c>
      <c r="H459" s="37" t="s">
        <v>91</v>
      </c>
      <c r="I459" s="39" t="s">
        <v>28</v>
      </c>
      <c r="J459" s="37">
        <v>83</v>
      </c>
      <c r="K459" s="63">
        <v>83</v>
      </c>
      <c r="L459" s="24">
        <f t="shared" si="41"/>
        <v>1</v>
      </c>
      <c r="M459" s="24">
        <f t="shared" si="42"/>
        <v>1</v>
      </c>
      <c r="N459" s="37" t="s">
        <v>25</v>
      </c>
      <c r="O459" s="37" t="s">
        <v>25</v>
      </c>
      <c r="P459" s="40">
        <v>0</v>
      </c>
      <c r="Q459" s="40">
        <v>0</v>
      </c>
      <c r="R459" s="37" t="s">
        <v>575</v>
      </c>
      <c r="S459" s="37"/>
    </row>
    <row r="460" spans="1:19" x14ac:dyDescent="0.3">
      <c r="A460" s="41">
        <v>172</v>
      </c>
      <c r="B460" s="37" t="s">
        <v>564</v>
      </c>
      <c r="C460" s="37" t="s">
        <v>258</v>
      </c>
      <c r="D460" s="37" t="s">
        <v>73</v>
      </c>
      <c r="E460" s="37" t="s">
        <v>22</v>
      </c>
      <c r="F460" s="42">
        <v>44926</v>
      </c>
      <c r="G460" s="37">
        <v>2022</v>
      </c>
      <c r="H460" s="37" t="s">
        <v>27</v>
      </c>
      <c r="I460" s="39" t="s">
        <v>28</v>
      </c>
      <c r="J460" s="37">
        <v>0</v>
      </c>
      <c r="K460" s="63">
        <v>0</v>
      </c>
      <c r="L460" s="24" t="str">
        <f t="shared" si="41"/>
        <v/>
      </c>
      <c r="M460" s="24" t="str">
        <f t="shared" si="42"/>
        <v/>
      </c>
      <c r="N460" s="37" t="s">
        <v>25</v>
      </c>
      <c r="O460" s="37" t="s">
        <v>25</v>
      </c>
      <c r="P460" s="40">
        <v>0</v>
      </c>
      <c r="Q460" s="40">
        <v>0</v>
      </c>
      <c r="R460" s="37" t="s">
        <v>576</v>
      </c>
      <c r="S460" s="37"/>
    </row>
    <row r="461" spans="1:19" x14ac:dyDescent="0.3">
      <c r="A461" s="37">
        <v>172</v>
      </c>
      <c r="B461" s="37" t="s">
        <v>564</v>
      </c>
      <c r="C461" s="37" t="s">
        <v>258</v>
      </c>
      <c r="D461" s="37" t="s">
        <v>73</v>
      </c>
      <c r="E461" s="37" t="s">
        <v>22</v>
      </c>
      <c r="F461" s="42">
        <v>44957</v>
      </c>
      <c r="G461" s="37">
        <v>2023</v>
      </c>
      <c r="H461" s="37" t="s">
        <v>74</v>
      </c>
      <c r="I461" s="37" t="s">
        <v>30</v>
      </c>
      <c r="J461" s="37">
        <v>0</v>
      </c>
      <c r="K461" s="53">
        <v>0</v>
      </c>
      <c r="L461" s="24" t="str">
        <f t="shared" si="41"/>
        <v/>
      </c>
      <c r="M461" s="24" t="str">
        <f t="shared" si="42"/>
        <v/>
      </c>
      <c r="N461" s="37" t="s">
        <v>25</v>
      </c>
      <c r="O461" s="37" t="s">
        <v>25</v>
      </c>
      <c r="P461" s="37">
        <v>0</v>
      </c>
      <c r="Q461" s="37">
        <v>0</v>
      </c>
      <c r="R461" s="37" t="s">
        <v>577</v>
      </c>
      <c r="S461" s="37"/>
    </row>
    <row r="462" spans="1:19" x14ac:dyDescent="0.3">
      <c r="A462" s="36">
        <v>172</v>
      </c>
      <c r="B462" s="37" t="s">
        <v>564</v>
      </c>
      <c r="C462" s="37" t="s">
        <v>258</v>
      </c>
      <c r="D462" s="37" t="s">
        <v>73</v>
      </c>
      <c r="E462" s="37" t="s">
        <v>22</v>
      </c>
      <c r="F462" s="42">
        <v>45016</v>
      </c>
      <c r="G462" s="37">
        <v>2023</v>
      </c>
      <c r="H462" s="37" t="s">
        <v>40</v>
      </c>
      <c r="I462" s="39" t="s">
        <v>30</v>
      </c>
      <c r="J462" s="53">
        <v>5</v>
      </c>
      <c r="K462" s="63">
        <v>5</v>
      </c>
      <c r="L462" s="24">
        <f t="shared" si="41"/>
        <v>1</v>
      </c>
      <c r="M462" s="24">
        <f t="shared" si="42"/>
        <v>1</v>
      </c>
      <c r="N462" s="37" t="s">
        <v>25</v>
      </c>
      <c r="O462" s="37" t="s">
        <v>25</v>
      </c>
      <c r="P462" s="40">
        <v>0</v>
      </c>
      <c r="Q462" s="40">
        <v>0</v>
      </c>
      <c r="R462" s="37" t="s">
        <v>578</v>
      </c>
      <c r="S462" s="37"/>
    </row>
    <row r="463" spans="1:19" x14ac:dyDescent="0.3">
      <c r="A463" s="36">
        <v>172</v>
      </c>
      <c r="B463" s="37" t="s">
        <v>564</v>
      </c>
      <c r="C463" s="37" t="s">
        <v>258</v>
      </c>
      <c r="D463" s="37" t="s">
        <v>73</v>
      </c>
      <c r="E463" s="37" t="s">
        <v>22</v>
      </c>
      <c r="F463" s="42">
        <v>45046</v>
      </c>
      <c r="G463" s="37">
        <v>2023</v>
      </c>
      <c r="H463" s="37" t="s">
        <v>79</v>
      </c>
      <c r="I463" s="39" t="s">
        <v>30</v>
      </c>
      <c r="J463" s="37">
        <v>7</v>
      </c>
      <c r="K463" s="63">
        <v>6</v>
      </c>
      <c r="L463" s="24">
        <f t="shared" si="41"/>
        <v>0.8571428571428571</v>
      </c>
      <c r="M463" s="24">
        <f t="shared" si="42"/>
        <v>0.8571428571428571</v>
      </c>
      <c r="N463" s="37" t="s">
        <v>25</v>
      </c>
      <c r="O463" s="37" t="s">
        <v>25</v>
      </c>
      <c r="P463" s="40">
        <v>0</v>
      </c>
      <c r="Q463" s="40">
        <v>0</v>
      </c>
      <c r="R463" s="37" t="s">
        <v>579</v>
      </c>
      <c r="S463" s="37"/>
    </row>
    <row r="464" spans="1:19" x14ac:dyDescent="0.3">
      <c r="A464" s="36">
        <v>172</v>
      </c>
      <c r="B464" s="37" t="s">
        <v>564</v>
      </c>
      <c r="C464" s="37" t="s">
        <v>258</v>
      </c>
      <c r="D464" s="37" t="s">
        <v>73</v>
      </c>
      <c r="E464" s="37" t="s">
        <v>22</v>
      </c>
      <c r="F464" s="42">
        <v>45077</v>
      </c>
      <c r="G464" s="37">
        <v>2023</v>
      </c>
      <c r="H464" s="37" t="s">
        <v>81</v>
      </c>
      <c r="I464" s="39" t="s">
        <v>30</v>
      </c>
      <c r="J464" s="37">
        <v>15</v>
      </c>
      <c r="K464" s="63">
        <v>14</v>
      </c>
      <c r="L464" s="24">
        <f t="shared" si="41"/>
        <v>0.93333333333333335</v>
      </c>
      <c r="M464" s="24">
        <f t="shared" si="42"/>
        <v>0.93333333333333335</v>
      </c>
      <c r="N464" s="37" t="s">
        <v>25</v>
      </c>
      <c r="O464" s="37" t="s">
        <v>25</v>
      </c>
      <c r="P464" s="40">
        <v>0</v>
      </c>
      <c r="Q464" s="40">
        <v>0</v>
      </c>
      <c r="R464" s="37" t="s">
        <v>580</v>
      </c>
      <c r="S464" s="37"/>
    </row>
    <row r="465" spans="1:19" x14ac:dyDescent="0.3">
      <c r="A465" s="36">
        <v>172</v>
      </c>
      <c r="B465" s="37" t="s">
        <v>564</v>
      </c>
      <c r="C465" s="37" t="s">
        <v>258</v>
      </c>
      <c r="D465" s="37" t="s">
        <v>73</v>
      </c>
      <c r="E465" s="37" t="s">
        <v>22</v>
      </c>
      <c r="F465" s="42">
        <v>45107</v>
      </c>
      <c r="G465" s="37">
        <v>2023</v>
      </c>
      <c r="H465" s="37" t="s">
        <v>23</v>
      </c>
      <c r="I465" s="39" t="s">
        <v>30</v>
      </c>
      <c r="J465" s="37">
        <v>24</v>
      </c>
      <c r="K465" s="63">
        <v>22</v>
      </c>
      <c r="L465" s="24">
        <f t="shared" si="41"/>
        <v>0.91666666666666663</v>
      </c>
      <c r="M465" s="24">
        <f t="shared" si="42"/>
        <v>0.91666666666666663</v>
      </c>
      <c r="N465" s="37" t="s">
        <v>25</v>
      </c>
      <c r="O465" s="37" t="s">
        <v>25</v>
      </c>
      <c r="P465" s="40">
        <v>0</v>
      </c>
      <c r="Q465" s="40">
        <v>0</v>
      </c>
      <c r="R465" s="37" t="s">
        <v>581</v>
      </c>
      <c r="S465" s="37"/>
    </row>
    <row r="466" spans="1:19" x14ac:dyDescent="0.3">
      <c r="A466" s="36">
        <v>172</v>
      </c>
      <c r="B466" s="37" t="s">
        <v>564</v>
      </c>
      <c r="C466" s="37" t="s">
        <v>258</v>
      </c>
      <c r="D466" s="37" t="s">
        <v>73</v>
      </c>
      <c r="E466" s="37" t="s">
        <v>22</v>
      </c>
      <c r="F466" s="42">
        <v>45138</v>
      </c>
      <c r="G466" s="37">
        <v>2023</v>
      </c>
      <c r="H466" s="37" t="s">
        <v>84</v>
      </c>
      <c r="I466" s="39" t="s">
        <v>32</v>
      </c>
      <c r="J466" s="37">
        <v>20</v>
      </c>
      <c r="K466" s="61">
        <v>19</v>
      </c>
      <c r="L466" s="24">
        <f t="shared" si="41"/>
        <v>0.95</v>
      </c>
      <c r="M466" s="24">
        <f t="shared" si="42"/>
        <v>0.95</v>
      </c>
      <c r="N466" s="37" t="s">
        <v>25</v>
      </c>
      <c r="O466" s="37" t="s">
        <v>25</v>
      </c>
      <c r="P466" s="40">
        <v>0</v>
      </c>
      <c r="Q466" s="40">
        <v>0</v>
      </c>
      <c r="R466" s="37" t="s">
        <v>582</v>
      </c>
      <c r="S466" s="37"/>
    </row>
    <row r="467" spans="1:19" x14ac:dyDescent="0.3">
      <c r="A467" s="36">
        <v>172</v>
      </c>
      <c r="B467" s="37" t="s">
        <v>564</v>
      </c>
      <c r="C467" s="37" t="s">
        <v>258</v>
      </c>
      <c r="D467" s="37" t="s">
        <v>73</v>
      </c>
      <c r="E467" s="37" t="s">
        <v>22</v>
      </c>
      <c r="F467" s="42">
        <v>45169</v>
      </c>
      <c r="G467" s="37">
        <v>2023</v>
      </c>
      <c r="H467" s="37" t="s">
        <v>86</v>
      </c>
      <c r="I467" s="39" t="s">
        <v>32</v>
      </c>
      <c r="J467" s="37">
        <v>24</v>
      </c>
      <c r="K467" s="63">
        <v>22</v>
      </c>
      <c r="L467" s="24">
        <f t="shared" si="41"/>
        <v>0.91666666666666663</v>
      </c>
      <c r="M467" s="24">
        <f t="shared" si="42"/>
        <v>0.91666666666666663</v>
      </c>
      <c r="N467" s="37" t="s">
        <v>25</v>
      </c>
      <c r="O467" s="37" t="s">
        <v>25</v>
      </c>
      <c r="P467" s="40">
        <v>0</v>
      </c>
      <c r="Q467" s="40">
        <v>0</v>
      </c>
      <c r="R467" s="37" t="s">
        <v>583</v>
      </c>
      <c r="S467" s="37"/>
    </row>
    <row r="468" spans="1:19" x14ac:dyDescent="0.3">
      <c r="A468" s="36">
        <v>172</v>
      </c>
      <c r="B468" s="37" t="s">
        <v>564</v>
      </c>
      <c r="C468" s="37" t="s">
        <v>258</v>
      </c>
      <c r="D468" s="37" t="s">
        <v>73</v>
      </c>
      <c r="E468" s="37" t="s">
        <v>22</v>
      </c>
      <c r="F468" s="42">
        <v>45199</v>
      </c>
      <c r="G468" s="37">
        <v>2023</v>
      </c>
      <c r="H468" s="37" t="s">
        <v>43</v>
      </c>
      <c r="I468" s="39" t="s">
        <v>32</v>
      </c>
      <c r="J468" s="37">
        <v>30</v>
      </c>
      <c r="K468" s="63">
        <v>29</v>
      </c>
      <c r="L468" s="24">
        <f t="shared" si="41"/>
        <v>0.96666666666666667</v>
      </c>
      <c r="M468" s="24">
        <f t="shared" si="42"/>
        <v>0.96666666666666667</v>
      </c>
      <c r="N468" s="37" t="s">
        <v>25</v>
      </c>
      <c r="O468" s="37" t="s">
        <v>25</v>
      </c>
      <c r="P468" s="40">
        <v>0</v>
      </c>
      <c r="Q468" s="40">
        <v>0</v>
      </c>
      <c r="R468" s="37" t="s">
        <v>584</v>
      </c>
      <c r="S468" s="37"/>
    </row>
    <row r="469" spans="1:19" x14ac:dyDescent="0.3">
      <c r="A469" s="41">
        <v>172</v>
      </c>
      <c r="B469" s="37" t="s">
        <v>564</v>
      </c>
      <c r="C469" s="37" t="s">
        <v>258</v>
      </c>
      <c r="D469" s="37" t="s">
        <v>73</v>
      </c>
      <c r="E469" s="37" t="s">
        <v>22</v>
      </c>
      <c r="F469" s="42">
        <v>45230</v>
      </c>
      <c r="G469" s="37">
        <v>2023</v>
      </c>
      <c r="H469" s="37" t="s">
        <v>89</v>
      </c>
      <c r="I469" s="39" t="s">
        <v>32</v>
      </c>
      <c r="J469" s="37">
        <v>44</v>
      </c>
      <c r="K469" s="63">
        <v>41</v>
      </c>
      <c r="L469" s="24">
        <f t="shared" ref="L469:L488" si="43">IFERROR(IF(OR(J469=0,K469=""),"",IF(E469="Positivo",MIN(MAX(K469/J469,0),1.3),MIN(MAX(J469/K469,0),1.3))),"")</f>
        <v>0.93181818181818177</v>
      </c>
      <c r="M469" s="24">
        <f t="shared" ref="M469:M488" si="44">IFERROR(IF(OR(J469=0,K469=""),"",IF(E469="Positivo",MAX(K469/J469,0),MAX(J469/K469,0))),"")</f>
        <v>0.93181818181818177</v>
      </c>
      <c r="N469" s="37" t="s">
        <v>25</v>
      </c>
      <c r="O469" s="37" t="s">
        <v>25</v>
      </c>
      <c r="P469" s="40">
        <v>0</v>
      </c>
      <c r="Q469" s="40">
        <v>0</v>
      </c>
      <c r="R469" s="37" t="s">
        <v>585</v>
      </c>
      <c r="S469" s="37"/>
    </row>
    <row r="470" spans="1:19" x14ac:dyDescent="0.3">
      <c r="A470" s="41">
        <v>172</v>
      </c>
      <c r="B470" s="37" t="s">
        <v>564</v>
      </c>
      <c r="C470" s="37" t="s">
        <v>258</v>
      </c>
      <c r="D470" s="37" t="s">
        <v>73</v>
      </c>
      <c r="E470" s="37" t="s">
        <v>22</v>
      </c>
      <c r="F470" s="42">
        <v>45260</v>
      </c>
      <c r="G470" s="37">
        <v>2023</v>
      </c>
      <c r="H470" s="37" t="s">
        <v>91</v>
      </c>
      <c r="I470" s="39" t="s">
        <v>32</v>
      </c>
      <c r="J470" s="37">
        <v>48</v>
      </c>
      <c r="K470" s="63">
        <v>47</v>
      </c>
      <c r="L470" s="24">
        <f t="shared" si="43"/>
        <v>0.97916666666666663</v>
      </c>
      <c r="M470" s="24">
        <f t="shared" si="44"/>
        <v>0.97916666666666663</v>
      </c>
      <c r="N470" s="37" t="s">
        <v>25</v>
      </c>
      <c r="O470" s="37" t="s">
        <v>25</v>
      </c>
      <c r="P470" s="40">
        <v>0</v>
      </c>
      <c r="Q470" s="40">
        <v>0</v>
      </c>
      <c r="R470" s="37" t="s">
        <v>586</v>
      </c>
      <c r="S470" s="37"/>
    </row>
    <row r="471" spans="1:19" x14ac:dyDescent="0.3">
      <c r="A471" s="41">
        <v>172</v>
      </c>
      <c r="B471" s="37" t="s">
        <v>564</v>
      </c>
      <c r="C471" s="37" t="s">
        <v>258</v>
      </c>
      <c r="D471" s="37" t="s">
        <v>73</v>
      </c>
      <c r="E471" s="37" t="s">
        <v>22</v>
      </c>
      <c r="F471" s="42">
        <v>45291</v>
      </c>
      <c r="G471" s="37">
        <v>2023</v>
      </c>
      <c r="H471" s="37" t="s">
        <v>27</v>
      </c>
      <c r="I471" s="39" t="s">
        <v>32</v>
      </c>
      <c r="J471" s="37">
        <v>49</v>
      </c>
      <c r="K471" s="63">
        <v>49</v>
      </c>
      <c r="L471" s="24">
        <f t="shared" si="43"/>
        <v>1</v>
      </c>
      <c r="M471" s="24">
        <f t="shared" si="44"/>
        <v>1</v>
      </c>
      <c r="N471" s="37" t="s">
        <v>25</v>
      </c>
      <c r="O471" s="37" t="s">
        <v>25</v>
      </c>
      <c r="P471" s="40">
        <v>0</v>
      </c>
      <c r="Q471" s="40">
        <v>0</v>
      </c>
      <c r="R471" s="37" t="s">
        <v>587</v>
      </c>
      <c r="S471" s="37"/>
    </row>
    <row r="472" spans="1:19" x14ac:dyDescent="0.3">
      <c r="A472" s="37">
        <v>172</v>
      </c>
      <c r="B472" s="37" t="s">
        <v>564</v>
      </c>
      <c r="C472" s="37" t="s">
        <v>258</v>
      </c>
      <c r="D472" s="37" t="s">
        <v>73</v>
      </c>
      <c r="E472" s="37" t="s">
        <v>22</v>
      </c>
      <c r="F472" s="42">
        <v>45322</v>
      </c>
      <c r="G472" s="37">
        <v>2024</v>
      </c>
      <c r="H472" s="37" t="s">
        <v>74</v>
      </c>
      <c r="I472" s="37" t="s">
        <v>34</v>
      </c>
      <c r="J472" s="37">
        <v>0</v>
      </c>
      <c r="K472" s="53">
        <v>0</v>
      </c>
      <c r="L472" s="24" t="str">
        <f t="shared" si="43"/>
        <v/>
      </c>
      <c r="M472" s="24" t="str">
        <f t="shared" si="44"/>
        <v/>
      </c>
      <c r="N472" s="37" t="s">
        <v>25</v>
      </c>
      <c r="O472" s="37" t="s">
        <v>25</v>
      </c>
      <c r="P472" s="37">
        <v>0</v>
      </c>
      <c r="Q472" s="37">
        <v>0</v>
      </c>
      <c r="R472" s="37" t="s">
        <v>588</v>
      </c>
      <c r="S472" s="37"/>
    </row>
    <row r="473" spans="1:19" x14ac:dyDescent="0.3">
      <c r="A473" s="37">
        <v>172</v>
      </c>
      <c r="B473" s="37" t="s">
        <v>564</v>
      </c>
      <c r="C473" s="37" t="s">
        <v>258</v>
      </c>
      <c r="D473" s="37" t="s">
        <v>73</v>
      </c>
      <c r="E473" s="37" t="s">
        <v>22</v>
      </c>
      <c r="F473" s="42">
        <v>45351</v>
      </c>
      <c r="G473" s="37">
        <v>2024</v>
      </c>
      <c r="H473" s="37" t="s">
        <v>76</v>
      </c>
      <c r="I473" s="37" t="s">
        <v>34</v>
      </c>
      <c r="J473" s="37">
        <v>0</v>
      </c>
      <c r="K473" s="53">
        <v>0</v>
      </c>
      <c r="L473" s="24" t="str">
        <f t="shared" si="43"/>
        <v/>
      </c>
      <c r="M473" s="24" t="str">
        <f t="shared" si="44"/>
        <v/>
      </c>
      <c r="N473" s="37" t="s">
        <v>25</v>
      </c>
      <c r="O473" s="37" t="s">
        <v>25</v>
      </c>
      <c r="P473" s="37">
        <v>0</v>
      </c>
      <c r="Q473" s="37">
        <v>0</v>
      </c>
      <c r="R473" s="37" t="s">
        <v>589</v>
      </c>
      <c r="S473" s="37"/>
    </row>
    <row r="474" spans="1:19" x14ac:dyDescent="0.3">
      <c r="A474" s="37">
        <v>172</v>
      </c>
      <c r="B474" s="37" t="s">
        <v>564</v>
      </c>
      <c r="C474" s="37" t="s">
        <v>258</v>
      </c>
      <c r="D474" s="37" t="s">
        <v>73</v>
      </c>
      <c r="E474" s="37" t="s">
        <v>22</v>
      </c>
      <c r="F474" s="42">
        <v>45382</v>
      </c>
      <c r="G474" s="37">
        <v>2024</v>
      </c>
      <c r="H474" s="37" t="s">
        <v>40</v>
      </c>
      <c r="I474" s="37" t="s">
        <v>34</v>
      </c>
      <c r="J474" s="37">
        <v>0</v>
      </c>
      <c r="K474" s="53">
        <v>0</v>
      </c>
      <c r="L474" s="24" t="str">
        <f t="shared" si="43"/>
        <v/>
      </c>
      <c r="M474" s="24" t="str">
        <f t="shared" si="44"/>
        <v/>
      </c>
      <c r="N474" s="37" t="s">
        <v>25</v>
      </c>
      <c r="O474" s="37" t="s">
        <v>25</v>
      </c>
      <c r="P474" s="37">
        <v>0</v>
      </c>
      <c r="Q474" s="37">
        <v>0</v>
      </c>
      <c r="R474" s="37" t="s">
        <v>590</v>
      </c>
      <c r="S474" s="37"/>
    </row>
    <row r="475" spans="1:19" x14ac:dyDescent="0.3">
      <c r="A475" s="36">
        <v>172</v>
      </c>
      <c r="B475" s="37" t="s">
        <v>564</v>
      </c>
      <c r="C475" s="37" t="s">
        <v>258</v>
      </c>
      <c r="D475" s="37" t="s">
        <v>73</v>
      </c>
      <c r="E475" s="37" t="s">
        <v>22</v>
      </c>
      <c r="F475" s="42">
        <v>45412</v>
      </c>
      <c r="G475" s="37">
        <v>2024</v>
      </c>
      <c r="H475" s="37" t="s">
        <v>79</v>
      </c>
      <c r="I475" s="39" t="s">
        <v>34</v>
      </c>
      <c r="J475" s="37">
        <v>10</v>
      </c>
      <c r="K475" s="26">
        <v>9</v>
      </c>
      <c r="L475" s="24">
        <f t="shared" si="43"/>
        <v>0.9</v>
      </c>
      <c r="M475" s="24">
        <f t="shared" si="44"/>
        <v>0.9</v>
      </c>
      <c r="N475" s="37" t="s">
        <v>25</v>
      </c>
      <c r="O475" s="37" t="s">
        <v>25</v>
      </c>
      <c r="P475" s="40">
        <v>0</v>
      </c>
      <c r="Q475" s="40">
        <v>0</v>
      </c>
      <c r="R475" s="37" t="s">
        <v>591</v>
      </c>
      <c r="S475" s="37"/>
    </row>
    <row r="476" spans="1:19" x14ac:dyDescent="0.3">
      <c r="A476" s="36">
        <v>172</v>
      </c>
      <c r="B476" s="37" t="s">
        <v>564</v>
      </c>
      <c r="C476" s="37" t="s">
        <v>258</v>
      </c>
      <c r="D476" s="37" t="s">
        <v>73</v>
      </c>
      <c r="E476" s="37" t="s">
        <v>22</v>
      </c>
      <c r="F476" s="42">
        <v>45443</v>
      </c>
      <c r="G476" s="37">
        <v>2024</v>
      </c>
      <c r="H476" s="37" t="s">
        <v>81</v>
      </c>
      <c r="I476" s="39" t="s">
        <v>34</v>
      </c>
      <c r="J476" s="37">
        <v>12</v>
      </c>
      <c r="K476" s="26">
        <v>10</v>
      </c>
      <c r="L476" s="24">
        <f t="shared" si="43"/>
        <v>0.83333333333333337</v>
      </c>
      <c r="M476" s="24">
        <f t="shared" si="44"/>
        <v>0.83333333333333337</v>
      </c>
      <c r="N476" s="37" t="s">
        <v>25</v>
      </c>
      <c r="O476" s="37" t="s">
        <v>25</v>
      </c>
      <c r="P476" s="40">
        <v>0</v>
      </c>
      <c r="Q476" s="40">
        <v>0</v>
      </c>
      <c r="R476" s="37" t="s">
        <v>592</v>
      </c>
      <c r="S476" s="37"/>
    </row>
    <row r="477" spans="1:19" x14ac:dyDescent="0.3">
      <c r="A477" s="36">
        <v>172</v>
      </c>
      <c r="B477" s="37" t="s">
        <v>564</v>
      </c>
      <c r="C477" s="37" t="s">
        <v>258</v>
      </c>
      <c r="D477" s="37" t="s">
        <v>73</v>
      </c>
      <c r="E477" s="37" t="s">
        <v>22</v>
      </c>
      <c r="F477" s="42">
        <v>45473</v>
      </c>
      <c r="G477" s="37">
        <v>2024</v>
      </c>
      <c r="H477" s="37" t="s">
        <v>23</v>
      </c>
      <c r="I477" s="39" t="s">
        <v>34</v>
      </c>
      <c r="J477" s="37">
        <v>16</v>
      </c>
      <c r="K477" s="26">
        <v>14</v>
      </c>
      <c r="L477" s="24">
        <f t="shared" si="43"/>
        <v>0.875</v>
      </c>
      <c r="M477" s="24">
        <f t="shared" si="44"/>
        <v>0.875</v>
      </c>
      <c r="N477" s="37" t="s">
        <v>25</v>
      </c>
      <c r="O477" s="37" t="s">
        <v>25</v>
      </c>
      <c r="P477" s="40">
        <v>0</v>
      </c>
      <c r="Q477" s="40">
        <v>0</v>
      </c>
      <c r="R477" s="37" t="s">
        <v>593</v>
      </c>
      <c r="S477" s="37"/>
    </row>
    <row r="478" spans="1:19" x14ac:dyDescent="0.3">
      <c r="A478" s="36">
        <v>172</v>
      </c>
      <c r="B478" s="37" t="s">
        <v>564</v>
      </c>
      <c r="C478" s="37" t="s">
        <v>258</v>
      </c>
      <c r="D478" s="37" t="s">
        <v>73</v>
      </c>
      <c r="E478" s="37" t="s">
        <v>22</v>
      </c>
      <c r="F478" s="42">
        <v>45504</v>
      </c>
      <c r="G478" s="37">
        <v>2024</v>
      </c>
      <c r="H478" s="37" t="s">
        <v>84</v>
      </c>
      <c r="I478" s="39" t="s">
        <v>36</v>
      </c>
      <c r="J478" s="37">
        <v>22</v>
      </c>
      <c r="K478" s="26">
        <v>20</v>
      </c>
      <c r="L478" s="24">
        <f t="shared" si="43"/>
        <v>0.90909090909090906</v>
      </c>
      <c r="M478" s="24">
        <f t="shared" si="44"/>
        <v>0.90909090909090906</v>
      </c>
      <c r="N478" s="37" t="s">
        <v>25</v>
      </c>
      <c r="O478" s="37" t="s">
        <v>25</v>
      </c>
      <c r="P478" s="40">
        <v>0</v>
      </c>
      <c r="Q478" s="40">
        <v>0</v>
      </c>
      <c r="R478" s="37" t="s">
        <v>594</v>
      </c>
      <c r="S478" s="37"/>
    </row>
    <row r="479" spans="1:19" x14ac:dyDescent="0.3">
      <c r="A479" s="36">
        <v>172</v>
      </c>
      <c r="B479" s="37" t="s">
        <v>564</v>
      </c>
      <c r="C479" s="37" t="s">
        <v>258</v>
      </c>
      <c r="D479" s="37" t="s">
        <v>73</v>
      </c>
      <c r="E479" s="37" t="s">
        <v>22</v>
      </c>
      <c r="F479" s="42">
        <v>45535</v>
      </c>
      <c r="G479" s="37">
        <v>2024</v>
      </c>
      <c r="H479" s="37" t="s">
        <v>86</v>
      </c>
      <c r="I479" s="39" t="s">
        <v>36</v>
      </c>
      <c r="J479" s="37">
        <v>28</v>
      </c>
      <c r="K479" s="56">
        <v>26</v>
      </c>
      <c r="L479" s="24">
        <f t="shared" si="43"/>
        <v>0.9285714285714286</v>
      </c>
      <c r="M479" s="24">
        <f t="shared" si="44"/>
        <v>0.9285714285714286</v>
      </c>
      <c r="N479" s="37" t="s">
        <v>25</v>
      </c>
      <c r="O479" s="37" t="s">
        <v>25</v>
      </c>
      <c r="P479" s="40">
        <v>0</v>
      </c>
      <c r="Q479" s="40">
        <v>0</v>
      </c>
      <c r="R479" s="37" t="s">
        <v>595</v>
      </c>
      <c r="S479" s="37"/>
    </row>
    <row r="480" spans="1:19" x14ac:dyDescent="0.3">
      <c r="A480" s="36">
        <v>172</v>
      </c>
      <c r="B480" s="37" t="s">
        <v>564</v>
      </c>
      <c r="C480" s="37" t="s">
        <v>258</v>
      </c>
      <c r="D480" s="37" t="s">
        <v>73</v>
      </c>
      <c r="E480" s="37" t="s">
        <v>22</v>
      </c>
      <c r="F480" s="42">
        <v>45565</v>
      </c>
      <c r="G480" s="37">
        <v>2024</v>
      </c>
      <c r="H480" s="37" t="s">
        <v>43</v>
      </c>
      <c r="I480" s="39" t="s">
        <v>36</v>
      </c>
      <c r="J480" s="37">
        <v>32</v>
      </c>
      <c r="K480" s="56">
        <v>30</v>
      </c>
      <c r="L480" s="24">
        <f t="shared" si="43"/>
        <v>0.9375</v>
      </c>
      <c r="M480" s="24">
        <f t="shared" si="44"/>
        <v>0.9375</v>
      </c>
      <c r="N480" s="37" t="s">
        <v>25</v>
      </c>
      <c r="O480" s="37" t="s">
        <v>25</v>
      </c>
      <c r="P480" s="40">
        <v>0</v>
      </c>
      <c r="Q480" s="40">
        <v>0</v>
      </c>
      <c r="R480" s="37" t="s">
        <v>596</v>
      </c>
      <c r="S480" s="37"/>
    </row>
    <row r="481" spans="1:19" x14ac:dyDescent="0.3">
      <c r="A481" s="41">
        <v>172</v>
      </c>
      <c r="B481" s="37" t="s">
        <v>564</v>
      </c>
      <c r="C481" s="37" t="s">
        <v>258</v>
      </c>
      <c r="D481" s="37" t="s">
        <v>73</v>
      </c>
      <c r="E481" s="37" t="s">
        <v>22</v>
      </c>
      <c r="F481" s="42">
        <v>45596</v>
      </c>
      <c r="G481" s="37">
        <v>2024</v>
      </c>
      <c r="H481" s="37" t="s">
        <v>89</v>
      </c>
      <c r="I481" s="39" t="s">
        <v>36</v>
      </c>
      <c r="J481" s="37">
        <v>34</v>
      </c>
      <c r="K481" s="26">
        <v>32</v>
      </c>
      <c r="L481" s="24">
        <f t="shared" si="43"/>
        <v>0.94117647058823528</v>
      </c>
      <c r="M481" s="24">
        <f t="shared" si="44"/>
        <v>0.94117647058823528</v>
      </c>
      <c r="N481" s="37" t="s">
        <v>25</v>
      </c>
      <c r="O481" s="37" t="s">
        <v>25</v>
      </c>
      <c r="P481" s="40">
        <v>0</v>
      </c>
      <c r="Q481" s="40">
        <v>0</v>
      </c>
      <c r="R481" s="37" t="s">
        <v>597</v>
      </c>
      <c r="S481" s="37"/>
    </row>
    <row r="482" spans="1:19" x14ac:dyDescent="0.3">
      <c r="A482" s="41">
        <v>172</v>
      </c>
      <c r="B482" s="37" t="s">
        <v>564</v>
      </c>
      <c r="C482" s="37" t="s">
        <v>258</v>
      </c>
      <c r="D482" s="37" t="s">
        <v>73</v>
      </c>
      <c r="E482" s="37" t="s">
        <v>22</v>
      </c>
      <c r="F482" s="42">
        <v>45626</v>
      </c>
      <c r="G482" s="37">
        <v>2024</v>
      </c>
      <c r="H482" s="37" t="s">
        <v>91</v>
      </c>
      <c r="I482" s="39" t="s">
        <v>36</v>
      </c>
      <c r="J482" s="53">
        <v>37</v>
      </c>
      <c r="K482" s="26">
        <v>37</v>
      </c>
      <c r="L482" s="24">
        <f t="shared" si="43"/>
        <v>1</v>
      </c>
      <c r="M482" s="24">
        <f t="shared" si="44"/>
        <v>1</v>
      </c>
      <c r="N482" s="37" t="s">
        <v>25</v>
      </c>
      <c r="O482" s="37" t="s">
        <v>25</v>
      </c>
      <c r="P482" s="40">
        <v>0</v>
      </c>
      <c r="Q482" s="40">
        <v>0</v>
      </c>
      <c r="R482" s="37" t="s">
        <v>598</v>
      </c>
      <c r="S482" s="37"/>
    </row>
    <row r="483" spans="1:19" x14ac:dyDescent="0.3">
      <c r="A483" s="41">
        <v>172</v>
      </c>
      <c r="B483" s="37" t="s">
        <v>564</v>
      </c>
      <c r="C483" s="37" t="s">
        <v>258</v>
      </c>
      <c r="D483" s="37" t="s">
        <v>73</v>
      </c>
      <c r="E483" s="37" t="s">
        <v>22</v>
      </c>
      <c r="F483" s="42">
        <v>45657</v>
      </c>
      <c r="G483" s="37">
        <v>2024</v>
      </c>
      <c r="H483" s="37" t="s">
        <v>27</v>
      </c>
      <c r="I483" s="39" t="s">
        <v>36</v>
      </c>
      <c r="J483" s="53">
        <v>38</v>
      </c>
      <c r="K483" s="26">
        <v>37</v>
      </c>
      <c r="L483" s="24">
        <f t="shared" si="43"/>
        <v>0.97368421052631582</v>
      </c>
      <c r="M483" s="24">
        <f t="shared" si="44"/>
        <v>0.97368421052631582</v>
      </c>
      <c r="N483" s="37" t="s">
        <v>25</v>
      </c>
      <c r="O483" s="37" t="s">
        <v>25</v>
      </c>
      <c r="P483" s="40">
        <v>0</v>
      </c>
      <c r="Q483" s="40">
        <v>0</v>
      </c>
      <c r="R483" s="37" t="s">
        <v>599</v>
      </c>
      <c r="S483" s="37"/>
    </row>
    <row r="484" spans="1:19" x14ac:dyDescent="0.3">
      <c r="A484" s="36">
        <v>174</v>
      </c>
      <c r="B484" s="37" t="s">
        <v>600</v>
      </c>
      <c r="C484" s="37" t="s">
        <v>258</v>
      </c>
      <c r="D484" s="37" t="s">
        <v>21</v>
      </c>
      <c r="E484" s="37" t="s">
        <v>22</v>
      </c>
      <c r="F484" s="38">
        <v>45107</v>
      </c>
      <c r="G484" s="37">
        <v>2023</v>
      </c>
      <c r="H484" s="37" t="s">
        <v>23</v>
      </c>
      <c r="I484" s="39" t="s">
        <v>30</v>
      </c>
      <c r="J484" s="37">
        <v>95</v>
      </c>
      <c r="K484" s="26">
        <v>100</v>
      </c>
      <c r="L484" s="24">
        <f t="shared" si="43"/>
        <v>1.0526315789473684</v>
      </c>
      <c r="M484" s="24">
        <f t="shared" si="44"/>
        <v>1.0526315789473684</v>
      </c>
      <c r="N484" s="37" t="s">
        <v>25</v>
      </c>
      <c r="O484" s="37" t="s">
        <v>25</v>
      </c>
      <c r="P484" s="40">
        <v>0</v>
      </c>
      <c r="Q484" s="40">
        <v>0</v>
      </c>
      <c r="R484" s="37" t="s">
        <v>601</v>
      </c>
      <c r="S484" s="37"/>
    </row>
    <row r="485" spans="1:19" x14ac:dyDescent="0.3">
      <c r="A485" s="41">
        <v>174</v>
      </c>
      <c r="B485" s="37" t="s">
        <v>600</v>
      </c>
      <c r="C485" s="37" t="s">
        <v>258</v>
      </c>
      <c r="D485" s="37" t="s">
        <v>21</v>
      </c>
      <c r="E485" s="37" t="s">
        <v>22</v>
      </c>
      <c r="F485" s="42">
        <v>45291</v>
      </c>
      <c r="G485" s="37">
        <v>2023</v>
      </c>
      <c r="H485" s="37" t="s">
        <v>27</v>
      </c>
      <c r="I485" s="39" t="s">
        <v>32</v>
      </c>
      <c r="J485" s="37">
        <v>95</v>
      </c>
      <c r="K485" s="26">
        <v>100</v>
      </c>
      <c r="L485" s="24">
        <f t="shared" si="43"/>
        <v>1.0526315789473684</v>
      </c>
      <c r="M485" s="24">
        <f t="shared" si="44"/>
        <v>1.0526315789473684</v>
      </c>
      <c r="N485" s="37" t="s">
        <v>25</v>
      </c>
      <c r="O485" s="37" t="s">
        <v>25</v>
      </c>
      <c r="P485" s="40">
        <v>0</v>
      </c>
      <c r="Q485" s="40">
        <v>0</v>
      </c>
      <c r="R485" s="37" t="s">
        <v>602</v>
      </c>
      <c r="S485" s="37"/>
    </row>
    <row r="486" spans="1:19" x14ac:dyDescent="0.3">
      <c r="A486" s="36">
        <v>176</v>
      </c>
      <c r="B486" s="37" t="s">
        <v>603</v>
      </c>
      <c r="C486" s="37" t="s">
        <v>258</v>
      </c>
      <c r="D486" s="37" t="s">
        <v>73</v>
      </c>
      <c r="E486" s="37" t="s">
        <v>22</v>
      </c>
      <c r="F486" s="42">
        <v>45046</v>
      </c>
      <c r="G486" s="37">
        <v>2023</v>
      </c>
      <c r="H486" s="37" t="s">
        <v>79</v>
      </c>
      <c r="I486" s="39" t="s">
        <v>30</v>
      </c>
      <c r="J486" s="37">
        <v>80</v>
      </c>
      <c r="K486" s="56">
        <v>70.19</v>
      </c>
      <c r="L486" s="24">
        <f t="shared" si="43"/>
        <v>0.87737500000000002</v>
      </c>
      <c r="M486" s="24">
        <f t="shared" si="44"/>
        <v>0.87737500000000002</v>
      </c>
      <c r="N486" s="37" t="s">
        <v>25</v>
      </c>
      <c r="O486" s="37" t="s">
        <v>25</v>
      </c>
      <c r="P486" s="40">
        <v>0</v>
      </c>
      <c r="Q486" s="40">
        <v>0</v>
      </c>
      <c r="R486" s="37" t="s">
        <v>604</v>
      </c>
      <c r="S486" s="37"/>
    </row>
    <row r="487" spans="1:19" x14ac:dyDescent="0.3">
      <c r="A487" s="36">
        <v>176</v>
      </c>
      <c r="B487" s="37" t="s">
        <v>603</v>
      </c>
      <c r="C487" s="37" t="s">
        <v>258</v>
      </c>
      <c r="D487" s="37" t="s">
        <v>73</v>
      </c>
      <c r="E487" s="37" t="s">
        <v>22</v>
      </c>
      <c r="F487" s="42">
        <v>45077</v>
      </c>
      <c r="G487" s="37">
        <v>2023</v>
      </c>
      <c r="H487" s="37" t="s">
        <v>81</v>
      </c>
      <c r="I487" s="39" t="s">
        <v>30</v>
      </c>
      <c r="J487" s="37">
        <v>80</v>
      </c>
      <c r="K487" s="56">
        <v>91.53</v>
      </c>
      <c r="L487" s="24">
        <f t="shared" si="43"/>
        <v>1.1441250000000001</v>
      </c>
      <c r="M487" s="24">
        <f t="shared" si="44"/>
        <v>1.1441250000000001</v>
      </c>
      <c r="N487" s="37" t="s">
        <v>25</v>
      </c>
      <c r="O487" s="37" t="s">
        <v>25</v>
      </c>
      <c r="P487" s="40">
        <v>0</v>
      </c>
      <c r="Q487" s="40">
        <v>0</v>
      </c>
      <c r="R487" s="37" t="s">
        <v>605</v>
      </c>
      <c r="S487" s="37"/>
    </row>
    <row r="488" spans="1:19" x14ac:dyDescent="0.3">
      <c r="A488" s="36">
        <v>176</v>
      </c>
      <c r="B488" s="37" t="s">
        <v>603</v>
      </c>
      <c r="C488" s="37" t="s">
        <v>258</v>
      </c>
      <c r="D488" s="37" t="s">
        <v>73</v>
      </c>
      <c r="E488" s="37" t="s">
        <v>22</v>
      </c>
      <c r="F488" s="42">
        <v>45107</v>
      </c>
      <c r="G488" s="37">
        <v>2023</v>
      </c>
      <c r="H488" s="37" t="s">
        <v>23</v>
      </c>
      <c r="I488" s="39" t="s">
        <v>30</v>
      </c>
      <c r="J488" s="37">
        <v>80</v>
      </c>
      <c r="K488" s="26">
        <v>88.24</v>
      </c>
      <c r="L488" s="24">
        <f t="shared" si="43"/>
        <v>1.103</v>
      </c>
      <c r="M488" s="24">
        <f t="shared" si="44"/>
        <v>1.103</v>
      </c>
      <c r="N488" s="37" t="s">
        <v>25</v>
      </c>
      <c r="O488" s="37" t="s">
        <v>25</v>
      </c>
      <c r="P488" s="40">
        <v>0</v>
      </c>
      <c r="Q488" s="40">
        <v>0</v>
      </c>
      <c r="R488" s="37" t="s">
        <v>606</v>
      </c>
      <c r="S488" s="37"/>
    </row>
    <row r="489" spans="1:19" x14ac:dyDescent="0.3">
      <c r="A489" s="36">
        <v>176</v>
      </c>
      <c r="B489" s="37" t="s">
        <v>603</v>
      </c>
      <c r="C489" s="37" t="s">
        <v>258</v>
      </c>
      <c r="D489" s="37" t="s">
        <v>73</v>
      </c>
      <c r="E489" s="37" t="s">
        <v>22</v>
      </c>
      <c r="F489" s="42">
        <v>45138</v>
      </c>
      <c r="G489" s="37">
        <v>2023</v>
      </c>
      <c r="H489" s="37" t="s">
        <v>84</v>
      </c>
      <c r="I489" s="39" t="s">
        <v>32</v>
      </c>
      <c r="J489" s="37">
        <v>80</v>
      </c>
      <c r="K489" s="26">
        <v>70.67</v>
      </c>
      <c r="L489" s="24">
        <f t="shared" ref="L489:L517" si="45">IFERROR(IF(OR(J489=0,K489=""),"",IF(E489="Positivo",MIN(MAX(K489/J489,0),1.3),MIN(MAX(J489/K489,0),1.3))),"")</f>
        <v>0.88337500000000002</v>
      </c>
      <c r="M489" s="24">
        <f t="shared" ref="M489:M522" si="46">IFERROR(IF(OR(J489=0,K489=""),"",IF(E489="Positivo",MAX(K489/J489,0),MAX(J489/K489,0))),"")</f>
        <v>0.88337500000000002</v>
      </c>
      <c r="N489" s="37" t="s">
        <v>25</v>
      </c>
      <c r="O489" s="37" t="s">
        <v>25</v>
      </c>
      <c r="P489" s="40">
        <v>0</v>
      </c>
      <c r="Q489" s="40">
        <v>0</v>
      </c>
      <c r="R489" s="37" t="s">
        <v>607</v>
      </c>
      <c r="S489" s="37"/>
    </row>
    <row r="490" spans="1:19" x14ac:dyDescent="0.3">
      <c r="A490" s="36">
        <v>176</v>
      </c>
      <c r="B490" s="37" t="s">
        <v>603</v>
      </c>
      <c r="C490" s="37" t="s">
        <v>258</v>
      </c>
      <c r="D490" s="37" t="s">
        <v>73</v>
      </c>
      <c r="E490" s="37" t="s">
        <v>22</v>
      </c>
      <c r="F490" s="42">
        <v>45169</v>
      </c>
      <c r="G490" s="37">
        <v>2023</v>
      </c>
      <c r="H490" s="37" t="s">
        <v>86</v>
      </c>
      <c r="I490" s="39" t="s">
        <v>32</v>
      </c>
      <c r="J490" s="37">
        <v>80</v>
      </c>
      <c r="K490" s="56">
        <v>78.13</v>
      </c>
      <c r="L490" s="24">
        <f t="shared" si="45"/>
        <v>0.97662499999999997</v>
      </c>
      <c r="M490" s="24">
        <f t="shared" si="46"/>
        <v>0.97662499999999997</v>
      </c>
      <c r="N490" s="37" t="s">
        <v>25</v>
      </c>
      <c r="O490" s="37" t="s">
        <v>25</v>
      </c>
      <c r="P490" s="40">
        <v>0</v>
      </c>
      <c r="Q490" s="40">
        <v>0</v>
      </c>
      <c r="R490" s="37" t="s">
        <v>608</v>
      </c>
      <c r="S490" s="37"/>
    </row>
    <row r="491" spans="1:19" x14ac:dyDescent="0.3">
      <c r="A491" s="36">
        <v>176</v>
      </c>
      <c r="B491" s="37" t="s">
        <v>603</v>
      </c>
      <c r="C491" s="37" t="s">
        <v>258</v>
      </c>
      <c r="D491" s="37" t="s">
        <v>73</v>
      </c>
      <c r="E491" s="37" t="s">
        <v>22</v>
      </c>
      <c r="F491" s="42">
        <v>45199</v>
      </c>
      <c r="G491" s="37">
        <v>2023</v>
      </c>
      <c r="H491" s="37" t="s">
        <v>43</v>
      </c>
      <c r="I491" s="39" t="s">
        <v>32</v>
      </c>
      <c r="J491" s="37">
        <v>80</v>
      </c>
      <c r="K491" s="56">
        <v>92.73</v>
      </c>
      <c r="L491" s="24">
        <f t="shared" si="45"/>
        <v>1.159125</v>
      </c>
      <c r="M491" s="24">
        <f t="shared" si="46"/>
        <v>1.159125</v>
      </c>
      <c r="N491" s="37" t="s">
        <v>25</v>
      </c>
      <c r="O491" s="37" t="s">
        <v>25</v>
      </c>
      <c r="P491" s="40">
        <v>0</v>
      </c>
      <c r="Q491" s="40">
        <v>0</v>
      </c>
      <c r="R491" s="37" t="s">
        <v>609</v>
      </c>
      <c r="S491" s="37"/>
    </row>
    <row r="492" spans="1:19" x14ac:dyDescent="0.3">
      <c r="A492" s="41">
        <v>176</v>
      </c>
      <c r="B492" s="37" t="s">
        <v>603</v>
      </c>
      <c r="C492" s="37" t="s">
        <v>258</v>
      </c>
      <c r="D492" s="37" t="s">
        <v>73</v>
      </c>
      <c r="E492" s="37" t="s">
        <v>22</v>
      </c>
      <c r="F492" s="42">
        <v>45230</v>
      </c>
      <c r="G492" s="37">
        <v>2023</v>
      </c>
      <c r="H492" s="37" t="s">
        <v>89</v>
      </c>
      <c r="I492" s="39" t="s">
        <v>32</v>
      </c>
      <c r="J492" s="37">
        <v>80</v>
      </c>
      <c r="K492" s="56">
        <v>70.3</v>
      </c>
      <c r="L492" s="24">
        <f t="shared" si="45"/>
        <v>0.87874999999999992</v>
      </c>
      <c r="M492" s="24">
        <f t="shared" si="46"/>
        <v>0.87874999999999992</v>
      </c>
      <c r="N492" s="37" t="s">
        <v>25</v>
      </c>
      <c r="O492" s="37" t="s">
        <v>25</v>
      </c>
      <c r="P492" s="40">
        <v>1</v>
      </c>
      <c r="Q492" s="40">
        <v>1</v>
      </c>
      <c r="R492" s="37" t="s">
        <v>610</v>
      </c>
      <c r="S492" s="37"/>
    </row>
    <row r="493" spans="1:19" x14ac:dyDescent="0.3">
      <c r="A493" s="41">
        <v>176</v>
      </c>
      <c r="B493" s="37" t="s">
        <v>603</v>
      </c>
      <c r="C493" s="37" t="s">
        <v>258</v>
      </c>
      <c r="D493" s="37" t="s">
        <v>73</v>
      </c>
      <c r="E493" s="37" t="s">
        <v>22</v>
      </c>
      <c r="F493" s="42">
        <v>45260</v>
      </c>
      <c r="G493" s="37">
        <v>2023</v>
      </c>
      <c r="H493" s="37" t="s">
        <v>91</v>
      </c>
      <c r="I493" s="39" t="s">
        <v>32</v>
      </c>
      <c r="J493" s="37">
        <v>80</v>
      </c>
      <c r="K493" s="26">
        <v>87.36</v>
      </c>
      <c r="L493" s="24">
        <f t="shared" si="45"/>
        <v>1.0920000000000001</v>
      </c>
      <c r="M493" s="24">
        <f t="shared" si="46"/>
        <v>1.0920000000000001</v>
      </c>
      <c r="N493" s="37" t="s">
        <v>25</v>
      </c>
      <c r="O493" s="37" t="s">
        <v>25</v>
      </c>
      <c r="P493" s="40">
        <v>0</v>
      </c>
      <c r="Q493" s="40">
        <v>0</v>
      </c>
      <c r="R493" s="37" t="s">
        <v>611</v>
      </c>
      <c r="S493" s="37"/>
    </row>
    <row r="494" spans="1:19" x14ac:dyDescent="0.3">
      <c r="A494" s="41">
        <v>176</v>
      </c>
      <c r="B494" s="37" t="s">
        <v>603</v>
      </c>
      <c r="C494" s="37" t="s">
        <v>258</v>
      </c>
      <c r="D494" s="37" t="s">
        <v>73</v>
      </c>
      <c r="E494" s="37" t="s">
        <v>22</v>
      </c>
      <c r="F494" s="42">
        <v>45291</v>
      </c>
      <c r="G494" s="37">
        <v>2023</v>
      </c>
      <c r="H494" s="37" t="s">
        <v>27</v>
      </c>
      <c r="I494" s="39" t="s">
        <v>32</v>
      </c>
      <c r="J494" s="37">
        <v>80</v>
      </c>
      <c r="K494" s="26">
        <v>83.16</v>
      </c>
      <c r="L494" s="24">
        <f t="shared" si="45"/>
        <v>1.0394999999999999</v>
      </c>
      <c r="M494" s="24">
        <f t="shared" si="46"/>
        <v>1.0394999999999999</v>
      </c>
      <c r="N494" s="37" t="s">
        <v>25</v>
      </c>
      <c r="O494" s="37" t="s">
        <v>25</v>
      </c>
      <c r="P494" s="40">
        <v>0</v>
      </c>
      <c r="Q494" s="40">
        <v>0</v>
      </c>
      <c r="R494" s="37" t="s">
        <v>612</v>
      </c>
      <c r="S494" s="37"/>
    </row>
    <row r="495" spans="1:19" x14ac:dyDescent="0.3">
      <c r="A495" s="36">
        <v>176</v>
      </c>
      <c r="B495" s="37" t="s">
        <v>603</v>
      </c>
      <c r="C495" s="37" t="s">
        <v>258</v>
      </c>
      <c r="D495" s="37" t="s">
        <v>73</v>
      </c>
      <c r="E495" s="37" t="s">
        <v>22</v>
      </c>
      <c r="F495" s="42">
        <v>45322</v>
      </c>
      <c r="G495" s="37">
        <v>2024</v>
      </c>
      <c r="H495" s="37" t="s">
        <v>74</v>
      </c>
      <c r="I495" s="39" t="s">
        <v>34</v>
      </c>
      <c r="J495" s="37">
        <v>85</v>
      </c>
      <c r="K495" s="56">
        <v>83.33</v>
      </c>
      <c r="L495" s="24">
        <f t="shared" si="45"/>
        <v>0.98035294117647054</v>
      </c>
      <c r="M495" s="24">
        <f t="shared" si="46"/>
        <v>0.98035294117647054</v>
      </c>
      <c r="N495" s="37" t="s">
        <v>613</v>
      </c>
      <c r="O495" s="37" t="s">
        <v>613</v>
      </c>
      <c r="P495" s="40">
        <v>0</v>
      </c>
      <c r="Q495" s="40">
        <v>0</v>
      </c>
      <c r="R495" s="37" t="s">
        <v>614</v>
      </c>
      <c r="S495" s="37"/>
    </row>
    <row r="496" spans="1:19" x14ac:dyDescent="0.3">
      <c r="A496" s="36">
        <v>176</v>
      </c>
      <c r="B496" s="37" t="s">
        <v>603</v>
      </c>
      <c r="C496" s="37" t="s">
        <v>258</v>
      </c>
      <c r="D496" s="37" t="s">
        <v>73</v>
      </c>
      <c r="E496" s="37" t="s">
        <v>22</v>
      </c>
      <c r="F496" s="38">
        <v>45350</v>
      </c>
      <c r="G496" s="37">
        <v>2024</v>
      </c>
      <c r="H496" s="37" t="s">
        <v>76</v>
      </c>
      <c r="I496" s="39" t="s">
        <v>34</v>
      </c>
      <c r="J496" s="37">
        <v>85</v>
      </c>
      <c r="K496" s="56">
        <v>80.42</v>
      </c>
      <c r="L496" s="24">
        <f t="shared" si="45"/>
        <v>0.94611764705882351</v>
      </c>
      <c r="M496" s="24">
        <f t="shared" si="46"/>
        <v>0.94611764705882351</v>
      </c>
      <c r="N496" s="37" t="s">
        <v>613</v>
      </c>
      <c r="O496" s="37" t="s">
        <v>613</v>
      </c>
      <c r="P496" s="40">
        <v>0</v>
      </c>
      <c r="Q496" s="40">
        <v>0</v>
      </c>
      <c r="R496" s="37" t="s">
        <v>615</v>
      </c>
      <c r="S496" s="37"/>
    </row>
    <row r="497" spans="1:19" x14ac:dyDescent="0.3">
      <c r="A497" s="36">
        <v>176</v>
      </c>
      <c r="B497" s="37" t="s">
        <v>603</v>
      </c>
      <c r="C497" s="37" t="s">
        <v>258</v>
      </c>
      <c r="D497" s="37" t="s">
        <v>73</v>
      </c>
      <c r="E497" s="37" t="s">
        <v>22</v>
      </c>
      <c r="F497" s="42">
        <v>45351</v>
      </c>
      <c r="G497" s="37">
        <v>2024</v>
      </c>
      <c r="H497" s="37" t="s">
        <v>76</v>
      </c>
      <c r="I497" s="39" t="s">
        <v>34</v>
      </c>
      <c r="J497" s="37">
        <v>85</v>
      </c>
      <c r="K497" s="54">
        <v>80.42</v>
      </c>
      <c r="L497" s="24">
        <f t="shared" si="45"/>
        <v>0.94611764705882351</v>
      </c>
      <c r="M497" s="24">
        <f t="shared" si="46"/>
        <v>0.94611764705882351</v>
      </c>
      <c r="N497" s="37" t="s">
        <v>25</v>
      </c>
      <c r="O497" s="37" t="s">
        <v>25</v>
      </c>
      <c r="P497" s="40">
        <v>0</v>
      </c>
      <c r="Q497" s="40">
        <v>0</v>
      </c>
      <c r="R497" s="37" t="s">
        <v>616</v>
      </c>
      <c r="S497" s="37"/>
    </row>
    <row r="498" spans="1:19" x14ac:dyDescent="0.3">
      <c r="A498" s="36">
        <v>176</v>
      </c>
      <c r="B498" s="37" t="s">
        <v>603</v>
      </c>
      <c r="C498" s="37" t="s">
        <v>258</v>
      </c>
      <c r="D498" s="37" t="s">
        <v>73</v>
      </c>
      <c r="E498" s="37" t="s">
        <v>22</v>
      </c>
      <c r="F498" s="42">
        <v>45382</v>
      </c>
      <c r="G498" s="37">
        <v>2024</v>
      </c>
      <c r="H498" s="37" t="s">
        <v>40</v>
      </c>
      <c r="I498" s="39" t="s">
        <v>34</v>
      </c>
      <c r="J498" s="37">
        <v>85</v>
      </c>
      <c r="K498" s="26">
        <v>84.05</v>
      </c>
      <c r="L498" s="24">
        <f t="shared" si="45"/>
        <v>0.98882352941176466</v>
      </c>
      <c r="M498" s="24">
        <f t="shared" si="46"/>
        <v>0.98882352941176466</v>
      </c>
      <c r="N498" s="37" t="s">
        <v>613</v>
      </c>
      <c r="O498" s="37" t="s">
        <v>613</v>
      </c>
      <c r="P498" s="40">
        <v>0</v>
      </c>
      <c r="Q498" s="40">
        <v>0</v>
      </c>
      <c r="R498" s="37" t="s">
        <v>617</v>
      </c>
      <c r="S498" s="37"/>
    </row>
    <row r="499" spans="1:19" x14ac:dyDescent="0.3">
      <c r="A499" s="36">
        <v>176</v>
      </c>
      <c r="B499" s="37" t="s">
        <v>603</v>
      </c>
      <c r="C499" s="37" t="s">
        <v>258</v>
      </c>
      <c r="D499" s="37" t="s">
        <v>73</v>
      </c>
      <c r="E499" s="37" t="s">
        <v>22</v>
      </c>
      <c r="F499" s="42">
        <v>45412</v>
      </c>
      <c r="G499" s="37">
        <v>2024</v>
      </c>
      <c r="H499" s="37" t="s">
        <v>79</v>
      </c>
      <c r="I499" s="39" t="s">
        <v>34</v>
      </c>
      <c r="J499" s="37">
        <v>85</v>
      </c>
      <c r="K499" s="56">
        <v>85.09</v>
      </c>
      <c r="L499" s="24">
        <f t="shared" si="45"/>
        <v>1.0010588235294118</v>
      </c>
      <c r="M499" s="24">
        <f t="shared" si="46"/>
        <v>1.0010588235294118</v>
      </c>
      <c r="N499" s="37" t="s">
        <v>25</v>
      </c>
      <c r="O499" s="37" t="s">
        <v>25</v>
      </c>
      <c r="P499" s="40">
        <v>0</v>
      </c>
      <c r="Q499" s="40">
        <v>0</v>
      </c>
      <c r="R499" s="37" t="s">
        <v>618</v>
      </c>
      <c r="S499" s="37"/>
    </row>
    <row r="500" spans="1:19" x14ac:dyDescent="0.3">
      <c r="A500" s="36">
        <v>176</v>
      </c>
      <c r="B500" s="37" t="s">
        <v>603</v>
      </c>
      <c r="C500" s="37" t="s">
        <v>258</v>
      </c>
      <c r="D500" s="37" t="s">
        <v>73</v>
      </c>
      <c r="E500" s="37" t="s">
        <v>22</v>
      </c>
      <c r="F500" s="42">
        <v>45443</v>
      </c>
      <c r="G500" s="37">
        <v>2024</v>
      </c>
      <c r="H500" s="37" t="s">
        <v>81</v>
      </c>
      <c r="I500" s="39" t="s">
        <v>34</v>
      </c>
      <c r="J500" s="37">
        <v>85</v>
      </c>
      <c r="K500" s="56">
        <v>84.08</v>
      </c>
      <c r="L500" s="24">
        <f t="shared" si="45"/>
        <v>0.98917647058823532</v>
      </c>
      <c r="M500" s="24">
        <f t="shared" si="46"/>
        <v>0.98917647058823532</v>
      </c>
      <c r="N500" s="37" t="s">
        <v>25</v>
      </c>
      <c r="O500" s="37" t="s">
        <v>25</v>
      </c>
      <c r="P500" s="40">
        <v>0</v>
      </c>
      <c r="Q500" s="40">
        <v>0</v>
      </c>
      <c r="R500" s="37" t="s">
        <v>619</v>
      </c>
      <c r="S500" s="37"/>
    </row>
    <row r="501" spans="1:19" x14ac:dyDescent="0.3">
      <c r="A501" s="36">
        <v>176</v>
      </c>
      <c r="B501" s="37" t="s">
        <v>603</v>
      </c>
      <c r="C501" s="37" t="s">
        <v>258</v>
      </c>
      <c r="D501" s="37" t="s">
        <v>73</v>
      </c>
      <c r="E501" s="37" t="s">
        <v>22</v>
      </c>
      <c r="F501" s="42">
        <v>45473</v>
      </c>
      <c r="G501" s="37">
        <v>2024</v>
      </c>
      <c r="H501" s="37" t="s">
        <v>23</v>
      </c>
      <c r="I501" s="39" t="s">
        <v>34</v>
      </c>
      <c r="J501" s="37">
        <v>85</v>
      </c>
      <c r="K501" s="26">
        <v>92.5</v>
      </c>
      <c r="L501" s="24">
        <f t="shared" si="45"/>
        <v>1.088235294117647</v>
      </c>
      <c r="M501" s="24">
        <f t="shared" si="46"/>
        <v>1.088235294117647</v>
      </c>
      <c r="N501" s="37" t="s">
        <v>25</v>
      </c>
      <c r="O501" s="37" t="s">
        <v>25</v>
      </c>
      <c r="P501" s="40">
        <v>0</v>
      </c>
      <c r="Q501" s="40">
        <v>0</v>
      </c>
      <c r="R501" s="37" t="s">
        <v>620</v>
      </c>
      <c r="S501" s="37"/>
    </row>
    <row r="502" spans="1:19" x14ac:dyDescent="0.3">
      <c r="A502" s="36">
        <v>176</v>
      </c>
      <c r="B502" s="37" t="s">
        <v>603</v>
      </c>
      <c r="C502" s="37" t="s">
        <v>258</v>
      </c>
      <c r="D502" s="37" t="s">
        <v>73</v>
      </c>
      <c r="E502" s="37" t="s">
        <v>22</v>
      </c>
      <c r="F502" s="42">
        <v>45504</v>
      </c>
      <c r="G502" s="37">
        <v>2024</v>
      </c>
      <c r="H502" s="37" t="s">
        <v>84</v>
      </c>
      <c r="I502" s="39" t="s">
        <v>36</v>
      </c>
      <c r="J502" s="37">
        <v>85</v>
      </c>
      <c r="K502" s="26">
        <v>94.72</v>
      </c>
      <c r="L502" s="24">
        <f t="shared" si="45"/>
        <v>1.1143529411764705</v>
      </c>
      <c r="M502" s="24">
        <f t="shared" si="46"/>
        <v>1.1143529411764705</v>
      </c>
      <c r="N502" s="37" t="s">
        <v>25</v>
      </c>
      <c r="O502" s="37" t="s">
        <v>25</v>
      </c>
      <c r="P502" s="40">
        <v>0</v>
      </c>
      <c r="Q502" s="40">
        <v>0</v>
      </c>
      <c r="R502" s="37" t="s">
        <v>621</v>
      </c>
      <c r="S502" s="37"/>
    </row>
    <row r="503" spans="1:19" x14ac:dyDescent="0.3">
      <c r="A503" s="36">
        <v>176</v>
      </c>
      <c r="B503" s="37" t="s">
        <v>603</v>
      </c>
      <c r="C503" s="37" t="s">
        <v>258</v>
      </c>
      <c r="D503" s="37" t="s">
        <v>73</v>
      </c>
      <c r="E503" s="37" t="s">
        <v>22</v>
      </c>
      <c r="F503" s="42">
        <v>45535</v>
      </c>
      <c r="G503" s="37">
        <v>2024</v>
      </c>
      <c r="H503" s="37" t="s">
        <v>86</v>
      </c>
      <c r="I503" s="39" t="s">
        <v>36</v>
      </c>
      <c r="J503" s="37">
        <v>85</v>
      </c>
      <c r="K503" s="56">
        <v>92.53</v>
      </c>
      <c r="L503" s="24">
        <f t="shared" si="45"/>
        <v>1.0885882352941176</v>
      </c>
      <c r="M503" s="24">
        <f t="shared" si="46"/>
        <v>1.0885882352941176</v>
      </c>
      <c r="N503" s="37" t="s">
        <v>25</v>
      </c>
      <c r="O503" s="37" t="s">
        <v>25</v>
      </c>
      <c r="P503" s="40">
        <v>0</v>
      </c>
      <c r="Q503" s="40">
        <v>0</v>
      </c>
      <c r="R503" s="37" t="s">
        <v>622</v>
      </c>
      <c r="S503" s="37"/>
    </row>
    <row r="504" spans="1:19" x14ac:dyDescent="0.3">
      <c r="A504" s="36">
        <v>176</v>
      </c>
      <c r="B504" s="37" t="s">
        <v>603</v>
      </c>
      <c r="C504" s="37" t="s">
        <v>258</v>
      </c>
      <c r="D504" s="37" t="s">
        <v>73</v>
      </c>
      <c r="E504" s="37" t="s">
        <v>22</v>
      </c>
      <c r="F504" s="42">
        <v>45565</v>
      </c>
      <c r="G504" s="37">
        <v>2024</v>
      </c>
      <c r="H504" s="37" t="s">
        <v>43</v>
      </c>
      <c r="I504" s="39" t="s">
        <v>36</v>
      </c>
      <c r="J504" s="37">
        <v>85</v>
      </c>
      <c r="K504" s="56">
        <v>94.44</v>
      </c>
      <c r="L504" s="24">
        <f t="shared" si="45"/>
        <v>1.1110588235294117</v>
      </c>
      <c r="M504" s="24">
        <f t="shared" si="46"/>
        <v>1.1110588235294117</v>
      </c>
      <c r="N504" s="37" t="s">
        <v>25</v>
      </c>
      <c r="O504" s="37" t="s">
        <v>25</v>
      </c>
      <c r="P504" s="40">
        <v>0</v>
      </c>
      <c r="Q504" s="40">
        <v>0</v>
      </c>
      <c r="R504" s="37" t="s">
        <v>623</v>
      </c>
      <c r="S504" s="37"/>
    </row>
    <row r="505" spans="1:19" x14ac:dyDescent="0.3">
      <c r="A505" s="37">
        <v>193</v>
      </c>
      <c r="B505" s="37" t="s">
        <v>624</v>
      </c>
      <c r="C505" s="37" t="s">
        <v>625</v>
      </c>
      <c r="D505" s="37" t="s">
        <v>21</v>
      </c>
      <c r="E505" s="37" t="s">
        <v>22</v>
      </c>
      <c r="F505" s="38">
        <v>44742</v>
      </c>
      <c r="G505" s="37">
        <v>2022</v>
      </c>
      <c r="H505" s="37" t="s">
        <v>23</v>
      </c>
      <c r="I505" s="39" t="s">
        <v>24</v>
      </c>
      <c r="J505" s="37">
        <v>76</v>
      </c>
      <c r="K505" s="26">
        <v>91.8</v>
      </c>
      <c r="L505" s="24">
        <f t="shared" si="45"/>
        <v>1.2078947368421051</v>
      </c>
      <c r="M505" s="24">
        <f t="shared" si="46"/>
        <v>1.2078947368421051</v>
      </c>
      <c r="N505" s="37" t="s">
        <v>25</v>
      </c>
      <c r="O505" s="37" t="s">
        <v>25</v>
      </c>
      <c r="P505" s="37">
        <v>1</v>
      </c>
      <c r="Q505" s="37">
        <v>1</v>
      </c>
      <c r="R505" s="37" t="s">
        <v>626</v>
      </c>
      <c r="S505" s="37"/>
    </row>
    <row r="506" spans="1:19" x14ac:dyDescent="0.3">
      <c r="A506" s="37">
        <v>193</v>
      </c>
      <c r="B506" s="37" t="s">
        <v>624</v>
      </c>
      <c r="C506" s="37" t="s">
        <v>625</v>
      </c>
      <c r="D506" s="37" t="s">
        <v>21</v>
      </c>
      <c r="E506" s="37" t="s">
        <v>22</v>
      </c>
      <c r="F506" s="38">
        <v>44926</v>
      </c>
      <c r="G506" s="37">
        <v>2022</v>
      </c>
      <c r="H506" s="37" t="s">
        <v>27</v>
      </c>
      <c r="I506" s="39" t="s">
        <v>28</v>
      </c>
      <c r="J506" s="37">
        <v>76</v>
      </c>
      <c r="K506" s="56">
        <v>92.4</v>
      </c>
      <c r="L506" s="24">
        <f t="shared" si="45"/>
        <v>1.2157894736842105</v>
      </c>
      <c r="M506" s="24">
        <f t="shared" si="46"/>
        <v>1.2157894736842105</v>
      </c>
      <c r="N506" s="37" t="s">
        <v>25</v>
      </c>
      <c r="O506" s="37" t="s">
        <v>25</v>
      </c>
      <c r="P506" s="37">
        <v>1</v>
      </c>
      <c r="Q506" s="37">
        <v>1</v>
      </c>
      <c r="R506" s="37" t="s">
        <v>627</v>
      </c>
      <c r="S506" s="37"/>
    </row>
    <row r="507" spans="1:19" x14ac:dyDescent="0.3">
      <c r="A507" s="36">
        <v>193</v>
      </c>
      <c r="B507" s="37" t="s">
        <v>624</v>
      </c>
      <c r="C507" s="37" t="s">
        <v>625</v>
      </c>
      <c r="D507" s="37" t="s">
        <v>21</v>
      </c>
      <c r="E507" s="37" t="s">
        <v>22</v>
      </c>
      <c r="F507" s="38">
        <v>45107</v>
      </c>
      <c r="G507" s="37">
        <v>2023</v>
      </c>
      <c r="H507" s="37" t="s">
        <v>23</v>
      </c>
      <c r="I507" s="39" t="s">
        <v>30</v>
      </c>
      <c r="J507" s="37">
        <v>92</v>
      </c>
      <c r="K507" s="26">
        <v>91.899679829242004</v>
      </c>
      <c r="L507" s="24">
        <f t="shared" si="45"/>
        <v>0.99890956336132608</v>
      </c>
      <c r="M507" s="24">
        <f t="shared" si="46"/>
        <v>0.99890956336132608</v>
      </c>
      <c r="N507" s="37" t="s">
        <v>25</v>
      </c>
      <c r="O507" s="37" t="s">
        <v>25</v>
      </c>
      <c r="P507" s="40">
        <v>1</v>
      </c>
      <c r="Q507" s="40">
        <v>1</v>
      </c>
      <c r="R507" s="37" t="s">
        <v>628</v>
      </c>
      <c r="S507" s="37"/>
    </row>
    <row r="508" spans="1:19" x14ac:dyDescent="0.3">
      <c r="A508" s="36">
        <v>193</v>
      </c>
      <c r="B508" s="37" t="s">
        <v>624</v>
      </c>
      <c r="C508" s="37" t="s">
        <v>625</v>
      </c>
      <c r="D508" s="37" t="s">
        <v>21</v>
      </c>
      <c r="E508" s="37" t="s">
        <v>22</v>
      </c>
      <c r="F508" s="42">
        <v>45291</v>
      </c>
      <c r="G508" s="37">
        <v>2023</v>
      </c>
      <c r="H508" s="37" t="s">
        <v>27</v>
      </c>
      <c r="I508" s="39" t="s">
        <v>32</v>
      </c>
      <c r="J508" s="37">
        <v>92</v>
      </c>
      <c r="K508" s="26">
        <v>91.3</v>
      </c>
      <c r="L508" s="24">
        <f t="shared" si="45"/>
        <v>0.99239130434782608</v>
      </c>
      <c r="M508" s="24">
        <f t="shared" si="46"/>
        <v>0.99239130434782608</v>
      </c>
      <c r="N508" s="37" t="s">
        <v>25</v>
      </c>
      <c r="O508" s="37" t="s">
        <v>25</v>
      </c>
      <c r="P508" s="40">
        <v>1</v>
      </c>
      <c r="Q508" s="40">
        <v>1</v>
      </c>
      <c r="R508" s="37" t="s">
        <v>629</v>
      </c>
      <c r="S508" s="37"/>
    </row>
    <row r="509" spans="1:19" x14ac:dyDescent="0.3">
      <c r="A509" s="36">
        <v>193</v>
      </c>
      <c r="B509" s="37" t="s">
        <v>624</v>
      </c>
      <c r="C509" s="37" t="s">
        <v>625</v>
      </c>
      <c r="D509" s="37" t="s">
        <v>21</v>
      </c>
      <c r="E509" s="37" t="s">
        <v>22</v>
      </c>
      <c r="F509" s="38">
        <v>45473</v>
      </c>
      <c r="G509" s="37">
        <v>2024</v>
      </c>
      <c r="H509" s="37" t="s">
        <v>23</v>
      </c>
      <c r="I509" s="39" t="s">
        <v>34</v>
      </c>
      <c r="J509" s="37">
        <v>90</v>
      </c>
      <c r="K509" s="56">
        <v>91.700230762025598</v>
      </c>
      <c r="L509" s="24">
        <f t="shared" si="45"/>
        <v>1.0188914529113955</v>
      </c>
      <c r="M509" s="24">
        <f t="shared" si="46"/>
        <v>1.0188914529113955</v>
      </c>
      <c r="N509" s="37" t="s">
        <v>25</v>
      </c>
      <c r="O509" s="37" t="s">
        <v>25</v>
      </c>
      <c r="P509" s="40">
        <v>1</v>
      </c>
      <c r="Q509" s="40">
        <v>1</v>
      </c>
      <c r="R509" s="37" t="s">
        <v>630</v>
      </c>
      <c r="S509" s="37"/>
    </row>
    <row r="510" spans="1:19" x14ac:dyDescent="0.3">
      <c r="A510" s="36">
        <v>193</v>
      </c>
      <c r="B510" s="37" t="s">
        <v>624</v>
      </c>
      <c r="C510" s="37" t="s">
        <v>625</v>
      </c>
      <c r="D510" s="37" t="s">
        <v>21</v>
      </c>
      <c r="E510" s="37" t="s">
        <v>22</v>
      </c>
      <c r="F510" s="42">
        <v>45657</v>
      </c>
      <c r="G510" s="37">
        <v>2024</v>
      </c>
      <c r="H510" s="37" t="s">
        <v>27</v>
      </c>
      <c r="I510" s="39" t="s">
        <v>36</v>
      </c>
      <c r="J510" s="37">
        <v>90</v>
      </c>
      <c r="K510" s="43">
        <v>93.5</v>
      </c>
      <c r="L510" s="24">
        <f t="shared" si="45"/>
        <v>1.038888888888889</v>
      </c>
      <c r="M510" s="24">
        <f t="shared" si="46"/>
        <v>1.038888888888889</v>
      </c>
      <c r="N510" s="37" t="s">
        <v>25</v>
      </c>
      <c r="O510" s="37" t="s">
        <v>25</v>
      </c>
      <c r="P510" s="40">
        <v>1</v>
      </c>
      <c r="Q510" s="40">
        <v>1</v>
      </c>
      <c r="R510" s="37" t="s">
        <v>631</v>
      </c>
      <c r="S510" s="37"/>
    </row>
    <row r="511" spans="1:19" x14ac:dyDescent="0.3">
      <c r="A511" s="37">
        <v>194</v>
      </c>
      <c r="B511" s="37" t="s">
        <v>633</v>
      </c>
      <c r="C511" s="37" t="s">
        <v>625</v>
      </c>
      <c r="D511" s="37" t="s">
        <v>21</v>
      </c>
      <c r="E511" s="37" t="s">
        <v>22</v>
      </c>
      <c r="F511" s="38">
        <v>44742</v>
      </c>
      <c r="G511" s="37">
        <v>2022</v>
      </c>
      <c r="H511" s="37" t="s">
        <v>23</v>
      </c>
      <c r="I511" s="39" t="s">
        <v>24</v>
      </c>
      <c r="J511" s="37">
        <v>73</v>
      </c>
      <c r="K511" s="56">
        <v>83.26</v>
      </c>
      <c r="L511" s="24">
        <f t="shared" si="45"/>
        <v>1.1405479452054794</v>
      </c>
      <c r="M511" s="24">
        <f t="shared" si="46"/>
        <v>1.1405479452054794</v>
      </c>
      <c r="N511" s="37" t="s">
        <v>25</v>
      </c>
      <c r="O511" s="37" t="s">
        <v>25</v>
      </c>
      <c r="P511" s="37">
        <v>0</v>
      </c>
      <c r="Q511" s="37">
        <v>0</v>
      </c>
      <c r="R511" s="37" t="s">
        <v>634</v>
      </c>
      <c r="S511" s="37"/>
    </row>
    <row r="512" spans="1:19" x14ac:dyDescent="0.3">
      <c r="A512" s="37">
        <v>194</v>
      </c>
      <c r="B512" s="37" t="s">
        <v>633</v>
      </c>
      <c r="C512" s="37" t="s">
        <v>625</v>
      </c>
      <c r="D512" s="37" t="s">
        <v>21</v>
      </c>
      <c r="E512" s="37" t="s">
        <v>22</v>
      </c>
      <c r="F512" s="38">
        <v>44926</v>
      </c>
      <c r="G512" s="37">
        <v>2022</v>
      </c>
      <c r="H512" s="37" t="s">
        <v>27</v>
      </c>
      <c r="I512" s="39" t="s">
        <v>28</v>
      </c>
      <c r="J512" s="37">
        <v>73</v>
      </c>
      <c r="K512" s="56">
        <v>83.11</v>
      </c>
      <c r="L512" s="24">
        <f t="shared" si="45"/>
        <v>1.1384931506849314</v>
      </c>
      <c r="M512" s="24">
        <f t="shared" si="46"/>
        <v>1.1384931506849314</v>
      </c>
      <c r="N512" s="37" t="s">
        <v>25</v>
      </c>
      <c r="O512" s="37" t="s">
        <v>25</v>
      </c>
      <c r="P512" s="37">
        <v>0</v>
      </c>
      <c r="Q512" s="37">
        <v>0</v>
      </c>
      <c r="R512" s="37" t="s">
        <v>635</v>
      </c>
      <c r="S512" s="37"/>
    </row>
    <row r="513" spans="1:19" x14ac:dyDescent="0.3">
      <c r="A513" s="36">
        <v>194</v>
      </c>
      <c r="B513" s="37" t="s">
        <v>633</v>
      </c>
      <c r="C513" s="37" t="s">
        <v>625</v>
      </c>
      <c r="D513" s="37" t="s">
        <v>21</v>
      </c>
      <c r="E513" s="37" t="s">
        <v>22</v>
      </c>
      <c r="F513" s="38">
        <v>45107</v>
      </c>
      <c r="G513" s="37">
        <v>2023</v>
      </c>
      <c r="H513" s="37" t="s">
        <v>23</v>
      </c>
      <c r="I513" s="39" t="s">
        <v>30</v>
      </c>
      <c r="J513" s="37">
        <v>80</v>
      </c>
      <c r="K513" s="26">
        <v>79.180000000000007</v>
      </c>
      <c r="L513" s="24">
        <f t="shared" si="45"/>
        <v>0.98975000000000013</v>
      </c>
      <c r="M513" s="24">
        <f t="shared" si="46"/>
        <v>0.98975000000000013</v>
      </c>
      <c r="N513" s="37" t="s">
        <v>25</v>
      </c>
      <c r="O513" s="37" t="s">
        <v>25</v>
      </c>
      <c r="P513" s="40">
        <v>0</v>
      </c>
      <c r="Q513" s="40">
        <v>0</v>
      </c>
      <c r="R513" s="37" t="s">
        <v>636</v>
      </c>
      <c r="S513" s="37"/>
    </row>
    <row r="514" spans="1:19" x14ac:dyDescent="0.3">
      <c r="A514" s="36">
        <v>194</v>
      </c>
      <c r="B514" s="37" t="s">
        <v>633</v>
      </c>
      <c r="C514" s="37" t="s">
        <v>625</v>
      </c>
      <c r="D514" s="37" t="s">
        <v>21</v>
      </c>
      <c r="E514" s="37" t="s">
        <v>22</v>
      </c>
      <c r="F514" s="42">
        <v>45291</v>
      </c>
      <c r="G514" s="37">
        <v>2023</v>
      </c>
      <c r="H514" s="37" t="s">
        <v>27</v>
      </c>
      <c r="I514" s="39" t="s">
        <v>32</v>
      </c>
      <c r="J514" s="37">
        <v>80</v>
      </c>
      <c r="K514" s="56">
        <v>81.91</v>
      </c>
      <c r="L514" s="24">
        <f t="shared" si="45"/>
        <v>1.0238749999999999</v>
      </c>
      <c r="M514" s="24">
        <f t="shared" si="46"/>
        <v>1.0238749999999999</v>
      </c>
      <c r="N514" s="37" t="s">
        <v>25</v>
      </c>
      <c r="O514" s="37" t="s">
        <v>25</v>
      </c>
      <c r="P514" s="40">
        <v>0</v>
      </c>
      <c r="Q514" s="40">
        <v>0</v>
      </c>
      <c r="R514" s="37" t="s">
        <v>637</v>
      </c>
      <c r="S514" s="37"/>
    </row>
    <row r="515" spans="1:19" x14ac:dyDescent="0.3">
      <c r="A515" s="36">
        <v>194</v>
      </c>
      <c r="B515" s="37" t="s">
        <v>633</v>
      </c>
      <c r="C515" s="37" t="s">
        <v>625</v>
      </c>
      <c r="D515" s="37" t="s">
        <v>21</v>
      </c>
      <c r="E515" s="37" t="s">
        <v>22</v>
      </c>
      <c r="F515" s="38">
        <v>45473</v>
      </c>
      <c r="G515" s="37">
        <v>2024</v>
      </c>
      <c r="H515" s="37" t="s">
        <v>23</v>
      </c>
      <c r="I515" s="39" t="s">
        <v>34</v>
      </c>
      <c r="J515" s="37">
        <v>81</v>
      </c>
      <c r="K515" s="26">
        <v>83.01</v>
      </c>
      <c r="L515" s="24">
        <f t="shared" si="45"/>
        <v>1.0248148148148148</v>
      </c>
      <c r="M515" s="24">
        <f t="shared" si="46"/>
        <v>1.0248148148148148</v>
      </c>
      <c r="N515" s="37" t="s">
        <v>25</v>
      </c>
      <c r="O515" s="37" t="s">
        <v>25</v>
      </c>
      <c r="P515" s="40">
        <v>0</v>
      </c>
      <c r="Q515" s="40">
        <v>0</v>
      </c>
      <c r="R515" s="37" t="s">
        <v>638</v>
      </c>
      <c r="S515" s="37"/>
    </row>
    <row r="516" spans="1:19" x14ac:dyDescent="0.3">
      <c r="A516" s="36">
        <v>194</v>
      </c>
      <c r="B516" s="37" t="s">
        <v>633</v>
      </c>
      <c r="C516" s="37" t="s">
        <v>625</v>
      </c>
      <c r="D516" s="37" t="s">
        <v>21</v>
      </c>
      <c r="E516" s="37" t="s">
        <v>22</v>
      </c>
      <c r="F516" s="42">
        <v>45657</v>
      </c>
      <c r="G516" s="37">
        <v>2024</v>
      </c>
      <c r="H516" s="37" t="s">
        <v>27</v>
      </c>
      <c r="I516" s="39" t="s">
        <v>36</v>
      </c>
      <c r="J516" s="37">
        <v>81</v>
      </c>
      <c r="K516" s="26">
        <v>89</v>
      </c>
      <c r="L516" s="24">
        <f t="shared" si="45"/>
        <v>1.0987654320987654</v>
      </c>
      <c r="M516" s="24">
        <f t="shared" si="46"/>
        <v>1.0987654320987654</v>
      </c>
      <c r="N516" s="37" t="s">
        <v>25</v>
      </c>
      <c r="O516" s="37" t="s">
        <v>25</v>
      </c>
      <c r="P516" s="40">
        <v>0</v>
      </c>
      <c r="Q516" s="40">
        <v>0</v>
      </c>
      <c r="R516" s="37" t="s">
        <v>639</v>
      </c>
      <c r="S516" s="37"/>
    </row>
    <row r="517" spans="1:19" x14ac:dyDescent="0.3">
      <c r="A517" s="37">
        <v>195</v>
      </c>
      <c r="B517" s="37" t="s">
        <v>640</v>
      </c>
      <c r="C517" s="37" t="s">
        <v>625</v>
      </c>
      <c r="D517" s="37" t="s">
        <v>21</v>
      </c>
      <c r="E517" s="37" t="s">
        <v>22</v>
      </c>
      <c r="F517" s="38">
        <v>44742</v>
      </c>
      <c r="G517" s="37">
        <v>2022</v>
      </c>
      <c r="H517" s="37" t="s">
        <v>23</v>
      </c>
      <c r="I517" s="39" t="s">
        <v>24</v>
      </c>
      <c r="J517" s="37">
        <v>25</v>
      </c>
      <c r="K517" s="26">
        <v>46.11</v>
      </c>
      <c r="L517" s="24">
        <f t="shared" si="45"/>
        <v>1.3</v>
      </c>
      <c r="M517" s="24">
        <f t="shared" si="46"/>
        <v>1.8444</v>
      </c>
      <c r="N517" s="37" t="s">
        <v>25</v>
      </c>
      <c r="O517" s="37" t="s">
        <v>25</v>
      </c>
      <c r="P517" s="37">
        <v>1</v>
      </c>
      <c r="Q517" s="37">
        <v>1</v>
      </c>
      <c r="R517" s="37" t="s">
        <v>641</v>
      </c>
      <c r="S517" s="37"/>
    </row>
    <row r="518" spans="1:19" x14ac:dyDescent="0.3">
      <c r="A518" s="37">
        <v>195</v>
      </c>
      <c r="B518" s="37" t="s">
        <v>640</v>
      </c>
      <c r="C518" s="37" t="s">
        <v>625</v>
      </c>
      <c r="D518" s="37" t="s">
        <v>21</v>
      </c>
      <c r="E518" s="37" t="s">
        <v>22</v>
      </c>
      <c r="F518" s="38">
        <v>44926</v>
      </c>
      <c r="G518" s="37">
        <v>2022</v>
      </c>
      <c r="H518" s="37" t="s">
        <v>27</v>
      </c>
      <c r="I518" s="39" t="s">
        <v>28</v>
      </c>
      <c r="J518" s="37">
        <v>25</v>
      </c>
      <c r="K518" s="56">
        <v>43.56</v>
      </c>
      <c r="L518" s="24">
        <f t="shared" ref="L518:L522" si="47">IFERROR(IF(OR(J518=0,K518=""),"",IF(E518="Positivo",MIN(MAX(K518/J518,0),1.3),MIN(MAX(J518/K518,0),1.3))),"")</f>
        <v>1.3</v>
      </c>
      <c r="M518" s="24">
        <f t="shared" si="46"/>
        <v>1.7424000000000002</v>
      </c>
      <c r="N518" s="37" t="s">
        <v>25</v>
      </c>
      <c r="O518" s="37" t="s">
        <v>25</v>
      </c>
      <c r="P518" s="37">
        <v>1</v>
      </c>
      <c r="Q518" s="37">
        <v>1</v>
      </c>
      <c r="R518" s="37" t="s">
        <v>642</v>
      </c>
      <c r="S518" s="37"/>
    </row>
    <row r="519" spans="1:19" x14ac:dyDescent="0.3">
      <c r="A519" s="36">
        <v>195</v>
      </c>
      <c r="B519" s="37" t="s">
        <v>640</v>
      </c>
      <c r="C519" s="37" t="s">
        <v>625</v>
      </c>
      <c r="D519" s="37" t="s">
        <v>21</v>
      </c>
      <c r="E519" s="37" t="s">
        <v>22</v>
      </c>
      <c r="F519" s="38">
        <v>45107</v>
      </c>
      <c r="G519" s="37">
        <v>2023</v>
      </c>
      <c r="H519" s="37" t="s">
        <v>23</v>
      </c>
      <c r="I519" s="39" t="s">
        <v>30</v>
      </c>
      <c r="J519" s="37">
        <v>50</v>
      </c>
      <c r="K519" s="56">
        <v>59.59</v>
      </c>
      <c r="L519" s="24">
        <f t="shared" si="47"/>
        <v>1.1918</v>
      </c>
      <c r="M519" s="24">
        <f t="shared" si="46"/>
        <v>1.1918</v>
      </c>
      <c r="N519" s="37" t="s">
        <v>25</v>
      </c>
      <c r="O519" s="37" t="s">
        <v>25</v>
      </c>
      <c r="P519" s="40">
        <v>0</v>
      </c>
      <c r="Q519" s="40">
        <v>0</v>
      </c>
      <c r="R519" s="37" t="s">
        <v>643</v>
      </c>
      <c r="S519" s="37"/>
    </row>
    <row r="520" spans="1:19" x14ac:dyDescent="0.3">
      <c r="A520" s="36">
        <v>195</v>
      </c>
      <c r="B520" s="37" t="s">
        <v>640</v>
      </c>
      <c r="C520" s="37" t="s">
        <v>625</v>
      </c>
      <c r="D520" s="37" t="s">
        <v>21</v>
      </c>
      <c r="E520" s="37" t="s">
        <v>22</v>
      </c>
      <c r="F520" s="42">
        <v>45291</v>
      </c>
      <c r="G520" s="37">
        <v>2023</v>
      </c>
      <c r="H520" s="37" t="s">
        <v>27</v>
      </c>
      <c r="I520" s="39" t="s">
        <v>32</v>
      </c>
      <c r="J520" s="37">
        <v>42</v>
      </c>
      <c r="K520" s="56">
        <v>53.34</v>
      </c>
      <c r="L520" s="24">
        <f t="shared" si="47"/>
        <v>1.27</v>
      </c>
      <c r="M520" s="24">
        <f t="shared" si="46"/>
        <v>1.27</v>
      </c>
      <c r="N520" s="37" t="s">
        <v>25</v>
      </c>
      <c r="O520" s="37" t="s">
        <v>25</v>
      </c>
      <c r="P520" s="40">
        <v>0</v>
      </c>
      <c r="Q520" s="40">
        <v>0</v>
      </c>
      <c r="R520" s="37" t="s">
        <v>644</v>
      </c>
      <c r="S520" s="37"/>
    </row>
    <row r="521" spans="1:19" x14ac:dyDescent="0.3">
      <c r="A521" s="36">
        <v>196</v>
      </c>
      <c r="B521" s="37" t="s">
        <v>645</v>
      </c>
      <c r="C521" s="37" t="s">
        <v>625</v>
      </c>
      <c r="D521" s="37" t="s">
        <v>21</v>
      </c>
      <c r="E521" s="37" t="s">
        <v>56</v>
      </c>
      <c r="F521" s="38">
        <v>45107</v>
      </c>
      <c r="G521" s="37">
        <v>2023</v>
      </c>
      <c r="H521" s="37" t="s">
        <v>23</v>
      </c>
      <c r="I521" s="39" t="s">
        <v>30</v>
      </c>
      <c r="J521" s="37">
        <v>37</v>
      </c>
      <c r="K521" s="56">
        <v>34.409999999999997</v>
      </c>
      <c r="L521" s="24">
        <f t="shared" si="47"/>
        <v>1.0752688172043012</v>
      </c>
      <c r="M521" s="24">
        <f t="shared" si="46"/>
        <v>1.0752688172043012</v>
      </c>
      <c r="N521" s="37" t="s">
        <v>25</v>
      </c>
      <c r="O521" s="37" t="s">
        <v>25</v>
      </c>
      <c r="P521" s="40">
        <v>0</v>
      </c>
      <c r="Q521" s="40">
        <v>0</v>
      </c>
      <c r="R521" s="37" t="s">
        <v>646</v>
      </c>
      <c r="S521" s="37"/>
    </row>
    <row r="522" spans="1:19" x14ac:dyDescent="0.3">
      <c r="A522" s="41">
        <v>196</v>
      </c>
      <c r="B522" s="37" t="s">
        <v>645</v>
      </c>
      <c r="C522" s="37" t="s">
        <v>625</v>
      </c>
      <c r="D522" s="37" t="s">
        <v>21</v>
      </c>
      <c r="E522" s="37" t="s">
        <v>56</v>
      </c>
      <c r="F522" s="42">
        <v>45291</v>
      </c>
      <c r="G522" s="37">
        <v>2023</v>
      </c>
      <c r="H522" s="37" t="s">
        <v>27</v>
      </c>
      <c r="I522" s="39" t="s">
        <v>32</v>
      </c>
      <c r="J522" s="37">
        <v>37</v>
      </c>
      <c r="K522" s="26">
        <v>26.62</v>
      </c>
      <c r="L522" s="24">
        <f t="shared" si="47"/>
        <v>1.3</v>
      </c>
      <c r="M522" s="24">
        <f t="shared" si="46"/>
        <v>1.3899323816679188</v>
      </c>
      <c r="N522" s="37" t="s">
        <v>25</v>
      </c>
      <c r="O522" s="37" t="s">
        <v>25</v>
      </c>
      <c r="P522" s="40">
        <v>0</v>
      </c>
      <c r="Q522" s="40">
        <v>0</v>
      </c>
      <c r="R522" s="37" t="s">
        <v>647</v>
      </c>
      <c r="S522" s="37"/>
    </row>
    <row r="523" spans="1:19" x14ac:dyDescent="0.3">
      <c r="A523" s="37">
        <v>197</v>
      </c>
      <c r="B523" s="37" t="s">
        <v>648</v>
      </c>
      <c r="C523" s="37" t="s">
        <v>224</v>
      </c>
      <c r="D523" s="37" t="s">
        <v>39</v>
      </c>
      <c r="E523" s="37" t="s">
        <v>22</v>
      </c>
      <c r="F523" s="42">
        <v>44651</v>
      </c>
      <c r="G523" s="37">
        <v>2022</v>
      </c>
      <c r="H523" s="37" t="s">
        <v>40</v>
      </c>
      <c r="I523" s="37" t="s">
        <v>24</v>
      </c>
      <c r="J523" s="37">
        <v>85</v>
      </c>
      <c r="K523" s="53"/>
      <c r="L523" s="24"/>
      <c r="M523" s="24"/>
      <c r="N523" s="37" t="s">
        <v>25</v>
      </c>
      <c r="O523" s="37" t="s">
        <v>223</v>
      </c>
      <c r="P523" s="37">
        <v>0</v>
      </c>
      <c r="Q523" s="37">
        <v>0</v>
      </c>
      <c r="R523" s="37" t="s">
        <v>649</v>
      </c>
      <c r="S523" s="37" t="s">
        <v>223</v>
      </c>
    </row>
    <row r="524" spans="1:19" x14ac:dyDescent="0.3">
      <c r="A524" s="37">
        <v>197</v>
      </c>
      <c r="B524" s="37" t="s">
        <v>648</v>
      </c>
      <c r="C524" s="37" t="s">
        <v>224</v>
      </c>
      <c r="D524" s="37" t="s">
        <v>39</v>
      </c>
      <c r="E524" s="37" t="s">
        <v>22</v>
      </c>
      <c r="F524" s="42">
        <v>44742</v>
      </c>
      <c r="G524" s="37">
        <v>2022</v>
      </c>
      <c r="H524" s="37" t="s">
        <v>23</v>
      </c>
      <c r="I524" s="37" t="s">
        <v>24</v>
      </c>
      <c r="J524" s="37">
        <v>85</v>
      </c>
      <c r="K524" s="53"/>
      <c r="L524" s="24"/>
      <c r="M524" s="24"/>
      <c r="N524" s="37" t="s">
        <v>25</v>
      </c>
      <c r="O524" s="37" t="s">
        <v>223</v>
      </c>
      <c r="P524" s="37">
        <v>0</v>
      </c>
      <c r="Q524" s="37">
        <v>0</v>
      </c>
      <c r="R524" s="37" t="s">
        <v>650</v>
      </c>
      <c r="S524" s="37" t="s">
        <v>223</v>
      </c>
    </row>
    <row r="525" spans="1:19" x14ac:dyDescent="0.3">
      <c r="A525" s="37">
        <v>197</v>
      </c>
      <c r="B525" s="37" t="s">
        <v>648</v>
      </c>
      <c r="C525" s="37" t="s">
        <v>224</v>
      </c>
      <c r="D525" s="37" t="s">
        <v>39</v>
      </c>
      <c r="E525" s="37" t="s">
        <v>22</v>
      </c>
      <c r="F525" s="42">
        <v>44834</v>
      </c>
      <c r="G525" s="37">
        <v>2022</v>
      </c>
      <c r="H525" s="37" t="s">
        <v>43</v>
      </c>
      <c r="I525" s="37" t="s">
        <v>28</v>
      </c>
      <c r="J525" s="37">
        <v>40</v>
      </c>
      <c r="K525" s="37">
        <v>40</v>
      </c>
      <c r="L525" s="24">
        <f t="shared" ref="L525:L534" si="48">IFERROR(IF(OR(J525=0,K525=""),"",IF(E525="Positivo",MIN(MAX(K525/J525,0),1.3),MIN(MAX(J525/K525,0),1.3))),"")</f>
        <v>1</v>
      </c>
      <c r="M525" s="24">
        <f t="shared" ref="M525:M534" si="49">IFERROR(IF(OR(J525=0,K525=""),"",IF(E525="Positivo",MAX(K525/J525,0),MAX(J525/K525,0))),"")</f>
        <v>1</v>
      </c>
      <c r="N525" s="37" t="s">
        <v>25</v>
      </c>
      <c r="O525" s="37" t="s">
        <v>25</v>
      </c>
      <c r="P525" s="37">
        <v>0</v>
      </c>
      <c r="Q525" s="37">
        <v>0</v>
      </c>
      <c r="R525" s="37" t="s">
        <v>651</v>
      </c>
      <c r="S525" s="37"/>
    </row>
    <row r="526" spans="1:19" x14ac:dyDescent="0.3">
      <c r="A526" s="37">
        <v>197</v>
      </c>
      <c r="B526" s="37" t="s">
        <v>648</v>
      </c>
      <c r="C526" s="37" t="s">
        <v>224</v>
      </c>
      <c r="D526" s="37" t="s">
        <v>39</v>
      </c>
      <c r="E526" s="37" t="s">
        <v>22</v>
      </c>
      <c r="F526" s="42">
        <v>44926</v>
      </c>
      <c r="G526" s="37">
        <v>2022</v>
      </c>
      <c r="H526" s="37" t="s">
        <v>27</v>
      </c>
      <c r="I526" s="37" t="s">
        <v>28</v>
      </c>
      <c r="J526" s="37">
        <v>47</v>
      </c>
      <c r="K526" s="37">
        <v>47</v>
      </c>
      <c r="L526" s="24">
        <f t="shared" si="48"/>
        <v>1</v>
      </c>
      <c r="M526" s="24">
        <f t="shared" si="49"/>
        <v>1</v>
      </c>
      <c r="N526" s="37" t="s">
        <v>25</v>
      </c>
      <c r="O526" s="37" t="s">
        <v>25</v>
      </c>
      <c r="P526" s="37">
        <v>0</v>
      </c>
      <c r="Q526" s="37">
        <v>0</v>
      </c>
      <c r="R526" s="37" t="s">
        <v>652</v>
      </c>
      <c r="S526" s="37"/>
    </row>
    <row r="527" spans="1:19" x14ac:dyDescent="0.3">
      <c r="A527" s="36">
        <v>197</v>
      </c>
      <c r="B527" s="37" t="s">
        <v>648</v>
      </c>
      <c r="C527" s="37" t="s">
        <v>224</v>
      </c>
      <c r="D527" s="37" t="s">
        <v>39</v>
      </c>
      <c r="E527" s="37" t="s">
        <v>22</v>
      </c>
      <c r="F527" s="42">
        <v>45016</v>
      </c>
      <c r="G527" s="37">
        <v>2023</v>
      </c>
      <c r="H527" s="37" t="s">
        <v>40</v>
      </c>
      <c r="I527" s="39" t="s">
        <v>30</v>
      </c>
      <c r="J527" s="37">
        <v>37</v>
      </c>
      <c r="K527" s="56">
        <v>37</v>
      </c>
      <c r="L527" s="24">
        <f t="shared" si="48"/>
        <v>1</v>
      </c>
      <c r="M527" s="24">
        <f t="shared" si="49"/>
        <v>1</v>
      </c>
      <c r="N527" s="37" t="s">
        <v>25</v>
      </c>
      <c r="O527" s="37" t="s">
        <v>25</v>
      </c>
      <c r="P527" s="40">
        <v>0</v>
      </c>
      <c r="Q527" s="40">
        <v>0</v>
      </c>
      <c r="R527" s="37" t="s">
        <v>653</v>
      </c>
      <c r="S527" s="37"/>
    </row>
    <row r="528" spans="1:19" x14ac:dyDescent="0.3">
      <c r="A528" s="36">
        <v>197</v>
      </c>
      <c r="B528" s="37" t="s">
        <v>648</v>
      </c>
      <c r="C528" s="37" t="s">
        <v>224</v>
      </c>
      <c r="D528" s="37" t="s">
        <v>39</v>
      </c>
      <c r="E528" s="37" t="s">
        <v>22</v>
      </c>
      <c r="F528" s="42">
        <v>45107</v>
      </c>
      <c r="G528" s="37">
        <v>2023</v>
      </c>
      <c r="H528" s="37" t="s">
        <v>23</v>
      </c>
      <c r="I528" s="39" t="s">
        <v>30</v>
      </c>
      <c r="J528" s="37">
        <v>36</v>
      </c>
      <c r="K528" s="56">
        <v>36</v>
      </c>
      <c r="L528" s="24">
        <f t="shared" si="48"/>
        <v>1</v>
      </c>
      <c r="M528" s="24">
        <f t="shared" si="49"/>
        <v>1</v>
      </c>
      <c r="N528" s="37" t="s">
        <v>25</v>
      </c>
      <c r="O528" s="37" t="s">
        <v>25</v>
      </c>
      <c r="P528" s="40">
        <v>0</v>
      </c>
      <c r="Q528" s="40">
        <v>0</v>
      </c>
      <c r="R528" s="37" t="s">
        <v>654</v>
      </c>
      <c r="S528" s="37"/>
    </row>
    <row r="529" spans="1:19" x14ac:dyDescent="0.3">
      <c r="A529" s="45">
        <v>197</v>
      </c>
      <c r="B529" s="37" t="s">
        <v>648</v>
      </c>
      <c r="C529" s="37" t="s">
        <v>224</v>
      </c>
      <c r="D529" s="37" t="s">
        <v>39</v>
      </c>
      <c r="E529" s="37" t="s">
        <v>22</v>
      </c>
      <c r="F529" s="42">
        <v>45199</v>
      </c>
      <c r="G529" s="37">
        <v>2023</v>
      </c>
      <c r="H529" s="37" t="s">
        <v>43</v>
      </c>
      <c r="I529" s="39" t="s">
        <v>32</v>
      </c>
      <c r="J529" s="37">
        <v>42</v>
      </c>
      <c r="K529" s="26">
        <v>42</v>
      </c>
      <c r="L529" s="24">
        <f t="shared" si="48"/>
        <v>1</v>
      </c>
      <c r="M529" s="24">
        <f t="shared" si="49"/>
        <v>1</v>
      </c>
      <c r="N529" s="37" t="s">
        <v>25</v>
      </c>
      <c r="O529" s="37" t="s">
        <v>25</v>
      </c>
      <c r="P529" s="40">
        <v>0</v>
      </c>
      <c r="Q529" s="40">
        <v>0</v>
      </c>
      <c r="R529" s="37" t="s">
        <v>655</v>
      </c>
      <c r="S529" s="37"/>
    </row>
    <row r="530" spans="1:19" x14ac:dyDescent="0.3">
      <c r="A530" s="41">
        <v>197</v>
      </c>
      <c r="B530" s="37" t="s">
        <v>648</v>
      </c>
      <c r="C530" s="37" t="s">
        <v>224</v>
      </c>
      <c r="D530" s="37" t="s">
        <v>39</v>
      </c>
      <c r="E530" s="37" t="s">
        <v>22</v>
      </c>
      <c r="F530" s="42">
        <v>45291</v>
      </c>
      <c r="G530" s="37">
        <v>2023</v>
      </c>
      <c r="H530" s="37" t="s">
        <v>27</v>
      </c>
      <c r="I530" s="39" t="s">
        <v>32</v>
      </c>
      <c r="J530" s="37">
        <v>46</v>
      </c>
      <c r="K530" s="26">
        <v>46</v>
      </c>
      <c r="L530" s="24">
        <f t="shared" si="48"/>
        <v>1</v>
      </c>
      <c r="M530" s="24">
        <f t="shared" si="49"/>
        <v>1</v>
      </c>
      <c r="N530" s="37" t="s">
        <v>25</v>
      </c>
      <c r="O530" s="37" t="s">
        <v>25</v>
      </c>
      <c r="P530" s="40">
        <v>0</v>
      </c>
      <c r="Q530" s="40">
        <v>0</v>
      </c>
      <c r="R530" s="37" t="s">
        <v>656</v>
      </c>
      <c r="S530" s="37"/>
    </row>
    <row r="531" spans="1:19" x14ac:dyDescent="0.3">
      <c r="A531" s="36">
        <v>197</v>
      </c>
      <c r="B531" s="37" t="s">
        <v>648</v>
      </c>
      <c r="C531" s="37" t="s">
        <v>224</v>
      </c>
      <c r="D531" s="37" t="s">
        <v>39</v>
      </c>
      <c r="E531" s="37" t="s">
        <v>22</v>
      </c>
      <c r="F531" s="42">
        <v>45382</v>
      </c>
      <c r="G531" s="37">
        <v>2024</v>
      </c>
      <c r="H531" s="37" t="s">
        <v>40</v>
      </c>
      <c r="I531" s="39" t="s">
        <v>34</v>
      </c>
      <c r="J531" s="37">
        <v>38</v>
      </c>
      <c r="K531" s="54">
        <v>38</v>
      </c>
      <c r="L531" s="24">
        <f t="shared" si="48"/>
        <v>1</v>
      </c>
      <c r="M531" s="24">
        <f t="shared" si="49"/>
        <v>1</v>
      </c>
      <c r="N531" s="37" t="s">
        <v>25</v>
      </c>
      <c r="O531" s="37" t="s">
        <v>25</v>
      </c>
      <c r="P531" s="40">
        <v>0</v>
      </c>
      <c r="Q531" s="40">
        <v>0</v>
      </c>
      <c r="R531" s="37" t="s">
        <v>657</v>
      </c>
      <c r="S531" s="37"/>
    </row>
    <row r="532" spans="1:19" x14ac:dyDescent="0.3">
      <c r="A532" s="37">
        <v>197</v>
      </c>
      <c r="B532" s="37" t="s">
        <v>648</v>
      </c>
      <c r="C532" s="37" t="s">
        <v>224</v>
      </c>
      <c r="D532" s="37" t="s">
        <v>39</v>
      </c>
      <c r="E532" s="37" t="s">
        <v>22</v>
      </c>
      <c r="F532" s="42">
        <v>45473</v>
      </c>
      <c r="G532" s="37">
        <v>2024</v>
      </c>
      <c r="H532" s="37" t="s">
        <v>23</v>
      </c>
      <c r="I532" s="39" t="s">
        <v>34</v>
      </c>
      <c r="J532" s="37">
        <v>33</v>
      </c>
      <c r="K532" s="53">
        <v>33</v>
      </c>
      <c r="L532" s="24">
        <f t="shared" si="48"/>
        <v>1</v>
      </c>
      <c r="M532" s="24">
        <f t="shared" si="49"/>
        <v>1</v>
      </c>
      <c r="N532" s="37" t="s">
        <v>25</v>
      </c>
      <c r="O532" s="37" t="s">
        <v>25</v>
      </c>
      <c r="P532" s="37">
        <v>0</v>
      </c>
      <c r="Q532" s="37">
        <v>0</v>
      </c>
      <c r="R532" s="37" t="s">
        <v>658</v>
      </c>
      <c r="S532" s="37"/>
    </row>
    <row r="533" spans="1:19" x14ac:dyDescent="0.3">
      <c r="A533" s="36">
        <v>197</v>
      </c>
      <c r="B533" s="37" t="s">
        <v>648</v>
      </c>
      <c r="C533" s="37" t="s">
        <v>224</v>
      </c>
      <c r="D533" s="37" t="s">
        <v>39</v>
      </c>
      <c r="E533" s="37" t="s">
        <v>22</v>
      </c>
      <c r="F533" s="42">
        <v>45565</v>
      </c>
      <c r="G533" s="37">
        <v>2024</v>
      </c>
      <c r="H533" s="37" t="s">
        <v>43</v>
      </c>
      <c r="I533" s="39" t="s">
        <v>36</v>
      </c>
      <c r="J533" s="37">
        <v>40</v>
      </c>
      <c r="K533" s="43">
        <v>40</v>
      </c>
      <c r="L533" s="24">
        <f t="shared" si="48"/>
        <v>1</v>
      </c>
      <c r="M533" s="24">
        <f t="shared" si="49"/>
        <v>1</v>
      </c>
      <c r="N533" s="37" t="s">
        <v>25</v>
      </c>
      <c r="O533" s="37" t="s">
        <v>25</v>
      </c>
      <c r="P533" s="40">
        <v>0</v>
      </c>
      <c r="Q533" s="40">
        <v>0</v>
      </c>
      <c r="R533" s="37" t="s">
        <v>659</v>
      </c>
      <c r="S533" s="37"/>
    </row>
    <row r="534" spans="1:19" x14ac:dyDescent="0.3">
      <c r="A534" s="36">
        <v>197</v>
      </c>
      <c r="B534" s="37" t="s">
        <v>648</v>
      </c>
      <c r="C534" s="37" t="s">
        <v>224</v>
      </c>
      <c r="D534" s="37" t="s">
        <v>39</v>
      </c>
      <c r="E534" s="37" t="s">
        <v>22</v>
      </c>
      <c r="F534" s="42">
        <v>45657</v>
      </c>
      <c r="G534" s="37">
        <v>2024</v>
      </c>
      <c r="H534" s="37" t="s">
        <v>27</v>
      </c>
      <c r="I534" s="39" t="s">
        <v>36</v>
      </c>
      <c r="J534" s="37">
        <v>44</v>
      </c>
      <c r="K534" s="43">
        <v>44</v>
      </c>
      <c r="L534" s="24">
        <f t="shared" si="48"/>
        <v>1</v>
      </c>
      <c r="M534" s="24">
        <f t="shared" si="49"/>
        <v>1</v>
      </c>
      <c r="N534" s="37" t="s">
        <v>25</v>
      </c>
      <c r="O534" s="37" t="s">
        <v>25</v>
      </c>
      <c r="P534" s="40">
        <v>0</v>
      </c>
      <c r="Q534" s="40">
        <v>0</v>
      </c>
      <c r="R534" s="37" t="s">
        <v>660</v>
      </c>
      <c r="S534" s="37"/>
    </row>
    <row r="535" spans="1:19" x14ac:dyDescent="0.3">
      <c r="A535" s="37">
        <v>199</v>
      </c>
      <c r="B535" s="37" t="s">
        <v>661</v>
      </c>
      <c r="C535" s="37" t="s">
        <v>55</v>
      </c>
      <c r="D535" s="37" t="s">
        <v>21</v>
      </c>
      <c r="E535" s="37" t="s">
        <v>22</v>
      </c>
      <c r="F535" s="42">
        <v>44742</v>
      </c>
      <c r="G535" s="37">
        <v>2022</v>
      </c>
      <c r="H535" s="37" t="s">
        <v>23</v>
      </c>
      <c r="I535" s="37" t="s">
        <v>24</v>
      </c>
      <c r="J535" s="37">
        <v>80</v>
      </c>
      <c r="K535" s="37"/>
      <c r="L535" s="24"/>
      <c r="M535" s="24"/>
      <c r="N535" s="37" t="s">
        <v>25</v>
      </c>
      <c r="O535" s="37" t="s">
        <v>223</v>
      </c>
      <c r="P535" s="37">
        <v>0</v>
      </c>
      <c r="Q535" s="37">
        <v>0</v>
      </c>
      <c r="R535" s="37" t="s">
        <v>662</v>
      </c>
      <c r="S535" s="37" t="s">
        <v>223</v>
      </c>
    </row>
    <row r="536" spans="1:19" x14ac:dyDescent="0.3">
      <c r="A536" s="37">
        <v>199</v>
      </c>
      <c r="B536" s="37" t="s">
        <v>661</v>
      </c>
      <c r="C536" s="37" t="s">
        <v>55</v>
      </c>
      <c r="D536" s="37" t="s">
        <v>21</v>
      </c>
      <c r="E536" s="37" t="s">
        <v>22</v>
      </c>
      <c r="F536" s="42">
        <v>44926</v>
      </c>
      <c r="G536" s="37">
        <v>2022</v>
      </c>
      <c r="H536" s="37" t="s">
        <v>27</v>
      </c>
      <c r="I536" s="37" t="s">
        <v>28</v>
      </c>
      <c r="J536" s="37">
        <v>80</v>
      </c>
      <c r="K536" s="37"/>
      <c r="L536" s="24"/>
      <c r="M536" s="24"/>
      <c r="N536" s="37" t="s">
        <v>25</v>
      </c>
      <c r="O536" s="37" t="s">
        <v>223</v>
      </c>
      <c r="P536" s="37">
        <v>0</v>
      </c>
      <c r="Q536" s="37">
        <v>0</v>
      </c>
      <c r="R536" s="37" t="s">
        <v>663</v>
      </c>
      <c r="S536" s="37" t="s">
        <v>223</v>
      </c>
    </row>
    <row r="537" spans="1:19" x14ac:dyDescent="0.3">
      <c r="A537" s="36">
        <v>199</v>
      </c>
      <c r="B537" s="37" t="s">
        <v>661</v>
      </c>
      <c r="C537" s="37" t="s">
        <v>55</v>
      </c>
      <c r="D537" s="37" t="s">
        <v>21</v>
      </c>
      <c r="E537" s="37" t="s">
        <v>22</v>
      </c>
      <c r="F537" s="38">
        <v>45107</v>
      </c>
      <c r="G537" s="37">
        <v>2023</v>
      </c>
      <c r="H537" s="37" t="s">
        <v>23</v>
      </c>
      <c r="I537" s="39" t="s">
        <v>30</v>
      </c>
      <c r="J537" s="37">
        <v>95</v>
      </c>
      <c r="K537" s="26">
        <v>87.666666666666998</v>
      </c>
      <c r="L537" s="24">
        <f t="shared" ref="L537:L540" si="50">IFERROR(IF(OR(J537=0,K537=""),"",IF(E537="Positivo",MIN(MAX(K537/J537,0),1.3),MIN(MAX(J537/K537,0),1.3))),"")</f>
        <v>0.92280701754386318</v>
      </c>
      <c r="M537" s="24">
        <f t="shared" ref="M537:M540" si="51">IFERROR(IF(OR(J537=0,K537=""),"",IF(E537="Positivo",MAX(K537/J537,0),MAX(J537/K537,0))),"")</f>
        <v>0.92280701754386318</v>
      </c>
      <c r="N537" s="37" t="s">
        <v>25</v>
      </c>
      <c r="O537" s="37" t="s">
        <v>25</v>
      </c>
      <c r="P537" s="40">
        <v>0</v>
      </c>
      <c r="Q537" s="40">
        <v>0</v>
      </c>
      <c r="R537" s="37" t="s">
        <v>664</v>
      </c>
      <c r="S537" s="37"/>
    </row>
    <row r="538" spans="1:19" x14ac:dyDescent="0.3">
      <c r="A538" s="41">
        <v>199</v>
      </c>
      <c r="B538" s="37" t="s">
        <v>661</v>
      </c>
      <c r="C538" s="37" t="s">
        <v>55</v>
      </c>
      <c r="D538" s="37" t="s">
        <v>21</v>
      </c>
      <c r="E538" s="37" t="s">
        <v>22</v>
      </c>
      <c r="F538" s="42">
        <v>45291</v>
      </c>
      <c r="G538" s="37">
        <v>2023</v>
      </c>
      <c r="H538" s="37" t="s">
        <v>27</v>
      </c>
      <c r="I538" s="39" t="s">
        <v>32</v>
      </c>
      <c r="J538" s="37">
        <v>95</v>
      </c>
      <c r="K538" s="26">
        <v>87.67</v>
      </c>
      <c r="L538" s="24">
        <f t="shared" si="50"/>
        <v>0.92284210526315791</v>
      </c>
      <c r="M538" s="24">
        <f t="shared" si="51"/>
        <v>0.92284210526315791</v>
      </c>
      <c r="N538" s="37" t="s">
        <v>25</v>
      </c>
      <c r="O538" s="37" t="s">
        <v>25</v>
      </c>
      <c r="P538" s="40">
        <v>0</v>
      </c>
      <c r="Q538" s="40">
        <v>0</v>
      </c>
      <c r="R538" s="37" t="s">
        <v>665</v>
      </c>
      <c r="S538" s="37"/>
    </row>
    <row r="539" spans="1:19" x14ac:dyDescent="0.3">
      <c r="A539" s="37">
        <v>199</v>
      </c>
      <c r="B539" s="37" t="s">
        <v>661</v>
      </c>
      <c r="C539" s="37" t="s">
        <v>55</v>
      </c>
      <c r="D539" s="37" t="s">
        <v>21</v>
      </c>
      <c r="E539" s="37" t="s">
        <v>22</v>
      </c>
      <c r="F539" s="42">
        <v>45473</v>
      </c>
      <c r="G539" s="37">
        <v>2024</v>
      </c>
      <c r="H539" s="37" t="s">
        <v>23</v>
      </c>
      <c r="I539" s="39" t="s">
        <v>34</v>
      </c>
      <c r="J539" s="37">
        <v>70</v>
      </c>
      <c r="K539" s="53">
        <v>92.19</v>
      </c>
      <c r="L539" s="24">
        <f t="shared" si="50"/>
        <v>1.3</v>
      </c>
      <c r="M539" s="24">
        <f t="shared" si="51"/>
        <v>1.3169999999999999</v>
      </c>
      <c r="N539" s="37" t="s">
        <v>25</v>
      </c>
      <c r="O539" s="37" t="s">
        <v>25</v>
      </c>
      <c r="P539" s="37">
        <v>0</v>
      </c>
      <c r="Q539" s="37">
        <v>0</v>
      </c>
      <c r="R539" s="37" t="s">
        <v>666</v>
      </c>
      <c r="S539" s="37"/>
    </row>
    <row r="540" spans="1:19" x14ac:dyDescent="0.3">
      <c r="A540" s="36">
        <v>199</v>
      </c>
      <c r="B540" s="37" t="s">
        <v>661</v>
      </c>
      <c r="C540" s="37" t="s">
        <v>55</v>
      </c>
      <c r="D540" s="37" t="s">
        <v>21</v>
      </c>
      <c r="E540" s="37" t="s">
        <v>22</v>
      </c>
      <c r="F540" s="42">
        <v>45657</v>
      </c>
      <c r="G540" s="37">
        <v>2024</v>
      </c>
      <c r="H540" s="37" t="s">
        <v>27</v>
      </c>
      <c r="I540" s="39" t="s">
        <v>36</v>
      </c>
      <c r="J540" s="37">
        <v>70</v>
      </c>
      <c r="K540" s="54">
        <v>92.81</v>
      </c>
      <c r="L540" s="24">
        <f t="shared" si="50"/>
        <v>1.3</v>
      </c>
      <c r="M540" s="24">
        <f t="shared" si="51"/>
        <v>1.3258571428571428</v>
      </c>
      <c r="N540" s="37" t="s">
        <v>25</v>
      </c>
      <c r="O540" s="37" t="s">
        <v>25</v>
      </c>
      <c r="P540" s="40">
        <v>0</v>
      </c>
      <c r="Q540" s="40">
        <v>0</v>
      </c>
      <c r="R540" s="37" t="s">
        <v>667</v>
      </c>
      <c r="S540" s="37"/>
    </row>
    <row r="541" spans="1:19" x14ac:dyDescent="0.3">
      <c r="A541" s="37">
        <v>200</v>
      </c>
      <c r="B541" s="37" t="s">
        <v>668</v>
      </c>
      <c r="C541" s="37" t="s">
        <v>55</v>
      </c>
      <c r="D541" s="37" t="s">
        <v>139</v>
      </c>
      <c r="E541" s="37" t="s">
        <v>22</v>
      </c>
      <c r="F541" s="42">
        <v>44926</v>
      </c>
      <c r="G541" s="37">
        <v>2022</v>
      </c>
      <c r="H541" s="37" t="s">
        <v>27</v>
      </c>
      <c r="I541" s="37" t="s">
        <v>28</v>
      </c>
      <c r="J541" s="37">
        <v>70</v>
      </c>
      <c r="K541" s="37"/>
      <c r="L541" s="24"/>
      <c r="M541" s="24"/>
      <c r="N541" s="37" t="s">
        <v>25</v>
      </c>
      <c r="O541" s="37" t="s">
        <v>223</v>
      </c>
      <c r="P541" s="37">
        <v>0</v>
      </c>
      <c r="Q541" s="37">
        <v>1</v>
      </c>
      <c r="R541" s="37" t="s">
        <v>669</v>
      </c>
      <c r="S541" s="37" t="s">
        <v>223</v>
      </c>
    </row>
    <row r="542" spans="1:19" x14ac:dyDescent="0.3">
      <c r="A542" s="41">
        <v>200</v>
      </c>
      <c r="B542" s="37" t="s">
        <v>668</v>
      </c>
      <c r="C542" s="37" t="s">
        <v>55</v>
      </c>
      <c r="D542" s="37" t="s">
        <v>139</v>
      </c>
      <c r="E542" s="37" t="s">
        <v>22</v>
      </c>
      <c r="F542" s="42">
        <v>45291</v>
      </c>
      <c r="G542" s="37">
        <v>2023</v>
      </c>
      <c r="H542" s="37" t="s">
        <v>27</v>
      </c>
      <c r="I542" s="39" t="s">
        <v>32</v>
      </c>
      <c r="J542" s="37">
        <v>70</v>
      </c>
      <c r="K542" s="26">
        <v>90</v>
      </c>
      <c r="L542" s="24">
        <f>IFERROR(IF(OR(J542=0,K542=""),"",IF(E542="Positivo",MIN(MAX(K542/J542,0),1.3),MIN(MAX(J542/K542,0),1.3))),"")</f>
        <v>1.2857142857142858</v>
      </c>
      <c r="M542" s="24">
        <f>IFERROR(IF(OR(J542=0,K542=""),"",IF(E542="Positivo",MAX(K542/J542,0),MAX(J542/K542,0))),"")</f>
        <v>1.2857142857142858</v>
      </c>
      <c r="N542" s="37" t="s">
        <v>670</v>
      </c>
      <c r="O542" s="65" t="s">
        <v>25</v>
      </c>
      <c r="P542" s="40">
        <v>0</v>
      </c>
      <c r="Q542" s="40">
        <v>0</v>
      </c>
      <c r="R542" s="37" t="s">
        <v>671</v>
      </c>
      <c r="S542" s="37"/>
    </row>
    <row r="543" spans="1:19" x14ac:dyDescent="0.3">
      <c r="A543" s="36">
        <v>200</v>
      </c>
      <c r="B543" s="37" t="s">
        <v>668</v>
      </c>
      <c r="C543" s="37" t="s">
        <v>55</v>
      </c>
      <c r="D543" s="37" t="s">
        <v>139</v>
      </c>
      <c r="E543" s="37" t="s">
        <v>22</v>
      </c>
      <c r="F543" s="42">
        <v>45657</v>
      </c>
      <c r="G543" s="37">
        <v>2024</v>
      </c>
      <c r="H543" s="37" t="s">
        <v>27</v>
      </c>
      <c r="I543" s="39" t="s">
        <v>36</v>
      </c>
      <c r="J543" s="37">
        <v>80</v>
      </c>
      <c r="K543" s="54">
        <v>87.4</v>
      </c>
      <c r="L543" s="24">
        <f>IFERROR(IF(OR(J543=0,K543=""),"",IF(E543="Positivo",MIN(MAX(K543/J543,0),1.3),MIN(MAX(J543/K543,0),1.3))),"")</f>
        <v>1.0925</v>
      </c>
      <c r="M543" s="24">
        <f>IFERROR(IF(OR(J543=0,K543=""),"",IF(E543="Positivo",MAX(K543/J543,0),MAX(J543/K543,0))),"")</f>
        <v>1.0925</v>
      </c>
      <c r="N543" s="37" t="s">
        <v>670</v>
      </c>
      <c r="O543" s="37" t="s">
        <v>25</v>
      </c>
      <c r="P543" s="40">
        <v>0</v>
      </c>
      <c r="Q543" s="40">
        <v>0</v>
      </c>
      <c r="R543" s="37" t="s">
        <v>672</v>
      </c>
      <c r="S543" s="37"/>
    </row>
    <row r="544" spans="1:19" x14ac:dyDescent="0.3">
      <c r="A544" s="36">
        <v>202</v>
      </c>
      <c r="B544" s="37" t="s">
        <v>673</v>
      </c>
      <c r="C544" s="37" t="s">
        <v>55</v>
      </c>
      <c r="D544" s="37" t="s">
        <v>139</v>
      </c>
      <c r="E544" s="37" t="s">
        <v>22</v>
      </c>
      <c r="F544" s="42">
        <v>45291</v>
      </c>
      <c r="G544" s="37">
        <v>2023</v>
      </c>
      <c r="H544" s="37" t="s">
        <v>27</v>
      </c>
      <c r="I544" s="39" t="s">
        <v>32</v>
      </c>
      <c r="J544" s="37">
        <v>66</v>
      </c>
      <c r="K544" s="56">
        <v>64.7</v>
      </c>
      <c r="L544" s="24">
        <f>IFERROR(IF(OR(J544=0,K544=""),"",IF(E544="Positivo",MIN(MAX(K544/J544,0),1.3),MIN(MAX(J544/K544,0),1.3))),"")</f>
        <v>0.98030303030303034</v>
      </c>
      <c r="M544" s="24">
        <f>IFERROR(IF(OR(J544=0,K544=""),"",IF(E544="Positivo",MAX(K544/J544,0),MAX(J544/K544,0))),"")</f>
        <v>0.98030303030303034</v>
      </c>
      <c r="N544" s="37" t="s">
        <v>670</v>
      </c>
      <c r="O544" s="37" t="s">
        <v>25</v>
      </c>
      <c r="P544" s="40">
        <v>1</v>
      </c>
      <c r="Q544" s="40">
        <v>1</v>
      </c>
      <c r="R544" s="37" t="s">
        <v>674</v>
      </c>
      <c r="S544" s="37"/>
    </row>
    <row r="545" spans="1:19" x14ac:dyDescent="0.3">
      <c r="A545" s="37">
        <v>202</v>
      </c>
      <c r="B545" s="37" t="s">
        <v>673</v>
      </c>
      <c r="C545" s="37" t="s">
        <v>55</v>
      </c>
      <c r="D545" s="37" t="s">
        <v>139</v>
      </c>
      <c r="E545" s="37" t="s">
        <v>22</v>
      </c>
      <c r="F545" s="42">
        <v>45657</v>
      </c>
      <c r="G545" s="37">
        <v>2024</v>
      </c>
      <c r="H545" s="37" t="s">
        <v>27</v>
      </c>
      <c r="I545" s="37" t="s">
        <v>36</v>
      </c>
      <c r="J545" s="37"/>
      <c r="K545" s="53">
        <v>0</v>
      </c>
      <c r="L545" s="24"/>
      <c r="M545" s="24"/>
      <c r="N545" s="37" t="s">
        <v>203</v>
      </c>
      <c r="O545" s="37" t="s">
        <v>197</v>
      </c>
      <c r="P545" s="37">
        <v>0</v>
      </c>
      <c r="Q545" s="37">
        <v>0</v>
      </c>
      <c r="R545" s="37" t="s">
        <v>675</v>
      </c>
      <c r="S545" s="37"/>
    </row>
    <row r="546" spans="1:19" x14ac:dyDescent="0.3">
      <c r="A546" s="37">
        <v>203</v>
      </c>
      <c r="B546" s="37" t="s">
        <v>676</v>
      </c>
      <c r="C546" s="37" t="s">
        <v>210</v>
      </c>
      <c r="D546" s="37" t="s">
        <v>21</v>
      </c>
      <c r="E546" s="37" t="s">
        <v>22</v>
      </c>
      <c r="F546" s="38">
        <v>44742</v>
      </c>
      <c r="G546" s="37">
        <v>2022</v>
      </c>
      <c r="H546" s="37" t="s">
        <v>23</v>
      </c>
      <c r="I546" s="39" t="s">
        <v>24</v>
      </c>
      <c r="J546" s="58">
        <v>113672</v>
      </c>
      <c r="K546" s="26">
        <v>119144</v>
      </c>
      <c r="L546" s="24">
        <f t="shared" ref="L546:L569" si="52">IFERROR(IF(OR(J546=0,K546=""),"",IF(E546="Positivo",MIN(MAX(K546/J546,0),1.3),MIN(MAX(J546/K546,0),1.3))),"")</f>
        <v>1.0481385037652193</v>
      </c>
      <c r="M546" s="24">
        <f t="shared" ref="M546:M569" si="53">IFERROR(IF(OR(J546=0,K546=""),"",IF(E546="Positivo",MAX(K546/J546,0),MAX(J546/K546,0))),"")</f>
        <v>1.0481385037652193</v>
      </c>
      <c r="N546" s="37" t="s">
        <v>264</v>
      </c>
      <c r="O546" s="37" t="s">
        <v>264</v>
      </c>
      <c r="P546" s="37">
        <v>0</v>
      </c>
      <c r="Q546" s="37">
        <v>0</v>
      </c>
      <c r="R546" s="37" t="s">
        <v>677</v>
      </c>
      <c r="S546" s="37"/>
    </row>
    <row r="547" spans="1:19" x14ac:dyDescent="0.3">
      <c r="A547" s="37">
        <v>203</v>
      </c>
      <c r="B547" s="37" t="s">
        <v>676</v>
      </c>
      <c r="C547" s="37" t="s">
        <v>210</v>
      </c>
      <c r="D547" s="37" t="s">
        <v>21</v>
      </c>
      <c r="E547" s="37" t="s">
        <v>22</v>
      </c>
      <c r="F547" s="38">
        <v>44926</v>
      </c>
      <c r="G547" s="37">
        <v>2022</v>
      </c>
      <c r="H547" s="37" t="s">
        <v>27</v>
      </c>
      <c r="I547" s="39" t="s">
        <v>28</v>
      </c>
      <c r="J547" s="59">
        <v>224440</v>
      </c>
      <c r="K547" s="56">
        <v>240882</v>
      </c>
      <c r="L547" s="24">
        <f t="shared" si="52"/>
        <v>1.0732578862947781</v>
      </c>
      <c r="M547" s="24">
        <f t="shared" si="53"/>
        <v>1.0732578862947781</v>
      </c>
      <c r="N547" s="37" t="s">
        <v>264</v>
      </c>
      <c r="O547" s="37" t="s">
        <v>264</v>
      </c>
      <c r="P547" s="37">
        <v>0</v>
      </c>
      <c r="Q547" s="37">
        <v>0</v>
      </c>
      <c r="R547" s="37" t="s">
        <v>678</v>
      </c>
      <c r="S547" s="37"/>
    </row>
    <row r="548" spans="1:19" x14ac:dyDescent="0.3">
      <c r="A548" s="45">
        <v>203</v>
      </c>
      <c r="B548" s="37" t="s">
        <v>676</v>
      </c>
      <c r="C548" s="37" t="s">
        <v>210</v>
      </c>
      <c r="D548" s="37" t="s">
        <v>21</v>
      </c>
      <c r="E548" s="37" t="s">
        <v>22</v>
      </c>
      <c r="F548" s="42">
        <v>45107</v>
      </c>
      <c r="G548" s="37">
        <v>2023</v>
      </c>
      <c r="H548" s="37" t="s">
        <v>23</v>
      </c>
      <c r="I548" s="39" t="s">
        <v>30</v>
      </c>
      <c r="J548" s="66">
        <v>95</v>
      </c>
      <c r="K548" s="56">
        <v>104.63235542785</v>
      </c>
      <c r="L548" s="24">
        <f t="shared" si="52"/>
        <v>1.1013932150300001</v>
      </c>
      <c r="M548" s="24">
        <f t="shared" si="53"/>
        <v>1.1013932150300001</v>
      </c>
      <c r="N548" s="37" t="s">
        <v>264</v>
      </c>
      <c r="O548" s="37" t="s">
        <v>264</v>
      </c>
      <c r="P548" s="40">
        <v>0</v>
      </c>
      <c r="Q548" s="40">
        <v>0</v>
      </c>
      <c r="R548" s="37" t="s">
        <v>679</v>
      </c>
      <c r="S548" s="37"/>
    </row>
    <row r="549" spans="1:19" x14ac:dyDescent="0.3">
      <c r="A549" s="41">
        <v>203</v>
      </c>
      <c r="B549" s="37" t="s">
        <v>676</v>
      </c>
      <c r="C549" s="37" t="s">
        <v>210</v>
      </c>
      <c r="D549" s="37" t="s">
        <v>21</v>
      </c>
      <c r="E549" s="37" t="s">
        <v>22</v>
      </c>
      <c r="F549" s="42">
        <v>45291</v>
      </c>
      <c r="G549" s="37">
        <v>2023</v>
      </c>
      <c r="H549" s="37" t="s">
        <v>27</v>
      </c>
      <c r="I549" s="39" t="s">
        <v>32</v>
      </c>
      <c r="J549" s="66">
        <v>95</v>
      </c>
      <c r="K549" s="26">
        <v>103.36740380481</v>
      </c>
      <c r="L549" s="24">
        <f t="shared" si="52"/>
        <v>1.0880779347874736</v>
      </c>
      <c r="M549" s="24">
        <f t="shared" si="53"/>
        <v>1.0880779347874736</v>
      </c>
      <c r="N549" s="37" t="s">
        <v>264</v>
      </c>
      <c r="O549" s="37" t="s">
        <v>264</v>
      </c>
      <c r="P549" s="40">
        <v>0</v>
      </c>
      <c r="Q549" s="40">
        <v>0</v>
      </c>
      <c r="R549" s="37" t="s">
        <v>680</v>
      </c>
      <c r="S549" s="37"/>
    </row>
    <row r="550" spans="1:19" x14ac:dyDescent="0.3">
      <c r="A550" s="45">
        <v>203</v>
      </c>
      <c r="B550" s="37" t="s">
        <v>676</v>
      </c>
      <c r="C550" s="37" t="s">
        <v>210</v>
      </c>
      <c r="D550" s="37" t="s">
        <v>21</v>
      </c>
      <c r="E550" s="37" t="s">
        <v>22</v>
      </c>
      <c r="F550" s="42">
        <v>45473</v>
      </c>
      <c r="G550" s="37">
        <v>2024</v>
      </c>
      <c r="H550" s="37" t="s">
        <v>23</v>
      </c>
      <c r="I550" s="39" t="s">
        <v>34</v>
      </c>
      <c r="J550" s="66">
        <v>95</v>
      </c>
      <c r="K550" s="26">
        <v>102.01</v>
      </c>
      <c r="L550" s="24">
        <f t="shared" si="52"/>
        <v>1.0737894736842106</v>
      </c>
      <c r="M550" s="24">
        <f t="shared" si="53"/>
        <v>1.0737894736842106</v>
      </c>
      <c r="N550" s="37" t="s">
        <v>264</v>
      </c>
      <c r="O550" s="37" t="s">
        <v>264</v>
      </c>
      <c r="P550" s="40">
        <v>0</v>
      </c>
      <c r="Q550" s="40">
        <v>0</v>
      </c>
      <c r="R550" s="37" t="s">
        <v>681</v>
      </c>
      <c r="S550" s="37"/>
    </row>
    <row r="551" spans="1:19" x14ac:dyDescent="0.3">
      <c r="A551" s="36">
        <v>203</v>
      </c>
      <c r="B551" s="37" t="s">
        <v>676</v>
      </c>
      <c r="C551" s="37" t="s">
        <v>210</v>
      </c>
      <c r="D551" s="37" t="s">
        <v>21</v>
      </c>
      <c r="E551" s="37" t="s">
        <v>22</v>
      </c>
      <c r="F551" s="42">
        <v>45657</v>
      </c>
      <c r="G551" s="37">
        <v>2024</v>
      </c>
      <c r="H551" s="37" t="s">
        <v>27</v>
      </c>
      <c r="I551" s="39" t="s">
        <v>36</v>
      </c>
      <c r="J551" s="37">
        <v>95</v>
      </c>
      <c r="K551" s="56">
        <v>102.84</v>
      </c>
      <c r="L551" s="24">
        <f t="shared" si="52"/>
        <v>1.0825263157894738</v>
      </c>
      <c r="M551" s="24">
        <f t="shared" si="53"/>
        <v>1.0825263157894738</v>
      </c>
      <c r="N551" s="37" t="s">
        <v>264</v>
      </c>
      <c r="O551" s="37" t="s">
        <v>264</v>
      </c>
      <c r="P551" s="40">
        <v>0</v>
      </c>
      <c r="Q551" s="40">
        <v>0</v>
      </c>
      <c r="R551" s="37" t="s">
        <v>682</v>
      </c>
      <c r="S551" s="37"/>
    </row>
    <row r="552" spans="1:19" x14ac:dyDescent="0.3">
      <c r="A552" s="37">
        <v>204</v>
      </c>
      <c r="B552" s="37" t="s">
        <v>685</v>
      </c>
      <c r="C552" s="37" t="s">
        <v>210</v>
      </c>
      <c r="D552" s="37" t="s">
        <v>21</v>
      </c>
      <c r="E552" s="37" t="s">
        <v>22</v>
      </c>
      <c r="F552" s="38">
        <v>44742</v>
      </c>
      <c r="G552" s="37">
        <v>2022</v>
      </c>
      <c r="H552" s="37" t="s">
        <v>23</v>
      </c>
      <c r="I552" s="39" t="s">
        <v>24</v>
      </c>
      <c r="J552" s="60">
        <v>58804</v>
      </c>
      <c r="K552" s="26">
        <v>37101</v>
      </c>
      <c r="L552" s="24">
        <f t="shared" si="52"/>
        <v>0.63092646758723891</v>
      </c>
      <c r="M552" s="24">
        <f t="shared" si="53"/>
        <v>0.63092646758723891</v>
      </c>
      <c r="N552" s="37" t="s">
        <v>264</v>
      </c>
      <c r="O552" s="37" t="s">
        <v>264</v>
      </c>
      <c r="P552" s="37">
        <v>0</v>
      </c>
      <c r="Q552" s="37">
        <v>0</v>
      </c>
      <c r="R552" s="37" t="s">
        <v>686</v>
      </c>
      <c r="S552" s="37"/>
    </row>
    <row r="553" spans="1:19" x14ac:dyDescent="0.3">
      <c r="A553" s="37">
        <v>204</v>
      </c>
      <c r="B553" s="37" t="s">
        <v>685</v>
      </c>
      <c r="C553" s="37" t="s">
        <v>210</v>
      </c>
      <c r="D553" s="37" t="s">
        <v>21</v>
      </c>
      <c r="E553" s="37" t="s">
        <v>22</v>
      </c>
      <c r="F553" s="38">
        <v>44925</v>
      </c>
      <c r="G553" s="37">
        <v>2022</v>
      </c>
      <c r="H553" s="37" t="s">
        <v>27</v>
      </c>
      <c r="I553" s="39" t="s">
        <v>28</v>
      </c>
      <c r="J553" s="60">
        <v>82987</v>
      </c>
      <c r="K553" s="56">
        <v>18386</v>
      </c>
      <c r="L553" s="24">
        <f t="shared" si="52"/>
        <v>0.22155277332594261</v>
      </c>
      <c r="M553" s="24">
        <f t="shared" si="53"/>
        <v>0.22155277332594261</v>
      </c>
      <c r="N553" s="37" t="s">
        <v>264</v>
      </c>
      <c r="O553" s="37" t="s">
        <v>264</v>
      </c>
      <c r="P553" s="37">
        <v>0</v>
      </c>
      <c r="Q553" s="37">
        <v>0</v>
      </c>
      <c r="R553" s="37" t="s">
        <v>687</v>
      </c>
      <c r="S553" s="37"/>
    </row>
    <row r="554" spans="1:19" x14ac:dyDescent="0.3">
      <c r="A554" s="36">
        <v>204</v>
      </c>
      <c r="B554" s="37" t="s">
        <v>685</v>
      </c>
      <c r="C554" s="37" t="s">
        <v>210</v>
      </c>
      <c r="D554" s="37" t="s">
        <v>21</v>
      </c>
      <c r="E554" s="37" t="s">
        <v>22</v>
      </c>
      <c r="F554" s="38">
        <v>45107</v>
      </c>
      <c r="G554" s="37">
        <v>2023</v>
      </c>
      <c r="H554" s="37" t="s">
        <v>23</v>
      </c>
      <c r="I554" s="39" t="s">
        <v>30</v>
      </c>
      <c r="J554" s="37">
        <v>8772795634</v>
      </c>
      <c r="K554" s="56">
        <v>17085606216</v>
      </c>
      <c r="L554" s="24">
        <f t="shared" si="52"/>
        <v>1.3</v>
      </c>
      <c r="M554" s="24">
        <f t="shared" si="53"/>
        <v>1.9475668793403469</v>
      </c>
      <c r="N554" s="37" t="s">
        <v>264</v>
      </c>
      <c r="O554" s="37" t="s">
        <v>264</v>
      </c>
      <c r="P554" s="40">
        <v>0</v>
      </c>
      <c r="Q554" s="40">
        <v>0</v>
      </c>
      <c r="R554" s="37" t="s">
        <v>688</v>
      </c>
      <c r="S554" s="37"/>
    </row>
    <row r="555" spans="1:19" x14ac:dyDescent="0.3">
      <c r="A555" s="41">
        <v>204</v>
      </c>
      <c r="B555" s="37" t="s">
        <v>685</v>
      </c>
      <c r="C555" s="37" t="s">
        <v>210</v>
      </c>
      <c r="D555" s="37" t="s">
        <v>21</v>
      </c>
      <c r="E555" s="37" t="s">
        <v>22</v>
      </c>
      <c r="F555" s="42">
        <v>45291</v>
      </c>
      <c r="G555" s="37">
        <v>2023</v>
      </c>
      <c r="H555" s="37" t="s">
        <v>27</v>
      </c>
      <c r="I555" s="39" t="s">
        <v>32</v>
      </c>
      <c r="J555" s="37">
        <v>86849199430</v>
      </c>
      <c r="K555" s="56">
        <v>141016762899</v>
      </c>
      <c r="L555" s="24">
        <f t="shared" si="52"/>
        <v>1.3</v>
      </c>
      <c r="M555" s="24">
        <f t="shared" si="53"/>
        <v>1.6236967505113133</v>
      </c>
      <c r="N555" s="37" t="s">
        <v>264</v>
      </c>
      <c r="O555" s="37" t="s">
        <v>264</v>
      </c>
      <c r="P555" s="40">
        <v>0</v>
      </c>
      <c r="Q555" s="40">
        <v>0</v>
      </c>
      <c r="R555" s="37" t="s">
        <v>689</v>
      </c>
      <c r="S555" s="37"/>
    </row>
    <row r="556" spans="1:19" x14ac:dyDescent="0.3">
      <c r="A556" s="36">
        <v>204</v>
      </c>
      <c r="B556" s="37" t="s">
        <v>685</v>
      </c>
      <c r="C556" s="37" t="s">
        <v>210</v>
      </c>
      <c r="D556" s="37" t="s">
        <v>21</v>
      </c>
      <c r="E556" s="37" t="s">
        <v>22</v>
      </c>
      <c r="F556" s="38">
        <v>45473</v>
      </c>
      <c r="G556" s="37">
        <v>2024</v>
      </c>
      <c r="H556" s="37" t="s">
        <v>23</v>
      </c>
      <c r="I556" s="39" t="s">
        <v>34</v>
      </c>
      <c r="J556" s="37">
        <v>20714519158</v>
      </c>
      <c r="K556" s="56">
        <v>27665037063</v>
      </c>
      <c r="L556" s="24">
        <f t="shared" si="52"/>
        <v>1.3</v>
      </c>
      <c r="M556" s="24">
        <f t="shared" si="53"/>
        <v>1.335538462273004</v>
      </c>
      <c r="N556" s="37" t="s">
        <v>264</v>
      </c>
      <c r="O556" s="37" t="s">
        <v>264</v>
      </c>
      <c r="P556" s="40">
        <v>0</v>
      </c>
      <c r="Q556" s="40">
        <v>0</v>
      </c>
      <c r="R556" s="37" t="s">
        <v>690</v>
      </c>
      <c r="S556" s="37"/>
    </row>
    <row r="557" spans="1:19" x14ac:dyDescent="0.3">
      <c r="A557" s="36">
        <v>204</v>
      </c>
      <c r="B557" s="37" t="s">
        <v>685</v>
      </c>
      <c r="C557" s="37" t="s">
        <v>210</v>
      </c>
      <c r="D557" s="37" t="s">
        <v>21</v>
      </c>
      <c r="E557" s="37" t="s">
        <v>22</v>
      </c>
      <c r="F557" s="42">
        <v>45657</v>
      </c>
      <c r="G557" s="37">
        <v>2024</v>
      </c>
      <c r="H557" s="37" t="s">
        <v>27</v>
      </c>
      <c r="I557" s="39" t="s">
        <v>36</v>
      </c>
      <c r="J557" s="37">
        <v>122440821151</v>
      </c>
      <c r="K557" s="43">
        <v>176962748824</v>
      </c>
      <c r="L557" s="24">
        <f t="shared" si="52"/>
        <v>1.3</v>
      </c>
      <c r="M557" s="24">
        <f t="shared" si="53"/>
        <v>1.4452920779235945</v>
      </c>
      <c r="N557" s="37" t="s">
        <v>264</v>
      </c>
      <c r="O557" s="37" t="s">
        <v>264</v>
      </c>
      <c r="P557" s="40">
        <v>0</v>
      </c>
      <c r="Q557" s="40">
        <v>0</v>
      </c>
      <c r="R557" s="37" t="s">
        <v>691</v>
      </c>
      <c r="S557" s="37"/>
    </row>
    <row r="558" spans="1:19" x14ac:dyDescent="0.3">
      <c r="A558" s="45">
        <v>205</v>
      </c>
      <c r="B558" s="37" t="s">
        <v>692</v>
      </c>
      <c r="C558" s="37" t="s">
        <v>210</v>
      </c>
      <c r="D558" s="37" t="s">
        <v>21</v>
      </c>
      <c r="E558" s="37" t="s">
        <v>22</v>
      </c>
      <c r="F558" s="42">
        <v>44926</v>
      </c>
      <c r="G558" s="37">
        <v>2022</v>
      </c>
      <c r="H558" s="37" t="s">
        <v>27</v>
      </c>
      <c r="I558" s="39" t="s">
        <v>28</v>
      </c>
      <c r="J558" s="56">
        <v>2605</v>
      </c>
      <c r="K558" s="56">
        <v>2605</v>
      </c>
      <c r="L558" s="24">
        <f t="shared" si="52"/>
        <v>1</v>
      </c>
      <c r="M558" s="24">
        <f t="shared" si="53"/>
        <v>1</v>
      </c>
      <c r="N558" s="37" t="s">
        <v>264</v>
      </c>
      <c r="O558" s="37" t="s">
        <v>264</v>
      </c>
      <c r="P558" s="40">
        <v>0</v>
      </c>
      <c r="Q558" s="40">
        <v>0</v>
      </c>
      <c r="R558" s="37" t="s">
        <v>693</v>
      </c>
      <c r="S558" s="37"/>
    </row>
    <row r="559" spans="1:19" x14ac:dyDescent="0.3">
      <c r="A559" s="45">
        <v>205</v>
      </c>
      <c r="B559" s="37" t="s">
        <v>692</v>
      </c>
      <c r="C559" s="37" t="s">
        <v>210</v>
      </c>
      <c r="D559" s="37" t="s">
        <v>21</v>
      </c>
      <c r="E559" s="37" t="s">
        <v>22</v>
      </c>
      <c r="F559" s="42">
        <v>45107</v>
      </c>
      <c r="G559" s="37">
        <v>2023</v>
      </c>
      <c r="H559" s="37" t="s">
        <v>23</v>
      </c>
      <c r="I559" s="39" t="s">
        <v>30</v>
      </c>
      <c r="J559" s="37">
        <v>2622553994</v>
      </c>
      <c r="K559" s="56">
        <v>4338419908</v>
      </c>
      <c r="L559" s="24">
        <f t="shared" si="52"/>
        <v>1.3</v>
      </c>
      <c r="M559" s="24">
        <f t="shared" si="53"/>
        <v>1.6542728645151394</v>
      </c>
      <c r="N559" s="37" t="s">
        <v>264</v>
      </c>
      <c r="O559" s="37" t="s">
        <v>264</v>
      </c>
      <c r="P559" s="40">
        <v>0</v>
      </c>
      <c r="Q559" s="40">
        <v>0</v>
      </c>
      <c r="R559" s="37" t="s">
        <v>694</v>
      </c>
      <c r="S559" s="37"/>
    </row>
    <row r="560" spans="1:19" x14ac:dyDescent="0.3">
      <c r="A560" s="41">
        <v>205</v>
      </c>
      <c r="B560" s="37" t="s">
        <v>692</v>
      </c>
      <c r="C560" s="37" t="s">
        <v>210</v>
      </c>
      <c r="D560" s="37" t="s">
        <v>21</v>
      </c>
      <c r="E560" s="37" t="s">
        <v>22</v>
      </c>
      <c r="F560" s="42">
        <v>45291</v>
      </c>
      <c r="G560" s="37">
        <v>2023</v>
      </c>
      <c r="H560" s="37" t="s">
        <v>27</v>
      </c>
      <c r="I560" s="39" t="s">
        <v>32</v>
      </c>
      <c r="J560" s="37">
        <v>2041786671</v>
      </c>
      <c r="K560" s="56">
        <v>8708376270</v>
      </c>
      <c r="L560" s="24">
        <f t="shared" si="52"/>
        <v>1.3</v>
      </c>
      <c r="M560" s="24">
        <f t="shared" si="53"/>
        <v>4.2650764615555667</v>
      </c>
      <c r="N560" s="37" t="s">
        <v>264</v>
      </c>
      <c r="O560" s="37" t="s">
        <v>264</v>
      </c>
      <c r="P560" s="40">
        <v>0</v>
      </c>
      <c r="Q560" s="40">
        <v>0</v>
      </c>
      <c r="R560" s="37" t="s">
        <v>695</v>
      </c>
      <c r="S560" s="37"/>
    </row>
    <row r="561" spans="1:19" x14ac:dyDescent="0.3">
      <c r="A561" s="45">
        <v>205</v>
      </c>
      <c r="B561" s="37" t="s">
        <v>692</v>
      </c>
      <c r="C561" s="37" t="s">
        <v>210</v>
      </c>
      <c r="D561" s="37" t="s">
        <v>21</v>
      </c>
      <c r="E561" s="37" t="s">
        <v>22</v>
      </c>
      <c r="F561" s="42">
        <v>45473</v>
      </c>
      <c r="G561" s="37">
        <v>2024</v>
      </c>
      <c r="H561" s="37" t="s">
        <v>23</v>
      </c>
      <c r="I561" s="39" t="s">
        <v>34</v>
      </c>
      <c r="J561" s="37">
        <v>2039237043</v>
      </c>
      <c r="K561" s="56">
        <v>4385721681</v>
      </c>
      <c r="L561" s="24">
        <f t="shared" si="52"/>
        <v>1.3</v>
      </c>
      <c r="M561" s="24">
        <f t="shared" si="53"/>
        <v>2.1506679157553927</v>
      </c>
      <c r="N561" s="37" t="s">
        <v>264</v>
      </c>
      <c r="O561" s="37" t="s">
        <v>264</v>
      </c>
      <c r="P561" s="40">
        <v>0</v>
      </c>
      <c r="Q561" s="40">
        <v>0</v>
      </c>
      <c r="R561" s="37" t="s">
        <v>696</v>
      </c>
      <c r="S561" s="37"/>
    </row>
    <row r="562" spans="1:19" x14ac:dyDescent="0.3">
      <c r="A562" s="36">
        <v>205</v>
      </c>
      <c r="B562" s="37" t="s">
        <v>692</v>
      </c>
      <c r="C562" s="37" t="s">
        <v>210</v>
      </c>
      <c r="D562" s="37" t="s">
        <v>21</v>
      </c>
      <c r="E562" s="37" t="s">
        <v>22</v>
      </c>
      <c r="F562" s="42">
        <v>45657</v>
      </c>
      <c r="G562" s="37">
        <v>2024</v>
      </c>
      <c r="H562" s="37" t="s">
        <v>27</v>
      </c>
      <c r="I562" s="39" t="s">
        <v>36</v>
      </c>
      <c r="J562" s="37">
        <v>2783219654</v>
      </c>
      <c r="K562" s="43">
        <v>5141102865</v>
      </c>
      <c r="L562" s="24">
        <f t="shared" si="52"/>
        <v>1.3</v>
      </c>
      <c r="M562" s="24">
        <f t="shared" si="53"/>
        <v>1.8471782698182972</v>
      </c>
      <c r="N562" s="37" t="s">
        <v>264</v>
      </c>
      <c r="O562" s="37" t="s">
        <v>264</v>
      </c>
      <c r="P562" s="40">
        <v>0</v>
      </c>
      <c r="Q562" s="40">
        <v>0</v>
      </c>
      <c r="R562" s="37" t="s">
        <v>697</v>
      </c>
      <c r="S562" s="37"/>
    </row>
    <row r="563" spans="1:19" x14ac:dyDescent="0.3">
      <c r="A563" s="36">
        <v>206</v>
      </c>
      <c r="B563" s="37" t="s">
        <v>698</v>
      </c>
      <c r="C563" s="37" t="s">
        <v>210</v>
      </c>
      <c r="D563" s="37" t="s">
        <v>21</v>
      </c>
      <c r="E563" s="37" t="s">
        <v>22</v>
      </c>
      <c r="F563" s="38">
        <v>45107</v>
      </c>
      <c r="G563" s="37">
        <v>2023</v>
      </c>
      <c r="H563" s="37" t="s">
        <v>23</v>
      </c>
      <c r="I563" s="39" t="s">
        <v>30</v>
      </c>
      <c r="J563" s="37">
        <v>1</v>
      </c>
      <c r="K563" s="56">
        <v>1.2336951835584</v>
      </c>
      <c r="L563" s="24">
        <f t="shared" si="52"/>
        <v>1.2336951835584</v>
      </c>
      <c r="M563" s="24">
        <f t="shared" si="53"/>
        <v>1.2336951835584</v>
      </c>
      <c r="N563" s="37" t="s">
        <v>264</v>
      </c>
      <c r="O563" s="37" t="s">
        <v>264</v>
      </c>
      <c r="P563" s="40">
        <v>0</v>
      </c>
      <c r="Q563" s="40">
        <v>0</v>
      </c>
      <c r="R563" s="37" t="s">
        <v>699</v>
      </c>
      <c r="S563" s="37"/>
    </row>
    <row r="564" spans="1:19" x14ac:dyDescent="0.3">
      <c r="A564" s="41">
        <v>206</v>
      </c>
      <c r="B564" s="37" t="s">
        <v>698</v>
      </c>
      <c r="C564" s="37" t="s">
        <v>210</v>
      </c>
      <c r="D564" s="37" t="s">
        <v>21</v>
      </c>
      <c r="E564" s="37" t="s">
        <v>22</v>
      </c>
      <c r="F564" s="42">
        <v>45291</v>
      </c>
      <c r="G564" s="37">
        <v>2023</v>
      </c>
      <c r="H564" s="37" t="s">
        <v>27</v>
      </c>
      <c r="I564" s="39" t="s">
        <v>32</v>
      </c>
      <c r="J564" s="37">
        <v>1</v>
      </c>
      <c r="K564" s="56">
        <v>4.6067902891217338</v>
      </c>
      <c r="L564" s="24">
        <f t="shared" si="52"/>
        <v>1.3</v>
      </c>
      <c r="M564" s="24">
        <f t="shared" si="53"/>
        <v>4.6067902891217338</v>
      </c>
      <c r="N564" s="37" t="s">
        <v>264</v>
      </c>
      <c r="O564" s="37" t="s">
        <v>264</v>
      </c>
      <c r="P564" s="40">
        <v>0</v>
      </c>
      <c r="Q564" s="40">
        <v>0</v>
      </c>
      <c r="R564" s="37" t="s">
        <v>700</v>
      </c>
      <c r="S564" s="37"/>
    </row>
    <row r="565" spans="1:19" x14ac:dyDescent="0.3">
      <c r="A565" s="36">
        <v>206</v>
      </c>
      <c r="B565" s="37" t="s">
        <v>698</v>
      </c>
      <c r="C565" s="37" t="s">
        <v>210</v>
      </c>
      <c r="D565" s="37" t="s">
        <v>139</v>
      </c>
      <c r="E565" s="37" t="s">
        <v>22</v>
      </c>
      <c r="F565" s="42">
        <v>45657</v>
      </c>
      <c r="G565" s="37">
        <v>2024</v>
      </c>
      <c r="H565" s="37" t="s">
        <v>27</v>
      </c>
      <c r="I565" s="39" t="s">
        <v>36</v>
      </c>
      <c r="J565" s="37">
        <v>1</v>
      </c>
      <c r="K565" s="43">
        <v>1.37</v>
      </c>
      <c r="L565" s="24">
        <f t="shared" si="52"/>
        <v>1.3</v>
      </c>
      <c r="M565" s="24">
        <f t="shared" si="53"/>
        <v>1.37</v>
      </c>
      <c r="N565" s="37" t="s">
        <v>264</v>
      </c>
      <c r="O565" s="37" t="s">
        <v>264</v>
      </c>
      <c r="P565" s="40">
        <v>0</v>
      </c>
      <c r="Q565" s="40">
        <v>0</v>
      </c>
      <c r="R565" s="37" t="s">
        <v>701</v>
      </c>
      <c r="S565" s="37"/>
    </row>
    <row r="566" spans="1:19" x14ac:dyDescent="0.3">
      <c r="A566" s="45">
        <v>207</v>
      </c>
      <c r="B566" s="37" t="s">
        <v>702</v>
      </c>
      <c r="C566" s="37" t="s">
        <v>210</v>
      </c>
      <c r="D566" s="37" t="s">
        <v>21</v>
      </c>
      <c r="E566" s="37" t="s">
        <v>56</v>
      </c>
      <c r="F566" s="42">
        <v>45107</v>
      </c>
      <c r="G566" s="37">
        <v>2023</v>
      </c>
      <c r="H566" s="37" t="s">
        <v>23</v>
      </c>
      <c r="I566" s="39" t="s">
        <v>30</v>
      </c>
      <c r="J566" s="37">
        <v>114640779682</v>
      </c>
      <c r="K566" s="26">
        <v>116015126638</v>
      </c>
      <c r="L566" s="24">
        <f t="shared" si="52"/>
        <v>0.98815372619220287</v>
      </c>
      <c r="M566" s="24">
        <f t="shared" si="53"/>
        <v>0.98815372619220287</v>
      </c>
      <c r="N566" s="37" t="s">
        <v>264</v>
      </c>
      <c r="O566" s="37" t="s">
        <v>264</v>
      </c>
      <c r="P566" s="40">
        <v>0</v>
      </c>
      <c r="Q566" s="40">
        <v>0</v>
      </c>
      <c r="R566" s="37" t="s">
        <v>703</v>
      </c>
      <c r="S566" s="37"/>
    </row>
    <row r="567" spans="1:19" x14ac:dyDescent="0.3">
      <c r="A567" s="41">
        <v>207</v>
      </c>
      <c r="B567" s="37" t="s">
        <v>702</v>
      </c>
      <c r="C567" s="37" t="s">
        <v>210</v>
      </c>
      <c r="D567" s="37" t="s">
        <v>21</v>
      </c>
      <c r="E567" s="37" t="s">
        <v>56</v>
      </c>
      <c r="F567" s="42">
        <v>45291</v>
      </c>
      <c r="G567" s="37">
        <v>2023</v>
      </c>
      <c r="H567" s="37" t="s">
        <v>27</v>
      </c>
      <c r="I567" s="39" t="s">
        <v>32</v>
      </c>
      <c r="J567" s="37">
        <v>238770966572</v>
      </c>
      <c r="K567" s="26">
        <v>247359733075</v>
      </c>
      <c r="L567" s="24">
        <f t="shared" si="52"/>
        <v>0.96527823507799526</v>
      </c>
      <c r="M567" s="24">
        <f t="shared" si="53"/>
        <v>0.96527823507799526</v>
      </c>
      <c r="N567" s="37" t="s">
        <v>264</v>
      </c>
      <c r="O567" s="37" t="s">
        <v>264</v>
      </c>
      <c r="P567" s="40">
        <v>0</v>
      </c>
      <c r="Q567" s="40">
        <v>0</v>
      </c>
      <c r="R567" s="37" t="s">
        <v>704</v>
      </c>
      <c r="S567" s="37"/>
    </row>
    <row r="568" spans="1:19" x14ac:dyDescent="0.3">
      <c r="A568" s="41">
        <v>207</v>
      </c>
      <c r="B568" s="37" t="s">
        <v>702</v>
      </c>
      <c r="C568" s="37" t="s">
        <v>210</v>
      </c>
      <c r="D568" s="37" t="s">
        <v>21</v>
      </c>
      <c r="E568" s="37" t="s">
        <v>56</v>
      </c>
      <c r="F568" s="42">
        <v>45473</v>
      </c>
      <c r="G568" s="37">
        <v>2024</v>
      </c>
      <c r="H568" s="37" t="s">
        <v>23</v>
      </c>
      <c r="I568" s="39" t="s">
        <v>34</v>
      </c>
      <c r="J568" s="37">
        <v>128735296794</v>
      </c>
      <c r="K568" s="60">
        <v>131039322300</v>
      </c>
      <c r="L568" s="24">
        <f t="shared" si="52"/>
        <v>0.98241729684220136</v>
      </c>
      <c r="M568" s="24">
        <f t="shared" si="53"/>
        <v>0.98241729684220136</v>
      </c>
      <c r="N568" s="37" t="s">
        <v>264</v>
      </c>
      <c r="O568" s="37" t="s">
        <v>264</v>
      </c>
      <c r="P568" s="40">
        <v>0</v>
      </c>
      <c r="Q568" s="40">
        <v>0</v>
      </c>
      <c r="R568" s="37" t="s">
        <v>705</v>
      </c>
      <c r="S568" s="37"/>
    </row>
    <row r="569" spans="1:19" x14ac:dyDescent="0.3">
      <c r="A569" s="36">
        <v>207</v>
      </c>
      <c r="B569" s="37" t="s">
        <v>702</v>
      </c>
      <c r="C569" s="37" t="s">
        <v>210</v>
      </c>
      <c r="D569" s="37" t="s">
        <v>21</v>
      </c>
      <c r="E569" s="37" t="s">
        <v>56</v>
      </c>
      <c r="F569" s="42">
        <v>45657</v>
      </c>
      <c r="G569" s="37">
        <v>2024</v>
      </c>
      <c r="H569" s="37" t="s">
        <v>27</v>
      </c>
      <c r="I569" s="39" t="s">
        <v>36</v>
      </c>
      <c r="J569" s="37">
        <v>262628344390</v>
      </c>
      <c r="K569" s="60">
        <v>268399199817</v>
      </c>
      <c r="L569" s="24">
        <f t="shared" si="52"/>
        <v>0.97849898423343029</v>
      </c>
      <c r="M569" s="24">
        <f t="shared" si="53"/>
        <v>0.97849898423343029</v>
      </c>
      <c r="N569" s="37" t="s">
        <v>264</v>
      </c>
      <c r="O569" s="37" t="s">
        <v>264</v>
      </c>
      <c r="P569" s="40">
        <v>0</v>
      </c>
      <c r="Q569" s="40">
        <v>0</v>
      </c>
      <c r="R569" s="37" t="s">
        <v>706</v>
      </c>
      <c r="S569" s="37"/>
    </row>
    <row r="570" spans="1:19" x14ac:dyDescent="0.3">
      <c r="A570" s="37">
        <v>208</v>
      </c>
      <c r="B570" s="37" t="s">
        <v>707</v>
      </c>
      <c r="C570" s="37" t="s">
        <v>251</v>
      </c>
      <c r="D570" s="37" t="s">
        <v>73</v>
      </c>
      <c r="E570" s="37" t="s">
        <v>56</v>
      </c>
      <c r="F570" s="42">
        <v>44592</v>
      </c>
      <c r="G570" s="37">
        <v>2022</v>
      </c>
      <c r="H570" s="37" t="s">
        <v>74</v>
      </c>
      <c r="I570" s="37" t="s">
        <v>24</v>
      </c>
      <c r="J570" s="37">
        <v>1700</v>
      </c>
      <c r="K570" s="37">
        <v>654</v>
      </c>
      <c r="L570" s="24">
        <f t="shared" ref="L570:L601" si="54">IFERROR(IF(OR(J570=0,K570=""),"",IF(E570="Positivo",MIN(MAX(K570/J570,0),1),MIN(MAX(J570/K570,0),1))),"")</f>
        <v>1</v>
      </c>
      <c r="M570" s="24">
        <f t="shared" ref="M570:M601" si="55">IFERROR(IF(OR(J570=0,K570=""),"",IF(E570="Positivo",MIN(MAX(K570/J570,0),1),MIN(MAX(J570/K570,0),1))),"")</f>
        <v>1</v>
      </c>
      <c r="N570" s="37" t="s">
        <v>708</v>
      </c>
      <c r="O570" s="37" t="s">
        <v>708</v>
      </c>
      <c r="P570" s="37">
        <v>0</v>
      </c>
      <c r="Q570" s="37">
        <v>0</v>
      </c>
      <c r="R570" s="37" t="s">
        <v>709</v>
      </c>
      <c r="S570" s="37"/>
    </row>
    <row r="571" spans="1:19" x14ac:dyDescent="0.3">
      <c r="A571" s="37">
        <v>208</v>
      </c>
      <c r="B571" s="37" t="s">
        <v>707</v>
      </c>
      <c r="C571" s="37" t="s">
        <v>251</v>
      </c>
      <c r="D571" s="37" t="s">
        <v>73</v>
      </c>
      <c r="E571" s="37" t="s">
        <v>56</v>
      </c>
      <c r="F571" s="42">
        <v>44620</v>
      </c>
      <c r="G571" s="37">
        <v>2022</v>
      </c>
      <c r="H571" s="37" t="s">
        <v>76</v>
      </c>
      <c r="I571" s="37" t="s">
        <v>24</v>
      </c>
      <c r="J571" s="37">
        <v>1700</v>
      </c>
      <c r="K571" s="37">
        <v>915.5</v>
      </c>
      <c r="L571" s="24">
        <f t="shared" si="54"/>
        <v>1</v>
      </c>
      <c r="M571" s="24">
        <f t="shared" si="55"/>
        <v>1</v>
      </c>
      <c r="N571" s="37" t="s">
        <v>708</v>
      </c>
      <c r="O571" s="37" t="s">
        <v>708</v>
      </c>
      <c r="P571" s="37">
        <v>0</v>
      </c>
      <c r="Q571" s="37">
        <v>0</v>
      </c>
      <c r="R571" s="37" t="s">
        <v>710</v>
      </c>
      <c r="S571" s="37"/>
    </row>
    <row r="572" spans="1:19" x14ac:dyDescent="0.3">
      <c r="A572" s="37">
        <v>208</v>
      </c>
      <c r="B572" s="37" t="s">
        <v>707</v>
      </c>
      <c r="C572" s="37" t="s">
        <v>251</v>
      </c>
      <c r="D572" s="37" t="s">
        <v>73</v>
      </c>
      <c r="E572" s="37" t="s">
        <v>56</v>
      </c>
      <c r="F572" s="42">
        <v>44651</v>
      </c>
      <c r="G572" s="37">
        <v>2022</v>
      </c>
      <c r="H572" s="37" t="s">
        <v>40</v>
      </c>
      <c r="I572" s="37" t="s">
        <v>24</v>
      </c>
      <c r="J572" s="37">
        <v>1700</v>
      </c>
      <c r="K572" s="37">
        <v>782.5</v>
      </c>
      <c r="L572" s="24">
        <f t="shared" si="54"/>
        <v>1</v>
      </c>
      <c r="M572" s="24">
        <f t="shared" si="55"/>
        <v>1</v>
      </c>
      <c r="N572" s="37" t="s">
        <v>708</v>
      </c>
      <c r="O572" s="37" t="s">
        <v>708</v>
      </c>
      <c r="P572" s="37">
        <v>0</v>
      </c>
      <c r="Q572" s="37">
        <v>0</v>
      </c>
      <c r="R572" s="37" t="s">
        <v>711</v>
      </c>
      <c r="S572" s="37"/>
    </row>
    <row r="573" spans="1:19" x14ac:dyDescent="0.3">
      <c r="A573" s="37">
        <v>208</v>
      </c>
      <c r="B573" s="37" t="s">
        <v>707</v>
      </c>
      <c r="C573" s="37" t="s">
        <v>251</v>
      </c>
      <c r="D573" s="37" t="s">
        <v>73</v>
      </c>
      <c r="E573" s="37" t="s">
        <v>56</v>
      </c>
      <c r="F573" s="42">
        <v>44681</v>
      </c>
      <c r="G573" s="37">
        <v>2022</v>
      </c>
      <c r="H573" s="37" t="s">
        <v>79</v>
      </c>
      <c r="I573" s="37" t="s">
        <v>24</v>
      </c>
      <c r="J573" s="37">
        <v>1700</v>
      </c>
      <c r="K573" s="37">
        <v>1296</v>
      </c>
      <c r="L573" s="24">
        <f t="shared" si="54"/>
        <v>1</v>
      </c>
      <c r="M573" s="24">
        <f t="shared" si="55"/>
        <v>1</v>
      </c>
      <c r="N573" s="37" t="s">
        <v>708</v>
      </c>
      <c r="O573" s="37" t="s">
        <v>708</v>
      </c>
      <c r="P573" s="37">
        <v>0</v>
      </c>
      <c r="Q573" s="37">
        <v>0</v>
      </c>
      <c r="R573" s="37" t="s">
        <v>712</v>
      </c>
      <c r="S573" s="37"/>
    </row>
    <row r="574" spans="1:19" x14ac:dyDescent="0.3">
      <c r="A574" s="37">
        <v>208</v>
      </c>
      <c r="B574" s="37" t="s">
        <v>707</v>
      </c>
      <c r="C574" s="37" t="s">
        <v>251</v>
      </c>
      <c r="D574" s="37" t="s">
        <v>73</v>
      </c>
      <c r="E574" s="37" t="s">
        <v>56</v>
      </c>
      <c r="F574" s="42">
        <v>44712</v>
      </c>
      <c r="G574" s="37">
        <v>2022</v>
      </c>
      <c r="H574" s="37" t="s">
        <v>81</v>
      </c>
      <c r="I574" s="37" t="s">
        <v>24</v>
      </c>
      <c r="J574" s="37">
        <v>1700</v>
      </c>
      <c r="K574" s="37">
        <v>1251</v>
      </c>
      <c r="L574" s="24">
        <f t="shared" si="54"/>
        <v>1</v>
      </c>
      <c r="M574" s="24">
        <f t="shared" si="55"/>
        <v>1</v>
      </c>
      <c r="N574" s="37" t="s">
        <v>708</v>
      </c>
      <c r="O574" s="37" t="s">
        <v>708</v>
      </c>
      <c r="P574" s="37">
        <v>0</v>
      </c>
      <c r="Q574" s="37">
        <v>0</v>
      </c>
      <c r="R574" s="37" t="s">
        <v>713</v>
      </c>
      <c r="S574" s="37"/>
    </row>
    <row r="575" spans="1:19" x14ac:dyDescent="0.3">
      <c r="A575" s="37">
        <v>208</v>
      </c>
      <c r="B575" s="37" t="s">
        <v>707</v>
      </c>
      <c r="C575" s="37" t="s">
        <v>251</v>
      </c>
      <c r="D575" s="37" t="s">
        <v>73</v>
      </c>
      <c r="E575" s="37" t="s">
        <v>56</v>
      </c>
      <c r="F575" s="42">
        <v>44742</v>
      </c>
      <c r="G575" s="37">
        <v>2022</v>
      </c>
      <c r="H575" s="37" t="s">
        <v>23</v>
      </c>
      <c r="I575" s="37" t="s">
        <v>24</v>
      </c>
      <c r="J575" s="37">
        <v>1700</v>
      </c>
      <c r="K575" s="37">
        <v>1229.5</v>
      </c>
      <c r="L575" s="24">
        <f t="shared" si="54"/>
        <v>1</v>
      </c>
      <c r="M575" s="24">
        <f t="shared" si="55"/>
        <v>1</v>
      </c>
      <c r="N575" s="37" t="s">
        <v>708</v>
      </c>
      <c r="O575" s="37" t="s">
        <v>708</v>
      </c>
      <c r="P575" s="37">
        <v>0</v>
      </c>
      <c r="Q575" s="37">
        <v>0</v>
      </c>
      <c r="R575" s="37" t="s">
        <v>714</v>
      </c>
      <c r="S575" s="37"/>
    </row>
    <row r="576" spans="1:19" x14ac:dyDescent="0.3">
      <c r="A576" s="37">
        <v>208</v>
      </c>
      <c r="B576" s="37" t="s">
        <v>707</v>
      </c>
      <c r="C576" s="37" t="s">
        <v>251</v>
      </c>
      <c r="D576" s="37" t="s">
        <v>73</v>
      </c>
      <c r="E576" s="37" t="s">
        <v>56</v>
      </c>
      <c r="F576" s="42">
        <v>44773</v>
      </c>
      <c r="G576" s="37">
        <v>2022</v>
      </c>
      <c r="H576" s="37" t="s">
        <v>84</v>
      </c>
      <c r="I576" s="37" t="s">
        <v>28</v>
      </c>
      <c r="J576" s="37">
        <v>1700</v>
      </c>
      <c r="K576" s="37">
        <v>1362.5</v>
      </c>
      <c r="L576" s="24">
        <f t="shared" si="54"/>
        <v>1</v>
      </c>
      <c r="M576" s="24">
        <f t="shared" si="55"/>
        <v>1</v>
      </c>
      <c r="N576" s="37" t="s">
        <v>708</v>
      </c>
      <c r="O576" s="37" t="s">
        <v>708</v>
      </c>
      <c r="P576" s="37">
        <v>0</v>
      </c>
      <c r="Q576" s="37">
        <v>0</v>
      </c>
      <c r="R576" s="37" t="s">
        <v>715</v>
      </c>
      <c r="S576" s="37"/>
    </row>
    <row r="577" spans="1:19" x14ac:dyDescent="0.3">
      <c r="A577" s="37">
        <v>208</v>
      </c>
      <c r="B577" s="37" t="s">
        <v>707</v>
      </c>
      <c r="C577" s="37" t="s">
        <v>251</v>
      </c>
      <c r="D577" s="37" t="s">
        <v>73</v>
      </c>
      <c r="E577" s="37" t="s">
        <v>56</v>
      </c>
      <c r="F577" s="42">
        <v>44804</v>
      </c>
      <c r="G577" s="37">
        <v>2022</v>
      </c>
      <c r="H577" s="37" t="s">
        <v>86</v>
      </c>
      <c r="I577" s="37" t="s">
        <v>28</v>
      </c>
      <c r="J577" s="37">
        <v>1700</v>
      </c>
      <c r="K577" s="37">
        <v>1328.5</v>
      </c>
      <c r="L577" s="24">
        <f t="shared" si="54"/>
        <v>1</v>
      </c>
      <c r="M577" s="24">
        <f t="shared" si="55"/>
        <v>1</v>
      </c>
      <c r="N577" s="37" t="s">
        <v>708</v>
      </c>
      <c r="O577" s="37" t="s">
        <v>708</v>
      </c>
      <c r="P577" s="37">
        <v>0</v>
      </c>
      <c r="Q577" s="37">
        <v>0</v>
      </c>
      <c r="R577" s="37" t="s">
        <v>716</v>
      </c>
      <c r="S577" s="37"/>
    </row>
    <row r="578" spans="1:19" x14ac:dyDescent="0.3">
      <c r="A578" s="37">
        <v>208</v>
      </c>
      <c r="B578" s="37" t="s">
        <v>707</v>
      </c>
      <c r="C578" s="37" t="s">
        <v>251</v>
      </c>
      <c r="D578" s="37" t="s">
        <v>73</v>
      </c>
      <c r="E578" s="37" t="s">
        <v>56</v>
      </c>
      <c r="F578" s="42">
        <v>44834</v>
      </c>
      <c r="G578" s="37">
        <v>2022</v>
      </c>
      <c r="H578" s="37" t="s">
        <v>43</v>
      </c>
      <c r="I578" s="37" t="s">
        <v>28</v>
      </c>
      <c r="J578" s="37">
        <v>1700</v>
      </c>
      <c r="K578" s="37">
        <v>1687.5</v>
      </c>
      <c r="L578" s="24">
        <f t="shared" si="54"/>
        <v>1</v>
      </c>
      <c r="M578" s="24">
        <f t="shared" si="55"/>
        <v>1</v>
      </c>
      <c r="N578" s="37" t="s">
        <v>708</v>
      </c>
      <c r="O578" s="37" t="s">
        <v>708</v>
      </c>
      <c r="P578" s="37">
        <v>0</v>
      </c>
      <c r="Q578" s="37">
        <v>0</v>
      </c>
      <c r="R578" s="37" t="s">
        <v>717</v>
      </c>
      <c r="S578" s="37"/>
    </row>
    <row r="579" spans="1:19" x14ac:dyDescent="0.3">
      <c r="A579" s="37">
        <v>208</v>
      </c>
      <c r="B579" s="37" t="s">
        <v>707</v>
      </c>
      <c r="C579" s="37" t="s">
        <v>251</v>
      </c>
      <c r="D579" s="37" t="s">
        <v>73</v>
      </c>
      <c r="E579" s="37" t="s">
        <v>56</v>
      </c>
      <c r="F579" s="42">
        <v>44865</v>
      </c>
      <c r="G579" s="37">
        <v>2022</v>
      </c>
      <c r="H579" s="37" t="s">
        <v>89</v>
      </c>
      <c r="I579" s="37" t="s">
        <v>28</v>
      </c>
      <c r="J579" s="37">
        <v>1700</v>
      </c>
      <c r="K579" s="37">
        <v>1687</v>
      </c>
      <c r="L579" s="24">
        <f t="shared" si="54"/>
        <v>1</v>
      </c>
      <c r="M579" s="24">
        <f t="shared" si="55"/>
        <v>1</v>
      </c>
      <c r="N579" s="37" t="s">
        <v>708</v>
      </c>
      <c r="O579" s="37" t="s">
        <v>708</v>
      </c>
      <c r="P579" s="37">
        <v>0</v>
      </c>
      <c r="Q579" s="37">
        <v>0</v>
      </c>
      <c r="R579" s="37" t="s">
        <v>718</v>
      </c>
      <c r="S579" s="37"/>
    </row>
    <row r="580" spans="1:19" x14ac:dyDescent="0.3">
      <c r="A580" s="37">
        <v>208</v>
      </c>
      <c r="B580" s="37" t="s">
        <v>707</v>
      </c>
      <c r="C580" s="37" t="s">
        <v>251</v>
      </c>
      <c r="D580" s="37" t="s">
        <v>73</v>
      </c>
      <c r="E580" s="37" t="s">
        <v>56</v>
      </c>
      <c r="F580" s="42">
        <v>44895</v>
      </c>
      <c r="G580" s="37">
        <v>2022</v>
      </c>
      <c r="H580" s="37" t="s">
        <v>91</v>
      </c>
      <c r="I580" s="37" t="s">
        <v>28</v>
      </c>
      <c r="J580" s="37">
        <v>1700</v>
      </c>
      <c r="K580" s="37">
        <v>1494</v>
      </c>
      <c r="L580" s="24">
        <f t="shared" si="54"/>
        <v>1</v>
      </c>
      <c r="M580" s="24">
        <f t="shared" si="55"/>
        <v>1</v>
      </c>
      <c r="N580" s="37" t="s">
        <v>708</v>
      </c>
      <c r="O580" s="37" t="s">
        <v>708</v>
      </c>
      <c r="P580" s="37">
        <v>0</v>
      </c>
      <c r="Q580" s="37">
        <v>0</v>
      </c>
      <c r="R580" s="37" t="s">
        <v>719</v>
      </c>
      <c r="S580" s="37"/>
    </row>
    <row r="581" spans="1:19" x14ac:dyDescent="0.3">
      <c r="A581" s="37">
        <v>208</v>
      </c>
      <c r="B581" s="37" t="s">
        <v>707</v>
      </c>
      <c r="C581" s="37" t="s">
        <v>251</v>
      </c>
      <c r="D581" s="37" t="s">
        <v>73</v>
      </c>
      <c r="E581" s="37" t="s">
        <v>56</v>
      </c>
      <c r="F581" s="42">
        <v>44926</v>
      </c>
      <c r="G581" s="37">
        <v>2022</v>
      </c>
      <c r="H581" s="37" t="s">
        <v>27</v>
      </c>
      <c r="I581" s="37" t="s">
        <v>28</v>
      </c>
      <c r="J581" s="37">
        <v>1700</v>
      </c>
      <c r="K581" s="37">
        <v>1010</v>
      </c>
      <c r="L581" s="24">
        <f t="shared" si="54"/>
        <v>1</v>
      </c>
      <c r="M581" s="24">
        <f t="shared" si="55"/>
        <v>1</v>
      </c>
      <c r="N581" s="37" t="s">
        <v>708</v>
      </c>
      <c r="O581" s="37" t="s">
        <v>708</v>
      </c>
      <c r="P581" s="37">
        <v>0</v>
      </c>
      <c r="Q581" s="37">
        <v>0</v>
      </c>
      <c r="R581" s="37" t="s">
        <v>720</v>
      </c>
      <c r="S581" s="37"/>
    </row>
    <row r="582" spans="1:19" x14ac:dyDescent="0.3">
      <c r="A582" s="36">
        <v>208</v>
      </c>
      <c r="B582" s="37" t="s">
        <v>707</v>
      </c>
      <c r="C582" s="37" t="s">
        <v>251</v>
      </c>
      <c r="D582" s="37" t="s">
        <v>73</v>
      </c>
      <c r="E582" s="37" t="s">
        <v>56</v>
      </c>
      <c r="F582" s="42">
        <v>44957</v>
      </c>
      <c r="G582" s="37">
        <v>2023</v>
      </c>
      <c r="H582" s="37" t="s">
        <v>74</v>
      </c>
      <c r="I582" s="39" t="s">
        <v>30</v>
      </c>
      <c r="J582" s="37">
        <v>1700</v>
      </c>
      <c r="K582" s="56">
        <v>1019</v>
      </c>
      <c r="L582" s="24">
        <f t="shared" si="54"/>
        <v>1</v>
      </c>
      <c r="M582" s="24">
        <f t="shared" si="55"/>
        <v>1</v>
      </c>
      <c r="N582" s="37" t="s">
        <v>670</v>
      </c>
      <c r="O582" s="37" t="s">
        <v>708</v>
      </c>
      <c r="P582" s="40">
        <v>0</v>
      </c>
      <c r="Q582" s="40">
        <v>0</v>
      </c>
      <c r="R582" s="37" t="s">
        <v>721</v>
      </c>
      <c r="S582" s="37"/>
    </row>
    <row r="583" spans="1:19" x14ac:dyDescent="0.3">
      <c r="A583" s="36">
        <v>208</v>
      </c>
      <c r="B583" s="37" t="s">
        <v>707</v>
      </c>
      <c r="C583" s="37" t="s">
        <v>251</v>
      </c>
      <c r="D583" s="37" t="s">
        <v>73</v>
      </c>
      <c r="E583" s="37" t="s">
        <v>56</v>
      </c>
      <c r="F583" s="38">
        <v>44985</v>
      </c>
      <c r="G583" s="37">
        <v>2023</v>
      </c>
      <c r="H583" s="37" t="s">
        <v>76</v>
      </c>
      <c r="I583" s="39" t="s">
        <v>30</v>
      </c>
      <c r="J583" s="37">
        <v>1700</v>
      </c>
      <c r="K583" s="56">
        <v>896</v>
      </c>
      <c r="L583" s="24">
        <f t="shared" si="54"/>
        <v>1</v>
      </c>
      <c r="M583" s="24">
        <f t="shared" si="55"/>
        <v>1</v>
      </c>
      <c r="N583" s="37" t="s">
        <v>670</v>
      </c>
      <c r="O583" s="37" t="s">
        <v>708</v>
      </c>
      <c r="P583" s="40">
        <v>0</v>
      </c>
      <c r="Q583" s="40">
        <v>0</v>
      </c>
      <c r="R583" s="37" t="s">
        <v>722</v>
      </c>
      <c r="S583" s="37"/>
    </row>
    <row r="584" spans="1:19" x14ac:dyDescent="0.3">
      <c r="A584" s="36">
        <v>208</v>
      </c>
      <c r="B584" s="37" t="s">
        <v>707</v>
      </c>
      <c r="C584" s="37" t="s">
        <v>251</v>
      </c>
      <c r="D584" s="37" t="s">
        <v>73</v>
      </c>
      <c r="E584" s="37" t="s">
        <v>56</v>
      </c>
      <c r="F584" s="42">
        <v>45016</v>
      </c>
      <c r="G584" s="37">
        <v>2023</v>
      </c>
      <c r="H584" s="37" t="s">
        <v>40</v>
      </c>
      <c r="I584" s="39" t="s">
        <v>30</v>
      </c>
      <c r="J584" s="37">
        <v>1700</v>
      </c>
      <c r="K584" s="56">
        <v>961.7</v>
      </c>
      <c r="L584" s="24">
        <f t="shared" si="54"/>
        <v>1</v>
      </c>
      <c r="M584" s="24">
        <f t="shared" si="55"/>
        <v>1</v>
      </c>
      <c r="N584" s="37" t="s">
        <v>670</v>
      </c>
      <c r="O584" s="37" t="s">
        <v>708</v>
      </c>
      <c r="P584" s="40">
        <v>0</v>
      </c>
      <c r="Q584" s="40">
        <v>0</v>
      </c>
      <c r="R584" s="37" t="s">
        <v>723</v>
      </c>
      <c r="S584" s="37"/>
    </row>
    <row r="585" spans="1:19" x14ac:dyDescent="0.3">
      <c r="A585" s="36">
        <v>208</v>
      </c>
      <c r="B585" s="37" t="s">
        <v>707</v>
      </c>
      <c r="C585" s="37" t="s">
        <v>251</v>
      </c>
      <c r="D585" s="37" t="s">
        <v>73</v>
      </c>
      <c r="E585" s="37" t="s">
        <v>56</v>
      </c>
      <c r="F585" s="42">
        <v>45046</v>
      </c>
      <c r="G585" s="37">
        <v>2023</v>
      </c>
      <c r="H585" s="37" t="s">
        <v>79</v>
      </c>
      <c r="I585" s="39" t="s">
        <v>30</v>
      </c>
      <c r="J585" s="37">
        <v>1700</v>
      </c>
      <c r="K585" s="56">
        <v>957.6</v>
      </c>
      <c r="L585" s="24">
        <f t="shared" si="54"/>
        <v>1</v>
      </c>
      <c r="M585" s="24">
        <f t="shared" si="55"/>
        <v>1</v>
      </c>
      <c r="N585" s="37" t="s">
        <v>670</v>
      </c>
      <c r="O585" s="37" t="s">
        <v>708</v>
      </c>
      <c r="P585" s="40">
        <v>0</v>
      </c>
      <c r="Q585" s="40">
        <v>0</v>
      </c>
      <c r="R585" s="37" t="s">
        <v>724</v>
      </c>
      <c r="S585" s="37"/>
    </row>
    <row r="586" spans="1:19" x14ac:dyDescent="0.3">
      <c r="A586" s="36">
        <v>208</v>
      </c>
      <c r="B586" s="37" t="s">
        <v>707</v>
      </c>
      <c r="C586" s="37" t="s">
        <v>251</v>
      </c>
      <c r="D586" s="37" t="s">
        <v>73</v>
      </c>
      <c r="E586" s="37" t="s">
        <v>56</v>
      </c>
      <c r="F586" s="42">
        <v>45077</v>
      </c>
      <c r="G586" s="37">
        <v>2023</v>
      </c>
      <c r="H586" s="37" t="s">
        <v>81</v>
      </c>
      <c r="I586" s="39" t="s">
        <v>30</v>
      </c>
      <c r="J586" s="37">
        <v>1700</v>
      </c>
      <c r="K586" s="56">
        <v>1268</v>
      </c>
      <c r="L586" s="24">
        <f t="shared" si="54"/>
        <v>1</v>
      </c>
      <c r="M586" s="24">
        <f t="shared" si="55"/>
        <v>1</v>
      </c>
      <c r="N586" s="37" t="s">
        <v>670</v>
      </c>
      <c r="O586" s="37" t="s">
        <v>708</v>
      </c>
      <c r="P586" s="40">
        <v>0</v>
      </c>
      <c r="Q586" s="40">
        <v>0</v>
      </c>
      <c r="R586" s="37" t="s">
        <v>725</v>
      </c>
      <c r="S586" s="37"/>
    </row>
    <row r="587" spans="1:19" x14ac:dyDescent="0.3">
      <c r="A587" s="36">
        <v>208</v>
      </c>
      <c r="B587" s="37" t="s">
        <v>707</v>
      </c>
      <c r="C587" s="37" t="s">
        <v>251</v>
      </c>
      <c r="D587" s="37" t="s">
        <v>73</v>
      </c>
      <c r="E587" s="37" t="s">
        <v>56</v>
      </c>
      <c r="F587" s="42">
        <v>45107</v>
      </c>
      <c r="G587" s="37">
        <v>2023</v>
      </c>
      <c r="H587" s="37" t="s">
        <v>23</v>
      </c>
      <c r="I587" s="39" t="s">
        <v>30</v>
      </c>
      <c r="J587" s="37">
        <v>1700</v>
      </c>
      <c r="K587" s="56">
        <v>1457</v>
      </c>
      <c r="L587" s="24">
        <f t="shared" si="54"/>
        <v>1</v>
      </c>
      <c r="M587" s="24">
        <f t="shared" si="55"/>
        <v>1</v>
      </c>
      <c r="N587" s="37" t="s">
        <v>670</v>
      </c>
      <c r="O587" s="37" t="s">
        <v>708</v>
      </c>
      <c r="P587" s="40">
        <v>0</v>
      </c>
      <c r="Q587" s="40">
        <v>0</v>
      </c>
      <c r="R587" s="37" t="s">
        <v>726</v>
      </c>
      <c r="S587" s="37"/>
    </row>
    <row r="588" spans="1:19" x14ac:dyDescent="0.3">
      <c r="A588" s="36">
        <v>208</v>
      </c>
      <c r="B588" s="37" t="s">
        <v>707</v>
      </c>
      <c r="C588" s="37" t="s">
        <v>251</v>
      </c>
      <c r="D588" s="37" t="s">
        <v>73</v>
      </c>
      <c r="E588" s="37" t="s">
        <v>56</v>
      </c>
      <c r="F588" s="42">
        <v>45138</v>
      </c>
      <c r="G588" s="37">
        <v>2023</v>
      </c>
      <c r="H588" s="37" t="s">
        <v>84</v>
      </c>
      <c r="I588" s="39" t="s">
        <v>32</v>
      </c>
      <c r="J588" s="37">
        <v>1700</v>
      </c>
      <c r="K588" s="56">
        <v>1160</v>
      </c>
      <c r="L588" s="24">
        <f t="shared" si="54"/>
        <v>1</v>
      </c>
      <c r="M588" s="24">
        <f t="shared" si="55"/>
        <v>1</v>
      </c>
      <c r="N588" s="37" t="s">
        <v>670</v>
      </c>
      <c r="O588" s="37" t="s">
        <v>708</v>
      </c>
      <c r="P588" s="40">
        <v>0</v>
      </c>
      <c r="Q588" s="40">
        <v>0</v>
      </c>
      <c r="R588" s="37" t="s">
        <v>727</v>
      </c>
      <c r="S588" s="37"/>
    </row>
    <row r="589" spans="1:19" x14ac:dyDescent="0.3">
      <c r="A589" s="36">
        <v>208</v>
      </c>
      <c r="B589" s="37" t="s">
        <v>707</v>
      </c>
      <c r="C589" s="37" t="s">
        <v>251</v>
      </c>
      <c r="D589" s="37" t="s">
        <v>73</v>
      </c>
      <c r="E589" s="37" t="s">
        <v>56</v>
      </c>
      <c r="F589" s="42">
        <v>45169</v>
      </c>
      <c r="G589" s="37">
        <v>2023</v>
      </c>
      <c r="H589" s="37" t="s">
        <v>86</v>
      </c>
      <c r="I589" s="39" t="s">
        <v>32</v>
      </c>
      <c r="J589" s="37">
        <v>1700</v>
      </c>
      <c r="K589" s="56">
        <v>1275</v>
      </c>
      <c r="L589" s="24">
        <f t="shared" si="54"/>
        <v>1</v>
      </c>
      <c r="M589" s="24">
        <f t="shared" si="55"/>
        <v>1</v>
      </c>
      <c r="N589" s="37" t="s">
        <v>670</v>
      </c>
      <c r="O589" s="37" t="s">
        <v>708</v>
      </c>
      <c r="P589" s="40">
        <v>0</v>
      </c>
      <c r="Q589" s="40">
        <v>0</v>
      </c>
      <c r="R589" s="37" t="s">
        <v>728</v>
      </c>
      <c r="S589" s="37"/>
    </row>
    <row r="590" spans="1:19" x14ac:dyDescent="0.3">
      <c r="A590" s="36">
        <v>208</v>
      </c>
      <c r="B590" s="37" t="s">
        <v>707</v>
      </c>
      <c r="C590" s="37" t="s">
        <v>251</v>
      </c>
      <c r="D590" s="37" t="s">
        <v>73</v>
      </c>
      <c r="E590" s="37" t="s">
        <v>56</v>
      </c>
      <c r="F590" s="42">
        <v>45199</v>
      </c>
      <c r="G590" s="37">
        <v>2023</v>
      </c>
      <c r="H590" s="37" t="s">
        <v>43</v>
      </c>
      <c r="I590" s="39" t="s">
        <v>32</v>
      </c>
      <c r="J590" s="37">
        <v>1700</v>
      </c>
      <c r="K590" s="56">
        <v>1453.5</v>
      </c>
      <c r="L590" s="24">
        <f t="shared" si="54"/>
        <v>1</v>
      </c>
      <c r="M590" s="24">
        <f t="shared" si="55"/>
        <v>1</v>
      </c>
      <c r="N590" s="37" t="s">
        <v>670</v>
      </c>
      <c r="O590" s="37" t="s">
        <v>708</v>
      </c>
      <c r="P590" s="40">
        <v>0</v>
      </c>
      <c r="Q590" s="40">
        <v>0</v>
      </c>
      <c r="R590" s="37" t="s">
        <v>729</v>
      </c>
      <c r="S590" s="37"/>
    </row>
    <row r="591" spans="1:19" x14ac:dyDescent="0.3">
      <c r="A591" s="36">
        <v>208</v>
      </c>
      <c r="B591" s="37" t="s">
        <v>707</v>
      </c>
      <c r="C591" s="37" t="s">
        <v>251</v>
      </c>
      <c r="D591" s="37" t="s">
        <v>73</v>
      </c>
      <c r="E591" s="37" t="s">
        <v>56</v>
      </c>
      <c r="F591" s="42">
        <v>45230</v>
      </c>
      <c r="G591" s="37">
        <v>2023</v>
      </c>
      <c r="H591" s="37" t="s">
        <v>89</v>
      </c>
      <c r="I591" s="39" t="s">
        <v>32</v>
      </c>
      <c r="J591" s="37">
        <v>1700</v>
      </c>
      <c r="K591" s="56">
        <v>1575.9</v>
      </c>
      <c r="L591" s="24">
        <f t="shared" si="54"/>
        <v>1</v>
      </c>
      <c r="M591" s="24">
        <f t="shared" si="55"/>
        <v>1</v>
      </c>
      <c r="N591" s="37" t="s">
        <v>670</v>
      </c>
      <c r="O591" s="37" t="s">
        <v>708</v>
      </c>
      <c r="P591" s="40">
        <v>0</v>
      </c>
      <c r="Q591" s="40">
        <v>0</v>
      </c>
      <c r="R591" s="37" t="s">
        <v>730</v>
      </c>
      <c r="S591" s="37"/>
    </row>
    <row r="592" spans="1:19" x14ac:dyDescent="0.3">
      <c r="A592" s="36">
        <v>208</v>
      </c>
      <c r="B592" s="37" t="s">
        <v>707</v>
      </c>
      <c r="C592" s="37" t="s">
        <v>251</v>
      </c>
      <c r="D592" s="37" t="s">
        <v>73</v>
      </c>
      <c r="E592" s="37" t="s">
        <v>56</v>
      </c>
      <c r="F592" s="42">
        <v>45260</v>
      </c>
      <c r="G592" s="37">
        <v>2023</v>
      </c>
      <c r="H592" s="37" t="s">
        <v>91</v>
      </c>
      <c r="I592" s="39" t="s">
        <v>32</v>
      </c>
      <c r="J592" s="37">
        <v>1700</v>
      </c>
      <c r="K592" s="56">
        <v>1380</v>
      </c>
      <c r="L592" s="24">
        <f t="shared" si="54"/>
        <v>1</v>
      </c>
      <c r="M592" s="24">
        <f t="shared" si="55"/>
        <v>1</v>
      </c>
      <c r="N592" s="37" t="s">
        <v>670</v>
      </c>
      <c r="O592" s="37" t="s">
        <v>708</v>
      </c>
      <c r="P592" s="40">
        <v>0</v>
      </c>
      <c r="Q592" s="40">
        <v>0</v>
      </c>
      <c r="R592" s="37" t="s">
        <v>731</v>
      </c>
      <c r="S592" s="37"/>
    </row>
    <row r="593" spans="1:19" x14ac:dyDescent="0.3">
      <c r="A593" s="36">
        <v>208</v>
      </c>
      <c r="B593" s="37" t="s">
        <v>707</v>
      </c>
      <c r="C593" s="37" t="s">
        <v>251</v>
      </c>
      <c r="D593" s="37" t="s">
        <v>73</v>
      </c>
      <c r="E593" s="37" t="s">
        <v>56</v>
      </c>
      <c r="F593" s="42">
        <v>45291</v>
      </c>
      <c r="G593" s="37">
        <v>2023</v>
      </c>
      <c r="H593" s="37" t="s">
        <v>27</v>
      </c>
      <c r="I593" s="39" t="s">
        <v>32</v>
      </c>
      <c r="J593" s="37">
        <v>1700</v>
      </c>
      <c r="K593" s="56">
        <v>1336</v>
      </c>
      <c r="L593" s="24">
        <f t="shared" si="54"/>
        <v>1</v>
      </c>
      <c r="M593" s="24">
        <f t="shared" si="55"/>
        <v>1</v>
      </c>
      <c r="N593" s="37" t="s">
        <v>670</v>
      </c>
      <c r="O593" s="37" t="s">
        <v>708</v>
      </c>
      <c r="P593" s="40">
        <v>0</v>
      </c>
      <c r="Q593" s="40">
        <v>0</v>
      </c>
      <c r="R593" s="37" t="s">
        <v>732</v>
      </c>
      <c r="S593" s="37"/>
    </row>
    <row r="594" spans="1:19" x14ac:dyDescent="0.3">
      <c r="A594" s="36">
        <v>208</v>
      </c>
      <c r="B594" s="37" t="s">
        <v>707</v>
      </c>
      <c r="C594" s="37" t="s">
        <v>251</v>
      </c>
      <c r="D594" s="37" t="s">
        <v>73</v>
      </c>
      <c r="E594" s="37" t="s">
        <v>56</v>
      </c>
      <c r="F594" s="42">
        <v>45322</v>
      </c>
      <c r="G594" s="37">
        <v>2024</v>
      </c>
      <c r="H594" s="37" t="s">
        <v>74</v>
      </c>
      <c r="I594" s="39" t="s">
        <v>34</v>
      </c>
      <c r="J594" s="37">
        <v>1700</v>
      </c>
      <c r="K594" s="56">
        <v>1326</v>
      </c>
      <c r="L594" s="24">
        <f t="shared" si="54"/>
        <v>1</v>
      </c>
      <c r="M594" s="24">
        <f t="shared" si="55"/>
        <v>1</v>
      </c>
      <c r="N594" s="37" t="s">
        <v>708</v>
      </c>
      <c r="O594" s="37" t="s">
        <v>708</v>
      </c>
      <c r="P594" s="40">
        <v>0</v>
      </c>
      <c r="Q594" s="40">
        <v>0</v>
      </c>
      <c r="R594" s="37" t="s">
        <v>733</v>
      </c>
      <c r="S594" s="37"/>
    </row>
    <row r="595" spans="1:19" x14ac:dyDescent="0.3">
      <c r="A595" s="36">
        <v>208</v>
      </c>
      <c r="B595" s="37" t="s">
        <v>707</v>
      </c>
      <c r="C595" s="37" t="s">
        <v>251</v>
      </c>
      <c r="D595" s="37" t="s">
        <v>73</v>
      </c>
      <c r="E595" s="37" t="s">
        <v>56</v>
      </c>
      <c r="F595" s="38">
        <v>45351</v>
      </c>
      <c r="G595" s="37">
        <v>2024</v>
      </c>
      <c r="H595" s="37" t="s">
        <v>76</v>
      </c>
      <c r="I595" s="39" t="s">
        <v>34</v>
      </c>
      <c r="J595" s="37">
        <v>1700</v>
      </c>
      <c r="K595" s="56">
        <v>1307</v>
      </c>
      <c r="L595" s="24">
        <f t="shared" si="54"/>
        <v>1</v>
      </c>
      <c r="M595" s="24">
        <f t="shared" si="55"/>
        <v>1</v>
      </c>
      <c r="N595" s="37" t="s">
        <v>708</v>
      </c>
      <c r="O595" s="37" t="s">
        <v>708</v>
      </c>
      <c r="P595" s="40">
        <v>0</v>
      </c>
      <c r="Q595" s="40">
        <v>0</v>
      </c>
      <c r="R595" s="37" t="s">
        <v>734</v>
      </c>
      <c r="S595" s="37"/>
    </row>
    <row r="596" spans="1:19" x14ac:dyDescent="0.3">
      <c r="A596" s="36">
        <v>208</v>
      </c>
      <c r="B596" s="37" t="s">
        <v>707</v>
      </c>
      <c r="C596" s="37" t="s">
        <v>251</v>
      </c>
      <c r="D596" s="37" t="s">
        <v>73</v>
      </c>
      <c r="E596" s="37" t="s">
        <v>56</v>
      </c>
      <c r="F596" s="42">
        <v>45382</v>
      </c>
      <c r="G596" s="37">
        <v>2024</v>
      </c>
      <c r="H596" s="37" t="s">
        <v>40</v>
      </c>
      <c r="I596" s="39" t="s">
        <v>34</v>
      </c>
      <c r="J596" s="37">
        <v>1700</v>
      </c>
      <c r="K596" s="54">
        <v>1474.5</v>
      </c>
      <c r="L596" s="24">
        <f t="shared" si="54"/>
        <v>1</v>
      </c>
      <c r="M596" s="24">
        <f t="shared" si="55"/>
        <v>1</v>
      </c>
      <c r="N596" s="37" t="s">
        <v>708</v>
      </c>
      <c r="O596" s="37" t="s">
        <v>708</v>
      </c>
      <c r="P596" s="40">
        <v>0</v>
      </c>
      <c r="Q596" s="40">
        <v>0</v>
      </c>
      <c r="R596" s="37" t="s">
        <v>735</v>
      </c>
      <c r="S596" s="37"/>
    </row>
    <row r="597" spans="1:19" x14ac:dyDescent="0.3">
      <c r="A597" s="36">
        <v>208</v>
      </c>
      <c r="B597" s="37" t="s">
        <v>707</v>
      </c>
      <c r="C597" s="37" t="s">
        <v>251</v>
      </c>
      <c r="D597" s="37" t="s">
        <v>73</v>
      </c>
      <c r="E597" s="37" t="s">
        <v>56</v>
      </c>
      <c r="F597" s="42">
        <v>45412</v>
      </c>
      <c r="G597" s="37">
        <v>2024</v>
      </c>
      <c r="H597" s="37" t="s">
        <v>79</v>
      </c>
      <c r="I597" s="39" t="s">
        <v>34</v>
      </c>
      <c r="J597" s="37">
        <v>1700</v>
      </c>
      <c r="K597" s="56">
        <v>1526</v>
      </c>
      <c r="L597" s="24">
        <f t="shared" si="54"/>
        <v>1</v>
      </c>
      <c r="M597" s="24">
        <f t="shared" si="55"/>
        <v>1</v>
      </c>
      <c r="N597" s="37" t="s">
        <v>708</v>
      </c>
      <c r="O597" s="37" t="s">
        <v>708</v>
      </c>
      <c r="P597" s="40">
        <v>0</v>
      </c>
      <c r="Q597" s="40">
        <v>0</v>
      </c>
      <c r="R597" s="37" t="s">
        <v>736</v>
      </c>
      <c r="S597" s="37"/>
    </row>
    <row r="598" spans="1:19" x14ac:dyDescent="0.3">
      <c r="A598" s="36">
        <v>208</v>
      </c>
      <c r="B598" s="37" t="s">
        <v>707</v>
      </c>
      <c r="C598" s="37" t="s">
        <v>251</v>
      </c>
      <c r="D598" s="37" t="s">
        <v>73</v>
      </c>
      <c r="E598" s="37" t="s">
        <v>56</v>
      </c>
      <c r="F598" s="42">
        <v>45443</v>
      </c>
      <c r="G598" s="37">
        <v>2024</v>
      </c>
      <c r="H598" s="37" t="s">
        <v>81</v>
      </c>
      <c r="I598" s="39" t="s">
        <v>34</v>
      </c>
      <c r="J598" s="37">
        <v>1700</v>
      </c>
      <c r="K598" s="56">
        <v>1517.5</v>
      </c>
      <c r="L598" s="24">
        <f t="shared" si="54"/>
        <v>1</v>
      </c>
      <c r="M598" s="24">
        <f t="shared" si="55"/>
        <v>1</v>
      </c>
      <c r="N598" s="37" t="s">
        <v>708</v>
      </c>
      <c r="O598" s="37" t="s">
        <v>708</v>
      </c>
      <c r="P598" s="40">
        <v>0</v>
      </c>
      <c r="Q598" s="40">
        <v>0</v>
      </c>
      <c r="R598" s="37" t="s">
        <v>737</v>
      </c>
      <c r="S598" s="37"/>
    </row>
    <row r="599" spans="1:19" x14ac:dyDescent="0.3">
      <c r="A599" s="36">
        <v>208</v>
      </c>
      <c r="B599" s="37" t="s">
        <v>707</v>
      </c>
      <c r="C599" s="37" t="s">
        <v>251</v>
      </c>
      <c r="D599" s="37" t="s">
        <v>73</v>
      </c>
      <c r="E599" s="37" t="s">
        <v>56</v>
      </c>
      <c r="F599" s="42">
        <v>45473</v>
      </c>
      <c r="G599" s="37">
        <v>2024</v>
      </c>
      <c r="H599" s="37" t="s">
        <v>23</v>
      </c>
      <c r="I599" s="39" t="s">
        <v>34</v>
      </c>
      <c r="J599" s="37">
        <v>1700</v>
      </c>
      <c r="K599" s="56">
        <v>1291</v>
      </c>
      <c r="L599" s="24">
        <f t="shared" si="54"/>
        <v>1</v>
      </c>
      <c r="M599" s="24">
        <f t="shared" si="55"/>
        <v>1</v>
      </c>
      <c r="N599" s="37" t="s">
        <v>708</v>
      </c>
      <c r="O599" s="37" t="s">
        <v>708</v>
      </c>
      <c r="P599" s="40">
        <v>0</v>
      </c>
      <c r="Q599" s="40">
        <v>0</v>
      </c>
      <c r="R599" s="37" t="s">
        <v>738</v>
      </c>
      <c r="S599" s="37"/>
    </row>
    <row r="600" spans="1:19" x14ac:dyDescent="0.3">
      <c r="A600" s="36">
        <v>208</v>
      </c>
      <c r="B600" s="37" t="s">
        <v>707</v>
      </c>
      <c r="C600" s="37" t="s">
        <v>251</v>
      </c>
      <c r="D600" s="37" t="s">
        <v>73</v>
      </c>
      <c r="E600" s="37" t="s">
        <v>56</v>
      </c>
      <c r="F600" s="42">
        <v>45504</v>
      </c>
      <c r="G600" s="37">
        <v>2024</v>
      </c>
      <c r="H600" s="37" t="s">
        <v>84</v>
      </c>
      <c r="I600" s="39" t="s">
        <v>36</v>
      </c>
      <c r="J600" s="37">
        <v>1700</v>
      </c>
      <c r="K600" s="61">
        <v>1086</v>
      </c>
      <c r="L600" s="24">
        <f t="shared" si="54"/>
        <v>1</v>
      </c>
      <c r="M600" s="24">
        <f t="shared" si="55"/>
        <v>1</v>
      </c>
      <c r="N600" s="37" t="s">
        <v>708</v>
      </c>
      <c r="O600" s="37" t="s">
        <v>708</v>
      </c>
      <c r="P600" s="40">
        <v>0</v>
      </c>
      <c r="Q600" s="40">
        <v>0</v>
      </c>
      <c r="R600" s="37" t="s">
        <v>739</v>
      </c>
      <c r="S600" s="37"/>
    </row>
    <row r="601" spans="1:19" x14ac:dyDescent="0.3">
      <c r="A601" s="36">
        <v>208</v>
      </c>
      <c r="B601" s="37" t="s">
        <v>707</v>
      </c>
      <c r="C601" s="37" t="s">
        <v>251</v>
      </c>
      <c r="D601" s="37" t="s">
        <v>73</v>
      </c>
      <c r="E601" s="37" t="s">
        <v>56</v>
      </c>
      <c r="F601" s="42">
        <v>45535</v>
      </c>
      <c r="G601" s="37">
        <v>2024</v>
      </c>
      <c r="H601" s="37" t="s">
        <v>86</v>
      </c>
      <c r="I601" s="39" t="s">
        <v>36</v>
      </c>
      <c r="J601" s="37">
        <v>1700</v>
      </c>
      <c r="K601" s="61">
        <v>1281.5</v>
      </c>
      <c r="L601" s="24">
        <f t="shared" si="54"/>
        <v>1</v>
      </c>
      <c r="M601" s="24">
        <f t="shared" si="55"/>
        <v>1</v>
      </c>
      <c r="N601" s="37" t="s">
        <v>708</v>
      </c>
      <c r="O601" s="37" t="s">
        <v>708</v>
      </c>
      <c r="P601" s="40">
        <v>0</v>
      </c>
      <c r="Q601" s="40">
        <v>0</v>
      </c>
      <c r="R601" s="37" t="s">
        <v>740</v>
      </c>
      <c r="S601" s="37"/>
    </row>
    <row r="602" spans="1:19" x14ac:dyDescent="0.3">
      <c r="A602" s="36">
        <v>208</v>
      </c>
      <c r="B602" s="37" t="s">
        <v>707</v>
      </c>
      <c r="C602" s="37" t="s">
        <v>251</v>
      </c>
      <c r="D602" s="37" t="s">
        <v>73</v>
      </c>
      <c r="E602" s="37" t="s">
        <v>56</v>
      </c>
      <c r="F602" s="42">
        <v>45565</v>
      </c>
      <c r="G602" s="37">
        <v>2024</v>
      </c>
      <c r="H602" s="37" t="s">
        <v>43</v>
      </c>
      <c r="I602" s="39" t="s">
        <v>36</v>
      </c>
      <c r="J602" s="37">
        <v>1700</v>
      </c>
      <c r="K602" s="61">
        <v>1466</v>
      </c>
      <c r="L602" s="24">
        <f t="shared" ref="L602:L605" si="56">IFERROR(IF(OR(J602=0,K602=""),"",IF(E602="Positivo",MIN(MAX(K602/J602,0),1),MIN(MAX(J602/K602,0),1))),"")</f>
        <v>1</v>
      </c>
      <c r="M602" s="24">
        <f t="shared" ref="M602:M605" si="57">IFERROR(IF(OR(J602=0,K602=""),"",IF(E602="Positivo",MIN(MAX(K602/J602,0),1),MIN(MAX(J602/K602,0),1))),"")</f>
        <v>1</v>
      </c>
      <c r="N602" s="37" t="s">
        <v>708</v>
      </c>
      <c r="O602" s="37" t="s">
        <v>708</v>
      </c>
      <c r="P602" s="40">
        <v>0</v>
      </c>
      <c r="Q602" s="40">
        <v>0</v>
      </c>
      <c r="R602" s="37" t="s">
        <v>741</v>
      </c>
      <c r="S602" s="37"/>
    </row>
    <row r="603" spans="1:19" x14ac:dyDescent="0.3">
      <c r="A603" s="36">
        <v>208</v>
      </c>
      <c r="B603" s="37" t="s">
        <v>707</v>
      </c>
      <c r="C603" s="37" t="s">
        <v>251</v>
      </c>
      <c r="D603" s="37" t="s">
        <v>73</v>
      </c>
      <c r="E603" s="37" t="s">
        <v>56</v>
      </c>
      <c r="F603" s="42">
        <v>45596</v>
      </c>
      <c r="G603" s="37">
        <v>2024</v>
      </c>
      <c r="H603" s="37" t="s">
        <v>89</v>
      </c>
      <c r="I603" s="39" t="s">
        <v>36</v>
      </c>
      <c r="J603" s="37">
        <v>1700</v>
      </c>
      <c r="K603" s="61">
        <v>1345</v>
      </c>
      <c r="L603" s="24">
        <f t="shared" si="56"/>
        <v>1</v>
      </c>
      <c r="M603" s="24">
        <f t="shared" si="57"/>
        <v>1</v>
      </c>
      <c r="N603" s="37" t="s">
        <v>708</v>
      </c>
      <c r="O603" s="37" t="s">
        <v>708</v>
      </c>
      <c r="P603" s="40">
        <v>0</v>
      </c>
      <c r="Q603" s="40">
        <v>0</v>
      </c>
      <c r="R603" s="37" t="s">
        <v>742</v>
      </c>
      <c r="S603" s="37"/>
    </row>
    <row r="604" spans="1:19" x14ac:dyDescent="0.3">
      <c r="A604" s="36">
        <v>208</v>
      </c>
      <c r="B604" s="37" t="s">
        <v>707</v>
      </c>
      <c r="C604" s="37" t="s">
        <v>251</v>
      </c>
      <c r="D604" s="37" t="s">
        <v>73</v>
      </c>
      <c r="E604" s="37" t="s">
        <v>56</v>
      </c>
      <c r="F604" s="42">
        <v>45626</v>
      </c>
      <c r="G604" s="37">
        <v>2024</v>
      </c>
      <c r="H604" s="37" t="s">
        <v>91</v>
      </c>
      <c r="I604" s="39" t="s">
        <v>36</v>
      </c>
      <c r="J604" s="37">
        <v>1700</v>
      </c>
      <c r="K604" s="61">
        <v>1115</v>
      </c>
      <c r="L604" s="24">
        <f t="shared" si="56"/>
        <v>1</v>
      </c>
      <c r="M604" s="24">
        <f t="shared" si="57"/>
        <v>1</v>
      </c>
      <c r="N604" s="37" t="s">
        <v>708</v>
      </c>
      <c r="O604" s="37" t="s">
        <v>708</v>
      </c>
      <c r="P604" s="40">
        <v>0</v>
      </c>
      <c r="Q604" s="40">
        <v>0</v>
      </c>
      <c r="R604" s="37" t="s">
        <v>743</v>
      </c>
      <c r="S604" s="37"/>
    </row>
    <row r="605" spans="1:19" x14ac:dyDescent="0.3">
      <c r="A605" s="36">
        <v>208</v>
      </c>
      <c r="B605" s="37" t="s">
        <v>707</v>
      </c>
      <c r="C605" s="37" t="s">
        <v>251</v>
      </c>
      <c r="D605" s="37" t="s">
        <v>73</v>
      </c>
      <c r="E605" s="37" t="s">
        <v>56</v>
      </c>
      <c r="F605" s="42">
        <v>45657</v>
      </c>
      <c r="G605" s="37">
        <v>2024</v>
      </c>
      <c r="H605" s="37" t="s">
        <v>27</v>
      </c>
      <c r="I605" s="39" t="s">
        <v>36</v>
      </c>
      <c r="J605" s="37">
        <v>1700</v>
      </c>
      <c r="K605" s="61">
        <v>939</v>
      </c>
      <c r="L605" s="24">
        <f t="shared" si="56"/>
        <v>1</v>
      </c>
      <c r="M605" s="24">
        <f t="shared" si="57"/>
        <v>1</v>
      </c>
      <c r="N605" s="37" t="s">
        <v>708</v>
      </c>
      <c r="O605" s="37" t="s">
        <v>708</v>
      </c>
      <c r="P605" s="40">
        <v>0</v>
      </c>
      <c r="Q605" s="40">
        <v>0</v>
      </c>
      <c r="R605" s="37" t="s">
        <v>744</v>
      </c>
      <c r="S605" s="37"/>
    </row>
    <row r="606" spans="1:19" x14ac:dyDescent="0.3">
      <c r="A606" s="37">
        <v>213</v>
      </c>
      <c r="B606" s="37" t="s">
        <v>757</v>
      </c>
      <c r="C606" s="37" t="s">
        <v>251</v>
      </c>
      <c r="D606" s="37" t="s">
        <v>39</v>
      </c>
      <c r="E606" s="37" t="s">
        <v>22</v>
      </c>
      <c r="F606" s="42">
        <v>44651</v>
      </c>
      <c r="G606" s="37">
        <v>2022</v>
      </c>
      <c r="H606" s="37" t="s">
        <v>40</v>
      </c>
      <c r="I606" s="37" t="s">
        <v>24</v>
      </c>
      <c r="J606" s="37">
        <v>90</v>
      </c>
      <c r="K606" s="37">
        <v>0</v>
      </c>
      <c r="L606" s="24">
        <f t="shared" ref="L606:L633" si="58">IFERROR(IF(OR(J606=0,K606=""),"",IF(E606="Positivo",MIN(MAX(K606/J606,0),1.3),MIN(MAX(J606/K606,0),1.3))),"")</f>
        <v>0</v>
      </c>
      <c r="M606" s="24">
        <f t="shared" ref="M606:M633" si="59">IFERROR(IF(OR(J606=0,K606=""),"",IF(E606="Positivo",MAX(K606/J606,0),MAX(J606/K606,0))),"")</f>
        <v>0</v>
      </c>
      <c r="N606" s="37" t="s">
        <v>25</v>
      </c>
      <c r="O606" s="37" t="s">
        <v>25</v>
      </c>
      <c r="P606" s="37">
        <v>0</v>
      </c>
      <c r="Q606" s="37">
        <v>0</v>
      </c>
      <c r="R606" s="37" t="s">
        <v>758</v>
      </c>
      <c r="S606" s="37"/>
    </row>
    <row r="607" spans="1:19" x14ac:dyDescent="0.3">
      <c r="A607" s="37">
        <v>213</v>
      </c>
      <c r="B607" s="37" t="s">
        <v>757</v>
      </c>
      <c r="C607" s="37" t="s">
        <v>251</v>
      </c>
      <c r="D607" s="37" t="s">
        <v>39</v>
      </c>
      <c r="E607" s="37" t="s">
        <v>22</v>
      </c>
      <c r="F607" s="42">
        <v>44742</v>
      </c>
      <c r="G607" s="37">
        <v>2022</v>
      </c>
      <c r="H607" s="37" t="s">
        <v>23</v>
      </c>
      <c r="I607" s="37" t="s">
        <v>24</v>
      </c>
      <c r="J607" s="37">
        <v>90</v>
      </c>
      <c r="K607" s="37">
        <v>0</v>
      </c>
      <c r="L607" s="24">
        <f t="shared" si="58"/>
        <v>0</v>
      </c>
      <c r="M607" s="24">
        <f t="shared" si="59"/>
        <v>0</v>
      </c>
      <c r="N607" s="37" t="s">
        <v>25</v>
      </c>
      <c r="O607" s="37" t="s">
        <v>25</v>
      </c>
      <c r="P607" s="37">
        <v>0</v>
      </c>
      <c r="Q607" s="37">
        <v>0</v>
      </c>
      <c r="R607" s="37" t="s">
        <v>759</v>
      </c>
      <c r="S607" s="37"/>
    </row>
    <row r="608" spans="1:19" x14ac:dyDescent="0.3">
      <c r="A608" s="37">
        <v>213</v>
      </c>
      <c r="B608" s="37" t="s">
        <v>757</v>
      </c>
      <c r="C608" s="37" t="s">
        <v>251</v>
      </c>
      <c r="D608" s="37" t="s">
        <v>39</v>
      </c>
      <c r="E608" s="37" t="s">
        <v>22</v>
      </c>
      <c r="F608" s="42">
        <v>44834</v>
      </c>
      <c r="G608" s="37">
        <v>2022</v>
      </c>
      <c r="H608" s="37" t="s">
        <v>43</v>
      </c>
      <c r="I608" s="37" t="s">
        <v>28</v>
      </c>
      <c r="J608" s="37">
        <v>90</v>
      </c>
      <c r="K608" s="37">
        <v>0</v>
      </c>
      <c r="L608" s="24">
        <f t="shared" si="58"/>
        <v>0</v>
      </c>
      <c r="M608" s="24">
        <f t="shared" si="59"/>
        <v>0</v>
      </c>
      <c r="N608" s="37" t="s">
        <v>25</v>
      </c>
      <c r="O608" s="37" t="s">
        <v>25</v>
      </c>
      <c r="P608" s="37">
        <v>0</v>
      </c>
      <c r="Q608" s="37">
        <v>0</v>
      </c>
      <c r="R608" s="37" t="s">
        <v>760</v>
      </c>
      <c r="S608" s="37"/>
    </row>
    <row r="609" spans="1:19" x14ac:dyDescent="0.3">
      <c r="A609" s="37">
        <v>213</v>
      </c>
      <c r="B609" s="37" t="s">
        <v>757</v>
      </c>
      <c r="C609" s="37" t="s">
        <v>251</v>
      </c>
      <c r="D609" s="37" t="s">
        <v>39</v>
      </c>
      <c r="E609" s="37" t="s">
        <v>22</v>
      </c>
      <c r="F609" s="42">
        <v>44926</v>
      </c>
      <c r="G609" s="37">
        <v>2022</v>
      </c>
      <c r="H609" s="37" t="s">
        <v>27</v>
      </c>
      <c r="I609" s="37" t="s">
        <v>28</v>
      </c>
      <c r="J609" s="37">
        <v>90</v>
      </c>
      <c r="K609" s="37">
        <v>0</v>
      </c>
      <c r="L609" s="24">
        <f t="shared" si="58"/>
        <v>0</v>
      </c>
      <c r="M609" s="24">
        <f t="shared" si="59"/>
        <v>0</v>
      </c>
      <c r="N609" s="37" t="s">
        <v>25</v>
      </c>
      <c r="O609" s="37" t="s">
        <v>25</v>
      </c>
      <c r="P609" s="37">
        <v>0</v>
      </c>
      <c r="Q609" s="37">
        <v>0</v>
      </c>
      <c r="R609" s="37" t="s">
        <v>761</v>
      </c>
      <c r="S609" s="37"/>
    </row>
    <row r="610" spans="1:19" x14ac:dyDescent="0.3">
      <c r="A610" s="36">
        <v>213</v>
      </c>
      <c r="B610" s="37" t="s">
        <v>757</v>
      </c>
      <c r="C610" s="37" t="s">
        <v>251</v>
      </c>
      <c r="D610" s="37" t="s">
        <v>39</v>
      </c>
      <c r="E610" s="37" t="s">
        <v>22</v>
      </c>
      <c r="F610" s="42">
        <v>45016</v>
      </c>
      <c r="G610" s="37">
        <v>2023</v>
      </c>
      <c r="H610" s="37" t="s">
        <v>40</v>
      </c>
      <c r="I610" s="39" t="s">
        <v>30</v>
      </c>
      <c r="J610" s="37">
        <v>90</v>
      </c>
      <c r="K610" s="56">
        <v>100</v>
      </c>
      <c r="L610" s="24">
        <f t="shared" si="58"/>
        <v>1.1111111111111112</v>
      </c>
      <c r="M610" s="24">
        <f t="shared" si="59"/>
        <v>1.1111111111111112</v>
      </c>
      <c r="N610" s="37" t="s">
        <v>708</v>
      </c>
      <c r="O610" s="37" t="s">
        <v>708</v>
      </c>
      <c r="P610" s="40">
        <v>0</v>
      </c>
      <c r="Q610" s="40">
        <v>0</v>
      </c>
      <c r="R610" s="37" t="s">
        <v>762</v>
      </c>
      <c r="S610" s="37"/>
    </row>
    <row r="611" spans="1:19" x14ac:dyDescent="0.3">
      <c r="A611" s="36">
        <v>213</v>
      </c>
      <c r="B611" s="37" t="s">
        <v>757</v>
      </c>
      <c r="C611" s="37" t="s">
        <v>251</v>
      </c>
      <c r="D611" s="37" t="s">
        <v>39</v>
      </c>
      <c r="E611" s="37" t="s">
        <v>22</v>
      </c>
      <c r="F611" s="42">
        <v>45107</v>
      </c>
      <c r="G611" s="37">
        <v>2023</v>
      </c>
      <c r="H611" s="37" t="s">
        <v>23</v>
      </c>
      <c r="I611" s="39" t="s">
        <v>30</v>
      </c>
      <c r="J611" s="37">
        <v>90</v>
      </c>
      <c r="K611" s="56">
        <v>93.33</v>
      </c>
      <c r="L611" s="24">
        <f t="shared" si="58"/>
        <v>1.0369999999999999</v>
      </c>
      <c r="M611" s="24">
        <f t="shared" si="59"/>
        <v>1.0369999999999999</v>
      </c>
      <c r="N611" s="37" t="s">
        <v>708</v>
      </c>
      <c r="O611" s="37" t="s">
        <v>708</v>
      </c>
      <c r="P611" s="40">
        <v>0</v>
      </c>
      <c r="Q611" s="40">
        <v>0</v>
      </c>
      <c r="R611" s="37" t="s">
        <v>763</v>
      </c>
      <c r="S611" s="37"/>
    </row>
    <row r="612" spans="1:19" x14ac:dyDescent="0.3">
      <c r="A612" s="36">
        <v>213</v>
      </c>
      <c r="B612" s="37" t="s">
        <v>757</v>
      </c>
      <c r="C612" s="37" t="s">
        <v>251</v>
      </c>
      <c r="D612" s="37" t="s">
        <v>39</v>
      </c>
      <c r="E612" s="37" t="s">
        <v>22</v>
      </c>
      <c r="F612" s="42">
        <v>45199</v>
      </c>
      <c r="G612" s="37">
        <v>2023</v>
      </c>
      <c r="H612" s="37" t="s">
        <v>43</v>
      </c>
      <c r="I612" s="39" t="s">
        <v>32</v>
      </c>
      <c r="J612" s="37">
        <v>90</v>
      </c>
      <c r="K612" s="56">
        <v>86.4</v>
      </c>
      <c r="L612" s="24">
        <f t="shared" si="58"/>
        <v>0.96000000000000008</v>
      </c>
      <c r="M612" s="24">
        <f t="shared" si="59"/>
        <v>0.96000000000000008</v>
      </c>
      <c r="N612" s="37" t="s">
        <v>708</v>
      </c>
      <c r="O612" s="37" t="s">
        <v>708</v>
      </c>
      <c r="P612" s="40">
        <v>1</v>
      </c>
      <c r="Q612" s="40">
        <v>1</v>
      </c>
      <c r="R612" s="37" t="s">
        <v>764</v>
      </c>
      <c r="S612" s="37"/>
    </row>
    <row r="613" spans="1:19" x14ac:dyDescent="0.3">
      <c r="A613" s="37">
        <v>213</v>
      </c>
      <c r="B613" s="37" t="s">
        <v>757</v>
      </c>
      <c r="C613" s="37" t="s">
        <v>251</v>
      </c>
      <c r="D613" s="37" t="s">
        <v>39</v>
      </c>
      <c r="E613" s="37" t="s">
        <v>22</v>
      </c>
      <c r="F613" s="42">
        <v>45291</v>
      </c>
      <c r="G613" s="37">
        <v>2023</v>
      </c>
      <c r="H613" s="37" t="s">
        <v>27</v>
      </c>
      <c r="I613" s="37" t="s">
        <v>32</v>
      </c>
      <c r="J613" s="37">
        <v>90</v>
      </c>
      <c r="K613" s="37">
        <v>100</v>
      </c>
      <c r="L613" s="24">
        <f t="shared" si="58"/>
        <v>1.1111111111111112</v>
      </c>
      <c r="M613" s="24">
        <f t="shared" si="59"/>
        <v>1.1111111111111112</v>
      </c>
      <c r="N613" s="37" t="s">
        <v>25</v>
      </c>
      <c r="O613" s="37" t="s">
        <v>25</v>
      </c>
      <c r="P613" s="37">
        <v>0</v>
      </c>
      <c r="Q613" s="37">
        <v>0</v>
      </c>
      <c r="R613" s="37" t="s">
        <v>765</v>
      </c>
      <c r="S613" s="37"/>
    </row>
    <row r="614" spans="1:19" x14ac:dyDescent="0.3">
      <c r="A614" s="36">
        <v>213</v>
      </c>
      <c r="B614" s="37" t="s">
        <v>757</v>
      </c>
      <c r="C614" s="37" t="s">
        <v>251</v>
      </c>
      <c r="D614" s="37" t="s">
        <v>39</v>
      </c>
      <c r="E614" s="37" t="s">
        <v>22</v>
      </c>
      <c r="F614" s="42">
        <v>45382</v>
      </c>
      <c r="G614" s="37">
        <v>2024</v>
      </c>
      <c r="H614" s="37" t="s">
        <v>40</v>
      </c>
      <c r="I614" s="39" t="s">
        <v>34</v>
      </c>
      <c r="J614" s="37">
        <v>90</v>
      </c>
      <c r="K614" s="43">
        <v>100</v>
      </c>
      <c r="L614" s="24">
        <f t="shared" si="58"/>
        <v>1.1111111111111112</v>
      </c>
      <c r="M614" s="24">
        <f t="shared" si="59"/>
        <v>1.1111111111111112</v>
      </c>
      <c r="N614" s="37" t="s">
        <v>25</v>
      </c>
      <c r="O614" s="37" t="s">
        <v>25</v>
      </c>
      <c r="P614" s="40">
        <v>0</v>
      </c>
      <c r="Q614" s="40">
        <v>0</v>
      </c>
      <c r="R614" s="37" t="s">
        <v>766</v>
      </c>
      <c r="S614" s="37"/>
    </row>
    <row r="615" spans="1:19" x14ac:dyDescent="0.3">
      <c r="A615" s="37">
        <v>213</v>
      </c>
      <c r="B615" s="37" t="s">
        <v>757</v>
      </c>
      <c r="C615" s="37" t="s">
        <v>251</v>
      </c>
      <c r="D615" s="37" t="s">
        <v>39</v>
      </c>
      <c r="E615" s="37" t="s">
        <v>22</v>
      </c>
      <c r="F615" s="42">
        <v>45473</v>
      </c>
      <c r="G615" s="37">
        <v>2024</v>
      </c>
      <c r="H615" s="37" t="s">
        <v>23</v>
      </c>
      <c r="I615" s="39" t="s">
        <v>34</v>
      </c>
      <c r="J615" s="37">
        <v>90</v>
      </c>
      <c r="K615" s="37">
        <v>100</v>
      </c>
      <c r="L615" s="24">
        <f t="shared" si="58"/>
        <v>1.1111111111111112</v>
      </c>
      <c r="M615" s="24">
        <f t="shared" si="59"/>
        <v>1.1111111111111112</v>
      </c>
      <c r="N615" s="37" t="s">
        <v>25</v>
      </c>
      <c r="O615" s="37" t="s">
        <v>25</v>
      </c>
      <c r="P615" s="37">
        <v>0</v>
      </c>
      <c r="Q615" s="37">
        <v>0</v>
      </c>
      <c r="R615" s="37" t="s">
        <v>767</v>
      </c>
      <c r="S615" s="37"/>
    </row>
    <row r="616" spans="1:19" x14ac:dyDescent="0.3">
      <c r="A616" s="36">
        <v>213</v>
      </c>
      <c r="B616" s="37" t="s">
        <v>757</v>
      </c>
      <c r="C616" s="37" t="s">
        <v>251</v>
      </c>
      <c r="D616" s="37" t="s">
        <v>39</v>
      </c>
      <c r="E616" s="37" t="s">
        <v>22</v>
      </c>
      <c r="F616" s="42">
        <v>45565</v>
      </c>
      <c r="G616" s="37">
        <v>2024</v>
      </c>
      <c r="H616" s="37" t="s">
        <v>43</v>
      </c>
      <c r="I616" s="39" t="s">
        <v>36</v>
      </c>
      <c r="J616" s="37">
        <v>90</v>
      </c>
      <c r="K616" s="54">
        <v>97.79</v>
      </c>
      <c r="L616" s="24">
        <f t="shared" si="58"/>
        <v>1.0865555555555557</v>
      </c>
      <c r="M616" s="24">
        <f t="shared" si="59"/>
        <v>1.0865555555555557</v>
      </c>
      <c r="N616" s="37" t="s">
        <v>25</v>
      </c>
      <c r="O616" s="37" t="s">
        <v>25</v>
      </c>
      <c r="P616" s="40">
        <v>0</v>
      </c>
      <c r="Q616" s="40">
        <v>0</v>
      </c>
      <c r="R616" s="37" t="s">
        <v>768</v>
      </c>
      <c r="S616" s="37"/>
    </row>
    <row r="617" spans="1:19" x14ac:dyDescent="0.3">
      <c r="A617" s="36">
        <v>213</v>
      </c>
      <c r="B617" s="37" t="s">
        <v>757</v>
      </c>
      <c r="C617" s="37" t="s">
        <v>251</v>
      </c>
      <c r="D617" s="37" t="s">
        <v>39</v>
      </c>
      <c r="E617" s="37" t="s">
        <v>22</v>
      </c>
      <c r="F617" s="42">
        <v>45657</v>
      </c>
      <c r="G617" s="37">
        <v>2024</v>
      </c>
      <c r="H617" s="37" t="s">
        <v>27</v>
      </c>
      <c r="I617" s="39" t="s">
        <v>36</v>
      </c>
      <c r="J617" s="37">
        <v>90</v>
      </c>
      <c r="K617" s="54">
        <v>100</v>
      </c>
      <c r="L617" s="24">
        <f t="shared" si="58"/>
        <v>1.1111111111111112</v>
      </c>
      <c r="M617" s="24">
        <f t="shared" si="59"/>
        <v>1.1111111111111112</v>
      </c>
      <c r="N617" s="37" t="s">
        <v>25</v>
      </c>
      <c r="O617" s="37" t="s">
        <v>25</v>
      </c>
      <c r="P617" s="40">
        <v>0</v>
      </c>
      <c r="Q617" s="40">
        <v>0</v>
      </c>
      <c r="R617" s="37" t="s">
        <v>769</v>
      </c>
      <c r="S617" s="37"/>
    </row>
    <row r="618" spans="1:19" x14ac:dyDescent="0.3">
      <c r="A618" s="37">
        <v>214</v>
      </c>
      <c r="B618" s="37" t="s">
        <v>774</v>
      </c>
      <c r="C618" s="37" t="s">
        <v>251</v>
      </c>
      <c r="D618" s="37" t="s">
        <v>21</v>
      </c>
      <c r="E618" s="37" t="s">
        <v>56</v>
      </c>
      <c r="F618" s="42">
        <v>44592</v>
      </c>
      <c r="G618" s="37">
        <v>2022</v>
      </c>
      <c r="H618" s="37" t="s">
        <v>74</v>
      </c>
      <c r="I618" s="37" t="s">
        <v>24</v>
      </c>
      <c r="J618" s="37">
        <v>7500</v>
      </c>
      <c r="K618" s="53">
        <v>777</v>
      </c>
      <c r="L618" s="24">
        <f t="shared" si="58"/>
        <v>1.3</v>
      </c>
      <c r="M618" s="24">
        <f t="shared" si="59"/>
        <v>9.6525096525096519</v>
      </c>
      <c r="N618" s="37" t="s">
        <v>775</v>
      </c>
      <c r="O618" s="37" t="s">
        <v>775</v>
      </c>
      <c r="P618" s="37">
        <v>0</v>
      </c>
      <c r="Q618" s="37">
        <v>0</v>
      </c>
      <c r="R618" s="37" t="s">
        <v>776</v>
      </c>
      <c r="S618" s="37"/>
    </row>
    <row r="619" spans="1:19" x14ac:dyDescent="0.3">
      <c r="A619" s="37">
        <v>214</v>
      </c>
      <c r="B619" s="37" t="s">
        <v>774</v>
      </c>
      <c r="C619" s="37" t="s">
        <v>251</v>
      </c>
      <c r="D619" s="37" t="s">
        <v>21</v>
      </c>
      <c r="E619" s="37" t="s">
        <v>56</v>
      </c>
      <c r="F619" s="42">
        <v>44620</v>
      </c>
      <c r="G619" s="37">
        <v>2022</v>
      </c>
      <c r="H619" s="37" t="s">
        <v>76</v>
      </c>
      <c r="I619" s="37" t="s">
        <v>24</v>
      </c>
      <c r="J619" s="37">
        <v>7500</v>
      </c>
      <c r="K619" s="53">
        <v>992</v>
      </c>
      <c r="L619" s="24">
        <f t="shared" si="58"/>
        <v>1.3</v>
      </c>
      <c r="M619" s="24">
        <f t="shared" si="59"/>
        <v>7.560483870967742</v>
      </c>
      <c r="N619" s="37" t="s">
        <v>775</v>
      </c>
      <c r="O619" s="37" t="s">
        <v>775</v>
      </c>
      <c r="P619" s="37">
        <v>0</v>
      </c>
      <c r="Q619" s="37">
        <v>0</v>
      </c>
      <c r="R619" s="37" t="s">
        <v>777</v>
      </c>
      <c r="S619" s="37"/>
    </row>
    <row r="620" spans="1:19" x14ac:dyDescent="0.3">
      <c r="A620" s="37">
        <v>214</v>
      </c>
      <c r="B620" s="37" t="s">
        <v>774</v>
      </c>
      <c r="C620" s="37" t="s">
        <v>251</v>
      </c>
      <c r="D620" s="37" t="s">
        <v>21</v>
      </c>
      <c r="E620" s="37" t="s">
        <v>56</v>
      </c>
      <c r="F620" s="42">
        <v>44651</v>
      </c>
      <c r="G620" s="37">
        <v>2022</v>
      </c>
      <c r="H620" s="37" t="s">
        <v>40</v>
      </c>
      <c r="I620" s="37" t="s">
        <v>24</v>
      </c>
      <c r="J620" s="37">
        <v>7500</v>
      </c>
      <c r="K620" s="37">
        <v>1233</v>
      </c>
      <c r="L620" s="65">
        <f t="shared" si="58"/>
        <v>1.3</v>
      </c>
      <c r="M620" s="65">
        <f t="shared" si="59"/>
        <v>6.0827250608272507</v>
      </c>
      <c r="N620" s="37" t="s">
        <v>775</v>
      </c>
      <c r="O620" s="37" t="s">
        <v>775</v>
      </c>
      <c r="P620" s="37">
        <v>0</v>
      </c>
      <c r="Q620" s="37">
        <v>0</v>
      </c>
      <c r="R620" s="37" t="s">
        <v>778</v>
      </c>
      <c r="S620" s="37"/>
    </row>
    <row r="621" spans="1:19" x14ac:dyDescent="0.3">
      <c r="A621" s="37">
        <v>214</v>
      </c>
      <c r="B621" s="37" t="s">
        <v>774</v>
      </c>
      <c r="C621" s="37" t="s">
        <v>251</v>
      </c>
      <c r="D621" s="37" t="s">
        <v>21</v>
      </c>
      <c r="E621" s="37" t="s">
        <v>56</v>
      </c>
      <c r="F621" s="42">
        <v>44681</v>
      </c>
      <c r="G621" s="37">
        <v>2022</v>
      </c>
      <c r="H621" s="37" t="s">
        <v>79</v>
      </c>
      <c r="I621" s="37" t="s">
        <v>24</v>
      </c>
      <c r="J621" s="37">
        <v>7500</v>
      </c>
      <c r="K621" s="37">
        <v>1176</v>
      </c>
      <c r="L621" s="65">
        <f t="shared" si="58"/>
        <v>1.3</v>
      </c>
      <c r="M621" s="65">
        <f t="shared" si="59"/>
        <v>6.3775510204081636</v>
      </c>
      <c r="N621" s="37" t="s">
        <v>775</v>
      </c>
      <c r="O621" s="37" t="s">
        <v>775</v>
      </c>
      <c r="P621" s="37">
        <v>0</v>
      </c>
      <c r="Q621" s="37">
        <v>0</v>
      </c>
      <c r="R621" s="37" t="s">
        <v>779</v>
      </c>
      <c r="S621" s="37"/>
    </row>
    <row r="622" spans="1:19" x14ac:dyDescent="0.3">
      <c r="A622" s="37">
        <v>214</v>
      </c>
      <c r="B622" s="37" t="s">
        <v>774</v>
      </c>
      <c r="C622" s="37" t="s">
        <v>251</v>
      </c>
      <c r="D622" s="37" t="s">
        <v>21</v>
      </c>
      <c r="E622" s="37" t="s">
        <v>56</v>
      </c>
      <c r="F622" s="42">
        <v>44712</v>
      </c>
      <c r="G622" s="37">
        <v>2022</v>
      </c>
      <c r="H622" s="37" t="s">
        <v>81</v>
      </c>
      <c r="I622" s="37" t="s">
        <v>24</v>
      </c>
      <c r="J622" s="37">
        <v>7500</v>
      </c>
      <c r="K622" s="37">
        <v>811</v>
      </c>
      <c r="L622" s="65">
        <f t="shared" si="58"/>
        <v>1.3</v>
      </c>
      <c r="M622" s="65">
        <f t="shared" si="59"/>
        <v>9.2478421701602951</v>
      </c>
      <c r="N622" s="37" t="s">
        <v>775</v>
      </c>
      <c r="O622" s="37" t="s">
        <v>775</v>
      </c>
      <c r="P622" s="37">
        <v>0</v>
      </c>
      <c r="Q622" s="37">
        <v>0</v>
      </c>
      <c r="R622" s="37" t="s">
        <v>780</v>
      </c>
      <c r="S622" s="37"/>
    </row>
    <row r="623" spans="1:19" x14ac:dyDescent="0.3">
      <c r="A623" s="37">
        <v>214</v>
      </c>
      <c r="B623" s="37" t="s">
        <v>774</v>
      </c>
      <c r="C623" s="37" t="s">
        <v>251</v>
      </c>
      <c r="D623" s="37" t="s">
        <v>21</v>
      </c>
      <c r="E623" s="37" t="s">
        <v>56</v>
      </c>
      <c r="F623" s="42">
        <v>44742</v>
      </c>
      <c r="G623" s="37">
        <v>2022</v>
      </c>
      <c r="H623" s="37" t="s">
        <v>23</v>
      </c>
      <c r="I623" s="37" t="s">
        <v>24</v>
      </c>
      <c r="J623" s="37">
        <v>7500</v>
      </c>
      <c r="K623" s="37">
        <v>895</v>
      </c>
      <c r="L623" s="65">
        <f t="shared" si="58"/>
        <v>1.3</v>
      </c>
      <c r="M623" s="65">
        <f t="shared" si="59"/>
        <v>8.3798882681564244</v>
      </c>
      <c r="N623" s="37" t="s">
        <v>775</v>
      </c>
      <c r="O623" s="37" t="s">
        <v>775</v>
      </c>
      <c r="P623" s="37">
        <v>0</v>
      </c>
      <c r="Q623" s="37">
        <v>0</v>
      </c>
      <c r="R623" s="37" t="s">
        <v>781</v>
      </c>
      <c r="S623" s="37"/>
    </row>
    <row r="624" spans="1:19" x14ac:dyDescent="0.3">
      <c r="A624" s="37">
        <v>214</v>
      </c>
      <c r="B624" s="37" t="s">
        <v>774</v>
      </c>
      <c r="C624" s="37" t="s">
        <v>251</v>
      </c>
      <c r="D624" s="37" t="s">
        <v>21</v>
      </c>
      <c r="E624" s="37" t="s">
        <v>56</v>
      </c>
      <c r="F624" s="42">
        <v>44773</v>
      </c>
      <c r="G624" s="37">
        <v>2022</v>
      </c>
      <c r="H624" s="37" t="s">
        <v>84</v>
      </c>
      <c r="I624" s="37" t="s">
        <v>28</v>
      </c>
      <c r="J624" s="37">
        <v>7500</v>
      </c>
      <c r="K624" s="37">
        <v>725</v>
      </c>
      <c r="L624" s="65">
        <f t="shared" si="58"/>
        <v>1.3</v>
      </c>
      <c r="M624" s="65">
        <f t="shared" si="59"/>
        <v>10.344827586206897</v>
      </c>
      <c r="N624" s="37" t="s">
        <v>775</v>
      </c>
      <c r="O624" s="37" t="s">
        <v>775</v>
      </c>
      <c r="P624" s="37">
        <v>0</v>
      </c>
      <c r="Q624" s="37">
        <v>0</v>
      </c>
      <c r="R624" s="37" t="s">
        <v>782</v>
      </c>
      <c r="S624" s="37"/>
    </row>
    <row r="625" spans="1:19" x14ac:dyDescent="0.3">
      <c r="A625" s="37">
        <v>214</v>
      </c>
      <c r="B625" s="37" t="s">
        <v>774</v>
      </c>
      <c r="C625" s="37" t="s">
        <v>251</v>
      </c>
      <c r="D625" s="37" t="s">
        <v>21</v>
      </c>
      <c r="E625" s="37" t="s">
        <v>56</v>
      </c>
      <c r="F625" s="42">
        <v>44804</v>
      </c>
      <c r="G625" s="37">
        <v>2022</v>
      </c>
      <c r="H625" s="37" t="s">
        <v>86</v>
      </c>
      <c r="I625" s="37" t="s">
        <v>28</v>
      </c>
      <c r="J625" s="37">
        <v>7500</v>
      </c>
      <c r="K625" s="37">
        <v>383</v>
      </c>
      <c r="L625" s="65">
        <f t="shared" si="58"/>
        <v>1.3</v>
      </c>
      <c r="M625" s="65">
        <f t="shared" si="59"/>
        <v>19.582245430809401</v>
      </c>
      <c r="N625" s="37" t="s">
        <v>775</v>
      </c>
      <c r="O625" s="37" t="s">
        <v>775</v>
      </c>
      <c r="P625" s="37">
        <v>0</v>
      </c>
      <c r="Q625" s="37">
        <v>0</v>
      </c>
      <c r="R625" s="37" t="s">
        <v>783</v>
      </c>
      <c r="S625" s="37"/>
    </row>
    <row r="626" spans="1:19" x14ac:dyDescent="0.3">
      <c r="A626" s="37">
        <v>214</v>
      </c>
      <c r="B626" s="37" t="s">
        <v>774</v>
      </c>
      <c r="C626" s="37" t="s">
        <v>251</v>
      </c>
      <c r="D626" s="37" t="s">
        <v>21</v>
      </c>
      <c r="E626" s="37" t="s">
        <v>56</v>
      </c>
      <c r="F626" s="42">
        <v>44834</v>
      </c>
      <c r="G626" s="37">
        <v>2022</v>
      </c>
      <c r="H626" s="37" t="s">
        <v>43</v>
      </c>
      <c r="I626" s="37" t="s">
        <v>28</v>
      </c>
      <c r="J626" s="37">
        <v>7500</v>
      </c>
      <c r="K626" s="37">
        <v>1553</v>
      </c>
      <c r="L626" s="65">
        <f t="shared" si="58"/>
        <v>1.3</v>
      </c>
      <c r="M626" s="65">
        <f t="shared" si="59"/>
        <v>4.8293625241468128</v>
      </c>
      <c r="N626" s="37" t="s">
        <v>775</v>
      </c>
      <c r="O626" s="37" t="s">
        <v>775</v>
      </c>
      <c r="P626" s="37">
        <v>0</v>
      </c>
      <c r="Q626" s="37">
        <v>0</v>
      </c>
      <c r="R626" s="37" t="s">
        <v>784</v>
      </c>
      <c r="S626" s="37"/>
    </row>
    <row r="627" spans="1:19" x14ac:dyDescent="0.3">
      <c r="A627" s="37">
        <v>214</v>
      </c>
      <c r="B627" s="37" t="s">
        <v>774</v>
      </c>
      <c r="C627" s="37" t="s">
        <v>251</v>
      </c>
      <c r="D627" s="37" t="s">
        <v>21</v>
      </c>
      <c r="E627" s="37" t="s">
        <v>56</v>
      </c>
      <c r="F627" s="42">
        <v>44865</v>
      </c>
      <c r="G627" s="37">
        <v>2022</v>
      </c>
      <c r="H627" s="37" t="s">
        <v>89</v>
      </c>
      <c r="I627" s="37" t="s">
        <v>28</v>
      </c>
      <c r="J627" s="37">
        <v>7500</v>
      </c>
      <c r="K627" s="37">
        <v>1756</v>
      </c>
      <c r="L627" s="65">
        <f t="shared" si="58"/>
        <v>1.3</v>
      </c>
      <c r="M627" s="65">
        <f t="shared" si="59"/>
        <v>4.2710706150341684</v>
      </c>
      <c r="N627" s="37" t="s">
        <v>775</v>
      </c>
      <c r="O627" s="37" t="s">
        <v>775</v>
      </c>
      <c r="P627" s="37">
        <v>0</v>
      </c>
      <c r="Q627" s="37">
        <v>0</v>
      </c>
      <c r="R627" s="37" t="s">
        <v>785</v>
      </c>
      <c r="S627" s="37"/>
    </row>
    <row r="628" spans="1:19" x14ac:dyDescent="0.3">
      <c r="A628" s="37">
        <v>214</v>
      </c>
      <c r="B628" s="37" t="s">
        <v>774</v>
      </c>
      <c r="C628" s="37" t="s">
        <v>251</v>
      </c>
      <c r="D628" s="37" t="s">
        <v>21</v>
      </c>
      <c r="E628" s="37" t="s">
        <v>56</v>
      </c>
      <c r="F628" s="42">
        <v>44895</v>
      </c>
      <c r="G628" s="37">
        <v>2022</v>
      </c>
      <c r="H628" s="37" t="s">
        <v>91</v>
      </c>
      <c r="I628" s="37" t="s">
        <v>28</v>
      </c>
      <c r="J628" s="37">
        <v>7500</v>
      </c>
      <c r="K628" s="37">
        <v>1786.799987792969</v>
      </c>
      <c r="L628" s="65">
        <f t="shared" si="58"/>
        <v>1.3</v>
      </c>
      <c r="M628" s="65">
        <f t="shared" si="59"/>
        <v>4.1974479803214564</v>
      </c>
      <c r="N628" s="37" t="s">
        <v>775</v>
      </c>
      <c r="O628" s="37" t="s">
        <v>775</v>
      </c>
      <c r="P628" s="37">
        <v>0</v>
      </c>
      <c r="Q628" s="37">
        <v>0</v>
      </c>
      <c r="R628" s="37" t="s">
        <v>786</v>
      </c>
      <c r="S628" s="37"/>
    </row>
    <row r="629" spans="1:19" x14ac:dyDescent="0.3">
      <c r="A629" s="37">
        <v>214</v>
      </c>
      <c r="B629" s="37" t="s">
        <v>774</v>
      </c>
      <c r="C629" s="37" t="s">
        <v>251</v>
      </c>
      <c r="D629" s="37" t="s">
        <v>21</v>
      </c>
      <c r="E629" s="37" t="s">
        <v>56</v>
      </c>
      <c r="F629" s="42">
        <v>44926</v>
      </c>
      <c r="G629" s="37">
        <v>2022</v>
      </c>
      <c r="H629" s="37" t="s">
        <v>27</v>
      </c>
      <c r="I629" s="37" t="s">
        <v>28</v>
      </c>
      <c r="J629" s="37">
        <v>7500</v>
      </c>
      <c r="K629" s="37">
        <v>1138.1499938964839</v>
      </c>
      <c r="L629" s="65">
        <f t="shared" si="58"/>
        <v>1.3</v>
      </c>
      <c r="M629" s="65">
        <f t="shared" si="59"/>
        <v>6.5896411195536446</v>
      </c>
      <c r="N629" s="37" t="s">
        <v>775</v>
      </c>
      <c r="O629" s="37" t="s">
        <v>775</v>
      </c>
      <c r="P629" s="37">
        <v>0</v>
      </c>
      <c r="Q629" s="37">
        <v>0</v>
      </c>
      <c r="R629" s="37" t="s">
        <v>787</v>
      </c>
      <c r="S629" s="37"/>
    </row>
    <row r="630" spans="1:19" x14ac:dyDescent="0.3">
      <c r="A630" s="36">
        <v>214</v>
      </c>
      <c r="B630" s="37" t="s">
        <v>774</v>
      </c>
      <c r="C630" s="37" t="s">
        <v>251</v>
      </c>
      <c r="D630" s="37" t="s">
        <v>73</v>
      </c>
      <c r="E630" s="37" t="s">
        <v>56</v>
      </c>
      <c r="F630" s="42">
        <v>44957</v>
      </c>
      <c r="G630" s="37">
        <v>2023</v>
      </c>
      <c r="H630" s="37" t="s">
        <v>74</v>
      </c>
      <c r="I630" s="39" t="s">
        <v>30</v>
      </c>
      <c r="J630" s="37">
        <v>7500</v>
      </c>
      <c r="K630" s="61">
        <v>1399.55</v>
      </c>
      <c r="L630" s="65">
        <f t="shared" si="58"/>
        <v>1.3</v>
      </c>
      <c r="M630" s="65">
        <f t="shared" si="59"/>
        <v>5.3588653495766501</v>
      </c>
      <c r="N630" s="37" t="s">
        <v>670</v>
      </c>
      <c r="O630" s="37" t="s">
        <v>775</v>
      </c>
      <c r="P630" s="40">
        <v>0</v>
      </c>
      <c r="Q630" s="40">
        <v>0</v>
      </c>
      <c r="R630" s="37" t="s">
        <v>788</v>
      </c>
      <c r="S630" s="37"/>
    </row>
    <row r="631" spans="1:19" x14ac:dyDescent="0.3">
      <c r="A631" s="36">
        <v>214</v>
      </c>
      <c r="B631" s="37" t="s">
        <v>774</v>
      </c>
      <c r="C631" s="37" t="s">
        <v>251</v>
      </c>
      <c r="D631" s="37" t="s">
        <v>73</v>
      </c>
      <c r="E631" s="37" t="s">
        <v>56</v>
      </c>
      <c r="F631" s="38">
        <v>44985</v>
      </c>
      <c r="G631" s="37">
        <v>2023</v>
      </c>
      <c r="H631" s="37" t="s">
        <v>76</v>
      </c>
      <c r="I631" s="39" t="s">
        <v>30</v>
      </c>
      <c r="J631" s="37">
        <v>7500</v>
      </c>
      <c r="K631" s="61">
        <v>2255.66</v>
      </c>
      <c r="L631" s="65">
        <f t="shared" si="58"/>
        <v>1.3</v>
      </c>
      <c r="M631" s="65">
        <f t="shared" si="59"/>
        <v>3.3249691886188524</v>
      </c>
      <c r="N631" s="37" t="s">
        <v>670</v>
      </c>
      <c r="O631" s="37" t="s">
        <v>775</v>
      </c>
      <c r="P631" s="40">
        <v>0</v>
      </c>
      <c r="Q631" s="40">
        <v>0</v>
      </c>
      <c r="R631" s="37" t="s">
        <v>789</v>
      </c>
      <c r="S631" s="37"/>
    </row>
    <row r="632" spans="1:19" x14ac:dyDescent="0.3">
      <c r="A632" s="36">
        <v>214</v>
      </c>
      <c r="B632" s="37" t="s">
        <v>774</v>
      </c>
      <c r="C632" s="37" t="s">
        <v>251</v>
      </c>
      <c r="D632" s="37" t="s">
        <v>73</v>
      </c>
      <c r="E632" s="37" t="s">
        <v>56</v>
      </c>
      <c r="F632" s="42">
        <v>45016</v>
      </c>
      <c r="G632" s="37">
        <v>2023</v>
      </c>
      <c r="H632" s="37" t="s">
        <v>40</v>
      </c>
      <c r="I632" s="39" t="s">
        <v>30</v>
      </c>
      <c r="J632" s="37">
        <v>7500</v>
      </c>
      <c r="K632" s="61">
        <v>2757</v>
      </c>
      <c r="L632" s="65">
        <f t="shared" si="58"/>
        <v>1.3</v>
      </c>
      <c r="M632" s="65">
        <f t="shared" si="59"/>
        <v>2.7203482045701848</v>
      </c>
      <c r="N632" s="37" t="s">
        <v>670</v>
      </c>
      <c r="O632" s="37" t="s">
        <v>775</v>
      </c>
      <c r="P632" s="40">
        <v>0</v>
      </c>
      <c r="Q632" s="40">
        <v>0</v>
      </c>
      <c r="R632" s="37" t="s">
        <v>790</v>
      </c>
      <c r="S632" s="37"/>
    </row>
    <row r="633" spans="1:19" x14ac:dyDescent="0.3">
      <c r="A633" s="36">
        <v>214</v>
      </c>
      <c r="B633" s="37" t="s">
        <v>774</v>
      </c>
      <c r="C633" s="37" t="s">
        <v>251</v>
      </c>
      <c r="D633" s="37" t="s">
        <v>73</v>
      </c>
      <c r="E633" s="37" t="s">
        <v>56</v>
      </c>
      <c r="F633" s="42">
        <v>45046</v>
      </c>
      <c r="G633" s="37">
        <v>2023</v>
      </c>
      <c r="H633" s="37" t="s">
        <v>79</v>
      </c>
      <c r="I633" s="39" t="s">
        <v>30</v>
      </c>
      <c r="J633" s="37">
        <v>7500</v>
      </c>
      <c r="K633" s="61">
        <v>2313.5</v>
      </c>
      <c r="L633" s="65">
        <f t="shared" si="58"/>
        <v>1.3</v>
      </c>
      <c r="M633" s="65">
        <f t="shared" si="59"/>
        <v>3.2418413658958287</v>
      </c>
      <c r="N633" s="37" t="s">
        <v>670</v>
      </c>
      <c r="O633" s="37" t="s">
        <v>775</v>
      </c>
      <c r="P633" s="40">
        <v>0</v>
      </c>
      <c r="Q633" s="40">
        <v>0</v>
      </c>
      <c r="R633" s="37" t="s">
        <v>791</v>
      </c>
      <c r="S633" s="37"/>
    </row>
    <row r="634" spans="1:19" x14ac:dyDescent="0.3">
      <c r="A634" s="36">
        <v>214</v>
      </c>
      <c r="B634" s="37" t="s">
        <v>774</v>
      </c>
      <c r="C634" s="37" t="s">
        <v>251</v>
      </c>
      <c r="D634" s="37" t="s">
        <v>73</v>
      </c>
      <c r="E634" s="37" t="s">
        <v>56</v>
      </c>
      <c r="F634" s="42">
        <v>45077</v>
      </c>
      <c r="G634" s="37">
        <v>2023</v>
      </c>
      <c r="H634" s="37" t="s">
        <v>81</v>
      </c>
      <c r="I634" s="39" t="s">
        <v>30</v>
      </c>
      <c r="J634" s="37">
        <v>7500</v>
      </c>
      <c r="K634" s="61">
        <v>2632.03</v>
      </c>
      <c r="L634" s="65">
        <f t="shared" ref="L634:L653" si="60">IFERROR(IF(OR(J634=0,K634=""),"",IF(E634="Positivo",MIN(MAX(K634/J634,0),1.3),MIN(MAX(J634/K634,0),1.3))),"")</f>
        <v>1.3</v>
      </c>
      <c r="M634" s="65">
        <f t="shared" ref="M634:M653" si="61">IFERROR(IF(OR(J634=0,K634=""),"",IF(E634="Positivo",MAX(K634/J634,0),MAX(J634/K634,0))),"")</f>
        <v>2.8495115937128372</v>
      </c>
      <c r="N634" s="37" t="s">
        <v>670</v>
      </c>
      <c r="O634" s="37" t="s">
        <v>775</v>
      </c>
      <c r="P634" s="40">
        <v>0</v>
      </c>
      <c r="Q634" s="40">
        <v>0</v>
      </c>
      <c r="R634" s="37" t="s">
        <v>792</v>
      </c>
      <c r="S634" s="37"/>
    </row>
    <row r="635" spans="1:19" x14ac:dyDescent="0.3">
      <c r="A635" s="36">
        <v>214</v>
      </c>
      <c r="B635" s="37" t="s">
        <v>774</v>
      </c>
      <c r="C635" s="37" t="s">
        <v>251</v>
      </c>
      <c r="D635" s="37" t="s">
        <v>73</v>
      </c>
      <c r="E635" s="37" t="s">
        <v>56</v>
      </c>
      <c r="F635" s="42">
        <v>45107</v>
      </c>
      <c r="G635" s="37">
        <v>2023</v>
      </c>
      <c r="H635" s="37" t="s">
        <v>23</v>
      </c>
      <c r="I635" s="39" t="s">
        <v>30</v>
      </c>
      <c r="J635" s="37">
        <v>7500</v>
      </c>
      <c r="K635" s="61">
        <v>2295.5100000000002</v>
      </c>
      <c r="L635" s="65">
        <f t="shared" si="60"/>
        <v>1.3</v>
      </c>
      <c r="M635" s="65">
        <f t="shared" si="61"/>
        <v>3.2672478011422297</v>
      </c>
      <c r="N635" s="37" t="s">
        <v>670</v>
      </c>
      <c r="O635" s="37" t="s">
        <v>775</v>
      </c>
      <c r="P635" s="40">
        <v>0</v>
      </c>
      <c r="Q635" s="40">
        <v>0</v>
      </c>
      <c r="R635" s="37" t="s">
        <v>793</v>
      </c>
      <c r="S635" s="37"/>
    </row>
    <row r="636" spans="1:19" x14ac:dyDescent="0.3">
      <c r="A636" s="36">
        <v>214</v>
      </c>
      <c r="B636" s="37" t="s">
        <v>774</v>
      </c>
      <c r="C636" s="37" t="s">
        <v>251</v>
      </c>
      <c r="D636" s="37" t="s">
        <v>73</v>
      </c>
      <c r="E636" s="37" t="s">
        <v>56</v>
      </c>
      <c r="F636" s="42">
        <v>45138</v>
      </c>
      <c r="G636" s="37">
        <v>2023</v>
      </c>
      <c r="H636" s="37" t="s">
        <v>84</v>
      </c>
      <c r="I636" s="39" t="s">
        <v>32</v>
      </c>
      <c r="J636" s="37">
        <v>7500</v>
      </c>
      <c r="K636" s="61">
        <v>2157.5</v>
      </c>
      <c r="L636" s="65">
        <f t="shared" si="60"/>
        <v>1.3</v>
      </c>
      <c r="M636" s="65">
        <f t="shared" si="61"/>
        <v>3.4762456546929315</v>
      </c>
      <c r="N636" s="37" t="s">
        <v>670</v>
      </c>
      <c r="O636" s="37" t="s">
        <v>775</v>
      </c>
      <c r="P636" s="40">
        <v>0</v>
      </c>
      <c r="Q636" s="40">
        <v>0</v>
      </c>
      <c r="R636" s="37" t="s">
        <v>794</v>
      </c>
      <c r="S636" s="37"/>
    </row>
    <row r="637" spans="1:19" x14ac:dyDescent="0.3">
      <c r="A637" s="36">
        <v>214</v>
      </c>
      <c r="B637" s="37" t="s">
        <v>774</v>
      </c>
      <c r="C637" s="37" t="s">
        <v>251</v>
      </c>
      <c r="D637" s="37" t="s">
        <v>73</v>
      </c>
      <c r="E637" s="37" t="s">
        <v>56</v>
      </c>
      <c r="F637" s="42">
        <v>45169</v>
      </c>
      <c r="G637" s="37">
        <v>2023</v>
      </c>
      <c r="H637" s="37" t="s">
        <v>86</v>
      </c>
      <c r="I637" s="39" t="s">
        <v>32</v>
      </c>
      <c r="J637" s="37">
        <v>7500</v>
      </c>
      <c r="K637" s="61">
        <v>6540.08</v>
      </c>
      <c r="L637" s="65">
        <f t="shared" si="60"/>
        <v>1.1467749629973945</v>
      </c>
      <c r="M637" s="65">
        <f t="shared" si="61"/>
        <v>1.1467749629973945</v>
      </c>
      <c r="N637" s="37" t="s">
        <v>670</v>
      </c>
      <c r="O637" s="37" t="s">
        <v>775</v>
      </c>
      <c r="P637" s="40">
        <v>0</v>
      </c>
      <c r="Q637" s="40">
        <v>0</v>
      </c>
      <c r="R637" s="37" t="s">
        <v>795</v>
      </c>
      <c r="S637" s="37"/>
    </row>
    <row r="638" spans="1:19" x14ac:dyDescent="0.3">
      <c r="A638" s="36">
        <v>214</v>
      </c>
      <c r="B638" s="37" t="s">
        <v>774</v>
      </c>
      <c r="C638" s="37" t="s">
        <v>251</v>
      </c>
      <c r="D638" s="37" t="s">
        <v>73</v>
      </c>
      <c r="E638" s="37" t="s">
        <v>56</v>
      </c>
      <c r="F638" s="42">
        <v>45199</v>
      </c>
      <c r="G638" s="37">
        <v>2023</v>
      </c>
      <c r="H638" s="37" t="s">
        <v>43</v>
      </c>
      <c r="I638" s="39" t="s">
        <v>32</v>
      </c>
      <c r="J638" s="37">
        <v>7500</v>
      </c>
      <c r="K638" s="61">
        <v>7824.24</v>
      </c>
      <c r="L638" s="65">
        <f t="shared" si="60"/>
        <v>0.95855955338793286</v>
      </c>
      <c r="M638" s="65">
        <f t="shared" si="61"/>
        <v>0.95855955338793286</v>
      </c>
      <c r="N638" s="37" t="s">
        <v>670</v>
      </c>
      <c r="O638" s="37" t="s">
        <v>775</v>
      </c>
      <c r="P638" s="40">
        <v>0</v>
      </c>
      <c r="Q638" s="40">
        <v>0</v>
      </c>
      <c r="R638" s="37" t="s">
        <v>796</v>
      </c>
      <c r="S638" s="37"/>
    </row>
    <row r="639" spans="1:19" x14ac:dyDescent="0.3">
      <c r="A639" s="41">
        <v>214</v>
      </c>
      <c r="B639" s="37" t="s">
        <v>774</v>
      </c>
      <c r="C639" s="37" t="s">
        <v>251</v>
      </c>
      <c r="D639" s="37" t="s">
        <v>73</v>
      </c>
      <c r="E639" s="37" t="s">
        <v>56</v>
      </c>
      <c r="F639" s="42">
        <v>45230</v>
      </c>
      <c r="G639" s="37">
        <v>2023</v>
      </c>
      <c r="H639" s="37" t="s">
        <v>89</v>
      </c>
      <c r="I639" s="39" t="s">
        <v>32</v>
      </c>
      <c r="J639" s="37">
        <v>7500</v>
      </c>
      <c r="K639" s="61">
        <v>6165.24</v>
      </c>
      <c r="L639" s="65">
        <f t="shared" si="60"/>
        <v>1.2164976545925219</v>
      </c>
      <c r="M639" s="65">
        <f t="shared" si="61"/>
        <v>1.2164976545925219</v>
      </c>
      <c r="N639" s="37" t="s">
        <v>670</v>
      </c>
      <c r="O639" s="37" t="s">
        <v>775</v>
      </c>
      <c r="P639" s="40">
        <v>0</v>
      </c>
      <c r="Q639" s="40">
        <v>0</v>
      </c>
      <c r="R639" s="37" t="s">
        <v>797</v>
      </c>
      <c r="S639" s="37"/>
    </row>
    <row r="640" spans="1:19" x14ac:dyDescent="0.3">
      <c r="A640" s="41">
        <v>214</v>
      </c>
      <c r="B640" s="37" t="s">
        <v>774</v>
      </c>
      <c r="C640" s="37" t="s">
        <v>251</v>
      </c>
      <c r="D640" s="37" t="s">
        <v>73</v>
      </c>
      <c r="E640" s="37" t="s">
        <v>56</v>
      </c>
      <c r="F640" s="42">
        <v>45260</v>
      </c>
      <c r="G640" s="37">
        <v>2023</v>
      </c>
      <c r="H640" s="37" t="s">
        <v>91</v>
      </c>
      <c r="I640" s="39" t="s">
        <v>32</v>
      </c>
      <c r="J640" s="37">
        <v>7500</v>
      </c>
      <c r="K640" s="61">
        <v>6186.4</v>
      </c>
      <c r="L640" s="65">
        <f t="shared" si="60"/>
        <v>1.2123367386525281</v>
      </c>
      <c r="M640" s="65">
        <f t="shared" si="61"/>
        <v>1.2123367386525281</v>
      </c>
      <c r="N640" s="37" t="s">
        <v>670</v>
      </c>
      <c r="O640" s="37" t="s">
        <v>775</v>
      </c>
      <c r="P640" s="40">
        <v>0</v>
      </c>
      <c r="Q640" s="40">
        <v>0</v>
      </c>
      <c r="R640" s="37" t="s">
        <v>798</v>
      </c>
      <c r="S640" s="37"/>
    </row>
    <row r="641" spans="1:19" x14ac:dyDescent="0.3">
      <c r="A641" s="41">
        <v>214</v>
      </c>
      <c r="B641" s="37" t="s">
        <v>774</v>
      </c>
      <c r="C641" s="37" t="s">
        <v>251</v>
      </c>
      <c r="D641" s="37" t="s">
        <v>73</v>
      </c>
      <c r="E641" s="37" t="s">
        <v>56</v>
      </c>
      <c r="F641" s="42">
        <v>45291</v>
      </c>
      <c r="G641" s="37">
        <v>2023</v>
      </c>
      <c r="H641" s="37" t="s">
        <v>27</v>
      </c>
      <c r="I641" s="39" t="s">
        <v>32</v>
      </c>
      <c r="J641" s="37">
        <v>7500</v>
      </c>
      <c r="K641" s="61">
        <v>2129.59</v>
      </c>
      <c r="L641" s="65">
        <f t="shared" si="60"/>
        <v>1.3</v>
      </c>
      <c r="M641" s="65">
        <f t="shared" si="61"/>
        <v>3.5218046666259699</v>
      </c>
      <c r="N641" s="37" t="s">
        <v>670</v>
      </c>
      <c r="O641" s="37" t="s">
        <v>775</v>
      </c>
      <c r="P641" s="40">
        <v>0</v>
      </c>
      <c r="Q641" s="40">
        <v>0</v>
      </c>
      <c r="R641" s="37" t="s">
        <v>799</v>
      </c>
      <c r="S641" s="37"/>
    </row>
    <row r="642" spans="1:19" x14ac:dyDescent="0.3">
      <c r="A642" s="36">
        <v>214</v>
      </c>
      <c r="B642" s="37" t="s">
        <v>774</v>
      </c>
      <c r="C642" s="37" t="s">
        <v>251</v>
      </c>
      <c r="D642" s="37" t="s">
        <v>73</v>
      </c>
      <c r="E642" s="37" t="s">
        <v>56</v>
      </c>
      <c r="F642" s="42">
        <v>45322</v>
      </c>
      <c r="G642" s="37">
        <v>2024</v>
      </c>
      <c r="H642" s="37" t="s">
        <v>74</v>
      </c>
      <c r="I642" s="39" t="s">
        <v>34</v>
      </c>
      <c r="J642" s="37">
        <v>7500</v>
      </c>
      <c r="K642" s="56">
        <v>3375.7</v>
      </c>
      <c r="L642" s="65">
        <f t="shared" si="60"/>
        <v>1.3</v>
      </c>
      <c r="M642" s="65">
        <f t="shared" si="61"/>
        <v>2.2217614124477887</v>
      </c>
      <c r="N642" s="37" t="s">
        <v>775</v>
      </c>
      <c r="O642" s="37" t="s">
        <v>775</v>
      </c>
      <c r="P642" s="40">
        <v>0</v>
      </c>
      <c r="Q642" s="40">
        <v>0</v>
      </c>
      <c r="R642" s="37" t="s">
        <v>800</v>
      </c>
      <c r="S642" s="37"/>
    </row>
    <row r="643" spans="1:19" x14ac:dyDescent="0.3">
      <c r="A643" s="36">
        <v>214</v>
      </c>
      <c r="B643" s="37" t="s">
        <v>774</v>
      </c>
      <c r="C643" s="37" t="s">
        <v>251</v>
      </c>
      <c r="D643" s="37" t="s">
        <v>73</v>
      </c>
      <c r="E643" s="37" t="s">
        <v>56</v>
      </c>
      <c r="F643" s="42">
        <v>45351</v>
      </c>
      <c r="G643" s="37">
        <v>2024</v>
      </c>
      <c r="H643" s="37" t="s">
        <v>76</v>
      </c>
      <c r="I643" s="39" t="s">
        <v>34</v>
      </c>
      <c r="J643" s="37">
        <v>7500</v>
      </c>
      <c r="K643" s="43">
        <v>6138.9</v>
      </c>
      <c r="L643" s="65">
        <f t="shared" si="60"/>
        <v>1.2217172457606413</v>
      </c>
      <c r="M643" s="65">
        <f t="shared" si="61"/>
        <v>1.2217172457606413</v>
      </c>
      <c r="N643" s="37" t="s">
        <v>775</v>
      </c>
      <c r="O643" s="37" t="s">
        <v>775</v>
      </c>
      <c r="P643" s="40">
        <v>0</v>
      </c>
      <c r="Q643" s="40">
        <v>0</v>
      </c>
      <c r="R643" s="37" t="s">
        <v>801</v>
      </c>
      <c r="S643" s="37"/>
    </row>
    <row r="644" spans="1:19" x14ac:dyDescent="0.3">
      <c r="A644" s="36">
        <v>214</v>
      </c>
      <c r="B644" s="37" t="s">
        <v>774</v>
      </c>
      <c r="C644" s="37" t="s">
        <v>251</v>
      </c>
      <c r="D644" s="37" t="s">
        <v>73</v>
      </c>
      <c r="E644" s="37" t="s">
        <v>56</v>
      </c>
      <c r="F644" s="42">
        <v>45382</v>
      </c>
      <c r="G644" s="37">
        <v>2024</v>
      </c>
      <c r="H644" s="37" t="s">
        <v>40</v>
      </c>
      <c r="I644" s="39" t="s">
        <v>34</v>
      </c>
      <c r="J644" s="37">
        <v>7500</v>
      </c>
      <c r="K644" s="56">
        <v>5548.44</v>
      </c>
      <c r="L644" s="65">
        <f t="shared" si="60"/>
        <v>1.3</v>
      </c>
      <c r="M644" s="65">
        <f t="shared" si="61"/>
        <v>1.3517312974457687</v>
      </c>
      <c r="N644" s="37" t="s">
        <v>775</v>
      </c>
      <c r="O644" s="37" t="s">
        <v>775</v>
      </c>
      <c r="P644" s="40">
        <v>0</v>
      </c>
      <c r="Q644" s="40">
        <v>0</v>
      </c>
      <c r="R644" s="37" t="s">
        <v>802</v>
      </c>
      <c r="S644" s="37"/>
    </row>
    <row r="645" spans="1:19" x14ac:dyDescent="0.3">
      <c r="A645" s="36">
        <v>214</v>
      </c>
      <c r="B645" s="37" t="s">
        <v>774</v>
      </c>
      <c r="C645" s="37" t="s">
        <v>251</v>
      </c>
      <c r="D645" s="37" t="s">
        <v>73</v>
      </c>
      <c r="E645" s="37" t="s">
        <v>56</v>
      </c>
      <c r="F645" s="42">
        <v>45412</v>
      </c>
      <c r="G645" s="37">
        <v>2024</v>
      </c>
      <c r="H645" s="37" t="s">
        <v>79</v>
      </c>
      <c r="I645" s="39" t="s">
        <v>34</v>
      </c>
      <c r="J645" s="37">
        <v>7500</v>
      </c>
      <c r="K645" s="56">
        <v>7543.48</v>
      </c>
      <c r="L645" s="65">
        <f t="shared" si="60"/>
        <v>0.99423608202049985</v>
      </c>
      <c r="M645" s="65">
        <f t="shared" si="61"/>
        <v>0.99423608202049985</v>
      </c>
      <c r="N645" s="37" t="s">
        <v>775</v>
      </c>
      <c r="O645" s="37" t="s">
        <v>775</v>
      </c>
      <c r="P645" s="40">
        <v>0</v>
      </c>
      <c r="Q645" s="40">
        <v>0</v>
      </c>
      <c r="R645" s="37" t="s">
        <v>803</v>
      </c>
      <c r="S645" s="37"/>
    </row>
    <row r="646" spans="1:19" x14ac:dyDescent="0.3">
      <c r="A646" s="36">
        <v>214</v>
      </c>
      <c r="B646" s="37" t="s">
        <v>774</v>
      </c>
      <c r="C646" s="37" t="s">
        <v>251</v>
      </c>
      <c r="D646" s="37" t="s">
        <v>73</v>
      </c>
      <c r="E646" s="37" t="s">
        <v>56</v>
      </c>
      <c r="F646" s="42">
        <v>45443</v>
      </c>
      <c r="G646" s="37">
        <v>2024</v>
      </c>
      <c r="H646" s="37" t="s">
        <v>81</v>
      </c>
      <c r="I646" s="39" t="s">
        <v>34</v>
      </c>
      <c r="J646" s="37">
        <v>7500</v>
      </c>
      <c r="K646" s="56">
        <v>7006.34</v>
      </c>
      <c r="L646" s="65">
        <f t="shared" si="60"/>
        <v>1.0704590413825192</v>
      </c>
      <c r="M646" s="65">
        <f t="shared" si="61"/>
        <v>1.0704590413825192</v>
      </c>
      <c r="N646" s="37" t="s">
        <v>775</v>
      </c>
      <c r="O646" s="37" t="s">
        <v>775</v>
      </c>
      <c r="P646" s="40">
        <v>0</v>
      </c>
      <c r="Q646" s="40">
        <v>0</v>
      </c>
      <c r="R646" s="37" t="s">
        <v>804</v>
      </c>
      <c r="S646" s="37"/>
    </row>
    <row r="647" spans="1:19" x14ac:dyDescent="0.3">
      <c r="A647" s="36">
        <v>214</v>
      </c>
      <c r="B647" s="37" t="s">
        <v>774</v>
      </c>
      <c r="C647" s="37" t="s">
        <v>251</v>
      </c>
      <c r="D647" s="37" t="s">
        <v>73</v>
      </c>
      <c r="E647" s="37" t="s">
        <v>56</v>
      </c>
      <c r="F647" s="42">
        <v>45473</v>
      </c>
      <c r="G647" s="37">
        <v>2024</v>
      </c>
      <c r="H647" s="37" t="s">
        <v>23</v>
      </c>
      <c r="I647" s="39" t="s">
        <v>34</v>
      </c>
      <c r="J647" s="37">
        <v>7500</v>
      </c>
      <c r="K647" s="56">
        <v>3200.05</v>
      </c>
      <c r="L647" s="65">
        <f t="shared" si="60"/>
        <v>1.3</v>
      </c>
      <c r="M647" s="65">
        <f t="shared" si="61"/>
        <v>2.3437133794784457</v>
      </c>
      <c r="N647" s="37" t="s">
        <v>775</v>
      </c>
      <c r="O647" s="37" t="s">
        <v>775</v>
      </c>
      <c r="P647" s="40">
        <v>0</v>
      </c>
      <c r="Q647" s="40">
        <v>0</v>
      </c>
      <c r="R647" s="37" t="s">
        <v>805</v>
      </c>
      <c r="S647" s="37"/>
    </row>
    <row r="648" spans="1:19" x14ac:dyDescent="0.3">
      <c r="A648" s="36">
        <v>214</v>
      </c>
      <c r="B648" s="37" t="s">
        <v>774</v>
      </c>
      <c r="C648" s="37" t="s">
        <v>251</v>
      </c>
      <c r="D648" s="37" t="s">
        <v>73</v>
      </c>
      <c r="E648" s="37" t="s">
        <v>56</v>
      </c>
      <c r="F648" s="42">
        <v>45504</v>
      </c>
      <c r="G648" s="37">
        <v>2024</v>
      </c>
      <c r="H648" s="37" t="s">
        <v>84</v>
      </c>
      <c r="I648" s="39" t="s">
        <v>36</v>
      </c>
      <c r="J648" s="37">
        <v>7500</v>
      </c>
      <c r="K648" s="56">
        <v>2567.4299926757808</v>
      </c>
      <c r="L648" s="65">
        <f t="shared" si="60"/>
        <v>1.3</v>
      </c>
      <c r="M648" s="65">
        <f t="shared" si="61"/>
        <v>2.9212091552235413</v>
      </c>
      <c r="N648" s="37" t="s">
        <v>775</v>
      </c>
      <c r="O648" s="37" t="s">
        <v>775</v>
      </c>
      <c r="P648" s="40">
        <v>0</v>
      </c>
      <c r="Q648" s="40">
        <v>0</v>
      </c>
      <c r="R648" s="37" t="s">
        <v>806</v>
      </c>
      <c r="S648" s="37"/>
    </row>
    <row r="649" spans="1:19" x14ac:dyDescent="0.3">
      <c r="A649" s="36">
        <v>214</v>
      </c>
      <c r="B649" s="37" t="s">
        <v>774</v>
      </c>
      <c r="C649" s="37" t="s">
        <v>251</v>
      </c>
      <c r="D649" s="37" t="s">
        <v>73</v>
      </c>
      <c r="E649" s="37" t="s">
        <v>56</v>
      </c>
      <c r="F649" s="42">
        <v>45535</v>
      </c>
      <c r="G649" s="37">
        <v>2024</v>
      </c>
      <c r="H649" s="37" t="s">
        <v>86</v>
      </c>
      <c r="I649" s="39" t="s">
        <v>36</v>
      </c>
      <c r="J649" s="37">
        <v>7500</v>
      </c>
      <c r="K649" s="56">
        <v>5591.600022315979</v>
      </c>
      <c r="L649" s="65">
        <f t="shared" si="60"/>
        <v>1.3</v>
      </c>
      <c r="M649" s="65">
        <f t="shared" si="61"/>
        <v>1.3412976554237839</v>
      </c>
      <c r="N649" s="37" t="s">
        <v>775</v>
      </c>
      <c r="O649" s="37" t="s">
        <v>775</v>
      </c>
      <c r="P649" s="40">
        <v>0</v>
      </c>
      <c r="Q649" s="40">
        <v>0</v>
      </c>
      <c r="R649" s="37" t="s">
        <v>807</v>
      </c>
      <c r="S649" s="37"/>
    </row>
    <row r="650" spans="1:19" x14ac:dyDescent="0.3">
      <c r="A650" s="36">
        <v>214</v>
      </c>
      <c r="B650" s="37" t="s">
        <v>774</v>
      </c>
      <c r="C650" s="37" t="s">
        <v>251</v>
      </c>
      <c r="D650" s="37" t="s">
        <v>73</v>
      </c>
      <c r="E650" s="37" t="s">
        <v>56</v>
      </c>
      <c r="F650" s="42">
        <v>45565</v>
      </c>
      <c r="G650" s="37">
        <v>2024</v>
      </c>
      <c r="H650" s="37" t="s">
        <v>43</v>
      </c>
      <c r="I650" s="39" t="s">
        <v>36</v>
      </c>
      <c r="J650" s="37">
        <v>7500</v>
      </c>
      <c r="K650" s="56">
        <v>5132.759970664978</v>
      </c>
      <c r="L650" s="65">
        <f t="shared" si="60"/>
        <v>1.3</v>
      </c>
      <c r="M650" s="65">
        <f t="shared" si="61"/>
        <v>1.4612021685924137</v>
      </c>
      <c r="N650" s="37" t="s">
        <v>775</v>
      </c>
      <c r="O650" s="37" t="s">
        <v>775</v>
      </c>
      <c r="P650" s="40">
        <v>0</v>
      </c>
      <c r="Q650" s="40">
        <v>0</v>
      </c>
      <c r="R650" s="37" t="s">
        <v>808</v>
      </c>
      <c r="S650" s="37"/>
    </row>
    <row r="651" spans="1:19" x14ac:dyDescent="0.3">
      <c r="A651" s="41">
        <v>214</v>
      </c>
      <c r="B651" s="37" t="s">
        <v>774</v>
      </c>
      <c r="C651" s="37" t="s">
        <v>251</v>
      </c>
      <c r="D651" s="37" t="s">
        <v>73</v>
      </c>
      <c r="E651" s="37" t="s">
        <v>56</v>
      </c>
      <c r="F651" s="42">
        <v>45596</v>
      </c>
      <c r="G651" s="37">
        <v>2024</v>
      </c>
      <c r="H651" s="37" t="s">
        <v>89</v>
      </c>
      <c r="I651" s="39" t="s">
        <v>36</v>
      </c>
      <c r="J651" s="37">
        <v>7500</v>
      </c>
      <c r="K651" s="56">
        <v>5403.0600337982178</v>
      </c>
      <c r="L651" s="65">
        <f t="shared" si="60"/>
        <v>1.3</v>
      </c>
      <c r="M651" s="65">
        <f t="shared" si="61"/>
        <v>1.3881022889038095</v>
      </c>
      <c r="N651" s="37" t="s">
        <v>775</v>
      </c>
      <c r="O651" s="37" t="s">
        <v>775</v>
      </c>
      <c r="P651" s="40">
        <v>0</v>
      </c>
      <c r="Q651" s="40">
        <v>0</v>
      </c>
      <c r="R651" s="37" t="s">
        <v>809</v>
      </c>
      <c r="S651" s="37"/>
    </row>
    <row r="652" spans="1:19" x14ac:dyDescent="0.3">
      <c r="A652" s="41">
        <v>214</v>
      </c>
      <c r="B652" s="37" t="s">
        <v>774</v>
      </c>
      <c r="C652" s="37" t="s">
        <v>251</v>
      </c>
      <c r="D652" s="37" t="s">
        <v>73</v>
      </c>
      <c r="E652" s="37" t="s">
        <v>56</v>
      </c>
      <c r="F652" s="42">
        <v>45626</v>
      </c>
      <c r="G652" s="37">
        <v>2024</v>
      </c>
      <c r="H652" s="37" t="s">
        <v>91</v>
      </c>
      <c r="I652" s="39" t="s">
        <v>36</v>
      </c>
      <c r="J652" s="37">
        <v>7500</v>
      </c>
      <c r="K652" s="56">
        <v>4790.7100486755371</v>
      </c>
      <c r="L652" s="65">
        <f t="shared" si="60"/>
        <v>1.3</v>
      </c>
      <c r="M652" s="65">
        <f t="shared" si="61"/>
        <v>1.5655299368563302</v>
      </c>
      <c r="N652" s="37" t="s">
        <v>775</v>
      </c>
      <c r="O652" s="37" t="s">
        <v>775</v>
      </c>
      <c r="P652" s="40">
        <v>0</v>
      </c>
      <c r="Q652" s="40">
        <v>0</v>
      </c>
      <c r="R652" s="37" t="s">
        <v>810</v>
      </c>
      <c r="S652" s="37"/>
    </row>
    <row r="653" spans="1:19" x14ac:dyDescent="0.3">
      <c r="A653" s="41">
        <v>214</v>
      </c>
      <c r="B653" s="37" t="s">
        <v>774</v>
      </c>
      <c r="C653" s="37" t="s">
        <v>251</v>
      </c>
      <c r="D653" s="37" t="s">
        <v>73</v>
      </c>
      <c r="E653" s="37" t="s">
        <v>56</v>
      </c>
      <c r="F653" s="42">
        <v>45657</v>
      </c>
      <c r="G653" s="37">
        <v>2024</v>
      </c>
      <c r="H653" s="37" t="s">
        <v>27</v>
      </c>
      <c r="I653" s="39" t="s">
        <v>36</v>
      </c>
      <c r="J653" s="37">
        <v>7500</v>
      </c>
      <c r="K653" s="56">
        <v>1490.200012207031</v>
      </c>
      <c r="L653" s="65">
        <f t="shared" si="60"/>
        <v>1.3</v>
      </c>
      <c r="M653" s="65">
        <f t="shared" si="61"/>
        <v>5.0328814511900815</v>
      </c>
      <c r="N653" s="37" t="s">
        <v>775</v>
      </c>
      <c r="O653" s="37" t="s">
        <v>775</v>
      </c>
      <c r="P653" s="40">
        <v>0</v>
      </c>
      <c r="Q653" s="40">
        <v>0</v>
      </c>
      <c r="R653" s="37" t="s">
        <v>811</v>
      </c>
      <c r="S653" s="37"/>
    </row>
    <row r="654" spans="1:19" x14ac:dyDescent="0.3">
      <c r="A654" s="37">
        <v>215</v>
      </c>
      <c r="B654" s="37" t="s">
        <v>824</v>
      </c>
      <c r="C654" s="37" t="s">
        <v>251</v>
      </c>
      <c r="D654" s="37" t="s">
        <v>73</v>
      </c>
      <c r="E654" s="37" t="s">
        <v>22</v>
      </c>
      <c r="F654" s="42">
        <v>44620</v>
      </c>
      <c r="G654" s="37">
        <v>2022</v>
      </c>
      <c r="H654" s="37" t="s">
        <v>76</v>
      </c>
      <c r="I654" s="37" t="s">
        <v>24</v>
      </c>
      <c r="J654" s="37">
        <v>1</v>
      </c>
      <c r="K654" s="37"/>
      <c r="L654" s="65"/>
      <c r="M654" s="65"/>
      <c r="N654" s="37" t="s">
        <v>25</v>
      </c>
      <c r="O654" s="37" t="s">
        <v>223</v>
      </c>
      <c r="P654" s="37">
        <v>2</v>
      </c>
      <c r="Q654" s="37">
        <v>2</v>
      </c>
      <c r="R654" s="37" t="s">
        <v>825</v>
      </c>
      <c r="S654" s="37" t="s">
        <v>223</v>
      </c>
    </row>
    <row r="655" spans="1:19" x14ac:dyDescent="0.3">
      <c r="A655" s="37">
        <v>215</v>
      </c>
      <c r="B655" s="37" t="s">
        <v>824</v>
      </c>
      <c r="C655" s="37" t="s">
        <v>251</v>
      </c>
      <c r="D655" s="37" t="s">
        <v>73</v>
      </c>
      <c r="E655" s="37" t="s">
        <v>22</v>
      </c>
      <c r="F655" s="42">
        <v>44651</v>
      </c>
      <c r="G655" s="37">
        <v>2022</v>
      </c>
      <c r="H655" s="37" t="s">
        <v>40</v>
      </c>
      <c r="I655" s="37" t="s">
        <v>24</v>
      </c>
      <c r="J655" s="37">
        <v>1</v>
      </c>
      <c r="K655" s="37"/>
      <c r="L655" s="65"/>
      <c r="M655" s="65"/>
      <c r="N655" s="37" t="s">
        <v>25</v>
      </c>
      <c r="O655" s="37" t="s">
        <v>223</v>
      </c>
      <c r="P655" s="37">
        <v>2</v>
      </c>
      <c r="Q655" s="37">
        <v>2</v>
      </c>
      <c r="R655" s="37" t="s">
        <v>826</v>
      </c>
      <c r="S655" s="37" t="s">
        <v>223</v>
      </c>
    </row>
    <row r="656" spans="1:19" x14ac:dyDescent="0.3">
      <c r="A656" s="37">
        <v>215</v>
      </c>
      <c r="B656" s="37" t="s">
        <v>824</v>
      </c>
      <c r="C656" s="37" t="s">
        <v>251</v>
      </c>
      <c r="D656" s="37" t="s">
        <v>73</v>
      </c>
      <c r="E656" s="37" t="s">
        <v>22</v>
      </c>
      <c r="F656" s="42">
        <v>44742</v>
      </c>
      <c r="G656" s="37">
        <v>2022</v>
      </c>
      <c r="H656" s="37" t="s">
        <v>23</v>
      </c>
      <c r="I656" s="37" t="s">
        <v>24</v>
      </c>
      <c r="J656" s="37">
        <v>1</v>
      </c>
      <c r="K656" s="37"/>
      <c r="L656" s="65"/>
      <c r="M656" s="65"/>
      <c r="N656" s="37" t="s">
        <v>25</v>
      </c>
      <c r="O656" s="37" t="s">
        <v>223</v>
      </c>
      <c r="P656" s="37">
        <v>2</v>
      </c>
      <c r="Q656" s="37">
        <v>2</v>
      </c>
      <c r="R656" s="37" t="s">
        <v>827</v>
      </c>
      <c r="S656" s="37" t="s">
        <v>223</v>
      </c>
    </row>
    <row r="657" spans="1:19" x14ac:dyDescent="0.3">
      <c r="A657" s="37">
        <v>215</v>
      </c>
      <c r="B657" s="37" t="s">
        <v>824</v>
      </c>
      <c r="C657" s="37" t="s">
        <v>251</v>
      </c>
      <c r="D657" s="37" t="s">
        <v>73</v>
      </c>
      <c r="E657" s="37" t="s">
        <v>22</v>
      </c>
      <c r="F657" s="42">
        <v>44926</v>
      </c>
      <c r="G657" s="37">
        <v>2022</v>
      </c>
      <c r="H657" s="37" t="s">
        <v>27</v>
      </c>
      <c r="I657" s="37" t="s">
        <v>28</v>
      </c>
      <c r="J657" s="37">
        <v>1</v>
      </c>
      <c r="K657" s="37">
        <v>-23.628691983122</v>
      </c>
      <c r="L657" s="65">
        <f t="shared" ref="L657:L664" si="62">IFERROR(IF(OR(J657=0,K657=""),"",IF(E657="Positivo",MIN(MAX(K657/J657,0),1.3),MIN(MAX(J657/K657,0),1.3))),"")</f>
        <v>0</v>
      </c>
      <c r="M657" s="65">
        <f t="shared" ref="M657:M664" si="63">IFERROR(IF(OR(J657=0,K657=""),"",IF(E657="Positivo",MAX(K657/J657,0),MAX(J657/K657,0))),"")</f>
        <v>0</v>
      </c>
      <c r="N657" s="37" t="s">
        <v>25</v>
      </c>
      <c r="O657" s="37" t="s">
        <v>25</v>
      </c>
      <c r="P657" s="37">
        <v>2</v>
      </c>
      <c r="Q657" s="37">
        <v>2</v>
      </c>
      <c r="R657" s="37" t="s">
        <v>828</v>
      </c>
      <c r="S657" s="37"/>
    </row>
    <row r="658" spans="1:19" x14ac:dyDescent="0.3">
      <c r="A658" s="36">
        <v>215</v>
      </c>
      <c r="B658" s="37" t="s">
        <v>824</v>
      </c>
      <c r="C658" s="37" t="s">
        <v>251</v>
      </c>
      <c r="D658" s="37" t="s">
        <v>21</v>
      </c>
      <c r="E658" s="37" t="s">
        <v>22</v>
      </c>
      <c r="F658" s="38">
        <v>45107</v>
      </c>
      <c r="G658" s="37">
        <v>2023</v>
      </c>
      <c r="H658" s="37" t="s">
        <v>23</v>
      </c>
      <c r="I658" s="39" t="s">
        <v>30</v>
      </c>
      <c r="J658" s="37">
        <v>1</v>
      </c>
      <c r="K658" s="56">
        <v>-47.67</v>
      </c>
      <c r="L658" s="65">
        <f t="shared" si="62"/>
        <v>0</v>
      </c>
      <c r="M658" s="65">
        <f t="shared" si="63"/>
        <v>0</v>
      </c>
      <c r="N658" s="37" t="s">
        <v>775</v>
      </c>
      <c r="O658" s="37" t="s">
        <v>775</v>
      </c>
      <c r="P658" s="40">
        <v>2</v>
      </c>
      <c r="Q658" s="40">
        <v>2</v>
      </c>
      <c r="R658" s="37" t="s">
        <v>829</v>
      </c>
      <c r="S658" s="37"/>
    </row>
    <row r="659" spans="1:19" x14ac:dyDescent="0.3">
      <c r="A659" s="37">
        <v>215</v>
      </c>
      <c r="B659" s="37" t="s">
        <v>824</v>
      </c>
      <c r="C659" s="37" t="s">
        <v>251</v>
      </c>
      <c r="D659" s="37" t="s">
        <v>21</v>
      </c>
      <c r="E659" s="37" t="s">
        <v>22</v>
      </c>
      <c r="F659" s="42">
        <v>45291</v>
      </c>
      <c r="G659" s="37">
        <v>2023</v>
      </c>
      <c r="H659" s="37" t="s">
        <v>27</v>
      </c>
      <c r="I659" s="37" t="s">
        <v>32</v>
      </c>
      <c r="J659" s="37">
        <v>1</v>
      </c>
      <c r="K659" s="37">
        <v>-124.72</v>
      </c>
      <c r="L659" s="65">
        <f t="shared" si="62"/>
        <v>0</v>
      </c>
      <c r="M659" s="65">
        <f t="shared" si="63"/>
        <v>0</v>
      </c>
      <c r="N659" s="37" t="s">
        <v>25</v>
      </c>
      <c r="O659" s="37" t="s">
        <v>25</v>
      </c>
      <c r="P659" s="37">
        <v>2</v>
      </c>
      <c r="Q659" s="37">
        <v>2</v>
      </c>
      <c r="R659" s="37" t="s">
        <v>830</v>
      </c>
      <c r="S659" s="37"/>
    </row>
    <row r="660" spans="1:19" x14ac:dyDescent="0.3">
      <c r="A660" s="37">
        <v>215</v>
      </c>
      <c r="B660" s="37" t="s">
        <v>824</v>
      </c>
      <c r="C660" s="37" t="s">
        <v>251</v>
      </c>
      <c r="D660" s="37" t="s">
        <v>21</v>
      </c>
      <c r="E660" s="37" t="s">
        <v>22</v>
      </c>
      <c r="F660" s="42">
        <v>45473</v>
      </c>
      <c r="G660" s="37">
        <v>2024</v>
      </c>
      <c r="H660" s="37" t="s">
        <v>23</v>
      </c>
      <c r="I660" s="39" t="s">
        <v>34</v>
      </c>
      <c r="J660" s="37">
        <v>1</v>
      </c>
      <c r="K660" s="37">
        <v>8</v>
      </c>
      <c r="L660" s="65">
        <f t="shared" si="62"/>
        <v>1.3</v>
      </c>
      <c r="M660" s="65">
        <f t="shared" si="63"/>
        <v>8</v>
      </c>
      <c r="N660" s="37" t="s">
        <v>25</v>
      </c>
      <c r="O660" s="37" t="s">
        <v>25</v>
      </c>
      <c r="P660" s="37">
        <v>2</v>
      </c>
      <c r="Q660" s="37">
        <v>2</v>
      </c>
      <c r="R660" s="37" t="s">
        <v>831</v>
      </c>
      <c r="S660" s="37"/>
    </row>
    <row r="661" spans="1:19" x14ac:dyDescent="0.3">
      <c r="A661" s="36">
        <v>215</v>
      </c>
      <c r="B661" s="37" t="s">
        <v>824</v>
      </c>
      <c r="C661" s="37" t="s">
        <v>251</v>
      </c>
      <c r="D661" s="37" t="s">
        <v>21</v>
      </c>
      <c r="E661" s="37" t="s">
        <v>22</v>
      </c>
      <c r="F661" s="42">
        <v>45657</v>
      </c>
      <c r="G661" s="37">
        <v>2024</v>
      </c>
      <c r="H661" s="37" t="s">
        <v>27</v>
      </c>
      <c r="I661" s="39" t="s">
        <v>36</v>
      </c>
      <c r="J661" s="37">
        <v>1</v>
      </c>
      <c r="K661" s="43">
        <v>-45.65</v>
      </c>
      <c r="L661" s="65">
        <f t="shared" si="62"/>
        <v>0</v>
      </c>
      <c r="M661" s="65">
        <f t="shared" si="63"/>
        <v>0</v>
      </c>
      <c r="N661" s="37" t="s">
        <v>25</v>
      </c>
      <c r="O661" s="37" t="s">
        <v>25</v>
      </c>
      <c r="P661" s="40">
        <v>2</v>
      </c>
      <c r="Q661" s="40">
        <v>2</v>
      </c>
      <c r="R661" s="37" t="s">
        <v>832</v>
      </c>
      <c r="S661" s="37"/>
    </row>
    <row r="662" spans="1:19" x14ac:dyDescent="0.3">
      <c r="A662" s="37">
        <v>216</v>
      </c>
      <c r="B662" s="37" t="s">
        <v>835</v>
      </c>
      <c r="C662" s="37" t="s">
        <v>251</v>
      </c>
      <c r="D662" s="37" t="s">
        <v>139</v>
      </c>
      <c r="E662" s="37" t="s">
        <v>22</v>
      </c>
      <c r="F662" s="42">
        <v>44926</v>
      </c>
      <c r="G662" s="37">
        <v>2022</v>
      </c>
      <c r="H662" s="37" t="s">
        <v>27</v>
      </c>
      <c r="I662" s="37" t="s">
        <v>28</v>
      </c>
      <c r="J662" s="37">
        <v>100</v>
      </c>
      <c r="K662" s="37">
        <v>300</v>
      </c>
      <c r="L662" s="65">
        <f t="shared" si="62"/>
        <v>1.3</v>
      </c>
      <c r="M662" s="65">
        <f t="shared" si="63"/>
        <v>3</v>
      </c>
      <c r="N662" s="37" t="s">
        <v>25</v>
      </c>
      <c r="O662" s="37" t="s">
        <v>25</v>
      </c>
      <c r="P662" s="37">
        <v>0</v>
      </c>
      <c r="Q662" s="37">
        <v>0</v>
      </c>
      <c r="R662" s="37" t="s">
        <v>836</v>
      </c>
      <c r="S662" s="37"/>
    </row>
    <row r="663" spans="1:19" x14ac:dyDescent="0.3">
      <c r="A663" s="37">
        <v>216</v>
      </c>
      <c r="B663" s="37" t="s">
        <v>835</v>
      </c>
      <c r="C663" s="37" t="s">
        <v>251</v>
      </c>
      <c r="D663" s="37" t="s">
        <v>139</v>
      </c>
      <c r="E663" s="37" t="s">
        <v>22</v>
      </c>
      <c r="F663" s="42">
        <v>45291</v>
      </c>
      <c r="G663" s="37">
        <v>2023</v>
      </c>
      <c r="H663" s="37" t="s">
        <v>27</v>
      </c>
      <c r="I663" s="37" t="s">
        <v>32</v>
      </c>
      <c r="J663" s="37">
        <v>100</v>
      </c>
      <c r="K663" s="37">
        <v>100</v>
      </c>
      <c r="L663" s="65">
        <f t="shared" si="62"/>
        <v>1</v>
      </c>
      <c r="M663" s="65">
        <f t="shared" si="63"/>
        <v>1</v>
      </c>
      <c r="N663" s="37" t="s">
        <v>25</v>
      </c>
      <c r="O663" s="37" t="s">
        <v>25</v>
      </c>
      <c r="P663" s="37">
        <v>0</v>
      </c>
      <c r="Q663" s="37">
        <v>0</v>
      </c>
      <c r="R663" s="37" t="s">
        <v>837</v>
      </c>
      <c r="S663" s="37"/>
    </row>
    <row r="664" spans="1:19" x14ac:dyDescent="0.3">
      <c r="A664" s="36">
        <v>216</v>
      </c>
      <c r="B664" s="37" t="s">
        <v>835</v>
      </c>
      <c r="C664" s="37" t="s">
        <v>251</v>
      </c>
      <c r="D664" s="37" t="s">
        <v>139</v>
      </c>
      <c r="E664" s="37" t="s">
        <v>22</v>
      </c>
      <c r="F664" s="42">
        <v>45657</v>
      </c>
      <c r="G664" s="37">
        <v>2024</v>
      </c>
      <c r="H664" s="37" t="s">
        <v>27</v>
      </c>
      <c r="I664" s="39" t="s">
        <v>36</v>
      </c>
      <c r="J664" s="37">
        <v>100</v>
      </c>
      <c r="K664" s="43">
        <v>100</v>
      </c>
      <c r="L664" s="65">
        <f t="shared" si="62"/>
        <v>1</v>
      </c>
      <c r="M664" s="65">
        <f t="shared" si="63"/>
        <v>1</v>
      </c>
      <c r="N664" s="37"/>
      <c r="O664" s="37"/>
      <c r="P664" s="40">
        <v>0</v>
      </c>
      <c r="Q664" s="40">
        <v>0</v>
      </c>
      <c r="R664" s="37" t="s">
        <v>838</v>
      </c>
      <c r="S664" s="37"/>
    </row>
    <row r="665" spans="1:19" x14ac:dyDescent="0.3">
      <c r="A665" s="37">
        <v>217</v>
      </c>
      <c r="B665" s="37" t="s">
        <v>840</v>
      </c>
      <c r="C665" s="37" t="s">
        <v>251</v>
      </c>
      <c r="D665" s="37" t="s">
        <v>73</v>
      </c>
      <c r="E665" s="37" t="s">
        <v>22</v>
      </c>
      <c r="F665" s="42">
        <v>44592</v>
      </c>
      <c r="G665" s="37">
        <v>2022</v>
      </c>
      <c r="H665" s="37" t="s">
        <v>74</v>
      </c>
      <c r="I665" s="37" t="s">
        <v>24</v>
      </c>
      <c r="J665" s="37">
        <v>20</v>
      </c>
      <c r="K665" s="37"/>
      <c r="L665" s="65"/>
      <c r="M665" s="65"/>
      <c r="N665" s="37" t="s">
        <v>25</v>
      </c>
      <c r="O665" s="37" t="s">
        <v>223</v>
      </c>
      <c r="P665" s="37">
        <v>0</v>
      </c>
      <c r="Q665" s="37">
        <v>0</v>
      </c>
      <c r="R665" s="37" t="s">
        <v>841</v>
      </c>
      <c r="S665" s="37" t="s">
        <v>223</v>
      </c>
    </row>
    <row r="666" spans="1:19" x14ac:dyDescent="0.3">
      <c r="A666" s="37">
        <v>217</v>
      </c>
      <c r="B666" s="37" t="s">
        <v>840</v>
      </c>
      <c r="C666" s="37" t="s">
        <v>251</v>
      </c>
      <c r="D666" s="37" t="s">
        <v>73</v>
      </c>
      <c r="E666" s="37" t="s">
        <v>22</v>
      </c>
      <c r="F666" s="42">
        <v>44620</v>
      </c>
      <c r="G666" s="37">
        <v>2022</v>
      </c>
      <c r="H666" s="37" t="s">
        <v>76</v>
      </c>
      <c r="I666" s="37" t="s">
        <v>24</v>
      </c>
      <c r="J666" s="37">
        <v>20</v>
      </c>
      <c r="K666" s="37"/>
      <c r="L666" s="65"/>
      <c r="M666" s="65"/>
      <c r="N666" s="37" t="s">
        <v>25</v>
      </c>
      <c r="O666" s="37" t="s">
        <v>223</v>
      </c>
      <c r="P666" s="37">
        <v>0</v>
      </c>
      <c r="Q666" s="37">
        <v>0</v>
      </c>
      <c r="R666" s="37" t="s">
        <v>842</v>
      </c>
      <c r="S666" s="37" t="s">
        <v>223</v>
      </c>
    </row>
    <row r="667" spans="1:19" x14ac:dyDescent="0.3">
      <c r="A667" s="37">
        <v>217</v>
      </c>
      <c r="B667" s="37" t="s">
        <v>840</v>
      </c>
      <c r="C667" s="37" t="s">
        <v>251</v>
      </c>
      <c r="D667" s="37" t="s">
        <v>73</v>
      </c>
      <c r="E667" s="37" t="s">
        <v>22</v>
      </c>
      <c r="F667" s="42">
        <v>44681</v>
      </c>
      <c r="G667" s="37">
        <v>2022</v>
      </c>
      <c r="H667" s="37" t="s">
        <v>79</v>
      </c>
      <c r="I667" s="37" t="s">
        <v>24</v>
      </c>
      <c r="J667" s="37">
        <v>20</v>
      </c>
      <c r="K667" s="37"/>
      <c r="L667" s="65"/>
      <c r="M667" s="65"/>
      <c r="N667" s="37" t="s">
        <v>25</v>
      </c>
      <c r="O667" s="37" t="s">
        <v>223</v>
      </c>
      <c r="P667" s="37">
        <v>0</v>
      </c>
      <c r="Q667" s="37">
        <v>0</v>
      </c>
      <c r="R667" s="37" t="s">
        <v>843</v>
      </c>
      <c r="S667" s="37" t="s">
        <v>223</v>
      </c>
    </row>
    <row r="668" spans="1:19" x14ac:dyDescent="0.3">
      <c r="A668" s="37">
        <v>217</v>
      </c>
      <c r="B668" s="37" t="s">
        <v>840</v>
      </c>
      <c r="C668" s="37" t="s">
        <v>251</v>
      </c>
      <c r="D668" s="37" t="s">
        <v>73</v>
      </c>
      <c r="E668" s="37" t="s">
        <v>22</v>
      </c>
      <c r="F668" s="42">
        <v>44712</v>
      </c>
      <c r="G668" s="37">
        <v>2022</v>
      </c>
      <c r="H668" s="37" t="s">
        <v>81</v>
      </c>
      <c r="I668" s="37" t="s">
        <v>24</v>
      </c>
      <c r="J668" s="37">
        <v>20</v>
      </c>
      <c r="K668" s="37"/>
      <c r="L668" s="65"/>
      <c r="M668" s="65"/>
      <c r="N668" s="37" t="s">
        <v>25</v>
      </c>
      <c r="O668" s="37" t="s">
        <v>223</v>
      </c>
      <c r="P668" s="37">
        <v>0</v>
      </c>
      <c r="Q668" s="37">
        <v>0</v>
      </c>
      <c r="R668" s="37" t="s">
        <v>844</v>
      </c>
      <c r="S668" s="37" t="s">
        <v>223</v>
      </c>
    </row>
    <row r="669" spans="1:19" x14ac:dyDescent="0.3">
      <c r="A669" s="37">
        <v>217</v>
      </c>
      <c r="B669" s="37" t="s">
        <v>840</v>
      </c>
      <c r="C669" s="37" t="s">
        <v>251</v>
      </c>
      <c r="D669" s="37" t="s">
        <v>73</v>
      </c>
      <c r="E669" s="37" t="s">
        <v>22</v>
      </c>
      <c r="F669" s="42">
        <v>44742</v>
      </c>
      <c r="G669" s="37">
        <v>2022</v>
      </c>
      <c r="H669" s="37" t="s">
        <v>23</v>
      </c>
      <c r="I669" s="37" t="s">
        <v>24</v>
      </c>
      <c r="J669" s="37">
        <v>20</v>
      </c>
      <c r="K669" s="37"/>
      <c r="L669" s="65"/>
      <c r="M669" s="65"/>
      <c r="N669" s="37" t="s">
        <v>25</v>
      </c>
      <c r="O669" s="37" t="s">
        <v>223</v>
      </c>
      <c r="P669" s="37">
        <v>0</v>
      </c>
      <c r="Q669" s="37">
        <v>0</v>
      </c>
      <c r="R669" s="37" t="s">
        <v>845</v>
      </c>
      <c r="S669" s="37" t="s">
        <v>223</v>
      </c>
    </row>
    <row r="670" spans="1:19" x14ac:dyDescent="0.3">
      <c r="A670" s="37">
        <v>217</v>
      </c>
      <c r="B670" s="37" t="s">
        <v>840</v>
      </c>
      <c r="C670" s="37" t="s">
        <v>251</v>
      </c>
      <c r="D670" s="37" t="s">
        <v>73</v>
      </c>
      <c r="E670" s="37" t="s">
        <v>22</v>
      </c>
      <c r="F670" s="42">
        <v>44773</v>
      </c>
      <c r="G670" s="37">
        <v>2022</v>
      </c>
      <c r="H670" s="37" t="s">
        <v>84</v>
      </c>
      <c r="I670" s="37" t="s">
        <v>28</v>
      </c>
      <c r="J670" s="37">
        <v>20</v>
      </c>
      <c r="K670" s="37"/>
      <c r="L670" s="65"/>
      <c r="M670" s="65"/>
      <c r="N670" s="37" t="s">
        <v>25</v>
      </c>
      <c r="O670" s="37" t="s">
        <v>223</v>
      </c>
      <c r="P670" s="37">
        <v>0</v>
      </c>
      <c r="Q670" s="37">
        <v>0</v>
      </c>
      <c r="R670" s="37" t="s">
        <v>846</v>
      </c>
      <c r="S670" s="37" t="s">
        <v>223</v>
      </c>
    </row>
    <row r="671" spans="1:19" x14ac:dyDescent="0.3">
      <c r="A671" s="37">
        <v>217</v>
      </c>
      <c r="B671" s="37" t="s">
        <v>840</v>
      </c>
      <c r="C671" s="37" t="s">
        <v>251</v>
      </c>
      <c r="D671" s="37" t="s">
        <v>73</v>
      </c>
      <c r="E671" s="37" t="s">
        <v>22</v>
      </c>
      <c r="F671" s="42">
        <v>44804</v>
      </c>
      <c r="G671" s="37">
        <v>2022</v>
      </c>
      <c r="H671" s="37" t="s">
        <v>86</v>
      </c>
      <c r="I671" s="37" t="s">
        <v>28</v>
      </c>
      <c r="J671" s="37">
        <v>20</v>
      </c>
      <c r="K671" s="37"/>
      <c r="L671" s="65"/>
      <c r="M671" s="65"/>
      <c r="N671" s="37" t="s">
        <v>25</v>
      </c>
      <c r="O671" s="37" t="s">
        <v>223</v>
      </c>
      <c r="P671" s="37">
        <v>0</v>
      </c>
      <c r="Q671" s="37">
        <v>0</v>
      </c>
      <c r="R671" s="37" t="s">
        <v>847</v>
      </c>
      <c r="S671" s="37" t="s">
        <v>223</v>
      </c>
    </row>
    <row r="672" spans="1:19" x14ac:dyDescent="0.3">
      <c r="A672" s="37">
        <v>217</v>
      </c>
      <c r="B672" s="37" t="s">
        <v>840</v>
      </c>
      <c r="C672" s="37" t="s">
        <v>251</v>
      </c>
      <c r="D672" s="37" t="s">
        <v>73</v>
      </c>
      <c r="E672" s="37" t="s">
        <v>22</v>
      </c>
      <c r="F672" s="42">
        <v>44834</v>
      </c>
      <c r="G672" s="37">
        <v>2022</v>
      </c>
      <c r="H672" s="37" t="s">
        <v>43</v>
      </c>
      <c r="I672" s="37" t="s">
        <v>28</v>
      </c>
      <c r="J672" s="37">
        <v>20</v>
      </c>
      <c r="K672" s="37"/>
      <c r="L672" s="65"/>
      <c r="M672" s="65"/>
      <c r="N672" s="37" t="s">
        <v>25</v>
      </c>
      <c r="O672" s="37" t="s">
        <v>223</v>
      </c>
      <c r="P672" s="37">
        <v>0</v>
      </c>
      <c r="Q672" s="37">
        <v>0</v>
      </c>
      <c r="R672" s="37" t="s">
        <v>848</v>
      </c>
      <c r="S672" s="37" t="s">
        <v>223</v>
      </c>
    </row>
    <row r="673" spans="1:19" x14ac:dyDescent="0.3">
      <c r="A673" s="37">
        <v>217</v>
      </c>
      <c r="B673" s="37" t="s">
        <v>840</v>
      </c>
      <c r="C673" s="37" t="s">
        <v>251</v>
      </c>
      <c r="D673" s="37" t="s">
        <v>73</v>
      </c>
      <c r="E673" s="37" t="s">
        <v>22</v>
      </c>
      <c r="F673" s="42">
        <v>44865</v>
      </c>
      <c r="G673" s="37">
        <v>2022</v>
      </c>
      <c r="H673" s="37" t="s">
        <v>89</v>
      </c>
      <c r="I673" s="37" t="s">
        <v>28</v>
      </c>
      <c r="J673" s="37">
        <v>20</v>
      </c>
      <c r="K673" s="37"/>
      <c r="L673" s="65"/>
      <c r="M673" s="65"/>
      <c r="N673" s="37" t="s">
        <v>25</v>
      </c>
      <c r="O673" s="37" t="s">
        <v>223</v>
      </c>
      <c r="P673" s="37">
        <v>0</v>
      </c>
      <c r="Q673" s="37">
        <v>0</v>
      </c>
      <c r="R673" s="37" t="s">
        <v>849</v>
      </c>
      <c r="S673" s="37" t="s">
        <v>223</v>
      </c>
    </row>
    <row r="674" spans="1:19" x14ac:dyDescent="0.3">
      <c r="A674" s="37">
        <v>217</v>
      </c>
      <c r="B674" s="37" t="s">
        <v>840</v>
      </c>
      <c r="C674" s="37" t="s">
        <v>251</v>
      </c>
      <c r="D674" s="37" t="s">
        <v>73</v>
      </c>
      <c r="E674" s="37" t="s">
        <v>22</v>
      </c>
      <c r="F674" s="42">
        <v>44895</v>
      </c>
      <c r="G674" s="37">
        <v>2022</v>
      </c>
      <c r="H674" s="37" t="s">
        <v>91</v>
      </c>
      <c r="I674" s="37" t="s">
        <v>28</v>
      </c>
      <c r="J674" s="37">
        <v>20</v>
      </c>
      <c r="K674" s="37"/>
      <c r="L674" s="65"/>
      <c r="M674" s="65"/>
      <c r="N674" s="37" t="s">
        <v>25</v>
      </c>
      <c r="O674" s="37" t="s">
        <v>223</v>
      </c>
      <c r="P674" s="37">
        <v>0</v>
      </c>
      <c r="Q674" s="37">
        <v>0</v>
      </c>
      <c r="R674" s="37" t="s">
        <v>850</v>
      </c>
      <c r="S674" s="37" t="s">
        <v>223</v>
      </c>
    </row>
    <row r="675" spans="1:19" x14ac:dyDescent="0.3">
      <c r="A675" s="37">
        <v>217</v>
      </c>
      <c r="B675" s="37" t="s">
        <v>840</v>
      </c>
      <c r="C675" s="37" t="s">
        <v>251</v>
      </c>
      <c r="D675" s="37" t="s">
        <v>73</v>
      </c>
      <c r="E675" s="37" t="s">
        <v>22</v>
      </c>
      <c r="F675" s="42">
        <v>44926</v>
      </c>
      <c r="G675" s="37">
        <v>2022</v>
      </c>
      <c r="H675" s="37" t="s">
        <v>27</v>
      </c>
      <c r="I675" s="37" t="s">
        <v>28</v>
      </c>
      <c r="J675" s="37">
        <v>20</v>
      </c>
      <c r="K675" s="37"/>
      <c r="L675" s="65"/>
      <c r="M675" s="65"/>
      <c r="N675" s="37" t="s">
        <v>25</v>
      </c>
      <c r="O675" s="37" t="s">
        <v>223</v>
      </c>
      <c r="P675" s="37">
        <v>0</v>
      </c>
      <c r="Q675" s="37">
        <v>0</v>
      </c>
      <c r="R675" s="37" t="s">
        <v>851</v>
      </c>
      <c r="S675" s="37" t="s">
        <v>223</v>
      </c>
    </row>
    <row r="676" spans="1:19" x14ac:dyDescent="0.3">
      <c r="A676" s="36">
        <v>217</v>
      </c>
      <c r="B676" s="37" t="s">
        <v>840</v>
      </c>
      <c r="C676" s="37" t="s">
        <v>251</v>
      </c>
      <c r="D676" s="37" t="s">
        <v>73</v>
      </c>
      <c r="E676" s="37" t="s">
        <v>22</v>
      </c>
      <c r="F676" s="42">
        <v>44957</v>
      </c>
      <c r="G676" s="37">
        <v>2023</v>
      </c>
      <c r="H676" s="37" t="s">
        <v>74</v>
      </c>
      <c r="I676" s="39" t="s">
        <v>30</v>
      </c>
      <c r="J676" s="37">
        <v>20</v>
      </c>
      <c r="K676" s="56">
        <v>80.265848670756995</v>
      </c>
      <c r="L676" s="65">
        <f t="shared" ref="L676:L699" si="64">IFERROR(IF(OR(J676=0,K676=""),"",IF(E676="Positivo",MIN(MAX(K676/J676,0),1.3),MIN(MAX(J676/K676,0),1.3))),"")</f>
        <v>1.3</v>
      </c>
      <c r="M676" s="65">
        <f t="shared" ref="M676:M699" si="65">IFERROR(IF(OR(J676=0,K676=""),"",IF(E676="Positivo",MAX(K676/J676,0),MAX(J676/K676,0))),"")</f>
        <v>4.0132924335378499</v>
      </c>
      <c r="N676" s="37" t="s">
        <v>25</v>
      </c>
      <c r="O676" s="37" t="s">
        <v>25</v>
      </c>
      <c r="P676" s="40">
        <v>0</v>
      </c>
      <c r="Q676" s="40">
        <v>0</v>
      </c>
      <c r="R676" s="37" t="s">
        <v>852</v>
      </c>
      <c r="S676" s="37"/>
    </row>
    <row r="677" spans="1:19" x14ac:dyDescent="0.3">
      <c r="A677" s="36">
        <v>217</v>
      </c>
      <c r="B677" s="37" t="s">
        <v>840</v>
      </c>
      <c r="C677" s="37" t="s">
        <v>251</v>
      </c>
      <c r="D677" s="37" t="s">
        <v>73</v>
      </c>
      <c r="E677" s="37" t="s">
        <v>22</v>
      </c>
      <c r="F677" s="38">
        <v>44985</v>
      </c>
      <c r="G677" s="37">
        <v>2023</v>
      </c>
      <c r="H677" s="37" t="s">
        <v>76</v>
      </c>
      <c r="I677" s="39" t="s">
        <v>30</v>
      </c>
      <c r="J677" s="37">
        <v>20</v>
      </c>
      <c r="K677" s="56">
        <v>57.669322709162998</v>
      </c>
      <c r="L677" s="65">
        <f t="shared" si="64"/>
        <v>1.3</v>
      </c>
      <c r="M677" s="65">
        <f t="shared" si="65"/>
        <v>2.8834661354581499</v>
      </c>
      <c r="N677" s="37" t="s">
        <v>25</v>
      </c>
      <c r="O677" s="37" t="s">
        <v>25</v>
      </c>
      <c r="P677" s="40">
        <v>0</v>
      </c>
      <c r="Q677" s="40">
        <v>0</v>
      </c>
      <c r="R677" s="37" t="s">
        <v>853</v>
      </c>
      <c r="S677" s="37"/>
    </row>
    <row r="678" spans="1:19" x14ac:dyDescent="0.3">
      <c r="A678" s="36">
        <v>217</v>
      </c>
      <c r="B678" s="37" t="s">
        <v>840</v>
      </c>
      <c r="C678" s="37" t="s">
        <v>251</v>
      </c>
      <c r="D678" s="37" t="s">
        <v>73</v>
      </c>
      <c r="E678" s="37" t="s">
        <v>22</v>
      </c>
      <c r="F678" s="42">
        <v>45016</v>
      </c>
      <c r="G678" s="37">
        <v>2023</v>
      </c>
      <c r="H678" s="37" t="s">
        <v>40</v>
      </c>
      <c r="I678" s="39" t="s">
        <v>30</v>
      </c>
      <c r="J678" s="37">
        <v>20</v>
      </c>
      <c r="K678" s="56">
        <v>53.684210526316001</v>
      </c>
      <c r="L678" s="65">
        <f t="shared" si="64"/>
        <v>1.3</v>
      </c>
      <c r="M678" s="65">
        <f t="shared" si="65"/>
        <v>2.6842105263158</v>
      </c>
      <c r="N678" s="37" t="s">
        <v>25</v>
      </c>
      <c r="O678" s="37" t="s">
        <v>25</v>
      </c>
      <c r="P678" s="40">
        <v>0</v>
      </c>
      <c r="Q678" s="40">
        <v>0</v>
      </c>
      <c r="R678" s="37" t="s">
        <v>854</v>
      </c>
      <c r="S678" s="37"/>
    </row>
    <row r="679" spans="1:19" x14ac:dyDescent="0.3">
      <c r="A679" s="36">
        <v>217</v>
      </c>
      <c r="B679" s="37" t="s">
        <v>840</v>
      </c>
      <c r="C679" s="37" t="s">
        <v>251</v>
      </c>
      <c r="D679" s="37" t="s">
        <v>73</v>
      </c>
      <c r="E679" s="37" t="s">
        <v>22</v>
      </c>
      <c r="F679" s="42">
        <v>45046</v>
      </c>
      <c r="G679" s="37">
        <v>2023</v>
      </c>
      <c r="H679" s="37" t="s">
        <v>79</v>
      </c>
      <c r="I679" s="39" t="s">
        <v>30</v>
      </c>
      <c r="J679" s="37">
        <v>20</v>
      </c>
      <c r="K679" s="56">
        <v>65.302491103202996</v>
      </c>
      <c r="L679" s="65">
        <f t="shared" si="64"/>
        <v>1.3</v>
      </c>
      <c r="M679" s="65">
        <f t="shared" si="65"/>
        <v>3.26512455516015</v>
      </c>
      <c r="N679" s="37" t="s">
        <v>25</v>
      </c>
      <c r="O679" s="37" t="s">
        <v>25</v>
      </c>
      <c r="P679" s="40">
        <v>1</v>
      </c>
      <c r="Q679" s="40">
        <v>1</v>
      </c>
      <c r="R679" s="37" t="s">
        <v>855</v>
      </c>
      <c r="S679" s="37"/>
    </row>
    <row r="680" spans="1:19" x14ac:dyDescent="0.3">
      <c r="A680" s="36">
        <v>217</v>
      </c>
      <c r="B680" s="37" t="s">
        <v>840</v>
      </c>
      <c r="C680" s="37" t="s">
        <v>251</v>
      </c>
      <c r="D680" s="37" t="s">
        <v>73</v>
      </c>
      <c r="E680" s="37" t="s">
        <v>22</v>
      </c>
      <c r="F680" s="42">
        <v>45077</v>
      </c>
      <c r="G680" s="37">
        <v>2023</v>
      </c>
      <c r="H680" s="37" t="s">
        <v>81</v>
      </c>
      <c r="I680" s="39" t="s">
        <v>30</v>
      </c>
      <c r="J680" s="37">
        <v>20</v>
      </c>
      <c r="K680" s="56">
        <v>33.942687747035997</v>
      </c>
      <c r="L680" s="65">
        <f t="shared" si="64"/>
        <v>1.3</v>
      </c>
      <c r="M680" s="65">
        <f t="shared" si="65"/>
        <v>1.6971343873517999</v>
      </c>
      <c r="N680" s="37" t="s">
        <v>25</v>
      </c>
      <c r="O680" s="37" t="s">
        <v>25</v>
      </c>
      <c r="P680" s="40">
        <v>0</v>
      </c>
      <c r="Q680" s="40">
        <v>0</v>
      </c>
      <c r="R680" s="37" t="s">
        <v>856</v>
      </c>
      <c r="S680" s="37"/>
    </row>
    <row r="681" spans="1:19" x14ac:dyDescent="0.3">
      <c r="A681" s="36">
        <v>217</v>
      </c>
      <c r="B681" s="37" t="s">
        <v>840</v>
      </c>
      <c r="C681" s="37" t="s">
        <v>251</v>
      </c>
      <c r="D681" s="37" t="s">
        <v>73</v>
      </c>
      <c r="E681" s="37" t="s">
        <v>22</v>
      </c>
      <c r="F681" s="42">
        <v>45107</v>
      </c>
      <c r="G681" s="37">
        <v>2023</v>
      </c>
      <c r="H681" s="37" t="s">
        <v>23</v>
      </c>
      <c r="I681" s="39" t="s">
        <v>30</v>
      </c>
      <c r="J681" s="37">
        <v>20</v>
      </c>
      <c r="K681" s="56">
        <v>31.380626400920999</v>
      </c>
      <c r="L681" s="65">
        <f t="shared" si="64"/>
        <v>1.3</v>
      </c>
      <c r="M681" s="65">
        <f t="shared" si="65"/>
        <v>1.5690313200460499</v>
      </c>
      <c r="N681" s="37" t="s">
        <v>25</v>
      </c>
      <c r="O681" s="37" t="s">
        <v>25</v>
      </c>
      <c r="P681" s="40">
        <v>0</v>
      </c>
      <c r="Q681" s="40">
        <v>0</v>
      </c>
      <c r="R681" s="37" t="s">
        <v>857</v>
      </c>
      <c r="S681" s="37"/>
    </row>
    <row r="682" spans="1:19" x14ac:dyDescent="0.3">
      <c r="A682" s="36">
        <v>217</v>
      </c>
      <c r="B682" s="37" t="s">
        <v>840</v>
      </c>
      <c r="C682" s="37" t="s">
        <v>251</v>
      </c>
      <c r="D682" s="37" t="s">
        <v>73</v>
      </c>
      <c r="E682" s="37" t="s">
        <v>22</v>
      </c>
      <c r="F682" s="42">
        <v>45138</v>
      </c>
      <c r="G682" s="37">
        <v>2023</v>
      </c>
      <c r="H682" s="37" t="s">
        <v>84</v>
      </c>
      <c r="I682" s="39" t="s">
        <v>32</v>
      </c>
      <c r="J682" s="37">
        <v>20</v>
      </c>
      <c r="K682" s="56">
        <v>24.491309385863271</v>
      </c>
      <c r="L682" s="65">
        <f t="shared" si="64"/>
        <v>1.2245654692931636</v>
      </c>
      <c r="M682" s="65">
        <f t="shared" si="65"/>
        <v>1.2245654692931636</v>
      </c>
      <c r="N682" s="37" t="s">
        <v>25</v>
      </c>
      <c r="O682" s="37" t="s">
        <v>25</v>
      </c>
      <c r="P682" s="40">
        <v>0</v>
      </c>
      <c r="Q682" s="40">
        <v>0</v>
      </c>
      <c r="R682" s="37" t="s">
        <v>858</v>
      </c>
      <c r="S682" s="37"/>
    </row>
    <row r="683" spans="1:19" x14ac:dyDescent="0.3">
      <c r="A683" s="36">
        <v>217</v>
      </c>
      <c r="B683" s="37" t="s">
        <v>840</v>
      </c>
      <c r="C683" s="37" t="s">
        <v>251</v>
      </c>
      <c r="D683" s="37" t="s">
        <v>73</v>
      </c>
      <c r="E683" s="37" t="s">
        <v>22</v>
      </c>
      <c r="F683" s="42">
        <v>45169</v>
      </c>
      <c r="G683" s="37">
        <v>2023</v>
      </c>
      <c r="H683" s="37" t="s">
        <v>86</v>
      </c>
      <c r="I683" s="39" t="s">
        <v>32</v>
      </c>
      <c r="J683" s="37">
        <v>20</v>
      </c>
      <c r="K683" s="56">
        <v>26.432398380447999</v>
      </c>
      <c r="L683" s="65">
        <f t="shared" si="64"/>
        <v>1.3</v>
      </c>
      <c r="M683" s="65">
        <f t="shared" si="65"/>
        <v>1.3216199190224001</v>
      </c>
      <c r="N683" s="37" t="s">
        <v>25</v>
      </c>
      <c r="O683" s="37" t="s">
        <v>25</v>
      </c>
      <c r="P683" s="40">
        <v>0</v>
      </c>
      <c r="Q683" s="40">
        <v>0</v>
      </c>
      <c r="R683" s="37" t="s">
        <v>859</v>
      </c>
      <c r="S683" s="37"/>
    </row>
    <row r="684" spans="1:19" x14ac:dyDescent="0.3">
      <c r="A684" s="36">
        <v>217</v>
      </c>
      <c r="B684" s="37" t="s">
        <v>840</v>
      </c>
      <c r="C684" s="37" t="s">
        <v>251</v>
      </c>
      <c r="D684" s="37" t="s">
        <v>73</v>
      </c>
      <c r="E684" s="37" t="s">
        <v>22</v>
      </c>
      <c r="F684" s="42">
        <v>45199</v>
      </c>
      <c r="G684" s="37">
        <v>2023</v>
      </c>
      <c r="H684" s="37" t="s">
        <v>43</v>
      </c>
      <c r="I684" s="39" t="s">
        <v>32</v>
      </c>
      <c r="J684" s="37">
        <v>20</v>
      </c>
      <c r="K684" s="56">
        <v>24.292455241658999</v>
      </c>
      <c r="L684" s="65">
        <f t="shared" si="64"/>
        <v>1.2146227620829499</v>
      </c>
      <c r="M684" s="65">
        <f t="shared" si="65"/>
        <v>1.2146227620829499</v>
      </c>
      <c r="N684" s="37" t="s">
        <v>25</v>
      </c>
      <c r="O684" s="37" t="s">
        <v>25</v>
      </c>
      <c r="P684" s="40">
        <v>0</v>
      </c>
      <c r="Q684" s="40">
        <v>0</v>
      </c>
      <c r="R684" s="37" t="s">
        <v>860</v>
      </c>
      <c r="S684" s="37"/>
    </row>
    <row r="685" spans="1:19" x14ac:dyDescent="0.3">
      <c r="A685" s="41">
        <v>217</v>
      </c>
      <c r="B685" s="37" t="s">
        <v>840</v>
      </c>
      <c r="C685" s="37" t="s">
        <v>251</v>
      </c>
      <c r="D685" s="37" t="s">
        <v>73</v>
      </c>
      <c r="E685" s="37" t="s">
        <v>22</v>
      </c>
      <c r="F685" s="42">
        <v>45230</v>
      </c>
      <c r="G685" s="37">
        <v>2023</v>
      </c>
      <c r="H685" s="37" t="s">
        <v>89</v>
      </c>
      <c r="I685" s="39" t="s">
        <v>32</v>
      </c>
      <c r="J685" s="37">
        <v>20</v>
      </c>
      <c r="K685" s="56">
        <v>16.289714593429999</v>
      </c>
      <c r="L685" s="65">
        <f t="shared" si="64"/>
        <v>0.8144857296714999</v>
      </c>
      <c r="M685" s="65">
        <f t="shared" si="65"/>
        <v>0.8144857296714999</v>
      </c>
      <c r="N685" s="37" t="s">
        <v>25</v>
      </c>
      <c r="O685" s="37" t="s">
        <v>25</v>
      </c>
      <c r="P685" s="40">
        <v>0</v>
      </c>
      <c r="Q685" s="40">
        <v>0</v>
      </c>
      <c r="R685" s="37" t="s">
        <v>861</v>
      </c>
      <c r="S685" s="37"/>
    </row>
    <row r="686" spans="1:19" x14ac:dyDescent="0.3">
      <c r="A686" s="41">
        <v>217</v>
      </c>
      <c r="B686" s="37" t="s">
        <v>840</v>
      </c>
      <c r="C686" s="37" t="s">
        <v>251</v>
      </c>
      <c r="D686" s="37" t="s">
        <v>73</v>
      </c>
      <c r="E686" s="37" t="s">
        <v>22</v>
      </c>
      <c r="F686" s="42">
        <v>45260</v>
      </c>
      <c r="G686" s="37">
        <v>2023</v>
      </c>
      <c r="H686" s="37" t="s">
        <v>91</v>
      </c>
      <c r="I686" s="39" t="s">
        <v>32</v>
      </c>
      <c r="J686" s="37">
        <v>20</v>
      </c>
      <c r="K686" s="56">
        <v>12.737618000775999</v>
      </c>
      <c r="L686" s="65">
        <f t="shared" si="64"/>
        <v>0.63688090003879994</v>
      </c>
      <c r="M686" s="65">
        <f t="shared" si="65"/>
        <v>0.63688090003879994</v>
      </c>
      <c r="N686" s="37" t="s">
        <v>25</v>
      </c>
      <c r="O686" s="37" t="s">
        <v>25</v>
      </c>
      <c r="P686" s="40">
        <v>0</v>
      </c>
      <c r="Q686" s="40">
        <v>0</v>
      </c>
      <c r="R686" s="37" t="s">
        <v>862</v>
      </c>
      <c r="S686" s="37"/>
    </row>
    <row r="687" spans="1:19" x14ac:dyDescent="0.3">
      <c r="A687" s="41">
        <v>217</v>
      </c>
      <c r="B687" s="37" t="s">
        <v>840</v>
      </c>
      <c r="C687" s="37" t="s">
        <v>251</v>
      </c>
      <c r="D687" s="37" t="s">
        <v>73</v>
      </c>
      <c r="E687" s="37" t="s">
        <v>22</v>
      </c>
      <c r="F687" s="42">
        <v>45291</v>
      </c>
      <c r="G687" s="37">
        <v>2023</v>
      </c>
      <c r="H687" s="37" t="s">
        <v>27</v>
      </c>
      <c r="I687" s="39" t="s">
        <v>32</v>
      </c>
      <c r="J687" s="37">
        <v>20</v>
      </c>
      <c r="K687" s="56">
        <v>26.540319967693002</v>
      </c>
      <c r="L687" s="65">
        <f t="shared" si="64"/>
        <v>1.3</v>
      </c>
      <c r="M687" s="65">
        <f t="shared" si="65"/>
        <v>1.3270159983846501</v>
      </c>
      <c r="N687" s="37" t="s">
        <v>25</v>
      </c>
      <c r="O687" s="37" t="s">
        <v>25</v>
      </c>
      <c r="P687" s="40">
        <v>0</v>
      </c>
      <c r="Q687" s="40">
        <v>0</v>
      </c>
      <c r="R687" s="37" t="s">
        <v>863</v>
      </c>
      <c r="S687" s="37"/>
    </row>
    <row r="688" spans="1:19" x14ac:dyDescent="0.3">
      <c r="A688" s="36">
        <v>217</v>
      </c>
      <c r="B688" s="37" t="s">
        <v>840</v>
      </c>
      <c r="C688" s="37" t="s">
        <v>251</v>
      </c>
      <c r="D688" s="37" t="s">
        <v>73</v>
      </c>
      <c r="E688" s="37" t="s">
        <v>22</v>
      </c>
      <c r="F688" s="42">
        <v>45322</v>
      </c>
      <c r="G688" s="37">
        <v>2024</v>
      </c>
      <c r="H688" s="37" t="s">
        <v>74</v>
      </c>
      <c r="I688" s="39" t="s">
        <v>34</v>
      </c>
      <c r="J688" s="37">
        <v>20</v>
      </c>
      <c r="K688" s="56">
        <v>53.86</v>
      </c>
      <c r="L688" s="65">
        <f t="shared" si="64"/>
        <v>1.3</v>
      </c>
      <c r="M688" s="65">
        <f t="shared" si="65"/>
        <v>2.6930000000000001</v>
      </c>
      <c r="N688" s="37" t="s">
        <v>25</v>
      </c>
      <c r="O688" s="37" t="s">
        <v>25</v>
      </c>
      <c r="P688" s="40">
        <v>0</v>
      </c>
      <c r="Q688" s="40">
        <v>0</v>
      </c>
      <c r="R688" s="37" t="s">
        <v>864</v>
      </c>
      <c r="S688" s="37"/>
    </row>
    <row r="689" spans="1:19" x14ac:dyDescent="0.3">
      <c r="A689" s="36">
        <v>217</v>
      </c>
      <c r="B689" s="37" t="s">
        <v>840</v>
      </c>
      <c r="C689" s="37" t="s">
        <v>251</v>
      </c>
      <c r="D689" s="37" t="s">
        <v>73</v>
      </c>
      <c r="E689" s="37" t="s">
        <v>22</v>
      </c>
      <c r="F689" s="42">
        <v>45351</v>
      </c>
      <c r="G689" s="37">
        <v>2024</v>
      </c>
      <c r="H689" s="37" t="s">
        <v>76</v>
      </c>
      <c r="I689" s="39" t="s">
        <v>34</v>
      </c>
      <c r="J689" s="37">
        <v>20</v>
      </c>
      <c r="K689" s="37">
        <v>18.72</v>
      </c>
      <c r="L689" s="65">
        <f t="shared" si="64"/>
        <v>0.93599999999999994</v>
      </c>
      <c r="M689" s="65">
        <f t="shared" si="65"/>
        <v>0.93599999999999994</v>
      </c>
      <c r="N689" s="37" t="s">
        <v>25</v>
      </c>
      <c r="O689" s="37" t="s">
        <v>25</v>
      </c>
      <c r="P689" s="40">
        <v>0</v>
      </c>
      <c r="Q689" s="40">
        <v>1</v>
      </c>
      <c r="R689" s="37" t="s">
        <v>865</v>
      </c>
      <c r="S689" s="37"/>
    </row>
    <row r="690" spans="1:19" x14ac:dyDescent="0.3">
      <c r="A690" s="36">
        <v>217</v>
      </c>
      <c r="B690" s="37" t="s">
        <v>840</v>
      </c>
      <c r="C690" s="37" t="s">
        <v>251</v>
      </c>
      <c r="D690" s="37" t="s">
        <v>73</v>
      </c>
      <c r="E690" s="37" t="s">
        <v>22</v>
      </c>
      <c r="F690" s="42">
        <v>45382</v>
      </c>
      <c r="G690" s="37">
        <v>2024</v>
      </c>
      <c r="H690" s="37" t="s">
        <v>40</v>
      </c>
      <c r="I690" s="39" t="s">
        <v>34</v>
      </c>
      <c r="J690" s="37">
        <v>20</v>
      </c>
      <c r="K690" s="37">
        <v>18.39</v>
      </c>
      <c r="L690" s="65">
        <f t="shared" si="64"/>
        <v>0.91949999999999998</v>
      </c>
      <c r="M690" s="65">
        <f t="shared" si="65"/>
        <v>0.91949999999999998</v>
      </c>
      <c r="N690" s="37" t="s">
        <v>25</v>
      </c>
      <c r="O690" s="37" t="s">
        <v>25</v>
      </c>
      <c r="P690" s="40">
        <v>0</v>
      </c>
      <c r="Q690" s="40">
        <v>1</v>
      </c>
      <c r="R690" s="37" t="s">
        <v>866</v>
      </c>
      <c r="S690" s="37"/>
    </row>
    <row r="691" spans="1:19" x14ac:dyDescent="0.3">
      <c r="A691" s="36">
        <v>217</v>
      </c>
      <c r="B691" s="37" t="s">
        <v>840</v>
      </c>
      <c r="C691" s="37" t="s">
        <v>251</v>
      </c>
      <c r="D691" s="37" t="s">
        <v>73</v>
      </c>
      <c r="E691" s="37" t="s">
        <v>22</v>
      </c>
      <c r="F691" s="42">
        <v>45412</v>
      </c>
      <c r="G691" s="37">
        <v>2024</v>
      </c>
      <c r="H691" s="37" t="s">
        <v>79</v>
      </c>
      <c r="I691" s="39" t="s">
        <v>34</v>
      </c>
      <c r="J691" s="37">
        <v>20</v>
      </c>
      <c r="K691" s="56">
        <v>18.600000000000001</v>
      </c>
      <c r="L691" s="65">
        <f t="shared" si="64"/>
        <v>0.93</v>
      </c>
      <c r="M691" s="65">
        <f t="shared" si="65"/>
        <v>0.93</v>
      </c>
      <c r="N691" s="37" t="s">
        <v>25</v>
      </c>
      <c r="O691" s="37" t="s">
        <v>25</v>
      </c>
      <c r="P691" s="40">
        <v>0</v>
      </c>
      <c r="Q691" s="40">
        <v>1</v>
      </c>
      <c r="R691" s="37" t="s">
        <v>867</v>
      </c>
      <c r="S691" s="37"/>
    </row>
    <row r="692" spans="1:19" x14ac:dyDescent="0.3">
      <c r="A692" s="36">
        <v>217</v>
      </c>
      <c r="B692" s="37" t="s">
        <v>840</v>
      </c>
      <c r="C692" s="37" t="s">
        <v>251</v>
      </c>
      <c r="D692" s="37" t="s">
        <v>73</v>
      </c>
      <c r="E692" s="37" t="s">
        <v>22</v>
      </c>
      <c r="F692" s="42">
        <v>45443</v>
      </c>
      <c r="G692" s="37">
        <v>2024</v>
      </c>
      <c r="H692" s="37" t="s">
        <v>81</v>
      </c>
      <c r="I692" s="39" t="s">
        <v>34</v>
      </c>
      <c r="J692" s="37">
        <v>20</v>
      </c>
      <c r="K692" s="37">
        <v>28.11</v>
      </c>
      <c r="L692" s="65">
        <f t="shared" si="64"/>
        <v>1.3</v>
      </c>
      <c r="M692" s="65">
        <f t="shared" si="65"/>
        <v>1.4055</v>
      </c>
      <c r="N692" s="37" t="s">
        <v>25</v>
      </c>
      <c r="O692" s="37" t="s">
        <v>25</v>
      </c>
      <c r="P692" s="40">
        <v>0</v>
      </c>
      <c r="Q692" s="40">
        <v>1</v>
      </c>
      <c r="R692" s="37" t="s">
        <v>868</v>
      </c>
      <c r="S692" s="37"/>
    </row>
    <row r="693" spans="1:19" x14ac:dyDescent="0.3">
      <c r="A693" s="36">
        <v>217</v>
      </c>
      <c r="B693" s="37" t="s">
        <v>840</v>
      </c>
      <c r="C693" s="37" t="s">
        <v>251</v>
      </c>
      <c r="D693" s="37" t="s">
        <v>73</v>
      </c>
      <c r="E693" s="37" t="s">
        <v>22</v>
      </c>
      <c r="F693" s="42">
        <v>45473</v>
      </c>
      <c r="G693" s="37">
        <v>2024</v>
      </c>
      <c r="H693" s="37" t="s">
        <v>23</v>
      </c>
      <c r="I693" s="39" t="s">
        <v>34</v>
      </c>
      <c r="J693" s="37">
        <v>20</v>
      </c>
      <c r="K693" s="37">
        <v>17.23</v>
      </c>
      <c r="L693" s="65">
        <f t="shared" si="64"/>
        <v>0.86150000000000004</v>
      </c>
      <c r="M693" s="65">
        <f t="shared" si="65"/>
        <v>0.86150000000000004</v>
      </c>
      <c r="N693" s="37" t="s">
        <v>25</v>
      </c>
      <c r="O693" s="37" t="s">
        <v>25</v>
      </c>
      <c r="P693" s="40">
        <v>0</v>
      </c>
      <c r="Q693" s="40">
        <v>1</v>
      </c>
      <c r="R693" s="37" t="s">
        <v>869</v>
      </c>
      <c r="S693" s="37"/>
    </row>
    <row r="694" spans="1:19" x14ac:dyDescent="0.3">
      <c r="A694" s="36">
        <v>217</v>
      </c>
      <c r="B694" s="37" t="s">
        <v>840</v>
      </c>
      <c r="C694" s="37" t="s">
        <v>251</v>
      </c>
      <c r="D694" s="37" t="s">
        <v>73</v>
      </c>
      <c r="E694" s="37" t="s">
        <v>22</v>
      </c>
      <c r="F694" s="42">
        <v>45504</v>
      </c>
      <c r="G694" s="37">
        <v>2024</v>
      </c>
      <c r="H694" s="37" t="s">
        <v>84</v>
      </c>
      <c r="I694" s="39" t="s">
        <v>36</v>
      </c>
      <c r="J694" s="37">
        <v>20</v>
      </c>
      <c r="K694" s="37">
        <v>27.77</v>
      </c>
      <c r="L694" s="65">
        <f t="shared" si="64"/>
        <v>1.3</v>
      </c>
      <c r="M694" s="65">
        <f t="shared" si="65"/>
        <v>1.3885000000000001</v>
      </c>
      <c r="N694" s="37" t="s">
        <v>25</v>
      </c>
      <c r="O694" s="37" t="s">
        <v>25</v>
      </c>
      <c r="P694" s="40">
        <v>0</v>
      </c>
      <c r="Q694" s="40">
        <v>1</v>
      </c>
      <c r="R694" s="37" t="s">
        <v>870</v>
      </c>
      <c r="S694" s="37"/>
    </row>
    <row r="695" spans="1:19" x14ac:dyDescent="0.3">
      <c r="A695" s="36">
        <v>217</v>
      </c>
      <c r="B695" s="37" t="s">
        <v>840</v>
      </c>
      <c r="C695" s="37" t="s">
        <v>251</v>
      </c>
      <c r="D695" s="37" t="s">
        <v>73</v>
      </c>
      <c r="E695" s="37" t="s">
        <v>22</v>
      </c>
      <c r="F695" s="42">
        <v>45535</v>
      </c>
      <c r="G695" s="37">
        <v>2024</v>
      </c>
      <c r="H695" s="37" t="s">
        <v>86</v>
      </c>
      <c r="I695" s="39" t="s">
        <v>36</v>
      </c>
      <c r="J695" s="37">
        <v>20</v>
      </c>
      <c r="K695" s="37">
        <v>23.96</v>
      </c>
      <c r="L695" s="65">
        <f t="shared" si="64"/>
        <v>1.198</v>
      </c>
      <c r="M695" s="65">
        <f t="shared" si="65"/>
        <v>1.198</v>
      </c>
      <c r="N695" s="37" t="s">
        <v>25</v>
      </c>
      <c r="O695" s="37" t="s">
        <v>25</v>
      </c>
      <c r="P695" s="40">
        <v>0</v>
      </c>
      <c r="Q695" s="40">
        <v>1</v>
      </c>
      <c r="R695" s="37" t="s">
        <v>871</v>
      </c>
      <c r="S695" s="37"/>
    </row>
    <row r="696" spans="1:19" x14ac:dyDescent="0.3">
      <c r="A696" s="36">
        <v>217</v>
      </c>
      <c r="B696" s="37" t="s">
        <v>840</v>
      </c>
      <c r="C696" s="37" t="s">
        <v>251</v>
      </c>
      <c r="D696" s="37" t="s">
        <v>73</v>
      </c>
      <c r="E696" s="37" t="s">
        <v>22</v>
      </c>
      <c r="F696" s="42">
        <v>45565</v>
      </c>
      <c r="G696" s="37">
        <v>2024</v>
      </c>
      <c r="H696" s="37" t="s">
        <v>43</v>
      </c>
      <c r="I696" s="39" t="s">
        <v>36</v>
      </c>
      <c r="J696" s="37">
        <v>20</v>
      </c>
      <c r="K696" s="37">
        <v>16.13</v>
      </c>
      <c r="L696" s="65">
        <f t="shared" si="64"/>
        <v>0.80649999999999999</v>
      </c>
      <c r="M696" s="65">
        <f t="shared" si="65"/>
        <v>0.80649999999999999</v>
      </c>
      <c r="N696" s="37" t="s">
        <v>25</v>
      </c>
      <c r="O696" s="37" t="s">
        <v>25</v>
      </c>
      <c r="P696" s="40">
        <v>0</v>
      </c>
      <c r="Q696" s="40">
        <v>1</v>
      </c>
      <c r="R696" s="37" t="s">
        <v>872</v>
      </c>
      <c r="S696" s="37"/>
    </row>
    <row r="697" spans="1:19" x14ac:dyDescent="0.3">
      <c r="A697" s="41">
        <v>217</v>
      </c>
      <c r="B697" s="37" t="s">
        <v>840</v>
      </c>
      <c r="C697" s="37" t="s">
        <v>251</v>
      </c>
      <c r="D697" s="37" t="s">
        <v>73</v>
      </c>
      <c r="E697" s="37" t="s">
        <v>22</v>
      </c>
      <c r="F697" s="42">
        <v>45596</v>
      </c>
      <c r="G697" s="37">
        <v>2024</v>
      </c>
      <c r="H697" s="37" t="s">
        <v>89</v>
      </c>
      <c r="I697" s="39" t="s">
        <v>36</v>
      </c>
      <c r="J697" s="37">
        <v>20</v>
      </c>
      <c r="K697" s="37">
        <v>34.47</v>
      </c>
      <c r="L697" s="65">
        <f t="shared" si="64"/>
        <v>1.3</v>
      </c>
      <c r="M697" s="65">
        <f t="shared" si="65"/>
        <v>1.7235</v>
      </c>
      <c r="N697" s="37" t="s">
        <v>25</v>
      </c>
      <c r="O697" s="37" t="s">
        <v>25</v>
      </c>
      <c r="P697" s="40">
        <v>0</v>
      </c>
      <c r="Q697" s="40">
        <v>1</v>
      </c>
      <c r="R697" s="37" t="s">
        <v>873</v>
      </c>
      <c r="S697" s="37"/>
    </row>
    <row r="698" spans="1:19" x14ac:dyDescent="0.3">
      <c r="A698" s="41">
        <v>217</v>
      </c>
      <c r="B698" s="37" t="s">
        <v>840</v>
      </c>
      <c r="C698" s="37" t="s">
        <v>251</v>
      </c>
      <c r="D698" s="37" t="s">
        <v>73</v>
      </c>
      <c r="E698" s="37" t="s">
        <v>22</v>
      </c>
      <c r="F698" s="42">
        <v>45626</v>
      </c>
      <c r="G698" s="37">
        <v>2024</v>
      </c>
      <c r="H698" s="37" t="s">
        <v>91</v>
      </c>
      <c r="I698" s="39" t="s">
        <v>36</v>
      </c>
      <c r="J698" s="37">
        <v>20</v>
      </c>
      <c r="K698" s="37">
        <v>19.612750510884609</v>
      </c>
      <c r="L698" s="65">
        <f t="shared" si="64"/>
        <v>0.98063752554423045</v>
      </c>
      <c r="M698" s="65">
        <f t="shared" si="65"/>
        <v>0.98063752554423045</v>
      </c>
      <c r="N698" s="37" t="s">
        <v>25</v>
      </c>
      <c r="O698" s="37" t="s">
        <v>25</v>
      </c>
      <c r="P698" s="40">
        <v>0</v>
      </c>
      <c r="Q698" s="40">
        <v>1</v>
      </c>
      <c r="R698" s="37" t="s">
        <v>874</v>
      </c>
      <c r="S698" s="37"/>
    </row>
    <row r="699" spans="1:19" x14ac:dyDescent="0.3">
      <c r="A699" s="41">
        <v>217</v>
      </c>
      <c r="B699" s="37" t="s">
        <v>840</v>
      </c>
      <c r="C699" s="37" t="s">
        <v>251</v>
      </c>
      <c r="D699" s="37" t="s">
        <v>73</v>
      </c>
      <c r="E699" s="37" t="s">
        <v>22</v>
      </c>
      <c r="F699" s="42">
        <v>45657</v>
      </c>
      <c r="G699" s="37">
        <v>2024</v>
      </c>
      <c r="H699" s="37" t="s">
        <v>27</v>
      </c>
      <c r="I699" s="39" t="s">
        <v>36</v>
      </c>
      <c r="J699" s="37">
        <v>20</v>
      </c>
      <c r="K699" s="37">
        <v>27.05</v>
      </c>
      <c r="L699" s="65">
        <f t="shared" si="64"/>
        <v>1.3</v>
      </c>
      <c r="M699" s="65">
        <f t="shared" si="65"/>
        <v>1.3525</v>
      </c>
      <c r="N699" s="37" t="s">
        <v>25</v>
      </c>
      <c r="O699" s="37" t="s">
        <v>25</v>
      </c>
      <c r="P699" s="40">
        <v>0</v>
      </c>
      <c r="Q699" s="40">
        <v>1</v>
      </c>
      <c r="R699" s="37" t="s">
        <v>875</v>
      </c>
      <c r="S699" s="37"/>
    </row>
    <row r="700" spans="1:19" x14ac:dyDescent="0.3">
      <c r="A700" s="37">
        <v>218</v>
      </c>
      <c r="B700" s="37" t="s">
        <v>888</v>
      </c>
      <c r="C700" s="37" t="s">
        <v>251</v>
      </c>
      <c r="D700" s="37" t="s">
        <v>73</v>
      </c>
      <c r="E700" s="37" t="s">
        <v>56</v>
      </c>
      <c r="F700" s="42">
        <v>44592</v>
      </c>
      <c r="G700" s="37">
        <v>2022</v>
      </c>
      <c r="H700" s="37" t="s">
        <v>74</v>
      </c>
      <c r="I700" s="37" t="s">
        <v>24</v>
      </c>
      <c r="J700" s="37">
        <v>172000</v>
      </c>
      <c r="K700" s="37">
        <v>77569</v>
      </c>
      <c r="L700" s="65">
        <f t="shared" ref="L700:L731" si="66">IFERROR(IF(OR(J700=0,K700=""),"",IF(E700="Positivo",MIN(MAX(K700/J700,0),1),MIN(MAX(J700/K700,0),1))),"")</f>
        <v>1</v>
      </c>
      <c r="M700" s="65">
        <f t="shared" ref="M700:M731" si="67">IFERROR(IF(OR(J700=0,K700=""),"",IF(E700="Positivo",MIN(MAX(K700/J700,0),1),MIN(MAX(J700/K700,0),1))),"")</f>
        <v>1</v>
      </c>
      <c r="N700" s="37" t="s">
        <v>889</v>
      </c>
      <c r="O700" s="37" t="s">
        <v>889</v>
      </c>
      <c r="P700" s="37">
        <v>0</v>
      </c>
      <c r="Q700" s="37">
        <v>0</v>
      </c>
      <c r="R700" s="37" t="s">
        <v>890</v>
      </c>
      <c r="S700" s="37"/>
    </row>
    <row r="701" spans="1:19" x14ac:dyDescent="0.3">
      <c r="A701" s="37">
        <v>218</v>
      </c>
      <c r="B701" s="37" t="s">
        <v>888</v>
      </c>
      <c r="C701" s="37" t="s">
        <v>251</v>
      </c>
      <c r="D701" s="37" t="s">
        <v>73</v>
      </c>
      <c r="E701" s="37" t="s">
        <v>56</v>
      </c>
      <c r="F701" s="42">
        <v>44620</v>
      </c>
      <c r="G701" s="37">
        <v>2022</v>
      </c>
      <c r="H701" s="37" t="s">
        <v>76</v>
      </c>
      <c r="I701" s="37" t="s">
        <v>24</v>
      </c>
      <c r="J701" s="37">
        <v>172000</v>
      </c>
      <c r="K701" s="37">
        <v>88546</v>
      </c>
      <c r="L701" s="65">
        <f t="shared" si="66"/>
        <v>1</v>
      </c>
      <c r="M701" s="65">
        <f t="shared" si="67"/>
        <v>1</v>
      </c>
      <c r="N701" s="37" t="s">
        <v>889</v>
      </c>
      <c r="O701" s="37" t="s">
        <v>889</v>
      </c>
      <c r="P701" s="37">
        <v>0</v>
      </c>
      <c r="Q701" s="37">
        <v>0</v>
      </c>
      <c r="R701" s="37" t="s">
        <v>891</v>
      </c>
      <c r="S701" s="37"/>
    </row>
    <row r="702" spans="1:19" x14ac:dyDescent="0.3">
      <c r="A702" s="37">
        <v>218</v>
      </c>
      <c r="B702" s="37" t="s">
        <v>888</v>
      </c>
      <c r="C702" s="37" t="s">
        <v>251</v>
      </c>
      <c r="D702" s="37" t="s">
        <v>73</v>
      </c>
      <c r="E702" s="37" t="s">
        <v>56</v>
      </c>
      <c r="F702" s="42">
        <v>44651</v>
      </c>
      <c r="G702" s="37">
        <v>2022</v>
      </c>
      <c r="H702" s="37" t="s">
        <v>40</v>
      </c>
      <c r="I702" s="37" t="s">
        <v>24</v>
      </c>
      <c r="J702" s="37">
        <v>172000</v>
      </c>
      <c r="K702" s="37">
        <v>110711</v>
      </c>
      <c r="L702" s="65">
        <f t="shared" si="66"/>
        <v>1</v>
      </c>
      <c r="M702" s="65">
        <f t="shared" si="67"/>
        <v>1</v>
      </c>
      <c r="N702" s="37" t="s">
        <v>889</v>
      </c>
      <c r="O702" s="37" t="s">
        <v>889</v>
      </c>
      <c r="P702" s="37">
        <v>0</v>
      </c>
      <c r="Q702" s="37">
        <v>0</v>
      </c>
      <c r="R702" s="37" t="s">
        <v>892</v>
      </c>
      <c r="S702" s="37"/>
    </row>
    <row r="703" spans="1:19" x14ac:dyDescent="0.3">
      <c r="A703" s="37">
        <v>218</v>
      </c>
      <c r="B703" s="37" t="s">
        <v>888</v>
      </c>
      <c r="C703" s="37" t="s">
        <v>251</v>
      </c>
      <c r="D703" s="37" t="s">
        <v>73</v>
      </c>
      <c r="E703" s="37" t="s">
        <v>56</v>
      </c>
      <c r="F703" s="42">
        <v>44681</v>
      </c>
      <c r="G703" s="37">
        <v>2022</v>
      </c>
      <c r="H703" s="37" t="s">
        <v>79</v>
      </c>
      <c r="I703" s="37" t="s">
        <v>24</v>
      </c>
      <c r="J703" s="37">
        <v>172000</v>
      </c>
      <c r="K703" s="37">
        <v>105150</v>
      </c>
      <c r="L703" s="65">
        <f t="shared" si="66"/>
        <v>1</v>
      </c>
      <c r="M703" s="65">
        <f t="shared" si="67"/>
        <v>1</v>
      </c>
      <c r="N703" s="37" t="s">
        <v>889</v>
      </c>
      <c r="O703" s="37" t="s">
        <v>889</v>
      </c>
      <c r="P703" s="37">
        <v>0</v>
      </c>
      <c r="Q703" s="37">
        <v>0</v>
      </c>
      <c r="R703" s="37" t="s">
        <v>893</v>
      </c>
      <c r="S703" s="37"/>
    </row>
    <row r="704" spans="1:19" x14ac:dyDescent="0.3">
      <c r="A704" s="37">
        <v>218</v>
      </c>
      <c r="B704" s="37" t="s">
        <v>888</v>
      </c>
      <c r="C704" s="37" t="s">
        <v>251</v>
      </c>
      <c r="D704" s="37" t="s">
        <v>73</v>
      </c>
      <c r="E704" s="37" t="s">
        <v>56</v>
      </c>
      <c r="F704" s="42">
        <v>44712</v>
      </c>
      <c r="G704" s="37">
        <v>2022</v>
      </c>
      <c r="H704" s="37" t="s">
        <v>81</v>
      </c>
      <c r="I704" s="37" t="s">
        <v>24</v>
      </c>
      <c r="J704" s="37">
        <v>172000</v>
      </c>
      <c r="K704" s="37">
        <v>110816</v>
      </c>
      <c r="L704" s="65">
        <f t="shared" si="66"/>
        <v>1</v>
      </c>
      <c r="M704" s="65">
        <f t="shared" si="67"/>
        <v>1</v>
      </c>
      <c r="N704" s="37" t="s">
        <v>889</v>
      </c>
      <c r="O704" s="37" t="s">
        <v>889</v>
      </c>
      <c r="P704" s="37">
        <v>0</v>
      </c>
      <c r="Q704" s="37">
        <v>0</v>
      </c>
      <c r="R704" s="37" t="s">
        <v>894</v>
      </c>
      <c r="S704" s="37"/>
    </row>
    <row r="705" spans="1:19" x14ac:dyDescent="0.3">
      <c r="A705" s="37">
        <v>218</v>
      </c>
      <c r="B705" s="37" t="s">
        <v>888</v>
      </c>
      <c r="C705" s="37" t="s">
        <v>251</v>
      </c>
      <c r="D705" s="37" t="s">
        <v>73</v>
      </c>
      <c r="E705" s="37" t="s">
        <v>56</v>
      </c>
      <c r="F705" s="42">
        <v>44742</v>
      </c>
      <c r="G705" s="37">
        <v>2022</v>
      </c>
      <c r="H705" s="37" t="s">
        <v>23</v>
      </c>
      <c r="I705" s="37" t="s">
        <v>24</v>
      </c>
      <c r="J705" s="37">
        <v>172000</v>
      </c>
      <c r="K705" s="37">
        <v>98441</v>
      </c>
      <c r="L705" s="65">
        <f t="shared" si="66"/>
        <v>1</v>
      </c>
      <c r="M705" s="65">
        <f t="shared" si="67"/>
        <v>1</v>
      </c>
      <c r="N705" s="37" t="s">
        <v>889</v>
      </c>
      <c r="O705" s="37" t="s">
        <v>889</v>
      </c>
      <c r="P705" s="37">
        <v>0</v>
      </c>
      <c r="Q705" s="37">
        <v>0</v>
      </c>
      <c r="R705" s="37" t="s">
        <v>895</v>
      </c>
      <c r="S705" s="37"/>
    </row>
    <row r="706" spans="1:19" x14ac:dyDescent="0.3">
      <c r="A706" s="37">
        <v>218</v>
      </c>
      <c r="B706" s="37" t="s">
        <v>888</v>
      </c>
      <c r="C706" s="37" t="s">
        <v>251</v>
      </c>
      <c r="D706" s="37" t="s">
        <v>73</v>
      </c>
      <c r="E706" s="37" t="s">
        <v>56</v>
      </c>
      <c r="F706" s="42">
        <v>44773</v>
      </c>
      <c r="G706" s="37">
        <v>2022</v>
      </c>
      <c r="H706" s="37" t="s">
        <v>84</v>
      </c>
      <c r="I706" s="37" t="s">
        <v>28</v>
      </c>
      <c r="J706" s="37">
        <v>172000</v>
      </c>
      <c r="K706" s="37">
        <v>79975</v>
      </c>
      <c r="L706" s="65">
        <f t="shared" si="66"/>
        <v>1</v>
      </c>
      <c r="M706" s="65">
        <f t="shared" si="67"/>
        <v>1</v>
      </c>
      <c r="N706" s="37" t="s">
        <v>889</v>
      </c>
      <c r="O706" s="37" t="s">
        <v>889</v>
      </c>
      <c r="P706" s="37">
        <v>0</v>
      </c>
      <c r="Q706" s="37">
        <v>0</v>
      </c>
      <c r="R706" s="37" t="s">
        <v>896</v>
      </c>
      <c r="S706" s="37"/>
    </row>
    <row r="707" spans="1:19" x14ac:dyDescent="0.3">
      <c r="A707" s="37">
        <v>218</v>
      </c>
      <c r="B707" s="37" t="s">
        <v>888</v>
      </c>
      <c r="C707" s="37" t="s">
        <v>251</v>
      </c>
      <c r="D707" s="37" t="s">
        <v>73</v>
      </c>
      <c r="E707" s="37" t="s">
        <v>56</v>
      </c>
      <c r="F707" s="42">
        <v>44804</v>
      </c>
      <c r="G707" s="37">
        <v>2022</v>
      </c>
      <c r="H707" s="37" t="s">
        <v>86</v>
      </c>
      <c r="I707" s="37" t="s">
        <v>28</v>
      </c>
      <c r="J707" s="37">
        <v>172000</v>
      </c>
      <c r="K707" s="37">
        <v>173574</v>
      </c>
      <c r="L707" s="65">
        <f t="shared" si="66"/>
        <v>0.99093182158618232</v>
      </c>
      <c r="M707" s="65">
        <f t="shared" si="67"/>
        <v>0.99093182158618232</v>
      </c>
      <c r="N707" s="37" t="s">
        <v>889</v>
      </c>
      <c r="O707" s="37" t="s">
        <v>889</v>
      </c>
      <c r="P707" s="37">
        <v>0</v>
      </c>
      <c r="Q707" s="37">
        <v>0</v>
      </c>
      <c r="R707" s="37" t="s">
        <v>897</v>
      </c>
      <c r="S707" s="37"/>
    </row>
    <row r="708" spans="1:19" x14ac:dyDescent="0.3">
      <c r="A708" s="37">
        <v>218</v>
      </c>
      <c r="B708" s="37" t="s">
        <v>888</v>
      </c>
      <c r="C708" s="37" t="s">
        <v>251</v>
      </c>
      <c r="D708" s="37" t="s">
        <v>73</v>
      </c>
      <c r="E708" s="37" t="s">
        <v>56</v>
      </c>
      <c r="F708" s="42">
        <v>44834</v>
      </c>
      <c r="G708" s="37">
        <v>2022</v>
      </c>
      <c r="H708" s="37" t="s">
        <v>43</v>
      </c>
      <c r="I708" s="37" t="s">
        <v>28</v>
      </c>
      <c r="J708" s="37">
        <v>172000</v>
      </c>
      <c r="K708" s="37">
        <v>157375</v>
      </c>
      <c r="L708" s="65">
        <f t="shared" si="66"/>
        <v>1</v>
      </c>
      <c r="M708" s="65">
        <f t="shared" si="67"/>
        <v>1</v>
      </c>
      <c r="N708" s="37" t="s">
        <v>889</v>
      </c>
      <c r="O708" s="37" t="s">
        <v>889</v>
      </c>
      <c r="P708" s="37">
        <v>0</v>
      </c>
      <c r="Q708" s="37">
        <v>0</v>
      </c>
      <c r="R708" s="37" t="s">
        <v>898</v>
      </c>
      <c r="S708" s="37"/>
    </row>
    <row r="709" spans="1:19" x14ac:dyDescent="0.3">
      <c r="A709" s="37">
        <v>218</v>
      </c>
      <c r="B709" s="37" t="s">
        <v>888</v>
      </c>
      <c r="C709" s="37" t="s">
        <v>251</v>
      </c>
      <c r="D709" s="37" t="s">
        <v>73</v>
      </c>
      <c r="E709" s="37" t="s">
        <v>56</v>
      </c>
      <c r="F709" s="42">
        <v>44865</v>
      </c>
      <c r="G709" s="37">
        <v>2022</v>
      </c>
      <c r="H709" s="37" t="s">
        <v>89</v>
      </c>
      <c r="I709" s="37" t="s">
        <v>28</v>
      </c>
      <c r="J709" s="37">
        <v>172000</v>
      </c>
      <c r="K709" s="37">
        <v>149257</v>
      </c>
      <c r="L709" s="65">
        <f t="shared" si="66"/>
        <v>1</v>
      </c>
      <c r="M709" s="65">
        <f t="shared" si="67"/>
        <v>1</v>
      </c>
      <c r="N709" s="37" t="s">
        <v>889</v>
      </c>
      <c r="O709" s="37" t="s">
        <v>889</v>
      </c>
      <c r="P709" s="37">
        <v>0</v>
      </c>
      <c r="Q709" s="37">
        <v>0</v>
      </c>
      <c r="R709" s="37" t="s">
        <v>899</v>
      </c>
      <c r="S709" s="37"/>
    </row>
    <row r="710" spans="1:19" x14ac:dyDescent="0.3">
      <c r="A710" s="37">
        <v>218</v>
      </c>
      <c r="B710" s="37" t="s">
        <v>888</v>
      </c>
      <c r="C710" s="37" t="s">
        <v>251</v>
      </c>
      <c r="D710" s="37" t="s">
        <v>73</v>
      </c>
      <c r="E710" s="37" t="s">
        <v>56</v>
      </c>
      <c r="F710" s="42">
        <v>44895</v>
      </c>
      <c r="G710" s="37">
        <v>2022</v>
      </c>
      <c r="H710" s="37" t="s">
        <v>91</v>
      </c>
      <c r="I710" s="37" t="s">
        <v>28</v>
      </c>
      <c r="J710" s="37">
        <v>172000</v>
      </c>
      <c r="K710" s="37">
        <v>144214</v>
      </c>
      <c r="L710" s="65">
        <f t="shared" si="66"/>
        <v>1</v>
      </c>
      <c r="M710" s="65">
        <f t="shared" si="67"/>
        <v>1</v>
      </c>
      <c r="N710" s="37" t="s">
        <v>889</v>
      </c>
      <c r="O710" s="37" t="s">
        <v>889</v>
      </c>
      <c r="P710" s="37">
        <v>0</v>
      </c>
      <c r="Q710" s="37">
        <v>0</v>
      </c>
      <c r="R710" s="37" t="s">
        <v>900</v>
      </c>
      <c r="S710" s="37"/>
    </row>
    <row r="711" spans="1:19" x14ac:dyDescent="0.3">
      <c r="A711" s="37">
        <v>218</v>
      </c>
      <c r="B711" s="37" t="s">
        <v>888</v>
      </c>
      <c r="C711" s="37" t="s">
        <v>251</v>
      </c>
      <c r="D711" s="37" t="s">
        <v>73</v>
      </c>
      <c r="E711" s="37" t="s">
        <v>56</v>
      </c>
      <c r="F711" s="42">
        <v>44926</v>
      </c>
      <c r="G711" s="37">
        <v>2022</v>
      </c>
      <c r="H711" s="37" t="s">
        <v>27</v>
      </c>
      <c r="I711" s="37" t="s">
        <v>28</v>
      </c>
      <c r="J711" s="37">
        <v>172000</v>
      </c>
      <c r="K711" s="37">
        <v>125564</v>
      </c>
      <c r="L711" s="65">
        <f t="shared" si="66"/>
        <v>1</v>
      </c>
      <c r="M711" s="65">
        <f t="shared" si="67"/>
        <v>1</v>
      </c>
      <c r="N711" s="37" t="s">
        <v>889</v>
      </c>
      <c r="O711" s="37" t="s">
        <v>889</v>
      </c>
      <c r="P711" s="37">
        <v>0</v>
      </c>
      <c r="Q711" s="37">
        <v>0</v>
      </c>
      <c r="R711" s="37" t="s">
        <v>901</v>
      </c>
      <c r="S711" s="37"/>
    </row>
    <row r="712" spans="1:19" x14ac:dyDescent="0.3">
      <c r="A712" s="36">
        <v>218</v>
      </c>
      <c r="B712" s="37" t="s">
        <v>888</v>
      </c>
      <c r="C712" s="37" t="s">
        <v>251</v>
      </c>
      <c r="D712" s="37" t="s">
        <v>73</v>
      </c>
      <c r="E712" s="37" t="s">
        <v>56</v>
      </c>
      <c r="F712" s="42">
        <v>44957</v>
      </c>
      <c r="G712" s="37">
        <v>2023</v>
      </c>
      <c r="H712" s="37" t="s">
        <v>74</v>
      </c>
      <c r="I712" s="39" t="s">
        <v>30</v>
      </c>
      <c r="J712" s="37">
        <v>172000</v>
      </c>
      <c r="K712" s="56">
        <v>120858</v>
      </c>
      <c r="L712" s="65">
        <f t="shared" si="66"/>
        <v>1</v>
      </c>
      <c r="M712" s="65">
        <f t="shared" si="67"/>
        <v>1</v>
      </c>
      <c r="N712" s="37" t="s">
        <v>889</v>
      </c>
      <c r="O712" s="37" t="s">
        <v>889</v>
      </c>
      <c r="P712" s="40">
        <v>0</v>
      </c>
      <c r="Q712" s="40">
        <v>1</v>
      </c>
      <c r="R712" s="37" t="s">
        <v>902</v>
      </c>
      <c r="S712" s="37"/>
    </row>
    <row r="713" spans="1:19" x14ac:dyDescent="0.3">
      <c r="A713" s="36">
        <v>218</v>
      </c>
      <c r="B713" s="37" t="s">
        <v>888</v>
      </c>
      <c r="C713" s="37" t="s">
        <v>251</v>
      </c>
      <c r="D713" s="37" t="s">
        <v>73</v>
      </c>
      <c r="E713" s="37" t="s">
        <v>56</v>
      </c>
      <c r="F713" s="38">
        <v>44985</v>
      </c>
      <c r="G713" s="37">
        <v>2023</v>
      </c>
      <c r="H713" s="37" t="s">
        <v>76</v>
      </c>
      <c r="I713" s="39" t="s">
        <v>30</v>
      </c>
      <c r="J713" s="37">
        <v>172000</v>
      </c>
      <c r="K713" s="56">
        <v>111868</v>
      </c>
      <c r="L713" s="65">
        <f t="shared" si="66"/>
        <v>1</v>
      </c>
      <c r="M713" s="65">
        <f t="shared" si="67"/>
        <v>1</v>
      </c>
      <c r="N713" s="37" t="s">
        <v>889</v>
      </c>
      <c r="O713" s="37" t="s">
        <v>889</v>
      </c>
      <c r="P713" s="40">
        <v>0</v>
      </c>
      <c r="Q713" s="40">
        <v>1</v>
      </c>
      <c r="R713" s="37" t="s">
        <v>903</v>
      </c>
      <c r="S713" s="37"/>
    </row>
    <row r="714" spans="1:19" x14ac:dyDescent="0.3">
      <c r="A714" s="36">
        <v>218</v>
      </c>
      <c r="B714" s="37" t="s">
        <v>888</v>
      </c>
      <c r="C714" s="37" t="s">
        <v>251</v>
      </c>
      <c r="D714" s="37" t="s">
        <v>73</v>
      </c>
      <c r="E714" s="37" t="s">
        <v>56</v>
      </c>
      <c r="F714" s="42">
        <v>45016</v>
      </c>
      <c r="G714" s="37">
        <v>2023</v>
      </c>
      <c r="H714" s="37" t="s">
        <v>40</v>
      </c>
      <c r="I714" s="39" t="s">
        <v>30</v>
      </c>
      <c r="J714" s="37">
        <v>172000</v>
      </c>
      <c r="K714" s="56">
        <v>151441.41</v>
      </c>
      <c r="L714" s="65">
        <f t="shared" si="66"/>
        <v>1</v>
      </c>
      <c r="M714" s="65">
        <f t="shared" si="67"/>
        <v>1</v>
      </c>
      <c r="N714" s="37" t="s">
        <v>889</v>
      </c>
      <c r="O714" s="37" t="s">
        <v>889</v>
      </c>
      <c r="P714" s="40">
        <v>0</v>
      </c>
      <c r="Q714" s="40">
        <v>1</v>
      </c>
      <c r="R714" s="37" t="s">
        <v>904</v>
      </c>
      <c r="S714" s="37"/>
    </row>
    <row r="715" spans="1:19" x14ac:dyDescent="0.3">
      <c r="A715" s="36">
        <v>218</v>
      </c>
      <c r="B715" s="37" t="s">
        <v>888</v>
      </c>
      <c r="C715" s="37" t="s">
        <v>251</v>
      </c>
      <c r="D715" s="37" t="s">
        <v>73</v>
      </c>
      <c r="E715" s="37" t="s">
        <v>56</v>
      </c>
      <c r="F715" s="42">
        <v>45046</v>
      </c>
      <c r="G715" s="37">
        <v>2023</v>
      </c>
      <c r="H715" s="37" t="s">
        <v>79</v>
      </c>
      <c r="I715" s="39" t="s">
        <v>30</v>
      </c>
      <c r="J715" s="37">
        <v>172000</v>
      </c>
      <c r="K715" s="56">
        <v>137079</v>
      </c>
      <c r="L715" s="65">
        <f t="shared" si="66"/>
        <v>1</v>
      </c>
      <c r="M715" s="65">
        <f t="shared" si="67"/>
        <v>1</v>
      </c>
      <c r="N715" s="37" t="s">
        <v>889</v>
      </c>
      <c r="O715" s="37" t="s">
        <v>889</v>
      </c>
      <c r="P715" s="40">
        <v>0</v>
      </c>
      <c r="Q715" s="40">
        <v>1</v>
      </c>
      <c r="R715" s="37" t="s">
        <v>905</v>
      </c>
      <c r="S715" s="37"/>
    </row>
    <row r="716" spans="1:19" x14ac:dyDescent="0.3">
      <c r="A716" s="36">
        <v>218</v>
      </c>
      <c r="B716" s="37" t="s">
        <v>888</v>
      </c>
      <c r="C716" s="37" t="s">
        <v>251</v>
      </c>
      <c r="D716" s="37" t="s">
        <v>73</v>
      </c>
      <c r="E716" s="37" t="s">
        <v>56</v>
      </c>
      <c r="F716" s="42">
        <v>45077</v>
      </c>
      <c r="G716" s="37">
        <v>2023</v>
      </c>
      <c r="H716" s="37" t="s">
        <v>81</v>
      </c>
      <c r="I716" s="39" t="s">
        <v>30</v>
      </c>
      <c r="J716" s="37">
        <v>172000</v>
      </c>
      <c r="K716" s="56">
        <v>147309</v>
      </c>
      <c r="L716" s="65">
        <f t="shared" si="66"/>
        <v>1</v>
      </c>
      <c r="M716" s="65">
        <f t="shared" si="67"/>
        <v>1</v>
      </c>
      <c r="N716" s="37" t="s">
        <v>889</v>
      </c>
      <c r="O716" s="37" t="s">
        <v>889</v>
      </c>
      <c r="P716" s="40">
        <v>0</v>
      </c>
      <c r="Q716" s="40">
        <v>1</v>
      </c>
      <c r="R716" s="37" t="s">
        <v>906</v>
      </c>
      <c r="S716" s="37"/>
    </row>
    <row r="717" spans="1:19" x14ac:dyDescent="0.3">
      <c r="A717" s="36">
        <v>218</v>
      </c>
      <c r="B717" s="37" t="s">
        <v>888</v>
      </c>
      <c r="C717" s="37" t="s">
        <v>251</v>
      </c>
      <c r="D717" s="37" t="s">
        <v>73</v>
      </c>
      <c r="E717" s="37" t="s">
        <v>56</v>
      </c>
      <c r="F717" s="42">
        <v>45107</v>
      </c>
      <c r="G717" s="37">
        <v>2023</v>
      </c>
      <c r="H717" s="37" t="s">
        <v>23</v>
      </c>
      <c r="I717" s="39" t="s">
        <v>30</v>
      </c>
      <c r="J717" s="37">
        <v>172000</v>
      </c>
      <c r="K717" s="56">
        <v>140491</v>
      </c>
      <c r="L717" s="65">
        <f t="shared" si="66"/>
        <v>1</v>
      </c>
      <c r="M717" s="65">
        <f t="shared" si="67"/>
        <v>1</v>
      </c>
      <c r="N717" s="37" t="s">
        <v>889</v>
      </c>
      <c r="O717" s="37" t="s">
        <v>889</v>
      </c>
      <c r="P717" s="40">
        <v>0</v>
      </c>
      <c r="Q717" s="40">
        <v>1</v>
      </c>
      <c r="R717" s="37" t="s">
        <v>907</v>
      </c>
      <c r="S717" s="37"/>
    </row>
    <row r="718" spans="1:19" x14ac:dyDescent="0.3">
      <c r="A718" s="36">
        <v>218</v>
      </c>
      <c r="B718" s="37" t="s">
        <v>888</v>
      </c>
      <c r="C718" s="37" t="s">
        <v>251</v>
      </c>
      <c r="D718" s="37" t="s">
        <v>73</v>
      </c>
      <c r="E718" s="37" t="s">
        <v>56</v>
      </c>
      <c r="F718" s="42">
        <v>45138</v>
      </c>
      <c r="G718" s="37">
        <v>2023</v>
      </c>
      <c r="H718" s="37" t="s">
        <v>84</v>
      </c>
      <c r="I718" s="39" t="s">
        <v>32</v>
      </c>
      <c r="J718" s="37">
        <v>172000</v>
      </c>
      <c r="K718" s="56">
        <v>125486</v>
      </c>
      <c r="L718" s="65">
        <f t="shared" si="66"/>
        <v>1</v>
      </c>
      <c r="M718" s="65">
        <f t="shared" si="67"/>
        <v>1</v>
      </c>
      <c r="N718" s="37" t="s">
        <v>889</v>
      </c>
      <c r="O718" s="37" t="s">
        <v>889</v>
      </c>
      <c r="P718" s="40">
        <v>0</v>
      </c>
      <c r="Q718" s="40">
        <v>1</v>
      </c>
      <c r="R718" s="37" t="s">
        <v>908</v>
      </c>
      <c r="S718" s="37"/>
    </row>
    <row r="719" spans="1:19" x14ac:dyDescent="0.3">
      <c r="A719" s="36">
        <v>218</v>
      </c>
      <c r="B719" s="37" t="s">
        <v>888</v>
      </c>
      <c r="C719" s="37" t="s">
        <v>251</v>
      </c>
      <c r="D719" s="37" t="s">
        <v>73</v>
      </c>
      <c r="E719" s="37" t="s">
        <v>56</v>
      </c>
      <c r="F719" s="42">
        <v>45169</v>
      </c>
      <c r="G719" s="37">
        <v>2023</v>
      </c>
      <c r="H719" s="37" t="s">
        <v>86</v>
      </c>
      <c r="I719" s="39" t="s">
        <v>32</v>
      </c>
      <c r="J719" s="37">
        <v>172000</v>
      </c>
      <c r="K719" s="56">
        <v>143021.71</v>
      </c>
      <c r="L719" s="65">
        <f t="shared" si="66"/>
        <v>1</v>
      </c>
      <c r="M719" s="65">
        <f t="shared" si="67"/>
        <v>1</v>
      </c>
      <c r="N719" s="37" t="s">
        <v>889</v>
      </c>
      <c r="O719" s="37" t="s">
        <v>889</v>
      </c>
      <c r="P719" s="40">
        <v>0</v>
      </c>
      <c r="Q719" s="40">
        <v>1</v>
      </c>
      <c r="R719" s="37" t="s">
        <v>909</v>
      </c>
      <c r="S719" s="37"/>
    </row>
    <row r="720" spans="1:19" x14ac:dyDescent="0.3">
      <c r="A720" s="36">
        <v>218</v>
      </c>
      <c r="B720" s="37" t="s">
        <v>888</v>
      </c>
      <c r="C720" s="37" t="s">
        <v>251</v>
      </c>
      <c r="D720" s="37" t="s">
        <v>73</v>
      </c>
      <c r="E720" s="37" t="s">
        <v>56</v>
      </c>
      <c r="F720" s="42">
        <v>45199</v>
      </c>
      <c r="G720" s="37">
        <v>2023</v>
      </c>
      <c r="H720" s="37" t="s">
        <v>43</v>
      </c>
      <c r="I720" s="39" t="s">
        <v>32</v>
      </c>
      <c r="J720" s="37">
        <v>172000</v>
      </c>
      <c r="K720" s="56">
        <v>146746.82999999999</v>
      </c>
      <c r="L720" s="65">
        <f t="shared" si="66"/>
        <v>1</v>
      </c>
      <c r="M720" s="65">
        <f t="shared" si="67"/>
        <v>1</v>
      </c>
      <c r="N720" s="37" t="s">
        <v>889</v>
      </c>
      <c r="O720" s="37" t="s">
        <v>889</v>
      </c>
      <c r="P720" s="40">
        <v>0</v>
      </c>
      <c r="Q720" s="40">
        <v>1</v>
      </c>
      <c r="R720" s="37" t="s">
        <v>910</v>
      </c>
      <c r="S720" s="37"/>
    </row>
    <row r="721" spans="1:19" x14ac:dyDescent="0.3">
      <c r="A721" s="41">
        <v>218</v>
      </c>
      <c r="B721" s="37" t="s">
        <v>888</v>
      </c>
      <c r="C721" s="37" t="s">
        <v>251</v>
      </c>
      <c r="D721" s="37" t="s">
        <v>73</v>
      </c>
      <c r="E721" s="37" t="s">
        <v>56</v>
      </c>
      <c r="F721" s="42">
        <v>45230</v>
      </c>
      <c r="G721" s="37">
        <v>2023</v>
      </c>
      <c r="H721" s="37" t="s">
        <v>89</v>
      </c>
      <c r="I721" s="39" t="s">
        <v>32</v>
      </c>
      <c r="J721" s="37">
        <v>172000</v>
      </c>
      <c r="K721" s="56">
        <v>141458.28</v>
      </c>
      <c r="L721" s="65">
        <f t="shared" si="66"/>
        <v>1</v>
      </c>
      <c r="M721" s="65">
        <f t="shared" si="67"/>
        <v>1</v>
      </c>
      <c r="N721" s="37" t="s">
        <v>889</v>
      </c>
      <c r="O721" s="37" t="s">
        <v>889</v>
      </c>
      <c r="P721" s="40">
        <v>0</v>
      </c>
      <c r="Q721" s="40">
        <v>1</v>
      </c>
      <c r="R721" s="37" t="s">
        <v>911</v>
      </c>
      <c r="S721" s="37"/>
    </row>
    <row r="722" spans="1:19" x14ac:dyDescent="0.3">
      <c r="A722" s="41">
        <v>218</v>
      </c>
      <c r="B722" s="37" t="s">
        <v>888</v>
      </c>
      <c r="C722" s="37" t="s">
        <v>251</v>
      </c>
      <c r="D722" s="37" t="s">
        <v>73</v>
      </c>
      <c r="E722" s="37" t="s">
        <v>56</v>
      </c>
      <c r="F722" s="42">
        <v>45260</v>
      </c>
      <c r="G722" s="37">
        <v>2023</v>
      </c>
      <c r="H722" s="37" t="s">
        <v>91</v>
      </c>
      <c r="I722" s="39" t="s">
        <v>32</v>
      </c>
      <c r="J722" s="37">
        <v>172000</v>
      </c>
      <c r="K722" s="56">
        <v>129770</v>
      </c>
      <c r="L722" s="65">
        <f t="shared" si="66"/>
        <v>1</v>
      </c>
      <c r="M722" s="65">
        <f t="shared" si="67"/>
        <v>1</v>
      </c>
      <c r="N722" s="37" t="s">
        <v>889</v>
      </c>
      <c r="O722" s="37" t="s">
        <v>889</v>
      </c>
      <c r="P722" s="40">
        <v>0</v>
      </c>
      <c r="Q722" s="40">
        <v>1</v>
      </c>
      <c r="R722" s="37" t="s">
        <v>912</v>
      </c>
      <c r="S722" s="37"/>
    </row>
    <row r="723" spans="1:19" x14ac:dyDescent="0.3">
      <c r="A723" s="41">
        <v>218</v>
      </c>
      <c r="B723" s="37" t="s">
        <v>888</v>
      </c>
      <c r="C723" s="37" t="s">
        <v>251</v>
      </c>
      <c r="D723" s="37" t="s">
        <v>73</v>
      </c>
      <c r="E723" s="37" t="s">
        <v>56</v>
      </c>
      <c r="F723" s="42">
        <v>45291</v>
      </c>
      <c r="G723" s="37">
        <v>2023</v>
      </c>
      <c r="H723" s="37" t="s">
        <v>27</v>
      </c>
      <c r="I723" s="39" t="s">
        <v>32</v>
      </c>
      <c r="J723" s="37">
        <v>172000</v>
      </c>
      <c r="K723" s="56">
        <v>109170</v>
      </c>
      <c r="L723" s="65">
        <f t="shared" si="66"/>
        <v>1</v>
      </c>
      <c r="M723" s="65">
        <f t="shared" si="67"/>
        <v>1</v>
      </c>
      <c r="N723" s="37" t="s">
        <v>889</v>
      </c>
      <c r="O723" s="37" t="s">
        <v>889</v>
      </c>
      <c r="P723" s="40">
        <v>0</v>
      </c>
      <c r="Q723" s="40">
        <v>1</v>
      </c>
      <c r="R723" s="37" t="s">
        <v>913</v>
      </c>
      <c r="S723" s="37"/>
    </row>
    <row r="724" spans="1:19" x14ac:dyDescent="0.3">
      <c r="A724" s="36">
        <v>218</v>
      </c>
      <c r="B724" s="37" t="s">
        <v>888</v>
      </c>
      <c r="C724" s="37" t="s">
        <v>251</v>
      </c>
      <c r="D724" s="37" t="s">
        <v>73</v>
      </c>
      <c r="E724" s="37" t="s">
        <v>56</v>
      </c>
      <c r="F724" s="42">
        <v>45322</v>
      </c>
      <c r="G724" s="37">
        <v>2024</v>
      </c>
      <c r="H724" s="37" t="s">
        <v>74</v>
      </c>
      <c r="I724" s="39" t="s">
        <v>34</v>
      </c>
      <c r="J724" s="37">
        <v>172000</v>
      </c>
      <c r="K724" s="56">
        <v>122939.06</v>
      </c>
      <c r="L724" s="65">
        <f t="shared" si="66"/>
        <v>1</v>
      </c>
      <c r="M724" s="65">
        <f t="shared" si="67"/>
        <v>1</v>
      </c>
      <c r="N724" s="37" t="s">
        <v>889</v>
      </c>
      <c r="O724" s="37" t="s">
        <v>889</v>
      </c>
      <c r="P724" s="40">
        <v>0</v>
      </c>
      <c r="Q724" s="40">
        <v>1</v>
      </c>
      <c r="R724" s="37" t="s">
        <v>914</v>
      </c>
      <c r="S724" s="37"/>
    </row>
    <row r="725" spans="1:19" x14ac:dyDescent="0.3">
      <c r="A725" s="36">
        <v>218</v>
      </c>
      <c r="B725" s="37" t="s">
        <v>888</v>
      </c>
      <c r="C725" s="37" t="s">
        <v>251</v>
      </c>
      <c r="D725" s="37" t="s">
        <v>73</v>
      </c>
      <c r="E725" s="37" t="s">
        <v>56</v>
      </c>
      <c r="F725" s="42">
        <v>45351</v>
      </c>
      <c r="G725" s="37">
        <v>2024</v>
      </c>
      <c r="H725" s="37" t="s">
        <v>76</v>
      </c>
      <c r="I725" s="39" t="s">
        <v>34</v>
      </c>
      <c r="J725" s="37">
        <v>172000</v>
      </c>
      <c r="K725" s="56">
        <v>135675.99</v>
      </c>
      <c r="L725" s="65">
        <f t="shared" si="66"/>
        <v>1</v>
      </c>
      <c r="M725" s="65">
        <f t="shared" si="67"/>
        <v>1</v>
      </c>
      <c r="N725" s="37" t="s">
        <v>889</v>
      </c>
      <c r="O725" s="37" t="s">
        <v>889</v>
      </c>
      <c r="P725" s="40">
        <v>0</v>
      </c>
      <c r="Q725" s="40">
        <v>1</v>
      </c>
      <c r="R725" s="37" t="s">
        <v>915</v>
      </c>
      <c r="S725" s="37"/>
    </row>
    <row r="726" spans="1:19" x14ac:dyDescent="0.3">
      <c r="A726" s="36">
        <v>218</v>
      </c>
      <c r="B726" s="37" t="s">
        <v>888</v>
      </c>
      <c r="C726" s="37" t="s">
        <v>251</v>
      </c>
      <c r="D726" s="37" t="s">
        <v>73</v>
      </c>
      <c r="E726" s="37" t="s">
        <v>56</v>
      </c>
      <c r="F726" s="42">
        <v>45382</v>
      </c>
      <c r="G726" s="37">
        <v>2024</v>
      </c>
      <c r="H726" s="37" t="s">
        <v>40</v>
      </c>
      <c r="I726" s="39" t="s">
        <v>34</v>
      </c>
      <c r="J726" s="37">
        <v>172000</v>
      </c>
      <c r="K726" s="56">
        <v>153748.73000000001</v>
      </c>
      <c r="L726" s="65">
        <f t="shared" si="66"/>
        <v>1</v>
      </c>
      <c r="M726" s="65">
        <f t="shared" si="67"/>
        <v>1</v>
      </c>
      <c r="N726" s="37" t="s">
        <v>889</v>
      </c>
      <c r="O726" s="37" t="s">
        <v>889</v>
      </c>
      <c r="P726" s="40">
        <v>0</v>
      </c>
      <c r="Q726" s="40">
        <v>1</v>
      </c>
      <c r="R726" s="37" t="s">
        <v>916</v>
      </c>
      <c r="S726" s="37"/>
    </row>
    <row r="727" spans="1:19" x14ac:dyDescent="0.3">
      <c r="A727" s="36">
        <v>218</v>
      </c>
      <c r="B727" s="37" t="s">
        <v>888</v>
      </c>
      <c r="C727" s="37" t="s">
        <v>251</v>
      </c>
      <c r="D727" s="37" t="s">
        <v>73</v>
      </c>
      <c r="E727" s="37" t="s">
        <v>56</v>
      </c>
      <c r="F727" s="42">
        <v>45412</v>
      </c>
      <c r="G727" s="37">
        <v>2024</v>
      </c>
      <c r="H727" s="37" t="s">
        <v>79</v>
      </c>
      <c r="I727" s="39" t="s">
        <v>34</v>
      </c>
      <c r="J727" s="37">
        <v>172000</v>
      </c>
      <c r="K727" s="56">
        <v>164779.39000000001</v>
      </c>
      <c r="L727" s="65">
        <f t="shared" si="66"/>
        <v>1</v>
      </c>
      <c r="M727" s="65">
        <f t="shared" si="67"/>
        <v>1</v>
      </c>
      <c r="N727" s="37" t="s">
        <v>889</v>
      </c>
      <c r="O727" s="37" t="s">
        <v>889</v>
      </c>
      <c r="P727" s="40">
        <v>0</v>
      </c>
      <c r="Q727" s="40">
        <v>1</v>
      </c>
      <c r="R727" s="37" t="s">
        <v>917</v>
      </c>
      <c r="S727" s="37"/>
    </row>
    <row r="728" spans="1:19" x14ac:dyDescent="0.3">
      <c r="A728" s="36">
        <v>218</v>
      </c>
      <c r="B728" s="37" t="s">
        <v>888</v>
      </c>
      <c r="C728" s="37" t="s">
        <v>251</v>
      </c>
      <c r="D728" s="37" t="s">
        <v>73</v>
      </c>
      <c r="E728" s="37" t="s">
        <v>56</v>
      </c>
      <c r="F728" s="42">
        <v>45443</v>
      </c>
      <c r="G728" s="37">
        <v>2024</v>
      </c>
      <c r="H728" s="37" t="s">
        <v>81</v>
      </c>
      <c r="I728" s="39" t="s">
        <v>34</v>
      </c>
      <c r="J728" s="37">
        <v>172000</v>
      </c>
      <c r="K728" s="56">
        <v>157279.15</v>
      </c>
      <c r="L728" s="65">
        <f t="shared" si="66"/>
        <v>1</v>
      </c>
      <c r="M728" s="65">
        <f t="shared" si="67"/>
        <v>1</v>
      </c>
      <c r="N728" s="37" t="s">
        <v>889</v>
      </c>
      <c r="O728" s="37" t="s">
        <v>889</v>
      </c>
      <c r="P728" s="40">
        <v>0</v>
      </c>
      <c r="Q728" s="40">
        <v>1</v>
      </c>
      <c r="R728" s="37" t="s">
        <v>918</v>
      </c>
      <c r="S728" s="37"/>
    </row>
    <row r="729" spans="1:19" x14ac:dyDescent="0.3">
      <c r="A729" s="36">
        <v>218</v>
      </c>
      <c r="B729" s="37" t="s">
        <v>888</v>
      </c>
      <c r="C729" s="37" t="s">
        <v>251</v>
      </c>
      <c r="D729" s="37" t="s">
        <v>73</v>
      </c>
      <c r="E729" s="37" t="s">
        <v>56</v>
      </c>
      <c r="F729" s="42">
        <v>45473</v>
      </c>
      <c r="G729" s="37">
        <v>2024</v>
      </c>
      <c r="H729" s="37" t="s">
        <v>23</v>
      </c>
      <c r="I729" s="39" t="s">
        <v>34</v>
      </c>
      <c r="J729" s="37">
        <v>172000</v>
      </c>
      <c r="K729" s="56">
        <v>140488.65</v>
      </c>
      <c r="L729" s="65">
        <f t="shared" si="66"/>
        <v>1</v>
      </c>
      <c r="M729" s="65">
        <f t="shared" si="67"/>
        <v>1</v>
      </c>
      <c r="N729" s="37" t="s">
        <v>889</v>
      </c>
      <c r="O729" s="37" t="s">
        <v>889</v>
      </c>
      <c r="P729" s="40">
        <v>0</v>
      </c>
      <c r="Q729" s="40">
        <v>1</v>
      </c>
      <c r="R729" s="37" t="s">
        <v>919</v>
      </c>
      <c r="S729" s="37"/>
    </row>
    <row r="730" spans="1:19" x14ac:dyDescent="0.3">
      <c r="A730" s="36">
        <v>218</v>
      </c>
      <c r="B730" s="37" t="s">
        <v>888</v>
      </c>
      <c r="C730" s="37" t="s">
        <v>251</v>
      </c>
      <c r="D730" s="37" t="s">
        <v>73</v>
      </c>
      <c r="E730" s="37" t="s">
        <v>56</v>
      </c>
      <c r="F730" s="42">
        <v>45504</v>
      </c>
      <c r="G730" s="37">
        <v>2024</v>
      </c>
      <c r="H730" s="37" t="s">
        <v>84</v>
      </c>
      <c r="I730" s="39" t="s">
        <v>36</v>
      </c>
      <c r="J730" s="37">
        <v>172000</v>
      </c>
      <c r="K730" s="56">
        <v>131127</v>
      </c>
      <c r="L730" s="65">
        <f t="shared" si="66"/>
        <v>1</v>
      </c>
      <c r="M730" s="65">
        <f t="shared" si="67"/>
        <v>1</v>
      </c>
      <c r="N730" s="37" t="s">
        <v>889</v>
      </c>
      <c r="O730" s="37" t="s">
        <v>889</v>
      </c>
      <c r="P730" s="40">
        <v>0</v>
      </c>
      <c r="Q730" s="40">
        <v>1</v>
      </c>
      <c r="R730" s="37" t="s">
        <v>920</v>
      </c>
      <c r="S730" s="37"/>
    </row>
    <row r="731" spans="1:19" x14ac:dyDescent="0.3">
      <c r="A731" s="36">
        <v>218</v>
      </c>
      <c r="B731" s="37" t="s">
        <v>888</v>
      </c>
      <c r="C731" s="37" t="s">
        <v>251</v>
      </c>
      <c r="D731" s="37" t="s">
        <v>73</v>
      </c>
      <c r="E731" s="37" t="s">
        <v>56</v>
      </c>
      <c r="F731" s="42">
        <v>45535</v>
      </c>
      <c r="G731" s="37">
        <v>2024</v>
      </c>
      <c r="H731" s="37" t="s">
        <v>86</v>
      </c>
      <c r="I731" s="39" t="s">
        <v>36</v>
      </c>
      <c r="J731" s="37">
        <v>172000</v>
      </c>
      <c r="K731" s="56">
        <v>141809.93</v>
      </c>
      <c r="L731" s="65">
        <f t="shared" si="66"/>
        <v>1</v>
      </c>
      <c r="M731" s="65">
        <f t="shared" si="67"/>
        <v>1</v>
      </c>
      <c r="N731" s="37" t="s">
        <v>889</v>
      </c>
      <c r="O731" s="37" t="s">
        <v>889</v>
      </c>
      <c r="P731" s="40">
        <v>0</v>
      </c>
      <c r="Q731" s="40">
        <v>1</v>
      </c>
      <c r="R731" s="37" t="s">
        <v>921</v>
      </c>
      <c r="S731" s="37"/>
    </row>
    <row r="732" spans="1:19" x14ac:dyDescent="0.3">
      <c r="A732" s="36">
        <v>218</v>
      </c>
      <c r="B732" s="37" t="s">
        <v>888</v>
      </c>
      <c r="C732" s="37" t="s">
        <v>251</v>
      </c>
      <c r="D732" s="37" t="s">
        <v>73</v>
      </c>
      <c r="E732" s="37" t="s">
        <v>56</v>
      </c>
      <c r="F732" s="42">
        <v>45565</v>
      </c>
      <c r="G732" s="37">
        <v>2024</v>
      </c>
      <c r="H732" s="37" t="s">
        <v>43</v>
      </c>
      <c r="I732" s="39" t="s">
        <v>36</v>
      </c>
      <c r="J732" s="37">
        <v>172000</v>
      </c>
      <c r="K732" s="56">
        <v>145856.51999999999</v>
      </c>
      <c r="L732" s="65">
        <f t="shared" ref="L732:L735" si="68">IFERROR(IF(OR(J732=0,K732=""),"",IF(E732="Positivo",MIN(MAX(K732/J732,0),1),MIN(MAX(J732/K732,0),1))),"")</f>
        <v>1</v>
      </c>
      <c r="M732" s="65">
        <f t="shared" ref="M732:M735" si="69">IFERROR(IF(OR(J732=0,K732=""),"",IF(E732="Positivo",MIN(MAX(K732/J732,0),1),MIN(MAX(J732/K732,0),1))),"")</f>
        <v>1</v>
      </c>
      <c r="N732" s="37" t="s">
        <v>889</v>
      </c>
      <c r="O732" s="37" t="s">
        <v>889</v>
      </c>
      <c r="P732" s="40">
        <v>0</v>
      </c>
      <c r="Q732" s="40">
        <v>1</v>
      </c>
      <c r="R732" s="37" t="s">
        <v>922</v>
      </c>
      <c r="S732" s="37"/>
    </row>
    <row r="733" spans="1:19" x14ac:dyDescent="0.3">
      <c r="A733" s="41">
        <v>218</v>
      </c>
      <c r="B733" s="37" t="s">
        <v>888</v>
      </c>
      <c r="C733" s="37" t="s">
        <v>251</v>
      </c>
      <c r="D733" s="37" t="s">
        <v>73</v>
      </c>
      <c r="E733" s="37" t="s">
        <v>56</v>
      </c>
      <c r="F733" s="42">
        <v>45596</v>
      </c>
      <c r="G733" s="37">
        <v>2024</v>
      </c>
      <c r="H733" s="37" t="s">
        <v>89</v>
      </c>
      <c r="I733" s="39" t="s">
        <v>36</v>
      </c>
      <c r="J733" s="37">
        <v>172000</v>
      </c>
      <c r="K733" s="56">
        <v>156418.49</v>
      </c>
      <c r="L733" s="65">
        <f t="shared" si="68"/>
        <v>1</v>
      </c>
      <c r="M733" s="65">
        <f t="shared" si="69"/>
        <v>1</v>
      </c>
      <c r="N733" s="37" t="s">
        <v>889</v>
      </c>
      <c r="O733" s="37" t="s">
        <v>889</v>
      </c>
      <c r="P733" s="40">
        <v>0</v>
      </c>
      <c r="Q733" s="40">
        <v>1</v>
      </c>
      <c r="R733" s="37" t="s">
        <v>923</v>
      </c>
      <c r="S733" s="37"/>
    </row>
    <row r="734" spans="1:19" x14ac:dyDescent="0.3">
      <c r="A734" s="41">
        <v>218</v>
      </c>
      <c r="B734" s="37" t="s">
        <v>888</v>
      </c>
      <c r="C734" s="37" t="s">
        <v>251</v>
      </c>
      <c r="D734" s="37" t="s">
        <v>73</v>
      </c>
      <c r="E734" s="37" t="s">
        <v>56</v>
      </c>
      <c r="F734" s="42">
        <v>45626</v>
      </c>
      <c r="G734" s="37">
        <v>2024</v>
      </c>
      <c r="H734" s="37" t="s">
        <v>91</v>
      </c>
      <c r="I734" s="39" t="s">
        <v>36</v>
      </c>
      <c r="J734" s="37">
        <v>172000</v>
      </c>
      <c r="K734" s="56">
        <v>147205.35999999999</v>
      </c>
      <c r="L734" s="65">
        <f t="shared" si="68"/>
        <v>1</v>
      </c>
      <c r="M734" s="65">
        <f t="shared" si="69"/>
        <v>1</v>
      </c>
      <c r="N734" s="37" t="s">
        <v>889</v>
      </c>
      <c r="O734" s="37" t="s">
        <v>889</v>
      </c>
      <c r="P734" s="40">
        <v>0</v>
      </c>
      <c r="Q734" s="40">
        <v>1</v>
      </c>
      <c r="R734" s="37" t="s">
        <v>924</v>
      </c>
      <c r="S734" s="37"/>
    </row>
    <row r="735" spans="1:19" x14ac:dyDescent="0.3">
      <c r="A735" s="41">
        <v>218</v>
      </c>
      <c r="B735" s="37" t="s">
        <v>888</v>
      </c>
      <c r="C735" s="37" t="s">
        <v>251</v>
      </c>
      <c r="D735" s="37" t="s">
        <v>73</v>
      </c>
      <c r="E735" s="37" t="s">
        <v>56</v>
      </c>
      <c r="F735" s="42">
        <v>45657</v>
      </c>
      <c r="G735" s="37">
        <v>2024</v>
      </c>
      <c r="H735" s="37" t="s">
        <v>27</v>
      </c>
      <c r="I735" s="39" t="s">
        <v>36</v>
      </c>
      <c r="J735" s="37">
        <v>172000</v>
      </c>
      <c r="K735" s="56">
        <v>126974.55</v>
      </c>
      <c r="L735" s="65">
        <f t="shared" si="68"/>
        <v>1</v>
      </c>
      <c r="M735" s="65">
        <f t="shared" si="69"/>
        <v>1</v>
      </c>
      <c r="N735" s="37" t="s">
        <v>889</v>
      </c>
      <c r="O735" s="37" t="s">
        <v>889</v>
      </c>
      <c r="P735" s="40">
        <v>0</v>
      </c>
      <c r="Q735" s="40">
        <v>1</v>
      </c>
      <c r="R735" s="37" t="s">
        <v>925</v>
      </c>
      <c r="S735" s="37"/>
    </row>
    <row r="736" spans="1:19" x14ac:dyDescent="0.3">
      <c r="A736" s="37">
        <v>219</v>
      </c>
      <c r="B736" s="37" t="s">
        <v>938</v>
      </c>
      <c r="C736" s="37" t="s">
        <v>251</v>
      </c>
      <c r="D736" s="37" t="s">
        <v>73</v>
      </c>
      <c r="E736" s="37" t="s">
        <v>22</v>
      </c>
      <c r="F736" s="42">
        <v>44742</v>
      </c>
      <c r="G736" s="37">
        <v>2022</v>
      </c>
      <c r="H736" s="37" t="s">
        <v>23</v>
      </c>
      <c r="I736" s="37" t="s">
        <v>24</v>
      </c>
      <c r="J736" s="37">
        <v>1</v>
      </c>
      <c r="K736" s="37">
        <v>16.685183396325002</v>
      </c>
      <c r="L736" s="65">
        <f t="shared" ref="L736:L759" si="70">IFERROR(IF(OR(J736=0,K736=""),"",IF(E736="Positivo",MIN(MAX(K736/J736,0),1.3),MIN(MAX(J736/K736,0),1.3))),"")</f>
        <v>1.3</v>
      </c>
      <c r="M736" s="65">
        <f t="shared" ref="M736:M759" si="71">IFERROR(IF(OR(J736=0,K736=""),"",IF(E736="Positivo",MAX(K736/J736,0),MAX(J736/K736,0))),"")</f>
        <v>16.685183396325002</v>
      </c>
      <c r="N736" s="37" t="s">
        <v>25</v>
      </c>
      <c r="O736" s="37" t="s">
        <v>25</v>
      </c>
      <c r="P736" s="37">
        <v>0</v>
      </c>
      <c r="Q736" s="37">
        <v>0</v>
      </c>
      <c r="R736" s="37" t="s">
        <v>939</v>
      </c>
      <c r="S736" s="37"/>
    </row>
    <row r="737" spans="1:19" x14ac:dyDescent="0.3">
      <c r="A737" s="37">
        <v>219</v>
      </c>
      <c r="B737" s="37" t="s">
        <v>938</v>
      </c>
      <c r="C737" s="37" t="s">
        <v>251</v>
      </c>
      <c r="D737" s="37" t="s">
        <v>73</v>
      </c>
      <c r="E737" s="37" t="s">
        <v>22</v>
      </c>
      <c r="F737" s="42">
        <v>44926</v>
      </c>
      <c r="G737" s="37">
        <v>2022</v>
      </c>
      <c r="H737" s="37" t="s">
        <v>27</v>
      </c>
      <c r="I737" s="37" t="s">
        <v>28</v>
      </c>
      <c r="J737" s="37">
        <v>1</v>
      </c>
      <c r="K737" s="37">
        <v>-68.789622683372002</v>
      </c>
      <c r="L737" s="65">
        <f t="shared" si="70"/>
        <v>0</v>
      </c>
      <c r="M737" s="65">
        <f t="shared" si="71"/>
        <v>0</v>
      </c>
      <c r="N737" s="37" t="s">
        <v>25</v>
      </c>
      <c r="O737" s="37" t="s">
        <v>25</v>
      </c>
      <c r="P737" s="37">
        <v>0</v>
      </c>
      <c r="Q737" s="37">
        <v>0</v>
      </c>
      <c r="R737" s="37" t="s">
        <v>940</v>
      </c>
      <c r="S737" s="37"/>
    </row>
    <row r="738" spans="1:19" x14ac:dyDescent="0.3">
      <c r="A738" s="36">
        <v>219</v>
      </c>
      <c r="B738" s="37" t="s">
        <v>938</v>
      </c>
      <c r="C738" s="37" t="s">
        <v>251</v>
      </c>
      <c r="D738" s="37" t="s">
        <v>21</v>
      </c>
      <c r="E738" s="37" t="s">
        <v>22</v>
      </c>
      <c r="F738" s="38">
        <v>45107</v>
      </c>
      <c r="G738" s="37">
        <v>2023</v>
      </c>
      <c r="H738" s="37" t="s">
        <v>23</v>
      </c>
      <c r="I738" s="39" t="s">
        <v>30</v>
      </c>
      <c r="J738" s="37">
        <v>1</v>
      </c>
      <c r="K738" s="56">
        <v>21.147036826274292</v>
      </c>
      <c r="L738" s="65">
        <f t="shared" si="70"/>
        <v>1.3</v>
      </c>
      <c r="M738" s="65">
        <f t="shared" si="71"/>
        <v>21.147036826274292</v>
      </c>
      <c r="N738" s="37" t="s">
        <v>889</v>
      </c>
      <c r="O738" s="37" t="s">
        <v>889</v>
      </c>
      <c r="P738" s="40">
        <v>0</v>
      </c>
      <c r="Q738" s="40">
        <v>0</v>
      </c>
      <c r="R738" s="37" t="s">
        <v>941</v>
      </c>
      <c r="S738" s="37"/>
    </row>
    <row r="739" spans="1:19" x14ac:dyDescent="0.3">
      <c r="A739" s="41">
        <v>219</v>
      </c>
      <c r="B739" s="37" t="s">
        <v>938</v>
      </c>
      <c r="C739" s="37" t="s">
        <v>251</v>
      </c>
      <c r="D739" s="37" t="s">
        <v>21</v>
      </c>
      <c r="E739" s="37" t="s">
        <v>22</v>
      </c>
      <c r="F739" s="42">
        <v>45291</v>
      </c>
      <c r="G739" s="37">
        <v>2023</v>
      </c>
      <c r="H739" s="37" t="s">
        <v>27</v>
      </c>
      <c r="I739" s="39" t="s">
        <v>32</v>
      </c>
      <c r="J739" s="37">
        <v>1</v>
      </c>
      <c r="K739" s="56">
        <v>-5.89</v>
      </c>
      <c r="L739" s="65">
        <f t="shared" si="70"/>
        <v>0</v>
      </c>
      <c r="M739" s="65">
        <f t="shared" si="71"/>
        <v>0</v>
      </c>
      <c r="N739" s="37" t="s">
        <v>889</v>
      </c>
      <c r="O739" s="37" t="s">
        <v>889</v>
      </c>
      <c r="P739" s="40">
        <v>0</v>
      </c>
      <c r="Q739" s="40">
        <v>0</v>
      </c>
      <c r="R739" s="37" t="s">
        <v>942</v>
      </c>
      <c r="S739" s="37"/>
    </row>
    <row r="740" spans="1:19" x14ac:dyDescent="0.3">
      <c r="A740" s="37">
        <v>219</v>
      </c>
      <c r="B740" s="37" t="s">
        <v>938</v>
      </c>
      <c r="C740" s="37" t="s">
        <v>251</v>
      </c>
      <c r="D740" s="37" t="s">
        <v>21</v>
      </c>
      <c r="E740" s="37" t="s">
        <v>22</v>
      </c>
      <c r="F740" s="42">
        <v>45473</v>
      </c>
      <c r="G740" s="37">
        <v>2024</v>
      </c>
      <c r="H740" s="37" t="s">
        <v>23</v>
      </c>
      <c r="I740" s="39" t="s">
        <v>34</v>
      </c>
      <c r="J740" s="37">
        <v>1</v>
      </c>
      <c r="K740" s="37">
        <v>11.94</v>
      </c>
      <c r="L740" s="65">
        <f t="shared" si="70"/>
        <v>1.3</v>
      </c>
      <c r="M740" s="65">
        <f t="shared" si="71"/>
        <v>11.94</v>
      </c>
      <c r="N740" s="37" t="s">
        <v>25</v>
      </c>
      <c r="O740" s="37" t="s">
        <v>25</v>
      </c>
      <c r="P740" s="37">
        <v>0</v>
      </c>
      <c r="Q740" s="37">
        <v>0</v>
      </c>
      <c r="R740" s="37" t="s">
        <v>943</v>
      </c>
      <c r="S740" s="37"/>
    </row>
    <row r="741" spans="1:19" x14ac:dyDescent="0.3">
      <c r="A741" s="36">
        <v>219</v>
      </c>
      <c r="B741" s="37" t="s">
        <v>938</v>
      </c>
      <c r="C741" s="37" t="s">
        <v>251</v>
      </c>
      <c r="D741" s="37" t="s">
        <v>21</v>
      </c>
      <c r="E741" s="37" t="s">
        <v>22</v>
      </c>
      <c r="F741" s="42">
        <v>45657</v>
      </c>
      <c r="G741" s="37">
        <v>2024</v>
      </c>
      <c r="H741" s="37" t="s">
        <v>27</v>
      </c>
      <c r="I741" s="39" t="s">
        <v>36</v>
      </c>
      <c r="J741" s="37">
        <v>1</v>
      </c>
      <c r="K741" s="43">
        <v>-12.53</v>
      </c>
      <c r="L741" s="65">
        <f t="shared" si="70"/>
        <v>0</v>
      </c>
      <c r="M741" s="65">
        <f t="shared" si="71"/>
        <v>0</v>
      </c>
      <c r="N741" s="37" t="s">
        <v>25</v>
      </c>
      <c r="O741" s="37" t="s">
        <v>25</v>
      </c>
      <c r="P741" s="40">
        <v>0</v>
      </c>
      <c r="Q741" s="40">
        <v>0</v>
      </c>
      <c r="R741" s="37" t="s">
        <v>944</v>
      </c>
      <c r="S741" s="37"/>
    </row>
    <row r="742" spans="1:19" x14ac:dyDescent="0.3">
      <c r="A742" s="37">
        <v>220</v>
      </c>
      <c r="B742" s="37" t="s">
        <v>947</v>
      </c>
      <c r="C742" s="37" t="s">
        <v>251</v>
      </c>
      <c r="D742" s="37" t="s">
        <v>21</v>
      </c>
      <c r="E742" s="37" t="s">
        <v>22</v>
      </c>
      <c r="F742" s="42">
        <v>44742</v>
      </c>
      <c r="G742" s="37">
        <v>2022</v>
      </c>
      <c r="H742" s="37" t="s">
        <v>23</v>
      </c>
      <c r="I742" s="37" t="s">
        <v>24</v>
      </c>
      <c r="J742" s="37">
        <v>1</v>
      </c>
      <c r="K742" s="37">
        <v>-88.603565901063007</v>
      </c>
      <c r="L742" s="65">
        <f t="shared" si="70"/>
        <v>0</v>
      </c>
      <c r="M742" s="65">
        <f t="shared" si="71"/>
        <v>0</v>
      </c>
      <c r="N742" s="37" t="s">
        <v>25</v>
      </c>
      <c r="O742" s="37" t="s">
        <v>25</v>
      </c>
      <c r="P742" s="37">
        <v>0</v>
      </c>
      <c r="Q742" s="37">
        <v>0</v>
      </c>
      <c r="R742" s="37" t="s">
        <v>948</v>
      </c>
      <c r="S742" s="37"/>
    </row>
    <row r="743" spans="1:19" x14ac:dyDescent="0.3">
      <c r="A743" s="37">
        <v>220</v>
      </c>
      <c r="B743" s="37" t="s">
        <v>947</v>
      </c>
      <c r="C743" s="37" t="s">
        <v>251</v>
      </c>
      <c r="D743" s="37" t="s">
        <v>21</v>
      </c>
      <c r="E743" s="37" t="s">
        <v>22</v>
      </c>
      <c r="F743" s="42">
        <v>44926</v>
      </c>
      <c r="G743" s="37">
        <v>2022</v>
      </c>
      <c r="H743" s="37" t="s">
        <v>27</v>
      </c>
      <c r="I743" s="37" t="s">
        <v>28</v>
      </c>
      <c r="J743" s="37">
        <v>1</v>
      </c>
      <c r="K743" s="37">
        <v>-85.889409840455002</v>
      </c>
      <c r="L743" s="65">
        <f t="shared" si="70"/>
        <v>0</v>
      </c>
      <c r="M743" s="65">
        <f t="shared" si="71"/>
        <v>0</v>
      </c>
      <c r="N743" s="37" t="s">
        <v>25</v>
      </c>
      <c r="O743" s="37" t="s">
        <v>25</v>
      </c>
      <c r="P743" s="37">
        <v>0</v>
      </c>
      <c r="Q743" s="37">
        <v>0</v>
      </c>
      <c r="R743" s="37" t="s">
        <v>949</v>
      </c>
      <c r="S743" s="37"/>
    </row>
    <row r="744" spans="1:19" x14ac:dyDescent="0.3">
      <c r="A744" s="36">
        <v>220</v>
      </c>
      <c r="B744" s="37" t="s">
        <v>947</v>
      </c>
      <c r="C744" s="37" t="s">
        <v>251</v>
      </c>
      <c r="D744" s="37" t="s">
        <v>21</v>
      </c>
      <c r="E744" s="37" t="s">
        <v>22</v>
      </c>
      <c r="F744" s="38">
        <v>45107</v>
      </c>
      <c r="G744" s="37">
        <v>2023</v>
      </c>
      <c r="H744" s="37" t="s">
        <v>23</v>
      </c>
      <c r="I744" s="39" t="s">
        <v>30</v>
      </c>
      <c r="J744" s="37">
        <v>1</v>
      </c>
      <c r="K744" s="56">
        <v>40.678407793435213</v>
      </c>
      <c r="L744" s="65">
        <f t="shared" si="70"/>
        <v>1.3</v>
      </c>
      <c r="M744" s="65">
        <f t="shared" si="71"/>
        <v>40.678407793435213</v>
      </c>
      <c r="N744" s="37" t="s">
        <v>25</v>
      </c>
      <c r="O744" s="37" t="s">
        <v>25</v>
      </c>
      <c r="P744" s="40">
        <v>0</v>
      </c>
      <c r="Q744" s="40">
        <v>0</v>
      </c>
      <c r="R744" s="37" t="s">
        <v>950</v>
      </c>
      <c r="S744" s="37"/>
    </row>
    <row r="745" spans="1:19" x14ac:dyDescent="0.3">
      <c r="A745" s="37">
        <v>220</v>
      </c>
      <c r="B745" s="37" t="s">
        <v>947</v>
      </c>
      <c r="C745" s="37" t="s">
        <v>251</v>
      </c>
      <c r="D745" s="37" t="s">
        <v>21</v>
      </c>
      <c r="E745" s="37" t="s">
        <v>22</v>
      </c>
      <c r="F745" s="42">
        <v>45291</v>
      </c>
      <c r="G745" s="37">
        <v>2023</v>
      </c>
      <c r="H745" s="37" t="s">
        <v>27</v>
      </c>
      <c r="I745" s="37" t="s">
        <v>32</v>
      </c>
      <c r="J745" s="37">
        <v>1</v>
      </c>
      <c r="K745" s="37">
        <v>-38.58</v>
      </c>
      <c r="L745" s="65">
        <f t="shared" si="70"/>
        <v>0</v>
      </c>
      <c r="M745" s="65">
        <f t="shared" si="71"/>
        <v>0</v>
      </c>
      <c r="N745" s="37" t="s">
        <v>25</v>
      </c>
      <c r="O745" s="37" t="s">
        <v>25</v>
      </c>
      <c r="P745" s="37">
        <v>0</v>
      </c>
      <c r="Q745" s="37">
        <v>0</v>
      </c>
      <c r="R745" s="37" t="s">
        <v>951</v>
      </c>
      <c r="S745" s="37"/>
    </row>
    <row r="746" spans="1:19" x14ac:dyDescent="0.3">
      <c r="A746" s="37">
        <v>220</v>
      </c>
      <c r="B746" s="37" t="s">
        <v>947</v>
      </c>
      <c r="C746" s="37" t="s">
        <v>251</v>
      </c>
      <c r="D746" s="37" t="s">
        <v>21</v>
      </c>
      <c r="E746" s="37" t="s">
        <v>22</v>
      </c>
      <c r="F746" s="42">
        <v>45473</v>
      </c>
      <c r="G746" s="37">
        <v>2024</v>
      </c>
      <c r="H746" s="37" t="s">
        <v>23</v>
      </c>
      <c r="I746" s="39" t="s">
        <v>34</v>
      </c>
      <c r="J746" s="37">
        <v>1</v>
      </c>
      <c r="K746" s="37">
        <v>3.58</v>
      </c>
      <c r="L746" s="65">
        <f t="shared" si="70"/>
        <v>1.3</v>
      </c>
      <c r="M746" s="65">
        <f t="shared" si="71"/>
        <v>3.58</v>
      </c>
      <c r="N746" s="37" t="s">
        <v>25</v>
      </c>
      <c r="O746" s="37" t="s">
        <v>25</v>
      </c>
      <c r="P746" s="37">
        <v>0</v>
      </c>
      <c r="Q746" s="37">
        <v>0</v>
      </c>
      <c r="R746" s="37" t="s">
        <v>952</v>
      </c>
      <c r="S746" s="37"/>
    </row>
    <row r="747" spans="1:19" x14ac:dyDescent="0.3">
      <c r="A747" s="36">
        <v>220</v>
      </c>
      <c r="B747" s="37" t="s">
        <v>947</v>
      </c>
      <c r="C747" s="37" t="s">
        <v>251</v>
      </c>
      <c r="D747" s="37" t="s">
        <v>21</v>
      </c>
      <c r="E747" s="37" t="s">
        <v>22</v>
      </c>
      <c r="F747" s="42">
        <v>45657</v>
      </c>
      <c r="G747" s="37">
        <v>2024</v>
      </c>
      <c r="H747" s="37" t="s">
        <v>27</v>
      </c>
      <c r="I747" s="39" t="s">
        <v>36</v>
      </c>
      <c r="J747" s="37">
        <v>1</v>
      </c>
      <c r="K747" s="43">
        <v>13.05</v>
      </c>
      <c r="L747" s="65">
        <f t="shared" si="70"/>
        <v>1.3</v>
      </c>
      <c r="M747" s="65">
        <f t="shared" si="71"/>
        <v>13.05</v>
      </c>
      <c r="N747" s="37" t="s">
        <v>25</v>
      </c>
      <c r="O747" s="37" t="s">
        <v>25</v>
      </c>
      <c r="P747" s="40">
        <v>0</v>
      </c>
      <c r="Q747" s="40">
        <v>0</v>
      </c>
      <c r="R747" s="37" t="s">
        <v>953</v>
      </c>
      <c r="S747" s="37"/>
    </row>
    <row r="748" spans="1:19" x14ac:dyDescent="0.3">
      <c r="A748" s="37">
        <v>221</v>
      </c>
      <c r="B748" s="37" t="s">
        <v>956</v>
      </c>
      <c r="C748" s="37" t="s">
        <v>251</v>
      </c>
      <c r="D748" s="37" t="s">
        <v>139</v>
      </c>
      <c r="E748" s="37" t="s">
        <v>22</v>
      </c>
      <c r="F748" s="42">
        <v>44926</v>
      </c>
      <c r="G748" s="37">
        <v>2022</v>
      </c>
      <c r="H748" s="37" t="s">
        <v>27</v>
      </c>
      <c r="I748" s="37" t="s">
        <v>28</v>
      </c>
      <c r="J748" s="37">
        <v>100</v>
      </c>
      <c r="K748" s="37">
        <v>200</v>
      </c>
      <c r="L748" s="65">
        <f t="shared" si="70"/>
        <v>1.3</v>
      </c>
      <c r="M748" s="65">
        <f t="shared" si="71"/>
        <v>2</v>
      </c>
      <c r="N748" s="37" t="s">
        <v>25</v>
      </c>
      <c r="O748" s="37" t="s">
        <v>25</v>
      </c>
      <c r="P748" s="37">
        <v>0</v>
      </c>
      <c r="Q748" s="37">
        <v>0</v>
      </c>
      <c r="R748" s="37" t="s">
        <v>957</v>
      </c>
      <c r="S748" s="37"/>
    </row>
    <row r="749" spans="1:19" x14ac:dyDescent="0.3">
      <c r="A749" s="37">
        <v>221</v>
      </c>
      <c r="B749" s="37" t="s">
        <v>956</v>
      </c>
      <c r="C749" s="37" t="s">
        <v>251</v>
      </c>
      <c r="D749" s="37" t="s">
        <v>139</v>
      </c>
      <c r="E749" s="37" t="s">
        <v>22</v>
      </c>
      <c r="F749" s="42">
        <v>45291</v>
      </c>
      <c r="G749" s="37">
        <v>2023</v>
      </c>
      <c r="H749" s="37" t="s">
        <v>27</v>
      </c>
      <c r="I749" s="37" t="s">
        <v>32</v>
      </c>
      <c r="J749" s="37">
        <v>100</v>
      </c>
      <c r="K749" s="37">
        <v>100</v>
      </c>
      <c r="L749" s="65">
        <f t="shared" si="70"/>
        <v>1</v>
      </c>
      <c r="M749" s="65">
        <f t="shared" si="71"/>
        <v>1</v>
      </c>
      <c r="N749" s="37" t="s">
        <v>25</v>
      </c>
      <c r="O749" s="37" t="s">
        <v>25</v>
      </c>
      <c r="P749" s="37">
        <v>0</v>
      </c>
      <c r="Q749" s="37">
        <v>0</v>
      </c>
      <c r="R749" s="37" t="s">
        <v>958</v>
      </c>
      <c r="S749" s="37"/>
    </row>
    <row r="750" spans="1:19" x14ac:dyDescent="0.3">
      <c r="A750" s="36">
        <v>221</v>
      </c>
      <c r="B750" s="37" t="s">
        <v>956</v>
      </c>
      <c r="C750" s="37" t="s">
        <v>251</v>
      </c>
      <c r="D750" s="37" t="s">
        <v>139</v>
      </c>
      <c r="E750" s="37" t="s">
        <v>22</v>
      </c>
      <c r="F750" s="42">
        <v>45657</v>
      </c>
      <c r="G750" s="37">
        <v>2024</v>
      </c>
      <c r="H750" s="37" t="s">
        <v>27</v>
      </c>
      <c r="I750" s="39" t="s">
        <v>36</v>
      </c>
      <c r="J750" s="37">
        <v>100</v>
      </c>
      <c r="K750" s="43">
        <v>33.33</v>
      </c>
      <c r="L750" s="65">
        <f t="shared" si="70"/>
        <v>0.33329999999999999</v>
      </c>
      <c r="M750" s="65">
        <f t="shared" si="71"/>
        <v>0.33329999999999999</v>
      </c>
      <c r="N750" s="37"/>
      <c r="O750" s="37"/>
      <c r="P750" s="40">
        <v>0</v>
      </c>
      <c r="Q750" s="40">
        <v>0</v>
      </c>
      <c r="R750" s="37" t="s">
        <v>959</v>
      </c>
      <c r="S750" s="37"/>
    </row>
    <row r="751" spans="1:19" x14ac:dyDescent="0.3">
      <c r="A751" s="37">
        <v>222</v>
      </c>
      <c r="B751" s="37" t="s">
        <v>961</v>
      </c>
      <c r="C751" s="37" t="s">
        <v>251</v>
      </c>
      <c r="D751" s="37" t="s">
        <v>139</v>
      </c>
      <c r="E751" s="37" t="s">
        <v>22</v>
      </c>
      <c r="F751" s="42">
        <v>44926</v>
      </c>
      <c r="G751" s="37">
        <v>2022</v>
      </c>
      <c r="H751" s="37" t="s">
        <v>27</v>
      </c>
      <c r="I751" s="39" t="s">
        <v>28</v>
      </c>
      <c r="J751" s="37">
        <v>90</v>
      </c>
      <c r="K751" s="37">
        <v>93.75</v>
      </c>
      <c r="L751" s="65">
        <f t="shared" si="70"/>
        <v>1.0416666666666667</v>
      </c>
      <c r="M751" s="65">
        <f t="shared" si="71"/>
        <v>1.0416666666666667</v>
      </c>
      <c r="N751" s="37" t="s">
        <v>25</v>
      </c>
      <c r="O751" s="37" t="s">
        <v>25</v>
      </c>
      <c r="P751" s="37">
        <v>0</v>
      </c>
      <c r="Q751" s="37">
        <v>0</v>
      </c>
      <c r="R751" s="37" t="s">
        <v>962</v>
      </c>
      <c r="S751" s="37"/>
    </row>
    <row r="752" spans="1:19" x14ac:dyDescent="0.3">
      <c r="A752" s="37">
        <v>222</v>
      </c>
      <c r="B752" s="37" t="s">
        <v>961</v>
      </c>
      <c r="C752" s="37" t="s">
        <v>251</v>
      </c>
      <c r="D752" s="37" t="s">
        <v>139</v>
      </c>
      <c r="E752" s="37" t="s">
        <v>22</v>
      </c>
      <c r="F752" s="42">
        <v>45291</v>
      </c>
      <c r="G752" s="37">
        <v>2023</v>
      </c>
      <c r="H752" s="37" t="s">
        <v>27</v>
      </c>
      <c r="I752" s="37" t="s">
        <v>32</v>
      </c>
      <c r="J752" s="37">
        <v>90</v>
      </c>
      <c r="K752" s="37">
        <v>68.75</v>
      </c>
      <c r="L752" s="65">
        <f t="shared" si="70"/>
        <v>0.76388888888888884</v>
      </c>
      <c r="M752" s="65">
        <f t="shared" si="71"/>
        <v>0.76388888888888884</v>
      </c>
      <c r="N752" s="37" t="s">
        <v>25</v>
      </c>
      <c r="O752" s="37" t="s">
        <v>25</v>
      </c>
      <c r="P752" s="37">
        <v>0</v>
      </c>
      <c r="Q752" s="37">
        <v>0</v>
      </c>
      <c r="R752" s="37" t="s">
        <v>963</v>
      </c>
      <c r="S752" s="37"/>
    </row>
    <row r="753" spans="1:19" x14ac:dyDescent="0.3">
      <c r="A753" s="36">
        <v>222</v>
      </c>
      <c r="B753" s="37" t="s">
        <v>961</v>
      </c>
      <c r="C753" s="37" t="s">
        <v>251</v>
      </c>
      <c r="D753" s="37" t="s">
        <v>139</v>
      </c>
      <c r="E753" s="37" t="s">
        <v>22</v>
      </c>
      <c r="F753" s="42">
        <v>45657</v>
      </c>
      <c r="G753" s="37">
        <v>2024</v>
      </c>
      <c r="H753" s="37" t="s">
        <v>27</v>
      </c>
      <c r="I753" s="39" t="s">
        <v>36</v>
      </c>
      <c r="J753" s="37">
        <v>90</v>
      </c>
      <c r="K753" s="43">
        <v>68.75</v>
      </c>
      <c r="L753" s="65">
        <f t="shared" si="70"/>
        <v>0.76388888888888884</v>
      </c>
      <c r="M753" s="65">
        <f t="shared" si="71"/>
        <v>0.76388888888888884</v>
      </c>
      <c r="N753" s="37" t="s">
        <v>25</v>
      </c>
      <c r="O753" s="37" t="s">
        <v>25</v>
      </c>
      <c r="P753" s="40">
        <v>0</v>
      </c>
      <c r="Q753" s="40">
        <v>0</v>
      </c>
      <c r="R753" s="37" t="s">
        <v>964</v>
      </c>
      <c r="S753" s="37"/>
    </row>
    <row r="754" spans="1:19" x14ac:dyDescent="0.3">
      <c r="A754" s="37">
        <v>223</v>
      </c>
      <c r="B754" s="37" t="s">
        <v>966</v>
      </c>
      <c r="C754" s="37" t="s">
        <v>251</v>
      </c>
      <c r="D754" s="37" t="s">
        <v>139</v>
      </c>
      <c r="E754" s="37" t="s">
        <v>22</v>
      </c>
      <c r="F754" s="42">
        <v>44926</v>
      </c>
      <c r="G754" s="37">
        <v>2022</v>
      </c>
      <c r="H754" s="37" t="s">
        <v>27</v>
      </c>
      <c r="I754" s="37" t="s">
        <v>28</v>
      </c>
      <c r="J754" s="37">
        <v>100</v>
      </c>
      <c r="K754" s="37">
        <v>0</v>
      </c>
      <c r="L754" s="65">
        <f t="shared" si="70"/>
        <v>0</v>
      </c>
      <c r="M754" s="65">
        <f t="shared" si="71"/>
        <v>0</v>
      </c>
      <c r="N754" s="37" t="s">
        <v>25</v>
      </c>
      <c r="O754" s="37" t="s">
        <v>25</v>
      </c>
      <c r="P754" s="37">
        <v>0</v>
      </c>
      <c r="Q754" s="37">
        <v>0</v>
      </c>
      <c r="R754" s="37" t="s">
        <v>967</v>
      </c>
      <c r="S754" s="37"/>
    </row>
    <row r="755" spans="1:19" x14ac:dyDescent="0.3">
      <c r="A755" s="37">
        <v>223</v>
      </c>
      <c r="B755" s="37" t="s">
        <v>966</v>
      </c>
      <c r="C755" s="37" t="s">
        <v>251</v>
      </c>
      <c r="D755" s="37" t="s">
        <v>139</v>
      </c>
      <c r="E755" s="37" t="s">
        <v>22</v>
      </c>
      <c r="F755" s="42">
        <v>45291</v>
      </c>
      <c r="G755" s="37">
        <v>2023</v>
      </c>
      <c r="H755" s="37" t="s">
        <v>27</v>
      </c>
      <c r="I755" s="37" t="s">
        <v>32</v>
      </c>
      <c r="J755" s="37">
        <v>100</v>
      </c>
      <c r="K755" s="37">
        <v>100</v>
      </c>
      <c r="L755" s="65">
        <f t="shared" si="70"/>
        <v>1</v>
      </c>
      <c r="M755" s="65">
        <f t="shared" si="71"/>
        <v>1</v>
      </c>
      <c r="N755" s="37" t="s">
        <v>25</v>
      </c>
      <c r="O755" s="37" t="s">
        <v>25</v>
      </c>
      <c r="P755" s="37">
        <v>0</v>
      </c>
      <c r="Q755" s="37">
        <v>0</v>
      </c>
      <c r="R755" s="37" t="s">
        <v>968</v>
      </c>
      <c r="S755" s="37"/>
    </row>
    <row r="756" spans="1:19" x14ac:dyDescent="0.3">
      <c r="A756" s="36">
        <v>223</v>
      </c>
      <c r="B756" s="37" t="s">
        <v>966</v>
      </c>
      <c r="C756" s="37" t="s">
        <v>251</v>
      </c>
      <c r="D756" s="37" t="s">
        <v>139</v>
      </c>
      <c r="E756" s="37" t="s">
        <v>22</v>
      </c>
      <c r="F756" s="42">
        <v>45657</v>
      </c>
      <c r="G756" s="37">
        <v>2024</v>
      </c>
      <c r="H756" s="37" t="s">
        <v>27</v>
      </c>
      <c r="I756" s="39" t="s">
        <v>36</v>
      </c>
      <c r="J756" s="37">
        <v>100</v>
      </c>
      <c r="K756" s="43">
        <v>94.12</v>
      </c>
      <c r="L756" s="65">
        <f t="shared" si="70"/>
        <v>0.94120000000000004</v>
      </c>
      <c r="M756" s="65">
        <f t="shared" si="71"/>
        <v>0.94120000000000004</v>
      </c>
      <c r="N756" s="37"/>
      <c r="O756" s="37"/>
      <c r="P756" s="40">
        <v>0</v>
      </c>
      <c r="Q756" s="40">
        <v>0</v>
      </c>
      <c r="R756" s="37" t="s">
        <v>969</v>
      </c>
      <c r="S756" s="37"/>
    </row>
    <row r="757" spans="1:19" x14ac:dyDescent="0.3">
      <c r="A757" s="37">
        <v>224</v>
      </c>
      <c r="B757" s="37" t="s">
        <v>971</v>
      </c>
      <c r="C757" s="37" t="s">
        <v>251</v>
      </c>
      <c r="D757" s="37" t="s">
        <v>139</v>
      </c>
      <c r="E757" s="37" t="s">
        <v>22</v>
      </c>
      <c r="F757" s="42">
        <v>44926</v>
      </c>
      <c r="G757" s="37">
        <v>2022</v>
      </c>
      <c r="H757" s="37" t="s">
        <v>27</v>
      </c>
      <c r="I757" s="39" t="s">
        <v>28</v>
      </c>
      <c r="J757" s="37">
        <v>100</v>
      </c>
      <c r="K757" s="37">
        <v>71.428571428571431</v>
      </c>
      <c r="L757" s="65">
        <f t="shared" si="70"/>
        <v>0.7142857142857143</v>
      </c>
      <c r="M757" s="65">
        <f t="shared" si="71"/>
        <v>0.7142857142857143</v>
      </c>
      <c r="N757" s="37" t="s">
        <v>25</v>
      </c>
      <c r="O757" s="37" t="s">
        <v>25</v>
      </c>
      <c r="P757" s="37">
        <v>0</v>
      </c>
      <c r="Q757" s="37">
        <v>0</v>
      </c>
      <c r="R757" s="37" t="s">
        <v>972</v>
      </c>
      <c r="S757" s="37"/>
    </row>
    <row r="758" spans="1:19" x14ac:dyDescent="0.3">
      <c r="A758" s="37">
        <v>224</v>
      </c>
      <c r="B758" s="37" t="s">
        <v>971</v>
      </c>
      <c r="C758" s="37" t="s">
        <v>251</v>
      </c>
      <c r="D758" s="37" t="s">
        <v>139</v>
      </c>
      <c r="E758" s="37" t="s">
        <v>22</v>
      </c>
      <c r="F758" s="42">
        <v>45291</v>
      </c>
      <c r="G758" s="37">
        <v>2023</v>
      </c>
      <c r="H758" s="37" t="s">
        <v>27</v>
      </c>
      <c r="I758" s="37" t="s">
        <v>32</v>
      </c>
      <c r="J758" s="37">
        <v>100</v>
      </c>
      <c r="K758" s="37">
        <v>40</v>
      </c>
      <c r="L758" s="65">
        <f t="shared" si="70"/>
        <v>0.4</v>
      </c>
      <c r="M758" s="65">
        <f t="shared" si="71"/>
        <v>0.4</v>
      </c>
      <c r="N758" s="37" t="s">
        <v>25</v>
      </c>
      <c r="O758" s="37" t="s">
        <v>25</v>
      </c>
      <c r="P758" s="37">
        <v>0</v>
      </c>
      <c r="Q758" s="37">
        <v>0</v>
      </c>
      <c r="R758" s="37" t="s">
        <v>973</v>
      </c>
      <c r="S758" s="37"/>
    </row>
    <row r="759" spans="1:19" x14ac:dyDescent="0.3">
      <c r="A759" s="36">
        <v>224</v>
      </c>
      <c r="B759" s="37" t="s">
        <v>971</v>
      </c>
      <c r="C759" s="37" t="s">
        <v>251</v>
      </c>
      <c r="D759" s="37" t="s">
        <v>139</v>
      </c>
      <c r="E759" s="37" t="s">
        <v>22</v>
      </c>
      <c r="F759" s="42">
        <v>45657</v>
      </c>
      <c r="G759" s="37">
        <v>2024</v>
      </c>
      <c r="H759" s="37" t="s">
        <v>27</v>
      </c>
      <c r="I759" s="39" t="s">
        <v>36</v>
      </c>
      <c r="J759" s="37">
        <v>100</v>
      </c>
      <c r="K759" s="43">
        <v>100</v>
      </c>
      <c r="L759" s="65">
        <f t="shared" si="70"/>
        <v>1</v>
      </c>
      <c r="M759" s="65">
        <f t="shared" si="71"/>
        <v>1</v>
      </c>
      <c r="N759" s="37" t="s">
        <v>25</v>
      </c>
      <c r="O759" s="37" t="s">
        <v>25</v>
      </c>
      <c r="P759" s="40">
        <v>0</v>
      </c>
      <c r="Q759" s="40">
        <v>0</v>
      </c>
      <c r="R759" s="37" t="s">
        <v>974</v>
      </c>
      <c r="S759" s="37"/>
    </row>
    <row r="760" spans="1:19" x14ac:dyDescent="0.3">
      <c r="A760" s="37">
        <v>225</v>
      </c>
      <c r="B760" s="37" t="s">
        <v>976</v>
      </c>
      <c r="C760" s="37" t="s">
        <v>251</v>
      </c>
      <c r="D760" s="37" t="s">
        <v>39</v>
      </c>
      <c r="E760" s="37" t="s">
        <v>22</v>
      </c>
      <c r="F760" s="42">
        <v>44592</v>
      </c>
      <c r="G760" s="37">
        <v>2022</v>
      </c>
      <c r="H760" s="37" t="s">
        <v>74</v>
      </c>
      <c r="I760" s="37" t="s">
        <v>24</v>
      </c>
      <c r="J760" s="37">
        <v>1</v>
      </c>
      <c r="K760" s="37">
        <v>0</v>
      </c>
      <c r="L760" s="65">
        <f t="shared" ref="L760:L791" si="72">IFERROR(IF(OR(J760=0,K760=""),"",IF(E760="Positivo",MIN(MAX(K760/J760,0),1.3),MIN(MAX(J760/K760,0),1.3))),"")</f>
        <v>0</v>
      </c>
      <c r="M760" s="65">
        <f t="shared" ref="M760:M791" si="73">IFERROR(IF(OR(J760=0,K760=""),"",IF(E760="Positivo",MAX(K760/J760,0),MAX(J760/K760,0))),"")</f>
        <v>0</v>
      </c>
      <c r="N760" s="37" t="s">
        <v>25</v>
      </c>
      <c r="O760" s="37" t="s">
        <v>25</v>
      </c>
      <c r="P760" s="37">
        <v>0</v>
      </c>
      <c r="Q760" s="37">
        <v>0</v>
      </c>
      <c r="R760" s="37" t="s">
        <v>977</v>
      </c>
      <c r="S760" s="37"/>
    </row>
    <row r="761" spans="1:19" x14ac:dyDescent="0.3">
      <c r="A761" s="37">
        <v>225</v>
      </c>
      <c r="B761" s="37" t="s">
        <v>976</v>
      </c>
      <c r="C761" s="37" t="s">
        <v>251</v>
      </c>
      <c r="D761" s="37" t="s">
        <v>39</v>
      </c>
      <c r="E761" s="37" t="s">
        <v>22</v>
      </c>
      <c r="F761" s="42">
        <v>44620</v>
      </c>
      <c r="G761" s="37">
        <v>2022</v>
      </c>
      <c r="H761" s="37" t="s">
        <v>76</v>
      </c>
      <c r="I761" s="37" t="s">
        <v>24</v>
      </c>
      <c r="J761" s="37">
        <v>1</v>
      </c>
      <c r="K761" s="37">
        <v>0</v>
      </c>
      <c r="L761" s="65">
        <f t="shared" si="72"/>
        <v>0</v>
      </c>
      <c r="M761" s="65">
        <f t="shared" si="73"/>
        <v>0</v>
      </c>
      <c r="N761" s="37" t="s">
        <v>25</v>
      </c>
      <c r="O761" s="37" t="s">
        <v>25</v>
      </c>
      <c r="P761" s="37">
        <v>0</v>
      </c>
      <c r="Q761" s="37">
        <v>0</v>
      </c>
      <c r="R761" s="37" t="s">
        <v>978</v>
      </c>
      <c r="S761" s="37"/>
    </row>
    <row r="762" spans="1:19" x14ac:dyDescent="0.3">
      <c r="A762" s="37">
        <v>225</v>
      </c>
      <c r="B762" s="37" t="s">
        <v>976</v>
      </c>
      <c r="C762" s="37" t="s">
        <v>251</v>
      </c>
      <c r="D762" s="37" t="s">
        <v>39</v>
      </c>
      <c r="E762" s="37" t="s">
        <v>22</v>
      </c>
      <c r="F762" s="42">
        <v>44651</v>
      </c>
      <c r="G762" s="37">
        <v>2022</v>
      </c>
      <c r="H762" s="37" t="s">
        <v>40</v>
      </c>
      <c r="I762" s="37" t="s">
        <v>24</v>
      </c>
      <c r="J762" s="37">
        <v>1</v>
      </c>
      <c r="K762" s="37">
        <v>0</v>
      </c>
      <c r="L762" s="65">
        <f t="shared" si="72"/>
        <v>0</v>
      </c>
      <c r="M762" s="65">
        <f t="shared" si="73"/>
        <v>0</v>
      </c>
      <c r="N762" s="37" t="s">
        <v>25</v>
      </c>
      <c r="O762" s="37" t="s">
        <v>25</v>
      </c>
      <c r="P762" s="37">
        <v>0</v>
      </c>
      <c r="Q762" s="37">
        <v>0</v>
      </c>
      <c r="R762" s="37" t="s">
        <v>979</v>
      </c>
      <c r="S762" s="37"/>
    </row>
    <row r="763" spans="1:19" x14ac:dyDescent="0.3">
      <c r="A763" s="37">
        <v>225</v>
      </c>
      <c r="B763" s="37" t="s">
        <v>976</v>
      </c>
      <c r="C763" s="37" t="s">
        <v>251</v>
      </c>
      <c r="D763" s="37" t="s">
        <v>39</v>
      </c>
      <c r="E763" s="37" t="s">
        <v>22</v>
      </c>
      <c r="F763" s="42">
        <v>44681</v>
      </c>
      <c r="G763" s="37">
        <v>2022</v>
      </c>
      <c r="H763" s="37" t="s">
        <v>79</v>
      </c>
      <c r="I763" s="37" t="s">
        <v>24</v>
      </c>
      <c r="J763" s="37">
        <v>1</v>
      </c>
      <c r="K763" s="37">
        <v>0</v>
      </c>
      <c r="L763" s="65">
        <f t="shared" si="72"/>
        <v>0</v>
      </c>
      <c r="M763" s="65">
        <f t="shared" si="73"/>
        <v>0</v>
      </c>
      <c r="N763" s="37" t="s">
        <v>25</v>
      </c>
      <c r="O763" s="37" t="s">
        <v>25</v>
      </c>
      <c r="P763" s="37">
        <v>0</v>
      </c>
      <c r="Q763" s="37">
        <v>0</v>
      </c>
      <c r="R763" s="37" t="s">
        <v>980</v>
      </c>
      <c r="S763" s="37"/>
    </row>
    <row r="764" spans="1:19" x14ac:dyDescent="0.3">
      <c r="A764" s="37">
        <v>225</v>
      </c>
      <c r="B764" s="37" t="s">
        <v>976</v>
      </c>
      <c r="C764" s="37" t="s">
        <v>251</v>
      </c>
      <c r="D764" s="37" t="s">
        <v>39</v>
      </c>
      <c r="E764" s="37" t="s">
        <v>22</v>
      </c>
      <c r="F764" s="42">
        <v>44712</v>
      </c>
      <c r="G764" s="37">
        <v>2022</v>
      </c>
      <c r="H764" s="37" t="s">
        <v>81</v>
      </c>
      <c r="I764" s="37" t="s">
        <v>24</v>
      </c>
      <c r="J764" s="37">
        <v>1</v>
      </c>
      <c r="K764" s="37">
        <v>0</v>
      </c>
      <c r="L764" s="65">
        <f t="shared" si="72"/>
        <v>0</v>
      </c>
      <c r="M764" s="65">
        <f t="shared" si="73"/>
        <v>0</v>
      </c>
      <c r="N764" s="37" t="s">
        <v>25</v>
      </c>
      <c r="O764" s="37" t="s">
        <v>25</v>
      </c>
      <c r="P764" s="37">
        <v>0</v>
      </c>
      <c r="Q764" s="37">
        <v>0</v>
      </c>
      <c r="R764" s="37" t="s">
        <v>981</v>
      </c>
      <c r="S764" s="37"/>
    </row>
    <row r="765" spans="1:19" x14ac:dyDescent="0.3">
      <c r="A765" s="37">
        <v>225</v>
      </c>
      <c r="B765" s="37" t="s">
        <v>976</v>
      </c>
      <c r="C765" s="37" t="s">
        <v>251</v>
      </c>
      <c r="D765" s="37" t="s">
        <v>39</v>
      </c>
      <c r="E765" s="37" t="s">
        <v>22</v>
      </c>
      <c r="F765" s="42">
        <v>44742</v>
      </c>
      <c r="G765" s="37">
        <v>2022</v>
      </c>
      <c r="H765" s="37" t="s">
        <v>23</v>
      </c>
      <c r="I765" s="37" t="s">
        <v>24</v>
      </c>
      <c r="J765" s="37">
        <v>1</v>
      </c>
      <c r="K765" s="37">
        <v>0</v>
      </c>
      <c r="L765" s="65">
        <f t="shared" si="72"/>
        <v>0</v>
      </c>
      <c r="M765" s="65">
        <f t="shared" si="73"/>
        <v>0</v>
      </c>
      <c r="N765" s="37" t="s">
        <v>25</v>
      </c>
      <c r="O765" s="37" t="s">
        <v>25</v>
      </c>
      <c r="P765" s="37">
        <v>0</v>
      </c>
      <c r="Q765" s="37">
        <v>0</v>
      </c>
      <c r="R765" s="37" t="s">
        <v>982</v>
      </c>
      <c r="S765" s="37"/>
    </row>
    <row r="766" spans="1:19" x14ac:dyDescent="0.3">
      <c r="A766" s="37">
        <v>225</v>
      </c>
      <c r="B766" s="37" t="s">
        <v>976</v>
      </c>
      <c r="C766" s="37" t="s">
        <v>251</v>
      </c>
      <c r="D766" s="37" t="s">
        <v>39</v>
      </c>
      <c r="E766" s="37" t="s">
        <v>22</v>
      </c>
      <c r="F766" s="42">
        <v>44773</v>
      </c>
      <c r="G766" s="37">
        <v>2022</v>
      </c>
      <c r="H766" s="37" t="s">
        <v>84</v>
      </c>
      <c r="I766" s="37" t="s">
        <v>28</v>
      </c>
      <c r="J766" s="37">
        <v>1</v>
      </c>
      <c r="K766" s="37">
        <v>0</v>
      </c>
      <c r="L766" s="65">
        <f t="shared" si="72"/>
        <v>0</v>
      </c>
      <c r="M766" s="65">
        <f t="shared" si="73"/>
        <v>0</v>
      </c>
      <c r="N766" s="37" t="s">
        <v>25</v>
      </c>
      <c r="O766" s="37" t="s">
        <v>25</v>
      </c>
      <c r="P766" s="37">
        <v>0</v>
      </c>
      <c r="Q766" s="37">
        <v>0</v>
      </c>
      <c r="R766" s="37" t="s">
        <v>983</v>
      </c>
      <c r="S766" s="37"/>
    </row>
    <row r="767" spans="1:19" x14ac:dyDescent="0.3">
      <c r="A767" s="37">
        <v>225</v>
      </c>
      <c r="B767" s="37" t="s">
        <v>976</v>
      </c>
      <c r="C767" s="37" t="s">
        <v>251</v>
      </c>
      <c r="D767" s="37" t="s">
        <v>39</v>
      </c>
      <c r="E767" s="37" t="s">
        <v>22</v>
      </c>
      <c r="F767" s="42">
        <v>44804</v>
      </c>
      <c r="G767" s="37">
        <v>2022</v>
      </c>
      <c r="H767" s="37" t="s">
        <v>86</v>
      </c>
      <c r="I767" s="37" t="s">
        <v>28</v>
      </c>
      <c r="J767" s="37">
        <v>1</v>
      </c>
      <c r="K767" s="37">
        <v>0</v>
      </c>
      <c r="L767" s="65">
        <f t="shared" si="72"/>
        <v>0</v>
      </c>
      <c r="M767" s="65">
        <f t="shared" si="73"/>
        <v>0</v>
      </c>
      <c r="N767" s="37" t="s">
        <v>25</v>
      </c>
      <c r="O767" s="37" t="s">
        <v>25</v>
      </c>
      <c r="P767" s="37">
        <v>0</v>
      </c>
      <c r="Q767" s="37">
        <v>0</v>
      </c>
      <c r="R767" s="37" t="s">
        <v>984</v>
      </c>
      <c r="S767" s="37"/>
    </row>
    <row r="768" spans="1:19" x14ac:dyDescent="0.3">
      <c r="A768" s="37">
        <v>225</v>
      </c>
      <c r="B768" s="37" t="s">
        <v>976</v>
      </c>
      <c r="C768" s="37" t="s">
        <v>251</v>
      </c>
      <c r="D768" s="37" t="s">
        <v>39</v>
      </c>
      <c r="E768" s="37" t="s">
        <v>22</v>
      </c>
      <c r="F768" s="42">
        <v>44834</v>
      </c>
      <c r="G768" s="37">
        <v>2022</v>
      </c>
      <c r="H768" s="37" t="s">
        <v>43</v>
      </c>
      <c r="I768" s="37" t="s">
        <v>28</v>
      </c>
      <c r="J768" s="37">
        <v>1</v>
      </c>
      <c r="K768" s="37">
        <v>0</v>
      </c>
      <c r="L768" s="65">
        <f t="shared" si="72"/>
        <v>0</v>
      </c>
      <c r="M768" s="65">
        <f t="shared" si="73"/>
        <v>0</v>
      </c>
      <c r="N768" s="37" t="s">
        <v>25</v>
      </c>
      <c r="O768" s="37" t="s">
        <v>25</v>
      </c>
      <c r="P768" s="37">
        <v>0</v>
      </c>
      <c r="Q768" s="37">
        <v>0</v>
      </c>
      <c r="R768" s="37" t="s">
        <v>985</v>
      </c>
      <c r="S768" s="37"/>
    </row>
    <row r="769" spans="1:19" x14ac:dyDescent="0.3">
      <c r="A769" s="37">
        <v>225</v>
      </c>
      <c r="B769" s="37" t="s">
        <v>976</v>
      </c>
      <c r="C769" s="37" t="s">
        <v>251</v>
      </c>
      <c r="D769" s="37" t="s">
        <v>39</v>
      </c>
      <c r="E769" s="37" t="s">
        <v>22</v>
      </c>
      <c r="F769" s="42">
        <v>44865</v>
      </c>
      <c r="G769" s="37">
        <v>2022</v>
      </c>
      <c r="H769" s="37" t="s">
        <v>89</v>
      </c>
      <c r="I769" s="37" t="s">
        <v>28</v>
      </c>
      <c r="J769" s="37">
        <v>1</v>
      </c>
      <c r="K769" s="37">
        <v>0</v>
      </c>
      <c r="L769" s="65">
        <f t="shared" si="72"/>
        <v>0</v>
      </c>
      <c r="M769" s="65">
        <f t="shared" si="73"/>
        <v>0</v>
      </c>
      <c r="N769" s="37" t="s">
        <v>25</v>
      </c>
      <c r="O769" s="37" t="s">
        <v>25</v>
      </c>
      <c r="P769" s="37">
        <v>0</v>
      </c>
      <c r="Q769" s="37">
        <v>0</v>
      </c>
      <c r="R769" s="37" t="s">
        <v>986</v>
      </c>
      <c r="S769" s="37"/>
    </row>
    <row r="770" spans="1:19" x14ac:dyDescent="0.3">
      <c r="A770" s="37">
        <v>225</v>
      </c>
      <c r="B770" s="37" t="s">
        <v>976</v>
      </c>
      <c r="C770" s="37" t="s">
        <v>251</v>
      </c>
      <c r="D770" s="37" t="s">
        <v>39</v>
      </c>
      <c r="E770" s="37" t="s">
        <v>22</v>
      </c>
      <c r="F770" s="42">
        <v>44895</v>
      </c>
      <c r="G770" s="37">
        <v>2022</v>
      </c>
      <c r="H770" s="37" t="s">
        <v>91</v>
      </c>
      <c r="I770" s="37" t="s">
        <v>28</v>
      </c>
      <c r="J770" s="37">
        <v>1</v>
      </c>
      <c r="K770" s="37">
        <v>0</v>
      </c>
      <c r="L770" s="65">
        <f t="shared" si="72"/>
        <v>0</v>
      </c>
      <c r="M770" s="65">
        <f t="shared" si="73"/>
        <v>0</v>
      </c>
      <c r="N770" s="37" t="s">
        <v>25</v>
      </c>
      <c r="O770" s="37" t="s">
        <v>25</v>
      </c>
      <c r="P770" s="37">
        <v>0</v>
      </c>
      <c r="Q770" s="37">
        <v>0</v>
      </c>
      <c r="R770" s="37" t="s">
        <v>987</v>
      </c>
      <c r="S770" s="37"/>
    </row>
    <row r="771" spans="1:19" x14ac:dyDescent="0.3">
      <c r="A771" s="37">
        <v>225</v>
      </c>
      <c r="B771" s="37" t="s">
        <v>976</v>
      </c>
      <c r="C771" s="37" t="s">
        <v>251</v>
      </c>
      <c r="D771" s="37" t="s">
        <v>39</v>
      </c>
      <c r="E771" s="37" t="s">
        <v>22</v>
      </c>
      <c r="F771" s="42">
        <v>44926</v>
      </c>
      <c r="G771" s="37">
        <v>2022</v>
      </c>
      <c r="H771" s="37" t="s">
        <v>27</v>
      </c>
      <c r="I771" s="37" t="s">
        <v>28</v>
      </c>
      <c r="J771" s="37">
        <v>1</v>
      </c>
      <c r="K771" s="37">
        <v>0</v>
      </c>
      <c r="L771" s="65">
        <f t="shared" si="72"/>
        <v>0</v>
      </c>
      <c r="M771" s="65">
        <f t="shared" si="73"/>
        <v>0</v>
      </c>
      <c r="N771" s="37" t="s">
        <v>25</v>
      </c>
      <c r="O771" s="37" t="s">
        <v>25</v>
      </c>
      <c r="P771" s="37">
        <v>0</v>
      </c>
      <c r="Q771" s="37">
        <v>0</v>
      </c>
      <c r="R771" s="37" t="s">
        <v>988</v>
      </c>
      <c r="S771" s="37"/>
    </row>
    <row r="772" spans="1:19" x14ac:dyDescent="0.3">
      <c r="A772" s="36">
        <v>225</v>
      </c>
      <c r="B772" s="37" t="s">
        <v>976</v>
      </c>
      <c r="C772" s="37" t="s">
        <v>251</v>
      </c>
      <c r="D772" s="37" t="s">
        <v>73</v>
      </c>
      <c r="E772" s="37" t="s">
        <v>22</v>
      </c>
      <c r="F772" s="42">
        <v>44957</v>
      </c>
      <c r="G772" s="37">
        <v>2023</v>
      </c>
      <c r="H772" s="37" t="s">
        <v>74</v>
      </c>
      <c r="I772" s="39" t="s">
        <v>30</v>
      </c>
      <c r="J772" s="37">
        <v>1</v>
      </c>
      <c r="K772" s="56">
        <v>25</v>
      </c>
      <c r="L772" s="65">
        <f t="shared" si="72"/>
        <v>1.3</v>
      </c>
      <c r="M772" s="65">
        <f t="shared" si="73"/>
        <v>25</v>
      </c>
      <c r="N772" s="37" t="s">
        <v>203</v>
      </c>
      <c r="O772" s="37" t="s">
        <v>203</v>
      </c>
      <c r="P772" s="40">
        <v>0</v>
      </c>
      <c r="Q772" s="40">
        <v>0</v>
      </c>
      <c r="R772" s="37" t="s">
        <v>989</v>
      </c>
      <c r="S772" s="37"/>
    </row>
    <row r="773" spans="1:19" x14ac:dyDescent="0.3">
      <c r="A773" s="36">
        <v>225</v>
      </c>
      <c r="B773" s="37" t="s">
        <v>976</v>
      </c>
      <c r="C773" s="37" t="s">
        <v>251</v>
      </c>
      <c r="D773" s="37" t="s">
        <v>73</v>
      </c>
      <c r="E773" s="37" t="s">
        <v>22</v>
      </c>
      <c r="F773" s="38">
        <v>44985</v>
      </c>
      <c r="G773" s="37">
        <v>2023</v>
      </c>
      <c r="H773" s="37" t="s">
        <v>76</v>
      </c>
      <c r="I773" s="39" t="s">
        <v>30</v>
      </c>
      <c r="J773" s="37">
        <v>1</v>
      </c>
      <c r="K773" s="56">
        <v>20</v>
      </c>
      <c r="L773" s="65">
        <f t="shared" si="72"/>
        <v>1.3</v>
      </c>
      <c r="M773" s="65">
        <f t="shared" si="73"/>
        <v>20</v>
      </c>
      <c r="N773" s="37" t="s">
        <v>203</v>
      </c>
      <c r="O773" s="37" t="s">
        <v>203</v>
      </c>
      <c r="P773" s="40">
        <v>0</v>
      </c>
      <c r="Q773" s="40">
        <v>0</v>
      </c>
      <c r="R773" s="37" t="s">
        <v>990</v>
      </c>
      <c r="S773" s="37"/>
    </row>
    <row r="774" spans="1:19" x14ac:dyDescent="0.3">
      <c r="A774" s="36">
        <v>225</v>
      </c>
      <c r="B774" s="37" t="s">
        <v>976</v>
      </c>
      <c r="C774" s="37" t="s">
        <v>251</v>
      </c>
      <c r="D774" s="37" t="s">
        <v>73</v>
      </c>
      <c r="E774" s="37" t="s">
        <v>22</v>
      </c>
      <c r="F774" s="42">
        <v>45016</v>
      </c>
      <c r="G774" s="37">
        <v>2023</v>
      </c>
      <c r="H774" s="37" t="s">
        <v>40</v>
      </c>
      <c r="I774" s="39" t="s">
        <v>30</v>
      </c>
      <c r="J774" s="37">
        <v>1</v>
      </c>
      <c r="K774" s="56">
        <v>19</v>
      </c>
      <c r="L774" s="65">
        <f t="shared" si="72"/>
        <v>1.3</v>
      </c>
      <c r="M774" s="65">
        <f t="shared" si="73"/>
        <v>19</v>
      </c>
      <c r="N774" s="37" t="s">
        <v>203</v>
      </c>
      <c r="O774" s="37" t="s">
        <v>203</v>
      </c>
      <c r="P774" s="40">
        <v>0</v>
      </c>
      <c r="Q774" s="40">
        <v>0</v>
      </c>
      <c r="R774" s="37" t="s">
        <v>991</v>
      </c>
      <c r="S774" s="37"/>
    </row>
    <row r="775" spans="1:19" x14ac:dyDescent="0.3">
      <c r="A775" s="36">
        <v>225</v>
      </c>
      <c r="B775" s="37" t="s">
        <v>976</v>
      </c>
      <c r="C775" s="37" t="s">
        <v>251</v>
      </c>
      <c r="D775" s="37" t="s">
        <v>73</v>
      </c>
      <c r="E775" s="37" t="s">
        <v>22</v>
      </c>
      <c r="F775" s="42">
        <v>45046</v>
      </c>
      <c r="G775" s="37">
        <v>2023</v>
      </c>
      <c r="H775" s="37" t="s">
        <v>79</v>
      </c>
      <c r="I775" s="39" t="s">
        <v>30</v>
      </c>
      <c r="J775" s="37">
        <v>1</v>
      </c>
      <c r="K775" s="56">
        <v>20</v>
      </c>
      <c r="L775" s="65">
        <f t="shared" si="72"/>
        <v>1.3</v>
      </c>
      <c r="M775" s="65">
        <f t="shared" si="73"/>
        <v>20</v>
      </c>
      <c r="N775" s="37" t="s">
        <v>203</v>
      </c>
      <c r="O775" s="37" t="s">
        <v>203</v>
      </c>
      <c r="P775" s="40">
        <v>0</v>
      </c>
      <c r="Q775" s="40">
        <v>0</v>
      </c>
      <c r="R775" s="37" t="s">
        <v>992</v>
      </c>
      <c r="S775" s="37"/>
    </row>
    <row r="776" spans="1:19" x14ac:dyDescent="0.3">
      <c r="A776" s="36">
        <v>225</v>
      </c>
      <c r="B776" s="37" t="s">
        <v>976</v>
      </c>
      <c r="C776" s="37" t="s">
        <v>251</v>
      </c>
      <c r="D776" s="37" t="s">
        <v>73</v>
      </c>
      <c r="E776" s="37" t="s">
        <v>22</v>
      </c>
      <c r="F776" s="42">
        <v>45077</v>
      </c>
      <c r="G776" s="37">
        <v>2023</v>
      </c>
      <c r="H776" s="37" t="s">
        <v>81</v>
      </c>
      <c r="I776" s="39" t="s">
        <v>30</v>
      </c>
      <c r="J776" s="37">
        <v>1</v>
      </c>
      <c r="K776" s="56">
        <v>23</v>
      </c>
      <c r="L776" s="65">
        <f t="shared" si="72"/>
        <v>1.3</v>
      </c>
      <c r="M776" s="65">
        <f t="shared" si="73"/>
        <v>23</v>
      </c>
      <c r="N776" s="37" t="s">
        <v>203</v>
      </c>
      <c r="O776" s="37" t="s">
        <v>203</v>
      </c>
      <c r="P776" s="40">
        <v>0</v>
      </c>
      <c r="Q776" s="40">
        <v>0</v>
      </c>
      <c r="R776" s="37" t="s">
        <v>993</v>
      </c>
      <c r="S776" s="37"/>
    </row>
    <row r="777" spans="1:19" x14ac:dyDescent="0.3">
      <c r="A777" s="36">
        <v>225</v>
      </c>
      <c r="B777" s="37" t="s">
        <v>976</v>
      </c>
      <c r="C777" s="37" t="s">
        <v>251</v>
      </c>
      <c r="D777" s="37" t="s">
        <v>73</v>
      </c>
      <c r="E777" s="37" t="s">
        <v>22</v>
      </c>
      <c r="F777" s="42">
        <v>45107</v>
      </c>
      <c r="G777" s="37">
        <v>2023</v>
      </c>
      <c r="H777" s="37" t="s">
        <v>23</v>
      </c>
      <c r="I777" s="39" t="s">
        <v>30</v>
      </c>
      <c r="J777" s="37">
        <v>1</v>
      </c>
      <c r="K777" s="56">
        <v>19</v>
      </c>
      <c r="L777" s="65">
        <f t="shared" si="72"/>
        <v>1.3</v>
      </c>
      <c r="M777" s="65">
        <f t="shared" si="73"/>
        <v>19</v>
      </c>
      <c r="N777" s="37" t="s">
        <v>203</v>
      </c>
      <c r="O777" s="37" t="s">
        <v>203</v>
      </c>
      <c r="P777" s="40">
        <v>0</v>
      </c>
      <c r="Q777" s="40">
        <v>0</v>
      </c>
      <c r="R777" s="37" t="s">
        <v>994</v>
      </c>
      <c r="S777" s="37"/>
    </row>
    <row r="778" spans="1:19" x14ac:dyDescent="0.3">
      <c r="A778" s="36">
        <v>225</v>
      </c>
      <c r="B778" s="37" t="s">
        <v>976</v>
      </c>
      <c r="C778" s="37" t="s">
        <v>251</v>
      </c>
      <c r="D778" s="37" t="s">
        <v>73</v>
      </c>
      <c r="E778" s="37" t="s">
        <v>22</v>
      </c>
      <c r="F778" s="42">
        <v>45138</v>
      </c>
      <c r="G778" s="37">
        <v>2023</v>
      </c>
      <c r="H778" s="37" t="s">
        <v>84</v>
      </c>
      <c r="I778" s="39" t="s">
        <v>32</v>
      </c>
      <c r="J778" s="37">
        <v>1</v>
      </c>
      <c r="K778" s="56">
        <v>20</v>
      </c>
      <c r="L778" s="65">
        <f t="shared" si="72"/>
        <v>1.3</v>
      </c>
      <c r="M778" s="65">
        <f t="shared" si="73"/>
        <v>20</v>
      </c>
      <c r="N778" s="37" t="s">
        <v>203</v>
      </c>
      <c r="O778" s="37" t="s">
        <v>203</v>
      </c>
      <c r="P778" s="40">
        <v>0</v>
      </c>
      <c r="Q778" s="40">
        <v>0</v>
      </c>
      <c r="R778" s="37" t="s">
        <v>995</v>
      </c>
      <c r="S778" s="37"/>
    </row>
    <row r="779" spans="1:19" x14ac:dyDescent="0.3">
      <c r="A779" s="36">
        <v>225</v>
      </c>
      <c r="B779" s="37" t="s">
        <v>976</v>
      </c>
      <c r="C779" s="37" t="s">
        <v>251</v>
      </c>
      <c r="D779" s="37" t="s">
        <v>73</v>
      </c>
      <c r="E779" s="37" t="s">
        <v>22</v>
      </c>
      <c r="F779" s="42">
        <v>45169</v>
      </c>
      <c r="G779" s="37">
        <v>2023</v>
      </c>
      <c r="H779" s="37" t="s">
        <v>86</v>
      </c>
      <c r="I779" s="39" t="s">
        <v>32</v>
      </c>
      <c r="J779" s="37">
        <v>1</v>
      </c>
      <c r="K779" s="56">
        <v>23</v>
      </c>
      <c r="L779" s="65">
        <f t="shared" si="72"/>
        <v>1.3</v>
      </c>
      <c r="M779" s="65">
        <f t="shared" si="73"/>
        <v>23</v>
      </c>
      <c r="N779" s="37" t="s">
        <v>203</v>
      </c>
      <c r="O779" s="37" t="s">
        <v>203</v>
      </c>
      <c r="P779" s="40">
        <v>0</v>
      </c>
      <c r="Q779" s="40">
        <v>0</v>
      </c>
      <c r="R779" s="37" t="s">
        <v>996</v>
      </c>
      <c r="S779" s="37"/>
    </row>
    <row r="780" spans="1:19" x14ac:dyDescent="0.3">
      <c r="A780" s="36">
        <v>225</v>
      </c>
      <c r="B780" s="37" t="s">
        <v>976</v>
      </c>
      <c r="C780" s="37" t="s">
        <v>251</v>
      </c>
      <c r="D780" s="37" t="s">
        <v>73</v>
      </c>
      <c r="E780" s="37" t="s">
        <v>22</v>
      </c>
      <c r="F780" s="42">
        <v>45199</v>
      </c>
      <c r="G780" s="37">
        <v>2023</v>
      </c>
      <c r="H780" s="37" t="s">
        <v>43</v>
      </c>
      <c r="I780" s="39" t="s">
        <v>32</v>
      </c>
      <c r="J780" s="37">
        <v>1</v>
      </c>
      <c r="K780" s="56">
        <v>21</v>
      </c>
      <c r="L780" s="65">
        <f t="shared" si="72"/>
        <v>1.3</v>
      </c>
      <c r="M780" s="65">
        <f t="shared" si="73"/>
        <v>21</v>
      </c>
      <c r="N780" s="37" t="s">
        <v>203</v>
      </c>
      <c r="O780" s="37" t="s">
        <v>203</v>
      </c>
      <c r="P780" s="40">
        <v>0</v>
      </c>
      <c r="Q780" s="40">
        <v>0</v>
      </c>
      <c r="R780" s="37" t="s">
        <v>997</v>
      </c>
      <c r="S780" s="37"/>
    </row>
    <row r="781" spans="1:19" x14ac:dyDescent="0.3">
      <c r="A781" s="41">
        <v>225</v>
      </c>
      <c r="B781" s="37" t="s">
        <v>976</v>
      </c>
      <c r="C781" s="37" t="s">
        <v>251</v>
      </c>
      <c r="D781" s="37" t="s">
        <v>73</v>
      </c>
      <c r="E781" s="37" t="s">
        <v>22</v>
      </c>
      <c r="F781" s="42">
        <v>45230</v>
      </c>
      <c r="G781" s="37">
        <v>2023</v>
      </c>
      <c r="H781" s="37" t="s">
        <v>89</v>
      </c>
      <c r="I781" s="39" t="s">
        <v>32</v>
      </c>
      <c r="J781" s="37">
        <v>1</v>
      </c>
      <c r="K781" s="56">
        <v>19</v>
      </c>
      <c r="L781" s="65">
        <f t="shared" si="72"/>
        <v>1.3</v>
      </c>
      <c r="M781" s="65">
        <f t="shared" si="73"/>
        <v>19</v>
      </c>
      <c r="N781" s="37" t="s">
        <v>203</v>
      </c>
      <c r="O781" s="37" t="s">
        <v>203</v>
      </c>
      <c r="P781" s="40">
        <v>0</v>
      </c>
      <c r="Q781" s="40">
        <v>0</v>
      </c>
      <c r="R781" s="37" t="s">
        <v>998</v>
      </c>
      <c r="S781" s="37"/>
    </row>
    <row r="782" spans="1:19" x14ac:dyDescent="0.3">
      <c r="A782" s="41">
        <v>225</v>
      </c>
      <c r="B782" s="37" t="s">
        <v>976</v>
      </c>
      <c r="C782" s="37" t="s">
        <v>251</v>
      </c>
      <c r="D782" s="37" t="s">
        <v>73</v>
      </c>
      <c r="E782" s="37" t="s">
        <v>22</v>
      </c>
      <c r="F782" s="42">
        <v>45260</v>
      </c>
      <c r="G782" s="37">
        <v>2023</v>
      </c>
      <c r="H782" s="37" t="s">
        <v>91</v>
      </c>
      <c r="I782" s="39" t="s">
        <v>32</v>
      </c>
      <c r="J782" s="37">
        <v>1</v>
      </c>
      <c r="K782" s="56">
        <v>18</v>
      </c>
      <c r="L782" s="65">
        <f t="shared" si="72"/>
        <v>1.3</v>
      </c>
      <c r="M782" s="65">
        <f t="shared" si="73"/>
        <v>18</v>
      </c>
      <c r="N782" s="37" t="s">
        <v>203</v>
      </c>
      <c r="O782" s="37" t="s">
        <v>203</v>
      </c>
      <c r="P782" s="40">
        <v>0</v>
      </c>
      <c r="Q782" s="40">
        <v>0</v>
      </c>
      <c r="R782" s="37" t="s">
        <v>999</v>
      </c>
      <c r="S782" s="37"/>
    </row>
    <row r="783" spans="1:19" x14ac:dyDescent="0.3">
      <c r="A783" s="41">
        <v>225</v>
      </c>
      <c r="B783" s="37" t="s">
        <v>976</v>
      </c>
      <c r="C783" s="37" t="s">
        <v>251</v>
      </c>
      <c r="D783" s="37" t="s">
        <v>73</v>
      </c>
      <c r="E783" s="37" t="s">
        <v>22</v>
      </c>
      <c r="F783" s="42">
        <v>45291</v>
      </c>
      <c r="G783" s="37">
        <v>2023</v>
      </c>
      <c r="H783" s="37" t="s">
        <v>27</v>
      </c>
      <c r="I783" s="39" t="s">
        <v>32</v>
      </c>
      <c r="J783" s="37">
        <v>1</v>
      </c>
      <c r="K783" s="56">
        <v>18</v>
      </c>
      <c r="L783" s="65">
        <f t="shared" si="72"/>
        <v>1.3</v>
      </c>
      <c r="M783" s="65">
        <f t="shared" si="73"/>
        <v>18</v>
      </c>
      <c r="N783" s="37" t="s">
        <v>203</v>
      </c>
      <c r="O783" s="37" t="s">
        <v>203</v>
      </c>
      <c r="P783" s="40">
        <v>0</v>
      </c>
      <c r="Q783" s="40">
        <v>0</v>
      </c>
      <c r="R783" s="37" t="s">
        <v>1000</v>
      </c>
      <c r="S783" s="37"/>
    </row>
    <row r="784" spans="1:19" x14ac:dyDescent="0.3">
      <c r="A784" s="36">
        <v>225</v>
      </c>
      <c r="B784" s="37" t="s">
        <v>976</v>
      </c>
      <c r="C784" s="37" t="s">
        <v>251</v>
      </c>
      <c r="D784" s="37" t="s">
        <v>73</v>
      </c>
      <c r="E784" s="37" t="s">
        <v>22</v>
      </c>
      <c r="F784" s="42">
        <v>45322</v>
      </c>
      <c r="G784" s="37">
        <v>2024</v>
      </c>
      <c r="H784" s="37" t="s">
        <v>74</v>
      </c>
      <c r="I784" s="39" t="s">
        <v>34</v>
      </c>
      <c r="J784" s="37">
        <v>1</v>
      </c>
      <c r="K784" s="56">
        <v>20</v>
      </c>
      <c r="L784" s="65">
        <f t="shared" si="72"/>
        <v>1.3</v>
      </c>
      <c r="M784" s="65">
        <f t="shared" si="73"/>
        <v>20</v>
      </c>
      <c r="N784" s="37" t="s">
        <v>203</v>
      </c>
      <c r="O784" s="37" t="s">
        <v>203</v>
      </c>
      <c r="P784" s="40">
        <v>0</v>
      </c>
      <c r="Q784" s="40">
        <v>0</v>
      </c>
      <c r="R784" s="37" t="s">
        <v>1001</v>
      </c>
      <c r="S784" s="37"/>
    </row>
    <row r="785" spans="1:19" x14ac:dyDescent="0.3">
      <c r="A785" s="36">
        <v>225</v>
      </c>
      <c r="B785" s="37" t="s">
        <v>976</v>
      </c>
      <c r="C785" s="37" t="s">
        <v>251</v>
      </c>
      <c r="D785" s="37" t="s">
        <v>73</v>
      </c>
      <c r="E785" s="37" t="s">
        <v>22</v>
      </c>
      <c r="F785" s="42">
        <v>45351</v>
      </c>
      <c r="G785" s="37">
        <v>2024</v>
      </c>
      <c r="H785" s="37" t="s">
        <v>76</v>
      </c>
      <c r="I785" s="39" t="s">
        <v>34</v>
      </c>
      <c r="J785" s="37">
        <v>1</v>
      </c>
      <c r="K785" s="43">
        <v>19</v>
      </c>
      <c r="L785" s="65">
        <f t="shared" si="72"/>
        <v>1.3</v>
      </c>
      <c r="M785" s="65">
        <f t="shared" si="73"/>
        <v>19</v>
      </c>
      <c r="N785" s="37" t="s">
        <v>203</v>
      </c>
      <c r="O785" s="37" t="s">
        <v>203</v>
      </c>
      <c r="P785" s="40">
        <v>0</v>
      </c>
      <c r="Q785" s="40">
        <v>0</v>
      </c>
      <c r="R785" s="37" t="s">
        <v>1002</v>
      </c>
      <c r="S785" s="37"/>
    </row>
    <row r="786" spans="1:19" x14ac:dyDescent="0.3">
      <c r="A786" s="36">
        <v>225</v>
      </c>
      <c r="B786" s="37" t="s">
        <v>976</v>
      </c>
      <c r="C786" s="37" t="s">
        <v>251</v>
      </c>
      <c r="D786" s="37" t="s">
        <v>73</v>
      </c>
      <c r="E786" s="37" t="s">
        <v>22</v>
      </c>
      <c r="F786" s="42">
        <v>45382</v>
      </c>
      <c r="G786" s="37">
        <v>2024</v>
      </c>
      <c r="H786" s="37" t="s">
        <v>40</v>
      </c>
      <c r="I786" s="39" t="s">
        <v>34</v>
      </c>
      <c r="J786" s="37">
        <v>1</v>
      </c>
      <c r="K786" s="56">
        <v>23</v>
      </c>
      <c r="L786" s="65">
        <f t="shared" si="72"/>
        <v>1.3</v>
      </c>
      <c r="M786" s="65">
        <f t="shared" si="73"/>
        <v>23</v>
      </c>
      <c r="N786" s="37" t="s">
        <v>203</v>
      </c>
      <c r="O786" s="37" t="s">
        <v>203</v>
      </c>
      <c r="P786" s="40">
        <v>0</v>
      </c>
      <c r="Q786" s="40">
        <v>0</v>
      </c>
      <c r="R786" s="37" t="s">
        <v>1003</v>
      </c>
      <c r="S786" s="37"/>
    </row>
    <row r="787" spans="1:19" x14ac:dyDescent="0.3">
      <c r="A787" s="36">
        <v>225</v>
      </c>
      <c r="B787" s="37" t="s">
        <v>976</v>
      </c>
      <c r="C787" s="37" t="s">
        <v>251</v>
      </c>
      <c r="D787" s="37" t="s">
        <v>73</v>
      </c>
      <c r="E787" s="37" t="s">
        <v>22</v>
      </c>
      <c r="F787" s="42">
        <v>45412</v>
      </c>
      <c r="G787" s="37">
        <v>2024</v>
      </c>
      <c r="H787" s="37" t="s">
        <v>79</v>
      </c>
      <c r="I787" s="39" t="s">
        <v>34</v>
      </c>
      <c r="J787" s="37">
        <v>1</v>
      </c>
      <c r="K787" s="56">
        <v>20</v>
      </c>
      <c r="L787" s="65">
        <f t="shared" si="72"/>
        <v>1.3</v>
      </c>
      <c r="M787" s="65">
        <f t="shared" si="73"/>
        <v>20</v>
      </c>
      <c r="N787" s="37" t="s">
        <v>203</v>
      </c>
      <c r="O787" s="37" t="s">
        <v>203</v>
      </c>
      <c r="P787" s="40">
        <v>0</v>
      </c>
      <c r="Q787" s="40">
        <v>0</v>
      </c>
      <c r="R787" s="37" t="s">
        <v>1004</v>
      </c>
      <c r="S787" s="37"/>
    </row>
    <row r="788" spans="1:19" x14ac:dyDescent="0.3">
      <c r="A788" s="36">
        <v>225</v>
      </c>
      <c r="B788" s="37" t="s">
        <v>976</v>
      </c>
      <c r="C788" s="37" t="s">
        <v>251</v>
      </c>
      <c r="D788" s="37" t="s">
        <v>73</v>
      </c>
      <c r="E788" s="37" t="s">
        <v>22</v>
      </c>
      <c r="F788" s="42">
        <v>45443</v>
      </c>
      <c r="G788" s="37">
        <v>2024</v>
      </c>
      <c r="H788" s="37" t="s">
        <v>81</v>
      </c>
      <c r="I788" s="39" t="s">
        <v>34</v>
      </c>
      <c r="J788" s="37">
        <v>1</v>
      </c>
      <c r="K788" s="56">
        <v>20</v>
      </c>
      <c r="L788" s="65">
        <f t="shared" si="72"/>
        <v>1.3</v>
      </c>
      <c r="M788" s="65">
        <f t="shared" si="73"/>
        <v>20</v>
      </c>
      <c r="N788" s="37" t="s">
        <v>203</v>
      </c>
      <c r="O788" s="37" t="s">
        <v>203</v>
      </c>
      <c r="P788" s="40">
        <v>0</v>
      </c>
      <c r="Q788" s="40">
        <v>0</v>
      </c>
      <c r="R788" s="37" t="s">
        <v>1005</v>
      </c>
      <c r="S788" s="37"/>
    </row>
    <row r="789" spans="1:19" x14ac:dyDescent="0.3">
      <c r="A789" s="36">
        <v>225</v>
      </c>
      <c r="B789" s="37" t="s">
        <v>976</v>
      </c>
      <c r="C789" s="37" t="s">
        <v>251</v>
      </c>
      <c r="D789" s="37" t="s">
        <v>73</v>
      </c>
      <c r="E789" s="37" t="s">
        <v>22</v>
      </c>
      <c r="F789" s="42">
        <v>45473</v>
      </c>
      <c r="G789" s="37">
        <v>2024</v>
      </c>
      <c r="H789" s="37" t="s">
        <v>23</v>
      </c>
      <c r="I789" s="39" t="s">
        <v>34</v>
      </c>
      <c r="J789" s="37">
        <v>1</v>
      </c>
      <c r="K789" s="56">
        <v>21</v>
      </c>
      <c r="L789" s="65">
        <f t="shared" si="72"/>
        <v>1.3</v>
      </c>
      <c r="M789" s="65">
        <f t="shared" si="73"/>
        <v>21</v>
      </c>
      <c r="N789" s="37" t="s">
        <v>203</v>
      </c>
      <c r="O789" s="37" t="s">
        <v>203</v>
      </c>
      <c r="P789" s="40">
        <v>0</v>
      </c>
      <c r="Q789" s="40">
        <v>0</v>
      </c>
      <c r="R789" s="37" t="s">
        <v>1006</v>
      </c>
      <c r="S789" s="37"/>
    </row>
    <row r="790" spans="1:19" x14ac:dyDescent="0.3">
      <c r="A790" s="36">
        <v>225</v>
      </c>
      <c r="B790" s="37" t="s">
        <v>976</v>
      </c>
      <c r="C790" s="37" t="s">
        <v>251</v>
      </c>
      <c r="D790" s="37" t="s">
        <v>73</v>
      </c>
      <c r="E790" s="37" t="s">
        <v>22</v>
      </c>
      <c r="F790" s="42">
        <v>45504</v>
      </c>
      <c r="G790" s="37">
        <v>2024</v>
      </c>
      <c r="H790" s="37" t="s">
        <v>84</v>
      </c>
      <c r="I790" s="39" t="s">
        <v>36</v>
      </c>
      <c r="J790" s="37">
        <v>1</v>
      </c>
      <c r="K790" s="56">
        <v>20</v>
      </c>
      <c r="L790" s="65">
        <f t="shared" si="72"/>
        <v>1.3</v>
      </c>
      <c r="M790" s="65">
        <f t="shared" si="73"/>
        <v>20</v>
      </c>
      <c r="N790" s="37" t="s">
        <v>203</v>
      </c>
      <c r="O790" s="37" t="s">
        <v>203</v>
      </c>
      <c r="P790" s="40">
        <v>0</v>
      </c>
      <c r="Q790" s="40">
        <v>0</v>
      </c>
      <c r="R790" s="37" t="s">
        <v>1007</v>
      </c>
      <c r="S790" s="37"/>
    </row>
    <row r="791" spans="1:19" x14ac:dyDescent="0.3">
      <c r="A791" s="36">
        <v>225</v>
      </c>
      <c r="B791" s="37" t="s">
        <v>976</v>
      </c>
      <c r="C791" s="37" t="s">
        <v>251</v>
      </c>
      <c r="D791" s="37" t="s">
        <v>73</v>
      </c>
      <c r="E791" s="37" t="s">
        <v>22</v>
      </c>
      <c r="F791" s="42">
        <v>45535</v>
      </c>
      <c r="G791" s="37">
        <v>2024</v>
      </c>
      <c r="H791" s="37" t="s">
        <v>86</v>
      </c>
      <c r="I791" s="39" t="s">
        <v>36</v>
      </c>
      <c r="J791" s="37">
        <v>1</v>
      </c>
      <c r="K791" s="56">
        <v>21</v>
      </c>
      <c r="L791" s="65">
        <f t="shared" si="72"/>
        <v>1.3</v>
      </c>
      <c r="M791" s="65">
        <f t="shared" si="73"/>
        <v>21</v>
      </c>
      <c r="N791" s="37" t="s">
        <v>203</v>
      </c>
      <c r="O791" s="37" t="s">
        <v>203</v>
      </c>
      <c r="P791" s="40">
        <v>0</v>
      </c>
      <c r="Q791" s="40">
        <v>0</v>
      </c>
      <c r="R791" s="37" t="s">
        <v>1008</v>
      </c>
      <c r="S791" s="37"/>
    </row>
    <row r="792" spans="1:19" x14ac:dyDescent="0.3">
      <c r="A792" s="36">
        <v>225</v>
      </c>
      <c r="B792" s="37" t="s">
        <v>976</v>
      </c>
      <c r="C792" s="37" t="s">
        <v>251</v>
      </c>
      <c r="D792" s="37" t="s">
        <v>73</v>
      </c>
      <c r="E792" s="37" t="s">
        <v>22</v>
      </c>
      <c r="F792" s="42">
        <v>45565</v>
      </c>
      <c r="G792" s="37">
        <v>2024</v>
      </c>
      <c r="H792" s="37" t="s">
        <v>43</v>
      </c>
      <c r="I792" s="39" t="s">
        <v>36</v>
      </c>
      <c r="J792" s="37">
        <v>1</v>
      </c>
      <c r="K792" s="56">
        <v>22</v>
      </c>
      <c r="L792" s="65">
        <f t="shared" ref="L792:L798" si="74">IFERROR(IF(OR(J792=0,K792=""),"",IF(E792="Positivo",MIN(MAX(K792/J792,0),1.3),MIN(MAX(J792/K792,0),1.3))),"")</f>
        <v>1.3</v>
      </c>
      <c r="M792" s="65">
        <f t="shared" ref="M792:M798" si="75">IFERROR(IF(OR(J792=0,K792=""),"",IF(E792="Positivo",MAX(K792/J792,0),MAX(J792/K792,0))),"")</f>
        <v>22</v>
      </c>
      <c r="N792" s="37" t="s">
        <v>203</v>
      </c>
      <c r="O792" s="37" t="s">
        <v>203</v>
      </c>
      <c r="P792" s="40">
        <v>0</v>
      </c>
      <c r="Q792" s="40">
        <v>0</v>
      </c>
      <c r="R792" s="37" t="s">
        <v>1009</v>
      </c>
      <c r="S792" s="37"/>
    </row>
    <row r="793" spans="1:19" x14ac:dyDescent="0.3">
      <c r="A793" s="41">
        <v>225</v>
      </c>
      <c r="B793" s="37" t="s">
        <v>976</v>
      </c>
      <c r="C793" s="37" t="s">
        <v>251</v>
      </c>
      <c r="D793" s="37" t="s">
        <v>73</v>
      </c>
      <c r="E793" s="37" t="s">
        <v>22</v>
      </c>
      <c r="F793" s="42">
        <v>45596</v>
      </c>
      <c r="G793" s="37">
        <v>2024</v>
      </c>
      <c r="H793" s="37" t="s">
        <v>89</v>
      </c>
      <c r="I793" s="39" t="s">
        <v>36</v>
      </c>
      <c r="J793" s="37">
        <v>1</v>
      </c>
      <c r="K793" s="56">
        <v>20</v>
      </c>
      <c r="L793" s="65">
        <f t="shared" si="74"/>
        <v>1.3</v>
      </c>
      <c r="M793" s="65">
        <f t="shared" si="75"/>
        <v>20</v>
      </c>
      <c r="N793" s="37" t="s">
        <v>203</v>
      </c>
      <c r="O793" s="37" t="s">
        <v>203</v>
      </c>
      <c r="P793" s="40">
        <v>0</v>
      </c>
      <c r="Q793" s="40">
        <v>0</v>
      </c>
      <c r="R793" s="37" t="s">
        <v>1010</v>
      </c>
      <c r="S793" s="37"/>
    </row>
    <row r="794" spans="1:19" x14ac:dyDescent="0.3">
      <c r="A794" s="41">
        <v>225</v>
      </c>
      <c r="B794" s="37" t="s">
        <v>976</v>
      </c>
      <c r="C794" s="37" t="s">
        <v>251</v>
      </c>
      <c r="D794" s="37" t="s">
        <v>73</v>
      </c>
      <c r="E794" s="37" t="s">
        <v>22</v>
      </c>
      <c r="F794" s="42">
        <v>45626</v>
      </c>
      <c r="G794" s="37">
        <v>2024</v>
      </c>
      <c r="H794" s="37" t="s">
        <v>91</v>
      </c>
      <c r="I794" s="39" t="s">
        <v>36</v>
      </c>
      <c r="J794" s="37">
        <v>1</v>
      </c>
      <c r="K794" s="56">
        <v>22</v>
      </c>
      <c r="L794" s="65">
        <f t="shared" si="74"/>
        <v>1.3</v>
      </c>
      <c r="M794" s="65">
        <f t="shared" si="75"/>
        <v>22</v>
      </c>
      <c r="N794" s="37" t="s">
        <v>203</v>
      </c>
      <c r="O794" s="37" t="s">
        <v>203</v>
      </c>
      <c r="P794" s="40">
        <v>0</v>
      </c>
      <c r="Q794" s="40">
        <v>0</v>
      </c>
      <c r="R794" s="37" t="s">
        <v>1011</v>
      </c>
      <c r="S794" s="37"/>
    </row>
    <row r="795" spans="1:19" x14ac:dyDescent="0.3">
      <c r="A795" s="41">
        <v>225</v>
      </c>
      <c r="B795" s="37" t="s">
        <v>976</v>
      </c>
      <c r="C795" s="37" t="s">
        <v>251</v>
      </c>
      <c r="D795" s="37" t="s">
        <v>73</v>
      </c>
      <c r="E795" s="37" t="s">
        <v>22</v>
      </c>
      <c r="F795" s="42">
        <v>45657</v>
      </c>
      <c r="G795" s="37">
        <v>2024</v>
      </c>
      <c r="H795" s="37" t="s">
        <v>27</v>
      </c>
      <c r="I795" s="39" t="s">
        <v>36</v>
      </c>
      <c r="J795" s="37">
        <v>1</v>
      </c>
      <c r="K795" s="56">
        <v>18</v>
      </c>
      <c r="L795" s="65">
        <f t="shared" si="74"/>
        <v>1.3</v>
      </c>
      <c r="M795" s="65">
        <f t="shared" si="75"/>
        <v>18</v>
      </c>
      <c r="N795" s="37" t="s">
        <v>203</v>
      </c>
      <c r="O795" s="37" t="s">
        <v>203</v>
      </c>
      <c r="P795" s="40">
        <v>0</v>
      </c>
      <c r="Q795" s="40">
        <v>0</v>
      </c>
      <c r="R795" s="37" t="s">
        <v>1012</v>
      </c>
      <c r="S795" s="37"/>
    </row>
    <row r="796" spans="1:19" x14ac:dyDescent="0.3">
      <c r="A796" s="37">
        <v>226</v>
      </c>
      <c r="B796" s="37" t="s">
        <v>1025</v>
      </c>
      <c r="C796" s="37" t="s">
        <v>251</v>
      </c>
      <c r="D796" s="37" t="s">
        <v>139</v>
      </c>
      <c r="E796" s="37" t="s">
        <v>22</v>
      </c>
      <c r="F796" s="42">
        <v>44926</v>
      </c>
      <c r="G796" s="37">
        <v>2022</v>
      </c>
      <c r="H796" s="37" t="s">
        <v>27</v>
      </c>
      <c r="I796" s="39" t="s">
        <v>28</v>
      </c>
      <c r="J796" s="37">
        <v>2</v>
      </c>
      <c r="K796" s="37">
        <v>476.4899959564209</v>
      </c>
      <c r="L796" s="65">
        <f t="shared" si="74"/>
        <v>1.3</v>
      </c>
      <c r="M796" s="65">
        <f t="shared" si="75"/>
        <v>238.24499797821045</v>
      </c>
      <c r="N796" s="37" t="s">
        <v>203</v>
      </c>
      <c r="O796" s="37" t="s">
        <v>203</v>
      </c>
      <c r="P796" s="37">
        <v>0</v>
      </c>
      <c r="Q796" s="37">
        <v>0</v>
      </c>
      <c r="R796" s="37" t="s">
        <v>1026</v>
      </c>
      <c r="S796" s="37"/>
    </row>
    <row r="797" spans="1:19" x14ac:dyDescent="0.3">
      <c r="A797" s="37">
        <v>226</v>
      </c>
      <c r="B797" s="37" t="s">
        <v>1025</v>
      </c>
      <c r="C797" s="37" t="s">
        <v>251</v>
      </c>
      <c r="D797" s="37" t="s">
        <v>139</v>
      </c>
      <c r="E797" s="37" t="s">
        <v>22</v>
      </c>
      <c r="F797" s="42">
        <v>45291</v>
      </c>
      <c r="G797" s="37">
        <v>2023</v>
      </c>
      <c r="H797" s="37" t="s">
        <v>27</v>
      </c>
      <c r="I797" s="37" t="s">
        <v>32</v>
      </c>
      <c r="J797" s="37">
        <v>2</v>
      </c>
      <c r="K797" s="37">
        <v>622.69000000000005</v>
      </c>
      <c r="L797" s="65">
        <f t="shared" si="74"/>
        <v>1.3</v>
      </c>
      <c r="M797" s="65">
        <f t="shared" si="75"/>
        <v>311.34500000000003</v>
      </c>
      <c r="N797" s="37" t="s">
        <v>25</v>
      </c>
      <c r="O797" s="37" t="s">
        <v>25</v>
      </c>
      <c r="P797" s="37">
        <v>0</v>
      </c>
      <c r="Q797" s="37">
        <v>0</v>
      </c>
      <c r="R797" s="37" t="s">
        <v>1027</v>
      </c>
      <c r="S797" s="37"/>
    </row>
    <row r="798" spans="1:19" x14ac:dyDescent="0.3">
      <c r="A798" s="37">
        <v>226</v>
      </c>
      <c r="B798" s="37" t="s">
        <v>1025</v>
      </c>
      <c r="C798" s="37" t="s">
        <v>251</v>
      </c>
      <c r="D798" s="37" t="s">
        <v>139</v>
      </c>
      <c r="E798" s="37" t="s">
        <v>22</v>
      </c>
      <c r="F798" s="42">
        <v>45657</v>
      </c>
      <c r="G798" s="37">
        <v>2024</v>
      </c>
      <c r="H798" s="37" t="s">
        <v>27</v>
      </c>
      <c r="I798" s="37" t="s">
        <v>36</v>
      </c>
      <c r="J798" s="37">
        <v>2</v>
      </c>
      <c r="K798" s="37">
        <v>3531.11</v>
      </c>
      <c r="L798" s="65">
        <f t="shared" si="74"/>
        <v>1.3</v>
      </c>
      <c r="M798" s="65">
        <f t="shared" si="75"/>
        <v>1765.5550000000001</v>
      </c>
      <c r="N798" s="37" t="s">
        <v>25</v>
      </c>
      <c r="O798" s="37" t="s">
        <v>25</v>
      </c>
      <c r="P798" s="37">
        <v>0</v>
      </c>
      <c r="Q798" s="37">
        <v>0</v>
      </c>
      <c r="R798" s="37" t="s">
        <v>1028</v>
      </c>
      <c r="S798" s="37"/>
    </row>
    <row r="799" spans="1:19" x14ac:dyDescent="0.3">
      <c r="A799" s="37">
        <v>227</v>
      </c>
      <c r="B799" s="37" t="s">
        <v>1029</v>
      </c>
      <c r="C799" s="37" t="s">
        <v>251</v>
      </c>
      <c r="D799" s="37" t="s">
        <v>139</v>
      </c>
      <c r="E799" s="37" t="s">
        <v>56</v>
      </c>
      <c r="F799" s="42">
        <v>44926</v>
      </c>
      <c r="G799" s="37">
        <v>2022</v>
      </c>
      <c r="H799" s="37" t="s">
        <v>27</v>
      </c>
      <c r="I799" s="39" t="s">
        <v>28</v>
      </c>
      <c r="J799" s="37">
        <v>0.3</v>
      </c>
      <c r="K799" s="37">
        <v>0.01</v>
      </c>
      <c r="L799" s="65">
        <f>IFERROR(IF(OR(J799=0,K799=""),"",IF(E799="Positivo",MIN(MAX(K799/J799,0),1.3),MIN(MAX(J799/K799,0),1.3))),"")</f>
        <v>1.3</v>
      </c>
      <c r="M799" s="65">
        <f>IFERROR(IF(OR(J799=0,K799=""),"",IF(E799="Positivo",MAX(K799/J799,0),MAX(J799/K799,0))),"")</f>
        <v>30</v>
      </c>
      <c r="N799" s="37" t="s">
        <v>203</v>
      </c>
      <c r="O799" s="37" t="s">
        <v>203</v>
      </c>
      <c r="P799" s="37">
        <v>0</v>
      </c>
      <c r="Q799" s="37">
        <v>0</v>
      </c>
      <c r="R799" s="37" t="s">
        <v>1030</v>
      </c>
      <c r="S799" s="37"/>
    </row>
    <row r="800" spans="1:19" x14ac:dyDescent="0.3">
      <c r="A800" s="37">
        <v>227</v>
      </c>
      <c r="B800" s="37" t="s">
        <v>1029</v>
      </c>
      <c r="C800" s="37" t="s">
        <v>251</v>
      </c>
      <c r="D800" s="37" t="s">
        <v>139</v>
      </c>
      <c r="E800" s="37" t="s">
        <v>56</v>
      </c>
      <c r="F800" s="42">
        <v>45291</v>
      </c>
      <c r="G800" s="37">
        <v>2023</v>
      </c>
      <c r="H800" s="37" t="s">
        <v>27</v>
      </c>
      <c r="I800" s="37" t="s">
        <v>32</v>
      </c>
      <c r="J800" s="37">
        <v>0.3</v>
      </c>
      <c r="K800" s="37">
        <v>0.01</v>
      </c>
      <c r="L800" s="65">
        <f>IFERROR(IF(OR(J800=0,K800=""),"",IF(E800="Positivo",MIN(MAX(K800/J800,0),1.3),MIN(MAX(J800/K800,0),1.3))),"")</f>
        <v>1.3</v>
      </c>
      <c r="M800" s="65">
        <f>IFERROR(IF(OR(J800=0,K800=""),"",IF(E800="Positivo",MAX(K800/J800,0),MAX(J800/K800,0))),"")</f>
        <v>30</v>
      </c>
      <c r="N800" s="37" t="s">
        <v>25</v>
      </c>
      <c r="O800" s="37" t="s">
        <v>25</v>
      </c>
      <c r="P800" s="37">
        <v>0</v>
      </c>
      <c r="Q800" s="37">
        <v>0</v>
      </c>
      <c r="R800" s="37" t="s">
        <v>1031</v>
      </c>
      <c r="S800" s="37"/>
    </row>
    <row r="801" spans="1:19" x14ac:dyDescent="0.3">
      <c r="A801" s="36">
        <v>227</v>
      </c>
      <c r="B801" s="37" t="s">
        <v>1029</v>
      </c>
      <c r="C801" s="37" t="s">
        <v>251</v>
      </c>
      <c r="D801" s="37" t="s">
        <v>139</v>
      </c>
      <c r="E801" s="37" t="s">
        <v>56</v>
      </c>
      <c r="F801" s="42">
        <v>45657</v>
      </c>
      <c r="G801" s="37">
        <v>2024</v>
      </c>
      <c r="H801" s="37" t="s">
        <v>27</v>
      </c>
      <c r="I801" s="39" t="s">
        <v>36</v>
      </c>
      <c r="J801" s="37">
        <v>0.3</v>
      </c>
      <c r="K801" s="43">
        <v>3531.11</v>
      </c>
      <c r="L801" s="65">
        <f>IFERROR(IF(OR(J801=0,K801=""),"",IF(E801="Positivo",MIN(MAX(K801/J801,0),1.3),MIN(MAX(J801/K801,0),1.3))),"")</f>
        <v>8.495912050318455E-5</v>
      </c>
      <c r="M801" s="65">
        <f>IFERROR(IF(OR(J801=0,K801=""),"",IF(E801="Positivo",MAX(K801/J801,0),MAX(J801/K801,0))),"")</f>
        <v>8.495912050318455E-5</v>
      </c>
      <c r="N801" s="37"/>
      <c r="O801" s="37"/>
      <c r="P801" s="40">
        <v>0</v>
      </c>
      <c r="Q801" s="40">
        <v>0</v>
      </c>
      <c r="R801" s="37" t="s">
        <v>1032</v>
      </c>
      <c r="S801" s="37"/>
    </row>
    <row r="802" spans="1:19" x14ac:dyDescent="0.3">
      <c r="A802" s="41">
        <v>228</v>
      </c>
      <c r="B802" s="37" t="s">
        <v>1033</v>
      </c>
      <c r="C802" s="37" t="s">
        <v>251</v>
      </c>
      <c r="D802" s="37" t="s">
        <v>139</v>
      </c>
      <c r="E802" s="37" t="s">
        <v>22</v>
      </c>
      <c r="F802" s="42">
        <v>44926</v>
      </c>
      <c r="G802" s="37">
        <v>2022</v>
      </c>
      <c r="H802" s="37" t="s">
        <v>27</v>
      </c>
      <c r="I802" s="39" t="s">
        <v>28</v>
      </c>
      <c r="J802" s="37">
        <v>100</v>
      </c>
      <c r="K802" s="37">
        <v>100.10703267644649</v>
      </c>
      <c r="L802" s="65">
        <f t="shared" ref="L802:L822" si="76">IFERROR(IF(OR(J802=0,K802=""),"",IF(E802="Positivo",MIN(MAX(K802/J802,0),1.3),MIN(MAX(J802/K802,0),1.3))),"")</f>
        <v>1.0010703267644649</v>
      </c>
      <c r="M802" s="65">
        <f t="shared" ref="M802:M822" si="77">IFERROR(IF(OR(J802=0,K802=""),"",IF(E802="Positivo",MAX(K802/J802,0),MAX(J802/K802,0))),"")</f>
        <v>1.0010703267644649</v>
      </c>
      <c r="N802" s="37" t="s">
        <v>1034</v>
      </c>
      <c r="O802" s="37" t="s">
        <v>1034</v>
      </c>
      <c r="P802" s="40">
        <v>0</v>
      </c>
      <c r="Q802" s="40">
        <v>0</v>
      </c>
      <c r="R802" s="37" t="s">
        <v>1035</v>
      </c>
      <c r="S802" s="37"/>
    </row>
    <row r="803" spans="1:19" x14ac:dyDescent="0.3">
      <c r="A803" s="37">
        <v>228</v>
      </c>
      <c r="B803" s="37" t="s">
        <v>1033</v>
      </c>
      <c r="C803" s="37" t="s">
        <v>251</v>
      </c>
      <c r="D803" s="37" t="s">
        <v>139</v>
      </c>
      <c r="E803" s="37" t="s">
        <v>22</v>
      </c>
      <c r="F803" s="42">
        <v>45291</v>
      </c>
      <c r="G803" s="37">
        <v>2023</v>
      </c>
      <c r="H803" s="37" t="s">
        <v>27</v>
      </c>
      <c r="I803" s="39" t="s">
        <v>32</v>
      </c>
      <c r="J803" s="37">
        <v>100</v>
      </c>
      <c r="K803" s="37">
        <v>100</v>
      </c>
      <c r="L803" s="65">
        <f t="shared" si="76"/>
        <v>1</v>
      </c>
      <c r="M803" s="65">
        <f t="shared" si="77"/>
        <v>1</v>
      </c>
      <c r="N803" s="37" t="s">
        <v>1034</v>
      </c>
      <c r="O803" s="37" t="s">
        <v>1034</v>
      </c>
      <c r="P803" s="37">
        <v>1</v>
      </c>
      <c r="Q803" s="37">
        <v>1</v>
      </c>
      <c r="R803" s="37" t="s">
        <v>1036</v>
      </c>
      <c r="S803" s="37"/>
    </row>
    <row r="804" spans="1:19" x14ac:dyDescent="0.3">
      <c r="A804" s="36">
        <v>228</v>
      </c>
      <c r="B804" s="37" t="s">
        <v>1033</v>
      </c>
      <c r="C804" s="37" t="s">
        <v>251</v>
      </c>
      <c r="D804" s="37" t="s">
        <v>139</v>
      </c>
      <c r="E804" s="37" t="s">
        <v>22</v>
      </c>
      <c r="F804" s="42">
        <v>45657</v>
      </c>
      <c r="G804" s="37">
        <v>2024</v>
      </c>
      <c r="H804" s="37" t="s">
        <v>27</v>
      </c>
      <c r="I804" s="39" t="s">
        <v>36</v>
      </c>
      <c r="J804" s="37">
        <v>100</v>
      </c>
      <c r="K804" s="37">
        <v>3531.11</v>
      </c>
      <c r="L804" s="65">
        <f t="shared" si="76"/>
        <v>1.3</v>
      </c>
      <c r="M804" s="65">
        <f t="shared" si="77"/>
        <v>35.311100000000003</v>
      </c>
      <c r="N804" s="37" t="s">
        <v>1034</v>
      </c>
      <c r="O804" s="37" t="s">
        <v>1034</v>
      </c>
      <c r="P804" s="40">
        <v>1</v>
      </c>
      <c r="Q804" s="40">
        <v>1</v>
      </c>
      <c r="R804" s="37" t="s">
        <v>1037</v>
      </c>
      <c r="S804" s="37"/>
    </row>
    <row r="805" spans="1:19" x14ac:dyDescent="0.3">
      <c r="A805" s="36">
        <v>230</v>
      </c>
      <c r="B805" s="37" t="s">
        <v>1038</v>
      </c>
      <c r="C805" s="37" t="s">
        <v>251</v>
      </c>
      <c r="D805" s="37" t="s">
        <v>21</v>
      </c>
      <c r="E805" s="37" t="s">
        <v>22</v>
      </c>
      <c r="F805" s="38">
        <v>45107</v>
      </c>
      <c r="G805" s="37">
        <v>2023</v>
      </c>
      <c r="H805" s="37" t="s">
        <v>23</v>
      </c>
      <c r="I805" s="39" t="s">
        <v>30</v>
      </c>
      <c r="J805" s="37">
        <v>90</v>
      </c>
      <c r="K805" s="56">
        <v>100</v>
      </c>
      <c r="L805" s="65">
        <f t="shared" si="76"/>
        <v>1.1111111111111112</v>
      </c>
      <c r="M805" s="65">
        <f t="shared" si="77"/>
        <v>1.1111111111111112</v>
      </c>
      <c r="N805" s="37" t="s">
        <v>25</v>
      </c>
      <c r="O805" s="37" t="s">
        <v>25</v>
      </c>
      <c r="P805" s="40">
        <v>0</v>
      </c>
      <c r="Q805" s="40">
        <v>0</v>
      </c>
      <c r="R805" s="37" t="s">
        <v>1039</v>
      </c>
      <c r="S805" s="37"/>
    </row>
    <row r="806" spans="1:19" x14ac:dyDescent="0.3">
      <c r="A806" s="37">
        <v>230</v>
      </c>
      <c r="B806" s="37" t="s">
        <v>1038</v>
      </c>
      <c r="C806" s="37" t="s">
        <v>251</v>
      </c>
      <c r="D806" s="37" t="s">
        <v>21</v>
      </c>
      <c r="E806" s="37" t="s">
        <v>22</v>
      </c>
      <c r="F806" s="42">
        <v>45291</v>
      </c>
      <c r="G806" s="37">
        <v>2023</v>
      </c>
      <c r="H806" s="37" t="s">
        <v>27</v>
      </c>
      <c r="I806" s="37" t="s">
        <v>32</v>
      </c>
      <c r="J806" s="37">
        <v>90</v>
      </c>
      <c r="K806" s="37">
        <v>100</v>
      </c>
      <c r="L806" s="65">
        <f t="shared" si="76"/>
        <v>1.1111111111111112</v>
      </c>
      <c r="M806" s="65">
        <f t="shared" si="77"/>
        <v>1.1111111111111112</v>
      </c>
      <c r="N806" s="37" t="s">
        <v>25</v>
      </c>
      <c r="O806" s="37" t="s">
        <v>25</v>
      </c>
      <c r="P806" s="37">
        <v>0</v>
      </c>
      <c r="Q806" s="37">
        <v>0</v>
      </c>
      <c r="R806" s="37" t="s">
        <v>1040</v>
      </c>
      <c r="S806" s="37"/>
    </row>
    <row r="807" spans="1:19" x14ac:dyDescent="0.3">
      <c r="A807" s="37">
        <v>230</v>
      </c>
      <c r="B807" s="37" t="s">
        <v>1038</v>
      </c>
      <c r="C807" s="37" t="s">
        <v>251</v>
      </c>
      <c r="D807" s="37" t="s">
        <v>21</v>
      </c>
      <c r="E807" s="37" t="s">
        <v>22</v>
      </c>
      <c r="F807" s="42">
        <v>45473</v>
      </c>
      <c r="G807" s="37">
        <v>2024</v>
      </c>
      <c r="H807" s="37" t="s">
        <v>23</v>
      </c>
      <c r="I807" s="39" t="s">
        <v>34</v>
      </c>
      <c r="J807" s="37">
        <v>90</v>
      </c>
      <c r="K807" s="37">
        <v>100</v>
      </c>
      <c r="L807" s="65">
        <f t="shared" si="76"/>
        <v>1.1111111111111112</v>
      </c>
      <c r="M807" s="65">
        <f t="shared" si="77"/>
        <v>1.1111111111111112</v>
      </c>
      <c r="N807" s="37" t="s">
        <v>25</v>
      </c>
      <c r="O807" s="37" t="s">
        <v>25</v>
      </c>
      <c r="P807" s="37">
        <v>0</v>
      </c>
      <c r="Q807" s="37">
        <v>0</v>
      </c>
      <c r="R807" s="37" t="s">
        <v>1041</v>
      </c>
      <c r="S807" s="37"/>
    </row>
    <row r="808" spans="1:19" x14ac:dyDescent="0.3">
      <c r="A808" s="36">
        <v>230</v>
      </c>
      <c r="B808" s="37" t="s">
        <v>1038</v>
      </c>
      <c r="C808" s="37" t="s">
        <v>251</v>
      </c>
      <c r="D808" s="37" t="s">
        <v>21</v>
      </c>
      <c r="E808" s="37" t="s">
        <v>22</v>
      </c>
      <c r="F808" s="42">
        <v>45657</v>
      </c>
      <c r="G808" s="37">
        <v>2024</v>
      </c>
      <c r="H808" s="37" t="s">
        <v>27</v>
      </c>
      <c r="I808" s="39" t="s">
        <v>36</v>
      </c>
      <c r="J808" s="37">
        <v>90</v>
      </c>
      <c r="K808" s="43">
        <v>100</v>
      </c>
      <c r="L808" s="65">
        <f t="shared" si="76"/>
        <v>1.1111111111111112</v>
      </c>
      <c r="M808" s="65">
        <f t="shared" si="77"/>
        <v>1.1111111111111112</v>
      </c>
      <c r="N808" s="37" t="s">
        <v>25</v>
      </c>
      <c r="O808" s="37" t="s">
        <v>25</v>
      </c>
      <c r="P808" s="40">
        <v>0</v>
      </c>
      <c r="Q808" s="40">
        <v>0</v>
      </c>
      <c r="R808" s="37" t="s">
        <v>1042</v>
      </c>
      <c r="S808" s="37"/>
    </row>
    <row r="809" spans="1:19" x14ac:dyDescent="0.3">
      <c r="A809" s="36">
        <v>231</v>
      </c>
      <c r="B809" s="37" t="s">
        <v>1043</v>
      </c>
      <c r="C809" s="37" t="s">
        <v>251</v>
      </c>
      <c r="D809" s="37" t="s">
        <v>21</v>
      </c>
      <c r="E809" s="37" t="s">
        <v>22</v>
      </c>
      <c r="F809" s="38">
        <v>45107</v>
      </c>
      <c r="G809" s="37">
        <v>2023</v>
      </c>
      <c r="H809" s="37" t="s">
        <v>23</v>
      </c>
      <c r="I809" s="39" t="s">
        <v>30</v>
      </c>
      <c r="J809" s="37">
        <v>2516</v>
      </c>
      <c r="K809" s="56">
        <v>1021</v>
      </c>
      <c r="L809" s="65">
        <f t="shared" si="76"/>
        <v>0.40580286168521462</v>
      </c>
      <c r="M809" s="65">
        <f t="shared" si="77"/>
        <v>0.40580286168521462</v>
      </c>
      <c r="N809" s="37" t="s">
        <v>25</v>
      </c>
      <c r="O809" s="37" t="s">
        <v>25</v>
      </c>
      <c r="P809" s="40">
        <v>0</v>
      </c>
      <c r="Q809" s="40">
        <v>0</v>
      </c>
      <c r="R809" s="37" t="s">
        <v>1044</v>
      </c>
      <c r="S809" s="37"/>
    </row>
    <row r="810" spans="1:19" x14ac:dyDescent="0.3">
      <c r="A810" s="37">
        <v>231</v>
      </c>
      <c r="B810" s="37" t="s">
        <v>1043</v>
      </c>
      <c r="C810" s="37" t="s">
        <v>251</v>
      </c>
      <c r="D810" s="37" t="s">
        <v>21</v>
      </c>
      <c r="E810" s="37" t="s">
        <v>22</v>
      </c>
      <c r="F810" s="42">
        <v>45291</v>
      </c>
      <c r="G810" s="37">
        <v>2023</v>
      </c>
      <c r="H810" s="37" t="s">
        <v>27</v>
      </c>
      <c r="I810" s="37" t="s">
        <v>32</v>
      </c>
      <c r="J810" s="37">
        <v>450</v>
      </c>
      <c r="K810" s="37">
        <v>434</v>
      </c>
      <c r="L810" s="65">
        <f t="shared" si="76"/>
        <v>0.96444444444444444</v>
      </c>
      <c r="M810" s="65">
        <f t="shared" si="77"/>
        <v>0.96444444444444444</v>
      </c>
      <c r="N810" s="37" t="s">
        <v>25</v>
      </c>
      <c r="O810" s="37" t="s">
        <v>25</v>
      </c>
      <c r="P810" s="37">
        <v>0</v>
      </c>
      <c r="Q810" s="37">
        <v>0</v>
      </c>
      <c r="R810" s="37" t="s">
        <v>1045</v>
      </c>
      <c r="S810" s="37"/>
    </row>
    <row r="811" spans="1:19" x14ac:dyDescent="0.3">
      <c r="A811" s="37">
        <v>231</v>
      </c>
      <c r="B811" s="37" t="s">
        <v>1043</v>
      </c>
      <c r="C811" s="37" t="s">
        <v>251</v>
      </c>
      <c r="D811" s="37" t="s">
        <v>21</v>
      </c>
      <c r="E811" s="37" t="s">
        <v>22</v>
      </c>
      <c r="F811" s="42">
        <v>45473</v>
      </c>
      <c r="G811" s="37">
        <v>2024</v>
      </c>
      <c r="H811" s="37" t="s">
        <v>23</v>
      </c>
      <c r="I811" s="39" t="s">
        <v>34</v>
      </c>
      <c r="J811" s="37">
        <v>1016</v>
      </c>
      <c r="K811" s="37">
        <v>983</v>
      </c>
      <c r="L811" s="65">
        <f t="shared" si="76"/>
        <v>0.96751968503937003</v>
      </c>
      <c r="M811" s="65">
        <f t="shared" si="77"/>
        <v>0.96751968503937003</v>
      </c>
      <c r="N811" s="37" t="s">
        <v>25</v>
      </c>
      <c r="O811" s="37" t="s">
        <v>25</v>
      </c>
      <c r="P811" s="37">
        <v>0</v>
      </c>
      <c r="Q811" s="37">
        <v>0</v>
      </c>
      <c r="R811" s="37" t="s">
        <v>1046</v>
      </c>
      <c r="S811" s="37"/>
    </row>
    <row r="812" spans="1:19" x14ac:dyDescent="0.3">
      <c r="A812" s="36">
        <v>231</v>
      </c>
      <c r="B812" s="37" t="s">
        <v>1043</v>
      </c>
      <c r="C812" s="37" t="s">
        <v>251</v>
      </c>
      <c r="D812" s="37" t="s">
        <v>21</v>
      </c>
      <c r="E812" s="37" t="s">
        <v>22</v>
      </c>
      <c r="F812" s="42">
        <v>45657</v>
      </c>
      <c r="G812" s="37">
        <v>2024</v>
      </c>
      <c r="H812" s="37" t="s">
        <v>27</v>
      </c>
      <c r="I812" s="39" t="s">
        <v>36</v>
      </c>
      <c r="J812" s="37">
        <v>1528</v>
      </c>
      <c r="K812" s="43">
        <v>1592</v>
      </c>
      <c r="L812" s="65">
        <f t="shared" si="76"/>
        <v>1.0418848167539267</v>
      </c>
      <c r="M812" s="65">
        <f t="shared" si="77"/>
        <v>1.0418848167539267</v>
      </c>
      <c r="N812" s="37" t="s">
        <v>25</v>
      </c>
      <c r="O812" s="37" t="s">
        <v>25</v>
      </c>
      <c r="P812" s="40">
        <v>0</v>
      </c>
      <c r="Q812" s="40">
        <v>0</v>
      </c>
      <c r="R812" s="37" t="s">
        <v>1047</v>
      </c>
      <c r="S812" s="37"/>
    </row>
    <row r="813" spans="1:19" x14ac:dyDescent="0.3">
      <c r="A813" s="36">
        <v>232</v>
      </c>
      <c r="B813" s="37" t="s">
        <v>1048</v>
      </c>
      <c r="C813" s="37" t="s">
        <v>251</v>
      </c>
      <c r="D813" s="37" t="s">
        <v>21</v>
      </c>
      <c r="E813" s="37" t="s">
        <v>22</v>
      </c>
      <c r="F813" s="38">
        <v>45107</v>
      </c>
      <c r="G813" s="37">
        <v>2023</v>
      </c>
      <c r="H813" s="37" t="s">
        <v>23</v>
      </c>
      <c r="I813" s="39" t="s">
        <v>30</v>
      </c>
      <c r="J813" s="37">
        <v>21</v>
      </c>
      <c r="K813" s="56">
        <v>21</v>
      </c>
      <c r="L813" s="65">
        <f t="shared" si="76"/>
        <v>1</v>
      </c>
      <c r="M813" s="65">
        <f t="shared" si="77"/>
        <v>1</v>
      </c>
      <c r="N813" s="37" t="s">
        <v>25</v>
      </c>
      <c r="O813" s="37" t="s">
        <v>25</v>
      </c>
      <c r="P813" s="40">
        <v>0</v>
      </c>
      <c r="Q813" s="40">
        <v>0</v>
      </c>
      <c r="R813" s="37" t="s">
        <v>1049</v>
      </c>
      <c r="S813" s="37"/>
    </row>
    <row r="814" spans="1:19" x14ac:dyDescent="0.3">
      <c r="A814" s="37">
        <v>232</v>
      </c>
      <c r="B814" s="37" t="s">
        <v>1048</v>
      </c>
      <c r="C814" s="37" t="s">
        <v>251</v>
      </c>
      <c r="D814" s="37" t="s">
        <v>21</v>
      </c>
      <c r="E814" s="37" t="s">
        <v>22</v>
      </c>
      <c r="F814" s="42">
        <v>45291</v>
      </c>
      <c r="G814" s="37">
        <v>2023</v>
      </c>
      <c r="H814" s="37" t="s">
        <v>27</v>
      </c>
      <c r="I814" s="37" t="s">
        <v>32</v>
      </c>
      <c r="J814" s="37">
        <v>23</v>
      </c>
      <c r="K814" s="37">
        <v>21</v>
      </c>
      <c r="L814" s="65">
        <f t="shared" si="76"/>
        <v>0.91304347826086951</v>
      </c>
      <c r="M814" s="65">
        <f t="shared" si="77"/>
        <v>0.91304347826086951</v>
      </c>
      <c r="N814" s="37" t="s">
        <v>25</v>
      </c>
      <c r="O814" s="37" t="s">
        <v>25</v>
      </c>
      <c r="P814" s="37">
        <v>0</v>
      </c>
      <c r="Q814" s="37">
        <v>0</v>
      </c>
      <c r="R814" s="37" t="s">
        <v>1050</v>
      </c>
      <c r="S814" s="37"/>
    </row>
    <row r="815" spans="1:19" x14ac:dyDescent="0.3">
      <c r="A815" s="37">
        <v>232</v>
      </c>
      <c r="B815" s="37" t="s">
        <v>1048</v>
      </c>
      <c r="C815" s="37" t="s">
        <v>251</v>
      </c>
      <c r="D815" s="37" t="s">
        <v>21</v>
      </c>
      <c r="E815" s="37" t="s">
        <v>22</v>
      </c>
      <c r="F815" s="42">
        <v>45473</v>
      </c>
      <c r="G815" s="37">
        <v>2024</v>
      </c>
      <c r="H815" s="37" t="s">
        <v>23</v>
      </c>
      <c r="I815" s="39" t="s">
        <v>34</v>
      </c>
      <c r="J815" s="37">
        <v>22</v>
      </c>
      <c r="K815" s="37">
        <v>21</v>
      </c>
      <c r="L815" s="65">
        <f t="shared" si="76"/>
        <v>0.95454545454545459</v>
      </c>
      <c r="M815" s="65">
        <f t="shared" si="77"/>
        <v>0.95454545454545459</v>
      </c>
      <c r="N815" s="37" t="s">
        <v>25</v>
      </c>
      <c r="O815" s="37" t="s">
        <v>25</v>
      </c>
      <c r="P815" s="37">
        <v>0</v>
      </c>
      <c r="Q815" s="37">
        <v>0</v>
      </c>
      <c r="R815" s="37" t="s">
        <v>1051</v>
      </c>
      <c r="S815" s="37"/>
    </row>
    <row r="816" spans="1:19" x14ac:dyDescent="0.3">
      <c r="A816" s="36">
        <v>232</v>
      </c>
      <c r="B816" s="37" t="s">
        <v>1048</v>
      </c>
      <c r="C816" s="37" t="s">
        <v>251</v>
      </c>
      <c r="D816" s="37" t="s">
        <v>21</v>
      </c>
      <c r="E816" s="37" t="s">
        <v>22</v>
      </c>
      <c r="F816" s="42">
        <v>45657</v>
      </c>
      <c r="G816" s="37">
        <v>2024</v>
      </c>
      <c r="H816" s="37" t="s">
        <v>27</v>
      </c>
      <c r="I816" s="39" t="s">
        <v>36</v>
      </c>
      <c r="J816" s="37">
        <v>14</v>
      </c>
      <c r="K816" s="43">
        <v>14</v>
      </c>
      <c r="L816" s="65">
        <f t="shared" si="76"/>
        <v>1</v>
      </c>
      <c r="M816" s="65">
        <f t="shared" si="77"/>
        <v>1</v>
      </c>
      <c r="N816" s="37" t="s">
        <v>25</v>
      </c>
      <c r="O816" s="37" t="s">
        <v>25</v>
      </c>
      <c r="P816" s="40">
        <v>0</v>
      </c>
      <c r="Q816" s="40">
        <v>0</v>
      </c>
      <c r="R816" s="37" t="s">
        <v>1052</v>
      </c>
      <c r="S816" s="37"/>
    </row>
    <row r="817" spans="1:19" x14ac:dyDescent="0.3">
      <c r="A817" s="36">
        <v>233</v>
      </c>
      <c r="B817" s="37" t="s">
        <v>1053</v>
      </c>
      <c r="C817" s="37" t="s">
        <v>251</v>
      </c>
      <c r="D817" s="37" t="s">
        <v>39</v>
      </c>
      <c r="E817" s="37" t="s">
        <v>22</v>
      </c>
      <c r="F817" s="42">
        <v>45016</v>
      </c>
      <c r="G817" s="37">
        <v>2023</v>
      </c>
      <c r="H817" s="37" t="s">
        <v>40</v>
      </c>
      <c r="I817" s="39" t="s">
        <v>30</v>
      </c>
      <c r="J817" s="37">
        <v>20</v>
      </c>
      <c r="K817" s="56">
        <v>64.367816091954026</v>
      </c>
      <c r="L817" s="65">
        <f t="shared" si="76"/>
        <v>1.3</v>
      </c>
      <c r="M817" s="65">
        <f t="shared" si="77"/>
        <v>3.2183908045977012</v>
      </c>
      <c r="N817" s="37" t="s">
        <v>25</v>
      </c>
      <c r="O817" s="37" t="s">
        <v>25</v>
      </c>
      <c r="P817" s="40">
        <v>0</v>
      </c>
      <c r="Q817" s="40">
        <v>0</v>
      </c>
      <c r="R817" s="37" t="s">
        <v>1054</v>
      </c>
      <c r="S817" s="37"/>
    </row>
    <row r="818" spans="1:19" x14ac:dyDescent="0.3">
      <c r="A818" s="36">
        <v>233</v>
      </c>
      <c r="B818" s="37" t="s">
        <v>1053</v>
      </c>
      <c r="C818" s="37" t="s">
        <v>251</v>
      </c>
      <c r="D818" s="37" t="s">
        <v>39</v>
      </c>
      <c r="E818" s="37" t="s">
        <v>22</v>
      </c>
      <c r="F818" s="42">
        <v>45107</v>
      </c>
      <c r="G818" s="37">
        <v>2023</v>
      </c>
      <c r="H818" s="37" t="s">
        <v>23</v>
      </c>
      <c r="I818" s="39" t="s">
        <v>30</v>
      </c>
      <c r="J818" s="37">
        <v>20</v>
      </c>
      <c r="K818" s="56">
        <v>27.605832597150719</v>
      </c>
      <c r="L818" s="65">
        <f t="shared" si="76"/>
        <v>1.3</v>
      </c>
      <c r="M818" s="65">
        <f t="shared" si="77"/>
        <v>1.3802916298575361</v>
      </c>
      <c r="N818" s="37" t="s">
        <v>25</v>
      </c>
      <c r="O818" s="37" t="s">
        <v>25</v>
      </c>
      <c r="P818" s="40">
        <v>1</v>
      </c>
      <c r="Q818" s="40">
        <v>1</v>
      </c>
      <c r="R818" s="37" t="s">
        <v>1055</v>
      </c>
      <c r="S818" s="37"/>
    </row>
    <row r="819" spans="1:19" x14ac:dyDescent="0.3">
      <c r="A819" s="37">
        <v>233</v>
      </c>
      <c r="B819" s="37" t="s">
        <v>1053</v>
      </c>
      <c r="C819" s="37" t="s">
        <v>251</v>
      </c>
      <c r="D819" s="37" t="s">
        <v>39</v>
      </c>
      <c r="E819" s="37" t="s">
        <v>22</v>
      </c>
      <c r="F819" s="42">
        <v>45199</v>
      </c>
      <c r="G819" s="37">
        <v>2023</v>
      </c>
      <c r="H819" s="37" t="s">
        <v>43</v>
      </c>
      <c r="I819" s="37" t="s">
        <v>32</v>
      </c>
      <c r="J819" s="37">
        <v>20</v>
      </c>
      <c r="K819" s="37">
        <v>27.41037918985376</v>
      </c>
      <c r="L819" s="65">
        <f t="shared" si="76"/>
        <v>1.3</v>
      </c>
      <c r="M819" s="65">
        <f t="shared" si="77"/>
        <v>1.3705189594926881</v>
      </c>
      <c r="N819" s="37" t="s">
        <v>25</v>
      </c>
      <c r="O819" s="37" t="s">
        <v>25</v>
      </c>
      <c r="P819" s="37">
        <v>0</v>
      </c>
      <c r="Q819" s="37">
        <v>0</v>
      </c>
      <c r="R819" s="37" t="s">
        <v>1056</v>
      </c>
      <c r="S819" s="37"/>
    </row>
    <row r="820" spans="1:19" x14ac:dyDescent="0.3">
      <c r="A820" s="37">
        <v>233</v>
      </c>
      <c r="B820" s="37" t="s">
        <v>1053</v>
      </c>
      <c r="C820" s="37" t="s">
        <v>251</v>
      </c>
      <c r="D820" s="37" t="s">
        <v>39</v>
      </c>
      <c r="E820" s="37" t="s">
        <v>22</v>
      </c>
      <c r="F820" s="42">
        <v>45291</v>
      </c>
      <c r="G820" s="37">
        <v>2023</v>
      </c>
      <c r="H820" s="37" t="s">
        <v>27</v>
      </c>
      <c r="I820" s="37" t="s">
        <v>32</v>
      </c>
      <c r="J820" s="37">
        <v>20</v>
      </c>
      <c r="K820" s="37">
        <v>9.6282754418037779</v>
      </c>
      <c r="L820" s="65">
        <f t="shared" si="76"/>
        <v>0.48141377209018887</v>
      </c>
      <c r="M820" s="65">
        <f t="shared" si="77"/>
        <v>0.48141377209018887</v>
      </c>
      <c r="N820" s="37" t="s">
        <v>25</v>
      </c>
      <c r="O820" s="37" t="s">
        <v>25</v>
      </c>
      <c r="P820" s="37">
        <v>0</v>
      </c>
      <c r="Q820" s="37">
        <v>0</v>
      </c>
      <c r="R820" s="37" t="s">
        <v>1057</v>
      </c>
      <c r="S820" s="37"/>
    </row>
    <row r="821" spans="1:19" x14ac:dyDescent="0.3">
      <c r="A821" s="36">
        <v>233</v>
      </c>
      <c r="B821" s="37" t="s">
        <v>1053</v>
      </c>
      <c r="C821" s="37" t="s">
        <v>251</v>
      </c>
      <c r="D821" s="37" t="s">
        <v>39</v>
      </c>
      <c r="E821" s="37" t="s">
        <v>22</v>
      </c>
      <c r="F821" s="42">
        <v>45382</v>
      </c>
      <c r="G821" s="37">
        <v>2024</v>
      </c>
      <c r="H821" s="37" t="s">
        <v>40</v>
      </c>
      <c r="I821" s="39" t="s">
        <v>34</v>
      </c>
      <c r="J821" s="37">
        <v>20</v>
      </c>
      <c r="K821" s="43">
        <v>48.350694444444443</v>
      </c>
      <c r="L821" s="65">
        <f t="shared" si="76"/>
        <v>1.3</v>
      </c>
      <c r="M821" s="65">
        <f t="shared" si="77"/>
        <v>2.4175347222222223</v>
      </c>
      <c r="N821" s="37"/>
      <c r="O821" s="37"/>
      <c r="P821" s="40">
        <v>0</v>
      </c>
      <c r="Q821" s="40">
        <v>0</v>
      </c>
      <c r="R821" s="37" t="s">
        <v>1058</v>
      </c>
      <c r="S821" s="37"/>
    </row>
    <row r="822" spans="1:19" x14ac:dyDescent="0.3">
      <c r="A822" s="37">
        <v>233</v>
      </c>
      <c r="B822" s="37" t="s">
        <v>1053</v>
      </c>
      <c r="C822" s="37" t="s">
        <v>251</v>
      </c>
      <c r="D822" s="37" t="s">
        <v>39</v>
      </c>
      <c r="E822" s="37" t="s">
        <v>22</v>
      </c>
      <c r="F822" s="42">
        <v>45473</v>
      </c>
      <c r="G822" s="37">
        <v>2024</v>
      </c>
      <c r="H822" s="37" t="s">
        <v>23</v>
      </c>
      <c r="I822" s="39" t="s">
        <v>34</v>
      </c>
      <c r="J822" s="37">
        <v>20</v>
      </c>
      <c r="K822" s="37">
        <v>18.566537063468068</v>
      </c>
      <c r="L822" s="65">
        <f t="shared" si="76"/>
        <v>0.92832685317340347</v>
      </c>
      <c r="M822" s="65">
        <f t="shared" si="77"/>
        <v>0.92832685317340347</v>
      </c>
      <c r="N822" s="37"/>
      <c r="O822" s="37"/>
      <c r="P822" s="37">
        <v>0</v>
      </c>
      <c r="Q822" s="37">
        <v>0</v>
      </c>
      <c r="R822" s="37" t="s">
        <v>1059</v>
      </c>
      <c r="S822" s="37"/>
    </row>
    <row r="823" spans="1:19" x14ac:dyDescent="0.3">
      <c r="A823" s="37">
        <v>233</v>
      </c>
      <c r="B823" s="37" t="s">
        <v>1053</v>
      </c>
      <c r="C823" s="37" t="s">
        <v>251</v>
      </c>
      <c r="D823" s="37" t="s">
        <v>39</v>
      </c>
      <c r="E823" s="37" t="s">
        <v>22</v>
      </c>
      <c r="F823" s="42">
        <v>45565</v>
      </c>
      <c r="G823" s="37">
        <v>2024</v>
      </c>
      <c r="H823" s="37" t="s">
        <v>43</v>
      </c>
      <c r="I823" s="37" t="s">
        <v>36</v>
      </c>
      <c r="J823" s="37">
        <v>20</v>
      </c>
      <c r="K823" s="37"/>
      <c r="L823" s="65"/>
      <c r="M823" s="65"/>
      <c r="N823" s="37" t="s">
        <v>25</v>
      </c>
      <c r="O823" s="37" t="s">
        <v>223</v>
      </c>
      <c r="P823" s="37">
        <v>0</v>
      </c>
      <c r="Q823" s="37">
        <v>0</v>
      </c>
      <c r="R823" s="37" t="s">
        <v>1060</v>
      </c>
      <c r="S823" s="37" t="s">
        <v>223</v>
      </c>
    </row>
    <row r="824" spans="1:19" x14ac:dyDescent="0.3">
      <c r="A824" s="36">
        <v>233</v>
      </c>
      <c r="B824" s="37" t="s">
        <v>1053</v>
      </c>
      <c r="C824" s="37" t="s">
        <v>251</v>
      </c>
      <c r="D824" s="37" t="s">
        <v>39</v>
      </c>
      <c r="E824" s="37" t="s">
        <v>22</v>
      </c>
      <c r="F824" s="42">
        <v>45657</v>
      </c>
      <c r="G824" s="37">
        <v>2024</v>
      </c>
      <c r="H824" s="37" t="s">
        <v>27</v>
      </c>
      <c r="I824" s="39" t="s">
        <v>36</v>
      </c>
      <c r="J824" s="37">
        <v>20</v>
      </c>
      <c r="K824" s="43">
        <v>31.821236559139791</v>
      </c>
      <c r="L824" s="65">
        <f>IFERROR(IF(OR(J824=0,K824=""),"",IF(E824="Positivo",MIN(MAX(K824/J824,0),1.3),MIN(MAX(J824/K824,0),1.3))),"")</f>
        <v>1.3</v>
      </c>
      <c r="M824" s="65">
        <f>IFERROR(IF(OR(J824=0,K824=""),"",IF(E824="Positivo",MAX(K824/J824,0),MAX(J824/K824,0))),"")</f>
        <v>1.5910618279569895</v>
      </c>
      <c r="N824" s="37"/>
      <c r="O824" s="37"/>
      <c r="P824" s="40">
        <v>0</v>
      </c>
      <c r="Q824" s="40">
        <v>0</v>
      </c>
      <c r="R824" s="37" t="s">
        <v>1061</v>
      </c>
      <c r="S824" s="37"/>
    </row>
    <row r="825" spans="1:19" x14ac:dyDescent="0.3">
      <c r="A825" s="36">
        <v>234</v>
      </c>
      <c r="B825" s="37" t="s">
        <v>1062</v>
      </c>
      <c r="C825" s="37" t="s">
        <v>251</v>
      </c>
      <c r="D825" s="37" t="s">
        <v>39</v>
      </c>
      <c r="E825" s="37" t="s">
        <v>22</v>
      </c>
      <c r="F825" s="42">
        <v>45016</v>
      </c>
      <c r="G825" s="37">
        <v>2023</v>
      </c>
      <c r="H825" s="37" t="s">
        <v>40</v>
      </c>
      <c r="I825" s="39" t="s">
        <v>30</v>
      </c>
      <c r="J825" s="37">
        <v>4000</v>
      </c>
      <c r="K825" s="56">
        <v>3692.25</v>
      </c>
      <c r="L825" s="65">
        <f t="shared" ref="L825:L830" si="78">IFERROR(IF(OR(J825=0,K825=""),"",IF(E825="Positivo",MIN(MAX(K825/J825,0),1.3),MIN(MAX(J825/K825,0),1.3))),"")</f>
        <v>0.92306250000000001</v>
      </c>
      <c r="M825" s="65">
        <f t="shared" ref="M825:M830" si="79">IFERROR(IF(OR(J825=0,K825=""),"",IF(E825="Positivo",MAX(K825/J825,0),MAX(J825/K825,0))),"")</f>
        <v>0.92306250000000001</v>
      </c>
      <c r="N825" s="37"/>
      <c r="O825" s="60"/>
      <c r="P825" s="40">
        <v>0</v>
      </c>
      <c r="Q825" s="40">
        <v>0</v>
      </c>
      <c r="R825" s="37" t="s">
        <v>1063</v>
      </c>
      <c r="S825" s="37"/>
    </row>
    <row r="826" spans="1:19" x14ac:dyDescent="0.3">
      <c r="A826" s="36">
        <v>234</v>
      </c>
      <c r="B826" s="37" t="s">
        <v>1062</v>
      </c>
      <c r="C826" s="37" t="s">
        <v>251</v>
      </c>
      <c r="D826" s="37" t="s">
        <v>39</v>
      </c>
      <c r="E826" s="37" t="s">
        <v>22</v>
      </c>
      <c r="F826" s="42">
        <v>45107</v>
      </c>
      <c r="G826" s="37">
        <v>2023</v>
      </c>
      <c r="H826" s="37" t="s">
        <v>23</v>
      </c>
      <c r="I826" s="39" t="s">
        <v>30</v>
      </c>
      <c r="J826" s="37">
        <v>4000</v>
      </c>
      <c r="K826" s="56">
        <v>6843.5</v>
      </c>
      <c r="L826" s="65">
        <f t="shared" si="78"/>
        <v>1.3</v>
      </c>
      <c r="M826" s="65">
        <f t="shared" si="79"/>
        <v>1.7108749999999999</v>
      </c>
      <c r="N826" s="37"/>
      <c r="O826" s="60"/>
      <c r="P826" s="40">
        <v>0</v>
      </c>
      <c r="Q826" s="40">
        <v>0</v>
      </c>
      <c r="R826" s="37" t="s">
        <v>1064</v>
      </c>
      <c r="S826" s="37"/>
    </row>
    <row r="827" spans="1:19" x14ac:dyDescent="0.3">
      <c r="A827" s="37">
        <v>234</v>
      </c>
      <c r="B827" s="37" t="s">
        <v>1062</v>
      </c>
      <c r="C827" s="37" t="s">
        <v>251</v>
      </c>
      <c r="D827" s="37" t="s">
        <v>39</v>
      </c>
      <c r="E827" s="37" t="s">
        <v>22</v>
      </c>
      <c r="F827" s="42">
        <v>45199</v>
      </c>
      <c r="G827" s="37">
        <v>2023</v>
      </c>
      <c r="H827" s="37" t="s">
        <v>43</v>
      </c>
      <c r="I827" s="37" t="s">
        <v>32</v>
      </c>
      <c r="J827" s="37">
        <v>4000</v>
      </c>
      <c r="K827" s="37">
        <v>10713.75</v>
      </c>
      <c r="L827" s="65">
        <f t="shared" si="78"/>
        <v>1.3</v>
      </c>
      <c r="M827" s="65">
        <f t="shared" si="79"/>
        <v>2.6784374999999998</v>
      </c>
      <c r="N827" s="37" t="s">
        <v>203</v>
      </c>
      <c r="O827" s="37" t="s">
        <v>203</v>
      </c>
      <c r="P827" s="37">
        <v>0</v>
      </c>
      <c r="Q827" s="37">
        <v>0</v>
      </c>
      <c r="R827" s="37" t="s">
        <v>1065</v>
      </c>
      <c r="S827" s="37"/>
    </row>
    <row r="828" spans="1:19" x14ac:dyDescent="0.3">
      <c r="A828" s="37">
        <v>234</v>
      </c>
      <c r="B828" s="37" t="s">
        <v>1062</v>
      </c>
      <c r="C828" s="37" t="s">
        <v>251</v>
      </c>
      <c r="D828" s="37" t="s">
        <v>39</v>
      </c>
      <c r="E828" s="37" t="s">
        <v>22</v>
      </c>
      <c r="F828" s="42">
        <v>45291</v>
      </c>
      <c r="G828" s="37">
        <v>2023</v>
      </c>
      <c r="H828" s="37" t="s">
        <v>27</v>
      </c>
      <c r="I828" s="37" t="s">
        <v>32</v>
      </c>
      <c r="J828" s="37">
        <v>4000</v>
      </c>
      <c r="K828" s="37">
        <v>5893.5</v>
      </c>
      <c r="L828" s="65">
        <f t="shared" si="78"/>
        <v>1.3</v>
      </c>
      <c r="M828" s="65">
        <f t="shared" si="79"/>
        <v>1.4733750000000001</v>
      </c>
      <c r="N828" s="37" t="s">
        <v>203</v>
      </c>
      <c r="O828" s="37" t="s">
        <v>203</v>
      </c>
      <c r="P828" s="37">
        <v>0</v>
      </c>
      <c r="Q828" s="37">
        <v>0</v>
      </c>
      <c r="R828" s="37" t="s">
        <v>1066</v>
      </c>
      <c r="S828" s="37"/>
    </row>
    <row r="829" spans="1:19" x14ac:dyDescent="0.3">
      <c r="A829" s="36">
        <v>234</v>
      </c>
      <c r="B829" s="37" t="s">
        <v>1062</v>
      </c>
      <c r="C829" s="37" t="s">
        <v>251</v>
      </c>
      <c r="D829" s="37" t="s">
        <v>39</v>
      </c>
      <c r="E829" s="37" t="s">
        <v>22</v>
      </c>
      <c r="F829" s="42">
        <v>45382</v>
      </c>
      <c r="G829" s="37">
        <v>2024</v>
      </c>
      <c r="H829" s="37" t="s">
        <v>40</v>
      </c>
      <c r="I829" s="39" t="s">
        <v>34</v>
      </c>
      <c r="J829" s="37">
        <v>4000</v>
      </c>
      <c r="K829" s="43">
        <v>3234.25</v>
      </c>
      <c r="L829" s="65">
        <f t="shared" si="78"/>
        <v>0.80856249999999996</v>
      </c>
      <c r="M829" s="65">
        <f t="shared" si="79"/>
        <v>0.80856249999999996</v>
      </c>
      <c r="N829" s="37"/>
      <c r="O829" s="37"/>
      <c r="P829" s="40">
        <v>0</v>
      </c>
      <c r="Q829" s="40">
        <v>0</v>
      </c>
      <c r="R829" s="37" t="s">
        <v>1067</v>
      </c>
      <c r="S829" s="37"/>
    </row>
    <row r="830" spans="1:19" x14ac:dyDescent="0.3">
      <c r="A830" s="37">
        <v>234</v>
      </c>
      <c r="B830" s="37" t="s">
        <v>1062</v>
      </c>
      <c r="C830" s="37" t="s">
        <v>251</v>
      </c>
      <c r="D830" s="37" t="s">
        <v>39</v>
      </c>
      <c r="E830" s="37" t="s">
        <v>22</v>
      </c>
      <c r="F830" s="42">
        <v>45473</v>
      </c>
      <c r="G830" s="37">
        <v>2024</v>
      </c>
      <c r="H830" s="37" t="s">
        <v>23</v>
      </c>
      <c r="I830" s="39" t="s">
        <v>34</v>
      </c>
      <c r="J830" s="37">
        <v>4000</v>
      </c>
      <c r="K830" s="37">
        <v>5453.333333333333</v>
      </c>
      <c r="L830" s="65">
        <f t="shared" si="78"/>
        <v>1.3</v>
      </c>
      <c r="M830" s="65">
        <f t="shared" si="79"/>
        <v>1.3633333333333333</v>
      </c>
      <c r="N830" s="37"/>
      <c r="O830" s="37"/>
      <c r="P830" s="37">
        <v>0</v>
      </c>
      <c r="Q830" s="37">
        <v>0</v>
      </c>
      <c r="R830" s="37" t="s">
        <v>1068</v>
      </c>
      <c r="S830" s="37"/>
    </row>
    <row r="831" spans="1:19" x14ac:dyDescent="0.3">
      <c r="A831" s="37">
        <v>234</v>
      </c>
      <c r="B831" s="37" t="s">
        <v>1062</v>
      </c>
      <c r="C831" s="37" t="s">
        <v>251</v>
      </c>
      <c r="D831" s="37" t="s">
        <v>39</v>
      </c>
      <c r="E831" s="37" t="s">
        <v>22</v>
      </c>
      <c r="F831" s="42">
        <v>45565</v>
      </c>
      <c r="G831" s="37">
        <v>2024</v>
      </c>
      <c r="H831" s="37" t="s">
        <v>43</v>
      </c>
      <c r="I831" s="37" t="s">
        <v>36</v>
      </c>
      <c r="J831" s="37">
        <v>4000</v>
      </c>
      <c r="K831" s="37"/>
      <c r="L831" s="65"/>
      <c r="M831" s="65"/>
      <c r="N831" s="37" t="s">
        <v>203</v>
      </c>
      <c r="O831" s="37" t="s">
        <v>223</v>
      </c>
      <c r="P831" s="37">
        <v>0</v>
      </c>
      <c r="Q831" s="37">
        <v>0</v>
      </c>
      <c r="R831" s="37" t="s">
        <v>1069</v>
      </c>
      <c r="S831" s="37" t="s">
        <v>223</v>
      </c>
    </row>
    <row r="832" spans="1:19" x14ac:dyDescent="0.3">
      <c r="A832" s="36">
        <v>234</v>
      </c>
      <c r="B832" s="37" t="s">
        <v>1062</v>
      </c>
      <c r="C832" s="37" t="s">
        <v>251</v>
      </c>
      <c r="D832" s="37" t="s">
        <v>39</v>
      </c>
      <c r="E832" s="37" t="s">
        <v>22</v>
      </c>
      <c r="F832" s="42">
        <v>45657</v>
      </c>
      <c r="G832" s="37">
        <v>2024</v>
      </c>
      <c r="H832" s="37" t="s">
        <v>27</v>
      </c>
      <c r="I832" s="39" t="s">
        <v>36</v>
      </c>
      <c r="J832" s="37">
        <v>4000</v>
      </c>
      <c r="K832" s="43">
        <v>4218</v>
      </c>
      <c r="L832" s="65">
        <f>IFERROR(IF(OR(J832=0,K832=""),"",IF(E832="Positivo",MIN(MAX(K832/J832,0),1.3),MIN(MAX(J832/K832,0),1.3))),"")</f>
        <v>1.0545</v>
      </c>
      <c r="M832" s="65">
        <f>IFERROR(IF(OR(J832=0,K832=""),"",IF(E832="Positivo",MAX(K832/J832,0),MAX(J832/K832,0))),"")</f>
        <v>1.0545</v>
      </c>
      <c r="N832" s="37"/>
      <c r="O832" s="37"/>
      <c r="P832" s="40">
        <v>0</v>
      </c>
      <c r="Q832" s="40">
        <v>0</v>
      </c>
      <c r="R832" s="37" t="s">
        <v>1070</v>
      </c>
      <c r="S832" s="37"/>
    </row>
    <row r="833" spans="1:19" x14ac:dyDescent="0.3">
      <c r="A833" s="37">
        <v>235</v>
      </c>
      <c r="B833" s="37" t="s">
        <v>1071</v>
      </c>
      <c r="C833" s="37" t="s">
        <v>251</v>
      </c>
      <c r="D833" s="37" t="s">
        <v>139</v>
      </c>
      <c r="E833" s="37" t="s">
        <v>22</v>
      </c>
      <c r="F833" s="42">
        <v>45291</v>
      </c>
      <c r="G833" s="37">
        <v>2023</v>
      </c>
      <c r="H833" s="37" t="s">
        <v>27</v>
      </c>
      <c r="I833" s="37" t="s">
        <v>32</v>
      </c>
      <c r="J833" s="37">
        <v>605</v>
      </c>
      <c r="K833" s="37">
        <v>494</v>
      </c>
      <c r="L833" s="65">
        <f>IFERROR(IF(OR(J833=0,K833=""),"",IF(E833="Positivo",MIN(MAX(K833/J833,0),1.3),MIN(MAX(J833/K833,0),1.3))),"")</f>
        <v>0.8165289256198347</v>
      </c>
      <c r="M833" s="65">
        <f>IFERROR(IF(OR(J833=0,K833=""),"",IF(E833="Positivo",MAX(K833/J833,0),MAX(J833/K833,0))),"")</f>
        <v>0.8165289256198347</v>
      </c>
      <c r="N833" s="37" t="s">
        <v>25</v>
      </c>
      <c r="O833" s="37" t="s">
        <v>25</v>
      </c>
      <c r="P833" s="37">
        <v>0</v>
      </c>
      <c r="Q833" s="37">
        <v>0</v>
      </c>
      <c r="R833" s="37" t="s">
        <v>1072</v>
      </c>
      <c r="S833" s="37"/>
    </row>
    <row r="834" spans="1:19" x14ac:dyDescent="0.3">
      <c r="A834" s="36">
        <v>235</v>
      </c>
      <c r="B834" s="37" t="s">
        <v>1071</v>
      </c>
      <c r="C834" s="37" t="s">
        <v>251</v>
      </c>
      <c r="D834" s="37" t="s">
        <v>139</v>
      </c>
      <c r="E834" s="37" t="s">
        <v>22</v>
      </c>
      <c r="F834" s="42">
        <v>45657</v>
      </c>
      <c r="G834" s="37">
        <v>2024</v>
      </c>
      <c r="H834" s="37" t="s">
        <v>27</v>
      </c>
      <c r="I834" s="39" t="s">
        <v>36</v>
      </c>
      <c r="J834" s="37">
        <v>626</v>
      </c>
      <c r="K834" s="43">
        <v>576</v>
      </c>
      <c r="L834" s="65">
        <f>IFERROR(IF(OR(J834=0,K834=""),"",IF(E834="Positivo",MIN(MAX(K834/J834,0),1.3),MIN(MAX(J834/K834,0),1.3))),"")</f>
        <v>0.92012779552715651</v>
      </c>
      <c r="M834" s="65">
        <f>IFERROR(IF(OR(J834=0,K834=""),"",IF(E834="Positivo",MAX(K834/J834,0),MAX(J834/K834,0))),"")</f>
        <v>0.92012779552715651</v>
      </c>
      <c r="N834" s="37"/>
      <c r="O834" s="37"/>
      <c r="P834" s="40">
        <v>0</v>
      </c>
      <c r="Q834" s="40">
        <v>0</v>
      </c>
      <c r="R834" s="37" t="s">
        <v>1073</v>
      </c>
      <c r="S834" s="37"/>
    </row>
    <row r="835" spans="1:19" x14ac:dyDescent="0.3">
      <c r="A835" s="37">
        <v>236</v>
      </c>
      <c r="B835" s="37" t="s">
        <v>1074</v>
      </c>
      <c r="C835" s="37" t="s">
        <v>251</v>
      </c>
      <c r="D835" s="37" t="s">
        <v>139</v>
      </c>
      <c r="E835" s="37" t="s">
        <v>56</v>
      </c>
      <c r="F835" s="42">
        <v>45291</v>
      </c>
      <c r="G835" s="37">
        <v>2023</v>
      </c>
      <c r="H835" s="37" t="s">
        <v>27</v>
      </c>
      <c r="I835" s="37" t="s">
        <v>32</v>
      </c>
      <c r="J835" s="37">
        <v>0</v>
      </c>
      <c r="K835" s="37">
        <v>0</v>
      </c>
      <c r="L835" s="65" t="str">
        <f>IFERROR(IF(OR(J835=0,K835=""),"",IF(E835="Positivo",MIN(MAX(K835/J835,0),1.3),MIN(MAX(J835/K835,0),1.3))),"")</f>
        <v/>
      </c>
      <c r="M835" s="65" t="str">
        <f>IFERROR(IF(OR(J835=0,K835=""),"",IF(E835="Positivo",MAX(K835/J835,0),MAX(J835/K835,0))),"")</f>
        <v/>
      </c>
      <c r="N835" s="37" t="s">
        <v>25</v>
      </c>
      <c r="O835" s="37" t="s">
        <v>25</v>
      </c>
      <c r="P835" s="37">
        <v>0</v>
      </c>
      <c r="Q835" s="37">
        <v>0</v>
      </c>
      <c r="R835" s="37" t="s">
        <v>1075</v>
      </c>
      <c r="S835" s="37"/>
    </row>
    <row r="836" spans="1:19" x14ac:dyDescent="0.3">
      <c r="A836" s="36">
        <v>236</v>
      </c>
      <c r="B836" s="37" t="s">
        <v>1074</v>
      </c>
      <c r="C836" s="37" t="s">
        <v>251</v>
      </c>
      <c r="D836" s="37" t="s">
        <v>139</v>
      </c>
      <c r="E836" s="37" t="s">
        <v>56</v>
      </c>
      <c r="F836" s="42">
        <v>45657</v>
      </c>
      <c r="G836" s="37">
        <v>2024</v>
      </c>
      <c r="H836" s="37" t="s">
        <v>27</v>
      </c>
      <c r="I836" s="39" t="s">
        <v>36</v>
      </c>
      <c r="J836" s="37">
        <v>0</v>
      </c>
      <c r="K836" s="43">
        <v>0</v>
      </c>
      <c r="L836" s="65" t="str">
        <f>IFERROR(IF(OR(J836=0,K836=""),"",IF(E836="Positivo",MIN(MAX(K836/J836,0),1.3),MIN(MAX(J836/K836,0),1.3))),"")</f>
        <v/>
      </c>
      <c r="M836" s="65" t="str">
        <f>IFERROR(IF(OR(J836=0,K836=""),"",IF(E836="Positivo",MAX(K836/J836,0),MAX(J836/K836,0))),"")</f>
        <v/>
      </c>
      <c r="N836" s="37"/>
      <c r="O836" s="37"/>
      <c r="P836" s="40">
        <v>0</v>
      </c>
      <c r="Q836" s="40">
        <v>0</v>
      </c>
      <c r="R836" s="37" t="s">
        <v>1076</v>
      </c>
      <c r="S836" s="37"/>
    </row>
    <row r="837" spans="1:19" x14ac:dyDescent="0.3">
      <c r="A837" s="37">
        <v>238</v>
      </c>
      <c r="B837" s="37" t="s">
        <v>1077</v>
      </c>
      <c r="C837" s="37" t="s">
        <v>251</v>
      </c>
      <c r="D837" s="37" t="s">
        <v>39</v>
      </c>
      <c r="E837" s="37" t="s">
        <v>22</v>
      </c>
      <c r="F837" s="42">
        <v>44651</v>
      </c>
      <c r="G837" s="37">
        <v>2022</v>
      </c>
      <c r="H837" s="37" t="s">
        <v>40</v>
      </c>
      <c r="I837" s="37" t="s">
        <v>24</v>
      </c>
      <c r="J837" s="37">
        <v>90</v>
      </c>
      <c r="K837" s="37"/>
      <c r="L837" s="65"/>
      <c r="M837" s="65"/>
      <c r="N837" s="37" t="s">
        <v>1078</v>
      </c>
      <c r="O837" s="37" t="s">
        <v>223</v>
      </c>
      <c r="P837" s="37">
        <v>0</v>
      </c>
      <c r="Q837" s="37">
        <v>0</v>
      </c>
      <c r="R837" s="37" t="s">
        <v>1079</v>
      </c>
      <c r="S837" s="37" t="s">
        <v>223</v>
      </c>
    </row>
    <row r="838" spans="1:19" x14ac:dyDescent="0.3">
      <c r="A838" s="37">
        <v>238</v>
      </c>
      <c r="B838" s="37" t="s">
        <v>1077</v>
      </c>
      <c r="C838" s="37" t="s">
        <v>251</v>
      </c>
      <c r="D838" s="37" t="s">
        <v>39</v>
      </c>
      <c r="E838" s="37" t="s">
        <v>22</v>
      </c>
      <c r="F838" s="42">
        <v>44742</v>
      </c>
      <c r="G838" s="37">
        <v>2022</v>
      </c>
      <c r="H838" s="37" t="s">
        <v>23</v>
      </c>
      <c r="I838" s="37" t="s">
        <v>24</v>
      </c>
      <c r="J838" s="37">
        <v>90</v>
      </c>
      <c r="K838" s="37"/>
      <c r="L838" s="65"/>
      <c r="M838" s="65"/>
      <c r="N838" s="37" t="s">
        <v>1078</v>
      </c>
      <c r="O838" s="37" t="s">
        <v>223</v>
      </c>
      <c r="P838" s="37">
        <v>0</v>
      </c>
      <c r="Q838" s="37">
        <v>0</v>
      </c>
      <c r="R838" s="37" t="s">
        <v>1080</v>
      </c>
      <c r="S838" s="37" t="s">
        <v>223</v>
      </c>
    </row>
    <row r="839" spans="1:19" s="2" customFormat="1" x14ac:dyDescent="0.3">
      <c r="A839" s="37">
        <v>238</v>
      </c>
      <c r="B839" s="37" t="s">
        <v>1077</v>
      </c>
      <c r="C839" s="37" t="s">
        <v>251</v>
      </c>
      <c r="D839" s="37" t="s">
        <v>39</v>
      </c>
      <c r="E839" s="37" t="s">
        <v>22</v>
      </c>
      <c r="F839" s="42">
        <v>44834</v>
      </c>
      <c r="G839" s="37">
        <v>2022</v>
      </c>
      <c r="H839" s="37" t="s">
        <v>43</v>
      </c>
      <c r="I839" s="37" t="s">
        <v>28</v>
      </c>
      <c r="J839" s="37">
        <v>90</v>
      </c>
      <c r="K839" s="37"/>
      <c r="L839" s="65"/>
      <c r="M839" s="65"/>
      <c r="N839" s="37" t="s">
        <v>1078</v>
      </c>
      <c r="O839" s="37" t="s">
        <v>223</v>
      </c>
      <c r="P839" s="37">
        <v>0</v>
      </c>
      <c r="Q839" s="37">
        <v>0</v>
      </c>
      <c r="R839" s="37" t="s">
        <v>1081</v>
      </c>
      <c r="S839" s="37" t="s">
        <v>223</v>
      </c>
    </row>
    <row r="840" spans="1:19" x14ac:dyDescent="0.3">
      <c r="A840" s="37">
        <v>238</v>
      </c>
      <c r="B840" s="37" t="s">
        <v>1077</v>
      </c>
      <c r="C840" s="37" t="s">
        <v>251</v>
      </c>
      <c r="D840" s="37" t="s">
        <v>39</v>
      </c>
      <c r="E840" s="37" t="s">
        <v>22</v>
      </c>
      <c r="F840" s="42">
        <v>44926</v>
      </c>
      <c r="G840" s="37">
        <v>2022</v>
      </c>
      <c r="H840" s="37" t="s">
        <v>27</v>
      </c>
      <c r="I840" s="37" t="s">
        <v>28</v>
      </c>
      <c r="J840" s="37">
        <v>90</v>
      </c>
      <c r="K840" s="37"/>
      <c r="L840" s="65"/>
      <c r="M840" s="65"/>
      <c r="N840" s="37" t="s">
        <v>1078</v>
      </c>
      <c r="O840" s="37" t="s">
        <v>223</v>
      </c>
      <c r="P840" s="37">
        <v>0</v>
      </c>
      <c r="Q840" s="37">
        <v>0</v>
      </c>
      <c r="R840" s="37" t="s">
        <v>1082</v>
      </c>
      <c r="S840" s="37" t="s">
        <v>223</v>
      </c>
    </row>
    <row r="841" spans="1:19" x14ac:dyDescent="0.3">
      <c r="A841" s="36">
        <v>238</v>
      </c>
      <c r="B841" s="37" t="s">
        <v>1077</v>
      </c>
      <c r="C841" s="37" t="s">
        <v>251</v>
      </c>
      <c r="D841" s="37" t="s">
        <v>39</v>
      </c>
      <c r="E841" s="37" t="s">
        <v>22</v>
      </c>
      <c r="F841" s="42">
        <v>45016</v>
      </c>
      <c r="G841" s="37">
        <v>2023</v>
      </c>
      <c r="H841" s="37" t="s">
        <v>40</v>
      </c>
      <c r="I841" s="39" t="s">
        <v>30</v>
      </c>
      <c r="J841" s="37">
        <v>90</v>
      </c>
      <c r="K841" s="56">
        <v>94.444444444444443</v>
      </c>
      <c r="L841" s="65">
        <f t="shared" ref="L841:L848" si="80">IFERROR(IF(OR(J841=0,K841=""),"",IF(E841="Positivo",MIN(MAX(K841/J841,0),1.3),MIN(MAX(J841/K841,0),1.3))),"")</f>
        <v>1.0493827160493827</v>
      </c>
      <c r="M841" s="65">
        <f t="shared" ref="M841:M848" si="81">IFERROR(IF(OR(J841=0,K841=""),"",IF(E841="Positivo",MAX(K841/J841,0),MAX(J841/K841,0))),"")</f>
        <v>1.0493827160493827</v>
      </c>
      <c r="N841" s="37"/>
      <c r="O841" s="37"/>
      <c r="P841" s="40">
        <v>0</v>
      </c>
      <c r="Q841" s="40">
        <v>0</v>
      </c>
      <c r="R841" s="37" t="s">
        <v>1083</v>
      </c>
      <c r="S841" s="37"/>
    </row>
    <row r="842" spans="1:19" x14ac:dyDescent="0.3">
      <c r="A842" s="36">
        <v>238</v>
      </c>
      <c r="B842" s="37" t="s">
        <v>1077</v>
      </c>
      <c r="C842" s="37" t="s">
        <v>251</v>
      </c>
      <c r="D842" s="37" t="s">
        <v>39</v>
      </c>
      <c r="E842" s="37" t="s">
        <v>22</v>
      </c>
      <c r="F842" s="42">
        <v>45107</v>
      </c>
      <c r="G842" s="37">
        <v>2023</v>
      </c>
      <c r="H842" s="37" t="s">
        <v>23</v>
      </c>
      <c r="I842" s="39" t="s">
        <v>30</v>
      </c>
      <c r="J842" s="37">
        <v>90</v>
      </c>
      <c r="K842" s="56">
        <v>96.428571428571445</v>
      </c>
      <c r="L842" s="65">
        <f t="shared" si="80"/>
        <v>1.0714285714285716</v>
      </c>
      <c r="M842" s="65">
        <f t="shared" si="81"/>
        <v>1.0714285714285716</v>
      </c>
      <c r="N842" s="37"/>
      <c r="O842" s="37"/>
      <c r="P842" s="40">
        <v>0</v>
      </c>
      <c r="Q842" s="40">
        <v>0</v>
      </c>
      <c r="R842" s="37" t="s">
        <v>1084</v>
      </c>
      <c r="S842" s="37"/>
    </row>
    <row r="843" spans="1:19" x14ac:dyDescent="0.3">
      <c r="A843" s="45">
        <v>238</v>
      </c>
      <c r="B843" s="37" t="s">
        <v>1077</v>
      </c>
      <c r="C843" s="37" t="s">
        <v>251</v>
      </c>
      <c r="D843" s="37" t="s">
        <v>39</v>
      </c>
      <c r="E843" s="37" t="s">
        <v>22</v>
      </c>
      <c r="F843" s="42">
        <v>45199</v>
      </c>
      <c r="G843" s="37">
        <v>2023</v>
      </c>
      <c r="H843" s="37" t="s">
        <v>43</v>
      </c>
      <c r="I843" s="39" t="s">
        <v>32</v>
      </c>
      <c r="J843" s="37">
        <v>90</v>
      </c>
      <c r="K843" s="56">
        <v>84.210526315789465</v>
      </c>
      <c r="L843" s="65">
        <f t="shared" si="80"/>
        <v>0.93567251461988299</v>
      </c>
      <c r="M843" s="65">
        <f t="shared" si="81"/>
        <v>0.93567251461988299</v>
      </c>
      <c r="N843" s="37"/>
      <c r="O843" s="37"/>
      <c r="P843" s="40">
        <v>0</v>
      </c>
      <c r="Q843" s="40">
        <v>0</v>
      </c>
      <c r="R843" s="37" t="s">
        <v>1085</v>
      </c>
      <c r="S843" s="37"/>
    </row>
    <row r="844" spans="1:19" x14ac:dyDescent="0.3">
      <c r="A844" s="37">
        <v>238</v>
      </c>
      <c r="B844" s="37" t="s">
        <v>1077</v>
      </c>
      <c r="C844" s="37" t="s">
        <v>251</v>
      </c>
      <c r="D844" s="37" t="s">
        <v>39</v>
      </c>
      <c r="E844" s="37" t="s">
        <v>22</v>
      </c>
      <c r="F844" s="42">
        <v>45291</v>
      </c>
      <c r="G844" s="37">
        <v>2023</v>
      </c>
      <c r="H844" s="37" t="s">
        <v>27</v>
      </c>
      <c r="I844" s="37" t="s">
        <v>32</v>
      </c>
      <c r="J844" s="37">
        <v>90</v>
      </c>
      <c r="K844" s="37">
        <v>75</v>
      </c>
      <c r="L844" s="65">
        <f t="shared" si="80"/>
        <v>0.83333333333333337</v>
      </c>
      <c r="M844" s="65">
        <f t="shared" si="81"/>
        <v>0.83333333333333337</v>
      </c>
      <c r="N844" s="37" t="s">
        <v>1078</v>
      </c>
      <c r="O844" s="37" t="s">
        <v>1078</v>
      </c>
      <c r="P844" s="37">
        <v>0</v>
      </c>
      <c r="Q844" s="37">
        <v>0</v>
      </c>
      <c r="R844" s="37" t="s">
        <v>1086</v>
      </c>
      <c r="S844" s="37"/>
    </row>
    <row r="845" spans="1:19" x14ac:dyDescent="0.3">
      <c r="A845" s="36">
        <v>238</v>
      </c>
      <c r="B845" s="37" t="s">
        <v>1077</v>
      </c>
      <c r="C845" s="37" t="s">
        <v>251</v>
      </c>
      <c r="D845" s="37" t="s">
        <v>39</v>
      </c>
      <c r="E845" s="37" t="s">
        <v>22</v>
      </c>
      <c r="F845" s="42">
        <v>45382</v>
      </c>
      <c r="G845" s="37">
        <v>2024</v>
      </c>
      <c r="H845" s="37" t="s">
        <v>40</v>
      </c>
      <c r="I845" s="39" t="s">
        <v>34</v>
      </c>
      <c r="J845" s="37">
        <v>90</v>
      </c>
      <c r="K845" s="43">
        <v>76.19047619047619</v>
      </c>
      <c r="L845" s="65">
        <f t="shared" si="80"/>
        <v>0.84656084656084651</v>
      </c>
      <c r="M845" s="65">
        <f t="shared" si="81"/>
        <v>0.84656084656084651</v>
      </c>
      <c r="N845" s="37" t="s">
        <v>1078</v>
      </c>
      <c r="O845" s="37" t="s">
        <v>1078</v>
      </c>
      <c r="P845" s="40">
        <v>0</v>
      </c>
      <c r="Q845" s="40">
        <v>0</v>
      </c>
      <c r="R845" s="37" t="s">
        <v>1087</v>
      </c>
      <c r="S845" s="37"/>
    </row>
    <row r="846" spans="1:19" x14ac:dyDescent="0.3">
      <c r="A846" s="37">
        <v>238</v>
      </c>
      <c r="B846" s="37" t="s">
        <v>1077</v>
      </c>
      <c r="C846" s="37" t="s">
        <v>251</v>
      </c>
      <c r="D846" s="37" t="s">
        <v>39</v>
      </c>
      <c r="E846" s="37" t="s">
        <v>22</v>
      </c>
      <c r="F846" s="42">
        <v>45473</v>
      </c>
      <c r="G846" s="37">
        <v>2024</v>
      </c>
      <c r="H846" s="37" t="s">
        <v>23</v>
      </c>
      <c r="I846" s="37" t="s">
        <v>34</v>
      </c>
      <c r="J846" s="37">
        <v>90</v>
      </c>
      <c r="K846" s="37">
        <v>78.125</v>
      </c>
      <c r="L846" s="65">
        <f t="shared" si="80"/>
        <v>0.86805555555555558</v>
      </c>
      <c r="M846" s="65">
        <f t="shared" si="81"/>
        <v>0.86805555555555558</v>
      </c>
      <c r="N846" s="37" t="s">
        <v>1078</v>
      </c>
      <c r="O846" s="37" t="s">
        <v>1078</v>
      </c>
      <c r="P846" s="37">
        <v>0</v>
      </c>
      <c r="Q846" s="37">
        <v>0</v>
      </c>
      <c r="R846" s="37" t="s">
        <v>1088</v>
      </c>
      <c r="S846" s="37"/>
    </row>
    <row r="847" spans="1:19" x14ac:dyDescent="0.3">
      <c r="A847" s="36">
        <v>238</v>
      </c>
      <c r="B847" s="37" t="s">
        <v>1077</v>
      </c>
      <c r="C847" s="37" t="s">
        <v>251</v>
      </c>
      <c r="D847" s="37" t="s">
        <v>39</v>
      </c>
      <c r="E847" s="37" t="s">
        <v>22</v>
      </c>
      <c r="F847" s="42">
        <v>45565</v>
      </c>
      <c r="G847" s="37">
        <v>2024</v>
      </c>
      <c r="H847" s="37" t="s">
        <v>43</v>
      </c>
      <c r="I847" s="39" t="s">
        <v>36</v>
      </c>
      <c r="J847" s="37">
        <v>90</v>
      </c>
      <c r="K847" s="43">
        <v>84.210526315789465</v>
      </c>
      <c r="L847" s="65">
        <f t="shared" si="80"/>
        <v>0.93567251461988299</v>
      </c>
      <c r="M847" s="65">
        <f t="shared" si="81"/>
        <v>0.93567251461988299</v>
      </c>
      <c r="N847" s="37" t="s">
        <v>1078</v>
      </c>
      <c r="O847" s="37" t="s">
        <v>1078</v>
      </c>
      <c r="P847" s="40">
        <v>0</v>
      </c>
      <c r="Q847" s="40">
        <v>0</v>
      </c>
      <c r="R847" s="37" t="s">
        <v>1089</v>
      </c>
      <c r="S847" s="37"/>
    </row>
    <row r="848" spans="1:19" x14ac:dyDescent="0.3">
      <c r="A848" s="36">
        <v>238</v>
      </c>
      <c r="B848" s="37" t="s">
        <v>1077</v>
      </c>
      <c r="C848" s="37" t="s">
        <v>251</v>
      </c>
      <c r="D848" s="37" t="s">
        <v>39</v>
      </c>
      <c r="E848" s="37" t="s">
        <v>22</v>
      </c>
      <c r="F848" s="42">
        <v>45657</v>
      </c>
      <c r="G848" s="37">
        <v>2024</v>
      </c>
      <c r="H848" s="37" t="s">
        <v>27</v>
      </c>
      <c r="I848" s="39" t="s">
        <v>36</v>
      </c>
      <c r="J848" s="37">
        <v>90</v>
      </c>
      <c r="K848" s="43">
        <v>80</v>
      </c>
      <c r="L848" s="65">
        <f t="shared" si="80"/>
        <v>0.88888888888888884</v>
      </c>
      <c r="M848" s="65">
        <f t="shared" si="81"/>
        <v>0.88888888888888884</v>
      </c>
      <c r="N848" s="37" t="s">
        <v>1078</v>
      </c>
      <c r="O848" s="37" t="s">
        <v>1078</v>
      </c>
      <c r="P848" s="40">
        <v>0</v>
      </c>
      <c r="Q848" s="40">
        <v>0</v>
      </c>
      <c r="R848" s="37" t="s">
        <v>1090</v>
      </c>
      <c r="S848" s="37"/>
    </row>
    <row r="849" spans="1:19" x14ac:dyDescent="0.3">
      <c r="A849" s="37">
        <v>239</v>
      </c>
      <c r="B849" s="37" t="s">
        <v>1095</v>
      </c>
      <c r="C849" s="37" t="s">
        <v>1096</v>
      </c>
      <c r="D849" s="37" t="s">
        <v>73</v>
      </c>
      <c r="E849" s="37" t="s">
        <v>22</v>
      </c>
      <c r="F849" s="42">
        <v>44592</v>
      </c>
      <c r="G849" s="37">
        <v>2022</v>
      </c>
      <c r="H849" s="37" t="s">
        <v>74</v>
      </c>
      <c r="I849" s="37" t="s">
        <v>24</v>
      </c>
      <c r="J849" s="37"/>
      <c r="K849" s="37">
        <v>0</v>
      </c>
      <c r="L849" s="65"/>
      <c r="M849" s="65"/>
      <c r="N849" s="37" t="s">
        <v>495</v>
      </c>
      <c r="O849" s="37" t="s">
        <v>203</v>
      </c>
      <c r="P849" s="37">
        <v>0</v>
      </c>
      <c r="Q849" s="37">
        <v>0</v>
      </c>
      <c r="R849" s="37" t="s">
        <v>1097</v>
      </c>
      <c r="S849" s="37"/>
    </row>
    <row r="850" spans="1:19" x14ac:dyDescent="0.3">
      <c r="A850" s="37">
        <v>239</v>
      </c>
      <c r="B850" s="37" t="s">
        <v>1095</v>
      </c>
      <c r="C850" s="37" t="s">
        <v>1096</v>
      </c>
      <c r="D850" s="37" t="s">
        <v>73</v>
      </c>
      <c r="E850" s="37" t="s">
        <v>22</v>
      </c>
      <c r="F850" s="42">
        <v>44620</v>
      </c>
      <c r="G850" s="37">
        <v>2022</v>
      </c>
      <c r="H850" s="37" t="s">
        <v>76</v>
      </c>
      <c r="I850" s="37" t="s">
        <v>24</v>
      </c>
      <c r="J850" s="37"/>
      <c r="K850" s="37">
        <v>0</v>
      </c>
      <c r="L850" s="65"/>
      <c r="M850" s="65"/>
      <c r="N850" s="37" t="s">
        <v>495</v>
      </c>
      <c r="O850" s="37" t="s">
        <v>203</v>
      </c>
      <c r="P850" s="37">
        <v>0</v>
      </c>
      <c r="Q850" s="37">
        <v>0</v>
      </c>
      <c r="R850" s="37" t="s">
        <v>1098</v>
      </c>
      <c r="S850" s="37"/>
    </row>
    <row r="851" spans="1:19" x14ac:dyDescent="0.3">
      <c r="A851" s="37">
        <v>239</v>
      </c>
      <c r="B851" s="37" t="s">
        <v>1095</v>
      </c>
      <c r="C851" s="37" t="s">
        <v>1096</v>
      </c>
      <c r="D851" s="37" t="s">
        <v>73</v>
      </c>
      <c r="E851" s="37" t="s">
        <v>22</v>
      </c>
      <c r="F851" s="42">
        <v>44651</v>
      </c>
      <c r="G851" s="37">
        <v>2022</v>
      </c>
      <c r="H851" s="37" t="s">
        <v>40</v>
      </c>
      <c r="I851" s="37" t="s">
        <v>24</v>
      </c>
      <c r="J851" s="37"/>
      <c r="K851" s="37">
        <v>0</v>
      </c>
      <c r="L851" s="65"/>
      <c r="M851" s="65"/>
      <c r="N851" s="37" t="s">
        <v>495</v>
      </c>
      <c r="O851" s="37" t="s">
        <v>203</v>
      </c>
      <c r="P851" s="37">
        <v>0</v>
      </c>
      <c r="Q851" s="37">
        <v>0</v>
      </c>
      <c r="R851" s="37" t="s">
        <v>1099</v>
      </c>
      <c r="S851" s="37"/>
    </row>
    <row r="852" spans="1:19" x14ac:dyDescent="0.3">
      <c r="A852" s="37">
        <v>239</v>
      </c>
      <c r="B852" s="37" t="s">
        <v>1095</v>
      </c>
      <c r="C852" s="37" t="s">
        <v>1096</v>
      </c>
      <c r="D852" s="37" t="s">
        <v>73</v>
      </c>
      <c r="E852" s="37" t="s">
        <v>22</v>
      </c>
      <c r="F852" s="42">
        <v>44681</v>
      </c>
      <c r="G852" s="37">
        <v>2022</v>
      </c>
      <c r="H852" s="37" t="s">
        <v>79</v>
      </c>
      <c r="I852" s="37" t="s">
        <v>24</v>
      </c>
      <c r="J852" s="37"/>
      <c r="K852" s="37">
        <v>0</v>
      </c>
      <c r="L852" s="65"/>
      <c r="M852" s="65"/>
      <c r="N852" s="37" t="s">
        <v>495</v>
      </c>
      <c r="O852" s="37" t="s">
        <v>203</v>
      </c>
      <c r="P852" s="37">
        <v>0</v>
      </c>
      <c r="Q852" s="37">
        <v>0</v>
      </c>
      <c r="R852" s="37" t="s">
        <v>1100</v>
      </c>
      <c r="S852" s="37"/>
    </row>
    <row r="853" spans="1:19" x14ac:dyDescent="0.3">
      <c r="A853" s="37">
        <v>239</v>
      </c>
      <c r="B853" s="37" t="s">
        <v>1095</v>
      </c>
      <c r="C853" s="37" t="s">
        <v>1096</v>
      </c>
      <c r="D853" s="37" t="s">
        <v>73</v>
      </c>
      <c r="E853" s="37" t="s">
        <v>22</v>
      </c>
      <c r="F853" s="42">
        <v>44712</v>
      </c>
      <c r="G853" s="37">
        <v>2022</v>
      </c>
      <c r="H853" s="37" t="s">
        <v>81</v>
      </c>
      <c r="I853" s="37" t="s">
        <v>24</v>
      </c>
      <c r="J853" s="37"/>
      <c r="K853" s="37">
        <v>0</v>
      </c>
      <c r="L853" s="65"/>
      <c r="M853" s="65"/>
      <c r="N853" s="37" t="s">
        <v>495</v>
      </c>
      <c r="O853" s="37" t="s">
        <v>203</v>
      </c>
      <c r="P853" s="37">
        <v>0</v>
      </c>
      <c r="Q853" s="37">
        <v>0</v>
      </c>
      <c r="R853" s="37" t="s">
        <v>1101</v>
      </c>
      <c r="S853" s="37"/>
    </row>
    <row r="854" spans="1:19" x14ac:dyDescent="0.3">
      <c r="A854" s="37">
        <v>239</v>
      </c>
      <c r="B854" s="37" t="s">
        <v>1095</v>
      </c>
      <c r="C854" s="37" t="s">
        <v>1096</v>
      </c>
      <c r="D854" s="37" t="s">
        <v>73</v>
      </c>
      <c r="E854" s="37" t="s">
        <v>22</v>
      </c>
      <c r="F854" s="42">
        <v>44742</v>
      </c>
      <c r="G854" s="37">
        <v>2022</v>
      </c>
      <c r="H854" s="37" t="s">
        <v>23</v>
      </c>
      <c r="I854" s="37" t="s">
        <v>24</v>
      </c>
      <c r="J854" s="37"/>
      <c r="K854" s="37">
        <v>0</v>
      </c>
      <c r="L854" s="65"/>
      <c r="M854" s="65"/>
      <c r="N854" s="37" t="s">
        <v>495</v>
      </c>
      <c r="O854" s="37" t="s">
        <v>203</v>
      </c>
      <c r="P854" s="37">
        <v>0</v>
      </c>
      <c r="Q854" s="37">
        <v>0</v>
      </c>
      <c r="R854" s="37" t="s">
        <v>1102</v>
      </c>
      <c r="S854" s="37"/>
    </row>
    <row r="855" spans="1:19" x14ac:dyDescent="0.3">
      <c r="A855" s="37">
        <v>239</v>
      </c>
      <c r="B855" s="37" t="s">
        <v>1095</v>
      </c>
      <c r="C855" s="37" t="s">
        <v>1096</v>
      </c>
      <c r="D855" s="37" t="s">
        <v>73</v>
      </c>
      <c r="E855" s="37" t="s">
        <v>22</v>
      </c>
      <c r="F855" s="42">
        <v>44773</v>
      </c>
      <c r="G855" s="37">
        <v>2022</v>
      </c>
      <c r="H855" s="37" t="s">
        <v>84</v>
      </c>
      <c r="I855" s="37" t="s">
        <v>28</v>
      </c>
      <c r="J855" s="37"/>
      <c r="K855" s="37">
        <v>0</v>
      </c>
      <c r="L855" s="65"/>
      <c r="M855" s="65"/>
      <c r="N855" s="37" t="s">
        <v>495</v>
      </c>
      <c r="O855" s="37" t="s">
        <v>203</v>
      </c>
      <c r="P855" s="37">
        <v>0</v>
      </c>
      <c r="Q855" s="37">
        <v>0</v>
      </c>
      <c r="R855" s="37" t="s">
        <v>1103</v>
      </c>
      <c r="S855" s="37"/>
    </row>
    <row r="856" spans="1:19" x14ac:dyDescent="0.3">
      <c r="A856" s="37">
        <v>239</v>
      </c>
      <c r="B856" s="37" t="s">
        <v>1095</v>
      </c>
      <c r="C856" s="37" t="s">
        <v>1096</v>
      </c>
      <c r="D856" s="37" t="s">
        <v>73</v>
      </c>
      <c r="E856" s="37" t="s">
        <v>22</v>
      </c>
      <c r="F856" s="42">
        <v>44804</v>
      </c>
      <c r="G856" s="37">
        <v>2022</v>
      </c>
      <c r="H856" s="37" t="s">
        <v>86</v>
      </c>
      <c r="I856" s="37" t="s">
        <v>28</v>
      </c>
      <c r="J856" s="37"/>
      <c r="K856" s="37">
        <v>0</v>
      </c>
      <c r="L856" s="65"/>
      <c r="M856" s="65"/>
      <c r="N856" s="37" t="s">
        <v>495</v>
      </c>
      <c r="O856" s="37" t="s">
        <v>203</v>
      </c>
      <c r="P856" s="37">
        <v>0</v>
      </c>
      <c r="Q856" s="37">
        <v>0</v>
      </c>
      <c r="R856" s="37" t="s">
        <v>1104</v>
      </c>
      <c r="S856" s="37"/>
    </row>
    <row r="857" spans="1:19" x14ac:dyDescent="0.3">
      <c r="A857" s="37">
        <v>239</v>
      </c>
      <c r="B857" s="37" t="s">
        <v>1095</v>
      </c>
      <c r="C857" s="37" t="s">
        <v>1096</v>
      </c>
      <c r="D857" s="37" t="s">
        <v>73</v>
      </c>
      <c r="E857" s="37" t="s">
        <v>22</v>
      </c>
      <c r="F857" s="42">
        <v>44834</v>
      </c>
      <c r="G857" s="37">
        <v>2022</v>
      </c>
      <c r="H857" s="37" t="s">
        <v>43</v>
      </c>
      <c r="I857" s="37" t="s">
        <v>28</v>
      </c>
      <c r="J857" s="37"/>
      <c r="K857" s="37">
        <v>0</v>
      </c>
      <c r="L857" s="65"/>
      <c r="M857" s="65"/>
      <c r="N857" s="37" t="s">
        <v>495</v>
      </c>
      <c r="O857" s="37" t="s">
        <v>203</v>
      </c>
      <c r="P857" s="37">
        <v>0</v>
      </c>
      <c r="Q857" s="37">
        <v>0</v>
      </c>
      <c r="R857" s="37" t="s">
        <v>1105</v>
      </c>
      <c r="S857" s="37"/>
    </row>
    <row r="858" spans="1:19" x14ac:dyDescent="0.3">
      <c r="A858" s="37">
        <v>239</v>
      </c>
      <c r="B858" s="37" t="s">
        <v>1095</v>
      </c>
      <c r="C858" s="37" t="s">
        <v>1096</v>
      </c>
      <c r="D858" s="37" t="s">
        <v>73</v>
      </c>
      <c r="E858" s="37" t="s">
        <v>22</v>
      </c>
      <c r="F858" s="42">
        <v>44865</v>
      </c>
      <c r="G858" s="37">
        <v>2022</v>
      </c>
      <c r="H858" s="37" t="s">
        <v>89</v>
      </c>
      <c r="I858" s="37" t="s">
        <v>28</v>
      </c>
      <c r="J858" s="37"/>
      <c r="K858" s="37">
        <v>0</v>
      </c>
      <c r="L858" s="65"/>
      <c r="M858" s="65"/>
      <c r="N858" s="37" t="s">
        <v>495</v>
      </c>
      <c r="O858" s="37" t="s">
        <v>203</v>
      </c>
      <c r="P858" s="37">
        <v>0</v>
      </c>
      <c r="Q858" s="37">
        <v>0</v>
      </c>
      <c r="R858" s="37" t="s">
        <v>1106</v>
      </c>
      <c r="S858" s="37"/>
    </row>
    <row r="859" spans="1:19" x14ac:dyDescent="0.3">
      <c r="A859" s="37">
        <v>239</v>
      </c>
      <c r="B859" s="37" t="s">
        <v>1095</v>
      </c>
      <c r="C859" s="37" t="s">
        <v>1096</v>
      </c>
      <c r="D859" s="37" t="s">
        <v>73</v>
      </c>
      <c r="E859" s="37" t="s">
        <v>22</v>
      </c>
      <c r="F859" s="42">
        <v>44895</v>
      </c>
      <c r="G859" s="37">
        <v>2022</v>
      </c>
      <c r="H859" s="37" t="s">
        <v>91</v>
      </c>
      <c r="I859" s="37" t="s">
        <v>28</v>
      </c>
      <c r="J859" s="37"/>
      <c r="K859" s="37">
        <v>0</v>
      </c>
      <c r="L859" s="65"/>
      <c r="M859" s="65"/>
      <c r="N859" s="37" t="s">
        <v>495</v>
      </c>
      <c r="O859" s="37" t="s">
        <v>203</v>
      </c>
      <c r="P859" s="37">
        <v>0</v>
      </c>
      <c r="Q859" s="37">
        <v>0</v>
      </c>
      <c r="R859" s="37" t="s">
        <v>1107</v>
      </c>
      <c r="S859" s="37"/>
    </row>
    <row r="860" spans="1:19" x14ac:dyDescent="0.3">
      <c r="A860" s="37">
        <v>239</v>
      </c>
      <c r="B860" s="37" t="s">
        <v>1095</v>
      </c>
      <c r="C860" s="37" t="s">
        <v>1096</v>
      </c>
      <c r="D860" s="37" t="s">
        <v>73</v>
      </c>
      <c r="E860" s="37" t="s">
        <v>22</v>
      </c>
      <c r="F860" s="42">
        <v>44926</v>
      </c>
      <c r="G860" s="37">
        <v>2022</v>
      </c>
      <c r="H860" s="37" t="s">
        <v>27</v>
      </c>
      <c r="I860" s="37" t="s">
        <v>28</v>
      </c>
      <c r="J860" s="37"/>
      <c r="K860" s="37">
        <v>0</v>
      </c>
      <c r="L860" s="65"/>
      <c r="M860" s="65"/>
      <c r="N860" s="37" t="s">
        <v>495</v>
      </c>
      <c r="O860" s="37" t="s">
        <v>203</v>
      </c>
      <c r="P860" s="37">
        <v>0</v>
      </c>
      <c r="Q860" s="37">
        <v>0</v>
      </c>
      <c r="R860" s="37" t="s">
        <v>1108</v>
      </c>
      <c r="S860" s="37"/>
    </row>
    <row r="861" spans="1:19" x14ac:dyDescent="0.3">
      <c r="A861" s="36">
        <v>239</v>
      </c>
      <c r="B861" s="37" t="s">
        <v>1109</v>
      </c>
      <c r="C861" s="37" t="s">
        <v>1096</v>
      </c>
      <c r="D861" s="37" t="s">
        <v>73</v>
      </c>
      <c r="E861" s="37" t="s">
        <v>22</v>
      </c>
      <c r="F861" s="42">
        <v>44957</v>
      </c>
      <c r="G861" s="37">
        <v>2023</v>
      </c>
      <c r="H861" s="37" t="s">
        <v>74</v>
      </c>
      <c r="I861" s="39" t="s">
        <v>30</v>
      </c>
      <c r="J861" s="37"/>
      <c r="K861" s="56">
        <v>12</v>
      </c>
      <c r="L861" s="46"/>
      <c r="M861" s="65"/>
      <c r="N861" s="37" t="s">
        <v>495</v>
      </c>
      <c r="O861" s="60" t="s">
        <v>203</v>
      </c>
      <c r="P861" s="40">
        <v>0</v>
      </c>
      <c r="Q861" s="40">
        <v>0</v>
      </c>
      <c r="R861" s="37" t="s">
        <v>1110</v>
      </c>
      <c r="S861" s="37"/>
    </row>
    <row r="862" spans="1:19" x14ac:dyDescent="0.3">
      <c r="A862" s="36">
        <v>239</v>
      </c>
      <c r="B862" s="37" t="s">
        <v>1109</v>
      </c>
      <c r="C862" s="37" t="s">
        <v>1096</v>
      </c>
      <c r="D862" s="37" t="s">
        <v>73</v>
      </c>
      <c r="E862" s="37" t="s">
        <v>22</v>
      </c>
      <c r="F862" s="38">
        <v>44985</v>
      </c>
      <c r="G862" s="37">
        <v>2023</v>
      </c>
      <c r="H862" s="37" t="s">
        <v>76</v>
      </c>
      <c r="I862" s="39" t="s">
        <v>30</v>
      </c>
      <c r="J862" s="37"/>
      <c r="K862" s="56">
        <v>18</v>
      </c>
      <c r="L862" s="46"/>
      <c r="M862" s="65"/>
      <c r="N862" s="37" t="s">
        <v>495</v>
      </c>
      <c r="O862" s="60" t="s">
        <v>203</v>
      </c>
      <c r="P862" s="40">
        <v>0</v>
      </c>
      <c r="Q862" s="40">
        <v>0</v>
      </c>
      <c r="R862" s="37" t="s">
        <v>1111</v>
      </c>
      <c r="S862" s="37"/>
    </row>
    <row r="863" spans="1:19" x14ac:dyDescent="0.3">
      <c r="A863" s="36">
        <v>239</v>
      </c>
      <c r="B863" s="37" t="s">
        <v>1109</v>
      </c>
      <c r="C863" s="37" t="s">
        <v>1096</v>
      </c>
      <c r="D863" s="37" t="s">
        <v>73</v>
      </c>
      <c r="E863" s="37" t="s">
        <v>22</v>
      </c>
      <c r="F863" s="42">
        <v>45016</v>
      </c>
      <c r="G863" s="37">
        <v>2023</v>
      </c>
      <c r="H863" s="37" t="s">
        <v>40</v>
      </c>
      <c r="I863" s="39" t="s">
        <v>30</v>
      </c>
      <c r="J863" s="37"/>
      <c r="K863" s="56">
        <v>18</v>
      </c>
      <c r="L863" s="46"/>
      <c r="M863" s="65"/>
      <c r="N863" s="37" t="s">
        <v>495</v>
      </c>
      <c r="O863" s="60" t="s">
        <v>203</v>
      </c>
      <c r="P863" s="40">
        <v>0</v>
      </c>
      <c r="Q863" s="40">
        <v>0</v>
      </c>
      <c r="R863" s="37" t="s">
        <v>1112</v>
      </c>
      <c r="S863" s="37"/>
    </row>
    <row r="864" spans="1:19" x14ac:dyDescent="0.3">
      <c r="A864" s="36">
        <v>239</v>
      </c>
      <c r="B864" s="37" t="s">
        <v>1109</v>
      </c>
      <c r="C864" s="37" t="s">
        <v>1096</v>
      </c>
      <c r="D864" s="37" t="s">
        <v>73</v>
      </c>
      <c r="E864" s="37" t="s">
        <v>22</v>
      </c>
      <c r="F864" s="42">
        <v>45046</v>
      </c>
      <c r="G864" s="37">
        <v>2023</v>
      </c>
      <c r="H864" s="37" t="s">
        <v>79</v>
      </c>
      <c r="I864" s="39" t="s">
        <v>30</v>
      </c>
      <c r="J864" s="37"/>
      <c r="K864" s="56">
        <v>18</v>
      </c>
      <c r="L864" s="46"/>
      <c r="M864" s="65"/>
      <c r="N864" s="37" t="s">
        <v>495</v>
      </c>
      <c r="O864" s="60" t="s">
        <v>203</v>
      </c>
      <c r="P864" s="40">
        <v>0</v>
      </c>
      <c r="Q864" s="40">
        <v>0</v>
      </c>
      <c r="R864" s="37" t="s">
        <v>1113</v>
      </c>
      <c r="S864" s="37"/>
    </row>
    <row r="865" spans="1:19" x14ac:dyDescent="0.3">
      <c r="A865" s="36">
        <v>239</v>
      </c>
      <c r="B865" s="37" t="s">
        <v>1109</v>
      </c>
      <c r="C865" s="37" t="s">
        <v>1096</v>
      </c>
      <c r="D865" s="37" t="s">
        <v>73</v>
      </c>
      <c r="E865" s="37" t="s">
        <v>22</v>
      </c>
      <c r="F865" s="42">
        <v>45077</v>
      </c>
      <c r="G865" s="37">
        <v>2023</v>
      </c>
      <c r="H865" s="37" t="s">
        <v>81</v>
      </c>
      <c r="I865" s="39" t="s">
        <v>30</v>
      </c>
      <c r="J865" s="37"/>
      <c r="K865" s="56">
        <v>19</v>
      </c>
      <c r="L865" s="46"/>
      <c r="M865" s="65"/>
      <c r="N865" s="37" t="s">
        <v>495</v>
      </c>
      <c r="O865" s="60" t="s">
        <v>203</v>
      </c>
      <c r="P865" s="40">
        <v>0</v>
      </c>
      <c r="Q865" s="40">
        <v>0</v>
      </c>
      <c r="R865" s="37" t="s">
        <v>1114</v>
      </c>
      <c r="S865" s="37"/>
    </row>
    <row r="866" spans="1:19" x14ac:dyDescent="0.3">
      <c r="A866" s="36">
        <v>239</v>
      </c>
      <c r="B866" s="37" t="s">
        <v>1109</v>
      </c>
      <c r="C866" s="37" t="s">
        <v>1096</v>
      </c>
      <c r="D866" s="37" t="s">
        <v>73</v>
      </c>
      <c r="E866" s="37" t="s">
        <v>22</v>
      </c>
      <c r="F866" s="42">
        <v>45107</v>
      </c>
      <c r="G866" s="37">
        <v>2023</v>
      </c>
      <c r="H866" s="37" t="s">
        <v>23</v>
      </c>
      <c r="I866" s="39" t="s">
        <v>30</v>
      </c>
      <c r="J866" s="37"/>
      <c r="K866" s="56">
        <v>19</v>
      </c>
      <c r="L866" s="46"/>
      <c r="M866" s="65"/>
      <c r="N866" s="37" t="s">
        <v>495</v>
      </c>
      <c r="O866" s="60" t="s">
        <v>203</v>
      </c>
      <c r="P866" s="40">
        <v>0</v>
      </c>
      <c r="Q866" s="40">
        <v>0</v>
      </c>
      <c r="R866" s="37" t="s">
        <v>1115</v>
      </c>
      <c r="S866" s="37"/>
    </row>
    <row r="867" spans="1:19" x14ac:dyDescent="0.3">
      <c r="A867" s="36">
        <v>239</v>
      </c>
      <c r="B867" s="37" t="s">
        <v>1109</v>
      </c>
      <c r="C867" s="37" t="s">
        <v>1096</v>
      </c>
      <c r="D867" s="37" t="s">
        <v>73</v>
      </c>
      <c r="E867" s="37" t="s">
        <v>22</v>
      </c>
      <c r="F867" s="42">
        <v>45138</v>
      </c>
      <c r="G867" s="37">
        <v>2023</v>
      </c>
      <c r="H867" s="37" t="s">
        <v>84</v>
      </c>
      <c r="I867" s="39" t="s">
        <v>32</v>
      </c>
      <c r="J867" s="37"/>
      <c r="K867" s="56">
        <v>18</v>
      </c>
      <c r="L867" s="46"/>
      <c r="M867" s="65"/>
      <c r="N867" s="37" t="s">
        <v>495</v>
      </c>
      <c r="O867" s="60" t="s">
        <v>203</v>
      </c>
      <c r="P867" s="40">
        <v>0</v>
      </c>
      <c r="Q867" s="40">
        <v>0</v>
      </c>
      <c r="R867" s="37" t="s">
        <v>1116</v>
      </c>
      <c r="S867" s="37"/>
    </row>
    <row r="868" spans="1:19" x14ac:dyDescent="0.3">
      <c r="A868" s="36">
        <v>239</v>
      </c>
      <c r="B868" s="37" t="s">
        <v>1109</v>
      </c>
      <c r="C868" s="37" t="s">
        <v>1096</v>
      </c>
      <c r="D868" s="37" t="s">
        <v>73</v>
      </c>
      <c r="E868" s="37" t="s">
        <v>22</v>
      </c>
      <c r="F868" s="42">
        <v>45169</v>
      </c>
      <c r="G868" s="37">
        <v>2023</v>
      </c>
      <c r="H868" s="37" t="s">
        <v>86</v>
      </c>
      <c r="I868" s="39" t="s">
        <v>32</v>
      </c>
      <c r="J868" s="37"/>
      <c r="K868" s="56">
        <v>0</v>
      </c>
      <c r="L868" s="46"/>
      <c r="M868" s="65"/>
      <c r="N868" s="37" t="s">
        <v>495</v>
      </c>
      <c r="O868" s="60" t="s">
        <v>203</v>
      </c>
      <c r="P868" s="40">
        <v>0</v>
      </c>
      <c r="Q868" s="40">
        <v>0</v>
      </c>
      <c r="R868" s="37" t="s">
        <v>1117</v>
      </c>
      <c r="S868" s="37"/>
    </row>
    <row r="869" spans="1:19" x14ac:dyDescent="0.3">
      <c r="A869" s="36">
        <v>239</v>
      </c>
      <c r="B869" s="37" t="s">
        <v>1109</v>
      </c>
      <c r="C869" s="37" t="s">
        <v>1096</v>
      </c>
      <c r="D869" s="37" t="s">
        <v>73</v>
      </c>
      <c r="E869" s="37" t="s">
        <v>22</v>
      </c>
      <c r="F869" s="42">
        <v>45199</v>
      </c>
      <c r="G869" s="37">
        <v>2023</v>
      </c>
      <c r="H869" s="37" t="s">
        <v>43</v>
      </c>
      <c r="I869" s="39" t="s">
        <v>32</v>
      </c>
      <c r="J869" s="37"/>
      <c r="K869" s="56">
        <v>0</v>
      </c>
      <c r="L869" s="46"/>
      <c r="M869" s="65"/>
      <c r="N869" s="37" t="s">
        <v>495</v>
      </c>
      <c r="O869" s="60" t="s">
        <v>203</v>
      </c>
      <c r="P869" s="40">
        <v>0</v>
      </c>
      <c r="Q869" s="40">
        <v>0</v>
      </c>
      <c r="R869" s="37" t="s">
        <v>1118</v>
      </c>
      <c r="S869" s="37"/>
    </row>
    <row r="870" spans="1:19" x14ac:dyDescent="0.3">
      <c r="A870" s="41">
        <v>239</v>
      </c>
      <c r="B870" s="37" t="s">
        <v>1109</v>
      </c>
      <c r="C870" s="37" t="s">
        <v>1096</v>
      </c>
      <c r="D870" s="37" t="s">
        <v>73</v>
      </c>
      <c r="E870" s="37" t="s">
        <v>22</v>
      </c>
      <c r="F870" s="42">
        <v>45230</v>
      </c>
      <c r="G870" s="37">
        <v>2023</v>
      </c>
      <c r="H870" s="37" t="s">
        <v>89</v>
      </c>
      <c r="I870" s="39" t="s">
        <v>32</v>
      </c>
      <c r="J870" s="37"/>
      <c r="K870" s="56">
        <v>0</v>
      </c>
      <c r="L870" s="46"/>
      <c r="M870" s="65"/>
      <c r="N870" s="37" t="s">
        <v>495</v>
      </c>
      <c r="O870" s="60" t="s">
        <v>203</v>
      </c>
      <c r="P870" s="40">
        <v>0</v>
      </c>
      <c r="Q870" s="40">
        <v>0</v>
      </c>
      <c r="R870" s="37" t="s">
        <v>1119</v>
      </c>
      <c r="S870" s="37"/>
    </row>
    <row r="871" spans="1:19" x14ac:dyDescent="0.3">
      <c r="A871" s="41">
        <v>239</v>
      </c>
      <c r="B871" s="37" t="s">
        <v>1109</v>
      </c>
      <c r="C871" s="37" t="s">
        <v>1096</v>
      </c>
      <c r="D871" s="37" t="s">
        <v>73</v>
      </c>
      <c r="E871" s="37" t="s">
        <v>22</v>
      </c>
      <c r="F871" s="42">
        <v>45260</v>
      </c>
      <c r="G871" s="37">
        <v>2023</v>
      </c>
      <c r="H871" s="37" t="s">
        <v>91</v>
      </c>
      <c r="I871" s="39" t="s">
        <v>32</v>
      </c>
      <c r="J871" s="37"/>
      <c r="K871" s="56">
        <v>0</v>
      </c>
      <c r="L871" s="46"/>
      <c r="M871" s="65"/>
      <c r="N871" s="37" t="s">
        <v>495</v>
      </c>
      <c r="O871" s="60" t="s">
        <v>203</v>
      </c>
      <c r="P871" s="40">
        <v>0</v>
      </c>
      <c r="Q871" s="40">
        <v>0</v>
      </c>
      <c r="R871" s="37" t="s">
        <v>1120</v>
      </c>
      <c r="S871" s="37"/>
    </row>
    <row r="872" spans="1:19" x14ac:dyDescent="0.3">
      <c r="A872" s="41">
        <v>239</v>
      </c>
      <c r="B872" s="37" t="s">
        <v>1109</v>
      </c>
      <c r="C872" s="37" t="s">
        <v>1096</v>
      </c>
      <c r="D872" s="37" t="s">
        <v>73</v>
      </c>
      <c r="E872" s="37" t="s">
        <v>22</v>
      </c>
      <c r="F872" s="42">
        <v>45291</v>
      </c>
      <c r="G872" s="37">
        <v>2023</v>
      </c>
      <c r="H872" s="37" t="s">
        <v>27</v>
      </c>
      <c r="I872" s="39" t="s">
        <v>32</v>
      </c>
      <c r="J872" s="37"/>
      <c r="K872" s="56">
        <v>0</v>
      </c>
      <c r="L872" s="46"/>
      <c r="M872" s="65"/>
      <c r="N872" s="37" t="s">
        <v>495</v>
      </c>
      <c r="O872" s="60" t="s">
        <v>203</v>
      </c>
      <c r="P872" s="40">
        <v>0</v>
      </c>
      <c r="Q872" s="40">
        <v>0</v>
      </c>
      <c r="R872" s="37" t="s">
        <v>1121</v>
      </c>
      <c r="S872" s="37"/>
    </row>
    <row r="873" spans="1:19" x14ac:dyDescent="0.3">
      <c r="A873" s="36">
        <v>239</v>
      </c>
      <c r="B873" s="37" t="s">
        <v>1109</v>
      </c>
      <c r="C873" s="37" t="s">
        <v>1096</v>
      </c>
      <c r="D873" s="37" t="s">
        <v>73</v>
      </c>
      <c r="E873" s="37" t="s">
        <v>22</v>
      </c>
      <c r="F873" s="42">
        <v>45322</v>
      </c>
      <c r="G873" s="37">
        <v>2024</v>
      </c>
      <c r="H873" s="37" t="s">
        <v>74</v>
      </c>
      <c r="I873" s="39" t="s">
        <v>34</v>
      </c>
      <c r="J873" s="37"/>
      <c r="K873" s="56">
        <v>0</v>
      </c>
      <c r="L873" s="46"/>
      <c r="M873" s="65"/>
      <c r="N873" s="37" t="s">
        <v>495</v>
      </c>
      <c r="O873" s="60" t="s">
        <v>203</v>
      </c>
      <c r="P873" s="40">
        <v>0</v>
      </c>
      <c r="Q873" s="40">
        <v>0</v>
      </c>
      <c r="R873" s="37" t="s">
        <v>1122</v>
      </c>
      <c r="S873" s="37"/>
    </row>
    <row r="874" spans="1:19" x14ac:dyDescent="0.3">
      <c r="A874" s="36">
        <v>239</v>
      </c>
      <c r="B874" s="37" t="s">
        <v>1109</v>
      </c>
      <c r="C874" s="37" t="s">
        <v>1096</v>
      </c>
      <c r="D874" s="37" t="s">
        <v>73</v>
      </c>
      <c r="E874" s="37" t="s">
        <v>22</v>
      </c>
      <c r="F874" s="42">
        <v>45351</v>
      </c>
      <c r="G874" s="37">
        <v>2024</v>
      </c>
      <c r="H874" s="37" t="s">
        <v>76</v>
      </c>
      <c r="I874" s="39" t="s">
        <v>34</v>
      </c>
      <c r="J874" s="37"/>
      <c r="K874" s="43">
        <v>29</v>
      </c>
      <c r="L874" s="46"/>
      <c r="M874" s="65"/>
      <c r="N874" s="37" t="s">
        <v>495</v>
      </c>
      <c r="O874" s="60" t="s">
        <v>203</v>
      </c>
      <c r="P874" s="40">
        <v>0</v>
      </c>
      <c r="Q874" s="40">
        <v>0</v>
      </c>
      <c r="R874" s="37" t="s">
        <v>1123</v>
      </c>
      <c r="S874" s="37"/>
    </row>
    <row r="875" spans="1:19" x14ac:dyDescent="0.3">
      <c r="A875" s="36">
        <v>239</v>
      </c>
      <c r="B875" s="37" t="s">
        <v>1109</v>
      </c>
      <c r="C875" s="37" t="s">
        <v>1096</v>
      </c>
      <c r="D875" s="37" t="s">
        <v>73</v>
      </c>
      <c r="E875" s="37" t="s">
        <v>22</v>
      </c>
      <c r="F875" s="42">
        <v>45382</v>
      </c>
      <c r="G875" s="37">
        <v>2024</v>
      </c>
      <c r="H875" s="37" t="s">
        <v>40</v>
      </c>
      <c r="I875" s="39" t="s">
        <v>34</v>
      </c>
      <c r="J875" s="37"/>
      <c r="K875" s="56">
        <v>0</v>
      </c>
      <c r="L875" s="46"/>
      <c r="M875" s="65"/>
      <c r="N875" s="37" t="s">
        <v>495</v>
      </c>
      <c r="O875" s="60" t="s">
        <v>203</v>
      </c>
      <c r="P875" s="40">
        <v>0</v>
      </c>
      <c r="Q875" s="40">
        <v>0</v>
      </c>
      <c r="R875" s="37" t="s">
        <v>1124</v>
      </c>
      <c r="S875" s="37"/>
    </row>
    <row r="876" spans="1:19" x14ac:dyDescent="0.3">
      <c r="A876" s="36">
        <v>239</v>
      </c>
      <c r="B876" s="37" t="s">
        <v>1109</v>
      </c>
      <c r="C876" s="37" t="s">
        <v>1096</v>
      </c>
      <c r="D876" s="37" t="s">
        <v>73</v>
      </c>
      <c r="E876" s="37" t="s">
        <v>22</v>
      </c>
      <c r="F876" s="42">
        <v>45412</v>
      </c>
      <c r="G876" s="37">
        <v>2024</v>
      </c>
      <c r="H876" s="37" t="s">
        <v>79</v>
      </c>
      <c r="I876" s="39" t="s">
        <v>34</v>
      </c>
      <c r="J876" s="37"/>
      <c r="K876" s="56">
        <v>28</v>
      </c>
      <c r="L876" s="46"/>
      <c r="M876" s="65"/>
      <c r="N876" s="37" t="s">
        <v>495</v>
      </c>
      <c r="O876" s="60" t="s">
        <v>203</v>
      </c>
      <c r="P876" s="40">
        <v>0</v>
      </c>
      <c r="Q876" s="40">
        <v>0</v>
      </c>
      <c r="R876" s="37" t="s">
        <v>1125</v>
      </c>
      <c r="S876" s="37"/>
    </row>
    <row r="877" spans="1:19" x14ac:dyDescent="0.3">
      <c r="A877" s="36">
        <v>239</v>
      </c>
      <c r="B877" s="37" t="s">
        <v>1109</v>
      </c>
      <c r="C877" s="37" t="s">
        <v>1096</v>
      </c>
      <c r="D877" s="37" t="s">
        <v>73</v>
      </c>
      <c r="E877" s="37" t="s">
        <v>22</v>
      </c>
      <c r="F877" s="42">
        <v>45443</v>
      </c>
      <c r="G877" s="37">
        <v>2024</v>
      </c>
      <c r="H877" s="37" t="s">
        <v>81</v>
      </c>
      <c r="I877" s="39" t="s">
        <v>34</v>
      </c>
      <c r="J877" s="37"/>
      <c r="K877" s="56">
        <v>29</v>
      </c>
      <c r="L877" s="46"/>
      <c r="M877" s="65"/>
      <c r="N877" s="37" t="s">
        <v>495</v>
      </c>
      <c r="O877" s="60" t="s">
        <v>203</v>
      </c>
      <c r="P877" s="40">
        <v>0</v>
      </c>
      <c r="Q877" s="40">
        <v>0</v>
      </c>
      <c r="R877" s="37" t="s">
        <v>1126</v>
      </c>
      <c r="S877" s="37"/>
    </row>
    <row r="878" spans="1:19" x14ac:dyDescent="0.3">
      <c r="A878" s="36">
        <v>239</v>
      </c>
      <c r="B878" s="37" t="s">
        <v>1109</v>
      </c>
      <c r="C878" s="37" t="s">
        <v>1096</v>
      </c>
      <c r="D878" s="37" t="s">
        <v>73</v>
      </c>
      <c r="E878" s="37" t="s">
        <v>22</v>
      </c>
      <c r="F878" s="42">
        <v>45473</v>
      </c>
      <c r="G878" s="37">
        <v>2024</v>
      </c>
      <c r="H878" s="37" t="s">
        <v>23</v>
      </c>
      <c r="I878" s="39" t="s">
        <v>34</v>
      </c>
      <c r="J878" s="37"/>
      <c r="K878" s="56">
        <v>29</v>
      </c>
      <c r="L878" s="46"/>
      <c r="M878" s="65"/>
      <c r="N878" s="37" t="s">
        <v>495</v>
      </c>
      <c r="O878" s="60" t="s">
        <v>203</v>
      </c>
      <c r="P878" s="40">
        <v>0</v>
      </c>
      <c r="Q878" s="40">
        <v>0</v>
      </c>
      <c r="R878" s="37" t="s">
        <v>1127</v>
      </c>
      <c r="S878" s="37"/>
    </row>
    <row r="879" spans="1:19" x14ac:dyDescent="0.3">
      <c r="A879" s="36">
        <v>239</v>
      </c>
      <c r="B879" s="37" t="s">
        <v>1109</v>
      </c>
      <c r="C879" s="37" t="s">
        <v>1096</v>
      </c>
      <c r="D879" s="37" t="s">
        <v>73</v>
      </c>
      <c r="E879" s="37" t="s">
        <v>22</v>
      </c>
      <c r="F879" s="42">
        <v>45504</v>
      </c>
      <c r="G879" s="37">
        <v>2024</v>
      </c>
      <c r="H879" s="37" t="s">
        <v>84</v>
      </c>
      <c r="I879" s="39" t="s">
        <v>36</v>
      </c>
      <c r="J879" s="37"/>
      <c r="K879" s="56">
        <v>0</v>
      </c>
      <c r="L879" s="46"/>
      <c r="M879" s="65"/>
      <c r="N879" s="37" t="s">
        <v>495</v>
      </c>
      <c r="O879" s="60" t="s">
        <v>203</v>
      </c>
      <c r="P879" s="40">
        <v>0</v>
      </c>
      <c r="Q879" s="40">
        <v>0</v>
      </c>
      <c r="R879" s="37" t="s">
        <v>1128</v>
      </c>
      <c r="S879" s="37"/>
    </row>
    <row r="880" spans="1:19" x14ac:dyDescent="0.3">
      <c r="A880" s="36">
        <v>239</v>
      </c>
      <c r="B880" s="37" t="s">
        <v>1109</v>
      </c>
      <c r="C880" s="37" t="s">
        <v>1096</v>
      </c>
      <c r="D880" s="37" t="s">
        <v>73</v>
      </c>
      <c r="E880" s="37" t="s">
        <v>22</v>
      </c>
      <c r="F880" s="42">
        <v>45535</v>
      </c>
      <c r="G880" s="37">
        <v>2024</v>
      </c>
      <c r="H880" s="37" t="s">
        <v>86</v>
      </c>
      <c r="I880" s="39" t="s">
        <v>36</v>
      </c>
      <c r="J880" s="37"/>
      <c r="K880" s="56">
        <v>0</v>
      </c>
      <c r="L880" s="46"/>
      <c r="M880" s="65"/>
      <c r="N880" s="37" t="s">
        <v>495</v>
      </c>
      <c r="O880" s="60" t="s">
        <v>203</v>
      </c>
      <c r="P880" s="40">
        <v>0</v>
      </c>
      <c r="Q880" s="40">
        <v>0</v>
      </c>
      <c r="R880" s="37" t="s">
        <v>1129</v>
      </c>
      <c r="S880" s="37"/>
    </row>
    <row r="881" spans="1:19" x14ac:dyDescent="0.3">
      <c r="A881" s="36">
        <v>239</v>
      </c>
      <c r="B881" s="37" t="s">
        <v>1109</v>
      </c>
      <c r="C881" s="37" t="s">
        <v>1096</v>
      </c>
      <c r="D881" s="37" t="s">
        <v>73</v>
      </c>
      <c r="E881" s="37" t="s">
        <v>22</v>
      </c>
      <c r="F881" s="42">
        <v>45565</v>
      </c>
      <c r="G881" s="37">
        <v>2024</v>
      </c>
      <c r="H881" s="37" t="s">
        <v>43</v>
      </c>
      <c r="I881" s="39" t="s">
        <v>36</v>
      </c>
      <c r="J881" s="37"/>
      <c r="K881" s="56">
        <v>0</v>
      </c>
      <c r="L881" s="46"/>
      <c r="M881" s="65"/>
      <c r="N881" s="37" t="s">
        <v>495</v>
      </c>
      <c r="O881" s="60" t="s">
        <v>203</v>
      </c>
      <c r="P881" s="40">
        <v>0</v>
      </c>
      <c r="Q881" s="40">
        <v>0</v>
      </c>
      <c r="R881" s="37" t="s">
        <v>1130</v>
      </c>
      <c r="S881" s="37"/>
    </row>
    <row r="882" spans="1:19" x14ac:dyDescent="0.3">
      <c r="A882" s="41">
        <v>239</v>
      </c>
      <c r="B882" s="37" t="s">
        <v>1109</v>
      </c>
      <c r="C882" s="37" t="s">
        <v>1096</v>
      </c>
      <c r="D882" s="37" t="s">
        <v>73</v>
      </c>
      <c r="E882" s="37" t="s">
        <v>22</v>
      </c>
      <c r="F882" s="42">
        <v>45596</v>
      </c>
      <c r="G882" s="37">
        <v>2024</v>
      </c>
      <c r="H882" s="37" t="s">
        <v>89</v>
      </c>
      <c r="I882" s="39" t="s">
        <v>36</v>
      </c>
      <c r="J882" s="37"/>
      <c r="K882" s="56">
        <v>0</v>
      </c>
      <c r="L882" s="46"/>
      <c r="M882" s="65"/>
      <c r="N882" s="37" t="s">
        <v>495</v>
      </c>
      <c r="O882" s="60" t="s">
        <v>203</v>
      </c>
      <c r="P882" s="40">
        <v>0</v>
      </c>
      <c r="Q882" s="40">
        <v>0</v>
      </c>
      <c r="R882" s="37" t="s">
        <v>1131</v>
      </c>
      <c r="S882" s="37"/>
    </row>
    <row r="883" spans="1:19" x14ac:dyDescent="0.3">
      <c r="A883" s="41">
        <v>239</v>
      </c>
      <c r="B883" s="37" t="s">
        <v>1109</v>
      </c>
      <c r="C883" s="37" t="s">
        <v>1096</v>
      </c>
      <c r="D883" s="37" t="s">
        <v>73</v>
      </c>
      <c r="E883" s="37" t="s">
        <v>22</v>
      </c>
      <c r="F883" s="42">
        <v>45626</v>
      </c>
      <c r="G883" s="37">
        <v>2024</v>
      </c>
      <c r="H883" s="37" t="s">
        <v>91</v>
      </c>
      <c r="I883" s="39" t="s">
        <v>36</v>
      </c>
      <c r="J883" s="37"/>
      <c r="K883" s="56">
        <v>0</v>
      </c>
      <c r="L883" s="46"/>
      <c r="M883" s="65"/>
      <c r="N883" s="37" t="s">
        <v>495</v>
      </c>
      <c r="O883" s="60" t="s">
        <v>203</v>
      </c>
      <c r="P883" s="40">
        <v>0</v>
      </c>
      <c r="Q883" s="40">
        <v>0</v>
      </c>
      <c r="R883" s="37" t="s">
        <v>1132</v>
      </c>
      <c r="S883" s="37"/>
    </row>
    <row r="884" spans="1:19" x14ac:dyDescent="0.3">
      <c r="A884" s="41">
        <v>239</v>
      </c>
      <c r="B884" s="37" t="s">
        <v>1109</v>
      </c>
      <c r="C884" s="37" t="s">
        <v>1096</v>
      </c>
      <c r="D884" s="37" t="s">
        <v>73</v>
      </c>
      <c r="E884" s="37" t="s">
        <v>22</v>
      </c>
      <c r="F884" s="42">
        <v>45657</v>
      </c>
      <c r="G884" s="37">
        <v>2024</v>
      </c>
      <c r="H884" s="37" t="s">
        <v>27</v>
      </c>
      <c r="I884" s="39" t="s">
        <v>36</v>
      </c>
      <c r="J884" s="37"/>
      <c r="K884" s="56">
        <v>0</v>
      </c>
      <c r="L884" s="46"/>
      <c r="M884" s="65"/>
      <c r="N884" s="37" t="s">
        <v>495</v>
      </c>
      <c r="O884" s="60" t="s">
        <v>203</v>
      </c>
      <c r="P884" s="40">
        <v>0</v>
      </c>
      <c r="Q884" s="40">
        <v>0</v>
      </c>
      <c r="R884" s="37" t="s">
        <v>1133</v>
      </c>
      <c r="S884" s="37"/>
    </row>
    <row r="885" spans="1:19" x14ac:dyDescent="0.3">
      <c r="A885" s="36">
        <v>240</v>
      </c>
      <c r="B885" s="37" t="s">
        <v>1144</v>
      </c>
      <c r="C885" s="37" t="s">
        <v>1096</v>
      </c>
      <c r="D885" s="37" t="s">
        <v>39</v>
      </c>
      <c r="E885" s="37" t="s">
        <v>22</v>
      </c>
      <c r="F885" s="42">
        <v>45016</v>
      </c>
      <c r="G885" s="37">
        <v>2023</v>
      </c>
      <c r="H885" s="37" t="s">
        <v>40</v>
      </c>
      <c r="I885" s="39" t="s">
        <v>30</v>
      </c>
      <c r="J885" s="37">
        <v>5</v>
      </c>
      <c r="K885" s="56">
        <v>2</v>
      </c>
      <c r="L885" s="65">
        <f t="shared" ref="L885:L910" si="82">IFERROR(IF(OR(J885=0,K885=""),"",IF(E885="Positivo",MIN(MAX(K885/J885,0),1.3),MIN(MAX(J885/K885,0),1.3))),"")</f>
        <v>0.4</v>
      </c>
      <c r="M885" s="65">
        <f t="shared" ref="M885:M910" si="83">IFERROR(IF(OR(J885=0,K885=""),"",IF(E885="Positivo",MAX(K885/J885,0),MAX(J885/K885,0))),"")</f>
        <v>0.4</v>
      </c>
      <c r="N885" s="37" t="s">
        <v>25</v>
      </c>
      <c r="O885" s="37" t="s">
        <v>25</v>
      </c>
      <c r="P885" s="40">
        <v>0</v>
      </c>
      <c r="Q885" s="40">
        <v>0</v>
      </c>
      <c r="R885" s="37" t="s">
        <v>1145</v>
      </c>
      <c r="S885" s="37"/>
    </row>
    <row r="886" spans="1:19" x14ac:dyDescent="0.3">
      <c r="A886" s="36">
        <v>240</v>
      </c>
      <c r="B886" s="37" t="s">
        <v>1144</v>
      </c>
      <c r="C886" s="37" t="s">
        <v>1096</v>
      </c>
      <c r="D886" s="37" t="s">
        <v>39</v>
      </c>
      <c r="E886" s="37" t="s">
        <v>22</v>
      </c>
      <c r="F886" s="42">
        <v>45107</v>
      </c>
      <c r="G886" s="37">
        <v>2023</v>
      </c>
      <c r="H886" s="37" t="s">
        <v>23</v>
      </c>
      <c r="I886" s="39" t="s">
        <v>30</v>
      </c>
      <c r="J886" s="37">
        <v>5</v>
      </c>
      <c r="K886" s="56">
        <v>3</v>
      </c>
      <c r="L886" s="65">
        <f t="shared" si="82"/>
        <v>0.6</v>
      </c>
      <c r="M886" s="65">
        <f t="shared" si="83"/>
        <v>0.6</v>
      </c>
      <c r="N886" s="37" t="s">
        <v>25</v>
      </c>
      <c r="O886" s="37" t="s">
        <v>25</v>
      </c>
      <c r="P886" s="40">
        <v>0</v>
      </c>
      <c r="Q886" s="40">
        <v>0</v>
      </c>
      <c r="R886" s="37" t="s">
        <v>1146</v>
      </c>
      <c r="S886" s="37"/>
    </row>
    <row r="887" spans="1:19" x14ac:dyDescent="0.3">
      <c r="A887" s="45">
        <v>240</v>
      </c>
      <c r="B887" s="37" t="s">
        <v>1144</v>
      </c>
      <c r="C887" s="37" t="s">
        <v>1096</v>
      </c>
      <c r="D887" s="37" t="s">
        <v>39</v>
      </c>
      <c r="E887" s="37" t="s">
        <v>22</v>
      </c>
      <c r="F887" s="42">
        <v>45199</v>
      </c>
      <c r="G887" s="37">
        <v>2023</v>
      </c>
      <c r="H887" s="37" t="s">
        <v>43</v>
      </c>
      <c r="I887" s="39" t="s">
        <v>32</v>
      </c>
      <c r="J887" s="37">
        <v>5</v>
      </c>
      <c r="K887" s="56">
        <v>4</v>
      </c>
      <c r="L887" s="65">
        <f t="shared" si="82"/>
        <v>0.8</v>
      </c>
      <c r="M887" s="65">
        <f t="shared" si="83"/>
        <v>0.8</v>
      </c>
      <c r="N887" s="37" t="s">
        <v>25</v>
      </c>
      <c r="O887" s="37" t="s">
        <v>25</v>
      </c>
      <c r="P887" s="40">
        <v>0</v>
      </c>
      <c r="Q887" s="40">
        <v>0</v>
      </c>
      <c r="R887" s="37" t="s">
        <v>1147</v>
      </c>
      <c r="S887" s="37"/>
    </row>
    <row r="888" spans="1:19" x14ac:dyDescent="0.3">
      <c r="A888" s="41">
        <v>240</v>
      </c>
      <c r="B888" s="37" t="s">
        <v>1144</v>
      </c>
      <c r="C888" s="37" t="s">
        <v>1096</v>
      </c>
      <c r="D888" s="37" t="s">
        <v>39</v>
      </c>
      <c r="E888" s="37" t="s">
        <v>22</v>
      </c>
      <c r="F888" s="42">
        <v>45291</v>
      </c>
      <c r="G888" s="37">
        <v>2023</v>
      </c>
      <c r="H888" s="37" t="s">
        <v>27</v>
      </c>
      <c r="I888" s="39" t="s">
        <v>32</v>
      </c>
      <c r="J888" s="37">
        <v>5</v>
      </c>
      <c r="K888" s="56">
        <v>4</v>
      </c>
      <c r="L888" s="65">
        <f t="shared" si="82"/>
        <v>0.8</v>
      </c>
      <c r="M888" s="65">
        <f t="shared" si="83"/>
        <v>0.8</v>
      </c>
      <c r="N888" s="37" t="s">
        <v>25</v>
      </c>
      <c r="O888" s="37" t="s">
        <v>25</v>
      </c>
      <c r="P888" s="40">
        <v>0</v>
      </c>
      <c r="Q888" s="40">
        <v>0</v>
      </c>
      <c r="R888" s="37" t="s">
        <v>1148</v>
      </c>
      <c r="S888" s="37"/>
    </row>
    <row r="889" spans="1:19" x14ac:dyDescent="0.3">
      <c r="A889" s="36">
        <v>240</v>
      </c>
      <c r="B889" s="37" t="s">
        <v>1144</v>
      </c>
      <c r="C889" s="37" t="s">
        <v>1096</v>
      </c>
      <c r="D889" s="37" t="s">
        <v>39</v>
      </c>
      <c r="E889" s="37" t="s">
        <v>22</v>
      </c>
      <c r="F889" s="42">
        <v>45382</v>
      </c>
      <c r="G889" s="37">
        <v>2024</v>
      </c>
      <c r="H889" s="37" t="s">
        <v>40</v>
      </c>
      <c r="I889" s="39" t="s">
        <v>34</v>
      </c>
      <c r="J889" s="37">
        <v>12</v>
      </c>
      <c r="K889" s="43">
        <v>11</v>
      </c>
      <c r="L889" s="65">
        <f t="shared" si="82"/>
        <v>0.91666666666666663</v>
      </c>
      <c r="M889" s="65">
        <f t="shared" si="83"/>
        <v>0.91666666666666663</v>
      </c>
      <c r="N889" s="37" t="s">
        <v>25</v>
      </c>
      <c r="O889" s="37" t="s">
        <v>25</v>
      </c>
      <c r="P889" s="40">
        <v>0</v>
      </c>
      <c r="Q889" s="40">
        <v>0</v>
      </c>
      <c r="R889" s="37" t="s">
        <v>1149</v>
      </c>
      <c r="S889" s="37"/>
    </row>
    <row r="890" spans="1:19" x14ac:dyDescent="0.3">
      <c r="A890" s="37">
        <v>240</v>
      </c>
      <c r="B890" s="37" t="s">
        <v>1144</v>
      </c>
      <c r="C890" s="37" t="s">
        <v>1096</v>
      </c>
      <c r="D890" s="37" t="s">
        <v>39</v>
      </c>
      <c r="E890" s="37" t="s">
        <v>22</v>
      </c>
      <c r="F890" s="42">
        <v>45473</v>
      </c>
      <c r="G890" s="37">
        <v>2024</v>
      </c>
      <c r="H890" s="37" t="s">
        <v>23</v>
      </c>
      <c r="I890" s="39" t="s">
        <v>34</v>
      </c>
      <c r="J890" s="37">
        <v>11</v>
      </c>
      <c r="K890" s="37">
        <v>11</v>
      </c>
      <c r="L890" s="65">
        <f t="shared" si="82"/>
        <v>1</v>
      </c>
      <c r="M890" s="65">
        <f t="shared" si="83"/>
        <v>1</v>
      </c>
      <c r="N890" s="37" t="s">
        <v>25</v>
      </c>
      <c r="O890" s="37" t="s">
        <v>25</v>
      </c>
      <c r="P890" s="37">
        <v>0</v>
      </c>
      <c r="Q890" s="37">
        <v>0</v>
      </c>
      <c r="R890" s="37" t="s">
        <v>1150</v>
      </c>
      <c r="S890" s="37"/>
    </row>
    <row r="891" spans="1:19" x14ac:dyDescent="0.3">
      <c r="A891" s="36">
        <v>240</v>
      </c>
      <c r="B891" s="37" t="s">
        <v>1144</v>
      </c>
      <c r="C891" s="37" t="s">
        <v>1096</v>
      </c>
      <c r="D891" s="37" t="s">
        <v>39</v>
      </c>
      <c r="E891" s="37" t="s">
        <v>22</v>
      </c>
      <c r="F891" s="42">
        <v>45565</v>
      </c>
      <c r="G891" s="37">
        <v>2024</v>
      </c>
      <c r="H891" s="37" t="s">
        <v>43</v>
      </c>
      <c r="I891" s="39" t="s">
        <v>36</v>
      </c>
      <c r="J891" s="37">
        <v>13</v>
      </c>
      <c r="K891" s="43">
        <v>13</v>
      </c>
      <c r="L891" s="65">
        <f t="shared" si="82"/>
        <v>1</v>
      </c>
      <c r="M891" s="65">
        <f t="shared" si="83"/>
        <v>1</v>
      </c>
      <c r="N891" s="37" t="s">
        <v>25</v>
      </c>
      <c r="O891" s="37" t="s">
        <v>25</v>
      </c>
      <c r="P891" s="40">
        <v>0</v>
      </c>
      <c r="Q891" s="40">
        <v>0</v>
      </c>
      <c r="R891" s="37" t="s">
        <v>1151</v>
      </c>
      <c r="S891" s="37"/>
    </row>
    <row r="892" spans="1:19" x14ac:dyDescent="0.3">
      <c r="A892" s="36">
        <v>240</v>
      </c>
      <c r="B892" s="37" t="s">
        <v>1144</v>
      </c>
      <c r="C892" s="37" t="s">
        <v>1096</v>
      </c>
      <c r="D892" s="37" t="s">
        <v>39</v>
      </c>
      <c r="E892" s="37" t="s">
        <v>22</v>
      </c>
      <c r="F892" s="42">
        <v>45657</v>
      </c>
      <c r="G892" s="37">
        <v>2024</v>
      </c>
      <c r="H892" s="37" t="s">
        <v>27</v>
      </c>
      <c r="I892" s="39" t="s">
        <v>36</v>
      </c>
      <c r="J892" s="37">
        <v>23</v>
      </c>
      <c r="K892" s="43">
        <v>23</v>
      </c>
      <c r="L892" s="65">
        <f t="shared" si="82"/>
        <v>1</v>
      </c>
      <c r="M892" s="65">
        <f t="shared" si="83"/>
        <v>1</v>
      </c>
      <c r="N892" s="37" t="s">
        <v>25</v>
      </c>
      <c r="O892" s="37" t="s">
        <v>25</v>
      </c>
      <c r="P892" s="40">
        <v>0</v>
      </c>
      <c r="Q892" s="40">
        <v>0</v>
      </c>
      <c r="R892" s="37" t="s">
        <v>1152</v>
      </c>
      <c r="S892" s="37"/>
    </row>
    <row r="893" spans="1:19" x14ac:dyDescent="0.3">
      <c r="A893" s="36">
        <v>241</v>
      </c>
      <c r="B893" s="37" t="s">
        <v>1153</v>
      </c>
      <c r="C893" s="37" t="s">
        <v>1096</v>
      </c>
      <c r="D893" s="37" t="s">
        <v>73</v>
      </c>
      <c r="E893" s="37" t="s">
        <v>22</v>
      </c>
      <c r="F893" s="42">
        <v>44957</v>
      </c>
      <c r="G893" s="37">
        <v>2023</v>
      </c>
      <c r="H893" s="37" t="s">
        <v>74</v>
      </c>
      <c r="I893" s="39" t="s">
        <v>30</v>
      </c>
      <c r="J893" s="37">
        <v>5</v>
      </c>
      <c r="K893" s="56">
        <v>5</v>
      </c>
      <c r="L893" s="65">
        <f t="shared" si="82"/>
        <v>1</v>
      </c>
      <c r="M893" s="65">
        <f t="shared" si="83"/>
        <v>1</v>
      </c>
      <c r="N893" s="37" t="s">
        <v>25</v>
      </c>
      <c r="O893" s="37" t="s">
        <v>25</v>
      </c>
      <c r="P893" s="40">
        <v>0</v>
      </c>
      <c r="Q893" s="40">
        <v>0</v>
      </c>
      <c r="R893" s="37" t="s">
        <v>1154</v>
      </c>
      <c r="S893" s="37"/>
    </row>
    <row r="894" spans="1:19" x14ac:dyDescent="0.3">
      <c r="A894" s="36">
        <v>241</v>
      </c>
      <c r="B894" s="37" t="s">
        <v>1153</v>
      </c>
      <c r="C894" s="37" t="s">
        <v>1096</v>
      </c>
      <c r="D894" s="37" t="s">
        <v>73</v>
      </c>
      <c r="E894" s="37" t="s">
        <v>22</v>
      </c>
      <c r="F894" s="38">
        <v>44985</v>
      </c>
      <c r="G894" s="37">
        <v>2023</v>
      </c>
      <c r="H894" s="37" t="s">
        <v>76</v>
      </c>
      <c r="I894" s="39" t="s">
        <v>30</v>
      </c>
      <c r="J894" s="37">
        <v>6</v>
      </c>
      <c r="K894" s="56">
        <v>6</v>
      </c>
      <c r="L894" s="65">
        <f t="shared" si="82"/>
        <v>1</v>
      </c>
      <c r="M894" s="65">
        <f t="shared" si="83"/>
        <v>1</v>
      </c>
      <c r="N894" s="37" t="s">
        <v>25</v>
      </c>
      <c r="O894" s="37" t="s">
        <v>25</v>
      </c>
      <c r="P894" s="40">
        <v>0</v>
      </c>
      <c r="Q894" s="40">
        <v>0</v>
      </c>
      <c r="R894" s="37" t="s">
        <v>1155</v>
      </c>
      <c r="S894" s="37"/>
    </row>
    <row r="895" spans="1:19" x14ac:dyDescent="0.3">
      <c r="A895" s="36">
        <v>241</v>
      </c>
      <c r="B895" s="37" t="s">
        <v>1153</v>
      </c>
      <c r="C895" s="37" t="s">
        <v>1096</v>
      </c>
      <c r="D895" s="37" t="s">
        <v>73</v>
      </c>
      <c r="E895" s="37" t="s">
        <v>22</v>
      </c>
      <c r="F895" s="42">
        <v>45016</v>
      </c>
      <c r="G895" s="37">
        <v>2023</v>
      </c>
      <c r="H895" s="37" t="s">
        <v>40</v>
      </c>
      <c r="I895" s="39" t="s">
        <v>30</v>
      </c>
      <c r="J895" s="37">
        <v>6</v>
      </c>
      <c r="K895" s="56">
        <v>6</v>
      </c>
      <c r="L895" s="65">
        <f t="shared" si="82"/>
        <v>1</v>
      </c>
      <c r="M895" s="65">
        <f t="shared" si="83"/>
        <v>1</v>
      </c>
      <c r="N895" s="37" t="s">
        <v>25</v>
      </c>
      <c r="O895" s="37" t="s">
        <v>25</v>
      </c>
      <c r="P895" s="40">
        <v>0</v>
      </c>
      <c r="Q895" s="40">
        <v>0</v>
      </c>
      <c r="R895" s="37" t="s">
        <v>1156</v>
      </c>
      <c r="S895" s="37"/>
    </row>
    <row r="896" spans="1:19" x14ac:dyDescent="0.3">
      <c r="A896" s="36">
        <v>241</v>
      </c>
      <c r="B896" s="37" t="s">
        <v>1153</v>
      </c>
      <c r="C896" s="37" t="s">
        <v>1096</v>
      </c>
      <c r="D896" s="37" t="s">
        <v>73</v>
      </c>
      <c r="E896" s="37" t="s">
        <v>22</v>
      </c>
      <c r="F896" s="42">
        <v>45046</v>
      </c>
      <c r="G896" s="37">
        <v>2023</v>
      </c>
      <c r="H896" s="37" t="s">
        <v>79</v>
      </c>
      <c r="I896" s="39" t="s">
        <v>30</v>
      </c>
      <c r="J896" s="37">
        <v>11</v>
      </c>
      <c r="K896" s="56">
        <v>9</v>
      </c>
      <c r="L896" s="65">
        <f t="shared" si="82"/>
        <v>0.81818181818181823</v>
      </c>
      <c r="M896" s="65">
        <f t="shared" si="83"/>
        <v>0.81818181818181823</v>
      </c>
      <c r="N896" s="37" t="s">
        <v>25</v>
      </c>
      <c r="O896" s="37" t="s">
        <v>25</v>
      </c>
      <c r="P896" s="40">
        <v>0</v>
      </c>
      <c r="Q896" s="40">
        <v>0</v>
      </c>
      <c r="R896" s="37" t="s">
        <v>1157</v>
      </c>
      <c r="S896" s="37"/>
    </row>
    <row r="897" spans="1:19" x14ac:dyDescent="0.3">
      <c r="A897" s="36">
        <v>241</v>
      </c>
      <c r="B897" s="37" t="s">
        <v>1153</v>
      </c>
      <c r="C897" s="37" t="s">
        <v>1096</v>
      </c>
      <c r="D897" s="37" t="s">
        <v>73</v>
      </c>
      <c r="E897" s="37" t="s">
        <v>22</v>
      </c>
      <c r="F897" s="42">
        <v>45077</v>
      </c>
      <c r="G897" s="37">
        <v>2023</v>
      </c>
      <c r="H897" s="37" t="s">
        <v>81</v>
      </c>
      <c r="I897" s="39" t="s">
        <v>30</v>
      </c>
      <c r="J897" s="37">
        <v>12</v>
      </c>
      <c r="K897" s="56">
        <v>10</v>
      </c>
      <c r="L897" s="65">
        <f t="shared" si="82"/>
        <v>0.83333333333333337</v>
      </c>
      <c r="M897" s="65">
        <f t="shared" si="83"/>
        <v>0.83333333333333337</v>
      </c>
      <c r="N897" s="37" t="s">
        <v>25</v>
      </c>
      <c r="O897" s="37" t="s">
        <v>25</v>
      </c>
      <c r="P897" s="40">
        <v>0</v>
      </c>
      <c r="Q897" s="40">
        <v>0</v>
      </c>
      <c r="R897" s="37" t="s">
        <v>1158</v>
      </c>
      <c r="S897" s="37"/>
    </row>
    <row r="898" spans="1:19" x14ac:dyDescent="0.3">
      <c r="A898" s="36">
        <v>241</v>
      </c>
      <c r="B898" s="37" t="s">
        <v>1153</v>
      </c>
      <c r="C898" s="37" t="s">
        <v>1096</v>
      </c>
      <c r="D898" s="37" t="s">
        <v>73</v>
      </c>
      <c r="E898" s="37" t="s">
        <v>22</v>
      </c>
      <c r="F898" s="42">
        <v>45107</v>
      </c>
      <c r="G898" s="37">
        <v>2023</v>
      </c>
      <c r="H898" s="37" t="s">
        <v>23</v>
      </c>
      <c r="I898" s="39" t="s">
        <v>30</v>
      </c>
      <c r="J898" s="37">
        <v>12</v>
      </c>
      <c r="K898" s="56">
        <v>12</v>
      </c>
      <c r="L898" s="65">
        <f t="shared" si="82"/>
        <v>1</v>
      </c>
      <c r="M898" s="65">
        <f t="shared" si="83"/>
        <v>1</v>
      </c>
      <c r="N898" s="37" t="s">
        <v>25</v>
      </c>
      <c r="O898" s="37" t="s">
        <v>25</v>
      </c>
      <c r="P898" s="40">
        <v>0</v>
      </c>
      <c r="Q898" s="40">
        <v>0</v>
      </c>
      <c r="R898" s="37" t="s">
        <v>1159</v>
      </c>
      <c r="S898" s="37"/>
    </row>
    <row r="899" spans="1:19" x14ac:dyDescent="0.3">
      <c r="A899" s="36">
        <v>241</v>
      </c>
      <c r="B899" s="37" t="s">
        <v>1153</v>
      </c>
      <c r="C899" s="37" t="s">
        <v>1096</v>
      </c>
      <c r="D899" s="37" t="s">
        <v>73</v>
      </c>
      <c r="E899" s="37" t="s">
        <v>22</v>
      </c>
      <c r="F899" s="42">
        <v>45138</v>
      </c>
      <c r="G899" s="37">
        <v>2023</v>
      </c>
      <c r="H899" s="37" t="s">
        <v>84</v>
      </c>
      <c r="I899" s="39" t="s">
        <v>32</v>
      </c>
      <c r="J899" s="37">
        <v>12</v>
      </c>
      <c r="K899" s="56">
        <v>12</v>
      </c>
      <c r="L899" s="65">
        <f t="shared" si="82"/>
        <v>1</v>
      </c>
      <c r="M899" s="65">
        <f t="shared" si="83"/>
        <v>1</v>
      </c>
      <c r="N899" s="37" t="s">
        <v>25</v>
      </c>
      <c r="O899" s="37" t="s">
        <v>25</v>
      </c>
      <c r="P899" s="40">
        <v>0</v>
      </c>
      <c r="Q899" s="40">
        <v>0</v>
      </c>
      <c r="R899" s="37" t="s">
        <v>1160</v>
      </c>
      <c r="S899" s="37"/>
    </row>
    <row r="900" spans="1:19" x14ac:dyDescent="0.3">
      <c r="A900" s="36">
        <v>241</v>
      </c>
      <c r="B900" s="37" t="s">
        <v>1153</v>
      </c>
      <c r="C900" s="37" t="s">
        <v>1096</v>
      </c>
      <c r="D900" s="37" t="s">
        <v>73</v>
      </c>
      <c r="E900" s="37" t="s">
        <v>22</v>
      </c>
      <c r="F900" s="42">
        <v>45169</v>
      </c>
      <c r="G900" s="37">
        <v>2023</v>
      </c>
      <c r="H900" s="37" t="s">
        <v>86</v>
      </c>
      <c r="I900" s="39" t="s">
        <v>32</v>
      </c>
      <c r="J900" s="37">
        <v>12</v>
      </c>
      <c r="K900" s="56">
        <v>11</v>
      </c>
      <c r="L900" s="65">
        <f t="shared" si="82"/>
        <v>0.91666666666666663</v>
      </c>
      <c r="M900" s="65">
        <f t="shared" si="83"/>
        <v>0.91666666666666663</v>
      </c>
      <c r="N900" s="37" t="s">
        <v>25</v>
      </c>
      <c r="O900" s="37" t="s">
        <v>25</v>
      </c>
      <c r="P900" s="40">
        <v>0</v>
      </c>
      <c r="Q900" s="40">
        <v>0</v>
      </c>
      <c r="R900" s="37" t="s">
        <v>1161</v>
      </c>
      <c r="S900" s="37"/>
    </row>
    <row r="901" spans="1:19" x14ac:dyDescent="0.3">
      <c r="A901" s="36">
        <v>241</v>
      </c>
      <c r="B901" s="37" t="s">
        <v>1153</v>
      </c>
      <c r="C901" s="37" t="s">
        <v>1096</v>
      </c>
      <c r="D901" s="37" t="s">
        <v>73</v>
      </c>
      <c r="E901" s="37" t="s">
        <v>22</v>
      </c>
      <c r="F901" s="42">
        <v>45199</v>
      </c>
      <c r="G901" s="37">
        <v>2023</v>
      </c>
      <c r="H901" s="37" t="s">
        <v>43</v>
      </c>
      <c r="I901" s="39" t="s">
        <v>32</v>
      </c>
      <c r="J901" s="37">
        <v>12</v>
      </c>
      <c r="K901" s="56">
        <v>11</v>
      </c>
      <c r="L901" s="65">
        <f t="shared" si="82"/>
        <v>0.91666666666666663</v>
      </c>
      <c r="M901" s="65">
        <f t="shared" si="83"/>
        <v>0.91666666666666663</v>
      </c>
      <c r="N901" s="37" t="s">
        <v>25</v>
      </c>
      <c r="O901" s="37" t="s">
        <v>25</v>
      </c>
      <c r="P901" s="40">
        <v>0</v>
      </c>
      <c r="Q901" s="40">
        <v>0</v>
      </c>
      <c r="R901" s="37" t="s">
        <v>1162</v>
      </c>
      <c r="S901" s="37"/>
    </row>
    <row r="902" spans="1:19" x14ac:dyDescent="0.3">
      <c r="A902" s="41">
        <v>241</v>
      </c>
      <c r="B902" s="37" t="s">
        <v>1153</v>
      </c>
      <c r="C902" s="37" t="s">
        <v>1096</v>
      </c>
      <c r="D902" s="37" t="s">
        <v>73</v>
      </c>
      <c r="E902" s="37" t="s">
        <v>22</v>
      </c>
      <c r="F902" s="42">
        <v>45230</v>
      </c>
      <c r="G902" s="37">
        <v>2023</v>
      </c>
      <c r="H902" s="37" t="s">
        <v>89</v>
      </c>
      <c r="I902" s="39" t="s">
        <v>32</v>
      </c>
      <c r="J902" s="37">
        <v>9</v>
      </c>
      <c r="K902" s="56">
        <v>8</v>
      </c>
      <c r="L902" s="65">
        <f t="shared" si="82"/>
        <v>0.88888888888888884</v>
      </c>
      <c r="M902" s="65">
        <f t="shared" si="83"/>
        <v>0.88888888888888884</v>
      </c>
      <c r="N902" s="37" t="s">
        <v>25</v>
      </c>
      <c r="O902" s="37" t="s">
        <v>25</v>
      </c>
      <c r="P902" s="40">
        <v>0</v>
      </c>
      <c r="Q902" s="40">
        <v>0</v>
      </c>
      <c r="R902" s="37" t="s">
        <v>1163</v>
      </c>
      <c r="S902" s="37"/>
    </row>
    <row r="903" spans="1:19" x14ac:dyDescent="0.3">
      <c r="A903" s="41">
        <v>241</v>
      </c>
      <c r="B903" s="37" t="s">
        <v>1153</v>
      </c>
      <c r="C903" s="37" t="s">
        <v>1096</v>
      </c>
      <c r="D903" s="37" t="s">
        <v>73</v>
      </c>
      <c r="E903" s="37" t="s">
        <v>22</v>
      </c>
      <c r="F903" s="42">
        <v>45260</v>
      </c>
      <c r="G903" s="37">
        <v>2023</v>
      </c>
      <c r="H903" s="37" t="s">
        <v>91</v>
      </c>
      <c r="I903" s="39" t="s">
        <v>32</v>
      </c>
      <c r="J903" s="37">
        <v>8</v>
      </c>
      <c r="K903" s="56">
        <v>7</v>
      </c>
      <c r="L903" s="65">
        <f t="shared" si="82"/>
        <v>0.875</v>
      </c>
      <c r="M903" s="65">
        <f t="shared" si="83"/>
        <v>0.875</v>
      </c>
      <c r="N903" s="37" t="s">
        <v>25</v>
      </c>
      <c r="O903" s="37" t="s">
        <v>25</v>
      </c>
      <c r="P903" s="40">
        <v>0</v>
      </c>
      <c r="Q903" s="40">
        <v>0</v>
      </c>
      <c r="R903" s="37" t="s">
        <v>1164</v>
      </c>
      <c r="S903" s="37"/>
    </row>
    <row r="904" spans="1:19" x14ac:dyDescent="0.3">
      <c r="A904" s="41">
        <v>241</v>
      </c>
      <c r="B904" s="37" t="s">
        <v>1153</v>
      </c>
      <c r="C904" s="37" t="s">
        <v>1096</v>
      </c>
      <c r="D904" s="37" t="s">
        <v>73</v>
      </c>
      <c r="E904" s="37" t="s">
        <v>22</v>
      </c>
      <c r="F904" s="42">
        <v>45291</v>
      </c>
      <c r="G904" s="37">
        <v>2023</v>
      </c>
      <c r="H904" s="37" t="s">
        <v>27</v>
      </c>
      <c r="I904" s="39" t="s">
        <v>32</v>
      </c>
      <c r="J904" s="37">
        <v>7</v>
      </c>
      <c r="K904" s="56">
        <v>6</v>
      </c>
      <c r="L904" s="65">
        <f t="shared" si="82"/>
        <v>0.8571428571428571</v>
      </c>
      <c r="M904" s="65">
        <f t="shared" si="83"/>
        <v>0.8571428571428571</v>
      </c>
      <c r="N904" s="37" t="s">
        <v>25</v>
      </c>
      <c r="O904" s="37" t="s">
        <v>25</v>
      </c>
      <c r="P904" s="40">
        <v>0</v>
      </c>
      <c r="Q904" s="40">
        <v>0</v>
      </c>
      <c r="R904" s="37" t="s">
        <v>1165</v>
      </c>
      <c r="S904" s="37"/>
    </row>
    <row r="905" spans="1:19" x14ac:dyDescent="0.3">
      <c r="A905" s="36">
        <v>241</v>
      </c>
      <c r="B905" s="37" t="s">
        <v>1153</v>
      </c>
      <c r="C905" s="37" t="s">
        <v>1096</v>
      </c>
      <c r="D905" s="37" t="s">
        <v>73</v>
      </c>
      <c r="E905" s="37" t="s">
        <v>22</v>
      </c>
      <c r="F905" s="42">
        <v>45322</v>
      </c>
      <c r="G905" s="37">
        <v>2024</v>
      </c>
      <c r="H905" s="37" t="s">
        <v>74</v>
      </c>
      <c r="I905" s="39" t="s">
        <v>34</v>
      </c>
      <c r="J905" s="37">
        <v>9</v>
      </c>
      <c r="K905" s="43">
        <v>8</v>
      </c>
      <c r="L905" s="65">
        <f t="shared" si="82"/>
        <v>0.88888888888888884</v>
      </c>
      <c r="M905" s="65">
        <f t="shared" si="83"/>
        <v>0.88888888888888884</v>
      </c>
      <c r="N905" s="37" t="s">
        <v>25</v>
      </c>
      <c r="O905" s="37" t="s">
        <v>25</v>
      </c>
      <c r="P905" s="40">
        <v>0</v>
      </c>
      <c r="Q905" s="40">
        <v>0</v>
      </c>
      <c r="R905" s="37" t="s">
        <v>1166</v>
      </c>
      <c r="S905" s="37"/>
    </row>
    <row r="906" spans="1:19" x14ac:dyDescent="0.3">
      <c r="A906" s="36">
        <v>241</v>
      </c>
      <c r="B906" s="37" t="s">
        <v>1153</v>
      </c>
      <c r="C906" s="37" t="s">
        <v>1096</v>
      </c>
      <c r="D906" s="37" t="s">
        <v>73</v>
      </c>
      <c r="E906" s="37" t="s">
        <v>22</v>
      </c>
      <c r="F906" s="42">
        <v>45351</v>
      </c>
      <c r="G906" s="37">
        <v>2024</v>
      </c>
      <c r="H906" s="37" t="s">
        <v>76</v>
      </c>
      <c r="I906" s="39" t="s">
        <v>34</v>
      </c>
      <c r="J906" s="37">
        <v>11</v>
      </c>
      <c r="K906" s="43">
        <v>10</v>
      </c>
      <c r="L906" s="65">
        <f t="shared" si="82"/>
        <v>0.90909090909090906</v>
      </c>
      <c r="M906" s="65">
        <f t="shared" si="83"/>
        <v>0.90909090909090906</v>
      </c>
      <c r="N906" s="37" t="s">
        <v>25</v>
      </c>
      <c r="O906" s="37" t="s">
        <v>25</v>
      </c>
      <c r="P906" s="40">
        <v>0</v>
      </c>
      <c r="Q906" s="40">
        <v>0</v>
      </c>
      <c r="R906" s="37" t="s">
        <v>1167</v>
      </c>
      <c r="S906" s="37"/>
    </row>
    <row r="907" spans="1:19" x14ac:dyDescent="0.3">
      <c r="A907" s="36">
        <v>241</v>
      </c>
      <c r="B907" s="37" t="s">
        <v>1153</v>
      </c>
      <c r="C907" s="37" t="s">
        <v>1096</v>
      </c>
      <c r="D907" s="37" t="s">
        <v>73</v>
      </c>
      <c r="E907" s="37" t="s">
        <v>22</v>
      </c>
      <c r="F907" s="42">
        <v>45382</v>
      </c>
      <c r="G907" s="37">
        <v>2024</v>
      </c>
      <c r="H907" s="37" t="s">
        <v>40</v>
      </c>
      <c r="I907" s="39" t="s">
        <v>34</v>
      </c>
      <c r="J907" s="37">
        <v>10</v>
      </c>
      <c r="K907" s="43">
        <v>8</v>
      </c>
      <c r="L907" s="65">
        <f t="shared" si="82"/>
        <v>0.8</v>
      </c>
      <c r="M907" s="65">
        <f t="shared" si="83"/>
        <v>0.8</v>
      </c>
      <c r="N907" s="37" t="s">
        <v>25</v>
      </c>
      <c r="O907" s="37" t="s">
        <v>25</v>
      </c>
      <c r="P907" s="40">
        <v>0</v>
      </c>
      <c r="Q907" s="40">
        <v>0</v>
      </c>
      <c r="R907" s="37" t="s">
        <v>1168</v>
      </c>
      <c r="S907" s="37"/>
    </row>
    <row r="908" spans="1:19" x14ac:dyDescent="0.3">
      <c r="A908" s="36">
        <v>241</v>
      </c>
      <c r="B908" s="37" t="s">
        <v>1153</v>
      </c>
      <c r="C908" s="37" t="s">
        <v>1096</v>
      </c>
      <c r="D908" s="37" t="s">
        <v>73</v>
      </c>
      <c r="E908" s="37" t="s">
        <v>22</v>
      </c>
      <c r="F908" s="42">
        <v>45412</v>
      </c>
      <c r="G908" s="37">
        <v>2024</v>
      </c>
      <c r="H908" s="37" t="s">
        <v>79</v>
      </c>
      <c r="I908" s="39" t="s">
        <v>34</v>
      </c>
      <c r="J908" s="37">
        <v>15</v>
      </c>
      <c r="K908" s="43">
        <v>15</v>
      </c>
      <c r="L908" s="65">
        <f t="shared" si="82"/>
        <v>1</v>
      </c>
      <c r="M908" s="65">
        <f t="shared" si="83"/>
        <v>1</v>
      </c>
      <c r="N908" s="37" t="s">
        <v>25</v>
      </c>
      <c r="O908" s="37" t="s">
        <v>25</v>
      </c>
      <c r="P908" s="40">
        <v>0</v>
      </c>
      <c r="Q908" s="40">
        <v>0</v>
      </c>
      <c r="R908" s="37" t="s">
        <v>1169</v>
      </c>
      <c r="S908" s="37"/>
    </row>
    <row r="909" spans="1:19" x14ac:dyDescent="0.3">
      <c r="A909" s="36">
        <v>241</v>
      </c>
      <c r="B909" s="37" t="s">
        <v>1153</v>
      </c>
      <c r="C909" s="37" t="s">
        <v>1096</v>
      </c>
      <c r="D909" s="37" t="s">
        <v>73</v>
      </c>
      <c r="E909" s="37" t="s">
        <v>22</v>
      </c>
      <c r="F909" s="42">
        <v>45443</v>
      </c>
      <c r="G909" s="37">
        <v>2024</v>
      </c>
      <c r="H909" s="37" t="s">
        <v>81</v>
      </c>
      <c r="I909" s="39" t="s">
        <v>34</v>
      </c>
      <c r="J909" s="37">
        <v>14</v>
      </c>
      <c r="K909" s="43">
        <v>12</v>
      </c>
      <c r="L909" s="65">
        <f t="shared" si="82"/>
        <v>0.8571428571428571</v>
      </c>
      <c r="M909" s="65">
        <f t="shared" si="83"/>
        <v>0.8571428571428571</v>
      </c>
      <c r="N909" s="37" t="s">
        <v>25</v>
      </c>
      <c r="O909" s="37" t="s">
        <v>25</v>
      </c>
      <c r="P909" s="40">
        <v>0</v>
      </c>
      <c r="Q909" s="40">
        <v>0</v>
      </c>
      <c r="R909" s="37" t="s">
        <v>1170</v>
      </c>
      <c r="S909" s="37"/>
    </row>
    <row r="910" spans="1:19" x14ac:dyDescent="0.3">
      <c r="A910" s="37">
        <v>241</v>
      </c>
      <c r="B910" s="37" t="s">
        <v>1153</v>
      </c>
      <c r="C910" s="37" t="s">
        <v>1096</v>
      </c>
      <c r="D910" s="37" t="s">
        <v>73</v>
      </c>
      <c r="E910" s="37" t="s">
        <v>22</v>
      </c>
      <c r="F910" s="42">
        <v>45473</v>
      </c>
      <c r="G910" s="37">
        <v>2024</v>
      </c>
      <c r="H910" s="37" t="s">
        <v>23</v>
      </c>
      <c r="I910" s="39" t="s">
        <v>34</v>
      </c>
      <c r="J910" s="37">
        <v>14</v>
      </c>
      <c r="K910" s="37">
        <v>12</v>
      </c>
      <c r="L910" s="65">
        <f t="shared" si="82"/>
        <v>0.8571428571428571</v>
      </c>
      <c r="M910" s="65">
        <f t="shared" si="83"/>
        <v>0.8571428571428571</v>
      </c>
      <c r="N910" s="37" t="s">
        <v>25</v>
      </c>
      <c r="O910" s="37" t="s">
        <v>25</v>
      </c>
      <c r="P910" s="37">
        <v>0</v>
      </c>
      <c r="Q910" s="37">
        <v>0</v>
      </c>
      <c r="R910" s="37" t="s">
        <v>1171</v>
      </c>
      <c r="S910" s="37"/>
    </row>
    <row r="911" spans="1:19" x14ac:dyDescent="0.3">
      <c r="A911" s="36">
        <v>241</v>
      </c>
      <c r="B911" s="37" t="s">
        <v>1153</v>
      </c>
      <c r="C911" s="37" t="s">
        <v>1096</v>
      </c>
      <c r="D911" s="37" t="s">
        <v>73</v>
      </c>
      <c r="E911" s="37" t="s">
        <v>22</v>
      </c>
      <c r="F911" s="42">
        <v>45504</v>
      </c>
      <c r="G911" s="37">
        <v>2024</v>
      </c>
      <c r="H911" s="37" t="s">
        <v>84</v>
      </c>
      <c r="I911" s="39" t="s">
        <v>36</v>
      </c>
      <c r="J911" s="37">
        <v>14</v>
      </c>
      <c r="K911" s="43">
        <v>12</v>
      </c>
      <c r="L911" s="65">
        <f t="shared" ref="L911:L923" si="84">IFERROR(IF(OR(J911=0,K911=""),"",IF(E911="Positivo",MIN(MAX(K911/J911,0),1.3),MIN(MAX(J911/K911,0),1.3))),"")</f>
        <v>0.8571428571428571</v>
      </c>
      <c r="M911" s="65">
        <f t="shared" ref="M911:M923" si="85">IFERROR(IF(OR(J911=0,K911=""),"",IF(E911="Positivo",MAX(K911/J911,0),MAX(J911/K911,0))),"")</f>
        <v>0.8571428571428571</v>
      </c>
      <c r="N911" s="37" t="s">
        <v>25</v>
      </c>
      <c r="O911" s="37" t="s">
        <v>25</v>
      </c>
      <c r="P911" s="40">
        <v>0</v>
      </c>
      <c r="Q911" s="40">
        <v>0</v>
      </c>
      <c r="R911" s="37" t="s">
        <v>1172</v>
      </c>
      <c r="S911" s="37"/>
    </row>
    <row r="912" spans="1:19" x14ac:dyDescent="0.3">
      <c r="A912" s="36">
        <v>241</v>
      </c>
      <c r="B912" s="37" t="s">
        <v>1153</v>
      </c>
      <c r="C912" s="37" t="s">
        <v>1096</v>
      </c>
      <c r="D912" s="37" t="s">
        <v>73</v>
      </c>
      <c r="E912" s="37" t="s">
        <v>22</v>
      </c>
      <c r="F912" s="42">
        <v>45535</v>
      </c>
      <c r="G912" s="37">
        <v>2024</v>
      </c>
      <c r="H912" s="37" t="s">
        <v>86</v>
      </c>
      <c r="I912" s="39" t="s">
        <v>36</v>
      </c>
      <c r="J912" s="37">
        <v>15</v>
      </c>
      <c r="K912" s="43">
        <v>12</v>
      </c>
      <c r="L912" s="65">
        <f t="shared" si="84"/>
        <v>0.8</v>
      </c>
      <c r="M912" s="65">
        <f t="shared" si="85"/>
        <v>0.8</v>
      </c>
      <c r="N912" s="37" t="s">
        <v>25</v>
      </c>
      <c r="O912" s="37" t="s">
        <v>25</v>
      </c>
      <c r="P912" s="40">
        <v>0</v>
      </c>
      <c r="Q912" s="40">
        <v>0</v>
      </c>
      <c r="R912" s="37" t="s">
        <v>1173</v>
      </c>
      <c r="S912" s="37"/>
    </row>
    <row r="913" spans="1:19" x14ac:dyDescent="0.3">
      <c r="A913" s="36">
        <v>241</v>
      </c>
      <c r="B913" s="37" t="s">
        <v>1153</v>
      </c>
      <c r="C913" s="37" t="s">
        <v>1096</v>
      </c>
      <c r="D913" s="37" t="s">
        <v>73</v>
      </c>
      <c r="E913" s="37" t="s">
        <v>22</v>
      </c>
      <c r="F913" s="42">
        <v>45565</v>
      </c>
      <c r="G913" s="37">
        <v>2024</v>
      </c>
      <c r="H913" s="37" t="s">
        <v>43</v>
      </c>
      <c r="I913" s="39" t="s">
        <v>36</v>
      </c>
      <c r="J913" s="37">
        <v>13</v>
      </c>
      <c r="K913" s="43">
        <v>11</v>
      </c>
      <c r="L913" s="65">
        <f t="shared" si="84"/>
        <v>0.84615384615384615</v>
      </c>
      <c r="M913" s="65">
        <f t="shared" si="85"/>
        <v>0.84615384615384615</v>
      </c>
      <c r="N913" s="37" t="s">
        <v>25</v>
      </c>
      <c r="O913" s="37" t="s">
        <v>25</v>
      </c>
      <c r="P913" s="40">
        <v>0</v>
      </c>
      <c r="Q913" s="40">
        <v>0</v>
      </c>
      <c r="R913" s="37" t="s">
        <v>1174</v>
      </c>
      <c r="S913" s="37"/>
    </row>
    <row r="914" spans="1:19" x14ac:dyDescent="0.3">
      <c r="A914" s="36">
        <v>241</v>
      </c>
      <c r="B914" s="37" t="s">
        <v>1153</v>
      </c>
      <c r="C914" s="37" t="s">
        <v>1096</v>
      </c>
      <c r="D914" s="37" t="s">
        <v>73</v>
      </c>
      <c r="E914" s="37" t="s">
        <v>22</v>
      </c>
      <c r="F914" s="42">
        <v>45596</v>
      </c>
      <c r="G914" s="37">
        <v>2024</v>
      </c>
      <c r="H914" s="37" t="s">
        <v>89</v>
      </c>
      <c r="I914" s="39" t="s">
        <v>36</v>
      </c>
      <c r="J914" s="37">
        <v>14</v>
      </c>
      <c r="K914" s="43">
        <v>12</v>
      </c>
      <c r="L914" s="65">
        <f t="shared" si="84"/>
        <v>0.8571428571428571</v>
      </c>
      <c r="M914" s="65">
        <f t="shared" si="85"/>
        <v>0.8571428571428571</v>
      </c>
      <c r="N914" s="37" t="s">
        <v>25</v>
      </c>
      <c r="O914" s="37" t="s">
        <v>25</v>
      </c>
      <c r="P914" s="40">
        <v>0</v>
      </c>
      <c r="Q914" s="40">
        <v>0</v>
      </c>
      <c r="R914" s="37" t="s">
        <v>1175</v>
      </c>
      <c r="S914" s="37"/>
    </row>
    <row r="915" spans="1:19" x14ac:dyDescent="0.3">
      <c r="A915" s="36">
        <v>241</v>
      </c>
      <c r="B915" s="37" t="s">
        <v>1153</v>
      </c>
      <c r="C915" s="37" t="s">
        <v>1096</v>
      </c>
      <c r="D915" s="37" t="s">
        <v>73</v>
      </c>
      <c r="E915" s="37" t="s">
        <v>22</v>
      </c>
      <c r="F915" s="42">
        <v>45626</v>
      </c>
      <c r="G915" s="37">
        <v>2024</v>
      </c>
      <c r="H915" s="37" t="s">
        <v>91</v>
      </c>
      <c r="I915" s="39" t="s">
        <v>36</v>
      </c>
      <c r="J915" s="37">
        <v>7</v>
      </c>
      <c r="K915" s="43">
        <v>7</v>
      </c>
      <c r="L915" s="65">
        <f t="shared" si="84"/>
        <v>1</v>
      </c>
      <c r="M915" s="65">
        <f t="shared" si="85"/>
        <v>1</v>
      </c>
      <c r="N915" s="37" t="s">
        <v>25</v>
      </c>
      <c r="O915" s="37" t="s">
        <v>25</v>
      </c>
      <c r="P915" s="40">
        <v>0</v>
      </c>
      <c r="Q915" s="40">
        <v>0</v>
      </c>
      <c r="R915" s="37" t="s">
        <v>1176</v>
      </c>
      <c r="S915" s="37"/>
    </row>
    <row r="916" spans="1:19" x14ac:dyDescent="0.3">
      <c r="A916" s="36">
        <v>241</v>
      </c>
      <c r="B916" s="37" t="s">
        <v>1153</v>
      </c>
      <c r="C916" s="37" t="s">
        <v>1096</v>
      </c>
      <c r="D916" s="37" t="s">
        <v>73</v>
      </c>
      <c r="E916" s="37" t="s">
        <v>22</v>
      </c>
      <c r="F916" s="42">
        <v>45657</v>
      </c>
      <c r="G916" s="37">
        <v>2024</v>
      </c>
      <c r="H916" s="37" t="s">
        <v>27</v>
      </c>
      <c r="I916" s="39" t="s">
        <v>36</v>
      </c>
      <c r="J916" s="37">
        <v>3</v>
      </c>
      <c r="K916" s="43">
        <v>3</v>
      </c>
      <c r="L916" s="65">
        <f t="shared" si="84"/>
        <v>1</v>
      </c>
      <c r="M916" s="65">
        <f t="shared" si="85"/>
        <v>1</v>
      </c>
      <c r="N916" s="37" t="s">
        <v>25</v>
      </c>
      <c r="O916" s="37" t="s">
        <v>25</v>
      </c>
      <c r="P916" s="40">
        <v>0</v>
      </c>
      <c r="Q916" s="40">
        <v>0</v>
      </c>
      <c r="R916" s="37" t="s">
        <v>1177</v>
      </c>
      <c r="S916" s="37"/>
    </row>
    <row r="917" spans="1:19" x14ac:dyDescent="0.3">
      <c r="A917" s="36">
        <v>242</v>
      </c>
      <c r="B917" s="37" t="s">
        <v>1178</v>
      </c>
      <c r="C917" s="37" t="s">
        <v>1096</v>
      </c>
      <c r="D917" s="37" t="s">
        <v>73</v>
      </c>
      <c r="E917" s="37" t="s">
        <v>22</v>
      </c>
      <c r="F917" s="42">
        <v>44957</v>
      </c>
      <c r="G917" s="37">
        <v>2023</v>
      </c>
      <c r="H917" s="37" t="s">
        <v>74</v>
      </c>
      <c r="I917" s="39" t="s">
        <v>30</v>
      </c>
      <c r="J917" s="37">
        <v>95</v>
      </c>
      <c r="K917" s="56">
        <v>100.966183574879</v>
      </c>
      <c r="L917" s="65">
        <f t="shared" si="84"/>
        <v>1.0628019323671474</v>
      </c>
      <c r="M917" s="65">
        <f t="shared" si="85"/>
        <v>1.0628019323671474</v>
      </c>
      <c r="N917" s="37" t="s">
        <v>25</v>
      </c>
      <c r="O917" s="60" t="s">
        <v>25</v>
      </c>
      <c r="P917" s="40">
        <v>0</v>
      </c>
      <c r="Q917" s="40">
        <v>0</v>
      </c>
      <c r="R917" s="37" t="s">
        <v>1179</v>
      </c>
      <c r="S917" s="37"/>
    </row>
    <row r="918" spans="1:19" x14ac:dyDescent="0.3">
      <c r="A918" s="36">
        <v>242</v>
      </c>
      <c r="B918" s="37" t="s">
        <v>1178</v>
      </c>
      <c r="C918" s="37" t="s">
        <v>1096</v>
      </c>
      <c r="D918" s="37" t="s">
        <v>73</v>
      </c>
      <c r="E918" s="37" t="s">
        <v>22</v>
      </c>
      <c r="F918" s="38">
        <v>44985</v>
      </c>
      <c r="G918" s="37">
        <v>2023</v>
      </c>
      <c r="H918" s="37" t="s">
        <v>76</v>
      </c>
      <c r="I918" s="39" t="s">
        <v>30</v>
      </c>
      <c r="J918" s="37">
        <v>95</v>
      </c>
      <c r="K918" s="56">
        <v>88.275862068965495</v>
      </c>
      <c r="L918" s="65">
        <f t="shared" si="84"/>
        <v>0.92921960072595255</v>
      </c>
      <c r="M918" s="65">
        <f t="shared" si="85"/>
        <v>0.92921960072595255</v>
      </c>
      <c r="N918" s="37" t="s">
        <v>25</v>
      </c>
      <c r="O918" s="60" t="s">
        <v>25</v>
      </c>
      <c r="P918" s="40">
        <v>0</v>
      </c>
      <c r="Q918" s="40">
        <v>0</v>
      </c>
      <c r="R918" s="37" t="s">
        <v>1180</v>
      </c>
      <c r="S918" s="37"/>
    </row>
    <row r="919" spans="1:19" x14ac:dyDescent="0.3">
      <c r="A919" s="36">
        <v>242</v>
      </c>
      <c r="B919" s="37" t="s">
        <v>1178</v>
      </c>
      <c r="C919" s="37" t="s">
        <v>1096</v>
      </c>
      <c r="D919" s="37" t="s">
        <v>73</v>
      </c>
      <c r="E919" s="37" t="s">
        <v>22</v>
      </c>
      <c r="F919" s="42">
        <v>45016</v>
      </c>
      <c r="G919" s="37">
        <v>2023</v>
      </c>
      <c r="H919" s="37" t="s">
        <v>40</v>
      </c>
      <c r="I919" s="39" t="s">
        <v>30</v>
      </c>
      <c r="J919" s="37">
        <v>95</v>
      </c>
      <c r="K919" s="56">
        <v>112.671232876712</v>
      </c>
      <c r="L919" s="65">
        <f t="shared" si="84"/>
        <v>1.1860129776496</v>
      </c>
      <c r="M919" s="65">
        <f t="shared" si="85"/>
        <v>1.1860129776496</v>
      </c>
      <c r="N919" s="37" t="s">
        <v>25</v>
      </c>
      <c r="O919" s="60" t="s">
        <v>25</v>
      </c>
      <c r="P919" s="40">
        <v>0</v>
      </c>
      <c r="Q919" s="40">
        <v>0</v>
      </c>
      <c r="R919" s="37" t="s">
        <v>1181</v>
      </c>
      <c r="S919" s="37"/>
    </row>
    <row r="920" spans="1:19" x14ac:dyDescent="0.3">
      <c r="A920" s="36">
        <v>242</v>
      </c>
      <c r="B920" s="37" t="s">
        <v>1178</v>
      </c>
      <c r="C920" s="37" t="s">
        <v>1096</v>
      </c>
      <c r="D920" s="37" t="s">
        <v>73</v>
      </c>
      <c r="E920" s="37" t="s">
        <v>22</v>
      </c>
      <c r="F920" s="42">
        <v>45046</v>
      </c>
      <c r="G920" s="37">
        <v>2023</v>
      </c>
      <c r="H920" s="37" t="s">
        <v>79</v>
      </c>
      <c r="I920" s="39" t="s">
        <v>30</v>
      </c>
      <c r="J920" s="37">
        <v>95</v>
      </c>
      <c r="K920" s="56">
        <v>94.904458598726094</v>
      </c>
      <c r="L920" s="65">
        <f t="shared" si="84"/>
        <v>0.99899430103922204</v>
      </c>
      <c r="M920" s="65">
        <f t="shared" si="85"/>
        <v>0.99899430103922204</v>
      </c>
      <c r="N920" s="37" t="s">
        <v>25</v>
      </c>
      <c r="O920" s="60" t="s">
        <v>25</v>
      </c>
      <c r="P920" s="40">
        <v>0</v>
      </c>
      <c r="Q920" s="40">
        <v>0</v>
      </c>
      <c r="R920" s="37" t="s">
        <v>1182</v>
      </c>
      <c r="S920" s="37"/>
    </row>
    <row r="921" spans="1:19" x14ac:dyDescent="0.3">
      <c r="A921" s="36">
        <v>242</v>
      </c>
      <c r="B921" s="37" t="s">
        <v>1178</v>
      </c>
      <c r="C921" s="37" t="s">
        <v>1096</v>
      </c>
      <c r="D921" s="37" t="s">
        <v>73</v>
      </c>
      <c r="E921" s="37" t="s">
        <v>22</v>
      </c>
      <c r="F921" s="42">
        <v>45077</v>
      </c>
      <c r="G921" s="37">
        <v>2023</v>
      </c>
      <c r="H921" s="37" t="s">
        <v>81</v>
      </c>
      <c r="I921" s="39" t="s">
        <v>30</v>
      </c>
      <c r="J921" s="37">
        <v>95</v>
      </c>
      <c r="K921" s="56">
        <v>94.391025641025607</v>
      </c>
      <c r="L921" s="65">
        <f t="shared" si="84"/>
        <v>0.99358974358974328</v>
      </c>
      <c r="M921" s="65">
        <f t="shared" si="85"/>
        <v>0.99358974358974328</v>
      </c>
      <c r="N921" s="37" t="s">
        <v>25</v>
      </c>
      <c r="O921" s="60" t="s">
        <v>25</v>
      </c>
      <c r="P921" s="40">
        <v>0</v>
      </c>
      <c r="Q921" s="40">
        <v>0</v>
      </c>
      <c r="R921" s="37" t="s">
        <v>1183</v>
      </c>
      <c r="S921" s="37"/>
    </row>
    <row r="922" spans="1:19" x14ac:dyDescent="0.3">
      <c r="A922" s="36">
        <v>242</v>
      </c>
      <c r="B922" s="37" t="s">
        <v>1178</v>
      </c>
      <c r="C922" s="37" t="s">
        <v>1096</v>
      </c>
      <c r="D922" s="37" t="s">
        <v>73</v>
      </c>
      <c r="E922" s="37" t="s">
        <v>22</v>
      </c>
      <c r="F922" s="42">
        <v>45107</v>
      </c>
      <c r="G922" s="37">
        <v>2023</v>
      </c>
      <c r="H922" s="37" t="s">
        <v>23</v>
      </c>
      <c r="I922" s="39" t="s">
        <v>30</v>
      </c>
      <c r="J922" s="37">
        <v>95</v>
      </c>
      <c r="K922" s="56">
        <v>94.854881266490807</v>
      </c>
      <c r="L922" s="65">
        <f t="shared" si="84"/>
        <v>0.99847243438411371</v>
      </c>
      <c r="M922" s="65">
        <f t="shared" si="85"/>
        <v>0.99847243438411371</v>
      </c>
      <c r="N922" s="37" t="s">
        <v>25</v>
      </c>
      <c r="O922" s="60" t="s">
        <v>25</v>
      </c>
      <c r="P922" s="40">
        <v>0</v>
      </c>
      <c r="Q922" s="40">
        <v>0</v>
      </c>
      <c r="R922" s="37" t="s">
        <v>1184</v>
      </c>
      <c r="S922" s="37"/>
    </row>
    <row r="923" spans="1:19" x14ac:dyDescent="0.3">
      <c r="A923" s="36">
        <v>242</v>
      </c>
      <c r="B923" s="37" t="s">
        <v>1178</v>
      </c>
      <c r="C923" s="37" t="s">
        <v>1096</v>
      </c>
      <c r="D923" s="37" t="s">
        <v>73</v>
      </c>
      <c r="E923" s="37" t="s">
        <v>22</v>
      </c>
      <c r="F923" s="42">
        <v>45138</v>
      </c>
      <c r="G923" s="37">
        <v>2023</v>
      </c>
      <c r="H923" s="37" t="s">
        <v>84</v>
      </c>
      <c r="I923" s="39" t="s">
        <v>32</v>
      </c>
      <c r="J923" s="37">
        <v>95</v>
      </c>
      <c r="K923" s="56">
        <v>91.89</v>
      </c>
      <c r="L923" s="65">
        <f t="shared" si="84"/>
        <v>0.96726315789473682</v>
      </c>
      <c r="M923" s="65">
        <f t="shared" si="85"/>
        <v>0.96726315789473682</v>
      </c>
      <c r="N923" s="37" t="s">
        <v>25</v>
      </c>
      <c r="O923" s="60" t="s">
        <v>25</v>
      </c>
      <c r="P923" s="40">
        <v>0</v>
      </c>
      <c r="Q923" s="40">
        <v>0</v>
      </c>
      <c r="R923" s="37" t="s">
        <v>1185</v>
      </c>
      <c r="S923" s="37"/>
    </row>
    <row r="924" spans="1:19" x14ac:dyDescent="0.3">
      <c r="A924" s="36">
        <v>242</v>
      </c>
      <c r="B924" s="37" t="s">
        <v>1178</v>
      </c>
      <c r="C924" s="37" t="s">
        <v>1096</v>
      </c>
      <c r="D924" s="37" t="s">
        <v>73</v>
      </c>
      <c r="E924" s="37" t="s">
        <v>22</v>
      </c>
      <c r="F924" s="42">
        <v>45169</v>
      </c>
      <c r="G924" s="37">
        <v>2023</v>
      </c>
      <c r="H924" s="37" t="s">
        <v>86</v>
      </c>
      <c r="I924" s="39" t="s">
        <v>32</v>
      </c>
      <c r="J924" s="37">
        <v>95</v>
      </c>
      <c r="K924" s="56">
        <v>95.49</v>
      </c>
      <c r="L924" s="65">
        <f t="shared" ref="L924:L949" si="86">IFERROR(IF(OR(J924=0,K924=""),"",IF(E924="Positivo",MIN(MAX(K924/J924,0),1.3),MIN(MAX(J924/K924,0),1.3))),"")</f>
        <v>1.005157894736842</v>
      </c>
      <c r="M924" s="65">
        <f t="shared" ref="M924:M949" si="87">IFERROR(IF(OR(J924=0,K924=""),"",IF(E924="Positivo",MAX(K924/J924,0),MAX(J924/K924,0))),"")</f>
        <v>1.005157894736842</v>
      </c>
      <c r="N924" s="37" t="s">
        <v>25</v>
      </c>
      <c r="O924" s="60" t="s">
        <v>25</v>
      </c>
      <c r="P924" s="40">
        <v>0</v>
      </c>
      <c r="Q924" s="40">
        <v>0</v>
      </c>
      <c r="R924" s="37" t="s">
        <v>1186</v>
      </c>
      <c r="S924" s="37"/>
    </row>
    <row r="925" spans="1:19" x14ac:dyDescent="0.3">
      <c r="A925" s="36">
        <v>242</v>
      </c>
      <c r="B925" s="37" t="s">
        <v>1178</v>
      </c>
      <c r="C925" s="37" t="s">
        <v>1096</v>
      </c>
      <c r="D925" s="37" t="s">
        <v>73</v>
      </c>
      <c r="E925" s="37" t="s">
        <v>22</v>
      </c>
      <c r="F925" s="42">
        <v>45199</v>
      </c>
      <c r="G925" s="37">
        <v>2023</v>
      </c>
      <c r="H925" s="37" t="s">
        <v>43</v>
      </c>
      <c r="I925" s="39" t="s">
        <v>32</v>
      </c>
      <c r="J925" s="37">
        <v>95</v>
      </c>
      <c r="K925" s="56">
        <v>97.21</v>
      </c>
      <c r="L925" s="65">
        <f t="shared" si="86"/>
        <v>1.0232631578947369</v>
      </c>
      <c r="M925" s="65">
        <f t="shared" si="87"/>
        <v>1.0232631578947369</v>
      </c>
      <c r="N925" s="37" t="s">
        <v>25</v>
      </c>
      <c r="O925" s="60" t="s">
        <v>25</v>
      </c>
      <c r="P925" s="40">
        <v>0</v>
      </c>
      <c r="Q925" s="40">
        <v>0</v>
      </c>
      <c r="R925" s="37" t="s">
        <v>1187</v>
      </c>
      <c r="S925" s="37"/>
    </row>
    <row r="926" spans="1:19" x14ac:dyDescent="0.3">
      <c r="A926" s="41">
        <v>242</v>
      </c>
      <c r="B926" s="37" t="s">
        <v>1178</v>
      </c>
      <c r="C926" s="37" t="s">
        <v>1096</v>
      </c>
      <c r="D926" s="37" t="s">
        <v>73</v>
      </c>
      <c r="E926" s="37" t="s">
        <v>22</v>
      </c>
      <c r="F926" s="42">
        <v>45230</v>
      </c>
      <c r="G926" s="37">
        <v>2023</v>
      </c>
      <c r="H926" s="37" t="s">
        <v>89</v>
      </c>
      <c r="I926" s="39" t="s">
        <v>32</v>
      </c>
      <c r="J926" s="37">
        <v>95</v>
      </c>
      <c r="K926" s="56">
        <v>94.14</v>
      </c>
      <c r="L926" s="65">
        <f t="shared" si="86"/>
        <v>0.99094736842105269</v>
      </c>
      <c r="M926" s="65">
        <f t="shared" si="87"/>
        <v>0.99094736842105269</v>
      </c>
      <c r="N926" s="37" t="s">
        <v>25</v>
      </c>
      <c r="O926" s="60" t="s">
        <v>25</v>
      </c>
      <c r="P926" s="40">
        <v>0</v>
      </c>
      <c r="Q926" s="40">
        <v>0</v>
      </c>
      <c r="R926" s="37" t="s">
        <v>1188</v>
      </c>
      <c r="S926" s="37"/>
    </row>
    <row r="927" spans="1:19" x14ac:dyDescent="0.3">
      <c r="A927" s="41">
        <v>242</v>
      </c>
      <c r="B927" s="37" t="s">
        <v>1178</v>
      </c>
      <c r="C927" s="37" t="s">
        <v>1096</v>
      </c>
      <c r="D927" s="37" t="s">
        <v>73</v>
      </c>
      <c r="E927" s="37" t="s">
        <v>22</v>
      </c>
      <c r="F927" s="42">
        <v>45260</v>
      </c>
      <c r="G927" s="37">
        <v>2023</v>
      </c>
      <c r="H927" s="37" t="s">
        <v>91</v>
      </c>
      <c r="I927" s="39" t="s">
        <v>32</v>
      </c>
      <c r="J927" s="37">
        <v>95</v>
      </c>
      <c r="K927" s="56">
        <v>92.75</v>
      </c>
      <c r="L927" s="65">
        <f t="shared" si="86"/>
        <v>0.97631578947368425</v>
      </c>
      <c r="M927" s="65">
        <f t="shared" si="87"/>
        <v>0.97631578947368425</v>
      </c>
      <c r="N927" s="37" t="s">
        <v>25</v>
      </c>
      <c r="O927" s="60" t="s">
        <v>25</v>
      </c>
      <c r="P927" s="40">
        <v>0</v>
      </c>
      <c r="Q927" s="40">
        <v>0</v>
      </c>
      <c r="R927" s="37" t="s">
        <v>1189</v>
      </c>
      <c r="S927" s="37"/>
    </row>
    <row r="928" spans="1:19" x14ac:dyDescent="0.3">
      <c r="A928" s="41">
        <v>242</v>
      </c>
      <c r="B928" s="37" t="s">
        <v>1178</v>
      </c>
      <c r="C928" s="37" t="s">
        <v>1096</v>
      </c>
      <c r="D928" s="37" t="s">
        <v>73</v>
      </c>
      <c r="E928" s="37" t="s">
        <v>22</v>
      </c>
      <c r="F928" s="42">
        <v>45291</v>
      </c>
      <c r="G928" s="37">
        <v>2023</v>
      </c>
      <c r="H928" s="37" t="s">
        <v>27</v>
      </c>
      <c r="I928" s="39" t="s">
        <v>32</v>
      </c>
      <c r="J928" s="37">
        <v>95</v>
      </c>
      <c r="K928" s="56">
        <v>95.36</v>
      </c>
      <c r="L928" s="65">
        <f t="shared" si="86"/>
        <v>1.0037894736842106</v>
      </c>
      <c r="M928" s="65">
        <f t="shared" si="87"/>
        <v>1.0037894736842106</v>
      </c>
      <c r="N928" s="37" t="s">
        <v>25</v>
      </c>
      <c r="O928" s="60" t="s">
        <v>25</v>
      </c>
      <c r="P928" s="40">
        <v>0</v>
      </c>
      <c r="Q928" s="40">
        <v>0</v>
      </c>
      <c r="R928" s="37" t="s">
        <v>1190</v>
      </c>
      <c r="S928" s="37"/>
    </row>
    <row r="929" spans="1:19" x14ac:dyDescent="0.3">
      <c r="A929" s="36">
        <v>243</v>
      </c>
      <c r="B929" s="37" t="s">
        <v>1191</v>
      </c>
      <c r="C929" s="37" t="s">
        <v>1096</v>
      </c>
      <c r="D929" s="37" t="s">
        <v>73</v>
      </c>
      <c r="E929" s="37" t="s">
        <v>56</v>
      </c>
      <c r="F929" s="42">
        <v>44957</v>
      </c>
      <c r="G929" s="37">
        <v>2023</v>
      </c>
      <c r="H929" s="37" t="s">
        <v>74</v>
      </c>
      <c r="I929" s="39" t="s">
        <v>30</v>
      </c>
      <c r="J929" s="37">
        <v>0</v>
      </c>
      <c r="K929" s="56">
        <v>0</v>
      </c>
      <c r="L929" s="65" t="str">
        <f t="shared" si="86"/>
        <v/>
      </c>
      <c r="M929" s="65" t="str">
        <f t="shared" si="87"/>
        <v/>
      </c>
      <c r="N929" s="37" t="s">
        <v>25</v>
      </c>
      <c r="O929" s="37" t="s">
        <v>25</v>
      </c>
      <c r="P929" s="40">
        <v>0</v>
      </c>
      <c r="Q929" s="40">
        <v>0</v>
      </c>
      <c r="R929" s="37" t="s">
        <v>1192</v>
      </c>
      <c r="S929" s="37"/>
    </row>
    <row r="930" spans="1:19" x14ac:dyDescent="0.3">
      <c r="A930" s="36">
        <v>243</v>
      </c>
      <c r="B930" s="37" t="s">
        <v>1191</v>
      </c>
      <c r="C930" s="37" t="s">
        <v>1096</v>
      </c>
      <c r="D930" s="37" t="s">
        <v>73</v>
      </c>
      <c r="E930" s="37" t="s">
        <v>56</v>
      </c>
      <c r="F930" s="38">
        <v>44985</v>
      </c>
      <c r="G930" s="37">
        <v>2023</v>
      </c>
      <c r="H930" s="37" t="s">
        <v>76</v>
      </c>
      <c r="I930" s="39" t="s">
        <v>30</v>
      </c>
      <c r="J930" s="37">
        <v>0</v>
      </c>
      <c r="K930" s="56">
        <v>0</v>
      </c>
      <c r="L930" s="65" t="str">
        <f t="shared" si="86"/>
        <v/>
      </c>
      <c r="M930" s="65" t="str">
        <f t="shared" si="87"/>
        <v/>
      </c>
      <c r="N930" s="37" t="s">
        <v>25</v>
      </c>
      <c r="O930" s="37" t="s">
        <v>25</v>
      </c>
      <c r="P930" s="40">
        <v>0</v>
      </c>
      <c r="Q930" s="40">
        <v>0</v>
      </c>
      <c r="R930" s="37" t="s">
        <v>1193</v>
      </c>
      <c r="S930" s="37"/>
    </row>
    <row r="931" spans="1:19" x14ac:dyDescent="0.3">
      <c r="A931" s="36">
        <v>243</v>
      </c>
      <c r="B931" s="37" t="s">
        <v>1191</v>
      </c>
      <c r="C931" s="37" t="s">
        <v>1096</v>
      </c>
      <c r="D931" s="37" t="s">
        <v>73</v>
      </c>
      <c r="E931" s="37" t="s">
        <v>56</v>
      </c>
      <c r="F931" s="42">
        <v>45016</v>
      </c>
      <c r="G931" s="37">
        <v>2023</v>
      </c>
      <c r="H931" s="37" t="s">
        <v>40</v>
      </c>
      <c r="I931" s="39" t="s">
        <v>30</v>
      </c>
      <c r="J931" s="37">
        <v>0</v>
      </c>
      <c r="K931" s="56">
        <v>0</v>
      </c>
      <c r="L931" s="65" t="str">
        <f t="shared" si="86"/>
        <v/>
      </c>
      <c r="M931" s="65" t="str">
        <f t="shared" si="87"/>
        <v/>
      </c>
      <c r="N931" s="37" t="s">
        <v>25</v>
      </c>
      <c r="O931" s="37" t="s">
        <v>25</v>
      </c>
      <c r="P931" s="40">
        <v>0</v>
      </c>
      <c r="Q931" s="40">
        <v>0</v>
      </c>
      <c r="R931" s="37" t="s">
        <v>1194</v>
      </c>
      <c r="S931" s="37"/>
    </row>
    <row r="932" spans="1:19" x14ac:dyDescent="0.3">
      <c r="A932" s="36">
        <v>243</v>
      </c>
      <c r="B932" s="37" t="s">
        <v>1191</v>
      </c>
      <c r="C932" s="37" t="s">
        <v>1096</v>
      </c>
      <c r="D932" s="37" t="s">
        <v>73</v>
      </c>
      <c r="E932" s="37" t="s">
        <v>56</v>
      </c>
      <c r="F932" s="42">
        <v>45046</v>
      </c>
      <c r="G932" s="37">
        <v>2023</v>
      </c>
      <c r="H932" s="37" t="s">
        <v>79</v>
      </c>
      <c r="I932" s="39" t="s">
        <v>30</v>
      </c>
      <c r="J932" s="37">
        <v>0</v>
      </c>
      <c r="K932" s="56">
        <v>0</v>
      </c>
      <c r="L932" s="65" t="str">
        <f t="shared" si="86"/>
        <v/>
      </c>
      <c r="M932" s="65" t="str">
        <f t="shared" si="87"/>
        <v/>
      </c>
      <c r="N932" s="37" t="s">
        <v>25</v>
      </c>
      <c r="O932" s="37" t="s">
        <v>25</v>
      </c>
      <c r="P932" s="40">
        <v>0</v>
      </c>
      <c r="Q932" s="40">
        <v>0</v>
      </c>
      <c r="R932" s="37" t="s">
        <v>1195</v>
      </c>
      <c r="S932" s="37"/>
    </row>
    <row r="933" spans="1:19" x14ac:dyDescent="0.3">
      <c r="A933" s="36">
        <v>243</v>
      </c>
      <c r="B933" s="37" t="s">
        <v>1191</v>
      </c>
      <c r="C933" s="37" t="s">
        <v>1096</v>
      </c>
      <c r="D933" s="37" t="s">
        <v>73</v>
      </c>
      <c r="E933" s="37" t="s">
        <v>56</v>
      </c>
      <c r="F933" s="42">
        <v>45077</v>
      </c>
      <c r="G933" s="37">
        <v>2023</v>
      </c>
      <c r="H933" s="37" t="s">
        <v>81</v>
      </c>
      <c r="I933" s="39" t="s">
        <v>30</v>
      </c>
      <c r="J933" s="37">
        <v>0</v>
      </c>
      <c r="K933" s="56">
        <v>0</v>
      </c>
      <c r="L933" s="65" t="str">
        <f t="shared" si="86"/>
        <v/>
      </c>
      <c r="M933" s="65" t="str">
        <f t="shared" si="87"/>
        <v/>
      </c>
      <c r="N933" s="37" t="s">
        <v>25</v>
      </c>
      <c r="O933" s="37" t="s">
        <v>25</v>
      </c>
      <c r="P933" s="40">
        <v>0</v>
      </c>
      <c r="Q933" s="40">
        <v>0</v>
      </c>
      <c r="R933" s="37" t="s">
        <v>1196</v>
      </c>
      <c r="S933" s="37"/>
    </row>
    <row r="934" spans="1:19" x14ac:dyDescent="0.3">
      <c r="A934" s="36">
        <v>243</v>
      </c>
      <c r="B934" s="37" t="s">
        <v>1191</v>
      </c>
      <c r="C934" s="37" t="s">
        <v>1096</v>
      </c>
      <c r="D934" s="37" t="s">
        <v>73</v>
      </c>
      <c r="E934" s="37" t="s">
        <v>56</v>
      </c>
      <c r="F934" s="42">
        <v>45107</v>
      </c>
      <c r="G934" s="37">
        <v>2023</v>
      </c>
      <c r="H934" s="37" t="s">
        <v>23</v>
      </c>
      <c r="I934" s="39" t="s">
        <v>30</v>
      </c>
      <c r="J934" s="37">
        <v>0</v>
      </c>
      <c r="K934" s="56">
        <v>8.3333333333333304</v>
      </c>
      <c r="L934" s="65" t="str">
        <f t="shared" si="86"/>
        <v/>
      </c>
      <c r="M934" s="65" t="str">
        <f t="shared" si="87"/>
        <v/>
      </c>
      <c r="N934" s="37" t="s">
        <v>25</v>
      </c>
      <c r="O934" s="37" t="s">
        <v>25</v>
      </c>
      <c r="P934" s="40">
        <v>0</v>
      </c>
      <c r="Q934" s="40">
        <v>0</v>
      </c>
      <c r="R934" s="37" t="s">
        <v>1197</v>
      </c>
      <c r="S934" s="37"/>
    </row>
    <row r="935" spans="1:19" x14ac:dyDescent="0.3">
      <c r="A935" s="36">
        <v>243</v>
      </c>
      <c r="B935" s="37" t="s">
        <v>1191</v>
      </c>
      <c r="C935" s="37" t="s">
        <v>1096</v>
      </c>
      <c r="D935" s="37" t="s">
        <v>73</v>
      </c>
      <c r="E935" s="37" t="s">
        <v>56</v>
      </c>
      <c r="F935" s="42">
        <v>45138</v>
      </c>
      <c r="G935" s="37">
        <v>2023</v>
      </c>
      <c r="H935" s="37" t="s">
        <v>84</v>
      </c>
      <c r="I935" s="39" t="s">
        <v>32</v>
      </c>
      <c r="J935" s="37">
        <v>0</v>
      </c>
      <c r="K935" s="56">
        <v>16.666666666666998</v>
      </c>
      <c r="L935" s="65" t="str">
        <f t="shared" si="86"/>
        <v/>
      </c>
      <c r="M935" s="65" t="str">
        <f t="shared" si="87"/>
        <v/>
      </c>
      <c r="N935" s="37" t="s">
        <v>25</v>
      </c>
      <c r="O935" s="37" t="s">
        <v>25</v>
      </c>
      <c r="P935" s="40">
        <v>0</v>
      </c>
      <c r="Q935" s="40">
        <v>0</v>
      </c>
      <c r="R935" s="37" t="s">
        <v>1198</v>
      </c>
      <c r="S935" s="37"/>
    </row>
    <row r="936" spans="1:19" x14ac:dyDescent="0.3">
      <c r="A936" s="36">
        <v>243</v>
      </c>
      <c r="B936" s="37" t="s">
        <v>1191</v>
      </c>
      <c r="C936" s="37" t="s">
        <v>1096</v>
      </c>
      <c r="D936" s="37" t="s">
        <v>73</v>
      </c>
      <c r="E936" s="37" t="s">
        <v>56</v>
      </c>
      <c r="F936" s="42">
        <v>45169</v>
      </c>
      <c r="G936" s="37">
        <v>2023</v>
      </c>
      <c r="H936" s="37" t="s">
        <v>86</v>
      </c>
      <c r="I936" s="39" t="s">
        <v>32</v>
      </c>
      <c r="J936" s="37">
        <v>0</v>
      </c>
      <c r="K936" s="56">
        <v>9.09</v>
      </c>
      <c r="L936" s="65" t="str">
        <f t="shared" si="86"/>
        <v/>
      </c>
      <c r="M936" s="65" t="str">
        <f t="shared" si="87"/>
        <v/>
      </c>
      <c r="N936" s="37" t="s">
        <v>25</v>
      </c>
      <c r="O936" s="37" t="s">
        <v>25</v>
      </c>
      <c r="P936" s="40">
        <v>1</v>
      </c>
      <c r="Q936" s="40">
        <v>1</v>
      </c>
      <c r="R936" s="37" t="s">
        <v>1199</v>
      </c>
      <c r="S936" s="37"/>
    </row>
    <row r="937" spans="1:19" x14ac:dyDescent="0.3">
      <c r="A937" s="36">
        <v>243</v>
      </c>
      <c r="B937" s="37" t="s">
        <v>1191</v>
      </c>
      <c r="C937" s="37" t="s">
        <v>1096</v>
      </c>
      <c r="D937" s="37" t="s">
        <v>73</v>
      </c>
      <c r="E937" s="37" t="s">
        <v>56</v>
      </c>
      <c r="F937" s="42">
        <v>45199</v>
      </c>
      <c r="G937" s="37">
        <v>2023</v>
      </c>
      <c r="H937" s="37" t="s">
        <v>43</v>
      </c>
      <c r="I937" s="39" t="s">
        <v>32</v>
      </c>
      <c r="J937" s="37">
        <v>0</v>
      </c>
      <c r="K937" s="56">
        <v>0</v>
      </c>
      <c r="L937" s="65" t="str">
        <f t="shared" si="86"/>
        <v/>
      </c>
      <c r="M937" s="65" t="str">
        <f t="shared" si="87"/>
        <v/>
      </c>
      <c r="N937" s="37" t="s">
        <v>25</v>
      </c>
      <c r="O937" s="37" t="s">
        <v>25</v>
      </c>
      <c r="P937" s="40">
        <v>0</v>
      </c>
      <c r="Q937" s="40">
        <v>0</v>
      </c>
      <c r="R937" s="37" t="s">
        <v>1200</v>
      </c>
      <c r="S937" s="37"/>
    </row>
    <row r="938" spans="1:19" x14ac:dyDescent="0.3">
      <c r="A938" s="41">
        <v>243</v>
      </c>
      <c r="B938" s="37" t="s">
        <v>1191</v>
      </c>
      <c r="C938" s="37" t="s">
        <v>1096</v>
      </c>
      <c r="D938" s="37" t="s">
        <v>73</v>
      </c>
      <c r="E938" s="37" t="s">
        <v>56</v>
      </c>
      <c r="F938" s="42">
        <v>45230</v>
      </c>
      <c r="G938" s="37">
        <v>2023</v>
      </c>
      <c r="H938" s="37" t="s">
        <v>89</v>
      </c>
      <c r="I938" s="39" t="s">
        <v>32</v>
      </c>
      <c r="J938" s="37">
        <v>0</v>
      </c>
      <c r="K938" s="56">
        <v>11.11</v>
      </c>
      <c r="L938" s="65" t="str">
        <f t="shared" si="86"/>
        <v/>
      </c>
      <c r="M938" s="65" t="str">
        <f t="shared" si="87"/>
        <v/>
      </c>
      <c r="N938" s="37" t="s">
        <v>25</v>
      </c>
      <c r="O938" s="37" t="s">
        <v>25</v>
      </c>
      <c r="P938" s="40">
        <v>0</v>
      </c>
      <c r="Q938" s="40">
        <v>0</v>
      </c>
      <c r="R938" s="37" t="s">
        <v>1201</v>
      </c>
      <c r="S938" s="37"/>
    </row>
    <row r="939" spans="1:19" x14ac:dyDescent="0.3">
      <c r="A939" s="41">
        <v>243</v>
      </c>
      <c r="B939" s="37" t="s">
        <v>1191</v>
      </c>
      <c r="C939" s="37" t="s">
        <v>1096</v>
      </c>
      <c r="D939" s="37" t="s">
        <v>73</v>
      </c>
      <c r="E939" s="37" t="s">
        <v>56</v>
      </c>
      <c r="F939" s="42">
        <v>45260</v>
      </c>
      <c r="G939" s="37">
        <v>2023</v>
      </c>
      <c r="H939" s="37" t="s">
        <v>91</v>
      </c>
      <c r="I939" s="39" t="s">
        <v>32</v>
      </c>
      <c r="J939" s="37">
        <v>0</v>
      </c>
      <c r="K939" s="56">
        <v>0</v>
      </c>
      <c r="L939" s="65" t="str">
        <f t="shared" si="86"/>
        <v/>
      </c>
      <c r="M939" s="65" t="str">
        <f t="shared" si="87"/>
        <v/>
      </c>
      <c r="N939" s="37" t="s">
        <v>25</v>
      </c>
      <c r="O939" s="37" t="s">
        <v>25</v>
      </c>
      <c r="P939" s="40">
        <v>0</v>
      </c>
      <c r="Q939" s="40">
        <v>0</v>
      </c>
      <c r="R939" s="37" t="s">
        <v>1202</v>
      </c>
      <c r="S939" s="37"/>
    </row>
    <row r="940" spans="1:19" x14ac:dyDescent="0.3">
      <c r="A940" s="41">
        <v>243</v>
      </c>
      <c r="B940" s="37" t="s">
        <v>1191</v>
      </c>
      <c r="C940" s="37" t="s">
        <v>1096</v>
      </c>
      <c r="D940" s="37" t="s">
        <v>73</v>
      </c>
      <c r="E940" s="37" t="s">
        <v>56</v>
      </c>
      <c r="F940" s="42">
        <v>45291</v>
      </c>
      <c r="G940" s="37">
        <v>2023</v>
      </c>
      <c r="H940" s="37" t="s">
        <v>27</v>
      </c>
      <c r="I940" s="39" t="s">
        <v>32</v>
      </c>
      <c r="J940" s="37">
        <v>0</v>
      </c>
      <c r="K940" s="56">
        <v>14.29</v>
      </c>
      <c r="L940" s="65" t="str">
        <f t="shared" si="86"/>
        <v/>
      </c>
      <c r="M940" s="65" t="str">
        <f t="shared" si="87"/>
        <v/>
      </c>
      <c r="N940" s="37" t="s">
        <v>25</v>
      </c>
      <c r="O940" s="37" t="s">
        <v>25</v>
      </c>
      <c r="P940" s="40">
        <v>0</v>
      </c>
      <c r="Q940" s="40">
        <v>0</v>
      </c>
      <c r="R940" s="37" t="s">
        <v>1203</v>
      </c>
      <c r="S940" s="37"/>
    </row>
    <row r="941" spans="1:19" x14ac:dyDescent="0.3">
      <c r="A941" s="37">
        <v>244</v>
      </c>
      <c r="B941" s="37" t="s">
        <v>1204</v>
      </c>
      <c r="C941" s="37" t="s">
        <v>251</v>
      </c>
      <c r="D941" s="37" t="s">
        <v>139</v>
      </c>
      <c r="E941" s="37" t="s">
        <v>56</v>
      </c>
      <c r="F941" s="42">
        <v>45291</v>
      </c>
      <c r="G941" s="37">
        <v>2023</v>
      </c>
      <c r="H941" s="37" t="s">
        <v>27</v>
      </c>
      <c r="I941" s="37" t="s">
        <v>32</v>
      </c>
      <c r="J941" s="37">
        <v>1</v>
      </c>
      <c r="K941" s="37">
        <v>24</v>
      </c>
      <c r="L941" s="65">
        <f t="shared" si="86"/>
        <v>4.1666666666666664E-2</v>
      </c>
      <c r="M941" s="65">
        <f t="shared" si="87"/>
        <v>4.1666666666666664E-2</v>
      </c>
      <c r="N941" s="37" t="s">
        <v>203</v>
      </c>
      <c r="O941" s="37" t="s">
        <v>203</v>
      </c>
      <c r="P941" s="37">
        <v>0</v>
      </c>
      <c r="Q941" s="37">
        <v>0</v>
      </c>
      <c r="R941" s="37" t="s">
        <v>1205</v>
      </c>
      <c r="S941" s="37"/>
    </row>
    <row r="942" spans="1:19" x14ac:dyDescent="0.3">
      <c r="A942" s="36">
        <v>244</v>
      </c>
      <c r="B942" s="37" t="s">
        <v>1204</v>
      </c>
      <c r="C942" s="37" t="s">
        <v>251</v>
      </c>
      <c r="D942" s="37" t="s">
        <v>139</v>
      </c>
      <c r="E942" s="37" t="s">
        <v>56</v>
      </c>
      <c r="F942" s="42">
        <v>45657</v>
      </c>
      <c r="G942" s="37">
        <v>2024</v>
      </c>
      <c r="H942" s="37" t="s">
        <v>27</v>
      </c>
      <c r="I942" s="39" t="s">
        <v>36</v>
      </c>
      <c r="J942" s="37">
        <v>25</v>
      </c>
      <c r="K942" s="43">
        <v>25</v>
      </c>
      <c r="L942" s="65">
        <f t="shared" si="86"/>
        <v>1</v>
      </c>
      <c r="M942" s="65">
        <f t="shared" si="87"/>
        <v>1</v>
      </c>
      <c r="N942" s="37"/>
      <c r="O942" s="37"/>
      <c r="P942" s="40">
        <v>0</v>
      </c>
      <c r="Q942" s="40">
        <v>0</v>
      </c>
      <c r="R942" s="37" t="s">
        <v>1206</v>
      </c>
      <c r="S942" s="37"/>
    </row>
    <row r="943" spans="1:19" x14ac:dyDescent="0.3">
      <c r="A943" s="36">
        <v>245</v>
      </c>
      <c r="B943" s="37" t="s">
        <v>1207</v>
      </c>
      <c r="C943" s="37" t="s">
        <v>1208</v>
      </c>
      <c r="D943" s="37" t="s">
        <v>21</v>
      </c>
      <c r="E943" s="37" t="s">
        <v>22</v>
      </c>
      <c r="F943" s="38">
        <v>45107</v>
      </c>
      <c r="G943" s="37">
        <v>2023</v>
      </c>
      <c r="H943" s="37" t="s">
        <v>23</v>
      </c>
      <c r="I943" s="39" t="s">
        <v>30</v>
      </c>
      <c r="J943" s="37">
        <v>87</v>
      </c>
      <c r="K943" s="56">
        <v>85.12</v>
      </c>
      <c r="L943" s="65">
        <f t="shared" si="86"/>
        <v>0.97839080459770122</v>
      </c>
      <c r="M943" s="65">
        <f t="shared" si="87"/>
        <v>0.97839080459770122</v>
      </c>
      <c r="N943" s="37" t="s">
        <v>25</v>
      </c>
      <c r="O943" s="37" t="s">
        <v>25</v>
      </c>
      <c r="P943" s="40">
        <v>0</v>
      </c>
      <c r="Q943" s="40">
        <v>0</v>
      </c>
      <c r="R943" s="37" t="s">
        <v>1209</v>
      </c>
      <c r="S943" s="37"/>
    </row>
    <row r="944" spans="1:19" x14ac:dyDescent="0.3">
      <c r="A944" s="41">
        <v>245</v>
      </c>
      <c r="B944" s="37" t="s">
        <v>1207</v>
      </c>
      <c r="C944" s="37" t="s">
        <v>1208</v>
      </c>
      <c r="D944" s="37" t="s">
        <v>21</v>
      </c>
      <c r="E944" s="37" t="s">
        <v>22</v>
      </c>
      <c r="F944" s="42">
        <v>45291</v>
      </c>
      <c r="G944" s="37">
        <v>2023</v>
      </c>
      <c r="H944" s="37" t="s">
        <v>27</v>
      </c>
      <c r="I944" s="39" t="s">
        <v>32</v>
      </c>
      <c r="J944" s="37">
        <v>87</v>
      </c>
      <c r="K944" s="56">
        <v>85.38</v>
      </c>
      <c r="L944" s="65">
        <f t="shared" si="86"/>
        <v>0.9813793103448275</v>
      </c>
      <c r="M944" s="65">
        <f t="shared" si="87"/>
        <v>0.9813793103448275</v>
      </c>
      <c r="N944" s="37" t="s">
        <v>25</v>
      </c>
      <c r="O944" s="37" t="s">
        <v>25</v>
      </c>
      <c r="P944" s="40">
        <v>0</v>
      </c>
      <c r="Q944" s="40">
        <v>0</v>
      </c>
      <c r="R944" s="37" t="s">
        <v>1210</v>
      </c>
      <c r="S944" s="37"/>
    </row>
    <row r="945" spans="1:19" x14ac:dyDescent="0.3">
      <c r="A945" s="36">
        <v>245</v>
      </c>
      <c r="B945" s="37" t="s">
        <v>1207</v>
      </c>
      <c r="C945" s="37" t="s">
        <v>1208</v>
      </c>
      <c r="D945" s="37" t="s">
        <v>21</v>
      </c>
      <c r="E945" s="37" t="s">
        <v>22</v>
      </c>
      <c r="F945" s="38">
        <v>45473</v>
      </c>
      <c r="G945" s="37">
        <v>2024</v>
      </c>
      <c r="H945" s="37" t="s">
        <v>23</v>
      </c>
      <c r="I945" s="39" t="s">
        <v>34</v>
      </c>
      <c r="J945" s="37">
        <v>85</v>
      </c>
      <c r="K945" s="56">
        <v>85.13</v>
      </c>
      <c r="L945" s="65">
        <f t="shared" si="86"/>
        <v>1.0015294117647058</v>
      </c>
      <c r="M945" s="65">
        <f t="shared" si="87"/>
        <v>1.0015294117647058</v>
      </c>
      <c r="N945" s="37" t="s">
        <v>25</v>
      </c>
      <c r="O945" s="37" t="s">
        <v>25</v>
      </c>
      <c r="P945" s="40">
        <v>0</v>
      </c>
      <c r="Q945" s="40">
        <v>0</v>
      </c>
      <c r="R945" s="37" t="s">
        <v>1211</v>
      </c>
      <c r="S945" s="37"/>
    </row>
    <row r="946" spans="1:19" x14ac:dyDescent="0.3">
      <c r="A946" s="36">
        <v>245</v>
      </c>
      <c r="B946" s="37" t="s">
        <v>1207</v>
      </c>
      <c r="C946" s="37" t="s">
        <v>1208</v>
      </c>
      <c r="D946" s="37" t="s">
        <v>21</v>
      </c>
      <c r="E946" s="37" t="s">
        <v>22</v>
      </c>
      <c r="F946" s="42">
        <v>45657</v>
      </c>
      <c r="G946" s="37">
        <v>2024</v>
      </c>
      <c r="H946" s="37" t="s">
        <v>27</v>
      </c>
      <c r="I946" s="39" t="s">
        <v>36</v>
      </c>
      <c r="J946" s="37">
        <v>85</v>
      </c>
      <c r="K946" s="43">
        <v>85.19</v>
      </c>
      <c r="L946" s="65">
        <f t="shared" si="86"/>
        <v>1.0022352941176471</v>
      </c>
      <c r="M946" s="65">
        <f t="shared" si="87"/>
        <v>1.0022352941176471</v>
      </c>
      <c r="N946" s="37" t="s">
        <v>25</v>
      </c>
      <c r="O946" s="37" t="s">
        <v>25</v>
      </c>
      <c r="P946" s="40">
        <v>0</v>
      </c>
      <c r="Q946" s="40">
        <v>0</v>
      </c>
      <c r="R946" s="37" t="s">
        <v>1212</v>
      </c>
      <c r="S946" s="37"/>
    </row>
    <row r="947" spans="1:19" x14ac:dyDescent="0.3">
      <c r="A947" s="41">
        <v>246</v>
      </c>
      <c r="B947" s="37" t="s">
        <v>1214</v>
      </c>
      <c r="C947" s="37" t="s">
        <v>1215</v>
      </c>
      <c r="D947" s="37" t="s">
        <v>21</v>
      </c>
      <c r="E947" s="37" t="s">
        <v>22</v>
      </c>
      <c r="F947" s="42">
        <v>45291</v>
      </c>
      <c r="G947" s="37">
        <v>2023</v>
      </c>
      <c r="H947" s="37" t="s">
        <v>27</v>
      </c>
      <c r="I947" s="39" t="s">
        <v>32</v>
      </c>
      <c r="J947" s="37">
        <v>85</v>
      </c>
      <c r="K947" s="56">
        <v>61.4</v>
      </c>
      <c r="L947" s="65">
        <f t="shared" si="86"/>
        <v>0.72235294117647053</v>
      </c>
      <c r="M947" s="65">
        <f t="shared" si="87"/>
        <v>0.72235294117647053</v>
      </c>
      <c r="N947" s="37" t="s">
        <v>25</v>
      </c>
      <c r="O947" s="37" t="s">
        <v>25</v>
      </c>
      <c r="P947" s="40">
        <v>0</v>
      </c>
      <c r="Q947" s="40">
        <v>0</v>
      </c>
      <c r="R947" s="37" t="s">
        <v>1216</v>
      </c>
      <c r="S947" s="37"/>
    </row>
    <row r="948" spans="1:19" x14ac:dyDescent="0.3">
      <c r="A948" s="37">
        <v>246</v>
      </c>
      <c r="B948" s="37" t="s">
        <v>1217</v>
      </c>
      <c r="C948" s="37" t="s">
        <v>1215</v>
      </c>
      <c r="D948" s="37" t="s">
        <v>21</v>
      </c>
      <c r="E948" s="37" t="s">
        <v>22</v>
      </c>
      <c r="F948" s="42">
        <v>45473</v>
      </c>
      <c r="G948" s="37">
        <v>2024</v>
      </c>
      <c r="H948" s="37" t="s">
        <v>23</v>
      </c>
      <c r="I948" s="39" t="s">
        <v>34</v>
      </c>
      <c r="J948" s="37">
        <v>67.5</v>
      </c>
      <c r="K948" s="37">
        <v>92.5</v>
      </c>
      <c r="L948" s="65">
        <f t="shared" si="86"/>
        <v>1.3</v>
      </c>
      <c r="M948" s="65">
        <f t="shared" si="87"/>
        <v>1.3703703703703705</v>
      </c>
      <c r="N948" s="37" t="s">
        <v>25</v>
      </c>
      <c r="O948" s="37" t="s">
        <v>25</v>
      </c>
      <c r="P948" s="37">
        <v>0</v>
      </c>
      <c r="Q948" s="37">
        <v>0</v>
      </c>
      <c r="R948" s="37" t="s">
        <v>1218</v>
      </c>
      <c r="S948" s="37"/>
    </row>
    <row r="949" spans="1:19" x14ac:dyDescent="0.3">
      <c r="A949" s="36">
        <v>246</v>
      </c>
      <c r="B949" s="37" t="s">
        <v>1217</v>
      </c>
      <c r="C949" s="37" t="s">
        <v>1215</v>
      </c>
      <c r="D949" s="37" t="s">
        <v>21</v>
      </c>
      <c r="E949" s="37" t="s">
        <v>22</v>
      </c>
      <c r="F949" s="42">
        <v>45657</v>
      </c>
      <c r="G949" s="37">
        <v>2024</v>
      </c>
      <c r="H949" s="37" t="s">
        <v>27</v>
      </c>
      <c r="I949" s="39" t="s">
        <v>36</v>
      </c>
      <c r="J949" s="37">
        <v>67.5</v>
      </c>
      <c r="K949" s="43">
        <v>94.4</v>
      </c>
      <c r="L949" s="65">
        <f t="shared" si="86"/>
        <v>1.3</v>
      </c>
      <c r="M949" s="65">
        <f t="shared" si="87"/>
        <v>1.3985185185185185</v>
      </c>
      <c r="N949" s="37" t="s">
        <v>25</v>
      </c>
      <c r="O949" s="37" t="s">
        <v>25</v>
      </c>
      <c r="P949" s="40">
        <v>0</v>
      </c>
      <c r="Q949" s="40">
        <v>0</v>
      </c>
      <c r="R949" s="37" t="s">
        <v>1219</v>
      </c>
      <c r="S949" s="37"/>
    </row>
    <row r="950" spans="1:19" x14ac:dyDescent="0.3">
      <c r="A950" s="36">
        <v>247</v>
      </c>
      <c r="B950" s="37" t="s">
        <v>1220</v>
      </c>
      <c r="C950" s="37" t="s">
        <v>1215</v>
      </c>
      <c r="D950" s="37" t="s">
        <v>73</v>
      </c>
      <c r="E950" s="37" t="s">
        <v>22</v>
      </c>
      <c r="F950" s="42">
        <v>44957</v>
      </c>
      <c r="G950" s="37">
        <v>2023</v>
      </c>
      <c r="H950" s="37" t="s">
        <v>74</v>
      </c>
      <c r="I950" s="39" t="s">
        <v>30</v>
      </c>
      <c r="J950" s="37"/>
      <c r="K950" s="56">
        <v>75.640237656218005</v>
      </c>
      <c r="L950" s="46"/>
      <c r="M950" s="65"/>
      <c r="N950" s="37" t="s">
        <v>670</v>
      </c>
      <c r="O950" s="60" t="s">
        <v>25</v>
      </c>
      <c r="P950" s="40">
        <v>0</v>
      </c>
      <c r="Q950" s="40">
        <v>0</v>
      </c>
      <c r="R950" s="37" t="s">
        <v>1221</v>
      </c>
      <c r="S950" s="37"/>
    </row>
    <row r="951" spans="1:19" x14ac:dyDescent="0.3">
      <c r="A951" s="36">
        <v>247</v>
      </c>
      <c r="B951" s="37" t="s">
        <v>1220</v>
      </c>
      <c r="C951" s="37" t="s">
        <v>1215</v>
      </c>
      <c r="D951" s="37" t="s">
        <v>73</v>
      </c>
      <c r="E951" s="37" t="s">
        <v>22</v>
      </c>
      <c r="F951" s="38">
        <v>44985</v>
      </c>
      <c r="G951" s="37">
        <v>2023</v>
      </c>
      <c r="H951" s="37" t="s">
        <v>76</v>
      </c>
      <c r="I951" s="39" t="s">
        <v>30</v>
      </c>
      <c r="J951" s="37"/>
      <c r="K951" s="56">
        <v>71.287128712871294</v>
      </c>
      <c r="L951" s="46"/>
      <c r="M951" s="65"/>
      <c r="N951" s="37" t="s">
        <v>670</v>
      </c>
      <c r="O951" s="60" t="s">
        <v>25</v>
      </c>
      <c r="P951" s="40">
        <v>0</v>
      </c>
      <c r="Q951" s="40">
        <v>0</v>
      </c>
      <c r="R951" s="37" t="s">
        <v>1222</v>
      </c>
      <c r="S951" s="37"/>
    </row>
    <row r="952" spans="1:19" x14ac:dyDescent="0.3">
      <c r="A952" s="36">
        <v>247</v>
      </c>
      <c r="B952" s="37" t="s">
        <v>1220</v>
      </c>
      <c r="C952" s="37" t="s">
        <v>1215</v>
      </c>
      <c r="D952" s="37" t="s">
        <v>73</v>
      </c>
      <c r="E952" s="37" t="s">
        <v>22</v>
      </c>
      <c r="F952" s="42">
        <v>45016</v>
      </c>
      <c r="G952" s="37">
        <v>2023</v>
      </c>
      <c r="H952" s="37" t="s">
        <v>40</v>
      </c>
      <c r="I952" s="39" t="s">
        <v>30</v>
      </c>
      <c r="J952" s="37"/>
      <c r="K952" s="56">
        <v>71.017316017316006</v>
      </c>
      <c r="L952" s="46"/>
      <c r="M952" s="65"/>
      <c r="N952" s="37" t="s">
        <v>670</v>
      </c>
      <c r="O952" s="60" t="s">
        <v>25</v>
      </c>
      <c r="P952" s="40">
        <v>0</v>
      </c>
      <c r="Q952" s="40">
        <v>0</v>
      </c>
      <c r="R952" s="37" t="s">
        <v>1223</v>
      </c>
      <c r="S952" s="37"/>
    </row>
    <row r="953" spans="1:19" x14ac:dyDescent="0.3">
      <c r="A953" s="36">
        <v>247</v>
      </c>
      <c r="B953" s="37" t="s">
        <v>1220</v>
      </c>
      <c r="C953" s="37" t="s">
        <v>1215</v>
      </c>
      <c r="D953" s="37" t="s">
        <v>73</v>
      </c>
      <c r="E953" s="37" t="s">
        <v>22</v>
      </c>
      <c r="F953" s="42">
        <v>45046</v>
      </c>
      <c r="G953" s="37">
        <v>2023</v>
      </c>
      <c r="H953" s="37" t="s">
        <v>79</v>
      </c>
      <c r="I953" s="39" t="s">
        <v>30</v>
      </c>
      <c r="J953" s="37"/>
      <c r="K953" s="56">
        <v>74.075723830735001</v>
      </c>
      <c r="L953" s="46"/>
      <c r="M953" s="65"/>
      <c r="N953" s="37" t="s">
        <v>670</v>
      </c>
      <c r="O953" s="60" t="s">
        <v>25</v>
      </c>
      <c r="P953" s="40">
        <v>0</v>
      </c>
      <c r="Q953" s="40">
        <v>0</v>
      </c>
      <c r="R953" s="37" t="s">
        <v>1224</v>
      </c>
      <c r="S953" s="37"/>
    </row>
    <row r="954" spans="1:19" x14ac:dyDescent="0.3">
      <c r="A954" s="36">
        <v>247</v>
      </c>
      <c r="B954" s="37" t="s">
        <v>1220</v>
      </c>
      <c r="C954" s="37" t="s">
        <v>1215</v>
      </c>
      <c r="D954" s="37" t="s">
        <v>73</v>
      </c>
      <c r="E954" s="37" t="s">
        <v>22</v>
      </c>
      <c r="F954" s="42">
        <v>45077</v>
      </c>
      <c r="G954" s="37">
        <v>2023</v>
      </c>
      <c r="H954" s="37" t="s">
        <v>81</v>
      </c>
      <c r="I954" s="39" t="s">
        <v>30</v>
      </c>
      <c r="J954" s="37"/>
      <c r="K954" s="56">
        <v>70.167903162827002</v>
      </c>
      <c r="L954" s="46"/>
      <c r="M954" s="65"/>
      <c r="N954" s="37" t="s">
        <v>670</v>
      </c>
      <c r="O954" s="60" t="s">
        <v>25</v>
      </c>
      <c r="P954" s="40">
        <v>0</v>
      </c>
      <c r="Q954" s="40">
        <v>0</v>
      </c>
      <c r="R954" s="37" t="s">
        <v>1225</v>
      </c>
      <c r="S954" s="37"/>
    </row>
    <row r="955" spans="1:19" x14ac:dyDescent="0.3">
      <c r="A955" s="36">
        <v>247</v>
      </c>
      <c r="B955" s="37" t="s">
        <v>1220</v>
      </c>
      <c r="C955" s="37" t="s">
        <v>1215</v>
      </c>
      <c r="D955" s="37" t="s">
        <v>73</v>
      </c>
      <c r="E955" s="37" t="s">
        <v>22</v>
      </c>
      <c r="F955" s="42">
        <v>45107</v>
      </c>
      <c r="G955" s="37">
        <v>2023</v>
      </c>
      <c r="H955" s="37" t="s">
        <v>23</v>
      </c>
      <c r="I955" s="39" t="s">
        <v>30</v>
      </c>
      <c r="J955" s="37"/>
      <c r="K955" s="56">
        <v>61.082385384350196</v>
      </c>
      <c r="L955" s="46"/>
      <c r="M955" s="65"/>
      <c r="N955" s="37" t="s">
        <v>670</v>
      </c>
      <c r="O955" s="60" t="s">
        <v>25</v>
      </c>
      <c r="P955" s="40">
        <v>0</v>
      </c>
      <c r="Q955" s="40">
        <v>0</v>
      </c>
      <c r="R955" s="37" t="s">
        <v>1226</v>
      </c>
      <c r="S955" s="37"/>
    </row>
    <row r="956" spans="1:19" x14ac:dyDescent="0.3">
      <c r="A956" s="36">
        <v>247</v>
      </c>
      <c r="B956" s="37" t="s">
        <v>1220</v>
      </c>
      <c r="C956" s="37" t="s">
        <v>1215</v>
      </c>
      <c r="D956" s="37" t="s">
        <v>73</v>
      </c>
      <c r="E956" s="37" t="s">
        <v>22</v>
      </c>
      <c r="F956" s="42">
        <v>45138</v>
      </c>
      <c r="G956" s="37">
        <v>2023</v>
      </c>
      <c r="H956" s="37" t="s">
        <v>84</v>
      </c>
      <c r="I956" s="39" t="s">
        <v>32</v>
      </c>
      <c r="J956" s="37"/>
      <c r="K956" s="56">
        <v>75.552362134003999</v>
      </c>
      <c r="L956" s="46"/>
      <c r="M956" s="65"/>
      <c r="N956" s="37" t="s">
        <v>670</v>
      </c>
      <c r="O956" s="60" t="s">
        <v>25</v>
      </c>
      <c r="P956" s="40">
        <v>0</v>
      </c>
      <c r="Q956" s="40">
        <v>0</v>
      </c>
      <c r="R956" s="37" t="s">
        <v>1227</v>
      </c>
      <c r="S956" s="37"/>
    </row>
    <row r="957" spans="1:19" x14ac:dyDescent="0.3">
      <c r="A957" s="36">
        <v>247</v>
      </c>
      <c r="B957" s="37" t="s">
        <v>1220</v>
      </c>
      <c r="C957" s="37" t="s">
        <v>1215</v>
      </c>
      <c r="D957" s="37" t="s">
        <v>73</v>
      </c>
      <c r="E957" s="37" t="s">
        <v>22</v>
      </c>
      <c r="F957" s="42">
        <v>45169</v>
      </c>
      <c r="G957" s="37">
        <v>2023</v>
      </c>
      <c r="H957" s="37" t="s">
        <v>86</v>
      </c>
      <c r="I957" s="39" t="s">
        <v>32</v>
      </c>
      <c r="J957" s="37"/>
      <c r="K957" s="56">
        <v>70.64</v>
      </c>
      <c r="L957" s="46"/>
      <c r="M957" s="65"/>
      <c r="N957" s="37" t="s">
        <v>670</v>
      </c>
      <c r="O957" s="60" t="s">
        <v>25</v>
      </c>
      <c r="P957" s="40">
        <v>0</v>
      </c>
      <c r="Q957" s="40">
        <v>0</v>
      </c>
      <c r="R957" s="37" t="s">
        <v>1228</v>
      </c>
      <c r="S957" s="37"/>
    </row>
    <row r="958" spans="1:19" x14ac:dyDescent="0.3">
      <c r="A958" s="36">
        <v>247</v>
      </c>
      <c r="B958" s="37" t="s">
        <v>1220</v>
      </c>
      <c r="C958" s="37" t="s">
        <v>1215</v>
      </c>
      <c r="D958" s="37" t="s">
        <v>73</v>
      </c>
      <c r="E958" s="37" t="s">
        <v>22</v>
      </c>
      <c r="F958" s="42">
        <v>45199</v>
      </c>
      <c r="G958" s="37">
        <v>2023</v>
      </c>
      <c r="H958" s="37" t="s">
        <v>43</v>
      </c>
      <c r="I958" s="39" t="s">
        <v>32</v>
      </c>
      <c r="J958" s="37"/>
      <c r="K958" s="56">
        <v>67.14</v>
      </c>
      <c r="L958" s="46"/>
      <c r="M958" s="65"/>
      <c r="N958" s="37" t="s">
        <v>670</v>
      </c>
      <c r="O958" s="60" t="s">
        <v>25</v>
      </c>
      <c r="P958" s="40">
        <v>0</v>
      </c>
      <c r="Q958" s="40">
        <v>0</v>
      </c>
      <c r="R958" s="37" t="s">
        <v>1229</v>
      </c>
      <c r="S958" s="37"/>
    </row>
    <row r="959" spans="1:19" x14ac:dyDescent="0.3">
      <c r="A959" s="41">
        <v>247</v>
      </c>
      <c r="B959" s="37" t="s">
        <v>1220</v>
      </c>
      <c r="C959" s="37" t="s">
        <v>1215</v>
      </c>
      <c r="D959" s="37" t="s">
        <v>73</v>
      </c>
      <c r="E959" s="37" t="s">
        <v>22</v>
      </c>
      <c r="F959" s="42">
        <v>45230</v>
      </c>
      <c r="G959" s="37">
        <v>2023</v>
      </c>
      <c r="H959" s="37" t="s">
        <v>89</v>
      </c>
      <c r="I959" s="39" t="s">
        <v>32</v>
      </c>
      <c r="J959" s="37"/>
      <c r="K959" s="56">
        <v>65.849999999999994</v>
      </c>
      <c r="L959" s="46"/>
      <c r="M959" s="65"/>
      <c r="N959" s="37" t="s">
        <v>670</v>
      </c>
      <c r="O959" s="37" t="s">
        <v>25</v>
      </c>
      <c r="P959" s="40">
        <v>0</v>
      </c>
      <c r="Q959" s="40">
        <v>0</v>
      </c>
      <c r="R959" s="37" t="s">
        <v>1230</v>
      </c>
      <c r="S959" s="37"/>
    </row>
    <row r="960" spans="1:19" x14ac:dyDescent="0.3">
      <c r="A960" s="41">
        <v>247</v>
      </c>
      <c r="B960" s="37" t="s">
        <v>1220</v>
      </c>
      <c r="C960" s="37" t="s">
        <v>1215</v>
      </c>
      <c r="D960" s="37" t="s">
        <v>73</v>
      </c>
      <c r="E960" s="37" t="s">
        <v>22</v>
      </c>
      <c r="F960" s="42">
        <v>45260</v>
      </c>
      <c r="G960" s="37">
        <v>2023</v>
      </c>
      <c r="H960" s="37" t="s">
        <v>91</v>
      </c>
      <c r="I960" s="39" t="s">
        <v>32</v>
      </c>
      <c r="J960" s="37"/>
      <c r="K960" s="56">
        <v>65.47</v>
      </c>
      <c r="L960" s="46"/>
      <c r="M960" s="65"/>
      <c r="N960" s="37" t="s">
        <v>670</v>
      </c>
      <c r="O960" s="37" t="s">
        <v>25</v>
      </c>
      <c r="P960" s="40">
        <v>0</v>
      </c>
      <c r="Q960" s="40">
        <v>0</v>
      </c>
      <c r="R960" s="37" t="s">
        <v>1231</v>
      </c>
      <c r="S960" s="37"/>
    </row>
    <row r="961" spans="1:19" x14ac:dyDescent="0.3">
      <c r="A961" s="41">
        <v>247</v>
      </c>
      <c r="B961" s="37" t="s">
        <v>1220</v>
      </c>
      <c r="C961" s="37" t="s">
        <v>1215</v>
      </c>
      <c r="D961" s="37" t="s">
        <v>73</v>
      </c>
      <c r="E961" s="37" t="s">
        <v>22</v>
      </c>
      <c r="F961" s="42">
        <v>45291</v>
      </c>
      <c r="G961" s="37">
        <v>2023</v>
      </c>
      <c r="H961" s="37" t="s">
        <v>27</v>
      </c>
      <c r="I961" s="39" t="s">
        <v>32</v>
      </c>
      <c r="J961" s="37"/>
      <c r="K961" s="56">
        <v>69.86</v>
      </c>
      <c r="L961" s="46"/>
      <c r="M961" s="65"/>
      <c r="N961" s="37" t="s">
        <v>670</v>
      </c>
      <c r="O961" s="37" t="s">
        <v>25</v>
      </c>
      <c r="P961" s="40">
        <v>0</v>
      </c>
      <c r="Q961" s="40">
        <v>0</v>
      </c>
      <c r="R961" s="37" t="s">
        <v>1232</v>
      </c>
      <c r="S961" s="37"/>
    </row>
    <row r="962" spans="1:19" x14ac:dyDescent="0.3">
      <c r="A962" s="45">
        <v>248</v>
      </c>
      <c r="B962" s="37" t="s">
        <v>1233</v>
      </c>
      <c r="C962" s="37" t="s">
        <v>1234</v>
      </c>
      <c r="D962" s="37" t="s">
        <v>21</v>
      </c>
      <c r="E962" s="37" t="s">
        <v>22</v>
      </c>
      <c r="F962" s="42">
        <v>45107</v>
      </c>
      <c r="G962" s="37">
        <v>2023</v>
      </c>
      <c r="H962" s="37" t="s">
        <v>23</v>
      </c>
      <c r="I962" s="39" t="s">
        <v>30</v>
      </c>
      <c r="J962" s="3">
        <v>27</v>
      </c>
      <c r="K962" s="56">
        <v>27</v>
      </c>
      <c r="L962" s="65">
        <f t="shared" ref="L962:L991" si="88">IFERROR(IF(OR(J962=0,K962=""),"",IF(E962="Positivo",MIN(MAX(K962/J962,0),1.3),MIN(MAX(J962/K962,0),1.3))),"")</f>
        <v>1</v>
      </c>
      <c r="M962" s="65">
        <f t="shared" ref="M962:M991" si="89">IFERROR(IF(OR(J962=0,K962=""),"",IF(E962="Positivo",MAX(K962/J962,0),MAX(J962/K962,0))),"")</f>
        <v>1</v>
      </c>
      <c r="N962" s="37" t="s">
        <v>670</v>
      </c>
      <c r="O962" s="37" t="s">
        <v>25</v>
      </c>
      <c r="P962" s="40">
        <v>0</v>
      </c>
      <c r="Q962" s="40">
        <v>0</v>
      </c>
      <c r="R962" s="37" t="s">
        <v>1235</v>
      </c>
      <c r="S962" s="37"/>
    </row>
    <row r="963" spans="1:19" x14ac:dyDescent="0.3">
      <c r="A963" s="41">
        <v>248</v>
      </c>
      <c r="B963" s="37" t="s">
        <v>1233</v>
      </c>
      <c r="C963" s="37" t="s">
        <v>1234</v>
      </c>
      <c r="D963" s="37" t="s">
        <v>21</v>
      </c>
      <c r="E963" s="37" t="s">
        <v>22</v>
      </c>
      <c r="F963" s="42">
        <v>45291</v>
      </c>
      <c r="G963" s="37">
        <v>2023</v>
      </c>
      <c r="H963" s="37" t="s">
        <v>27</v>
      </c>
      <c r="I963" s="39" t="s">
        <v>32</v>
      </c>
      <c r="J963" s="3">
        <v>17</v>
      </c>
      <c r="K963" s="56">
        <v>17</v>
      </c>
      <c r="L963" s="65">
        <f t="shared" si="88"/>
        <v>1</v>
      </c>
      <c r="M963" s="65">
        <f t="shared" si="89"/>
        <v>1</v>
      </c>
      <c r="N963" s="37" t="s">
        <v>670</v>
      </c>
      <c r="O963" s="37" t="s">
        <v>25</v>
      </c>
      <c r="P963" s="40">
        <v>0</v>
      </c>
      <c r="Q963" s="40">
        <v>0</v>
      </c>
      <c r="R963" s="37" t="s">
        <v>1236</v>
      </c>
      <c r="S963" s="37"/>
    </row>
    <row r="964" spans="1:19" x14ac:dyDescent="0.3">
      <c r="A964" s="45">
        <v>249</v>
      </c>
      <c r="B964" s="37" t="s">
        <v>1237</v>
      </c>
      <c r="C964" s="37" t="s">
        <v>1234</v>
      </c>
      <c r="D964" s="37" t="s">
        <v>21</v>
      </c>
      <c r="E964" s="37" t="s">
        <v>22</v>
      </c>
      <c r="F964" s="42">
        <v>45107</v>
      </c>
      <c r="G964" s="37">
        <v>2023</v>
      </c>
      <c r="H964" s="37" t="s">
        <v>23</v>
      </c>
      <c r="I964" s="39" t="s">
        <v>30</v>
      </c>
      <c r="J964" s="37">
        <v>72</v>
      </c>
      <c r="K964" s="56">
        <v>72</v>
      </c>
      <c r="L964" s="65">
        <f t="shared" si="88"/>
        <v>1</v>
      </c>
      <c r="M964" s="65">
        <f t="shared" si="89"/>
        <v>1</v>
      </c>
      <c r="N964" s="37" t="s">
        <v>670</v>
      </c>
      <c r="O964" s="37" t="s">
        <v>25</v>
      </c>
      <c r="P964" s="40">
        <v>0</v>
      </c>
      <c r="Q964" s="40">
        <v>0</v>
      </c>
      <c r="R964" s="37" t="s">
        <v>1238</v>
      </c>
      <c r="S964" s="37"/>
    </row>
    <row r="965" spans="1:19" x14ac:dyDescent="0.3">
      <c r="A965" s="41">
        <v>249</v>
      </c>
      <c r="B965" s="37" t="s">
        <v>1237</v>
      </c>
      <c r="C965" s="37" t="s">
        <v>1234</v>
      </c>
      <c r="D965" s="37" t="s">
        <v>21</v>
      </c>
      <c r="E965" s="37" t="s">
        <v>22</v>
      </c>
      <c r="F965" s="42">
        <v>45291</v>
      </c>
      <c r="G965" s="37">
        <v>2023</v>
      </c>
      <c r="H965" s="37" t="s">
        <v>27</v>
      </c>
      <c r="I965" s="39" t="s">
        <v>32</v>
      </c>
      <c r="J965" s="37">
        <v>26</v>
      </c>
      <c r="K965" s="56">
        <v>26</v>
      </c>
      <c r="L965" s="65">
        <f t="shared" si="88"/>
        <v>1</v>
      </c>
      <c r="M965" s="65">
        <f t="shared" si="89"/>
        <v>1</v>
      </c>
      <c r="N965" s="37" t="s">
        <v>670</v>
      </c>
      <c r="O965" s="37" t="s">
        <v>25</v>
      </c>
      <c r="P965" s="40">
        <v>0</v>
      </c>
      <c r="Q965" s="40">
        <v>0</v>
      </c>
      <c r="R965" s="37" t="s">
        <v>1239</v>
      </c>
      <c r="S965" s="37"/>
    </row>
    <row r="966" spans="1:19" x14ac:dyDescent="0.3">
      <c r="A966" s="36">
        <v>251</v>
      </c>
      <c r="B966" s="37" t="s">
        <v>1240</v>
      </c>
      <c r="C966" s="37" t="s">
        <v>1241</v>
      </c>
      <c r="D966" s="37" t="s">
        <v>39</v>
      </c>
      <c r="E966" s="37" t="s">
        <v>22</v>
      </c>
      <c r="F966" s="42">
        <v>45107</v>
      </c>
      <c r="G966" s="37">
        <v>2023</v>
      </c>
      <c r="H966" s="37" t="s">
        <v>23</v>
      </c>
      <c r="I966" s="39" t="s">
        <v>30</v>
      </c>
      <c r="J966" s="37">
        <v>49</v>
      </c>
      <c r="K966" s="56">
        <v>46</v>
      </c>
      <c r="L966" s="65">
        <f t="shared" si="88"/>
        <v>0.93877551020408168</v>
      </c>
      <c r="M966" s="65">
        <f t="shared" si="89"/>
        <v>0.93877551020408168</v>
      </c>
      <c r="N966" s="37" t="s">
        <v>25</v>
      </c>
      <c r="O966" s="37" t="s">
        <v>25</v>
      </c>
      <c r="P966" s="40">
        <v>0</v>
      </c>
      <c r="Q966" s="40">
        <v>0</v>
      </c>
      <c r="R966" s="37" t="s">
        <v>1242</v>
      </c>
      <c r="S966" s="37"/>
    </row>
    <row r="967" spans="1:19" x14ac:dyDescent="0.3">
      <c r="A967" s="45">
        <v>251</v>
      </c>
      <c r="B967" s="37" t="s">
        <v>1240</v>
      </c>
      <c r="C967" s="37" t="s">
        <v>1241</v>
      </c>
      <c r="D967" s="37" t="s">
        <v>39</v>
      </c>
      <c r="E967" s="37" t="s">
        <v>22</v>
      </c>
      <c r="F967" s="42">
        <v>45199</v>
      </c>
      <c r="G967" s="37">
        <v>2023</v>
      </c>
      <c r="H967" s="37" t="s">
        <v>43</v>
      </c>
      <c r="I967" s="39" t="s">
        <v>32</v>
      </c>
      <c r="J967" s="37">
        <v>51</v>
      </c>
      <c r="K967" s="56">
        <v>51</v>
      </c>
      <c r="L967" s="65">
        <f t="shared" si="88"/>
        <v>1</v>
      </c>
      <c r="M967" s="65">
        <f t="shared" si="89"/>
        <v>1</v>
      </c>
      <c r="N967" s="37" t="s">
        <v>25</v>
      </c>
      <c r="O967" s="37" t="s">
        <v>25</v>
      </c>
      <c r="P967" s="40">
        <v>0</v>
      </c>
      <c r="Q967" s="40">
        <v>0</v>
      </c>
      <c r="R967" s="37" t="s">
        <v>1243</v>
      </c>
      <c r="S967" s="37"/>
    </row>
    <row r="968" spans="1:19" x14ac:dyDescent="0.3">
      <c r="A968" s="41">
        <v>251</v>
      </c>
      <c r="B968" s="37" t="s">
        <v>1240</v>
      </c>
      <c r="C968" s="37" t="s">
        <v>1241</v>
      </c>
      <c r="D968" s="37" t="s">
        <v>39</v>
      </c>
      <c r="E968" s="37" t="s">
        <v>22</v>
      </c>
      <c r="F968" s="42">
        <v>45291</v>
      </c>
      <c r="G968" s="37">
        <v>2023</v>
      </c>
      <c r="H968" s="37" t="s">
        <v>27</v>
      </c>
      <c r="I968" s="39" t="s">
        <v>32</v>
      </c>
      <c r="J968" s="37">
        <v>51</v>
      </c>
      <c r="K968" s="56">
        <v>51</v>
      </c>
      <c r="L968" s="65">
        <f t="shared" si="88"/>
        <v>1</v>
      </c>
      <c r="M968" s="65">
        <f t="shared" si="89"/>
        <v>1</v>
      </c>
      <c r="N968" s="37" t="s">
        <v>25</v>
      </c>
      <c r="O968" s="37" t="s">
        <v>25</v>
      </c>
      <c r="P968" s="40">
        <v>0</v>
      </c>
      <c r="Q968" s="40">
        <v>0</v>
      </c>
      <c r="R968" s="37" t="s">
        <v>1244</v>
      </c>
      <c r="S968" s="37"/>
    </row>
    <row r="969" spans="1:19" x14ac:dyDescent="0.3">
      <c r="A969" s="37">
        <v>251</v>
      </c>
      <c r="B969" s="37" t="s">
        <v>1245</v>
      </c>
      <c r="C969" s="37" t="s">
        <v>1241</v>
      </c>
      <c r="D969" s="37" t="s">
        <v>39</v>
      </c>
      <c r="E969" s="37" t="s">
        <v>22</v>
      </c>
      <c r="F969" s="42">
        <v>45382</v>
      </c>
      <c r="G969" s="37">
        <v>2024</v>
      </c>
      <c r="H969" s="37" t="s">
        <v>40</v>
      </c>
      <c r="I969" s="37" t="s">
        <v>34</v>
      </c>
      <c r="J969" s="37">
        <v>0</v>
      </c>
      <c r="K969" s="37">
        <v>0</v>
      </c>
      <c r="L969" s="65" t="str">
        <f t="shared" si="88"/>
        <v/>
      </c>
      <c r="M969" s="65" t="str">
        <f t="shared" si="89"/>
        <v/>
      </c>
      <c r="N969" s="37" t="s">
        <v>25</v>
      </c>
      <c r="O969" s="37" t="s">
        <v>25</v>
      </c>
      <c r="P969" s="37">
        <v>0</v>
      </c>
      <c r="Q969" s="37">
        <v>0</v>
      </c>
      <c r="R969" s="37" t="s">
        <v>1246</v>
      </c>
      <c r="S969" s="37"/>
    </row>
    <row r="970" spans="1:19" x14ac:dyDescent="0.3">
      <c r="A970" s="41">
        <v>251</v>
      </c>
      <c r="B970" s="37" t="s">
        <v>1240</v>
      </c>
      <c r="C970" s="37" t="s">
        <v>1241</v>
      </c>
      <c r="D970" s="37" t="s">
        <v>39</v>
      </c>
      <c r="E970" s="37" t="s">
        <v>22</v>
      </c>
      <c r="F970" s="42">
        <v>45473</v>
      </c>
      <c r="G970" s="37">
        <v>2024</v>
      </c>
      <c r="H970" s="37" t="s">
        <v>23</v>
      </c>
      <c r="I970" s="39" t="s">
        <v>34</v>
      </c>
      <c r="J970" s="37">
        <v>53</v>
      </c>
      <c r="K970" s="56">
        <v>49</v>
      </c>
      <c r="L970" s="65">
        <f t="shared" si="88"/>
        <v>0.92452830188679247</v>
      </c>
      <c r="M970" s="65">
        <f t="shared" si="89"/>
        <v>0.92452830188679247</v>
      </c>
      <c r="N970" s="37" t="s">
        <v>25</v>
      </c>
      <c r="O970" s="37" t="s">
        <v>25</v>
      </c>
      <c r="P970" s="40">
        <v>0</v>
      </c>
      <c r="Q970" s="40">
        <v>0</v>
      </c>
      <c r="R970" s="37" t="s">
        <v>1247</v>
      </c>
      <c r="S970" s="37"/>
    </row>
    <row r="971" spans="1:19" x14ac:dyDescent="0.3">
      <c r="A971" s="36">
        <v>251</v>
      </c>
      <c r="B971" s="37" t="s">
        <v>1240</v>
      </c>
      <c r="C971" s="37" t="s">
        <v>1241</v>
      </c>
      <c r="D971" s="37" t="s">
        <v>39</v>
      </c>
      <c r="E971" s="37" t="s">
        <v>22</v>
      </c>
      <c r="F971" s="42">
        <v>45565</v>
      </c>
      <c r="G971" s="37">
        <v>2024</v>
      </c>
      <c r="H971" s="37" t="s">
        <v>43</v>
      </c>
      <c r="I971" s="39" t="s">
        <v>36</v>
      </c>
      <c r="J971" s="37">
        <v>53</v>
      </c>
      <c r="K971" s="43">
        <v>51</v>
      </c>
      <c r="L971" s="65">
        <f t="shared" si="88"/>
        <v>0.96226415094339623</v>
      </c>
      <c r="M971" s="65">
        <f t="shared" si="89"/>
        <v>0.96226415094339623</v>
      </c>
      <c r="N971" s="37" t="s">
        <v>25</v>
      </c>
      <c r="O971" s="37" t="s">
        <v>25</v>
      </c>
      <c r="P971" s="40">
        <v>0</v>
      </c>
      <c r="Q971" s="40">
        <v>0</v>
      </c>
      <c r="R971" s="37" t="s">
        <v>1248</v>
      </c>
      <c r="S971" s="37"/>
    </row>
    <row r="972" spans="1:19" x14ac:dyDescent="0.3">
      <c r="A972" s="36">
        <v>251</v>
      </c>
      <c r="B972" s="37" t="s">
        <v>1240</v>
      </c>
      <c r="C972" s="37" t="s">
        <v>1241</v>
      </c>
      <c r="D972" s="37" t="s">
        <v>39</v>
      </c>
      <c r="E972" s="37" t="s">
        <v>22</v>
      </c>
      <c r="F972" s="42">
        <v>45657</v>
      </c>
      <c r="G972" s="37">
        <v>2024</v>
      </c>
      <c r="H972" s="37" t="s">
        <v>27</v>
      </c>
      <c r="I972" s="39" t="s">
        <v>36</v>
      </c>
      <c r="J972" s="37">
        <v>53</v>
      </c>
      <c r="K972" s="43">
        <v>51</v>
      </c>
      <c r="L972" s="65">
        <f t="shared" si="88"/>
        <v>0.96226415094339623</v>
      </c>
      <c r="M972" s="65">
        <f t="shared" si="89"/>
        <v>0.96226415094339623</v>
      </c>
      <c r="N972" s="37" t="s">
        <v>25</v>
      </c>
      <c r="O972" s="37" t="s">
        <v>25</v>
      </c>
      <c r="P972" s="40">
        <v>0</v>
      </c>
      <c r="Q972" s="40">
        <v>0</v>
      </c>
      <c r="R972" s="37" t="s">
        <v>1249</v>
      </c>
      <c r="S972" s="37"/>
    </row>
    <row r="973" spans="1:19" x14ac:dyDescent="0.3">
      <c r="A973" s="36">
        <v>252</v>
      </c>
      <c r="B973" s="37" t="s">
        <v>1250</v>
      </c>
      <c r="C973" s="37" t="s">
        <v>1208</v>
      </c>
      <c r="D973" s="37" t="s">
        <v>21</v>
      </c>
      <c r="E973" s="37" t="s">
        <v>22</v>
      </c>
      <c r="F973" s="38">
        <v>45107</v>
      </c>
      <c r="G973" s="37">
        <v>2023</v>
      </c>
      <c r="H973" s="37" t="s">
        <v>23</v>
      </c>
      <c r="I973" s="39" t="s">
        <v>30</v>
      </c>
      <c r="J973" s="37">
        <v>68</v>
      </c>
      <c r="K973" s="56">
        <v>67.19</v>
      </c>
      <c r="L973" s="65">
        <f t="shared" si="88"/>
        <v>0.9880882352941176</v>
      </c>
      <c r="M973" s="65">
        <f t="shared" si="89"/>
        <v>0.9880882352941176</v>
      </c>
      <c r="N973" s="37" t="s">
        <v>25</v>
      </c>
      <c r="O973" s="37" t="s">
        <v>25</v>
      </c>
      <c r="P973" s="40">
        <v>0</v>
      </c>
      <c r="Q973" s="40">
        <v>0</v>
      </c>
      <c r="R973" s="37" t="s">
        <v>1251</v>
      </c>
      <c r="S973" s="37"/>
    </row>
    <row r="974" spans="1:19" x14ac:dyDescent="0.3">
      <c r="A974" s="41">
        <v>252</v>
      </c>
      <c r="B974" s="37" t="s">
        <v>1250</v>
      </c>
      <c r="C974" s="37" t="s">
        <v>1208</v>
      </c>
      <c r="D974" s="37" t="s">
        <v>21</v>
      </c>
      <c r="E974" s="37" t="s">
        <v>22</v>
      </c>
      <c r="F974" s="42">
        <v>45291</v>
      </c>
      <c r="G974" s="37">
        <v>2023</v>
      </c>
      <c r="H974" s="37" t="s">
        <v>27</v>
      </c>
      <c r="I974" s="39" t="s">
        <v>32</v>
      </c>
      <c r="J974" s="37">
        <v>68</v>
      </c>
      <c r="K974" s="56">
        <v>74.739999999999995</v>
      </c>
      <c r="L974" s="65">
        <f t="shared" si="88"/>
        <v>1.0991176470588235</v>
      </c>
      <c r="M974" s="65">
        <f t="shared" si="89"/>
        <v>1.0991176470588235</v>
      </c>
      <c r="N974" s="37" t="s">
        <v>25</v>
      </c>
      <c r="O974" s="37" t="s">
        <v>25</v>
      </c>
      <c r="P974" s="40">
        <v>0</v>
      </c>
      <c r="Q974" s="40">
        <v>0</v>
      </c>
      <c r="R974" s="37" t="s">
        <v>1252</v>
      </c>
      <c r="S974" s="37"/>
    </row>
    <row r="975" spans="1:19" x14ac:dyDescent="0.3">
      <c r="A975" s="37">
        <v>252</v>
      </c>
      <c r="B975" s="37" t="s">
        <v>1250</v>
      </c>
      <c r="C975" s="37" t="s">
        <v>1208</v>
      </c>
      <c r="D975" s="37" t="s">
        <v>21</v>
      </c>
      <c r="E975" s="37" t="s">
        <v>22</v>
      </c>
      <c r="F975" s="42">
        <v>45473</v>
      </c>
      <c r="G975" s="37">
        <v>2024</v>
      </c>
      <c r="H975" s="37" t="s">
        <v>23</v>
      </c>
      <c r="I975" s="39" t="s">
        <v>34</v>
      </c>
      <c r="J975" s="37">
        <v>68.5</v>
      </c>
      <c r="K975" s="37">
        <v>71.56</v>
      </c>
      <c r="L975" s="65">
        <f t="shared" si="88"/>
        <v>1.0446715328467153</v>
      </c>
      <c r="M975" s="65">
        <f t="shared" si="89"/>
        <v>1.0446715328467153</v>
      </c>
      <c r="N975" s="37" t="s">
        <v>25</v>
      </c>
      <c r="O975" s="37" t="s">
        <v>25</v>
      </c>
      <c r="P975" s="37">
        <v>2</v>
      </c>
      <c r="Q975" s="37">
        <v>2</v>
      </c>
      <c r="R975" s="37" t="s">
        <v>1253</v>
      </c>
      <c r="S975" s="37"/>
    </row>
    <row r="976" spans="1:19" x14ac:dyDescent="0.3">
      <c r="A976" s="36">
        <v>252</v>
      </c>
      <c r="B976" s="37" t="s">
        <v>1250</v>
      </c>
      <c r="C976" s="37" t="s">
        <v>1208</v>
      </c>
      <c r="D976" s="37" t="s">
        <v>21</v>
      </c>
      <c r="E976" s="37" t="s">
        <v>22</v>
      </c>
      <c r="F976" s="42">
        <v>45657</v>
      </c>
      <c r="G976" s="37">
        <v>2024</v>
      </c>
      <c r="H976" s="37" t="s">
        <v>27</v>
      </c>
      <c r="I976" s="39" t="s">
        <v>36</v>
      </c>
      <c r="J976" s="37">
        <v>72.900000000000006</v>
      </c>
      <c r="K976" s="43">
        <v>72.53</v>
      </c>
      <c r="L976" s="65">
        <f t="shared" si="88"/>
        <v>0.99492455418381343</v>
      </c>
      <c r="M976" s="65">
        <f t="shared" si="89"/>
        <v>0.99492455418381343</v>
      </c>
      <c r="N976" s="37" t="s">
        <v>25</v>
      </c>
      <c r="O976" s="37" t="s">
        <v>25</v>
      </c>
      <c r="P976" s="40">
        <v>2</v>
      </c>
      <c r="Q976" s="40">
        <v>2</v>
      </c>
      <c r="R976" s="37" t="s">
        <v>1254</v>
      </c>
      <c r="S976" s="37"/>
    </row>
    <row r="977" spans="1:19" x14ac:dyDescent="0.3">
      <c r="A977" s="36">
        <v>253</v>
      </c>
      <c r="B977" s="37" t="s">
        <v>1256</v>
      </c>
      <c r="C977" s="37" t="s">
        <v>120</v>
      </c>
      <c r="D977" s="37" t="s">
        <v>121</v>
      </c>
      <c r="E977" s="37" t="s">
        <v>56</v>
      </c>
      <c r="F977" s="38">
        <v>45046</v>
      </c>
      <c r="G977" s="37">
        <v>2023</v>
      </c>
      <c r="H977" s="37" t="s">
        <v>79</v>
      </c>
      <c r="I977" s="39" t="s">
        <v>30</v>
      </c>
      <c r="J977" s="37">
        <v>8</v>
      </c>
      <c r="K977" s="56">
        <v>8</v>
      </c>
      <c r="L977" s="65">
        <f t="shared" si="88"/>
        <v>1</v>
      </c>
      <c r="M977" s="65">
        <f t="shared" si="89"/>
        <v>1</v>
      </c>
      <c r="N977" s="37" t="s">
        <v>613</v>
      </c>
      <c r="O977" s="37" t="s">
        <v>613</v>
      </c>
      <c r="P977" s="40">
        <v>0</v>
      </c>
      <c r="Q977" s="40">
        <v>0</v>
      </c>
      <c r="R977" s="37" t="s">
        <v>1257</v>
      </c>
      <c r="S977" s="37"/>
    </row>
    <row r="978" spans="1:19" x14ac:dyDescent="0.3">
      <c r="A978" s="36">
        <v>253</v>
      </c>
      <c r="B978" s="37" t="s">
        <v>1256</v>
      </c>
      <c r="C978" s="37" t="s">
        <v>120</v>
      </c>
      <c r="D978" s="37" t="s">
        <v>121</v>
      </c>
      <c r="E978" s="37" t="s">
        <v>56</v>
      </c>
      <c r="F978" s="42">
        <v>45107</v>
      </c>
      <c r="G978" s="37">
        <v>2023</v>
      </c>
      <c r="H978" s="37" t="s">
        <v>23</v>
      </c>
      <c r="I978" s="39" t="s">
        <v>30</v>
      </c>
      <c r="J978" s="37">
        <v>8</v>
      </c>
      <c r="K978" s="56">
        <v>4.5</v>
      </c>
      <c r="L978" s="65">
        <f t="shared" si="88"/>
        <v>1.3</v>
      </c>
      <c r="M978" s="65">
        <f t="shared" si="89"/>
        <v>1.7777777777777777</v>
      </c>
      <c r="N978" s="37" t="s">
        <v>613</v>
      </c>
      <c r="O978" s="37" t="s">
        <v>613</v>
      </c>
      <c r="P978" s="40">
        <v>1</v>
      </c>
      <c r="Q978" s="40">
        <v>1</v>
      </c>
      <c r="R978" s="37" t="s">
        <v>1258</v>
      </c>
      <c r="S978" s="37"/>
    </row>
    <row r="979" spans="1:19" x14ac:dyDescent="0.3">
      <c r="A979" s="36">
        <v>253</v>
      </c>
      <c r="B979" s="37" t="s">
        <v>1256</v>
      </c>
      <c r="C979" s="37" t="s">
        <v>120</v>
      </c>
      <c r="D979" s="37" t="s">
        <v>121</v>
      </c>
      <c r="E979" s="37" t="s">
        <v>56</v>
      </c>
      <c r="F979" s="42">
        <v>45169</v>
      </c>
      <c r="G979" s="37">
        <v>2023</v>
      </c>
      <c r="H979" s="37" t="s">
        <v>86</v>
      </c>
      <c r="I979" s="39" t="s">
        <v>32</v>
      </c>
      <c r="J979" s="37">
        <v>8</v>
      </c>
      <c r="K979" s="56">
        <v>4.5</v>
      </c>
      <c r="L979" s="65">
        <f t="shared" si="88"/>
        <v>1.3</v>
      </c>
      <c r="M979" s="65">
        <f t="shared" si="89"/>
        <v>1.7777777777777777</v>
      </c>
      <c r="N979" s="37" t="s">
        <v>613</v>
      </c>
      <c r="O979" s="37" t="s">
        <v>613</v>
      </c>
      <c r="P979" s="40">
        <v>1</v>
      </c>
      <c r="Q979" s="40">
        <v>1</v>
      </c>
      <c r="R979" s="37" t="s">
        <v>1259</v>
      </c>
      <c r="S979" s="37"/>
    </row>
    <row r="980" spans="1:19" x14ac:dyDescent="0.3">
      <c r="A980" s="41">
        <v>253</v>
      </c>
      <c r="B980" s="37" t="s">
        <v>1256</v>
      </c>
      <c r="C980" s="37" t="s">
        <v>120</v>
      </c>
      <c r="D980" s="37" t="s">
        <v>121</v>
      </c>
      <c r="E980" s="37" t="s">
        <v>56</v>
      </c>
      <c r="F980" s="42">
        <v>45230</v>
      </c>
      <c r="G980" s="37">
        <v>2023</v>
      </c>
      <c r="H980" s="37" t="s">
        <v>89</v>
      </c>
      <c r="I980" s="39" t="s">
        <v>32</v>
      </c>
      <c r="J980" s="37">
        <v>8</v>
      </c>
      <c r="K980" s="56">
        <v>5.8</v>
      </c>
      <c r="L980" s="65">
        <f t="shared" si="88"/>
        <v>1.3</v>
      </c>
      <c r="M980" s="65">
        <f t="shared" si="89"/>
        <v>1.3793103448275863</v>
      </c>
      <c r="N980" s="37" t="s">
        <v>613</v>
      </c>
      <c r="O980" s="37" t="s">
        <v>613</v>
      </c>
      <c r="P980" s="40">
        <v>1</v>
      </c>
      <c r="Q980" s="40">
        <v>1</v>
      </c>
      <c r="R980" s="37" t="s">
        <v>1260</v>
      </c>
      <c r="S980" s="37"/>
    </row>
    <row r="981" spans="1:19" x14ac:dyDescent="0.3">
      <c r="A981" s="41">
        <v>253</v>
      </c>
      <c r="B981" s="37" t="s">
        <v>1256</v>
      </c>
      <c r="C981" s="37" t="s">
        <v>120</v>
      </c>
      <c r="D981" s="37" t="s">
        <v>121</v>
      </c>
      <c r="E981" s="37" t="s">
        <v>56</v>
      </c>
      <c r="F981" s="42">
        <v>45291</v>
      </c>
      <c r="G981" s="37">
        <v>2023</v>
      </c>
      <c r="H981" s="37" t="s">
        <v>27</v>
      </c>
      <c r="I981" s="39" t="s">
        <v>32</v>
      </c>
      <c r="J981" s="37">
        <v>8</v>
      </c>
      <c r="K981" s="56">
        <v>5</v>
      </c>
      <c r="L981" s="65">
        <f t="shared" si="88"/>
        <v>1.3</v>
      </c>
      <c r="M981" s="65">
        <f t="shared" si="89"/>
        <v>1.6</v>
      </c>
      <c r="N981" s="37" t="s">
        <v>613</v>
      </c>
      <c r="O981" s="37" t="s">
        <v>613</v>
      </c>
      <c r="P981" s="40">
        <v>0</v>
      </c>
      <c r="Q981" s="40">
        <v>0</v>
      </c>
      <c r="R981" s="37" t="s">
        <v>1261</v>
      </c>
      <c r="S981" s="37"/>
    </row>
    <row r="982" spans="1:19" x14ac:dyDescent="0.3">
      <c r="A982" s="37">
        <v>254</v>
      </c>
      <c r="B982" s="37" t="s">
        <v>1262</v>
      </c>
      <c r="C982" s="37" t="s">
        <v>1263</v>
      </c>
      <c r="D982" s="37" t="s">
        <v>39</v>
      </c>
      <c r="E982" s="37" t="s">
        <v>22</v>
      </c>
      <c r="F982" s="42">
        <v>45016</v>
      </c>
      <c r="G982" s="37">
        <v>2023</v>
      </c>
      <c r="H982" s="37" t="s">
        <v>40</v>
      </c>
      <c r="I982" s="37" t="s">
        <v>30</v>
      </c>
      <c r="J982" s="37">
        <v>55</v>
      </c>
      <c r="K982" s="37">
        <v>55</v>
      </c>
      <c r="L982" s="65">
        <f t="shared" si="88"/>
        <v>1</v>
      </c>
      <c r="M982" s="65">
        <f t="shared" si="89"/>
        <v>1</v>
      </c>
      <c r="N982" s="37" t="s">
        <v>203</v>
      </c>
      <c r="O982" s="37" t="s">
        <v>203</v>
      </c>
      <c r="P982" s="37">
        <v>0</v>
      </c>
      <c r="Q982" s="37">
        <v>0</v>
      </c>
      <c r="R982" s="37" t="s">
        <v>1264</v>
      </c>
      <c r="S982" s="37"/>
    </row>
    <row r="983" spans="1:19" x14ac:dyDescent="0.3">
      <c r="A983" s="36">
        <v>254</v>
      </c>
      <c r="B983" s="37" t="s">
        <v>1262</v>
      </c>
      <c r="C983" s="37" t="s">
        <v>1263</v>
      </c>
      <c r="D983" s="37" t="s">
        <v>1265</v>
      </c>
      <c r="E983" s="37" t="s">
        <v>22</v>
      </c>
      <c r="F983" s="42">
        <v>45107</v>
      </c>
      <c r="G983" s="37">
        <v>2023</v>
      </c>
      <c r="H983" s="37" t="s">
        <v>23</v>
      </c>
      <c r="I983" s="39" t="s">
        <v>30</v>
      </c>
      <c r="J983" s="37">
        <v>55</v>
      </c>
      <c r="K983" s="56">
        <v>55</v>
      </c>
      <c r="L983" s="65">
        <f t="shared" si="88"/>
        <v>1</v>
      </c>
      <c r="M983" s="65">
        <f t="shared" si="89"/>
        <v>1</v>
      </c>
      <c r="N983" s="37" t="s">
        <v>25</v>
      </c>
      <c r="O983" s="37" t="s">
        <v>25</v>
      </c>
      <c r="P983" s="40">
        <v>0</v>
      </c>
      <c r="Q983" s="40">
        <v>0</v>
      </c>
      <c r="R983" s="37" t="s">
        <v>1266</v>
      </c>
      <c r="S983" s="37"/>
    </row>
    <row r="984" spans="1:19" x14ac:dyDescent="0.3">
      <c r="A984" s="45">
        <v>254</v>
      </c>
      <c r="B984" s="37" t="s">
        <v>1262</v>
      </c>
      <c r="C984" s="37" t="s">
        <v>1263</v>
      </c>
      <c r="D984" s="37" t="s">
        <v>39</v>
      </c>
      <c r="E984" s="37" t="s">
        <v>22</v>
      </c>
      <c r="F984" s="42">
        <v>45199</v>
      </c>
      <c r="G984" s="37">
        <v>2023</v>
      </c>
      <c r="H984" s="37" t="s">
        <v>43</v>
      </c>
      <c r="I984" s="39" t="s">
        <v>32</v>
      </c>
      <c r="J984" s="37">
        <v>55</v>
      </c>
      <c r="K984" s="56">
        <v>54</v>
      </c>
      <c r="L984" s="65">
        <f t="shared" si="88"/>
        <v>0.98181818181818181</v>
      </c>
      <c r="M984" s="65">
        <f t="shared" si="89"/>
        <v>0.98181818181818181</v>
      </c>
      <c r="N984" s="37" t="s">
        <v>25</v>
      </c>
      <c r="O984" s="37" t="s">
        <v>25</v>
      </c>
      <c r="P984" s="40">
        <v>0</v>
      </c>
      <c r="Q984" s="40">
        <v>0</v>
      </c>
      <c r="R984" s="37" t="s">
        <v>1267</v>
      </c>
      <c r="S984" s="37"/>
    </row>
    <row r="985" spans="1:19" x14ac:dyDescent="0.3">
      <c r="A985" s="41">
        <v>254</v>
      </c>
      <c r="B985" s="37" t="s">
        <v>1262</v>
      </c>
      <c r="C985" s="37" t="s">
        <v>1263</v>
      </c>
      <c r="D985" s="37" t="s">
        <v>39</v>
      </c>
      <c r="E985" s="37" t="s">
        <v>22</v>
      </c>
      <c r="F985" s="42">
        <v>45291</v>
      </c>
      <c r="G985" s="37">
        <v>2023</v>
      </c>
      <c r="H985" s="37" t="s">
        <v>27</v>
      </c>
      <c r="I985" s="39" t="s">
        <v>32</v>
      </c>
      <c r="J985" s="37">
        <v>55</v>
      </c>
      <c r="K985" s="56">
        <v>55</v>
      </c>
      <c r="L985" s="65">
        <f t="shared" si="88"/>
        <v>1</v>
      </c>
      <c r="M985" s="65">
        <f t="shared" si="89"/>
        <v>1</v>
      </c>
      <c r="N985" s="37" t="s">
        <v>25</v>
      </c>
      <c r="O985" s="37" t="s">
        <v>25</v>
      </c>
      <c r="P985" s="40">
        <v>0</v>
      </c>
      <c r="Q985" s="40">
        <v>0</v>
      </c>
      <c r="R985" s="37" t="s">
        <v>1268</v>
      </c>
      <c r="S985" s="37"/>
    </row>
    <row r="986" spans="1:19" x14ac:dyDescent="0.3">
      <c r="A986" s="41">
        <v>254</v>
      </c>
      <c r="B986" s="37" t="s">
        <v>1262</v>
      </c>
      <c r="C986" s="37" t="s">
        <v>1263</v>
      </c>
      <c r="D986" s="37" t="s">
        <v>39</v>
      </c>
      <c r="E986" s="37" t="s">
        <v>22</v>
      </c>
      <c r="F986" s="42">
        <v>45382</v>
      </c>
      <c r="G986" s="37">
        <v>2024</v>
      </c>
      <c r="H986" s="37" t="s">
        <v>40</v>
      </c>
      <c r="I986" s="39" t="s">
        <v>34</v>
      </c>
      <c r="J986" s="37">
        <v>73</v>
      </c>
      <c r="K986" s="37">
        <v>73</v>
      </c>
      <c r="L986" s="65">
        <f t="shared" si="88"/>
        <v>1</v>
      </c>
      <c r="M986" s="65">
        <f t="shared" si="89"/>
        <v>1</v>
      </c>
      <c r="N986" s="37" t="s">
        <v>25</v>
      </c>
      <c r="O986" s="37" t="s">
        <v>25</v>
      </c>
      <c r="P986" s="40">
        <v>0</v>
      </c>
      <c r="Q986" s="40">
        <v>0</v>
      </c>
      <c r="R986" s="37" t="s">
        <v>1269</v>
      </c>
      <c r="S986" s="37"/>
    </row>
    <row r="987" spans="1:19" x14ac:dyDescent="0.3">
      <c r="A987" s="41">
        <v>254</v>
      </c>
      <c r="B987" s="37" t="s">
        <v>1262</v>
      </c>
      <c r="C987" s="37" t="s">
        <v>1263</v>
      </c>
      <c r="D987" s="37" t="s">
        <v>39</v>
      </c>
      <c r="E987" s="37" t="s">
        <v>22</v>
      </c>
      <c r="F987" s="42">
        <v>45473</v>
      </c>
      <c r="G987" s="37">
        <v>2024</v>
      </c>
      <c r="H987" s="37" t="s">
        <v>23</v>
      </c>
      <c r="I987" s="39" t="s">
        <v>34</v>
      </c>
      <c r="J987" s="37">
        <v>73</v>
      </c>
      <c r="K987" s="37">
        <v>73</v>
      </c>
      <c r="L987" s="65">
        <f t="shared" si="88"/>
        <v>1</v>
      </c>
      <c r="M987" s="65">
        <f t="shared" si="89"/>
        <v>1</v>
      </c>
      <c r="N987" s="37" t="s">
        <v>25</v>
      </c>
      <c r="O987" s="37" t="s">
        <v>25</v>
      </c>
      <c r="P987" s="40">
        <v>0</v>
      </c>
      <c r="Q987" s="40">
        <v>0</v>
      </c>
      <c r="R987" s="37" t="s">
        <v>1270</v>
      </c>
      <c r="S987" s="37"/>
    </row>
    <row r="988" spans="1:19" x14ac:dyDescent="0.3">
      <c r="A988" s="36">
        <v>254</v>
      </c>
      <c r="B988" s="37" t="s">
        <v>1262</v>
      </c>
      <c r="C988" s="37" t="s">
        <v>1263</v>
      </c>
      <c r="D988" s="37" t="s">
        <v>39</v>
      </c>
      <c r="E988" s="37" t="s">
        <v>22</v>
      </c>
      <c r="F988" s="42">
        <v>45565</v>
      </c>
      <c r="G988" s="37">
        <v>2024</v>
      </c>
      <c r="H988" s="37" t="s">
        <v>43</v>
      </c>
      <c r="I988" s="39" t="s">
        <v>36</v>
      </c>
      <c r="J988" s="37">
        <v>73</v>
      </c>
      <c r="K988" s="37">
        <v>73</v>
      </c>
      <c r="L988" s="65">
        <f t="shared" si="88"/>
        <v>1</v>
      </c>
      <c r="M988" s="65">
        <f t="shared" si="89"/>
        <v>1</v>
      </c>
      <c r="N988" s="37" t="s">
        <v>25</v>
      </c>
      <c r="O988" s="37" t="s">
        <v>25</v>
      </c>
      <c r="P988" s="40">
        <v>0</v>
      </c>
      <c r="Q988" s="40">
        <v>0</v>
      </c>
      <c r="R988" s="37" t="s">
        <v>1271</v>
      </c>
      <c r="S988" s="37"/>
    </row>
    <row r="989" spans="1:19" x14ac:dyDescent="0.3">
      <c r="A989" s="36">
        <v>254</v>
      </c>
      <c r="B989" s="37" t="s">
        <v>1262</v>
      </c>
      <c r="C989" s="37" t="s">
        <v>1263</v>
      </c>
      <c r="D989" s="37" t="s">
        <v>39</v>
      </c>
      <c r="E989" s="37" t="s">
        <v>22</v>
      </c>
      <c r="F989" s="42">
        <v>45657</v>
      </c>
      <c r="G989" s="37">
        <v>2024</v>
      </c>
      <c r="H989" s="37" t="s">
        <v>27</v>
      </c>
      <c r="I989" s="39" t="s">
        <v>36</v>
      </c>
      <c r="J989" s="37">
        <v>73</v>
      </c>
      <c r="K989" s="37">
        <v>73</v>
      </c>
      <c r="L989" s="65">
        <f t="shared" si="88"/>
        <v>1</v>
      </c>
      <c r="M989" s="65">
        <f t="shared" si="89"/>
        <v>1</v>
      </c>
      <c r="N989" s="37" t="s">
        <v>25</v>
      </c>
      <c r="O989" s="37" t="s">
        <v>25</v>
      </c>
      <c r="P989" s="40">
        <v>0</v>
      </c>
      <c r="Q989" s="40">
        <v>0</v>
      </c>
      <c r="R989" s="37" t="s">
        <v>1272</v>
      </c>
      <c r="S989" s="37"/>
    </row>
    <row r="990" spans="1:19" x14ac:dyDescent="0.3">
      <c r="A990" s="41">
        <v>255</v>
      </c>
      <c r="B990" s="37" t="s">
        <v>1273</v>
      </c>
      <c r="C990" s="37" t="s">
        <v>546</v>
      </c>
      <c r="D990" s="37" t="s">
        <v>139</v>
      </c>
      <c r="E990" s="37" t="s">
        <v>22</v>
      </c>
      <c r="F990" s="42">
        <v>45291</v>
      </c>
      <c r="G990" s="37">
        <v>2023</v>
      </c>
      <c r="H990" s="37" t="s">
        <v>27</v>
      </c>
      <c r="I990" s="39" t="s">
        <v>32</v>
      </c>
      <c r="J990" s="37">
        <v>100</v>
      </c>
      <c r="K990" s="56">
        <v>18</v>
      </c>
      <c r="L990" s="65">
        <f t="shared" si="88"/>
        <v>0.18</v>
      </c>
      <c r="M990" s="65">
        <f t="shared" si="89"/>
        <v>0.18</v>
      </c>
      <c r="N990" s="37" t="s">
        <v>25</v>
      </c>
      <c r="O990" s="37" t="s">
        <v>25</v>
      </c>
      <c r="P990" s="40">
        <v>0</v>
      </c>
      <c r="Q990" s="40">
        <v>0</v>
      </c>
      <c r="R990" s="37" t="s">
        <v>1274</v>
      </c>
      <c r="S990" s="37"/>
    </row>
    <row r="991" spans="1:19" x14ac:dyDescent="0.3">
      <c r="A991" s="36">
        <v>255</v>
      </c>
      <c r="B991" s="37" t="s">
        <v>1273</v>
      </c>
      <c r="C991" s="37" t="s">
        <v>546</v>
      </c>
      <c r="D991" s="37" t="s">
        <v>139</v>
      </c>
      <c r="E991" s="37" t="s">
        <v>22</v>
      </c>
      <c r="F991" s="42">
        <v>45657</v>
      </c>
      <c r="G991" s="37">
        <v>2024</v>
      </c>
      <c r="H991" s="37" t="s">
        <v>27</v>
      </c>
      <c r="I991" s="39" t="s">
        <v>36</v>
      </c>
      <c r="J991" s="37">
        <v>100</v>
      </c>
      <c r="K991" s="43">
        <v>15</v>
      </c>
      <c r="L991" s="65">
        <f t="shared" si="88"/>
        <v>0.15</v>
      </c>
      <c r="M991" s="65">
        <f t="shared" si="89"/>
        <v>0.15</v>
      </c>
      <c r="N991" s="37"/>
      <c r="O991" s="37"/>
      <c r="P991" s="40">
        <v>0</v>
      </c>
      <c r="Q991" s="40">
        <v>0</v>
      </c>
      <c r="R991" s="37" t="s">
        <v>1275</v>
      </c>
      <c r="S991" s="37"/>
    </row>
    <row r="992" spans="1:19" x14ac:dyDescent="0.3">
      <c r="A992" s="36">
        <v>256</v>
      </c>
      <c r="B992" s="37" t="s">
        <v>1277</v>
      </c>
      <c r="C992" s="37" t="s">
        <v>546</v>
      </c>
      <c r="D992" s="37" t="s">
        <v>21</v>
      </c>
      <c r="E992" s="37" t="s">
        <v>22</v>
      </c>
      <c r="F992" s="38">
        <v>45107</v>
      </c>
      <c r="G992" s="37">
        <v>2023</v>
      </c>
      <c r="H992" s="37" t="s">
        <v>23</v>
      </c>
      <c r="I992" s="39" t="s">
        <v>30</v>
      </c>
      <c r="J992" s="37">
        <v>17</v>
      </c>
      <c r="K992" s="56">
        <v>21</v>
      </c>
      <c r="L992" s="65">
        <f t="shared" ref="L992:L1014" si="90">IFERROR(IF(OR(J992=0,K992=""),"",IF(E992="Positivo",MIN(MAX(K992/J992,0),1.3),MIN(MAX(J992/K992,0),1.3))),"")</f>
        <v>1.2352941176470589</v>
      </c>
      <c r="M992" s="65">
        <f t="shared" ref="M992:M1014" si="91">IFERROR(IF(OR(J992=0,K992=""),"",IF(E992="Positivo",MAX(K992/J992,0),MAX(J992/K992,0))),"")</f>
        <v>1.2352941176470589</v>
      </c>
      <c r="N992" s="37" t="s">
        <v>203</v>
      </c>
      <c r="O992" s="37" t="s">
        <v>203</v>
      </c>
      <c r="P992" s="40">
        <v>0</v>
      </c>
      <c r="Q992" s="40">
        <v>0</v>
      </c>
      <c r="R992" s="37" t="s">
        <v>1278</v>
      </c>
      <c r="S992" s="37"/>
    </row>
    <row r="993" spans="1:19" x14ac:dyDescent="0.3">
      <c r="A993" s="41">
        <v>256</v>
      </c>
      <c r="B993" s="37" t="s">
        <v>1277</v>
      </c>
      <c r="C993" s="37" t="s">
        <v>546</v>
      </c>
      <c r="D993" s="37" t="s">
        <v>21</v>
      </c>
      <c r="E993" s="37" t="s">
        <v>22</v>
      </c>
      <c r="F993" s="42">
        <v>45291</v>
      </c>
      <c r="G993" s="37">
        <v>2023</v>
      </c>
      <c r="H993" s="37" t="s">
        <v>27</v>
      </c>
      <c r="I993" s="39" t="s">
        <v>32</v>
      </c>
      <c r="J993" s="37">
        <v>17</v>
      </c>
      <c r="K993" s="56">
        <v>21</v>
      </c>
      <c r="L993" s="65">
        <f t="shared" si="90"/>
        <v>1.2352941176470589</v>
      </c>
      <c r="M993" s="65">
        <f t="shared" si="91"/>
        <v>1.2352941176470589</v>
      </c>
      <c r="N993" s="37" t="s">
        <v>203</v>
      </c>
      <c r="O993" s="37" t="s">
        <v>203</v>
      </c>
      <c r="P993" s="40">
        <v>0</v>
      </c>
      <c r="Q993" s="40">
        <v>0</v>
      </c>
      <c r="R993" s="37" t="s">
        <v>1279</v>
      </c>
      <c r="S993" s="37"/>
    </row>
    <row r="994" spans="1:19" x14ac:dyDescent="0.3">
      <c r="A994" s="37">
        <v>256</v>
      </c>
      <c r="B994" s="37" t="s">
        <v>1277</v>
      </c>
      <c r="C994" s="37" t="s">
        <v>546</v>
      </c>
      <c r="D994" s="37" t="s">
        <v>21</v>
      </c>
      <c r="E994" s="37" t="s">
        <v>22</v>
      </c>
      <c r="F994" s="42">
        <v>45473</v>
      </c>
      <c r="G994" s="37">
        <v>2024</v>
      </c>
      <c r="H994" s="37" t="s">
        <v>23</v>
      </c>
      <c r="I994" s="39" t="s">
        <v>34</v>
      </c>
      <c r="J994" s="37">
        <v>17</v>
      </c>
      <c r="K994" s="37">
        <v>20</v>
      </c>
      <c r="L994" s="65">
        <f t="shared" si="90"/>
        <v>1.1764705882352942</v>
      </c>
      <c r="M994" s="65">
        <f t="shared" si="91"/>
        <v>1.1764705882352942</v>
      </c>
      <c r="N994" s="37" t="s">
        <v>203</v>
      </c>
      <c r="O994" s="37" t="s">
        <v>203</v>
      </c>
      <c r="P994" s="37">
        <v>0</v>
      </c>
      <c r="Q994" s="37">
        <v>0</v>
      </c>
      <c r="R994" s="37" t="s">
        <v>1280</v>
      </c>
      <c r="S994" s="37"/>
    </row>
    <row r="995" spans="1:19" x14ac:dyDescent="0.3">
      <c r="A995" s="36">
        <v>256</v>
      </c>
      <c r="B995" s="37" t="s">
        <v>1277</v>
      </c>
      <c r="C995" s="37" t="s">
        <v>546</v>
      </c>
      <c r="D995" s="37" t="s">
        <v>21</v>
      </c>
      <c r="E995" s="37" t="s">
        <v>22</v>
      </c>
      <c r="F995" s="42">
        <v>45657</v>
      </c>
      <c r="G995" s="37">
        <v>2024</v>
      </c>
      <c r="H995" s="37" t="s">
        <v>27</v>
      </c>
      <c r="I995" s="39" t="s">
        <v>36</v>
      </c>
      <c r="J995" s="37">
        <v>17</v>
      </c>
      <c r="K995" s="43">
        <v>26</v>
      </c>
      <c r="L995" s="65">
        <f t="shared" si="90"/>
        <v>1.3</v>
      </c>
      <c r="M995" s="65">
        <f t="shared" si="91"/>
        <v>1.5294117647058822</v>
      </c>
      <c r="N995" s="37" t="s">
        <v>203</v>
      </c>
      <c r="O995" s="37" t="s">
        <v>203</v>
      </c>
      <c r="P995" s="40">
        <v>0</v>
      </c>
      <c r="Q995" s="40">
        <v>0</v>
      </c>
      <c r="R995" s="37" t="s">
        <v>1281</v>
      </c>
      <c r="S995" s="37"/>
    </row>
    <row r="996" spans="1:19" x14ac:dyDescent="0.3">
      <c r="A996" s="36">
        <v>257</v>
      </c>
      <c r="B996" s="37" t="s">
        <v>1282</v>
      </c>
      <c r="C996" s="37" t="s">
        <v>546</v>
      </c>
      <c r="D996" s="37" t="s">
        <v>21</v>
      </c>
      <c r="E996" s="37" t="s">
        <v>22</v>
      </c>
      <c r="F996" s="38">
        <v>45107</v>
      </c>
      <c r="G996" s="37">
        <v>2023</v>
      </c>
      <c r="H996" s="37" t="s">
        <v>23</v>
      </c>
      <c r="I996" s="39" t="s">
        <v>30</v>
      </c>
      <c r="J996" s="37">
        <v>18</v>
      </c>
      <c r="K996" s="56">
        <v>15</v>
      </c>
      <c r="L996" s="65">
        <f t="shared" si="90"/>
        <v>0.83333333333333337</v>
      </c>
      <c r="M996" s="65">
        <f t="shared" si="91"/>
        <v>0.83333333333333337</v>
      </c>
      <c r="N996" s="37" t="s">
        <v>203</v>
      </c>
      <c r="O996" s="37" t="s">
        <v>203</v>
      </c>
      <c r="P996" s="40">
        <v>0</v>
      </c>
      <c r="Q996" s="40">
        <v>0</v>
      </c>
      <c r="R996" s="37" t="s">
        <v>1283</v>
      </c>
      <c r="S996" s="37"/>
    </row>
    <row r="997" spans="1:19" x14ac:dyDescent="0.3">
      <c r="A997" s="41">
        <v>257</v>
      </c>
      <c r="B997" s="37" t="s">
        <v>1282</v>
      </c>
      <c r="C997" s="37" t="s">
        <v>546</v>
      </c>
      <c r="D997" s="37" t="s">
        <v>21</v>
      </c>
      <c r="E997" s="37" t="s">
        <v>22</v>
      </c>
      <c r="F997" s="42">
        <v>45291</v>
      </c>
      <c r="G997" s="37">
        <v>2023</v>
      </c>
      <c r="H997" s="37" t="s">
        <v>27</v>
      </c>
      <c r="I997" s="39" t="s">
        <v>32</v>
      </c>
      <c r="J997" s="37">
        <v>24</v>
      </c>
      <c r="K997" s="56">
        <v>24</v>
      </c>
      <c r="L997" s="65">
        <f t="shared" si="90"/>
        <v>1</v>
      </c>
      <c r="M997" s="65">
        <f t="shared" si="91"/>
        <v>1</v>
      </c>
      <c r="N997" s="37" t="s">
        <v>203</v>
      </c>
      <c r="O997" s="37" t="s">
        <v>203</v>
      </c>
      <c r="P997" s="40">
        <v>0</v>
      </c>
      <c r="Q997" s="40">
        <v>0</v>
      </c>
      <c r="R997" s="37" t="s">
        <v>1284</v>
      </c>
      <c r="S997" s="37"/>
    </row>
    <row r="998" spans="1:19" x14ac:dyDescent="0.3">
      <c r="A998" s="36">
        <v>259</v>
      </c>
      <c r="B998" s="37" t="s">
        <v>1285</v>
      </c>
      <c r="C998" s="37" t="s">
        <v>1241</v>
      </c>
      <c r="D998" s="37" t="s">
        <v>39</v>
      </c>
      <c r="E998" s="37" t="s">
        <v>22</v>
      </c>
      <c r="F998" s="42">
        <v>45107</v>
      </c>
      <c r="G998" s="37">
        <v>2023</v>
      </c>
      <c r="H998" s="37" t="s">
        <v>23</v>
      </c>
      <c r="I998" s="39" t="s">
        <v>30</v>
      </c>
      <c r="J998" s="37">
        <v>100</v>
      </c>
      <c r="K998" s="56">
        <v>60.526315789473998</v>
      </c>
      <c r="L998" s="65">
        <f t="shared" si="90"/>
        <v>0.60526315789473994</v>
      </c>
      <c r="M998" s="65">
        <f t="shared" si="91"/>
        <v>0.60526315789473994</v>
      </c>
      <c r="N998" s="37" t="s">
        <v>25</v>
      </c>
      <c r="O998" s="37" t="s">
        <v>25</v>
      </c>
      <c r="P998" s="40">
        <v>0</v>
      </c>
      <c r="Q998" s="40">
        <v>0</v>
      </c>
      <c r="R998" s="37" t="s">
        <v>1286</v>
      </c>
      <c r="S998" s="37"/>
    </row>
    <row r="999" spans="1:19" x14ac:dyDescent="0.3">
      <c r="A999" s="45">
        <v>259</v>
      </c>
      <c r="B999" s="37" t="s">
        <v>1285</v>
      </c>
      <c r="C999" s="37" t="s">
        <v>1241</v>
      </c>
      <c r="D999" s="37" t="s">
        <v>39</v>
      </c>
      <c r="E999" s="37" t="s">
        <v>22</v>
      </c>
      <c r="F999" s="42">
        <v>45199</v>
      </c>
      <c r="G999" s="37">
        <v>2023</v>
      </c>
      <c r="H999" s="37" t="s">
        <v>43</v>
      </c>
      <c r="I999" s="39" t="s">
        <v>32</v>
      </c>
      <c r="J999" s="37">
        <v>100</v>
      </c>
      <c r="K999" s="56">
        <v>68.75</v>
      </c>
      <c r="L999" s="65">
        <f t="shared" si="90"/>
        <v>0.6875</v>
      </c>
      <c r="M999" s="65">
        <f t="shared" si="91"/>
        <v>0.6875</v>
      </c>
      <c r="N999" s="37" t="s">
        <v>25</v>
      </c>
      <c r="O999" s="37" t="s">
        <v>25</v>
      </c>
      <c r="P999" s="40">
        <v>0</v>
      </c>
      <c r="Q999" s="40">
        <v>0</v>
      </c>
      <c r="R999" s="37" t="s">
        <v>1287</v>
      </c>
      <c r="S999" s="37"/>
    </row>
    <row r="1000" spans="1:19" x14ac:dyDescent="0.3">
      <c r="A1000" s="37">
        <v>259</v>
      </c>
      <c r="B1000" s="37" t="s">
        <v>1285</v>
      </c>
      <c r="C1000" s="37" t="s">
        <v>1241</v>
      </c>
      <c r="D1000" s="37" t="s">
        <v>39</v>
      </c>
      <c r="E1000" s="37" t="s">
        <v>22</v>
      </c>
      <c r="F1000" s="42">
        <v>45473</v>
      </c>
      <c r="G1000" s="37">
        <v>2024</v>
      </c>
      <c r="H1000" s="37" t="s">
        <v>23</v>
      </c>
      <c r="I1000" s="39" t="s">
        <v>34</v>
      </c>
      <c r="J1000" s="37">
        <v>90</v>
      </c>
      <c r="K1000" s="37">
        <v>34.69</v>
      </c>
      <c r="L1000" s="65">
        <f t="shared" si="90"/>
        <v>0.38544444444444442</v>
      </c>
      <c r="M1000" s="65">
        <f t="shared" si="91"/>
        <v>0.38544444444444442</v>
      </c>
      <c r="N1000" s="37" t="s">
        <v>25</v>
      </c>
      <c r="O1000" s="37" t="s">
        <v>25</v>
      </c>
      <c r="P1000" s="37">
        <v>0</v>
      </c>
      <c r="Q1000" s="37">
        <v>0</v>
      </c>
      <c r="R1000" s="37" t="s">
        <v>1288</v>
      </c>
      <c r="S1000" s="37"/>
    </row>
    <row r="1001" spans="1:19" x14ac:dyDescent="0.3">
      <c r="A1001" s="36">
        <v>259</v>
      </c>
      <c r="B1001" s="37" t="s">
        <v>1285</v>
      </c>
      <c r="C1001" s="37" t="s">
        <v>1241</v>
      </c>
      <c r="D1001" s="37" t="s">
        <v>39</v>
      </c>
      <c r="E1001" s="37" t="s">
        <v>22</v>
      </c>
      <c r="F1001" s="42">
        <v>45565</v>
      </c>
      <c r="G1001" s="37">
        <v>2024</v>
      </c>
      <c r="H1001" s="37" t="s">
        <v>43</v>
      </c>
      <c r="I1001" s="39" t="s">
        <v>36</v>
      </c>
      <c r="J1001" s="37">
        <v>90</v>
      </c>
      <c r="K1001" s="43">
        <v>83.33</v>
      </c>
      <c r="L1001" s="65">
        <f t="shared" si="90"/>
        <v>0.92588888888888887</v>
      </c>
      <c r="M1001" s="65">
        <f t="shared" si="91"/>
        <v>0.92588888888888887</v>
      </c>
      <c r="N1001" s="37" t="s">
        <v>25</v>
      </c>
      <c r="O1001" s="37" t="s">
        <v>25</v>
      </c>
      <c r="P1001" s="40">
        <v>0</v>
      </c>
      <c r="Q1001" s="40">
        <v>0</v>
      </c>
      <c r="R1001" s="37" t="s">
        <v>1289</v>
      </c>
      <c r="S1001" s="37"/>
    </row>
    <row r="1002" spans="1:19" x14ac:dyDescent="0.3">
      <c r="A1002" s="36">
        <v>259</v>
      </c>
      <c r="B1002" s="37" t="s">
        <v>1285</v>
      </c>
      <c r="C1002" s="37" t="s">
        <v>1241</v>
      </c>
      <c r="D1002" s="37" t="s">
        <v>39</v>
      </c>
      <c r="E1002" s="37" t="s">
        <v>22</v>
      </c>
      <c r="F1002" s="42">
        <v>45657</v>
      </c>
      <c r="G1002" s="37">
        <v>2024</v>
      </c>
      <c r="H1002" s="37" t="s">
        <v>27</v>
      </c>
      <c r="I1002" s="39" t="s">
        <v>36</v>
      </c>
      <c r="J1002" s="37">
        <v>90</v>
      </c>
      <c r="K1002" s="43">
        <v>78.430000000000007</v>
      </c>
      <c r="L1002" s="65">
        <f t="shared" si="90"/>
        <v>0.87144444444444447</v>
      </c>
      <c r="M1002" s="65">
        <f t="shared" si="91"/>
        <v>0.87144444444444447</v>
      </c>
      <c r="N1002" s="37" t="s">
        <v>25</v>
      </c>
      <c r="O1002" s="37" t="s">
        <v>25</v>
      </c>
      <c r="P1002" s="40">
        <v>0</v>
      </c>
      <c r="Q1002" s="40">
        <v>0</v>
      </c>
      <c r="R1002" s="37" t="s">
        <v>1290</v>
      </c>
      <c r="S1002" s="37"/>
    </row>
    <row r="1003" spans="1:19" x14ac:dyDescent="0.3">
      <c r="A1003" s="36">
        <v>260</v>
      </c>
      <c r="B1003" s="37" t="s">
        <v>1291</v>
      </c>
      <c r="C1003" s="37" t="s">
        <v>1292</v>
      </c>
      <c r="D1003" s="37" t="s">
        <v>21</v>
      </c>
      <c r="E1003" s="37" t="s">
        <v>56</v>
      </c>
      <c r="F1003" s="38">
        <v>45107</v>
      </c>
      <c r="G1003" s="37">
        <v>2023</v>
      </c>
      <c r="H1003" s="37" t="s">
        <v>23</v>
      </c>
      <c r="I1003" s="39" t="s">
        <v>30</v>
      </c>
      <c r="J1003" s="37">
        <v>3</v>
      </c>
      <c r="K1003" s="56">
        <v>2.8</v>
      </c>
      <c r="L1003" s="65">
        <f t="shared" si="90"/>
        <v>1.0714285714285714</v>
      </c>
      <c r="M1003" s="65">
        <f t="shared" si="91"/>
        <v>1.0714285714285714</v>
      </c>
      <c r="N1003" s="37" t="s">
        <v>197</v>
      </c>
      <c r="O1003" s="37" t="s">
        <v>197</v>
      </c>
      <c r="P1003" s="40">
        <v>0</v>
      </c>
      <c r="Q1003" s="40">
        <v>1</v>
      </c>
      <c r="R1003" s="37" t="s">
        <v>1293</v>
      </c>
      <c r="S1003" s="37"/>
    </row>
    <row r="1004" spans="1:19" x14ac:dyDescent="0.3">
      <c r="A1004" s="41">
        <v>260</v>
      </c>
      <c r="B1004" s="37" t="s">
        <v>1291</v>
      </c>
      <c r="C1004" s="37" t="s">
        <v>1292</v>
      </c>
      <c r="D1004" s="37" t="s">
        <v>21</v>
      </c>
      <c r="E1004" s="37" t="s">
        <v>56</v>
      </c>
      <c r="F1004" s="42">
        <v>45291</v>
      </c>
      <c r="G1004" s="37">
        <v>2023</v>
      </c>
      <c r="H1004" s="37" t="s">
        <v>27</v>
      </c>
      <c r="I1004" s="39" t="s">
        <v>32</v>
      </c>
      <c r="J1004" s="37">
        <v>3</v>
      </c>
      <c r="K1004" s="56">
        <v>2.9</v>
      </c>
      <c r="L1004" s="65">
        <f t="shared" si="90"/>
        <v>1.0344827586206897</v>
      </c>
      <c r="M1004" s="65">
        <f t="shared" si="91"/>
        <v>1.0344827586206897</v>
      </c>
      <c r="N1004" s="37" t="s">
        <v>197</v>
      </c>
      <c r="O1004" s="37" t="s">
        <v>197</v>
      </c>
      <c r="P1004" s="40">
        <v>0</v>
      </c>
      <c r="Q1004" s="40">
        <v>1</v>
      </c>
      <c r="R1004" s="37" t="s">
        <v>1294</v>
      </c>
      <c r="S1004" s="37"/>
    </row>
    <row r="1005" spans="1:19" x14ac:dyDescent="0.3">
      <c r="A1005" s="37">
        <v>260</v>
      </c>
      <c r="B1005" s="37" t="s">
        <v>1291</v>
      </c>
      <c r="C1005" s="37" t="s">
        <v>1292</v>
      </c>
      <c r="D1005" s="37" t="s">
        <v>21</v>
      </c>
      <c r="E1005" s="37" t="s">
        <v>56</v>
      </c>
      <c r="F1005" s="42">
        <v>45473</v>
      </c>
      <c r="G1005" s="37">
        <v>2024</v>
      </c>
      <c r="H1005" s="37" t="s">
        <v>23</v>
      </c>
      <c r="I1005" s="39" t="s">
        <v>34</v>
      </c>
      <c r="J1005" s="37">
        <v>2.8</v>
      </c>
      <c r="K1005" s="37">
        <v>2.5099999999999998</v>
      </c>
      <c r="L1005" s="65">
        <f t="shared" si="90"/>
        <v>1.1155378486055778</v>
      </c>
      <c r="M1005" s="65">
        <f t="shared" si="91"/>
        <v>1.1155378486055778</v>
      </c>
      <c r="N1005" s="37" t="s">
        <v>197</v>
      </c>
      <c r="O1005" s="37" t="s">
        <v>197</v>
      </c>
      <c r="P1005" s="37">
        <v>1</v>
      </c>
      <c r="Q1005" s="37">
        <v>1</v>
      </c>
      <c r="R1005" s="37" t="s">
        <v>1295</v>
      </c>
      <c r="S1005" s="37"/>
    </row>
    <row r="1006" spans="1:19" x14ac:dyDescent="0.3">
      <c r="A1006" s="36">
        <v>260</v>
      </c>
      <c r="B1006" s="37" t="s">
        <v>1291</v>
      </c>
      <c r="C1006" s="37" t="s">
        <v>1292</v>
      </c>
      <c r="D1006" s="37" t="s">
        <v>21</v>
      </c>
      <c r="E1006" s="37" t="s">
        <v>56</v>
      </c>
      <c r="F1006" s="42">
        <v>45657</v>
      </c>
      <c r="G1006" s="37">
        <v>2024</v>
      </c>
      <c r="H1006" s="37" t="s">
        <v>27</v>
      </c>
      <c r="I1006" s="39" t="s">
        <v>36</v>
      </c>
      <c r="J1006" s="37">
        <v>2.8</v>
      </c>
      <c r="K1006" s="43">
        <v>2.1</v>
      </c>
      <c r="L1006" s="65">
        <f t="shared" si="90"/>
        <v>1.3</v>
      </c>
      <c r="M1006" s="65">
        <f t="shared" si="91"/>
        <v>1.3333333333333333</v>
      </c>
      <c r="N1006" s="37" t="s">
        <v>197</v>
      </c>
      <c r="O1006" s="37" t="s">
        <v>197</v>
      </c>
      <c r="P1006" s="40">
        <v>1</v>
      </c>
      <c r="Q1006" s="40">
        <v>1</v>
      </c>
      <c r="R1006" s="37" t="s">
        <v>1296</v>
      </c>
      <c r="S1006" s="37"/>
    </row>
    <row r="1007" spans="1:19" x14ac:dyDescent="0.3">
      <c r="A1007" s="36">
        <v>261</v>
      </c>
      <c r="B1007" s="37" t="s">
        <v>1297</v>
      </c>
      <c r="C1007" s="37" t="s">
        <v>625</v>
      </c>
      <c r="D1007" s="37" t="s">
        <v>21</v>
      </c>
      <c r="E1007" s="37" t="s">
        <v>56</v>
      </c>
      <c r="F1007" s="38">
        <v>45107</v>
      </c>
      <c r="G1007" s="37">
        <v>2023</v>
      </c>
      <c r="H1007" s="37" t="s">
        <v>23</v>
      </c>
      <c r="I1007" s="39" t="s">
        <v>30</v>
      </c>
      <c r="J1007" s="37">
        <v>3</v>
      </c>
      <c r="K1007" s="56">
        <v>1.98</v>
      </c>
      <c r="L1007" s="65">
        <f t="shared" si="90"/>
        <v>1.3</v>
      </c>
      <c r="M1007" s="65">
        <f t="shared" si="91"/>
        <v>1.5151515151515151</v>
      </c>
      <c r="N1007" s="37" t="s">
        <v>197</v>
      </c>
      <c r="O1007" s="37" t="s">
        <v>197</v>
      </c>
      <c r="P1007" s="40">
        <v>2</v>
      </c>
      <c r="Q1007" s="40">
        <v>2</v>
      </c>
      <c r="R1007" s="37" t="s">
        <v>1298</v>
      </c>
      <c r="S1007" s="37"/>
    </row>
    <row r="1008" spans="1:19" x14ac:dyDescent="0.3">
      <c r="A1008" s="41">
        <v>261</v>
      </c>
      <c r="B1008" s="37" t="s">
        <v>1297</v>
      </c>
      <c r="C1008" s="37" t="s">
        <v>625</v>
      </c>
      <c r="D1008" s="37" t="s">
        <v>21</v>
      </c>
      <c r="E1008" s="37" t="s">
        <v>56</v>
      </c>
      <c r="F1008" s="42">
        <v>45291</v>
      </c>
      <c r="G1008" s="37">
        <v>2023</v>
      </c>
      <c r="H1008" s="37" t="s">
        <v>27</v>
      </c>
      <c r="I1008" s="39" t="s">
        <v>32</v>
      </c>
      <c r="J1008" s="37">
        <v>3</v>
      </c>
      <c r="K1008" s="56">
        <v>2.06</v>
      </c>
      <c r="L1008" s="65">
        <f t="shared" si="90"/>
        <v>1.3</v>
      </c>
      <c r="M1008" s="65">
        <f t="shared" si="91"/>
        <v>1.4563106796116505</v>
      </c>
      <c r="N1008" s="37" t="s">
        <v>197</v>
      </c>
      <c r="O1008" s="37" t="s">
        <v>197</v>
      </c>
      <c r="P1008" s="40">
        <v>0</v>
      </c>
      <c r="Q1008" s="40">
        <v>0</v>
      </c>
      <c r="R1008" s="37" t="s">
        <v>1299</v>
      </c>
      <c r="S1008" s="37"/>
    </row>
    <row r="1009" spans="1:19" x14ac:dyDescent="0.3">
      <c r="A1009" s="37">
        <v>261</v>
      </c>
      <c r="B1009" s="37" t="s">
        <v>1297</v>
      </c>
      <c r="C1009" s="37" t="s">
        <v>625</v>
      </c>
      <c r="D1009" s="37" t="s">
        <v>21</v>
      </c>
      <c r="E1009" s="37" t="s">
        <v>56</v>
      </c>
      <c r="F1009" s="42">
        <v>45473</v>
      </c>
      <c r="G1009" s="37">
        <v>2024</v>
      </c>
      <c r="H1009" s="37" t="s">
        <v>23</v>
      </c>
      <c r="I1009" s="39" t="s">
        <v>34</v>
      </c>
      <c r="J1009" s="37">
        <v>3</v>
      </c>
      <c r="K1009" s="37">
        <v>2.2000000000000002</v>
      </c>
      <c r="L1009" s="65">
        <f t="shared" si="90"/>
        <v>1.3</v>
      </c>
      <c r="M1009" s="65">
        <f t="shared" si="91"/>
        <v>1.3636363636363635</v>
      </c>
      <c r="N1009" s="37" t="s">
        <v>197</v>
      </c>
      <c r="O1009" s="37" t="s">
        <v>197</v>
      </c>
      <c r="P1009" s="37">
        <v>1</v>
      </c>
      <c r="Q1009" s="37">
        <v>1</v>
      </c>
      <c r="R1009" s="37" t="s">
        <v>1300</v>
      </c>
      <c r="S1009" s="37"/>
    </row>
    <row r="1010" spans="1:19" x14ac:dyDescent="0.3">
      <c r="A1010" s="36">
        <v>261</v>
      </c>
      <c r="B1010" s="37" t="s">
        <v>1297</v>
      </c>
      <c r="C1010" s="37" t="s">
        <v>625</v>
      </c>
      <c r="D1010" s="37" t="s">
        <v>21</v>
      </c>
      <c r="E1010" s="37" t="s">
        <v>56</v>
      </c>
      <c r="F1010" s="42">
        <v>45657</v>
      </c>
      <c r="G1010" s="37">
        <v>2024</v>
      </c>
      <c r="H1010" s="37" t="s">
        <v>27</v>
      </c>
      <c r="I1010" s="39" t="s">
        <v>36</v>
      </c>
      <c r="J1010" s="37">
        <v>3</v>
      </c>
      <c r="K1010" s="43">
        <v>2.2000000000000002</v>
      </c>
      <c r="L1010" s="65">
        <f t="shared" si="90"/>
        <v>1.3</v>
      </c>
      <c r="M1010" s="65">
        <f t="shared" si="91"/>
        <v>1.3636363636363635</v>
      </c>
      <c r="N1010" s="37" t="s">
        <v>197</v>
      </c>
      <c r="O1010" s="37" t="s">
        <v>197</v>
      </c>
      <c r="P1010" s="40">
        <v>1</v>
      </c>
      <c r="Q1010" s="40">
        <v>1</v>
      </c>
      <c r="R1010" s="37" t="s">
        <v>1301</v>
      </c>
      <c r="S1010" s="37"/>
    </row>
    <row r="1011" spans="1:19" x14ac:dyDescent="0.3">
      <c r="A1011" s="36">
        <v>262</v>
      </c>
      <c r="B1011" s="37" t="s">
        <v>1302</v>
      </c>
      <c r="C1011" s="37" t="s">
        <v>1303</v>
      </c>
      <c r="D1011" s="37" t="s">
        <v>21</v>
      </c>
      <c r="E1011" s="37" t="s">
        <v>56</v>
      </c>
      <c r="F1011" s="38">
        <v>45107</v>
      </c>
      <c r="G1011" s="37">
        <v>2023</v>
      </c>
      <c r="H1011" s="37" t="s">
        <v>23</v>
      </c>
      <c r="I1011" s="39" t="s">
        <v>30</v>
      </c>
      <c r="J1011" s="37">
        <v>20</v>
      </c>
      <c r="K1011" s="56">
        <v>0</v>
      </c>
      <c r="L1011" s="65" t="str">
        <f t="shared" si="90"/>
        <v/>
      </c>
      <c r="M1011" s="65" t="str">
        <f t="shared" si="91"/>
        <v/>
      </c>
      <c r="N1011" s="37" t="s">
        <v>25</v>
      </c>
      <c r="O1011" s="37" t="s">
        <v>25</v>
      </c>
      <c r="P1011" s="40">
        <v>0</v>
      </c>
      <c r="Q1011" s="40">
        <v>0</v>
      </c>
      <c r="R1011" s="37" t="s">
        <v>1304</v>
      </c>
      <c r="S1011" s="37"/>
    </row>
    <row r="1012" spans="1:19" x14ac:dyDescent="0.3">
      <c r="A1012" s="41">
        <v>262</v>
      </c>
      <c r="B1012" s="37" t="s">
        <v>1302</v>
      </c>
      <c r="C1012" s="37" t="s">
        <v>1303</v>
      </c>
      <c r="D1012" s="37" t="s">
        <v>21</v>
      </c>
      <c r="E1012" s="37" t="s">
        <v>56</v>
      </c>
      <c r="F1012" s="42">
        <v>45291</v>
      </c>
      <c r="G1012" s="37">
        <v>2023</v>
      </c>
      <c r="H1012" s="37" t="s">
        <v>27</v>
      </c>
      <c r="I1012" s="39" t="s">
        <v>32</v>
      </c>
      <c r="J1012" s="37">
        <v>20</v>
      </c>
      <c r="K1012" s="56">
        <v>11.11</v>
      </c>
      <c r="L1012" s="65">
        <f t="shared" si="90"/>
        <v>1.3</v>
      </c>
      <c r="M1012" s="65">
        <f t="shared" si="91"/>
        <v>1.8001800180018002</v>
      </c>
      <c r="N1012" s="37" t="s">
        <v>25</v>
      </c>
      <c r="O1012" s="37" t="s">
        <v>25</v>
      </c>
      <c r="P1012" s="40">
        <v>0</v>
      </c>
      <c r="Q1012" s="40">
        <v>0</v>
      </c>
      <c r="R1012" s="37" t="s">
        <v>1305</v>
      </c>
      <c r="S1012" s="37"/>
    </row>
    <row r="1013" spans="1:19" x14ac:dyDescent="0.3">
      <c r="A1013" s="37">
        <v>262</v>
      </c>
      <c r="B1013" s="37" t="s">
        <v>1306</v>
      </c>
      <c r="C1013" s="37" t="s">
        <v>1303</v>
      </c>
      <c r="D1013" s="37" t="s">
        <v>21</v>
      </c>
      <c r="E1013" s="37" t="s">
        <v>56</v>
      </c>
      <c r="F1013" s="42">
        <v>45473</v>
      </c>
      <c r="G1013" s="37">
        <v>2024</v>
      </c>
      <c r="H1013" s="37" t="s">
        <v>23</v>
      </c>
      <c r="I1013" s="39" t="s">
        <v>34</v>
      </c>
      <c r="J1013" s="37">
        <v>20</v>
      </c>
      <c r="K1013" s="37">
        <v>0</v>
      </c>
      <c r="L1013" s="65" t="str">
        <f t="shared" si="90"/>
        <v/>
      </c>
      <c r="M1013" s="65" t="str">
        <f t="shared" si="91"/>
        <v/>
      </c>
      <c r="N1013" s="37" t="s">
        <v>25</v>
      </c>
      <c r="O1013" s="37" t="s">
        <v>25</v>
      </c>
      <c r="P1013" s="37">
        <v>0</v>
      </c>
      <c r="Q1013" s="37">
        <v>0</v>
      </c>
      <c r="R1013" s="37" t="s">
        <v>1307</v>
      </c>
      <c r="S1013" s="37"/>
    </row>
    <row r="1014" spans="1:19" x14ac:dyDescent="0.3">
      <c r="A1014" s="36">
        <v>262</v>
      </c>
      <c r="B1014" s="37" t="s">
        <v>1306</v>
      </c>
      <c r="C1014" s="37" t="s">
        <v>1303</v>
      </c>
      <c r="D1014" s="37" t="s">
        <v>21</v>
      </c>
      <c r="E1014" s="37" t="s">
        <v>56</v>
      </c>
      <c r="F1014" s="42">
        <v>45657</v>
      </c>
      <c r="G1014" s="37">
        <v>2024</v>
      </c>
      <c r="H1014" s="37" t="s">
        <v>27</v>
      </c>
      <c r="I1014" s="39" t="s">
        <v>36</v>
      </c>
      <c r="J1014" s="37">
        <v>20</v>
      </c>
      <c r="K1014" s="43">
        <v>0</v>
      </c>
      <c r="L1014" s="65" t="str">
        <f t="shared" si="90"/>
        <v/>
      </c>
      <c r="M1014" s="65" t="str">
        <f t="shared" si="91"/>
        <v/>
      </c>
      <c r="N1014" s="37" t="s">
        <v>25</v>
      </c>
      <c r="O1014" s="37" t="s">
        <v>25</v>
      </c>
      <c r="P1014" s="40">
        <v>0</v>
      </c>
      <c r="Q1014" s="40">
        <v>0</v>
      </c>
      <c r="R1014" s="37" t="s">
        <v>1308</v>
      </c>
      <c r="S1014" s="37"/>
    </row>
    <row r="1015" spans="1:19" x14ac:dyDescent="0.3">
      <c r="A1015" s="36">
        <v>263</v>
      </c>
      <c r="B1015" s="37" t="s">
        <v>1309</v>
      </c>
      <c r="C1015" s="37" t="s">
        <v>1303</v>
      </c>
      <c r="D1015" s="37" t="s">
        <v>39</v>
      </c>
      <c r="E1015" s="37" t="s">
        <v>22</v>
      </c>
      <c r="F1015" s="42">
        <v>45016</v>
      </c>
      <c r="G1015" s="37">
        <v>2023</v>
      </c>
      <c r="H1015" s="37" t="s">
        <v>40</v>
      </c>
      <c r="I1015" s="39" t="s">
        <v>30</v>
      </c>
      <c r="J1015" s="37">
        <v>100</v>
      </c>
      <c r="K1015" s="56">
        <v>100</v>
      </c>
      <c r="L1015" s="65">
        <f t="shared" ref="L1015:L1030" si="92">IFERROR(IF(OR(J1015=0,K1015=""),"",IF(E1015="Positivo",MIN(MAX(K1015/J1015,0),1.3),MIN(MAX(J1015/K1015,0),1.3))),"")</f>
        <v>1</v>
      </c>
      <c r="M1015" s="65">
        <f t="shared" ref="M1015:M1030" si="93">IFERROR(IF(OR(J1015=0,K1015=""),"",IF(E1015="Positivo",MAX(K1015/J1015,0),MAX(J1015/K1015,0))),"")</f>
        <v>1</v>
      </c>
      <c r="N1015" s="37" t="s">
        <v>25</v>
      </c>
      <c r="O1015" s="37" t="s">
        <v>25</v>
      </c>
      <c r="P1015" s="40">
        <v>0</v>
      </c>
      <c r="Q1015" s="40">
        <v>0</v>
      </c>
      <c r="R1015" s="37" t="s">
        <v>1310</v>
      </c>
      <c r="S1015" s="37"/>
    </row>
    <row r="1016" spans="1:19" x14ac:dyDescent="0.3">
      <c r="A1016" s="36">
        <v>263</v>
      </c>
      <c r="B1016" s="37" t="s">
        <v>1309</v>
      </c>
      <c r="C1016" s="37" t="s">
        <v>1303</v>
      </c>
      <c r="D1016" s="37" t="s">
        <v>39</v>
      </c>
      <c r="E1016" s="37" t="s">
        <v>22</v>
      </c>
      <c r="F1016" s="42">
        <v>45107</v>
      </c>
      <c r="G1016" s="37">
        <v>2023</v>
      </c>
      <c r="H1016" s="37" t="s">
        <v>23</v>
      </c>
      <c r="I1016" s="39" t="s">
        <v>30</v>
      </c>
      <c r="J1016" s="37">
        <v>100</v>
      </c>
      <c r="K1016" s="56">
        <v>100</v>
      </c>
      <c r="L1016" s="65">
        <f t="shared" si="92"/>
        <v>1</v>
      </c>
      <c r="M1016" s="65">
        <f t="shared" si="93"/>
        <v>1</v>
      </c>
      <c r="N1016" s="37" t="s">
        <v>25</v>
      </c>
      <c r="O1016" s="37" t="s">
        <v>25</v>
      </c>
      <c r="P1016" s="40">
        <v>0</v>
      </c>
      <c r="Q1016" s="40">
        <v>0</v>
      </c>
      <c r="R1016" s="37" t="s">
        <v>1311</v>
      </c>
      <c r="S1016" s="37"/>
    </row>
    <row r="1017" spans="1:19" x14ac:dyDescent="0.3">
      <c r="A1017" s="45">
        <v>263</v>
      </c>
      <c r="B1017" s="37" t="s">
        <v>1309</v>
      </c>
      <c r="C1017" s="37" t="s">
        <v>1303</v>
      </c>
      <c r="D1017" s="37" t="s">
        <v>39</v>
      </c>
      <c r="E1017" s="37" t="s">
        <v>22</v>
      </c>
      <c r="F1017" s="42">
        <v>45199</v>
      </c>
      <c r="G1017" s="37">
        <v>2023</v>
      </c>
      <c r="H1017" s="37" t="s">
        <v>43</v>
      </c>
      <c r="I1017" s="39" t="s">
        <v>32</v>
      </c>
      <c r="J1017" s="37">
        <v>100</v>
      </c>
      <c r="K1017" s="56">
        <v>100</v>
      </c>
      <c r="L1017" s="65">
        <f t="shared" si="92"/>
        <v>1</v>
      </c>
      <c r="M1017" s="65">
        <f t="shared" si="93"/>
        <v>1</v>
      </c>
      <c r="N1017" s="37" t="s">
        <v>25</v>
      </c>
      <c r="O1017" s="37" t="s">
        <v>25</v>
      </c>
      <c r="P1017" s="40">
        <v>0</v>
      </c>
      <c r="Q1017" s="40">
        <v>0</v>
      </c>
      <c r="R1017" s="37" t="s">
        <v>1312</v>
      </c>
      <c r="S1017" s="37"/>
    </row>
    <row r="1018" spans="1:19" x14ac:dyDescent="0.3">
      <c r="A1018" s="41">
        <v>263</v>
      </c>
      <c r="B1018" s="37" t="s">
        <v>1309</v>
      </c>
      <c r="C1018" s="37" t="s">
        <v>1303</v>
      </c>
      <c r="D1018" s="37" t="s">
        <v>39</v>
      </c>
      <c r="E1018" s="37" t="s">
        <v>22</v>
      </c>
      <c r="F1018" s="42">
        <v>45291</v>
      </c>
      <c r="G1018" s="37">
        <v>2023</v>
      </c>
      <c r="H1018" s="37" t="s">
        <v>27</v>
      </c>
      <c r="I1018" s="39" t="s">
        <v>32</v>
      </c>
      <c r="J1018" s="37">
        <v>100</v>
      </c>
      <c r="K1018" s="56">
        <v>100</v>
      </c>
      <c r="L1018" s="65">
        <f t="shared" si="92"/>
        <v>1</v>
      </c>
      <c r="M1018" s="65">
        <f t="shared" si="93"/>
        <v>1</v>
      </c>
      <c r="N1018" s="37" t="s">
        <v>25</v>
      </c>
      <c r="O1018" s="37" t="s">
        <v>25</v>
      </c>
      <c r="P1018" s="40">
        <v>0</v>
      </c>
      <c r="Q1018" s="40">
        <v>0</v>
      </c>
      <c r="R1018" s="37" t="s">
        <v>1313</v>
      </c>
      <c r="S1018" s="37"/>
    </row>
    <row r="1019" spans="1:19" x14ac:dyDescent="0.3">
      <c r="A1019" s="36">
        <v>263</v>
      </c>
      <c r="B1019" s="37" t="s">
        <v>1309</v>
      </c>
      <c r="C1019" s="37" t="s">
        <v>1303</v>
      </c>
      <c r="D1019" s="37" t="s">
        <v>39</v>
      </c>
      <c r="E1019" s="37" t="s">
        <v>22</v>
      </c>
      <c r="F1019" s="42">
        <v>45382</v>
      </c>
      <c r="G1019" s="37">
        <v>2024</v>
      </c>
      <c r="H1019" s="37" t="s">
        <v>40</v>
      </c>
      <c r="I1019" s="39" t="s">
        <v>34</v>
      </c>
      <c r="J1019" s="37">
        <v>100</v>
      </c>
      <c r="K1019" s="43">
        <v>100</v>
      </c>
      <c r="L1019" s="65">
        <f t="shared" si="92"/>
        <v>1</v>
      </c>
      <c r="M1019" s="65">
        <f t="shared" si="93"/>
        <v>1</v>
      </c>
      <c r="N1019" s="37" t="s">
        <v>25</v>
      </c>
      <c r="O1019" s="37" t="s">
        <v>25</v>
      </c>
      <c r="P1019" s="40">
        <v>0</v>
      </c>
      <c r="Q1019" s="40">
        <v>0</v>
      </c>
      <c r="R1019" s="37" t="s">
        <v>1314</v>
      </c>
      <c r="S1019" s="37"/>
    </row>
    <row r="1020" spans="1:19" x14ac:dyDescent="0.3">
      <c r="A1020" s="37">
        <v>263</v>
      </c>
      <c r="B1020" s="37" t="s">
        <v>1309</v>
      </c>
      <c r="C1020" s="37" t="s">
        <v>1303</v>
      </c>
      <c r="D1020" s="37" t="s">
        <v>39</v>
      </c>
      <c r="E1020" s="37" t="s">
        <v>22</v>
      </c>
      <c r="F1020" s="42">
        <v>45473</v>
      </c>
      <c r="G1020" s="37">
        <v>2024</v>
      </c>
      <c r="H1020" s="37" t="s">
        <v>23</v>
      </c>
      <c r="I1020" s="39" t="s">
        <v>34</v>
      </c>
      <c r="J1020" s="37">
        <v>100</v>
      </c>
      <c r="K1020" s="37">
        <v>100</v>
      </c>
      <c r="L1020" s="65">
        <f t="shared" si="92"/>
        <v>1</v>
      </c>
      <c r="M1020" s="65">
        <f t="shared" si="93"/>
        <v>1</v>
      </c>
      <c r="N1020" s="37" t="s">
        <v>25</v>
      </c>
      <c r="O1020" s="37" t="s">
        <v>25</v>
      </c>
      <c r="P1020" s="37">
        <v>0</v>
      </c>
      <c r="Q1020" s="37">
        <v>0</v>
      </c>
      <c r="R1020" s="37" t="s">
        <v>1315</v>
      </c>
      <c r="S1020" s="37"/>
    </row>
    <row r="1021" spans="1:19" x14ac:dyDescent="0.3">
      <c r="A1021" s="36">
        <v>263</v>
      </c>
      <c r="B1021" s="37" t="s">
        <v>1309</v>
      </c>
      <c r="C1021" s="37" t="s">
        <v>1303</v>
      </c>
      <c r="D1021" s="37" t="s">
        <v>39</v>
      </c>
      <c r="E1021" s="37" t="s">
        <v>22</v>
      </c>
      <c r="F1021" s="42">
        <v>45565</v>
      </c>
      <c r="G1021" s="37">
        <v>2024</v>
      </c>
      <c r="H1021" s="37" t="s">
        <v>43</v>
      </c>
      <c r="I1021" s="39" t="s">
        <v>36</v>
      </c>
      <c r="J1021" s="37">
        <v>100</v>
      </c>
      <c r="K1021" s="43">
        <v>100</v>
      </c>
      <c r="L1021" s="65">
        <f t="shared" si="92"/>
        <v>1</v>
      </c>
      <c r="M1021" s="65">
        <f t="shared" si="93"/>
        <v>1</v>
      </c>
      <c r="N1021" s="37" t="s">
        <v>25</v>
      </c>
      <c r="O1021" s="37" t="s">
        <v>25</v>
      </c>
      <c r="P1021" s="40">
        <v>0</v>
      </c>
      <c r="Q1021" s="40">
        <v>0</v>
      </c>
      <c r="R1021" s="37" t="s">
        <v>1316</v>
      </c>
      <c r="S1021" s="37"/>
    </row>
    <row r="1022" spans="1:19" x14ac:dyDescent="0.3">
      <c r="A1022" s="36">
        <v>263</v>
      </c>
      <c r="B1022" s="37" t="s">
        <v>1309</v>
      </c>
      <c r="C1022" s="37" t="s">
        <v>1303</v>
      </c>
      <c r="D1022" s="37" t="s">
        <v>39</v>
      </c>
      <c r="E1022" s="37" t="s">
        <v>22</v>
      </c>
      <c r="F1022" s="42">
        <v>45657</v>
      </c>
      <c r="G1022" s="37">
        <v>2024</v>
      </c>
      <c r="H1022" s="37" t="s">
        <v>27</v>
      </c>
      <c r="I1022" s="39" t="s">
        <v>36</v>
      </c>
      <c r="J1022" s="37">
        <v>100</v>
      </c>
      <c r="K1022" s="43">
        <v>100</v>
      </c>
      <c r="L1022" s="65">
        <f t="shared" si="92"/>
        <v>1</v>
      </c>
      <c r="M1022" s="65">
        <f t="shared" si="93"/>
        <v>1</v>
      </c>
      <c r="N1022" s="37" t="s">
        <v>25</v>
      </c>
      <c r="O1022" s="37" t="s">
        <v>25</v>
      </c>
      <c r="P1022" s="40">
        <v>0</v>
      </c>
      <c r="Q1022" s="40">
        <v>0</v>
      </c>
      <c r="R1022" s="37" t="s">
        <v>1317</v>
      </c>
      <c r="S1022" s="37"/>
    </row>
    <row r="1023" spans="1:19" x14ac:dyDescent="0.3">
      <c r="A1023" s="36">
        <v>264</v>
      </c>
      <c r="B1023" s="37" t="s">
        <v>1318</v>
      </c>
      <c r="C1023" s="37" t="s">
        <v>1303</v>
      </c>
      <c r="D1023" s="37" t="s">
        <v>21</v>
      </c>
      <c r="E1023" s="37" t="s">
        <v>22</v>
      </c>
      <c r="F1023" s="38">
        <v>45107</v>
      </c>
      <c r="G1023" s="37">
        <v>2023</v>
      </c>
      <c r="H1023" s="37" t="s">
        <v>23</v>
      </c>
      <c r="I1023" s="39" t="s">
        <v>30</v>
      </c>
      <c r="J1023" s="37">
        <v>100</v>
      </c>
      <c r="K1023" s="56">
        <v>100</v>
      </c>
      <c r="L1023" s="65">
        <f t="shared" si="92"/>
        <v>1</v>
      </c>
      <c r="M1023" s="65">
        <f t="shared" si="93"/>
        <v>1</v>
      </c>
      <c r="N1023" s="37" t="s">
        <v>25</v>
      </c>
      <c r="O1023" s="37" t="s">
        <v>25</v>
      </c>
      <c r="P1023" s="40">
        <v>0</v>
      </c>
      <c r="Q1023" s="40">
        <v>0</v>
      </c>
      <c r="R1023" s="37" t="s">
        <v>1319</v>
      </c>
      <c r="S1023" s="37"/>
    </row>
    <row r="1024" spans="1:19" x14ac:dyDescent="0.3">
      <c r="A1024" s="41">
        <v>264</v>
      </c>
      <c r="B1024" s="37" t="s">
        <v>1318</v>
      </c>
      <c r="C1024" s="37" t="s">
        <v>1303</v>
      </c>
      <c r="D1024" s="37" t="s">
        <v>21</v>
      </c>
      <c r="E1024" s="37" t="s">
        <v>22</v>
      </c>
      <c r="F1024" s="42">
        <v>45291</v>
      </c>
      <c r="G1024" s="37">
        <v>2023</v>
      </c>
      <c r="H1024" s="37" t="s">
        <v>27</v>
      </c>
      <c r="I1024" s="39" t="s">
        <v>32</v>
      </c>
      <c r="J1024" s="37">
        <v>100</v>
      </c>
      <c r="K1024" s="56">
        <v>100</v>
      </c>
      <c r="L1024" s="65">
        <f t="shared" si="92"/>
        <v>1</v>
      </c>
      <c r="M1024" s="65">
        <f t="shared" si="93"/>
        <v>1</v>
      </c>
      <c r="N1024" s="37" t="s">
        <v>25</v>
      </c>
      <c r="O1024" s="37" t="s">
        <v>25</v>
      </c>
      <c r="P1024" s="40">
        <v>0</v>
      </c>
      <c r="Q1024" s="40">
        <v>0</v>
      </c>
      <c r="R1024" s="37" t="s">
        <v>1320</v>
      </c>
      <c r="S1024" s="37"/>
    </row>
    <row r="1025" spans="1:19" x14ac:dyDescent="0.3">
      <c r="A1025" s="37">
        <v>264</v>
      </c>
      <c r="B1025" s="37" t="s">
        <v>1321</v>
      </c>
      <c r="C1025" s="37" t="s">
        <v>1303</v>
      </c>
      <c r="D1025" s="37" t="s">
        <v>21</v>
      </c>
      <c r="E1025" s="37" t="s">
        <v>22</v>
      </c>
      <c r="F1025" s="42">
        <v>45473</v>
      </c>
      <c r="G1025" s="37">
        <v>2024</v>
      </c>
      <c r="H1025" s="37" t="s">
        <v>23</v>
      </c>
      <c r="I1025" s="39" t="s">
        <v>34</v>
      </c>
      <c r="J1025" s="37">
        <v>100</v>
      </c>
      <c r="K1025" s="37">
        <v>100</v>
      </c>
      <c r="L1025" s="65">
        <f t="shared" si="92"/>
        <v>1</v>
      </c>
      <c r="M1025" s="65">
        <f t="shared" si="93"/>
        <v>1</v>
      </c>
      <c r="N1025" s="37" t="s">
        <v>25</v>
      </c>
      <c r="O1025" s="37" t="s">
        <v>25</v>
      </c>
      <c r="P1025" s="37">
        <v>0</v>
      </c>
      <c r="Q1025" s="37">
        <v>0</v>
      </c>
      <c r="R1025" s="37" t="s">
        <v>1322</v>
      </c>
      <c r="S1025" s="37"/>
    </row>
    <row r="1026" spans="1:19" x14ac:dyDescent="0.3">
      <c r="A1026" s="36">
        <v>264</v>
      </c>
      <c r="B1026" s="37" t="s">
        <v>1321</v>
      </c>
      <c r="C1026" s="37" t="s">
        <v>1303</v>
      </c>
      <c r="D1026" s="37" t="s">
        <v>21</v>
      </c>
      <c r="E1026" s="37" t="s">
        <v>22</v>
      </c>
      <c r="F1026" s="42">
        <v>45657</v>
      </c>
      <c r="G1026" s="37">
        <v>2024</v>
      </c>
      <c r="H1026" s="37" t="s">
        <v>27</v>
      </c>
      <c r="I1026" s="39" t="s">
        <v>36</v>
      </c>
      <c r="J1026" s="37">
        <v>100</v>
      </c>
      <c r="K1026" s="43">
        <v>100</v>
      </c>
      <c r="L1026" s="65">
        <f t="shared" si="92"/>
        <v>1</v>
      </c>
      <c r="M1026" s="65">
        <f t="shared" si="93"/>
        <v>1</v>
      </c>
      <c r="N1026" s="37" t="s">
        <v>25</v>
      </c>
      <c r="O1026" s="37" t="s">
        <v>25</v>
      </c>
      <c r="P1026" s="40">
        <v>0</v>
      </c>
      <c r="Q1026" s="40">
        <v>0</v>
      </c>
      <c r="R1026" s="37" t="s">
        <v>1323</v>
      </c>
      <c r="S1026" s="37"/>
    </row>
    <row r="1027" spans="1:19" x14ac:dyDescent="0.3">
      <c r="A1027" s="36">
        <v>265</v>
      </c>
      <c r="B1027" s="37" t="s">
        <v>1324</v>
      </c>
      <c r="C1027" s="37" t="s">
        <v>1303</v>
      </c>
      <c r="D1027" s="37" t="s">
        <v>21</v>
      </c>
      <c r="E1027" s="37" t="s">
        <v>22</v>
      </c>
      <c r="F1027" s="38">
        <v>45107</v>
      </c>
      <c r="G1027" s="37">
        <v>2023</v>
      </c>
      <c r="H1027" s="37" t="s">
        <v>23</v>
      </c>
      <c r="I1027" s="39" t="s">
        <v>30</v>
      </c>
      <c r="J1027" s="37">
        <v>100</v>
      </c>
      <c r="K1027" s="56">
        <v>80</v>
      </c>
      <c r="L1027" s="65">
        <f t="shared" si="92"/>
        <v>0.8</v>
      </c>
      <c r="M1027" s="65">
        <f t="shared" si="93"/>
        <v>0.8</v>
      </c>
      <c r="N1027" s="37" t="s">
        <v>25</v>
      </c>
      <c r="O1027" s="37" t="s">
        <v>25</v>
      </c>
      <c r="P1027" s="40">
        <v>0</v>
      </c>
      <c r="Q1027" s="40">
        <v>0</v>
      </c>
      <c r="R1027" s="37" t="s">
        <v>1325</v>
      </c>
      <c r="S1027" s="37"/>
    </row>
    <row r="1028" spans="1:19" x14ac:dyDescent="0.3">
      <c r="A1028" s="41">
        <v>265</v>
      </c>
      <c r="B1028" s="37" t="s">
        <v>1324</v>
      </c>
      <c r="C1028" s="37" t="s">
        <v>1303</v>
      </c>
      <c r="D1028" s="37" t="s">
        <v>21</v>
      </c>
      <c r="E1028" s="37" t="s">
        <v>22</v>
      </c>
      <c r="F1028" s="42">
        <v>45291</v>
      </c>
      <c r="G1028" s="37">
        <v>2023</v>
      </c>
      <c r="H1028" s="37" t="s">
        <v>27</v>
      </c>
      <c r="I1028" s="39" t="s">
        <v>32</v>
      </c>
      <c r="J1028" s="37">
        <v>100</v>
      </c>
      <c r="K1028" s="56">
        <v>97.13</v>
      </c>
      <c r="L1028" s="65">
        <f t="shared" si="92"/>
        <v>0.97129999999999994</v>
      </c>
      <c r="M1028" s="65">
        <f t="shared" si="93"/>
        <v>0.97129999999999994</v>
      </c>
      <c r="N1028" s="37" t="s">
        <v>25</v>
      </c>
      <c r="O1028" s="37" t="s">
        <v>25</v>
      </c>
      <c r="P1028" s="40">
        <v>0</v>
      </c>
      <c r="Q1028" s="40">
        <v>0</v>
      </c>
      <c r="R1028" s="37" t="s">
        <v>1326</v>
      </c>
      <c r="S1028" s="37"/>
    </row>
    <row r="1029" spans="1:19" x14ac:dyDescent="0.3">
      <c r="A1029" s="37">
        <v>265</v>
      </c>
      <c r="B1029" s="37" t="s">
        <v>1327</v>
      </c>
      <c r="C1029" s="37" t="s">
        <v>1303</v>
      </c>
      <c r="D1029" s="37" t="s">
        <v>21</v>
      </c>
      <c r="E1029" s="37" t="s">
        <v>22</v>
      </c>
      <c r="F1029" s="42">
        <v>45473</v>
      </c>
      <c r="G1029" s="37">
        <v>2024</v>
      </c>
      <c r="H1029" s="37" t="s">
        <v>23</v>
      </c>
      <c r="I1029" s="39" t="s">
        <v>34</v>
      </c>
      <c r="J1029" s="37">
        <v>95</v>
      </c>
      <c r="K1029" s="37">
        <v>100</v>
      </c>
      <c r="L1029" s="65">
        <f t="shared" si="92"/>
        <v>1.0526315789473684</v>
      </c>
      <c r="M1029" s="65">
        <f t="shared" si="93"/>
        <v>1.0526315789473684</v>
      </c>
      <c r="N1029" s="37" t="s">
        <v>25</v>
      </c>
      <c r="O1029" s="37" t="s">
        <v>25</v>
      </c>
      <c r="P1029" s="37">
        <v>0</v>
      </c>
      <c r="Q1029" s="37">
        <v>0</v>
      </c>
      <c r="R1029" s="37" t="s">
        <v>1328</v>
      </c>
      <c r="S1029" s="37"/>
    </row>
    <row r="1030" spans="1:19" x14ac:dyDescent="0.3">
      <c r="A1030" s="36">
        <v>265</v>
      </c>
      <c r="B1030" s="37" t="s">
        <v>1327</v>
      </c>
      <c r="C1030" s="37" t="s">
        <v>1303</v>
      </c>
      <c r="D1030" s="37" t="s">
        <v>21</v>
      </c>
      <c r="E1030" s="37" t="s">
        <v>22</v>
      </c>
      <c r="F1030" s="42">
        <v>45657</v>
      </c>
      <c r="G1030" s="37">
        <v>2024</v>
      </c>
      <c r="H1030" s="37" t="s">
        <v>27</v>
      </c>
      <c r="I1030" s="39" t="s">
        <v>36</v>
      </c>
      <c r="J1030" s="37">
        <v>95</v>
      </c>
      <c r="K1030" s="43">
        <v>100</v>
      </c>
      <c r="L1030" s="65">
        <f t="shared" si="92"/>
        <v>1.0526315789473684</v>
      </c>
      <c r="M1030" s="65">
        <f t="shared" si="93"/>
        <v>1.0526315789473684</v>
      </c>
      <c r="N1030" s="37" t="s">
        <v>25</v>
      </c>
      <c r="O1030" s="37" t="s">
        <v>25</v>
      </c>
      <c r="P1030" s="40">
        <v>0</v>
      </c>
      <c r="Q1030" s="40">
        <v>0</v>
      </c>
      <c r="R1030" s="37" t="s">
        <v>1329</v>
      </c>
      <c r="S1030" s="37"/>
    </row>
    <row r="1031" spans="1:19" x14ac:dyDescent="0.3">
      <c r="A1031" s="36">
        <v>266</v>
      </c>
      <c r="B1031" s="37" t="s">
        <v>1330</v>
      </c>
      <c r="C1031" s="37" t="s">
        <v>1303</v>
      </c>
      <c r="D1031" s="12" t="s">
        <v>21</v>
      </c>
      <c r="E1031" s="37" t="s">
        <v>22</v>
      </c>
      <c r="F1031" s="42">
        <v>45107</v>
      </c>
      <c r="G1031" s="37">
        <v>2023</v>
      </c>
      <c r="H1031" s="37" t="s">
        <v>23</v>
      </c>
      <c r="I1031" s="39" t="s">
        <v>30</v>
      </c>
      <c r="J1031" s="37">
        <v>95</v>
      </c>
      <c r="K1031" s="56">
        <v>89.907038512615998</v>
      </c>
      <c r="L1031" s="65">
        <f t="shared" ref="L1031:L1034" si="94">IFERROR(IF(OR(J1031=0,K1031=""),"",IF(E1031="Positivo",MIN(MAX(K1031/J1031,0),1.3),MIN(MAX(J1031/K1031,0),1.3))),"")</f>
        <v>0.94638987908016836</v>
      </c>
      <c r="M1031" s="65">
        <f t="shared" ref="M1031:M1034" si="95">IFERROR(IF(OR(J1031=0,K1031=""),"",IF(E1031="Positivo",MAX(K1031/J1031,0),MAX(J1031/K1031,0))),"")</f>
        <v>0.94638987908016836</v>
      </c>
      <c r="N1031" s="37" t="s">
        <v>25</v>
      </c>
      <c r="O1031" s="37" t="s">
        <v>25</v>
      </c>
      <c r="P1031" s="40">
        <v>0</v>
      </c>
      <c r="Q1031" s="40">
        <v>0</v>
      </c>
      <c r="R1031" s="37" t="s">
        <v>1331</v>
      </c>
      <c r="S1031" s="37"/>
    </row>
    <row r="1032" spans="1:19" x14ac:dyDescent="0.3">
      <c r="A1032" s="41">
        <v>266</v>
      </c>
      <c r="B1032" s="37" t="s">
        <v>1330</v>
      </c>
      <c r="C1032" s="37" t="s">
        <v>1303</v>
      </c>
      <c r="D1032" s="37" t="s">
        <v>21</v>
      </c>
      <c r="E1032" s="37" t="s">
        <v>22</v>
      </c>
      <c r="F1032" s="42">
        <v>45291</v>
      </c>
      <c r="G1032" s="37">
        <v>2023</v>
      </c>
      <c r="H1032" s="37" t="s">
        <v>27</v>
      </c>
      <c r="I1032" s="39" t="s">
        <v>32</v>
      </c>
      <c r="J1032" s="37">
        <v>95</v>
      </c>
      <c r="K1032" s="56">
        <v>97.07</v>
      </c>
      <c r="L1032" s="65">
        <f t="shared" si="94"/>
        <v>1.0217894736842104</v>
      </c>
      <c r="M1032" s="65">
        <f t="shared" si="95"/>
        <v>1.0217894736842104</v>
      </c>
      <c r="N1032" s="37" t="s">
        <v>25</v>
      </c>
      <c r="O1032" s="37" t="s">
        <v>25</v>
      </c>
      <c r="P1032" s="40">
        <v>0</v>
      </c>
      <c r="Q1032" s="40">
        <v>0</v>
      </c>
      <c r="R1032" s="37" t="s">
        <v>1332</v>
      </c>
      <c r="S1032" s="37"/>
    </row>
    <row r="1033" spans="1:19" x14ac:dyDescent="0.3">
      <c r="A1033" s="37">
        <v>266</v>
      </c>
      <c r="B1033" s="37" t="s">
        <v>1330</v>
      </c>
      <c r="C1033" s="37" t="s">
        <v>1303</v>
      </c>
      <c r="D1033" s="37" t="s">
        <v>21</v>
      </c>
      <c r="E1033" s="37" t="s">
        <v>22</v>
      </c>
      <c r="F1033" s="42">
        <v>45473</v>
      </c>
      <c r="G1033" s="37">
        <v>2024</v>
      </c>
      <c r="H1033" s="37" t="s">
        <v>23</v>
      </c>
      <c r="I1033" s="39" t="s">
        <v>34</v>
      </c>
      <c r="J1033" s="37">
        <v>95</v>
      </c>
      <c r="K1033" s="37">
        <v>95.02</v>
      </c>
      <c r="L1033" s="65">
        <f t="shared" si="94"/>
        <v>1.0002105263157894</v>
      </c>
      <c r="M1033" s="65">
        <f t="shared" si="95"/>
        <v>1.0002105263157894</v>
      </c>
      <c r="N1033" s="37" t="s">
        <v>25</v>
      </c>
      <c r="O1033" s="37" t="s">
        <v>25</v>
      </c>
      <c r="P1033" s="37">
        <v>0</v>
      </c>
      <c r="Q1033" s="37">
        <v>0</v>
      </c>
      <c r="R1033" s="37" t="s">
        <v>1333</v>
      </c>
      <c r="S1033" s="37"/>
    </row>
    <row r="1034" spans="1:19" x14ac:dyDescent="0.3">
      <c r="A1034" s="36">
        <v>266</v>
      </c>
      <c r="B1034" s="37" t="s">
        <v>1330</v>
      </c>
      <c r="C1034" s="37" t="s">
        <v>1303</v>
      </c>
      <c r="D1034" s="37" t="s">
        <v>21</v>
      </c>
      <c r="E1034" s="37" t="s">
        <v>22</v>
      </c>
      <c r="F1034" s="42">
        <v>45657</v>
      </c>
      <c r="G1034" s="37">
        <v>2024</v>
      </c>
      <c r="H1034" s="37" t="s">
        <v>27</v>
      </c>
      <c r="I1034" s="39" t="s">
        <v>36</v>
      </c>
      <c r="J1034" s="37">
        <v>95</v>
      </c>
      <c r="K1034" s="43">
        <v>81.93</v>
      </c>
      <c r="L1034" s="65">
        <f t="shared" si="94"/>
        <v>0.86242105263157898</v>
      </c>
      <c r="M1034" s="65">
        <f t="shared" si="95"/>
        <v>0.86242105263157898</v>
      </c>
      <c r="N1034" s="37" t="s">
        <v>25</v>
      </c>
      <c r="O1034" s="37" t="s">
        <v>25</v>
      </c>
      <c r="P1034" s="40">
        <v>0</v>
      </c>
      <c r="Q1034" s="40">
        <v>0</v>
      </c>
      <c r="R1034" s="37" t="s">
        <v>1334</v>
      </c>
      <c r="S1034" s="37"/>
    </row>
    <row r="1035" spans="1:19" x14ac:dyDescent="0.3">
      <c r="A1035" s="36">
        <v>268</v>
      </c>
      <c r="B1035" s="37" t="s">
        <v>1335</v>
      </c>
      <c r="C1035" s="37" t="s">
        <v>1336</v>
      </c>
      <c r="D1035" s="37" t="s">
        <v>21</v>
      </c>
      <c r="E1035" s="37" t="s">
        <v>22</v>
      </c>
      <c r="F1035" s="38">
        <v>45107</v>
      </c>
      <c r="G1035" s="37">
        <v>2023</v>
      </c>
      <c r="H1035" s="37" t="s">
        <v>23</v>
      </c>
      <c r="I1035" s="39" t="s">
        <v>30</v>
      </c>
      <c r="J1035" s="37">
        <v>0</v>
      </c>
      <c r="K1035" s="56">
        <v>661</v>
      </c>
      <c r="L1035" s="65" t="str">
        <f t="shared" ref="L1035:L1038" si="96">IFERROR(IF(OR(J1035=0,K1035=""),"",IF(E1035="Positivo",MIN(MAX(K1035/J1035,0),1.3),MIN(MAX(J1035/K1035,0),1.3))),"")</f>
        <v/>
      </c>
      <c r="M1035" s="65" t="str">
        <f t="shared" ref="M1035:M1038" si="97">IFERROR(IF(OR(J1035=0,K1035=""),"",IF(E1035="Positivo",MAX(K1035/J1035,0),MAX(J1035/K1035,0))),"")</f>
        <v/>
      </c>
      <c r="N1035" s="37"/>
      <c r="O1035" s="37" t="s">
        <v>203</v>
      </c>
      <c r="P1035" s="40">
        <v>0</v>
      </c>
      <c r="Q1035" s="40">
        <v>0</v>
      </c>
      <c r="R1035" s="37" t="s">
        <v>1337</v>
      </c>
      <c r="S1035" s="37"/>
    </row>
    <row r="1036" spans="1:19" x14ac:dyDescent="0.3">
      <c r="A1036" s="41">
        <v>268</v>
      </c>
      <c r="B1036" s="37" t="s">
        <v>1335</v>
      </c>
      <c r="C1036" s="37" t="s">
        <v>1336</v>
      </c>
      <c r="D1036" s="37" t="s">
        <v>21</v>
      </c>
      <c r="E1036" s="37" t="s">
        <v>22</v>
      </c>
      <c r="F1036" s="42">
        <v>45291</v>
      </c>
      <c r="G1036" s="37">
        <v>2023</v>
      </c>
      <c r="H1036" s="37" t="s">
        <v>27</v>
      </c>
      <c r="I1036" s="39" t="s">
        <v>32</v>
      </c>
      <c r="J1036" s="37">
        <v>0</v>
      </c>
      <c r="K1036" s="56">
        <v>727</v>
      </c>
      <c r="L1036" s="65" t="str">
        <f t="shared" si="96"/>
        <v/>
      </c>
      <c r="M1036" s="65" t="str">
        <f t="shared" si="97"/>
        <v/>
      </c>
      <c r="N1036" s="37"/>
      <c r="O1036" s="37" t="s">
        <v>203</v>
      </c>
      <c r="P1036" s="40">
        <v>0</v>
      </c>
      <c r="Q1036" s="40">
        <v>0</v>
      </c>
      <c r="R1036" s="37" t="s">
        <v>1338</v>
      </c>
      <c r="S1036" s="37"/>
    </row>
    <row r="1037" spans="1:19" x14ac:dyDescent="0.3">
      <c r="A1037" s="37">
        <v>268</v>
      </c>
      <c r="B1037" s="37" t="s">
        <v>1335</v>
      </c>
      <c r="C1037" s="37" t="s">
        <v>1336</v>
      </c>
      <c r="D1037" s="37" t="s">
        <v>21</v>
      </c>
      <c r="E1037" s="37" t="s">
        <v>22</v>
      </c>
      <c r="F1037" s="42">
        <v>45473</v>
      </c>
      <c r="G1037" s="37">
        <v>2024</v>
      </c>
      <c r="H1037" s="37" t="s">
        <v>23</v>
      </c>
      <c r="I1037" s="39" t="s">
        <v>34</v>
      </c>
      <c r="J1037" s="37">
        <v>0</v>
      </c>
      <c r="K1037" s="37">
        <v>743</v>
      </c>
      <c r="L1037" s="65" t="str">
        <f t="shared" si="96"/>
        <v/>
      </c>
      <c r="M1037" s="65" t="str">
        <f t="shared" si="97"/>
        <v/>
      </c>
      <c r="N1037" s="37"/>
      <c r="O1037" s="37" t="s">
        <v>203</v>
      </c>
      <c r="P1037" s="37">
        <v>0</v>
      </c>
      <c r="Q1037" s="37">
        <v>0</v>
      </c>
      <c r="R1037" s="37" t="s">
        <v>1339</v>
      </c>
      <c r="S1037" s="37"/>
    </row>
    <row r="1038" spans="1:19" x14ac:dyDescent="0.3">
      <c r="A1038" s="36">
        <v>268</v>
      </c>
      <c r="B1038" s="37" t="s">
        <v>1335</v>
      </c>
      <c r="C1038" s="37" t="s">
        <v>1336</v>
      </c>
      <c r="D1038" s="37" t="s">
        <v>21</v>
      </c>
      <c r="E1038" s="37" t="s">
        <v>22</v>
      </c>
      <c r="F1038" s="42">
        <v>45657</v>
      </c>
      <c r="G1038" s="37">
        <v>2024</v>
      </c>
      <c r="H1038" s="37" t="s">
        <v>27</v>
      </c>
      <c r="I1038" s="39" t="s">
        <v>36</v>
      </c>
      <c r="J1038" s="37">
        <v>0</v>
      </c>
      <c r="K1038" s="43">
        <v>732</v>
      </c>
      <c r="L1038" s="65" t="str">
        <f t="shared" si="96"/>
        <v/>
      </c>
      <c r="M1038" s="65" t="str">
        <f t="shared" si="97"/>
        <v/>
      </c>
      <c r="N1038" s="37"/>
      <c r="O1038" s="37" t="s">
        <v>203</v>
      </c>
      <c r="P1038" s="40">
        <v>0</v>
      </c>
      <c r="Q1038" s="40">
        <v>0</v>
      </c>
      <c r="R1038" s="37" t="s">
        <v>1340</v>
      </c>
      <c r="S1038" s="37"/>
    </row>
    <row r="1039" spans="1:19" x14ac:dyDescent="0.3">
      <c r="A1039" s="36">
        <v>269</v>
      </c>
      <c r="B1039" s="37" t="s">
        <v>1342</v>
      </c>
      <c r="C1039" s="37" t="s">
        <v>1336</v>
      </c>
      <c r="D1039" s="37" t="s">
        <v>21</v>
      </c>
      <c r="E1039" s="37" t="s">
        <v>22</v>
      </c>
      <c r="F1039" s="38">
        <v>45107</v>
      </c>
      <c r="G1039" s="37">
        <v>2023</v>
      </c>
      <c r="H1039" s="37" t="s">
        <v>23</v>
      </c>
      <c r="I1039" s="39" t="s">
        <v>30</v>
      </c>
      <c r="J1039" s="37"/>
      <c r="K1039" s="56">
        <v>0.4</v>
      </c>
      <c r="L1039" s="46"/>
      <c r="M1039" s="65"/>
      <c r="N1039" s="37"/>
      <c r="O1039" s="37" t="s">
        <v>197</v>
      </c>
      <c r="P1039" s="40">
        <v>2</v>
      </c>
      <c r="Q1039" s="40">
        <v>2</v>
      </c>
      <c r="R1039" s="37" t="s">
        <v>1343</v>
      </c>
      <c r="S1039" s="37"/>
    </row>
    <row r="1040" spans="1:19" x14ac:dyDescent="0.3">
      <c r="A1040" s="41">
        <v>269</v>
      </c>
      <c r="B1040" s="37" t="s">
        <v>1342</v>
      </c>
      <c r="C1040" s="37" t="s">
        <v>1336</v>
      </c>
      <c r="D1040" s="37" t="s">
        <v>21</v>
      </c>
      <c r="E1040" s="37" t="s">
        <v>22</v>
      </c>
      <c r="F1040" s="42">
        <v>45291</v>
      </c>
      <c r="G1040" s="37">
        <v>2023</v>
      </c>
      <c r="H1040" s="37" t="s">
        <v>27</v>
      </c>
      <c r="I1040" s="39" t="s">
        <v>32</v>
      </c>
      <c r="J1040" s="37"/>
      <c r="K1040" s="56">
        <v>1.2769784172661871</v>
      </c>
      <c r="L1040" s="46"/>
      <c r="M1040" s="65"/>
      <c r="N1040" s="37"/>
      <c r="O1040" s="37" t="s">
        <v>197</v>
      </c>
      <c r="P1040" s="40">
        <v>0</v>
      </c>
      <c r="Q1040" s="40">
        <v>0</v>
      </c>
      <c r="R1040" s="37" t="s">
        <v>1344</v>
      </c>
      <c r="S1040" s="37"/>
    </row>
    <row r="1041" spans="1:19" x14ac:dyDescent="0.3">
      <c r="A1041" s="37">
        <v>269</v>
      </c>
      <c r="B1041" s="37" t="s">
        <v>1342</v>
      </c>
      <c r="C1041" s="37" t="s">
        <v>1336</v>
      </c>
      <c r="D1041" s="37" t="s">
        <v>21</v>
      </c>
      <c r="E1041" s="37" t="s">
        <v>22</v>
      </c>
      <c r="F1041" s="42">
        <v>45473</v>
      </c>
      <c r="G1041" s="37">
        <v>2024</v>
      </c>
      <c r="H1041" s="37" t="s">
        <v>23</v>
      </c>
      <c r="I1041" s="39" t="s">
        <v>34</v>
      </c>
      <c r="J1041" s="37"/>
      <c r="K1041" s="37">
        <v>3</v>
      </c>
      <c r="L1041" s="65"/>
      <c r="M1041" s="65"/>
      <c r="N1041" s="37"/>
      <c r="O1041" s="37" t="s">
        <v>197</v>
      </c>
      <c r="P1041" s="37">
        <v>2</v>
      </c>
      <c r="Q1041" s="37">
        <v>2</v>
      </c>
      <c r="R1041" s="37" t="s">
        <v>1345</v>
      </c>
      <c r="S1041" s="37"/>
    </row>
    <row r="1042" spans="1:19" x14ac:dyDescent="0.3">
      <c r="A1042" s="36">
        <v>269</v>
      </c>
      <c r="B1042" s="37" t="s">
        <v>1342</v>
      </c>
      <c r="C1042" s="37" t="s">
        <v>1336</v>
      </c>
      <c r="D1042" s="37" t="s">
        <v>21</v>
      </c>
      <c r="E1042" s="37" t="s">
        <v>22</v>
      </c>
      <c r="F1042" s="42">
        <v>45657</v>
      </c>
      <c r="G1042" s="37">
        <v>2024</v>
      </c>
      <c r="H1042" s="37" t="s">
        <v>27</v>
      </c>
      <c r="I1042" s="39" t="s">
        <v>36</v>
      </c>
      <c r="J1042" s="37"/>
      <c r="K1042" s="43">
        <v>1.28</v>
      </c>
      <c r="L1042" s="65"/>
      <c r="M1042" s="65"/>
      <c r="N1042" s="37"/>
      <c r="O1042" s="37" t="s">
        <v>197</v>
      </c>
      <c r="P1042" s="40">
        <v>2</v>
      </c>
      <c r="Q1042" s="40">
        <v>2</v>
      </c>
      <c r="R1042" s="37" t="s">
        <v>1346</v>
      </c>
      <c r="S1042" s="37"/>
    </row>
    <row r="1043" spans="1:19" x14ac:dyDescent="0.3">
      <c r="A1043" s="36">
        <v>270</v>
      </c>
      <c r="B1043" s="37" t="s">
        <v>1348</v>
      </c>
      <c r="C1043" s="37" t="s">
        <v>1336</v>
      </c>
      <c r="D1043" s="37" t="s">
        <v>21</v>
      </c>
      <c r="E1043" s="37" t="s">
        <v>22</v>
      </c>
      <c r="F1043" s="38">
        <v>45107</v>
      </c>
      <c r="G1043" s="37">
        <v>2023</v>
      </c>
      <c r="H1043" s="37" t="s">
        <v>23</v>
      </c>
      <c r="I1043" s="39" t="s">
        <v>30</v>
      </c>
      <c r="J1043" s="37">
        <v>0</v>
      </c>
      <c r="K1043" s="56">
        <v>6.55</v>
      </c>
      <c r="L1043" s="65" t="str">
        <f t="shared" ref="L1043:L1050" si="98">IFERROR(IF(OR(J1043=0,K1043=""),"",IF(E1043="Positivo",MIN(MAX(K1043/J1043,0),1.3),MIN(MAX(J1043/K1043,0),1.3))),"")</f>
        <v/>
      </c>
      <c r="M1043" s="65" t="str">
        <f t="shared" ref="M1043:M1050" si="99">IFERROR(IF(OR(J1043=0,K1043=""),"",IF(E1043="Positivo",MAX(K1043/J1043,0),MAX(J1043/K1043,0))),"")</f>
        <v/>
      </c>
      <c r="N1043" s="37" t="s">
        <v>197</v>
      </c>
      <c r="O1043" s="37" t="s">
        <v>197</v>
      </c>
      <c r="P1043" s="40">
        <v>0</v>
      </c>
      <c r="Q1043" s="40">
        <v>0</v>
      </c>
      <c r="R1043" s="37" t="s">
        <v>1349</v>
      </c>
      <c r="S1043" s="37"/>
    </row>
    <row r="1044" spans="1:19" x14ac:dyDescent="0.3">
      <c r="A1044" s="41">
        <v>270</v>
      </c>
      <c r="B1044" s="37" t="s">
        <v>1348</v>
      </c>
      <c r="C1044" s="37" t="s">
        <v>1336</v>
      </c>
      <c r="D1044" s="37" t="s">
        <v>21</v>
      </c>
      <c r="E1044" s="37" t="s">
        <v>22</v>
      </c>
      <c r="F1044" s="42">
        <v>45291</v>
      </c>
      <c r="G1044" s="37">
        <v>2023</v>
      </c>
      <c r="H1044" s="37" t="s">
        <v>27</v>
      </c>
      <c r="I1044" s="39" t="s">
        <v>32</v>
      </c>
      <c r="J1044" s="37">
        <v>0</v>
      </c>
      <c r="K1044" s="56">
        <v>3.83</v>
      </c>
      <c r="L1044" s="65" t="str">
        <f t="shared" si="98"/>
        <v/>
      </c>
      <c r="M1044" s="65" t="str">
        <f t="shared" si="99"/>
        <v/>
      </c>
      <c r="N1044" s="37" t="s">
        <v>197</v>
      </c>
      <c r="O1044" s="37" t="s">
        <v>197</v>
      </c>
      <c r="P1044" s="40">
        <v>0</v>
      </c>
      <c r="Q1044" s="40">
        <v>0</v>
      </c>
      <c r="R1044" s="37" t="s">
        <v>1350</v>
      </c>
      <c r="S1044" s="37"/>
    </row>
    <row r="1045" spans="1:19" x14ac:dyDescent="0.3">
      <c r="A1045" s="37">
        <v>270</v>
      </c>
      <c r="B1045" s="37" t="s">
        <v>1348</v>
      </c>
      <c r="C1045" s="37" t="s">
        <v>1336</v>
      </c>
      <c r="D1045" s="37" t="s">
        <v>21</v>
      </c>
      <c r="E1045" s="37" t="s">
        <v>22</v>
      </c>
      <c r="F1045" s="42">
        <v>45473</v>
      </c>
      <c r="G1045" s="37">
        <v>2024</v>
      </c>
      <c r="H1045" s="37" t="s">
        <v>23</v>
      </c>
      <c r="I1045" s="39" t="s">
        <v>34</v>
      </c>
      <c r="J1045" s="37">
        <v>0</v>
      </c>
      <c r="K1045" s="37">
        <v>4.88</v>
      </c>
      <c r="L1045" s="65" t="str">
        <f t="shared" si="98"/>
        <v/>
      </c>
      <c r="M1045" s="65" t="str">
        <f t="shared" si="99"/>
        <v/>
      </c>
      <c r="N1045" s="37">
        <v>0</v>
      </c>
      <c r="O1045" s="37" t="s">
        <v>203</v>
      </c>
      <c r="P1045" s="37">
        <v>1</v>
      </c>
      <c r="Q1045" s="37">
        <v>1</v>
      </c>
      <c r="R1045" s="37" t="s">
        <v>1351</v>
      </c>
      <c r="S1045" s="37"/>
    </row>
    <row r="1046" spans="1:19" x14ac:dyDescent="0.3">
      <c r="A1046" s="36">
        <v>270</v>
      </c>
      <c r="B1046" s="37" t="s">
        <v>1348</v>
      </c>
      <c r="C1046" s="37" t="s">
        <v>1336</v>
      </c>
      <c r="D1046" s="37" t="s">
        <v>21</v>
      </c>
      <c r="E1046" s="37" t="s">
        <v>22</v>
      </c>
      <c r="F1046" s="42">
        <v>45657</v>
      </c>
      <c r="G1046" s="37">
        <v>2024</v>
      </c>
      <c r="H1046" s="37" t="s">
        <v>27</v>
      </c>
      <c r="I1046" s="39" t="s">
        <v>36</v>
      </c>
      <c r="J1046" s="37">
        <v>0</v>
      </c>
      <c r="K1046" s="43">
        <v>4.57</v>
      </c>
      <c r="L1046" s="65" t="str">
        <f t="shared" si="98"/>
        <v/>
      </c>
      <c r="M1046" s="65" t="str">
        <f t="shared" si="99"/>
        <v/>
      </c>
      <c r="N1046" s="37">
        <v>0</v>
      </c>
      <c r="O1046" s="37" t="s">
        <v>203</v>
      </c>
      <c r="P1046" s="40">
        <v>1</v>
      </c>
      <c r="Q1046" s="40">
        <v>1</v>
      </c>
      <c r="R1046" s="37" t="s">
        <v>1352</v>
      </c>
      <c r="S1046" s="37"/>
    </row>
    <row r="1047" spans="1:19" x14ac:dyDescent="0.3">
      <c r="A1047" s="36">
        <v>271</v>
      </c>
      <c r="B1047" s="37" t="s">
        <v>1354</v>
      </c>
      <c r="C1047" s="37" t="s">
        <v>1336</v>
      </c>
      <c r="D1047" s="37" t="s">
        <v>21</v>
      </c>
      <c r="E1047" s="37" t="s">
        <v>22</v>
      </c>
      <c r="F1047" s="38">
        <v>45107</v>
      </c>
      <c r="G1047" s="37">
        <v>2023</v>
      </c>
      <c r="H1047" s="37" t="s">
        <v>23</v>
      </c>
      <c r="I1047" s="39" t="s">
        <v>30</v>
      </c>
      <c r="J1047" s="37">
        <v>0</v>
      </c>
      <c r="K1047" s="56">
        <v>63.291139240506332</v>
      </c>
      <c r="L1047" s="65" t="str">
        <f t="shared" si="98"/>
        <v/>
      </c>
      <c r="M1047" s="65" t="str">
        <f t="shared" si="99"/>
        <v/>
      </c>
      <c r="N1047" s="37">
        <v>0</v>
      </c>
      <c r="O1047" s="37" t="s">
        <v>203</v>
      </c>
      <c r="P1047" s="40">
        <v>0</v>
      </c>
      <c r="Q1047" s="40">
        <v>0</v>
      </c>
      <c r="R1047" s="37" t="s">
        <v>1355</v>
      </c>
      <c r="S1047" s="37"/>
    </row>
    <row r="1048" spans="1:19" x14ac:dyDescent="0.3">
      <c r="A1048" s="41">
        <v>271</v>
      </c>
      <c r="B1048" s="37" t="s">
        <v>1354</v>
      </c>
      <c r="C1048" s="37" t="s">
        <v>1336</v>
      </c>
      <c r="D1048" s="37" t="s">
        <v>21</v>
      </c>
      <c r="E1048" s="37" t="s">
        <v>22</v>
      </c>
      <c r="F1048" s="42">
        <v>45291</v>
      </c>
      <c r="G1048" s="37">
        <v>2023</v>
      </c>
      <c r="H1048" s="37" t="s">
        <v>27</v>
      </c>
      <c r="I1048" s="39" t="s">
        <v>32</v>
      </c>
      <c r="J1048" s="37">
        <v>0</v>
      </c>
      <c r="K1048" s="56">
        <v>16.172336466434469</v>
      </c>
      <c r="L1048" s="65" t="str">
        <f t="shared" si="98"/>
        <v/>
      </c>
      <c r="M1048" s="65" t="str">
        <f t="shared" si="99"/>
        <v/>
      </c>
      <c r="N1048" s="37">
        <v>0</v>
      </c>
      <c r="O1048" s="37" t="s">
        <v>203</v>
      </c>
      <c r="P1048" s="40">
        <v>0</v>
      </c>
      <c r="Q1048" s="40">
        <v>0</v>
      </c>
      <c r="R1048" s="37" t="s">
        <v>1356</v>
      </c>
      <c r="S1048" s="37"/>
    </row>
    <row r="1049" spans="1:19" x14ac:dyDescent="0.3">
      <c r="A1049" s="37">
        <v>271</v>
      </c>
      <c r="B1049" s="37" t="s">
        <v>1354</v>
      </c>
      <c r="C1049" s="37" t="s">
        <v>1336</v>
      </c>
      <c r="D1049" s="37" t="s">
        <v>21</v>
      </c>
      <c r="E1049" s="37" t="s">
        <v>22</v>
      </c>
      <c r="F1049" s="42">
        <v>45473</v>
      </c>
      <c r="G1049" s="37">
        <v>2024</v>
      </c>
      <c r="H1049" s="37" t="s">
        <v>23</v>
      </c>
      <c r="I1049" s="39" t="s">
        <v>34</v>
      </c>
      <c r="J1049" s="37">
        <v>0</v>
      </c>
      <c r="K1049" s="37">
        <v>19.394716523273772</v>
      </c>
      <c r="L1049" s="65" t="str">
        <f t="shared" si="98"/>
        <v/>
      </c>
      <c r="M1049" s="65" t="str">
        <f t="shared" si="99"/>
        <v/>
      </c>
      <c r="N1049" s="37">
        <v>0</v>
      </c>
      <c r="O1049" s="37" t="s">
        <v>203</v>
      </c>
      <c r="P1049" s="37">
        <v>1</v>
      </c>
      <c r="Q1049" s="37">
        <v>1</v>
      </c>
      <c r="R1049" s="37" t="s">
        <v>1357</v>
      </c>
      <c r="S1049" s="37"/>
    </row>
    <row r="1050" spans="1:19" x14ac:dyDescent="0.3">
      <c r="A1050" s="37">
        <v>271</v>
      </c>
      <c r="B1050" s="37" t="s">
        <v>1358</v>
      </c>
      <c r="C1050" s="37" t="s">
        <v>1336</v>
      </c>
      <c r="D1050" s="37" t="s">
        <v>21</v>
      </c>
      <c r="E1050" s="37" t="s">
        <v>22</v>
      </c>
      <c r="F1050" s="42">
        <v>45657</v>
      </c>
      <c r="G1050" s="37">
        <v>2024</v>
      </c>
      <c r="H1050" s="37" t="s">
        <v>27</v>
      </c>
      <c r="I1050" s="37" t="s">
        <v>36</v>
      </c>
      <c r="J1050" s="37">
        <v>1</v>
      </c>
      <c r="K1050" s="37">
        <v>16.86</v>
      </c>
      <c r="L1050" s="65">
        <f t="shared" si="98"/>
        <v>1.3</v>
      </c>
      <c r="M1050" s="65">
        <f t="shared" si="99"/>
        <v>16.86</v>
      </c>
      <c r="N1050" s="37">
        <v>0</v>
      </c>
      <c r="O1050" s="37" t="s">
        <v>203</v>
      </c>
      <c r="P1050" s="37">
        <v>1</v>
      </c>
      <c r="Q1050" s="37">
        <v>1</v>
      </c>
      <c r="R1050" s="37" t="s">
        <v>1359</v>
      </c>
      <c r="S1050" s="37"/>
    </row>
    <row r="1051" spans="1:19" x14ac:dyDescent="0.3">
      <c r="A1051" s="41">
        <v>272</v>
      </c>
      <c r="B1051" s="37" t="s">
        <v>1360</v>
      </c>
      <c r="C1051" s="37" t="s">
        <v>138</v>
      </c>
      <c r="D1051" s="37" t="s">
        <v>139</v>
      </c>
      <c r="E1051" s="37" t="s">
        <v>56</v>
      </c>
      <c r="F1051" s="42">
        <v>45291</v>
      </c>
      <c r="G1051" s="37">
        <v>2023</v>
      </c>
      <c r="H1051" s="37" t="s">
        <v>27</v>
      </c>
      <c r="I1051" s="39" t="s">
        <v>32</v>
      </c>
      <c r="J1051" s="37">
        <v>0</v>
      </c>
      <c r="K1051" s="56">
        <v>0</v>
      </c>
      <c r="L1051" s="65" t="str">
        <f>IFERROR(IF(OR(J1051=0,K1051=""),"",IF(E1051="Positivo",MIN(MAX(K1051/J1051,0),1),MIN(MAX(J1051/K1051,0),1))),"")</f>
        <v/>
      </c>
      <c r="M1051" s="65" t="str">
        <f>IFERROR(IF(OR(J1051=0,K1051=""),"",IF(E1051="Positivo",MIN(MAX(K1051/J1051,0),1),MIN(MAX(J1051/K1051,0),1))),"")</f>
        <v/>
      </c>
      <c r="N1051" s="37">
        <v>0</v>
      </c>
      <c r="O1051" s="37" t="s">
        <v>203</v>
      </c>
      <c r="P1051" s="40">
        <v>0</v>
      </c>
      <c r="Q1051" s="40">
        <v>0</v>
      </c>
      <c r="R1051" s="37" t="s">
        <v>1361</v>
      </c>
      <c r="S1051" s="37"/>
    </row>
    <row r="1052" spans="1:19" x14ac:dyDescent="0.3">
      <c r="A1052" s="36">
        <v>272</v>
      </c>
      <c r="B1052" s="37" t="s">
        <v>1360</v>
      </c>
      <c r="C1052" s="37" t="s">
        <v>138</v>
      </c>
      <c r="D1052" s="37" t="s">
        <v>139</v>
      </c>
      <c r="E1052" s="37" t="s">
        <v>56</v>
      </c>
      <c r="F1052" s="42">
        <v>45657</v>
      </c>
      <c r="G1052" s="37">
        <v>2024</v>
      </c>
      <c r="H1052" s="37" t="s">
        <v>27</v>
      </c>
      <c r="I1052" s="39" t="s">
        <v>36</v>
      </c>
      <c r="J1052" s="37">
        <v>0</v>
      </c>
      <c r="K1052" s="43">
        <v>0</v>
      </c>
      <c r="L1052" s="65" t="str">
        <f>IFERROR(IF(OR(J1052=0,K1052=""),"",IF(E1052="Positivo",MIN(MAX(K1052/J1052,0),1),MIN(MAX(J1052/K1052,0),1))),"")</f>
        <v/>
      </c>
      <c r="M1052" s="65" t="str">
        <f>IFERROR(IF(OR(J1052=0,K1052=""),"",IF(E1052="Positivo",MIN(MAX(K1052/J1052,0),1),MIN(MAX(J1052/K1052,0),1))),"")</f>
        <v/>
      </c>
      <c r="N1052" s="37"/>
      <c r="O1052" s="37"/>
      <c r="P1052" s="40">
        <v>0</v>
      </c>
      <c r="Q1052" s="40">
        <v>0</v>
      </c>
      <c r="R1052" s="37" t="s">
        <v>1362</v>
      </c>
      <c r="S1052" s="37"/>
    </row>
    <row r="1053" spans="1:19" x14ac:dyDescent="0.3">
      <c r="A1053" s="36">
        <v>273</v>
      </c>
      <c r="B1053" s="37" t="s">
        <v>1363</v>
      </c>
      <c r="C1053" s="37" t="s">
        <v>1364</v>
      </c>
      <c r="D1053" s="37" t="s">
        <v>21</v>
      </c>
      <c r="E1053" s="37" t="s">
        <v>22</v>
      </c>
      <c r="F1053" s="38">
        <v>45107</v>
      </c>
      <c r="G1053" s="37">
        <v>2023</v>
      </c>
      <c r="H1053" s="37" t="s">
        <v>23</v>
      </c>
      <c r="I1053" s="39" t="s">
        <v>30</v>
      </c>
      <c r="J1053" s="37">
        <v>3</v>
      </c>
      <c r="K1053" s="56">
        <v>3</v>
      </c>
      <c r="L1053" s="65">
        <f t="shared" ref="L1053:L1067" si="100">IFERROR(IF(OR(J1053=0,K1053=""),"",IF(E1053="Positivo",MIN(MAX(K1053/J1053,0),1.3),MIN(MAX(J1053/K1053,0),1.3))),"")</f>
        <v>1</v>
      </c>
      <c r="M1053" s="65">
        <f t="shared" ref="M1053:M1067" si="101">IFERROR(IF(OR(J1053=0,K1053=""),"",IF(E1053="Positivo",MAX(K1053/J1053,0),MAX(J1053/K1053,0))),"")</f>
        <v>1</v>
      </c>
      <c r="N1053" s="37" t="s">
        <v>203</v>
      </c>
      <c r="O1053" s="37" t="s">
        <v>203</v>
      </c>
      <c r="P1053" s="40">
        <v>0</v>
      </c>
      <c r="Q1053" s="40">
        <v>0</v>
      </c>
      <c r="R1053" s="37" t="s">
        <v>1365</v>
      </c>
      <c r="S1053" s="37"/>
    </row>
    <row r="1054" spans="1:19" x14ac:dyDescent="0.3">
      <c r="A1054" s="41">
        <v>273</v>
      </c>
      <c r="B1054" s="37" t="s">
        <v>1363</v>
      </c>
      <c r="C1054" s="37" t="s">
        <v>1364</v>
      </c>
      <c r="D1054" s="37" t="s">
        <v>21</v>
      </c>
      <c r="E1054" s="37" t="s">
        <v>22</v>
      </c>
      <c r="F1054" s="42">
        <v>45291</v>
      </c>
      <c r="G1054" s="37">
        <v>2023</v>
      </c>
      <c r="H1054" s="37" t="s">
        <v>27</v>
      </c>
      <c r="I1054" s="39" t="s">
        <v>32</v>
      </c>
      <c r="J1054" s="37">
        <v>2</v>
      </c>
      <c r="K1054" s="56">
        <v>2</v>
      </c>
      <c r="L1054" s="65">
        <f t="shared" si="100"/>
        <v>1</v>
      </c>
      <c r="M1054" s="65">
        <f t="shared" si="101"/>
        <v>1</v>
      </c>
      <c r="N1054" s="37" t="s">
        <v>203</v>
      </c>
      <c r="O1054" s="37" t="s">
        <v>203</v>
      </c>
      <c r="P1054" s="40">
        <v>0</v>
      </c>
      <c r="Q1054" s="40">
        <v>0</v>
      </c>
      <c r="R1054" s="37" t="s">
        <v>1366</v>
      </c>
      <c r="S1054" s="37"/>
    </row>
    <row r="1055" spans="1:19" x14ac:dyDescent="0.3">
      <c r="A1055" s="37">
        <v>273</v>
      </c>
      <c r="B1055" s="37" t="s">
        <v>1363</v>
      </c>
      <c r="C1055" s="37" t="s">
        <v>1364</v>
      </c>
      <c r="D1055" s="37" t="s">
        <v>21</v>
      </c>
      <c r="E1055" s="37" t="s">
        <v>22</v>
      </c>
      <c r="F1055" s="42">
        <v>45473</v>
      </c>
      <c r="G1055" s="37">
        <v>2024</v>
      </c>
      <c r="H1055" s="37" t="s">
        <v>23</v>
      </c>
      <c r="I1055" s="39" t="s">
        <v>34</v>
      </c>
      <c r="J1055" s="37">
        <v>3</v>
      </c>
      <c r="K1055" s="37">
        <v>3</v>
      </c>
      <c r="L1055" s="65">
        <f t="shared" si="100"/>
        <v>1</v>
      </c>
      <c r="M1055" s="65">
        <f t="shared" si="101"/>
        <v>1</v>
      </c>
      <c r="N1055" s="37" t="s">
        <v>203</v>
      </c>
      <c r="O1055" s="37" t="s">
        <v>203</v>
      </c>
      <c r="P1055" s="37">
        <v>0</v>
      </c>
      <c r="Q1055" s="37">
        <v>0</v>
      </c>
      <c r="R1055" s="37" t="s">
        <v>1367</v>
      </c>
      <c r="S1055" s="37"/>
    </row>
    <row r="1056" spans="1:19" x14ac:dyDescent="0.3">
      <c r="A1056" s="36">
        <v>273</v>
      </c>
      <c r="B1056" s="37" t="s">
        <v>1363</v>
      </c>
      <c r="C1056" s="37" t="s">
        <v>1364</v>
      </c>
      <c r="D1056" s="37" t="s">
        <v>21</v>
      </c>
      <c r="E1056" s="37" t="s">
        <v>22</v>
      </c>
      <c r="F1056" s="42">
        <v>45657</v>
      </c>
      <c r="G1056" s="37">
        <v>2024</v>
      </c>
      <c r="H1056" s="37" t="s">
        <v>27</v>
      </c>
      <c r="I1056" s="39" t="s">
        <v>36</v>
      </c>
      <c r="J1056" s="37">
        <v>3</v>
      </c>
      <c r="K1056" s="43">
        <v>3</v>
      </c>
      <c r="L1056" s="65">
        <f t="shared" si="100"/>
        <v>1</v>
      </c>
      <c r="M1056" s="65">
        <f t="shared" si="101"/>
        <v>1</v>
      </c>
      <c r="N1056" s="37" t="s">
        <v>203</v>
      </c>
      <c r="O1056" s="37" t="s">
        <v>203</v>
      </c>
      <c r="P1056" s="40">
        <v>0</v>
      </c>
      <c r="Q1056" s="40">
        <v>0</v>
      </c>
      <c r="R1056" s="37" t="s">
        <v>1368</v>
      </c>
      <c r="S1056" s="37"/>
    </row>
    <row r="1057" spans="1:19" x14ac:dyDescent="0.3">
      <c r="A1057" s="37">
        <v>275</v>
      </c>
      <c r="B1057" s="37" t="s">
        <v>1375</v>
      </c>
      <c r="C1057" s="37" t="s">
        <v>1376</v>
      </c>
      <c r="D1057" s="37" t="s">
        <v>139</v>
      </c>
      <c r="E1057" s="37" t="s">
        <v>22</v>
      </c>
      <c r="F1057" s="42">
        <v>45291</v>
      </c>
      <c r="G1057" s="37">
        <v>2023</v>
      </c>
      <c r="H1057" s="37" t="s">
        <v>27</v>
      </c>
      <c r="I1057" s="37" t="s">
        <v>32</v>
      </c>
      <c r="J1057" s="37">
        <v>80</v>
      </c>
      <c r="K1057" s="37">
        <v>0</v>
      </c>
      <c r="L1057" s="65">
        <f t="shared" si="100"/>
        <v>0</v>
      </c>
      <c r="M1057" s="65">
        <f t="shared" si="101"/>
        <v>0</v>
      </c>
      <c r="N1057" s="37" t="s">
        <v>25</v>
      </c>
      <c r="O1057" s="37" t="s">
        <v>25</v>
      </c>
      <c r="P1057" s="37">
        <v>0</v>
      </c>
      <c r="Q1057" s="37">
        <v>0</v>
      </c>
      <c r="R1057" s="37" t="s">
        <v>1377</v>
      </c>
      <c r="S1057" s="37"/>
    </row>
    <row r="1058" spans="1:19" x14ac:dyDescent="0.3">
      <c r="A1058" s="37">
        <v>275</v>
      </c>
      <c r="B1058" s="37" t="s">
        <v>1375</v>
      </c>
      <c r="C1058" s="37" t="s">
        <v>1376</v>
      </c>
      <c r="D1058" s="37" t="s">
        <v>21</v>
      </c>
      <c r="E1058" s="37" t="s">
        <v>22</v>
      </c>
      <c r="F1058" s="42">
        <v>45473</v>
      </c>
      <c r="G1058" s="37">
        <v>2024</v>
      </c>
      <c r="H1058" s="37" t="s">
        <v>23</v>
      </c>
      <c r="I1058" s="39" t="s">
        <v>34</v>
      </c>
      <c r="J1058" s="37">
        <v>80</v>
      </c>
      <c r="K1058" s="37">
        <v>103.75</v>
      </c>
      <c r="L1058" s="65">
        <f t="shared" si="100"/>
        <v>1.296875</v>
      </c>
      <c r="M1058" s="65">
        <f t="shared" si="101"/>
        <v>1.296875</v>
      </c>
      <c r="N1058" s="37" t="s">
        <v>25</v>
      </c>
      <c r="O1058" s="37" t="s">
        <v>25</v>
      </c>
      <c r="P1058" s="37">
        <v>0</v>
      </c>
      <c r="Q1058" s="37">
        <v>0</v>
      </c>
      <c r="R1058" s="37" t="s">
        <v>1378</v>
      </c>
      <c r="S1058" s="37"/>
    </row>
    <row r="1059" spans="1:19" x14ac:dyDescent="0.3">
      <c r="A1059" s="36">
        <v>275</v>
      </c>
      <c r="B1059" s="37" t="s">
        <v>1375</v>
      </c>
      <c r="C1059" s="37" t="s">
        <v>1376</v>
      </c>
      <c r="D1059" s="37" t="s">
        <v>21</v>
      </c>
      <c r="E1059" s="37" t="s">
        <v>22</v>
      </c>
      <c r="F1059" s="42">
        <v>45657</v>
      </c>
      <c r="G1059" s="37">
        <v>2024</v>
      </c>
      <c r="H1059" s="37" t="s">
        <v>27</v>
      </c>
      <c r="I1059" s="39" t="s">
        <v>36</v>
      </c>
      <c r="J1059" s="37">
        <v>80</v>
      </c>
      <c r="K1059" s="43">
        <v>109.58</v>
      </c>
      <c r="L1059" s="65">
        <f t="shared" si="100"/>
        <v>1.3</v>
      </c>
      <c r="M1059" s="65">
        <f t="shared" si="101"/>
        <v>1.36975</v>
      </c>
      <c r="N1059" s="37" t="s">
        <v>25</v>
      </c>
      <c r="O1059" s="37" t="s">
        <v>25</v>
      </c>
      <c r="P1059" s="40">
        <v>0</v>
      </c>
      <c r="Q1059" s="40">
        <v>0</v>
      </c>
      <c r="R1059" s="37" t="s">
        <v>1379</v>
      </c>
      <c r="S1059" s="37"/>
    </row>
    <row r="1060" spans="1:19" x14ac:dyDescent="0.3">
      <c r="A1060" s="36">
        <v>276</v>
      </c>
      <c r="B1060" s="37" t="s">
        <v>1382</v>
      </c>
      <c r="C1060" s="37" t="s">
        <v>1383</v>
      </c>
      <c r="D1060" s="37" t="s">
        <v>21</v>
      </c>
      <c r="E1060" s="37" t="s">
        <v>56</v>
      </c>
      <c r="F1060" s="38">
        <v>45107</v>
      </c>
      <c r="G1060" s="37">
        <v>2023</v>
      </c>
      <c r="H1060" s="37" t="s">
        <v>23</v>
      </c>
      <c r="I1060" s="39" t="s">
        <v>30</v>
      </c>
      <c r="J1060" s="37">
        <v>85</v>
      </c>
      <c r="K1060" s="56">
        <v>89.99</v>
      </c>
      <c r="L1060" s="65">
        <f t="shared" si="100"/>
        <v>0.94454939437715302</v>
      </c>
      <c r="M1060" s="65">
        <f t="shared" si="101"/>
        <v>0.94454939437715302</v>
      </c>
      <c r="N1060" s="37"/>
      <c r="O1060" s="37"/>
      <c r="P1060" s="40">
        <v>0</v>
      </c>
      <c r="Q1060" s="40">
        <v>0</v>
      </c>
      <c r="R1060" s="37" t="s">
        <v>1384</v>
      </c>
      <c r="S1060" s="37"/>
    </row>
    <row r="1061" spans="1:19" x14ac:dyDescent="0.3">
      <c r="A1061" s="41">
        <v>276</v>
      </c>
      <c r="B1061" s="37" t="s">
        <v>1382</v>
      </c>
      <c r="C1061" s="37" t="s">
        <v>1383</v>
      </c>
      <c r="D1061" s="37" t="s">
        <v>21</v>
      </c>
      <c r="E1061" s="37" t="s">
        <v>56</v>
      </c>
      <c r="F1061" s="42">
        <v>45291</v>
      </c>
      <c r="G1061" s="37">
        <v>2023</v>
      </c>
      <c r="H1061" s="37" t="s">
        <v>27</v>
      </c>
      <c r="I1061" s="39" t="s">
        <v>32</v>
      </c>
      <c r="J1061" s="37">
        <v>85</v>
      </c>
      <c r="K1061" s="56">
        <v>84.5</v>
      </c>
      <c r="L1061" s="65">
        <f t="shared" si="100"/>
        <v>1.0059171597633136</v>
      </c>
      <c r="M1061" s="65">
        <f t="shared" si="101"/>
        <v>1.0059171597633136</v>
      </c>
      <c r="N1061" s="37"/>
      <c r="O1061" s="37"/>
      <c r="P1061" s="40">
        <v>1</v>
      </c>
      <c r="Q1061" s="40">
        <v>1</v>
      </c>
      <c r="R1061" s="37" t="s">
        <v>1385</v>
      </c>
      <c r="S1061" s="37"/>
    </row>
    <row r="1062" spans="1:19" x14ac:dyDescent="0.3">
      <c r="A1062" s="36">
        <v>276</v>
      </c>
      <c r="B1062" s="37" t="s">
        <v>1382</v>
      </c>
      <c r="C1062" s="37" t="s">
        <v>1383</v>
      </c>
      <c r="D1062" s="37" t="s">
        <v>21</v>
      </c>
      <c r="E1062" s="37" t="s">
        <v>56</v>
      </c>
      <c r="F1062" s="38">
        <v>45473</v>
      </c>
      <c r="G1062" s="37">
        <v>2024</v>
      </c>
      <c r="H1062" s="37" t="s">
        <v>23</v>
      </c>
      <c r="I1062" s="39" t="s">
        <v>34</v>
      </c>
      <c r="J1062" s="37">
        <v>75</v>
      </c>
      <c r="K1062" s="56">
        <v>83.65</v>
      </c>
      <c r="L1062" s="65">
        <f t="shared" si="100"/>
        <v>0.89659294680215174</v>
      </c>
      <c r="M1062" s="65">
        <f t="shared" si="101"/>
        <v>0.89659294680215174</v>
      </c>
      <c r="N1062" s="37" t="s">
        <v>197</v>
      </c>
      <c r="O1062" s="37" t="s">
        <v>197</v>
      </c>
      <c r="P1062" s="40">
        <v>0</v>
      </c>
      <c r="Q1062" s="40">
        <v>0</v>
      </c>
      <c r="R1062" s="37" t="s">
        <v>1386</v>
      </c>
      <c r="S1062" s="37"/>
    </row>
    <row r="1063" spans="1:19" x14ac:dyDescent="0.3">
      <c r="A1063" s="36">
        <v>276</v>
      </c>
      <c r="B1063" s="37" t="s">
        <v>1382</v>
      </c>
      <c r="C1063" s="37" t="s">
        <v>1383</v>
      </c>
      <c r="D1063" s="37" t="s">
        <v>21</v>
      </c>
      <c r="E1063" s="37" t="s">
        <v>56</v>
      </c>
      <c r="F1063" s="42">
        <v>45657</v>
      </c>
      <c r="G1063" s="37">
        <v>2024</v>
      </c>
      <c r="H1063" s="37" t="s">
        <v>27</v>
      </c>
      <c r="I1063" s="39" t="s">
        <v>36</v>
      </c>
      <c r="J1063" s="37">
        <v>75</v>
      </c>
      <c r="K1063" s="43">
        <v>82.68</v>
      </c>
      <c r="L1063" s="65">
        <f t="shared" si="100"/>
        <v>0.90711175616835982</v>
      </c>
      <c r="M1063" s="65">
        <f t="shared" si="101"/>
        <v>0.90711175616835982</v>
      </c>
      <c r="N1063" s="37" t="s">
        <v>197</v>
      </c>
      <c r="O1063" s="37" t="s">
        <v>197</v>
      </c>
      <c r="P1063" s="40">
        <v>0</v>
      </c>
      <c r="Q1063" s="40">
        <v>0</v>
      </c>
      <c r="R1063" s="37" t="s">
        <v>1387</v>
      </c>
      <c r="S1063" s="37"/>
    </row>
    <row r="1064" spans="1:19" x14ac:dyDescent="0.3">
      <c r="A1064" s="36">
        <v>277</v>
      </c>
      <c r="B1064" s="37" t="s">
        <v>1388</v>
      </c>
      <c r="C1064" s="37" t="s">
        <v>1383</v>
      </c>
      <c r="D1064" s="37" t="s">
        <v>21</v>
      </c>
      <c r="E1064" s="37" t="s">
        <v>56</v>
      </c>
      <c r="F1064" s="38">
        <v>45107</v>
      </c>
      <c r="G1064" s="37">
        <v>2023</v>
      </c>
      <c r="H1064" s="37" t="s">
        <v>23</v>
      </c>
      <c r="I1064" s="39" t="s">
        <v>30</v>
      </c>
      <c r="J1064" s="37">
        <v>85</v>
      </c>
      <c r="K1064" s="56">
        <v>76.48</v>
      </c>
      <c r="L1064" s="65">
        <f t="shared" si="100"/>
        <v>1.1114016736401673</v>
      </c>
      <c r="M1064" s="65">
        <f t="shared" si="101"/>
        <v>1.1114016736401673</v>
      </c>
      <c r="N1064" s="37" t="s">
        <v>197</v>
      </c>
      <c r="O1064" s="37" t="s">
        <v>197</v>
      </c>
      <c r="P1064" s="40">
        <v>0</v>
      </c>
      <c r="Q1064" s="40">
        <v>0</v>
      </c>
      <c r="R1064" s="37" t="s">
        <v>1389</v>
      </c>
      <c r="S1064" s="37"/>
    </row>
    <row r="1065" spans="1:19" x14ac:dyDescent="0.3">
      <c r="A1065" s="41">
        <v>277</v>
      </c>
      <c r="B1065" s="37" t="s">
        <v>1388</v>
      </c>
      <c r="C1065" s="37" t="s">
        <v>1383</v>
      </c>
      <c r="D1065" s="37" t="s">
        <v>21</v>
      </c>
      <c r="E1065" s="37" t="s">
        <v>56</v>
      </c>
      <c r="F1065" s="42">
        <v>45291</v>
      </c>
      <c r="G1065" s="37">
        <v>2023</v>
      </c>
      <c r="H1065" s="37" t="s">
        <v>27</v>
      </c>
      <c r="I1065" s="39" t="s">
        <v>32</v>
      </c>
      <c r="J1065" s="37">
        <v>85</v>
      </c>
      <c r="K1065" s="56">
        <v>73.290000000000006</v>
      </c>
      <c r="L1065" s="65">
        <f t="shared" si="100"/>
        <v>1.1597762314094691</v>
      </c>
      <c r="M1065" s="65">
        <f t="shared" si="101"/>
        <v>1.1597762314094691</v>
      </c>
      <c r="N1065" s="37" t="s">
        <v>197</v>
      </c>
      <c r="O1065" s="37" t="s">
        <v>197</v>
      </c>
      <c r="P1065" s="40">
        <v>0</v>
      </c>
      <c r="Q1065" s="40">
        <v>0</v>
      </c>
      <c r="R1065" s="37" t="s">
        <v>1390</v>
      </c>
      <c r="S1065" s="37"/>
    </row>
    <row r="1066" spans="1:19" x14ac:dyDescent="0.3">
      <c r="A1066" s="36">
        <v>277</v>
      </c>
      <c r="B1066" s="37" t="s">
        <v>1388</v>
      </c>
      <c r="C1066" s="37" t="s">
        <v>1383</v>
      </c>
      <c r="D1066" s="37" t="s">
        <v>21</v>
      </c>
      <c r="E1066" s="37" t="s">
        <v>56</v>
      </c>
      <c r="F1066" s="38">
        <v>45473</v>
      </c>
      <c r="G1066" s="37">
        <v>2024</v>
      </c>
      <c r="H1066" s="37" t="s">
        <v>23</v>
      </c>
      <c r="I1066" s="39" t="s">
        <v>34</v>
      </c>
      <c r="J1066" s="37">
        <v>73</v>
      </c>
      <c r="K1066" s="56">
        <v>71.180000000000007</v>
      </c>
      <c r="L1066" s="65">
        <f t="shared" si="100"/>
        <v>1.0255689800505758</v>
      </c>
      <c r="M1066" s="65">
        <f t="shared" si="101"/>
        <v>1.0255689800505758</v>
      </c>
      <c r="N1066" s="37" t="s">
        <v>197</v>
      </c>
      <c r="O1066" s="37" t="s">
        <v>197</v>
      </c>
      <c r="P1066" s="40">
        <v>0</v>
      </c>
      <c r="Q1066" s="40">
        <v>0</v>
      </c>
      <c r="R1066" s="37" t="s">
        <v>1391</v>
      </c>
      <c r="S1066" s="37"/>
    </row>
    <row r="1067" spans="1:19" x14ac:dyDescent="0.3">
      <c r="A1067" s="36">
        <v>277</v>
      </c>
      <c r="B1067" s="37" t="s">
        <v>1388</v>
      </c>
      <c r="C1067" s="37" t="s">
        <v>1383</v>
      </c>
      <c r="D1067" s="37" t="s">
        <v>21</v>
      </c>
      <c r="E1067" s="37" t="s">
        <v>56</v>
      </c>
      <c r="F1067" s="42">
        <v>45657</v>
      </c>
      <c r="G1067" s="37">
        <v>2024</v>
      </c>
      <c r="H1067" s="37" t="s">
        <v>27</v>
      </c>
      <c r="I1067" s="39" t="s">
        <v>36</v>
      </c>
      <c r="J1067" s="37">
        <v>73</v>
      </c>
      <c r="K1067" s="43">
        <v>71.239999999999995</v>
      </c>
      <c r="L1067" s="65">
        <f t="shared" si="100"/>
        <v>1.0247052217855139</v>
      </c>
      <c r="M1067" s="65">
        <f t="shared" si="101"/>
        <v>1.0247052217855139</v>
      </c>
      <c r="N1067" s="37" t="s">
        <v>197</v>
      </c>
      <c r="O1067" s="37" t="s">
        <v>197</v>
      </c>
      <c r="P1067" s="40">
        <v>0</v>
      </c>
      <c r="Q1067" s="40">
        <v>0</v>
      </c>
      <c r="R1067" s="37" t="s">
        <v>1392</v>
      </c>
      <c r="S1067" s="37"/>
    </row>
    <row r="1068" spans="1:19" x14ac:dyDescent="0.3">
      <c r="A1068" s="36">
        <v>278</v>
      </c>
      <c r="B1068" s="37" t="s">
        <v>1394</v>
      </c>
      <c r="C1068" s="37" t="s">
        <v>1383</v>
      </c>
      <c r="D1068" s="37" t="s">
        <v>21</v>
      </c>
      <c r="E1068" s="37" t="s">
        <v>22</v>
      </c>
      <c r="F1068" s="38">
        <v>45107</v>
      </c>
      <c r="G1068" s="37">
        <v>2023</v>
      </c>
      <c r="H1068" s="37" t="s">
        <v>23</v>
      </c>
      <c r="I1068" s="39" t="s">
        <v>30</v>
      </c>
      <c r="J1068" s="37"/>
      <c r="K1068" s="56">
        <v>1015</v>
      </c>
      <c r="L1068" s="46"/>
      <c r="M1068" s="65"/>
      <c r="N1068" s="37" t="s">
        <v>197</v>
      </c>
      <c r="O1068" s="37" t="s">
        <v>197</v>
      </c>
      <c r="P1068" s="40">
        <v>0</v>
      </c>
      <c r="Q1068" s="40">
        <v>0</v>
      </c>
      <c r="R1068" s="37" t="s">
        <v>1395</v>
      </c>
      <c r="S1068" s="37"/>
    </row>
    <row r="1069" spans="1:19" x14ac:dyDescent="0.3">
      <c r="A1069" s="41">
        <v>278</v>
      </c>
      <c r="B1069" s="37" t="s">
        <v>1394</v>
      </c>
      <c r="C1069" s="37" t="s">
        <v>1383</v>
      </c>
      <c r="D1069" s="37" t="s">
        <v>21</v>
      </c>
      <c r="E1069" s="37" t="s">
        <v>22</v>
      </c>
      <c r="F1069" s="42">
        <v>45291</v>
      </c>
      <c r="G1069" s="37">
        <v>2023</v>
      </c>
      <c r="H1069" s="37" t="s">
        <v>27</v>
      </c>
      <c r="I1069" s="39" t="s">
        <v>32</v>
      </c>
      <c r="J1069" s="37">
        <v>0</v>
      </c>
      <c r="K1069" s="56">
        <v>1017</v>
      </c>
      <c r="L1069" s="65" t="str">
        <f>IFERROR(IF(OR(J1069=0,K1069=""),"",IF(E1069="Positivo",MIN(MAX(K1069/J1069,0),1.3),MIN(MAX(J1069/K1069,0),1.3))),"")</f>
        <v/>
      </c>
      <c r="M1069" s="65" t="str">
        <f>IFERROR(IF(OR(J1069=0,K1069=""),"",IF(E1069="Positivo",MAX(K1069/J1069,0),MAX(J1069/K1069,0))),"")</f>
        <v/>
      </c>
      <c r="N1069" s="37" t="s">
        <v>197</v>
      </c>
      <c r="O1069" s="37" t="s">
        <v>197</v>
      </c>
      <c r="P1069" s="40">
        <v>0</v>
      </c>
      <c r="Q1069" s="40">
        <v>0</v>
      </c>
      <c r="R1069" s="37" t="s">
        <v>1396</v>
      </c>
      <c r="S1069" s="37"/>
    </row>
    <row r="1070" spans="1:19" x14ac:dyDescent="0.3">
      <c r="A1070" s="37">
        <v>278</v>
      </c>
      <c r="B1070" s="37" t="s">
        <v>1394</v>
      </c>
      <c r="C1070" s="37" t="s">
        <v>1383</v>
      </c>
      <c r="D1070" s="37" t="s">
        <v>21</v>
      </c>
      <c r="E1070" s="37" t="s">
        <v>22</v>
      </c>
      <c r="F1070" s="42">
        <v>45473</v>
      </c>
      <c r="G1070" s="37">
        <v>2024</v>
      </c>
      <c r="H1070" s="37" t="s">
        <v>23</v>
      </c>
      <c r="I1070" s="39" t="s">
        <v>34</v>
      </c>
      <c r="J1070" s="37">
        <v>0</v>
      </c>
      <c r="K1070" s="37">
        <v>1080</v>
      </c>
      <c r="L1070" s="65" t="str">
        <f>IFERROR(IF(OR(J1070=0,K1070=""),"",IF(E1070="Positivo",MIN(MAX(K1070/J1070,0),1.3),MIN(MAX(J1070/K1070,0),1.3))),"")</f>
        <v/>
      </c>
      <c r="M1070" s="65" t="str">
        <f>IFERROR(IF(OR(J1070=0,K1070=""),"",IF(E1070="Positivo",MAX(K1070/J1070,0),MAX(J1070/K1070,0))),"")</f>
        <v/>
      </c>
      <c r="N1070" s="37">
        <v>0</v>
      </c>
      <c r="O1070" s="37" t="s">
        <v>203</v>
      </c>
      <c r="P1070" s="37">
        <v>0</v>
      </c>
      <c r="Q1070" s="37">
        <v>0</v>
      </c>
      <c r="R1070" s="37" t="s">
        <v>1397</v>
      </c>
      <c r="S1070" s="37"/>
    </row>
    <row r="1071" spans="1:19" x14ac:dyDescent="0.3">
      <c r="A1071" s="36">
        <v>278</v>
      </c>
      <c r="B1071" s="37" t="s">
        <v>1394</v>
      </c>
      <c r="C1071" s="37" t="s">
        <v>1383</v>
      </c>
      <c r="D1071" s="37" t="s">
        <v>21</v>
      </c>
      <c r="E1071" s="37" t="s">
        <v>22</v>
      </c>
      <c r="F1071" s="42">
        <v>45657</v>
      </c>
      <c r="G1071" s="37">
        <v>2024</v>
      </c>
      <c r="H1071" s="37" t="s">
        <v>27</v>
      </c>
      <c r="I1071" s="39" t="s">
        <v>36</v>
      </c>
      <c r="J1071" s="37">
        <v>0</v>
      </c>
      <c r="K1071" s="43">
        <v>1018</v>
      </c>
      <c r="L1071" s="65" t="str">
        <f>IFERROR(IF(OR(J1071=0,K1071=""),"",IF(E1071="Positivo",MIN(MAX(K1071/J1071,0),1.3),MIN(MAX(J1071/K1071,0),1.3))),"")</f>
        <v/>
      </c>
      <c r="M1071" s="65" t="str">
        <f>IFERROR(IF(OR(J1071=0,K1071=""),"",IF(E1071="Positivo",MAX(K1071/J1071,0),MAX(J1071/K1071,0))),"")</f>
        <v/>
      </c>
      <c r="N1071" s="37">
        <v>0</v>
      </c>
      <c r="O1071" s="37" t="s">
        <v>203</v>
      </c>
      <c r="P1071" s="40">
        <v>0</v>
      </c>
      <c r="Q1071" s="40">
        <v>0</v>
      </c>
      <c r="R1071" s="37" t="s">
        <v>1398</v>
      </c>
      <c r="S1071" s="37"/>
    </row>
    <row r="1072" spans="1:19" x14ac:dyDescent="0.3">
      <c r="A1072" s="36">
        <v>279</v>
      </c>
      <c r="B1072" s="37" t="s">
        <v>1402</v>
      </c>
      <c r="C1072" s="37" t="s">
        <v>1383</v>
      </c>
      <c r="D1072" s="37" t="s">
        <v>21</v>
      </c>
      <c r="E1072" s="37" t="s">
        <v>22</v>
      </c>
      <c r="F1072" s="38">
        <v>45107</v>
      </c>
      <c r="G1072" s="37">
        <v>2023</v>
      </c>
      <c r="H1072" s="37" t="s">
        <v>23</v>
      </c>
      <c r="I1072" s="39" t="s">
        <v>30</v>
      </c>
      <c r="J1072" s="37"/>
      <c r="K1072" s="56">
        <v>572</v>
      </c>
      <c r="L1072" s="46"/>
      <c r="M1072" s="65"/>
      <c r="N1072" s="37"/>
      <c r="O1072" s="37"/>
      <c r="P1072" s="40">
        <v>0</v>
      </c>
      <c r="Q1072" s="40">
        <v>0</v>
      </c>
      <c r="R1072" s="37" t="s">
        <v>1403</v>
      </c>
      <c r="S1072" s="37"/>
    </row>
    <row r="1073" spans="1:19" x14ac:dyDescent="0.3">
      <c r="A1073" s="36">
        <v>280</v>
      </c>
      <c r="B1073" s="37" t="s">
        <v>1404</v>
      </c>
      <c r="C1073" s="37" t="s">
        <v>1383</v>
      </c>
      <c r="D1073" s="37" t="s">
        <v>21</v>
      </c>
      <c r="E1073" s="37" t="s">
        <v>22</v>
      </c>
      <c r="F1073" s="38">
        <v>45107</v>
      </c>
      <c r="G1073" s="37">
        <v>2023</v>
      </c>
      <c r="H1073" s="37" t="s">
        <v>23</v>
      </c>
      <c r="I1073" s="39" t="s">
        <v>30</v>
      </c>
      <c r="J1073" s="37"/>
      <c r="K1073" s="56">
        <v>203</v>
      </c>
      <c r="L1073" s="46"/>
      <c r="M1073" s="65"/>
      <c r="N1073" s="37"/>
      <c r="O1073" s="37"/>
      <c r="P1073" s="40">
        <v>0</v>
      </c>
      <c r="Q1073" s="40">
        <v>0</v>
      </c>
      <c r="R1073" s="37" t="s">
        <v>1405</v>
      </c>
      <c r="S1073" s="37"/>
    </row>
    <row r="1074" spans="1:19" x14ac:dyDescent="0.3">
      <c r="A1074" s="41">
        <v>280</v>
      </c>
      <c r="B1074" s="37" t="s">
        <v>1404</v>
      </c>
      <c r="C1074" s="37" t="s">
        <v>1383</v>
      </c>
      <c r="D1074" s="37" t="s">
        <v>21</v>
      </c>
      <c r="E1074" s="37" t="s">
        <v>22</v>
      </c>
      <c r="F1074" s="42">
        <v>45291</v>
      </c>
      <c r="G1074" s="37">
        <v>2023</v>
      </c>
      <c r="H1074" s="37" t="s">
        <v>27</v>
      </c>
      <c r="I1074" s="39" t="s">
        <v>32</v>
      </c>
      <c r="J1074" s="37">
        <v>0</v>
      </c>
      <c r="K1074" s="56">
        <v>186</v>
      </c>
      <c r="L1074" s="65" t="str">
        <f>IFERROR(IF(OR(J1074=0,K1074=""),"",IF(E1074="Positivo",MIN(MAX(K1074/J1074,0),1.3),MIN(MAX(J1074/K1074,0),1.3))),"")</f>
        <v/>
      </c>
      <c r="M1074" s="65" t="str">
        <f>IFERROR(IF(OR(J1074=0,K1074=""),"",IF(E1074="Positivo",MAX(K1074/J1074,0),MAX(J1074/K1074,0))),"")</f>
        <v/>
      </c>
      <c r="N1074" s="37"/>
      <c r="O1074" s="37"/>
      <c r="P1074" s="40">
        <v>0</v>
      </c>
      <c r="Q1074" s="40">
        <v>0</v>
      </c>
      <c r="R1074" s="37" t="s">
        <v>1406</v>
      </c>
      <c r="S1074" s="37"/>
    </row>
    <row r="1075" spans="1:19" x14ac:dyDescent="0.3">
      <c r="A1075" s="36">
        <v>281</v>
      </c>
      <c r="B1075" s="37" t="s">
        <v>1407</v>
      </c>
      <c r="C1075" s="37" t="s">
        <v>1383</v>
      </c>
      <c r="D1075" s="37" t="s">
        <v>21</v>
      </c>
      <c r="E1075" s="37" t="s">
        <v>22</v>
      </c>
      <c r="F1075" s="38">
        <v>45107</v>
      </c>
      <c r="G1075" s="37">
        <v>2023</v>
      </c>
      <c r="H1075" s="37" t="s">
        <v>23</v>
      </c>
      <c r="I1075" s="39" t="s">
        <v>30</v>
      </c>
      <c r="J1075" s="37"/>
      <c r="K1075" s="56">
        <v>240</v>
      </c>
      <c r="L1075" s="46"/>
      <c r="M1075" s="65"/>
      <c r="N1075" s="37"/>
      <c r="O1075" s="37"/>
      <c r="P1075" s="40">
        <v>0</v>
      </c>
      <c r="Q1075" s="40">
        <v>0</v>
      </c>
      <c r="R1075" s="37" t="s">
        <v>1408</v>
      </c>
      <c r="S1075" s="37"/>
    </row>
    <row r="1076" spans="1:19" x14ac:dyDescent="0.3">
      <c r="A1076" s="41">
        <v>281</v>
      </c>
      <c r="B1076" s="37" t="s">
        <v>1407</v>
      </c>
      <c r="C1076" s="37" t="s">
        <v>1383</v>
      </c>
      <c r="D1076" s="37" t="s">
        <v>21</v>
      </c>
      <c r="E1076" s="37" t="s">
        <v>22</v>
      </c>
      <c r="F1076" s="42">
        <v>45291</v>
      </c>
      <c r="G1076" s="37">
        <v>2023</v>
      </c>
      <c r="H1076" s="37" t="s">
        <v>27</v>
      </c>
      <c r="I1076" s="39" t="s">
        <v>32</v>
      </c>
      <c r="J1076" s="37"/>
      <c r="K1076" s="56">
        <v>223</v>
      </c>
      <c r="L1076" s="46"/>
      <c r="M1076" s="65"/>
      <c r="N1076" s="37"/>
      <c r="O1076" s="37"/>
      <c r="P1076" s="40">
        <v>0</v>
      </c>
      <c r="Q1076" s="40">
        <v>0</v>
      </c>
      <c r="R1076" s="37" t="s">
        <v>1409</v>
      </c>
      <c r="S1076" s="37"/>
    </row>
    <row r="1077" spans="1:19" x14ac:dyDescent="0.3">
      <c r="A1077" s="36">
        <v>282</v>
      </c>
      <c r="B1077" s="37" t="s">
        <v>1410</v>
      </c>
      <c r="C1077" s="37" t="s">
        <v>1383</v>
      </c>
      <c r="D1077" s="37" t="s">
        <v>21</v>
      </c>
      <c r="E1077" s="37" t="s">
        <v>22</v>
      </c>
      <c r="F1077" s="38">
        <v>45107</v>
      </c>
      <c r="G1077" s="37">
        <v>2023</v>
      </c>
      <c r="H1077" s="37" t="s">
        <v>23</v>
      </c>
      <c r="I1077" s="39" t="s">
        <v>30</v>
      </c>
      <c r="J1077" s="37">
        <v>1006</v>
      </c>
      <c r="K1077" s="56">
        <v>976</v>
      </c>
      <c r="L1077" s="65">
        <f t="shared" ref="L1077:L1084" si="102">IFERROR(IF(OR(J1077=0,K1077=""),"",IF(E1077="Positivo",MIN(MAX(K1077/J1077,0),1.3),MIN(MAX(J1077/K1077,0),1.3))),"")</f>
        <v>0.97017892644135184</v>
      </c>
      <c r="M1077" s="65">
        <f t="shared" ref="M1077:M1084" si="103">IFERROR(IF(OR(J1077=0,K1077=""),"",IF(E1077="Positivo",MAX(K1077/J1077,0),MAX(J1077/K1077,0))),"")</f>
        <v>0.97017892644135184</v>
      </c>
      <c r="N1077" s="60" t="s">
        <v>25</v>
      </c>
      <c r="O1077" s="60" t="s">
        <v>25</v>
      </c>
      <c r="P1077" s="40">
        <v>0</v>
      </c>
      <c r="Q1077" s="40">
        <v>0</v>
      </c>
      <c r="R1077" s="37" t="s">
        <v>1411</v>
      </c>
      <c r="S1077" s="37"/>
    </row>
    <row r="1078" spans="1:19" x14ac:dyDescent="0.3">
      <c r="A1078" s="41">
        <v>282</v>
      </c>
      <c r="B1078" s="37" t="s">
        <v>1410</v>
      </c>
      <c r="C1078" s="37" t="s">
        <v>1383</v>
      </c>
      <c r="D1078" s="37" t="s">
        <v>21</v>
      </c>
      <c r="E1078" s="37" t="s">
        <v>22</v>
      </c>
      <c r="F1078" s="42">
        <v>45291</v>
      </c>
      <c r="G1078" s="37">
        <v>2023</v>
      </c>
      <c r="H1078" s="37" t="s">
        <v>27</v>
      </c>
      <c r="I1078" s="39" t="s">
        <v>32</v>
      </c>
      <c r="J1078" s="37">
        <v>1014</v>
      </c>
      <c r="K1078" s="56">
        <v>987</v>
      </c>
      <c r="L1078" s="65">
        <f t="shared" si="102"/>
        <v>0.97337278106508873</v>
      </c>
      <c r="M1078" s="65">
        <f t="shared" si="103"/>
        <v>0.97337278106508873</v>
      </c>
      <c r="N1078" s="60" t="s">
        <v>25</v>
      </c>
      <c r="O1078" s="60" t="s">
        <v>25</v>
      </c>
      <c r="P1078" s="40">
        <v>0</v>
      </c>
      <c r="Q1078" s="40">
        <v>0</v>
      </c>
      <c r="R1078" s="37" t="s">
        <v>1412</v>
      </c>
      <c r="S1078" s="37"/>
    </row>
    <row r="1079" spans="1:19" x14ac:dyDescent="0.3">
      <c r="A1079" s="37">
        <v>282</v>
      </c>
      <c r="B1079" s="37" t="s">
        <v>1410</v>
      </c>
      <c r="C1079" s="37" t="s">
        <v>1383</v>
      </c>
      <c r="D1079" s="37" t="s">
        <v>21</v>
      </c>
      <c r="E1079" s="37" t="s">
        <v>22</v>
      </c>
      <c r="F1079" s="42">
        <v>45473</v>
      </c>
      <c r="G1079" s="37">
        <v>2024</v>
      </c>
      <c r="H1079" s="37" t="s">
        <v>23</v>
      </c>
      <c r="I1079" s="39" t="s">
        <v>34</v>
      </c>
      <c r="J1079" s="37">
        <v>1074</v>
      </c>
      <c r="K1079" s="37">
        <v>1042</v>
      </c>
      <c r="L1079" s="65">
        <f t="shared" si="102"/>
        <v>0.97020484171322163</v>
      </c>
      <c r="M1079" s="65">
        <f t="shared" si="103"/>
        <v>0.97020484171322163</v>
      </c>
      <c r="N1079" s="37" t="s">
        <v>25</v>
      </c>
      <c r="O1079" s="37" t="s">
        <v>25</v>
      </c>
      <c r="P1079" s="37">
        <v>0</v>
      </c>
      <c r="Q1079" s="37">
        <v>0</v>
      </c>
      <c r="R1079" s="37" t="s">
        <v>1413</v>
      </c>
      <c r="S1079" s="37"/>
    </row>
    <row r="1080" spans="1:19" x14ac:dyDescent="0.3">
      <c r="A1080" s="36">
        <v>282</v>
      </c>
      <c r="B1080" s="37" t="s">
        <v>1410</v>
      </c>
      <c r="C1080" s="37" t="s">
        <v>1383</v>
      </c>
      <c r="D1080" s="37" t="s">
        <v>21</v>
      </c>
      <c r="E1080" s="37" t="s">
        <v>22</v>
      </c>
      <c r="F1080" s="42">
        <v>45657</v>
      </c>
      <c r="G1080" s="37">
        <v>2024</v>
      </c>
      <c r="H1080" s="37" t="s">
        <v>27</v>
      </c>
      <c r="I1080" s="39" t="s">
        <v>36</v>
      </c>
      <c r="J1080" s="37">
        <v>1013</v>
      </c>
      <c r="K1080" s="43">
        <v>981</v>
      </c>
      <c r="L1080" s="65">
        <f t="shared" si="102"/>
        <v>0.9684106614017769</v>
      </c>
      <c r="M1080" s="65">
        <f t="shared" si="103"/>
        <v>0.9684106614017769</v>
      </c>
      <c r="N1080" s="37" t="s">
        <v>25</v>
      </c>
      <c r="O1080" s="37" t="s">
        <v>25</v>
      </c>
      <c r="P1080" s="40">
        <v>0</v>
      </c>
      <c r="Q1080" s="40">
        <v>0</v>
      </c>
      <c r="R1080" s="37" t="s">
        <v>1414</v>
      </c>
      <c r="S1080" s="37"/>
    </row>
    <row r="1081" spans="1:19" x14ac:dyDescent="0.3">
      <c r="A1081" s="36">
        <v>283</v>
      </c>
      <c r="B1081" s="37" t="s">
        <v>1415</v>
      </c>
      <c r="C1081" s="37" t="s">
        <v>1383</v>
      </c>
      <c r="D1081" s="37" t="s">
        <v>21</v>
      </c>
      <c r="E1081" s="37" t="s">
        <v>22</v>
      </c>
      <c r="F1081" s="38">
        <v>45107</v>
      </c>
      <c r="G1081" s="37">
        <v>2023</v>
      </c>
      <c r="H1081" s="37" t="s">
        <v>23</v>
      </c>
      <c r="I1081" s="39" t="s">
        <v>30</v>
      </c>
      <c r="J1081" s="37">
        <v>4.5</v>
      </c>
      <c r="K1081" s="56">
        <v>4.5999999999999996</v>
      </c>
      <c r="L1081" s="65">
        <f t="shared" si="102"/>
        <v>1.0222222222222221</v>
      </c>
      <c r="M1081" s="65">
        <f t="shared" si="103"/>
        <v>1.0222222222222221</v>
      </c>
      <c r="N1081" s="37" t="s">
        <v>25</v>
      </c>
      <c r="O1081" s="37" t="s">
        <v>25</v>
      </c>
      <c r="P1081" s="40">
        <v>2</v>
      </c>
      <c r="Q1081" s="40">
        <v>2</v>
      </c>
      <c r="R1081" s="37" t="s">
        <v>1416</v>
      </c>
      <c r="S1081" s="37"/>
    </row>
    <row r="1082" spans="1:19" x14ac:dyDescent="0.3">
      <c r="A1082" s="41">
        <v>283</v>
      </c>
      <c r="B1082" s="37" t="s">
        <v>1415</v>
      </c>
      <c r="C1082" s="37" t="s">
        <v>1383</v>
      </c>
      <c r="D1082" s="37" t="s">
        <v>21</v>
      </c>
      <c r="E1082" s="37" t="s">
        <v>22</v>
      </c>
      <c r="F1082" s="42">
        <v>45291</v>
      </c>
      <c r="G1082" s="37">
        <v>2023</v>
      </c>
      <c r="H1082" s="37" t="s">
        <v>27</v>
      </c>
      <c r="I1082" s="39" t="s">
        <v>32</v>
      </c>
      <c r="J1082" s="37">
        <v>4.5</v>
      </c>
      <c r="K1082" s="56">
        <v>4.55</v>
      </c>
      <c r="L1082" s="65">
        <f t="shared" si="102"/>
        <v>1.0111111111111111</v>
      </c>
      <c r="M1082" s="65">
        <f t="shared" si="103"/>
        <v>1.0111111111111111</v>
      </c>
      <c r="N1082" s="37" t="s">
        <v>25</v>
      </c>
      <c r="O1082" s="37" t="s">
        <v>25</v>
      </c>
      <c r="P1082" s="40">
        <v>0</v>
      </c>
      <c r="Q1082" s="40">
        <v>0</v>
      </c>
      <c r="R1082" s="37" t="s">
        <v>1417</v>
      </c>
      <c r="S1082" s="37"/>
    </row>
    <row r="1083" spans="1:19" x14ac:dyDescent="0.3">
      <c r="A1083" s="37">
        <v>283</v>
      </c>
      <c r="B1083" s="37" t="s">
        <v>1415</v>
      </c>
      <c r="C1083" s="37" t="s">
        <v>1383</v>
      </c>
      <c r="D1083" s="37" t="s">
        <v>21</v>
      </c>
      <c r="E1083" s="37" t="s">
        <v>22</v>
      </c>
      <c r="F1083" s="42">
        <v>45473</v>
      </c>
      <c r="G1083" s="37">
        <v>2024</v>
      </c>
      <c r="H1083" s="37" t="s">
        <v>23</v>
      </c>
      <c r="I1083" s="39" t="s">
        <v>34</v>
      </c>
      <c r="J1083" s="37">
        <v>4.5</v>
      </c>
      <c r="K1083" s="37">
        <v>4.57</v>
      </c>
      <c r="L1083" s="65">
        <f t="shared" si="102"/>
        <v>1.0155555555555555</v>
      </c>
      <c r="M1083" s="65">
        <f t="shared" si="103"/>
        <v>1.0155555555555555</v>
      </c>
      <c r="N1083" s="37" t="s">
        <v>197</v>
      </c>
      <c r="O1083" s="37" t="s">
        <v>197</v>
      </c>
      <c r="P1083" s="37">
        <v>2</v>
      </c>
      <c r="Q1083" s="37">
        <v>2</v>
      </c>
      <c r="R1083" s="37" t="s">
        <v>1418</v>
      </c>
      <c r="S1083" s="37"/>
    </row>
    <row r="1084" spans="1:19" x14ac:dyDescent="0.3">
      <c r="A1084" s="36">
        <v>283</v>
      </c>
      <c r="B1084" s="37" t="s">
        <v>1415</v>
      </c>
      <c r="C1084" s="37" t="s">
        <v>1383</v>
      </c>
      <c r="D1084" s="37" t="s">
        <v>21</v>
      </c>
      <c r="E1084" s="37" t="s">
        <v>22</v>
      </c>
      <c r="F1084" s="42">
        <v>45657</v>
      </c>
      <c r="G1084" s="37">
        <v>2024</v>
      </c>
      <c r="H1084" s="37" t="s">
        <v>27</v>
      </c>
      <c r="I1084" s="39" t="s">
        <v>36</v>
      </c>
      <c r="J1084" s="37">
        <v>4.5</v>
      </c>
      <c r="K1084" s="43">
        <v>4.6399999999999997</v>
      </c>
      <c r="L1084" s="65">
        <f t="shared" si="102"/>
        <v>1.0311111111111111</v>
      </c>
      <c r="M1084" s="65">
        <f t="shared" si="103"/>
        <v>1.0311111111111111</v>
      </c>
      <c r="N1084" s="37" t="s">
        <v>197</v>
      </c>
      <c r="O1084" s="37" t="s">
        <v>197</v>
      </c>
      <c r="P1084" s="40">
        <v>2</v>
      </c>
      <c r="Q1084" s="40">
        <v>2</v>
      </c>
      <c r="R1084" s="37" t="s">
        <v>1419</v>
      </c>
      <c r="S1084" s="37"/>
    </row>
    <row r="1085" spans="1:19" x14ac:dyDescent="0.3">
      <c r="A1085" s="36">
        <v>284</v>
      </c>
      <c r="B1085" s="37" t="s">
        <v>1420</v>
      </c>
      <c r="C1085" s="37" t="s">
        <v>1383</v>
      </c>
      <c r="D1085" s="37" t="s">
        <v>21</v>
      </c>
      <c r="E1085" s="37" t="s">
        <v>22</v>
      </c>
      <c r="F1085" s="38">
        <v>45107</v>
      </c>
      <c r="G1085" s="37">
        <v>2023</v>
      </c>
      <c r="H1085" s="37" t="s">
        <v>23</v>
      </c>
      <c r="I1085" s="39" t="s">
        <v>30</v>
      </c>
      <c r="J1085" s="37"/>
      <c r="K1085" s="56">
        <v>15047</v>
      </c>
      <c r="L1085" s="46"/>
      <c r="M1085" s="65"/>
      <c r="N1085" s="37" t="s">
        <v>197</v>
      </c>
      <c r="O1085" s="37" t="s">
        <v>197</v>
      </c>
      <c r="P1085" s="40">
        <v>0</v>
      </c>
      <c r="Q1085" s="40">
        <v>0</v>
      </c>
      <c r="R1085" s="37" t="s">
        <v>1421</v>
      </c>
      <c r="S1085" s="37"/>
    </row>
    <row r="1086" spans="1:19" x14ac:dyDescent="0.3">
      <c r="A1086" s="41">
        <v>284</v>
      </c>
      <c r="B1086" s="37" t="s">
        <v>1420</v>
      </c>
      <c r="C1086" s="37" t="s">
        <v>1383</v>
      </c>
      <c r="D1086" s="37" t="s">
        <v>21</v>
      </c>
      <c r="E1086" s="37" t="s">
        <v>22</v>
      </c>
      <c r="F1086" s="42">
        <v>45291</v>
      </c>
      <c r="G1086" s="37">
        <v>2023</v>
      </c>
      <c r="H1086" s="37" t="s">
        <v>27</v>
      </c>
      <c r="I1086" s="39" t="s">
        <v>32</v>
      </c>
      <c r="J1086" s="37"/>
      <c r="K1086" s="56">
        <v>16281</v>
      </c>
      <c r="L1086" s="46"/>
      <c r="M1086" s="65"/>
      <c r="N1086" s="37" t="s">
        <v>197</v>
      </c>
      <c r="O1086" s="37" t="s">
        <v>197</v>
      </c>
      <c r="P1086" s="40">
        <v>0</v>
      </c>
      <c r="Q1086" s="40">
        <v>0</v>
      </c>
      <c r="R1086" s="37" t="s">
        <v>1422</v>
      </c>
      <c r="S1086" s="37"/>
    </row>
    <row r="1087" spans="1:19" x14ac:dyDescent="0.3">
      <c r="A1087" s="36">
        <v>285</v>
      </c>
      <c r="B1087" s="37" t="s">
        <v>1423</v>
      </c>
      <c r="C1087" s="37" t="s">
        <v>1383</v>
      </c>
      <c r="D1087" s="37" t="s">
        <v>21</v>
      </c>
      <c r="E1087" s="37" t="s">
        <v>22</v>
      </c>
      <c r="F1087" s="38">
        <v>45107</v>
      </c>
      <c r="G1087" s="37">
        <v>2023</v>
      </c>
      <c r="H1087" s="37" t="s">
        <v>23</v>
      </c>
      <c r="I1087" s="39" t="s">
        <v>30</v>
      </c>
      <c r="J1087" s="37">
        <v>100</v>
      </c>
      <c r="K1087" s="56">
        <v>100</v>
      </c>
      <c r="L1087" s="65">
        <f t="shared" ref="L1087:L1090" si="104">IFERROR(IF(OR(J1087=0,K1087=""),"",IF(E1087="Positivo",MIN(MAX(K1087/J1087,0),1.3),MIN(MAX(J1087/K1087,0),1.3))),"")</f>
        <v>1</v>
      </c>
      <c r="M1087" s="65">
        <f t="shared" ref="M1087:M1090" si="105">IFERROR(IF(OR(J1087=0,K1087=""),"",IF(E1087="Positivo",MAX(K1087/J1087,0),MAX(J1087/K1087,0))),"")</f>
        <v>1</v>
      </c>
      <c r="N1087" s="37" t="s">
        <v>25</v>
      </c>
      <c r="O1087" s="37" t="s">
        <v>25</v>
      </c>
      <c r="P1087" s="40">
        <v>0</v>
      </c>
      <c r="Q1087" s="40">
        <v>0</v>
      </c>
      <c r="R1087" s="37" t="s">
        <v>1424</v>
      </c>
      <c r="S1087" s="37"/>
    </row>
    <row r="1088" spans="1:19" x14ac:dyDescent="0.3">
      <c r="A1088" s="41">
        <v>285</v>
      </c>
      <c r="B1088" s="37" t="s">
        <v>1423</v>
      </c>
      <c r="C1088" s="37" t="s">
        <v>1383</v>
      </c>
      <c r="D1088" s="37" t="s">
        <v>21</v>
      </c>
      <c r="E1088" s="37" t="s">
        <v>22</v>
      </c>
      <c r="F1088" s="42">
        <v>45291</v>
      </c>
      <c r="G1088" s="37">
        <v>2023</v>
      </c>
      <c r="H1088" s="37" t="s">
        <v>27</v>
      </c>
      <c r="I1088" s="39" t="s">
        <v>32</v>
      </c>
      <c r="J1088" s="37">
        <v>100</v>
      </c>
      <c r="K1088" s="56">
        <v>100</v>
      </c>
      <c r="L1088" s="65">
        <f t="shared" si="104"/>
        <v>1</v>
      </c>
      <c r="M1088" s="65">
        <f t="shared" si="105"/>
        <v>1</v>
      </c>
      <c r="N1088" s="37" t="s">
        <v>25</v>
      </c>
      <c r="O1088" s="37" t="s">
        <v>25</v>
      </c>
      <c r="P1088" s="40">
        <v>0</v>
      </c>
      <c r="Q1088" s="40">
        <v>0</v>
      </c>
      <c r="R1088" s="37" t="s">
        <v>1425</v>
      </c>
      <c r="S1088" s="37"/>
    </row>
    <row r="1089" spans="1:19" x14ac:dyDescent="0.3">
      <c r="A1089" s="37">
        <v>285</v>
      </c>
      <c r="B1089" s="37" t="s">
        <v>1423</v>
      </c>
      <c r="C1089" s="37" t="s">
        <v>1383</v>
      </c>
      <c r="D1089" s="37" t="s">
        <v>21</v>
      </c>
      <c r="E1089" s="37" t="s">
        <v>22</v>
      </c>
      <c r="F1089" s="42">
        <v>45473</v>
      </c>
      <c r="G1089" s="37">
        <v>2024</v>
      </c>
      <c r="H1089" s="37" t="s">
        <v>23</v>
      </c>
      <c r="I1089" s="39" t="s">
        <v>34</v>
      </c>
      <c r="J1089" s="37">
        <v>100</v>
      </c>
      <c r="K1089" s="37">
        <v>100</v>
      </c>
      <c r="L1089" s="65">
        <f t="shared" si="104"/>
        <v>1</v>
      </c>
      <c r="M1089" s="65">
        <f t="shared" si="105"/>
        <v>1</v>
      </c>
      <c r="N1089" s="37" t="s">
        <v>25</v>
      </c>
      <c r="O1089" s="37" t="s">
        <v>25</v>
      </c>
      <c r="P1089" s="37">
        <v>0</v>
      </c>
      <c r="Q1089" s="37">
        <v>0</v>
      </c>
      <c r="R1089" s="37" t="s">
        <v>1426</v>
      </c>
      <c r="S1089" s="37"/>
    </row>
    <row r="1090" spans="1:19" x14ac:dyDescent="0.3">
      <c r="A1090" s="36">
        <v>285</v>
      </c>
      <c r="B1090" s="37" t="s">
        <v>1423</v>
      </c>
      <c r="C1090" s="37" t="s">
        <v>1383</v>
      </c>
      <c r="D1090" s="37" t="s">
        <v>21</v>
      </c>
      <c r="E1090" s="37" t="s">
        <v>22</v>
      </c>
      <c r="F1090" s="42">
        <v>45657</v>
      </c>
      <c r="G1090" s="37">
        <v>2024</v>
      </c>
      <c r="H1090" s="37" t="s">
        <v>27</v>
      </c>
      <c r="I1090" s="39" t="s">
        <v>36</v>
      </c>
      <c r="J1090" s="37">
        <v>100</v>
      </c>
      <c r="K1090" s="43">
        <v>100</v>
      </c>
      <c r="L1090" s="65">
        <f t="shared" si="104"/>
        <v>1</v>
      </c>
      <c r="M1090" s="65">
        <f t="shared" si="105"/>
        <v>1</v>
      </c>
      <c r="N1090" s="37" t="s">
        <v>25</v>
      </c>
      <c r="O1090" s="37" t="s">
        <v>25</v>
      </c>
      <c r="P1090" s="40">
        <v>0</v>
      </c>
      <c r="Q1090" s="40">
        <v>0</v>
      </c>
      <c r="R1090" s="37" t="s">
        <v>1427</v>
      </c>
      <c r="S1090" s="37"/>
    </row>
    <row r="1091" spans="1:19" x14ac:dyDescent="0.3">
      <c r="A1091" s="36">
        <v>286</v>
      </c>
      <c r="B1091" s="37" t="s">
        <v>1428</v>
      </c>
      <c r="C1091" s="37" t="s">
        <v>1383</v>
      </c>
      <c r="D1091" s="37" t="s">
        <v>21</v>
      </c>
      <c r="E1091" s="37" t="s">
        <v>22</v>
      </c>
      <c r="F1091" s="38">
        <v>45107</v>
      </c>
      <c r="G1091" s="37">
        <v>2023</v>
      </c>
      <c r="H1091" s="37" t="s">
        <v>23</v>
      </c>
      <c r="I1091" s="39" t="s">
        <v>30</v>
      </c>
      <c r="J1091" s="37"/>
      <c r="K1091" s="56">
        <v>1015</v>
      </c>
      <c r="L1091" s="46"/>
      <c r="M1091" s="65"/>
      <c r="N1091" s="37" t="s">
        <v>25</v>
      </c>
      <c r="O1091" s="37" t="s">
        <v>25</v>
      </c>
      <c r="P1091" s="40">
        <v>0</v>
      </c>
      <c r="Q1091" s="40">
        <v>0</v>
      </c>
      <c r="R1091" s="37" t="s">
        <v>1429</v>
      </c>
      <c r="S1091" s="37"/>
    </row>
    <row r="1092" spans="1:19" x14ac:dyDescent="0.3">
      <c r="A1092" s="41">
        <v>286</v>
      </c>
      <c r="B1092" s="37" t="s">
        <v>1428</v>
      </c>
      <c r="C1092" s="37" t="s">
        <v>1383</v>
      </c>
      <c r="D1092" s="37" t="s">
        <v>21</v>
      </c>
      <c r="E1092" s="37" t="s">
        <v>22</v>
      </c>
      <c r="F1092" s="42">
        <v>45291</v>
      </c>
      <c r="G1092" s="37">
        <v>2023</v>
      </c>
      <c r="H1092" s="37" t="s">
        <v>27</v>
      </c>
      <c r="I1092" s="39" t="s">
        <v>32</v>
      </c>
      <c r="J1092" s="37"/>
      <c r="K1092" s="56">
        <v>1017</v>
      </c>
      <c r="L1092" s="46"/>
      <c r="M1092" s="65"/>
      <c r="N1092" s="37" t="s">
        <v>25</v>
      </c>
      <c r="O1092" s="37" t="s">
        <v>25</v>
      </c>
      <c r="P1092" s="40">
        <v>0</v>
      </c>
      <c r="Q1092" s="40">
        <v>0</v>
      </c>
      <c r="R1092" s="37" t="s">
        <v>1430</v>
      </c>
      <c r="S1092" s="37"/>
    </row>
    <row r="1093" spans="1:19" x14ac:dyDescent="0.3">
      <c r="A1093" s="37">
        <v>286</v>
      </c>
      <c r="B1093" s="37" t="s">
        <v>1428</v>
      </c>
      <c r="C1093" s="37" t="s">
        <v>1383</v>
      </c>
      <c r="D1093" s="37" t="s">
        <v>21</v>
      </c>
      <c r="E1093" s="37" t="s">
        <v>22</v>
      </c>
      <c r="F1093" s="42">
        <v>45473</v>
      </c>
      <c r="G1093" s="37">
        <v>2024</v>
      </c>
      <c r="H1093" s="37" t="s">
        <v>23</v>
      </c>
      <c r="I1093" s="39" t="s">
        <v>34</v>
      </c>
      <c r="J1093" s="37">
        <v>0</v>
      </c>
      <c r="K1093" s="37">
        <v>1080</v>
      </c>
      <c r="L1093" s="65" t="str">
        <f>IFERROR(IF(OR(J1093=0,K1093=""),"",IF(E1093="Positivo",MIN(MAX(K1093/J1093,0),1.3),MIN(MAX(J1093/K1093,0),1.3))),"")</f>
        <v/>
      </c>
      <c r="M1093" s="65" t="str">
        <f>IFERROR(IF(OR(J1093=0,K1093=""),"",IF(E1093="Positivo",MAX(K1093/J1093,0),MAX(J1093/K1093,0))),"")</f>
        <v/>
      </c>
      <c r="N1093" s="37">
        <v>0</v>
      </c>
      <c r="O1093" s="37" t="s">
        <v>203</v>
      </c>
      <c r="P1093" s="37">
        <v>0</v>
      </c>
      <c r="Q1093" s="37">
        <v>0</v>
      </c>
      <c r="R1093" s="37" t="s">
        <v>1431</v>
      </c>
      <c r="S1093" s="37"/>
    </row>
    <row r="1094" spans="1:19" x14ac:dyDescent="0.3">
      <c r="A1094" s="36">
        <v>286</v>
      </c>
      <c r="B1094" s="37" t="s">
        <v>1428</v>
      </c>
      <c r="C1094" s="37" t="s">
        <v>1383</v>
      </c>
      <c r="D1094" s="37" t="s">
        <v>21</v>
      </c>
      <c r="E1094" s="37" t="s">
        <v>22</v>
      </c>
      <c r="F1094" s="42">
        <v>45657</v>
      </c>
      <c r="G1094" s="37">
        <v>2024</v>
      </c>
      <c r="H1094" s="37" t="s">
        <v>27</v>
      </c>
      <c r="I1094" s="39" t="s">
        <v>36</v>
      </c>
      <c r="J1094" s="37">
        <v>0</v>
      </c>
      <c r="K1094" s="43">
        <v>1018</v>
      </c>
      <c r="L1094" s="65" t="str">
        <f>IFERROR(IF(OR(J1094=0,K1094=""),"",IF(E1094="Positivo",MIN(MAX(K1094/J1094,0),1.3),MIN(MAX(J1094/K1094,0),1.3))),"")</f>
        <v/>
      </c>
      <c r="M1094" s="65" t="str">
        <f>IFERROR(IF(OR(J1094=0,K1094=""),"",IF(E1094="Positivo",MAX(K1094/J1094,0),MAX(J1094/K1094,0))),"")</f>
        <v/>
      </c>
      <c r="N1094" s="37">
        <v>0</v>
      </c>
      <c r="O1094" s="37" t="s">
        <v>203</v>
      </c>
      <c r="P1094" s="40">
        <v>0</v>
      </c>
      <c r="Q1094" s="40">
        <v>0</v>
      </c>
      <c r="R1094" s="37" t="s">
        <v>1432</v>
      </c>
      <c r="S1094" s="37"/>
    </row>
    <row r="1095" spans="1:19" x14ac:dyDescent="0.3">
      <c r="A1095" s="36">
        <v>288</v>
      </c>
      <c r="B1095" s="37" t="s">
        <v>1436</v>
      </c>
      <c r="C1095" s="37" t="s">
        <v>1383</v>
      </c>
      <c r="D1095" s="37" t="s">
        <v>21</v>
      </c>
      <c r="E1095" s="37" t="s">
        <v>22</v>
      </c>
      <c r="F1095" s="38">
        <v>45107</v>
      </c>
      <c r="G1095" s="37">
        <v>2023</v>
      </c>
      <c r="H1095" s="37" t="s">
        <v>23</v>
      </c>
      <c r="I1095" s="39" t="s">
        <v>30</v>
      </c>
      <c r="J1095" s="37">
        <v>16</v>
      </c>
      <c r="K1095" s="56">
        <v>18</v>
      </c>
      <c r="L1095" s="65">
        <f t="shared" ref="L1095:L1116" si="106">IFERROR(IF(OR(J1095=0,K1095=""),"",IF(E1095="Positivo",MIN(MAX(K1095/J1095,0),1.3),MIN(MAX(J1095/K1095,0),1.3))),"")</f>
        <v>1.125</v>
      </c>
      <c r="M1095" s="65">
        <f t="shared" ref="M1095:M1116" si="107">IFERROR(IF(OR(J1095=0,K1095=""),"",IF(E1095="Positivo",MAX(K1095/J1095,0),MAX(J1095/K1095,0))),"")</f>
        <v>1.125</v>
      </c>
      <c r="N1095" s="37">
        <v>0</v>
      </c>
      <c r="O1095" s="37" t="s">
        <v>203</v>
      </c>
      <c r="P1095" s="40">
        <v>0</v>
      </c>
      <c r="Q1095" s="40">
        <v>0</v>
      </c>
      <c r="R1095" s="37" t="s">
        <v>1437</v>
      </c>
      <c r="S1095" s="37"/>
    </row>
    <row r="1096" spans="1:19" x14ac:dyDescent="0.3">
      <c r="A1096" s="41">
        <v>288</v>
      </c>
      <c r="B1096" s="37" t="s">
        <v>1436</v>
      </c>
      <c r="C1096" s="37" t="s">
        <v>1383</v>
      </c>
      <c r="D1096" s="37" t="s">
        <v>21</v>
      </c>
      <c r="E1096" s="37" t="s">
        <v>22</v>
      </c>
      <c r="F1096" s="42">
        <v>45291</v>
      </c>
      <c r="G1096" s="37">
        <v>2023</v>
      </c>
      <c r="H1096" s="37" t="s">
        <v>27</v>
      </c>
      <c r="I1096" s="39" t="s">
        <v>32</v>
      </c>
      <c r="J1096" s="37">
        <v>16</v>
      </c>
      <c r="K1096" s="56">
        <v>18</v>
      </c>
      <c r="L1096" s="65">
        <f t="shared" si="106"/>
        <v>1.125</v>
      </c>
      <c r="M1096" s="65">
        <f t="shared" si="107"/>
        <v>1.125</v>
      </c>
      <c r="N1096" s="37">
        <v>0</v>
      </c>
      <c r="O1096" s="37" t="s">
        <v>203</v>
      </c>
      <c r="P1096" s="40">
        <v>0</v>
      </c>
      <c r="Q1096" s="40">
        <v>0</v>
      </c>
      <c r="R1096" s="37" t="s">
        <v>1438</v>
      </c>
      <c r="S1096" s="37"/>
    </row>
    <row r="1097" spans="1:19" x14ac:dyDescent="0.3">
      <c r="A1097" s="37">
        <v>288</v>
      </c>
      <c r="B1097" s="37" t="s">
        <v>1436</v>
      </c>
      <c r="C1097" s="37" t="s">
        <v>1383</v>
      </c>
      <c r="D1097" s="37" t="s">
        <v>21</v>
      </c>
      <c r="E1097" s="37" t="s">
        <v>22</v>
      </c>
      <c r="F1097" s="42">
        <v>45473</v>
      </c>
      <c r="G1097" s="37">
        <v>2024</v>
      </c>
      <c r="H1097" s="37" t="s">
        <v>23</v>
      </c>
      <c r="I1097" s="39" t="s">
        <v>34</v>
      </c>
      <c r="J1097" s="37">
        <v>14</v>
      </c>
      <c r="K1097" s="37">
        <v>26</v>
      </c>
      <c r="L1097" s="65">
        <f t="shared" si="106"/>
        <v>1.3</v>
      </c>
      <c r="M1097" s="65">
        <f t="shared" si="107"/>
        <v>1.8571428571428572</v>
      </c>
      <c r="N1097" s="37" t="s">
        <v>203</v>
      </c>
      <c r="O1097" s="37" t="s">
        <v>203</v>
      </c>
      <c r="P1097" s="37">
        <v>0</v>
      </c>
      <c r="Q1097" s="37">
        <v>0</v>
      </c>
      <c r="R1097" s="37" t="s">
        <v>1439</v>
      </c>
      <c r="S1097" s="37"/>
    </row>
    <row r="1098" spans="1:19" x14ac:dyDescent="0.3">
      <c r="A1098" s="37">
        <v>288</v>
      </c>
      <c r="B1098" s="37" t="s">
        <v>1436</v>
      </c>
      <c r="C1098" s="37" t="s">
        <v>1383</v>
      </c>
      <c r="D1098" s="37" t="s">
        <v>21</v>
      </c>
      <c r="E1098" s="37" t="s">
        <v>22</v>
      </c>
      <c r="F1098" s="42">
        <v>45657</v>
      </c>
      <c r="G1098" s="37">
        <v>2024</v>
      </c>
      <c r="H1098" s="37" t="s">
        <v>27</v>
      </c>
      <c r="I1098" s="37" t="s">
        <v>36</v>
      </c>
      <c r="J1098" s="37">
        <v>0</v>
      </c>
      <c r="K1098" s="37">
        <v>0</v>
      </c>
      <c r="L1098" s="65" t="str">
        <f t="shared" si="106"/>
        <v/>
      </c>
      <c r="M1098" s="65" t="str">
        <f t="shared" si="107"/>
        <v/>
      </c>
      <c r="N1098" s="37" t="s">
        <v>203</v>
      </c>
      <c r="O1098" s="37" t="s">
        <v>203</v>
      </c>
      <c r="P1098" s="37">
        <v>0</v>
      </c>
      <c r="Q1098" s="37">
        <v>0</v>
      </c>
      <c r="R1098" s="37" t="s">
        <v>1440</v>
      </c>
      <c r="S1098" s="37"/>
    </row>
    <row r="1099" spans="1:19" x14ac:dyDescent="0.3">
      <c r="A1099" s="36">
        <v>289</v>
      </c>
      <c r="B1099" s="37" t="s">
        <v>1441</v>
      </c>
      <c r="C1099" s="37" t="s">
        <v>258</v>
      </c>
      <c r="D1099" s="37" t="s">
        <v>39</v>
      </c>
      <c r="E1099" s="37" t="s">
        <v>22</v>
      </c>
      <c r="F1099" s="42">
        <v>45107</v>
      </c>
      <c r="G1099" s="37">
        <v>2023</v>
      </c>
      <c r="H1099" s="37" t="s">
        <v>23</v>
      </c>
      <c r="I1099" s="39" t="s">
        <v>30</v>
      </c>
      <c r="J1099" s="37">
        <v>95</v>
      </c>
      <c r="K1099" s="56">
        <v>85.714285714286007</v>
      </c>
      <c r="L1099" s="65">
        <f t="shared" si="106"/>
        <v>0.90225563909774742</v>
      </c>
      <c r="M1099" s="65">
        <f t="shared" si="107"/>
        <v>0.90225563909774742</v>
      </c>
      <c r="N1099" s="37" t="s">
        <v>25</v>
      </c>
      <c r="O1099" s="37" t="s">
        <v>25</v>
      </c>
      <c r="P1099" s="40">
        <v>1</v>
      </c>
      <c r="Q1099" s="40">
        <v>1</v>
      </c>
      <c r="R1099" s="37" t="s">
        <v>1442</v>
      </c>
      <c r="S1099" s="37"/>
    </row>
    <row r="1100" spans="1:19" x14ac:dyDescent="0.3">
      <c r="A1100" s="45">
        <v>289</v>
      </c>
      <c r="B1100" s="37" t="s">
        <v>1441</v>
      </c>
      <c r="C1100" s="37" t="s">
        <v>258</v>
      </c>
      <c r="D1100" s="37" t="s">
        <v>39</v>
      </c>
      <c r="E1100" s="37" t="s">
        <v>22</v>
      </c>
      <c r="F1100" s="42">
        <v>45199</v>
      </c>
      <c r="G1100" s="37">
        <v>2023</v>
      </c>
      <c r="H1100" s="37" t="s">
        <v>43</v>
      </c>
      <c r="I1100" s="39" t="s">
        <v>32</v>
      </c>
      <c r="J1100" s="37">
        <v>95</v>
      </c>
      <c r="K1100" s="56">
        <v>87.5</v>
      </c>
      <c r="L1100" s="65">
        <f t="shared" si="106"/>
        <v>0.92105263157894735</v>
      </c>
      <c r="M1100" s="65">
        <f t="shared" si="107"/>
        <v>0.92105263157894735</v>
      </c>
      <c r="N1100" s="37" t="s">
        <v>25</v>
      </c>
      <c r="O1100" s="37" t="s">
        <v>25</v>
      </c>
      <c r="P1100" s="40">
        <v>1</v>
      </c>
      <c r="Q1100" s="40">
        <v>1</v>
      </c>
      <c r="R1100" s="37" t="s">
        <v>1443</v>
      </c>
      <c r="S1100" s="37"/>
    </row>
    <row r="1101" spans="1:19" x14ac:dyDescent="0.3">
      <c r="A1101" s="37">
        <v>289</v>
      </c>
      <c r="B1101" s="37" t="s">
        <v>1441</v>
      </c>
      <c r="C1101" s="37" t="s">
        <v>258</v>
      </c>
      <c r="D1101" s="37" t="s">
        <v>39</v>
      </c>
      <c r="E1101" s="37" t="s">
        <v>22</v>
      </c>
      <c r="F1101" s="42">
        <v>45473</v>
      </c>
      <c r="G1101" s="37">
        <v>2024</v>
      </c>
      <c r="H1101" s="37" t="s">
        <v>23</v>
      </c>
      <c r="I1101" s="39" t="s">
        <v>34</v>
      </c>
      <c r="J1101" s="37">
        <v>95</v>
      </c>
      <c r="K1101" s="37">
        <v>100</v>
      </c>
      <c r="L1101" s="65">
        <f t="shared" si="106"/>
        <v>1.0526315789473684</v>
      </c>
      <c r="M1101" s="65">
        <f t="shared" si="107"/>
        <v>1.0526315789473684</v>
      </c>
      <c r="N1101" s="37" t="s">
        <v>25</v>
      </c>
      <c r="O1101" s="37" t="s">
        <v>25</v>
      </c>
      <c r="P1101" s="37">
        <v>0</v>
      </c>
      <c r="Q1101" s="37">
        <v>0</v>
      </c>
      <c r="R1101" s="37" t="s">
        <v>1444</v>
      </c>
      <c r="S1101" s="37"/>
    </row>
    <row r="1102" spans="1:19" x14ac:dyDescent="0.3">
      <c r="A1102" s="36">
        <v>289</v>
      </c>
      <c r="B1102" s="37" t="s">
        <v>1441</v>
      </c>
      <c r="C1102" s="37" t="s">
        <v>258</v>
      </c>
      <c r="D1102" s="37" t="s">
        <v>39</v>
      </c>
      <c r="E1102" s="37" t="s">
        <v>22</v>
      </c>
      <c r="F1102" s="42">
        <v>45565</v>
      </c>
      <c r="G1102" s="37">
        <v>2024</v>
      </c>
      <c r="H1102" s="37" t="s">
        <v>43</v>
      </c>
      <c r="I1102" s="39" t="s">
        <v>36</v>
      </c>
      <c r="J1102" s="37">
        <v>95</v>
      </c>
      <c r="K1102" s="43">
        <v>80</v>
      </c>
      <c r="L1102" s="65">
        <f t="shared" si="106"/>
        <v>0.84210526315789469</v>
      </c>
      <c r="M1102" s="65">
        <f t="shared" si="107"/>
        <v>0.84210526315789469</v>
      </c>
      <c r="N1102" s="37" t="s">
        <v>25</v>
      </c>
      <c r="O1102" s="37" t="s">
        <v>25</v>
      </c>
      <c r="P1102" s="40">
        <v>0</v>
      </c>
      <c r="Q1102" s="40">
        <v>0</v>
      </c>
      <c r="R1102" s="37" t="s">
        <v>1445</v>
      </c>
      <c r="S1102" s="37"/>
    </row>
    <row r="1103" spans="1:19" x14ac:dyDescent="0.3">
      <c r="A1103" s="36">
        <v>289</v>
      </c>
      <c r="B1103" s="37" t="s">
        <v>1441</v>
      </c>
      <c r="C1103" s="37" t="s">
        <v>258</v>
      </c>
      <c r="D1103" s="37" t="s">
        <v>39</v>
      </c>
      <c r="E1103" s="37" t="s">
        <v>22</v>
      </c>
      <c r="F1103" s="42">
        <v>45657</v>
      </c>
      <c r="G1103" s="37">
        <v>2024</v>
      </c>
      <c r="H1103" s="37" t="s">
        <v>27</v>
      </c>
      <c r="I1103" s="39" t="s">
        <v>36</v>
      </c>
      <c r="J1103" s="37">
        <v>95</v>
      </c>
      <c r="K1103" s="43">
        <v>100</v>
      </c>
      <c r="L1103" s="65">
        <f t="shared" si="106"/>
        <v>1.0526315789473684</v>
      </c>
      <c r="M1103" s="65">
        <f t="shared" si="107"/>
        <v>1.0526315789473684</v>
      </c>
      <c r="N1103" s="37" t="s">
        <v>25</v>
      </c>
      <c r="O1103" s="37" t="s">
        <v>25</v>
      </c>
      <c r="P1103" s="40">
        <v>0</v>
      </c>
      <c r="Q1103" s="40">
        <v>0</v>
      </c>
      <c r="R1103" s="37" t="s">
        <v>1446</v>
      </c>
      <c r="S1103" s="37"/>
    </row>
    <row r="1104" spans="1:19" x14ac:dyDescent="0.3">
      <c r="A1104" s="36">
        <v>290</v>
      </c>
      <c r="B1104" s="37" t="s">
        <v>1447</v>
      </c>
      <c r="C1104" s="37" t="s">
        <v>1448</v>
      </c>
      <c r="D1104" s="37" t="s">
        <v>121</v>
      </c>
      <c r="E1104" s="37" t="s">
        <v>22</v>
      </c>
      <c r="F1104" s="42">
        <v>45107</v>
      </c>
      <c r="G1104" s="37">
        <v>2023</v>
      </c>
      <c r="H1104" s="37" t="s">
        <v>23</v>
      </c>
      <c r="I1104" s="39" t="s">
        <v>30</v>
      </c>
      <c r="J1104" s="37">
        <v>90</v>
      </c>
      <c r="K1104" s="56">
        <v>100</v>
      </c>
      <c r="L1104" s="65">
        <f t="shared" si="106"/>
        <v>1.1111111111111112</v>
      </c>
      <c r="M1104" s="65">
        <f t="shared" si="107"/>
        <v>1.1111111111111112</v>
      </c>
      <c r="N1104" s="37" t="s">
        <v>25</v>
      </c>
      <c r="O1104" s="37" t="s">
        <v>25</v>
      </c>
      <c r="P1104" s="40">
        <v>0</v>
      </c>
      <c r="Q1104" s="40">
        <v>0</v>
      </c>
      <c r="R1104" s="37" t="s">
        <v>1449</v>
      </c>
      <c r="S1104" s="37"/>
    </row>
    <row r="1105" spans="1:19" x14ac:dyDescent="0.3">
      <c r="A1105" s="36">
        <v>290</v>
      </c>
      <c r="B1105" s="37" t="s">
        <v>1447</v>
      </c>
      <c r="C1105" s="37" t="s">
        <v>1448</v>
      </c>
      <c r="D1105" s="37" t="s">
        <v>121</v>
      </c>
      <c r="E1105" s="37" t="s">
        <v>22</v>
      </c>
      <c r="F1105" s="42">
        <v>45168</v>
      </c>
      <c r="G1105" s="37">
        <v>2023</v>
      </c>
      <c r="H1105" s="37" t="s">
        <v>86</v>
      </c>
      <c r="I1105" s="39" t="s">
        <v>32</v>
      </c>
      <c r="J1105" s="37">
        <v>90</v>
      </c>
      <c r="K1105" s="56">
        <v>81.819999999999993</v>
      </c>
      <c r="L1105" s="65">
        <f t="shared" si="106"/>
        <v>0.90911111111111098</v>
      </c>
      <c r="M1105" s="65">
        <f t="shared" si="107"/>
        <v>0.90911111111111098</v>
      </c>
      <c r="N1105" s="37" t="s">
        <v>25</v>
      </c>
      <c r="O1105" s="37" t="s">
        <v>25</v>
      </c>
      <c r="P1105" s="40">
        <v>0</v>
      </c>
      <c r="Q1105" s="40">
        <v>0</v>
      </c>
      <c r="R1105" s="37" t="s">
        <v>1450</v>
      </c>
      <c r="S1105" s="37"/>
    </row>
    <row r="1106" spans="1:19" x14ac:dyDescent="0.3">
      <c r="A1106" s="41">
        <v>290</v>
      </c>
      <c r="B1106" s="37" t="s">
        <v>1447</v>
      </c>
      <c r="C1106" s="37" t="s">
        <v>1448</v>
      </c>
      <c r="D1106" s="37" t="s">
        <v>121</v>
      </c>
      <c r="E1106" s="37" t="s">
        <v>22</v>
      </c>
      <c r="F1106" s="42">
        <v>45230</v>
      </c>
      <c r="G1106" s="37">
        <v>2023</v>
      </c>
      <c r="H1106" s="37" t="s">
        <v>89</v>
      </c>
      <c r="I1106" s="39" t="s">
        <v>32</v>
      </c>
      <c r="J1106" s="37">
        <v>90</v>
      </c>
      <c r="K1106" s="56">
        <v>90.91</v>
      </c>
      <c r="L1106" s="65">
        <f t="shared" si="106"/>
        <v>1.0101111111111112</v>
      </c>
      <c r="M1106" s="65">
        <f t="shared" si="107"/>
        <v>1.0101111111111112</v>
      </c>
      <c r="N1106" s="37" t="s">
        <v>25</v>
      </c>
      <c r="O1106" s="37" t="s">
        <v>25</v>
      </c>
      <c r="P1106" s="40">
        <v>0</v>
      </c>
      <c r="Q1106" s="40">
        <v>0</v>
      </c>
      <c r="R1106" s="37" t="s">
        <v>1451</v>
      </c>
      <c r="S1106" s="37"/>
    </row>
    <row r="1107" spans="1:19" x14ac:dyDescent="0.3">
      <c r="A1107" s="36">
        <v>290</v>
      </c>
      <c r="B1107" s="37" t="s">
        <v>1447</v>
      </c>
      <c r="C1107" s="37" t="s">
        <v>1448</v>
      </c>
      <c r="D1107" s="37" t="s">
        <v>121</v>
      </c>
      <c r="E1107" s="37" t="s">
        <v>22</v>
      </c>
      <c r="F1107" s="42">
        <v>45291</v>
      </c>
      <c r="G1107" s="37">
        <v>2023</v>
      </c>
      <c r="H1107" s="37" t="s">
        <v>27</v>
      </c>
      <c r="I1107" s="39" t="s">
        <v>32</v>
      </c>
      <c r="J1107" s="37">
        <v>90</v>
      </c>
      <c r="K1107" s="56">
        <v>80</v>
      </c>
      <c r="L1107" s="65">
        <f t="shared" si="106"/>
        <v>0.88888888888888884</v>
      </c>
      <c r="M1107" s="65">
        <f t="shared" si="107"/>
        <v>0.88888888888888884</v>
      </c>
      <c r="N1107" s="37" t="s">
        <v>25</v>
      </c>
      <c r="O1107" s="37" t="s">
        <v>25</v>
      </c>
      <c r="P1107" s="40">
        <v>0</v>
      </c>
      <c r="Q1107" s="40">
        <v>0</v>
      </c>
      <c r="R1107" s="37" t="s">
        <v>1452</v>
      </c>
      <c r="S1107" s="37"/>
    </row>
    <row r="1108" spans="1:19" x14ac:dyDescent="0.3">
      <c r="A1108" s="36">
        <v>290</v>
      </c>
      <c r="B1108" s="37" t="s">
        <v>1447</v>
      </c>
      <c r="C1108" s="37" t="s">
        <v>1448</v>
      </c>
      <c r="D1108" s="37" t="s">
        <v>121</v>
      </c>
      <c r="E1108" s="37" t="s">
        <v>22</v>
      </c>
      <c r="F1108" s="42">
        <v>45351</v>
      </c>
      <c r="G1108" s="37">
        <v>2024</v>
      </c>
      <c r="H1108" s="37" t="s">
        <v>76</v>
      </c>
      <c r="I1108" s="39" t="s">
        <v>34</v>
      </c>
      <c r="J1108" s="37">
        <v>90</v>
      </c>
      <c r="K1108" s="43">
        <v>91.666666666666998</v>
      </c>
      <c r="L1108" s="65">
        <f t="shared" si="106"/>
        <v>1.0185185185185222</v>
      </c>
      <c r="M1108" s="65">
        <f t="shared" si="107"/>
        <v>1.0185185185185222</v>
      </c>
      <c r="N1108" s="37"/>
      <c r="O1108" s="37"/>
      <c r="P1108" s="40">
        <v>0</v>
      </c>
      <c r="Q1108" s="40">
        <v>0</v>
      </c>
      <c r="R1108" s="37" t="s">
        <v>1453</v>
      </c>
      <c r="S1108" s="37"/>
    </row>
    <row r="1109" spans="1:19" x14ac:dyDescent="0.3">
      <c r="A1109" s="36">
        <v>290</v>
      </c>
      <c r="B1109" s="37" t="s">
        <v>1447</v>
      </c>
      <c r="C1109" s="37" t="s">
        <v>1448</v>
      </c>
      <c r="D1109" s="37" t="s">
        <v>121</v>
      </c>
      <c r="E1109" s="37" t="s">
        <v>22</v>
      </c>
      <c r="F1109" s="42">
        <v>45412</v>
      </c>
      <c r="G1109" s="37">
        <v>2024</v>
      </c>
      <c r="H1109" s="37" t="s">
        <v>79</v>
      </c>
      <c r="I1109" s="39" t="s">
        <v>34</v>
      </c>
      <c r="J1109" s="37">
        <v>90</v>
      </c>
      <c r="K1109" s="43">
        <v>100</v>
      </c>
      <c r="L1109" s="65">
        <f t="shared" si="106"/>
        <v>1.1111111111111112</v>
      </c>
      <c r="M1109" s="65">
        <f t="shared" si="107"/>
        <v>1.1111111111111112</v>
      </c>
      <c r="N1109" s="37"/>
      <c r="O1109" s="37"/>
      <c r="P1109" s="40">
        <v>0</v>
      </c>
      <c r="Q1109" s="40">
        <v>0</v>
      </c>
      <c r="R1109" s="37" t="s">
        <v>1454</v>
      </c>
      <c r="S1109" s="37"/>
    </row>
    <row r="1110" spans="1:19" x14ac:dyDescent="0.3">
      <c r="A1110" s="37">
        <v>290</v>
      </c>
      <c r="B1110" s="37" t="s">
        <v>1447</v>
      </c>
      <c r="C1110" s="37" t="s">
        <v>1448</v>
      </c>
      <c r="D1110" s="37" t="s">
        <v>121</v>
      </c>
      <c r="E1110" s="37" t="s">
        <v>22</v>
      </c>
      <c r="F1110" s="42">
        <v>45473</v>
      </c>
      <c r="G1110" s="37">
        <v>2024</v>
      </c>
      <c r="H1110" s="37" t="s">
        <v>23</v>
      </c>
      <c r="I1110" s="39" t="s">
        <v>34</v>
      </c>
      <c r="J1110" s="37">
        <v>90</v>
      </c>
      <c r="K1110" s="37">
        <v>100</v>
      </c>
      <c r="L1110" s="65">
        <f t="shared" si="106"/>
        <v>1.1111111111111112</v>
      </c>
      <c r="M1110" s="65">
        <f t="shared" si="107"/>
        <v>1.1111111111111112</v>
      </c>
      <c r="N1110" s="37"/>
      <c r="O1110" s="37"/>
      <c r="P1110" s="37">
        <v>0</v>
      </c>
      <c r="Q1110" s="37">
        <v>0</v>
      </c>
      <c r="R1110" s="37" t="s">
        <v>1455</v>
      </c>
      <c r="S1110" s="37"/>
    </row>
    <row r="1111" spans="1:19" x14ac:dyDescent="0.3">
      <c r="A1111" s="36">
        <v>290</v>
      </c>
      <c r="B1111" s="37" t="s">
        <v>1447</v>
      </c>
      <c r="C1111" s="37" t="s">
        <v>1448</v>
      </c>
      <c r="D1111" s="37" t="s">
        <v>121</v>
      </c>
      <c r="E1111" s="37" t="s">
        <v>22</v>
      </c>
      <c r="F1111" s="42">
        <v>45535</v>
      </c>
      <c r="G1111" s="37">
        <v>2024</v>
      </c>
      <c r="H1111" s="37" t="s">
        <v>86</v>
      </c>
      <c r="I1111" s="39" t="s">
        <v>36</v>
      </c>
      <c r="J1111" s="37">
        <v>90</v>
      </c>
      <c r="K1111" s="43">
        <v>100</v>
      </c>
      <c r="L1111" s="65">
        <f t="shared" si="106"/>
        <v>1.1111111111111112</v>
      </c>
      <c r="M1111" s="65">
        <f t="shared" si="107"/>
        <v>1.1111111111111112</v>
      </c>
      <c r="N1111" s="37"/>
      <c r="O1111" s="37"/>
      <c r="P1111" s="40">
        <v>0</v>
      </c>
      <c r="Q1111" s="40">
        <v>0</v>
      </c>
      <c r="R1111" s="37" t="s">
        <v>1456</v>
      </c>
      <c r="S1111" s="37"/>
    </row>
    <row r="1112" spans="1:19" x14ac:dyDescent="0.3">
      <c r="A1112" s="36">
        <v>290</v>
      </c>
      <c r="B1112" s="37" t="s">
        <v>1447</v>
      </c>
      <c r="C1112" s="37" t="s">
        <v>1448</v>
      </c>
      <c r="D1112" s="37" t="s">
        <v>121</v>
      </c>
      <c r="E1112" s="37" t="s">
        <v>22</v>
      </c>
      <c r="F1112" s="42">
        <v>45596</v>
      </c>
      <c r="G1112" s="37">
        <v>2024</v>
      </c>
      <c r="H1112" s="37" t="s">
        <v>89</v>
      </c>
      <c r="I1112" s="39" t="s">
        <v>36</v>
      </c>
      <c r="J1112" s="37">
        <v>90</v>
      </c>
      <c r="K1112" s="43">
        <v>100</v>
      </c>
      <c r="L1112" s="65">
        <f t="shared" si="106"/>
        <v>1.1111111111111112</v>
      </c>
      <c r="M1112" s="65">
        <f t="shared" si="107"/>
        <v>1.1111111111111112</v>
      </c>
      <c r="N1112" s="37"/>
      <c r="O1112" s="37"/>
      <c r="P1112" s="40">
        <v>0</v>
      </c>
      <c r="Q1112" s="40">
        <v>0</v>
      </c>
      <c r="R1112" s="37" t="s">
        <v>1457</v>
      </c>
      <c r="S1112" s="37"/>
    </row>
    <row r="1113" spans="1:19" x14ac:dyDescent="0.3">
      <c r="A1113" s="36">
        <v>290</v>
      </c>
      <c r="B1113" s="37" t="s">
        <v>1447</v>
      </c>
      <c r="C1113" s="37" t="s">
        <v>1448</v>
      </c>
      <c r="D1113" s="37" t="s">
        <v>121</v>
      </c>
      <c r="E1113" s="37" t="s">
        <v>22</v>
      </c>
      <c r="F1113" s="42">
        <v>45657</v>
      </c>
      <c r="G1113" s="37">
        <v>2024</v>
      </c>
      <c r="H1113" s="37" t="s">
        <v>27</v>
      </c>
      <c r="I1113" s="39" t="s">
        <v>36</v>
      </c>
      <c r="J1113" s="37">
        <v>90</v>
      </c>
      <c r="K1113" s="43">
        <v>100</v>
      </c>
      <c r="L1113" s="65">
        <f t="shared" si="106"/>
        <v>1.1111111111111112</v>
      </c>
      <c r="M1113" s="65">
        <f t="shared" si="107"/>
        <v>1.1111111111111112</v>
      </c>
      <c r="N1113" s="37"/>
      <c r="O1113" s="37"/>
      <c r="P1113" s="40">
        <v>0</v>
      </c>
      <c r="Q1113" s="40">
        <v>0</v>
      </c>
      <c r="R1113" s="37" t="s">
        <v>1458</v>
      </c>
      <c r="S1113" s="37"/>
    </row>
    <row r="1114" spans="1:19" x14ac:dyDescent="0.3">
      <c r="A1114" s="36">
        <v>291</v>
      </c>
      <c r="B1114" s="37" t="s">
        <v>1459</v>
      </c>
      <c r="C1114" s="37" t="s">
        <v>1460</v>
      </c>
      <c r="D1114" s="37" t="s">
        <v>21</v>
      </c>
      <c r="E1114" s="37" t="s">
        <v>22</v>
      </c>
      <c r="F1114" s="38">
        <v>45107</v>
      </c>
      <c r="G1114" s="37">
        <v>2023</v>
      </c>
      <c r="H1114" s="37" t="s">
        <v>23</v>
      </c>
      <c r="I1114" s="39" t="s">
        <v>30</v>
      </c>
      <c r="J1114" s="37">
        <v>100</v>
      </c>
      <c r="K1114" s="56">
        <v>100</v>
      </c>
      <c r="L1114" s="65">
        <f t="shared" si="106"/>
        <v>1</v>
      </c>
      <c r="M1114" s="65">
        <f t="shared" si="107"/>
        <v>1</v>
      </c>
      <c r="N1114" s="37" t="s">
        <v>25</v>
      </c>
      <c r="O1114" s="37" t="s">
        <v>25</v>
      </c>
      <c r="P1114" s="40">
        <v>0</v>
      </c>
      <c r="Q1114" s="40">
        <v>0</v>
      </c>
      <c r="R1114" s="37" t="s">
        <v>1461</v>
      </c>
      <c r="S1114" s="37"/>
    </row>
    <row r="1115" spans="1:19" x14ac:dyDescent="0.3">
      <c r="A1115" s="41">
        <v>291</v>
      </c>
      <c r="B1115" s="37" t="s">
        <v>1459</v>
      </c>
      <c r="C1115" s="37" t="s">
        <v>1460</v>
      </c>
      <c r="D1115" s="37" t="s">
        <v>21</v>
      </c>
      <c r="E1115" s="37" t="s">
        <v>22</v>
      </c>
      <c r="F1115" s="42">
        <v>45291</v>
      </c>
      <c r="G1115" s="37">
        <v>2023</v>
      </c>
      <c r="H1115" s="37" t="s">
        <v>27</v>
      </c>
      <c r="I1115" s="39" t="s">
        <v>32</v>
      </c>
      <c r="J1115" s="37">
        <v>100</v>
      </c>
      <c r="K1115" s="56">
        <v>100</v>
      </c>
      <c r="L1115" s="65">
        <f t="shared" si="106"/>
        <v>1</v>
      </c>
      <c r="M1115" s="65">
        <f t="shared" si="107"/>
        <v>1</v>
      </c>
      <c r="N1115" s="37" t="s">
        <v>25</v>
      </c>
      <c r="O1115" s="37" t="s">
        <v>25</v>
      </c>
      <c r="P1115" s="40">
        <v>0</v>
      </c>
      <c r="Q1115" s="40">
        <v>0</v>
      </c>
      <c r="R1115" s="37" t="s">
        <v>1462</v>
      </c>
      <c r="S1115" s="37"/>
    </row>
    <row r="1116" spans="1:19" x14ac:dyDescent="0.3">
      <c r="A1116" s="37">
        <v>291</v>
      </c>
      <c r="B1116" s="37" t="s">
        <v>1459</v>
      </c>
      <c r="C1116" s="37" t="s">
        <v>1460</v>
      </c>
      <c r="D1116" s="37" t="s">
        <v>21</v>
      </c>
      <c r="E1116" s="37" t="s">
        <v>22</v>
      </c>
      <c r="F1116" s="42">
        <v>45473</v>
      </c>
      <c r="G1116" s="37">
        <v>2024</v>
      </c>
      <c r="H1116" s="37" t="s">
        <v>23</v>
      </c>
      <c r="I1116" s="39" t="s">
        <v>34</v>
      </c>
      <c r="J1116" s="37">
        <v>100</v>
      </c>
      <c r="K1116" s="37">
        <v>100</v>
      </c>
      <c r="L1116" s="65">
        <f t="shared" si="106"/>
        <v>1</v>
      </c>
      <c r="M1116" s="65">
        <f t="shared" si="107"/>
        <v>1</v>
      </c>
      <c r="N1116" s="37" t="s">
        <v>25</v>
      </c>
      <c r="O1116" s="37" t="s">
        <v>25</v>
      </c>
      <c r="P1116" s="37">
        <v>0</v>
      </c>
      <c r="Q1116" s="37">
        <v>0</v>
      </c>
      <c r="R1116" s="37" t="s">
        <v>1463</v>
      </c>
      <c r="S1116" s="37"/>
    </row>
    <row r="1117" spans="1:19" x14ac:dyDescent="0.3">
      <c r="A1117" s="36">
        <v>291</v>
      </c>
      <c r="B1117" s="37" t="s">
        <v>1459</v>
      </c>
      <c r="C1117" s="37" t="s">
        <v>1460</v>
      </c>
      <c r="D1117" s="37" t="s">
        <v>21</v>
      </c>
      <c r="E1117" s="37" t="s">
        <v>22</v>
      </c>
      <c r="F1117" s="42">
        <v>45657</v>
      </c>
      <c r="G1117" s="37">
        <v>2024</v>
      </c>
      <c r="H1117" s="37" t="s">
        <v>27</v>
      </c>
      <c r="I1117" s="39" t="s">
        <v>36</v>
      </c>
      <c r="J1117" s="37">
        <v>100</v>
      </c>
      <c r="K1117" s="43">
        <v>100</v>
      </c>
      <c r="L1117" s="65">
        <f t="shared" ref="L1117:L1138" si="108">IFERROR(IF(OR(J1117=0,K1117=""),"",IF(E1117="Positivo",MIN(MAX(K1117/J1117,0),1.3),MIN(MAX(J1117/K1117,0),1.3))),"")</f>
        <v>1</v>
      </c>
      <c r="M1117" s="65">
        <f t="shared" ref="M1117:M1138" si="109">IFERROR(IF(OR(J1117=0,K1117=""),"",IF(E1117="Positivo",MAX(K1117/J1117,0),MAX(J1117/K1117,0))),"")</f>
        <v>1</v>
      </c>
      <c r="N1117" s="37" t="s">
        <v>25</v>
      </c>
      <c r="O1117" s="37" t="s">
        <v>25</v>
      </c>
      <c r="P1117" s="40">
        <v>0</v>
      </c>
      <c r="Q1117" s="40">
        <v>0</v>
      </c>
      <c r="R1117" s="37" t="s">
        <v>1464</v>
      </c>
      <c r="S1117" s="37"/>
    </row>
    <row r="1118" spans="1:19" x14ac:dyDescent="0.3">
      <c r="A1118" s="36">
        <v>292</v>
      </c>
      <c r="B1118" s="37" t="s">
        <v>1465</v>
      </c>
      <c r="C1118" s="37" t="s">
        <v>1460</v>
      </c>
      <c r="D1118" s="37" t="s">
        <v>21</v>
      </c>
      <c r="E1118" s="37" t="s">
        <v>22</v>
      </c>
      <c r="F1118" s="38">
        <v>45107</v>
      </c>
      <c r="G1118" s="37">
        <v>2023</v>
      </c>
      <c r="H1118" s="37" t="s">
        <v>23</v>
      </c>
      <c r="I1118" s="39" t="s">
        <v>30</v>
      </c>
      <c r="J1118" s="37">
        <v>3</v>
      </c>
      <c r="K1118" s="56">
        <v>10.990099009901</v>
      </c>
      <c r="L1118" s="65">
        <f t="shared" si="108"/>
        <v>1.3</v>
      </c>
      <c r="M1118" s="65">
        <f t="shared" si="109"/>
        <v>3.6633663366336666</v>
      </c>
      <c r="N1118" s="37" t="s">
        <v>25</v>
      </c>
      <c r="O1118" s="37" t="s">
        <v>25</v>
      </c>
      <c r="P1118" s="40">
        <v>0</v>
      </c>
      <c r="Q1118" s="40">
        <v>0</v>
      </c>
      <c r="R1118" s="37" t="s">
        <v>1466</v>
      </c>
      <c r="S1118" s="37"/>
    </row>
    <row r="1119" spans="1:19" x14ac:dyDescent="0.3">
      <c r="A1119" s="41">
        <v>292</v>
      </c>
      <c r="B1119" s="37" t="s">
        <v>1465</v>
      </c>
      <c r="C1119" s="37" t="s">
        <v>1460</v>
      </c>
      <c r="D1119" s="37" t="s">
        <v>21</v>
      </c>
      <c r="E1119" s="37" t="s">
        <v>22</v>
      </c>
      <c r="F1119" s="42">
        <v>45291</v>
      </c>
      <c r="G1119" s="37">
        <v>2023</v>
      </c>
      <c r="H1119" s="37" t="s">
        <v>27</v>
      </c>
      <c r="I1119" s="39" t="s">
        <v>32</v>
      </c>
      <c r="J1119" s="37">
        <v>3</v>
      </c>
      <c r="K1119" s="56">
        <v>27.659574468085001</v>
      </c>
      <c r="L1119" s="65">
        <f t="shared" si="108"/>
        <v>1.3</v>
      </c>
      <c r="M1119" s="65">
        <f t="shared" si="109"/>
        <v>9.2198581560283337</v>
      </c>
      <c r="N1119" s="37" t="s">
        <v>25</v>
      </c>
      <c r="O1119" s="37" t="s">
        <v>25</v>
      </c>
      <c r="P1119" s="40">
        <v>0</v>
      </c>
      <c r="Q1119" s="40">
        <v>0</v>
      </c>
      <c r="R1119" s="37" t="s">
        <v>1467</v>
      </c>
      <c r="S1119" s="37"/>
    </row>
    <row r="1120" spans="1:19" x14ac:dyDescent="0.3">
      <c r="A1120" s="37">
        <v>292</v>
      </c>
      <c r="B1120" s="37" t="s">
        <v>1465</v>
      </c>
      <c r="C1120" s="37" t="s">
        <v>1460</v>
      </c>
      <c r="D1120" s="37" t="s">
        <v>21</v>
      </c>
      <c r="E1120" s="37" t="s">
        <v>22</v>
      </c>
      <c r="F1120" s="42">
        <v>45473</v>
      </c>
      <c r="G1120" s="37">
        <v>2024</v>
      </c>
      <c r="H1120" s="37" t="s">
        <v>23</v>
      </c>
      <c r="I1120" s="39" t="s">
        <v>34</v>
      </c>
      <c r="J1120" s="37">
        <v>3</v>
      </c>
      <c r="K1120" s="37">
        <v>23.313905079100739</v>
      </c>
      <c r="L1120" s="65">
        <f t="shared" si="108"/>
        <v>1.3</v>
      </c>
      <c r="M1120" s="65">
        <f t="shared" si="109"/>
        <v>7.7713016930335792</v>
      </c>
      <c r="N1120" s="37" t="s">
        <v>25</v>
      </c>
      <c r="O1120" s="37" t="s">
        <v>25</v>
      </c>
      <c r="P1120" s="37">
        <v>0</v>
      </c>
      <c r="Q1120" s="37">
        <v>0</v>
      </c>
      <c r="R1120" s="37" t="s">
        <v>1468</v>
      </c>
      <c r="S1120" s="37"/>
    </row>
    <row r="1121" spans="1:19" x14ac:dyDescent="0.3">
      <c r="A1121" s="36">
        <v>292</v>
      </c>
      <c r="B1121" s="37" t="s">
        <v>1465</v>
      </c>
      <c r="C1121" s="37" t="s">
        <v>1460</v>
      </c>
      <c r="D1121" s="37" t="s">
        <v>21</v>
      </c>
      <c r="E1121" s="37" t="s">
        <v>22</v>
      </c>
      <c r="F1121" s="42">
        <v>45657</v>
      </c>
      <c r="G1121" s="37">
        <v>2024</v>
      </c>
      <c r="H1121" s="37" t="s">
        <v>27</v>
      </c>
      <c r="I1121" s="39" t="s">
        <v>36</v>
      </c>
      <c r="J1121" s="37">
        <v>3</v>
      </c>
      <c r="K1121" s="43">
        <v>14.263862332695989</v>
      </c>
      <c r="L1121" s="65">
        <f t="shared" si="108"/>
        <v>1.3</v>
      </c>
      <c r="M1121" s="65">
        <f t="shared" si="109"/>
        <v>4.7546207775653295</v>
      </c>
      <c r="N1121" s="37" t="s">
        <v>25</v>
      </c>
      <c r="O1121" s="37" t="s">
        <v>25</v>
      </c>
      <c r="P1121" s="40">
        <v>0</v>
      </c>
      <c r="Q1121" s="40">
        <v>0</v>
      </c>
      <c r="R1121" s="37" t="s">
        <v>1469</v>
      </c>
      <c r="S1121" s="37"/>
    </row>
    <row r="1122" spans="1:19" x14ac:dyDescent="0.3">
      <c r="A1122" s="36">
        <v>293</v>
      </c>
      <c r="B1122" s="37" t="s">
        <v>1472</v>
      </c>
      <c r="C1122" s="37" t="s">
        <v>1460</v>
      </c>
      <c r="D1122" s="37" t="s">
        <v>21</v>
      </c>
      <c r="E1122" s="37" t="s">
        <v>22</v>
      </c>
      <c r="F1122" s="38">
        <v>45107</v>
      </c>
      <c r="G1122" s="37">
        <v>2023</v>
      </c>
      <c r="H1122" s="37" t="s">
        <v>23</v>
      </c>
      <c r="I1122" s="39" t="s">
        <v>30</v>
      </c>
      <c r="J1122" s="37">
        <v>100</v>
      </c>
      <c r="K1122" s="56">
        <v>100</v>
      </c>
      <c r="L1122" s="65">
        <f t="shared" si="108"/>
        <v>1</v>
      </c>
      <c r="M1122" s="65">
        <f t="shared" si="109"/>
        <v>1</v>
      </c>
      <c r="N1122" s="37" t="s">
        <v>25</v>
      </c>
      <c r="O1122" s="37" t="s">
        <v>25</v>
      </c>
      <c r="P1122" s="40">
        <v>0</v>
      </c>
      <c r="Q1122" s="40">
        <v>0</v>
      </c>
      <c r="R1122" s="37" t="s">
        <v>1473</v>
      </c>
      <c r="S1122" s="37"/>
    </row>
    <row r="1123" spans="1:19" x14ac:dyDescent="0.3">
      <c r="A1123" s="41">
        <v>293</v>
      </c>
      <c r="B1123" s="37" t="s">
        <v>1472</v>
      </c>
      <c r="C1123" s="37" t="s">
        <v>1460</v>
      </c>
      <c r="D1123" s="37" t="s">
        <v>21</v>
      </c>
      <c r="E1123" s="37" t="s">
        <v>22</v>
      </c>
      <c r="F1123" s="42">
        <v>45291</v>
      </c>
      <c r="G1123" s="37">
        <v>2023</v>
      </c>
      <c r="H1123" s="37" t="s">
        <v>27</v>
      </c>
      <c r="I1123" s="39" t="s">
        <v>32</v>
      </c>
      <c r="J1123" s="37">
        <v>100</v>
      </c>
      <c r="K1123" s="56">
        <v>100</v>
      </c>
      <c r="L1123" s="65">
        <f t="shared" si="108"/>
        <v>1</v>
      </c>
      <c r="M1123" s="65">
        <f t="shared" si="109"/>
        <v>1</v>
      </c>
      <c r="N1123" s="37" t="s">
        <v>25</v>
      </c>
      <c r="O1123" s="37" t="s">
        <v>25</v>
      </c>
      <c r="P1123" s="40">
        <v>0</v>
      </c>
      <c r="Q1123" s="40">
        <v>0</v>
      </c>
      <c r="R1123" s="37" t="s">
        <v>1474</v>
      </c>
      <c r="S1123" s="37"/>
    </row>
    <row r="1124" spans="1:19" x14ac:dyDescent="0.3">
      <c r="A1124" s="37">
        <v>293</v>
      </c>
      <c r="B1124" s="37" t="s">
        <v>1472</v>
      </c>
      <c r="C1124" s="37" t="s">
        <v>1460</v>
      </c>
      <c r="D1124" s="37" t="s">
        <v>21</v>
      </c>
      <c r="E1124" s="37" t="s">
        <v>22</v>
      </c>
      <c r="F1124" s="42">
        <v>45473</v>
      </c>
      <c r="G1124" s="37">
        <v>2024</v>
      </c>
      <c r="H1124" s="37" t="s">
        <v>23</v>
      </c>
      <c r="I1124" s="39" t="s">
        <v>34</v>
      </c>
      <c r="J1124" s="37">
        <v>100</v>
      </c>
      <c r="K1124" s="37">
        <v>100</v>
      </c>
      <c r="L1124" s="65">
        <f t="shared" si="108"/>
        <v>1</v>
      </c>
      <c r="M1124" s="65">
        <f t="shared" si="109"/>
        <v>1</v>
      </c>
      <c r="N1124" s="37" t="s">
        <v>25</v>
      </c>
      <c r="O1124" s="37" t="s">
        <v>25</v>
      </c>
      <c r="P1124" s="37">
        <v>0</v>
      </c>
      <c r="Q1124" s="37">
        <v>0</v>
      </c>
      <c r="R1124" s="37" t="s">
        <v>1475</v>
      </c>
      <c r="S1124" s="37"/>
    </row>
    <row r="1125" spans="1:19" x14ac:dyDescent="0.3">
      <c r="A1125" s="36">
        <v>293</v>
      </c>
      <c r="B1125" s="37" t="s">
        <v>1472</v>
      </c>
      <c r="C1125" s="37" t="s">
        <v>1460</v>
      </c>
      <c r="D1125" s="37" t="s">
        <v>21</v>
      </c>
      <c r="E1125" s="37" t="s">
        <v>22</v>
      </c>
      <c r="F1125" s="42">
        <v>45657</v>
      </c>
      <c r="G1125" s="37">
        <v>2024</v>
      </c>
      <c r="H1125" s="37" t="s">
        <v>27</v>
      </c>
      <c r="I1125" s="39" t="s">
        <v>36</v>
      </c>
      <c r="J1125" s="37">
        <v>100</v>
      </c>
      <c r="K1125" s="43">
        <v>100</v>
      </c>
      <c r="L1125" s="65">
        <f t="shared" si="108"/>
        <v>1</v>
      </c>
      <c r="M1125" s="65">
        <f t="shared" si="109"/>
        <v>1</v>
      </c>
      <c r="N1125" s="37" t="s">
        <v>25</v>
      </c>
      <c r="O1125" s="37" t="s">
        <v>25</v>
      </c>
      <c r="P1125" s="40">
        <v>0</v>
      </c>
      <c r="Q1125" s="40">
        <v>0</v>
      </c>
      <c r="R1125" s="37" t="s">
        <v>1476</v>
      </c>
      <c r="S1125" s="37"/>
    </row>
    <row r="1126" spans="1:19" x14ac:dyDescent="0.3">
      <c r="A1126" s="36">
        <v>294</v>
      </c>
      <c r="B1126" s="37" t="s">
        <v>1477</v>
      </c>
      <c r="C1126" s="37" t="s">
        <v>1460</v>
      </c>
      <c r="D1126" s="37" t="s">
        <v>21</v>
      </c>
      <c r="E1126" s="37" t="s">
        <v>22</v>
      </c>
      <c r="F1126" s="38">
        <v>45107</v>
      </c>
      <c r="G1126" s="37">
        <v>2023</v>
      </c>
      <c r="H1126" s="37" t="s">
        <v>23</v>
      </c>
      <c r="I1126" s="39" t="s">
        <v>30</v>
      </c>
      <c r="J1126" s="37">
        <v>3</v>
      </c>
      <c r="K1126" s="56">
        <v>30.158730158729998</v>
      </c>
      <c r="L1126" s="65">
        <f t="shared" si="108"/>
        <v>1.3</v>
      </c>
      <c r="M1126" s="65">
        <f t="shared" si="109"/>
        <v>10.052910052909999</v>
      </c>
      <c r="N1126" s="37" t="s">
        <v>25</v>
      </c>
      <c r="O1126" s="37" t="s">
        <v>25</v>
      </c>
      <c r="P1126" s="40">
        <v>0</v>
      </c>
      <c r="Q1126" s="40">
        <v>0</v>
      </c>
      <c r="R1126" s="37" t="s">
        <v>1478</v>
      </c>
      <c r="S1126" s="37"/>
    </row>
    <row r="1127" spans="1:19" x14ac:dyDescent="0.3">
      <c r="A1127" s="41">
        <v>294</v>
      </c>
      <c r="B1127" s="37" t="s">
        <v>1477</v>
      </c>
      <c r="C1127" s="37" t="s">
        <v>1460</v>
      </c>
      <c r="D1127" s="37" t="s">
        <v>21</v>
      </c>
      <c r="E1127" s="37" t="s">
        <v>22</v>
      </c>
      <c r="F1127" s="42">
        <v>45291</v>
      </c>
      <c r="G1127" s="37">
        <v>2023</v>
      </c>
      <c r="H1127" s="37" t="s">
        <v>27</v>
      </c>
      <c r="I1127" s="39" t="s">
        <v>32</v>
      </c>
      <c r="J1127" s="37">
        <v>3</v>
      </c>
      <c r="K1127" s="56">
        <v>41.986754966886998</v>
      </c>
      <c r="L1127" s="65">
        <f t="shared" si="108"/>
        <v>1.3</v>
      </c>
      <c r="M1127" s="65">
        <f t="shared" si="109"/>
        <v>13.995584988962333</v>
      </c>
      <c r="N1127" s="37" t="s">
        <v>25</v>
      </c>
      <c r="O1127" s="37" t="s">
        <v>25</v>
      </c>
      <c r="P1127" s="40">
        <v>0</v>
      </c>
      <c r="Q1127" s="40">
        <v>0</v>
      </c>
      <c r="R1127" s="37" t="s">
        <v>1479</v>
      </c>
      <c r="S1127" s="37"/>
    </row>
    <row r="1128" spans="1:19" x14ac:dyDescent="0.3">
      <c r="A1128" s="37">
        <v>294</v>
      </c>
      <c r="B1128" s="37" t="s">
        <v>1477</v>
      </c>
      <c r="C1128" s="37" t="s">
        <v>1460</v>
      </c>
      <c r="D1128" s="37" t="s">
        <v>21</v>
      </c>
      <c r="E1128" s="37" t="s">
        <v>22</v>
      </c>
      <c r="F1128" s="42">
        <v>45473</v>
      </c>
      <c r="G1128" s="37">
        <v>2024</v>
      </c>
      <c r="H1128" s="37" t="s">
        <v>23</v>
      </c>
      <c r="I1128" s="39" t="s">
        <v>34</v>
      </c>
      <c r="J1128" s="37">
        <v>3</v>
      </c>
      <c r="K1128" s="37">
        <v>26.27669452181987</v>
      </c>
      <c r="L1128" s="65">
        <f t="shared" si="108"/>
        <v>1.3</v>
      </c>
      <c r="M1128" s="65">
        <f t="shared" si="109"/>
        <v>8.7588981739399561</v>
      </c>
      <c r="N1128" s="37" t="s">
        <v>25</v>
      </c>
      <c r="O1128" s="37" t="s">
        <v>25</v>
      </c>
      <c r="P1128" s="37">
        <v>0</v>
      </c>
      <c r="Q1128" s="37">
        <v>0</v>
      </c>
      <c r="R1128" s="37" t="s">
        <v>1480</v>
      </c>
      <c r="S1128" s="37"/>
    </row>
    <row r="1129" spans="1:19" x14ac:dyDescent="0.3">
      <c r="A1129" s="36">
        <v>294</v>
      </c>
      <c r="B1129" s="37" t="s">
        <v>1481</v>
      </c>
      <c r="C1129" s="37" t="s">
        <v>1460</v>
      </c>
      <c r="D1129" s="37" t="s">
        <v>21</v>
      </c>
      <c r="E1129" s="37" t="s">
        <v>22</v>
      </c>
      <c r="F1129" s="42">
        <v>45657</v>
      </c>
      <c r="G1129" s="37">
        <v>2024</v>
      </c>
      <c r="H1129" s="37" t="s">
        <v>27</v>
      </c>
      <c r="I1129" s="39" t="s">
        <v>36</v>
      </c>
      <c r="J1129" s="37">
        <v>3</v>
      </c>
      <c r="K1129" s="43">
        <v>5.5</v>
      </c>
      <c r="L1129" s="65">
        <f t="shared" si="108"/>
        <v>1.3</v>
      </c>
      <c r="M1129" s="65">
        <f t="shared" si="109"/>
        <v>1.8333333333333333</v>
      </c>
      <c r="N1129" s="37" t="s">
        <v>25</v>
      </c>
      <c r="O1129" s="37" t="s">
        <v>25</v>
      </c>
      <c r="P1129" s="40">
        <v>0</v>
      </c>
      <c r="Q1129" s="40">
        <v>0</v>
      </c>
      <c r="R1129" s="37" t="s">
        <v>1482</v>
      </c>
      <c r="S1129" s="37"/>
    </row>
    <row r="1130" spans="1:19" x14ac:dyDescent="0.3">
      <c r="A1130" s="36">
        <v>295</v>
      </c>
      <c r="B1130" s="37" t="s">
        <v>1485</v>
      </c>
      <c r="C1130" s="37" t="s">
        <v>120</v>
      </c>
      <c r="D1130" s="37" t="s">
        <v>21</v>
      </c>
      <c r="E1130" s="37" t="s">
        <v>22</v>
      </c>
      <c r="F1130" s="38">
        <v>45107</v>
      </c>
      <c r="G1130" s="37">
        <v>2023</v>
      </c>
      <c r="H1130" s="37" t="s">
        <v>23</v>
      </c>
      <c r="I1130" s="39" t="s">
        <v>30</v>
      </c>
      <c r="J1130" s="37">
        <v>11</v>
      </c>
      <c r="K1130" s="56">
        <v>5</v>
      </c>
      <c r="L1130" s="65">
        <f t="shared" si="108"/>
        <v>0.45454545454545453</v>
      </c>
      <c r="M1130" s="65">
        <f t="shared" si="109"/>
        <v>0.45454545454545453</v>
      </c>
      <c r="N1130" s="37" t="s">
        <v>25</v>
      </c>
      <c r="O1130" s="37" t="s">
        <v>25</v>
      </c>
      <c r="P1130" s="40">
        <v>0</v>
      </c>
      <c r="Q1130" s="40">
        <v>0</v>
      </c>
      <c r="R1130" s="37" t="s">
        <v>1486</v>
      </c>
      <c r="S1130" s="37"/>
    </row>
    <row r="1131" spans="1:19" x14ac:dyDescent="0.3">
      <c r="A1131" s="41">
        <v>295</v>
      </c>
      <c r="B1131" s="37" t="s">
        <v>1485</v>
      </c>
      <c r="C1131" s="37" t="s">
        <v>120</v>
      </c>
      <c r="D1131" s="37" t="s">
        <v>21</v>
      </c>
      <c r="E1131" s="37" t="s">
        <v>22</v>
      </c>
      <c r="F1131" s="42">
        <v>45291</v>
      </c>
      <c r="G1131" s="37">
        <v>2023</v>
      </c>
      <c r="H1131" s="37" t="s">
        <v>27</v>
      </c>
      <c r="I1131" s="39" t="s">
        <v>32</v>
      </c>
      <c r="J1131" s="37">
        <v>21</v>
      </c>
      <c r="K1131" s="56">
        <v>9</v>
      </c>
      <c r="L1131" s="65">
        <f t="shared" si="108"/>
        <v>0.42857142857142855</v>
      </c>
      <c r="M1131" s="65">
        <f t="shared" si="109"/>
        <v>0.42857142857142855</v>
      </c>
      <c r="N1131" s="37" t="s">
        <v>25</v>
      </c>
      <c r="O1131" s="37" t="s">
        <v>25</v>
      </c>
      <c r="P1131" s="40">
        <v>0</v>
      </c>
      <c r="Q1131" s="40">
        <v>0</v>
      </c>
      <c r="R1131" s="37" t="s">
        <v>1487</v>
      </c>
      <c r="S1131" s="37"/>
    </row>
    <row r="1132" spans="1:19" x14ac:dyDescent="0.3">
      <c r="A1132" s="37">
        <v>295</v>
      </c>
      <c r="B1132" s="37" t="s">
        <v>1485</v>
      </c>
      <c r="C1132" s="37" t="s">
        <v>120</v>
      </c>
      <c r="D1132" s="37" t="s">
        <v>21</v>
      </c>
      <c r="E1132" s="37" t="s">
        <v>22</v>
      </c>
      <c r="F1132" s="42">
        <v>45473</v>
      </c>
      <c r="G1132" s="37">
        <v>2024</v>
      </c>
      <c r="H1132" s="37" t="s">
        <v>23</v>
      </c>
      <c r="I1132" s="39" t="s">
        <v>34</v>
      </c>
      <c r="J1132" s="37">
        <v>60</v>
      </c>
      <c r="K1132" s="37">
        <v>52.38</v>
      </c>
      <c r="L1132" s="65">
        <f t="shared" si="108"/>
        <v>0.873</v>
      </c>
      <c r="M1132" s="65">
        <f t="shared" si="109"/>
        <v>0.873</v>
      </c>
      <c r="N1132" s="37" t="s">
        <v>203</v>
      </c>
      <c r="O1132" s="37" t="s">
        <v>203</v>
      </c>
      <c r="P1132" s="37">
        <v>0</v>
      </c>
      <c r="Q1132" s="37">
        <v>0</v>
      </c>
      <c r="R1132" s="37" t="s">
        <v>1488</v>
      </c>
      <c r="S1132" s="37"/>
    </row>
    <row r="1133" spans="1:19" x14ac:dyDescent="0.3">
      <c r="A1133" s="36">
        <v>296</v>
      </c>
      <c r="B1133" s="37" t="s">
        <v>1489</v>
      </c>
      <c r="C1133" s="37" t="s">
        <v>1490</v>
      </c>
      <c r="D1133" s="37" t="s">
        <v>121</v>
      </c>
      <c r="E1133" s="37" t="s">
        <v>22</v>
      </c>
      <c r="F1133" s="42">
        <v>45169</v>
      </c>
      <c r="G1133" s="37">
        <v>2023</v>
      </c>
      <c r="H1133" s="37" t="s">
        <v>86</v>
      </c>
      <c r="I1133" s="39" t="s">
        <v>32</v>
      </c>
      <c r="J1133" s="37">
        <v>70</v>
      </c>
      <c r="K1133" s="56">
        <v>70.91</v>
      </c>
      <c r="L1133" s="65">
        <f t="shared" si="108"/>
        <v>1.0129999999999999</v>
      </c>
      <c r="M1133" s="65">
        <f t="shared" si="109"/>
        <v>1.0129999999999999</v>
      </c>
      <c r="N1133" s="37" t="s">
        <v>203</v>
      </c>
      <c r="O1133" s="37" t="s">
        <v>203</v>
      </c>
      <c r="P1133" s="40">
        <v>0</v>
      </c>
      <c r="Q1133" s="40">
        <v>0</v>
      </c>
      <c r="R1133" s="37" t="s">
        <v>1491</v>
      </c>
      <c r="S1133" s="37"/>
    </row>
    <row r="1134" spans="1:19" x14ac:dyDescent="0.3">
      <c r="A1134" s="36">
        <v>296</v>
      </c>
      <c r="B1134" s="37" t="s">
        <v>1489</v>
      </c>
      <c r="C1134" s="37" t="s">
        <v>1490</v>
      </c>
      <c r="D1134" s="37" t="s">
        <v>121</v>
      </c>
      <c r="E1134" s="37" t="s">
        <v>22</v>
      </c>
      <c r="F1134" s="42">
        <v>45230</v>
      </c>
      <c r="G1134" s="37">
        <v>2023</v>
      </c>
      <c r="H1134" s="37" t="s">
        <v>89</v>
      </c>
      <c r="I1134" s="39" t="s">
        <v>32</v>
      </c>
      <c r="J1134" s="37">
        <v>80</v>
      </c>
      <c r="K1134" s="56">
        <v>80</v>
      </c>
      <c r="L1134" s="65">
        <f t="shared" si="108"/>
        <v>1</v>
      </c>
      <c r="M1134" s="65">
        <f t="shared" si="109"/>
        <v>1</v>
      </c>
      <c r="N1134" s="37" t="s">
        <v>203</v>
      </c>
      <c r="O1134" s="37" t="s">
        <v>203</v>
      </c>
      <c r="P1134" s="40">
        <v>0</v>
      </c>
      <c r="Q1134" s="40">
        <v>0</v>
      </c>
      <c r="R1134" s="37" t="s">
        <v>1492</v>
      </c>
      <c r="S1134" s="37"/>
    </row>
    <row r="1135" spans="1:19" x14ac:dyDescent="0.3">
      <c r="A1135" s="41">
        <v>296</v>
      </c>
      <c r="B1135" s="37" t="s">
        <v>1489</v>
      </c>
      <c r="C1135" s="37" t="s">
        <v>1490</v>
      </c>
      <c r="D1135" s="37" t="s">
        <v>121</v>
      </c>
      <c r="E1135" s="37" t="s">
        <v>22</v>
      </c>
      <c r="F1135" s="42">
        <v>45291</v>
      </c>
      <c r="G1135" s="37">
        <v>2023</v>
      </c>
      <c r="H1135" s="37" t="s">
        <v>27</v>
      </c>
      <c r="I1135" s="39" t="s">
        <v>32</v>
      </c>
      <c r="J1135" s="37">
        <v>100</v>
      </c>
      <c r="K1135" s="56">
        <v>85.45</v>
      </c>
      <c r="L1135" s="65">
        <f t="shared" si="108"/>
        <v>0.85450000000000004</v>
      </c>
      <c r="M1135" s="65">
        <f t="shared" si="109"/>
        <v>0.85450000000000004</v>
      </c>
      <c r="N1135" s="37" t="s">
        <v>203</v>
      </c>
      <c r="O1135" s="37" t="s">
        <v>203</v>
      </c>
      <c r="P1135" s="40">
        <v>0</v>
      </c>
      <c r="Q1135" s="40">
        <v>0</v>
      </c>
      <c r="R1135" s="37" t="s">
        <v>1493</v>
      </c>
      <c r="S1135" s="37"/>
    </row>
    <row r="1136" spans="1:19" x14ac:dyDescent="0.3">
      <c r="A1136" s="36">
        <v>297</v>
      </c>
      <c r="B1136" s="37" t="s">
        <v>1494</v>
      </c>
      <c r="C1136" s="37" t="s">
        <v>1490</v>
      </c>
      <c r="D1136" s="37" t="s">
        <v>121</v>
      </c>
      <c r="E1136" s="37" t="s">
        <v>56</v>
      </c>
      <c r="F1136" s="42">
        <v>45169</v>
      </c>
      <c r="G1136" s="37">
        <v>2023</v>
      </c>
      <c r="H1136" s="37" t="s">
        <v>86</v>
      </c>
      <c r="I1136" s="39" t="s">
        <v>32</v>
      </c>
      <c r="J1136" s="37">
        <v>20</v>
      </c>
      <c r="K1136" s="56">
        <v>0</v>
      </c>
      <c r="L1136" s="65" t="str">
        <f t="shared" si="108"/>
        <v/>
      </c>
      <c r="M1136" s="65" t="str">
        <f t="shared" si="109"/>
        <v/>
      </c>
      <c r="N1136" s="37" t="s">
        <v>203</v>
      </c>
      <c r="O1136" s="37" t="s">
        <v>203</v>
      </c>
      <c r="P1136" s="40">
        <v>0</v>
      </c>
      <c r="Q1136" s="40">
        <v>0</v>
      </c>
      <c r="R1136" s="37" t="s">
        <v>1495</v>
      </c>
      <c r="S1136" s="37"/>
    </row>
    <row r="1137" spans="1:19" x14ac:dyDescent="0.3">
      <c r="A1137" s="36">
        <v>297</v>
      </c>
      <c r="B1137" s="37" t="s">
        <v>1494</v>
      </c>
      <c r="C1137" s="37" t="s">
        <v>1490</v>
      </c>
      <c r="D1137" s="37" t="s">
        <v>121</v>
      </c>
      <c r="E1137" s="37" t="s">
        <v>56</v>
      </c>
      <c r="F1137" s="42">
        <v>45230</v>
      </c>
      <c r="G1137" s="37">
        <v>2023</v>
      </c>
      <c r="H1137" s="37" t="s">
        <v>89</v>
      </c>
      <c r="I1137" s="39" t="s">
        <v>32</v>
      </c>
      <c r="J1137" s="37">
        <v>20</v>
      </c>
      <c r="K1137" s="56">
        <v>1.19</v>
      </c>
      <c r="L1137" s="65">
        <f t="shared" si="108"/>
        <v>1.3</v>
      </c>
      <c r="M1137" s="65">
        <f t="shared" si="109"/>
        <v>16.806722689075631</v>
      </c>
      <c r="N1137" s="37" t="s">
        <v>203</v>
      </c>
      <c r="O1137" s="37" t="s">
        <v>197</v>
      </c>
      <c r="P1137" s="40">
        <v>2</v>
      </c>
      <c r="Q1137" s="40">
        <v>2</v>
      </c>
      <c r="R1137" s="37" t="s">
        <v>1496</v>
      </c>
      <c r="S1137" s="37"/>
    </row>
    <row r="1138" spans="1:19" x14ac:dyDescent="0.3">
      <c r="A1138" s="37">
        <v>297</v>
      </c>
      <c r="B1138" s="37" t="s">
        <v>1494</v>
      </c>
      <c r="C1138" s="37" t="s">
        <v>1490</v>
      </c>
      <c r="D1138" s="37" t="s">
        <v>121</v>
      </c>
      <c r="E1138" s="37" t="s">
        <v>56</v>
      </c>
      <c r="F1138" s="42">
        <v>45291</v>
      </c>
      <c r="G1138" s="37">
        <v>2023</v>
      </c>
      <c r="H1138" s="37" t="s">
        <v>27</v>
      </c>
      <c r="I1138" s="39" t="s">
        <v>32</v>
      </c>
      <c r="J1138" s="37">
        <v>20</v>
      </c>
      <c r="K1138" s="56">
        <v>0.93</v>
      </c>
      <c r="L1138" s="65">
        <f t="shared" si="108"/>
        <v>1.3</v>
      </c>
      <c r="M1138" s="65">
        <f t="shared" si="109"/>
        <v>21.50537634408602</v>
      </c>
      <c r="N1138" s="37" t="s">
        <v>203</v>
      </c>
      <c r="O1138" s="37" t="s">
        <v>197</v>
      </c>
      <c r="P1138" s="40">
        <v>0</v>
      </c>
      <c r="Q1138" s="40">
        <v>0</v>
      </c>
      <c r="R1138" s="37" t="s">
        <v>1497</v>
      </c>
      <c r="S1138" s="37"/>
    </row>
    <row r="1139" spans="1:19" x14ac:dyDescent="0.3">
      <c r="A1139" s="41">
        <v>298</v>
      </c>
      <c r="B1139" s="37" t="s">
        <v>1498</v>
      </c>
      <c r="C1139" s="37" t="s">
        <v>1490</v>
      </c>
      <c r="D1139" s="37" t="s">
        <v>21</v>
      </c>
      <c r="E1139" s="37" t="s">
        <v>56</v>
      </c>
      <c r="F1139" s="42">
        <v>45291</v>
      </c>
      <c r="G1139" s="37">
        <v>2023</v>
      </c>
      <c r="H1139" s="37" t="s">
        <v>27</v>
      </c>
      <c r="I1139" s="39" t="s">
        <v>32</v>
      </c>
      <c r="J1139" s="37"/>
      <c r="K1139" s="56">
        <v>1</v>
      </c>
      <c r="L1139" s="46"/>
      <c r="M1139" s="46"/>
      <c r="N1139" s="37" t="s">
        <v>670</v>
      </c>
      <c r="O1139" s="37" t="s">
        <v>197</v>
      </c>
      <c r="P1139" s="40">
        <v>0</v>
      </c>
      <c r="Q1139" s="40">
        <v>0</v>
      </c>
      <c r="R1139" s="37" t="s">
        <v>1499</v>
      </c>
      <c r="S1139" s="37"/>
    </row>
    <row r="1140" spans="1:19" x14ac:dyDescent="0.3">
      <c r="A1140" s="36">
        <v>300</v>
      </c>
      <c r="B1140" s="37" t="s">
        <v>1500</v>
      </c>
      <c r="C1140" s="37" t="s">
        <v>1501</v>
      </c>
      <c r="D1140" s="37" t="s">
        <v>39</v>
      </c>
      <c r="E1140" s="37" t="s">
        <v>22</v>
      </c>
      <c r="F1140" s="42">
        <v>45016</v>
      </c>
      <c r="G1140" s="37">
        <v>2023</v>
      </c>
      <c r="H1140" s="37" t="s">
        <v>40</v>
      </c>
      <c r="I1140" s="39" t="s">
        <v>30</v>
      </c>
      <c r="J1140" s="37">
        <v>8</v>
      </c>
      <c r="K1140" s="56">
        <v>8</v>
      </c>
      <c r="L1140" s="65">
        <f t="shared" ref="L1140:L1159" si="110">IFERROR(IF(OR(J1140=0,K1140=""),"",IF(E1140="Positivo",MIN(MAX(K1140/J1140,0),1.3),MIN(MAX(J1140/K1140,0),1.3))),"")</f>
        <v>1</v>
      </c>
      <c r="M1140" s="65">
        <f t="shared" ref="M1140:M1159" si="111">IFERROR(IF(OR(J1140=0,K1140=""),"",IF(E1140="Positivo",MAX(K1140/J1140,0),MAX(J1140/K1140,0))),"")</f>
        <v>1</v>
      </c>
      <c r="N1140" s="37" t="s">
        <v>25</v>
      </c>
      <c r="O1140" s="37" t="s">
        <v>25</v>
      </c>
      <c r="P1140" s="40">
        <v>0</v>
      </c>
      <c r="Q1140" s="40">
        <v>0</v>
      </c>
      <c r="R1140" s="37" t="s">
        <v>1502</v>
      </c>
      <c r="S1140" s="37"/>
    </row>
    <row r="1141" spans="1:19" x14ac:dyDescent="0.3">
      <c r="A1141" s="36">
        <v>300</v>
      </c>
      <c r="B1141" s="37" t="s">
        <v>1500</v>
      </c>
      <c r="C1141" s="37" t="s">
        <v>1501</v>
      </c>
      <c r="D1141" s="37" t="s">
        <v>39</v>
      </c>
      <c r="E1141" s="37" t="s">
        <v>22</v>
      </c>
      <c r="F1141" s="42">
        <v>45107</v>
      </c>
      <c r="G1141" s="37">
        <v>2023</v>
      </c>
      <c r="H1141" s="37" t="s">
        <v>23</v>
      </c>
      <c r="I1141" s="39" t="s">
        <v>30</v>
      </c>
      <c r="J1141" s="37">
        <v>8</v>
      </c>
      <c r="K1141" s="56">
        <v>8</v>
      </c>
      <c r="L1141" s="65">
        <f t="shared" si="110"/>
        <v>1</v>
      </c>
      <c r="M1141" s="65">
        <f t="shared" si="111"/>
        <v>1</v>
      </c>
      <c r="N1141" s="37" t="s">
        <v>25</v>
      </c>
      <c r="O1141" s="37" t="s">
        <v>25</v>
      </c>
      <c r="P1141" s="40">
        <v>0</v>
      </c>
      <c r="Q1141" s="40">
        <v>0</v>
      </c>
      <c r="R1141" s="37" t="s">
        <v>1503</v>
      </c>
      <c r="S1141" s="37"/>
    </row>
    <row r="1142" spans="1:19" x14ac:dyDescent="0.3">
      <c r="A1142" s="45">
        <v>300</v>
      </c>
      <c r="B1142" s="37" t="s">
        <v>1500</v>
      </c>
      <c r="C1142" s="37" t="s">
        <v>1501</v>
      </c>
      <c r="D1142" s="37" t="s">
        <v>39</v>
      </c>
      <c r="E1142" s="37" t="s">
        <v>22</v>
      </c>
      <c r="F1142" s="42">
        <v>45199</v>
      </c>
      <c r="G1142" s="37">
        <v>2023</v>
      </c>
      <c r="H1142" s="37" t="s">
        <v>43</v>
      </c>
      <c r="I1142" s="39" t="s">
        <v>32</v>
      </c>
      <c r="J1142" s="37">
        <v>11</v>
      </c>
      <c r="K1142" s="56">
        <v>11</v>
      </c>
      <c r="L1142" s="65">
        <f t="shared" si="110"/>
        <v>1</v>
      </c>
      <c r="M1142" s="65">
        <f t="shared" si="111"/>
        <v>1</v>
      </c>
      <c r="N1142" s="37" t="s">
        <v>25</v>
      </c>
      <c r="O1142" s="37" t="s">
        <v>25</v>
      </c>
      <c r="P1142" s="40">
        <v>0</v>
      </c>
      <c r="Q1142" s="40">
        <v>0</v>
      </c>
      <c r="R1142" s="37" t="s">
        <v>1504</v>
      </c>
      <c r="S1142" s="37"/>
    </row>
    <row r="1143" spans="1:19" x14ac:dyDescent="0.3">
      <c r="A1143" s="41">
        <v>300</v>
      </c>
      <c r="B1143" s="37" t="s">
        <v>1500</v>
      </c>
      <c r="C1143" s="37" t="s">
        <v>1501</v>
      </c>
      <c r="D1143" s="37" t="s">
        <v>39</v>
      </c>
      <c r="E1143" s="37" t="s">
        <v>22</v>
      </c>
      <c r="F1143" s="42">
        <v>45291</v>
      </c>
      <c r="G1143" s="37">
        <v>2023</v>
      </c>
      <c r="H1143" s="37" t="s">
        <v>27</v>
      </c>
      <c r="I1143" s="39" t="s">
        <v>32</v>
      </c>
      <c r="J1143" s="37">
        <v>11</v>
      </c>
      <c r="K1143" s="56">
        <v>11</v>
      </c>
      <c r="L1143" s="65">
        <f t="shared" si="110"/>
        <v>1</v>
      </c>
      <c r="M1143" s="65">
        <f t="shared" si="111"/>
        <v>1</v>
      </c>
      <c r="N1143" s="37" t="s">
        <v>25</v>
      </c>
      <c r="O1143" s="37" t="s">
        <v>25</v>
      </c>
      <c r="P1143" s="40">
        <v>0</v>
      </c>
      <c r="Q1143" s="40">
        <v>0</v>
      </c>
      <c r="R1143" s="37" t="s">
        <v>1505</v>
      </c>
      <c r="S1143" s="37"/>
    </row>
    <row r="1144" spans="1:19" x14ac:dyDescent="0.3">
      <c r="A1144" s="36">
        <v>300</v>
      </c>
      <c r="B1144" s="37" t="s">
        <v>1500</v>
      </c>
      <c r="C1144" s="37" t="s">
        <v>1501</v>
      </c>
      <c r="D1144" s="37" t="s">
        <v>39</v>
      </c>
      <c r="E1144" s="37" t="s">
        <v>22</v>
      </c>
      <c r="F1144" s="42">
        <v>45382</v>
      </c>
      <c r="G1144" s="37">
        <v>2024</v>
      </c>
      <c r="H1144" s="37" t="s">
        <v>40</v>
      </c>
      <c r="I1144" s="39" t="s">
        <v>34</v>
      </c>
      <c r="J1144" s="37">
        <v>12</v>
      </c>
      <c r="K1144" s="43">
        <v>12</v>
      </c>
      <c r="L1144" s="65">
        <f t="shared" si="110"/>
        <v>1</v>
      </c>
      <c r="M1144" s="65">
        <f t="shared" si="111"/>
        <v>1</v>
      </c>
      <c r="N1144" s="37" t="s">
        <v>25</v>
      </c>
      <c r="O1144" s="37" t="s">
        <v>25</v>
      </c>
      <c r="P1144" s="40">
        <v>0</v>
      </c>
      <c r="Q1144" s="40">
        <v>0</v>
      </c>
      <c r="R1144" s="37" t="s">
        <v>1506</v>
      </c>
      <c r="S1144" s="37"/>
    </row>
    <row r="1145" spans="1:19" x14ac:dyDescent="0.3">
      <c r="A1145" s="37">
        <v>300</v>
      </c>
      <c r="B1145" s="37" t="s">
        <v>1500</v>
      </c>
      <c r="C1145" s="37" t="s">
        <v>1501</v>
      </c>
      <c r="D1145" s="37" t="s">
        <v>39</v>
      </c>
      <c r="E1145" s="37" t="s">
        <v>22</v>
      </c>
      <c r="F1145" s="42">
        <v>45473</v>
      </c>
      <c r="G1145" s="37">
        <v>2024</v>
      </c>
      <c r="H1145" s="37" t="s">
        <v>23</v>
      </c>
      <c r="I1145" s="39" t="s">
        <v>34</v>
      </c>
      <c r="J1145" s="37">
        <v>12</v>
      </c>
      <c r="K1145" s="37">
        <v>12</v>
      </c>
      <c r="L1145" s="65">
        <f t="shared" si="110"/>
        <v>1</v>
      </c>
      <c r="M1145" s="65">
        <f t="shared" si="111"/>
        <v>1</v>
      </c>
      <c r="N1145" s="37" t="s">
        <v>25</v>
      </c>
      <c r="O1145" s="37" t="s">
        <v>25</v>
      </c>
      <c r="P1145" s="37">
        <v>0</v>
      </c>
      <c r="Q1145" s="37">
        <v>0</v>
      </c>
      <c r="R1145" s="37" t="s">
        <v>1507</v>
      </c>
      <c r="S1145" s="37"/>
    </row>
    <row r="1146" spans="1:19" x14ac:dyDescent="0.3">
      <c r="A1146" s="36">
        <v>300</v>
      </c>
      <c r="B1146" s="37" t="s">
        <v>1500</v>
      </c>
      <c r="C1146" s="37" t="s">
        <v>1501</v>
      </c>
      <c r="D1146" s="37" t="s">
        <v>39</v>
      </c>
      <c r="E1146" s="37" t="s">
        <v>22</v>
      </c>
      <c r="F1146" s="42">
        <v>45565</v>
      </c>
      <c r="G1146" s="37">
        <v>2024</v>
      </c>
      <c r="H1146" s="37" t="s">
        <v>43</v>
      </c>
      <c r="I1146" s="39" t="s">
        <v>36</v>
      </c>
      <c r="J1146" s="37">
        <v>11</v>
      </c>
      <c r="K1146" s="43">
        <v>11</v>
      </c>
      <c r="L1146" s="65">
        <f t="shared" si="110"/>
        <v>1</v>
      </c>
      <c r="M1146" s="65">
        <f t="shared" si="111"/>
        <v>1</v>
      </c>
      <c r="N1146" s="37" t="s">
        <v>25</v>
      </c>
      <c r="O1146" s="37" t="s">
        <v>25</v>
      </c>
      <c r="P1146" s="40">
        <v>0</v>
      </c>
      <c r="Q1146" s="40">
        <v>0</v>
      </c>
      <c r="R1146" s="37" t="s">
        <v>1508</v>
      </c>
      <c r="S1146" s="37"/>
    </row>
    <row r="1147" spans="1:19" x14ac:dyDescent="0.3">
      <c r="A1147" s="36">
        <v>300</v>
      </c>
      <c r="B1147" s="37" t="s">
        <v>1500</v>
      </c>
      <c r="C1147" s="37" t="s">
        <v>1501</v>
      </c>
      <c r="D1147" s="37" t="s">
        <v>39</v>
      </c>
      <c r="E1147" s="37" t="s">
        <v>22</v>
      </c>
      <c r="F1147" s="42">
        <v>45657</v>
      </c>
      <c r="G1147" s="37">
        <v>2024</v>
      </c>
      <c r="H1147" s="37" t="s">
        <v>27</v>
      </c>
      <c r="I1147" s="39" t="s">
        <v>36</v>
      </c>
      <c r="J1147" s="37">
        <v>11</v>
      </c>
      <c r="K1147" s="43">
        <v>11</v>
      </c>
      <c r="L1147" s="65">
        <f t="shared" si="110"/>
        <v>1</v>
      </c>
      <c r="M1147" s="65">
        <f t="shared" si="111"/>
        <v>1</v>
      </c>
      <c r="N1147" s="37" t="s">
        <v>25</v>
      </c>
      <c r="O1147" s="37" t="s">
        <v>25</v>
      </c>
      <c r="P1147" s="40">
        <v>0</v>
      </c>
      <c r="Q1147" s="40">
        <v>0</v>
      </c>
      <c r="R1147" s="37" t="s">
        <v>1509</v>
      </c>
      <c r="S1147" s="37"/>
    </row>
    <row r="1148" spans="1:19" x14ac:dyDescent="0.3">
      <c r="A1148" s="36">
        <v>301</v>
      </c>
      <c r="B1148" s="37" t="s">
        <v>1510</v>
      </c>
      <c r="C1148" s="37" t="s">
        <v>1501</v>
      </c>
      <c r="D1148" s="37" t="s">
        <v>39</v>
      </c>
      <c r="E1148" s="37" t="s">
        <v>22</v>
      </c>
      <c r="F1148" s="42">
        <v>45016</v>
      </c>
      <c r="G1148" s="37">
        <v>2023</v>
      </c>
      <c r="H1148" s="37" t="s">
        <v>40</v>
      </c>
      <c r="I1148" s="39" t="s">
        <v>30</v>
      </c>
      <c r="J1148" s="37">
        <v>4</v>
      </c>
      <c r="K1148" s="56">
        <v>4</v>
      </c>
      <c r="L1148" s="65">
        <f t="shared" si="110"/>
        <v>1</v>
      </c>
      <c r="M1148" s="65">
        <f t="shared" si="111"/>
        <v>1</v>
      </c>
      <c r="N1148" s="37" t="s">
        <v>25</v>
      </c>
      <c r="O1148" s="37" t="s">
        <v>25</v>
      </c>
      <c r="P1148" s="40">
        <v>0</v>
      </c>
      <c r="Q1148" s="40">
        <v>0</v>
      </c>
      <c r="R1148" s="37" t="s">
        <v>1511</v>
      </c>
      <c r="S1148" s="37"/>
    </row>
    <row r="1149" spans="1:19" x14ac:dyDescent="0.3">
      <c r="A1149" s="36">
        <v>301</v>
      </c>
      <c r="B1149" s="37" t="s">
        <v>1510</v>
      </c>
      <c r="C1149" s="37" t="s">
        <v>1501</v>
      </c>
      <c r="D1149" s="37" t="s">
        <v>39</v>
      </c>
      <c r="E1149" s="37" t="s">
        <v>22</v>
      </c>
      <c r="F1149" s="42">
        <v>45107</v>
      </c>
      <c r="G1149" s="37">
        <v>2023</v>
      </c>
      <c r="H1149" s="37" t="s">
        <v>23</v>
      </c>
      <c r="I1149" s="39" t="s">
        <v>30</v>
      </c>
      <c r="J1149" s="37">
        <v>4</v>
      </c>
      <c r="K1149" s="56">
        <v>4</v>
      </c>
      <c r="L1149" s="65">
        <f t="shared" si="110"/>
        <v>1</v>
      </c>
      <c r="M1149" s="65">
        <f t="shared" si="111"/>
        <v>1</v>
      </c>
      <c r="N1149" s="37" t="s">
        <v>25</v>
      </c>
      <c r="O1149" s="37" t="s">
        <v>25</v>
      </c>
      <c r="P1149" s="40">
        <v>0</v>
      </c>
      <c r="Q1149" s="40">
        <v>0</v>
      </c>
      <c r="R1149" s="37" t="s">
        <v>1512</v>
      </c>
      <c r="S1149" s="37"/>
    </row>
    <row r="1150" spans="1:19" x14ac:dyDescent="0.3">
      <c r="A1150" s="45">
        <v>301</v>
      </c>
      <c r="B1150" s="37" t="s">
        <v>1510</v>
      </c>
      <c r="C1150" s="37" t="s">
        <v>1501</v>
      </c>
      <c r="D1150" s="37" t="s">
        <v>39</v>
      </c>
      <c r="E1150" s="37" t="s">
        <v>22</v>
      </c>
      <c r="F1150" s="42">
        <v>45199</v>
      </c>
      <c r="G1150" s="37">
        <v>2023</v>
      </c>
      <c r="H1150" s="37" t="s">
        <v>43</v>
      </c>
      <c r="I1150" s="39" t="s">
        <v>32</v>
      </c>
      <c r="J1150" s="37">
        <v>4</v>
      </c>
      <c r="K1150" s="56">
        <v>4</v>
      </c>
      <c r="L1150" s="65">
        <f t="shared" si="110"/>
        <v>1</v>
      </c>
      <c r="M1150" s="65">
        <f t="shared" si="111"/>
        <v>1</v>
      </c>
      <c r="N1150" s="37" t="s">
        <v>25</v>
      </c>
      <c r="O1150" s="37" t="s">
        <v>25</v>
      </c>
      <c r="P1150" s="40">
        <v>0</v>
      </c>
      <c r="Q1150" s="40">
        <v>0</v>
      </c>
      <c r="R1150" s="37" t="s">
        <v>1513</v>
      </c>
      <c r="S1150" s="37"/>
    </row>
    <row r="1151" spans="1:19" x14ac:dyDescent="0.3">
      <c r="A1151" s="41">
        <v>301</v>
      </c>
      <c r="B1151" s="37" t="s">
        <v>1510</v>
      </c>
      <c r="C1151" s="37" t="s">
        <v>1501</v>
      </c>
      <c r="D1151" s="37" t="s">
        <v>39</v>
      </c>
      <c r="E1151" s="37" t="s">
        <v>22</v>
      </c>
      <c r="F1151" s="42">
        <v>45291</v>
      </c>
      <c r="G1151" s="37">
        <v>2023</v>
      </c>
      <c r="H1151" s="37" t="s">
        <v>27</v>
      </c>
      <c r="I1151" s="39" t="s">
        <v>32</v>
      </c>
      <c r="J1151" s="37">
        <v>4</v>
      </c>
      <c r="K1151" s="56">
        <v>4</v>
      </c>
      <c r="L1151" s="65">
        <f t="shared" si="110"/>
        <v>1</v>
      </c>
      <c r="M1151" s="65">
        <f t="shared" si="111"/>
        <v>1</v>
      </c>
      <c r="N1151" s="37" t="s">
        <v>25</v>
      </c>
      <c r="O1151" s="37" t="s">
        <v>25</v>
      </c>
      <c r="P1151" s="40">
        <v>0</v>
      </c>
      <c r="Q1151" s="40">
        <v>0</v>
      </c>
      <c r="R1151" s="37" t="s">
        <v>1514</v>
      </c>
      <c r="S1151" s="37"/>
    </row>
    <row r="1152" spans="1:19" x14ac:dyDescent="0.3">
      <c r="A1152" s="36">
        <v>301</v>
      </c>
      <c r="B1152" s="37" t="s">
        <v>1510</v>
      </c>
      <c r="C1152" s="37" t="s">
        <v>1501</v>
      </c>
      <c r="D1152" s="37" t="s">
        <v>39</v>
      </c>
      <c r="E1152" s="37" t="s">
        <v>22</v>
      </c>
      <c r="F1152" s="42">
        <v>45382</v>
      </c>
      <c r="G1152" s="37">
        <v>2024</v>
      </c>
      <c r="H1152" s="37" t="s">
        <v>40</v>
      </c>
      <c r="I1152" s="39" t="s">
        <v>34</v>
      </c>
      <c r="J1152" s="37">
        <v>4</v>
      </c>
      <c r="K1152" s="43">
        <v>4</v>
      </c>
      <c r="L1152" s="65">
        <f t="shared" si="110"/>
        <v>1</v>
      </c>
      <c r="M1152" s="65">
        <f t="shared" si="111"/>
        <v>1</v>
      </c>
      <c r="N1152" s="37" t="s">
        <v>25</v>
      </c>
      <c r="O1152" s="37" t="s">
        <v>25</v>
      </c>
      <c r="P1152" s="40">
        <v>0</v>
      </c>
      <c r="Q1152" s="40">
        <v>0</v>
      </c>
      <c r="R1152" s="37" t="s">
        <v>1515</v>
      </c>
      <c r="S1152" s="37"/>
    </row>
    <row r="1153" spans="1:19" x14ac:dyDescent="0.3">
      <c r="A1153" s="37">
        <v>301</v>
      </c>
      <c r="B1153" s="37" t="s">
        <v>1510</v>
      </c>
      <c r="C1153" s="37" t="s">
        <v>1501</v>
      </c>
      <c r="D1153" s="37" t="s">
        <v>39</v>
      </c>
      <c r="E1153" s="37" t="s">
        <v>22</v>
      </c>
      <c r="F1153" s="42">
        <v>45473</v>
      </c>
      <c r="G1153" s="37">
        <v>2024</v>
      </c>
      <c r="H1153" s="37" t="s">
        <v>23</v>
      </c>
      <c r="I1153" s="39" t="s">
        <v>34</v>
      </c>
      <c r="J1153" s="37">
        <v>4</v>
      </c>
      <c r="K1153" s="37">
        <v>4</v>
      </c>
      <c r="L1153" s="65">
        <f t="shared" si="110"/>
        <v>1</v>
      </c>
      <c r="M1153" s="65">
        <f t="shared" si="111"/>
        <v>1</v>
      </c>
      <c r="N1153" s="37" t="s">
        <v>25</v>
      </c>
      <c r="O1153" s="37" t="s">
        <v>25</v>
      </c>
      <c r="P1153" s="37">
        <v>0</v>
      </c>
      <c r="Q1153" s="37">
        <v>0</v>
      </c>
      <c r="R1153" s="37" t="s">
        <v>1516</v>
      </c>
      <c r="S1153" s="37"/>
    </row>
    <row r="1154" spans="1:19" x14ac:dyDescent="0.3">
      <c r="A1154" s="36">
        <v>301</v>
      </c>
      <c r="B1154" s="37" t="s">
        <v>1510</v>
      </c>
      <c r="C1154" s="37" t="s">
        <v>1501</v>
      </c>
      <c r="D1154" s="37" t="s">
        <v>39</v>
      </c>
      <c r="E1154" s="37" t="s">
        <v>22</v>
      </c>
      <c r="F1154" s="42">
        <v>45565</v>
      </c>
      <c r="G1154" s="37">
        <v>2024</v>
      </c>
      <c r="H1154" s="37" t="s">
        <v>43</v>
      </c>
      <c r="I1154" s="39" t="s">
        <v>36</v>
      </c>
      <c r="J1154" s="37">
        <v>4</v>
      </c>
      <c r="K1154" s="43">
        <v>4</v>
      </c>
      <c r="L1154" s="65">
        <f t="shared" si="110"/>
        <v>1</v>
      </c>
      <c r="M1154" s="65">
        <f t="shared" si="111"/>
        <v>1</v>
      </c>
      <c r="N1154" s="37" t="s">
        <v>25</v>
      </c>
      <c r="O1154" s="37" t="s">
        <v>25</v>
      </c>
      <c r="P1154" s="40">
        <v>0</v>
      </c>
      <c r="Q1154" s="40">
        <v>0</v>
      </c>
      <c r="R1154" s="37" t="s">
        <v>1517</v>
      </c>
      <c r="S1154" s="37"/>
    </row>
    <row r="1155" spans="1:19" x14ac:dyDescent="0.3">
      <c r="A1155" s="36">
        <v>301</v>
      </c>
      <c r="B1155" s="37" t="s">
        <v>1510</v>
      </c>
      <c r="C1155" s="37" t="s">
        <v>1501</v>
      </c>
      <c r="D1155" s="37" t="s">
        <v>39</v>
      </c>
      <c r="E1155" s="37" t="s">
        <v>22</v>
      </c>
      <c r="F1155" s="42">
        <v>45657</v>
      </c>
      <c r="G1155" s="37">
        <v>2024</v>
      </c>
      <c r="H1155" s="37" t="s">
        <v>27</v>
      </c>
      <c r="I1155" s="39" t="s">
        <v>36</v>
      </c>
      <c r="J1155" s="37">
        <v>4</v>
      </c>
      <c r="K1155" s="43">
        <v>4</v>
      </c>
      <c r="L1155" s="65">
        <f t="shared" si="110"/>
        <v>1</v>
      </c>
      <c r="M1155" s="65">
        <f t="shared" si="111"/>
        <v>1</v>
      </c>
      <c r="N1155" s="37" t="s">
        <v>25</v>
      </c>
      <c r="O1155" s="37" t="s">
        <v>25</v>
      </c>
      <c r="P1155" s="40">
        <v>0</v>
      </c>
      <c r="Q1155" s="40">
        <v>0</v>
      </c>
      <c r="R1155" s="37" t="s">
        <v>1518</v>
      </c>
      <c r="S1155" s="37"/>
    </row>
    <row r="1156" spans="1:19" x14ac:dyDescent="0.3">
      <c r="A1156" s="36">
        <v>302</v>
      </c>
      <c r="B1156" s="37" t="s">
        <v>1519</v>
      </c>
      <c r="C1156" s="37" t="s">
        <v>1336</v>
      </c>
      <c r="D1156" s="37" t="s">
        <v>21</v>
      </c>
      <c r="E1156" s="37" t="s">
        <v>22</v>
      </c>
      <c r="F1156" s="38">
        <v>45107</v>
      </c>
      <c r="G1156" s="37">
        <v>2023</v>
      </c>
      <c r="H1156" s="37" t="s">
        <v>23</v>
      </c>
      <c r="I1156" s="39" t="s">
        <v>30</v>
      </c>
      <c r="J1156" s="37">
        <v>0</v>
      </c>
      <c r="K1156" s="56">
        <v>0</v>
      </c>
      <c r="L1156" s="65" t="str">
        <f t="shared" si="110"/>
        <v/>
      </c>
      <c r="M1156" s="65" t="str">
        <f t="shared" si="111"/>
        <v/>
      </c>
      <c r="N1156" s="37" t="s">
        <v>25</v>
      </c>
      <c r="O1156" s="37" t="s">
        <v>25</v>
      </c>
      <c r="P1156" s="40">
        <v>0</v>
      </c>
      <c r="Q1156" s="40">
        <v>0</v>
      </c>
      <c r="R1156" s="37" t="s">
        <v>1520</v>
      </c>
      <c r="S1156" s="37"/>
    </row>
    <row r="1157" spans="1:19" x14ac:dyDescent="0.3">
      <c r="A1157" s="41">
        <v>302</v>
      </c>
      <c r="B1157" s="37" t="s">
        <v>1519</v>
      </c>
      <c r="C1157" s="37" t="s">
        <v>1336</v>
      </c>
      <c r="D1157" s="37" t="s">
        <v>21</v>
      </c>
      <c r="E1157" s="37" t="s">
        <v>22</v>
      </c>
      <c r="F1157" s="42">
        <v>45291</v>
      </c>
      <c r="G1157" s="37">
        <v>2023</v>
      </c>
      <c r="H1157" s="37" t="s">
        <v>27</v>
      </c>
      <c r="I1157" s="39" t="s">
        <v>32</v>
      </c>
      <c r="J1157" s="37">
        <v>0</v>
      </c>
      <c r="K1157" s="56">
        <v>0</v>
      </c>
      <c r="L1157" s="65" t="str">
        <f t="shared" si="110"/>
        <v/>
      </c>
      <c r="M1157" s="65" t="str">
        <f t="shared" si="111"/>
        <v/>
      </c>
      <c r="N1157" s="37" t="s">
        <v>25</v>
      </c>
      <c r="O1157" s="37" t="s">
        <v>25</v>
      </c>
      <c r="P1157" s="40">
        <v>0</v>
      </c>
      <c r="Q1157" s="40">
        <v>0</v>
      </c>
      <c r="R1157" s="37" t="s">
        <v>1521</v>
      </c>
      <c r="S1157" s="37"/>
    </row>
    <row r="1158" spans="1:19" x14ac:dyDescent="0.3">
      <c r="A1158" s="37">
        <v>302</v>
      </c>
      <c r="B1158" s="37" t="s">
        <v>1519</v>
      </c>
      <c r="C1158" s="37" t="s">
        <v>1336</v>
      </c>
      <c r="D1158" s="37" t="s">
        <v>21</v>
      </c>
      <c r="E1158" s="37" t="s">
        <v>22</v>
      </c>
      <c r="F1158" s="42">
        <v>45473</v>
      </c>
      <c r="G1158" s="37">
        <v>2024</v>
      </c>
      <c r="H1158" s="37" t="s">
        <v>23</v>
      </c>
      <c r="I1158" s="39" t="s">
        <v>34</v>
      </c>
      <c r="J1158" s="37">
        <v>0</v>
      </c>
      <c r="K1158" s="37">
        <v>17878</v>
      </c>
      <c r="L1158" s="65" t="str">
        <f t="shared" si="110"/>
        <v/>
      </c>
      <c r="M1158" s="65" t="str">
        <f t="shared" si="111"/>
        <v/>
      </c>
      <c r="N1158" s="37">
        <v>0</v>
      </c>
      <c r="O1158" s="37" t="s">
        <v>203</v>
      </c>
      <c r="P1158" s="37">
        <v>0</v>
      </c>
      <c r="Q1158" s="37">
        <v>0</v>
      </c>
      <c r="R1158" s="37" t="s">
        <v>1522</v>
      </c>
      <c r="S1158" s="37"/>
    </row>
    <row r="1159" spans="1:19" x14ac:dyDescent="0.3">
      <c r="A1159" s="36">
        <v>302</v>
      </c>
      <c r="B1159" s="37" t="s">
        <v>1519</v>
      </c>
      <c r="C1159" s="37" t="s">
        <v>1336</v>
      </c>
      <c r="D1159" s="37" t="s">
        <v>21</v>
      </c>
      <c r="E1159" s="37" t="s">
        <v>22</v>
      </c>
      <c r="F1159" s="42">
        <v>45657</v>
      </c>
      <c r="G1159" s="37">
        <v>2024</v>
      </c>
      <c r="H1159" s="37" t="s">
        <v>27</v>
      </c>
      <c r="I1159" s="39" t="s">
        <v>36</v>
      </c>
      <c r="J1159" s="37">
        <v>0</v>
      </c>
      <c r="K1159" s="43">
        <v>19142</v>
      </c>
      <c r="L1159" s="65" t="str">
        <f t="shared" si="110"/>
        <v/>
      </c>
      <c r="M1159" s="65" t="str">
        <f t="shared" si="111"/>
        <v/>
      </c>
      <c r="N1159" s="37">
        <v>0</v>
      </c>
      <c r="O1159" s="37" t="s">
        <v>203</v>
      </c>
      <c r="P1159" s="40">
        <v>0</v>
      </c>
      <c r="Q1159" s="40">
        <v>0</v>
      </c>
      <c r="R1159" s="37" t="s">
        <v>1523</v>
      </c>
      <c r="S1159" s="37"/>
    </row>
    <row r="1160" spans="1:19" x14ac:dyDescent="0.3">
      <c r="A1160" s="36">
        <v>303</v>
      </c>
      <c r="B1160" s="37" t="s">
        <v>1527</v>
      </c>
      <c r="C1160" s="37" t="s">
        <v>1528</v>
      </c>
      <c r="D1160" s="37" t="s">
        <v>21</v>
      </c>
      <c r="E1160" s="37" t="s">
        <v>22</v>
      </c>
      <c r="F1160" s="38">
        <v>45107</v>
      </c>
      <c r="G1160" s="37">
        <v>2023</v>
      </c>
      <c r="H1160" s="37" t="s">
        <v>23</v>
      </c>
      <c r="I1160" s="39" t="s">
        <v>30</v>
      </c>
      <c r="J1160" s="37">
        <v>100</v>
      </c>
      <c r="K1160" s="56">
        <v>75.757575757576006</v>
      </c>
      <c r="L1160" s="65">
        <f t="shared" ref="L1160:L1177" si="112">IFERROR(IF(OR(J1160=0,K1160=""),"",IF(E1160="Positivo",MIN(MAX(K1160/J1160,0),1.3),MIN(MAX(J1160/K1160,0),1.3))),"")</f>
        <v>0.75757575757576001</v>
      </c>
      <c r="M1160" s="65">
        <f t="shared" ref="M1160:M1177" si="113">IFERROR(IF(OR(J1160=0,K1160=""),"",IF(E1160="Positivo",MAX(K1160/J1160,0),MAX(J1160/K1160,0))),"")</f>
        <v>0.75757575757576001</v>
      </c>
      <c r="N1160" s="37" t="s">
        <v>25</v>
      </c>
      <c r="O1160" s="37" t="s">
        <v>25</v>
      </c>
      <c r="P1160" s="40">
        <v>0</v>
      </c>
      <c r="Q1160" s="40">
        <v>0</v>
      </c>
      <c r="R1160" s="37" t="s">
        <v>1529</v>
      </c>
      <c r="S1160" s="37"/>
    </row>
    <row r="1161" spans="1:19" x14ac:dyDescent="0.3">
      <c r="A1161" s="41">
        <v>303</v>
      </c>
      <c r="B1161" s="37" t="s">
        <v>1527</v>
      </c>
      <c r="C1161" s="37" t="s">
        <v>1528</v>
      </c>
      <c r="D1161" s="37" t="s">
        <v>21</v>
      </c>
      <c r="E1161" s="37" t="s">
        <v>22</v>
      </c>
      <c r="F1161" s="42">
        <v>45291</v>
      </c>
      <c r="G1161" s="37">
        <v>2023</v>
      </c>
      <c r="H1161" s="37" t="s">
        <v>27</v>
      </c>
      <c r="I1161" s="39" t="s">
        <v>32</v>
      </c>
      <c r="J1161" s="37">
        <v>100</v>
      </c>
      <c r="K1161" s="56">
        <v>79.545454545454547</v>
      </c>
      <c r="L1161" s="65">
        <f t="shared" si="112"/>
        <v>0.79545454545454541</v>
      </c>
      <c r="M1161" s="65">
        <f t="shared" si="113"/>
        <v>0.79545454545454541</v>
      </c>
      <c r="N1161" s="37" t="s">
        <v>25</v>
      </c>
      <c r="O1161" s="37" t="s">
        <v>25</v>
      </c>
      <c r="P1161" s="40">
        <v>0</v>
      </c>
      <c r="Q1161" s="40">
        <v>0</v>
      </c>
      <c r="R1161" s="37" t="s">
        <v>1530</v>
      </c>
      <c r="S1161" s="37"/>
    </row>
    <row r="1162" spans="1:19" x14ac:dyDescent="0.3">
      <c r="A1162" s="37">
        <v>303</v>
      </c>
      <c r="B1162" s="37" t="s">
        <v>1527</v>
      </c>
      <c r="C1162" s="37" t="s">
        <v>1528</v>
      </c>
      <c r="D1162" s="37" t="s">
        <v>21</v>
      </c>
      <c r="E1162" s="37" t="s">
        <v>22</v>
      </c>
      <c r="F1162" s="42">
        <v>45473</v>
      </c>
      <c r="G1162" s="37">
        <v>2024</v>
      </c>
      <c r="H1162" s="37" t="s">
        <v>23</v>
      </c>
      <c r="I1162" s="39" t="s">
        <v>34</v>
      </c>
      <c r="J1162" s="37">
        <v>95</v>
      </c>
      <c r="K1162" s="37">
        <v>100</v>
      </c>
      <c r="L1162" s="65">
        <f t="shared" si="112"/>
        <v>1.0526315789473684</v>
      </c>
      <c r="M1162" s="65">
        <f t="shared" si="113"/>
        <v>1.0526315789473684</v>
      </c>
      <c r="N1162" s="37" t="s">
        <v>25</v>
      </c>
      <c r="O1162" s="37" t="s">
        <v>25</v>
      </c>
      <c r="P1162" s="37">
        <v>0</v>
      </c>
      <c r="Q1162" s="37">
        <v>0</v>
      </c>
      <c r="R1162" s="37" t="s">
        <v>1531</v>
      </c>
      <c r="S1162" s="37"/>
    </row>
    <row r="1163" spans="1:19" x14ac:dyDescent="0.3">
      <c r="A1163" s="36">
        <v>303</v>
      </c>
      <c r="B1163" s="37" t="s">
        <v>1527</v>
      </c>
      <c r="C1163" s="37" t="s">
        <v>1528</v>
      </c>
      <c r="D1163" s="37" t="s">
        <v>21</v>
      </c>
      <c r="E1163" s="37" t="s">
        <v>22</v>
      </c>
      <c r="F1163" s="42">
        <v>45657</v>
      </c>
      <c r="G1163" s="37">
        <v>2024</v>
      </c>
      <c r="H1163" s="37" t="s">
        <v>27</v>
      </c>
      <c r="I1163" s="39" t="s">
        <v>36</v>
      </c>
      <c r="J1163" s="37">
        <v>95</v>
      </c>
      <c r="K1163" s="43">
        <v>95.652173913043484</v>
      </c>
      <c r="L1163" s="65">
        <f t="shared" si="112"/>
        <v>1.0068649885583525</v>
      </c>
      <c r="M1163" s="65">
        <f t="shared" si="113"/>
        <v>1.0068649885583525</v>
      </c>
      <c r="N1163" s="37" t="s">
        <v>25</v>
      </c>
      <c r="O1163" s="37" t="s">
        <v>25</v>
      </c>
      <c r="P1163" s="40">
        <v>0</v>
      </c>
      <c r="Q1163" s="40">
        <v>0</v>
      </c>
      <c r="R1163" s="37" t="s">
        <v>1532</v>
      </c>
      <c r="S1163" s="37"/>
    </row>
    <row r="1164" spans="1:19" x14ac:dyDescent="0.3">
      <c r="A1164" s="36">
        <v>304</v>
      </c>
      <c r="B1164" s="37" t="s">
        <v>1535</v>
      </c>
      <c r="C1164" s="37" t="s">
        <v>1528</v>
      </c>
      <c r="D1164" s="37" t="s">
        <v>21</v>
      </c>
      <c r="E1164" s="37" t="s">
        <v>22</v>
      </c>
      <c r="F1164" s="38">
        <v>45107</v>
      </c>
      <c r="G1164" s="37">
        <v>2023</v>
      </c>
      <c r="H1164" s="37" t="s">
        <v>23</v>
      </c>
      <c r="I1164" s="39" t="s">
        <v>30</v>
      </c>
      <c r="J1164" s="37">
        <v>1863</v>
      </c>
      <c r="K1164" s="56">
        <v>3537</v>
      </c>
      <c r="L1164" s="65">
        <f t="shared" si="112"/>
        <v>1.3</v>
      </c>
      <c r="M1164" s="65">
        <f t="shared" si="113"/>
        <v>1.8985507246376812</v>
      </c>
      <c r="N1164" s="37" t="s">
        <v>203</v>
      </c>
      <c r="O1164" s="37" t="s">
        <v>203</v>
      </c>
      <c r="P1164" s="40">
        <v>0</v>
      </c>
      <c r="Q1164" s="40">
        <v>0</v>
      </c>
      <c r="R1164" s="37" t="s">
        <v>1536</v>
      </c>
      <c r="S1164" s="37"/>
    </row>
    <row r="1165" spans="1:19" x14ac:dyDescent="0.3">
      <c r="A1165" s="41">
        <v>304</v>
      </c>
      <c r="B1165" s="37" t="s">
        <v>1535</v>
      </c>
      <c r="C1165" s="37" t="s">
        <v>1528</v>
      </c>
      <c r="D1165" s="37" t="s">
        <v>21</v>
      </c>
      <c r="E1165" s="37" t="s">
        <v>22</v>
      </c>
      <c r="F1165" s="42">
        <v>45291</v>
      </c>
      <c r="G1165" s="37">
        <v>2023</v>
      </c>
      <c r="H1165" s="37" t="s">
        <v>27</v>
      </c>
      <c r="I1165" s="39" t="s">
        <v>32</v>
      </c>
      <c r="J1165" s="37">
        <v>1863</v>
      </c>
      <c r="K1165" s="56">
        <v>3285</v>
      </c>
      <c r="L1165" s="65">
        <f t="shared" si="112"/>
        <v>1.3</v>
      </c>
      <c r="M1165" s="65">
        <f t="shared" si="113"/>
        <v>1.7632850241545894</v>
      </c>
      <c r="N1165" s="37" t="s">
        <v>203</v>
      </c>
      <c r="O1165" s="37" t="s">
        <v>203</v>
      </c>
      <c r="P1165" s="40">
        <v>0</v>
      </c>
      <c r="Q1165" s="40">
        <v>0</v>
      </c>
      <c r="R1165" s="37" t="s">
        <v>1537</v>
      </c>
      <c r="S1165" s="37"/>
    </row>
    <row r="1166" spans="1:19" x14ac:dyDescent="0.3">
      <c r="A1166" s="37">
        <v>304</v>
      </c>
      <c r="B1166" s="37" t="s">
        <v>1535</v>
      </c>
      <c r="C1166" s="37" t="s">
        <v>1528</v>
      </c>
      <c r="D1166" s="37" t="s">
        <v>21</v>
      </c>
      <c r="E1166" s="37" t="s">
        <v>22</v>
      </c>
      <c r="F1166" s="42">
        <v>45473</v>
      </c>
      <c r="G1166" s="37">
        <v>2024</v>
      </c>
      <c r="H1166" s="37" t="s">
        <v>23</v>
      </c>
      <c r="I1166" s="39" t="s">
        <v>34</v>
      </c>
      <c r="J1166" s="37">
        <v>3400</v>
      </c>
      <c r="K1166" s="37">
        <v>3404</v>
      </c>
      <c r="L1166" s="65">
        <f t="shared" si="112"/>
        <v>1.0011764705882353</v>
      </c>
      <c r="M1166" s="65">
        <f t="shared" si="113"/>
        <v>1.0011764705882353</v>
      </c>
      <c r="N1166" s="37" t="s">
        <v>203</v>
      </c>
      <c r="O1166" s="37" t="s">
        <v>203</v>
      </c>
      <c r="P1166" s="37">
        <v>0</v>
      </c>
      <c r="Q1166" s="37">
        <v>0</v>
      </c>
      <c r="R1166" s="37" t="s">
        <v>1538</v>
      </c>
      <c r="S1166" s="37"/>
    </row>
    <row r="1167" spans="1:19" x14ac:dyDescent="0.3">
      <c r="A1167" s="36">
        <v>304</v>
      </c>
      <c r="B1167" s="37" t="s">
        <v>1535</v>
      </c>
      <c r="C1167" s="37" t="s">
        <v>1528</v>
      </c>
      <c r="D1167" s="37" t="s">
        <v>21</v>
      </c>
      <c r="E1167" s="37" t="s">
        <v>22</v>
      </c>
      <c r="F1167" s="42">
        <v>45657</v>
      </c>
      <c r="G1167" s="37">
        <v>2024</v>
      </c>
      <c r="H1167" s="37" t="s">
        <v>27</v>
      </c>
      <c r="I1167" s="39" t="s">
        <v>36</v>
      </c>
      <c r="J1167" s="37">
        <v>3400</v>
      </c>
      <c r="K1167" s="43">
        <v>2841</v>
      </c>
      <c r="L1167" s="65">
        <f t="shared" si="112"/>
        <v>0.83558823529411763</v>
      </c>
      <c r="M1167" s="65">
        <f t="shared" si="113"/>
        <v>0.83558823529411763</v>
      </c>
      <c r="N1167" s="37" t="s">
        <v>203</v>
      </c>
      <c r="O1167" s="37" t="s">
        <v>203</v>
      </c>
      <c r="P1167" s="40">
        <v>0</v>
      </c>
      <c r="Q1167" s="40">
        <v>0</v>
      </c>
      <c r="R1167" s="37" t="s">
        <v>1539</v>
      </c>
      <c r="S1167" s="37"/>
    </row>
    <row r="1168" spans="1:19" x14ac:dyDescent="0.3">
      <c r="A1168" s="36">
        <v>305</v>
      </c>
      <c r="B1168" s="37" t="s">
        <v>1540</v>
      </c>
      <c r="C1168" s="37" t="s">
        <v>1528</v>
      </c>
      <c r="D1168" s="37" t="s">
        <v>139</v>
      </c>
      <c r="E1168" s="37" t="s">
        <v>22</v>
      </c>
      <c r="F1168" s="42">
        <v>45291</v>
      </c>
      <c r="G1168" s="37">
        <v>2023</v>
      </c>
      <c r="H1168" s="37" t="s">
        <v>27</v>
      </c>
      <c r="I1168" s="39" t="s">
        <v>32</v>
      </c>
      <c r="J1168" s="37">
        <v>100</v>
      </c>
      <c r="K1168" s="56">
        <v>100</v>
      </c>
      <c r="L1168" s="65">
        <f t="shared" si="112"/>
        <v>1</v>
      </c>
      <c r="M1168" s="65">
        <f t="shared" si="113"/>
        <v>1</v>
      </c>
      <c r="N1168" s="37" t="s">
        <v>25</v>
      </c>
      <c r="O1168" s="37" t="s">
        <v>25</v>
      </c>
      <c r="P1168" s="40">
        <v>0</v>
      </c>
      <c r="Q1168" s="40">
        <v>0</v>
      </c>
      <c r="R1168" s="37" t="s">
        <v>1541</v>
      </c>
      <c r="S1168" s="37"/>
    </row>
    <row r="1169" spans="1:19" x14ac:dyDescent="0.3">
      <c r="A1169" s="36">
        <v>305</v>
      </c>
      <c r="B1169" s="37" t="s">
        <v>1540</v>
      </c>
      <c r="C1169" s="37" t="s">
        <v>1528</v>
      </c>
      <c r="D1169" s="37" t="s">
        <v>139</v>
      </c>
      <c r="E1169" s="37" t="s">
        <v>22</v>
      </c>
      <c r="F1169" s="42">
        <v>45657</v>
      </c>
      <c r="G1169" s="37">
        <v>2024</v>
      </c>
      <c r="H1169" s="37" t="s">
        <v>27</v>
      </c>
      <c r="I1169" s="39" t="s">
        <v>36</v>
      </c>
      <c r="J1169" s="37">
        <v>100</v>
      </c>
      <c r="K1169" s="43">
        <v>100</v>
      </c>
      <c r="L1169" s="65">
        <f t="shared" si="112"/>
        <v>1</v>
      </c>
      <c r="M1169" s="65">
        <f t="shared" si="113"/>
        <v>1</v>
      </c>
      <c r="N1169" s="37" t="s">
        <v>25</v>
      </c>
      <c r="O1169" s="37" t="s">
        <v>25</v>
      </c>
      <c r="P1169" s="40">
        <v>0</v>
      </c>
      <c r="Q1169" s="40">
        <v>0</v>
      </c>
      <c r="R1169" s="37" t="s">
        <v>1542</v>
      </c>
      <c r="S1169" s="37"/>
    </row>
    <row r="1170" spans="1:19" x14ac:dyDescent="0.3">
      <c r="A1170" s="37">
        <v>306</v>
      </c>
      <c r="B1170" s="37" t="s">
        <v>1543</v>
      </c>
      <c r="C1170" s="37" t="s">
        <v>1241</v>
      </c>
      <c r="D1170" s="37" t="s">
        <v>39</v>
      </c>
      <c r="E1170" s="37" t="s">
        <v>22</v>
      </c>
      <c r="F1170" s="42">
        <v>45016</v>
      </c>
      <c r="G1170" s="37">
        <v>2023</v>
      </c>
      <c r="H1170" s="37" t="s">
        <v>40</v>
      </c>
      <c r="I1170" s="37" t="s">
        <v>30</v>
      </c>
      <c r="J1170" s="37">
        <v>100</v>
      </c>
      <c r="K1170" s="37">
        <v>0</v>
      </c>
      <c r="L1170" s="65">
        <f t="shared" si="112"/>
        <v>0</v>
      </c>
      <c r="M1170" s="65">
        <f t="shared" si="113"/>
        <v>0</v>
      </c>
      <c r="N1170" s="37" t="s">
        <v>25</v>
      </c>
      <c r="O1170" s="37" t="s">
        <v>25</v>
      </c>
      <c r="P1170" s="37">
        <v>0</v>
      </c>
      <c r="Q1170" s="37">
        <v>0</v>
      </c>
      <c r="R1170" s="37" t="s">
        <v>1544</v>
      </c>
      <c r="S1170" s="37"/>
    </row>
    <row r="1171" spans="1:19" x14ac:dyDescent="0.3">
      <c r="A1171" s="36">
        <v>306</v>
      </c>
      <c r="B1171" s="37" t="s">
        <v>1543</v>
      </c>
      <c r="C1171" s="37" t="s">
        <v>1241</v>
      </c>
      <c r="D1171" s="37" t="s">
        <v>39</v>
      </c>
      <c r="E1171" s="37" t="s">
        <v>22</v>
      </c>
      <c r="F1171" s="42">
        <v>45107</v>
      </c>
      <c r="G1171" s="37">
        <v>2023</v>
      </c>
      <c r="H1171" s="37" t="s">
        <v>23</v>
      </c>
      <c r="I1171" s="39" t="s">
        <v>30</v>
      </c>
      <c r="J1171" s="37">
        <v>100</v>
      </c>
      <c r="K1171" s="56">
        <v>723</v>
      </c>
      <c r="L1171" s="65">
        <f t="shared" si="112"/>
        <v>1.3</v>
      </c>
      <c r="M1171" s="65">
        <f t="shared" si="113"/>
        <v>7.23</v>
      </c>
      <c r="N1171" s="37" t="s">
        <v>25</v>
      </c>
      <c r="O1171" s="37" t="s">
        <v>25</v>
      </c>
      <c r="P1171" s="40">
        <v>0</v>
      </c>
      <c r="Q1171" s="40">
        <v>0</v>
      </c>
      <c r="R1171" s="37" t="s">
        <v>1545</v>
      </c>
      <c r="S1171" s="37"/>
    </row>
    <row r="1172" spans="1:19" x14ac:dyDescent="0.3">
      <c r="A1172" s="45">
        <v>306</v>
      </c>
      <c r="B1172" s="37" t="s">
        <v>1543</v>
      </c>
      <c r="C1172" s="37" t="s">
        <v>1241</v>
      </c>
      <c r="D1172" s="37" t="s">
        <v>39</v>
      </c>
      <c r="E1172" s="37" t="s">
        <v>22</v>
      </c>
      <c r="F1172" s="42">
        <v>45199</v>
      </c>
      <c r="G1172" s="37">
        <v>2023</v>
      </c>
      <c r="H1172" s="37" t="s">
        <v>43</v>
      </c>
      <c r="I1172" s="39" t="s">
        <v>32</v>
      </c>
      <c r="J1172" s="37">
        <v>100</v>
      </c>
      <c r="K1172" s="56">
        <v>98</v>
      </c>
      <c r="L1172" s="65">
        <f t="shared" si="112"/>
        <v>0.98</v>
      </c>
      <c r="M1172" s="65">
        <f t="shared" si="113"/>
        <v>0.98</v>
      </c>
      <c r="N1172" s="37" t="s">
        <v>25</v>
      </c>
      <c r="O1172" s="37" t="s">
        <v>25</v>
      </c>
      <c r="P1172" s="40">
        <v>0</v>
      </c>
      <c r="Q1172" s="40">
        <v>0</v>
      </c>
      <c r="R1172" s="37" t="s">
        <v>1546</v>
      </c>
      <c r="S1172" s="37"/>
    </row>
    <row r="1173" spans="1:19" x14ac:dyDescent="0.3">
      <c r="A1173" s="41">
        <v>306</v>
      </c>
      <c r="B1173" s="37" t="s">
        <v>1543</v>
      </c>
      <c r="C1173" s="37" t="s">
        <v>1241</v>
      </c>
      <c r="D1173" s="37" t="s">
        <v>39</v>
      </c>
      <c r="E1173" s="37" t="s">
        <v>22</v>
      </c>
      <c r="F1173" s="42">
        <v>45291</v>
      </c>
      <c r="G1173" s="37">
        <v>2023</v>
      </c>
      <c r="H1173" s="37" t="s">
        <v>27</v>
      </c>
      <c r="I1173" s="39" t="s">
        <v>32</v>
      </c>
      <c r="J1173" s="37">
        <v>100</v>
      </c>
      <c r="K1173" s="56">
        <v>626</v>
      </c>
      <c r="L1173" s="65">
        <f t="shared" si="112"/>
        <v>1.3</v>
      </c>
      <c r="M1173" s="65">
        <f t="shared" si="113"/>
        <v>6.26</v>
      </c>
      <c r="N1173" s="37" t="s">
        <v>25</v>
      </c>
      <c r="O1173" s="37" t="s">
        <v>25</v>
      </c>
      <c r="P1173" s="40">
        <v>0</v>
      </c>
      <c r="Q1173" s="40">
        <v>0</v>
      </c>
      <c r="R1173" s="37" t="s">
        <v>1547</v>
      </c>
      <c r="S1173" s="37"/>
    </row>
    <row r="1174" spans="1:19" x14ac:dyDescent="0.3">
      <c r="A1174" s="36">
        <v>306</v>
      </c>
      <c r="B1174" s="37" t="s">
        <v>1543</v>
      </c>
      <c r="C1174" s="37" t="s">
        <v>1241</v>
      </c>
      <c r="D1174" s="37" t="s">
        <v>39</v>
      </c>
      <c r="E1174" s="37" t="s">
        <v>22</v>
      </c>
      <c r="F1174" s="42">
        <v>45382</v>
      </c>
      <c r="G1174" s="37">
        <v>2024</v>
      </c>
      <c r="H1174" s="37" t="s">
        <v>40</v>
      </c>
      <c r="I1174" s="39" t="s">
        <v>34</v>
      </c>
      <c r="J1174" s="37">
        <v>100</v>
      </c>
      <c r="K1174" s="43">
        <v>0</v>
      </c>
      <c r="L1174" s="65">
        <f t="shared" si="112"/>
        <v>0</v>
      </c>
      <c r="M1174" s="65">
        <f t="shared" si="113"/>
        <v>0</v>
      </c>
      <c r="N1174" s="37" t="s">
        <v>25</v>
      </c>
      <c r="O1174" s="37" t="s">
        <v>25</v>
      </c>
      <c r="P1174" s="40">
        <v>0</v>
      </c>
      <c r="Q1174" s="40">
        <v>0</v>
      </c>
      <c r="R1174" s="37" t="s">
        <v>1548</v>
      </c>
      <c r="S1174" s="37"/>
    </row>
    <row r="1175" spans="1:19" x14ac:dyDescent="0.3">
      <c r="A1175" s="37">
        <v>306</v>
      </c>
      <c r="B1175" s="37" t="s">
        <v>1543</v>
      </c>
      <c r="C1175" s="37" t="s">
        <v>1241</v>
      </c>
      <c r="D1175" s="37" t="s">
        <v>39</v>
      </c>
      <c r="E1175" s="37" t="s">
        <v>22</v>
      </c>
      <c r="F1175" s="42">
        <v>45473</v>
      </c>
      <c r="G1175" s="37">
        <v>2024</v>
      </c>
      <c r="H1175" s="37" t="s">
        <v>23</v>
      </c>
      <c r="I1175" s="39" t="s">
        <v>34</v>
      </c>
      <c r="J1175" s="37">
        <v>100</v>
      </c>
      <c r="K1175" s="37">
        <v>601</v>
      </c>
      <c r="L1175" s="65">
        <f t="shared" si="112"/>
        <v>1.3</v>
      </c>
      <c r="M1175" s="65">
        <f t="shared" si="113"/>
        <v>6.01</v>
      </c>
      <c r="N1175" s="37" t="s">
        <v>25</v>
      </c>
      <c r="O1175" s="37" t="s">
        <v>25</v>
      </c>
      <c r="P1175" s="37">
        <v>0</v>
      </c>
      <c r="Q1175" s="37">
        <v>0</v>
      </c>
      <c r="R1175" s="37" t="s">
        <v>1549</v>
      </c>
      <c r="S1175" s="37"/>
    </row>
    <row r="1176" spans="1:19" x14ac:dyDescent="0.3">
      <c r="A1176" s="36">
        <v>306</v>
      </c>
      <c r="B1176" s="37" t="s">
        <v>1543</v>
      </c>
      <c r="C1176" s="37" t="s">
        <v>1241</v>
      </c>
      <c r="D1176" s="37" t="s">
        <v>39</v>
      </c>
      <c r="E1176" s="37" t="s">
        <v>22</v>
      </c>
      <c r="F1176" s="42">
        <v>45565</v>
      </c>
      <c r="G1176" s="37">
        <v>2024</v>
      </c>
      <c r="H1176" s="37" t="s">
        <v>43</v>
      </c>
      <c r="I1176" s="39" t="s">
        <v>36</v>
      </c>
      <c r="J1176" s="37">
        <v>100</v>
      </c>
      <c r="K1176" s="43">
        <v>0</v>
      </c>
      <c r="L1176" s="65">
        <f t="shared" si="112"/>
        <v>0</v>
      </c>
      <c r="M1176" s="65">
        <f t="shared" si="113"/>
        <v>0</v>
      </c>
      <c r="N1176" s="37" t="s">
        <v>25</v>
      </c>
      <c r="O1176" s="37" t="s">
        <v>25</v>
      </c>
      <c r="P1176" s="40">
        <v>0</v>
      </c>
      <c r="Q1176" s="40">
        <v>0</v>
      </c>
      <c r="R1176" s="37" t="s">
        <v>1550</v>
      </c>
      <c r="S1176" s="37"/>
    </row>
    <row r="1177" spans="1:19" x14ac:dyDescent="0.3">
      <c r="A1177" s="36">
        <v>306</v>
      </c>
      <c r="B1177" s="37" t="s">
        <v>1543</v>
      </c>
      <c r="C1177" s="37" t="s">
        <v>1241</v>
      </c>
      <c r="D1177" s="37" t="s">
        <v>39</v>
      </c>
      <c r="E1177" s="37" t="s">
        <v>22</v>
      </c>
      <c r="F1177" s="42">
        <v>45657</v>
      </c>
      <c r="G1177" s="37">
        <v>2024</v>
      </c>
      <c r="H1177" s="37" t="s">
        <v>27</v>
      </c>
      <c r="I1177" s="39" t="s">
        <v>36</v>
      </c>
      <c r="J1177" s="37">
        <v>100</v>
      </c>
      <c r="K1177" s="43">
        <v>101</v>
      </c>
      <c r="L1177" s="65">
        <f t="shared" si="112"/>
        <v>1.01</v>
      </c>
      <c r="M1177" s="65">
        <f t="shared" si="113"/>
        <v>1.01</v>
      </c>
      <c r="N1177" s="37" t="s">
        <v>25</v>
      </c>
      <c r="O1177" s="37" t="s">
        <v>25</v>
      </c>
      <c r="P1177" s="40">
        <v>0</v>
      </c>
      <c r="Q1177" s="40">
        <v>0</v>
      </c>
      <c r="R1177" s="37" t="s">
        <v>1551</v>
      </c>
      <c r="S1177" s="37"/>
    </row>
    <row r="1178" spans="1:19" x14ac:dyDescent="0.3">
      <c r="A1178" s="36">
        <v>307</v>
      </c>
      <c r="B1178" s="37" t="s">
        <v>1555</v>
      </c>
      <c r="C1178" s="37" t="s">
        <v>454</v>
      </c>
      <c r="D1178" s="37" t="s">
        <v>21</v>
      </c>
      <c r="E1178" s="37" t="s">
        <v>22</v>
      </c>
      <c r="F1178" s="38">
        <v>45107</v>
      </c>
      <c r="G1178" s="37">
        <v>2023</v>
      </c>
      <c r="H1178" s="37" t="s">
        <v>23</v>
      </c>
      <c r="I1178" s="39" t="s">
        <v>30</v>
      </c>
      <c r="J1178" s="37">
        <v>20</v>
      </c>
      <c r="K1178" s="56">
        <v>25</v>
      </c>
      <c r="L1178" s="65">
        <f t="shared" ref="L1178:L1209" si="114">IFERROR(IF(OR(J1178=0,K1178=""),"",IF(E1178="Positivo",MIN(MAX(K1178/J1178,0),1.3),MIN(MAX(J1178/K1178,0),1.3))),"")</f>
        <v>1.25</v>
      </c>
      <c r="M1178" s="65">
        <f t="shared" ref="M1178:M1209" si="115">IFERROR(IF(OR(J1178=0,K1178=""),"",IF(E1178="Positivo",MAX(K1178/J1178,0),MAX(J1178/K1178,0))),"")</f>
        <v>1.25</v>
      </c>
      <c r="N1178" s="37" t="s">
        <v>25</v>
      </c>
      <c r="O1178" s="37" t="s">
        <v>25</v>
      </c>
      <c r="P1178" s="40">
        <v>0</v>
      </c>
      <c r="Q1178" s="40">
        <v>0</v>
      </c>
      <c r="R1178" s="37" t="s">
        <v>1556</v>
      </c>
      <c r="S1178" s="37"/>
    </row>
    <row r="1179" spans="1:19" x14ac:dyDescent="0.3">
      <c r="A1179" s="41">
        <v>307</v>
      </c>
      <c r="B1179" s="37" t="s">
        <v>1555</v>
      </c>
      <c r="C1179" s="37" t="s">
        <v>454</v>
      </c>
      <c r="D1179" s="37" t="s">
        <v>21</v>
      </c>
      <c r="E1179" s="37" t="s">
        <v>22</v>
      </c>
      <c r="F1179" s="42">
        <v>45291</v>
      </c>
      <c r="G1179" s="37">
        <v>2023</v>
      </c>
      <c r="H1179" s="37" t="s">
        <v>27</v>
      </c>
      <c r="I1179" s="39" t="s">
        <v>32</v>
      </c>
      <c r="J1179" s="37">
        <v>26</v>
      </c>
      <c r="K1179" s="56">
        <v>82</v>
      </c>
      <c r="L1179" s="65">
        <f t="shared" si="114"/>
        <v>1.3</v>
      </c>
      <c r="M1179" s="65">
        <f t="shared" si="115"/>
        <v>3.1538461538461537</v>
      </c>
      <c r="N1179" s="37" t="s">
        <v>25</v>
      </c>
      <c r="O1179" s="37" t="s">
        <v>25</v>
      </c>
      <c r="P1179" s="40">
        <v>0</v>
      </c>
      <c r="Q1179" s="40">
        <v>0</v>
      </c>
      <c r="R1179" s="37" t="s">
        <v>1557</v>
      </c>
      <c r="S1179" s="37"/>
    </row>
    <row r="1180" spans="1:19" x14ac:dyDescent="0.3">
      <c r="A1180" s="37">
        <v>307</v>
      </c>
      <c r="B1180" s="37" t="s">
        <v>1555</v>
      </c>
      <c r="C1180" s="37" t="s">
        <v>454</v>
      </c>
      <c r="D1180" s="37" t="s">
        <v>21</v>
      </c>
      <c r="E1180" s="37" t="s">
        <v>22</v>
      </c>
      <c r="F1180" s="42">
        <v>45473</v>
      </c>
      <c r="G1180" s="37">
        <v>2024</v>
      </c>
      <c r="H1180" s="37" t="s">
        <v>23</v>
      </c>
      <c r="I1180" s="39" t="s">
        <v>34</v>
      </c>
      <c r="J1180" s="37">
        <v>100</v>
      </c>
      <c r="K1180" s="37">
        <v>112</v>
      </c>
      <c r="L1180" s="65">
        <f t="shared" si="114"/>
        <v>1.1200000000000001</v>
      </c>
      <c r="M1180" s="65">
        <f t="shared" si="115"/>
        <v>1.1200000000000001</v>
      </c>
      <c r="N1180" s="37" t="s">
        <v>203</v>
      </c>
      <c r="O1180" s="37" t="s">
        <v>203</v>
      </c>
      <c r="P1180" s="37">
        <v>0</v>
      </c>
      <c r="Q1180" s="37">
        <v>0</v>
      </c>
      <c r="R1180" s="37" t="s">
        <v>1558</v>
      </c>
      <c r="S1180" s="37"/>
    </row>
    <row r="1181" spans="1:19" x14ac:dyDescent="0.3">
      <c r="A1181" s="36">
        <v>307</v>
      </c>
      <c r="B1181" s="37" t="s">
        <v>1555</v>
      </c>
      <c r="C1181" s="37" t="s">
        <v>454</v>
      </c>
      <c r="D1181" s="37" t="s">
        <v>21</v>
      </c>
      <c r="E1181" s="37" t="s">
        <v>22</v>
      </c>
      <c r="F1181" s="42">
        <v>45657</v>
      </c>
      <c r="G1181" s="37">
        <v>2024</v>
      </c>
      <c r="H1181" s="37" t="s">
        <v>27</v>
      </c>
      <c r="I1181" s="39" t="s">
        <v>36</v>
      </c>
      <c r="J1181" s="37">
        <v>100</v>
      </c>
      <c r="K1181" s="43">
        <v>413.33</v>
      </c>
      <c r="L1181" s="65">
        <f t="shared" si="114"/>
        <v>1.3</v>
      </c>
      <c r="M1181" s="65">
        <f t="shared" si="115"/>
        <v>4.1333000000000002</v>
      </c>
      <c r="N1181" s="37" t="s">
        <v>203</v>
      </c>
      <c r="O1181" s="37" t="s">
        <v>203</v>
      </c>
      <c r="P1181" s="40">
        <v>0</v>
      </c>
      <c r="Q1181" s="40">
        <v>0</v>
      </c>
      <c r="R1181" s="37" t="s">
        <v>1559</v>
      </c>
      <c r="S1181" s="37"/>
    </row>
    <row r="1182" spans="1:19" x14ac:dyDescent="0.3">
      <c r="A1182" s="36">
        <v>308</v>
      </c>
      <c r="B1182" s="37" t="s">
        <v>1560</v>
      </c>
      <c r="C1182" s="37" t="s">
        <v>454</v>
      </c>
      <c r="D1182" s="37" t="s">
        <v>21</v>
      </c>
      <c r="E1182" s="37" t="s">
        <v>22</v>
      </c>
      <c r="F1182" s="38">
        <v>45107</v>
      </c>
      <c r="G1182" s="37">
        <v>2023</v>
      </c>
      <c r="H1182" s="37" t="s">
        <v>23</v>
      </c>
      <c r="I1182" s="39" t="s">
        <v>30</v>
      </c>
      <c r="J1182" s="37">
        <v>12</v>
      </c>
      <c r="K1182" s="56">
        <v>27</v>
      </c>
      <c r="L1182" s="65">
        <f t="shared" si="114"/>
        <v>1.3</v>
      </c>
      <c r="M1182" s="65">
        <f t="shared" si="115"/>
        <v>2.25</v>
      </c>
      <c r="N1182" s="37" t="s">
        <v>203</v>
      </c>
      <c r="O1182" s="37" t="s">
        <v>203</v>
      </c>
      <c r="P1182" s="40">
        <v>0</v>
      </c>
      <c r="Q1182" s="40">
        <v>0</v>
      </c>
      <c r="R1182" s="37" t="s">
        <v>1561</v>
      </c>
      <c r="S1182" s="37"/>
    </row>
    <row r="1183" spans="1:19" x14ac:dyDescent="0.3">
      <c r="A1183" s="41">
        <v>308</v>
      </c>
      <c r="B1183" s="37" t="s">
        <v>1560</v>
      </c>
      <c r="C1183" s="37" t="s">
        <v>454</v>
      </c>
      <c r="D1183" s="37" t="s">
        <v>21</v>
      </c>
      <c r="E1183" s="37" t="s">
        <v>22</v>
      </c>
      <c r="F1183" s="42">
        <v>45291</v>
      </c>
      <c r="G1183" s="37">
        <v>2023</v>
      </c>
      <c r="H1183" s="37" t="s">
        <v>27</v>
      </c>
      <c r="I1183" s="39" t="s">
        <v>32</v>
      </c>
      <c r="J1183" s="37">
        <v>20</v>
      </c>
      <c r="K1183" s="56">
        <v>54</v>
      </c>
      <c r="L1183" s="65">
        <f t="shared" si="114"/>
        <v>1.3</v>
      </c>
      <c r="M1183" s="65">
        <f t="shared" si="115"/>
        <v>2.7</v>
      </c>
      <c r="N1183" s="37" t="s">
        <v>203</v>
      </c>
      <c r="O1183" s="37" t="s">
        <v>203</v>
      </c>
      <c r="P1183" s="40">
        <v>0</v>
      </c>
      <c r="Q1183" s="40">
        <v>0</v>
      </c>
      <c r="R1183" s="37" t="s">
        <v>1562</v>
      </c>
      <c r="S1183" s="37"/>
    </row>
    <row r="1184" spans="1:19" x14ac:dyDescent="0.3">
      <c r="A1184" s="37">
        <v>308</v>
      </c>
      <c r="B1184" s="37" t="s">
        <v>1560</v>
      </c>
      <c r="C1184" s="37" t="s">
        <v>454</v>
      </c>
      <c r="D1184" s="37" t="s">
        <v>21</v>
      </c>
      <c r="E1184" s="37" t="s">
        <v>22</v>
      </c>
      <c r="F1184" s="42">
        <v>45473</v>
      </c>
      <c r="G1184" s="37">
        <v>2024</v>
      </c>
      <c r="H1184" s="37" t="s">
        <v>23</v>
      </c>
      <c r="I1184" s="39" t="s">
        <v>34</v>
      </c>
      <c r="J1184" s="37">
        <v>100</v>
      </c>
      <c r="K1184" s="37">
        <v>100</v>
      </c>
      <c r="L1184" s="65">
        <f t="shared" si="114"/>
        <v>1</v>
      </c>
      <c r="M1184" s="65">
        <f t="shared" si="115"/>
        <v>1</v>
      </c>
      <c r="N1184" s="37" t="s">
        <v>203</v>
      </c>
      <c r="O1184" s="37" t="s">
        <v>203</v>
      </c>
      <c r="P1184" s="37">
        <v>0</v>
      </c>
      <c r="Q1184" s="37">
        <v>0</v>
      </c>
      <c r="R1184" s="37" t="s">
        <v>1563</v>
      </c>
      <c r="S1184" s="37"/>
    </row>
    <row r="1185" spans="1:19" x14ac:dyDescent="0.3">
      <c r="A1185" s="36">
        <v>308</v>
      </c>
      <c r="B1185" s="37" t="s">
        <v>1560</v>
      </c>
      <c r="C1185" s="37" t="s">
        <v>454</v>
      </c>
      <c r="D1185" s="37" t="s">
        <v>21</v>
      </c>
      <c r="E1185" s="37" t="s">
        <v>22</v>
      </c>
      <c r="F1185" s="42">
        <v>45657</v>
      </c>
      <c r="G1185" s="37">
        <v>2024</v>
      </c>
      <c r="H1185" s="37" t="s">
        <v>27</v>
      </c>
      <c r="I1185" s="39" t="s">
        <v>36</v>
      </c>
      <c r="J1185" s="37">
        <v>100</v>
      </c>
      <c r="K1185" s="43">
        <v>100</v>
      </c>
      <c r="L1185" s="65">
        <f t="shared" si="114"/>
        <v>1</v>
      </c>
      <c r="M1185" s="65">
        <f t="shared" si="115"/>
        <v>1</v>
      </c>
      <c r="N1185" s="37" t="s">
        <v>203</v>
      </c>
      <c r="O1185" s="37" t="s">
        <v>203</v>
      </c>
      <c r="P1185" s="40">
        <v>0</v>
      </c>
      <c r="Q1185" s="40">
        <v>0</v>
      </c>
      <c r="R1185" s="37" t="s">
        <v>1564</v>
      </c>
      <c r="S1185" s="37"/>
    </row>
    <row r="1186" spans="1:19" x14ac:dyDescent="0.3">
      <c r="A1186" s="36">
        <v>309</v>
      </c>
      <c r="B1186" s="37" t="s">
        <v>1565</v>
      </c>
      <c r="C1186" s="37" t="s">
        <v>454</v>
      </c>
      <c r="D1186" s="37" t="s">
        <v>21</v>
      </c>
      <c r="E1186" s="37" t="s">
        <v>22</v>
      </c>
      <c r="F1186" s="38">
        <v>45107</v>
      </c>
      <c r="G1186" s="37">
        <v>2023</v>
      </c>
      <c r="H1186" s="37" t="s">
        <v>23</v>
      </c>
      <c r="I1186" s="39" t="s">
        <v>30</v>
      </c>
      <c r="J1186" s="37">
        <v>19</v>
      </c>
      <c r="K1186" s="56">
        <v>27</v>
      </c>
      <c r="L1186" s="65">
        <f t="shared" si="114"/>
        <v>1.3</v>
      </c>
      <c r="M1186" s="65">
        <f t="shared" si="115"/>
        <v>1.4210526315789473</v>
      </c>
      <c r="N1186" s="37" t="s">
        <v>203</v>
      </c>
      <c r="O1186" s="37" t="s">
        <v>203</v>
      </c>
      <c r="P1186" s="40">
        <v>0</v>
      </c>
      <c r="Q1186" s="40">
        <v>0</v>
      </c>
      <c r="R1186" s="37" t="s">
        <v>1566</v>
      </c>
      <c r="S1186" s="37"/>
    </row>
    <row r="1187" spans="1:19" x14ac:dyDescent="0.3">
      <c r="A1187" s="41">
        <v>309</v>
      </c>
      <c r="B1187" s="37" t="s">
        <v>1565</v>
      </c>
      <c r="C1187" s="37" t="s">
        <v>454</v>
      </c>
      <c r="D1187" s="37" t="s">
        <v>21</v>
      </c>
      <c r="E1187" s="37" t="s">
        <v>22</v>
      </c>
      <c r="F1187" s="42">
        <v>45291</v>
      </c>
      <c r="G1187" s="37">
        <v>2023</v>
      </c>
      <c r="H1187" s="37" t="s">
        <v>27</v>
      </c>
      <c r="I1187" s="39" t="s">
        <v>32</v>
      </c>
      <c r="J1187" s="37">
        <v>45</v>
      </c>
      <c r="K1187" s="56">
        <v>76</v>
      </c>
      <c r="L1187" s="65">
        <f t="shared" si="114"/>
        <v>1.3</v>
      </c>
      <c r="M1187" s="65">
        <f t="shared" si="115"/>
        <v>1.6888888888888889</v>
      </c>
      <c r="N1187" s="37" t="s">
        <v>203</v>
      </c>
      <c r="O1187" s="37" t="s">
        <v>203</v>
      </c>
      <c r="P1187" s="40">
        <v>0</v>
      </c>
      <c r="Q1187" s="40">
        <v>0</v>
      </c>
      <c r="R1187" s="37" t="s">
        <v>1567</v>
      </c>
      <c r="S1187" s="37"/>
    </row>
    <row r="1188" spans="1:19" x14ac:dyDescent="0.3">
      <c r="A1188" s="37">
        <v>309</v>
      </c>
      <c r="B1188" s="37" t="s">
        <v>1565</v>
      </c>
      <c r="C1188" s="37" t="s">
        <v>454</v>
      </c>
      <c r="D1188" s="37" t="s">
        <v>21</v>
      </c>
      <c r="E1188" s="37" t="s">
        <v>22</v>
      </c>
      <c r="F1188" s="42">
        <v>45473</v>
      </c>
      <c r="G1188" s="37">
        <v>2024</v>
      </c>
      <c r="H1188" s="37" t="s">
        <v>23</v>
      </c>
      <c r="I1188" s="39" t="s">
        <v>34</v>
      </c>
      <c r="J1188" s="37">
        <v>100</v>
      </c>
      <c r="K1188" s="37">
        <v>216</v>
      </c>
      <c r="L1188" s="65">
        <f t="shared" si="114"/>
        <v>1.3</v>
      </c>
      <c r="M1188" s="65">
        <f t="shared" si="115"/>
        <v>2.16</v>
      </c>
      <c r="N1188" s="37" t="s">
        <v>203</v>
      </c>
      <c r="O1188" s="37" t="s">
        <v>203</v>
      </c>
      <c r="P1188" s="37">
        <v>0</v>
      </c>
      <c r="Q1188" s="37">
        <v>0</v>
      </c>
      <c r="R1188" s="37" t="s">
        <v>1568</v>
      </c>
      <c r="S1188" s="37"/>
    </row>
    <row r="1189" spans="1:19" x14ac:dyDescent="0.3">
      <c r="A1189" s="36">
        <v>309</v>
      </c>
      <c r="B1189" s="37" t="s">
        <v>1569</v>
      </c>
      <c r="C1189" s="37" t="s">
        <v>454</v>
      </c>
      <c r="D1189" s="37" t="s">
        <v>21</v>
      </c>
      <c r="E1189" s="37" t="s">
        <v>22</v>
      </c>
      <c r="F1189" s="42">
        <v>45657</v>
      </c>
      <c r="G1189" s="37">
        <v>2024</v>
      </c>
      <c r="H1189" s="37" t="s">
        <v>27</v>
      </c>
      <c r="I1189" s="39" t="s">
        <v>36</v>
      </c>
      <c r="J1189" s="37">
        <v>100</v>
      </c>
      <c r="K1189" s="43">
        <v>154.66999999999999</v>
      </c>
      <c r="L1189" s="65">
        <f t="shared" si="114"/>
        <v>1.3</v>
      </c>
      <c r="M1189" s="65">
        <f t="shared" si="115"/>
        <v>1.5467</v>
      </c>
      <c r="N1189" s="37" t="s">
        <v>203</v>
      </c>
      <c r="O1189" s="37" t="s">
        <v>203</v>
      </c>
      <c r="P1189" s="40">
        <v>0</v>
      </c>
      <c r="Q1189" s="40">
        <v>0</v>
      </c>
      <c r="R1189" s="37" t="s">
        <v>1570</v>
      </c>
      <c r="S1189" s="37"/>
    </row>
    <row r="1190" spans="1:19" x14ac:dyDescent="0.3">
      <c r="A1190" s="36">
        <v>310</v>
      </c>
      <c r="B1190" s="37" t="s">
        <v>1571</v>
      </c>
      <c r="C1190" s="37" t="s">
        <v>454</v>
      </c>
      <c r="D1190" s="37" t="s">
        <v>21</v>
      </c>
      <c r="E1190" s="37" t="s">
        <v>22</v>
      </c>
      <c r="F1190" s="38">
        <v>45107</v>
      </c>
      <c r="G1190" s="37">
        <v>2023</v>
      </c>
      <c r="H1190" s="37" t="s">
        <v>23</v>
      </c>
      <c r="I1190" s="39" t="s">
        <v>30</v>
      </c>
      <c r="J1190" s="37">
        <v>14</v>
      </c>
      <c r="K1190" s="56">
        <v>48</v>
      </c>
      <c r="L1190" s="65">
        <f t="shared" si="114"/>
        <v>1.3</v>
      </c>
      <c r="M1190" s="65">
        <f t="shared" si="115"/>
        <v>3.4285714285714284</v>
      </c>
      <c r="N1190" s="37" t="s">
        <v>203</v>
      </c>
      <c r="O1190" s="37" t="s">
        <v>203</v>
      </c>
      <c r="P1190" s="40">
        <v>0</v>
      </c>
      <c r="Q1190" s="40">
        <v>0</v>
      </c>
      <c r="R1190" s="37" t="s">
        <v>1572</v>
      </c>
      <c r="S1190" s="37"/>
    </row>
    <row r="1191" spans="1:19" x14ac:dyDescent="0.3">
      <c r="A1191" s="41">
        <v>310</v>
      </c>
      <c r="B1191" s="37" t="s">
        <v>1571</v>
      </c>
      <c r="C1191" s="37" t="s">
        <v>454</v>
      </c>
      <c r="D1191" s="37" t="s">
        <v>21</v>
      </c>
      <c r="E1191" s="37" t="s">
        <v>22</v>
      </c>
      <c r="F1191" s="42">
        <v>45291</v>
      </c>
      <c r="G1191" s="37">
        <v>2023</v>
      </c>
      <c r="H1191" s="37" t="s">
        <v>27</v>
      </c>
      <c r="I1191" s="39" t="s">
        <v>32</v>
      </c>
      <c r="J1191" s="37">
        <v>70</v>
      </c>
      <c r="K1191" s="56">
        <v>118</v>
      </c>
      <c r="L1191" s="65">
        <f t="shared" si="114"/>
        <v>1.3</v>
      </c>
      <c r="M1191" s="65">
        <f t="shared" si="115"/>
        <v>1.6857142857142857</v>
      </c>
      <c r="N1191" s="37" t="s">
        <v>203</v>
      </c>
      <c r="O1191" s="37" t="s">
        <v>203</v>
      </c>
      <c r="P1191" s="40">
        <v>0</v>
      </c>
      <c r="Q1191" s="40">
        <v>0</v>
      </c>
      <c r="R1191" s="37" t="s">
        <v>1573</v>
      </c>
      <c r="S1191" s="37"/>
    </row>
    <row r="1192" spans="1:19" x14ac:dyDescent="0.3">
      <c r="A1192" s="37">
        <v>310</v>
      </c>
      <c r="B1192" s="37" t="s">
        <v>1571</v>
      </c>
      <c r="C1192" s="37" t="s">
        <v>454</v>
      </c>
      <c r="D1192" s="37" t="s">
        <v>21</v>
      </c>
      <c r="E1192" s="37" t="s">
        <v>22</v>
      </c>
      <c r="F1192" s="42">
        <v>45473</v>
      </c>
      <c r="G1192" s="37">
        <v>2024</v>
      </c>
      <c r="H1192" s="37" t="s">
        <v>23</v>
      </c>
      <c r="I1192" s="39" t="s">
        <v>34</v>
      </c>
      <c r="J1192" s="37">
        <v>100</v>
      </c>
      <c r="K1192" s="37">
        <v>95.56</v>
      </c>
      <c r="L1192" s="65">
        <f t="shared" si="114"/>
        <v>0.9556</v>
      </c>
      <c r="M1192" s="65">
        <f t="shared" si="115"/>
        <v>0.9556</v>
      </c>
      <c r="N1192" s="37" t="s">
        <v>203</v>
      </c>
      <c r="O1192" s="37" t="s">
        <v>203</v>
      </c>
      <c r="P1192" s="37">
        <v>0</v>
      </c>
      <c r="Q1192" s="37">
        <v>0</v>
      </c>
      <c r="R1192" s="37" t="s">
        <v>1574</v>
      </c>
      <c r="S1192" s="37"/>
    </row>
    <row r="1193" spans="1:19" x14ac:dyDescent="0.3">
      <c r="A1193" s="36">
        <v>310</v>
      </c>
      <c r="B1193" s="37" t="s">
        <v>1571</v>
      </c>
      <c r="C1193" s="37" t="s">
        <v>454</v>
      </c>
      <c r="D1193" s="37" t="s">
        <v>21</v>
      </c>
      <c r="E1193" s="37" t="s">
        <v>22</v>
      </c>
      <c r="F1193" s="42">
        <v>45657</v>
      </c>
      <c r="G1193" s="37">
        <v>2024</v>
      </c>
      <c r="H1193" s="37" t="s">
        <v>27</v>
      </c>
      <c r="I1193" s="39" t="s">
        <v>36</v>
      </c>
      <c r="J1193" s="37">
        <v>100</v>
      </c>
      <c r="K1193" s="43">
        <v>79.13</v>
      </c>
      <c r="L1193" s="65">
        <f t="shared" si="114"/>
        <v>0.7913</v>
      </c>
      <c r="M1193" s="65">
        <f t="shared" si="115"/>
        <v>0.7913</v>
      </c>
      <c r="N1193" s="37" t="s">
        <v>203</v>
      </c>
      <c r="O1193" s="37" t="s">
        <v>203</v>
      </c>
      <c r="P1193" s="40">
        <v>0</v>
      </c>
      <c r="Q1193" s="40">
        <v>0</v>
      </c>
      <c r="R1193" s="37" t="s">
        <v>1575</v>
      </c>
      <c r="S1193" s="37"/>
    </row>
    <row r="1194" spans="1:19" x14ac:dyDescent="0.3">
      <c r="A1194" s="36">
        <v>311</v>
      </c>
      <c r="B1194" s="37" t="s">
        <v>1576</v>
      </c>
      <c r="C1194" s="37" t="s">
        <v>454</v>
      </c>
      <c r="D1194" s="37" t="s">
        <v>21</v>
      </c>
      <c r="E1194" s="37" t="s">
        <v>22</v>
      </c>
      <c r="F1194" s="38">
        <v>45107</v>
      </c>
      <c r="G1194" s="37">
        <v>2023</v>
      </c>
      <c r="H1194" s="37" t="s">
        <v>23</v>
      </c>
      <c r="I1194" s="39" t="s">
        <v>30</v>
      </c>
      <c r="J1194" s="37">
        <v>22</v>
      </c>
      <c r="K1194" s="56">
        <v>85</v>
      </c>
      <c r="L1194" s="65">
        <f t="shared" si="114"/>
        <v>1.3</v>
      </c>
      <c r="M1194" s="65">
        <f t="shared" si="115"/>
        <v>3.8636363636363638</v>
      </c>
      <c r="N1194" s="37" t="s">
        <v>203</v>
      </c>
      <c r="O1194" s="37" t="s">
        <v>203</v>
      </c>
      <c r="P1194" s="40">
        <v>0</v>
      </c>
      <c r="Q1194" s="40">
        <v>0</v>
      </c>
      <c r="R1194" s="37" t="s">
        <v>1577</v>
      </c>
      <c r="S1194" s="37"/>
    </row>
    <row r="1195" spans="1:19" x14ac:dyDescent="0.3">
      <c r="A1195" s="41">
        <v>311</v>
      </c>
      <c r="B1195" s="37" t="s">
        <v>1576</v>
      </c>
      <c r="C1195" s="37" t="s">
        <v>454</v>
      </c>
      <c r="D1195" s="37" t="s">
        <v>21</v>
      </c>
      <c r="E1195" s="37" t="s">
        <v>22</v>
      </c>
      <c r="F1195" s="42">
        <v>45291</v>
      </c>
      <c r="G1195" s="37">
        <v>2023</v>
      </c>
      <c r="H1195" s="37" t="s">
        <v>27</v>
      </c>
      <c r="I1195" s="39" t="s">
        <v>32</v>
      </c>
      <c r="J1195" s="37">
        <v>245</v>
      </c>
      <c r="K1195" s="56">
        <v>247</v>
      </c>
      <c r="L1195" s="65">
        <f t="shared" si="114"/>
        <v>1.0081632653061225</v>
      </c>
      <c r="M1195" s="65">
        <f t="shared" si="115"/>
        <v>1.0081632653061225</v>
      </c>
      <c r="N1195" s="37" t="s">
        <v>203</v>
      </c>
      <c r="O1195" s="37" t="s">
        <v>203</v>
      </c>
      <c r="P1195" s="40">
        <v>0</v>
      </c>
      <c r="Q1195" s="40">
        <v>0</v>
      </c>
      <c r="R1195" s="37" t="s">
        <v>1578</v>
      </c>
      <c r="S1195" s="37"/>
    </row>
    <row r="1196" spans="1:19" x14ac:dyDescent="0.3">
      <c r="A1196" s="37">
        <v>311</v>
      </c>
      <c r="B1196" s="37" t="s">
        <v>1576</v>
      </c>
      <c r="C1196" s="37" t="s">
        <v>454</v>
      </c>
      <c r="D1196" s="37" t="s">
        <v>21</v>
      </c>
      <c r="E1196" s="37" t="s">
        <v>22</v>
      </c>
      <c r="F1196" s="42">
        <v>45473</v>
      </c>
      <c r="G1196" s="37">
        <v>2024</v>
      </c>
      <c r="H1196" s="37" t="s">
        <v>23</v>
      </c>
      <c r="I1196" s="39" t="s">
        <v>34</v>
      </c>
      <c r="J1196" s="37">
        <v>100</v>
      </c>
      <c r="K1196" s="37">
        <v>117.65</v>
      </c>
      <c r="L1196" s="65">
        <f t="shared" si="114"/>
        <v>1.1765000000000001</v>
      </c>
      <c r="M1196" s="65">
        <f t="shared" si="115"/>
        <v>1.1765000000000001</v>
      </c>
      <c r="N1196" s="37" t="s">
        <v>203</v>
      </c>
      <c r="O1196" s="37" t="s">
        <v>203</v>
      </c>
      <c r="P1196" s="37">
        <v>0</v>
      </c>
      <c r="Q1196" s="37">
        <v>0</v>
      </c>
      <c r="R1196" s="37" t="s">
        <v>1579</v>
      </c>
      <c r="S1196" s="37"/>
    </row>
    <row r="1197" spans="1:19" x14ac:dyDescent="0.3">
      <c r="A1197" s="36">
        <v>311</v>
      </c>
      <c r="B1197" s="37" t="s">
        <v>1576</v>
      </c>
      <c r="C1197" s="37" t="s">
        <v>454</v>
      </c>
      <c r="D1197" s="37" t="s">
        <v>21</v>
      </c>
      <c r="E1197" s="37" t="s">
        <v>22</v>
      </c>
      <c r="F1197" s="42">
        <v>45657</v>
      </c>
      <c r="G1197" s="37">
        <v>2024</v>
      </c>
      <c r="H1197" s="37" t="s">
        <v>27</v>
      </c>
      <c r="I1197" s="39" t="s">
        <v>36</v>
      </c>
      <c r="J1197" s="37">
        <v>100</v>
      </c>
      <c r="K1197" s="43">
        <v>67.760000000000005</v>
      </c>
      <c r="L1197" s="65">
        <f t="shared" si="114"/>
        <v>0.67760000000000009</v>
      </c>
      <c r="M1197" s="65">
        <f t="shared" si="115"/>
        <v>0.67760000000000009</v>
      </c>
      <c r="N1197" s="37" t="s">
        <v>203</v>
      </c>
      <c r="O1197" s="37" t="s">
        <v>203</v>
      </c>
      <c r="P1197" s="40">
        <v>0</v>
      </c>
      <c r="Q1197" s="40">
        <v>0</v>
      </c>
      <c r="R1197" s="37" t="s">
        <v>1580</v>
      </c>
      <c r="S1197" s="37"/>
    </row>
    <row r="1198" spans="1:19" x14ac:dyDescent="0.3">
      <c r="A1198" s="36">
        <v>312</v>
      </c>
      <c r="B1198" s="37" t="s">
        <v>1581</v>
      </c>
      <c r="C1198" s="37" t="s">
        <v>454</v>
      </c>
      <c r="D1198" s="37" t="s">
        <v>21</v>
      </c>
      <c r="E1198" s="37" t="s">
        <v>22</v>
      </c>
      <c r="F1198" s="38">
        <v>45107</v>
      </c>
      <c r="G1198" s="37">
        <v>2023</v>
      </c>
      <c r="H1198" s="37" t="s">
        <v>23</v>
      </c>
      <c r="I1198" s="39" t="s">
        <v>30</v>
      </c>
      <c r="J1198" s="37">
        <v>113</v>
      </c>
      <c r="K1198" s="56">
        <v>125</v>
      </c>
      <c r="L1198" s="65">
        <f t="shared" si="114"/>
        <v>1.1061946902654867</v>
      </c>
      <c r="M1198" s="65">
        <f t="shared" si="115"/>
        <v>1.1061946902654867</v>
      </c>
      <c r="N1198" s="37" t="s">
        <v>203</v>
      </c>
      <c r="O1198" s="37" t="s">
        <v>203</v>
      </c>
      <c r="P1198" s="40">
        <v>0</v>
      </c>
      <c r="Q1198" s="40">
        <v>0</v>
      </c>
      <c r="R1198" s="37" t="s">
        <v>1582</v>
      </c>
      <c r="S1198" s="37"/>
    </row>
    <row r="1199" spans="1:19" x14ac:dyDescent="0.3">
      <c r="A1199" s="41">
        <v>312</v>
      </c>
      <c r="B1199" s="37" t="s">
        <v>1581</v>
      </c>
      <c r="C1199" s="37" t="s">
        <v>454</v>
      </c>
      <c r="D1199" s="37" t="s">
        <v>21</v>
      </c>
      <c r="E1199" s="37" t="s">
        <v>22</v>
      </c>
      <c r="F1199" s="42">
        <v>45291</v>
      </c>
      <c r="G1199" s="37">
        <v>2023</v>
      </c>
      <c r="H1199" s="37" t="s">
        <v>27</v>
      </c>
      <c r="I1199" s="39" t="s">
        <v>32</v>
      </c>
      <c r="J1199" s="37">
        <v>108</v>
      </c>
      <c r="K1199" s="56">
        <v>118</v>
      </c>
      <c r="L1199" s="65">
        <f t="shared" si="114"/>
        <v>1.0925925925925926</v>
      </c>
      <c r="M1199" s="65">
        <f t="shared" si="115"/>
        <v>1.0925925925925926</v>
      </c>
      <c r="N1199" s="37" t="s">
        <v>203</v>
      </c>
      <c r="O1199" s="37" t="s">
        <v>203</v>
      </c>
      <c r="P1199" s="40">
        <v>0</v>
      </c>
      <c r="Q1199" s="40">
        <v>0</v>
      </c>
      <c r="R1199" s="37" t="s">
        <v>1583</v>
      </c>
      <c r="S1199" s="37"/>
    </row>
    <row r="1200" spans="1:19" x14ac:dyDescent="0.3">
      <c r="A1200" s="37">
        <v>312</v>
      </c>
      <c r="B1200" s="37" t="s">
        <v>1581</v>
      </c>
      <c r="C1200" s="37" t="s">
        <v>454</v>
      </c>
      <c r="D1200" s="37" t="s">
        <v>21</v>
      </c>
      <c r="E1200" s="37" t="s">
        <v>22</v>
      </c>
      <c r="F1200" s="42">
        <v>45473</v>
      </c>
      <c r="G1200" s="37">
        <v>2024</v>
      </c>
      <c r="H1200" s="37" t="s">
        <v>23</v>
      </c>
      <c r="I1200" s="39" t="s">
        <v>34</v>
      </c>
      <c r="J1200" s="37">
        <v>100</v>
      </c>
      <c r="K1200" s="37">
        <v>126</v>
      </c>
      <c r="L1200" s="65">
        <f t="shared" si="114"/>
        <v>1.26</v>
      </c>
      <c r="M1200" s="65">
        <f t="shared" si="115"/>
        <v>1.26</v>
      </c>
      <c r="N1200" s="37" t="s">
        <v>203</v>
      </c>
      <c r="O1200" s="37" t="s">
        <v>203</v>
      </c>
      <c r="P1200" s="37">
        <v>0</v>
      </c>
      <c r="Q1200" s="37">
        <v>0</v>
      </c>
      <c r="R1200" s="37" t="s">
        <v>1584</v>
      </c>
      <c r="S1200" s="37"/>
    </row>
    <row r="1201" spans="1:19" x14ac:dyDescent="0.3">
      <c r="A1201" s="36">
        <v>312</v>
      </c>
      <c r="B1201" s="37" t="s">
        <v>1581</v>
      </c>
      <c r="C1201" s="37" t="s">
        <v>454</v>
      </c>
      <c r="D1201" s="37" t="s">
        <v>21</v>
      </c>
      <c r="E1201" s="37" t="s">
        <v>22</v>
      </c>
      <c r="F1201" s="42">
        <v>45657</v>
      </c>
      <c r="G1201" s="37">
        <v>2024</v>
      </c>
      <c r="H1201" s="37" t="s">
        <v>27</v>
      </c>
      <c r="I1201" s="39" t="s">
        <v>36</v>
      </c>
      <c r="J1201" s="37">
        <v>100</v>
      </c>
      <c r="K1201" s="43">
        <v>137</v>
      </c>
      <c r="L1201" s="65">
        <f t="shared" si="114"/>
        <v>1.3</v>
      </c>
      <c r="M1201" s="65">
        <f t="shared" si="115"/>
        <v>1.37</v>
      </c>
      <c r="N1201" s="37" t="s">
        <v>203</v>
      </c>
      <c r="O1201" s="37" t="s">
        <v>203</v>
      </c>
      <c r="P1201" s="40">
        <v>0</v>
      </c>
      <c r="Q1201" s="40">
        <v>0</v>
      </c>
      <c r="R1201" s="37" t="s">
        <v>1585</v>
      </c>
      <c r="S1201" s="37"/>
    </row>
    <row r="1202" spans="1:19" x14ac:dyDescent="0.3">
      <c r="A1202" s="36">
        <v>313</v>
      </c>
      <c r="B1202" s="37" t="s">
        <v>1586</v>
      </c>
      <c r="C1202" s="37" t="s">
        <v>454</v>
      </c>
      <c r="D1202" s="37" t="s">
        <v>21</v>
      </c>
      <c r="E1202" s="37" t="s">
        <v>22</v>
      </c>
      <c r="F1202" s="38">
        <v>45107</v>
      </c>
      <c r="G1202" s="37">
        <v>2023</v>
      </c>
      <c r="H1202" s="37" t="s">
        <v>23</v>
      </c>
      <c r="I1202" s="39" t="s">
        <v>30</v>
      </c>
      <c r="J1202" s="37">
        <v>13</v>
      </c>
      <c r="K1202" s="56">
        <v>13</v>
      </c>
      <c r="L1202" s="65">
        <f t="shared" si="114"/>
        <v>1</v>
      </c>
      <c r="M1202" s="65">
        <f t="shared" si="115"/>
        <v>1</v>
      </c>
      <c r="N1202" s="37" t="s">
        <v>203</v>
      </c>
      <c r="O1202" s="37" t="s">
        <v>203</v>
      </c>
      <c r="P1202" s="40">
        <v>0</v>
      </c>
      <c r="Q1202" s="40">
        <v>0</v>
      </c>
      <c r="R1202" s="37" t="s">
        <v>1587</v>
      </c>
      <c r="S1202" s="37"/>
    </row>
    <row r="1203" spans="1:19" x14ac:dyDescent="0.3">
      <c r="A1203" s="41">
        <v>313</v>
      </c>
      <c r="B1203" s="37" t="s">
        <v>1586</v>
      </c>
      <c r="C1203" s="37" t="s">
        <v>454</v>
      </c>
      <c r="D1203" s="37" t="s">
        <v>21</v>
      </c>
      <c r="E1203" s="37" t="s">
        <v>22</v>
      </c>
      <c r="F1203" s="42">
        <v>45291</v>
      </c>
      <c r="G1203" s="37">
        <v>2023</v>
      </c>
      <c r="H1203" s="37" t="s">
        <v>27</v>
      </c>
      <c r="I1203" s="39" t="s">
        <v>32</v>
      </c>
      <c r="J1203" s="37">
        <v>15</v>
      </c>
      <c r="K1203" s="56">
        <v>12</v>
      </c>
      <c r="L1203" s="65">
        <f t="shared" si="114"/>
        <v>0.8</v>
      </c>
      <c r="M1203" s="65">
        <f t="shared" si="115"/>
        <v>0.8</v>
      </c>
      <c r="N1203" s="37" t="s">
        <v>203</v>
      </c>
      <c r="O1203" s="37" t="s">
        <v>203</v>
      </c>
      <c r="P1203" s="40">
        <v>0</v>
      </c>
      <c r="Q1203" s="40">
        <v>0</v>
      </c>
      <c r="R1203" s="37" t="s">
        <v>1588</v>
      </c>
      <c r="S1203" s="37"/>
    </row>
    <row r="1204" spans="1:19" x14ac:dyDescent="0.3">
      <c r="A1204" s="37">
        <v>313</v>
      </c>
      <c r="B1204" s="37" t="s">
        <v>1586</v>
      </c>
      <c r="C1204" s="37" t="s">
        <v>454</v>
      </c>
      <c r="D1204" s="37" t="s">
        <v>21</v>
      </c>
      <c r="E1204" s="37" t="s">
        <v>22</v>
      </c>
      <c r="F1204" s="42">
        <v>45473</v>
      </c>
      <c r="G1204" s="37">
        <v>2024</v>
      </c>
      <c r="H1204" s="37" t="s">
        <v>23</v>
      </c>
      <c r="I1204" s="39" t="s">
        <v>34</v>
      </c>
      <c r="J1204" s="37">
        <v>100</v>
      </c>
      <c r="K1204" s="37">
        <v>100</v>
      </c>
      <c r="L1204" s="65">
        <f t="shared" si="114"/>
        <v>1</v>
      </c>
      <c r="M1204" s="65">
        <f t="shared" si="115"/>
        <v>1</v>
      </c>
      <c r="N1204" s="37" t="s">
        <v>203</v>
      </c>
      <c r="O1204" s="37" t="s">
        <v>203</v>
      </c>
      <c r="P1204" s="37">
        <v>0</v>
      </c>
      <c r="Q1204" s="37">
        <v>0</v>
      </c>
      <c r="R1204" s="37" t="s">
        <v>1589</v>
      </c>
      <c r="S1204" s="37"/>
    </row>
    <row r="1205" spans="1:19" x14ac:dyDescent="0.3">
      <c r="A1205" s="36">
        <v>313</v>
      </c>
      <c r="B1205" s="37" t="s">
        <v>1586</v>
      </c>
      <c r="C1205" s="37" t="s">
        <v>454</v>
      </c>
      <c r="D1205" s="37" t="s">
        <v>21</v>
      </c>
      <c r="E1205" s="37" t="s">
        <v>22</v>
      </c>
      <c r="F1205" s="42">
        <v>45657</v>
      </c>
      <c r="G1205" s="37">
        <v>2024</v>
      </c>
      <c r="H1205" s="37" t="s">
        <v>27</v>
      </c>
      <c r="I1205" s="39" t="s">
        <v>36</v>
      </c>
      <c r="J1205" s="37">
        <v>100</v>
      </c>
      <c r="K1205" s="43">
        <v>100</v>
      </c>
      <c r="L1205" s="65">
        <f t="shared" si="114"/>
        <v>1</v>
      </c>
      <c r="M1205" s="65">
        <f t="shared" si="115"/>
        <v>1</v>
      </c>
      <c r="N1205" s="37" t="s">
        <v>203</v>
      </c>
      <c r="O1205" s="37" t="s">
        <v>203</v>
      </c>
      <c r="P1205" s="40">
        <v>0</v>
      </c>
      <c r="Q1205" s="40">
        <v>0</v>
      </c>
      <c r="R1205" s="37" t="s">
        <v>1590</v>
      </c>
      <c r="S1205" s="37"/>
    </row>
    <row r="1206" spans="1:19" x14ac:dyDescent="0.3">
      <c r="A1206" s="36">
        <v>314</v>
      </c>
      <c r="B1206" s="37" t="s">
        <v>1591</v>
      </c>
      <c r="C1206" s="37" t="s">
        <v>454</v>
      </c>
      <c r="D1206" s="37" t="s">
        <v>21</v>
      </c>
      <c r="E1206" s="37" t="s">
        <v>22</v>
      </c>
      <c r="F1206" s="38">
        <v>45107</v>
      </c>
      <c r="G1206" s="37">
        <v>2023</v>
      </c>
      <c r="H1206" s="37" t="s">
        <v>23</v>
      </c>
      <c r="I1206" s="39" t="s">
        <v>30</v>
      </c>
      <c r="J1206" s="37">
        <v>9</v>
      </c>
      <c r="K1206" s="56">
        <v>13</v>
      </c>
      <c r="L1206" s="65">
        <f t="shared" si="114"/>
        <v>1.3</v>
      </c>
      <c r="M1206" s="65">
        <f t="shared" si="115"/>
        <v>1.4444444444444444</v>
      </c>
      <c r="N1206" s="37" t="s">
        <v>203</v>
      </c>
      <c r="O1206" s="37" t="s">
        <v>203</v>
      </c>
      <c r="P1206" s="40">
        <v>0</v>
      </c>
      <c r="Q1206" s="40">
        <v>0</v>
      </c>
      <c r="R1206" s="37" t="s">
        <v>1592</v>
      </c>
      <c r="S1206" s="37"/>
    </row>
    <row r="1207" spans="1:19" x14ac:dyDescent="0.3">
      <c r="A1207" s="41">
        <v>314</v>
      </c>
      <c r="B1207" s="37" t="s">
        <v>1591</v>
      </c>
      <c r="C1207" s="37" t="s">
        <v>454</v>
      </c>
      <c r="D1207" s="37" t="s">
        <v>21</v>
      </c>
      <c r="E1207" s="37" t="s">
        <v>22</v>
      </c>
      <c r="F1207" s="42">
        <v>45291</v>
      </c>
      <c r="G1207" s="37">
        <v>2023</v>
      </c>
      <c r="H1207" s="37" t="s">
        <v>27</v>
      </c>
      <c r="I1207" s="39" t="s">
        <v>32</v>
      </c>
      <c r="J1207" s="37">
        <v>14</v>
      </c>
      <c r="K1207" s="56">
        <v>16</v>
      </c>
      <c r="L1207" s="65">
        <f t="shared" si="114"/>
        <v>1.1428571428571428</v>
      </c>
      <c r="M1207" s="65">
        <f t="shared" si="115"/>
        <v>1.1428571428571428</v>
      </c>
      <c r="N1207" s="37" t="s">
        <v>203</v>
      </c>
      <c r="O1207" s="37" t="s">
        <v>203</v>
      </c>
      <c r="P1207" s="40">
        <v>0</v>
      </c>
      <c r="Q1207" s="40">
        <v>0</v>
      </c>
      <c r="R1207" s="37" t="s">
        <v>1593</v>
      </c>
      <c r="S1207" s="37"/>
    </row>
    <row r="1208" spans="1:19" x14ac:dyDescent="0.3">
      <c r="A1208" s="37">
        <v>314</v>
      </c>
      <c r="B1208" s="37" t="s">
        <v>1591</v>
      </c>
      <c r="C1208" s="37" t="s">
        <v>454</v>
      </c>
      <c r="D1208" s="37" t="s">
        <v>21</v>
      </c>
      <c r="E1208" s="37" t="s">
        <v>22</v>
      </c>
      <c r="F1208" s="42">
        <v>45473</v>
      </c>
      <c r="G1208" s="37">
        <v>2024</v>
      </c>
      <c r="H1208" s="37" t="s">
        <v>23</v>
      </c>
      <c r="I1208" s="39" t="s">
        <v>34</v>
      </c>
      <c r="J1208" s="37">
        <v>100</v>
      </c>
      <c r="K1208" s="37">
        <v>140</v>
      </c>
      <c r="L1208" s="65">
        <f t="shared" si="114"/>
        <v>1.3</v>
      </c>
      <c r="M1208" s="65">
        <f t="shared" si="115"/>
        <v>1.4</v>
      </c>
      <c r="N1208" s="37" t="s">
        <v>203</v>
      </c>
      <c r="O1208" s="37" t="s">
        <v>203</v>
      </c>
      <c r="P1208" s="37">
        <v>0</v>
      </c>
      <c r="Q1208" s="37">
        <v>0</v>
      </c>
      <c r="R1208" s="37" t="s">
        <v>1594</v>
      </c>
      <c r="S1208" s="37"/>
    </row>
    <row r="1209" spans="1:19" x14ac:dyDescent="0.3">
      <c r="A1209" s="36">
        <v>314</v>
      </c>
      <c r="B1209" s="37" t="s">
        <v>1591</v>
      </c>
      <c r="C1209" s="37" t="s">
        <v>454</v>
      </c>
      <c r="D1209" s="37" t="s">
        <v>21</v>
      </c>
      <c r="E1209" s="37" t="s">
        <v>22</v>
      </c>
      <c r="F1209" s="42">
        <v>45657</v>
      </c>
      <c r="G1209" s="37">
        <v>2024</v>
      </c>
      <c r="H1209" s="37" t="s">
        <v>27</v>
      </c>
      <c r="I1209" s="39" t="s">
        <v>36</v>
      </c>
      <c r="J1209" s="37">
        <v>100</v>
      </c>
      <c r="K1209" s="43">
        <v>145</v>
      </c>
      <c r="L1209" s="65">
        <f t="shared" si="114"/>
        <v>1.3</v>
      </c>
      <c r="M1209" s="65">
        <f t="shared" si="115"/>
        <v>1.45</v>
      </c>
      <c r="N1209" s="37" t="s">
        <v>203</v>
      </c>
      <c r="O1209" s="37" t="s">
        <v>203</v>
      </c>
      <c r="P1209" s="40">
        <v>0</v>
      </c>
      <c r="Q1209" s="40">
        <v>0</v>
      </c>
      <c r="R1209" s="37" t="s">
        <v>1595</v>
      </c>
      <c r="S1209" s="37"/>
    </row>
    <row r="1210" spans="1:19" x14ac:dyDescent="0.3">
      <c r="A1210" s="36">
        <v>315</v>
      </c>
      <c r="B1210" s="37" t="s">
        <v>1596</v>
      </c>
      <c r="C1210" s="37" t="s">
        <v>454</v>
      </c>
      <c r="D1210" s="37" t="s">
        <v>21</v>
      </c>
      <c r="E1210" s="37" t="s">
        <v>22</v>
      </c>
      <c r="F1210" s="38">
        <v>45107</v>
      </c>
      <c r="G1210" s="37">
        <v>2023</v>
      </c>
      <c r="H1210" s="37" t="s">
        <v>23</v>
      </c>
      <c r="I1210" s="39" t="s">
        <v>30</v>
      </c>
      <c r="J1210" s="37">
        <v>5</v>
      </c>
      <c r="K1210" s="56">
        <v>7</v>
      </c>
      <c r="L1210" s="65">
        <f t="shared" ref="L1210:L1237" si="116">IFERROR(IF(OR(J1210=0,K1210=""),"",IF(E1210="Positivo",MIN(MAX(K1210/J1210,0),1.3),MIN(MAX(J1210/K1210,0),1.3))),"")</f>
        <v>1.3</v>
      </c>
      <c r="M1210" s="65">
        <f t="shared" ref="M1210:M1237" si="117">IFERROR(IF(OR(J1210=0,K1210=""),"",IF(E1210="Positivo",MAX(K1210/J1210,0),MAX(J1210/K1210,0))),"")</f>
        <v>1.4</v>
      </c>
      <c r="N1210" s="37" t="s">
        <v>203</v>
      </c>
      <c r="O1210" s="37" t="s">
        <v>203</v>
      </c>
      <c r="P1210" s="40">
        <v>0</v>
      </c>
      <c r="Q1210" s="40">
        <v>0</v>
      </c>
      <c r="R1210" s="37" t="s">
        <v>1597</v>
      </c>
      <c r="S1210" s="37"/>
    </row>
    <row r="1211" spans="1:19" x14ac:dyDescent="0.3">
      <c r="A1211" s="36">
        <v>316</v>
      </c>
      <c r="B1211" s="37" t="s">
        <v>1598</v>
      </c>
      <c r="C1211" s="37" t="s">
        <v>454</v>
      </c>
      <c r="D1211" s="37" t="s">
        <v>21</v>
      </c>
      <c r="E1211" s="37" t="s">
        <v>22</v>
      </c>
      <c r="F1211" s="38">
        <v>45107</v>
      </c>
      <c r="G1211" s="37">
        <v>2023</v>
      </c>
      <c r="H1211" s="37" t="s">
        <v>23</v>
      </c>
      <c r="I1211" s="39" t="s">
        <v>30</v>
      </c>
      <c r="J1211" s="37">
        <v>9</v>
      </c>
      <c r="K1211" s="56">
        <v>11</v>
      </c>
      <c r="L1211" s="65">
        <f t="shared" si="116"/>
        <v>1.2222222222222223</v>
      </c>
      <c r="M1211" s="65">
        <f t="shared" si="117"/>
        <v>1.2222222222222223</v>
      </c>
      <c r="N1211" s="37" t="s">
        <v>203</v>
      </c>
      <c r="O1211" s="37" t="s">
        <v>203</v>
      </c>
      <c r="P1211" s="40">
        <v>0</v>
      </c>
      <c r="Q1211" s="40">
        <v>0</v>
      </c>
      <c r="R1211" s="37" t="s">
        <v>1599</v>
      </c>
      <c r="S1211" s="37"/>
    </row>
    <row r="1212" spans="1:19" x14ac:dyDescent="0.3">
      <c r="A1212" s="41">
        <v>316</v>
      </c>
      <c r="B1212" s="37" t="s">
        <v>1598</v>
      </c>
      <c r="C1212" s="37" t="s">
        <v>454</v>
      </c>
      <c r="D1212" s="37" t="s">
        <v>21</v>
      </c>
      <c r="E1212" s="37" t="s">
        <v>22</v>
      </c>
      <c r="F1212" s="42">
        <v>45291</v>
      </c>
      <c r="G1212" s="37">
        <v>2023</v>
      </c>
      <c r="H1212" s="37" t="s">
        <v>27</v>
      </c>
      <c r="I1212" s="39" t="s">
        <v>32</v>
      </c>
      <c r="J1212" s="37">
        <v>12</v>
      </c>
      <c r="K1212" s="56">
        <v>11</v>
      </c>
      <c r="L1212" s="65">
        <f t="shared" si="116"/>
        <v>0.91666666666666663</v>
      </c>
      <c r="M1212" s="65">
        <f t="shared" si="117"/>
        <v>0.91666666666666663</v>
      </c>
      <c r="N1212" s="37" t="s">
        <v>203</v>
      </c>
      <c r="O1212" s="37" t="s">
        <v>203</v>
      </c>
      <c r="P1212" s="40">
        <v>0</v>
      </c>
      <c r="Q1212" s="40">
        <v>0</v>
      </c>
      <c r="R1212" s="37" t="s">
        <v>1600</v>
      </c>
      <c r="S1212" s="37"/>
    </row>
    <row r="1213" spans="1:19" x14ac:dyDescent="0.3">
      <c r="A1213" s="41">
        <v>317</v>
      </c>
      <c r="B1213" s="37" t="s">
        <v>1601</v>
      </c>
      <c r="C1213" s="37" t="s">
        <v>454</v>
      </c>
      <c r="D1213" s="37" t="s">
        <v>139</v>
      </c>
      <c r="E1213" s="37" t="s">
        <v>22</v>
      </c>
      <c r="F1213" s="42">
        <v>45291</v>
      </c>
      <c r="G1213" s="37">
        <v>2023</v>
      </c>
      <c r="H1213" s="37" t="s">
        <v>27</v>
      </c>
      <c r="I1213" s="39" t="s">
        <v>32</v>
      </c>
      <c r="J1213" s="37">
        <v>12</v>
      </c>
      <c r="K1213" s="56">
        <v>12</v>
      </c>
      <c r="L1213" s="65">
        <f t="shared" si="116"/>
        <v>1</v>
      </c>
      <c r="M1213" s="65">
        <f t="shared" si="117"/>
        <v>1</v>
      </c>
      <c r="N1213" s="37" t="s">
        <v>203</v>
      </c>
      <c r="O1213" s="37" t="s">
        <v>203</v>
      </c>
      <c r="P1213" s="40">
        <v>0</v>
      </c>
      <c r="Q1213" s="40">
        <v>0</v>
      </c>
      <c r="R1213" s="37" t="s">
        <v>1602</v>
      </c>
      <c r="S1213" s="37"/>
    </row>
    <row r="1214" spans="1:19" x14ac:dyDescent="0.3">
      <c r="A1214" s="36">
        <v>317</v>
      </c>
      <c r="B1214" s="37" t="s">
        <v>1601</v>
      </c>
      <c r="C1214" s="37" t="s">
        <v>454</v>
      </c>
      <c r="D1214" s="37" t="s">
        <v>139</v>
      </c>
      <c r="E1214" s="37" t="s">
        <v>22</v>
      </c>
      <c r="F1214" s="42">
        <v>45657</v>
      </c>
      <c r="G1214" s="37">
        <v>2024</v>
      </c>
      <c r="H1214" s="37" t="s">
        <v>27</v>
      </c>
      <c r="I1214" s="39" t="s">
        <v>36</v>
      </c>
      <c r="J1214" s="37">
        <v>100</v>
      </c>
      <c r="K1214" s="43">
        <v>100</v>
      </c>
      <c r="L1214" s="65">
        <f t="shared" si="116"/>
        <v>1</v>
      </c>
      <c r="M1214" s="65">
        <f t="shared" si="117"/>
        <v>1</v>
      </c>
      <c r="N1214" s="37"/>
      <c r="O1214" s="37"/>
      <c r="P1214" s="40">
        <v>0</v>
      </c>
      <c r="Q1214" s="40">
        <v>0</v>
      </c>
      <c r="R1214" s="37" t="s">
        <v>1603</v>
      </c>
      <c r="S1214" s="37"/>
    </row>
    <row r="1215" spans="1:19" x14ac:dyDescent="0.3">
      <c r="A1215" s="36">
        <v>318</v>
      </c>
      <c r="B1215" s="37" t="s">
        <v>1604</v>
      </c>
      <c r="C1215" s="37" t="s">
        <v>454</v>
      </c>
      <c r="D1215" s="37" t="s">
        <v>21</v>
      </c>
      <c r="E1215" s="37" t="s">
        <v>22</v>
      </c>
      <c r="F1215" s="38">
        <v>45107</v>
      </c>
      <c r="G1215" s="37">
        <v>2023</v>
      </c>
      <c r="H1215" s="37" t="s">
        <v>23</v>
      </c>
      <c r="I1215" s="39" t="s">
        <v>30</v>
      </c>
      <c r="J1215" s="37">
        <v>107</v>
      </c>
      <c r="K1215" s="56">
        <v>92</v>
      </c>
      <c r="L1215" s="65">
        <f t="shared" si="116"/>
        <v>0.85981308411214952</v>
      </c>
      <c r="M1215" s="65">
        <f t="shared" si="117"/>
        <v>0.85981308411214952</v>
      </c>
      <c r="N1215" s="37" t="s">
        <v>25</v>
      </c>
      <c r="O1215" s="37" t="s">
        <v>25</v>
      </c>
      <c r="P1215" s="40">
        <v>0</v>
      </c>
      <c r="Q1215" s="40">
        <v>0</v>
      </c>
      <c r="R1215" s="37" t="s">
        <v>1605</v>
      </c>
      <c r="S1215" s="37"/>
    </row>
    <row r="1216" spans="1:19" x14ac:dyDescent="0.3">
      <c r="A1216" s="41">
        <v>318</v>
      </c>
      <c r="B1216" s="37" t="s">
        <v>1604</v>
      </c>
      <c r="C1216" s="37" t="s">
        <v>454</v>
      </c>
      <c r="D1216" s="37" t="s">
        <v>21</v>
      </c>
      <c r="E1216" s="37" t="s">
        <v>22</v>
      </c>
      <c r="F1216" s="42">
        <v>45291</v>
      </c>
      <c r="G1216" s="37">
        <v>2023</v>
      </c>
      <c r="H1216" s="37" t="s">
        <v>27</v>
      </c>
      <c r="I1216" s="39" t="s">
        <v>32</v>
      </c>
      <c r="J1216" s="37">
        <v>132</v>
      </c>
      <c r="K1216" s="56">
        <v>120</v>
      </c>
      <c r="L1216" s="65">
        <f t="shared" si="116"/>
        <v>0.90909090909090906</v>
      </c>
      <c r="M1216" s="65">
        <f t="shared" si="117"/>
        <v>0.90909090909090906</v>
      </c>
      <c r="N1216" s="37" t="s">
        <v>25</v>
      </c>
      <c r="O1216" s="37" t="s">
        <v>25</v>
      </c>
      <c r="P1216" s="40">
        <v>0</v>
      </c>
      <c r="Q1216" s="40">
        <v>0</v>
      </c>
      <c r="R1216" s="37" t="s">
        <v>1606</v>
      </c>
      <c r="S1216" s="37"/>
    </row>
    <row r="1217" spans="1:19" x14ac:dyDescent="0.3">
      <c r="A1217" s="36">
        <v>318</v>
      </c>
      <c r="B1217" s="37" t="s">
        <v>1607</v>
      </c>
      <c r="C1217" s="37" t="s">
        <v>454</v>
      </c>
      <c r="D1217" s="37" t="s">
        <v>139</v>
      </c>
      <c r="E1217" s="37" t="s">
        <v>22</v>
      </c>
      <c r="F1217" s="42">
        <v>45657</v>
      </c>
      <c r="G1217" s="37">
        <v>2024</v>
      </c>
      <c r="H1217" s="37" t="s">
        <v>27</v>
      </c>
      <c r="I1217" s="39" t="s">
        <v>36</v>
      </c>
      <c r="J1217" s="37">
        <v>144</v>
      </c>
      <c r="K1217" s="43">
        <v>130</v>
      </c>
      <c r="L1217" s="65">
        <f t="shared" si="116"/>
        <v>0.90277777777777779</v>
      </c>
      <c r="M1217" s="65">
        <f t="shared" si="117"/>
        <v>0.90277777777777779</v>
      </c>
      <c r="N1217" s="37" t="s">
        <v>25</v>
      </c>
      <c r="O1217" s="37" t="s">
        <v>25</v>
      </c>
      <c r="P1217" s="40">
        <v>0</v>
      </c>
      <c r="Q1217" s="40">
        <v>0</v>
      </c>
      <c r="R1217" s="37" t="s">
        <v>1608</v>
      </c>
      <c r="S1217" s="37"/>
    </row>
    <row r="1218" spans="1:19" x14ac:dyDescent="0.3">
      <c r="A1218" s="36">
        <v>319</v>
      </c>
      <c r="B1218" s="37" t="s">
        <v>1609</v>
      </c>
      <c r="C1218" s="37" t="s">
        <v>454</v>
      </c>
      <c r="D1218" s="37" t="s">
        <v>21</v>
      </c>
      <c r="E1218" s="37" t="s">
        <v>22</v>
      </c>
      <c r="F1218" s="38">
        <v>45107</v>
      </c>
      <c r="G1218" s="37">
        <v>2023</v>
      </c>
      <c r="H1218" s="37" t="s">
        <v>23</v>
      </c>
      <c r="I1218" s="39" t="s">
        <v>30</v>
      </c>
      <c r="J1218" s="37">
        <v>100</v>
      </c>
      <c r="K1218" s="56">
        <v>80</v>
      </c>
      <c r="L1218" s="65">
        <f t="shared" si="116"/>
        <v>0.8</v>
      </c>
      <c r="M1218" s="65">
        <f t="shared" si="117"/>
        <v>0.8</v>
      </c>
      <c r="N1218" s="37" t="s">
        <v>25</v>
      </c>
      <c r="O1218" s="37" t="s">
        <v>25</v>
      </c>
      <c r="P1218" s="40">
        <v>0</v>
      </c>
      <c r="Q1218" s="40">
        <v>0</v>
      </c>
      <c r="R1218" s="37" t="s">
        <v>1610</v>
      </c>
      <c r="S1218" s="37"/>
    </row>
    <row r="1219" spans="1:19" x14ac:dyDescent="0.3">
      <c r="A1219" s="41">
        <v>319</v>
      </c>
      <c r="B1219" s="37" t="s">
        <v>1609</v>
      </c>
      <c r="C1219" s="37" t="s">
        <v>454</v>
      </c>
      <c r="D1219" s="37" t="s">
        <v>21</v>
      </c>
      <c r="E1219" s="37" t="s">
        <v>22</v>
      </c>
      <c r="F1219" s="42">
        <v>45291</v>
      </c>
      <c r="G1219" s="37">
        <v>2023</v>
      </c>
      <c r="H1219" s="37" t="s">
        <v>27</v>
      </c>
      <c r="I1219" s="39" t="s">
        <v>32</v>
      </c>
      <c r="J1219" s="37">
        <v>100</v>
      </c>
      <c r="K1219" s="56">
        <v>100</v>
      </c>
      <c r="L1219" s="65">
        <f t="shared" si="116"/>
        <v>1</v>
      </c>
      <c r="M1219" s="65">
        <f t="shared" si="117"/>
        <v>1</v>
      </c>
      <c r="N1219" s="37" t="s">
        <v>25</v>
      </c>
      <c r="O1219" s="37" t="s">
        <v>25</v>
      </c>
      <c r="P1219" s="40">
        <v>0</v>
      </c>
      <c r="Q1219" s="40">
        <v>0</v>
      </c>
      <c r="R1219" s="37" t="s">
        <v>1611</v>
      </c>
      <c r="S1219" s="37"/>
    </row>
    <row r="1220" spans="1:19" x14ac:dyDescent="0.3">
      <c r="A1220" s="37">
        <v>319</v>
      </c>
      <c r="B1220" s="37" t="s">
        <v>1609</v>
      </c>
      <c r="C1220" s="37" t="s">
        <v>454</v>
      </c>
      <c r="D1220" s="37" t="s">
        <v>21</v>
      </c>
      <c r="E1220" s="37" t="s">
        <v>22</v>
      </c>
      <c r="F1220" s="42">
        <v>45473</v>
      </c>
      <c r="G1220" s="37">
        <v>2024</v>
      </c>
      <c r="H1220" s="37" t="s">
        <v>23</v>
      </c>
      <c r="I1220" s="39" t="s">
        <v>34</v>
      </c>
      <c r="J1220" s="37">
        <v>100</v>
      </c>
      <c r="K1220" s="37">
        <v>100</v>
      </c>
      <c r="L1220" s="65">
        <f t="shared" si="116"/>
        <v>1</v>
      </c>
      <c r="M1220" s="65">
        <f t="shared" si="117"/>
        <v>1</v>
      </c>
      <c r="N1220" s="37" t="s">
        <v>25</v>
      </c>
      <c r="O1220" s="37" t="s">
        <v>25</v>
      </c>
      <c r="P1220" s="37">
        <v>0</v>
      </c>
      <c r="Q1220" s="37">
        <v>0</v>
      </c>
      <c r="R1220" s="37" t="s">
        <v>1612</v>
      </c>
      <c r="S1220" s="37"/>
    </row>
    <row r="1221" spans="1:19" x14ac:dyDescent="0.3">
      <c r="A1221" s="36">
        <v>319</v>
      </c>
      <c r="B1221" s="37" t="s">
        <v>1609</v>
      </c>
      <c r="C1221" s="37" t="s">
        <v>454</v>
      </c>
      <c r="D1221" s="37" t="s">
        <v>21</v>
      </c>
      <c r="E1221" s="37" t="s">
        <v>22</v>
      </c>
      <c r="F1221" s="42">
        <v>45657</v>
      </c>
      <c r="G1221" s="37">
        <v>2024</v>
      </c>
      <c r="H1221" s="37" t="s">
        <v>27</v>
      </c>
      <c r="I1221" s="39" t="s">
        <v>36</v>
      </c>
      <c r="J1221" s="37">
        <v>100</v>
      </c>
      <c r="K1221" s="43">
        <v>100</v>
      </c>
      <c r="L1221" s="65">
        <f t="shared" si="116"/>
        <v>1</v>
      </c>
      <c r="M1221" s="65">
        <f t="shared" si="117"/>
        <v>1</v>
      </c>
      <c r="N1221" s="37" t="s">
        <v>25</v>
      </c>
      <c r="O1221" s="37" t="s">
        <v>25</v>
      </c>
      <c r="P1221" s="40">
        <v>0</v>
      </c>
      <c r="Q1221" s="40">
        <v>0</v>
      </c>
      <c r="R1221" s="37" t="s">
        <v>1613</v>
      </c>
      <c r="S1221" s="37"/>
    </row>
    <row r="1222" spans="1:19" x14ac:dyDescent="0.3">
      <c r="A1222" s="36">
        <v>320</v>
      </c>
      <c r="B1222" s="37" t="s">
        <v>1614</v>
      </c>
      <c r="C1222" s="37" t="s">
        <v>454</v>
      </c>
      <c r="D1222" s="37" t="s">
        <v>21</v>
      </c>
      <c r="E1222" s="37" t="s">
        <v>22</v>
      </c>
      <c r="F1222" s="38">
        <v>45107</v>
      </c>
      <c r="G1222" s="37">
        <v>2023</v>
      </c>
      <c r="H1222" s="37" t="s">
        <v>23</v>
      </c>
      <c r="I1222" s="39" t="s">
        <v>30</v>
      </c>
      <c r="J1222" s="37">
        <v>26</v>
      </c>
      <c r="K1222" s="56">
        <v>12</v>
      </c>
      <c r="L1222" s="65">
        <f t="shared" si="116"/>
        <v>0.46153846153846156</v>
      </c>
      <c r="M1222" s="65">
        <f t="shared" si="117"/>
        <v>0.46153846153846156</v>
      </c>
      <c r="N1222" s="37" t="s">
        <v>25</v>
      </c>
      <c r="O1222" s="37" t="s">
        <v>25</v>
      </c>
      <c r="P1222" s="40">
        <v>0</v>
      </c>
      <c r="Q1222" s="40">
        <v>0</v>
      </c>
      <c r="R1222" s="37" t="s">
        <v>1615</v>
      </c>
      <c r="S1222" s="37"/>
    </row>
    <row r="1223" spans="1:19" x14ac:dyDescent="0.3">
      <c r="A1223" s="41">
        <v>320</v>
      </c>
      <c r="B1223" s="37" t="s">
        <v>1614</v>
      </c>
      <c r="C1223" s="37" t="s">
        <v>454</v>
      </c>
      <c r="D1223" s="37" t="s">
        <v>21</v>
      </c>
      <c r="E1223" s="37" t="s">
        <v>22</v>
      </c>
      <c r="F1223" s="42">
        <v>45291</v>
      </c>
      <c r="G1223" s="37">
        <v>2023</v>
      </c>
      <c r="H1223" s="37" t="s">
        <v>27</v>
      </c>
      <c r="I1223" s="39" t="s">
        <v>32</v>
      </c>
      <c r="J1223" s="37">
        <v>15</v>
      </c>
      <c r="K1223" s="56">
        <v>17</v>
      </c>
      <c r="L1223" s="65">
        <f t="shared" si="116"/>
        <v>1.1333333333333333</v>
      </c>
      <c r="M1223" s="65">
        <f t="shared" si="117"/>
        <v>1.1333333333333333</v>
      </c>
      <c r="N1223" s="37" t="s">
        <v>25</v>
      </c>
      <c r="O1223" s="37" t="s">
        <v>25</v>
      </c>
      <c r="P1223" s="40">
        <v>0</v>
      </c>
      <c r="Q1223" s="40">
        <v>0</v>
      </c>
      <c r="R1223" s="37" t="s">
        <v>1616</v>
      </c>
      <c r="S1223" s="37"/>
    </row>
    <row r="1224" spans="1:19" x14ac:dyDescent="0.3">
      <c r="A1224" s="37">
        <v>320</v>
      </c>
      <c r="B1224" s="37" t="s">
        <v>1617</v>
      </c>
      <c r="C1224" s="37" t="s">
        <v>454</v>
      </c>
      <c r="D1224" s="37" t="s">
        <v>21</v>
      </c>
      <c r="E1224" s="37" t="s">
        <v>22</v>
      </c>
      <c r="F1224" s="42">
        <v>45473</v>
      </c>
      <c r="G1224" s="37">
        <v>2024</v>
      </c>
      <c r="H1224" s="37" t="s">
        <v>23</v>
      </c>
      <c r="I1224" s="39" t="s">
        <v>34</v>
      </c>
      <c r="J1224" s="37">
        <v>100</v>
      </c>
      <c r="K1224" s="37">
        <v>140</v>
      </c>
      <c r="L1224" s="65">
        <f t="shared" si="116"/>
        <v>1.3</v>
      </c>
      <c r="M1224" s="65">
        <f t="shared" si="117"/>
        <v>1.4</v>
      </c>
      <c r="N1224" s="37" t="s">
        <v>203</v>
      </c>
      <c r="O1224" s="37" t="s">
        <v>203</v>
      </c>
      <c r="P1224" s="37">
        <v>0</v>
      </c>
      <c r="Q1224" s="37">
        <v>0</v>
      </c>
      <c r="R1224" s="37" t="s">
        <v>1618</v>
      </c>
      <c r="S1224" s="37"/>
    </row>
    <row r="1225" spans="1:19" x14ac:dyDescent="0.3">
      <c r="A1225" s="36">
        <v>320</v>
      </c>
      <c r="B1225" s="37" t="s">
        <v>1617</v>
      </c>
      <c r="C1225" s="37" t="s">
        <v>454</v>
      </c>
      <c r="D1225" s="37" t="s">
        <v>21</v>
      </c>
      <c r="E1225" s="37" t="s">
        <v>22</v>
      </c>
      <c r="F1225" s="42">
        <v>45657</v>
      </c>
      <c r="G1225" s="37">
        <v>2024</v>
      </c>
      <c r="H1225" s="37" t="s">
        <v>27</v>
      </c>
      <c r="I1225" s="39" t="s">
        <v>36</v>
      </c>
      <c r="J1225" s="37">
        <v>100</v>
      </c>
      <c r="K1225" s="43">
        <v>115</v>
      </c>
      <c r="L1225" s="65">
        <f t="shared" si="116"/>
        <v>1.1499999999999999</v>
      </c>
      <c r="M1225" s="65">
        <f t="shared" si="117"/>
        <v>1.1499999999999999</v>
      </c>
      <c r="N1225" s="37" t="s">
        <v>203</v>
      </c>
      <c r="O1225" s="37" t="s">
        <v>203</v>
      </c>
      <c r="P1225" s="40">
        <v>0</v>
      </c>
      <c r="Q1225" s="40">
        <v>0</v>
      </c>
      <c r="R1225" s="37" t="s">
        <v>1619</v>
      </c>
      <c r="S1225" s="37"/>
    </row>
    <row r="1226" spans="1:19" x14ac:dyDescent="0.3">
      <c r="A1226" s="36">
        <v>321</v>
      </c>
      <c r="B1226" s="37" t="s">
        <v>1620</v>
      </c>
      <c r="C1226" s="37" t="s">
        <v>454</v>
      </c>
      <c r="D1226" s="37" t="s">
        <v>21</v>
      </c>
      <c r="E1226" s="37" t="s">
        <v>22</v>
      </c>
      <c r="F1226" s="38">
        <v>45107</v>
      </c>
      <c r="G1226" s="37">
        <v>2023</v>
      </c>
      <c r="H1226" s="37" t="s">
        <v>23</v>
      </c>
      <c r="I1226" s="39" t="s">
        <v>30</v>
      </c>
      <c r="J1226" s="37">
        <v>180</v>
      </c>
      <c r="K1226" s="56">
        <v>236</v>
      </c>
      <c r="L1226" s="65">
        <f t="shared" si="116"/>
        <v>1.3</v>
      </c>
      <c r="M1226" s="65">
        <f t="shared" si="117"/>
        <v>1.3111111111111111</v>
      </c>
      <c r="N1226" s="37" t="s">
        <v>203</v>
      </c>
      <c r="O1226" s="37" t="s">
        <v>203</v>
      </c>
      <c r="P1226" s="40">
        <v>0</v>
      </c>
      <c r="Q1226" s="40">
        <v>0</v>
      </c>
      <c r="R1226" s="37" t="s">
        <v>1621</v>
      </c>
      <c r="S1226" s="37"/>
    </row>
    <row r="1227" spans="1:19" x14ac:dyDescent="0.3">
      <c r="A1227" s="41">
        <v>321</v>
      </c>
      <c r="B1227" s="37" t="s">
        <v>1620</v>
      </c>
      <c r="C1227" s="37" t="s">
        <v>454</v>
      </c>
      <c r="D1227" s="37" t="s">
        <v>21</v>
      </c>
      <c r="E1227" s="37" t="s">
        <v>22</v>
      </c>
      <c r="F1227" s="42">
        <v>45291</v>
      </c>
      <c r="G1227" s="37">
        <v>2023</v>
      </c>
      <c r="H1227" s="37" t="s">
        <v>27</v>
      </c>
      <c r="I1227" s="39" t="s">
        <v>32</v>
      </c>
      <c r="J1227" s="37">
        <v>180</v>
      </c>
      <c r="K1227" s="56">
        <v>231</v>
      </c>
      <c r="L1227" s="65">
        <f t="shared" si="116"/>
        <v>1.2833333333333334</v>
      </c>
      <c r="M1227" s="65">
        <f t="shared" si="117"/>
        <v>1.2833333333333334</v>
      </c>
      <c r="N1227" s="37" t="s">
        <v>203</v>
      </c>
      <c r="O1227" s="37" t="s">
        <v>203</v>
      </c>
      <c r="P1227" s="40">
        <v>0</v>
      </c>
      <c r="Q1227" s="40">
        <v>0</v>
      </c>
      <c r="R1227" s="37" t="s">
        <v>1622</v>
      </c>
      <c r="S1227" s="37"/>
    </row>
    <row r="1228" spans="1:19" x14ac:dyDescent="0.3">
      <c r="A1228" s="37">
        <v>321</v>
      </c>
      <c r="B1228" s="37" t="s">
        <v>1623</v>
      </c>
      <c r="C1228" s="37" t="s">
        <v>454</v>
      </c>
      <c r="D1228" s="37" t="s">
        <v>21</v>
      </c>
      <c r="E1228" s="37" t="s">
        <v>22</v>
      </c>
      <c r="F1228" s="42">
        <v>45473</v>
      </c>
      <c r="G1228" s="37">
        <v>2024</v>
      </c>
      <c r="H1228" s="37" t="s">
        <v>23</v>
      </c>
      <c r="I1228" s="39" t="s">
        <v>34</v>
      </c>
      <c r="J1228" s="37">
        <v>100</v>
      </c>
      <c r="K1228" s="37">
        <v>106.52</v>
      </c>
      <c r="L1228" s="65">
        <f t="shared" si="116"/>
        <v>1.0651999999999999</v>
      </c>
      <c r="M1228" s="65">
        <f t="shared" si="117"/>
        <v>1.0651999999999999</v>
      </c>
      <c r="N1228" s="37" t="s">
        <v>203</v>
      </c>
      <c r="O1228" s="37" t="s">
        <v>203</v>
      </c>
      <c r="P1228" s="37">
        <v>0</v>
      </c>
      <c r="Q1228" s="37">
        <v>0</v>
      </c>
      <c r="R1228" s="37" t="s">
        <v>1624</v>
      </c>
      <c r="S1228" s="37"/>
    </row>
    <row r="1229" spans="1:19" x14ac:dyDescent="0.3">
      <c r="A1229" s="36">
        <v>321</v>
      </c>
      <c r="B1229" s="37" t="s">
        <v>1623</v>
      </c>
      <c r="C1229" s="37" t="s">
        <v>454</v>
      </c>
      <c r="D1229" s="37" t="s">
        <v>21</v>
      </c>
      <c r="E1229" s="37" t="s">
        <v>22</v>
      </c>
      <c r="F1229" s="42">
        <v>45657</v>
      </c>
      <c r="G1229" s="37">
        <v>2024</v>
      </c>
      <c r="H1229" s="37" t="s">
        <v>27</v>
      </c>
      <c r="I1229" s="39" t="s">
        <v>36</v>
      </c>
      <c r="J1229" s="37">
        <v>100</v>
      </c>
      <c r="K1229" s="43">
        <v>502.17</v>
      </c>
      <c r="L1229" s="65">
        <f t="shared" si="116"/>
        <v>1.3</v>
      </c>
      <c r="M1229" s="65">
        <f t="shared" si="117"/>
        <v>5.0217000000000001</v>
      </c>
      <c r="N1229" s="37" t="s">
        <v>203</v>
      </c>
      <c r="O1229" s="37" t="s">
        <v>203</v>
      </c>
      <c r="P1229" s="40">
        <v>0</v>
      </c>
      <c r="Q1229" s="40">
        <v>0</v>
      </c>
      <c r="R1229" s="37" t="s">
        <v>1625</v>
      </c>
      <c r="S1229" s="37"/>
    </row>
    <row r="1230" spans="1:19" x14ac:dyDescent="0.3">
      <c r="A1230" s="45">
        <v>323</v>
      </c>
      <c r="B1230" s="37" t="s">
        <v>1626</v>
      </c>
      <c r="C1230" s="37" t="s">
        <v>1627</v>
      </c>
      <c r="D1230" s="37" t="s">
        <v>21</v>
      </c>
      <c r="E1230" s="37" t="s">
        <v>22</v>
      </c>
      <c r="F1230" s="42">
        <v>45107</v>
      </c>
      <c r="G1230" s="37">
        <v>2023</v>
      </c>
      <c r="H1230" s="37" t="s">
        <v>23</v>
      </c>
      <c r="I1230" s="39" t="s">
        <v>30</v>
      </c>
      <c r="J1230" s="37">
        <v>3</v>
      </c>
      <c r="K1230" s="56">
        <v>3</v>
      </c>
      <c r="L1230" s="65">
        <f t="shared" si="116"/>
        <v>1</v>
      </c>
      <c r="M1230" s="65">
        <f t="shared" si="117"/>
        <v>1</v>
      </c>
      <c r="N1230" s="37" t="s">
        <v>203</v>
      </c>
      <c r="O1230" s="37" t="s">
        <v>203</v>
      </c>
      <c r="P1230" s="40">
        <v>0</v>
      </c>
      <c r="Q1230" s="40">
        <v>0</v>
      </c>
      <c r="R1230" s="37" t="s">
        <v>1628</v>
      </c>
      <c r="S1230" s="37"/>
    </row>
    <row r="1231" spans="1:19" x14ac:dyDescent="0.3">
      <c r="A1231" s="41">
        <v>323</v>
      </c>
      <c r="B1231" s="37" t="s">
        <v>1626</v>
      </c>
      <c r="C1231" s="37" t="s">
        <v>1627</v>
      </c>
      <c r="D1231" s="37" t="s">
        <v>21</v>
      </c>
      <c r="E1231" s="37" t="s">
        <v>22</v>
      </c>
      <c r="F1231" s="42">
        <v>45291</v>
      </c>
      <c r="G1231" s="37">
        <v>2023</v>
      </c>
      <c r="H1231" s="37" t="s">
        <v>27</v>
      </c>
      <c r="I1231" s="39" t="s">
        <v>32</v>
      </c>
      <c r="J1231" s="37">
        <v>5</v>
      </c>
      <c r="K1231" s="56">
        <v>5</v>
      </c>
      <c r="L1231" s="65">
        <f t="shared" si="116"/>
        <v>1</v>
      </c>
      <c r="M1231" s="65">
        <f t="shared" si="117"/>
        <v>1</v>
      </c>
      <c r="N1231" s="37" t="s">
        <v>203</v>
      </c>
      <c r="O1231" s="37" t="s">
        <v>203</v>
      </c>
      <c r="P1231" s="40">
        <v>0</v>
      </c>
      <c r="Q1231" s="40">
        <v>0</v>
      </c>
      <c r="R1231" s="37" t="s">
        <v>1629</v>
      </c>
      <c r="S1231" s="37"/>
    </row>
    <row r="1232" spans="1:19" x14ac:dyDescent="0.3">
      <c r="A1232" s="41">
        <v>323</v>
      </c>
      <c r="B1232" s="37" t="s">
        <v>1626</v>
      </c>
      <c r="C1232" s="37" t="s">
        <v>1627</v>
      </c>
      <c r="D1232" s="37" t="s">
        <v>21</v>
      </c>
      <c r="E1232" s="37" t="s">
        <v>22</v>
      </c>
      <c r="F1232" s="42">
        <v>45473</v>
      </c>
      <c r="G1232" s="37">
        <v>2024</v>
      </c>
      <c r="H1232" s="37" t="s">
        <v>23</v>
      </c>
      <c r="I1232" s="39" t="s">
        <v>34</v>
      </c>
      <c r="J1232" s="37">
        <v>3</v>
      </c>
      <c r="K1232" s="56">
        <v>3</v>
      </c>
      <c r="L1232" s="65">
        <f t="shared" si="116"/>
        <v>1</v>
      </c>
      <c r="M1232" s="65">
        <f t="shared" si="117"/>
        <v>1</v>
      </c>
      <c r="N1232" s="37" t="s">
        <v>203</v>
      </c>
      <c r="O1232" s="37" t="s">
        <v>203</v>
      </c>
      <c r="P1232" s="40">
        <v>0</v>
      </c>
      <c r="Q1232" s="40">
        <v>0</v>
      </c>
      <c r="R1232" s="37" t="s">
        <v>1630</v>
      </c>
      <c r="S1232" s="37"/>
    </row>
    <row r="1233" spans="1:19" x14ac:dyDescent="0.3">
      <c r="A1233" s="41">
        <v>323</v>
      </c>
      <c r="B1233" s="37" t="s">
        <v>1626</v>
      </c>
      <c r="C1233" s="37" t="s">
        <v>1627</v>
      </c>
      <c r="D1233" s="37" t="s">
        <v>21</v>
      </c>
      <c r="E1233" s="37" t="s">
        <v>22</v>
      </c>
      <c r="F1233" s="42">
        <v>45657</v>
      </c>
      <c r="G1233" s="37">
        <v>2024</v>
      </c>
      <c r="H1233" s="37" t="s">
        <v>27</v>
      </c>
      <c r="I1233" s="39" t="s">
        <v>36</v>
      </c>
      <c r="J1233" s="37">
        <v>0</v>
      </c>
      <c r="K1233" s="37">
        <v>0</v>
      </c>
      <c r="L1233" s="65" t="str">
        <f t="shared" si="116"/>
        <v/>
      </c>
      <c r="M1233" s="65" t="str">
        <f t="shared" si="117"/>
        <v/>
      </c>
      <c r="N1233" s="37" t="s">
        <v>203</v>
      </c>
      <c r="O1233" s="37" t="s">
        <v>203</v>
      </c>
      <c r="P1233" s="40">
        <v>0</v>
      </c>
      <c r="Q1233" s="40">
        <v>0</v>
      </c>
      <c r="R1233" s="37" t="s">
        <v>1631</v>
      </c>
      <c r="S1233" s="37"/>
    </row>
    <row r="1234" spans="1:19" x14ac:dyDescent="0.3">
      <c r="A1234" s="36">
        <v>324</v>
      </c>
      <c r="B1234" s="37" t="s">
        <v>1632</v>
      </c>
      <c r="C1234" s="37" t="s">
        <v>1627</v>
      </c>
      <c r="D1234" s="37" t="s">
        <v>21</v>
      </c>
      <c r="E1234" s="37" t="s">
        <v>22</v>
      </c>
      <c r="F1234" s="38">
        <v>45107</v>
      </c>
      <c r="G1234" s="37">
        <v>2023</v>
      </c>
      <c r="H1234" s="37" t="s">
        <v>23</v>
      </c>
      <c r="I1234" s="39" t="s">
        <v>30</v>
      </c>
      <c r="J1234" s="37">
        <v>0</v>
      </c>
      <c r="K1234" s="56">
        <v>0</v>
      </c>
      <c r="L1234" s="65" t="str">
        <f t="shared" si="116"/>
        <v/>
      </c>
      <c r="M1234" s="65" t="str">
        <f t="shared" si="117"/>
        <v/>
      </c>
      <c r="N1234" s="37" t="s">
        <v>203</v>
      </c>
      <c r="O1234" s="37" t="s">
        <v>203</v>
      </c>
      <c r="P1234" s="40">
        <v>0</v>
      </c>
      <c r="Q1234" s="40">
        <v>0</v>
      </c>
      <c r="R1234" s="37" t="s">
        <v>1633</v>
      </c>
      <c r="S1234" s="37"/>
    </row>
    <row r="1235" spans="1:19" x14ac:dyDescent="0.3">
      <c r="A1235" s="41">
        <v>324</v>
      </c>
      <c r="B1235" s="37" t="s">
        <v>1632</v>
      </c>
      <c r="C1235" s="37" t="s">
        <v>1627</v>
      </c>
      <c r="D1235" s="37" t="s">
        <v>21</v>
      </c>
      <c r="E1235" s="37" t="s">
        <v>22</v>
      </c>
      <c r="F1235" s="42">
        <v>45291</v>
      </c>
      <c r="G1235" s="37">
        <v>2023</v>
      </c>
      <c r="H1235" s="37" t="s">
        <v>27</v>
      </c>
      <c r="I1235" s="39" t="s">
        <v>32</v>
      </c>
      <c r="J1235" s="37">
        <v>12</v>
      </c>
      <c r="K1235" s="56">
        <v>12</v>
      </c>
      <c r="L1235" s="65">
        <f t="shared" si="116"/>
        <v>1</v>
      </c>
      <c r="M1235" s="65">
        <f t="shared" si="117"/>
        <v>1</v>
      </c>
      <c r="N1235" s="37" t="s">
        <v>203</v>
      </c>
      <c r="O1235" s="37" t="s">
        <v>203</v>
      </c>
      <c r="P1235" s="40">
        <v>0</v>
      </c>
      <c r="Q1235" s="40">
        <v>0</v>
      </c>
      <c r="R1235" s="37" t="s">
        <v>1634</v>
      </c>
      <c r="S1235" s="37"/>
    </row>
    <row r="1236" spans="1:19" x14ac:dyDescent="0.3">
      <c r="A1236" s="37">
        <v>324</v>
      </c>
      <c r="B1236" s="37" t="s">
        <v>1632</v>
      </c>
      <c r="C1236" s="37" t="s">
        <v>1627</v>
      </c>
      <c r="D1236" s="37" t="s">
        <v>21</v>
      </c>
      <c r="E1236" s="37" t="s">
        <v>22</v>
      </c>
      <c r="F1236" s="42">
        <v>45473</v>
      </c>
      <c r="G1236" s="37">
        <v>2024</v>
      </c>
      <c r="H1236" s="37" t="s">
        <v>23</v>
      </c>
      <c r="I1236" s="39" t="s">
        <v>34</v>
      </c>
      <c r="J1236" s="37">
        <v>0</v>
      </c>
      <c r="K1236" s="37">
        <v>0</v>
      </c>
      <c r="L1236" s="65" t="str">
        <f t="shared" si="116"/>
        <v/>
      </c>
      <c r="M1236" s="65" t="str">
        <f t="shared" si="117"/>
        <v/>
      </c>
      <c r="N1236" s="37" t="s">
        <v>203</v>
      </c>
      <c r="O1236" s="37" t="s">
        <v>203</v>
      </c>
      <c r="P1236" s="37">
        <v>0</v>
      </c>
      <c r="Q1236" s="37">
        <v>0</v>
      </c>
      <c r="R1236" s="37" t="s">
        <v>1635</v>
      </c>
      <c r="S1236" s="37"/>
    </row>
    <row r="1237" spans="1:19" x14ac:dyDescent="0.3">
      <c r="A1237" s="36">
        <v>324</v>
      </c>
      <c r="B1237" s="37" t="s">
        <v>1632</v>
      </c>
      <c r="C1237" s="37" t="s">
        <v>1627</v>
      </c>
      <c r="D1237" s="37" t="s">
        <v>21</v>
      </c>
      <c r="E1237" s="37" t="s">
        <v>22</v>
      </c>
      <c r="F1237" s="42">
        <v>45657</v>
      </c>
      <c r="G1237" s="37">
        <v>2024</v>
      </c>
      <c r="H1237" s="37" t="s">
        <v>27</v>
      </c>
      <c r="I1237" s="39" t="s">
        <v>36</v>
      </c>
      <c r="J1237" s="37">
        <v>6</v>
      </c>
      <c r="K1237" s="43">
        <v>6</v>
      </c>
      <c r="L1237" s="65">
        <f t="shared" si="116"/>
        <v>1</v>
      </c>
      <c r="M1237" s="65">
        <f t="shared" si="117"/>
        <v>1</v>
      </c>
      <c r="N1237" s="37" t="s">
        <v>203</v>
      </c>
      <c r="O1237" s="37" t="s">
        <v>203</v>
      </c>
      <c r="P1237" s="40">
        <v>0</v>
      </c>
      <c r="Q1237" s="40">
        <v>0</v>
      </c>
      <c r="R1237" s="37" t="s">
        <v>1636</v>
      </c>
      <c r="S1237" s="37"/>
    </row>
    <row r="1238" spans="1:19" x14ac:dyDescent="0.3">
      <c r="A1238" s="45">
        <v>325</v>
      </c>
      <c r="B1238" s="37" t="s">
        <v>1637</v>
      </c>
      <c r="C1238" s="37" t="s">
        <v>1627</v>
      </c>
      <c r="D1238" s="37" t="s">
        <v>21</v>
      </c>
      <c r="E1238" s="37" t="s">
        <v>22</v>
      </c>
      <c r="F1238" s="42">
        <v>45107</v>
      </c>
      <c r="G1238" s="37">
        <v>2023</v>
      </c>
      <c r="H1238" s="37" t="s">
        <v>23</v>
      </c>
      <c r="I1238" s="39" t="s">
        <v>30</v>
      </c>
      <c r="J1238" s="37">
        <v>1</v>
      </c>
      <c r="K1238" s="56">
        <v>1</v>
      </c>
      <c r="L1238" s="65">
        <f t="shared" ref="L1238:L1251" si="118">IFERROR(IF(OR(J1238=0,K1238=""),"",IF(E1238="Positivo",MIN(MAX(K1238/J1238,0),1.3),MIN(MAX(J1238/K1238,0),1.3))),"")</f>
        <v>1</v>
      </c>
      <c r="M1238" s="65">
        <f t="shared" ref="M1238:M1251" si="119">IFERROR(IF(OR(J1238=0,K1238=""),"",IF(E1238="Positivo",MAX(K1238/J1238,0),MAX(J1238/K1238,0))),"")</f>
        <v>1</v>
      </c>
      <c r="N1238" s="37" t="s">
        <v>203</v>
      </c>
      <c r="O1238" s="37" t="s">
        <v>203</v>
      </c>
      <c r="P1238" s="40">
        <v>0</v>
      </c>
      <c r="Q1238" s="40">
        <v>0</v>
      </c>
      <c r="R1238" s="37" t="s">
        <v>1638</v>
      </c>
      <c r="S1238" s="37"/>
    </row>
    <row r="1239" spans="1:19" x14ac:dyDescent="0.3">
      <c r="A1239" s="41">
        <v>325</v>
      </c>
      <c r="B1239" s="37" t="s">
        <v>1637</v>
      </c>
      <c r="C1239" s="37" t="s">
        <v>1627</v>
      </c>
      <c r="D1239" s="37" t="s">
        <v>21</v>
      </c>
      <c r="E1239" s="37" t="s">
        <v>22</v>
      </c>
      <c r="F1239" s="42">
        <v>45291</v>
      </c>
      <c r="G1239" s="37">
        <v>2023</v>
      </c>
      <c r="H1239" s="37" t="s">
        <v>27</v>
      </c>
      <c r="I1239" s="39" t="s">
        <v>32</v>
      </c>
      <c r="J1239" s="37">
        <v>0</v>
      </c>
      <c r="K1239" s="56">
        <v>0</v>
      </c>
      <c r="L1239" s="65" t="str">
        <f t="shared" si="118"/>
        <v/>
      </c>
      <c r="M1239" s="65" t="str">
        <f t="shared" si="119"/>
        <v/>
      </c>
      <c r="N1239" s="37"/>
      <c r="O1239" s="37"/>
      <c r="P1239" s="40">
        <v>0</v>
      </c>
      <c r="Q1239" s="40">
        <v>0</v>
      </c>
      <c r="R1239" s="37" t="s">
        <v>1639</v>
      </c>
      <c r="S1239" s="37"/>
    </row>
    <row r="1240" spans="1:19" x14ac:dyDescent="0.3">
      <c r="A1240" s="45">
        <v>325</v>
      </c>
      <c r="B1240" s="37" t="s">
        <v>1637</v>
      </c>
      <c r="C1240" s="37" t="s">
        <v>1627</v>
      </c>
      <c r="D1240" s="37" t="s">
        <v>21</v>
      </c>
      <c r="E1240" s="37" t="s">
        <v>22</v>
      </c>
      <c r="F1240" s="42">
        <v>45473</v>
      </c>
      <c r="G1240" s="37">
        <v>2024</v>
      </c>
      <c r="H1240" s="37" t="s">
        <v>23</v>
      </c>
      <c r="I1240" s="39" t="s">
        <v>34</v>
      </c>
      <c r="J1240" s="37">
        <v>0</v>
      </c>
      <c r="K1240" s="56">
        <v>5</v>
      </c>
      <c r="L1240" s="65" t="str">
        <f t="shared" si="118"/>
        <v/>
      </c>
      <c r="M1240" s="65" t="str">
        <f t="shared" si="119"/>
        <v/>
      </c>
      <c r="N1240" s="37" t="s">
        <v>203</v>
      </c>
      <c r="O1240" s="37" t="s">
        <v>203</v>
      </c>
      <c r="P1240" s="40">
        <v>0</v>
      </c>
      <c r="Q1240" s="40">
        <v>0</v>
      </c>
      <c r="R1240" s="37" t="s">
        <v>1640</v>
      </c>
      <c r="S1240" s="37"/>
    </row>
    <row r="1241" spans="1:19" x14ac:dyDescent="0.3">
      <c r="A1241" s="45">
        <v>325</v>
      </c>
      <c r="B1241" s="37" t="s">
        <v>1637</v>
      </c>
      <c r="C1241" s="37" t="s">
        <v>1627</v>
      </c>
      <c r="D1241" s="37" t="s">
        <v>21</v>
      </c>
      <c r="E1241" s="37" t="s">
        <v>22</v>
      </c>
      <c r="F1241" s="42">
        <v>45657</v>
      </c>
      <c r="G1241" s="37">
        <v>2024</v>
      </c>
      <c r="H1241" s="37" t="s">
        <v>27</v>
      </c>
      <c r="I1241" s="39" t="s">
        <v>36</v>
      </c>
      <c r="J1241" s="37">
        <v>3</v>
      </c>
      <c r="K1241" s="56">
        <v>3</v>
      </c>
      <c r="L1241" s="65">
        <f t="shared" si="118"/>
        <v>1</v>
      </c>
      <c r="M1241" s="65">
        <f t="shared" si="119"/>
        <v>1</v>
      </c>
      <c r="N1241" s="37" t="s">
        <v>203</v>
      </c>
      <c r="O1241" s="37" t="s">
        <v>203</v>
      </c>
      <c r="P1241" s="40">
        <v>0</v>
      </c>
      <c r="Q1241" s="40">
        <v>0</v>
      </c>
      <c r="R1241" s="37" t="s">
        <v>1641</v>
      </c>
      <c r="S1241" s="37"/>
    </row>
    <row r="1242" spans="1:19" x14ac:dyDescent="0.3">
      <c r="A1242" s="41">
        <v>326</v>
      </c>
      <c r="B1242" s="37" t="s">
        <v>1643</v>
      </c>
      <c r="C1242" s="37" t="s">
        <v>1364</v>
      </c>
      <c r="D1242" s="37" t="s">
        <v>139</v>
      </c>
      <c r="E1242" s="37" t="s">
        <v>22</v>
      </c>
      <c r="F1242" s="42">
        <v>45291</v>
      </c>
      <c r="G1242" s="37">
        <v>2023</v>
      </c>
      <c r="H1242" s="37" t="s">
        <v>27</v>
      </c>
      <c r="I1242" s="39" t="s">
        <v>32</v>
      </c>
      <c r="J1242" s="37">
        <v>5</v>
      </c>
      <c r="K1242" s="56">
        <v>5</v>
      </c>
      <c r="L1242" s="65">
        <f t="shared" si="118"/>
        <v>1</v>
      </c>
      <c r="M1242" s="65">
        <f t="shared" si="119"/>
        <v>1</v>
      </c>
      <c r="N1242" s="37" t="s">
        <v>197</v>
      </c>
      <c r="O1242" s="37" t="s">
        <v>197</v>
      </c>
      <c r="P1242" s="40">
        <v>0</v>
      </c>
      <c r="Q1242" s="40">
        <v>0</v>
      </c>
      <c r="R1242" s="37" t="s">
        <v>1644</v>
      </c>
      <c r="S1242" s="37"/>
    </row>
    <row r="1243" spans="1:19" x14ac:dyDescent="0.3">
      <c r="A1243" s="37">
        <v>326</v>
      </c>
      <c r="B1243" s="37" t="s">
        <v>1645</v>
      </c>
      <c r="C1243" s="37" t="s">
        <v>1364</v>
      </c>
      <c r="D1243" s="37" t="s">
        <v>139</v>
      </c>
      <c r="E1243" s="37" t="s">
        <v>22</v>
      </c>
      <c r="F1243" s="42">
        <v>45657</v>
      </c>
      <c r="G1243" s="37">
        <v>2024</v>
      </c>
      <c r="H1243" s="37" t="s">
        <v>27</v>
      </c>
      <c r="I1243" s="37" t="s">
        <v>36</v>
      </c>
      <c r="J1243" s="37">
        <v>0</v>
      </c>
      <c r="K1243" s="37">
        <v>0</v>
      </c>
      <c r="L1243" s="65" t="str">
        <f t="shared" si="118"/>
        <v/>
      </c>
      <c r="M1243" s="65" t="str">
        <f t="shared" si="119"/>
        <v/>
      </c>
      <c r="N1243" s="37" t="s">
        <v>203</v>
      </c>
      <c r="O1243" s="37" t="s">
        <v>203</v>
      </c>
      <c r="P1243" s="37">
        <v>0</v>
      </c>
      <c r="Q1243" s="37">
        <v>0</v>
      </c>
      <c r="R1243" s="37" t="s">
        <v>1646</v>
      </c>
      <c r="S1243" s="37"/>
    </row>
    <row r="1244" spans="1:19" x14ac:dyDescent="0.3">
      <c r="A1244" s="36">
        <v>327</v>
      </c>
      <c r="B1244" s="37" t="s">
        <v>1647</v>
      </c>
      <c r="C1244" s="37" t="s">
        <v>1364</v>
      </c>
      <c r="D1244" s="37" t="s">
        <v>21</v>
      </c>
      <c r="E1244" s="37" t="s">
        <v>22</v>
      </c>
      <c r="F1244" s="38">
        <v>45107</v>
      </c>
      <c r="G1244" s="37">
        <v>2023</v>
      </c>
      <c r="H1244" s="37" t="s">
        <v>23</v>
      </c>
      <c r="I1244" s="39" t="s">
        <v>30</v>
      </c>
      <c r="J1244" s="37">
        <v>0</v>
      </c>
      <c r="K1244" s="56">
        <v>0</v>
      </c>
      <c r="L1244" s="65" t="str">
        <f t="shared" si="118"/>
        <v/>
      </c>
      <c r="M1244" s="65" t="str">
        <f t="shared" si="119"/>
        <v/>
      </c>
      <c r="N1244" s="37"/>
      <c r="O1244" s="37"/>
      <c r="P1244" s="40">
        <v>0</v>
      </c>
      <c r="Q1244" s="40">
        <v>0</v>
      </c>
      <c r="R1244" s="37" t="s">
        <v>1648</v>
      </c>
      <c r="S1244" s="37"/>
    </row>
    <row r="1245" spans="1:19" x14ac:dyDescent="0.3">
      <c r="A1245" s="41">
        <v>327</v>
      </c>
      <c r="B1245" s="37" t="s">
        <v>1647</v>
      </c>
      <c r="C1245" s="37" t="s">
        <v>1364</v>
      </c>
      <c r="D1245" s="37" t="s">
        <v>21</v>
      </c>
      <c r="E1245" s="37" t="s">
        <v>22</v>
      </c>
      <c r="F1245" s="42">
        <v>45291</v>
      </c>
      <c r="G1245" s="37">
        <v>2023</v>
      </c>
      <c r="H1245" s="37" t="s">
        <v>27</v>
      </c>
      <c r="I1245" s="39" t="s">
        <v>32</v>
      </c>
      <c r="J1245" s="37">
        <v>2</v>
      </c>
      <c r="K1245" s="56">
        <v>2</v>
      </c>
      <c r="L1245" s="65">
        <f t="shared" si="118"/>
        <v>1</v>
      </c>
      <c r="M1245" s="65">
        <f t="shared" si="119"/>
        <v>1</v>
      </c>
      <c r="N1245" s="37"/>
      <c r="O1245" s="37"/>
      <c r="P1245" s="40">
        <v>0</v>
      </c>
      <c r="Q1245" s="40">
        <v>0</v>
      </c>
      <c r="R1245" s="37" t="s">
        <v>1649</v>
      </c>
      <c r="S1245" s="37"/>
    </row>
    <row r="1246" spans="1:19" x14ac:dyDescent="0.3">
      <c r="A1246" s="36">
        <v>327</v>
      </c>
      <c r="B1246" s="37" t="s">
        <v>1647</v>
      </c>
      <c r="C1246" s="37" t="s">
        <v>1364</v>
      </c>
      <c r="D1246" s="37" t="s">
        <v>21</v>
      </c>
      <c r="E1246" s="37" t="s">
        <v>22</v>
      </c>
      <c r="F1246" s="38">
        <v>45473</v>
      </c>
      <c r="G1246" s="37">
        <v>2024</v>
      </c>
      <c r="H1246" s="37" t="s">
        <v>23</v>
      </c>
      <c r="I1246" s="39" t="s">
        <v>34</v>
      </c>
      <c r="J1246" s="37">
        <v>0</v>
      </c>
      <c r="K1246" s="56">
        <v>0</v>
      </c>
      <c r="L1246" s="65" t="str">
        <f t="shared" si="118"/>
        <v/>
      </c>
      <c r="M1246" s="65" t="str">
        <f t="shared" si="119"/>
        <v/>
      </c>
      <c r="N1246" s="37"/>
      <c r="O1246" s="37"/>
      <c r="P1246" s="40">
        <v>0</v>
      </c>
      <c r="Q1246" s="40">
        <v>0</v>
      </c>
      <c r="R1246" s="37" t="s">
        <v>1650</v>
      </c>
      <c r="S1246" s="37"/>
    </row>
    <row r="1247" spans="1:19" x14ac:dyDescent="0.3">
      <c r="A1247" s="36">
        <v>327</v>
      </c>
      <c r="B1247" s="37" t="s">
        <v>1647</v>
      </c>
      <c r="C1247" s="37" t="s">
        <v>1364</v>
      </c>
      <c r="D1247" s="37" t="s">
        <v>21</v>
      </c>
      <c r="E1247" s="37" t="s">
        <v>22</v>
      </c>
      <c r="F1247" s="42">
        <v>45657</v>
      </c>
      <c r="G1247" s="37">
        <v>2024</v>
      </c>
      <c r="H1247" s="37" t="s">
        <v>27</v>
      </c>
      <c r="I1247" s="39" t="s">
        <v>36</v>
      </c>
      <c r="J1247" s="37">
        <v>0</v>
      </c>
      <c r="K1247" s="43">
        <v>0</v>
      </c>
      <c r="L1247" s="65" t="str">
        <f t="shared" si="118"/>
        <v/>
      </c>
      <c r="M1247" s="65" t="str">
        <f t="shared" si="119"/>
        <v/>
      </c>
      <c r="N1247" s="37"/>
      <c r="O1247" s="37"/>
      <c r="P1247" s="40">
        <v>0</v>
      </c>
      <c r="Q1247" s="40">
        <v>0</v>
      </c>
      <c r="R1247" s="37" t="s">
        <v>1651</v>
      </c>
      <c r="S1247" s="37"/>
    </row>
    <row r="1248" spans="1:19" x14ac:dyDescent="0.3">
      <c r="A1248" s="41">
        <v>328</v>
      </c>
      <c r="B1248" s="37" t="s">
        <v>1653</v>
      </c>
      <c r="C1248" s="37" t="s">
        <v>1654</v>
      </c>
      <c r="D1248" s="37" t="s">
        <v>139</v>
      </c>
      <c r="E1248" s="37" t="s">
        <v>22</v>
      </c>
      <c r="F1248" s="42">
        <v>45291</v>
      </c>
      <c r="G1248" s="37">
        <v>2023</v>
      </c>
      <c r="H1248" s="37" t="s">
        <v>27</v>
      </c>
      <c r="I1248" s="39" t="s">
        <v>32</v>
      </c>
      <c r="J1248" s="37">
        <v>800</v>
      </c>
      <c r="K1248" s="56">
        <v>1035</v>
      </c>
      <c r="L1248" s="65">
        <f t="shared" si="118"/>
        <v>1.29375</v>
      </c>
      <c r="M1248" s="65">
        <f t="shared" si="119"/>
        <v>1.29375</v>
      </c>
      <c r="N1248" s="37"/>
      <c r="O1248" s="37"/>
      <c r="P1248" s="40">
        <v>0</v>
      </c>
      <c r="Q1248" s="40">
        <v>0</v>
      </c>
      <c r="R1248" s="37" t="s">
        <v>1655</v>
      </c>
      <c r="S1248" s="37"/>
    </row>
    <row r="1249" spans="1:19" x14ac:dyDescent="0.3">
      <c r="A1249" s="36">
        <v>328</v>
      </c>
      <c r="B1249" s="37" t="s">
        <v>1653</v>
      </c>
      <c r="C1249" s="37" t="s">
        <v>1654</v>
      </c>
      <c r="D1249" s="37" t="s">
        <v>139</v>
      </c>
      <c r="E1249" s="37" t="s">
        <v>22</v>
      </c>
      <c r="F1249" s="42">
        <v>45657</v>
      </c>
      <c r="G1249" s="37">
        <v>2024</v>
      </c>
      <c r="H1249" s="37" t="s">
        <v>27</v>
      </c>
      <c r="I1249" s="39" t="s">
        <v>36</v>
      </c>
      <c r="J1249" s="37">
        <v>100</v>
      </c>
      <c r="K1249" s="43">
        <v>157</v>
      </c>
      <c r="L1249" s="65">
        <f t="shared" si="118"/>
        <v>1.3</v>
      </c>
      <c r="M1249" s="65">
        <f t="shared" si="119"/>
        <v>1.57</v>
      </c>
      <c r="N1249" s="37"/>
      <c r="O1249" s="37"/>
      <c r="P1249" s="40">
        <v>0</v>
      </c>
      <c r="Q1249" s="40">
        <v>0</v>
      </c>
      <c r="R1249" s="37" t="s">
        <v>1656</v>
      </c>
      <c r="S1249" s="37"/>
    </row>
    <row r="1250" spans="1:19" x14ac:dyDescent="0.3">
      <c r="A1250" s="41">
        <v>329</v>
      </c>
      <c r="B1250" s="37" t="s">
        <v>1657</v>
      </c>
      <c r="C1250" s="37" t="s">
        <v>1654</v>
      </c>
      <c r="D1250" s="37" t="s">
        <v>139</v>
      </c>
      <c r="E1250" s="37" t="s">
        <v>22</v>
      </c>
      <c r="F1250" s="42">
        <v>45291</v>
      </c>
      <c r="G1250" s="37">
        <v>2023</v>
      </c>
      <c r="H1250" s="37" t="s">
        <v>27</v>
      </c>
      <c r="I1250" s="39" t="s">
        <v>32</v>
      </c>
      <c r="J1250" s="37">
        <v>3000</v>
      </c>
      <c r="K1250" s="56">
        <v>3315</v>
      </c>
      <c r="L1250" s="65">
        <f t="shared" si="118"/>
        <v>1.105</v>
      </c>
      <c r="M1250" s="65">
        <f t="shared" si="119"/>
        <v>1.105</v>
      </c>
      <c r="N1250" s="37"/>
      <c r="O1250" s="37"/>
      <c r="P1250" s="40">
        <v>0</v>
      </c>
      <c r="Q1250" s="40">
        <v>0</v>
      </c>
      <c r="R1250" s="37" t="s">
        <v>1658</v>
      </c>
      <c r="S1250" s="37"/>
    </row>
    <row r="1251" spans="1:19" x14ac:dyDescent="0.3">
      <c r="A1251" s="36">
        <v>329</v>
      </c>
      <c r="B1251" s="37" t="s">
        <v>1657</v>
      </c>
      <c r="C1251" s="37" t="s">
        <v>1654</v>
      </c>
      <c r="D1251" s="37" t="s">
        <v>139</v>
      </c>
      <c r="E1251" s="37" t="s">
        <v>22</v>
      </c>
      <c r="F1251" s="42">
        <v>45657</v>
      </c>
      <c r="G1251" s="37">
        <v>2024</v>
      </c>
      <c r="H1251" s="37" t="s">
        <v>27</v>
      </c>
      <c r="I1251" s="39" t="s">
        <v>36</v>
      </c>
      <c r="J1251" s="37">
        <v>100</v>
      </c>
      <c r="K1251" s="43">
        <v>106.63</v>
      </c>
      <c r="L1251" s="65">
        <f t="shared" si="118"/>
        <v>1.0663</v>
      </c>
      <c r="M1251" s="65">
        <f t="shared" si="119"/>
        <v>1.0663</v>
      </c>
      <c r="N1251" s="37"/>
      <c r="O1251" s="37"/>
      <c r="P1251" s="40">
        <v>0</v>
      </c>
      <c r="Q1251" s="40">
        <v>0</v>
      </c>
      <c r="R1251" s="37" t="s">
        <v>1659</v>
      </c>
      <c r="S1251" s="37"/>
    </row>
    <row r="1252" spans="1:19" x14ac:dyDescent="0.3">
      <c r="A1252" s="41">
        <v>331</v>
      </c>
      <c r="B1252" s="37" t="s">
        <v>1660</v>
      </c>
      <c r="C1252" s="37" t="s">
        <v>1654</v>
      </c>
      <c r="D1252" s="37" t="s">
        <v>139</v>
      </c>
      <c r="E1252" s="37" t="s">
        <v>22</v>
      </c>
      <c r="F1252" s="42">
        <v>45291</v>
      </c>
      <c r="G1252" s="37">
        <v>2023</v>
      </c>
      <c r="H1252" s="37" t="s">
        <v>27</v>
      </c>
      <c r="I1252" s="39" t="s">
        <v>32</v>
      </c>
      <c r="J1252" s="37"/>
      <c r="K1252" s="56">
        <v>81</v>
      </c>
      <c r="L1252" s="67"/>
      <c r="M1252" s="65"/>
      <c r="N1252" s="37" t="s">
        <v>670</v>
      </c>
      <c r="O1252" s="37" t="s">
        <v>25</v>
      </c>
      <c r="P1252" s="40">
        <v>0</v>
      </c>
      <c r="Q1252" s="40">
        <v>0</v>
      </c>
      <c r="R1252" s="37" t="s">
        <v>1661</v>
      </c>
      <c r="S1252" s="37"/>
    </row>
    <row r="1253" spans="1:19" x14ac:dyDescent="0.3">
      <c r="A1253" s="36">
        <v>331</v>
      </c>
      <c r="B1253" s="37" t="s">
        <v>1660</v>
      </c>
      <c r="C1253" s="37" t="s">
        <v>1654</v>
      </c>
      <c r="D1253" s="37" t="s">
        <v>139</v>
      </c>
      <c r="E1253" s="37" t="s">
        <v>22</v>
      </c>
      <c r="F1253" s="42">
        <v>45657</v>
      </c>
      <c r="G1253" s="37">
        <v>2024</v>
      </c>
      <c r="H1253" s="37" t="s">
        <v>27</v>
      </c>
      <c r="I1253" s="39" t="s">
        <v>36</v>
      </c>
      <c r="J1253" s="37">
        <v>0</v>
      </c>
      <c r="K1253" s="43">
        <v>82</v>
      </c>
      <c r="L1253" s="65" t="str">
        <f t="shared" ref="L1253:L1268" si="120">IFERROR(IF(OR(J1253=0,K1253=""),"",IF(E1253="Positivo",MIN(MAX(K1253/J1253,0),1.3),MIN(MAX(J1253/K1253,0),1.3))),"")</f>
        <v/>
      </c>
      <c r="M1253" s="65" t="str">
        <f t="shared" ref="M1253:M1268" si="121">IFERROR(IF(OR(J1253=0,K1253=""),"",IF(E1253="Positivo",MAX(K1253/J1253,0),MAX(J1253/K1253,0))),"")</f>
        <v/>
      </c>
      <c r="N1253" s="37" t="s">
        <v>670</v>
      </c>
      <c r="O1253" s="37" t="s">
        <v>25</v>
      </c>
      <c r="P1253" s="40">
        <v>0</v>
      </c>
      <c r="Q1253" s="40">
        <v>0</v>
      </c>
      <c r="R1253" s="37" t="s">
        <v>1662</v>
      </c>
      <c r="S1253" s="37"/>
    </row>
    <row r="1254" spans="1:19" x14ac:dyDescent="0.3">
      <c r="A1254" s="36">
        <v>332</v>
      </c>
      <c r="B1254" s="37" t="s">
        <v>1663</v>
      </c>
      <c r="C1254" s="37" t="s">
        <v>55</v>
      </c>
      <c r="D1254" s="37" t="s">
        <v>21</v>
      </c>
      <c r="E1254" s="37" t="s">
        <v>56</v>
      </c>
      <c r="F1254" s="38">
        <v>45107</v>
      </c>
      <c r="G1254" s="37">
        <v>2023</v>
      </c>
      <c r="H1254" s="37" t="s">
        <v>23</v>
      </c>
      <c r="I1254" s="39" t="s">
        <v>30</v>
      </c>
      <c r="J1254" s="37">
        <v>1.8</v>
      </c>
      <c r="K1254" s="59">
        <v>1.57</v>
      </c>
      <c r="L1254" s="65">
        <f t="shared" si="120"/>
        <v>1.1464968152866242</v>
      </c>
      <c r="M1254" s="65">
        <f t="shared" si="121"/>
        <v>1.1464968152866242</v>
      </c>
      <c r="N1254" s="37" t="s">
        <v>25</v>
      </c>
      <c r="O1254" s="37" t="s">
        <v>25</v>
      </c>
      <c r="P1254" s="40">
        <v>2</v>
      </c>
      <c r="Q1254" s="40">
        <v>2</v>
      </c>
      <c r="R1254" s="37" t="s">
        <v>1664</v>
      </c>
      <c r="S1254" s="37"/>
    </row>
    <row r="1255" spans="1:19" x14ac:dyDescent="0.3">
      <c r="A1255" s="41">
        <v>332</v>
      </c>
      <c r="B1255" s="37" t="s">
        <v>1663</v>
      </c>
      <c r="C1255" s="37" t="s">
        <v>55</v>
      </c>
      <c r="D1255" s="37" t="s">
        <v>21</v>
      </c>
      <c r="E1255" s="37" t="s">
        <v>56</v>
      </c>
      <c r="F1255" s="42">
        <v>45291</v>
      </c>
      <c r="G1255" s="37">
        <v>2023</v>
      </c>
      <c r="H1255" s="37" t="s">
        <v>27</v>
      </c>
      <c r="I1255" s="39" t="s">
        <v>32</v>
      </c>
      <c r="J1255" s="37">
        <v>1.8</v>
      </c>
      <c r="K1255" s="59">
        <v>1.3</v>
      </c>
      <c r="L1255" s="65">
        <f t="shared" si="120"/>
        <v>1.3</v>
      </c>
      <c r="M1255" s="65">
        <f t="shared" si="121"/>
        <v>1.3846153846153846</v>
      </c>
      <c r="N1255" s="37" t="s">
        <v>25</v>
      </c>
      <c r="O1255" s="37" t="s">
        <v>25</v>
      </c>
      <c r="P1255" s="40">
        <v>1</v>
      </c>
      <c r="Q1255" s="40">
        <v>1</v>
      </c>
      <c r="R1255" s="37" t="s">
        <v>1665</v>
      </c>
      <c r="S1255" s="37"/>
    </row>
    <row r="1256" spans="1:19" x14ac:dyDescent="0.3">
      <c r="A1256" s="36">
        <v>332</v>
      </c>
      <c r="B1256" s="37" t="s">
        <v>1663</v>
      </c>
      <c r="C1256" s="37" t="s">
        <v>55</v>
      </c>
      <c r="D1256" s="37" t="s">
        <v>21</v>
      </c>
      <c r="E1256" s="37" t="s">
        <v>56</v>
      </c>
      <c r="F1256" s="38">
        <v>45473</v>
      </c>
      <c r="G1256" s="37">
        <v>2024</v>
      </c>
      <c r="H1256" s="37" t="s">
        <v>23</v>
      </c>
      <c r="I1256" s="39" t="s">
        <v>34</v>
      </c>
      <c r="J1256" s="37">
        <v>1.5</v>
      </c>
      <c r="K1256" s="59">
        <v>1.48</v>
      </c>
      <c r="L1256" s="65">
        <f t="shared" si="120"/>
        <v>1.0135135135135136</v>
      </c>
      <c r="M1256" s="65">
        <f t="shared" si="121"/>
        <v>1.0135135135135136</v>
      </c>
      <c r="N1256" s="37" t="s">
        <v>25</v>
      </c>
      <c r="O1256" s="37" t="s">
        <v>25</v>
      </c>
      <c r="P1256" s="40">
        <v>2</v>
      </c>
      <c r="Q1256" s="40">
        <v>2</v>
      </c>
      <c r="R1256" s="37" t="s">
        <v>1666</v>
      </c>
      <c r="S1256" s="37"/>
    </row>
    <row r="1257" spans="1:19" x14ac:dyDescent="0.3">
      <c r="A1257" s="36">
        <v>332</v>
      </c>
      <c r="B1257" s="37" t="s">
        <v>1663</v>
      </c>
      <c r="C1257" s="37" t="s">
        <v>55</v>
      </c>
      <c r="D1257" s="37" t="s">
        <v>21</v>
      </c>
      <c r="E1257" s="37" t="s">
        <v>56</v>
      </c>
      <c r="F1257" s="42">
        <v>45657</v>
      </c>
      <c r="G1257" s="37">
        <v>2024</v>
      </c>
      <c r="H1257" s="37" t="s">
        <v>27</v>
      </c>
      <c r="I1257" s="39" t="s">
        <v>36</v>
      </c>
      <c r="J1257" s="37">
        <v>1.8</v>
      </c>
      <c r="K1257" s="43">
        <v>0.82</v>
      </c>
      <c r="L1257" s="65">
        <f t="shared" si="120"/>
        <v>1.3</v>
      </c>
      <c r="M1257" s="65">
        <f t="shared" si="121"/>
        <v>2.1951219512195124</v>
      </c>
      <c r="N1257" s="37" t="s">
        <v>25</v>
      </c>
      <c r="O1257" s="37" t="s">
        <v>25</v>
      </c>
      <c r="P1257" s="40">
        <v>2</v>
      </c>
      <c r="Q1257" s="40">
        <v>2</v>
      </c>
      <c r="R1257" s="37" t="s">
        <v>1667</v>
      </c>
      <c r="S1257" s="37"/>
    </row>
    <row r="1258" spans="1:19" x14ac:dyDescent="0.3">
      <c r="A1258" s="41">
        <v>334</v>
      </c>
      <c r="B1258" s="37" t="s">
        <v>1668</v>
      </c>
      <c r="C1258" s="37" t="s">
        <v>55</v>
      </c>
      <c r="D1258" s="37" t="s">
        <v>139</v>
      </c>
      <c r="E1258" s="37" t="s">
        <v>22</v>
      </c>
      <c r="F1258" s="42">
        <v>45291</v>
      </c>
      <c r="G1258" s="37">
        <v>2023</v>
      </c>
      <c r="H1258" s="37" t="s">
        <v>27</v>
      </c>
      <c r="I1258" s="39" t="s">
        <v>32</v>
      </c>
      <c r="J1258" s="37">
        <v>88</v>
      </c>
      <c r="K1258" s="56">
        <v>88.39</v>
      </c>
      <c r="L1258" s="65">
        <f t="shared" si="120"/>
        <v>1.0044318181818181</v>
      </c>
      <c r="M1258" s="65">
        <f t="shared" si="121"/>
        <v>1.0044318181818181</v>
      </c>
      <c r="N1258" s="37" t="s">
        <v>203</v>
      </c>
      <c r="O1258" s="37" t="s">
        <v>203</v>
      </c>
      <c r="P1258" s="40">
        <v>0</v>
      </c>
      <c r="Q1258" s="40">
        <v>0</v>
      </c>
      <c r="R1258" s="37" t="s">
        <v>1669</v>
      </c>
      <c r="S1258" s="37"/>
    </row>
    <row r="1259" spans="1:19" x14ac:dyDescent="0.3">
      <c r="A1259" s="36">
        <v>334</v>
      </c>
      <c r="B1259" s="37" t="s">
        <v>1668</v>
      </c>
      <c r="C1259" s="37" t="s">
        <v>55</v>
      </c>
      <c r="D1259" s="37" t="s">
        <v>139</v>
      </c>
      <c r="E1259" s="37" t="s">
        <v>22</v>
      </c>
      <c r="F1259" s="42">
        <v>45657</v>
      </c>
      <c r="G1259" s="37">
        <v>2024</v>
      </c>
      <c r="H1259" s="37" t="s">
        <v>27</v>
      </c>
      <c r="I1259" s="39" t="s">
        <v>36</v>
      </c>
      <c r="J1259" s="37">
        <v>88</v>
      </c>
      <c r="K1259" s="43">
        <v>88.84</v>
      </c>
      <c r="L1259" s="65">
        <f t="shared" si="120"/>
        <v>1.0095454545454545</v>
      </c>
      <c r="M1259" s="65">
        <f t="shared" si="121"/>
        <v>1.0095454545454545</v>
      </c>
      <c r="N1259" s="37" t="s">
        <v>203</v>
      </c>
      <c r="O1259" s="37" t="s">
        <v>203</v>
      </c>
      <c r="P1259" s="40">
        <v>0</v>
      </c>
      <c r="Q1259" s="40">
        <v>0</v>
      </c>
      <c r="R1259" s="37" t="s">
        <v>1670</v>
      </c>
      <c r="S1259" s="37"/>
    </row>
    <row r="1260" spans="1:19" x14ac:dyDescent="0.3">
      <c r="A1260" s="41">
        <v>335</v>
      </c>
      <c r="B1260" s="37" t="s">
        <v>1671</v>
      </c>
      <c r="C1260" s="37" t="s">
        <v>55</v>
      </c>
      <c r="D1260" s="37" t="s">
        <v>139</v>
      </c>
      <c r="E1260" s="37" t="s">
        <v>22</v>
      </c>
      <c r="F1260" s="42">
        <v>45291</v>
      </c>
      <c r="G1260" s="37">
        <v>2023</v>
      </c>
      <c r="H1260" s="37" t="s">
        <v>27</v>
      </c>
      <c r="I1260" s="39" t="s">
        <v>32</v>
      </c>
      <c r="J1260" s="37">
        <v>80</v>
      </c>
      <c r="K1260" s="56">
        <v>93.85</v>
      </c>
      <c r="L1260" s="65">
        <f t="shared" si="120"/>
        <v>1.173125</v>
      </c>
      <c r="M1260" s="65">
        <f t="shared" si="121"/>
        <v>1.173125</v>
      </c>
      <c r="N1260" s="37" t="s">
        <v>25</v>
      </c>
      <c r="O1260" s="37" t="s">
        <v>25</v>
      </c>
      <c r="P1260" s="40">
        <v>0</v>
      </c>
      <c r="Q1260" s="40">
        <v>0</v>
      </c>
      <c r="R1260" s="37" t="s">
        <v>1672</v>
      </c>
      <c r="S1260" s="37"/>
    </row>
    <row r="1261" spans="1:19" x14ac:dyDescent="0.3">
      <c r="A1261" s="36">
        <v>335</v>
      </c>
      <c r="B1261" s="37" t="s">
        <v>1671</v>
      </c>
      <c r="C1261" s="37" t="s">
        <v>55</v>
      </c>
      <c r="D1261" s="37" t="s">
        <v>139</v>
      </c>
      <c r="E1261" s="37" t="s">
        <v>22</v>
      </c>
      <c r="F1261" s="42">
        <v>45657</v>
      </c>
      <c r="G1261" s="37">
        <v>2024</v>
      </c>
      <c r="H1261" s="37" t="s">
        <v>27</v>
      </c>
      <c r="I1261" s="39" t="s">
        <v>36</v>
      </c>
      <c r="J1261" s="37">
        <v>82</v>
      </c>
      <c r="K1261" s="43">
        <v>80.95</v>
      </c>
      <c r="L1261" s="65">
        <f t="shared" si="120"/>
        <v>0.9871951219512195</v>
      </c>
      <c r="M1261" s="65">
        <f t="shared" si="121"/>
        <v>0.9871951219512195</v>
      </c>
      <c r="N1261" s="37" t="s">
        <v>25</v>
      </c>
      <c r="O1261" s="37" t="s">
        <v>25</v>
      </c>
      <c r="P1261" s="40">
        <v>0</v>
      </c>
      <c r="Q1261" s="40">
        <v>0</v>
      </c>
      <c r="R1261" s="37" t="s">
        <v>1673</v>
      </c>
      <c r="S1261" s="37"/>
    </row>
    <row r="1262" spans="1:19" x14ac:dyDescent="0.3">
      <c r="A1262" s="37">
        <v>336</v>
      </c>
      <c r="B1262" s="37" t="s">
        <v>1674</v>
      </c>
      <c r="C1262" s="37" t="s">
        <v>461</v>
      </c>
      <c r="D1262" s="37" t="s">
        <v>139</v>
      </c>
      <c r="E1262" s="37" t="s">
        <v>56</v>
      </c>
      <c r="F1262" s="42">
        <v>45291</v>
      </c>
      <c r="G1262" s="37">
        <v>2023</v>
      </c>
      <c r="H1262" s="37" t="s">
        <v>27</v>
      </c>
      <c r="I1262" s="37" t="s">
        <v>32</v>
      </c>
      <c r="J1262" s="37">
        <v>2</v>
      </c>
      <c r="K1262" s="37">
        <v>1.742198218602321</v>
      </c>
      <c r="L1262" s="65">
        <f t="shared" si="120"/>
        <v>1.1479750000000002</v>
      </c>
      <c r="M1262" s="65">
        <f t="shared" si="121"/>
        <v>1.1479750000000002</v>
      </c>
      <c r="N1262" s="37" t="s">
        <v>25</v>
      </c>
      <c r="O1262" s="37" t="s">
        <v>25</v>
      </c>
      <c r="P1262" s="37">
        <v>0</v>
      </c>
      <c r="Q1262" s="37">
        <v>0</v>
      </c>
      <c r="R1262" s="37" t="s">
        <v>1675</v>
      </c>
      <c r="S1262" s="37"/>
    </row>
    <row r="1263" spans="1:19" x14ac:dyDescent="0.3">
      <c r="A1263" s="36">
        <v>336</v>
      </c>
      <c r="B1263" s="37" t="s">
        <v>1674</v>
      </c>
      <c r="C1263" s="37" t="s">
        <v>461</v>
      </c>
      <c r="D1263" s="37" t="s">
        <v>139</v>
      </c>
      <c r="E1263" s="37" t="s">
        <v>56</v>
      </c>
      <c r="F1263" s="42">
        <v>45657</v>
      </c>
      <c r="G1263" s="37">
        <v>2024</v>
      </c>
      <c r="H1263" s="37" t="s">
        <v>27</v>
      </c>
      <c r="I1263" s="39" t="s">
        <v>36</v>
      </c>
      <c r="J1263" s="37">
        <v>2</v>
      </c>
      <c r="K1263" s="43">
        <v>0.79</v>
      </c>
      <c r="L1263" s="65">
        <f t="shared" si="120"/>
        <v>1.3</v>
      </c>
      <c r="M1263" s="65">
        <f t="shared" si="121"/>
        <v>2.5316455696202529</v>
      </c>
      <c r="N1263" s="37"/>
      <c r="O1263" s="37"/>
      <c r="P1263" s="40">
        <v>0</v>
      </c>
      <c r="Q1263" s="40">
        <v>0</v>
      </c>
      <c r="R1263" s="37" t="s">
        <v>1676</v>
      </c>
      <c r="S1263" s="37"/>
    </row>
    <row r="1264" spans="1:19" x14ac:dyDescent="0.3">
      <c r="A1264" s="37">
        <v>337</v>
      </c>
      <c r="B1264" s="37" t="s">
        <v>1677</v>
      </c>
      <c r="C1264" s="37" t="s">
        <v>1364</v>
      </c>
      <c r="D1264" s="37" t="s">
        <v>21</v>
      </c>
      <c r="E1264" s="37" t="s">
        <v>22</v>
      </c>
      <c r="F1264" s="42">
        <v>45107</v>
      </c>
      <c r="G1264" s="37">
        <v>2023</v>
      </c>
      <c r="H1264" s="37" t="s">
        <v>23</v>
      </c>
      <c r="I1264" s="37" t="s">
        <v>30</v>
      </c>
      <c r="J1264" s="37">
        <v>0</v>
      </c>
      <c r="K1264" s="37">
        <v>0</v>
      </c>
      <c r="L1264" s="65" t="str">
        <f t="shared" si="120"/>
        <v/>
      </c>
      <c r="M1264" s="65" t="str">
        <f t="shared" si="121"/>
        <v/>
      </c>
      <c r="N1264" s="37" t="s">
        <v>203</v>
      </c>
      <c r="O1264" s="37" t="s">
        <v>203</v>
      </c>
      <c r="P1264" s="37">
        <v>0</v>
      </c>
      <c r="Q1264" s="37">
        <v>0</v>
      </c>
      <c r="R1264" s="37" t="s">
        <v>1678</v>
      </c>
      <c r="S1264" s="37"/>
    </row>
    <row r="1265" spans="1:19" x14ac:dyDescent="0.3">
      <c r="A1265" s="41">
        <v>337</v>
      </c>
      <c r="B1265" s="37" t="s">
        <v>1679</v>
      </c>
      <c r="C1265" s="37" t="s">
        <v>1364</v>
      </c>
      <c r="D1265" s="37" t="s">
        <v>21</v>
      </c>
      <c r="E1265" s="37" t="s">
        <v>22</v>
      </c>
      <c r="F1265" s="42">
        <v>45291</v>
      </c>
      <c r="G1265" s="37">
        <v>2023</v>
      </c>
      <c r="H1265" s="37" t="s">
        <v>27</v>
      </c>
      <c r="I1265" s="39" t="s">
        <v>32</v>
      </c>
      <c r="J1265" s="37">
        <v>3</v>
      </c>
      <c r="K1265" s="56">
        <v>3</v>
      </c>
      <c r="L1265" s="65">
        <f t="shared" si="120"/>
        <v>1</v>
      </c>
      <c r="M1265" s="65">
        <f t="shared" si="121"/>
        <v>1</v>
      </c>
      <c r="N1265" s="37"/>
      <c r="O1265" s="37"/>
      <c r="P1265" s="40">
        <v>0</v>
      </c>
      <c r="Q1265" s="40">
        <v>0</v>
      </c>
      <c r="R1265" s="37" t="s">
        <v>1680</v>
      </c>
      <c r="S1265" s="37"/>
    </row>
    <row r="1266" spans="1:19" x14ac:dyDescent="0.3">
      <c r="A1266" s="37">
        <v>337</v>
      </c>
      <c r="B1266" s="37" t="s">
        <v>1679</v>
      </c>
      <c r="C1266" s="37" t="s">
        <v>1364</v>
      </c>
      <c r="D1266" s="37" t="s">
        <v>21</v>
      </c>
      <c r="E1266" s="37" t="s">
        <v>22</v>
      </c>
      <c r="F1266" s="42">
        <v>45473</v>
      </c>
      <c r="G1266" s="37">
        <v>2024</v>
      </c>
      <c r="H1266" s="37" t="s">
        <v>23</v>
      </c>
      <c r="I1266" s="39" t="s">
        <v>34</v>
      </c>
      <c r="J1266" s="37">
        <v>1</v>
      </c>
      <c r="K1266" s="37">
        <v>1</v>
      </c>
      <c r="L1266" s="65">
        <f t="shared" si="120"/>
        <v>1</v>
      </c>
      <c r="M1266" s="65">
        <f t="shared" si="121"/>
        <v>1</v>
      </c>
      <c r="N1266" s="37" t="s">
        <v>203</v>
      </c>
      <c r="O1266" s="37" t="s">
        <v>203</v>
      </c>
      <c r="P1266" s="37">
        <v>0</v>
      </c>
      <c r="Q1266" s="37">
        <v>0</v>
      </c>
      <c r="R1266" s="37" t="s">
        <v>1681</v>
      </c>
      <c r="S1266" s="37"/>
    </row>
    <row r="1267" spans="1:19" x14ac:dyDescent="0.3">
      <c r="A1267" s="37">
        <v>337</v>
      </c>
      <c r="B1267" s="37" t="s">
        <v>1677</v>
      </c>
      <c r="C1267" s="37" t="s">
        <v>1364</v>
      </c>
      <c r="D1267" s="37" t="s">
        <v>21</v>
      </c>
      <c r="E1267" s="37" t="s">
        <v>22</v>
      </c>
      <c r="F1267" s="42">
        <v>45657</v>
      </c>
      <c r="G1267" s="37">
        <v>2024</v>
      </c>
      <c r="H1267" s="37" t="s">
        <v>27</v>
      </c>
      <c r="I1267" s="37" t="s">
        <v>36</v>
      </c>
      <c r="J1267" s="37">
        <v>0</v>
      </c>
      <c r="K1267" s="37">
        <v>0</v>
      </c>
      <c r="L1267" s="65" t="str">
        <f t="shared" si="120"/>
        <v/>
      </c>
      <c r="M1267" s="65" t="str">
        <f t="shared" si="121"/>
        <v/>
      </c>
      <c r="N1267" s="37" t="s">
        <v>203</v>
      </c>
      <c r="O1267" s="37" t="s">
        <v>203</v>
      </c>
      <c r="P1267" s="37">
        <v>0</v>
      </c>
      <c r="Q1267" s="37">
        <v>0</v>
      </c>
      <c r="R1267" s="37" t="s">
        <v>1682</v>
      </c>
      <c r="S1267" s="37"/>
    </row>
    <row r="1268" spans="1:19" x14ac:dyDescent="0.3">
      <c r="A1268" s="36">
        <v>338</v>
      </c>
      <c r="B1268" s="37" t="s">
        <v>1683</v>
      </c>
      <c r="C1268" s="37" t="s">
        <v>1364</v>
      </c>
      <c r="D1268" s="37" t="s">
        <v>21</v>
      </c>
      <c r="E1268" s="37" t="s">
        <v>22</v>
      </c>
      <c r="F1268" s="38">
        <v>45107</v>
      </c>
      <c r="G1268" s="37">
        <v>2023</v>
      </c>
      <c r="H1268" s="37" t="s">
        <v>23</v>
      </c>
      <c r="I1268" s="39" t="s">
        <v>30</v>
      </c>
      <c r="J1268" s="37">
        <v>5</v>
      </c>
      <c r="K1268" s="56">
        <v>5</v>
      </c>
      <c r="L1268" s="65">
        <f t="shared" si="120"/>
        <v>1</v>
      </c>
      <c r="M1268" s="65">
        <f t="shared" si="121"/>
        <v>1</v>
      </c>
      <c r="N1268" s="37" t="s">
        <v>203</v>
      </c>
      <c r="O1268" s="37" t="s">
        <v>203</v>
      </c>
      <c r="P1268" s="40">
        <v>0</v>
      </c>
      <c r="Q1268" s="40">
        <v>0</v>
      </c>
      <c r="R1268" s="37" t="s">
        <v>1684</v>
      </c>
      <c r="S1268" s="37"/>
    </row>
    <row r="1269" spans="1:19" x14ac:dyDescent="0.3">
      <c r="A1269" s="37">
        <v>338</v>
      </c>
      <c r="B1269" s="37" t="s">
        <v>1685</v>
      </c>
      <c r="C1269" s="37" t="s">
        <v>1364</v>
      </c>
      <c r="D1269" s="37" t="s">
        <v>21</v>
      </c>
      <c r="E1269" s="37" t="s">
        <v>22</v>
      </c>
      <c r="F1269" s="42">
        <v>45291</v>
      </c>
      <c r="G1269" s="37">
        <v>2023</v>
      </c>
      <c r="H1269" s="37" t="s">
        <v>27</v>
      </c>
      <c r="I1269" s="37" t="s">
        <v>32</v>
      </c>
      <c r="J1269" s="37">
        <v>100</v>
      </c>
      <c r="K1269" s="37"/>
      <c r="L1269" s="65"/>
      <c r="M1269" s="65"/>
      <c r="N1269" s="37" t="s">
        <v>203</v>
      </c>
      <c r="O1269" s="37" t="s">
        <v>223</v>
      </c>
      <c r="P1269" s="37">
        <v>0</v>
      </c>
      <c r="Q1269" s="37">
        <v>0</v>
      </c>
      <c r="R1269" s="37" t="s">
        <v>1686</v>
      </c>
      <c r="S1269" s="37" t="s">
        <v>223</v>
      </c>
    </row>
    <row r="1270" spans="1:19" x14ac:dyDescent="0.3">
      <c r="A1270" s="37">
        <v>338</v>
      </c>
      <c r="B1270" s="37" t="s">
        <v>1687</v>
      </c>
      <c r="C1270" s="37" t="s">
        <v>1364</v>
      </c>
      <c r="D1270" s="37" t="s">
        <v>21</v>
      </c>
      <c r="E1270" s="37" t="s">
        <v>22</v>
      </c>
      <c r="F1270" s="42">
        <v>45473</v>
      </c>
      <c r="G1270" s="37">
        <v>2024</v>
      </c>
      <c r="H1270" s="37" t="s">
        <v>23</v>
      </c>
      <c r="I1270" s="39" t="s">
        <v>34</v>
      </c>
      <c r="J1270" s="37">
        <v>3</v>
      </c>
      <c r="K1270" s="37">
        <v>3</v>
      </c>
      <c r="L1270" s="65">
        <f t="shared" ref="L1270:L1289" si="122">IFERROR(IF(OR(J1270=0,K1270=""),"",IF(E1270="Positivo",MIN(MAX(K1270/J1270,0),1.3),MIN(MAX(J1270/K1270,0),1.3))),"")</f>
        <v>1</v>
      </c>
      <c r="M1270" s="65">
        <f t="shared" ref="M1270:M1289" si="123">IFERROR(IF(OR(J1270=0,K1270=""),"",IF(E1270="Positivo",MAX(K1270/J1270,0),MAX(J1270/K1270,0))),"")</f>
        <v>1</v>
      </c>
      <c r="N1270" s="37" t="s">
        <v>203</v>
      </c>
      <c r="O1270" s="37" t="s">
        <v>203</v>
      </c>
      <c r="P1270" s="37">
        <v>0</v>
      </c>
      <c r="Q1270" s="37">
        <v>0</v>
      </c>
      <c r="R1270" s="37" t="s">
        <v>1688</v>
      </c>
      <c r="S1270" s="37"/>
    </row>
    <row r="1271" spans="1:19" x14ac:dyDescent="0.3">
      <c r="A1271" s="37">
        <v>338</v>
      </c>
      <c r="B1271" s="37" t="s">
        <v>1685</v>
      </c>
      <c r="C1271" s="37" t="s">
        <v>1364</v>
      </c>
      <c r="D1271" s="37" t="s">
        <v>21</v>
      </c>
      <c r="E1271" s="37" t="s">
        <v>22</v>
      </c>
      <c r="F1271" s="42">
        <v>45657</v>
      </c>
      <c r="G1271" s="37">
        <v>2024</v>
      </c>
      <c r="H1271" s="37" t="s">
        <v>27</v>
      </c>
      <c r="I1271" s="37" t="s">
        <v>36</v>
      </c>
      <c r="J1271" s="37">
        <v>0</v>
      </c>
      <c r="K1271" s="37">
        <v>0</v>
      </c>
      <c r="L1271" s="65" t="str">
        <f t="shared" si="122"/>
        <v/>
      </c>
      <c r="M1271" s="65" t="str">
        <f t="shared" si="123"/>
        <v/>
      </c>
      <c r="N1271" s="37" t="s">
        <v>203</v>
      </c>
      <c r="O1271" s="37" t="s">
        <v>203</v>
      </c>
      <c r="P1271" s="37">
        <v>0</v>
      </c>
      <c r="Q1271" s="37">
        <v>0</v>
      </c>
      <c r="R1271" s="37" t="s">
        <v>1689</v>
      </c>
      <c r="S1271" s="37"/>
    </row>
    <row r="1272" spans="1:19" x14ac:dyDescent="0.3">
      <c r="A1272" s="41">
        <v>339</v>
      </c>
      <c r="B1272" s="37" t="s">
        <v>1690</v>
      </c>
      <c r="C1272" s="37" t="s">
        <v>1691</v>
      </c>
      <c r="D1272" s="37" t="s">
        <v>139</v>
      </c>
      <c r="E1272" s="37" t="s">
        <v>22</v>
      </c>
      <c r="F1272" s="42">
        <v>45291</v>
      </c>
      <c r="G1272" s="37">
        <v>2023</v>
      </c>
      <c r="H1272" s="37" t="s">
        <v>27</v>
      </c>
      <c r="I1272" s="39" t="s">
        <v>32</v>
      </c>
      <c r="J1272" s="37">
        <v>30</v>
      </c>
      <c r="K1272" s="56">
        <v>28.571428571428569</v>
      </c>
      <c r="L1272" s="65">
        <f t="shared" si="122"/>
        <v>0.95238095238095233</v>
      </c>
      <c r="M1272" s="65">
        <f t="shared" si="123"/>
        <v>0.95238095238095233</v>
      </c>
      <c r="N1272" s="37" t="s">
        <v>25</v>
      </c>
      <c r="O1272" s="37" t="s">
        <v>25</v>
      </c>
      <c r="P1272" s="40">
        <v>2</v>
      </c>
      <c r="Q1272" s="40">
        <v>2</v>
      </c>
      <c r="R1272" s="37" t="s">
        <v>1692</v>
      </c>
      <c r="S1272" s="37"/>
    </row>
    <row r="1273" spans="1:19" x14ac:dyDescent="0.3">
      <c r="A1273" s="36">
        <v>339</v>
      </c>
      <c r="B1273" s="37" t="s">
        <v>1690</v>
      </c>
      <c r="C1273" s="37" t="s">
        <v>1691</v>
      </c>
      <c r="D1273" s="37" t="s">
        <v>139</v>
      </c>
      <c r="E1273" s="37" t="s">
        <v>22</v>
      </c>
      <c r="F1273" s="42">
        <v>45657</v>
      </c>
      <c r="G1273" s="37">
        <v>2024</v>
      </c>
      <c r="H1273" s="37" t="s">
        <v>27</v>
      </c>
      <c r="I1273" s="39" t="s">
        <v>36</v>
      </c>
      <c r="J1273" s="37">
        <v>30</v>
      </c>
      <c r="K1273" s="43">
        <v>30.3</v>
      </c>
      <c r="L1273" s="65">
        <f t="shared" si="122"/>
        <v>1.01</v>
      </c>
      <c r="M1273" s="65">
        <f t="shared" si="123"/>
        <v>1.01</v>
      </c>
      <c r="N1273" s="37" t="s">
        <v>25</v>
      </c>
      <c r="O1273" s="37" t="s">
        <v>25</v>
      </c>
      <c r="P1273" s="40">
        <v>2</v>
      </c>
      <c r="Q1273" s="40">
        <v>2</v>
      </c>
      <c r="R1273" s="37" t="s">
        <v>1693</v>
      </c>
      <c r="S1273" s="37"/>
    </row>
    <row r="1274" spans="1:19" x14ac:dyDescent="0.3">
      <c r="A1274" s="36">
        <v>340</v>
      </c>
      <c r="B1274" s="37" t="s">
        <v>1694</v>
      </c>
      <c r="C1274" s="37" t="s">
        <v>224</v>
      </c>
      <c r="D1274" s="37" t="s">
        <v>39</v>
      </c>
      <c r="E1274" s="37" t="s">
        <v>22</v>
      </c>
      <c r="F1274" s="42">
        <v>45016</v>
      </c>
      <c r="G1274" s="37">
        <v>2023</v>
      </c>
      <c r="H1274" s="37" t="s">
        <v>40</v>
      </c>
      <c r="I1274" s="39" t="s">
        <v>30</v>
      </c>
      <c r="J1274" s="37">
        <v>90</v>
      </c>
      <c r="K1274" s="56">
        <v>100</v>
      </c>
      <c r="L1274" s="65">
        <f t="shared" si="122"/>
        <v>1.1111111111111112</v>
      </c>
      <c r="M1274" s="65">
        <f t="shared" si="123"/>
        <v>1.1111111111111112</v>
      </c>
      <c r="N1274" s="37" t="s">
        <v>25</v>
      </c>
      <c r="O1274" s="37" t="s">
        <v>25</v>
      </c>
      <c r="P1274" s="40">
        <v>0</v>
      </c>
      <c r="Q1274" s="40">
        <v>0</v>
      </c>
      <c r="R1274" s="37" t="s">
        <v>1695</v>
      </c>
      <c r="S1274" s="37"/>
    </row>
    <row r="1275" spans="1:19" x14ac:dyDescent="0.3">
      <c r="A1275" s="36">
        <v>340</v>
      </c>
      <c r="B1275" s="37" t="s">
        <v>1694</v>
      </c>
      <c r="C1275" s="37" t="s">
        <v>224</v>
      </c>
      <c r="D1275" s="37" t="s">
        <v>39</v>
      </c>
      <c r="E1275" s="37" t="s">
        <v>22</v>
      </c>
      <c r="F1275" s="42">
        <v>45107</v>
      </c>
      <c r="G1275" s="37">
        <v>2023</v>
      </c>
      <c r="H1275" s="37" t="s">
        <v>23</v>
      </c>
      <c r="I1275" s="39" t="s">
        <v>30</v>
      </c>
      <c r="J1275" s="37">
        <v>90</v>
      </c>
      <c r="K1275" s="56">
        <v>100</v>
      </c>
      <c r="L1275" s="65">
        <f t="shared" si="122"/>
        <v>1.1111111111111112</v>
      </c>
      <c r="M1275" s="65">
        <f t="shared" si="123"/>
        <v>1.1111111111111112</v>
      </c>
      <c r="N1275" s="37" t="s">
        <v>25</v>
      </c>
      <c r="O1275" s="37" t="s">
        <v>25</v>
      </c>
      <c r="P1275" s="40">
        <v>0</v>
      </c>
      <c r="Q1275" s="40">
        <v>0</v>
      </c>
      <c r="R1275" s="37" t="s">
        <v>1696</v>
      </c>
      <c r="S1275" s="37"/>
    </row>
    <row r="1276" spans="1:19" x14ac:dyDescent="0.3">
      <c r="A1276" s="45">
        <v>340</v>
      </c>
      <c r="B1276" s="37" t="s">
        <v>1694</v>
      </c>
      <c r="C1276" s="37" t="s">
        <v>224</v>
      </c>
      <c r="D1276" s="37" t="s">
        <v>39</v>
      </c>
      <c r="E1276" s="37" t="s">
        <v>22</v>
      </c>
      <c r="F1276" s="42">
        <v>45199</v>
      </c>
      <c r="G1276" s="37">
        <v>2023</v>
      </c>
      <c r="H1276" s="37" t="s">
        <v>43</v>
      </c>
      <c r="I1276" s="39" t="s">
        <v>32</v>
      </c>
      <c r="J1276" s="37">
        <v>90</v>
      </c>
      <c r="K1276" s="56">
        <v>100</v>
      </c>
      <c r="L1276" s="65">
        <f t="shared" si="122"/>
        <v>1.1111111111111112</v>
      </c>
      <c r="M1276" s="65">
        <f t="shared" si="123"/>
        <v>1.1111111111111112</v>
      </c>
      <c r="N1276" s="37" t="s">
        <v>25</v>
      </c>
      <c r="O1276" s="37" t="s">
        <v>25</v>
      </c>
      <c r="P1276" s="40">
        <v>0</v>
      </c>
      <c r="Q1276" s="40">
        <v>0</v>
      </c>
      <c r="R1276" s="37" t="s">
        <v>1697</v>
      </c>
      <c r="S1276" s="37"/>
    </row>
    <row r="1277" spans="1:19" x14ac:dyDescent="0.3">
      <c r="A1277" s="41">
        <v>340</v>
      </c>
      <c r="B1277" s="37" t="s">
        <v>1694</v>
      </c>
      <c r="C1277" s="37" t="s">
        <v>224</v>
      </c>
      <c r="D1277" s="37" t="s">
        <v>39</v>
      </c>
      <c r="E1277" s="37" t="s">
        <v>22</v>
      </c>
      <c r="F1277" s="42">
        <v>45291</v>
      </c>
      <c r="G1277" s="37">
        <v>2023</v>
      </c>
      <c r="H1277" s="37" t="s">
        <v>27</v>
      </c>
      <c r="I1277" s="39" t="s">
        <v>32</v>
      </c>
      <c r="J1277" s="37">
        <v>90</v>
      </c>
      <c r="K1277" s="56">
        <v>100</v>
      </c>
      <c r="L1277" s="65">
        <f t="shared" si="122"/>
        <v>1.1111111111111112</v>
      </c>
      <c r="M1277" s="65">
        <f t="shared" si="123"/>
        <v>1.1111111111111112</v>
      </c>
      <c r="N1277" s="37" t="s">
        <v>25</v>
      </c>
      <c r="O1277" s="37" t="s">
        <v>25</v>
      </c>
      <c r="P1277" s="40">
        <v>0</v>
      </c>
      <c r="Q1277" s="40">
        <v>0</v>
      </c>
      <c r="R1277" s="37" t="s">
        <v>1698</v>
      </c>
      <c r="S1277" s="37"/>
    </row>
    <row r="1278" spans="1:19" x14ac:dyDescent="0.3">
      <c r="A1278" s="36">
        <v>340</v>
      </c>
      <c r="B1278" s="37" t="s">
        <v>1694</v>
      </c>
      <c r="C1278" s="37" t="s">
        <v>224</v>
      </c>
      <c r="D1278" s="37" t="s">
        <v>39</v>
      </c>
      <c r="E1278" s="37" t="s">
        <v>22</v>
      </c>
      <c r="F1278" s="42">
        <v>45382</v>
      </c>
      <c r="G1278" s="37">
        <v>2024</v>
      </c>
      <c r="H1278" s="37" t="s">
        <v>40</v>
      </c>
      <c r="I1278" s="39" t="s">
        <v>34</v>
      </c>
      <c r="J1278" s="37">
        <v>95</v>
      </c>
      <c r="K1278" s="43">
        <v>100</v>
      </c>
      <c r="L1278" s="65">
        <f t="shared" si="122"/>
        <v>1.0526315789473684</v>
      </c>
      <c r="M1278" s="65">
        <f t="shared" si="123"/>
        <v>1.0526315789473684</v>
      </c>
      <c r="N1278" s="37" t="s">
        <v>25</v>
      </c>
      <c r="O1278" s="37" t="s">
        <v>25</v>
      </c>
      <c r="P1278" s="40">
        <v>0</v>
      </c>
      <c r="Q1278" s="40">
        <v>0</v>
      </c>
      <c r="R1278" s="37" t="s">
        <v>1699</v>
      </c>
      <c r="S1278" s="37"/>
    </row>
    <row r="1279" spans="1:19" x14ac:dyDescent="0.3">
      <c r="A1279" s="37">
        <v>340</v>
      </c>
      <c r="B1279" s="37" t="s">
        <v>1694</v>
      </c>
      <c r="C1279" s="37" t="s">
        <v>224</v>
      </c>
      <c r="D1279" s="37" t="s">
        <v>39</v>
      </c>
      <c r="E1279" s="37" t="s">
        <v>22</v>
      </c>
      <c r="F1279" s="42">
        <v>45473</v>
      </c>
      <c r="G1279" s="37">
        <v>2024</v>
      </c>
      <c r="H1279" s="37" t="s">
        <v>23</v>
      </c>
      <c r="I1279" s="39" t="s">
        <v>34</v>
      </c>
      <c r="J1279" s="37">
        <v>95</v>
      </c>
      <c r="K1279" s="37">
        <v>100</v>
      </c>
      <c r="L1279" s="65">
        <f t="shared" si="122"/>
        <v>1.0526315789473684</v>
      </c>
      <c r="M1279" s="65">
        <f t="shared" si="123"/>
        <v>1.0526315789473684</v>
      </c>
      <c r="N1279" s="37" t="s">
        <v>25</v>
      </c>
      <c r="O1279" s="37" t="s">
        <v>25</v>
      </c>
      <c r="P1279" s="37">
        <v>0</v>
      </c>
      <c r="Q1279" s="37">
        <v>0</v>
      </c>
      <c r="R1279" s="37" t="s">
        <v>1700</v>
      </c>
      <c r="S1279" s="37"/>
    </row>
    <row r="1280" spans="1:19" x14ac:dyDescent="0.3">
      <c r="A1280" s="36">
        <v>340</v>
      </c>
      <c r="B1280" s="37" t="s">
        <v>1694</v>
      </c>
      <c r="C1280" s="37" t="s">
        <v>224</v>
      </c>
      <c r="D1280" s="37" t="s">
        <v>39</v>
      </c>
      <c r="E1280" s="37" t="s">
        <v>22</v>
      </c>
      <c r="F1280" s="42">
        <v>45565</v>
      </c>
      <c r="G1280" s="37">
        <v>2024</v>
      </c>
      <c r="H1280" s="37" t="s">
        <v>43</v>
      </c>
      <c r="I1280" s="39" t="s">
        <v>36</v>
      </c>
      <c r="J1280" s="37">
        <v>95</v>
      </c>
      <c r="K1280" s="43">
        <v>100</v>
      </c>
      <c r="L1280" s="65">
        <f t="shared" si="122"/>
        <v>1.0526315789473684</v>
      </c>
      <c r="M1280" s="65">
        <f t="shared" si="123"/>
        <v>1.0526315789473684</v>
      </c>
      <c r="N1280" s="37" t="s">
        <v>25</v>
      </c>
      <c r="O1280" s="37" t="s">
        <v>25</v>
      </c>
      <c r="P1280" s="40">
        <v>0</v>
      </c>
      <c r="Q1280" s="40">
        <v>0</v>
      </c>
      <c r="R1280" s="37" t="s">
        <v>1701</v>
      </c>
      <c r="S1280" s="37"/>
    </row>
    <row r="1281" spans="1:19" x14ac:dyDescent="0.3">
      <c r="A1281" s="36">
        <v>340</v>
      </c>
      <c r="B1281" s="37" t="s">
        <v>1694</v>
      </c>
      <c r="C1281" s="37" t="s">
        <v>224</v>
      </c>
      <c r="D1281" s="37" t="s">
        <v>39</v>
      </c>
      <c r="E1281" s="37" t="s">
        <v>22</v>
      </c>
      <c r="F1281" s="42">
        <v>45657</v>
      </c>
      <c r="G1281" s="37">
        <v>2024</v>
      </c>
      <c r="H1281" s="37" t="s">
        <v>27</v>
      </c>
      <c r="I1281" s="39" t="s">
        <v>36</v>
      </c>
      <c r="J1281" s="37">
        <v>95</v>
      </c>
      <c r="K1281" s="43">
        <v>100</v>
      </c>
      <c r="L1281" s="65">
        <f t="shared" si="122"/>
        <v>1.0526315789473684</v>
      </c>
      <c r="M1281" s="65">
        <f t="shared" si="123"/>
        <v>1.0526315789473684</v>
      </c>
      <c r="N1281" s="37" t="s">
        <v>25</v>
      </c>
      <c r="O1281" s="37" t="s">
        <v>25</v>
      </c>
      <c r="P1281" s="40">
        <v>0</v>
      </c>
      <c r="Q1281" s="40">
        <v>0</v>
      </c>
      <c r="R1281" s="37" t="s">
        <v>1702</v>
      </c>
      <c r="S1281" s="37"/>
    </row>
    <row r="1282" spans="1:19" x14ac:dyDescent="0.3">
      <c r="A1282" s="36">
        <v>341</v>
      </c>
      <c r="B1282" s="37" t="s">
        <v>1703</v>
      </c>
      <c r="C1282" s="37" t="s">
        <v>20</v>
      </c>
      <c r="D1282" s="37" t="s">
        <v>21</v>
      </c>
      <c r="E1282" s="37" t="s">
        <v>22</v>
      </c>
      <c r="F1282" s="38">
        <v>45107</v>
      </c>
      <c r="G1282" s="37">
        <v>2023</v>
      </c>
      <c r="H1282" s="37" t="s">
        <v>23</v>
      </c>
      <c r="I1282" s="39" t="s">
        <v>30</v>
      </c>
      <c r="J1282" s="56">
        <v>600000000</v>
      </c>
      <c r="K1282" s="56">
        <v>743218000</v>
      </c>
      <c r="L1282" s="65">
        <f t="shared" si="122"/>
        <v>1.2386966666666666</v>
      </c>
      <c r="M1282" s="65">
        <f t="shared" si="123"/>
        <v>1.2386966666666666</v>
      </c>
      <c r="N1282" s="37" t="s">
        <v>264</v>
      </c>
      <c r="O1282" s="37" t="s">
        <v>264</v>
      </c>
      <c r="P1282" s="40">
        <v>0</v>
      </c>
      <c r="Q1282" s="40">
        <v>0</v>
      </c>
      <c r="R1282" s="37" t="s">
        <v>1704</v>
      </c>
      <c r="S1282" s="37"/>
    </row>
    <row r="1283" spans="1:19" x14ac:dyDescent="0.3">
      <c r="A1283" s="41">
        <v>341</v>
      </c>
      <c r="B1283" s="37" t="s">
        <v>1703</v>
      </c>
      <c r="C1283" s="37" t="s">
        <v>20</v>
      </c>
      <c r="D1283" s="37" t="s">
        <v>21</v>
      </c>
      <c r="E1283" s="37" t="s">
        <v>22</v>
      </c>
      <c r="F1283" s="42">
        <v>45291</v>
      </c>
      <c r="G1283" s="37">
        <v>2023</v>
      </c>
      <c r="H1283" s="37" t="s">
        <v>27</v>
      </c>
      <c r="I1283" s="39" t="s">
        <v>32</v>
      </c>
      <c r="J1283" s="56">
        <v>900000000</v>
      </c>
      <c r="K1283" s="56">
        <v>1175172000</v>
      </c>
      <c r="L1283" s="65">
        <f t="shared" si="122"/>
        <v>1.3</v>
      </c>
      <c r="M1283" s="65">
        <f t="shared" si="123"/>
        <v>1.3057466666666666</v>
      </c>
      <c r="N1283" s="37" t="s">
        <v>264</v>
      </c>
      <c r="O1283" s="37" t="s">
        <v>264</v>
      </c>
      <c r="P1283" s="40">
        <v>0</v>
      </c>
      <c r="Q1283" s="40">
        <v>0</v>
      </c>
      <c r="R1283" s="37" t="s">
        <v>1705</v>
      </c>
      <c r="S1283" s="37"/>
    </row>
    <row r="1284" spans="1:19" x14ac:dyDescent="0.3">
      <c r="A1284" s="37">
        <v>341</v>
      </c>
      <c r="B1284" s="37" t="s">
        <v>1706</v>
      </c>
      <c r="C1284" s="37" t="s">
        <v>20</v>
      </c>
      <c r="D1284" s="37" t="s">
        <v>21</v>
      </c>
      <c r="E1284" s="37" t="s">
        <v>22</v>
      </c>
      <c r="F1284" s="42">
        <v>45473</v>
      </c>
      <c r="G1284" s="37">
        <v>2024</v>
      </c>
      <c r="H1284" s="37" t="s">
        <v>23</v>
      </c>
      <c r="I1284" s="39" t="s">
        <v>34</v>
      </c>
      <c r="J1284" s="56">
        <v>600000000</v>
      </c>
      <c r="K1284" s="56">
        <v>750000000</v>
      </c>
      <c r="L1284" s="65">
        <f t="shared" si="122"/>
        <v>1.25</v>
      </c>
      <c r="M1284" s="65">
        <f t="shared" si="123"/>
        <v>1.25</v>
      </c>
      <c r="N1284" s="37" t="s">
        <v>264</v>
      </c>
      <c r="O1284" s="37" t="s">
        <v>264</v>
      </c>
      <c r="P1284" s="37">
        <v>0</v>
      </c>
      <c r="Q1284" s="37">
        <v>0</v>
      </c>
      <c r="R1284" s="37" t="s">
        <v>1707</v>
      </c>
      <c r="S1284" s="37"/>
    </row>
    <row r="1285" spans="1:19" x14ac:dyDescent="0.3">
      <c r="A1285" s="36">
        <v>341</v>
      </c>
      <c r="B1285" s="37" t="s">
        <v>1706</v>
      </c>
      <c r="C1285" s="37" t="s">
        <v>20</v>
      </c>
      <c r="D1285" s="37" t="s">
        <v>21</v>
      </c>
      <c r="E1285" s="37" t="s">
        <v>22</v>
      </c>
      <c r="F1285" s="42">
        <v>45657</v>
      </c>
      <c r="G1285" s="37">
        <v>2024</v>
      </c>
      <c r="H1285" s="37" t="s">
        <v>27</v>
      </c>
      <c r="I1285" s="39" t="s">
        <v>36</v>
      </c>
      <c r="J1285" s="56">
        <v>900000000</v>
      </c>
      <c r="K1285" s="56">
        <v>922000000</v>
      </c>
      <c r="L1285" s="65">
        <f t="shared" si="122"/>
        <v>1.0244444444444445</v>
      </c>
      <c r="M1285" s="65">
        <f t="shared" si="123"/>
        <v>1.0244444444444445</v>
      </c>
      <c r="N1285" s="37" t="s">
        <v>264</v>
      </c>
      <c r="O1285" s="37" t="s">
        <v>264</v>
      </c>
      <c r="P1285" s="40">
        <v>0</v>
      </c>
      <c r="Q1285" s="40">
        <v>0</v>
      </c>
      <c r="R1285" s="37" t="s">
        <v>1708</v>
      </c>
      <c r="S1285" s="37"/>
    </row>
    <row r="1286" spans="1:19" x14ac:dyDescent="0.3">
      <c r="A1286" s="36">
        <v>344</v>
      </c>
      <c r="B1286" s="37" t="s">
        <v>1710</v>
      </c>
      <c r="C1286" s="37" t="s">
        <v>55</v>
      </c>
      <c r="D1286" s="37" t="s">
        <v>21</v>
      </c>
      <c r="E1286" s="37" t="s">
        <v>22</v>
      </c>
      <c r="F1286" s="38">
        <v>45107</v>
      </c>
      <c r="G1286" s="37">
        <v>2023</v>
      </c>
      <c r="H1286" s="37" t="s">
        <v>23</v>
      </c>
      <c r="I1286" s="39" t="s">
        <v>30</v>
      </c>
      <c r="J1286" s="37">
        <v>133</v>
      </c>
      <c r="K1286" s="56">
        <v>130</v>
      </c>
      <c r="L1286" s="65">
        <f t="shared" si="122"/>
        <v>0.97744360902255634</v>
      </c>
      <c r="M1286" s="65">
        <f t="shared" si="123"/>
        <v>0.97744360902255634</v>
      </c>
      <c r="N1286" s="37" t="s">
        <v>25</v>
      </c>
      <c r="O1286" s="37" t="s">
        <v>25</v>
      </c>
      <c r="P1286" s="40">
        <v>0</v>
      </c>
      <c r="Q1286" s="40">
        <v>0</v>
      </c>
      <c r="R1286" s="37" t="s">
        <v>1711</v>
      </c>
      <c r="S1286" s="37"/>
    </row>
    <row r="1287" spans="1:19" x14ac:dyDescent="0.3">
      <c r="A1287" s="41">
        <v>344</v>
      </c>
      <c r="B1287" s="37" t="s">
        <v>1710</v>
      </c>
      <c r="C1287" s="37" t="s">
        <v>55</v>
      </c>
      <c r="D1287" s="37" t="s">
        <v>21</v>
      </c>
      <c r="E1287" s="37" t="s">
        <v>22</v>
      </c>
      <c r="F1287" s="42">
        <v>45291</v>
      </c>
      <c r="G1287" s="37">
        <v>2023</v>
      </c>
      <c r="H1287" s="37" t="s">
        <v>27</v>
      </c>
      <c r="I1287" s="39" t="s">
        <v>32</v>
      </c>
      <c r="J1287" s="37">
        <v>134</v>
      </c>
      <c r="K1287" s="56">
        <v>131</v>
      </c>
      <c r="L1287" s="65">
        <f t="shared" si="122"/>
        <v>0.97761194029850751</v>
      </c>
      <c r="M1287" s="65">
        <f t="shared" si="123"/>
        <v>0.97761194029850751</v>
      </c>
      <c r="N1287" s="37" t="s">
        <v>25</v>
      </c>
      <c r="O1287" s="37" t="s">
        <v>25</v>
      </c>
      <c r="P1287" s="40">
        <v>0</v>
      </c>
      <c r="Q1287" s="40">
        <v>0</v>
      </c>
      <c r="R1287" s="37" t="s">
        <v>1712</v>
      </c>
      <c r="S1287" s="37"/>
    </row>
    <row r="1288" spans="1:19" x14ac:dyDescent="0.3">
      <c r="A1288" s="37">
        <v>344</v>
      </c>
      <c r="B1288" s="37" t="s">
        <v>1710</v>
      </c>
      <c r="C1288" s="37" t="s">
        <v>55</v>
      </c>
      <c r="D1288" s="37" t="s">
        <v>21</v>
      </c>
      <c r="E1288" s="37" t="s">
        <v>22</v>
      </c>
      <c r="F1288" s="42">
        <v>45473</v>
      </c>
      <c r="G1288" s="37">
        <v>2024</v>
      </c>
      <c r="H1288" s="37" t="s">
        <v>23</v>
      </c>
      <c r="I1288" s="39" t="s">
        <v>34</v>
      </c>
      <c r="J1288" s="37">
        <v>188</v>
      </c>
      <c r="K1288" s="37">
        <v>183</v>
      </c>
      <c r="L1288" s="65">
        <f t="shared" si="122"/>
        <v>0.97340425531914898</v>
      </c>
      <c r="M1288" s="65">
        <f t="shared" si="123"/>
        <v>0.97340425531914898</v>
      </c>
      <c r="N1288" s="37" t="s">
        <v>25</v>
      </c>
      <c r="O1288" s="37" t="s">
        <v>25</v>
      </c>
      <c r="P1288" s="37">
        <v>0</v>
      </c>
      <c r="Q1288" s="37">
        <v>0</v>
      </c>
      <c r="R1288" s="37" t="s">
        <v>1713</v>
      </c>
      <c r="S1288" s="37"/>
    </row>
    <row r="1289" spans="1:19" x14ac:dyDescent="0.3">
      <c r="A1289" s="36">
        <v>344</v>
      </c>
      <c r="B1289" s="37" t="s">
        <v>1710</v>
      </c>
      <c r="C1289" s="37" t="s">
        <v>55</v>
      </c>
      <c r="D1289" s="37" t="s">
        <v>21</v>
      </c>
      <c r="E1289" s="37" t="s">
        <v>22</v>
      </c>
      <c r="F1289" s="42">
        <v>45657</v>
      </c>
      <c r="G1289" s="37">
        <v>2024</v>
      </c>
      <c r="H1289" s="37" t="s">
        <v>27</v>
      </c>
      <c r="I1289" s="39" t="s">
        <v>36</v>
      </c>
      <c r="J1289" s="37">
        <v>124</v>
      </c>
      <c r="K1289" s="43">
        <v>123</v>
      </c>
      <c r="L1289" s="65">
        <f t="shared" si="122"/>
        <v>0.99193548387096775</v>
      </c>
      <c r="M1289" s="65">
        <f t="shared" si="123"/>
        <v>0.99193548387096775</v>
      </c>
      <c r="N1289" s="37" t="s">
        <v>25</v>
      </c>
      <c r="O1289" s="37" t="s">
        <v>25</v>
      </c>
      <c r="P1289" s="40">
        <v>0</v>
      </c>
      <c r="Q1289" s="40">
        <v>0</v>
      </c>
      <c r="R1289" s="37" t="s">
        <v>1714</v>
      </c>
      <c r="S1289" s="37"/>
    </row>
    <row r="1290" spans="1:19" x14ac:dyDescent="0.3">
      <c r="A1290" s="41">
        <v>345</v>
      </c>
      <c r="B1290" s="37" t="s">
        <v>1715</v>
      </c>
      <c r="C1290" s="37" t="s">
        <v>55</v>
      </c>
      <c r="D1290" s="37" t="s">
        <v>139</v>
      </c>
      <c r="E1290" s="37" t="s">
        <v>22</v>
      </c>
      <c r="F1290" s="42">
        <v>45291</v>
      </c>
      <c r="G1290" s="37">
        <v>2023</v>
      </c>
      <c r="H1290" s="37" t="s">
        <v>27</v>
      </c>
      <c r="I1290" s="39" t="s">
        <v>32</v>
      </c>
      <c r="J1290" s="37"/>
      <c r="K1290" s="56">
        <v>94.85</v>
      </c>
      <c r="L1290" s="65"/>
      <c r="M1290" s="65"/>
      <c r="N1290" s="37" t="s">
        <v>670</v>
      </c>
      <c r="O1290" s="65" t="s">
        <v>25</v>
      </c>
      <c r="P1290" s="40">
        <v>0</v>
      </c>
      <c r="Q1290" s="40">
        <v>0</v>
      </c>
      <c r="R1290" s="37" t="s">
        <v>1716</v>
      </c>
      <c r="S1290" s="37"/>
    </row>
    <row r="1291" spans="1:19" x14ac:dyDescent="0.3">
      <c r="A1291" s="41">
        <v>346</v>
      </c>
      <c r="B1291" s="37" t="s">
        <v>1717</v>
      </c>
      <c r="C1291" s="37" t="s">
        <v>55</v>
      </c>
      <c r="D1291" s="37" t="s">
        <v>139</v>
      </c>
      <c r="E1291" s="37" t="s">
        <v>22</v>
      </c>
      <c r="F1291" s="42">
        <v>45291</v>
      </c>
      <c r="G1291" s="37">
        <v>2023</v>
      </c>
      <c r="H1291" s="37" t="s">
        <v>27</v>
      </c>
      <c r="I1291" s="39" t="s">
        <v>32</v>
      </c>
      <c r="J1291" s="37"/>
      <c r="K1291" s="56">
        <v>83.91608391608392</v>
      </c>
      <c r="L1291" s="46"/>
      <c r="M1291" s="65"/>
      <c r="N1291" s="37" t="s">
        <v>670</v>
      </c>
      <c r="O1291" s="65" t="s">
        <v>25</v>
      </c>
      <c r="P1291" s="40">
        <v>0</v>
      </c>
      <c r="Q1291" s="40">
        <v>0</v>
      </c>
      <c r="R1291" s="37" t="s">
        <v>1718</v>
      </c>
      <c r="S1291" s="37"/>
    </row>
    <row r="1292" spans="1:19" x14ac:dyDescent="0.3">
      <c r="A1292" s="36">
        <v>346</v>
      </c>
      <c r="B1292" s="37" t="s">
        <v>1717</v>
      </c>
      <c r="C1292" s="37" t="s">
        <v>55</v>
      </c>
      <c r="D1292" s="37" t="s">
        <v>139</v>
      </c>
      <c r="E1292" s="37" t="s">
        <v>22</v>
      </c>
      <c r="F1292" s="42">
        <v>45657</v>
      </c>
      <c r="G1292" s="37">
        <v>2024</v>
      </c>
      <c r="H1292" s="37" t="s">
        <v>27</v>
      </c>
      <c r="I1292" s="39" t="s">
        <v>36</v>
      </c>
      <c r="J1292" s="37">
        <v>85</v>
      </c>
      <c r="K1292" s="43">
        <v>91.88</v>
      </c>
      <c r="L1292" s="65">
        <f t="shared" ref="L1292:L1310" si="124">IFERROR(IF(OR(J1292=0,K1292=""),"",IF(E1292="Positivo",MIN(MAX(K1292/J1292,0),1.3),MIN(MAX(J1292/K1292,0),1.3))),"")</f>
        <v>1.0809411764705881</v>
      </c>
      <c r="M1292" s="65">
        <f t="shared" ref="M1292:M1310" si="125">IFERROR(IF(OR(J1292=0,K1292=""),"",IF(E1292="Positivo",MAX(K1292/J1292,0),MAX(J1292/K1292,0))),"")</f>
        <v>1.0809411764705881</v>
      </c>
      <c r="N1292" s="37" t="s">
        <v>670</v>
      </c>
      <c r="O1292" s="37" t="s">
        <v>25</v>
      </c>
      <c r="P1292" s="40">
        <v>0</v>
      </c>
      <c r="Q1292" s="40">
        <v>0</v>
      </c>
      <c r="R1292" s="37" t="s">
        <v>1719</v>
      </c>
      <c r="S1292" s="37"/>
    </row>
    <row r="1293" spans="1:19" x14ac:dyDescent="0.3">
      <c r="A1293" s="36">
        <v>347</v>
      </c>
      <c r="B1293" s="37" t="s">
        <v>1720</v>
      </c>
      <c r="C1293" s="37" t="s">
        <v>1721</v>
      </c>
      <c r="D1293" s="37" t="s">
        <v>39</v>
      </c>
      <c r="E1293" s="37" t="s">
        <v>56</v>
      </c>
      <c r="F1293" s="42">
        <v>45016</v>
      </c>
      <c r="G1293" s="37">
        <v>2023</v>
      </c>
      <c r="H1293" s="37" t="s">
        <v>40</v>
      </c>
      <c r="I1293" s="39" t="s">
        <v>30</v>
      </c>
      <c r="J1293" s="37">
        <v>0</v>
      </c>
      <c r="K1293" s="56">
        <v>5</v>
      </c>
      <c r="L1293" s="65" t="str">
        <f t="shared" si="124"/>
        <v/>
      </c>
      <c r="M1293" s="65" t="str">
        <f t="shared" si="125"/>
        <v/>
      </c>
      <c r="N1293" s="37" t="s">
        <v>203</v>
      </c>
      <c r="O1293" s="37" t="s">
        <v>203</v>
      </c>
      <c r="P1293" s="40">
        <v>0</v>
      </c>
      <c r="Q1293" s="40">
        <v>0</v>
      </c>
      <c r="R1293" s="37" t="s">
        <v>1722</v>
      </c>
      <c r="S1293" s="37"/>
    </row>
    <row r="1294" spans="1:19" x14ac:dyDescent="0.3">
      <c r="A1294" s="36">
        <v>347</v>
      </c>
      <c r="B1294" s="37" t="s">
        <v>1720</v>
      </c>
      <c r="C1294" s="37" t="s">
        <v>1721</v>
      </c>
      <c r="D1294" s="37" t="s">
        <v>39</v>
      </c>
      <c r="E1294" s="37" t="s">
        <v>56</v>
      </c>
      <c r="F1294" s="42">
        <v>45107</v>
      </c>
      <c r="G1294" s="37">
        <v>2023</v>
      </c>
      <c r="H1294" s="37" t="s">
        <v>23</v>
      </c>
      <c r="I1294" s="39" t="s">
        <v>30</v>
      </c>
      <c r="J1294" s="37">
        <v>0</v>
      </c>
      <c r="K1294" s="56">
        <v>8</v>
      </c>
      <c r="L1294" s="65" t="str">
        <f t="shared" si="124"/>
        <v/>
      </c>
      <c r="M1294" s="65" t="str">
        <f t="shared" si="125"/>
        <v/>
      </c>
      <c r="N1294" s="37" t="s">
        <v>203</v>
      </c>
      <c r="O1294" s="37" t="s">
        <v>203</v>
      </c>
      <c r="P1294" s="40">
        <v>0</v>
      </c>
      <c r="Q1294" s="40">
        <v>0</v>
      </c>
      <c r="R1294" s="37" t="s">
        <v>1723</v>
      </c>
      <c r="S1294" s="37"/>
    </row>
    <row r="1295" spans="1:19" x14ac:dyDescent="0.3">
      <c r="A1295" s="45">
        <v>347</v>
      </c>
      <c r="B1295" s="37" t="s">
        <v>1720</v>
      </c>
      <c r="C1295" s="37" t="s">
        <v>1721</v>
      </c>
      <c r="D1295" s="37" t="s">
        <v>39</v>
      </c>
      <c r="E1295" s="37" t="s">
        <v>56</v>
      </c>
      <c r="F1295" s="42">
        <v>45199</v>
      </c>
      <c r="G1295" s="37">
        <v>2023</v>
      </c>
      <c r="H1295" s="37" t="s">
        <v>43</v>
      </c>
      <c r="I1295" s="39" t="s">
        <v>32</v>
      </c>
      <c r="J1295" s="37">
        <v>0</v>
      </c>
      <c r="K1295" s="56">
        <v>12</v>
      </c>
      <c r="L1295" s="65" t="str">
        <f t="shared" si="124"/>
        <v/>
      </c>
      <c r="M1295" s="65" t="str">
        <f t="shared" si="125"/>
        <v/>
      </c>
      <c r="N1295" s="37" t="s">
        <v>203</v>
      </c>
      <c r="O1295" s="37" t="s">
        <v>203</v>
      </c>
      <c r="P1295" s="40">
        <v>0</v>
      </c>
      <c r="Q1295" s="40">
        <v>0</v>
      </c>
      <c r="R1295" s="37" t="s">
        <v>1724</v>
      </c>
      <c r="S1295" s="37"/>
    </row>
    <row r="1296" spans="1:19" x14ac:dyDescent="0.3">
      <c r="A1296" s="41">
        <v>347</v>
      </c>
      <c r="B1296" s="37" t="s">
        <v>1720</v>
      </c>
      <c r="C1296" s="37" t="s">
        <v>1721</v>
      </c>
      <c r="D1296" s="37" t="s">
        <v>39</v>
      </c>
      <c r="E1296" s="37" t="s">
        <v>56</v>
      </c>
      <c r="F1296" s="42">
        <v>45291</v>
      </c>
      <c r="G1296" s="37">
        <v>2023</v>
      </c>
      <c r="H1296" s="37" t="s">
        <v>27</v>
      </c>
      <c r="I1296" s="39" t="s">
        <v>32</v>
      </c>
      <c r="J1296" s="37">
        <v>0</v>
      </c>
      <c r="K1296" s="56">
        <v>2</v>
      </c>
      <c r="L1296" s="65" t="str">
        <f t="shared" si="124"/>
        <v/>
      </c>
      <c r="M1296" s="65" t="str">
        <f t="shared" si="125"/>
        <v/>
      </c>
      <c r="N1296" s="37" t="s">
        <v>203</v>
      </c>
      <c r="O1296" s="37" t="s">
        <v>203</v>
      </c>
      <c r="P1296" s="40">
        <v>0</v>
      </c>
      <c r="Q1296" s="40">
        <v>0</v>
      </c>
      <c r="R1296" s="37" t="s">
        <v>1725</v>
      </c>
      <c r="S1296" s="37"/>
    </row>
    <row r="1297" spans="1:19" x14ac:dyDescent="0.3">
      <c r="A1297" s="36">
        <v>347</v>
      </c>
      <c r="B1297" s="37" t="s">
        <v>1720</v>
      </c>
      <c r="C1297" s="37" t="s">
        <v>1721</v>
      </c>
      <c r="D1297" s="37" t="s">
        <v>39</v>
      </c>
      <c r="E1297" s="37" t="s">
        <v>56</v>
      </c>
      <c r="F1297" s="42">
        <v>45382</v>
      </c>
      <c r="G1297" s="37">
        <v>2024</v>
      </c>
      <c r="H1297" s="37" t="s">
        <v>40</v>
      </c>
      <c r="I1297" s="39" t="s">
        <v>34</v>
      </c>
      <c r="J1297" s="37">
        <v>5</v>
      </c>
      <c r="K1297" s="43">
        <v>0</v>
      </c>
      <c r="L1297" s="65" t="str">
        <f t="shared" si="124"/>
        <v/>
      </c>
      <c r="M1297" s="65" t="str">
        <f t="shared" si="125"/>
        <v/>
      </c>
      <c r="N1297" s="37" t="s">
        <v>203</v>
      </c>
      <c r="O1297" s="37" t="s">
        <v>203</v>
      </c>
      <c r="P1297" s="40">
        <v>0</v>
      </c>
      <c r="Q1297" s="40">
        <v>0</v>
      </c>
      <c r="R1297" s="37" t="s">
        <v>1726</v>
      </c>
      <c r="S1297" s="37"/>
    </row>
    <row r="1298" spans="1:19" x14ac:dyDescent="0.3">
      <c r="A1298" s="37">
        <v>347</v>
      </c>
      <c r="B1298" s="37" t="s">
        <v>1720</v>
      </c>
      <c r="C1298" s="37" t="s">
        <v>1721</v>
      </c>
      <c r="D1298" s="37" t="s">
        <v>39</v>
      </c>
      <c r="E1298" s="37" t="s">
        <v>56</v>
      </c>
      <c r="F1298" s="42">
        <v>45473</v>
      </c>
      <c r="G1298" s="37">
        <v>2024</v>
      </c>
      <c r="H1298" s="37" t="s">
        <v>23</v>
      </c>
      <c r="I1298" s="39" t="s">
        <v>34</v>
      </c>
      <c r="J1298" s="37">
        <v>5</v>
      </c>
      <c r="K1298" s="37">
        <v>3</v>
      </c>
      <c r="L1298" s="65">
        <f t="shared" si="124"/>
        <v>1.3</v>
      </c>
      <c r="M1298" s="65">
        <f t="shared" si="125"/>
        <v>1.6666666666666667</v>
      </c>
      <c r="N1298" s="37" t="s">
        <v>203</v>
      </c>
      <c r="O1298" s="37" t="s">
        <v>203</v>
      </c>
      <c r="P1298" s="37">
        <v>0</v>
      </c>
      <c r="Q1298" s="37">
        <v>0</v>
      </c>
      <c r="R1298" s="37" t="s">
        <v>1727</v>
      </c>
      <c r="S1298" s="37"/>
    </row>
    <row r="1299" spans="1:19" x14ac:dyDescent="0.3">
      <c r="A1299" s="36">
        <v>347</v>
      </c>
      <c r="B1299" s="37" t="s">
        <v>1720</v>
      </c>
      <c r="C1299" s="37" t="s">
        <v>1721</v>
      </c>
      <c r="D1299" s="37" t="s">
        <v>39</v>
      </c>
      <c r="E1299" s="37" t="s">
        <v>56</v>
      </c>
      <c r="F1299" s="42">
        <v>45565</v>
      </c>
      <c r="G1299" s="37">
        <v>2024</v>
      </c>
      <c r="H1299" s="37" t="s">
        <v>43</v>
      </c>
      <c r="I1299" s="39" t="s">
        <v>36</v>
      </c>
      <c r="J1299" s="37">
        <v>5</v>
      </c>
      <c r="K1299" s="43">
        <v>0</v>
      </c>
      <c r="L1299" s="65" t="str">
        <f t="shared" si="124"/>
        <v/>
      </c>
      <c r="M1299" s="65" t="str">
        <f t="shared" si="125"/>
        <v/>
      </c>
      <c r="N1299" s="37" t="s">
        <v>203</v>
      </c>
      <c r="O1299" s="37" t="s">
        <v>203</v>
      </c>
      <c r="P1299" s="40">
        <v>0</v>
      </c>
      <c r="Q1299" s="40">
        <v>0</v>
      </c>
      <c r="R1299" s="37" t="s">
        <v>1728</v>
      </c>
      <c r="S1299" s="37"/>
    </row>
    <row r="1300" spans="1:19" x14ac:dyDescent="0.3">
      <c r="A1300" s="36">
        <v>347</v>
      </c>
      <c r="B1300" s="37" t="s">
        <v>1720</v>
      </c>
      <c r="C1300" s="37" t="s">
        <v>1721</v>
      </c>
      <c r="D1300" s="37" t="s">
        <v>39</v>
      </c>
      <c r="E1300" s="37" t="s">
        <v>56</v>
      </c>
      <c r="F1300" s="42">
        <v>45657</v>
      </c>
      <c r="G1300" s="37">
        <v>2024</v>
      </c>
      <c r="H1300" s="37" t="s">
        <v>27</v>
      </c>
      <c r="I1300" s="39" t="s">
        <v>36</v>
      </c>
      <c r="J1300" s="37">
        <v>5</v>
      </c>
      <c r="K1300" s="43">
        <v>0</v>
      </c>
      <c r="L1300" s="65" t="str">
        <f t="shared" si="124"/>
        <v/>
      </c>
      <c r="M1300" s="65" t="str">
        <f t="shared" si="125"/>
        <v/>
      </c>
      <c r="N1300" s="37" t="s">
        <v>203</v>
      </c>
      <c r="O1300" s="37" t="s">
        <v>203</v>
      </c>
      <c r="P1300" s="40">
        <v>0</v>
      </c>
      <c r="Q1300" s="40">
        <v>0</v>
      </c>
      <c r="R1300" s="37" t="s">
        <v>1729</v>
      </c>
      <c r="S1300" s="37"/>
    </row>
    <row r="1301" spans="1:19" x14ac:dyDescent="0.3">
      <c r="A1301" s="36">
        <v>348</v>
      </c>
      <c r="B1301" s="37" t="s">
        <v>1730</v>
      </c>
      <c r="C1301" s="37" t="s">
        <v>1721</v>
      </c>
      <c r="D1301" s="37" t="s">
        <v>39</v>
      </c>
      <c r="E1301" s="37" t="s">
        <v>22</v>
      </c>
      <c r="F1301" s="42">
        <v>45016</v>
      </c>
      <c r="G1301" s="37">
        <v>2023</v>
      </c>
      <c r="H1301" s="37" t="s">
        <v>40</v>
      </c>
      <c r="I1301" s="39" t="s">
        <v>30</v>
      </c>
      <c r="J1301" s="37">
        <v>99</v>
      </c>
      <c r="K1301" s="56">
        <v>99.936143039591002</v>
      </c>
      <c r="L1301" s="65">
        <f t="shared" si="124"/>
        <v>1.0094559902988991</v>
      </c>
      <c r="M1301" s="65">
        <f t="shared" si="125"/>
        <v>1.0094559902988991</v>
      </c>
      <c r="N1301" s="37" t="s">
        <v>25</v>
      </c>
      <c r="O1301" s="37" t="s">
        <v>25</v>
      </c>
      <c r="P1301" s="40">
        <v>0</v>
      </c>
      <c r="Q1301" s="40">
        <v>0</v>
      </c>
      <c r="R1301" s="37" t="s">
        <v>1731</v>
      </c>
      <c r="S1301" s="37"/>
    </row>
    <row r="1302" spans="1:19" x14ac:dyDescent="0.3">
      <c r="A1302" s="36">
        <v>348</v>
      </c>
      <c r="B1302" s="37" t="s">
        <v>1730</v>
      </c>
      <c r="C1302" s="37" t="s">
        <v>1721</v>
      </c>
      <c r="D1302" s="37" t="s">
        <v>39</v>
      </c>
      <c r="E1302" s="37" t="s">
        <v>22</v>
      </c>
      <c r="F1302" s="42">
        <v>45107</v>
      </c>
      <c r="G1302" s="37">
        <v>2023</v>
      </c>
      <c r="H1302" s="37" t="s">
        <v>23</v>
      </c>
      <c r="I1302" s="39" t="s">
        <v>30</v>
      </c>
      <c r="J1302" s="37">
        <v>99</v>
      </c>
      <c r="K1302" s="56">
        <v>99.699248120300993</v>
      </c>
      <c r="L1302" s="65">
        <f t="shared" si="124"/>
        <v>1.0070631123262725</v>
      </c>
      <c r="M1302" s="65">
        <f t="shared" si="125"/>
        <v>1.0070631123262725</v>
      </c>
      <c r="N1302" s="37" t="s">
        <v>25</v>
      </c>
      <c r="O1302" s="37" t="s">
        <v>25</v>
      </c>
      <c r="P1302" s="40">
        <v>0</v>
      </c>
      <c r="Q1302" s="40">
        <v>0</v>
      </c>
      <c r="R1302" s="37" t="s">
        <v>1732</v>
      </c>
      <c r="S1302" s="37"/>
    </row>
    <row r="1303" spans="1:19" x14ac:dyDescent="0.3">
      <c r="A1303" s="45">
        <v>348</v>
      </c>
      <c r="B1303" s="37" t="s">
        <v>1730</v>
      </c>
      <c r="C1303" s="37" t="s">
        <v>1721</v>
      </c>
      <c r="D1303" s="37" t="s">
        <v>39</v>
      </c>
      <c r="E1303" s="37" t="s">
        <v>22</v>
      </c>
      <c r="F1303" s="42">
        <v>45199</v>
      </c>
      <c r="G1303" s="37">
        <v>2023</v>
      </c>
      <c r="H1303" s="37" t="s">
        <v>43</v>
      </c>
      <c r="I1303" s="39" t="s">
        <v>32</v>
      </c>
      <c r="J1303" s="37">
        <v>99</v>
      </c>
      <c r="K1303" s="56">
        <v>100</v>
      </c>
      <c r="L1303" s="65">
        <f t="shared" si="124"/>
        <v>1.0101010101010102</v>
      </c>
      <c r="M1303" s="65">
        <f t="shared" si="125"/>
        <v>1.0101010101010102</v>
      </c>
      <c r="N1303" s="37" t="s">
        <v>25</v>
      </c>
      <c r="O1303" s="37" t="s">
        <v>25</v>
      </c>
      <c r="P1303" s="40">
        <v>0</v>
      </c>
      <c r="Q1303" s="40">
        <v>0</v>
      </c>
      <c r="R1303" s="37" t="s">
        <v>1733</v>
      </c>
      <c r="S1303" s="37"/>
    </row>
    <row r="1304" spans="1:19" x14ac:dyDescent="0.3">
      <c r="A1304" s="41">
        <v>348</v>
      </c>
      <c r="B1304" s="37" t="s">
        <v>1730</v>
      </c>
      <c r="C1304" s="37" t="s">
        <v>1721</v>
      </c>
      <c r="D1304" s="37" t="s">
        <v>39</v>
      </c>
      <c r="E1304" s="37" t="s">
        <v>22</v>
      </c>
      <c r="F1304" s="42">
        <v>45291</v>
      </c>
      <c r="G1304" s="37">
        <v>2023</v>
      </c>
      <c r="H1304" s="37" t="s">
        <v>27</v>
      </c>
      <c r="I1304" s="39" t="s">
        <v>32</v>
      </c>
      <c r="J1304" s="37">
        <v>99</v>
      </c>
      <c r="K1304" s="56">
        <v>100</v>
      </c>
      <c r="L1304" s="65">
        <f t="shared" si="124"/>
        <v>1.0101010101010102</v>
      </c>
      <c r="M1304" s="65">
        <f t="shared" si="125"/>
        <v>1.0101010101010102</v>
      </c>
      <c r="N1304" s="37" t="s">
        <v>25</v>
      </c>
      <c r="O1304" s="37" t="s">
        <v>25</v>
      </c>
      <c r="P1304" s="40">
        <v>0</v>
      </c>
      <c r="Q1304" s="40">
        <v>0</v>
      </c>
      <c r="R1304" s="37" t="s">
        <v>1734</v>
      </c>
      <c r="S1304" s="37"/>
    </row>
    <row r="1305" spans="1:19" x14ac:dyDescent="0.3">
      <c r="A1305" s="36">
        <v>348</v>
      </c>
      <c r="B1305" s="37" t="s">
        <v>1730</v>
      </c>
      <c r="C1305" s="37" t="s">
        <v>1721</v>
      </c>
      <c r="D1305" s="37" t="s">
        <v>39</v>
      </c>
      <c r="E1305" s="37" t="s">
        <v>22</v>
      </c>
      <c r="F1305" s="42">
        <v>45382</v>
      </c>
      <c r="G1305" s="37">
        <v>2024</v>
      </c>
      <c r="H1305" s="37" t="s">
        <v>40</v>
      </c>
      <c r="I1305" s="39" t="s">
        <v>34</v>
      </c>
      <c r="J1305" s="37">
        <v>99</v>
      </c>
      <c r="K1305" s="43">
        <v>99.95</v>
      </c>
      <c r="L1305" s="65">
        <f t="shared" si="124"/>
        <v>1.0095959595959596</v>
      </c>
      <c r="M1305" s="65">
        <f t="shared" si="125"/>
        <v>1.0095959595959596</v>
      </c>
      <c r="N1305" s="37" t="s">
        <v>25</v>
      </c>
      <c r="O1305" s="37" t="s">
        <v>25</v>
      </c>
      <c r="P1305" s="40">
        <v>0</v>
      </c>
      <c r="Q1305" s="40">
        <v>0</v>
      </c>
      <c r="R1305" s="37" t="s">
        <v>1735</v>
      </c>
      <c r="S1305" s="37"/>
    </row>
    <row r="1306" spans="1:19" x14ac:dyDescent="0.3">
      <c r="A1306" s="37">
        <v>348</v>
      </c>
      <c r="B1306" s="37" t="s">
        <v>1730</v>
      </c>
      <c r="C1306" s="37" t="s">
        <v>1721</v>
      </c>
      <c r="D1306" s="37" t="s">
        <v>39</v>
      </c>
      <c r="E1306" s="37" t="s">
        <v>22</v>
      </c>
      <c r="F1306" s="42">
        <v>45473</v>
      </c>
      <c r="G1306" s="37">
        <v>2024</v>
      </c>
      <c r="H1306" s="37" t="s">
        <v>23</v>
      </c>
      <c r="I1306" s="39" t="s">
        <v>34</v>
      </c>
      <c r="J1306" s="37">
        <v>99</v>
      </c>
      <c r="K1306" s="37">
        <v>99.9</v>
      </c>
      <c r="L1306" s="65">
        <f t="shared" si="124"/>
        <v>1.009090909090909</v>
      </c>
      <c r="M1306" s="65">
        <f t="shared" si="125"/>
        <v>1.009090909090909</v>
      </c>
      <c r="N1306" s="37" t="s">
        <v>25</v>
      </c>
      <c r="O1306" s="37" t="s">
        <v>25</v>
      </c>
      <c r="P1306" s="37">
        <v>1</v>
      </c>
      <c r="Q1306" s="37">
        <v>1</v>
      </c>
      <c r="R1306" s="37" t="s">
        <v>1736</v>
      </c>
      <c r="S1306" s="37"/>
    </row>
    <row r="1307" spans="1:19" x14ac:dyDescent="0.3">
      <c r="A1307" s="36">
        <v>348</v>
      </c>
      <c r="B1307" s="37" t="s">
        <v>1730</v>
      </c>
      <c r="C1307" s="37" t="s">
        <v>1721</v>
      </c>
      <c r="D1307" s="37" t="s">
        <v>39</v>
      </c>
      <c r="E1307" s="37" t="s">
        <v>22</v>
      </c>
      <c r="F1307" s="42">
        <v>45565</v>
      </c>
      <c r="G1307" s="37">
        <v>2024</v>
      </c>
      <c r="H1307" s="37" t="s">
        <v>43</v>
      </c>
      <c r="I1307" s="39" t="s">
        <v>36</v>
      </c>
      <c r="J1307" s="37">
        <v>99</v>
      </c>
      <c r="K1307" s="43">
        <v>100</v>
      </c>
      <c r="L1307" s="65">
        <f t="shared" si="124"/>
        <v>1.0101010101010102</v>
      </c>
      <c r="M1307" s="65">
        <f t="shared" si="125"/>
        <v>1.0101010101010102</v>
      </c>
      <c r="N1307" s="37" t="s">
        <v>25</v>
      </c>
      <c r="O1307" s="37" t="s">
        <v>25</v>
      </c>
      <c r="P1307" s="40">
        <v>1</v>
      </c>
      <c r="Q1307" s="40">
        <v>1</v>
      </c>
      <c r="R1307" s="37" t="s">
        <v>1737</v>
      </c>
      <c r="S1307" s="37"/>
    </row>
    <row r="1308" spans="1:19" x14ac:dyDescent="0.3">
      <c r="A1308" s="36">
        <v>348</v>
      </c>
      <c r="B1308" s="37" t="s">
        <v>1730</v>
      </c>
      <c r="C1308" s="37" t="s">
        <v>1721</v>
      </c>
      <c r="D1308" s="37" t="s">
        <v>39</v>
      </c>
      <c r="E1308" s="37" t="s">
        <v>22</v>
      </c>
      <c r="F1308" s="42">
        <v>45657</v>
      </c>
      <c r="G1308" s="37">
        <v>2024</v>
      </c>
      <c r="H1308" s="37" t="s">
        <v>27</v>
      </c>
      <c r="I1308" s="39" t="s">
        <v>36</v>
      </c>
      <c r="J1308" s="37">
        <v>99</v>
      </c>
      <c r="K1308" s="43">
        <v>100</v>
      </c>
      <c r="L1308" s="65">
        <f t="shared" si="124"/>
        <v>1.0101010101010102</v>
      </c>
      <c r="M1308" s="65">
        <f t="shared" si="125"/>
        <v>1.0101010101010102</v>
      </c>
      <c r="N1308" s="37" t="s">
        <v>25</v>
      </c>
      <c r="O1308" s="37" t="s">
        <v>25</v>
      </c>
      <c r="P1308" s="40">
        <v>1</v>
      </c>
      <c r="Q1308" s="40">
        <v>1</v>
      </c>
      <c r="R1308" s="37" t="s">
        <v>1738</v>
      </c>
      <c r="S1308" s="37"/>
    </row>
    <row r="1309" spans="1:19" x14ac:dyDescent="0.3">
      <c r="A1309" s="36">
        <v>351</v>
      </c>
      <c r="B1309" s="37" t="s">
        <v>1739</v>
      </c>
      <c r="C1309" s="37" t="s">
        <v>1721</v>
      </c>
      <c r="D1309" s="37" t="s">
        <v>39</v>
      </c>
      <c r="E1309" s="37" t="s">
        <v>56</v>
      </c>
      <c r="F1309" s="42">
        <v>45016</v>
      </c>
      <c r="G1309" s="37">
        <v>2023</v>
      </c>
      <c r="H1309" s="37" t="s">
        <v>40</v>
      </c>
      <c r="I1309" s="39" t="s">
        <v>30</v>
      </c>
      <c r="J1309" s="37">
        <v>0</v>
      </c>
      <c r="K1309" s="61">
        <v>11.41868512110727</v>
      </c>
      <c r="L1309" s="65" t="str">
        <f t="shared" si="124"/>
        <v/>
      </c>
      <c r="M1309" s="65" t="str">
        <f t="shared" si="125"/>
        <v/>
      </c>
      <c r="N1309" s="37" t="s">
        <v>203</v>
      </c>
      <c r="O1309" s="37" t="s">
        <v>197</v>
      </c>
      <c r="P1309" s="40">
        <v>0</v>
      </c>
      <c r="Q1309" s="40">
        <v>0</v>
      </c>
      <c r="R1309" s="37" t="s">
        <v>1740</v>
      </c>
      <c r="S1309" s="37"/>
    </row>
    <row r="1310" spans="1:19" x14ac:dyDescent="0.3">
      <c r="A1310" s="36">
        <v>351</v>
      </c>
      <c r="B1310" s="37" t="s">
        <v>1739</v>
      </c>
      <c r="C1310" s="37" t="s">
        <v>1721</v>
      </c>
      <c r="D1310" s="37" t="s">
        <v>39</v>
      </c>
      <c r="E1310" s="37" t="s">
        <v>56</v>
      </c>
      <c r="F1310" s="42">
        <v>45107</v>
      </c>
      <c r="G1310" s="37">
        <v>2023</v>
      </c>
      <c r="H1310" s="37" t="s">
        <v>23</v>
      </c>
      <c r="I1310" s="39" t="s">
        <v>30</v>
      </c>
      <c r="J1310" s="37">
        <v>0</v>
      </c>
      <c r="K1310" s="61">
        <v>8.2333989618757837</v>
      </c>
      <c r="L1310" s="65" t="str">
        <f t="shared" si="124"/>
        <v/>
      </c>
      <c r="M1310" s="65" t="str">
        <f t="shared" si="125"/>
        <v/>
      </c>
      <c r="N1310" s="37" t="s">
        <v>203</v>
      </c>
      <c r="O1310" s="37" t="s">
        <v>197</v>
      </c>
      <c r="P1310" s="40">
        <v>0</v>
      </c>
      <c r="Q1310" s="40">
        <v>0</v>
      </c>
      <c r="R1310" s="37" t="s">
        <v>1741</v>
      </c>
      <c r="S1310" s="37"/>
    </row>
    <row r="1311" spans="1:19" x14ac:dyDescent="0.3">
      <c r="A1311" s="45">
        <v>351</v>
      </c>
      <c r="B1311" s="37" t="s">
        <v>1739</v>
      </c>
      <c r="C1311" s="37" t="s">
        <v>1721</v>
      </c>
      <c r="D1311" s="37" t="s">
        <v>39</v>
      </c>
      <c r="E1311" s="37" t="s">
        <v>56</v>
      </c>
      <c r="F1311" s="42">
        <v>45199</v>
      </c>
      <c r="G1311" s="37">
        <v>2023</v>
      </c>
      <c r="H1311" s="37" t="s">
        <v>43</v>
      </c>
      <c r="I1311" s="39" t="s">
        <v>32</v>
      </c>
      <c r="J1311" s="37">
        <v>0</v>
      </c>
      <c r="K1311" s="61">
        <v>10.29796131730267</v>
      </c>
      <c r="L1311" s="65" t="str">
        <f t="shared" ref="L1311:L1331" si="126">IFERROR(IF(OR(J1311=0,K1311=""),"",IF(E1311="Positivo",MIN(MAX(K1311/J1311,0),1.3),MIN(MAX(J1311/K1311,0),1.3))),"")</f>
        <v/>
      </c>
      <c r="M1311" s="65" t="str">
        <f t="shared" ref="M1311:M1331" si="127">IFERROR(IF(OR(J1311=0,K1311=""),"",IF(E1311="Positivo",MAX(K1311/J1311,0),MAX(J1311/K1311,0))),"")</f>
        <v/>
      </c>
      <c r="N1311" s="37" t="s">
        <v>203</v>
      </c>
      <c r="O1311" s="37" t="s">
        <v>197</v>
      </c>
      <c r="P1311" s="40">
        <v>0</v>
      </c>
      <c r="Q1311" s="40">
        <v>0</v>
      </c>
      <c r="R1311" s="37" t="s">
        <v>1742</v>
      </c>
      <c r="S1311" s="37"/>
    </row>
    <row r="1312" spans="1:19" x14ac:dyDescent="0.3">
      <c r="A1312" s="41">
        <v>351</v>
      </c>
      <c r="B1312" s="37" t="s">
        <v>1739</v>
      </c>
      <c r="C1312" s="37" t="s">
        <v>1721</v>
      </c>
      <c r="D1312" s="37" t="s">
        <v>39</v>
      </c>
      <c r="E1312" s="37" t="s">
        <v>56</v>
      </c>
      <c r="F1312" s="42">
        <v>45291</v>
      </c>
      <c r="G1312" s="37">
        <v>2023</v>
      </c>
      <c r="H1312" s="37" t="s">
        <v>27</v>
      </c>
      <c r="I1312" s="39" t="s">
        <v>32</v>
      </c>
      <c r="J1312" s="37">
        <v>0</v>
      </c>
      <c r="K1312" s="61">
        <v>3.5442828816920029</v>
      </c>
      <c r="L1312" s="65" t="str">
        <f t="shared" si="126"/>
        <v/>
      </c>
      <c r="M1312" s="65" t="str">
        <f t="shared" si="127"/>
        <v/>
      </c>
      <c r="N1312" s="37" t="s">
        <v>203</v>
      </c>
      <c r="O1312" s="37" t="s">
        <v>197</v>
      </c>
      <c r="P1312" s="40">
        <v>0</v>
      </c>
      <c r="Q1312" s="40">
        <v>0</v>
      </c>
      <c r="R1312" s="37" t="s">
        <v>1743</v>
      </c>
      <c r="S1312" s="37"/>
    </row>
    <row r="1313" spans="1:19" x14ac:dyDescent="0.3">
      <c r="A1313" s="36">
        <v>351</v>
      </c>
      <c r="B1313" s="37" t="s">
        <v>1739</v>
      </c>
      <c r="C1313" s="37" t="s">
        <v>1721</v>
      </c>
      <c r="D1313" s="37" t="s">
        <v>39</v>
      </c>
      <c r="E1313" s="37" t="s">
        <v>56</v>
      </c>
      <c r="F1313" s="42">
        <v>45382</v>
      </c>
      <c r="G1313" s="37">
        <v>2024</v>
      </c>
      <c r="H1313" s="37" t="s">
        <v>40</v>
      </c>
      <c r="I1313" s="39" t="s">
        <v>34</v>
      </c>
      <c r="J1313" s="37">
        <v>0</v>
      </c>
      <c r="K1313" s="43">
        <v>4.999240813847555</v>
      </c>
      <c r="L1313" s="65" t="str">
        <f t="shared" si="126"/>
        <v/>
      </c>
      <c r="M1313" s="65" t="str">
        <f t="shared" si="127"/>
        <v/>
      </c>
      <c r="N1313" s="37" t="s">
        <v>203</v>
      </c>
      <c r="O1313" s="37" t="s">
        <v>197</v>
      </c>
      <c r="P1313" s="40">
        <v>0</v>
      </c>
      <c r="Q1313" s="40">
        <v>0</v>
      </c>
      <c r="R1313" s="37" t="s">
        <v>1744</v>
      </c>
      <c r="S1313" s="37"/>
    </row>
    <row r="1314" spans="1:19" x14ac:dyDescent="0.3">
      <c r="A1314" s="37">
        <v>351</v>
      </c>
      <c r="B1314" s="37" t="s">
        <v>1739</v>
      </c>
      <c r="C1314" s="37" t="s">
        <v>1721</v>
      </c>
      <c r="D1314" s="37" t="s">
        <v>39</v>
      </c>
      <c r="E1314" s="37" t="s">
        <v>56</v>
      </c>
      <c r="F1314" s="42">
        <v>45473</v>
      </c>
      <c r="G1314" s="37">
        <v>2024</v>
      </c>
      <c r="H1314" s="37" t="s">
        <v>23</v>
      </c>
      <c r="I1314" s="39" t="s">
        <v>34</v>
      </c>
      <c r="J1314" s="37">
        <v>0</v>
      </c>
      <c r="K1314" s="37">
        <v>12.52996115381436</v>
      </c>
      <c r="L1314" s="65" t="str">
        <f t="shared" si="126"/>
        <v/>
      </c>
      <c r="M1314" s="65" t="str">
        <f t="shared" si="127"/>
        <v/>
      </c>
      <c r="N1314" s="37" t="s">
        <v>203</v>
      </c>
      <c r="O1314" s="37" t="s">
        <v>197</v>
      </c>
      <c r="P1314" s="40">
        <v>0</v>
      </c>
      <c r="Q1314" s="37">
        <v>1</v>
      </c>
      <c r="R1314" s="37" t="s">
        <v>1745</v>
      </c>
      <c r="S1314" s="37"/>
    </row>
    <row r="1315" spans="1:19" x14ac:dyDescent="0.3">
      <c r="A1315" s="36">
        <v>351</v>
      </c>
      <c r="B1315" s="37" t="s">
        <v>1739</v>
      </c>
      <c r="C1315" s="37" t="s">
        <v>1721</v>
      </c>
      <c r="D1315" s="37" t="s">
        <v>39</v>
      </c>
      <c r="E1315" s="37" t="s">
        <v>56</v>
      </c>
      <c r="F1315" s="42">
        <v>45565</v>
      </c>
      <c r="G1315" s="37">
        <v>2024</v>
      </c>
      <c r="H1315" s="37" t="s">
        <v>43</v>
      </c>
      <c r="I1315" s="39" t="s">
        <v>36</v>
      </c>
      <c r="J1315" s="37">
        <v>0</v>
      </c>
      <c r="K1315" s="43">
        <v>3.1795721695362609</v>
      </c>
      <c r="L1315" s="65" t="str">
        <f t="shared" si="126"/>
        <v/>
      </c>
      <c r="M1315" s="65" t="str">
        <f t="shared" si="127"/>
        <v/>
      </c>
      <c r="N1315" s="37" t="s">
        <v>203</v>
      </c>
      <c r="O1315" s="37" t="s">
        <v>197</v>
      </c>
      <c r="P1315" s="40">
        <v>0</v>
      </c>
      <c r="Q1315" s="40">
        <v>1</v>
      </c>
      <c r="R1315" s="37" t="s">
        <v>1746</v>
      </c>
      <c r="S1315" s="37"/>
    </row>
    <row r="1316" spans="1:19" x14ac:dyDescent="0.3">
      <c r="A1316" s="36">
        <v>351</v>
      </c>
      <c r="B1316" s="37" t="s">
        <v>1739</v>
      </c>
      <c r="C1316" s="37" t="s">
        <v>1721</v>
      </c>
      <c r="D1316" s="37" t="s">
        <v>39</v>
      </c>
      <c r="E1316" s="37" t="s">
        <v>56</v>
      </c>
      <c r="F1316" s="42">
        <v>45657</v>
      </c>
      <c r="G1316" s="37">
        <v>2024</v>
      </c>
      <c r="H1316" s="37" t="s">
        <v>27</v>
      </c>
      <c r="I1316" s="39" t="s">
        <v>36</v>
      </c>
      <c r="J1316" s="37">
        <v>0</v>
      </c>
      <c r="K1316" s="43">
        <v>1.497983483771846</v>
      </c>
      <c r="L1316" s="65" t="str">
        <f t="shared" si="126"/>
        <v/>
      </c>
      <c r="M1316" s="65" t="str">
        <f t="shared" si="127"/>
        <v/>
      </c>
      <c r="N1316" s="37" t="s">
        <v>203</v>
      </c>
      <c r="O1316" s="37" t="s">
        <v>197</v>
      </c>
      <c r="P1316" s="40">
        <v>0</v>
      </c>
      <c r="Q1316" s="40">
        <v>1</v>
      </c>
      <c r="R1316" s="37" t="s">
        <v>1747</v>
      </c>
      <c r="S1316" s="37"/>
    </row>
    <row r="1317" spans="1:19" x14ac:dyDescent="0.3">
      <c r="A1317" s="36">
        <v>352</v>
      </c>
      <c r="B1317" s="37" t="s">
        <v>1748</v>
      </c>
      <c r="C1317" s="37" t="s">
        <v>1721</v>
      </c>
      <c r="D1317" s="37" t="s">
        <v>39</v>
      </c>
      <c r="E1317" s="37" t="s">
        <v>56</v>
      </c>
      <c r="F1317" s="42">
        <v>45016</v>
      </c>
      <c r="G1317" s="37">
        <v>2023</v>
      </c>
      <c r="H1317" s="37" t="s">
        <v>40</v>
      </c>
      <c r="I1317" s="39" t="s">
        <v>30</v>
      </c>
      <c r="J1317" s="37">
        <v>0</v>
      </c>
      <c r="K1317" s="59">
        <v>1.0385968556480199E-2</v>
      </c>
      <c r="L1317" s="65" t="str">
        <f t="shared" si="126"/>
        <v/>
      </c>
      <c r="M1317" s="65" t="str">
        <f t="shared" si="127"/>
        <v/>
      </c>
      <c r="N1317" s="37" t="s">
        <v>25</v>
      </c>
      <c r="O1317" s="37" t="s">
        <v>25</v>
      </c>
      <c r="P1317" s="40">
        <v>0</v>
      </c>
      <c r="Q1317" s="40">
        <v>2</v>
      </c>
      <c r="R1317" s="37" t="s">
        <v>1749</v>
      </c>
      <c r="S1317" s="37"/>
    </row>
    <row r="1318" spans="1:19" x14ac:dyDescent="0.3">
      <c r="A1318" s="36">
        <v>352</v>
      </c>
      <c r="B1318" s="37" t="s">
        <v>1748</v>
      </c>
      <c r="C1318" s="37" t="s">
        <v>1721</v>
      </c>
      <c r="D1318" s="37" t="s">
        <v>39</v>
      </c>
      <c r="E1318" s="37" t="s">
        <v>56</v>
      </c>
      <c r="F1318" s="42">
        <v>45107</v>
      </c>
      <c r="G1318" s="37">
        <v>2023</v>
      </c>
      <c r="H1318" s="37" t="s">
        <v>23</v>
      </c>
      <c r="I1318" s="39" t="s">
        <v>30</v>
      </c>
      <c r="J1318" s="37">
        <v>0</v>
      </c>
      <c r="K1318" s="59">
        <v>2.7700831024930699E-2</v>
      </c>
      <c r="L1318" s="65" t="str">
        <f t="shared" si="126"/>
        <v/>
      </c>
      <c r="M1318" s="65" t="str">
        <f t="shared" si="127"/>
        <v/>
      </c>
      <c r="N1318" s="37" t="s">
        <v>25</v>
      </c>
      <c r="O1318" s="37" t="s">
        <v>25</v>
      </c>
      <c r="P1318" s="40">
        <v>0</v>
      </c>
      <c r="Q1318" s="40">
        <v>2</v>
      </c>
      <c r="R1318" s="37" t="s">
        <v>1750</v>
      </c>
      <c r="S1318" s="37"/>
    </row>
    <row r="1319" spans="1:19" x14ac:dyDescent="0.3">
      <c r="A1319" s="45">
        <v>352</v>
      </c>
      <c r="B1319" s="37" t="s">
        <v>1748</v>
      </c>
      <c r="C1319" s="37" t="s">
        <v>1721</v>
      </c>
      <c r="D1319" s="37" t="s">
        <v>39</v>
      </c>
      <c r="E1319" s="37" t="s">
        <v>56</v>
      </c>
      <c r="F1319" s="42">
        <v>45199</v>
      </c>
      <c r="G1319" s="37">
        <v>2023</v>
      </c>
      <c r="H1319" s="37" t="s">
        <v>43</v>
      </c>
      <c r="I1319" s="39" t="s">
        <v>32</v>
      </c>
      <c r="J1319" s="37">
        <v>0</v>
      </c>
      <c r="K1319" s="59">
        <v>2.5117345096623198E-2</v>
      </c>
      <c r="L1319" s="65" t="str">
        <f t="shared" si="126"/>
        <v/>
      </c>
      <c r="M1319" s="65" t="str">
        <f t="shared" si="127"/>
        <v/>
      </c>
      <c r="N1319" s="37" t="s">
        <v>25</v>
      </c>
      <c r="O1319" s="37" t="s">
        <v>25</v>
      </c>
      <c r="P1319" s="40">
        <v>0</v>
      </c>
      <c r="Q1319" s="40">
        <v>2</v>
      </c>
      <c r="R1319" s="37" t="s">
        <v>1751</v>
      </c>
      <c r="S1319" s="37"/>
    </row>
    <row r="1320" spans="1:19" x14ac:dyDescent="0.3">
      <c r="A1320" s="41">
        <v>352</v>
      </c>
      <c r="B1320" s="37" t="s">
        <v>1748</v>
      </c>
      <c r="C1320" s="37" t="s">
        <v>1721</v>
      </c>
      <c r="D1320" s="37" t="s">
        <v>39</v>
      </c>
      <c r="E1320" s="37" t="s">
        <v>56</v>
      </c>
      <c r="F1320" s="42">
        <v>45291</v>
      </c>
      <c r="G1320" s="37">
        <v>2023</v>
      </c>
      <c r="H1320" s="37" t="s">
        <v>27</v>
      </c>
      <c r="I1320" s="39" t="s">
        <v>32</v>
      </c>
      <c r="J1320" s="37">
        <v>0</v>
      </c>
      <c r="K1320" s="59">
        <v>0.28327481646983721</v>
      </c>
      <c r="L1320" s="65" t="str">
        <f t="shared" si="126"/>
        <v/>
      </c>
      <c r="M1320" s="65" t="str">
        <f t="shared" si="127"/>
        <v/>
      </c>
      <c r="N1320" s="37" t="s">
        <v>25</v>
      </c>
      <c r="O1320" s="37" t="s">
        <v>25</v>
      </c>
      <c r="P1320" s="40">
        <v>0</v>
      </c>
      <c r="Q1320" s="40">
        <v>2</v>
      </c>
      <c r="R1320" s="37" t="s">
        <v>1752</v>
      </c>
      <c r="S1320" s="37"/>
    </row>
    <row r="1321" spans="1:19" x14ac:dyDescent="0.3">
      <c r="A1321" s="36">
        <v>352</v>
      </c>
      <c r="B1321" s="37" t="s">
        <v>1748</v>
      </c>
      <c r="C1321" s="37" t="s">
        <v>1721</v>
      </c>
      <c r="D1321" s="37" t="s">
        <v>39</v>
      </c>
      <c r="E1321" s="37" t="s">
        <v>56</v>
      </c>
      <c r="F1321" s="42">
        <v>45382</v>
      </c>
      <c r="G1321" s="37">
        <v>2024</v>
      </c>
      <c r="H1321" s="37" t="s">
        <v>40</v>
      </c>
      <c r="I1321" s="39" t="s">
        <v>34</v>
      </c>
      <c r="J1321" s="37">
        <v>0</v>
      </c>
      <c r="K1321" s="43">
        <v>2.4404380586315201E-2</v>
      </c>
      <c r="L1321" s="65" t="str">
        <f t="shared" si="126"/>
        <v/>
      </c>
      <c r="M1321" s="65" t="str">
        <f t="shared" si="127"/>
        <v/>
      </c>
      <c r="N1321" s="37" t="s">
        <v>25</v>
      </c>
      <c r="O1321" s="37" t="s">
        <v>25</v>
      </c>
      <c r="P1321" s="40">
        <v>0</v>
      </c>
      <c r="Q1321" s="40">
        <v>2</v>
      </c>
      <c r="R1321" s="37" t="s">
        <v>1753</v>
      </c>
      <c r="S1321" s="37"/>
    </row>
    <row r="1322" spans="1:19" x14ac:dyDescent="0.3">
      <c r="A1322" s="37">
        <v>352</v>
      </c>
      <c r="B1322" s="37" t="s">
        <v>1748</v>
      </c>
      <c r="C1322" s="37" t="s">
        <v>1721</v>
      </c>
      <c r="D1322" s="37" t="s">
        <v>39</v>
      </c>
      <c r="E1322" s="37" t="s">
        <v>56</v>
      </c>
      <c r="F1322" s="42">
        <v>45473</v>
      </c>
      <c r="G1322" s="37">
        <v>2024</v>
      </c>
      <c r="H1322" s="37" t="s">
        <v>23</v>
      </c>
      <c r="I1322" s="39" t="s">
        <v>34</v>
      </c>
      <c r="J1322" s="37">
        <v>0</v>
      </c>
      <c r="K1322" s="37">
        <v>0.14879897966413941</v>
      </c>
      <c r="L1322" s="65" t="str">
        <f t="shared" si="126"/>
        <v/>
      </c>
      <c r="M1322" s="65" t="str">
        <f t="shared" si="127"/>
        <v/>
      </c>
      <c r="N1322" s="37" t="s">
        <v>25</v>
      </c>
      <c r="O1322" s="37" t="s">
        <v>25</v>
      </c>
      <c r="P1322" s="40">
        <v>0</v>
      </c>
      <c r="Q1322" s="37">
        <v>2</v>
      </c>
      <c r="R1322" s="37" t="s">
        <v>1754</v>
      </c>
      <c r="S1322" s="37"/>
    </row>
    <row r="1323" spans="1:19" x14ac:dyDescent="0.3">
      <c r="A1323" s="36">
        <v>352</v>
      </c>
      <c r="B1323" s="37" t="s">
        <v>1748</v>
      </c>
      <c r="C1323" s="37" t="s">
        <v>1721</v>
      </c>
      <c r="D1323" s="37" t="s">
        <v>39</v>
      </c>
      <c r="E1323" s="37" t="s">
        <v>56</v>
      </c>
      <c r="F1323" s="42">
        <v>45565</v>
      </c>
      <c r="G1323" s="37">
        <v>2024</v>
      </c>
      <c r="H1323" s="37" t="s">
        <v>43</v>
      </c>
      <c r="I1323" s="39" t="s">
        <v>36</v>
      </c>
      <c r="J1323" s="37">
        <v>0</v>
      </c>
      <c r="K1323" s="43">
        <v>9.651857499975E-4</v>
      </c>
      <c r="L1323" s="65" t="str">
        <f t="shared" si="126"/>
        <v/>
      </c>
      <c r="M1323" s="65" t="str">
        <f t="shared" si="127"/>
        <v/>
      </c>
      <c r="N1323" s="37" t="s">
        <v>25</v>
      </c>
      <c r="O1323" s="37" t="s">
        <v>25</v>
      </c>
      <c r="P1323" s="40">
        <v>0</v>
      </c>
      <c r="Q1323" s="40">
        <v>2</v>
      </c>
      <c r="R1323" s="37" t="s">
        <v>1755</v>
      </c>
      <c r="S1323" s="37"/>
    </row>
    <row r="1324" spans="1:19" x14ac:dyDescent="0.3">
      <c r="A1324" s="36">
        <v>352</v>
      </c>
      <c r="B1324" s="37" t="s">
        <v>1748</v>
      </c>
      <c r="C1324" s="37" t="s">
        <v>1721</v>
      </c>
      <c r="D1324" s="37" t="s">
        <v>39</v>
      </c>
      <c r="E1324" s="37" t="s">
        <v>56</v>
      </c>
      <c r="F1324" s="42">
        <v>45657</v>
      </c>
      <c r="G1324" s="37">
        <v>2024</v>
      </c>
      <c r="H1324" s="37" t="s">
        <v>27</v>
      </c>
      <c r="I1324" s="39" t="s">
        <v>36</v>
      </c>
      <c r="J1324" s="37">
        <v>0</v>
      </c>
      <c r="K1324" s="43">
        <v>0</v>
      </c>
      <c r="L1324" s="65" t="str">
        <f t="shared" si="126"/>
        <v/>
      </c>
      <c r="M1324" s="65" t="str">
        <f t="shared" si="127"/>
        <v/>
      </c>
      <c r="N1324" s="37" t="s">
        <v>25</v>
      </c>
      <c r="O1324" s="37" t="s">
        <v>25</v>
      </c>
      <c r="P1324" s="40">
        <v>0</v>
      </c>
      <c r="Q1324" s="40">
        <v>2</v>
      </c>
      <c r="R1324" s="37" t="s">
        <v>1756</v>
      </c>
      <c r="S1324" s="37"/>
    </row>
    <row r="1325" spans="1:19" x14ac:dyDescent="0.3">
      <c r="A1325" s="45">
        <v>353</v>
      </c>
      <c r="B1325" s="37" t="s">
        <v>1757</v>
      </c>
      <c r="C1325" s="37" t="s">
        <v>1758</v>
      </c>
      <c r="D1325" s="37" t="s">
        <v>21</v>
      </c>
      <c r="E1325" s="37" t="s">
        <v>22</v>
      </c>
      <c r="F1325" s="42">
        <v>45107</v>
      </c>
      <c r="G1325" s="37">
        <v>2023</v>
      </c>
      <c r="H1325" s="37" t="s">
        <v>23</v>
      </c>
      <c r="I1325" s="39" t="s">
        <v>30</v>
      </c>
      <c r="J1325" s="37">
        <v>35</v>
      </c>
      <c r="K1325" s="56">
        <v>40.384615384615003</v>
      </c>
      <c r="L1325" s="65">
        <f t="shared" si="126"/>
        <v>1.1538461538461429</v>
      </c>
      <c r="M1325" s="65">
        <f t="shared" si="127"/>
        <v>1.1538461538461429</v>
      </c>
      <c r="N1325" s="37" t="s">
        <v>197</v>
      </c>
      <c r="O1325" s="37" t="s">
        <v>197</v>
      </c>
      <c r="P1325" s="40">
        <v>0</v>
      </c>
      <c r="Q1325" s="40">
        <v>0</v>
      </c>
      <c r="R1325" s="37" t="s">
        <v>1759</v>
      </c>
      <c r="S1325" s="37"/>
    </row>
    <row r="1326" spans="1:19" x14ac:dyDescent="0.3">
      <c r="A1326" s="41">
        <v>353</v>
      </c>
      <c r="B1326" s="37" t="s">
        <v>1757</v>
      </c>
      <c r="C1326" s="37" t="s">
        <v>1758</v>
      </c>
      <c r="D1326" s="37" t="s">
        <v>21</v>
      </c>
      <c r="E1326" s="37" t="s">
        <v>22</v>
      </c>
      <c r="F1326" s="42">
        <v>45291</v>
      </c>
      <c r="G1326" s="37">
        <v>2023</v>
      </c>
      <c r="H1326" s="37" t="s">
        <v>27</v>
      </c>
      <c r="I1326" s="39" t="s">
        <v>32</v>
      </c>
      <c r="J1326" s="37">
        <v>35</v>
      </c>
      <c r="K1326" s="56">
        <v>40.384615384615401</v>
      </c>
      <c r="L1326" s="65">
        <f t="shared" si="126"/>
        <v>1.1538461538461544</v>
      </c>
      <c r="M1326" s="65">
        <f t="shared" si="127"/>
        <v>1.1538461538461544</v>
      </c>
      <c r="N1326" s="37" t="s">
        <v>197</v>
      </c>
      <c r="O1326" s="37" t="s">
        <v>197</v>
      </c>
      <c r="P1326" s="40">
        <v>0</v>
      </c>
      <c r="Q1326" s="40">
        <v>0</v>
      </c>
      <c r="R1326" s="37" t="s">
        <v>1760</v>
      </c>
      <c r="S1326" s="37"/>
    </row>
    <row r="1327" spans="1:19" x14ac:dyDescent="0.3">
      <c r="A1327" s="36">
        <v>354</v>
      </c>
      <c r="B1327" s="37" t="s">
        <v>1761</v>
      </c>
      <c r="C1327" s="37" t="s">
        <v>1758</v>
      </c>
      <c r="D1327" s="37" t="s">
        <v>21</v>
      </c>
      <c r="E1327" s="37" t="s">
        <v>22</v>
      </c>
      <c r="F1327" s="38">
        <v>45107</v>
      </c>
      <c r="G1327" s="37">
        <v>2023</v>
      </c>
      <c r="H1327" s="37" t="s">
        <v>23</v>
      </c>
      <c r="I1327" s="39" t="s">
        <v>30</v>
      </c>
      <c r="J1327" s="37">
        <v>10</v>
      </c>
      <c r="K1327" s="56">
        <v>5.07</v>
      </c>
      <c r="L1327" s="65">
        <f t="shared" si="126"/>
        <v>0.50700000000000001</v>
      </c>
      <c r="M1327" s="65">
        <f t="shared" si="127"/>
        <v>0.50700000000000001</v>
      </c>
      <c r="N1327" s="37" t="s">
        <v>197</v>
      </c>
      <c r="O1327" s="37" t="s">
        <v>197</v>
      </c>
      <c r="P1327" s="40">
        <v>2</v>
      </c>
      <c r="Q1327" s="40">
        <v>2</v>
      </c>
      <c r="R1327" s="37" t="s">
        <v>1762</v>
      </c>
      <c r="S1327" s="37"/>
    </row>
    <row r="1328" spans="1:19" x14ac:dyDescent="0.3">
      <c r="A1328" s="41">
        <v>354</v>
      </c>
      <c r="B1328" s="37" t="s">
        <v>1761</v>
      </c>
      <c r="C1328" s="37" t="s">
        <v>1758</v>
      </c>
      <c r="D1328" s="37" t="s">
        <v>21</v>
      </c>
      <c r="E1328" s="37" t="s">
        <v>22</v>
      </c>
      <c r="F1328" s="42">
        <v>45291</v>
      </c>
      <c r="G1328" s="37">
        <v>2023</v>
      </c>
      <c r="H1328" s="37" t="s">
        <v>27</v>
      </c>
      <c r="I1328" s="39" t="s">
        <v>32</v>
      </c>
      <c r="J1328" s="37">
        <v>10</v>
      </c>
      <c r="K1328" s="56">
        <v>31.77</v>
      </c>
      <c r="L1328" s="65">
        <f t="shared" si="126"/>
        <v>1.3</v>
      </c>
      <c r="M1328" s="65">
        <f t="shared" si="127"/>
        <v>3.177</v>
      </c>
      <c r="N1328" s="37" t="s">
        <v>197</v>
      </c>
      <c r="O1328" s="37" t="s">
        <v>197</v>
      </c>
      <c r="P1328" s="40">
        <v>0</v>
      </c>
      <c r="Q1328" s="40">
        <v>0</v>
      </c>
      <c r="R1328" s="37" t="s">
        <v>1763</v>
      </c>
      <c r="S1328" s="37"/>
    </row>
    <row r="1329" spans="1:19" x14ac:dyDescent="0.3">
      <c r="A1329" s="37">
        <v>355</v>
      </c>
      <c r="B1329" s="37" t="s">
        <v>1764</v>
      </c>
      <c r="C1329" s="37" t="s">
        <v>1765</v>
      </c>
      <c r="D1329" s="37" t="s">
        <v>139</v>
      </c>
      <c r="E1329" s="37" t="s">
        <v>22</v>
      </c>
      <c r="F1329" s="42">
        <v>45107</v>
      </c>
      <c r="G1329" s="37">
        <v>2023</v>
      </c>
      <c r="H1329" s="37" t="s">
        <v>23</v>
      </c>
      <c r="I1329" s="37" t="s">
        <v>30</v>
      </c>
      <c r="J1329" s="37">
        <v>1</v>
      </c>
      <c r="K1329" s="37">
        <v>0.31754780991781001</v>
      </c>
      <c r="L1329" s="65">
        <f t="shared" si="126"/>
        <v>0.31754780991781001</v>
      </c>
      <c r="M1329" s="65">
        <f t="shared" si="127"/>
        <v>0.31754780991781001</v>
      </c>
      <c r="N1329" s="37" t="s">
        <v>203</v>
      </c>
      <c r="O1329" s="37" t="s">
        <v>197</v>
      </c>
      <c r="P1329" s="37">
        <v>1</v>
      </c>
      <c r="Q1329" s="37">
        <v>1</v>
      </c>
      <c r="R1329" s="37" t="s">
        <v>1766</v>
      </c>
      <c r="S1329" s="37"/>
    </row>
    <row r="1330" spans="1:19" x14ac:dyDescent="0.3">
      <c r="A1330" s="41">
        <v>355</v>
      </c>
      <c r="B1330" s="37" t="s">
        <v>1764</v>
      </c>
      <c r="C1330" s="37" t="s">
        <v>1765</v>
      </c>
      <c r="D1330" s="37" t="s">
        <v>139</v>
      </c>
      <c r="E1330" s="37" t="s">
        <v>22</v>
      </c>
      <c r="F1330" s="42">
        <v>45291</v>
      </c>
      <c r="G1330" s="37">
        <v>2023</v>
      </c>
      <c r="H1330" s="37" t="s">
        <v>27</v>
      </c>
      <c r="I1330" s="39" t="s">
        <v>32</v>
      </c>
      <c r="J1330" s="60">
        <v>1</v>
      </c>
      <c r="K1330" s="56">
        <v>1.64916004403234</v>
      </c>
      <c r="L1330" s="65">
        <f t="shared" si="126"/>
        <v>1.3</v>
      </c>
      <c r="M1330" s="65">
        <f t="shared" si="127"/>
        <v>1.64916004403234</v>
      </c>
      <c r="N1330" s="37" t="s">
        <v>197</v>
      </c>
      <c r="O1330" s="37" t="s">
        <v>197</v>
      </c>
      <c r="P1330" s="40">
        <v>0</v>
      </c>
      <c r="Q1330" s="40">
        <v>0</v>
      </c>
      <c r="R1330" s="37" t="s">
        <v>1767</v>
      </c>
      <c r="S1330" s="37"/>
    </row>
    <row r="1331" spans="1:19" x14ac:dyDescent="0.3">
      <c r="A1331" s="36">
        <v>355</v>
      </c>
      <c r="B1331" s="37" t="s">
        <v>1764</v>
      </c>
      <c r="C1331" s="37" t="s">
        <v>1765</v>
      </c>
      <c r="D1331" s="37" t="s">
        <v>139</v>
      </c>
      <c r="E1331" s="37" t="s">
        <v>22</v>
      </c>
      <c r="F1331" s="42">
        <v>45657</v>
      </c>
      <c r="G1331" s="37">
        <v>2024</v>
      </c>
      <c r="H1331" s="37" t="s">
        <v>27</v>
      </c>
      <c r="I1331" s="39" t="s">
        <v>36</v>
      </c>
      <c r="J1331" s="37">
        <v>1.7</v>
      </c>
      <c r="K1331" s="43">
        <v>1.69</v>
      </c>
      <c r="L1331" s="65">
        <f t="shared" si="126"/>
        <v>0.99411764705882355</v>
      </c>
      <c r="M1331" s="65">
        <f t="shared" si="127"/>
        <v>0.99411764705882355</v>
      </c>
      <c r="N1331" s="37"/>
      <c r="O1331" s="37"/>
      <c r="P1331" s="40">
        <v>0</v>
      </c>
      <c r="Q1331" s="40">
        <v>0</v>
      </c>
      <c r="R1331" s="37" t="s">
        <v>1768</v>
      </c>
      <c r="S1331" s="37"/>
    </row>
    <row r="1332" spans="1:19" x14ac:dyDescent="0.3">
      <c r="A1332" s="36">
        <v>356</v>
      </c>
      <c r="B1332" s="37" t="s">
        <v>1769</v>
      </c>
      <c r="C1332" s="37" t="s">
        <v>1765</v>
      </c>
      <c r="D1332" s="37" t="s">
        <v>21</v>
      </c>
      <c r="E1332" s="37" t="s">
        <v>56</v>
      </c>
      <c r="F1332" s="38">
        <v>45107</v>
      </c>
      <c r="G1332" s="37">
        <v>2023</v>
      </c>
      <c r="H1332" s="37" t="s">
        <v>23</v>
      </c>
      <c r="I1332" s="39" t="s">
        <v>30</v>
      </c>
      <c r="J1332" s="60">
        <v>60</v>
      </c>
      <c r="K1332" s="56">
        <v>49.213961407602</v>
      </c>
      <c r="L1332" s="65">
        <f t="shared" ref="L1332:L1335" si="128">IFERROR(IF(OR(J1332=0,K1332=""),"",IF(E1332="Positivo",MIN(MAX(K1332/J1332,0),1.3),MIN(MAX(J1332/K1332,0),1.3))),"")</f>
        <v>1.219166234212796</v>
      </c>
      <c r="M1332" s="65">
        <f t="shared" ref="M1332:M1335" si="129">IFERROR(IF(OR(J1332=0,K1332=""),"",IF(E1332="Positivo",MAX(K1332/J1332,0),MAX(J1332/K1332,0))),"")</f>
        <v>1.219166234212796</v>
      </c>
      <c r="N1332" s="60" t="s">
        <v>25</v>
      </c>
      <c r="O1332" s="60" t="s">
        <v>25</v>
      </c>
      <c r="P1332" s="40">
        <v>0</v>
      </c>
      <c r="Q1332" s="40">
        <v>0</v>
      </c>
      <c r="R1332" s="37" t="s">
        <v>1770</v>
      </c>
      <c r="S1332" s="37"/>
    </row>
    <row r="1333" spans="1:19" x14ac:dyDescent="0.3">
      <c r="A1333" s="41">
        <v>356</v>
      </c>
      <c r="B1333" s="37" t="s">
        <v>1769</v>
      </c>
      <c r="C1333" s="37" t="s">
        <v>1765</v>
      </c>
      <c r="D1333" s="37" t="s">
        <v>21</v>
      </c>
      <c r="E1333" s="37" t="s">
        <v>56</v>
      </c>
      <c r="F1333" s="42">
        <v>45291</v>
      </c>
      <c r="G1333" s="37">
        <v>2023</v>
      </c>
      <c r="H1333" s="37" t="s">
        <v>27</v>
      </c>
      <c r="I1333" s="39" t="s">
        <v>32</v>
      </c>
      <c r="J1333" s="37">
        <v>60</v>
      </c>
      <c r="K1333" s="56">
        <v>61.54</v>
      </c>
      <c r="L1333" s="65">
        <f t="shared" si="128"/>
        <v>0.9749756256093598</v>
      </c>
      <c r="M1333" s="65">
        <f t="shared" si="129"/>
        <v>0.9749756256093598</v>
      </c>
      <c r="N1333" s="60" t="s">
        <v>25</v>
      </c>
      <c r="O1333" s="60" t="s">
        <v>25</v>
      </c>
      <c r="P1333" s="40">
        <v>0</v>
      </c>
      <c r="Q1333" s="40">
        <v>0</v>
      </c>
      <c r="R1333" s="37" t="s">
        <v>1771</v>
      </c>
      <c r="S1333" s="37"/>
    </row>
    <row r="1334" spans="1:19" x14ac:dyDescent="0.3">
      <c r="A1334" s="37">
        <v>356</v>
      </c>
      <c r="B1334" s="37" t="s">
        <v>1769</v>
      </c>
      <c r="C1334" s="37" t="s">
        <v>1765</v>
      </c>
      <c r="D1334" s="37" t="s">
        <v>21</v>
      </c>
      <c r="E1334" s="37" t="s">
        <v>56</v>
      </c>
      <c r="F1334" s="42">
        <v>45473</v>
      </c>
      <c r="G1334" s="37">
        <v>2024</v>
      </c>
      <c r="H1334" s="37" t="s">
        <v>23</v>
      </c>
      <c r="I1334" s="39" t="s">
        <v>34</v>
      </c>
      <c r="J1334" s="37">
        <v>60</v>
      </c>
      <c r="K1334" s="37">
        <v>54.08</v>
      </c>
      <c r="L1334" s="65">
        <f t="shared" si="128"/>
        <v>1.1094674556213018</v>
      </c>
      <c r="M1334" s="65">
        <f t="shared" si="129"/>
        <v>1.1094674556213018</v>
      </c>
      <c r="N1334" s="60" t="s">
        <v>25</v>
      </c>
      <c r="O1334" s="60" t="s">
        <v>25</v>
      </c>
      <c r="P1334" s="37">
        <v>1</v>
      </c>
      <c r="Q1334" s="37">
        <v>1</v>
      </c>
      <c r="R1334" s="37" t="s">
        <v>1772</v>
      </c>
      <c r="S1334" s="37"/>
    </row>
    <row r="1335" spans="1:19" x14ac:dyDescent="0.3">
      <c r="A1335" s="36">
        <v>356</v>
      </c>
      <c r="B1335" s="37" t="s">
        <v>1769</v>
      </c>
      <c r="C1335" s="37" t="s">
        <v>1765</v>
      </c>
      <c r="D1335" s="37" t="s">
        <v>21</v>
      </c>
      <c r="E1335" s="37" t="s">
        <v>56</v>
      </c>
      <c r="F1335" s="42">
        <v>45657</v>
      </c>
      <c r="G1335" s="37">
        <v>2024</v>
      </c>
      <c r="H1335" s="37" t="s">
        <v>27</v>
      </c>
      <c r="I1335" s="39" t="s">
        <v>36</v>
      </c>
      <c r="J1335" s="37">
        <v>60</v>
      </c>
      <c r="K1335" s="43">
        <v>65.55</v>
      </c>
      <c r="L1335" s="65">
        <f t="shared" si="128"/>
        <v>0.91533180778032042</v>
      </c>
      <c r="M1335" s="65">
        <f t="shared" si="129"/>
        <v>0.91533180778032042</v>
      </c>
      <c r="N1335" s="60" t="s">
        <v>25</v>
      </c>
      <c r="O1335" s="60" t="s">
        <v>25</v>
      </c>
      <c r="P1335" s="40">
        <v>1</v>
      </c>
      <c r="Q1335" s="40">
        <v>1</v>
      </c>
      <c r="R1335" s="37" t="s">
        <v>1773</v>
      </c>
      <c r="S1335" s="37"/>
    </row>
    <row r="1336" spans="1:19" x14ac:dyDescent="0.3">
      <c r="A1336" s="36">
        <v>357</v>
      </c>
      <c r="B1336" s="37" t="s">
        <v>1774</v>
      </c>
      <c r="C1336" s="37" t="s">
        <v>1765</v>
      </c>
      <c r="D1336" s="37" t="s">
        <v>21</v>
      </c>
      <c r="E1336" s="37" t="s">
        <v>22</v>
      </c>
      <c r="F1336" s="38">
        <v>45107</v>
      </c>
      <c r="G1336" s="37">
        <v>2023</v>
      </c>
      <c r="H1336" s="37" t="s">
        <v>23</v>
      </c>
      <c r="I1336" s="39" t="s">
        <v>30</v>
      </c>
      <c r="J1336" s="37"/>
      <c r="K1336" s="56">
        <v>3.0055354363175999</v>
      </c>
      <c r="L1336" s="46"/>
      <c r="M1336" s="65"/>
      <c r="N1336" s="37" t="s">
        <v>495</v>
      </c>
      <c r="O1336" s="65" t="s">
        <v>197</v>
      </c>
      <c r="P1336" s="40">
        <v>2</v>
      </c>
      <c r="Q1336" s="40">
        <v>2</v>
      </c>
      <c r="R1336" s="37" t="s">
        <v>1775</v>
      </c>
      <c r="S1336" s="37"/>
    </row>
    <row r="1337" spans="1:19" x14ac:dyDescent="0.3">
      <c r="A1337" s="41">
        <v>357</v>
      </c>
      <c r="B1337" s="37" t="s">
        <v>1774</v>
      </c>
      <c r="C1337" s="37" t="s">
        <v>1765</v>
      </c>
      <c r="D1337" s="37" t="s">
        <v>21</v>
      </c>
      <c r="E1337" s="37" t="s">
        <v>22</v>
      </c>
      <c r="F1337" s="42">
        <v>45291</v>
      </c>
      <c r="G1337" s="37">
        <v>2023</v>
      </c>
      <c r="H1337" s="37" t="s">
        <v>27</v>
      </c>
      <c r="I1337" s="39" t="s">
        <v>32</v>
      </c>
      <c r="J1337" s="37"/>
      <c r="K1337" s="56">
        <v>4.45</v>
      </c>
      <c r="L1337" s="46"/>
      <c r="M1337" s="65"/>
      <c r="N1337" s="37" t="s">
        <v>495</v>
      </c>
      <c r="O1337" s="65" t="s">
        <v>197</v>
      </c>
      <c r="P1337" s="40">
        <v>0</v>
      </c>
      <c r="Q1337" s="40">
        <v>0</v>
      </c>
      <c r="R1337" s="37" t="s">
        <v>1776</v>
      </c>
      <c r="S1337" s="37"/>
    </row>
    <row r="1338" spans="1:19" x14ac:dyDescent="0.3">
      <c r="A1338" s="37">
        <v>357</v>
      </c>
      <c r="B1338" s="37" t="s">
        <v>1774</v>
      </c>
      <c r="C1338" s="37" t="s">
        <v>1765</v>
      </c>
      <c r="D1338" s="37" t="s">
        <v>21</v>
      </c>
      <c r="E1338" s="37" t="s">
        <v>22</v>
      </c>
      <c r="F1338" s="42">
        <v>45473</v>
      </c>
      <c r="G1338" s="37">
        <v>2024</v>
      </c>
      <c r="H1338" s="37" t="s">
        <v>23</v>
      </c>
      <c r="I1338" s="39" t="s">
        <v>34</v>
      </c>
      <c r="J1338" s="37"/>
      <c r="K1338" s="37">
        <v>3.87</v>
      </c>
      <c r="L1338" s="65"/>
      <c r="M1338" s="65"/>
      <c r="N1338" s="37" t="s">
        <v>495</v>
      </c>
      <c r="O1338" s="65" t="s">
        <v>197</v>
      </c>
      <c r="P1338" s="37">
        <v>2</v>
      </c>
      <c r="Q1338" s="37">
        <v>2</v>
      </c>
      <c r="R1338" s="37" t="s">
        <v>1777</v>
      </c>
      <c r="S1338" s="37"/>
    </row>
    <row r="1339" spans="1:19" x14ac:dyDescent="0.3">
      <c r="A1339" s="36">
        <v>357</v>
      </c>
      <c r="B1339" s="37" t="s">
        <v>1774</v>
      </c>
      <c r="C1339" s="37" t="s">
        <v>1765</v>
      </c>
      <c r="D1339" s="37" t="s">
        <v>21</v>
      </c>
      <c r="E1339" s="37" t="s">
        <v>22</v>
      </c>
      <c r="F1339" s="42">
        <v>45657</v>
      </c>
      <c r="G1339" s="37">
        <v>2024</v>
      </c>
      <c r="H1339" s="37" t="s">
        <v>27</v>
      </c>
      <c r="I1339" s="39" t="s">
        <v>36</v>
      </c>
      <c r="J1339" s="37"/>
      <c r="K1339" s="43">
        <v>0.51</v>
      </c>
      <c r="L1339" s="65"/>
      <c r="M1339" s="65"/>
      <c r="N1339" s="37" t="s">
        <v>495</v>
      </c>
      <c r="O1339" s="65" t="s">
        <v>197</v>
      </c>
      <c r="P1339" s="40">
        <v>2</v>
      </c>
      <c r="Q1339" s="40">
        <v>2</v>
      </c>
      <c r="R1339" s="37" t="s">
        <v>1778</v>
      </c>
      <c r="S1339" s="37"/>
    </row>
    <row r="1340" spans="1:19" x14ac:dyDescent="0.3">
      <c r="A1340" s="36">
        <v>358</v>
      </c>
      <c r="B1340" s="37" t="s">
        <v>1780</v>
      </c>
      <c r="C1340" s="37" t="s">
        <v>1781</v>
      </c>
      <c r="D1340" s="37" t="s">
        <v>21</v>
      </c>
      <c r="E1340" s="37" t="s">
        <v>22</v>
      </c>
      <c r="F1340" s="38">
        <v>45107</v>
      </c>
      <c r="G1340" s="37">
        <v>2023</v>
      </c>
      <c r="H1340" s="37" t="s">
        <v>23</v>
      </c>
      <c r="I1340" s="39" t="s">
        <v>30</v>
      </c>
      <c r="J1340" s="37">
        <v>87</v>
      </c>
      <c r="K1340" s="56">
        <v>86.984536082473994</v>
      </c>
      <c r="L1340" s="65">
        <f t="shared" ref="L1340:L1348" si="130">IFERROR(IF(OR(J1340=0,K1340=""),"",IF(E1340="Positivo",MIN(MAX(K1340/J1340,0),1.3),MIN(MAX(J1340/K1340,0),1.3))),"")</f>
        <v>0.99982225382154011</v>
      </c>
      <c r="M1340" s="65">
        <f t="shared" ref="M1340:M1348" si="131">IFERROR(IF(OR(J1340=0,K1340=""),"",IF(E1340="Positivo",MAX(K1340/J1340,0),MAX(J1340/K1340,0))),"")</f>
        <v>0.99982225382154011</v>
      </c>
      <c r="N1340" s="37" t="s">
        <v>25</v>
      </c>
      <c r="O1340" s="37" t="s">
        <v>25</v>
      </c>
      <c r="P1340" s="40">
        <v>0</v>
      </c>
      <c r="Q1340" s="40">
        <v>0</v>
      </c>
      <c r="R1340" s="37" t="s">
        <v>1782</v>
      </c>
      <c r="S1340" s="37"/>
    </row>
    <row r="1341" spans="1:19" x14ac:dyDescent="0.3">
      <c r="A1341" s="41">
        <v>358</v>
      </c>
      <c r="B1341" s="37" t="s">
        <v>1780</v>
      </c>
      <c r="C1341" s="37" t="s">
        <v>1781</v>
      </c>
      <c r="D1341" s="37" t="s">
        <v>21</v>
      </c>
      <c r="E1341" s="37" t="s">
        <v>22</v>
      </c>
      <c r="F1341" s="42">
        <v>45291</v>
      </c>
      <c r="G1341" s="37">
        <v>2023</v>
      </c>
      <c r="H1341" s="37" t="s">
        <v>27</v>
      </c>
      <c r="I1341" s="39" t="s">
        <v>32</v>
      </c>
      <c r="J1341" s="37">
        <v>87</v>
      </c>
      <c r="K1341" s="56">
        <v>95</v>
      </c>
      <c r="L1341" s="65">
        <f t="shared" si="130"/>
        <v>1.0919540229885059</v>
      </c>
      <c r="M1341" s="65">
        <f t="shared" si="131"/>
        <v>1.0919540229885059</v>
      </c>
      <c r="N1341" s="37" t="s">
        <v>25</v>
      </c>
      <c r="O1341" s="37" t="s">
        <v>25</v>
      </c>
      <c r="P1341" s="40">
        <v>0</v>
      </c>
      <c r="Q1341" s="40">
        <v>0</v>
      </c>
      <c r="R1341" s="37" t="s">
        <v>1783</v>
      </c>
      <c r="S1341" s="37"/>
    </row>
    <row r="1342" spans="1:19" x14ac:dyDescent="0.3">
      <c r="A1342" s="37">
        <v>358</v>
      </c>
      <c r="B1342" s="37" t="s">
        <v>1780</v>
      </c>
      <c r="C1342" s="37" t="s">
        <v>1781</v>
      </c>
      <c r="D1342" s="37" t="s">
        <v>21</v>
      </c>
      <c r="E1342" s="37" t="s">
        <v>22</v>
      </c>
      <c r="F1342" s="42">
        <v>45473</v>
      </c>
      <c r="G1342" s="37">
        <v>2024</v>
      </c>
      <c r="H1342" s="37" t="s">
        <v>23</v>
      </c>
      <c r="I1342" s="39" t="s">
        <v>34</v>
      </c>
      <c r="J1342" s="37">
        <v>87</v>
      </c>
      <c r="K1342" s="37">
        <v>97.99</v>
      </c>
      <c r="L1342" s="65">
        <f t="shared" si="130"/>
        <v>1.1263218390804597</v>
      </c>
      <c r="M1342" s="65">
        <f t="shared" si="131"/>
        <v>1.1263218390804597</v>
      </c>
      <c r="N1342" s="37" t="s">
        <v>25</v>
      </c>
      <c r="O1342" s="37" t="s">
        <v>25</v>
      </c>
      <c r="P1342" s="37">
        <v>0</v>
      </c>
      <c r="Q1342" s="37">
        <v>0</v>
      </c>
      <c r="R1342" s="37" t="s">
        <v>1784</v>
      </c>
      <c r="S1342" s="37"/>
    </row>
    <row r="1343" spans="1:19" x14ac:dyDescent="0.3">
      <c r="A1343" s="36">
        <v>358</v>
      </c>
      <c r="B1343" s="37" t="s">
        <v>1780</v>
      </c>
      <c r="C1343" s="37" t="s">
        <v>1781</v>
      </c>
      <c r="D1343" s="37" t="s">
        <v>21</v>
      </c>
      <c r="E1343" s="37" t="s">
        <v>22</v>
      </c>
      <c r="F1343" s="42">
        <v>45657</v>
      </c>
      <c r="G1343" s="37">
        <v>2024</v>
      </c>
      <c r="H1343" s="37" t="s">
        <v>27</v>
      </c>
      <c r="I1343" s="39" t="s">
        <v>36</v>
      </c>
      <c r="J1343" s="37">
        <v>87</v>
      </c>
      <c r="K1343" s="43">
        <v>100</v>
      </c>
      <c r="L1343" s="65">
        <f t="shared" si="130"/>
        <v>1.1494252873563218</v>
      </c>
      <c r="M1343" s="65">
        <f t="shared" si="131"/>
        <v>1.1494252873563218</v>
      </c>
      <c r="N1343" s="37" t="s">
        <v>25</v>
      </c>
      <c r="O1343" s="37" t="s">
        <v>25</v>
      </c>
      <c r="P1343" s="40">
        <v>0</v>
      </c>
      <c r="Q1343" s="40">
        <v>0</v>
      </c>
      <c r="R1343" s="37" t="s">
        <v>1785</v>
      </c>
      <c r="S1343" s="37"/>
    </row>
    <row r="1344" spans="1:19" x14ac:dyDescent="0.3">
      <c r="A1344" s="37">
        <v>359</v>
      </c>
      <c r="B1344" s="37" t="s">
        <v>1787</v>
      </c>
      <c r="C1344" s="37" t="s">
        <v>1376</v>
      </c>
      <c r="D1344" s="37" t="s">
        <v>21</v>
      </c>
      <c r="E1344" s="37" t="s">
        <v>22</v>
      </c>
      <c r="F1344" s="42">
        <v>45473</v>
      </c>
      <c r="G1344" s="37">
        <v>2024</v>
      </c>
      <c r="H1344" s="37" t="s">
        <v>23</v>
      </c>
      <c r="I1344" s="37" t="s">
        <v>34</v>
      </c>
      <c r="J1344" s="37">
        <v>1</v>
      </c>
      <c r="K1344" s="37">
        <v>0</v>
      </c>
      <c r="L1344" s="65">
        <f t="shared" si="130"/>
        <v>0</v>
      </c>
      <c r="M1344" s="65">
        <f t="shared" si="131"/>
        <v>0</v>
      </c>
      <c r="N1344" s="37" t="s">
        <v>25</v>
      </c>
      <c r="O1344" s="37" t="s">
        <v>25</v>
      </c>
      <c r="P1344" s="37">
        <v>0</v>
      </c>
      <c r="Q1344" s="37">
        <v>0</v>
      </c>
      <c r="R1344" s="37" t="s">
        <v>1788</v>
      </c>
      <c r="S1344" s="37"/>
    </row>
    <row r="1345" spans="1:19" x14ac:dyDescent="0.3">
      <c r="A1345" s="36">
        <v>359</v>
      </c>
      <c r="B1345" s="37" t="s">
        <v>1789</v>
      </c>
      <c r="C1345" s="37" t="s">
        <v>1376</v>
      </c>
      <c r="D1345" s="37" t="s">
        <v>21</v>
      </c>
      <c r="E1345" s="37" t="s">
        <v>22</v>
      </c>
      <c r="F1345" s="42">
        <v>45657</v>
      </c>
      <c r="G1345" s="37">
        <v>2024</v>
      </c>
      <c r="H1345" s="37" t="s">
        <v>27</v>
      </c>
      <c r="I1345" s="39" t="s">
        <v>36</v>
      </c>
      <c r="J1345" s="37">
        <v>80</v>
      </c>
      <c r="K1345" s="43">
        <v>86</v>
      </c>
      <c r="L1345" s="65">
        <f t="shared" si="130"/>
        <v>1.075</v>
      </c>
      <c r="M1345" s="65">
        <f t="shared" si="131"/>
        <v>1.075</v>
      </c>
      <c r="N1345" s="37" t="s">
        <v>25</v>
      </c>
      <c r="O1345" s="37" t="s">
        <v>25</v>
      </c>
      <c r="P1345" s="40">
        <v>0</v>
      </c>
      <c r="Q1345" s="40">
        <v>0</v>
      </c>
      <c r="R1345" s="37" t="s">
        <v>1790</v>
      </c>
      <c r="S1345" s="37"/>
    </row>
    <row r="1346" spans="1:19" x14ac:dyDescent="0.3">
      <c r="A1346" s="36">
        <v>360</v>
      </c>
      <c r="B1346" s="37" t="s">
        <v>1791</v>
      </c>
      <c r="C1346" s="37" t="s">
        <v>1792</v>
      </c>
      <c r="D1346" s="37" t="s">
        <v>21</v>
      </c>
      <c r="E1346" s="37" t="s">
        <v>22</v>
      </c>
      <c r="F1346" s="38">
        <v>45107</v>
      </c>
      <c r="G1346" s="37">
        <v>2023</v>
      </c>
      <c r="H1346" s="37" t="s">
        <v>23</v>
      </c>
      <c r="I1346" s="39" t="s">
        <v>30</v>
      </c>
      <c r="J1346" s="37">
        <v>0</v>
      </c>
      <c r="K1346" s="56">
        <v>0</v>
      </c>
      <c r="L1346" s="65" t="str">
        <f t="shared" si="130"/>
        <v/>
      </c>
      <c r="M1346" s="65" t="str">
        <f t="shared" si="131"/>
        <v/>
      </c>
      <c r="N1346" s="37"/>
      <c r="O1346" s="37"/>
      <c r="P1346" s="40">
        <v>0</v>
      </c>
      <c r="Q1346" s="40">
        <v>0</v>
      </c>
      <c r="R1346" s="37" t="s">
        <v>1793</v>
      </c>
      <c r="S1346" s="37"/>
    </row>
    <row r="1347" spans="1:19" x14ac:dyDescent="0.3">
      <c r="A1347" s="41">
        <v>360</v>
      </c>
      <c r="B1347" s="37" t="s">
        <v>1791</v>
      </c>
      <c r="C1347" s="37" t="s">
        <v>1376</v>
      </c>
      <c r="D1347" s="37" t="s">
        <v>21</v>
      </c>
      <c r="E1347" s="37" t="s">
        <v>22</v>
      </c>
      <c r="F1347" s="42">
        <v>45291</v>
      </c>
      <c r="G1347" s="37">
        <v>2023</v>
      </c>
      <c r="H1347" s="37" t="s">
        <v>27</v>
      </c>
      <c r="I1347" s="39" t="s">
        <v>32</v>
      </c>
      <c r="J1347" s="37">
        <v>0</v>
      </c>
      <c r="K1347" s="56">
        <v>0</v>
      </c>
      <c r="L1347" s="65" t="str">
        <f t="shared" si="130"/>
        <v/>
      </c>
      <c r="M1347" s="65" t="str">
        <f t="shared" si="131"/>
        <v/>
      </c>
      <c r="N1347" s="37"/>
      <c r="O1347" s="37"/>
      <c r="P1347" s="40">
        <v>0</v>
      </c>
      <c r="Q1347" s="40">
        <v>0</v>
      </c>
      <c r="R1347" s="37" t="s">
        <v>1794</v>
      </c>
      <c r="S1347" s="37"/>
    </row>
    <row r="1348" spans="1:19" x14ac:dyDescent="0.3">
      <c r="A1348" s="41">
        <v>361</v>
      </c>
      <c r="B1348" s="37" t="s">
        <v>1795</v>
      </c>
      <c r="C1348" s="37" t="s">
        <v>1796</v>
      </c>
      <c r="D1348" s="37" t="s">
        <v>139</v>
      </c>
      <c r="E1348" s="37" t="s">
        <v>22</v>
      </c>
      <c r="F1348" s="42">
        <v>45291</v>
      </c>
      <c r="G1348" s="37">
        <v>2023</v>
      </c>
      <c r="H1348" s="37" t="s">
        <v>27</v>
      </c>
      <c r="I1348" s="39" t="s">
        <v>32</v>
      </c>
      <c r="J1348" s="37">
        <v>4.5</v>
      </c>
      <c r="K1348" s="56">
        <v>4.5599999999999996</v>
      </c>
      <c r="L1348" s="65">
        <f t="shared" si="130"/>
        <v>1.0133333333333332</v>
      </c>
      <c r="M1348" s="65">
        <f t="shared" si="131"/>
        <v>1.0133333333333332</v>
      </c>
      <c r="N1348" s="37"/>
      <c r="O1348" s="37"/>
      <c r="P1348" s="40">
        <v>2</v>
      </c>
      <c r="Q1348" s="40">
        <v>2</v>
      </c>
      <c r="R1348" s="37" t="s">
        <v>1797</v>
      </c>
      <c r="S1348" s="37"/>
    </row>
    <row r="1349" spans="1:19" x14ac:dyDescent="0.3">
      <c r="A1349" s="37">
        <v>361</v>
      </c>
      <c r="B1349" s="37" t="s">
        <v>1798</v>
      </c>
      <c r="C1349" s="37" t="s">
        <v>1796</v>
      </c>
      <c r="D1349" s="37" t="s">
        <v>139</v>
      </c>
      <c r="E1349" s="37" t="s">
        <v>22</v>
      </c>
      <c r="F1349" s="42">
        <v>45657</v>
      </c>
      <c r="G1349" s="37">
        <v>2024</v>
      </c>
      <c r="H1349" s="37" t="s">
        <v>27</v>
      </c>
      <c r="I1349" s="37" t="s">
        <v>36</v>
      </c>
      <c r="J1349" s="37"/>
      <c r="K1349" s="37"/>
      <c r="L1349" s="65"/>
      <c r="M1349" s="65"/>
      <c r="N1349" s="37" t="s">
        <v>197</v>
      </c>
      <c r="O1349" s="37" t="s">
        <v>223</v>
      </c>
      <c r="P1349" s="37">
        <v>1</v>
      </c>
      <c r="Q1349" s="37">
        <v>2</v>
      </c>
      <c r="R1349" s="37" t="s">
        <v>1799</v>
      </c>
      <c r="S1349" s="37" t="s">
        <v>223</v>
      </c>
    </row>
    <row r="1350" spans="1:19" x14ac:dyDescent="0.3">
      <c r="A1350" s="37">
        <v>362</v>
      </c>
      <c r="B1350" s="37" t="s">
        <v>1800</v>
      </c>
      <c r="C1350" s="37" t="s">
        <v>1801</v>
      </c>
      <c r="D1350" s="37" t="s">
        <v>21</v>
      </c>
      <c r="E1350" s="37" t="s">
        <v>22</v>
      </c>
      <c r="F1350" s="42">
        <v>45107</v>
      </c>
      <c r="G1350" s="37">
        <v>2023</v>
      </c>
      <c r="H1350" s="37" t="s">
        <v>23</v>
      </c>
      <c r="I1350" s="37" t="s">
        <v>30</v>
      </c>
      <c r="J1350" s="37"/>
      <c r="K1350" s="37"/>
      <c r="L1350" s="65"/>
      <c r="M1350" s="65"/>
      <c r="N1350" s="37" t="s">
        <v>25</v>
      </c>
      <c r="O1350" s="37" t="s">
        <v>223</v>
      </c>
      <c r="P1350" s="37">
        <v>0</v>
      </c>
      <c r="Q1350" s="37">
        <v>0</v>
      </c>
      <c r="R1350" s="37" t="s">
        <v>1802</v>
      </c>
      <c r="S1350" s="37" t="s">
        <v>223</v>
      </c>
    </row>
    <row r="1351" spans="1:19" x14ac:dyDescent="0.3">
      <c r="A1351" s="41">
        <v>362</v>
      </c>
      <c r="B1351" s="37" t="s">
        <v>1800</v>
      </c>
      <c r="C1351" s="37" t="s">
        <v>1801</v>
      </c>
      <c r="D1351" s="37" t="s">
        <v>21</v>
      </c>
      <c r="E1351" s="37" t="s">
        <v>22</v>
      </c>
      <c r="F1351" s="42">
        <v>45291</v>
      </c>
      <c r="G1351" s="37">
        <v>2023</v>
      </c>
      <c r="H1351" s="37" t="s">
        <v>27</v>
      </c>
      <c r="I1351" s="39" t="s">
        <v>32</v>
      </c>
      <c r="J1351" s="37">
        <v>100</v>
      </c>
      <c r="K1351" s="56">
        <v>99.156641448591998</v>
      </c>
      <c r="L1351" s="65">
        <f t="shared" ref="L1351:L1371" si="132">IFERROR(IF(OR(J1351=0,K1351=""),"",IF(E1351="Positivo",MIN(MAX(K1351/J1351,0),1.3),MIN(MAX(J1351/K1351,0),1.3))),"")</f>
        <v>0.99156641448591998</v>
      </c>
      <c r="M1351" s="65">
        <f t="shared" ref="M1351:M1371" si="133">IFERROR(IF(OR(J1351=0,K1351=""),"",IF(E1351="Positivo",MAX(K1351/J1351,0),MAX(J1351/K1351,0))),"")</f>
        <v>0.99156641448591998</v>
      </c>
      <c r="N1351" s="37" t="s">
        <v>25</v>
      </c>
      <c r="O1351" s="37" t="s">
        <v>25</v>
      </c>
      <c r="P1351" s="40">
        <v>0</v>
      </c>
      <c r="Q1351" s="40">
        <v>0</v>
      </c>
      <c r="R1351" s="37" t="s">
        <v>1803</v>
      </c>
      <c r="S1351" s="37"/>
    </row>
    <row r="1352" spans="1:19" x14ac:dyDescent="0.3">
      <c r="A1352" s="37">
        <v>362</v>
      </c>
      <c r="B1352" s="37" t="s">
        <v>1800</v>
      </c>
      <c r="C1352" s="37" t="s">
        <v>1801</v>
      </c>
      <c r="D1352" s="37" t="s">
        <v>21</v>
      </c>
      <c r="E1352" s="37" t="s">
        <v>22</v>
      </c>
      <c r="F1352" s="42">
        <v>45473</v>
      </c>
      <c r="G1352" s="37">
        <v>2024</v>
      </c>
      <c r="H1352" s="37" t="s">
        <v>23</v>
      </c>
      <c r="I1352" s="39" t="s">
        <v>34</v>
      </c>
      <c r="J1352" s="37">
        <v>98</v>
      </c>
      <c r="K1352" s="37">
        <v>99.584323040380056</v>
      </c>
      <c r="L1352" s="65">
        <f t="shared" si="132"/>
        <v>1.0161665616365312</v>
      </c>
      <c r="M1352" s="65">
        <f t="shared" si="133"/>
        <v>1.0161665616365312</v>
      </c>
      <c r="N1352" s="37" t="s">
        <v>25</v>
      </c>
      <c r="O1352" s="37" t="s">
        <v>25</v>
      </c>
      <c r="P1352" s="40">
        <v>0</v>
      </c>
      <c r="Q1352" s="37">
        <v>0</v>
      </c>
      <c r="R1352" s="37" t="s">
        <v>1804</v>
      </c>
      <c r="S1352" s="37"/>
    </row>
    <row r="1353" spans="1:19" x14ac:dyDescent="0.3">
      <c r="A1353" s="36">
        <v>362</v>
      </c>
      <c r="B1353" s="37" t="s">
        <v>1800</v>
      </c>
      <c r="C1353" s="37" t="s">
        <v>1801</v>
      </c>
      <c r="D1353" s="37" t="s">
        <v>21</v>
      </c>
      <c r="E1353" s="37" t="s">
        <v>22</v>
      </c>
      <c r="F1353" s="42">
        <v>45657</v>
      </c>
      <c r="G1353" s="37">
        <v>2024</v>
      </c>
      <c r="H1353" s="37" t="s">
        <v>27</v>
      </c>
      <c r="I1353" s="39" t="s">
        <v>36</v>
      </c>
      <c r="J1353" s="37">
        <v>98</v>
      </c>
      <c r="K1353" s="43">
        <v>99.49</v>
      </c>
      <c r="L1353" s="65">
        <f t="shared" si="132"/>
        <v>1.0152040816326531</v>
      </c>
      <c r="M1353" s="65">
        <f t="shared" si="133"/>
        <v>1.0152040816326531</v>
      </c>
      <c r="N1353" s="37" t="s">
        <v>25</v>
      </c>
      <c r="O1353" s="37" t="s">
        <v>25</v>
      </c>
      <c r="P1353" s="40">
        <v>0</v>
      </c>
      <c r="Q1353" s="40">
        <v>0</v>
      </c>
      <c r="R1353" s="37" t="s">
        <v>1805</v>
      </c>
      <c r="S1353" s="37"/>
    </row>
    <row r="1354" spans="1:19" x14ac:dyDescent="0.3">
      <c r="A1354" s="41">
        <v>363</v>
      </c>
      <c r="B1354" s="37" t="s">
        <v>1808</v>
      </c>
      <c r="C1354" s="37" t="s">
        <v>1801</v>
      </c>
      <c r="D1354" s="37" t="s">
        <v>21</v>
      </c>
      <c r="E1354" s="37" t="s">
        <v>22</v>
      </c>
      <c r="F1354" s="42">
        <v>45291</v>
      </c>
      <c r="G1354" s="37">
        <v>2023</v>
      </c>
      <c r="H1354" s="37" t="s">
        <v>27</v>
      </c>
      <c r="I1354" s="39" t="s">
        <v>32</v>
      </c>
      <c r="J1354" s="37">
        <v>100</v>
      </c>
      <c r="K1354" s="56">
        <v>100</v>
      </c>
      <c r="L1354" s="65">
        <f t="shared" si="132"/>
        <v>1</v>
      </c>
      <c r="M1354" s="65">
        <f t="shared" si="133"/>
        <v>1</v>
      </c>
      <c r="N1354" s="37" t="s">
        <v>25</v>
      </c>
      <c r="O1354" s="37" t="s">
        <v>25</v>
      </c>
      <c r="P1354" s="40">
        <v>0</v>
      </c>
      <c r="Q1354" s="40">
        <v>0</v>
      </c>
      <c r="R1354" s="37" t="s">
        <v>1809</v>
      </c>
      <c r="S1354" s="37"/>
    </row>
    <row r="1355" spans="1:19" x14ac:dyDescent="0.3">
      <c r="A1355" s="37">
        <v>363</v>
      </c>
      <c r="B1355" s="37" t="s">
        <v>1808</v>
      </c>
      <c r="C1355" s="37" t="s">
        <v>1801</v>
      </c>
      <c r="D1355" s="37" t="s">
        <v>21</v>
      </c>
      <c r="E1355" s="37" t="s">
        <v>22</v>
      </c>
      <c r="F1355" s="42">
        <v>45473</v>
      </c>
      <c r="G1355" s="37">
        <v>2024</v>
      </c>
      <c r="H1355" s="37" t="s">
        <v>23</v>
      </c>
      <c r="I1355" s="39" t="s">
        <v>34</v>
      </c>
      <c r="J1355" s="37">
        <v>100</v>
      </c>
      <c r="K1355" s="37">
        <v>100</v>
      </c>
      <c r="L1355" s="65">
        <f t="shared" si="132"/>
        <v>1</v>
      </c>
      <c r="M1355" s="65">
        <f t="shared" si="133"/>
        <v>1</v>
      </c>
      <c r="N1355" s="37" t="s">
        <v>25</v>
      </c>
      <c r="O1355" s="37" t="s">
        <v>25</v>
      </c>
      <c r="P1355" s="40">
        <v>0</v>
      </c>
      <c r="Q1355" s="37">
        <v>0</v>
      </c>
      <c r="R1355" s="37" t="s">
        <v>1810</v>
      </c>
      <c r="S1355" s="37"/>
    </row>
    <row r="1356" spans="1:19" x14ac:dyDescent="0.3">
      <c r="A1356" s="36">
        <v>363</v>
      </c>
      <c r="B1356" s="37" t="s">
        <v>1808</v>
      </c>
      <c r="C1356" s="37" t="s">
        <v>1801</v>
      </c>
      <c r="D1356" s="37" t="s">
        <v>21</v>
      </c>
      <c r="E1356" s="37" t="s">
        <v>22</v>
      </c>
      <c r="F1356" s="42">
        <v>45657</v>
      </c>
      <c r="G1356" s="37">
        <v>2024</v>
      </c>
      <c r="H1356" s="37" t="s">
        <v>27</v>
      </c>
      <c r="I1356" s="39" t="s">
        <v>36</v>
      </c>
      <c r="J1356" s="37">
        <v>100</v>
      </c>
      <c r="K1356" s="43">
        <v>100</v>
      </c>
      <c r="L1356" s="65">
        <f t="shared" si="132"/>
        <v>1</v>
      </c>
      <c r="M1356" s="65">
        <f t="shared" si="133"/>
        <v>1</v>
      </c>
      <c r="N1356" s="37" t="s">
        <v>25</v>
      </c>
      <c r="O1356" s="37" t="s">
        <v>25</v>
      </c>
      <c r="P1356" s="40">
        <v>0</v>
      </c>
      <c r="Q1356" s="40">
        <v>0</v>
      </c>
      <c r="R1356" s="37" t="s">
        <v>1811</v>
      </c>
      <c r="S1356" s="37"/>
    </row>
    <row r="1357" spans="1:19" x14ac:dyDescent="0.3">
      <c r="A1357" s="45">
        <v>364</v>
      </c>
      <c r="B1357" s="37" t="s">
        <v>1812</v>
      </c>
      <c r="C1357" s="37" t="s">
        <v>1796</v>
      </c>
      <c r="D1357" s="37" t="s">
        <v>21</v>
      </c>
      <c r="E1357" s="37" t="s">
        <v>56</v>
      </c>
      <c r="F1357" s="42">
        <v>45107</v>
      </c>
      <c r="G1357" s="37">
        <v>2023</v>
      </c>
      <c r="H1357" s="37" t="s">
        <v>23</v>
      </c>
      <c r="I1357" s="39" t="s">
        <v>30</v>
      </c>
      <c r="J1357" s="37">
        <v>0</v>
      </c>
      <c r="K1357" s="56">
        <v>30244</v>
      </c>
      <c r="L1357" s="65" t="str">
        <f t="shared" si="132"/>
        <v/>
      </c>
      <c r="M1357" s="65" t="str">
        <f t="shared" si="133"/>
        <v/>
      </c>
      <c r="N1357" s="37"/>
      <c r="O1357" s="37"/>
      <c r="P1357" s="40">
        <v>0</v>
      </c>
      <c r="Q1357" s="40">
        <v>0</v>
      </c>
      <c r="R1357" s="37" t="s">
        <v>1813</v>
      </c>
      <c r="S1357" s="37"/>
    </row>
    <row r="1358" spans="1:19" x14ac:dyDescent="0.3">
      <c r="A1358" s="41">
        <v>364</v>
      </c>
      <c r="B1358" s="37" t="s">
        <v>1812</v>
      </c>
      <c r="C1358" s="37" t="s">
        <v>1796</v>
      </c>
      <c r="D1358" s="37" t="s">
        <v>21</v>
      </c>
      <c r="E1358" s="37" t="s">
        <v>56</v>
      </c>
      <c r="F1358" s="42">
        <v>45291</v>
      </c>
      <c r="G1358" s="37">
        <v>2023</v>
      </c>
      <c r="H1358" s="37" t="s">
        <v>27</v>
      </c>
      <c r="I1358" s="39" t="s">
        <v>32</v>
      </c>
      <c r="J1358" s="37">
        <v>0</v>
      </c>
      <c r="K1358" s="56">
        <v>78451</v>
      </c>
      <c r="L1358" s="65" t="str">
        <f t="shared" si="132"/>
        <v/>
      </c>
      <c r="M1358" s="65" t="str">
        <f t="shared" si="133"/>
        <v/>
      </c>
      <c r="N1358" s="37"/>
      <c r="O1358" s="37"/>
      <c r="P1358" s="40">
        <v>0</v>
      </c>
      <c r="Q1358" s="40">
        <v>0</v>
      </c>
      <c r="R1358" s="37" t="s">
        <v>1814</v>
      </c>
      <c r="S1358" s="37"/>
    </row>
    <row r="1359" spans="1:19" x14ac:dyDescent="0.3">
      <c r="A1359" s="45">
        <v>364</v>
      </c>
      <c r="B1359" s="37" t="s">
        <v>1812</v>
      </c>
      <c r="C1359" s="37" t="s">
        <v>1796</v>
      </c>
      <c r="D1359" s="37" t="s">
        <v>21</v>
      </c>
      <c r="E1359" s="37" t="s">
        <v>56</v>
      </c>
      <c r="F1359" s="42">
        <v>45473</v>
      </c>
      <c r="G1359" s="37">
        <v>2024</v>
      </c>
      <c r="H1359" s="37" t="s">
        <v>23</v>
      </c>
      <c r="I1359" s="39" t="s">
        <v>34</v>
      </c>
      <c r="J1359" s="43">
        <v>31694</v>
      </c>
      <c r="K1359" s="56">
        <v>42069</v>
      </c>
      <c r="L1359" s="65">
        <f t="shared" si="132"/>
        <v>0.75338134968741832</v>
      </c>
      <c r="M1359" s="65">
        <f t="shared" si="133"/>
        <v>0.75338134968741832</v>
      </c>
      <c r="N1359" s="37"/>
      <c r="O1359" s="37"/>
      <c r="P1359" s="40">
        <v>0</v>
      </c>
      <c r="Q1359" s="40">
        <v>0</v>
      </c>
      <c r="R1359" s="37" t="s">
        <v>1815</v>
      </c>
      <c r="S1359" s="37"/>
    </row>
    <row r="1360" spans="1:19" x14ac:dyDescent="0.3">
      <c r="A1360" s="36">
        <v>364</v>
      </c>
      <c r="B1360" s="37" t="s">
        <v>1812</v>
      </c>
      <c r="C1360" s="37" t="s">
        <v>1796</v>
      </c>
      <c r="D1360" s="37" t="s">
        <v>21</v>
      </c>
      <c r="E1360" s="37" t="s">
        <v>22</v>
      </c>
      <c r="F1360" s="42">
        <v>45657</v>
      </c>
      <c r="G1360" s="37">
        <v>2024</v>
      </c>
      <c r="H1360" s="37" t="s">
        <v>27</v>
      </c>
      <c r="I1360" s="39" t="s">
        <v>36</v>
      </c>
      <c r="J1360" s="37">
        <v>47541</v>
      </c>
      <c r="K1360" s="43">
        <v>46635</v>
      </c>
      <c r="L1360" s="65">
        <f t="shared" si="132"/>
        <v>0.98094276519214996</v>
      </c>
      <c r="M1360" s="65">
        <f t="shared" si="133"/>
        <v>0.98094276519214996</v>
      </c>
      <c r="N1360" s="37"/>
      <c r="O1360" s="37"/>
      <c r="P1360" s="40">
        <v>0</v>
      </c>
      <c r="Q1360" s="40">
        <v>0</v>
      </c>
      <c r="R1360" s="37" t="s">
        <v>1816</v>
      </c>
      <c r="S1360" s="37"/>
    </row>
    <row r="1361" spans="1:19" x14ac:dyDescent="0.3">
      <c r="A1361" s="41">
        <v>365</v>
      </c>
      <c r="B1361" s="37" t="s">
        <v>1817</v>
      </c>
      <c r="C1361" s="37" t="s">
        <v>1801</v>
      </c>
      <c r="D1361" s="37" t="s">
        <v>21</v>
      </c>
      <c r="E1361" s="37" t="s">
        <v>22</v>
      </c>
      <c r="F1361" s="42">
        <v>45291</v>
      </c>
      <c r="G1361" s="37">
        <v>2023</v>
      </c>
      <c r="H1361" s="37" t="s">
        <v>27</v>
      </c>
      <c r="I1361" s="39" t="s">
        <v>32</v>
      </c>
      <c r="J1361" s="37">
        <v>100</v>
      </c>
      <c r="K1361" s="56">
        <v>100</v>
      </c>
      <c r="L1361" s="65">
        <f t="shared" si="132"/>
        <v>1</v>
      </c>
      <c r="M1361" s="65">
        <f t="shared" si="133"/>
        <v>1</v>
      </c>
      <c r="N1361" s="37" t="s">
        <v>25</v>
      </c>
      <c r="O1361" s="37" t="s">
        <v>25</v>
      </c>
      <c r="P1361" s="40">
        <v>0</v>
      </c>
      <c r="Q1361" s="40">
        <v>0</v>
      </c>
      <c r="R1361" s="37" t="s">
        <v>1818</v>
      </c>
      <c r="S1361" s="37"/>
    </row>
    <row r="1362" spans="1:19" x14ac:dyDescent="0.3">
      <c r="A1362" s="41">
        <v>366</v>
      </c>
      <c r="B1362" s="37" t="s">
        <v>1819</v>
      </c>
      <c r="C1362" s="37" t="s">
        <v>1801</v>
      </c>
      <c r="D1362" s="37" t="s">
        <v>139</v>
      </c>
      <c r="E1362" s="37" t="s">
        <v>22</v>
      </c>
      <c r="F1362" s="42">
        <v>45291</v>
      </c>
      <c r="G1362" s="37">
        <v>2023</v>
      </c>
      <c r="H1362" s="37" t="s">
        <v>27</v>
      </c>
      <c r="I1362" s="39" t="s">
        <v>32</v>
      </c>
      <c r="J1362" s="37">
        <v>100</v>
      </c>
      <c r="K1362" s="56">
        <v>100</v>
      </c>
      <c r="L1362" s="65">
        <f t="shared" si="132"/>
        <v>1</v>
      </c>
      <c r="M1362" s="65">
        <f t="shared" si="133"/>
        <v>1</v>
      </c>
      <c r="N1362" s="37" t="s">
        <v>25</v>
      </c>
      <c r="O1362" s="37" t="s">
        <v>25</v>
      </c>
      <c r="P1362" s="40">
        <v>0</v>
      </c>
      <c r="Q1362" s="40">
        <v>0</v>
      </c>
      <c r="R1362" s="37" t="s">
        <v>1820</v>
      </c>
      <c r="S1362" s="37"/>
    </row>
    <row r="1363" spans="1:19" x14ac:dyDescent="0.3">
      <c r="A1363" s="36">
        <v>366</v>
      </c>
      <c r="B1363" s="37" t="s">
        <v>1819</v>
      </c>
      <c r="C1363" s="37" t="s">
        <v>1801</v>
      </c>
      <c r="D1363" s="37" t="s">
        <v>139</v>
      </c>
      <c r="E1363" s="37" t="s">
        <v>22</v>
      </c>
      <c r="F1363" s="42">
        <v>45657</v>
      </c>
      <c r="G1363" s="37">
        <v>2024</v>
      </c>
      <c r="H1363" s="37" t="s">
        <v>27</v>
      </c>
      <c r="I1363" s="39" t="s">
        <v>36</v>
      </c>
      <c r="J1363" s="37">
        <v>100</v>
      </c>
      <c r="K1363" s="43">
        <v>100</v>
      </c>
      <c r="L1363" s="65">
        <f t="shared" si="132"/>
        <v>1</v>
      </c>
      <c r="M1363" s="65">
        <f t="shared" si="133"/>
        <v>1</v>
      </c>
      <c r="N1363" s="37" t="s">
        <v>25</v>
      </c>
      <c r="O1363" s="37" t="s">
        <v>25</v>
      </c>
      <c r="P1363" s="40">
        <v>0</v>
      </c>
      <c r="Q1363" s="40">
        <v>0</v>
      </c>
      <c r="R1363" s="37" t="s">
        <v>1821</v>
      </c>
      <c r="S1363" s="37"/>
    </row>
    <row r="1364" spans="1:19" x14ac:dyDescent="0.3">
      <c r="A1364" s="41">
        <v>367</v>
      </c>
      <c r="B1364" s="37" t="s">
        <v>1822</v>
      </c>
      <c r="C1364" s="37" t="s">
        <v>1796</v>
      </c>
      <c r="D1364" s="37" t="s">
        <v>139</v>
      </c>
      <c r="E1364" s="37" t="s">
        <v>22</v>
      </c>
      <c r="F1364" s="42">
        <v>45291</v>
      </c>
      <c r="G1364" s="37">
        <v>2023</v>
      </c>
      <c r="H1364" s="37" t="s">
        <v>27</v>
      </c>
      <c r="I1364" s="39" t="s">
        <v>32</v>
      </c>
      <c r="J1364" s="37">
        <v>5</v>
      </c>
      <c r="K1364" s="56">
        <v>6.2497567052045619</v>
      </c>
      <c r="L1364" s="65">
        <f t="shared" si="132"/>
        <v>1.2499513410409124</v>
      </c>
      <c r="M1364" s="65">
        <f t="shared" si="133"/>
        <v>1.2499513410409124</v>
      </c>
      <c r="N1364" s="37" t="s">
        <v>25</v>
      </c>
      <c r="O1364" s="37" t="s">
        <v>25</v>
      </c>
      <c r="P1364" s="40">
        <v>2</v>
      </c>
      <c r="Q1364" s="40">
        <v>2</v>
      </c>
      <c r="R1364" s="37" t="s">
        <v>1823</v>
      </c>
      <c r="S1364" s="37"/>
    </row>
    <row r="1365" spans="1:19" x14ac:dyDescent="0.3">
      <c r="A1365" s="36">
        <v>367</v>
      </c>
      <c r="B1365" s="37" t="s">
        <v>1824</v>
      </c>
      <c r="C1365" s="37" t="s">
        <v>1796</v>
      </c>
      <c r="D1365" s="37" t="s">
        <v>139</v>
      </c>
      <c r="E1365" s="37" t="s">
        <v>22</v>
      </c>
      <c r="F1365" s="42">
        <v>45657</v>
      </c>
      <c r="G1365" s="37">
        <v>2024</v>
      </c>
      <c r="H1365" s="37" t="s">
        <v>27</v>
      </c>
      <c r="I1365" s="39" t="s">
        <v>36</v>
      </c>
      <c r="J1365" s="37">
        <v>5</v>
      </c>
      <c r="K1365" s="43">
        <v>4.96</v>
      </c>
      <c r="L1365" s="65">
        <f t="shared" si="132"/>
        <v>0.99199999999999999</v>
      </c>
      <c r="M1365" s="65">
        <f t="shared" si="133"/>
        <v>0.99199999999999999</v>
      </c>
      <c r="N1365" s="37" t="s">
        <v>25</v>
      </c>
      <c r="O1365" s="37" t="s">
        <v>25</v>
      </c>
      <c r="P1365" s="40">
        <v>2</v>
      </c>
      <c r="Q1365" s="40">
        <v>2</v>
      </c>
      <c r="R1365" s="37" t="s">
        <v>1825</v>
      </c>
      <c r="S1365" s="37"/>
    </row>
    <row r="1366" spans="1:19" x14ac:dyDescent="0.3">
      <c r="A1366" s="45">
        <v>368</v>
      </c>
      <c r="B1366" s="37" t="s">
        <v>1826</v>
      </c>
      <c r="C1366" s="37" t="s">
        <v>1827</v>
      </c>
      <c r="D1366" s="37" t="s">
        <v>39</v>
      </c>
      <c r="E1366" s="37" t="s">
        <v>22</v>
      </c>
      <c r="F1366" s="42">
        <v>45199</v>
      </c>
      <c r="G1366" s="37">
        <v>2023</v>
      </c>
      <c r="H1366" s="37" t="s">
        <v>43</v>
      </c>
      <c r="I1366" s="39" t="s">
        <v>32</v>
      </c>
      <c r="J1366" s="37">
        <v>90</v>
      </c>
      <c r="K1366" s="56">
        <v>95</v>
      </c>
      <c r="L1366" s="65">
        <f t="shared" si="132"/>
        <v>1.0555555555555556</v>
      </c>
      <c r="M1366" s="65">
        <f t="shared" si="133"/>
        <v>1.0555555555555556</v>
      </c>
      <c r="N1366" s="37" t="s">
        <v>25</v>
      </c>
      <c r="O1366" s="37" t="s">
        <v>25</v>
      </c>
      <c r="P1366" s="40">
        <v>0</v>
      </c>
      <c r="Q1366" s="40">
        <v>0</v>
      </c>
      <c r="R1366" s="37" t="s">
        <v>1828</v>
      </c>
      <c r="S1366" s="37"/>
    </row>
    <row r="1367" spans="1:19" x14ac:dyDescent="0.3">
      <c r="A1367" s="41">
        <v>368</v>
      </c>
      <c r="B1367" s="37" t="s">
        <v>1826</v>
      </c>
      <c r="C1367" s="37" t="s">
        <v>1827</v>
      </c>
      <c r="D1367" s="37" t="s">
        <v>39</v>
      </c>
      <c r="E1367" s="37" t="s">
        <v>22</v>
      </c>
      <c r="F1367" s="42">
        <v>45291</v>
      </c>
      <c r="G1367" s="37">
        <v>2023</v>
      </c>
      <c r="H1367" s="37" t="s">
        <v>27</v>
      </c>
      <c r="I1367" s="39" t="s">
        <v>32</v>
      </c>
      <c r="J1367" s="37">
        <v>90</v>
      </c>
      <c r="K1367" s="56">
        <v>94</v>
      </c>
      <c r="L1367" s="65">
        <f t="shared" si="132"/>
        <v>1.0444444444444445</v>
      </c>
      <c r="M1367" s="65">
        <f t="shared" si="133"/>
        <v>1.0444444444444445</v>
      </c>
      <c r="N1367" s="37" t="s">
        <v>25</v>
      </c>
      <c r="O1367" s="37" t="s">
        <v>25</v>
      </c>
      <c r="P1367" s="40">
        <v>0</v>
      </c>
      <c r="Q1367" s="40">
        <v>0</v>
      </c>
      <c r="R1367" s="37" t="s">
        <v>1829</v>
      </c>
      <c r="S1367" s="37"/>
    </row>
    <row r="1368" spans="1:19" x14ac:dyDescent="0.3">
      <c r="A1368" s="36">
        <v>368</v>
      </c>
      <c r="B1368" s="37" t="s">
        <v>1826</v>
      </c>
      <c r="C1368" s="37" t="s">
        <v>1827</v>
      </c>
      <c r="D1368" s="37" t="s">
        <v>39</v>
      </c>
      <c r="E1368" s="37" t="s">
        <v>22</v>
      </c>
      <c r="F1368" s="42">
        <v>45382</v>
      </c>
      <c r="G1368" s="37">
        <v>2024</v>
      </c>
      <c r="H1368" s="37" t="s">
        <v>40</v>
      </c>
      <c r="I1368" s="39" t="s">
        <v>34</v>
      </c>
      <c r="J1368" s="37">
        <v>90</v>
      </c>
      <c r="K1368" s="43">
        <v>94</v>
      </c>
      <c r="L1368" s="65">
        <f t="shared" si="132"/>
        <v>1.0444444444444445</v>
      </c>
      <c r="M1368" s="65">
        <f t="shared" si="133"/>
        <v>1.0444444444444445</v>
      </c>
      <c r="N1368" s="37" t="s">
        <v>25</v>
      </c>
      <c r="O1368" s="37" t="s">
        <v>25</v>
      </c>
      <c r="P1368" s="40">
        <v>0</v>
      </c>
      <c r="Q1368" s="40">
        <v>0</v>
      </c>
      <c r="R1368" s="37" t="s">
        <v>1830</v>
      </c>
      <c r="S1368" s="37"/>
    </row>
    <row r="1369" spans="1:19" x14ac:dyDescent="0.3">
      <c r="A1369" s="37">
        <v>368</v>
      </c>
      <c r="B1369" s="37" t="s">
        <v>1826</v>
      </c>
      <c r="C1369" s="37" t="s">
        <v>1827</v>
      </c>
      <c r="D1369" s="37" t="s">
        <v>39</v>
      </c>
      <c r="E1369" s="37" t="s">
        <v>22</v>
      </c>
      <c r="F1369" s="42">
        <v>45473</v>
      </c>
      <c r="G1369" s="37">
        <v>2024</v>
      </c>
      <c r="H1369" s="37" t="s">
        <v>23</v>
      </c>
      <c r="I1369" s="39" t="s">
        <v>34</v>
      </c>
      <c r="J1369" s="37">
        <v>90</v>
      </c>
      <c r="K1369" s="37">
        <v>95</v>
      </c>
      <c r="L1369" s="65">
        <f t="shared" si="132"/>
        <v>1.0555555555555556</v>
      </c>
      <c r="M1369" s="65">
        <f t="shared" si="133"/>
        <v>1.0555555555555556</v>
      </c>
      <c r="N1369" s="37" t="s">
        <v>25</v>
      </c>
      <c r="O1369" s="37" t="s">
        <v>25</v>
      </c>
      <c r="P1369" s="37">
        <v>0</v>
      </c>
      <c r="Q1369" s="37">
        <v>0</v>
      </c>
      <c r="R1369" s="37" t="s">
        <v>1831</v>
      </c>
      <c r="S1369" s="37"/>
    </row>
    <row r="1370" spans="1:19" x14ac:dyDescent="0.3">
      <c r="A1370" s="36">
        <v>368</v>
      </c>
      <c r="B1370" s="37" t="s">
        <v>1826</v>
      </c>
      <c r="C1370" s="37" t="s">
        <v>1827</v>
      </c>
      <c r="D1370" s="37" t="s">
        <v>39</v>
      </c>
      <c r="E1370" s="37" t="s">
        <v>22</v>
      </c>
      <c r="F1370" s="42">
        <v>45565</v>
      </c>
      <c r="G1370" s="37">
        <v>2024</v>
      </c>
      <c r="H1370" s="37" t="s">
        <v>43</v>
      </c>
      <c r="I1370" s="39" t="s">
        <v>36</v>
      </c>
      <c r="J1370" s="37">
        <v>90</v>
      </c>
      <c r="K1370" s="43">
        <v>94</v>
      </c>
      <c r="L1370" s="65">
        <f t="shared" si="132"/>
        <v>1.0444444444444445</v>
      </c>
      <c r="M1370" s="65">
        <f t="shared" si="133"/>
        <v>1.0444444444444445</v>
      </c>
      <c r="N1370" s="37" t="s">
        <v>25</v>
      </c>
      <c r="O1370" s="37" t="s">
        <v>25</v>
      </c>
      <c r="P1370" s="40">
        <v>0</v>
      </c>
      <c r="Q1370" s="40">
        <v>0</v>
      </c>
      <c r="R1370" s="37" t="s">
        <v>1832</v>
      </c>
      <c r="S1370" s="37"/>
    </row>
    <row r="1371" spans="1:19" x14ac:dyDescent="0.3">
      <c r="A1371" s="36">
        <v>368</v>
      </c>
      <c r="B1371" s="37" t="s">
        <v>1826</v>
      </c>
      <c r="C1371" s="37" t="s">
        <v>1827</v>
      </c>
      <c r="D1371" s="37" t="s">
        <v>39</v>
      </c>
      <c r="E1371" s="37" t="s">
        <v>22</v>
      </c>
      <c r="F1371" s="42">
        <v>45657</v>
      </c>
      <c r="G1371" s="37">
        <v>2024</v>
      </c>
      <c r="H1371" s="37" t="s">
        <v>27</v>
      </c>
      <c r="I1371" s="39" t="s">
        <v>36</v>
      </c>
      <c r="J1371" s="37">
        <v>90</v>
      </c>
      <c r="K1371" s="43">
        <v>94</v>
      </c>
      <c r="L1371" s="65">
        <f t="shared" si="132"/>
        <v>1.0444444444444445</v>
      </c>
      <c r="M1371" s="65">
        <f t="shared" si="133"/>
        <v>1.0444444444444445</v>
      </c>
      <c r="N1371" s="37" t="s">
        <v>25</v>
      </c>
      <c r="O1371" s="37" t="s">
        <v>25</v>
      </c>
      <c r="P1371" s="40">
        <v>0</v>
      </c>
      <c r="Q1371" s="40">
        <v>0</v>
      </c>
      <c r="R1371" s="37" t="s">
        <v>1833</v>
      </c>
      <c r="S1371" s="37"/>
    </row>
    <row r="1372" spans="1:19" x14ac:dyDescent="0.3">
      <c r="A1372" s="45">
        <v>369</v>
      </c>
      <c r="B1372" s="37" t="s">
        <v>1835</v>
      </c>
      <c r="C1372" s="37" t="s">
        <v>1796</v>
      </c>
      <c r="D1372" s="37" t="s">
        <v>21</v>
      </c>
      <c r="E1372" s="37" t="s">
        <v>22</v>
      </c>
      <c r="F1372" s="42">
        <v>45107</v>
      </c>
      <c r="G1372" s="37">
        <v>2023</v>
      </c>
      <c r="H1372" s="37" t="s">
        <v>23</v>
      </c>
      <c r="I1372" s="39" t="s">
        <v>30</v>
      </c>
      <c r="J1372" s="37">
        <v>0</v>
      </c>
      <c r="K1372" s="56">
        <v>78</v>
      </c>
      <c r="L1372" s="65" t="str">
        <f t="shared" ref="L1372:L1386" si="134">IFERROR(IF(OR(J1372=0,K1372=""),"",IF(E1372="Positivo",MIN(MAX(K1372/J1372,0),1.3),MIN(MAX(J1372/K1372,0),1.3))),"")</f>
        <v/>
      </c>
      <c r="M1372" s="65" t="str">
        <f t="shared" ref="M1372:M1386" si="135">IFERROR(IF(OR(J1372=0,K1372=""),"",IF(E1372="Positivo",MAX(K1372/J1372,0),MAX(J1372/K1372,0))),"")</f>
        <v/>
      </c>
      <c r="N1372" s="37" t="s">
        <v>670</v>
      </c>
      <c r="O1372" s="37" t="s">
        <v>25</v>
      </c>
      <c r="P1372" s="40">
        <v>0</v>
      </c>
      <c r="Q1372" s="40">
        <v>0</v>
      </c>
      <c r="R1372" s="37" t="s">
        <v>1836</v>
      </c>
      <c r="S1372" s="37"/>
    </row>
    <row r="1373" spans="1:19" x14ac:dyDescent="0.3">
      <c r="A1373" s="41">
        <v>369</v>
      </c>
      <c r="B1373" s="37" t="s">
        <v>1835</v>
      </c>
      <c r="C1373" s="37" t="s">
        <v>1796</v>
      </c>
      <c r="D1373" s="37" t="s">
        <v>21</v>
      </c>
      <c r="E1373" s="37" t="s">
        <v>22</v>
      </c>
      <c r="F1373" s="42">
        <v>45291</v>
      </c>
      <c r="G1373" s="37">
        <v>2023</v>
      </c>
      <c r="H1373" s="37" t="s">
        <v>27</v>
      </c>
      <c r="I1373" s="39" t="s">
        <v>32</v>
      </c>
      <c r="J1373" s="37">
        <v>0</v>
      </c>
      <c r="K1373" s="56">
        <v>96</v>
      </c>
      <c r="L1373" s="65" t="str">
        <f t="shared" si="134"/>
        <v/>
      </c>
      <c r="M1373" s="65" t="str">
        <f t="shared" si="135"/>
        <v/>
      </c>
      <c r="N1373" s="37" t="s">
        <v>670</v>
      </c>
      <c r="O1373" s="37" t="s">
        <v>25</v>
      </c>
      <c r="P1373" s="40">
        <v>0</v>
      </c>
      <c r="Q1373" s="40">
        <v>0</v>
      </c>
      <c r="R1373" s="37" t="s">
        <v>1837</v>
      </c>
      <c r="S1373" s="37"/>
    </row>
    <row r="1374" spans="1:19" x14ac:dyDescent="0.3">
      <c r="A1374" s="45">
        <v>369</v>
      </c>
      <c r="B1374" s="37" t="s">
        <v>1835</v>
      </c>
      <c r="C1374" s="37" t="s">
        <v>1796</v>
      </c>
      <c r="D1374" s="37" t="s">
        <v>21</v>
      </c>
      <c r="E1374" s="37" t="s">
        <v>22</v>
      </c>
      <c r="F1374" s="42">
        <v>45473</v>
      </c>
      <c r="G1374" s="37">
        <v>2024</v>
      </c>
      <c r="H1374" s="37" t="s">
        <v>23</v>
      </c>
      <c r="I1374" s="39" t="s">
        <v>34</v>
      </c>
      <c r="J1374" s="37">
        <v>100</v>
      </c>
      <c r="K1374" s="56">
        <v>76.25</v>
      </c>
      <c r="L1374" s="65">
        <f t="shared" si="134"/>
        <v>0.76249999999999996</v>
      </c>
      <c r="M1374" s="65">
        <f t="shared" si="135"/>
        <v>0.76249999999999996</v>
      </c>
      <c r="N1374" s="37" t="s">
        <v>670</v>
      </c>
      <c r="O1374" s="37" t="s">
        <v>25</v>
      </c>
      <c r="P1374" s="40">
        <v>0</v>
      </c>
      <c r="Q1374" s="40">
        <v>0</v>
      </c>
      <c r="R1374" s="37" t="s">
        <v>1838</v>
      </c>
      <c r="S1374" s="37"/>
    </row>
    <row r="1375" spans="1:19" x14ac:dyDescent="0.3">
      <c r="A1375" s="36">
        <v>369</v>
      </c>
      <c r="B1375" s="37" t="s">
        <v>1835</v>
      </c>
      <c r="C1375" s="37" t="s">
        <v>1796</v>
      </c>
      <c r="D1375" s="37" t="s">
        <v>21</v>
      </c>
      <c r="E1375" s="37" t="s">
        <v>22</v>
      </c>
      <c r="F1375" s="42">
        <v>45657</v>
      </c>
      <c r="G1375" s="37">
        <v>2024</v>
      </c>
      <c r="H1375" s="37" t="s">
        <v>27</v>
      </c>
      <c r="I1375" s="39" t="s">
        <v>36</v>
      </c>
      <c r="J1375" s="37">
        <v>100</v>
      </c>
      <c r="K1375" s="43">
        <v>71.3</v>
      </c>
      <c r="L1375" s="65">
        <f t="shared" si="134"/>
        <v>0.71299999999999997</v>
      </c>
      <c r="M1375" s="65">
        <f t="shared" si="135"/>
        <v>0.71299999999999997</v>
      </c>
      <c r="N1375" s="37"/>
      <c r="O1375" s="37"/>
      <c r="P1375" s="40">
        <v>0</v>
      </c>
      <c r="Q1375" s="40">
        <v>0</v>
      </c>
      <c r="R1375" s="37" t="s">
        <v>1839</v>
      </c>
      <c r="S1375" s="37"/>
    </row>
    <row r="1376" spans="1:19" x14ac:dyDescent="0.3">
      <c r="A1376" s="36">
        <v>370</v>
      </c>
      <c r="B1376" s="37" t="s">
        <v>1842</v>
      </c>
      <c r="C1376" s="37" t="s">
        <v>1796</v>
      </c>
      <c r="D1376" s="37" t="s">
        <v>21</v>
      </c>
      <c r="E1376" s="37" t="s">
        <v>22</v>
      </c>
      <c r="F1376" s="38">
        <v>45107</v>
      </c>
      <c r="G1376" s="37">
        <v>2023</v>
      </c>
      <c r="H1376" s="37" t="s">
        <v>23</v>
      </c>
      <c r="I1376" s="39" t="s">
        <v>30</v>
      </c>
      <c r="J1376" s="37">
        <v>0</v>
      </c>
      <c r="K1376" s="56">
        <v>0</v>
      </c>
      <c r="L1376" s="65" t="str">
        <f t="shared" si="134"/>
        <v/>
      </c>
      <c r="M1376" s="65" t="str">
        <f t="shared" si="135"/>
        <v/>
      </c>
      <c r="N1376" s="37"/>
      <c r="O1376" s="37"/>
      <c r="P1376" s="40">
        <v>0</v>
      </c>
      <c r="Q1376" s="40">
        <v>0</v>
      </c>
      <c r="R1376" s="37" t="s">
        <v>1843</v>
      </c>
      <c r="S1376" s="37"/>
    </row>
    <row r="1377" spans="1:19" x14ac:dyDescent="0.3">
      <c r="A1377" s="36">
        <v>371</v>
      </c>
      <c r="B1377" s="37" t="s">
        <v>1844</v>
      </c>
      <c r="C1377" s="37" t="s">
        <v>1796</v>
      </c>
      <c r="D1377" s="37" t="s">
        <v>21</v>
      </c>
      <c r="E1377" s="37" t="s">
        <v>22</v>
      </c>
      <c r="F1377" s="38">
        <v>45107</v>
      </c>
      <c r="G1377" s="37">
        <v>2023</v>
      </c>
      <c r="H1377" s="37" t="s">
        <v>23</v>
      </c>
      <c r="I1377" s="39" t="s">
        <v>30</v>
      </c>
      <c r="J1377" s="60">
        <v>2750000000</v>
      </c>
      <c r="K1377" s="56">
        <v>4331325417</v>
      </c>
      <c r="L1377" s="65">
        <f t="shared" si="134"/>
        <v>1.3</v>
      </c>
      <c r="M1377" s="65">
        <f t="shared" si="135"/>
        <v>1.5750274243636364</v>
      </c>
      <c r="N1377" s="37" t="s">
        <v>264</v>
      </c>
      <c r="O1377" s="37" t="s">
        <v>264</v>
      </c>
      <c r="P1377" s="40">
        <v>0</v>
      </c>
      <c r="Q1377" s="40">
        <v>0</v>
      </c>
      <c r="R1377" s="37" t="s">
        <v>1845</v>
      </c>
      <c r="S1377" s="37"/>
    </row>
    <row r="1378" spans="1:19" x14ac:dyDescent="0.3">
      <c r="A1378" s="41">
        <v>371</v>
      </c>
      <c r="B1378" s="37" t="s">
        <v>1844</v>
      </c>
      <c r="C1378" s="37" t="s">
        <v>1796</v>
      </c>
      <c r="D1378" s="37" t="s">
        <v>21</v>
      </c>
      <c r="E1378" s="37" t="s">
        <v>22</v>
      </c>
      <c r="F1378" s="42">
        <v>45291</v>
      </c>
      <c r="G1378" s="37">
        <v>2023</v>
      </c>
      <c r="H1378" s="37" t="s">
        <v>27</v>
      </c>
      <c r="I1378" s="39" t="s">
        <v>32</v>
      </c>
      <c r="J1378" s="37">
        <v>5500000000</v>
      </c>
      <c r="K1378" s="56">
        <v>9518852142</v>
      </c>
      <c r="L1378" s="65">
        <f t="shared" si="134"/>
        <v>1.3</v>
      </c>
      <c r="M1378" s="65">
        <f t="shared" si="135"/>
        <v>1.7307003894545454</v>
      </c>
      <c r="N1378" s="37" t="s">
        <v>264</v>
      </c>
      <c r="O1378" s="37" t="s">
        <v>264</v>
      </c>
      <c r="P1378" s="40">
        <v>0</v>
      </c>
      <c r="Q1378" s="40">
        <v>0</v>
      </c>
      <c r="R1378" s="37" t="s">
        <v>1846</v>
      </c>
      <c r="S1378" s="37"/>
    </row>
    <row r="1379" spans="1:19" x14ac:dyDescent="0.3">
      <c r="A1379" s="37">
        <v>371</v>
      </c>
      <c r="B1379" s="37" t="s">
        <v>1844</v>
      </c>
      <c r="C1379" s="37" t="s">
        <v>1796</v>
      </c>
      <c r="D1379" s="37" t="s">
        <v>21</v>
      </c>
      <c r="E1379" s="37" t="s">
        <v>22</v>
      </c>
      <c r="F1379" s="42">
        <v>45473</v>
      </c>
      <c r="G1379" s="37">
        <v>2024</v>
      </c>
      <c r="H1379" s="37" t="s">
        <v>23</v>
      </c>
      <c r="I1379" s="39" t="s">
        <v>34</v>
      </c>
      <c r="J1379" s="60">
        <v>620023081</v>
      </c>
      <c r="K1379" s="60">
        <v>928306953</v>
      </c>
      <c r="L1379" s="65">
        <f t="shared" si="134"/>
        <v>1.3</v>
      </c>
      <c r="M1379" s="65">
        <f t="shared" si="135"/>
        <v>1.4972135416358798</v>
      </c>
      <c r="N1379" s="37" t="s">
        <v>264</v>
      </c>
      <c r="O1379" s="37" t="s">
        <v>264</v>
      </c>
      <c r="P1379" s="37">
        <v>0</v>
      </c>
      <c r="Q1379" s="37">
        <v>0</v>
      </c>
      <c r="R1379" s="37" t="s">
        <v>1847</v>
      </c>
      <c r="S1379" s="37"/>
    </row>
    <row r="1380" spans="1:19" x14ac:dyDescent="0.3">
      <c r="A1380" s="36">
        <v>371</v>
      </c>
      <c r="B1380" s="37" t="s">
        <v>1844</v>
      </c>
      <c r="C1380" s="37" t="s">
        <v>1796</v>
      </c>
      <c r="D1380" s="37" t="s">
        <v>21</v>
      </c>
      <c r="E1380" s="37" t="s">
        <v>22</v>
      </c>
      <c r="F1380" s="42">
        <v>45657</v>
      </c>
      <c r="G1380" s="37">
        <v>2024</v>
      </c>
      <c r="H1380" s="37" t="s">
        <v>27</v>
      </c>
      <c r="I1380" s="39" t="s">
        <v>36</v>
      </c>
      <c r="J1380" s="37">
        <v>1151471437</v>
      </c>
      <c r="K1380" s="43">
        <v>1116821067</v>
      </c>
      <c r="L1380" s="65">
        <f t="shared" si="134"/>
        <v>0.96990774683019776</v>
      </c>
      <c r="M1380" s="65">
        <f t="shared" si="135"/>
        <v>0.96990774683019776</v>
      </c>
      <c r="N1380" s="37" t="s">
        <v>264</v>
      </c>
      <c r="O1380" s="37" t="s">
        <v>264</v>
      </c>
      <c r="P1380" s="40">
        <v>0</v>
      </c>
      <c r="Q1380" s="40">
        <v>0</v>
      </c>
      <c r="R1380" s="37" t="s">
        <v>1848</v>
      </c>
      <c r="S1380" s="37"/>
    </row>
    <row r="1381" spans="1:19" x14ac:dyDescent="0.3">
      <c r="A1381" s="45">
        <v>372</v>
      </c>
      <c r="B1381" s="37" t="s">
        <v>1849</v>
      </c>
      <c r="C1381" s="37" t="s">
        <v>1827</v>
      </c>
      <c r="D1381" s="37" t="s">
        <v>39</v>
      </c>
      <c r="E1381" s="37" t="s">
        <v>22</v>
      </c>
      <c r="F1381" s="42">
        <v>45199</v>
      </c>
      <c r="G1381" s="37">
        <v>2023</v>
      </c>
      <c r="H1381" s="37" t="s">
        <v>43</v>
      </c>
      <c r="I1381" s="39" t="s">
        <v>32</v>
      </c>
      <c r="J1381" s="37">
        <v>87</v>
      </c>
      <c r="K1381" s="56">
        <v>96</v>
      </c>
      <c r="L1381" s="65">
        <f t="shared" si="134"/>
        <v>1.103448275862069</v>
      </c>
      <c r="M1381" s="65">
        <f t="shared" si="135"/>
        <v>1.103448275862069</v>
      </c>
      <c r="N1381" s="37" t="s">
        <v>25</v>
      </c>
      <c r="O1381" s="37" t="s">
        <v>25</v>
      </c>
      <c r="P1381" s="40">
        <v>0</v>
      </c>
      <c r="Q1381" s="40">
        <v>0</v>
      </c>
      <c r="R1381" s="37" t="s">
        <v>1850</v>
      </c>
      <c r="S1381" s="37"/>
    </row>
    <row r="1382" spans="1:19" x14ac:dyDescent="0.3">
      <c r="A1382" s="41">
        <v>372</v>
      </c>
      <c r="B1382" s="37" t="s">
        <v>1849</v>
      </c>
      <c r="C1382" s="37" t="s">
        <v>1827</v>
      </c>
      <c r="D1382" s="37" t="s">
        <v>39</v>
      </c>
      <c r="E1382" s="37" t="s">
        <v>22</v>
      </c>
      <c r="F1382" s="42">
        <v>45291</v>
      </c>
      <c r="G1382" s="37">
        <v>2023</v>
      </c>
      <c r="H1382" s="37" t="s">
        <v>27</v>
      </c>
      <c r="I1382" s="39" t="s">
        <v>32</v>
      </c>
      <c r="J1382" s="37">
        <v>87</v>
      </c>
      <c r="K1382" s="56">
        <v>95</v>
      </c>
      <c r="L1382" s="65">
        <f t="shared" si="134"/>
        <v>1.0919540229885059</v>
      </c>
      <c r="M1382" s="65">
        <f t="shared" si="135"/>
        <v>1.0919540229885059</v>
      </c>
      <c r="N1382" s="37" t="s">
        <v>25</v>
      </c>
      <c r="O1382" s="37" t="s">
        <v>25</v>
      </c>
      <c r="P1382" s="40">
        <v>0</v>
      </c>
      <c r="Q1382" s="40">
        <v>0</v>
      </c>
      <c r="R1382" s="37" t="s">
        <v>1851</v>
      </c>
      <c r="S1382" s="37"/>
    </row>
    <row r="1383" spans="1:19" x14ac:dyDescent="0.3">
      <c r="A1383" s="36">
        <v>372</v>
      </c>
      <c r="B1383" s="37" t="s">
        <v>1849</v>
      </c>
      <c r="C1383" s="37" t="s">
        <v>1827</v>
      </c>
      <c r="D1383" s="37" t="s">
        <v>39</v>
      </c>
      <c r="E1383" s="37" t="s">
        <v>22</v>
      </c>
      <c r="F1383" s="42">
        <v>45382</v>
      </c>
      <c r="G1383" s="37">
        <v>2024</v>
      </c>
      <c r="H1383" s="37" t="s">
        <v>40</v>
      </c>
      <c r="I1383" s="39" t="s">
        <v>34</v>
      </c>
      <c r="J1383" s="37">
        <v>87</v>
      </c>
      <c r="K1383" s="43">
        <v>93</v>
      </c>
      <c r="L1383" s="65">
        <f t="shared" si="134"/>
        <v>1.0689655172413792</v>
      </c>
      <c r="M1383" s="65">
        <f t="shared" si="135"/>
        <v>1.0689655172413792</v>
      </c>
      <c r="N1383" s="37" t="s">
        <v>25</v>
      </c>
      <c r="O1383" s="37" t="s">
        <v>25</v>
      </c>
      <c r="P1383" s="40">
        <v>0</v>
      </c>
      <c r="Q1383" s="40">
        <v>0</v>
      </c>
      <c r="R1383" s="37" t="s">
        <v>1852</v>
      </c>
      <c r="S1383" s="37"/>
    </row>
    <row r="1384" spans="1:19" x14ac:dyDescent="0.3">
      <c r="A1384" s="37">
        <v>372</v>
      </c>
      <c r="B1384" s="37" t="s">
        <v>1849</v>
      </c>
      <c r="C1384" s="37" t="s">
        <v>1827</v>
      </c>
      <c r="D1384" s="37" t="s">
        <v>39</v>
      </c>
      <c r="E1384" s="37" t="s">
        <v>22</v>
      </c>
      <c r="F1384" s="42">
        <v>45473</v>
      </c>
      <c r="G1384" s="37">
        <v>2024</v>
      </c>
      <c r="H1384" s="37" t="s">
        <v>23</v>
      </c>
      <c r="I1384" s="39" t="s">
        <v>34</v>
      </c>
      <c r="J1384" s="37">
        <v>87</v>
      </c>
      <c r="K1384" s="37">
        <v>90</v>
      </c>
      <c r="L1384" s="65">
        <f t="shared" si="134"/>
        <v>1.0344827586206897</v>
      </c>
      <c r="M1384" s="65">
        <f t="shared" si="135"/>
        <v>1.0344827586206897</v>
      </c>
      <c r="N1384" s="37" t="s">
        <v>25</v>
      </c>
      <c r="O1384" s="37" t="s">
        <v>25</v>
      </c>
      <c r="P1384" s="37">
        <v>0</v>
      </c>
      <c r="Q1384" s="37">
        <v>0</v>
      </c>
      <c r="R1384" s="37" t="s">
        <v>1853</v>
      </c>
      <c r="S1384" s="37"/>
    </row>
    <row r="1385" spans="1:19" x14ac:dyDescent="0.3">
      <c r="A1385" s="36">
        <v>372</v>
      </c>
      <c r="B1385" s="37" t="s">
        <v>1849</v>
      </c>
      <c r="C1385" s="37" t="s">
        <v>1827</v>
      </c>
      <c r="D1385" s="37" t="s">
        <v>39</v>
      </c>
      <c r="E1385" s="37" t="s">
        <v>22</v>
      </c>
      <c r="F1385" s="42">
        <v>45565</v>
      </c>
      <c r="G1385" s="37">
        <v>2024</v>
      </c>
      <c r="H1385" s="37" t="s">
        <v>43</v>
      </c>
      <c r="I1385" s="39" t="s">
        <v>36</v>
      </c>
      <c r="J1385" s="37">
        <v>87</v>
      </c>
      <c r="K1385" s="43">
        <v>91</v>
      </c>
      <c r="L1385" s="65">
        <f t="shared" si="134"/>
        <v>1.0459770114942528</v>
      </c>
      <c r="M1385" s="65">
        <f t="shared" si="135"/>
        <v>1.0459770114942528</v>
      </c>
      <c r="N1385" s="37" t="s">
        <v>25</v>
      </c>
      <c r="O1385" s="37" t="s">
        <v>25</v>
      </c>
      <c r="P1385" s="40">
        <v>0</v>
      </c>
      <c r="Q1385" s="40">
        <v>0</v>
      </c>
      <c r="R1385" s="37" t="s">
        <v>1854</v>
      </c>
      <c r="S1385" s="37"/>
    </row>
    <row r="1386" spans="1:19" x14ac:dyDescent="0.3">
      <c r="A1386" s="36">
        <v>372</v>
      </c>
      <c r="B1386" s="37" t="s">
        <v>1849</v>
      </c>
      <c r="C1386" s="37" t="s">
        <v>1827</v>
      </c>
      <c r="D1386" s="37" t="s">
        <v>39</v>
      </c>
      <c r="E1386" s="37" t="s">
        <v>22</v>
      </c>
      <c r="F1386" s="42">
        <v>45657</v>
      </c>
      <c r="G1386" s="37">
        <v>2024</v>
      </c>
      <c r="H1386" s="37" t="s">
        <v>27</v>
      </c>
      <c r="I1386" s="39" t="s">
        <v>36</v>
      </c>
      <c r="J1386" s="37">
        <v>87</v>
      </c>
      <c r="K1386" s="43">
        <v>93</v>
      </c>
      <c r="L1386" s="65">
        <f t="shared" si="134"/>
        <v>1.0689655172413792</v>
      </c>
      <c r="M1386" s="65">
        <f t="shared" si="135"/>
        <v>1.0689655172413792</v>
      </c>
      <c r="N1386" s="37" t="s">
        <v>25</v>
      </c>
      <c r="O1386" s="37" t="s">
        <v>25</v>
      </c>
      <c r="P1386" s="40">
        <v>0</v>
      </c>
      <c r="Q1386" s="40">
        <v>0</v>
      </c>
      <c r="R1386" s="37" t="s">
        <v>1855</v>
      </c>
      <c r="S1386" s="37"/>
    </row>
    <row r="1387" spans="1:19" x14ac:dyDescent="0.3">
      <c r="A1387" s="37">
        <v>373</v>
      </c>
      <c r="B1387" s="37" t="s">
        <v>1856</v>
      </c>
      <c r="C1387" s="37" t="s">
        <v>1263</v>
      </c>
      <c r="D1387" s="37" t="s">
        <v>39</v>
      </c>
      <c r="E1387" s="37" t="s">
        <v>22</v>
      </c>
      <c r="F1387" s="42">
        <v>45016</v>
      </c>
      <c r="G1387" s="37">
        <v>2023</v>
      </c>
      <c r="H1387" s="37" t="s">
        <v>40</v>
      </c>
      <c r="I1387" s="37" t="s">
        <v>30</v>
      </c>
      <c r="J1387" s="37">
        <v>100</v>
      </c>
      <c r="K1387" s="37">
        <v>0</v>
      </c>
      <c r="L1387" s="65">
        <f t="shared" ref="L1387:L1394" si="136">IFERROR(IF(OR(J1387=0,K1387=""),"",IF(E1387="Positivo",MIN(MAX(K1387/J1387,0),1),MIN(MAX(J1387/K1387,0),1))),"")</f>
        <v>0</v>
      </c>
      <c r="M1387" s="65">
        <f t="shared" ref="M1387:M1394" si="137">IFERROR(IF(OR(J1387=0,K1387=""),"",IF(E1387="Positivo",MIN(MAX(K1387/J1387,0),1),MIN(MAX(J1387/K1387,0),1))),"")</f>
        <v>0</v>
      </c>
      <c r="N1387" s="37" t="s">
        <v>25</v>
      </c>
      <c r="O1387" s="37" t="s">
        <v>25</v>
      </c>
      <c r="P1387" s="37">
        <v>0</v>
      </c>
      <c r="Q1387" s="37">
        <v>0</v>
      </c>
      <c r="R1387" s="37" t="s">
        <v>1857</v>
      </c>
      <c r="S1387" s="37"/>
    </row>
    <row r="1388" spans="1:19" x14ac:dyDescent="0.3">
      <c r="A1388" s="36">
        <v>373</v>
      </c>
      <c r="B1388" s="37" t="s">
        <v>1856</v>
      </c>
      <c r="C1388" s="37" t="s">
        <v>1263</v>
      </c>
      <c r="D1388" s="37" t="s">
        <v>39</v>
      </c>
      <c r="E1388" s="37" t="s">
        <v>22</v>
      </c>
      <c r="F1388" s="42">
        <v>45107</v>
      </c>
      <c r="G1388" s="37">
        <v>2023</v>
      </c>
      <c r="H1388" s="37" t="s">
        <v>23</v>
      </c>
      <c r="I1388" s="39" t="s">
        <v>30</v>
      </c>
      <c r="J1388" s="37">
        <v>100</v>
      </c>
      <c r="K1388" s="56">
        <v>107.17166666667001</v>
      </c>
      <c r="L1388" s="65">
        <f t="shared" si="136"/>
        <v>1</v>
      </c>
      <c r="M1388" s="65">
        <f t="shared" si="137"/>
        <v>1</v>
      </c>
      <c r="N1388" s="37" t="s">
        <v>25</v>
      </c>
      <c r="O1388" s="37" t="s">
        <v>25</v>
      </c>
      <c r="P1388" s="40">
        <v>0</v>
      </c>
      <c r="Q1388" s="40">
        <v>0</v>
      </c>
      <c r="R1388" s="37" t="s">
        <v>1858</v>
      </c>
      <c r="S1388" s="37"/>
    </row>
    <row r="1389" spans="1:19" x14ac:dyDescent="0.3">
      <c r="A1389" s="45">
        <v>373</v>
      </c>
      <c r="B1389" s="37" t="s">
        <v>1856</v>
      </c>
      <c r="C1389" s="37" t="s">
        <v>1263</v>
      </c>
      <c r="D1389" s="37" t="s">
        <v>39</v>
      </c>
      <c r="E1389" s="37" t="s">
        <v>22</v>
      </c>
      <c r="F1389" s="42">
        <v>45199</v>
      </c>
      <c r="G1389" s="37">
        <v>2023</v>
      </c>
      <c r="H1389" s="37" t="s">
        <v>43</v>
      </c>
      <c r="I1389" s="39" t="s">
        <v>32</v>
      </c>
      <c r="J1389" s="37">
        <v>100</v>
      </c>
      <c r="K1389" s="56">
        <v>91.508333333332999</v>
      </c>
      <c r="L1389" s="65">
        <f t="shared" si="136"/>
        <v>0.91508333333333003</v>
      </c>
      <c r="M1389" s="65">
        <f t="shared" si="137"/>
        <v>0.91508333333333003</v>
      </c>
      <c r="N1389" s="37" t="s">
        <v>25</v>
      </c>
      <c r="O1389" s="37" t="s">
        <v>25</v>
      </c>
      <c r="P1389" s="40">
        <v>0</v>
      </c>
      <c r="Q1389" s="40">
        <v>0</v>
      </c>
      <c r="R1389" s="37" t="s">
        <v>1859</v>
      </c>
      <c r="S1389" s="37"/>
    </row>
    <row r="1390" spans="1:19" x14ac:dyDescent="0.3">
      <c r="A1390" s="41">
        <v>373</v>
      </c>
      <c r="B1390" s="37" t="s">
        <v>1856</v>
      </c>
      <c r="C1390" s="37" t="s">
        <v>1263</v>
      </c>
      <c r="D1390" s="37" t="s">
        <v>39</v>
      </c>
      <c r="E1390" s="37" t="s">
        <v>22</v>
      </c>
      <c r="F1390" s="42">
        <v>45291</v>
      </c>
      <c r="G1390" s="37">
        <v>2023</v>
      </c>
      <c r="H1390" s="37" t="s">
        <v>27</v>
      </c>
      <c r="I1390" s="39" t="s">
        <v>32</v>
      </c>
      <c r="J1390" s="37">
        <v>100</v>
      </c>
      <c r="K1390" s="56">
        <v>97.166666666666998</v>
      </c>
      <c r="L1390" s="65">
        <f t="shared" si="136"/>
        <v>0.97166666666667001</v>
      </c>
      <c r="M1390" s="65">
        <f t="shared" si="137"/>
        <v>0.97166666666667001</v>
      </c>
      <c r="N1390" s="37" t="s">
        <v>25</v>
      </c>
      <c r="O1390" s="37" t="s">
        <v>25</v>
      </c>
      <c r="P1390" s="40">
        <v>0</v>
      </c>
      <c r="Q1390" s="40">
        <v>0</v>
      </c>
      <c r="R1390" s="37" t="s">
        <v>1860</v>
      </c>
      <c r="S1390" s="37"/>
    </row>
    <row r="1391" spans="1:19" x14ac:dyDescent="0.3">
      <c r="A1391" s="36">
        <v>373</v>
      </c>
      <c r="B1391" s="37" t="s">
        <v>1856</v>
      </c>
      <c r="C1391" s="37" t="s">
        <v>1263</v>
      </c>
      <c r="D1391" s="37" t="s">
        <v>39</v>
      </c>
      <c r="E1391" s="37" t="s">
        <v>22</v>
      </c>
      <c r="F1391" s="42">
        <v>45382</v>
      </c>
      <c r="G1391" s="37">
        <v>2024</v>
      </c>
      <c r="H1391" s="37" t="s">
        <v>40</v>
      </c>
      <c r="I1391" s="39" t="s">
        <v>34</v>
      </c>
      <c r="J1391" s="37">
        <v>100</v>
      </c>
      <c r="K1391" s="43">
        <v>89.02</v>
      </c>
      <c r="L1391" s="65">
        <f t="shared" si="136"/>
        <v>0.89019999999999999</v>
      </c>
      <c r="M1391" s="65">
        <f t="shared" si="137"/>
        <v>0.89019999999999999</v>
      </c>
      <c r="N1391" s="37" t="s">
        <v>25</v>
      </c>
      <c r="O1391" s="37" t="s">
        <v>25</v>
      </c>
      <c r="P1391" s="40">
        <v>0</v>
      </c>
      <c r="Q1391" s="40">
        <v>0</v>
      </c>
      <c r="R1391" s="37" t="s">
        <v>1861</v>
      </c>
      <c r="S1391" s="37"/>
    </row>
    <row r="1392" spans="1:19" x14ac:dyDescent="0.3">
      <c r="A1392" s="37">
        <v>373</v>
      </c>
      <c r="B1392" s="37" t="s">
        <v>1856</v>
      </c>
      <c r="C1392" s="37" t="s">
        <v>1263</v>
      </c>
      <c r="D1392" s="37" t="s">
        <v>39</v>
      </c>
      <c r="E1392" s="37" t="s">
        <v>22</v>
      </c>
      <c r="F1392" s="42">
        <v>45473</v>
      </c>
      <c r="G1392" s="37">
        <v>2024</v>
      </c>
      <c r="H1392" s="37" t="s">
        <v>23</v>
      </c>
      <c r="I1392" s="39" t="s">
        <v>34</v>
      </c>
      <c r="J1392" s="37">
        <v>100</v>
      </c>
      <c r="K1392" s="37">
        <v>106.8</v>
      </c>
      <c r="L1392" s="65">
        <f t="shared" si="136"/>
        <v>1</v>
      </c>
      <c r="M1392" s="65">
        <f t="shared" si="137"/>
        <v>1</v>
      </c>
      <c r="N1392" s="37" t="s">
        <v>25</v>
      </c>
      <c r="O1392" s="37" t="s">
        <v>25</v>
      </c>
      <c r="P1392" s="37">
        <v>0</v>
      </c>
      <c r="Q1392" s="37">
        <v>0</v>
      </c>
      <c r="R1392" s="37" t="s">
        <v>1862</v>
      </c>
      <c r="S1392" s="37"/>
    </row>
    <row r="1393" spans="1:19" x14ac:dyDescent="0.3">
      <c r="A1393" s="36">
        <v>373</v>
      </c>
      <c r="B1393" s="37" t="s">
        <v>1856</v>
      </c>
      <c r="C1393" s="37" t="s">
        <v>1263</v>
      </c>
      <c r="D1393" s="37" t="s">
        <v>39</v>
      </c>
      <c r="E1393" s="37" t="s">
        <v>22</v>
      </c>
      <c r="F1393" s="42">
        <v>45565</v>
      </c>
      <c r="G1393" s="37">
        <v>2024</v>
      </c>
      <c r="H1393" s="37" t="s">
        <v>43</v>
      </c>
      <c r="I1393" s="39" t="s">
        <v>36</v>
      </c>
      <c r="J1393" s="37">
        <v>100</v>
      </c>
      <c r="K1393" s="43">
        <v>99.61</v>
      </c>
      <c r="L1393" s="65">
        <f t="shared" si="136"/>
        <v>0.99609999999999999</v>
      </c>
      <c r="M1393" s="65">
        <f t="shared" si="137"/>
        <v>0.99609999999999999</v>
      </c>
      <c r="N1393" s="37" t="s">
        <v>25</v>
      </c>
      <c r="O1393" s="37" t="s">
        <v>25</v>
      </c>
      <c r="P1393" s="40">
        <v>0</v>
      </c>
      <c r="Q1393" s="40">
        <v>0</v>
      </c>
      <c r="R1393" s="37" t="s">
        <v>1863</v>
      </c>
      <c r="S1393" s="37"/>
    </row>
    <row r="1394" spans="1:19" x14ac:dyDescent="0.3">
      <c r="A1394" s="36">
        <v>373</v>
      </c>
      <c r="B1394" s="37" t="s">
        <v>1856</v>
      </c>
      <c r="C1394" s="37" t="s">
        <v>1263</v>
      </c>
      <c r="D1394" s="37" t="s">
        <v>39</v>
      </c>
      <c r="E1394" s="37" t="s">
        <v>22</v>
      </c>
      <c r="F1394" s="42">
        <v>45657</v>
      </c>
      <c r="G1394" s="37">
        <v>2024</v>
      </c>
      <c r="H1394" s="37" t="s">
        <v>27</v>
      </c>
      <c r="I1394" s="39" t="s">
        <v>36</v>
      </c>
      <c r="J1394" s="37">
        <v>100</v>
      </c>
      <c r="K1394" s="43">
        <v>98.67</v>
      </c>
      <c r="L1394" s="65">
        <f t="shared" si="136"/>
        <v>0.98670000000000002</v>
      </c>
      <c r="M1394" s="65">
        <f t="shared" si="137"/>
        <v>0.98670000000000002</v>
      </c>
      <c r="N1394" s="37" t="s">
        <v>25</v>
      </c>
      <c r="O1394" s="37" t="s">
        <v>25</v>
      </c>
      <c r="P1394" s="40">
        <v>0</v>
      </c>
      <c r="Q1394" s="40">
        <v>0</v>
      </c>
      <c r="R1394" s="37" t="s">
        <v>1864</v>
      </c>
      <c r="S1394" s="37"/>
    </row>
    <row r="1395" spans="1:19" x14ac:dyDescent="0.3">
      <c r="A1395" s="41">
        <v>374</v>
      </c>
      <c r="B1395" s="37" t="s">
        <v>1869</v>
      </c>
      <c r="C1395" s="37" t="s">
        <v>1801</v>
      </c>
      <c r="D1395" s="37" t="s">
        <v>21</v>
      </c>
      <c r="E1395" s="37" t="s">
        <v>22</v>
      </c>
      <c r="F1395" s="42">
        <v>45291</v>
      </c>
      <c r="G1395" s="37">
        <v>2023</v>
      </c>
      <c r="H1395" s="37" t="s">
        <v>27</v>
      </c>
      <c r="I1395" s="39" t="s">
        <v>32</v>
      </c>
      <c r="J1395" s="37">
        <v>100</v>
      </c>
      <c r="K1395" s="56">
        <v>100</v>
      </c>
      <c r="L1395" s="65">
        <f t="shared" ref="L1395:L1420" si="138">IFERROR(IF(OR(J1395=0,K1395=""),"",IF(E1395="Positivo",MIN(MAX(K1395/J1395,0),1.3),MIN(MAX(J1395/K1395,0),1.3))),"")</f>
        <v>1</v>
      </c>
      <c r="M1395" s="65">
        <f t="shared" ref="M1395:M1420" si="139">IFERROR(IF(OR(J1395=0,K1395=""),"",IF(E1395="Positivo",MAX(K1395/J1395,0),MAX(J1395/K1395,0))),"")</f>
        <v>1</v>
      </c>
      <c r="N1395" s="37" t="s">
        <v>25</v>
      </c>
      <c r="O1395" s="37" t="s">
        <v>25</v>
      </c>
      <c r="P1395" s="40">
        <v>0</v>
      </c>
      <c r="Q1395" s="40">
        <v>0</v>
      </c>
      <c r="R1395" s="37" t="s">
        <v>1870</v>
      </c>
      <c r="S1395" s="37"/>
    </row>
    <row r="1396" spans="1:19" x14ac:dyDescent="0.3">
      <c r="A1396" s="37">
        <v>375</v>
      </c>
      <c r="B1396" s="37" t="s">
        <v>1871</v>
      </c>
      <c r="C1396" s="37" t="s">
        <v>1801</v>
      </c>
      <c r="D1396" s="37" t="s">
        <v>21</v>
      </c>
      <c r="E1396" s="37" t="s">
        <v>22</v>
      </c>
      <c r="F1396" s="42">
        <v>45107</v>
      </c>
      <c r="G1396" s="37">
        <v>2023</v>
      </c>
      <c r="H1396" s="37" t="s">
        <v>23</v>
      </c>
      <c r="I1396" s="37" t="s">
        <v>30</v>
      </c>
      <c r="J1396" s="37">
        <v>100</v>
      </c>
      <c r="K1396" s="37">
        <v>0</v>
      </c>
      <c r="L1396" s="65">
        <f t="shared" si="138"/>
        <v>0</v>
      </c>
      <c r="M1396" s="65">
        <f t="shared" si="139"/>
        <v>0</v>
      </c>
      <c r="N1396" s="37" t="s">
        <v>25</v>
      </c>
      <c r="O1396" s="37" t="s">
        <v>25</v>
      </c>
      <c r="P1396" s="37">
        <v>0</v>
      </c>
      <c r="Q1396" s="37">
        <v>0</v>
      </c>
      <c r="R1396" s="37" t="s">
        <v>1872</v>
      </c>
      <c r="S1396" s="37"/>
    </row>
    <row r="1397" spans="1:19" x14ac:dyDescent="0.3">
      <c r="A1397" s="41">
        <v>375</v>
      </c>
      <c r="B1397" s="37" t="s">
        <v>1871</v>
      </c>
      <c r="C1397" s="37" t="s">
        <v>1801</v>
      </c>
      <c r="D1397" s="37" t="s">
        <v>21</v>
      </c>
      <c r="E1397" s="37" t="s">
        <v>22</v>
      </c>
      <c r="F1397" s="42">
        <v>45291</v>
      </c>
      <c r="G1397" s="37">
        <v>2023</v>
      </c>
      <c r="H1397" s="37" t="s">
        <v>27</v>
      </c>
      <c r="I1397" s="39" t="s">
        <v>32</v>
      </c>
      <c r="J1397" s="37">
        <v>100</v>
      </c>
      <c r="K1397" s="56">
        <v>100</v>
      </c>
      <c r="L1397" s="65">
        <f t="shared" si="138"/>
        <v>1</v>
      </c>
      <c r="M1397" s="65">
        <f t="shared" si="139"/>
        <v>1</v>
      </c>
      <c r="N1397" s="37" t="s">
        <v>25</v>
      </c>
      <c r="O1397" s="37" t="s">
        <v>25</v>
      </c>
      <c r="P1397" s="40">
        <v>0</v>
      </c>
      <c r="Q1397" s="40">
        <v>0</v>
      </c>
      <c r="R1397" s="37" t="s">
        <v>1873</v>
      </c>
      <c r="S1397" s="37"/>
    </row>
    <row r="1398" spans="1:19" x14ac:dyDescent="0.3">
      <c r="A1398" s="37">
        <v>375</v>
      </c>
      <c r="B1398" s="37" t="s">
        <v>1871</v>
      </c>
      <c r="C1398" s="37" t="s">
        <v>1801</v>
      </c>
      <c r="D1398" s="37" t="s">
        <v>21</v>
      </c>
      <c r="E1398" s="37" t="s">
        <v>22</v>
      </c>
      <c r="F1398" s="42">
        <v>45473</v>
      </c>
      <c r="G1398" s="37">
        <v>2024</v>
      </c>
      <c r="H1398" s="37" t="s">
        <v>23</v>
      </c>
      <c r="I1398" s="39" t="s">
        <v>34</v>
      </c>
      <c r="J1398" s="37">
        <v>100</v>
      </c>
      <c r="K1398" s="37">
        <v>100</v>
      </c>
      <c r="L1398" s="65">
        <f t="shared" si="138"/>
        <v>1</v>
      </c>
      <c r="M1398" s="65">
        <f t="shared" si="139"/>
        <v>1</v>
      </c>
      <c r="N1398" s="37" t="s">
        <v>25</v>
      </c>
      <c r="O1398" s="37" t="s">
        <v>25</v>
      </c>
      <c r="P1398" s="40">
        <v>0</v>
      </c>
      <c r="Q1398" s="37">
        <v>0</v>
      </c>
      <c r="R1398" s="37" t="s">
        <v>1874</v>
      </c>
      <c r="S1398" s="37"/>
    </row>
    <row r="1399" spans="1:19" x14ac:dyDescent="0.3">
      <c r="A1399" s="36">
        <v>375</v>
      </c>
      <c r="B1399" s="37" t="s">
        <v>1871</v>
      </c>
      <c r="C1399" s="37" t="s">
        <v>1801</v>
      </c>
      <c r="D1399" s="37" t="s">
        <v>21</v>
      </c>
      <c r="E1399" s="37" t="s">
        <v>22</v>
      </c>
      <c r="F1399" s="42">
        <v>45657</v>
      </c>
      <c r="G1399" s="37">
        <v>2024</v>
      </c>
      <c r="H1399" s="37" t="s">
        <v>27</v>
      </c>
      <c r="I1399" s="39" t="s">
        <v>36</v>
      </c>
      <c r="J1399" s="37">
        <v>100</v>
      </c>
      <c r="K1399" s="43">
        <v>100</v>
      </c>
      <c r="L1399" s="65">
        <f t="shared" si="138"/>
        <v>1</v>
      </c>
      <c r="M1399" s="65">
        <f t="shared" si="139"/>
        <v>1</v>
      </c>
      <c r="N1399" s="37" t="s">
        <v>25</v>
      </c>
      <c r="O1399" s="37" t="s">
        <v>25</v>
      </c>
      <c r="P1399" s="40">
        <v>0</v>
      </c>
      <c r="Q1399" s="40">
        <v>0</v>
      </c>
      <c r="R1399" s="37" t="s">
        <v>1875</v>
      </c>
      <c r="S1399" s="37"/>
    </row>
    <row r="1400" spans="1:19" x14ac:dyDescent="0.3">
      <c r="A1400" s="45">
        <v>376</v>
      </c>
      <c r="B1400" s="37" t="s">
        <v>1878</v>
      </c>
      <c r="C1400" s="37" t="s">
        <v>210</v>
      </c>
      <c r="D1400" s="37" t="s">
        <v>21</v>
      </c>
      <c r="E1400" s="37" t="s">
        <v>22</v>
      </c>
      <c r="F1400" s="42">
        <v>45107</v>
      </c>
      <c r="G1400" s="37">
        <v>2023</v>
      </c>
      <c r="H1400" s="37" t="s">
        <v>23</v>
      </c>
      <c r="I1400" s="39" t="s">
        <v>30</v>
      </c>
      <c r="J1400" s="37">
        <v>8796241270</v>
      </c>
      <c r="K1400" s="56">
        <v>13169941458</v>
      </c>
      <c r="L1400" s="65">
        <f t="shared" si="138"/>
        <v>1.3</v>
      </c>
      <c r="M1400" s="65">
        <f t="shared" si="139"/>
        <v>1.4972237633950212</v>
      </c>
      <c r="N1400" s="37" t="s">
        <v>264</v>
      </c>
      <c r="O1400" s="37" t="s">
        <v>264</v>
      </c>
      <c r="P1400" s="40">
        <v>0</v>
      </c>
      <c r="Q1400" s="40">
        <v>0</v>
      </c>
      <c r="R1400" s="37" t="s">
        <v>1879</v>
      </c>
      <c r="S1400" s="37"/>
    </row>
    <row r="1401" spans="1:19" x14ac:dyDescent="0.3">
      <c r="A1401" s="41">
        <v>376</v>
      </c>
      <c r="B1401" s="37" t="s">
        <v>1878</v>
      </c>
      <c r="C1401" s="37" t="s">
        <v>210</v>
      </c>
      <c r="D1401" s="37" t="s">
        <v>21</v>
      </c>
      <c r="E1401" s="37" t="s">
        <v>22</v>
      </c>
      <c r="F1401" s="42">
        <v>45291</v>
      </c>
      <c r="G1401" s="37">
        <v>2023</v>
      </c>
      <c r="H1401" s="37" t="s">
        <v>27</v>
      </c>
      <c r="I1401" s="39" t="s">
        <v>32</v>
      </c>
      <c r="J1401" s="37">
        <v>26073472703</v>
      </c>
      <c r="K1401" s="56">
        <v>26403087926</v>
      </c>
      <c r="L1401" s="65">
        <f t="shared" si="138"/>
        <v>1.0126417844970101</v>
      </c>
      <c r="M1401" s="65">
        <f t="shared" si="139"/>
        <v>1.0126417844970101</v>
      </c>
      <c r="N1401" s="37" t="s">
        <v>264</v>
      </c>
      <c r="O1401" s="37" t="s">
        <v>264</v>
      </c>
      <c r="P1401" s="40">
        <v>0</v>
      </c>
      <c r="Q1401" s="40">
        <v>0</v>
      </c>
      <c r="R1401" s="37" t="s">
        <v>1880</v>
      </c>
      <c r="S1401" s="37"/>
    </row>
    <row r="1402" spans="1:19" x14ac:dyDescent="0.3">
      <c r="A1402" s="45">
        <v>376</v>
      </c>
      <c r="B1402" s="37" t="s">
        <v>1878</v>
      </c>
      <c r="C1402" s="37" t="s">
        <v>210</v>
      </c>
      <c r="D1402" s="37" t="s">
        <v>21</v>
      </c>
      <c r="E1402" s="37" t="s">
        <v>22</v>
      </c>
      <c r="F1402" s="42">
        <v>45473</v>
      </c>
      <c r="G1402" s="37">
        <v>2024</v>
      </c>
      <c r="H1402" s="37" t="s">
        <v>23</v>
      </c>
      <c r="I1402" s="39" t="s">
        <v>34</v>
      </c>
      <c r="J1402" s="37">
        <v>14136961539</v>
      </c>
      <c r="K1402" s="56">
        <v>14702219810</v>
      </c>
      <c r="L1402" s="65">
        <f t="shared" si="138"/>
        <v>1.039984424477679</v>
      </c>
      <c r="M1402" s="65">
        <f t="shared" si="139"/>
        <v>1.039984424477679</v>
      </c>
      <c r="N1402" s="37" t="s">
        <v>264</v>
      </c>
      <c r="O1402" s="37" t="s">
        <v>264</v>
      </c>
      <c r="P1402" s="40">
        <v>0</v>
      </c>
      <c r="Q1402" s="40">
        <v>0</v>
      </c>
      <c r="R1402" s="37" t="s">
        <v>1881</v>
      </c>
      <c r="S1402" s="37"/>
    </row>
    <row r="1403" spans="1:19" x14ac:dyDescent="0.3">
      <c r="A1403" s="36">
        <v>376</v>
      </c>
      <c r="B1403" s="37" t="s">
        <v>1882</v>
      </c>
      <c r="C1403" s="37" t="s">
        <v>210</v>
      </c>
      <c r="D1403" s="37" t="s">
        <v>21</v>
      </c>
      <c r="E1403" s="37" t="s">
        <v>22</v>
      </c>
      <c r="F1403" s="42">
        <v>45657</v>
      </c>
      <c r="G1403" s="37">
        <v>2024</v>
      </c>
      <c r="H1403" s="37" t="s">
        <v>27</v>
      </c>
      <c r="I1403" s="39" t="s">
        <v>36</v>
      </c>
      <c r="J1403" s="37">
        <v>27010108281</v>
      </c>
      <c r="K1403" s="56">
        <v>29467922112</v>
      </c>
      <c r="L1403" s="65">
        <f t="shared" si="138"/>
        <v>1.090996074707665</v>
      </c>
      <c r="M1403" s="65">
        <f t="shared" si="139"/>
        <v>1.090996074707665</v>
      </c>
      <c r="N1403" s="37" t="s">
        <v>264</v>
      </c>
      <c r="O1403" s="37" t="s">
        <v>264</v>
      </c>
      <c r="P1403" s="40">
        <v>0</v>
      </c>
      <c r="Q1403" s="40">
        <v>0</v>
      </c>
      <c r="R1403" s="37" t="s">
        <v>1883</v>
      </c>
      <c r="S1403" s="37"/>
    </row>
    <row r="1404" spans="1:19" x14ac:dyDescent="0.3">
      <c r="A1404" s="45">
        <v>377</v>
      </c>
      <c r="B1404" s="37" t="s">
        <v>1884</v>
      </c>
      <c r="C1404" s="37" t="s">
        <v>210</v>
      </c>
      <c r="D1404" s="37" t="s">
        <v>21</v>
      </c>
      <c r="E1404" s="37" t="s">
        <v>56</v>
      </c>
      <c r="F1404" s="42">
        <v>45107</v>
      </c>
      <c r="G1404" s="37">
        <v>2023</v>
      </c>
      <c r="H1404" s="37" t="s">
        <v>23</v>
      </c>
      <c r="I1404" s="39" t="s">
        <v>30</v>
      </c>
      <c r="J1404" s="37">
        <v>7200908222</v>
      </c>
      <c r="K1404" s="56">
        <v>1606868149</v>
      </c>
      <c r="L1404" s="65">
        <f t="shared" si="138"/>
        <v>1.3</v>
      </c>
      <c r="M1404" s="65">
        <f t="shared" si="139"/>
        <v>4.4813311076464677</v>
      </c>
      <c r="N1404" s="37" t="s">
        <v>264</v>
      </c>
      <c r="O1404" s="37" t="s">
        <v>264</v>
      </c>
      <c r="P1404" s="40">
        <v>0</v>
      </c>
      <c r="Q1404" s="40">
        <v>0</v>
      </c>
      <c r="R1404" s="37" t="s">
        <v>1885</v>
      </c>
      <c r="S1404" s="37"/>
    </row>
    <row r="1405" spans="1:19" x14ac:dyDescent="0.3">
      <c r="A1405" s="41">
        <v>377</v>
      </c>
      <c r="B1405" s="37" t="s">
        <v>1884</v>
      </c>
      <c r="C1405" s="37" t="s">
        <v>210</v>
      </c>
      <c r="D1405" s="37" t="s">
        <v>21</v>
      </c>
      <c r="E1405" s="37" t="s">
        <v>56</v>
      </c>
      <c r="F1405" s="42">
        <v>45291</v>
      </c>
      <c r="G1405" s="37">
        <v>2023</v>
      </c>
      <c r="H1405" s="37" t="s">
        <v>27</v>
      </c>
      <c r="I1405" s="39" t="s">
        <v>32</v>
      </c>
      <c r="J1405" s="37">
        <v>12518005307</v>
      </c>
      <c r="K1405" s="56">
        <v>7607138419</v>
      </c>
      <c r="L1405" s="65">
        <f t="shared" si="138"/>
        <v>1.3</v>
      </c>
      <c r="M1405" s="65">
        <f t="shared" si="139"/>
        <v>1.6455603431290737</v>
      </c>
      <c r="N1405" s="37" t="s">
        <v>264</v>
      </c>
      <c r="O1405" s="37" t="s">
        <v>264</v>
      </c>
      <c r="P1405" s="40">
        <v>0</v>
      </c>
      <c r="Q1405" s="40">
        <v>0</v>
      </c>
      <c r="R1405" s="37" t="s">
        <v>1886</v>
      </c>
      <c r="S1405" s="37"/>
    </row>
    <row r="1406" spans="1:19" x14ac:dyDescent="0.3">
      <c r="A1406" s="45">
        <v>377</v>
      </c>
      <c r="B1406" s="37" t="s">
        <v>1884</v>
      </c>
      <c r="C1406" s="37" t="s">
        <v>210</v>
      </c>
      <c r="D1406" s="37" t="s">
        <v>21</v>
      </c>
      <c r="E1406" s="37" t="s">
        <v>56</v>
      </c>
      <c r="F1406" s="42">
        <v>45473</v>
      </c>
      <c r="G1406" s="37">
        <v>2024</v>
      </c>
      <c r="H1406" s="37" t="s">
        <v>23</v>
      </c>
      <c r="I1406" s="39" t="s">
        <v>34</v>
      </c>
      <c r="J1406" s="37">
        <v>4468402401</v>
      </c>
      <c r="K1406" s="56">
        <v>2155477505</v>
      </c>
      <c r="L1406" s="65">
        <f t="shared" si="138"/>
        <v>1.3</v>
      </c>
      <c r="M1406" s="65">
        <f t="shared" si="139"/>
        <v>2.0730452489690911</v>
      </c>
      <c r="N1406" s="37" t="s">
        <v>264</v>
      </c>
      <c r="O1406" s="37" t="s">
        <v>264</v>
      </c>
      <c r="P1406" s="40">
        <v>0</v>
      </c>
      <c r="Q1406" s="40">
        <v>0</v>
      </c>
      <c r="R1406" s="37" t="s">
        <v>1887</v>
      </c>
      <c r="S1406" s="37"/>
    </row>
    <row r="1407" spans="1:19" x14ac:dyDescent="0.3">
      <c r="A1407" s="36">
        <v>377</v>
      </c>
      <c r="B1407" s="37" t="s">
        <v>1884</v>
      </c>
      <c r="C1407" s="37" t="s">
        <v>210</v>
      </c>
      <c r="D1407" s="37" t="s">
        <v>21</v>
      </c>
      <c r="E1407" s="37" t="s">
        <v>56</v>
      </c>
      <c r="F1407" s="42">
        <v>45657</v>
      </c>
      <c r="G1407" s="37">
        <v>2024</v>
      </c>
      <c r="H1407" s="37" t="s">
        <v>27</v>
      </c>
      <c r="I1407" s="39" t="s">
        <v>36</v>
      </c>
      <c r="J1407" s="37">
        <v>9557195011</v>
      </c>
      <c r="K1407" s="43">
        <v>11947626618</v>
      </c>
      <c r="L1407" s="65">
        <f t="shared" si="138"/>
        <v>0.79992414531948675</v>
      </c>
      <c r="M1407" s="65">
        <f t="shared" si="139"/>
        <v>0.79992414531948675</v>
      </c>
      <c r="N1407" s="37" t="s">
        <v>264</v>
      </c>
      <c r="O1407" s="37" t="s">
        <v>264</v>
      </c>
      <c r="P1407" s="40">
        <v>0</v>
      </c>
      <c r="Q1407" s="40">
        <v>0</v>
      </c>
      <c r="R1407" s="37" t="s">
        <v>1888</v>
      </c>
      <c r="S1407" s="37"/>
    </row>
    <row r="1408" spans="1:19" x14ac:dyDescent="0.3">
      <c r="A1408" s="36">
        <v>378</v>
      </c>
      <c r="B1408" s="37" t="s">
        <v>1889</v>
      </c>
      <c r="C1408" s="37" t="s">
        <v>94</v>
      </c>
      <c r="D1408" s="37" t="s">
        <v>73</v>
      </c>
      <c r="E1408" s="37" t="s">
        <v>22</v>
      </c>
      <c r="F1408" s="42">
        <v>44957</v>
      </c>
      <c r="G1408" s="37">
        <v>2023</v>
      </c>
      <c r="H1408" s="37" t="s">
        <v>74</v>
      </c>
      <c r="I1408" s="39" t="s">
        <v>30</v>
      </c>
      <c r="J1408" s="37">
        <v>92</v>
      </c>
      <c r="K1408" s="56">
        <v>100</v>
      </c>
      <c r="L1408" s="65">
        <f t="shared" si="138"/>
        <v>1.0869565217391304</v>
      </c>
      <c r="M1408" s="65">
        <f t="shared" si="139"/>
        <v>1.0869565217391304</v>
      </c>
      <c r="N1408" s="37" t="s">
        <v>25</v>
      </c>
      <c r="O1408" s="37" t="s">
        <v>25</v>
      </c>
      <c r="P1408" s="40">
        <v>0</v>
      </c>
      <c r="Q1408" s="40">
        <v>0</v>
      </c>
      <c r="R1408" s="37" t="s">
        <v>1890</v>
      </c>
      <c r="S1408" s="37"/>
    </row>
    <row r="1409" spans="1:19" x14ac:dyDescent="0.3">
      <c r="A1409" s="36">
        <v>378</v>
      </c>
      <c r="B1409" s="37" t="s">
        <v>1889</v>
      </c>
      <c r="C1409" s="37" t="s">
        <v>94</v>
      </c>
      <c r="D1409" s="37" t="s">
        <v>73</v>
      </c>
      <c r="E1409" s="37" t="s">
        <v>22</v>
      </c>
      <c r="F1409" s="38">
        <v>44985</v>
      </c>
      <c r="G1409" s="37">
        <v>2023</v>
      </c>
      <c r="H1409" s="37" t="s">
        <v>76</v>
      </c>
      <c r="I1409" s="39" t="s">
        <v>30</v>
      </c>
      <c r="J1409" s="37">
        <v>92</v>
      </c>
      <c r="K1409" s="56">
        <v>100</v>
      </c>
      <c r="L1409" s="65">
        <f t="shared" si="138"/>
        <v>1.0869565217391304</v>
      </c>
      <c r="M1409" s="65">
        <f t="shared" si="139"/>
        <v>1.0869565217391304</v>
      </c>
      <c r="N1409" s="37" t="s">
        <v>25</v>
      </c>
      <c r="O1409" s="37" t="s">
        <v>25</v>
      </c>
      <c r="P1409" s="40">
        <v>0</v>
      </c>
      <c r="Q1409" s="40">
        <v>0</v>
      </c>
      <c r="R1409" s="37" t="s">
        <v>1891</v>
      </c>
      <c r="S1409" s="37"/>
    </row>
    <row r="1410" spans="1:19" x14ac:dyDescent="0.3">
      <c r="A1410" s="36">
        <v>378</v>
      </c>
      <c r="B1410" s="37" t="s">
        <v>1889</v>
      </c>
      <c r="C1410" s="37" t="s">
        <v>94</v>
      </c>
      <c r="D1410" s="37" t="s">
        <v>73</v>
      </c>
      <c r="E1410" s="37" t="s">
        <v>22</v>
      </c>
      <c r="F1410" s="42">
        <v>45016</v>
      </c>
      <c r="G1410" s="37">
        <v>2023</v>
      </c>
      <c r="H1410" s="37" t="s">
        <v>40</v>
      </c>
      <c r="I1410" s="39" t="s">
        <v>30</v>
      </c>
      <c r="J1410" s="37">
        <v>92</v>
      </c>
      <c r="K1410" s="56">
        <v>100</v>
      </c>
      <c r="L1410" s="65">
        <f t="shared" si="138"/>
        <v>1.0869565217391304</v>
      </c>
      <c r="M1410" s="65">
        <f t="shared" si="139"/>
        <v>1.0869565217391304</v>
      </c>
      <c r="N1410" s="37" t="s">
        <v>25</v>
      </c>
      <c r="O1410" s="37" t="s">
        <v>25</v>
      </c>
      <c r="P1410" s="40">
        <v>0</v>
      </c>
      <c r="Q1410" s="40">
        <v>0</v>
      </c>
      <c r="R1410" s="37" t="s">
        <v>1892</v>
      </c>
      <c r="S1410" s="37"/>
    </row>
    <row r="1411" spans="1:19" x14ac:dyDescent="0.3">
      <c r="A1411" s="36">
        <v>378</v>
      </c>
      <c r="B1411" s="37" t="s">
        <v>1889</v>
      </c>
      <c r="C1411" s="37" t="s">
        <v>94</v>
      </c>
      <c r="D1411" s="37" t="s">
        <v>73</v>
      </c>
      <c r="E1411" s="37" t="s">
        <v>22</v>
      </c>
      <c r="F1411" s="42">
        <v>45046</v>
      </c>
      <c r="G1411" s="37">
        <v>2023</v>
      </c>
      <c r="H1411" s="37" t="s">
        <v>79</v>
      </c>
      <c r="I1411" s="39" t="s">
        <v>30</v>
      </c>
      <c r="J1411" s="37">
        <v>92</v>
      </c>
      <c r="K1411" s="56">
        <v>90.5</v>
      </c>
      <c r="L1411" s="65">
        <f t="shared" si="138"/>
        <v>0.98369565217391308</v>
      </c>
      <c r="M1411" s="65">
        <f t="shared" si="139"/>
        <v>0.98369565217391308</v>
      </c>
      <c r="N1411" s="37" t="s">
        <v>25</v>
      </c>
      <c r="O1411" s="37" t="s">
        <v>25</v>
      </c>
      <c r="P1411" s="40">
        <v>1</v>
      </c>
      <c r="Q1411" s="40">
        <v>1</v>
      </c>
      <c r="R1411" s="37" t="s">
        <v>1893</v>
      </c>
      <c r="S1411" s="37"/>
    </row>
    <row r="1412" spans="1:19" x14ac:dyDescent="0.3">
      <c r="A1412" s="36">
        <v>378</v>
      </c>
      <c r="B1412" s="37" t="s">
        <v>1889</v>
      </c>
      <c r="C1412" s="37" t="s">
        <v>94</v>
      </c>
      <c r="D1412" s="37" t="s">
        <v>73</v>
      </c>
      <c r="E1412" s="37" t="s">
        <v>22</v>
      </c>
      <c r="F1412" s="42">
        <v>45077</v>
      </c>
      <c r="G1412" s="37">
        <v>2023</v>
      </c>
      <c r="H1412" s="37" t="s">
        <v>81</v>
      </c>
      <c r="I1412" s="39" t="s">
        <v>30</v>
      </c>
      <c r="J1412" s="37">
        <v>92</v>
      </c>
      <c r="K1412" s="56">
        <v>83.5</v>
      </c>
      <c r="L1412" s="65">
        <f t="shared" si="138"/>
        <v>0.90760869565217395</v>
      </c>
      <c r="M1412" s="65">
        <f t="shared" si="139"/>
        <v>0.90760869565217395</v>
      </c>
      <c r="N1412" s="37" t="s">
        <v>25</v>
      </c>
      <c r="O1412" s="37" t="s">
        <v>25</v>
      </c>
      <c r="P1412" s="40">
        <v>1</v>
      </c>
      <c r="Q1412" s="40">
        <v>1</v>
      </c>
      <c r="R1412" s="37" t="s">
        <v>1894</v>
      </c>
      <c r="S1412" s="37"/>
    </row>
    <row r="1413" spans="1:19" x14ac:dyDescent="0.3">
      <c r="A1413" s="36">
        <v>378</v>
      </c>
      <c r="B1413" s="37" t="s">
        <v>1889</v>
      </c>
      <c r="C1413" s="37" t="s">
        <v>94</v>
      </c>
      <c r="D1413" s="37" t="s">
        <v>73</v>
      </c>
      <c r="E1413" s="37" t="s">
        <v>22</v>
      </c>
      <c r="F1413" s="42">
        <v>45107</v>
      </c>
      <c r="G1413" s="37">
        <v>2023</v>
      </c>
      <c r="H1413" s="37" t="s">
        <v>23</v>
      </c>
      <c r="I1413" s="39" t="s">
        <v>30</v>
      </c>
      <c r="J1413" s="37">
        <v>92</v>
      </c>
      <c r="K1413" s="56">
        <v>89</v>
      </c>
      <c r="L1413" s="65">
        <f t="shared" si="138"/>
        <v>0.96739130434782605</v>
      </c>
      <c r="M1413" s="65">
        <f t="shared" si="139"/>
        <v>0.96739130434782605</v>
      </c>
      <c r="N1413" s="37" t="s">
        <v>25</v>
      </c>
      <c r="O1413" s="37" t="s">
        <v>25</v>
      </c>
      <c r="P1413" s="40">
        <v>0</v>
      </c>
      <c r="Q1413" s="40">
        <v>0</v>
      </c>
      <c r="R1413" s="37" t="s">
        <v>1895</v>
      </c>
      <c r="S1413" s="37"/>
    </row>
    <row r="1414" spans="1:19" x14ac:dyDescent="0.3">
      <c r="A1414" s="36">
        <v>378</v>
      </c>
      <c r="B1414" s="37" t="s">
        <v>1889</v>
      </c>
      <c r="C1414" s="37" t="s">
        <v>94</v>
      </c>
      <c r="D1414" s="37" t="s">
        <v>73</v>
      </c>
      <c r="E1414" s="37" t="s">
        <v>22</v>
      </c>
      <c r="F1414" s="42">
        <v>45138</v>
      </c>
      <c r="G1414" s="37">
        <v>2023</v>
      </c>
      <c r="H1414" s="37" t="s">
        <v>84</v>
      </c>
      <c r="I1414" s="39" t="s">
        <v>32</v>
      </c>
      <c r="J1414" s="37">
        <v>92</v>
      </c>
      <c r="K1414" s="56">
        <v>94</v>
      </c>
      <c r="L1414" s="65">
        <f t="shared" si="138"/>
        <v>1.0217391304347827</v>
      </c>
      <c r="M1414" s="65">
        <f t="shared" si="139"/>
        <v>1.0217391304347827</v>
      </c>
      <c r="N1414" s="37" t="s">
        <v>25</v>
      </c>
      <c r="O1414" s="37" t="s">
        <v>25</v>
      </c>
      <c r="P1414" s="40">
        <v>0</v>
      </c>
      <c r="Q1414" s="40">
        <v>0</v>
      </c>
      <c r="R1414" s="37" t="s">
        <v>1896</v>
      </c>
      <c r="S1414" s="37"/>
    </row>
    <row r="1415" spans="1:19" x14ac:dyDescent="0.3">
      <c r="A1415" s="36">
        <v>378</v>
      </c>
      <c r="B1415" s="37" t="s">
        <v>1889</v>
      </c>
      <c r="C1415" s="37" t="s">
        <v>94</v>
      </c>
      <c r="D1415" s="37" t="s">
        <v>73</v>
      </c>
      <c r="E1415" s="37" t="s">
        <v>22</v>
      </c>
      <c r="F1415" s="42">
        <v>45169</v>
      </c>
      <c r="G1415" s="37">
        <v>2023</v>
      </c>
      <c r="H1415" s="37" t="s">
        <v>86</v>
      </c>
      <c r="I1415" s="39" t="s">
        <v>32</v>
      </c>
      <c r="J1415" s="37">
        <v>92</v>
      </c>
      <c r="K1415" s="56">
        <v>97.5</v>
      </c>
      <c r="L1415" s="65">
        <f t="shared" si="138"/>
        <v>1.0597826086956521</v>
      </c>
      <c r="M1415" s="65">
        <f t="shared" si="139"/>
        <v>1.0597826086956521</v>
      </c>
      <c r="N1415" s="37" t="s">
        <v>25</v>
      </c>
      <c r="O1415" s="37" t="s">
        <v>25</v>
      </c>
      <c r="P1415" s="40">
        <v>1</v>
      </c>
      <c r="Q1415" s="40">
        <v>1</v>
      </c>
      <c r="R1415" s="37" t="s">
        <v>1897</v>
      </c>
      <c r="S1415" s="37"/>
    </row>
    <row r="1416" spans="1:19" x14ac:dyDescent="0.3">
      <c r="A1416" s="36">
        <v>378</v>
      </c>
      <c r="B1416" s="37" t="s">
        <v>1889</v>
      </c>
      <c r="C1416" s="37" t="s">
        <v>94</v>
      </c>
      <c r="D1416" s="37" t="s">
        <v>73</v>
      </c>
      <c r="E1416" s="37" t="s">
        <v>22</v>
      </c>
      <c r="F1416" s="42">
        <v>45199</v>
      </c>
      <c r="G1416" s="37">
        <v>2023</v>
      </c>
      <c r="H1416" s="37" t="s">
        <v>43</v>
      </c>
      <c r="I1416" s="39" t="s">
        <v>32</v>
      </c>
      <c r="J1416" s="37">
        <v>92</v>
      </c>
      <c r="K1416" s="56">
        <v>99</v>
      </c>
      <c r="L1416" s="65">
        <f t="shared" si="138"/>
        <v>1.076086956521739</v>
      </c>
      <c r="M1416" s="65">
        <f t="shared" si="139"/>
        <v>1.076086956521739</v>
      </c>
      <c r="N1416" s="37" t="s">
        <v>25</v>
      </c>
      <c r="O1416" s="37" t="s">
        <v>25</v>
      </c>
      <c r="P1416" s="40">
        <v>0</v>
      </c>
      <c r="Q1416" s="40">
        <v>0</v>
      </c>
      <c r="R1416" s="37" t="s">
        <v>1898</v>
      </c>
      <c r="S1416" s="37"/>
    </row>
    <row r="1417" spans="1:19" x14ac:dyDescent="0.3">
      <c r="A1417" s="41">
        <v>378</v>
      </c>
      <c r="B1417" s="37" t="s">
        <v>1889</v>
      </c>
      <c r="C1417" s="37" t="s">
        <v>94</v>
      </c>
      <c r="D1417" s="37" t="s">
        <v>73</v>
      </c>
      <c r="E1417" s="37" t="s">
        <v>22</v>
      </c>
      <c r="F1417" s="42">
        <v>45230</v>
      </c>
      <c r="G1417" s="37">
        <v>2023</v>
      </c>
      <c r="H1417" s="37" t="s">
        <v>89</v>
      </c>
      <c r="I1417" s="39" t="s">
        <v>32</v>
      </c>
      <c r="J1417" s="37">
        <v>92</v>
      </c>
      <c r="K1417" s="56">
        <v>96</v>
      </c>
      <c r="L1417" s="65">
        <f t="shared" si="138"/>
        <v>1.0434782608695652</v>
      </c>
      <c r="M1417" s="65">
        <f t="shared" si="139"/>
        <v>1.0434782608695652</v>
      </c>
      <c r="N1417" s="37" t="s">
        <v>25</v>
      </c>
      <c r="O1417" s="37" t="s">
        <v>25</v>
      </c>
      <c r="P1417" s="40">
        <v>0</v>
      </c>
      <c r="Q1417" s="40">
        <v>0</v>
      </c>
      <c r="R1417" s="37" t="s">
        <v>1899</v>
      </c>
      <c r="S1417" s="37"/>
    </row>
    <row r="1418" spans="1:19" x14ac:dyDescent="0.3">
      <c r="A1418" s="41">
        <v>378</v>
      </c>
      <c r="B1418" s="37" t="s">
        <v>1889</v>
      </c>
      <c r="C1418" s="37" t="s">
        <v>94</v>
      </c>
      <c r="D1418" s="37" t="s">
        <v>73</v>
      </c>
      <c r="E1418" s="37" t="s">
        <v>22</v>
      </c>
      <c r="F1418" s="42">
        <v>45260</v>
      </c>
      <c r="G1418" s="37">
        <v>2023</v>
      </c>
      <c r="H1418" s="37" t="s">
        <v>91</v>
      </c>
      <c r="I1418" s="39" t="s">
        <v>32</v>
      </c>
      <c r="J1418" s="37">
        <v>92</v>
      </c>
      <c r="K1418" s="56">
        <v>96.91</v>
      </c>
      <c r="L1418" s="65">
        <f t="shared" si="138"/>
        <v>1.0533695652173913</v>
      </c>
      <c r="M1418" s="65">
        <f t="shared" si="139"/>
        <v>1.0533695652173913</v>
      </c>
      <c r="N1418" s="37" t="s">
        <v>25</v>
      </c>
      <c r="O1418" s="37" t="s">
        <v>25</v>
      </c>
      <c r="P1418" s="40">
        <v>0</v>
      </c>
      <c r="Q1418" s="40">
        <v>0</v>
      </c>
      <c r="R1418" s="37" t="s">
        <v>1900</v>
      </c>
      <c r="S1418" s="37"/>
    </row>
    <row r="1419" spans="1:19" x14ac:dyDescent="0.3">
      <c r="A1419" s="41">
        <v>378</v>
      </c>
      <c r="B1419" s="37" t="s">
        <v>1889</v>
      </c>
      <c r="C1419" s="37" t="s">
        <v>94</v>
      </c>
      <c r="D1419" s="37" t="s">
        <v>73</v>
      </c>
      <c r="E1419" s="37" t="s">
        <v>22</v>
      </c>
      <c r="F1419" s="42">
        <v>45291</v>
      </c>
      <c r="G1419" s="37">
        <v>2023</v>
      </c>
      <c r="H1419" s="37" t="s">
        <v>27</v>
      </c>
      <c r="I1419" s="39" t="s">
        <v>32</v>
      </c>
      <c r="J1419" s="37">
        <v>92</v>
      </c>
      <c r="K1419" s="56">
        <v>100.52</v>
      </c>
      <c r="L1419" s="65">
        <f t="shared" si="138"/>
        <v>1.0926086956521739</v>
      </c>
      <c r="M1419" s="65">
        <f t="shared" si="139"/>
        <v>1.0926086956521739</v>
      </c>
      <c r="N1419" s="37" t="s">
        <v>25</v>
      </c>
      <c r="O1419" s="37" t="s">
        <v>25</v>
      </c>
      <c r="P1419" s="40">
        <v>0</v>
      </c>
      <c r="Q1419" s="40">
        <v>0</v>
      </c>
      <c r="R1419" s="37" t="s">
        <v>1901</v>
      </c>
      <c r="S1419" s="37"/>
    </row>
    <row r="1420" spans="1:19" x14ac:dyDescent="0.3">
      <c r="A1420" s="36">
        <v>378</v>
      </c>
      <c r="B1420" s="37" t="s">
        <v>1889</v>
      </c>
      <c r="C1420" s="37" t="s">
        <v>72</v>
      </c>
      <c r="D1420" s="37" t="s">
        <v>73</v>
      </c>
      <c r="E1420" s="37" t="s">
        <v>22</v>
      </c>
      <c r="F1420" s="42">
        <v>45322</v>
      </c>
      <c r="G1420" s="37">
        <v>2024</v>
      </c>
      <c r="H1420" s="37" t="s">
        <v>74</v>
      </c>
      <c r="I1420" s="39" t="s">
        <v>34</v>
      </c>
      <c r="J1420" s="37">
        <v>92</v>
      </c>
      <c r="K1420" s="43">
        <v>0</v>
      </c>
      <c r="L1420" s="65">
        <f t="shared" si="138"/>
        <v>0</v>
      </c>
      <c r="M1420" s="65">
        <f t="shared" si="139"/>
        <v>0</v>
      </c>
      <c r="N1420" s="37" t="s">
        <v>25</v>
      </c>
      <c r="O1420" s="37" t="s">
        <v>25</v>
      </c>
      <c r="P1420" s="40">
        <v>0</v>
      </c>
      <c r="Q1420" s="40">
        <v>0</v>
      </c>
      <c r="R1420" s="37" t="s">
        <v>1902</v>
      </c>
      <c r="S1420" s="37"/>
    </row>
    <row r="1421" spans="1:19" x14ac:dyDescent="0.3">
      <c r="A1421" s="36">
        <v>378</v>
      </c>
      <c r="B1421" s="37" t="s">
        <v>1889</v>
      </c>
      <c r="C1421" s="37" t="s">
        <v>72</v>
      </c>
      <c r="D1421" s="37" t="s">
        <v>73</v>
      </c>
      <c r="E1421" s="37" t="s">
        <v>22</v>
      </c>
      <c r="F1421" s="42">
        <v>45351</v>
      </c>
      <c r="G1421" s="37">
        <v>2024</v>
      </c>
      <c r="H1421" s="37" t="s">
        <v>76</v>
      </c>
      <c r="I1421" s="39" t="s">
        <v>34</v>
      </c>
      <c r="J1421" s="37">
        <v>92</v>
      </c>
      <c r="K1421" s="43">
        <v>0</v>
      </c>
      <c r="L1421" s="65">
        <f t="shared" ref="L1421:L1446" si="140">IFERROR(IF(OR(J1421=0,K1421=""),"",IF(E1421="Positivo",MIN(MAX(K1421/J1421,0),1.3),MIN(MAX(J1421/K1421,0),1.3))),"")</f>
        <v>0</v>
      </c>
      <c r="M1421" s="65">
        <f t="shared" ref="M1421:M1446" si="141">IFERROR(IF(OR(J1421=0,K1421=""),"",IF(E1421="Positivo",MAX(K1421/J1421,0),MAX(J1421/K1421,0))),"")</f>
        <v>0</v>
      </c>
      <c r="N1421" s="37" t="s">
        <v>25</v>
      </c>
      <c r="O1421" s="37" t="s">
        <v>25</v>
      </c>
      <c r="P1421" s="40">
        <v>0</v>
      </c>
      <c r="Q1421" s="40">
        <v>0</v>
      </c>
      <c r="R1421" s="37" t="s">
        <v>1903</v>
      </c>
      <c r="S1421" s="37"/>
    </row>
    <row r="1422" spans="1:19" x14ac:dyDescent="0.3">
      <c r="A1422" s="36">
        <v>378</v>
      </c>
      <c r="B1422" s="37" t="s">
        <v>1889</v>
      </c>
      <c r="C1422" s="37" t="s">
        <v>72</v>
      </c>
      <c r="D1422" s="37" t="s">
        <v>73</v>
      </c>
      <c r="E1422" s="37" t="s">
        <v>22</v>
      </c>
      <c r="F1422" s="42">
        <v>45382</v>
      </c>
      <c r="G1422" s="37">
        <v>2024</v>
      </c>
      <c r="H1422" s="37" t="s">
        <v>40</v>
      </c>
      <c r="I1422" s="39" t="s">
        <v>34</v>
      </c>
      <c r="J1422" s="37">
        <v>92</v>
      </c>
      <c r="K1422" s="43">
        <v>0</v>
      </c>
      <c r="L1422" s="65">
        <f t="shared" si="140"/>
        <v>0</v>
      </c>
      <c r="M1422" s="65">
        <f t="shared" si="141"/>
        <v>0</v>
      </c>
      <c r="N1422" s="37" t="s">
        <v>25</v>
      </c>
      <c r="O1422" s="37" t="s">
        <v>25</v>
      </c>
      <c r="P1422" s="40">
        <v>0</v>
      </c>
      <c r="Q1422" s="40">
        <v>0</v>
      </c>
      <c r="R1422" s="37" t="s">
        <v>1904</v>
      </c>
      <c r="S1422" s="37"/>
    </row>
    <row r="1423" spans="1:19" x14ac:dyDescent="0.3">
      <c r="A1423" s="36">
        <v>378</v>
      </c>
      <c r="B1423" s="37" t="s">
        <v>1889</v>
      </c>
      <c r="C1423" s="37" t="s">
        <v>72</v>
      </c>
      <c r="D1423" s="37" t="s">
        <v>73</v>
      </c>
      <c r="E1423" s="37" t="s">
        <v>22</v>
      </c>
      <c r="F1423" s="42">
        <v>45412</v>
      </c>
      <c r="G1423" s="37">
        <v>2024</v>
      </c>
      <c r="H1423" s="37" t="s">
        <v>79</v>
      </c>
      <c r="I1423" s="39" t="s">
        <v>34</v>
      </c>
      <c r="J1423" s="37">
        <v>92</v>
      </c>
      <c r="K1423" s="43">
        <v>0</v>
      </c>
      <c r="L1423" s="65">
        <f t="shared" si="140"/>
        <v>0</v>
      </c>
      <c r="M1423" s="65">
        <f t="shared" si="141"/>
        <v>0</v>
      </c>
      <c r="N1423" s="37" t="s">
        <v>25</v>
      </c>
      <c r="O1423" s="37" t="s">
        <v>25</v>
      </c>
      <c r="P1423" s="40">
        <v>0</v>
      </c>
      <c r="Q1423" s="40">
        <v>0</v>
      </c>
      <c r="R1423" s="37" t="s">
        <v>1905</v>
      </c>
      <c r="S1423" s="37"/>
    </row>
    <row r="1424" spans="1:19" x14ac:dyDescent="0.3">
      <c r="A1424" s="36">
        <v>378</v>
      </c>
      <c r="B1424" s="37" t="s">
        <v>1889</v>
      </c>
      <c r="C1424" s="37" t="s">
        <v>72</v>
      </c>
      <c r="D1424" s="37" t="s">
        <v>73</v>
      </c>
      <c r="E1424" s="37" t="s">
        <v>22</v>
      </c>
      <c r="F1424" s="42">
        <v>45443</v>
      </c>
      <c r="G1424" s="37">
        <v>2024</v>
      </c>
      <c r="H1424" s="37" t="s">
        <v>81</v>
      </c>
      <c r="I1424" s="39" t="s">
        <v>34</v>
      </c>
      <c r="J1424" s="37">
        <v>92</v>
      </c>
      <c r="K1424" s="43">
        <v>98.5</v>
      </c>
      <c r="L1424" s="65">
        <f t="shared" si="140"/>
        <v>1.0706521739130435</v>
      </c>
      <c r="M1424" s="65">
        <f t="shared" si="141"/>
        <v>1.0706521739130435</v>
      </c>
      <c r="N1424" s="37" t="s">
        <v>25</v>
      </c>
      <c r="O1424" s="37" t="s">
        <v>25</v>
      </c>
      <c r="P1424" s="40">
        <v>0</v>
      </c>
      <c r="Q1424" s="40">
        <v>0</v>
      </c>
      <c r="R1424" s="37" t="s">
        <v>1906</v>
      </c>
      <c r="S1424" s="37"/>
    </row>
    <row r="1425" spans="1:19" x14ac:dyDescent="0.3">
      <c r="A1425" s="37">
        <v>378</v>
      </c>
      <c r="B1425" s="37" t="s">
        <v>1889</v>
      </c>
      <c r="C1425" s="37" t="s">
        <v>72</v>
      </c>
      <c r="D1425" s="37" t="s">
        <v>73</v>
      </c>
      <c r="E1425" s="37" t="s">
        <v>22</v>
      </c>
      <c r="F1425" s="42">
        <v>45473</v>
      </c>
      <c r="G1425" s="37">
        <v>2024</v>
      </c>
      <c r="H1425" s="37" t="s">
        <v>23</v>
      </c>
      <c r="I1425" s="39" t="s">
        <v>34</v>
      </c>
      <c r="J1425" s="37">
        <v>92</v>
      </c>
      <c r="K1425" s="37">
        <v>98.5</v>
      </c>
      <c r="L1425" s="65">
        <f t="shared" si="140"/>
        <v>1.0706521739130435</v>
      </c>
      <c r="M1425" s="65">
        <f t="shared" si="141"/>
        <v>1.0706521739130435</v>
      </c>
      <c r="N1425" s="37" t="s">
        <v>25</v>
      </c>
      <c r="O1425" s="37" t="s">
        <v>25</v>
      </c>
      <c r="P1425" s="37">
        <v>0</v>
      </c>
      <c r="Q1425" s="37">
        <v>0</v>
      </c>
      <c r="R1425" s="37" t="s">
        <v>1907</v>
      </c>
      <c r="S1425" s="37"/>
    </row>
    <row r="1426" spans="1:19" x14ac:dyDescent="0.3">
      <c r="A1426" s="36">
        <v>378</v>
      </c>
      <c r="B1426" s="37" t="s">
        <v>1889</v>
      </c>
      <c r="C1426" s="37" t="s">
        <v>72</v>
      </c>
      <c r="D1426" s="37" t="s">
        <v>73</v>
      </c>
      <c r="E1426" s="37" t="s">
        <v>22</v>
      </c>
      <c r="F1426" s="42">
        <v>45504</v>
      </c>
      <c r="G1426" s="37">
        <v>2024</v>
      </c>
      <c r="H1426" s="37" t="s">
        <v>84</v>
      </c>
      <c r="I1426" s="39" t="s">
        <v>36</v>
      </c>
      <c r="J1426" s="37">
        <v>92</v>
      </c>
      <c r="K1426" s="43">
        <v>0</v>
      </c>
      <c r="L1426" s="65">
        <f t="shared" si="140"/>
        <v>0</v>
      </c>
      <c r="M1426" s="65">
        <f t="shared" si="141"/>
        <v>0</v>
      </c>
      <c r="N1426" s="37" t="s">
        <v>25</v>
      </c>
      <c r="O1426" s="37" t="s">
        <v>25</v>
      </c>
      <c r="P1426" s="40">
        <v>0</v>
      </c>
      <c r="Q1426" s="40">
        <v>0</v>
      </c>
      <c r="R1426" s="37" t="s">
        <v>1908</v>
      </c>
      <c r="S1426" s="37"/>
    </row>
    <row r="1427" spans="1:19" x14ac:dyDescent="0.3">
      <c r="A1427" s="36">
        <v>378</v>
      </c>
      <c r="B1427" s="37" t="s">
        <v>1889</v>
      </c>
      <c r="C1427" s="37" t="s">
        <v>72</v>
      </c>
      <c r="D1427" s="37" t="s">
        <v>73</v>
      </c>
      <c r="E1427" s="37" t="s">
        <v>22</v>
      </c>
      <c r="F1427" s="42">
        <v>45535</v>
      </c>
      <c r="G1427" s="37">
        <v>2024</v>
      </c>
      <c r="H1427" s="37" t="s">
        <v>86</v>
      </c>
      <c r="I1427" s="39" t="s">
        <v>36</v>
      </c>
      <c r="J1427" s="37">
        <v>92</v>
      </c>
      <c r="K1427" s="43">
        <v>0</v>
      </c>
      <c r="L1427" s="65">
        <f t="shared" si="140"/>
        <v>0</v>
      </c>
      <c r="M1427" s="65">
        <f t="shared" si="141"/>
        <v>0</v>
      </c>
      <c r="N1427" s="37" t="s">
        <v>25</v>
      </c>
      <c r="O1427" s="37" t="s">
        <v>25</v>
      </c>
      <c r="P1427" s="40">
        <v>0</v>
      </c>
      <c r="Q1427" s="40">
        <v>0</v>
      </c>
      <c r="R1427" s="37" t="s">
        <v>1909</v>
      </c>
      <c r="S1427" s="37"/>
    </row>
    <row r="1428" spans="1:19" x14ac:dyDescent="0.3">
      <c r="A1428" s="36">
        <v>378</v>
      </c>
      <c r="B1428" s="37" t="s">
        <v>1889</v>
      </c>
      <c r="C1428" s="37" t="s">
        <v>72</v>
      </c>
      <c r="D1428" s="37" t="s">
        <v>73</v>
      </c>
      <c r="E1428" s="37" t="s">
        <v>22</v>
      </c>
      <c r="F1428" s="42">
        <v>45565</v>
      </c>
      <c r="G1428" s="37">
        <v>2024</v>
      </c>
      <c r="H1428" s="37" t="s">
        <v>43</v>
      </c>
      <c r="I1428" s="39" t="s">
        <v>36</v>
      </c>
      <c r="J1428" s="37">
        <v>92</v>
      </c>
      <c r="K1428" s="43">
        <v>0</v>
      </c>
      <c r="L1428" s="65">
        <f t="shared" si="140"/>
        <v>0</v>
      </c>
      <c r="M1428" s="65">
        <f t="shared" si="141"/>
        <v>0</v>
      </c>
      <c r="N1428" s="37" t="s">
        <v>25</v>
      </c>
      <c r="O1428" s="37" t="s">
        <v>25</v>
      </c>
      <c r="P1428" s="40">
        <v>0</v>
      </c>
      <c r="Q1428" s="40">
        <v>0</v>
      </c>
      <c r="R1428" s="37" t="s">
        <v>1910</v>
      </c>
      <c r="S1428" s="37"/>
    </row>
    <row r="1429" spans="1:19" x14ac:dyDescent="0.3">
      <c r="A1429" s="36">
        <v>378</v>
      </c>
      <c r="B1429" s="37" t="s">
        <v>1889</v>
      </c>
      <c r="C1429" s="37" t="s">
        <v>72</v>
      </c>
      <c r="D1429" s="37" t="s">
        <v>73</v>
      </c>
      <c r="E1429" s="37" t="s">
        <v>22</v>
      </c>
      <c r="F1429" s="42">
        <v>45596</v>
      </c>
      <c r="G1429" s="37">
        <v>2024</v>
      </c>
      <c r="H1429" s="37" t="s">
        <v>89</v>
      </c>
      <c r="I1429" s="39" t="s">
        <v>36</v>
      </c>
      <c r="J1429" s="37">
        <v>92</v>
      </c>
      <c r="K1429" s="43">
        <v>0</v>
      </c>
      <c r="L1429" s="65">
        <f t="shared" si="140"/>
        <v>0</v>
      </c>
      <c r="M1429" s="65">
        <f t="shared" si="141"/>
        <v>0</v>
      </c>
      <c r="N1429" s="37" t="s">
        <v>25</v>
      </c>
      <c r="O1429" s="37" t="s">
        <v>25</v>
      </c>
      <c r="P1429" s="40">
        <v>0</v>
      </c>
      <c r="Q1429" s="40">
        <v>0</v>
      </c>
      <c r="R1429" s="37" t="s">
        <v>1911</v>
      </c>
      <c r="S1429" s="37"/>
    </row>
    <row r="1430" spans="1:19" x14ac:dyDescent="0.3">
      <c r="A1430" s="36">
        <v>378</v>
      </c>
      <c r="B1430" s="37" t="s">
        <v>1889</v>
      </c>
      <c r="C1430" s="37" t="s">
        <v>72</v>
      </c>
      <c r="D1430" s="37" t="s">
        <v>73</v>
      </c>
      <c r="E1430" s="37" t="s">
        <v>22</v>
      </c>
      <c r="F1430" s="42">
        <v>45626</v>
      </c>
      <c r="G1430" s="37">
        <v>2024</v>
      </c>
      <c r="H1430" s="37" t="s">
        <v>91</v>
      </c>
      <c r="I1430" s="39" t="s">
        <v>36</v>
      </c>
      <c r="J1430" s="37">
        <v>92</v>
      </c>
      <c r="K1430" s="43">
        <v>0</v>
      </c>
      <c r="L1430" s="65">
        <f t="shared" si="140"/>
        <v>0</v>
      </c>
      <c r="M1430" s="65">
        <f t="shared" si="141"/>
        <v>0</v>
      </c>
      <c r="N1430" s="37" t="s">
        <v>25</v>
      </c>
      <c r="O1430" s="37" t="s">
        <v>25</v>
      </c>
      <c r="P1430" s="40">
        <v>0</v>
      </c>
      <c r="Q1430" s="40">
        <v>0</v>
      </c>
      <c r="R1430" s="37" t="s">
        <v>1912</v>
      </c>
      <c r="S1430" s="37"/>
    </row>
    <row r="1431" spans="1:19" x14ac:dyDescent="0.3">
      <c r="A1431" s="36">
        <v>378</v>
      </c>
      <c r="B1431" s="37" t="s">
        <v>1889</v>
      </c>
      <c r="C1431" s="37" t="s">
        <v>72</v>
      </c>
      <c r="D1431" s="37" t="s">
        <v>73</v>
      </c>
      <c r="E1431" s="37" t="s">
        <v>22</v>
      </c>
      <c r="F1431" s="42">
        <v>45657</v>
      </c>
      <c r="G1431" s="37">
        <v>2024</v>
      </c>
      <c r="H1431" s="37" t="s">
        <v>27</v>
      </c>
      <c r="I1431" s="39" t="s">
        <v>36</v>
      </c>
      <c r="J1431" s="37">
        <v>0</v>
      </c>
      <c r="K1431" s="43">
        <v>0</v>
      </c>
      <c r="L1431" s="65" t="str">
        <f t="shared" si="140"/>
        <v/>
      </c>
      <c r="M1431" s="65" t="str">
        <f t="shared" si="141"/>
        <v/>
      </c>
      <c r="N1431" s="37" t="s">
        <v>25</v>
      </c>
      <c r="O1431" s="37" t="s">
        <v>25</v>
      </c>
      <c r="P1431" s="40">
        <v>0</v>
      </c>
      <c r="Q1431" s="40">
        <v>0</v>
      </c>
      <c r="R1431" s="37" t="s">
        <v>1913</v>
      </c>
      <c r="S1431" s="37"/>
    </row>
    <row r="1432" spans="1:19" x14ac:dyDescent="0.3">
      <c r="A1432" s="45">
        <v>379</v>
      </c>
      <c r="B1432" s="37" t="s">
        <v>1914</v>
      </c>
      <c r="C1432" s="37" t="s">
        <v>1915</v>
      </c>
      <c r="D1432" s="37" t="s">
        <v>21</v>
      </c>
      <c r="E1432" s="37" t="s">
        <v>22</v>
      </c>
      <c r="F1432" s="42">
        <v>45107</v>
      </c>
      <c r="G1432" s="37">
        <v>2023</v>
      </c>
      <c r="H1432" s="37" t="s">
        <v>23</v>
      </c>
      <c r="I1432" s="39" t="s">
        <v>30</v>
      </c>
      <c r="J1432" s="56">
        <v>12130</v>
      </c>
      <c r="K1432" s="56">
        <v>12461</v>
      </c>
      <c r="L1432" s="65">
        <f t="shared" si="140"/>
        <v>1.027287716405606</v>
      </c>
      <c r="M1432" s="65">
        <f t="shared" si="141"/>
        <v>1.027287716405606</v>
      </c>
      <c r="N1432" s="37" t="s">
        <v>203</v>
      </c>
      <c r="O1432" s="37" t="s">
        <v>203</v>
      </c>
      <c r="P1432" s="40">
        <v>0</v>
      </c>
      <c r="Q1432" s="40">
        <v>0</v>
      </c>
      <c r="R1432" s="37" t="s">
        <v>1916</v>
      </c>
      <c r="S1432" s="37"/>
    </row>
    <row r="1433" spans="1:19" x14ac:dyDescent="0.3">
      <c r="A1433" s="41">
        <v>379</v>
      </c>
      <c r="B1433" s="37" t="s">
        <v>1914</v>
      </c>
      <c r="C1433" s="37" t="s">
        <v>1915</v>
      </c>
      <c r="D1433" s="37" t="s">
        <v>21</v>
      </c>
      <c r="E1433" s="37" t="s">
        <v>22</v>
      </c>
      <c r="F1433" s="42">
        <v>45291</v>
      </c>
      <c r="G1433" s="37">
        <v>2023</v>
      </c>
      <c r="H1433" s="37" t="s">
        <v>27</v>
      </c>
      <c r="I1433" s="39" t="s">
        <v>32</v>
      </c>
      <c r="J1433" s="56">
        <v>9876</v>
      </c>
      <c r="K1433" s="56">
        <v>10730</v>
      </c>
      <c r="L1433" s="65">
        <f t="shared" si="140"/>
        <v>1.0864722559740785</v>
      </c>
      <c r="M1433" s="65">
        <f t="shared" si="141"/>
        <v>1.0864722559740785</v>
      </c>
      <c r="N1433" s="37" t="s">
        <v>203</v>
      </c>
      <c r="O1433" s="37" t="s">
        <v>203</v>
      </c>
      <c r="P1433" s="40">
        <v>0</v>
      </c>
      <c r="Q1433" s="40">
        <v>0</v>
      </c>
      <c r="R1433" s="37" t="s">
        <v>1917</v>
      </c>
      <c r="S1433" s="37"/>
    </row>
    <row r="1434" spans="1:19" x14ac:dyDescent="0.3">
      <c r="A1434" s="45">
        <v>379</v>
      </c>
      <c r="B1434" s="37" t="s">
        <v>1914</v>
      </c>
      <c r="C1434" s="37" t="s">
        <v>1915</v>
      </c>
      <c r="D1434" s="37" t="s">
        <v>21</v>
      </c>
      <c r="E1434" s="37" t="s">
        <v>22</v>
      </c>
      <c r="F1434" s="42">
        <v>45473</v>
      </c>
      <c r="G1434" s="37">
        <v>2024</v>
      </c>
      <c r="H1434" s="37" t="s">
        <v>23</v>
      </c>
      <c r="I1434" s="39" t="s">
        <v>34</v>
      </c>
      <c r="J1434" s="56">
        <v>13590</v>
      </c>
      <c r="K1434" s="56">
        <v>13035</v>
      </c>
      <c r="L1434" s="65">
        <f t="shared" si="140"/>
        <v>0.95916114790286977</v>
      </c>
      <c r="M1434" s="65">
        <f t="shared" si="141"/>
        <v>0.95916114790286977</v>
      </c>
      <c r="N1434" s="37" t="s">
        <v>203</v>
      </c>
      <c r="O1434" s="37" t="s">
        <v>203</v>
      </c>
      <c r="P1434" s="40">
        <v>0</v>
      </c>
      <c r="Q1434" s="40">
        <v>0</v>
      </c>
      <c r="R1434" s="37" t="s">
        <v>1918</v>
      </c>
      <c r="S1434" s="37"/>
    </row>
    <row r="1435" spans="1:19" x14ac:dyDescent="0.3">
      <c r="A1435" s="36">
        <v>379</v>
      </c>
      <c r="B1435" s="37" t="s">
        <v>1914</v>
      </c>
      <c r="C1435" s="37" t="s">
        <v>1915</v>
      </c>
      <c r="D1435" s="37" t="s">
        <v>21</v>
      </c>
      <c r="E1435" s="37" t="s">
        <v>22</v>
      </c>
      <c r="F1435" s="42">
        <v>45657</v>
      </c>
      <c r="G1435" s="37">
        <v>2024</v>
      </c>
      <c r="H1435" s="37" t="s">
        <v>27</v>
      </c>
      <c r="I1435" s="39" t="s">
        <v>36</v>
      </c>
      <c r="J1435" s="56">
        <v>10675</v>
      </c>
      <c r="K1435" s="56">
        <v>10601</v>
      </c>
      <c r="L1435" s="65">
        <f t="shared" si="140"/>
        <v>0.9930679156908665</v>
      </c>
      <c r="M1435" s="65">
        <f t="shared" si="141"/>
        <v>0.9930679156908665</v>
      </c>
      <c r="N1435" s="37" t="s">
        <v>203</v>
      </c>
      <c r="O1435" s="37" t="s">
        <v>203</v>
      </c>
      <c r="P1435" s="40">
        <v>0</v>
      </c>
      <c r="Q1435" s="40">
        <v>0</v>
      </c>
      <c r="R1435" s="37" t="s">
        <v>1919</v>
      </c>
      <c r="S1435" s="37"/>
    </row>
    <row r="1436" spans="1:19" x14ac:dyDescent="0.3">
      <c r="A1436" s="36">
        <v>380</v>
      </c>
      <c r="B1436" s="37" t="s">
        <v>1920</v>
      </c>
      <c r="C1436" s="37" t="s">
        <v>1915</v>
      </c>
      <c r="D1436" s="37" t="s">
        <v>21</v>
      </c>
      <c r="E1436" s="37" t="s">
        <v>22</v>
      </c>
      <c r="F1436" s="38">
        <v>45107</v>
      </c>
      <c r="G1436" s="37">
        <v>2023</v>
      </c>
      <c r="H1436" s="37" t="s">
        <v>23</v>
      </c>
      <c r="I1436" s="39" t="s">
        <v>30</v>
      </c>
      <c r="J1436" s="59">
        <f>24659314309/1000000</f>
        <v>24659.314309000001</v>
      </c>
      <c r="K1436" s="56">
        <f>25754085546/1000000</f>
        <v>25754.085545999998</v>
      </c>
      <c r="L1436" s="65">
        <f t="shared" si="140"/>
        <v>1.0443958507232471</v>
      </c>
      <c r="M1436" s="65">
        <f t="shared" si="141"/>
        <v>1.0443958507232471</v>
      </c>
      <c r="N1436" s="37" t="s">
        <v>264</v>
      </c>
      <c r="O1436" s="37" t="s">
        <v>264</v>
      </c>
      <c r="P1436" s="40">
        <v>0</v>
      </c>
      <c r="Q1436" s="40">
        <v>0</v>
      </c>
      <c r="R1436" s="37" t="s">
        <v>1921</v>
      </c>
      <c r="S1436" s="37"/>
    </row>
    <row r="1437" spans="1:19" x14ac:dyDescent="0.3">
      <c r="A1437" s="41">
        <v>380</v>
      </c>
      <c r="B1437" s="37" t="s">
        <v>1920</v>
      </c>
      <c r="C1437" s="37" t="s">
        <v>1915</v>
      </c>
      <c r="D1437" s="37" t="s">
        <v>21</v>
      </c>
      <c r="E1437" s="37" t="s">
        <v>22</v>
      </c>
      <c r="F1437" s="42">
        <v>45291</v>
      </c>
      <c r="G1437" s="37">
        <v>2023</v>
      </c>
      <c r="H1437" s="37" t="s">
        <v>27</v>
      </c>
      <c r="I1437" s="39" t="s">
        <v>32</v>
      </c>
      <c r="J1437" s="59">
        <f>24724802794/1000000</f>
        <v>24724.802793999999</v>
      </c>
      <c r="K1437" s="56">
        <f>25340546506/1000000</f>
        <v>25340.546505999999</v>
      </c>
      <c r="L1437" s="65">
        <f t="shared" si="140"/>
        <v>1.0249038876924601</v>
      </c>
      <c r="M1437" s="65">
        <f t="shared" si="141"/>
        <v>1.0249038876924601</v>
      </c>
      <c r="N1437" s="37" t="s">
        <v>264</v>
      </c>
      <c r="O1437" s="37" t="s">
        <v>264</v>
      </c>
      <c r="P1437" s="40">
        <v>0</v>
      </c>
      <c r="Q1437" s="40">
        <v>0</v>
      </c>
      <c r="R1437" s="37" t="s">
        <v>1922</v>
      </c>
      <c r="S1437" s="37"/>
    </row>
    <row r="1438" spans="1:19" x14ac:dyDescent="0.3">
      <c r="A1438" s="41">
        <v>380</v>
      </c>
      <c r="B1438" s="37" t="s">
        <v>1920</v>
      </c>
      <c r="C1438" s="37" t="s">
        <v>1915</v>
      </c>
      <c r="D1438" s="37" t="s">
        <v>21</v>
      </c>
      <c r="E1438" s="37" t="s">
        <v>22</v>
      </c>
      <c r="F1438" s="42">
        <v>45473</v>
      </c>
      <c r="G1438" s="37">
        <v>2024</v>
      </c>
      <c r="H1438" s="37" t="s">
        <v>23</v>
      </c>
      <c r="I1438" s="39" t="s">
        <v>34</v>
      </c>
      <c r="J1438" s="59">
        <f>29596269870/1000000</f>
        <v>29596.26987</v>
      </c>
      <c r="K1438" s="56">
        <f>28449632913/1000000</f>
        <v>28449.632913000001</v>
      </c>
      <c r="L1438" s="65">
        <f t="shared" si="140"/>
        <v>0.96125738270273453</v>
      </c>
      <c r="M1438" s="65">
        <f t="shared" si="141"/>
        <v>0.96125738270273453</v>
      </c>
      <c r="N1438" s="37" t="s">
        <v>264</v>
      </c>
      <c r="O1438" s="37" t="s">
        <v>264</v>
      </c>
      <c r="P1438" s="40">
        <v>0</v>
      </c>
      <c r="Q1438" s="40">
        <v>0</v>
      </c>
      <c r="R1438" s="37" t="s">
        <v>1923</v>
      </c>
      <c r="S1438" s="37"/>
    </row>
    <row r="1439" spans="1:19" x14ac:dyDescent="0.3">
      <c r="A1439" s="36">
        <v>380</v>
      </c>
      <c r="B1439" s="37" t="s">
        <v>1920</v>
      </c>
      <c r="C1439" s="37" t="s">
        <v>1915</v>
      </c>
      <c r="D1439" s="37" t="s">
        <v>21</v>
      </c>
      <c r="E1439" s="37" t="s">
        <v>22</v>
      </c>
      <c r="F1439" s="42">
        <v>45657</v>
      </c>
      <c r="G1439" s="37">
        <v>2024</v>
      </c>
      <c r="H1439" s="37" t="s">
        <v>27</v>
      </c>
      <c r="I1439" s="39" t="s">
        <v>36</v>
      </c>
      <c r="J1439" s="37">
        <v>100</v>
      </c>
      <c r="K1439" s="43">
        <v>78.92</v>
      </c>
      <c r="L1439" s="65">
        <f t="shared" si="140"/>
        <v>0.78920000000000001</v>
      </c>
      <c r="M1439" s="65">
        <f t="shared" si="141"/>
        <v>0.78920000000000001</v>
      </c>
      <c r="N1439" s="37" t="s">
        <v>264</v>
      </c>
      <c r="O1439" s="37" t="s">
        <v>264</v>
      </c>
      <c r="P1439" s="40">
        <v>0</v>
      </c>
      <c r="Q1439" s="40">
        <v>0</v>
      </c>
      <c r="R1439" s="37" t="s">
        <v>1924</v>
      </c>
      <c r="S1439" s="37"/>
    </row>
    <row r="1440" spans="1:19" x14ac:dyDescent="0.3">
      <c r="A1440" s="45">
        <v>381</v>
      </c>
      <c r="B1440" s="37" t="s">
        <v>1925</v>
      </c>
      <c r="C1440" s="37" t="s">
        <v>1915</v>
      </c>
      <c r="D1440" s="37" t="s">
        <v>21</v>
      </c>
      <c r="E1440" s="37" t="s">
        <v>22</v>
      </c>
      <c r="F1440" s="42">
        <v>45107</v>
      </c>
      <c r="G1440" s="37">
        <v>2023</v>
      </c>
      <c r="H1440" s="37" t="s">
        <v>23</v>
      </c>
      <c r="I1440" s="39" t="s">
        <v>30</v>
      </c>
      <c r="J1440" s="37">
        <v>1428</v>
      </c>
      <c r="K1440" s="56">
        <v>1489</v>
      </c>
      <c r="L1440" s="65">
        <f t="shared" si="140"/>
        <v>1.042717086834734</v>
      </c>
      <c r="M1440" s="65">
        <f t="shared" si="141"/>
        <v>1.042717086834734</v>
      </c>
      <c r="N1440" s="37" t="s">
        <v>203</v>
      </c>
      <c r="O1440" s="37" t="s">
        <v>203</v>
      </c>
      <c r="P1440" s="40">
        <v>0</v>
      </c>
      <c r="Q1440" s="40">
        <v>0</v>
      </c>
      <c r="R1440" s="37" t="s">
        <v>1926</v>
      </c>
      <c r="S1440" s="37"/>
    </row>
    <row r="1441" spans="1:19" x14ac:dyDescent="0.3">
      <c r="A1441" s="41">
        <v>381</v>
      </c>
      <c r="B1441" s="37" t="s">
        <v>1925</v>
      </c>
      <c r="C1441" s="37" t="s">
        <v>1915</v>
      </c>
      <c r="D1441" s="37" t="s">
        <v>21</v>
      </c>
      <c r="E1441" s="37" t="s">
        <v>22</v>
      </c>
      <c r="F1441" s="42">
        <v>45291</v>
      </c>
      <c r="G1441" s="37">
        <v>2023</v>
      </c>
      <c r="H1441" s="37" t="s">
        <v>27</v>
      </c>
      <c r="I1441" s="39" t="s">
        <v>32</v>
      </c>
      <c r="J1441" s="37">
        <v>1168</v>
      </c>
      <c r="K1441" s="56">
        <v>1328</v>
      </c>
      <c r="L1441" s="65">
        <f t="shared" si="140"/>
        <v>1.1369863013698631</v>
      </c>
      <c r="M1441" s="65">
        <f t="shared" si="141"/>
        <v>1.1369863013698631</v>
      </c>
      <c r="N1441" s="37" t="s">
        <v>203</v>
      </c>
      <c r="O1441" s="37" t="s">
        <v>203</v>
      </c>
      <c r="P1441" s="40">
        <v>0</v>
      </c>
      <c r="Q1441" s="40">
        <v>0</v>
      </c>
      <c r="R1441" s="37" t="s">
        <v>1927</v>
      </c>
      <c r="S1441" s="37"/>
    </row>
    <row r="1442" spans="1:19" x14ac:dyDescent="0.3">
      <c r="A1442" s="45">
        <v>381</v>
      </c>
      <c r="B1442" s="37" t="s">
        <v>1925</v>
      </c>
      <c r="C1442" s="37" t="s">
        <v>1915</v>
      </c>
      <c r="D1442" s="37" t="s">
        <v>21</v>
      </c>
      <c r="E1442" s="37" t="s">
        <v>22</v>
      </c>
      <c r="F1442" s="38">
        <v>45473</v>
      </c>
      <c r="G1442" s="37">
        <v>2024</v>
      </c>
      <c r="H1442" s="37" t="s">
        <v>23</v>
      </c>
      <c r="I1442" s="39" t="s">
        <v>34</v>
      </c>
      <c r="J1442" s="37">
        <v>1482</v>
      </c>
      <c r="K1442" s="56">
        <v>1560</v>
      </c>
      <c r="L1442" s="65">
        <f t="shared" si="140"/>
        <v>1.0526315789473684</v>
      </c>
      <c r="M1442" s="65">
        <f t="shared" si="141"/>
        <v>1.0526315789473684</v>
      </c>
      <c r="N1442" s="37" t="s">
        <v>203</v>
      </c>
      <c r="O1442" s="37" t="s">
        <v>203</v>
      </c>
      <c r="P1442" s="40">
        <v>0</v>
      </c>
      <c r="Q1442" s="40">
        <v>0</v>
      </c>
      <c r="R1442" s="37" t="s">
        <v>1928</v>
      </c>
      <c r="S1442" s="37"/>
    </row>
    <row r="1443" spans="1:19" x14ac:dyDescent="0.3">
      <c r="A1443" s="36">
        <v>381</v>
      </c>
      <c r="B1443" s="37" t="s">
        <v>1925</v>
      </c>
      <c r="C1443" s="37" t="s">
        <v>1915</v>
      </c>
      <c r="D1443" s="37" t="s">
        <v>21</v>
      </c>
      <c r="E1443" s="37" t="s">
        <v>22</v>
      </c>
      <c r="F1443" s="42">
        <v>45657</v>
      </c>
      <c r="G1443" s="37">
        <v>2024</v>
      </c>
      <c r="H1443" s="37" t="s">
        <v>27</v>
      </c>
      <c r="I1443" s="39" t="s">
        <v>36</v>
      </c>
      <c r="J1443" s="37">
        <v>1101</v>
      </c>
      <c r="K1443" s="37">
        <v>982</v>
      </c>
      <c r="L1443" s="65">
        <f t="shared" si="140"/>
        <v>0.89191643960036326</v>
      </c>
      <c r="M1443" s="65">
        <f t="shared" si="141"/>
        <v>0.89191643960036326</v>
      </c>
      <c r="N1443" s="37" t="s">
        <v>203</v>
      </c>
      <c r="O1443" s="37" t="s">
        <v>203</v>
      </c>
      <c r="P1443" s="40">
        <v>0</v>
      </c>
      <c r="Q1443" s="40">
        <v>0</v>
      </c>
      <c r="R1443" s="37" t="s">
        <v>1929</v>
      </c>
      <c r="S1443" s="37"/>
    </row>
    <row r="1444" spans="1:19" x14ac:dyDescent="0.3">
      <c r="A1444" s="37">
        <v>382</v>
      </c>
      <c r="B1444" s="37" t="s">
        <v>1930</v>
      </c>
      <c r="C1444" s="37" t="s">
        <v>1915</v>
      </c>
      <c r="D1444" s="37" t="s">
        <v>21</v>
      </c>
      <c r="E1444" s="37" t="s">
        <v>22</v>
      </c>
      <c r="F1444" s="42">
        <v>45107</v>
      </c>
      <c r="G1444" s="37">
        <v>2023</v>
      </c>
      <c r="H1444" s="37" t="s">
        <v>23</v>
      </c>
      <c r="I1444" s="39" t="s">
        <v>30</v>
      </c>
      <c r="J1444" s="37">
        <v>9117</v>
      </c>
      <c r="K1444" s="56">
        <v>9231</v>
      </c>
      <c r="L1444" s="65">
        <f t="shared" si="140"/>
        <v>1.01250411319513</v>
      </c>
      <c r="M1444" s="65">
        <f t="shared" si="141"/>
        <v>1.01250411319513</v>
      </c>
      <c r="N1444" s="37" t="s">
        <v>203</v>
      </c>
      <c r="O1444" s="37" t="s">
        <v>203</v>
      </c>
      <c r="P1444" s="40">
        <v>0</v>
      </c>
      <c r="Q1444" s="40">
        <v>0</v>
      </c>
      <c r="R1444" s="37" t="s">
        <v>1931</v>
      </c>
      <c r="S1444" s="37"/>
    </row>
    <row r="1445" spans="1:19" x14ac:dyDescent="0.3">
      <c r="A1445" s="37">
        <v>382</v>
      </c>
      <c r="B1445" s="37" t="s">
        <v>1930</v>
      </c>
      <c r="C1445" s="37" t="s">
        <v>1915</v>
      </c>
      <c r="D1445" s="37" t="s">
        <v>21</v>
      </c>
      <c r="E1445" s="37" t="s">
        <v>22</v>
      </c>
      <c r="F1445" s="42">
        <v>45291</v>
      </c>
      <c r="G1445" s="37">
        <v>2023</v>
      </c>
      <c r="H1445" s="37" t="s">
        <v>27</v>
      </c>
      <c r="I1445" s="39" t="s">
        <v>32</v>
      </c>
      <c r="J1445" s="37">
        <v>7616</v>
      </c>
      <c r="K1445" s="56">
        <v>7845</v>
      </c>
      <c r="L1445" s="65">
        <f t="shared" si="140"/>
        <v>1.0300682773109244</v>
      </c>
      <c r="M1445" s="65">
        <f t="shared" si="141"/>
        <v>1.0300682773109244</v>
      </c>
      <c r="N1445" s="37" t="s">
        <v>203</v>
      </c>
      <c r="O1445" s="37" t="s">
        <v>203</v>
      </c>
      <c r="P1445" s="40">
        <v>0</v>
      </c>
      <c r="Q1445" s="40">
        <v>0</v>
      </c>
      <c r="R1445" s="37" t="s">
        <v>1932</v>
      </c>
      <c r="S1445" s="37"/>
    </row>
    <row r="1446" spans="1:19" x14ac:dyDescent="0.3">
      <c r="A1446" s="37">
        <v>382</v>
      </c>
      <c r="B1446" s="37" t="s">
        <v>1930</v>
      </c>
      <c r="C1446" s="37" t="s">
        <v>1915</v>
      </c>
      <c r="D1446" s="37" t="s">
        <v>21</v>
      </c>
      <c r="E1446" s="37" t="s">
        <v>22</v>
      </c>
      <c r="F1446" s="38">
        <v>45473</v>
      </c>
      <c r="G1446" s="37">
        <v>2024</v>
      </c>
      <c r="H1446" s="37" t="s">
        <v>23</v>
      </c>
      <c r="I1446" s="39" t="s">
        <v>34</v>
      </c>
      <c r="J1446" s="37">
        <v>10220</v>
      </c>
      <c r="K1446" s="56">
        <v>9576</v>
      </c>
      <c r="L1446" s="65">
        <f t="shared" si="140"/>
        <v>0.93698630136986305</v>
      </c>
      <c r="M1446" s="65">
        <f t="shared" si="141"/>
        <v>0.93698630136986305</v>
      </c>
      <c r="N1446" s="37" t="s">
        <v>203</v>
      </c>
      <c r="O1446" s="37" t="s">
        <v>203</v>
      </c>
      <c r="P1446" s="40">
        <v>0</v>
      </c>
      <c r="Q1446" s="40">
        <v>0</v>
      </c>
      <c r="R1446" s="37" t="s">
        <v>1933</v>
      </c>
      <c r="S1446" s="37"/>
    </row>
    <row r="1447" spans="1:19" x14ac:dyDescent="0.3">
      <c r="A1447" s="36">
        <v>382</v>
      </c>
      <c r="B1447" s="37" t="s">
        <v>1930</v>
      </c>
      <c r="C1447" s="37" t="s">
        <v>1915</v>
      </c>
      <c r="D1447" s="37" t="s">
        <v>21</v>
      </c>
      <c r="E1447" s="37" t="s">
        <v>22</v>
      </c>
      <c r="F1447" s="42">
        <v>45657</v>
      </c>
      <c r="G1447" s="37">
        <v>2024</v>
      </c>
      <c r="H1447" s="37" t="s">
        <v>27</v>
      </c>
      <c r="I1447" s="39" t="s">
        <v>36</v>
      </c>
      <c r="J1447" s="37">
        <v>8220</v>
      </c>
      <c r="K1447" s="40">
        <v>8066</v>
      </c>
      <c r="L1447" s="65">
        <f t="shared" ref="L1447:L1465" si="142">IFERROR(IF(OR(J1447=0,K1447=""),"",IF(E1447="Positivo",MIN(MAX(K1447/J1447,0),1.3),MIN(MAX(J1447/K1447,0),1.3))),"")</f>
        <v>0.98126520681265206</v>
      </c>
      <c r="M1447" s="65">
        <f t="shared" ref="M1447:M1465" si="143">IFERROR(IF(OR(J1447=0,K1447=""),"",IF(E1447="Positivo",MAX(K1447/J1447,0),MAX(J1447/K1447,0))),"")</f>
        <v>0.98126520681265206</v>
      </c>
      <c r="N1447" s="37" t="s">
        <v>203</v>
      </c>
      <c r="O1447" s="37" t="s">
        <v>203</v>
      </c>
      <c r="P1447" s="40">
        <v>0</v>
      </c>
      <c r="Q1447" s="40">
        <v>0</v>
      </c>
      <c r="R1447" s="37" t="s">
        <v>1934</v>
      </c>
      <c r="S1447" s="37"/>
    </row>
    <row r="1448" spans="1:19" x14ac:dyDescent="0.3">
      <c r="A1448" s="45">
        <v>383</v>
      </c>
      <c r="B1448" s="37" t="s">
        <v>1935</v>
      </c>
      <c r="C1448" s="37" t="s">
        <v>1915</v>
      </c>
      <c r="D1448" s="37" t="s">
        <v>21</v>
      </c>
      <c r="E1448" s="37" t="s">
        <v>22</v>
      </c>
      <c r="F1448" s="42">
        <v>45107</v>
      </c>
      <c r="G1448" s="37">
        <v>2023</v>
      </c>
      <c r="H1448" s="37" t="s">
        <v>23</v>
      </c>
      <c r="I1448" s="39" t="s">
        <v>30</v>
      </c>
      <c r="J1448" s="3">
        <v>1279</v>
      </c>
      <c r="K1448" s="56">
        <v>1399</v>
      </c>
      <c r="L1448" s="65">
        <f t="shared" si="142"/>
        <v>1.0938232994526975</v>
      </c>
      <c r="M1448" s="65">
        <f t="shared" si="143"/>
        <v>1.0938232994526975</v>
      </c>
      <c r="N1448" s="37" t="s">
        <v>203</v>
      </c>
      <c r="O1448" s="37" t="s">
        <v>203</v>
      </c>
      <c r="P1448" s="40">
        <v>0</v>
      </c>
      <c r="Q1448" s="40">
        <v>0</v>
      </c>
      <c r="R1448" s="37" t="s">
        <v>1936</v>
      </c>
      <c r="S1448" s="37"/>
    </row>
    <row r="1449" spans="1:19" x14ac:dyDescent="0.3">
      <c r="A1449" s="41">
        <v>383</v>
      </c>
      <c r="B1449" s="37" t="s">
        <v>1935</v>
      </c>
      <c r="C1449" s="37" t="s">
        <v>1915</v>
      </c>
      <c r="D1449" s="37" t="s">
        <v>21</v>
      </c>
      <c r="E1449" s="37" t="s">
        <v>22</v>
      </c>
      <c r="F1449" s="42">
        <v>45291</v>
      </c>
      <c r="G1449" s="37">
        <v>2023</v>
      </c>
      <c r="H1449" s="37" t="s">
        <v>27</v>
      </c>
      <c r="I1449" s="39" t="s">
        <v>32</v>
      </c>
      <c r="J1449" s="3">
        <v>896</v>
      </c>
      <c r="K1449" s="56">
        <v>1332</v>
      </c>
      <c r="L1449" s="65">
        <f t="shared" si="142"/>
        <v>1.3</v>
      </c>
      <c r="M1449" s="65">
        <f t="shared" si="143"/>
        <v>1.4866071428571428</v>
      </c>
      <c r="N1449" s="37" t="s">
        <v>203</v>
      </c>
      <c r="O1449" s="37" t="s">
        <v>203</v>
      </c>
      <c r="P1449" s="40">
        <v>0</v>
      </c>
      <c r="Q1449" s="40">
        <v>0</v>
      </c>
      <c r="R1449" s="37" t="s">
        <v>1937</v>
      </c>
      <c r="S1449" s="37"/>
    </row>
    <row r="1450" spans="1:19" x14ac:dyDescent="0.3">
      <c r="A1450" s="45">
        <v>383</v>
      </c>
      <c r="B1450" s="37" t="s">
        <v>1935</v>
      </c>
      <c r="C1450" s="37" t="s">
        <v>1915</v>
      </c>
      <c r="D1450" s="37" t="s">
        <v>21</v>
      </c>
      <c r="E1450" s="37" t="s">
        <v>22</v>
      </c>
      <c r="F1450" s="38">
        <v>45473</v>
      </c>
      <c r="G1450" s="37">
        <v>2024</v>
      </c>
      <c r="H1450" s="37" t="s">
        <v>23</v>
      </c>
      <c r="I1450" s="39" t="s">
        <v>34</v>
      </c>
      <c r="J1450" s="3">
        <v>1525</v>
      </c>
      <c r="K1450" s="56">
        <v>1528</v>
      </c>
      <c r="L1450" s="65">
        <f t="shared" si="142"/>
        <v>1.0019672131147541</v>
      </c>
      <c r="M1450" s="65">
        <f t="shared" si="143"/>
        <v>1.0019672131147541</v>
      </c>
      <c r="N1450" s="37" t="s">
        <v>203</v>
      </c>
      <c r="O1450" s="37" t="s">
        <v>203</v>
      </c>
      <c r="P1450" s="40">
        <v>0</v>
      </c>
      <c r="Q1450" s="40">
        <v>0</v>
      </c>
      <c r="R1450" s="37" t="s">
        <v>1938</v>
      </c>
      <c r="S1450" s="37"/>
    </row>
    <row r="1451" spans="1:19" x14ac:dyDescent="0.3">
      <c r="A1451" s="36">
        <v>383</v>
      </c>
      <c r="B1451" s="37" t="s">
        <v>1935</v>
      </c>
      <c r="C1451" s="37" t="s">
        <v>1915</v>
      </c>
      <c r="D1451" s="37" t="s">
        <v>21</v>
      </c>
      <c r="E1451" s="37" t="s">
        <v>22</v>
      </c>
      <c r="F1451" s="42">
        <v>45657</v>
      </c>
      <c r="G1451" s="37">
        <v>2024</v>
      </c>
      <c r="H1451" s="37" t="s">
        <v>27</v>
      </c>
      <c r="I1451" s="39" t="s">
        <v>36</v>
      </c>
      <c r="J1451" s="3">
        <v>1106</v>
      </c>
      <c r="K1451" s="43">
        <v>1335</v>
      </c>
      <c r="L1451" s="65">
        <f t="shared" si="142"/>
        <v>1.2070524412296564</v>
      </c>
      <c r="M1451" s="65">
        <f t="shared" si="143"/>
        <v>1.2070524412296564</v>
      </c>
      <c r="N1451" s="37" t="s">
        <v>203</v>
      </c>
      <c r="O1451" s="37" t="s">
        <v>203</v>
      </c>
      <c r="P1451" s="40">
        <v>0</v>
      </c>
      <c r="Q1451" s="40">
        <v>0</v>
      </c>
      <c r="R1451" s="37" t="s">
        <v>1939</v>
      </c>
      <c r="S1451" s="37"/>
    </row>
    <row r="1452" spans="1:19" x14ac:dyDescent="0.3">
      <c r="A1452" s="45">
        <v>384</v>
      </c>
      <c r="B1452" s="37" t="s">
        <v>1940</v>
      </c>
      <c r="C1452" s="37" t="s">
        <v>1915</v>
      </c>
      <c r="D1452" s="37" t="s">
        <v>21</v>
      </c>
      <c r="E1452" s="37" t="s">
        <v>22</v>
      </c>
      <c r="F1452" s="42">
        <v>45107</v>
      </c>
      <c r="G1452" s="37">
        <v>2023</v>
      </c>
      <c r="H1452" s="37" t="s">
        <v>23</v>
      </c>
      <c r="I1452" s="39" t="s">
        <v>30</v>
      </c>
      <c r="J1452" s="37">
        <v>306</v>
      </c>
      <c r="K1452" s="56">
        <v>342</v>
      </c>
      <c r="L1452" s="65">
        <f t="shared" si="142"/>
        <v>1.1176470588235294</v>
      </c>
      <c r="M1452" s="65">
        <f t="shared" si="143"/>
        <v>1.1176470588235294</v>
      </c>
      <c r="N1452" s="37" t="s">
        <v>203</v>
      </c>
      <c r="O1452" s="37" t="s">
        <v>203</v>
      </c>
      <c r="P1452" s="40">
        <v>0</v>
      </c>
      <c r="Q1452" s="40">
        <v>0</v>
      </c>
      <c r="R1452" s="37" t="s">
        <v>1941</v>
      </c>
      <c r="S1452" s="37"/>
    </row>
    <row r="1453" spans="1:19" x14ac:dyDescent="0.3">
      <c r="A1453" s="41">
        <v>384</v>
      </c>
      <c r="B1453" s="37" t="s">
        <v>1940</v>
      </c>
      <c r="C1453" s="37" t="s">
        <v>1915</v>
      </c>
      <c r="D1453" s="37" t="s">
        <v>21</v>
      </c>
      <c r="E1453" s="37" t="s">
        <v>22</v>
      </c>
      <c r="F1453" s="42">
        <v>45291</v>
      </c>
      <c r="G1453" s="37">
        <v>2023</v>
      </c>
      <c r="H1453" s="37" t="s">
        <v>27</v>
      </c>
      <c r="I1453" s="39" t="s">
        <v>32</v>
      </c>
      <c r="J1453" s="37">
        <v>195</v>
      </c>
      <c r="K1453" s="56">
        <v>225</v>
      </c>
      <c r="L1453" s="65">
        <f t="shared" si="142"/>
        <v>1.1538461538461537</v>
      </c>
      <c r="M1453" s="65">
        <f t="shared" si="143"/>
        <v>1.1538461538461537</v>
      </c>
      <c r="N1453" s="37" t="s">
        <v>203</v>
      </c>
      <c r="O1453" s="37" t="s">
        <v>203</v>
      </c>
      <c r="P1453" s="40">
        <v>0</v>
      </c>
      <c r="Q1453" s="40">
        <v>0</v>
      </c>
      <c r="R1453" s="37" t="s">
        <v>1942</v>
      </c>
      <c r="S1453" s="37"/>
    </row>
    <row r="1454" spans="1:19" x14ac:dyDescent="0.3">
      <c r="A1454" s="45">
        <v>384</v>
      </c>
      <c r="B1454" s="37" t="s">
        <v>1940</v>
      </c>
      <c r="C1454" s="37" t="s">
        <v>1915</v>
      </c>
      <c r="D1454" s="37" t="s">
        <v>21</v>
      </c>
      <c r="E1454" s="37" t="s">
        <v>22</v>
      </c>
      <c r="F1454" s="38">
        <v>45473</v>
      </c>
      <c r="G1454" s="37">
        <v>2024</v>
      </c>
      <c r="H1454" s="37" t="s">
        <v>23</v>
      </c>
      <c r="I1454" s="39" t="s">
        <v>34</v>
      </c>
      <c r="J1454" s="37">
        <v>363</v>
      </c>
      <c r="K1454" s="56">
        <v>371</v>
      </c>
      <c r="L1454" s="65">
        <f t="shared" si="142"/>
        <v>1.0220385674931129</v>
      </c>
      <c r="M1454" s="65">
        <f t="shared" si="143"/>
        <v>1.0220385674931129</v>
      </c>
      <c r="N1454" s="37" t="s">
        <v>203</v>
      </c>
      <c r="O1454" s="37" t="s">
        <v>203</v>
      </c>
      <c r="P1454" s="40">
        <v>0</v>
      </c>
      <c r="Q1454" s="40">
        <v>0</v>
      </c>
      <c r="R1454" s="37" t="s">
        <v>1943</v>
      </c>
      <c r="S1454" s="37"/>
    </row>
    <row r="1455" spans="1:19" x14ac:dyDescent="0.3">
      <c r="A1455" s="36">
        <v>384</v>
      </c>
      <c r="B1455" s="37" t="s">
        <v>1940</v>
      </c>
      <c r="C1455" s="37" t="s">
        <v>1915</v>
      </c>
      <c r="D1455" s="37" t="s">
        <v>21</v>
      </c>
      <c r="E1455" s="37" t="s">
        <v>22</v>
      </c>
      <c r="F1455" s="42">
        <v>45657</v>
      </c>
      <c r="G1455" s="37">
        <v>2024</v>
      </c>
      <c r="H1455" s="37" t="s">
        <v>27</v>
      </c>
      <c r="I1455" s="39" t="s">
        <v>36</v>
      </c>
      <c r="J1455" s="37">
        <v>248</v>
      </c>
      <c r="K1455" s="43">
        <v>218</v>
      </c>
      <c r="L1455" s="65">
        <f t="shared" si="142"/>
        <v>0.87903225806451613</v>
      </c>
      <c r="M1455" s="65">
        <f t="shared" si="143"/>
        <v>0.87903225806451613</v>
      </c>
      <c r="N1455" s="37" t="s">
        <v>203</v>
      </c>
      <c r="O1455" s="37" t="s">
        <v>203</v>
      </c>
      <c r="P1455" s="40">
        <v>0</v>
      </c>
      <c r="Q1455" s="40">
        <v>0</v>
      </c>
      <c r="R1455" s="37" t="s">
        <v>1944</v>
      </c>
      <c r="S1455" s="37"/>
    </row>
    <row r="1456" spans="1:19" x14ac:dyDescent="0.3">
      <c r="A1456" s="45">
        <v>385</v>
      </c>
      <c r="B1456" s="37" t="s">
        <v>1945</v>
      </c>
      <c r="C1456" s="37" t="s">
        <v>1946</v>
      </c>
      <c r="D1456" s="37" t="s">
        <v>21</v>
      </c>
      <c r="E1456" s="37" t="s">
        <v>22</v>
      </c>
      <c r="F1456" s="42">
        <v>45107</v>
      </c>
      <c r="G1456" s="37">
        <v>2023</v>
      </c>
      <c r="H1456" s="37" t="s">
        <v>23</v>
      </c>
      <c r="I1456" s="39" t="s">
        <v>30</v>
      </c>
      <c r="J1456" s="37">
        <v>5315206000</v>
      </c>
      <c r="K1456" s="56">
        <v>5473857759</v>
      </c>
      <c r="L1456" s="65">
        <f t="shared" si="142"/>
        <v>1.0298486566654237</v>
      </c>
      <c r="M1456" s="65">
        <f t="shared" si="143"/>
        <v>1.0298486566654237</v>
      </c>
      <c r="N1456" s="37" t="s">
        <v>264</v>
      </c>
      <c r="O1456" s="37" t="s">
        <v>264</v>
      </c>
      <c r="P1456" s="40">
        <v>0</v>
      </c>
      <c r="Q1456" s="40">
        <v>0</v>
      </c>
      <c r="R1456" s="37" t="s">
        <v>1947</v>
      </c>
      <c r="S1456" s="37"/>
    </row>
    <row r="1457" spans="1:19" x14ac:dyDescent="0.3">
      <c r="A1457" s="41">
        <v>385</v>
      </c>
      <c r="B1457" s="37" t="s">
        <v>1945</v>
      </c>
      <c r="C1457" s="37" t="s">
        <v>1946</v>
      </c>
      <c r="D1457" s="37" t="s">
        <v>21</v>
      </c>
      <c r="E1457" s="37" t="s">
        <v>22</v>
      </c>
      <c r="F1457" s="42">
        <v>45291</v>
      </c>
      <c r="G1457" s="37">
        <v>2023</v>
      </c>
      <c r="H1457" s="37" t="s">
        <v>27</v>
      </c>
      <c r="I1457" s="39" t="s">
        <v>32</v>
      </c>
      <c r="J1457" s="37">
        <v>14097721000</v>
      </c>
      <c r="K1457" s="56">
        <v>17612977930</v>
      </c>
      <c r="L1457" s="65">
        <f t="shared" si="142"/>
        <v>1.2493493047564213</v>
      </c>
      <c r="M1457" s="65">
        <f t="shared" si="143"/>
        <v>1.2493493047564213</v>
      </c>
      <c r="N1457" s="37" t="s">
        <v>264</v>
      </c>
      <c r="O1457" s="37" t="s">
        <v>264</v>
      </c>
      <c r="P1457" s="40">
        <v>0</v>
      </c>
      <c r="Q1457" s="40">
        <v>0</v>
      </c>
      <c r="R1457" s="37" t="s">
        <v>1948</v>
      </c>
      <c r="S1457" s="37"/>
    </row>
    <row r="1458" spans="1:19" x14ac:dyDescent="0.3">
      <c r="A1458" s="45">
        <v>385</v>
      </c>
      <c r="B1458" s="37" t="s">
        <v>1945</v>
      </c>
      <c r="C1458" s="37" t="s">
        <v>1946</v>
      </c>
      <c r="D1458" s="37" t="s">
        <v>21</v>
      </c>
      <c r="E1458" s="37" t="s">
        <v>22</v>
      </c>
      <c r="F1458" s="42">
        <v>45473</v>
      </c>
      <c r="G1458" s="37">
        <v>2024</v>
      </c>
      <c r="H1458" s="37" t="s">
        <v>23</v>
      </c>
      <c r="I1458" s="39" t="s">
        <v>34</v>
      </c>
      <c r="J1458" s="37">
        <v>5441458845</v>
      </c>
      <c r="K1458" s="56">
        <v>6182862063</v>
      </c>
      <c r="L1458" s="65">
        <f t="shared" si="142"/>
        <v>1.1362508178631645</v>
      </c>
      <c r="M1458" s="65">
        <f t="shared" si="143"/>
        <v>1.1362508178631645</v>
      </c>
      <c r="N1458" s="37" t="s">
        <v>264</v>
      </c>
      <c r="O1458" s="37" t="s">
        <v>264</v>
      </c>
      <c r="P1458" s="40">
        <v>0</v>
      </c>
      <c r="Q1458" s="40">
        <v>0</v>
      </c>
      <c r="R1458" s="37" t="s">
        <v>1949</v>
      </c>
      <c r="S1458" s="37"/>
    </row>
    <row r="1459" spans="1:19" x14ac:dyDescent="0.3">
      <c r="A1459" s="36">
        <v>385</v>
      </c>
      <c r="B1459" s="37" t="s">
        <v>1945</v>
      </c>
      <c r="C1459" s="37" t="s">
        <v>1946</v>
      </c>
      <c r="D1459" s="37" t="s">
        <v>21</v>
      </c>
      <c r="E1459" s="37" t="s">
        <v>22</v>
      </c>
      <c r="F1459" s="42">
        <v>45657</v>
      </c>
      <c r="G1459" s="37">
        <v>2024</v>
      </c>
      <c r="H1459" s="37" t="s">
        <v>27</v>
      </c>
      <c r="I1459" s="39" t="s">
        <v>36</v>
      </c>
      <c r="J1459" s="37">
        <v>15507493100</v>
      </c>
      <c r="K1459" s="59">
        <v>13733393754</v>
      </c>
      <c r="L1459" s="65">
        <f t="shared" si="142"/>
        <v>0.88559728290319217</v>
      </c>
      <c r="M1459" s="65">
        <f t="shared" si="143"/>
        <v>0.88559728290319217</v>
      </c>
      <c r="N1459" s="37" t="s">
        <v>264</v>
      </c>
      <c r="O1459" s="37" t="s">
        <v>264</v>
      </c>
      <c r="P1459" s="40">
        <v>0</v>
      </c>
      <c r="Q1459" s="40">
        <v>0</v>
      </c>
      <c r="R1459" s="37" t="s">
        <v>1950</v>
      </c>
      <c r="S1459" s="37"/>
    </row>
    <row r="1460" spans="1:19" x14ac:dyDescent="0.3">
      <c r="A1460" s="37">
        <v>386</v>
      </c>
      <c r="B1460" s="37" t="s">
        <v>1951</v>
      </c>
      <c r="C1460" s="37" t="s">
        <v>1946</v>
      </c>
      <c r="D1460" s="37" t="s">
        <v>21</v>
      </c>
      <c r="E1460" s="37" t="s">
        <v>22</v>
      </c>
      <c r="F1460" s="42">
        <v>45107</v>
      </c>
      <c r="G1460" s="37">
        <v>2023</v>
      </c>
      <c r="H1460" s="37" t="s">
        <v>23</v>
      </c>
      <c r="I1460" s="37" t="s">
        <v>30</v>
      </c>
      <c r="J1460" s="37">
        <v>100</v>
      </c>
      <c r="K1460" s="37">
        <v>102.98486566654</v>
      </c>
      <c r="L1460" s="65">
        <f t="shared" si="142"/>
        <v>1.0298486566653999</v>
      </c>
      <c r="M1460" s="65">
        <f t="shared" si="143"/>
        <v>1.0298486566653999</v>
      </c>
      <c r="N1460" s="37" t="s">
        <v>25</v>
      </c>
      <c r="O1460" s="37" t="s">
        <v>25</v>
      </c>
      <c r="P1460" s="37">
        <v>0</v>
      </c>
      <c r="Q1460" s="37">
        <v>0</v>
      </c>
      <c r="R1460" s="37" t="s">
        <v>1952</v>
      </c>
      <c r="S1460" s="37"/>
    </row>
    <row r="1461" spans="1:19" x14ac:dyDescent="0.3">
      <c r="A1461" s="36">
        <v>386</v>
      </c>
      <c r="B1461" s="37" t="s">
        <v>1951</v>
      </c>
      <c r="C1461" s="37" t="s">
        <v>1946</v>
      </c>
      <c r="D1461" s="37" t="s">
        <v>21</v>
      </c>
      <c r="E1461" s="37" t="s">
        <v>22</v>
      </c>
      <c r="F1461" s="42">
        <v>45291</v>
      </c>
      <c r="G1461" s="37">
        <v>2023</v>
      </c>
      <c r="H1461" s="37" t="s">
        <v>27</v>
      </c>
      <c r="I1461" s="39" t="s">
        <v>32</v>
      </c>
      <c r="J1461" s="37">
        <v>100</v>
      </c>
      <c r="K1461" s="56">
        <v>138.22</v>
      </c>
      <c r="L1461" s="65">
        <f t="shared" si="142"/>
        <v>1.3</v>
      </c>
      <c r="M1461" s="65">
        <f t="shared" si="143"/>
        <v>1.3822000000000001</v>
      </c>
      <c r="N1461" s="37" t="s">
        <v>264</v>
      </c>
      <c r="O1461" s="37" t="s">
        <v>264</v>
      </c>
      <c r="P1461" s="40">
        <v>0</v>
      </c>
      <c r="Q1461" s="40">
        <v>0</v>
      </c>
      <c r="R1461" s="37" t="s">
        <v>1953</v>
      </c>
      <c r="S1461" s="37"/>
    </row>
    <row r="1462" spans="1:19" x14ac:dyDescent="0.3">
      <c r="A1462" s="36">
        <v>386</v>
      </c>
      <c r="B1462" s="37" t="s">
        <v>1951</v>
      </c>
      <c r="C1462" s="37" t="s">
        <v>1946</v>
      </c>
      <c r="D1462" s="37" t="s">
        <v>21</v>
      </c>
      <c r="E1462" s="37" t="s">
        <v>22</v>
      </c>
      <c r="F1462" s="42">
        <v>45473</v>
      </c>
      <c r="G1462" s="37">
        <v>2024</v>
      </c>
      <c r="H1462" s="37" t="s">
        <v>23</v>
      </c>
      <c r="I1462" s="39" t="s">
        <v>34</v>
      </c>
      <c r="J1462" s="37">
        <v>100</v>
      </c>
      <c r="K1462" s="56">
        <v>113.63</v>
      </c>
      <c r="L1462" s="65">
        <f t="shared" si="142"/>
        <v>1.1362999999999999</v>
      </c>
      <c r="M1462" s="65">
        <f t="shared" si="143"/>
        <v>1.1362999999999999</v>
      </c>
      <c r="N1462" s="37" t="s">
        <v>264</v>
      </c>
      <c r="O1462" s="37" t="s">
        <v>264</v>
      </c>
      <c r="P1462" s="40">
        <v>0</v>
      </c>
      <c r="Q1462" s="40">
        <v>0</v>
      </c>
      <c r="R1462" s="37" t="s">
        <v>1954</v>
      </c>
      <c r="S1462" s="37"/>
    </row>
    <row r="1463" spans="1:19" x14ac:dyDescent="0.3">
      <c r="A1463" s="36">
        <v>386</v>
      </c>
      <c r="B1463" s="37" t="s">
        <v>1951</v>
      </c>
      <c r="C1463" s="37" t="s">
        <v>1946</v>
      </c>
      <c r="D1463" s="37" t="s">
        <v>21</v>
      </c>
      <c r="E1463" s="37" t="s">
        <v>22</v>
      </c>
      <c r="F1463" s="42">
        <v>45657</v>
      </c>
      <c r="G1463" s="37">
        <v>2024</v>
      </c>
      <c r="H1463" s="37" t="s">
        <v>27</v>
      </c>
      <c r="I1463" s="39" t="s">
        <v>36</v>
      </c>
      <c r="J1463" s="37">
        <v>100</v>
      </c>
      <c r="K1463" s="56">
        <v>75.010000000000005</v>
      </c>
      <c r="L1463" s="65">
        <f t="shared" si="142"/>
        <v>0.7501000000000001</v>
      </c>
      <c r="M1463" s="65">
        <f t="shared" si="143"/>
        <v>0.7501000000000001</v>
      </c>
      <c r="N1463" s="37" t="s">
        <v>264</v>
      </c>
      <c r="O1463" s="37" t="s">
        <v>264</v>
      </c>
      <c r="P1463" s="40">
        <v>0</v>
      </c>
      <c r="Q1463" s="40">
        <v>0</v>
      </c>
      <c r="R1463" s="37" t="s">
        <v>1955</v>
      </c>
      <c r="S1463" s="37"/>
    </row>
    <row r="1464" spans="1:19" x14ac:dyDescent="0.3">
      <c r="A1464" s="36">
        <v>387</v>
      </c>
      <c r="B1464" s="37" t="s">
        <v>1958</v>
      </c>
      <c r="C1464" s="37" t="s">
        <v>1234</v>
      </c>
      <c r="D1464" s="37" t="s">
        <v>21</v>
      </c>
      <c r="E1464" s="37" t="s">
        <v>22</v>
      </c>
      <c r="F1464" s="38">
        <v>45107</v>
      </c>
      <c r="G1464" s="37">
        <v>2023</v>
      </c>
      <c r="H1464" s="37" t="s">
        <v>23</v>
      </c>
      <c r="I1464" s="39" t="s">
        <v>30</v>
      </c>
      <c r="J1464" s="37">
        <v>38</v>
      </c>
      <c r="K1464" s="56">
        <v>38</v>
      </c>
      <c r="L1464" s="65">
        <f t="shared" si="142"/>
        <v>1</v>
      </c>
      <c r="M1464" s="65">
        <f t="shared" si="143"/>
        <v>1</v>
      </c>
      <c r="N1464" s="37" t="s">
        <v>264</v>
      </c>
      <c r="O1464" s="37" t="s">
        <v>264</v>
      </c>
      <c r="P1464" s="40">
        <v>0</v>
      </c>
      <c r="Q1464" s="40">
        <v>0</v>
      </c>
      <c r="R1464" s="37" t="s">
        <v>1959</v>
      </c>
      <c r="S1464" s="37"/>
    </row>
    <row r="1465" spans="1:19" x14ac:dyDescent="0.3">
      <c r="A1465" s="41">
        <v>387</v>
      </c>
      <c r="B1465" s="37" t="s">
        <v>1958</v>
      </c>
      <c r="C1465" s="37" t="s">
        <v>1234</v>
      </c>
      <c r="D1465" s="37" t="s">
        <v>21</v>
      </c>
      <c r="E1465" s="37" t="s">
        <v>22</v>
      </c>
      <c r="F1465" s="42">
        <v>45291</v>
      </c>
      <c r="G1465" s="37">
        <v>2023</v>
      </c>
      <c r="H1465" s="37" t="s">
        <v>27</v>
      </c>
      <c r="I1465" s="39" t="s">
        <v>32</v>
      </c>
      <c r="J1465" s="37">
        <v>0</v>
      </c>
      <c r="K1465" s="56">
        <v>0</v>
      </c>
      <c r="L1465" s="65" t="str">
        <f t="shared" si="142"/>
        <v/>
      </c>
      <c r="M1465" s="65" t="str">
        <f t="shared" si="143"/>
        <v/>
      </c>
      <c r="N1465" s="37" t="s">
        <v>264</v>
      </c>
      <c r="O1465" s="37" t="s">
        <v>264</v>
      </c>
      <c r="P1465" s="40">
        <v>0</v>
      </c>
      <c r="Q1465" s="40">
        <v>0</v>
      </c>
      <c r="R1465" s="37" t="s">
        <v>1960</v>
      </c>
      <c r="S1465" s="37"/>
    </row>
    <row r="1466" spans="1:19" x14ac:dyDescent="0.3">
      <c r="A1466" s="36">
        <v>388</v>
      </c>
      <c r="B1466" s="37" t="s">
        <v>1961</v>
      </c>
      <c r="C1466" s="37" t="s">
        <v>1234</v>
      </c>
      <c r="D1466" s="37" t="s">
        <v>21</v>
      </c>
      <c r="E1466" s="37" t="s">
        <v>22</v>
      </c>
      <c r="F1466" s="38">
        <v>45107</v>
      </c>
      <c r="G1466" s="37">
        <v>2023</v>
      </c>
      <c r="H1466" s="37" t="s">
        <v>23</v>
      </c>
      <c r="I1466" s="39" t="s">
        <v>30</v>
      </c>
      <c r="J1466" s="37">
        <v>77</v>
      </c>
      <c r="K1466" s="56">
        <v>77</v>
      </c>
      <c r="L1466" s="65">
        <f t="shared" ref="L1466:L1471" si="144">IFERROR(IF(OR(J1466=0,K1466=""),"",IF(E1466="Positivo",MIN(MAX(K1466/J1466,0),1.3),MIN(MAX(J1466/K1466,0),1.3))),"")</f>
        <v>1</v>
      </c>
      <c r="M1466" s="65">
        <f t="shared" ref="M1466:M1471" si="145">IFERROR(IF(OR(J1466=0,K1466=""),"",IF(E1466="Positivo",MAX(K1466/J1466,0),MAX(J1466/K1466,0))),"")</f>
        <v>1</v>
      </c>
      <c r="N1466" s="37" t="s">
        <v>264</v>
      </c>
      <c r="O1466" s="37" t="s">
        <v>264</v>
      </c>
      <c r="P1466" s="40">
        <v>0</v>
      </c>
      <c r="Q1466" s="40">
        <v>0</v>
      </c>
      <c r="R1466" s="37" t="s">
        <v>1962</v>
      </c>
      <c r="S1466" s="37"/>
    </row>
    <row r="1467" spans="1:19" x14ac:dyDescent="0.3">
      <c r="A1467" s="41">
        <v>388</v>
      </c>
      <c r="B1467" s="37" t="s">
        <v>1961</v>
      </c>
      <c r="C1467" s="37" t="s">
        <v>1234</v>
      </c>
      <c r="D1467" s="37" t="s">
        <v>21</v>
      </c>
      <c r="E1467" s="37" t="s">
        <v>22</v>
      </c>
      <c r="F1467" s="42">
        <v>45291</v>
      </c>
      <c r="G1467" s="37">
        <v>2023</v>
      </c>
      <c r="H1467" s="37" t="s">
        <v>27</v>
      </c>
      <c r="I1467" s="39" t="s">
        <v>32</v>
      </c>
      <c r="J1467" s="37">
        <v>16</v>
      </c>
      <c r="K1467" s="56">
        <v>16</v>
      </c>
      <c r="L1467" s="65">
        <f t="shared" si="144"/>
        <v>1</v>
      </c>
      <c r="M1467" s="65">
        <f t="shared" si="145"/>
        <v>1</v>
      </c>
      <c r="N1467" s="37" t="s">
        <v>264</v>
      </c>
      <c r="O1467" s="37" t="s">
        <v>264</v>
      </c>
      <c r="P1467" s="40">
        <v>0</v>
      </c>
      <c r="Q1467" s="40">
        <v>0</v>
      </c>
      <c r="R1467" s="37" t="s">
        <v>1963</v>
      </c>
      <c r="S1467" s="37"/>
    </row>
    <row r="1468" spans="1:19" x14ac:dyDescent="0.3">
      <c r="A1468" s="36">
        <v>389</v>
      </c>
      <c r="B1468" s="37" t="s">
        <v>1964</v>
      </c>
      <c r="C1468" s="37" t="s">
        <v>1208</v>
      </c>
      <c r="D1468" s="37" t="s">
        <v>21</v>
      </c>
      <c r="E1468" s="37" t="s">
        <v>22</v>
      </c>
      <c r="F1468" s="38">
        <v>45107</v>
      </c>
      <c r="G1468" s="37">
        <v>2023</v>
      </c>
      <c r="H1468" s="37" t="s">
        <v>23</v>
      </c>
      <c r="I1468" s="39" t="s">
        <v>30</v>
      </c>
      <c r="J1468" s="37">
        <v>91</v>
      </c>
      <c r="K1468" s="56">
        <v>1017.39998626709</v>
      </c>
      <c r="L1468" s="65">
        <f t="shared" si="144"/>
        <v>1.3</v>
      </c>
      <c r="M1468" s="65">
        <f t="shared" si="145"/>
        <v>11.180219629308681</v>
      </c>
      <c r="N1468" s="37" t="s">
        <v>264</v>
      </c>
      <c r="O1468" s="37" t="s">
        <v>264</v>
      </c>
      <c r="P1468" s="40">
        <v>0</v>
      </c>
      <c r="Q1468" s="40">
        <v>0</v>
      </c>
      <c r="R1468" s="37" t="s">
        <v>1965</v>
      </c>
      <c r="S1468" s="37"/>
    </row>
    <row r="1469" spans="1:19" x14ac:dyDescent="0.3">
      <c r="A1469" s="41">
        <v>389</v>
      </c>
      <c r="B1469" s="37" t="s">
        <v>1964</v>
      </c>
      <c r="C1469" s="37" t="s">
        <v>1208</v>
      </c>
      <c r="D1469" s="37" t="s">
        <v>21</v>
      </c>
      <c r="E1469" s="37" t="s">
        <v>22</v>
      </c>
      <c r="F1469" s="42">
        <v>45291</v>
      </c>
      <c r="G1469" s="37">
        <v>2023</v>
      </c>
      <c r="H1469" s="37" t="s">
        <v>27</v>
      </c>
      <c r="I1469" s="39" t="s">
        <v>32</v>
      </c>
      <c r="J1469" s="37">
        <v>91</v>
      </c>
      <c r="K1469" s="56">
        <v>0</v>
      </c>
      <c r="L1469" s="65">
        <f t="shared" si="144"/>
        <v>0</v>
      </c>
      <c r="M1469" s="65">
        <f t="shared" si="145"/>
        <v>0</v>
      </c>
      <c r="N1469" s="37" t="s">
        <v>264</v>
      </c>
      <c r="O1469" s="37" t="s">
        <v>264</v>
      </c>
      <c r="P1469" s="40">
        <v>0</v>
      </c>
      <c r="Q1469" s="40">
        <v>0</v>
      </c>
      <c r="R1469" s="37" t="s">
        <v>1966</v>
      </c>
      <c r="S1469" s="37"/>
    </row>
    <row r="1470" spans="1:19" x14ac:dyDescent="0.3">
      <c r="A1470" s="37">
        <v>389</v>
      </c>
      <c r="B1470" s="37" t="s">
        <v>1964</v>
      </c>
      <c r="C1470" s="37" t="s">
        <v>1208</v>
      </c>
      <c r="D1470" s="37" t="s">
        <v>21</v>
      </c>
      <c r="E1470" s="37" t="s">
        <v>22</v>
      </c>
      <c r="F1470" s="42">
        <v>45473</v>
      </c>
      <c r="G1470" s="37">
        <v>2024</v>
      </c>
      <c r="H1470" s="37" t="s">
        <v>23</v>
      </c>
      <c r="I1470" s="39" t="s">
        <v>34</v>
      </c>
      <c r="J1470" s="37">
        <v>85</v>
      </c>
      <c r="K1470" s="37">
        <v>84.433333333333323</v>
      </c>
      <c r="L1470" s="65">
        <f t="shared" si="144"/>
        <v>0.99333333333333318</v>
      </c>
      <c r="M1470" s="65">
        <f t="shared" si="145"/>
        <v>0.99333333333333318</v>
      </c>
      <c r="N1470" s="37" t="s">
        <v>25</v>
      </c>
      <c r="O1470" s="37" t="s">
        <v>25</v>
      </c>
      <c r="P1470" s="37">
        <v>0</v>
      </c>
      <c r="Q1470" s="37">
        <v>0</v>
      </c>
      <c r="R1470" s="37" t="s">
        <v>1967</v>
      </c>
      <c r="S1470" s="37"/>
    </row>
    <row r="1471" spans="1:19" x14ac:dyDescent="0.3">
      <c r="A1471" s="36">
        <v>389</v>
      </c>
      <c r="B1471" s="37" t="s">
        <v>1964</v>
      </c>
      <c r="C1471" s="37" t="s">
        <v>1208</v>
      </c>
      <c r="D1471" s="37" t="s">
        <v>21</v>
      </c>
      <c r="E1471" s="37" t="s">
        <v>22</v>
      </c>
      <c r="F1471" s="42">
        <v>45657</v>
      </c>
      <c r="G1471" s="37">
        <v>2024</v>
      </c>
      <c r="H1471" s="37" t="s">
        <v>27</v>
      </c>
      <c r="I1471" s="39" t="s">
        <v>36</v>
      </c>
      <c r="J1471" s="37">
        <v>85</v>
      </c>
      <c r="K1471" s="43">
        <v>0</v>
      </c>
      <c r="L1471" s="65">
        <f t="shared" si="144"/>
        <v>0</v>
      </c>
      <c r="M1471" s="65">
        <f t="shared" si="145"/>
        <v>0</v>
      </c>
      <c r="N1471" s="37" t="s">
        <v>25</v>
      </c>
      <c r="O1471" s="37" t="s">
        <v>25</v>
      </c>
      <c r="P1471" s="40">
        <v>0</v>
      </c>
      <c r="Q1471" s="40">
        <v>0</v>
      </c>
      <c r="R1471" s="37" t="s">
        <v>1968</v>
      </c>
      <c r="S1471" s="37"/>
    </row>
    <row r="1472" spans="1:19" x14ac:dyDescent="0.3">
      <c r="A1472" s="37">
        <v>390</v>
      </c>
      <c r="B1472" s="37" t="s">
        <v>1970</v>
      </c>
      <c r="C1472" s="37" t="s">
        <v>1263</v>
      </c>
      <c r="D1472" s="37" t="s">
        <v>39</v>
      </c>
      <c r="E1472" s="37" t="s">
        <v>22</v>
      </c>
      <c r="F1472" s="42">
        <v>45016</v>
      </c>
      <c r="G1472" s="37">
        <v>2023</v>
      </c>
      <c r="H1472" s="37" t="s">
        <v>40</v>
      </c>
      <c r="I1472" s="37" t="s">
        <v>30</v>
      </c>
      <c r="J1472" s="37">
        <v>100</v>
      </c>
      <c r="K1472" s="37">
        <v>0</v>
      </c>
      <c r="L1472" s="65">
        <f t="shared" ref="L1472:L1479" si="146">IFERROR(IF(OR(J1472=0,K1472=""),"",IF(E1472="Positivo",MIN(MAX(K1472/J1472,0),1),MIN(MAX(J1472/K1472,0),1))),"")</f>
        <v>0</v>
      </c>
      <c r="M1472" s="65">
        <f t="shared" ref="M1472:M1479" si="147">IFERROR(IF(OR(J1472=0,K1472=""),"",IF(E1472="Positivo",MIN(MAX(K1472/J1472,0),1),MIN(MAX(J1472/K1472,0),1))),"")</f>
        <v>0</v>
      </c>
      <c r="N1472" s="37" t="s">
        <v>25</v>
      </c>
      <c r="O1472" s="37" t="s">
        <v>25</v>
      </c>
      <c r="P1472" s="37">
        <v>0</v>
      </c>
      <c r="Q1472" s="37">
        <v>0</v>
      </c>
      <c r="R1472" s="37" t="s">
        <v>1971</v>
      </c>
      <c r="S1472" s="37"/>
    </row>
    <row r="1473" spans="1:19" x14ac:dyDescent="0.3">
      <c r="A1473" s="36">
        <v>390</v>
      </c>
      <c r="B1473" s="37" t="s">
        <v>1970</v>
      </c>
      <c r="C1473" s="37" t="s">
        <v>1263</v>
      </c>
      <c r="D1473" s="37" t="s">
        <v>39</v>
      </c>
      <c r="E1473" s="37" t="s">
        <v>22</v>
      </c>
      <c r="F1473" s="42">
        <v>45107</v>
      </c>
      <c r="G1473" s="37">
        <v>2023</v>
      </c>
      <c r="H1473" s="37" t="s">
        <v>23</v>
      </c>
      <c r="I1473" s="39" t="s">
        <v>30</v>
      </c>
      <c r="J1473" s="37">
        <v>100</v>
      </c>
      <c r="K1473" s="56">
        <v>110.38416666667</v>
      </c>
      <c r="L1473" s="65">
        <f t="shared" si="146"/>
        <v>1</v>
      </c>
      <c r="M1473" s="65">
        <f t="shared" si="147"/>
        <v>1</v>
      </c>
      <c r="N1473" s="37" t="s">
        <v>25</v>
      </c>
      <c r="O1473" s="37" t="s">
        <v>25</v>
      </c>
      <c r="P1473" s="40">
        <v>0</v>
      </c>
      <c r="Q1473" s="40">
        <v>0</v>
      </c>
      <c r="R1473" s="37" t="s">
        <v>1972</v>
      </c>
      <c r="S1473" s="37"/>
    </row>
    <row r="1474" spans="1:19" x14ac:dyDescent="0.3">
      <c r="A1474" s="36">
        <v>390</v>
      </c>
      <c r="B1474" s="37" t="s">
        <v>1970</v>
      </c>
      <c r="C1474" s="37" t="s">
        <v>1263</v>
      </c>
      <c r="D1474" s="37" t="s">
        <v>39</v>
      </c>
      <c r="E1474" s="37" t="s">
        <v>22</v>
      </c>
      <c r="F1474" s="42">
        <v>45199</v>
      </c>
      <c r="G1474" s="37">
        <v>2023</v>
      </c>
      <c r="H1474" s="37" t="s">
        <v>43</v>
      </c>
      <c r="I1474" s="39" t="s">
        <v>32</v>
      </c>
      <c r="J1474" s="37">
        <v>100</v>
      </c>
      <c r="K1474" s="56">
        <v>95.344166666666993</v>
      </c>
      <c r="L1474" s="65">
        <f t="shared" si="146"/>
        <v>0.95344166666666996</v>
      </c>
      <c r="M1474" s="65">
        <f t="shared" si="147"/>
        <v>0.95344166666666996</v>
      </c>
      <c r="N1474" s="37" t="s">
        <v>25</v>
      </c>
      <c r="O1474" s="37" t="s">
        <v>25</v>
      </c>
      <c r="P1474" s="40">
        <v>0</v>
      </c>
      <c r="Q1474" s="40">
        <v>0</v>
      </c>
      <c r="R1474" s="37" t="s">
        <v>1973</v>
      </c>
      <c r="S1474" s="37"/>
    </row>
    <row r="1475" spans="1:19" x14ac:dyDescent="0.3">
      <c r="A1475" s="36">
        <v>390</v>
      </c>
      <c r="B1475" s="37" t="s">
        <v>1970</v>
      </c>
      <c r="C1475" s="37" t="s">
        <v>1263</v>
      </c>
      <c r="D1475" s="37" t="s">
        <v>39</v>
      </c>
      <c r="E1475" s="37" t="s">
        <v>22</v>
      </c>
      <c r="F1475" s="42">
        <v>45291</v>
      </c>
      <c r="G1475" s="37">
        <v>2023</v>
      </c>
      <c r="H1475" s="37" t="s">
        <v>27</v>
      </c>
      <c r="I1475" s="39" t="s">
        <v>32</v>
      </c>
      <c r="J1475" s="37">
        <v>100</v>
      </c>
      <c r="K1475" s="56">
        <v>99.249166666666994</v>
      </c>
      <c r="L1475" s="65">
        <f t="shared" si="146"/>
        <v>0.99249166666666999</v>
      </c>
      <c r="M1475" s="65">
        <f t="shared" si="147"/>
        <v>0.99249166666666999</v>
      </c>
      <c r="N1475" s="37" t="s">
        <v>25</v>
      </c>
      <c r="O1475" s="37" t="s">
        <v>25</v>
      </c>
      <c r="P1475" s="40">
        <v>0</v>
      </c>
      <c r="Q1475" s="40">
        <v>0</v>
      </c>
      <c r="R1475" s="37" t="s">
        <v>1974</v>
      </c>
      <c r="S1475" s="37"/>
    </row>
    <row r="1476" spans="1:19" x14ac:dyDescent="0.3">
      <c r="A1476" s="36">
        <v>390</v>
      </c>
      <c r="B1476" s="37" t="s">
        <v>1970</v>
      </c>
      <c r="C1476" s="37" t="s">
        <v>1263</v>
      </c>
      <c r="D1476" s="37" t="s">
        <v>39</v>
      </c>
      <c r="E1476" s="37" t="s">
        <v>22</v>
      </c>
      <c r="F1476" s="42">
        <v>45382</v>
      </c>
      <c r="G1476" s="37">
        <v>2024</v>
      </c>
      <c r="H1476" s="37" t="s">
        <v>40</v>
      </c>
      <c r="I1476" s="39" t="s">
        <v>34</v>
      </c>
      <c r="J1476" s="37">
        <v>100</v>
      </c>
      <c r="K1476" s="43">
        <v>168.53</v>
      </c>
      <c r="L1476" s="65">
        <f t="shared" si="146"/>
        <v>1</v>
      </c>
      <c r="M1476" s="65">
        <f t="shared" si="147"/>
        <v>1</v>
      </c>
      <c r="N1476" s="37"/>
      <c r="O1476" s="37"/>
      <c r="P1476" s="40">
        <v>0</v>
      </c>
      <c r="Q1476" s="40">
        <v>0</v>
      </c>
      <c r="R1476" s="37" t="s">
        <v>1975</v>
      </c>
      <c r="S1476" s="37"/>
    </row>
    <row r="1477" spans="1:19" x14ac:dyDescent="0.3">
      <c r="A1477" s="37">
        <v>390</v>
      </c>
      <c r="B1477" s="37" t="s">
        <v>1970</v>
      </c>
      <c r="C1477" s="37" t="s">
        <v>1263</v>
      </c>
      <c r="D1477" s="37" t="s">
        <v>39</v>
      </c>
      <c r="E1477" s="37" t="s">
        <v>22</v>
      </c>
      <c r="F1477" s="42">
        <v>45473</v>
      </c>
      <c r="G1477" s="37">
        <v>2024</v>
      </c>
      <c r="H1477" s="37" t="s">
        <v>23</v>
      </c>
      <c r="I1477" s="39" t="s">
        <v>34</v>
      </c>
      <c r="J1477" s="37">
        <v>100</v>
      </c>
      <c r="K1477" s="37">
        <v>110.59</v>
      </c>
      <c r="L1477" s="65">
        <f t="shared" si="146"/>
        <v>1</v>
      </c>
      <c r="M1477" s="65">
        <f t="shared" si="147"/>
        <v>1</v>
      </c>
      <c r="N1477" s="37"/>
      <c r="O1477" s="37"/>
      <c r="P1477" s="37">
        <v>0</v>
      </c>
      <c r="Q1477" s="37">
        <v>0</v>
      </c>
      <c r="R1477" s="37" t="s">
        <v>1976</v>
      </c>
      <c r="S1477" s="37"/>
    </row>
    <row r="1478" spans="1:19" x14ac:dyDescent="0.3">
      <c r="A1478" s="36">
        <v>390</v>
      </c>
      <c r="B1478" s="37" t="s">
        <v>1970</v>
      </c>
      <c r="C1478" s="37" t="s">
        <v>1263</v>
      </c>
      <c r="D1478" s="37" t="s">
        <v>39</v>
      </c>
      <c r="E1478" s="37" t="s">
        <v>22</v>
      </c>
      <c r="F1478" s="42">
        <v>45565</v>
      </c>
      <c r="G1478" s="37">
        <v>2024</v>
      </c>
      <c r="H1478" s="37" t="s">
        <v>43</v>
      </c>
      <c r="I1478" s="39" t="s">
        <v>36</v>
      </c>
      <c r="J1478" s="37">
        <v>100</v>
      </c>
      <c r="K1478" s="43">
        <v>83.32</v>
      </c>
      <c r="L1478" s="65">
        <f t="shared" si="146"/>
        <v>0.83319999999999994</v>
      </c>
      <c r="M1478" s="65">
        <f t="shared" si="147"/>
        <v>0.83319999999999994</v>
      </c>
      <c r="N1478" s="37"/>
      <c r="O1478" s="37"/>
      <c r="P1478" s="40">
        <v>0</v>
      </c>
      <c r="Q1478" s="40">
        <v>0</v>
      </c>
      <c r="R1478" s="37" t="s">
        <v>1977</v>
      </c>
      <c r="S1478" s="37"/>
    </row>
    <row r="1479" spans="1:19" x14ac:dyDescent="0.3">
      <c r="A1479" s="36">
        <v>390</v>
      </c>
      <c r="B1479" s="37" t="s">
        <v>1970</v>
      </c>
      <c r="C1479" s="37" t="s">
        <v>1263</v>
      </c>
      <c r="D1479" s="37" t="s">
        <v>39</v>
      </c>
      <c r="E1479" s="37" t="s">
        <v>22</v>
      </c>
      <c r="F1479" s="42">
        <v>45657</v>
      </c>
      <c r="G1479" s="37">
        <v>2024</v>
      </c>
      <c r="H1479" s="37" t="s">
        <v>27</v>
      </c>
      <c r="I1479" s="39" t="s">
        <v>36</v>
      </c>
      <c r="J1479" s="37">
        <v>100</v>
      </c>
      <c r="K1479" s="43">
        <v>99.92</v>
      </c>
      <c r="L1479" s="65">
        <f t="shared" si="146"/>
        <v>0.99919999999999998</v>
      </c>
      <c r="M1479" s="65">
        <f t="shared" si="147"/>
        <v>0.99919999999999998</v>
      </c>
      <c r="N1479" s="37"/>
      <c r="O1479" s="37"/>
      <c r="P1479" s="40">
        <v>0</v>
      </c>
      <c r="Q1479" s="40">
        <v>0</v>
      </c>
      <c r="R1479" s="37" t="s">
        <v>1978</v>
      </c>
      <c r="S1479" s="37"/>
    </row>
    <row r="1480" spans="1:19" x14ac:dyDescent="0.3">
      <c r="A1480" s="36">
        <v>391</v>
      </c>
      <c r="B1480" s="37" t="s">
        <v>1983</v>
      </c>
      <c r="C1480" s="37" t="s">
        <v>1984</v>
      </c>
      <c r="D1480" s="37" t="s">
        <v>21</v>
      </c>
      <c r="E1480" s="37" t="s">
        <v>22</v>
      </c>
      <c r="F1480" s="38">
        <v>45107</v>
      </c>
      <c r="G1480" s="37">
        <v>2023</v>
      </c>
      <c r="H1480" s="37" t="s">
        <v>23</v>
      </c>
      <c r="I1480" s="39" t="s">
        <v>30</v>
      </c>
      <c r="J1480" s="37">
        <v>100</v>
      </c>
      <c r="K1480" s="56">
        <v>100</v>
      </c>
      <c r="L1480" s="65">
        <f t="shared" ref="L1480:L1489" si="148">IFERROR(IF(OR(J1480=0,K1480=""),"",IF(E1480="Positivo",MIN(MAX(K1480/J1480,0),1.3),MIN(MAX(J1480/K1480,0),1.3))),"")</f>
        <v>1</v>
      </c>
      <c r="M1480" s="65">
        <f t="shared" ref="M1480:M1489" si="149">IFERROR(IF(OR(J1480=0,K1480=""),"",IF(E1480="Positivo",MAX(K1480/J1480,0),MAX(J1480/K1480,0))),"")</f>
        <v>1</v>
      </c>
      <c r="N1480" s="37" t="s">
        <v>25</v>
      </c>
      <c r="O1480" s="37" t="s">
        <v>25</v>
      </c>
      <c r="P1480" s="40">
        <v>0</v>
      </c>
      <c r="Q1480" s="40">
        <v>0</v>
      </c>
      <c r="R1480" s="37" t="s">
        <v>1985</v>
      </c>
      <c r="S1480" s="37"/>
    </row>
    <row r="1481" spans="1:19" x14ac:dyDescent="0.3">
      <c r="A1481" s="41">
        <v>391</v>
      </c>
      <c r="B1481" s="37" t="s">
        <v>1983</v>
      </c>
      <c r="C1481" s="37" t="s">
        <v>1984</v>
      </c>
      <c r="D1481" s="37" t="s">
        <v>21</v>
      </c>
      <c r="E1481" s="37" t="s">
        <v>22</v>
      </c>
      <c r="F1481" s="42">
        <v>45291</v>
      </c>
      <c r="G1481" s="37">
        <v>2023</v>
      </c>
      <c r="H1481" s="37" t="s">
        <v>27</v>
      </c>
      <c r="I1481" s="39" t="s">
        <v>32</v>
      </c>
      <c r="J1481" s="37">
        <v>100</v>
      </c>
      <c r="K1481" s="56">
        <v>100</v>
      </c>
      <c r="L1481" s="65">
        <f t="shared" si="148"/>
        <v>1</v>
      </c>
      <c r="M1481" s="65">
        <f t="shared" si="149"/>
        <v>1</v>
      </c>
      <c r="N1481" s="37" t="s">
        <v>25</v>
      </c>
      <c r="O1481" s="37" t="s">
        <v>25</v>
      </c>
      <c r="P1481" s="40">
        <v>0</v>
      </c>
      <c r="Q1481" s="40">
        <v>0</v>
      </c>
      <c r="R1481" s="37" t="s">
        <v>1986</v>
      </c>
      <c r="S1481" s="37"/>
    </row>
    <row r="1482" spans="1:19" x14ac:dyDescent="0.3">
      <c r="A1482" s="37">
        <v>391</v>
      </c>
      <c r="B1482" s="37" t="s">
        <v>1983</v>
      </c>
      <c r="C1482" s="37" t="s">
        <v>1984</v>
      </c>
      <c r="D1482" s="37" t="s">
        <v>21</v>
      </c>
      <c r="E1482" s="37" t="s">
        <v>22</v>
      </c>
      <c r="F1482" s="42">
        <v>45473</v>
      </c>
      <c r="G1482" s="37">
        <v>2024</v>
      </c>
      <c r="H1482" s="37" t="s">
        <v>23</v>
      </c>
      <c r="I1482" s="39" t="s">
        <v>34</v>
      </c>
      <c r="J1482" s="37">
        <v>96</v>
      </c>
      <c r="K1482" s="37">
        <v>100</v>
      </c>
      <c r="L1482" s="65">
        <f t="shared" si="148"/>
        <v>1.0416666666666667</v>
      </c>
      <c r="M1482" s="65">
        <f t="shared" si="149"/>
        <v>1.0416666666666667</v>
      </c>
      <c r="N1482" s="37" t="s">
        <v>25</v>
      </c>
      <c r="O1482" s="37" t="s">
        <v>25</v>
      </c>
      <c r="P1482" s="37">
        <v>0</v>
      </c>
      <c r="Q1482" s="37">
        <v>0</v>
      </c>
      <c r="R1482" s="37" t="s">
        <v>1987</v>
      </c>
      <c r="S1482" s="37"/>
    </row>
    <row r="1483" spans="1:19" x14ac:dyDescent="0.3">
      <c r="A1483" s="36">
        <v>391</v>
      </c>
      <c r="B1483" s="37" t="s">
        <v>1983</v>
      </c>
      <c r="C1483" s="37" t="s">
        <v>1984</v>
      </c>
      <c r="D1483" s="37" t="s">
        <v>21</v>
      </c>
      <c r="E1483" s="37" t="s">
        <v>22</v>
      </c>
      <c r="F1483" s="42">
        <v>45657</v>
      </c>
      <c r="G1483" s="37">
        <v>2024</v>
      </c>
      <c r="H1483" s="37" t="s">
        <v>27</v>
      </c>
      <c r="I1483" s="39" t="s">
        <v>36</v>
      </c>
      <c r="J1483" s="37">
        <v>96</v>
      </c>
      <c r="K1483" s="43">
        <v>100</v>
      </c>
      <c r="L1483" s="65">
        <f t="shared" si="148"/>
        <v>1.0416666666666667</v>
      </c>
      <c r="M1483" s="65">
        <f t="shared" si="149"/>
        <v>1.0416666666666667</v>
      </c>
      <c r="N1483" s="37" t="s">
        <v>25</v>
      </c>
      <c r="O1483" s="37" t="s">
        <v>25</v>
      </c>
      <c r="P1483" s="40">
        <v>0</v>
      </c>
      <c r="Q1483" s="40">
        <v>0</v>
      </c>
      <c r="R1483" s="37" t="s">
        <v>1988</v>
      </c>
      <c r="S1483" s="37"/>
    </row>
    <row r="1484" spans="1:19" x14ac:dyDescent="0.3">
      <c r="A1484" s="36">
        <v>392</v>
      </c>
      <c r="B1484" s="37" t="s">
        <v>1989</v>
      </c>
      <c r="C1484" s="37" t="s">
        <v>1984</v>
      </c>
      <c r="D1484" s="37" t="s">
        <v>21</v>
      </c>
      <c r="E1484" s="37" t="s">
        <v>22</v>
      </c>
      <c r="F1484" s="38">
        <v>45107</v>
      </c>
      <c r="G1484" s="37">
        <v>2023</v>
      </c>
      <c r="H1484" s="37" t="s">
        <v>23</v>
      </c>
      <c r="I1484" s="39" t="s">
        <v>30</v>
      </c>
      <c r="J1484" s="68">
        <v>310000000</v>
      </c>
      <c r="K1484" s="56">
        <v>341285148</v>
      </c>
      <c r="L1484" s="65">
        <f t="shared" si="148"/>
        <v>1.1009198322580644</v>
      </c>
      <c r="M1484" s="65">
        <f t="shared" si="149"/>
        <v>1.1009198322580644</v>
      </c>
      <c r="N1484" s="60" t="s">
        <v>25</v>
      </c>
      <c r="O1484" s="60" t="s">
        <v>25</v>
      </c>
      <c r="P1484" s="40">
        <v>0</v>
      </c>
      <c r="Q1484" s="40">
        <v>0</v>
      </c>
      <c r="R1484" s="37" t="s">
        <v>1990</v>
      </c>
      <c r="S1484" s="37"/>
    </row>
    <row r="1485" spans="1:19" x14ac:dyDescent="0.3">
      <c r="A1485" s="41">
        <v>392</v>
      </c>
      <c r="B1485" s="37" t="s">
        <v>1989</v>
      </c>
      <c r="C1485" s="37" t="s">
        <v>1984</v>
      </c>
      <c r="D1485" s="37" t="s">
        <v>21</v>
      </c>
      <c r="E1485" s="37" t="s">
        <v>22</v>
      </c>
      <c r="F1485" s="42">
        <v>45291</v>
      </c>
      <c r="G1485" s="37">
        <v>2023</v>
      </c>
      <c r="H1485" s="37" t="s">
        <v>27</v>
      </c>
      <c r="I1485" s="39" t="s">
        <v>32</v>
      </c>
      <c r="J1485" s="37">
        <v>730000000</v>
      </c>
      <c r="K1485" s="56">
        <v>1075863089</v>
      </c>
      <c r="L1485" s="65">
        <f t="shared" si="148"/>
        <v>1.3</v>
      </c>
      <c r="M1485" s="65">
        <f t="shared" si="149"/>
        <v>1.4737850534246575</v>
      </c>
      <c r="N1485" s="37" t="s">
        <v>25</v>
      </c>
      <c r="O1485" s="37" t="s">
        <v>25</v>
      </c>
      <c r="P1485" s="40">
        <v>0</v>
      </c>
      <c r="Q1485" s="40">
        <v>0</v>
      </c>
      <c r="R1485" s="37" t="s">
        <v>1991</v>
      </c>
      <c r="S1485" s="37"/>
    </row>
    <row r="1486" spans="1:19" x14ac:dyDescent="0.3">
      <c r="A1486" s="37">
        <v>392</v>
      </c>
      <c r="B1486" s="37" t="s">
        <v>1989</v>
      </c>
      <c r="C1486" s="37" t="s">
        <v>1984</v>
      </c>
      <c r="D1486" s="37" t="s">
        <v>21</v>
      </c>
      <c r="E1486" s="37" t="s">
        <v>22</v>
      </c>
      <c r="F1486" s="42">
        <v>45473</v>
      </c>
      <c r="G1486" s="37">
        <v>2024</v>
      </c>
      <c r="H1486" s="37" t="s">
        <v>23</v>
      </c>
      <c r="I1486" s="39" t="s">
        <v>34</v>
      </c>
      <c r="J1486" s="68">
        <v>341000000</v>
      </c>
      <c r="K1486" s="68">
        <v>334552287</v>
      </c>
      <c r="L1486" s="65">
        <f t="shared" si="148"/>
        <v>0.98109175073313781</v>
      </c>
      <c r="M1486" s="65">
        <f t="shared" si="149"/>
        <v>0.98109175073313781</v>
      </c>
      <c r="N1486" s="37" t="s">
        <v>264</v>
      </c>
      <c r="O1486" s="37" t="s">
        <v>264</v>
      </c>
      <c r="P1486" s="37">
        <v>0</v>
      </c>
      <c r="Q1486" s="37">
        <v>0</v>
      </c>
      <c r="R1486" s="37" t="s">
        <v>1992</v>
      </c>
      <c r="S1486" s="37"/>
    </row>
    <row r="1487" spans="1:19" x14ac:dyDescent="0.3">
      <c r="A1487" s="36">
        <v>392</v>
      </c>
      <c r="B1487" s="37" t="s">
        <v>1989</v>
      </c>
      <c r="C1487" s="37" t="s">
        <v>1984</v>
      </c>
      <c r="D1487" s="37" t="s">
        <v>21</v>
      </c>
      <c r="E1487" s="37" t="s">
        <v>22</v>
      </c>
      <c r="F1487" s="42">
        <v>45657</v>
      </c>
      <c r="G1487" s="37">
        <v>2024</v>
      </c>
      <c r="H1487" s="37" t="s">
        <v>27</v>
      </c>
      <c r="I1487" s="39" t="s">
        <v>36</v>
      </c>
      <c r="J1487" s="37">
        <v>803000000</v>
      </c>
      <c r="K1487" s="43">
        <v>1166018880</v>
      </c>
      <c r="L1487" s="65">
        <f t="shared" si="148"/>
        <v>1.3</v>
      </c>
      <c r="M1487" s="65">
        <f t="shared" si="149"/>
        <v>1.4520783063511831</v>
      </c>
      <c r="N1487" s="37" t="s">
        <v>264</v>
      </c>
      <c r="O1487" s="37" t="s">
        <v>264</v>
      </c>
      <c r="P1487" s="40">
        <v>0</v>
      </c>
      <c r="Q1487" s="40">
        <v>0</v>
      </c>
      <c r="R1487" s="37" t="s">
        <v>1993</v>
      </c>
      <c r="S1487" s="37"/>
    </row>
    <row r="1488" spans="1:19" x14ac:dyDescent="0.3">
      <c r="A1488" s="41">
        <v>393</v>
      </c>
      <c r="B1488" s="37" t="s">
        <v>1994</v>
      </c>
      <c r="C1488" s="37" t="s">
        <v>1984</v>
      </c>
      <c r="D1488" s="37" t="s">
        <v>139</v>
      </c>
      <c r="E1488" s="37" t="s">
        <v>22</v>
      </c>
      <c r="F1488" s="42">
        <v>45291</v>
      </c>
      <c r="G1488" s="37">
        <v>2023</v>
      </c>
      <c r="H1488" s="37" t="s">
        <v>27</v>
      </c>
      <c r="I1488" s="39" t="s">
        <v>32</v>
      </c>
      <c r="J1488" s="37">
        <v>15</v>
      </c>
      <c r="K1488" s="56">
        <v>15.45</v>
      </c>
      <c r="L1488" s="65">
        <f t="shared" si="148"/>
        <v>1.03</v>
      </c>
      <c r="M1488" s="65">
        <f t="shared" si="149"/>
        <v>1.03</v>
      </c>
      <c r="N1488" s="37" t="s">
        <v>264</v>
      </c>
      <c r="O1488" s="37" t="s">
        <v>264</v>
      </c>
      <c r="P1488" s="40">
        <v>0</v>
      </c>
      <c r="Q1488" s="40">
        <v>0</v>
      </c>
      <c r="R1488" s="37" t="s">
        <v>1995</v>
      </c>
      <c r="S1488" s="37"/>
    </row>
    <row r="1489" spans="1:19" x14ac:dyDescent="0.3">
      <c r="A1489" s="36">
        <v>393</v>
      </c>
      <c r="B1489" s="37" t="s">
        <v>1994</v>
      </c>
      <c r="C1489" s="37" t="s">
        <v>1984</v>
      </c>
      <c r="D1489" s="37" t="s">
        <v>139</v>
      </c>
      <c r="E1489" s="37" t="s">
        <v>56</v>
      </c>
      <c r="F1489" s="42">
        <v>45657</v>
      </c>
      <c r="G1489" s="37">
        <v>2024</v>
      </c>
      <c r="H1489" s="37" t="s">
        <v>27</v>
      </c>
      <c r="I1489" s="39" t="s">
        <v>36</v>
      </c>
      <c r="J1489" s="37">
        <v>15</v>
      </c>
      <c r="K1489" s="43">
        <v>13</v>
      </c>
      <c r="L1489" s="65">
        <f t="shared" si="148"/>
        <v>1.1538461538461537</v>
      </c>
      <c r="M1489" s="65">
        <f t="shared" si="149"/>
        <v>1.1538461538461537</v>
      </c>
      <c r="N1489" s="37"/>
      <c r="O1489" s="37"/>
      <c r="P1489" s="40">
        <v>0</v>
      </c>
      <c r="Q1489" s="40">
        <v>0</v>
      </c>
      <c r="R1489" s="37" t="s">
        <v>1996</v>
      </c>
      <c r="S1489" s="37"/>
    </row>
    <row r="1490" spans="1:19" x14ac:dyDescent="0.3">
      <c r="A1490" s="37">
        <v>394</v>
      </c>
      <c r="B1490" s="37" t="s">
        <v>1997</v>
      </c>
      <c r="C1490" s="37" t="s">
        <v>1998</v>
      </c>
      <c r="D1490" s="37" t="s">
        <v>21</v>
      </c>
      <c r="E1490" s="37" t="s">
        <v>22</v>
      </c>
      <c r="F1490" s="42">
        <v>45016</v>
      </c>
      <c r="G1490" s="37">
        <v>2023</v>
      </c>
      <c r="H1490" s="37" t="s">
        <v>40</v>
      </c>
      <c r="I1490" s="37" t="s">
        <v>30</v>
      </c>
      <c r="J1490" s="37">
        <v>0</v>
      </c>
      <c r="K1490" s="37">
        <v>0</v>
      </c>
      <c r="L1490" s="65" t="str">
        <f t="shared" ref="L1490:L1510" si="150">IFERROR(IF(OR(J1490=0,K1490=""),"",IF(E1490="Positivo",MIN(MAX(K1490/J1490,0),1.3),MIN(MAX(J1490/K1490,0),1.3))),"")</f>
        <v/>
      </c>
      <c r="M1490" s="65" t="str">
        <f t="shared" ref="M1490:M1510" si="151">IFERROR(IF(OR(J1490=0,K1490=""),"",IF(E1490="Positivo",MAX(K1490/J1490,0),MAX(J1490/K1490,0))),"")</f>
        <v/>
      </c>
      <c r="N1490" s="37" t="s">
        <v>203</v>
      </c>
      <c r="O1490" s="37" t="s">
        <v>203</v>
      </c>
      <c r="P1490" s="37">
        <v>0</v>
      </c>
      <c r="Q1490" s="37">
        <v>0</v>
      </c>
      <c r="R1490" s="37" t="s">
        <v>1999</v>
      </c>
      <c r="S1490" s="37"/>
    </row>
    <row r="1491" spans="1:19" x14ac:dyDescent="0.3">
      <c r="A1491" s="36">
        <v>394</v>
      </c>
      <c r="B1491" s="37" t="s">
        <v>1997</v>
      </c>
      <c r="C1491" s="37" t="s">
        <v>1998</v>
      </c>
      <c r="D1491" s="37" t="s">
        <v>21</v>
      </c>
      <c r="E1491" s="37" t="s">
        <v>22</v>
      </c>
      <c r="F1491" s="38">
        <v>45107</v>
      </c>
      <c r="G1491" s="37">
        <v>2023</v>
      </c>
      <c r="H1491" s="37" t="s">
        <v>23</v>
      </c>
      <c r="I1491" s="39" t="s">
        <v>30</v>
      </c>
      <c r="J1491" s="37">
        <v>175</v>
      </c>
      <c r="K1491" s="56">
        <v>482</v>
      </c>
      <c r="L1491" s="65">
        <f t="shared" si="150"/>
        <v>1.3</v>
      </c>
      <c r="M1491" s="65">
        <f t="shared" si="151"/>
        <v>2.7542857142857144</v>
      </c>
      <c r="N1491" s="37" t="s">
        <v>203</v>
      </c>
      <c r="O1491" s="37" t="s">
        <v>203</v>
      </c>
      <c r="P1491" s="40">
        <v>0</v>
      </c>
      <c r="Q1491" s="40">
        <v>0</v>
      </c>
      <c r="R1491" s="37" t="s">
        <v>2000</v>
      </c>
      <c r="S1491" s="37"/>
    </row>
    <row r="1492" spans="1:19" x14ac:dyDescent="0.3">
      <c r="A1492" s="37">
        <v>394</v>
      </c>
      <c r="B1492" s="37" t="s">
        <v>1997</v>
      </c>
      <c r="C1492" s="37" t="s">
        <v>1998</v>
      </c>
      <c r="D1492" s="37" t="s">
        <v>21</v>
      </c>
      <c r="E1492" s="37" t="s">
        <v>22</v>
      </c>
      <c r="F1492" s="42">
        <v>45199</v>
      </c>
      <c r="G1492" s="37">
        <v>2023</v>
      </c>
      <c r="H1492" s="37" t="s">
        <v>43</v>
      </c>
      <c r="I1492" s="37" t="s">
        <v>32</v>
      </c>
      <c r="J1492" s="37">
        <v>0</v>
      </c>
      <c r="K1492" s="37">
        <v>0</v>
      </c>
      <c r="L1492" s="65" t="str">
        <f t="shared" si="150"/>
        <v/>
      </c>
      <c r="M1492" s="65" t="str">
        <f t="shared" si="151"/>
        <v/>
      </c>
      <c r="N1492" s="37" t="s">
        <v>203</v>
      </c>
      <c r="O1492" s="37" t="s">
        <v>203</v>
      </c>
      <c r="P1492" s="37">
        <v>0</v>
      </c>
      <c r="Q1492" s="37">
        <v>0</v>
      </c>
      <c r="R1492" s="37" t="s">
        <v>2001</v>
      </c>
      <c r="S1492" s="37"/>
    </row>
    <row r="1493" spans="1:19" x14ac:dyDescent="0.3">
      <c r="A1493" s="41">
        <v>394</v>
      </c>
      <c r="B1493" s="37" t="s">
        <v>1997</v>
      </c>
      <c r="C1493" s="37" t="s">
        <v>1998</v>
      </c>
      <c r="D1493" s="37" t="s">
        <v>21</v>
      </c>
      <c r="E1493" s="37" t="s">
        <v>22</v>
      </c>
      <c r="F1493" s="42">
        <v>45291</v>
      </c>
      <c r="G1493" s="37">
        <v>2023</v>
      </c>
      <c r="H1493" s="37" t="s">
        <v>27</v>
      </c>
      <c r="I1493" s="39" t="s">
        <v>32</v>
      </c>
      <c r="J1493" s="37">
        <v>175</v>
      </c>
      <c r="K1493" s="56">
        <v>612</v>
      </c>
      <c r="L1493" s="65">
        <f t="shared" si="150"/>
        <v>1.3</v>
      </c>
      <c r="M1493" s="65">
        <f t="shared" si="151"/>
        <v>3.4971428571428573</v>
      </c>
      <c r="N1493" s="37" t="s">
        <v>203</v>
      </c>
      <c r="O1493" s="37" t="s">
        <v>203</v>
      </c>
      <c r="P1493" s="40">
        <v>0</v>
      </c>
      <c r="Q1493" s="40">
        <v>0</v>
      </c>
      <c r="R1493" s="37" t="s">
        <v>2002</v>
      </c>
      <c r="S1493" s="37"/>
    </row>
    <row r="1494" spans="1:19" x14ac:dyDescent="0.3">
      <c r="A1494" s="37">
        <v>394</v>
      </c>
      <c r="B1494" s="37" t="s">
        <v>1997</v>
      </c>
      <c r="C1494" s="37" t="s">
        <v>1998</v>
      </c>
      <c r="D1494" s="37" t="s">
        <v>21</v>
      </c>
      <c r="E1494" s="37" t="s">
        <v>22</v>
      </c>
      <c r="F1494" s="42">
        <v>45382</v>
      </c>
      <c r="G1494" s="37">
        <v>2024</v>
      </c>
      <c r="H1494" s="37" t="s">
        <v>40</v>
      </c>
      <c r="I1494" s="37" t="s">
        <v>34</v>
      </c>
      <c r="J1494" s="37">
        <v>0</v>
      </c>
      <c r="K1494" s="37">
        <v>0</v>
      </c>
      <c r="L1494" s="65" t="str">
        <f t="shared" si="150"/>
        <v/>
      </c>
      <c r="M1494" s="65" t="str">
        <f t="shared" si="151"/>
        <v/>
      </c>
      <c r="N1494" s="37" t="s">
        <v>203</v>
      </c>
      <c r="O1494" s="37" t="s">
        <v>203</v>
      </c>
      <c r="P1494" s="37">
        <v>0</v>
      </c>
      <c r="Q1494" s="37">
        <v>0</v>
      </c>
      <c r="R1494" s="37" t="s">
        <v>2003</v>
      </c>
      <c r="S1494" s="37"/>
    </row>
    <row r="1495" spans="1:19" x14ac:dyDescent="0.3">
      <c r="A1495" s="37">
        <v>394</v>
      </c>
      <c r="B1495" s="37" t="s">
        <v>1997</v>
      </c>
      <c r="C1495" s="37" t="s">
        <v>1998</v>
      </c>
      <c r="D1495" s="37" t="s">
        <v>21</v>
      </c>
      <c r="E1495" s="37" t="s">
        <v>22</v>
      </c>
      <c r="F1495" s="42">
        <v>45473</v>
      </c>
      <c r="G1495" s="37">
        <v>2024</v>
      </c>
      <c r="H1495" s="37" t="s">
        <v>23</v>
      </c>
      <c r="I1495" s="39" t="s">
        <v>34</v>
      </c>
      <c r="J1495" s="37">
        <v>500</v>
      </c>
      <c r="K1495" s="37">
        <v>593</v>
      </c>
      <c r="L1495" s="65">
        <f t="shared" si="150"/>
        <v>1.1859999999999999</v>
      </c>
      <c r="M1495" s="65">
        <f t="shared" si="151"/>
        <v>1.1859999999999999</v>
      </c>
      <c r="N1495" s="37" t="s">
        <v>203</v>
      </c>
      <c r="O1495" s="37" t="s">
        <v>203</v>
      </c>
      <c r="P1495" s="37">
        <v>0</v>
      </c>
      <c r="Q1495" s="37">
        <v>0</v>
      </c>
      <c r="R1495" s="37" t="s">
        <v>2004</v>
      </c>
      <c r="S1495" s="37"/>
    </row>
    <row r="1496" spans="1:19" x14ac:dyDescent="0.3">
      <c r="A1496" s="37">
        <v>394</v>
      </c>
      <c r="B1496" s="37" t="s">
        <v>1997</v>
      </c>
      <c r="C1496" s="37" t="s">
        <v>1998</v>
      </c>
      <c r="D1496" s="37" t="s">
        <v>21</v>
      </c>
      <c r="E1496" s="37" t="s">
        <v>22</v>
      </c>
      <c r="F1496" s="42">
        <v>45565</v>
      </c>
      <c r="G1496" s="37">
        <v>2024</v>
      </c>
      <c r="H1496" s="37" t="s">
        <v>43</v>
      </c>
      <c r="I1496" s="37" t="s">
        <v>36</v>
      </c>
      <c r="J1496" s="37">
        <v>0</v>
      </c>
      <c r="K1496" s="37">
        <v>0</v>
      </c>
      <c r="L1496" s="65" t="str">
        <f t="shared" si="150"/>
        <v/>
      </c>
      <c r="M1496" s="65" t="str">
        <f t="shared" si="151"/>
        <v/>
      </c>
      <c r="N1496" s="37" t="s">
        <v>203</v>
      </c>
      <c r="O1496" s="37" t="s">
        <v>203</v>
      </c>
      <c r="P1496" s="37">
        <v>0</v>
      </c>
      <c r="Q1496" s="37">
        <v>0</v>
      </c>
      <c r="R1496" s="37" t="s">
        <v>2005</v>
      </c>
      <c r="S1496" s="37"/>
    </row>
    <row r="1497" spans="1:19" x14ac:dyDescent="0.3">
      <c r="A1497" s="36">
        <v>394</v>
      </c>
      <c r="B1497" s="37" t="s">
        <v>1997</v>
      </c>
      <c r="C1497" s="37" t="s">
        <v>1998</v>
      </c>
      <c r="D1497" s="37" t="s">
        <v>21</v>
      </c>
      <c r="E1497" s="37" t="s">
        <v>22</v>
      </c>
      <c r="F1497" s="42">
        <v>45657</v>
      </c>
      <c r="G1497" s="37">
        <v>2024</v>
      </c>
      <c r="H1497" s="37" t="s">
        <v>27</v>
      </c>
      <c r="I1497" s="39" t="s">
        <v>36</v>
      </c>
      <c r="J1497" s="37">
        <v>500</v>
      </c>
      <c r="K1497" s="43">
        <v>960</v>
      </c>
      <c r="L1497" s="65">
        <f t="shared" si="150"/>
        <v>1.3</v>
      </c>
      <c r="M1497" s="65">
        <f t="shared" si="151"/>
        <v>1.92</v>
      </c>
      <c r="N1497" s="37" t="s">
        <v>203</v>
      </c>
      <c r="O1497" s="37" t="s">
        <v>203</v>
      </c>
      <c r="P1497" s="40">
        <v>0</v>
      </c>
      <c r="Q1497" s="40">
        <v>0</v>
      </c>
      <c r="R1497" s="37" t="s">
        <v>2006</v>
      </c>
      <c r="S1497" s="37"/>
    </row>
    <row r="1498" spans="1:19" x14ac:dyDescent="0.3">
      <c r="A1498" s="37">
        <v>395</v>
      </c>
      <c r="B1498" s="37" t="s">
        <v>2007</v>
      </c>
      <c r="C1498" s="37" t="s">
        <v>1998</v>
      </c>
      <c r="D1498" s="37" t="s">
        <v>21</v>
      </c>
      <c r="E1498" s="37" t="s">
        <v>22</v>
      </c>
      <c r="F1498" s="42">
        <v>45016</v>
      </c>
      <c r="G1498" s="37">
        <v>2023</v>
      </c>
      <c r="H1498" s="37" t="s">
        <v>40</v>
      </c>
      <c r="I1498" s="37" t="s">
        <v>30</v>
      </c>
      <c r="J1498" s="37">
        <v>0</v>
      </c>
      <c r="K1498" s="37">
        <v>0</v>
      </c>
      <c r="L1498" s="65" t="str">
        <f t="shared" si="150"/>
        <v/>
      </c>
      <c r="M1498" s="65" t="str">
        <f t="shared" si="151"/>
        <v/>
      </c>
      <c r="N1498" s="37" t="s">
        <v>203</v>
      </c>
      <c r="O1498" s="37" t="s">
        <v>203</v>
      </c>
      <c r="P1498" s="37">
        <v>0</v>
      </c>
      <c r="Q1498" s="37">
        <v>0</v>
      </c>
      <c r="R1498" s="37" t="s">
        <v>2008</v>
      </c>
      <c r="S1498" s="37"/>
    </row>
    <row r="1499" spans="1:19" x14ac:dyDescent="0.3">
      <c r="A1499" s="36">
        <v>395</v>
      </c>
      <c r="B1499" s="37" t="s">
        <v>2009</v>
      </c>
      <c r="C1499" s="37" t="s">
        <v>1998</v>
      </c>
      <c r="D1499" s="37" t="s">
        <v>21</v>
      </c>
      <c r="E1499" s="37" t="s">
        <v>22</v>
      </c>
      <c r="F1499" s="38">
        <v>45107</v>
      </c>
      <c r="G1499" s="37">
        <v>2023</v>
      </c>
      <c r="H1499" s="37" t="s">
        <v>23</v>
      </c>
      <c r="I1499" s="39" t="s">
        <v>30</v>
      </c>
      <c r="J1499" s="37">
        <v>17</v>
      </c>
      <c r="K1499" s="56">
        <v>50</v>
      </c>
      <c r="L1499" s="65">
        <f t="shared" si="150"/>
        <v>1.3</v>
      </c>
      <c r="M1499" s="65">
        <f t="shared" si="151"/>
        <v>2.9411764705882355</v>
      </c>
      <c r="N1499" s="37" t="s">
        <v>203</v>
      </c>
      <c r="O1499" s="37" t="s">
        <v>203</v>
      </c>
      <c r="P1499" s="40">
        <v>0</v>
      </c>
      <c r="Q1499" s="40">
        <v>0</v>
      </c>
      <c r="R1499" s="37" t="s">
        <v>2010</v>
      </c>
      <c r="S1499" s="37"/>
    </row>
    <row r="1500" spans="1:19" x14ac:dyDescent="0.3">
      <c r="A1500" s="41">
        <v>395</v>
      </c>
      <c r="B1500" s="37" t="s">
        <v>2009</v>
      </c>
      <c r="C1500" s="37" t="s">
        <v>1998</v>
      </c>
      <c r="D1500" s="37" t="s">
        <v>21</v>
      </c>
      <c r="E1500" s="37" t="s">
        <v>22</v>
      </c>
      <c r="F1500" s="42">
        <v>45291</v>
      </c>
      <c r="G1500" s="37">
        <v>2023</v>
      </c>
      <c r="H1500" s="37" t="s">
        <v>27</v>
      </c>
      <c r="I1500" s="39" t="s">
        <v>32</v>
      </c>
      <c r="J1500" s="37">
        <v>18</v>
      </c>
      <c r="K1500" s="56">
        <v>48</v>
      </c>
      <c r="L1500" s="65">
        <f t="shared" si="150"/>
        <v>1.3</v>
      </c>
      <c r="M1500" s="65">
        <f t="shared" si="151"/>
        <v>2.6666666666666665</v>
      </c>
      <c r="N1500" s="37" t="s">
        <v>203</v>
      </c>
      <c r="O1500" s="37" t="s">
        <v>203</v>
      </c>
      <c r="P1500" s="40">
        <v>0</v>
      </c>
      <c r="Q1500" s="40">
        <v>0</v>
      </c>
      <c r="R1500" s="37" t="s">
        <v>2011</v>
      </c>
      <c r="S1500" s="37"/>
    </row>
    <row r="1501" spans="1:19" x14ac:dyDescent="0.3">
      <c r="A1501" s="37">
        <v>395</v>
      </c>
      <c r="B1501" s="37" t="s">
        <v>2007</v>
      </c>
      <c r="C1501" s="37" t="s">
        <v>1998</v>
      </c>
      <c r="D1501" s="37" t="s">
        <v>21</v>
      </c>
      <c r="E1501" s="37" t="s">
        <v>22</v>
      </c>
      <c r="F1501" s="42">
        <v>45382</v>
      </c>
      <c r="G1501" s="37">
        <v>2024</v>
      </c>
      <c r="H1501" s="37" t="s">
        <v>40</v>
      </c>
      <c r="I1501" s="37" t="s">
        <v>34</v>
      </c>
      <c r="J1501" s="37">
        <v>0</v>
      </c>
      <c r="K1501" s="37">
        <v>0</v>
      </c>
      <c r="L1501" s="65" t="str">
        <f t="shared" si="150"/>
        <v/>
      </c>
      <c r="M1501" s="65" t="str">
        <f t="shared" si="151"/>
        <v/>
      </c>
      <c r="N1501" s="37" t="s">
        <v>203</v>
      </c>
      <c r="O1501" s="37" t="s">
        <v>203</v>
      </c>
      <c r="P1501" s="37">
        <v>0</v>
      </c>
      <c r="Q1501" s="37">
        <v>0</v>
      </c>
      <c r="R1501" s="37" t="s">
        <v>2012</v>
      </c>
      <c r="S1501" s="37"/>
    </row>
    <row r="1502" spans="1:19" x14ac:dyDescent="0.3">
      <c r="A1502" s="37">
        <v>395</v>
      </c>
      <c r="B1502" s="37" t="s">
        <v>2007</v>
      </c>
      <c r="C1502" s="37" t="s">
        <v>1998</v>
      </c>
      <c r="D1502" s="37" t="s">
        <v>21</v>
      </c>
      <c r="E1502" s="37" t="s">
        <v>22</v>
      </c>
      <c r="F1502" s="42">
        <v>45473</v>
      </c>
      <c r="G1502" s="37">
        <v>2024</v>
      </c>
      <c r="H1502" s="37" t="s">
        <v>23</v>
      </c>
      <c r="I1502" s="39" t="s">
        <v>34</v>
      </c>
      <c r="J1502" s="37">
        <v>90</v>
      </c>
      <c r="K1502" s="37">
        <v>99</v>
      </c>
      <c r="L1502" s="65">
        <f t="shared" si="150"/>
        <v>1.1000000000000001</v>
      </c>
      <c r="M1502" s="65">
        <f t="shared" si="151"/>
        <v>1.1000000000000001</v>
      </c>
      <c r="N1502" s="37" t="s">
        <v>203</v>
      </c>
      <c r="O1502" s="37" t="s">
        <v>203</v>
      </c>
      <c r="P1502" s="37">
        <v>0</v>
      </c>
      <c r="Q1502" s="37">
        <v>0</v>
      </c>
      <c r="R1502" s="37" t="s">
        <v>2013</v>
      </c>
      <c r="S1502" s="37"/>
    </row>
    <row r="1503" spans="1:19" x14ac:dyDescent="0.3">
      <c r="A1503" s="37">
        <v>395</v>
      </c>
      <c r="B1503" s="37" t="s">
        <v>2007</v>
      </c>
      <c r="C1503" s="37" t="s">
        <v>1998</v>
      </c>
      <c r="D1503" s="37" t="s">
        <v>21</v>
      </c>
      <c r="E1503" s="37" t="s">
        <v>22</v>
      </c>
      <c r="F1503" s="42">
        <v>45565</v>
      </c>
      <c r="G1503" s="37">
        <v>2024</v>
      </c>
      <c r="H1503" s="37" t="s">
        <v>43</v>
      </c>
      <c r="I1503" s="37" t="s">
        <v>36</v>
      </c>
      <c r="J1503" s="37">
        <v>0</v>
      </c>
      <c r="K1503" s="37">
        <v>0</v>
      </c>
      <c r="L1503" s="65" t="str">
        <f t="shared" si="150"/>
        <v/>
      </c>
      <c r="M1503" s="65" t="str">
        <f t="shared" si="151"/>
        <v/>
      </c>
      <c r="N1503" s="37" t="s">
        <v>203</v>
      </c>
      <c r="O1503" s="37" t="s">
        <v>203</v>
      </c>
      <c r="P1503" s="37">
        <v>0</v>
      </c>
      <c r="Q1503" s="37">
        <v>0</v>
      </c>
      <c r="R1503" s="37" t="s">
        <v>2014</v>
      </c>
      <c r="S1503" s="37"/>
    </row>
    <row r="1504" spans="1:19" x14ac:dyDescent="0.3">
      <c r="A1504" s="36">
        <v>395</v>
      </c>
      <c r="B1504" s="37" t="s">
        <v>2007</v>
      </c>
      <c r="C1504" s="37" t="s">
        <v>1998</v>
      </c>
      <c r="D1504" s="37" t="s">
        <v>21</v>
      </c>
      <c r="E1504" s="37" t="s">
        <v>22</v>
      </c>
      <c r="F1504" s="42">
        <v>45657</v>
      </c>
      <c r="G1504" s="37">
        <v>2024</v>
      </c>
      <c r="H1504" s="37" t="s">
        <v>27</v>
      </c>
      <c r="I1504" s="39" t="s">
        <v>36</v>
      </c>
      <c r="J1504" s="37">
        <v>90</v>
      </c>
      <c r="K1504" s="43">
        <v>134</v>
      </c>
      <c r="L1504" s="65">
        <f t="shared" si="150"/>
        <v>1.3</v>
      </c>
      <c r="M1504" s="65">
        <f t="shared" si="151"/>
        <v>1.4888888888888889</v>
      </c>
      <c r="N1504" s="37" t="s">
        <v>203</v>
      </c>
      <c r="O1504" s="37" t="s">
        <v>203</v>
      </c>
      <c r="P1504" s="40">
        <v>0</v>
      </c>
      <c r="Q1504" s="40">
        <v>0</v>
      </c>
      <c r="R1504" s="37" t="s">
        <v>2015</v>
      </c>
      <c r="S1504" s="37"/>
    </row>
    <row r="1505" spans="1:19" x14ac:dyDescent="0.3">
      <c r="A1505" s="41">
        <v>396</v>
      </c>
      <c r="B1505" s="37" t="s">
        <v>2016</v>
      </c>
      <c r="C1505" s="37" t="s">
        <v>1984</v>
      </c>
      <c r="D1505" s="37" t="s">
        <v>21</v>
      </c>
      <c r="E1505" s="37" t="s">
        <v>22</v>
      </c>
      <c r="F1505" s="42">
        <v>45291</v>
      </c>
      <c r="G1505" s="37">
        <v>2023</v>
      </c>
      <c r="H1505" s="37" t="s">
        <v>27</v>
      </c>
      <c r="I1505" s="39" t="s">
        <v>32</v>
      </c>
      <c r="J1505" s="37">
        <v>80</v>
      </c>
      <c r="K1505" s="56">
        <v>88.89</v>
      </c>
      <c r="L1505" s="65">
        <f t="shared" si="150"/>
        <v>1.1111249999999999</v>
      </c>
      <c r="M1505" s="65">
        <f t="shared" si="151"/>
        <v>1.1111249999999999</v>
      </c>
      <c r="N1505" s="37" t="s">
        <v>203</v>
      </c>
      <c r="O1505" s="37" t="s">
        <v>203</v>
      </c>
      <c r="P1505" s="40">
        <v>0</v>
      </c>
      <c r="Q1505" s="40">
        <v>0</v>
      </c>
      <c r="R1505" s="37" t="s">
        <v>2017</v>
      </c>
      <c r="S1505" s="37"/>
    </row>
    <row r="1506" spans="1:19" x14ac:dyDescent="0.3">
      <c r="A1506" s="37">
        <v>396</v>
      </c>
      <c r="B1506" s="37" t="s">
        <v>2016</v>
      </c>
      <c r="C1506" s="37" t="s">
        <v>2018</v>
      </c>
      <c r="D1506" s="37" t="s">
        <v>21</v>
      </c>
      <c r="E1506" s="37" t="s">
        <v>22</v>
      </c>
      <c r="F1506" s="42">
        <v>45473</v>
      </c>
      <c r="G1506" s="37">
        <v>2024</v>
      </c>
      <c r="H1506" s="37" t="s">
        <v>23</v>
      </c>
      <c r="I1506" s="39" t="s">
        <v>34</v>
      </c>
      <c r="J1506" s="37">
        <v>80</v>
      </c>
      <c r="K1506" s="37">
        <v>88.1</v>
      </c>
      <c r="L1506" s="65">
        <f t="shared" si="150"/>
        <v>1.1012499999999998</v>
      </c>
      <c r="M1506" s="65">
        <f t="shared" si="151"/>
        <v>1.1012499999999998</v>
      </c>
      <c r="N1506" s="37" t="s">
        <v>203</v>
      </c>
      <c r="O1506" s="37" t="s">
        <v>197</v>
      </c>
      <c r="P1506" s="37">
        <v>1</v>
      </c>
      <c r="Q1506" s="37">
        <v>1</v>
      </c>
      <c r="R1506" s="37" t="s">
        <v>2019</v>
      </c>
      <c r="S1506" s="37"/>
    </row>
    <row r="1507" spans="1:19" x14ac:dyDescent="0.3">
      <c r="A1507" s="36">
        <v>397</v>
      </c>
      <c r="B1507" s="37" t="s">
        <v>2020</v>
      </c>
      <c r="C1507" s="37" t="s">
        <v>1984</v>
      </c>
      <c r="D1507" s="37" t="s">
        <v>21</v>
      </c>
      <c r="E1507" s="37" t="s">
        <v>22</v>
      </c>
      <c r="F1507" s="38">
        <v>45107</v>
      </c>
      <c r="G1507" s="37">
        <v>2023</v>
      </c>
      <c r="H1507" s="37" t="s">
        <v>23</v>
      </c>
      <c r="I1507" s="39" t="s">
        <v>30</v>
      </c>
      <c r="J1507" s="37">
        <v>224</v>
      </c>
      <c r="K1507" s="56">
        <v>204</v>
      </c>
      <c r="L1507" s="65">
        <f t="shared" si="150"/>
        <v>0.9107142857142857</v>
      </c>
      <c r="M1507" s="65">
        <f t="shared" si="151"/>
        <v>0.9107142857142857</v>
      </c>
      <c r="N1507" s="37" t="s">
        <v>25</v>
      </c>
      <c r="O1507" s="37" t="s">
        <v>25</v>
      </c>
      <c r="P1507" s="40">
        <v>0</v>
      </c>
      <c r="Q1507" s="40">
        <v>0</v>
      </c>
      <c r="R1507" s="37" t="s">
        <v>2021</v>
      </c>
      <c r="S1507" s="37"/>
    </row>
    <row r="1508" spans="1:19" x14ac:dyDescent="0.3">
      <c r="A1508" s="41">
        <v>397</v>
      </c>
      <c r="B1508" s="37" t="s">
        <v>2020</v>
      </c>
      <c r="C1508" s="37" t="s">
        <v>1984</v>
      </c>
      <c r="D1508" s="37" t="s">
        <v>21</v>
      </c>
      <c r="E1508" s="37" t="s">
        <v>22</v>
      </c>
      <c r="F1508" s="42">
        <v>45291</v>
      </c>
      <c r="G1508" s="37">
        <v>2023</v>
      </c>
      <c r="H1508" s="37" t="s">
        <v>27</v>
      </c>
      <c r="I1508" s="39" t="s">
        <v>32</v>
      </c>
      <c r="J1508" s="37">
        <v>284</v>
      </c>
      <c r="K1508" s="56">
        <v>264</v>
      </c>
      <c r="L1508" s="65">
        <f t="shared" si="150"/>
        <v>0.92957746478873238</v>
      </c>
      <c r="M1508" s="65">
        <f t="shared" si="151"/>
        <v>0.92957746478873238</v>
      </c>
      <c r="N1508" s="37" t="s">
        <v>25</v>
      </c>
      <c r="O1508" s="37" t="s">
        <v>25</v>
      </c>
      <c r="P1508" s="40">
        <v>0</v>
      </c>
      <c r="Q1508" s="40">
        <v>0</v>
      </c>
      <c r="R1508" s="37" t="s">
        <v>2022</v>
      </c>
      <c r="S1508" s="37"/>
    </row>
    <row r="1509" spans="1:19" x14ac:dyDescent="0.3">
      <c r="A1509" s="37">
        <v>397</v>
      </c>
      <c r="B1509" s="37" t="s">
        <v>2020</v>
      </c>
      <c r="C1509" s="37" t="s">
        <v>2018</v>
      </c>
      <c r="D1509" s="37" t="s">
        <v>21</v>
      </c>
      <c r="E1509" s="37" t="s">
        <v>22</v>
      </c>
      <c r="F1509" s="42">
        <v>45473</v>
      </c>
      <c r="G1509" s="37">
        <v>2024</v>
      </c>
      <c r="H1509" s="37" t="s">
        <v>23</v>
      </c>
      <c r="I1509" s="39" t="s">
        <v>34</v>
      </c>
      <c r="J1509" s="37">
        <v>344</v>
      </c>
      <c r="K1509" s="37">
        <v>303</v>
      </c>
      <c r="L1509" s="65">
        <f t="shared" si="150"/>
        <v>0.8808139534883721</v>
      </c>
      <c r="M1509" s="65">
        <f t="shared" si="151"/>
        <v>0.8808139534883721</v>
      </c>
      <c r="N1509" s="37" t="s">
        <v>25</v>
      </c>
      <c r="O1509" s="37" t="s">
        <v>25</v>
      </c>
      <c r="P1509" s="37">
        <v>1</v>
      </c>
      <c r="Q1509" s="37">
        <v>1</v>
      </c>
      <c r="R1509" s="37" t="s">
        <v>2023</v>
      </c>
      <c r="S1509" s="37"/>
    </row>
    <row r="1510" spans="1:19" x14ac:dyDescent="0.3">
      <c r="A1510" s="36">
        <v>397</v>
      </c>
      <c r="B1510" s="37" t="s">
        <v>2020</v>
      </c>
      <c r="C1510" s="37" t="s">
        <v>2018</v>
      </c>
      <c r="D1510" s="37" t="s">
        <v>21</v>
      </c>
      <c r="E1510" s="37" t="s">
        <v>22</v>
      </c>
      <c r="F1510" s="42">
        <v>45657</v>
      </c>
      <c r="G1510" s="37">
        <v>2024</v>
      </c>
      <c r="H1510" s="37" t="s">
        <v>27</v>
      </c>
      <c r="I1510" s="39" t="s">
        <v>36</v>
      </c>
      <c r="J1510" s="37">
        <v>430</v>
      </c>
      <c r="K1510" s="43">
        <v>408</v>
      </c>
      <c r="L1510" s="65">
        <f t="shared" si="150"/>
        <v>0.94883720930232562</v>
      </c>
      <c r="M1510" s="65">
        <f t="shared" si="151"/>
        <v>0.94883720930232562</v>
      </c>
      <c r="N1510" s="37" t="s">
        <v>25</v>
      </c>
      <c r="O1510" s="37" t="s">
        <v>25</v>
      </c>
      <c r="P1510" s="40">
        <v>1</v>
      </c>
      <c r="Q1510" s="40">
        <v>1</v>
      </c>
      <c r="R1510" s="37" t="s">
        <v>2024</v>
      </c>
      <c r="S1510" s="37"/>
    </row>
    <row r="1511" spans="1:19" x14ac:dyDescent="0.3">
      <c r="A1511" s="36">
        <v>398</v>
      </c>
      <c r="B1511" s="37" t="s">
        <v>2026</v>
      </c>
      <c r="C1511" s="37" t="s">
        <v>2027</v>
      </c>
      <c r="D1511" s="37" t="s">
        <v>21</v>
      </c>
      <c r="E1511" s="37" t="s">
        <v>22</v>
      </c>
      <c r="F1511" s="38">
        <v>45107</v>
      </c>
      <c r="G1511" s="37">
        <v>2023</v>
      </c>
      <c r="H1511" s="37" t="s">
        <v>23</v>
      </c>
      <c r="I1511" s="39" t="s">
        <v>30</v>
      </c>
      <c r="J1511" s="60">
        <v>1000</v>
      </c>
      <c r="K1511" s="56">
        <v>2568</v>
      </c>
      <c r="L1511" s="65">
        <f t="shared" ref="L1511:L1526" si="152">IFERROR(IF(OR(J1511=0,K1511=""),"",IF(E1511="Positivo",MIN(MAX(K1511/J1511,0),1.3),MIN(MAX(J1511/K1511,0),1.3))),"")</f>
        <v>1.3</v>
      </c>
      <c r="M1511" s="65">
        <f t="shared" ref="M1511:M1526" si="153">IFERROR(IF(OR(J1511=0,K1511=""),"",IF(E1511="Positivo",MAX(K1511/J1511,0),MAX(J1511/K1511,0))),"")</f>
        <v>2.5680000000000001</v>
      </c>
      <c r="N1511" s="60" t="s">
        <v>203</v>
      </c>
      <c r="O1511" s="37" t="s">
        <v>203</v>
      </c>
      <c r="P1511" s="40">
        <v>0</v>
      </c>
      <c r="Q1511" s="40">
        <v>0</v>
      </c>
      <c r="R1511" s="37" t="s">
        <v>2028</v>
      </c>
      <c r="S1511" s="37"/>
    </row>
    <row r="1512" spans="1:19" x14ac:dyDescent="0.3">
      <c r="A1512" s="41">
        <v>398</v>
      </c>
      <c r="B1512" s="37" t="s">
        <v>2026</v>
      </c>
      <c r="C1512" s="37" t="s">
        <v>2027</v>
      </c>
      <c r="D1512" s="37" t="s">
        <v>21</v>
      </c>
      <c r="E1512" s="37" t="s">
        <v>22</v>
      </c>
      <c r="F1512" s="42">
        <v>45291</v>
      </c>
      <c r="G1512" s="37">
        <v>2023</v>
      </c>
      <c r="H1512" s="37" t="s">
        <v>27</v>
      </c>
      <c r="I1512" s="39" t="s">
        <v>32</v>
      </c>
      <c r="J1512" s="37">
        <v>1000</v>
      </c>
      <c r="K1512" s="56">
        <v>2344</v>
      </c>
      <c r="L1512" s="65">
        <f t="shared" si="152"/>
        <v>1.3</v>
      </c>
      <c r="M1512" s="65">
        <f t="shared" si="153"/>
        <v>2.3439999999999999</v>
      </c>
      <c r="N1512" s="37" t="s">
        <v>203</v>
      </c>
      <c r="O1512" s="37" t="s">
        <v>203</v>
      </c>
      <c r="P1512" s="40">
        <v>0</v>
      </c>
      <c r="Q1512" s="40">
        <v>0</v>
      </c>
      <c r="R1512" s="37" t="s">
        <v>2029</v>
      </c>
      <c r="S1512" s="37"/>
    </row>
    <row r="1513" spans="1:19" x14ac:dyDescent="0.3">
      <c r="A1513" s="37">
        <v>398</v>
      </c>
      <c r="B1513" s="37" t="s">
        <v>2026</v>
      </c>
      <c r="C1513" s="37" t="s">
        <v>2027</v>
      </c>
      <c r="D1513" s="37" t="s">
        <v>21</v>
      </c>
      <c r="E1513" s="37" t="s">
        <v>22</v>
      </c>
      <c r="F1513" s="42">
        <v>45473</v>
      </c>
      <c r="G1513" s="37">
        <v>2024</v>
      </c>
      <c r="H1513" s="37" t="s">
        <v>23</v>
      </c>
      <c r="I1513" s="39" t="s">
        <v>34</v>
      </c>
      <c r="J1513" s="37">
        <v>1250</v>
      </c>
      <c r="K1513" s="37">
        <v>3478</v>
      </c>
      <c r="L1513" s="65">
        <f t="shared" si="152"/>
        <v>1.3</v>
      </c>
      <c r="M1513" s="65">
        <f t="shared" si="153"/>
        <v>2.7824</v>
      </c>
      <c r="N1513" s="37" t="s">
        <v>203</v>
      </c>
      <c r="O1513" s="37" t="s">
        <v>203</v>
      </c>
      <c r="P1513" s="37">
        <v>0</v>
      </c>
      <c r="Q1513" s="37">
        <v>0</v>
      </c>
      <c r="R1513" s="37" t="s">
        <v>2030</v>
      </c>
      <c r="S1513" s="37"/>
    </row>
    <row r="1514" spans="1:19" x14ac:dyDescent="0.3">
      <c r="A1514" s="36">
        <v>398</v>
      </c>
      <c r="B1514" s="37" t="s">
        <v>2026</v>
      </c>
      <c r="C1514" s="37" t="s">
        <v>2027</v>
      </c>
      <c r="D1514" s="37" t="s">
        <v>21</v>
      </c>
      <c r="E1514" s="37" t="s">
        <v>22</v>
      </c>
      <c r="F1514" s="42">
        <v>45657</v>
      </c>
      <c r="G1514" s="37">
        <v>2024</v>
      </c>
      <c r="H1514" s="37" t="s">
        <v>27</v>
      </c>
      <c r="I1514" s="39" t="s">
        <v>36</v>
      </c>
      <c r="J1514" s="37">
        <v>1250</v>
      </c>
      <c r="K1514" s="43">
        <v>2000</v>
      </c>
      <c r="L1514" s="65">
        <f t="shared" si="152"/>
        <v>1.3</v>
      </c>
      <c r="M1514" s="65">
        <f t="shared" si="153"/>
        <v>1.6</v>
      </c>
      <c r="N1514" s="37" t="s">
        <v>203</v>
      </c>
      <c r="O1514" s="37" t="s">
        <v>203</v>
      </c>
      <c r="P1514" s="40">
        <v>0</v>
      </c>
      <c r="Q1514" s="40">
        <v>0</v>
      </c>
      <c r="R1514" s="37" t="s">
        <v>2031</v>
      </c>
      <c r="S1514" s="37"/>
    </row>
    <row r="1515" spans="1:19" x14ac:dyDescent="0.3">
      <c r="A1515" s="36">
        <v>399</v>
      </c>
      <c r="B1515" s="37" t="s">
        <v>2032</v>
      </c>
      <c r="C1515" s="37" t="s">
        <v>2027</v>
      </c>
      <c r="D1515" s="37" t="s">
        <v>21</v>
      </c>
      <c r="E1515" s="37" t="s">
        <v>22</v>
      </c>
      <c r="F1515" s="38">
        <v>45107</v>
      </c>
      <c r="G1515" s="37">
        <v>2023</v>
      </c>
      <c r="H1515" s="37" t="s">
        <v>23</v>
      </c>
      <c r="I1515" s="39" t="s">
        <v>30</v>
      </c>
      <c r="J1515" s="37">
        <v>500</v>
      </c>
      <c r="K1515" s="56">
        <v>589</v>
      </c>
      <c r="L1515" s="65">
        <f t="shared" si="152"/>
        <v>1.1779999999999999</v>
      </c>
      <c r="M1515" s="65">
        <f t="shared" si="153"/>
        <v>1.1779999999999999</v>
      </c>
      <c r="N1515" s="37" t="s">
        <v>203</v>
      </c>
      <c r="O1515" s="37" t="s">
        <v>203</v>
      </c>
      <c r="P1515" s="40">
        <v>0</v>
      </c>
      <c r="Q1515" s="40">
        <v>0</v>
      </c>
      <c r="R1515" s="37" t="s">
        <v>2033</v>
      </c>
      <c r="S1515" s="37"/>
    </row>
    <row r="1516" spans="1:19" x14ac:dyDescent="0.3">
      <c r="A1516" s="37">
        <v>399</v>
      </c>
      <c r="B1516" s="37" t="s">
        <v>2032</v>
      </c>
      <c r="C1516" s="37" t="s">
        <v>2027</v>
      </c>
      <c r="D1516" s="37" t="s">
        <v>21</v>
      </c>
      <c r="E1516" s="37" t="s">
        <v>22</v>
      </c>
      <c r="F1516" s="42">
        <v>45291</v>
      </c>
      <c r="G1516" s="37">
        <v>2023</v>
      </c>
      <c r="H1516" s="37" t="s">
        <v>27</v>
      </c>
      <c r="I1516" s="39" t="s">
        <v>32</v>
      </c>
      <c r="J1516" s="37">
        <v>500</v>
      </c>
      <c r="K1516" s="56">
        <v>745</v>
      </c>
      <c r="L1516" s="65">
        <f t="shared" si="152"/>
        <v>1.3</v>
      </c>
      <c r="M1516" s="65">
        <f t="shared" si="153"/>
        <v>1.49</v>
      </c>
      <c r="N1516" s="37" t="s">
        <v>203</v>
      </c>
      <c r="O1516" s="37" t="s">
        <v>203</v>
      </c>
      <c r="P1516" s="40">
        <v>0</v>
      </c>
      <c r="Q1516" s="40">
        <v>0</v>
      </c>
      <c r="R1516" s="37" t="s">
        <v>2034</v>
      </c>
      <c r="S1516" s="37"/>
    </row>
    <row r="1517" spans="1:19" x14ac:dyDescent="0.3">
      <c r="A1517" s="37">
        <v>399</v>
      </c>
      <c r="B1517" s="37" t="s">
        <v>2035</v>
      </c>
      <c r="C1517" s="37" t="s">
        <v>2027</v>
      </c>
      <c r="D1517" s="37" t="s">
        <v>21</v>
      </c>
      <c r="E1517" s="37" t="s">
        <v>22</v>
      </c>
      <c r="F1517" s="42">
        <v>45473</v>
      </c>
      <c r="G1517" s="37">
        <v>2024</v>
      </c>
      <c r="H1517" s="37" t="s">
        <v>23</v>
      </c>
      <c r="I1517" s="39" t="s">
        <v>34</v>
      </c>
      <c r="J1517" s="37">
        <v>625</v>
      </c>
      <c r="K1517" s="37">
        <v>696</v>
      </c>
      <c r="L1517" s="65">
        <f t="shared" si="152"/>
        <v>1.1135999999999999</v>
      </c>
      <c r="M1517" s="65">
        <f t="shared" si="153"/>
        <v>1.1135999999999999</v>
      </c>
      <c r="N1517" s="37" t="s">
        <v>203</v>
      </c>
      <c r="O1517" s="37" t="s">
        <v>203</v>
      </c>
      <c r="P1517" s="37">
        <v>0</v>
      </c>
      <c r="Q1517" s="37">
        <v>0</v>
      </c>
      <c r="R1517" s="37" t="s">
        <v>2036</v>
      </c>
      <c r="S1517" s="37"/>
    </row>
    <row r="1518" spans="1:19" x14ac:dyDescent="0.3">
      <c r="A1518" s="36">
        <v>399</v>
      </c>
      <c r="B1518" s="37" t="s">
        <v>2035</v>
      </c>
      <c r="C1518" s="37" t="s">
        <v>2027</v>
      </c>
      <c r="D1518" s="37" t="s">
        <v>21</v>
      </c>
      <c r="E1518" s="37" t="s">
        <v>22</v>
      </c>
      <c r="F1518" s="42">
        <v>45657</v>
      </c>
      <c r="G1518" s="37">
        <v>2024</v>
      </c>
      <c r="H1518" s="37" t="s">
        <v>27</v>
      </c>
      <c r="I1518" s="39" t="s">
        <v>36</v>
      </c>
      <c r="J1518" s="37">
        <v>625</v>
      </c>
      <c r="K1518" s="43">
        <v>696</v>
      </c>
      <c r="L1518" s="65">
        <f t="shared" si="152"/>
        <v>1.1135999999999999</v>
      </c>
      <c r="M1518" s="65">
        <f t="shared" si="153"/>
        <v>1.1135999999999999</v>
      </c>
      <c r="N1518" s="37" t="s">
        <v>203</v>
      </c>
      <c r="O1518" s="37" t="s">
        <v>203</v>
      </c>
      <c r="P1518" s="40">
        <v>0</v>
      </c>
      <c r="Q1518" s="40">
        <v>0</v>
      </c>
      <c r="R1518" s="37" t="s">
        <v>2037</v>
      </c>
      <c r="S1518" s="37"/>
    </row>
    <row r="1519" spans="1:19" x14ac:dyDescent="0.3">
      <c r="A1519" s="36">
        <v>400</v>
      </c>
      <c r="B1519" s="37" t="s">
        <v>2038</v>
      </c>
      <c r="C1519" s="37" t="s">
        <v>2027</v>
      </c>
      <c r="D1519" s="37" t="s">
        <v>21</v>
      </c>
      <c r="E1519" s="37" t="s">
        <v>22</v>
      </c>
      <c r="F1519" s="38">
        <v>45107</v>
      </c>
      <c r="G1519" s="37">
        <v>2023</v>
      </c>
      <c r="H1519" s="37" t="s">
        <v>23</v>
      </c>
      <c r="I1519" s="39" t="s">
        <v>30</v>
      </c>
      <c r="J1519" s="37">
        <v>35</v>
      </c>
      <c r="K1519" s="56">
        <v>77</v>
      </c>
      <c r="L1519" s="65">
        <f t="shared" si="152"/>
        <v>1.3</v>
      </c>
      <c r="M1519" s="65">
        <f t="shared" si="153"/>
        <v>2.2000000000000002</v>
      </c>
      <c r="N1519" s="37" t="s">
        <v>203</v>
      </c>
      <c r="O1519" s="37" t="s">
        <v>203</v>
      </c>
      <c r="P1519" s="40">
        <v>0</v>
      </c>
      <c r="Q1519" s="40">
        <v>0</v>
      </c>
      <c r="R1519" s="37" t="s">
        <v>2039</v>
      </c>
      <c r="S1519" s="37"/>
    </row>
    <row r="1520" spans="1:19" x14ac:dyDescent="0.3">
      <c r="A1520" s="37">
        <v>400</v>
      </c>
      <c r="B1520" s="37" t="s">
        <v>2038</v>
      </c>
      <c r="C1520" s="37" t="s">
        <v>2027</v>
      </c>
      <c r="D1520" s="37" t="s">
        <v>21</v>
      </c>
      <c r="E1520" s="37" t="s">
        <v>22</v>
      </c>
      <c r="F1520" s="42">
        <v>45291</v>
      </c>
      <c r="G1520" s="37">
        <v>2023</v>
      </c>
      <c r="H1520" s="37" t="s">
        <v>27</v>
      </c>
      <c r="I1520" s="39" t="s">
        <v>32</v>
      </c>
      <c r="J1520" s="37">
        <v>35</v>
      </c>
      <c r="K1520" s="56">
        <v>99</v>
      </c>
      <c r="L1520" s="65">
        <f t="shared" si="152"/>
        <v>1.3</v>
      </c>
      <c r="M1520" s="65">
        <f t="shared" si="153"/>
        <v>2.8285714285714287</v>
      </c>
      <c r="N1520" s="37" t="s">
        <v>203</v>
      </c>
      <c r="O1520" s="37" t="s">
        <v>203</v>
      </c>
      <c r="P1520" s="40">
        <v>0</v>
      </c>
      <c r="Q1520" s="40">
        <v>0</v>
      </c>
      <c r="R1520" s="37" t="s">
        <v>2040</v>
      </c>
      <c r="S1520" s="37"/>
    </row>
    <row r="1521" spans="1:19" x14ac:dyDescent="0.3">
      <c r="A1521" s="37">
        <v>400</v>
      </c>
      <c r="B1521" s="37" t="s">
        <v>2038</v>
      </c>
      <c r="C1521" s="37" t="s">
        <v>2027</v>
      </c>
      <c r="D1521" s="37" t="s">
        <v>21</v>
      </c>
      <c r="E1521" s="37" t="s">
        <v>22</v>
      </c>
      <c r="F1521" s="42">
        <v>45473</v>
      </c>
      <c r="G1521" s="37">
        <v>2024</v>
      </c>
      <c r="H1521" s="37" t="s">
        <v>23</v>
      </c>
      <c r="I1521" s="39" t="s">
        <v>34</v>
      </c>
      <c r="J1521" s="37">
        <v>44</v>
      </c>
      <c r="K1521" s="37">
        <v>119</v>
      </c>
      <c r="L1521" s="65">
        <f t="shared" si="152"/>
        <v>1.3</v>
      </c>
      <c r="M1521" s="65">
        <f t="shared" si="153"/>
        <v>2.7045454545454546</v>
      </c>
      <c r="N1521" s="37" t="s">
        <v>203</v>
      </c>
      <c r="O1521" s="37" t="s">
        <v>203</v>
      </c>
      <c r="P1521" s="37">
        <v>0</v>
      </c>
      <c r="Q1521" s="37">
        <v>0</v>
      </c>
      <c r="R1521" s="37" t="s">
        <v>2041</v>
      </c>
      <c r="S1521" s="37"/>
    </row>
    <row r="1522" spans="1:19" x14ac:dyDescent="0.3">
      <c r="A1522" s="36">
        <v>400</v>
      </c>
      <c r="B1522" s="37" t="s">
        <v>2038</v>
      </c>
      <c r="C1522" s="37" t="s">
        <v>2027</v>
      </c>
      <c r="D1522" s="37" t="s">
        <v>21</v>
      </c>
      <c r="E1522" s="37" t="s">
        <v>22</v>
      </c>
      <c r="F1522" s="42">
        <v>45657</v>
      </c>
      <c r="G1522" s="37">
        <v>2024</v>
      </c>
      <c r="H1522" s="37" t="s">
        <v>27</v>
      </c>
      <c r="I1522" s="39" t="s">
        <v>36</v>
      </c>
      <c r="J1522" s="37">
        <v>44</v>
      </c>
      <c r="K1522" s="43">
        <v>175</v>
      </c>
      <c r="L1522" s="65">
        <f t="shared" si="152"/>
        <v>1.3</v>
      </c>
      <c r="M1522" s="65">
        <f t="shared" si="153"/>
        <v>3.9772727272727271</v>
      </c>
      <c r="N1522" s="37" t="s">
        <v>203</v>
      </c>
      <c r="O1522" s="37" t="s">
        <v>203</v>
      </c>
      <c r="P1522" s="40">
        <v>0</v>
      </c>
      <c r="Q1522" s="40">
        <v>0</v>
      </c>
      <c r="R1522" s="37" t="s">
        <v>2042</v>
      </c>
      <c r="S1522" s="37"/>
    </row>
    <row r="1523" spans="1:19" x14ac:dyDescent="0.3">
      <c r="A1523" s="36">
        <v>401</v>
      </c>
      <c r="B1523" s="37" t="s">
        <v>2043</v>
      </c>
      <c r="C1523" s="37" t="s">
        <v>2044</v>
      </c>
      <c r="D1523" s="37" t="s">
        <v>21</v>
      </c>
      <c r="E1523" s="37" t="s">
        <v>22</v>
      </c>
      <c r="F1523" s="38">
        <v>45107</v>
      </c>
      <c r="G1523" s="37">
        <v>2023</v>
      </c>
      <c r="H1523" s="37" t="s">
        <v>23</v>
      </c>
      <c r="I1523" s="39" t="s">
        <v>30</v>
      </c>
      <c r="J1523" s="37">
        <v>8</v>
      </c>
      <c r="K1523" s="56">
        <v>7</v>
      </c>
      <c r="L1523" s="65">
        <f t="shared" si="152"/>
        <v>0.875</v>
      </c>
      <c r="M1523" s="65">
        <f t="shared" si="153"/>
        <v>0.875</v>
      </c>
      <c r="N1523" s="37" t="s">
        <v>203</v>
      </c>
      <c r="O1523" s="37" t="s">
        <v>203</v>
      </c>
      <c r="P1523" s="40">
        <v>0</v>
      </c>
      <c r="Q1523" s="40">
        <v>0</v>
      </c>
      <c r="R1523" s="37" t="s">
        <v>2045</v>
      </c>
      <c r="S1523" s="37"/>
    </row>
    <row r="1524" spans="1:19" x14ac:dyDescent="0.3">
      <c r="A1524" s="41">
        <v>401</v>
      </c>
      <c r="B1524" s="37" t="s">
        <v>2043</v>
      </c>
      <c r="C1524" s="37" t="s">
        <v>2044</v>
      </c>
      <c r="D1524" s="37" t="s">
        <v>21</v>
      </c>
      <c r="E1524" s="37" t="s">
        <v>22</v>
      </c>
      <c r="F1524" s="42">
        <v>45291</v>
      </c>
      <c r="G1524" s="37">
        <v>2023</v>
      </c>
      <c r="H1524" s="37" t="s">
        <v>27</v>
      </c>
      <c r="I1524" s="39" t="s">
        <v>32</v>
      </c>
      <c r="J1524" s="37">
        <v>8</v>
      </c>
      <c r="K1524" s="56">
        <v>10</v>
      </c>
      <c r="L1524" s="65">
        <f t="shared" si="152"/>
        <v>1.25</v>
      </c>
      <c r="M1524" s="65">
        <f t="shared" si="153"/>
        <v>1.25</v>
      </c>
      <c r="N1524" s="37" t="s">
        <v>203</v>
      </c>
      <c r="O1524" s="37" t="s">
        <v>203</v>
      </c>
      <c r="P1524" s="40">
        <v>0</v>
      </c>
      <c r="Q1524" s="40">
        <v>0</v>
      </c>
      <c r="R1524" s="37" t="s">
        <v>2046</v>
      </c>
      <c r="S1524" s="37"/>
    </row>
    <row r="1525" spans="1:19" x14ac:dyDescent="0.3">
      <c r="A1525" s="37">
        <v>401</v>
      </c>
      <c r="B1525" s="37" t="s">
        <v>2043</v>
      </c>
      <c r="C1525" s="37" t="s">
        <v>2044</v>
      </c>
      <c r="D1525" s="37" t="s">
        <v>21</v>
      </c>
      <c r="E1525" s="37" t="s">
        <v>22</v>
      </c>
      <c r="F1525" s="42">
        <v>45473</v>
      </c>
      <c r="G1525" s="37">
        <v>2024</v>
      </c>
      <c r="H1525" s="37" t="s">
        <v>23</v>
      </c>
      <c r="I1525" s="39" t="s">
        <v>34</v>
      </c>
      <c r="J1525" s="37">
        <v>8</v>
      </c>
      <c r="K1525" s="37">
        <v>9</v>
      </c>
      <c r="L1525" s="65">
        <f t="shared" si="152"/>
        <v>1.125</v>
      </c>
      <c r="M1525" s="65">
        <f t="shared" si="153"/>
        <v>1.125</v>
      </c>
      <c r="N1525" s="37" t="s">
        <v>203</v>
      </c>
      <c r="O1525" s="37" t="s">
        <v>203</v>
      </c>
      <c r="P1525" s="37">
        <v>0</v>
      </c>
      <c r="Q1525" s="37">
        <v>0</v>
      </c>
      <c r="R1525" s="37" t="s">
        <v>2047</v>
      </c>
      <c r="S1525" s="37"/>
    </row>
    <row r="1526" spans="1:19" x14ac:dyDescent="0.3">
      <c r="A1526" s="36">
        <v>401</v>
      </c>
      <c r="B1526" s="37" t="s">
        <v>2043</v>
      </c>
      <c r="C1526" s="37" t="s">
        <v>2044</v>
      </c>
      <c r="D1526" s="37" t="s">
        <v>21</v>
      </c>
      <c r="E1526" s="37" t="s">
        <v>22</v>
      </c>
      <c r="F1526" s="42">
        <v>45657</v>
      </c>
      <c r="G1526" s="37">
        <v>2024</v>
      </c>
      <c r="H1526" s="37" t="s">
        <v>27</v>
      </c>
      <c r="I1526" s="39" t="s">
        <v>36</v>
      </c>
      <c r="J1526" s="37">
        <v>8</v>
      </c>
      <c r="K1526" s="43">
        <v>8</v>
      </c>
      <c r="L1526" s="65">
        <f t="shared" si="152"/>
        <v>1</v>
      </c>
      <c r="M1526" s="65">
        <f t="shared" si="153"/>
        <v>1</v>
      </c>
      <c r="N1526" s="37" t="s">
        <v>203</v>
      </c>
      <c r="O1526" s="37" t="s">
        <v>203</v>
      </c>
      <c r="P1526" s="40">
        <v>0</v>
      </c>
      <c r="Q1526" s="40">
        <v>0</v>
      </c>
      <c r="R1526" s="37" t="s">
        <v>2048</v>
      </c>
      <c r="S1526" s="37"/>
    </row>
    <row r="1527" spans="1:19" x14ac:dyDescent="0.3">
      <c r="A1527" s="41">
        <v>402</v>
      </c>
      <c r="B1527" s="37" t="s">
        <v>2049</v>
      </c>
      <c r="C1527" s="37" t="s">
        <v>2044</v>
      </c>
      <c r="D1527" s="37" t="s">
        <v>139</v>
      </c>
      <c r="E1527" s="37" t="s">
        <v>22</v>
      </c>
      <c r="F1527" s="42">
        <v>45291</v>
      </c>
      <c r="G1527" s="37">
        <v>2023</v>
      </c>
      <c r="H1527" s="37" t="s">
        <v>27</v>
      </c>
      <c r="I1527" s="39" t="s">
        <v>32</v>
      </c>
      <c r="J1527" s="37"/>
      <c r="K1527" s="56">
        <v>21000</v>
      </c>
      <c r="L1527" s="65"/>
      <c r="M1527" s="65"/>
      <c r="N1527" s="37" t="s">
        <v>203</v>
      </c>
      <c r="O1527" s="37" t="s">
        <v>203</v>
      </c>
      <c r="P1527" s="40">
        <v>0</v>
      </c>
      <c r="Q1527" s="40">
        <v>0</v>
      </c>
      <c r="R1527" s="37" t="s">
        <v>2050</v>
      </c>
      <c r="S1527" s="37"/>
    </row>
    <row r="1528" spans="1:19" x14ac:dyDescent="0.3">
      <c r="A1528" s="36">
        <v>402</v>
      </c>
      <c r="B1528" s="37" t="s">
        <v>2049</v>
      </c>
      <c r="C1528" s="37" t="s">
        <v>2044</v>
      </c>
      <c r="D1528" s="37" t="s">
        <v>139</v>
      </c>
      <c r="E1528" s="37" t="s">
        <v>22</v>
      </c>
      <c r="F1528" s="42">
        <v>45657</v>
      </c>
      <c r="G1528" s="37">
        <v>2024</v>
      </c>
      <c r="H1528" s="37" t="s">
        <v>27</v>
      </c>
      <c r="I1528" s="39" t="s">
        <v>36</v>
      </c>
      <c r="J1528" s="37">
        <v>3</v>
      </c>
      <c r="K1528" s="43">
        <v>4.76</v>
      </c>
      <c r="L1528" s="65">
        <f>IFERROR(IF(OR(J1528=0,K1528=""),"",IF(E1528="Positivo",MIN(MAX(K1528/J1528,0),1.3),MIN(MAX(J1528/K1528,0),1.3))),"")</f>
        <v>1.3</v>
      </c>
      <c r="M1528" s="65">
        <f>IFERROR(IF(OR(J1528=0,K1528=""),"",IF(E1528="Positivo",MAX(K1528/J1528,0),MAX(J1528/K1528,0))),"")</f>
        <v>1.5866666666666667</v>
      </c>
      <c r="N1528" s="37"/>
      <c r="O1528" s="37"/>
      <c r="P1528" s="40">
        <v>0</v>
      </c>
      <c r="Q1528" s="40">
        <v>0</v>
      </c>
      <c r="R1528" s="37" t="s">
        <v>2051</v>
      </c>
      <c r="S1528" s="37"/>
    </row>
    <row r="1529" spans="1:19" x14ac:dyDescent="0.3">
      <c r="A1529" s="36">
        <v>403</v>
      </c>
      <c r="B1529" s="37" t="s">
        <v>2052</v>
      </c>
      <c r="C1529" s="37" t="s">
        <v>2044</v>
      </c>
      <c r="D1529" s="37" t="s">
        <v>21</v>
      </c>
      <c r="E1529" s="37" t="s">
        <v>22</v>
      </c>
      <c r="F1529" s="38">
        <v>45107</v>
      </c>
      <c r="G1529" s="37">
        <v>2023</v>
      </c>
      <c r="H1529" s="37" t="s">
        <v>23</v>
      </c>
      <c r="I1529" s="39" t="s">
        <v>30</v>
      </c>
      <c r="J1529" s="37"/>
      <c r="K1529" s="56">
        <v>14370</v>
      </c>
      <c r="L1529" s="46"/>
      <c r="M1529" s="65"/>
      <c r="N1529" s="37" t="s">
        <v>495</v>
      </c>
      <c r="O1529" s="37" t="s">
        <v>203</v>
      </c>
      <c r="P1529" s="40">
        <v>0</v>
      </c>
      <c r="Q1529" s="40">
        <v>0</v>
      </c>
      <c r="R1529" s="37" t="s">
        <v>2053</v>
      </c>
      <c r="S1529" s="37"/>
    </row>
    <row r="1530" spans="1:19" x14ac:dyDescent="0.3">
      <c r="A1530" s="41">
        <v>403</v>
      </c>
      <c r="B1530" s="37" t="s">
        <v>2052</v>
      </c>
      <c r="C1530" s="37" t="s">
        <v>2044</v>
      </c>
      <c r="D1530" s="37" t="s">
        <v>21</v>
      </c>
      <c r="E1530" s="37" t="s">
        <v>22</v>
      </c>
      <c r="F1530" s="42">
        <v>45291</v>
      </c>
      <c r="G1530" s="37">
        <v>2023</v>
      </c>
      <c r="H1530" s="37" t="s">
        <v>27</v>
      </c>
      <c r="I1530" s="39" t="s">
        <v>32</v>
      </c>
      <c r="J1530" s="37"/>
      <c r="K1530" s="56">
        <v>28639</v>
      </c>
      <c r="L1530" s="46"/>
      <c r="M1530" s="65"/>
      <c r="N1530" s="37" t="s">
        <v>495</v>
      </c>
      <c r="O1530" s="37" t="s">
        <v>203</v>
      </c>
      <c r="P1530" s="40">
        <v>0</v>
      </c>
      <c r="Q1530" s="40">
        <v>0</v>
      </c>
      <c r="R1530" s="37" t="s">
        <v>2054</v>
      </c>
      <c r="S1530" s="37"/>
    </row>
    <row r="1531" spans="1:19" x14ac:dyDescent="0.3">
      <c r="A1531" s="37">
        <v>403</v>
      </c>
      <c r="B1531" s="37" t="s">
        <v>2052</v>
      </c>
      <c r="C1531" s="37" t="s">
        <v>2044</v>
      </c>
      <c r="D1531" s="37" t="s">
        <v>21</v>
      </c>
      <c r="E1531" s="37" t="s">
        <v>22</v>
      </c>
      <c r="F1531" s="42">
        <v>45473</v>
      </c>
      <c r="G1531" s="37">
        <v>2024</v>
      </c>
      <c r="H1531" s="37" t="s">
        <v>23</v>
      </c>
      <c r="I1531" s="39" t="s">
        <v>34</v>
      </c>
      <c r="J1531" s="37"/>
      <c r="K1531" s="37">
        <v>14923</v>
      </c>
      <c r="L1531" s="65"/>
      <c r="M1531" s="65"/>
      <c r="N1531" s="37" t="s">
        <v>495</v>
      </c>
      <c r="O1531" s="37" t="s">
        <v>203</v>
      </c>
      <c r="P1531" s="37">
        <v>0</v>
      </c>
      <c r="Q1531" s="37">
        <v>0</v>
      </c>
      <c r="R1531" s="37" t="s">
        <v>2055</v>
      </c>
      <c r="S1531" s="37"/>
    </row>
    <row r="1532" spans="1:19" x14ac:dyDescent="0.3">
      <c r="A1532" s="36">
        <v>403</v>
      </c>
      <c r="B1532" s="37" t="s">
        <v>2052</v>
      </c>
      <c r="C1532" s="37" t="s">
        <v>2044</v>
      </c>
      <c r="D1532" s="37" t="s">
        <v>21</v>
      </c>
      <c r="E1532" s="37" t="s">
        <v>22</v>
      </c>
      <c r="F1532" s="42">
        <v>45657</v>
      </c>
      <c r="G1532" s="37">
        <v>2024</v>
      </c>
      <c r="H1532" s="37" t="s">
        <v>27</v>
      </c>
      <c r="I1532" s="39" t="s">
        <v>36</v>
      </c>
      <c r="J1532" s="37"/>
      <c r="K1532" s="43">
        <v>14495</v>
      </c>
      <c r="L1532" s="65"/>
      <c r="M1532" s="65"/>
      <c r="N1532" s="37" t="s">
        <v>495</v>
      </c>
      <c r="O1532" s="37" t="s">
        <v>203</v>
      </c>
      <c r="P1532" s="40">
        <v>0</v>
      </c>
      <c r="Q1532" s="40">
        <v>0</v>
      </c>
      <c r="R1532" s="37" t="s">
        <v>2056</v>
      </c>
      <c r="S1532" s="37"/>
    </row>
    <row r="1533" spans="1:19" x14ac:dyDescent="0.3">
      <c r="A1533" s="36">
        <v>404</v>
      </c>
      <c r="B1533" s="37" t="s">
        <v>2058</v>
      </c>
      <c r="C1533" s="37" t="s">
        <v>2044</v>
      </c>
      <c r="D1533" s="37" t="s">
        <v>21</v>
      </c>
      <c r="E1533" s="37" t="s">
        <v>56</v>
      </c>
      <c r="F1533" s="38">
        <v>45107</v>
      </c>
      <c r="G1533" s="37">
        <v>2023</v>
      </c>
      <c r="H1533" s="37" t="s">
        <v>23</v>
      </c>
      <c r="I1533" s="39" t="s">
        <v>30</v>
      </c>
      <c r="J1533" s="68">
        <v>20</v>
      </c>
      <c r="K1533" s="56">
        <v>2</v>
      </c>
      <c r="L1533" s="65">
        <f t="shared" ref="L1533:L1543" si="154">IFERROR(IF(OR(J1533=0,K1533=""),"",IF(E1533="Positivo",MIN(MAX(K1533/J1533,0),1.3),MIN(MAX(J1533/K1533,0),1.3))),"")</f>
        <v>1.3</v>
      </c>
      <c r="M1533" s="65">
        <f t="shared" ref="M1533:M1543" si="155">IFERROR(IF(OR(J1533=0,K1533=""),"",IF(E1533="Positivo",MAX(K1533/J1533,0),MAX(J1533/K1533,0))),"")</f>
        <v>10</v>
      </c>
      <c r="N1533" s="60">
        <v>0</v>
      </c>
      <c r="O1533" s="37" t="s">
        <v>203</v>
      </c>
      <c r="P1533" s="40">
        <v>0</v>
      </c>
      <c r="Q1533" s="40">
        <v>0</v>
      </c>
      <c r="R1533" s="37" t="s">
        <v>2059</v>
      </c>
      <c r="S1533" s="37"/>
    </row>
    <row r="1534" spans="1:19" x14ac:dyDescent="0.3">
      <c r="A1534" s="41">
        <v>404</v>
      </c>
      <c r="B1534" s="37" t="s">
        <v>2058</v>
      </c>
      <c r="C1534" s="37" t="s">
        <v>2044</v>
      </c>
      <c r="D1534" s="37" t="s">
        <v>21</v>
      </c>
      <c r="E1534" s="37" t="s">
        <v>56</v>
      </c>
      <c r="F1534" s="42">
        <v>45291</v>
      </c>
      <c r="G1534" s="37">
        <v>2023</v>
      </c>
      <c r="H1534" s="37" t="s">
        <v>27</v>
      </c>
      <c r="I1534" s="39" t="s">
        <v>32</v>
      </c>
      <c r="J1534" s="37">
        <v>20</v>
      </c>
      <c r="K1534" s="56">
        <v>1.31</v>
      </c>
      <c r="L1534" s="65">
        <f t="shared" si="154"/>
        <v>1.3</v>
      </c>
      <c r="M1534" s="65">
        <f t="shared" si="155"/>
        <v>15.267175572519083</v>
      </c>
      <c r="N1534" s="37">
        <v>0</v>
      </c>
      <c r="O1534" s="37" t="s">
        <v>203</v>
      </c>
      <c r="P1534" s="40">
        <v>0</v>
      </c>
      <c r="Q1534" s="40">
        <v>0</v>
      </c>
      <c r="R1534" s="37" t="s">
        <v>2060</v>
      </c>
      <c r="S1534" s="37"/>
    </row>
    <row r="1535" spans="1:19" x14ac:dyDescent="0.3">
      <c r="A1535" s="37">
        <v>404</v>
      </c>
      <c r="B1535" s="37" t="s">
        <v>2058</v>
      </c>
      <c r="C1535" s="37" t="s">
        <v>2044</v>
      </c>
      <c r="D1535" s="37" t="s">
        <v>21</v>
      </c>
      <c r="E1535" s="37" t="s">
        <v>56</v>
      </c>
      <c r="F1535" s="42">
        <v>45473</v>
      </c>
      <c r="G1535" s="37">
        <v>2024</v>
      </c>
      <c r="H1535" s="37" t="s">
        <v>23</v>
      </c>
      <c r="I1535" s="39" t="s">
        <v>34</v>
      </c>
      <c r="J1535" s="37">
        <v>10</v>
      </c>
      <c r="K1535" s="37">
        <v>5.85</v>
      </c>
      <c r="L1535" s="65">
        <f t="shared" si="154"/>
        <v>1.3</v>
      </c>
      <c r="M1535" s="65">
        <f t="shared" si="155"/>
        <v>1.7094017094017095</v>
      </c>
      <c r="N1535" s="37" t="s">
        <v>25</v>
      </c>
      <c r="O1535" s="37" t="s">
        <v>25</v>
      </c>
      <c r="P1535" s="37">
        <v>0</v>
      </c>
      <c r="Q1535" s="37">
        <v>0</v>
      </c>
      <c r="R1535" s="37" t="s">
        <v>2061</v>
      </c>
      <c r="S1535" s="37"/>
    </row>
    <row r="1536" spans="1:19" x14ac:dyDescent="0.3">
      <c r="A1536" s="36">
        <v>404</v>
      </c>
      <c r="B1536" s="37" t="s">
        <v>2058</v>
      </c>
      <c r="C1536" s="37" t="s">
        <v>2044</v>
      </c>
      <c r="D1536" s="37" t="s">
        <v>21</v>
      </c>
      <c r="E1536" s="37" t="s">
        <v>56</v>
      </c>
      <c r="F1536" s="42">
        <v>45657</v>
      </c>
      <c r="G1536" s="37">
        <v>2024</v>
      </c>
      <c r="H1536" s="37" t="s">
        <v>27</v>
      </c>
      <c r="I1536" s="39" t="s">
        <v>36</v>
      </c>
      <c r="J1536" s="37">
        <v>10</v>
      </c>
      <c r="K1536" s="43">
        <v>6.02</v>
      </c>
      <c r="L1536" s="65">
        <f t="shared" si="154"/>
        <v>1.3</v>
      </c>
      <c r="M1536" s="65">
        <f t="shared" si="155"/>
        <v>1.6611295681063125</v>
      </c>
      <c r="N1536" s="37" t="s">
        <v>25</v>
      </c>
      <c r="O1536" s="37" t="s">
        <v>25</v>
      </c>
      <c r="P1536" s="40">
        <v>0</v>
      </c>
      <c r="Q1536" s="40">
        <v>0</v>
      </c>
      <c r="R1536" s="37" t="s">
        <v>2062</v>
      </c>
      <c r="S1536" s="37"/>
    </row>
    <row r="1537" spans="1:19" x14ac:dyDescent="0.3">
      <c r="A1537" s="36">
        <v>405</v>
      </c>
      <c r="B1537" s="37" t="s">
        <v>2063</v>
      </c>
      <c r="C1537" s="37" t="s">
        <v>2044</v>
      </c>
      <c r="D1537" s="37" t="s">
        <v>21</v>
      </c>
      <c r="E1537" s="37" t="s">
        <v>22</v>
      </c>
      <c r="F1537" s="38">
        <v>45107</v>
      </c>
      <c r="G1537" s="37">
        <v>2023</v>
      </c>
      <c r="H1537" s="37" t="s">
        <v>23</v>
      </c>
      <c r="I1537" s="39" t="s">
        <v>30</v>
      </c>
      <c r="J1537" s="37">
        <v>25</v>
      </c>
      <c r="K1537" s="56">
        <v>30</v>
      </c>
      <c r="L1537" s="65">
        <f t="shared" si="154"/>
        <v>1.2</v>
      </c>
      <c r="M1537" s="65">
        <f t="shared" si="155"/>
        <v>1.2</v>
      </c>
      <c r="N1537" s="37" t="s">
        <v>25</v>
      </c>
      <c r="O1537" s="37" t="s">
        <v>25</v>
      </c>
      <c r="P1537" s="40">
        <v>0</v>
      </c>
      <c r="Q1537" s="40">
        <v>0</v>
      </c>
      <c r="R1537" s="37" t="s">
        <v>2064</v>
      </c>
      <c r="S1537" s="37"/>
    </row>
    <row r="1538" spans="1:19" x14ac:dyDescent="0.3">
      <c r="A1538" s="41">
        <v>405</v>
      </c>
      <c r="B1538" s="37" t="s">
        <v>2063</v>
      </c>
      <c r="C1538" s="37" t="s">
        <v>2044</v>
      </c>
      <c r="D1538" s="37" t="s">
        <v>21</v>
      </c>
      <c r="E1538" s="37" t="s">
        <v>22</v>
      </c>
      <c r="F1538" s="42">
        <v>45291</v>
      </c>
      <c r="G1538" s="37">
        <v>2023</v>
      </c>
      <c r="H1538" s="37" t="s">
        <v>27</v>
      </c>
      <c r="I1538" s="39" t="s">
        <v>32</v>
      </c>
      <c r="J1538" s="37">
        <v>50</v>
      </c>
      <c r="K1538" s="56">
        <v>62</v>
      </c>
      <c r="L1538" s="65">
        <f t="shared" si="154"/>
        <v>1.24</v>
      </c>
      <c r="M1538" s="65">
        <f t="shared" si="155"/>
        <v>1.24</v>
      </c>
      <c r="N1538" s="37" t="s">
        <v>25</v>
      </c>
      <c r="O1538" s="37" t="s">
        <v>25</v>
      </c>
      <c r="P1538" s="40">
        <v>0</v>
      </c>
      <c r="Q1538" s="40">
        <v>0</v>
      </c>
      <c r="R1538" s="37" t="s">
        <v>2065</v>
      </c>
      <c r="S1538" s="37"/>
    </row>
    <row r="1539" spans="1:19" x14ac:dyDescent="0.3">
      <c r="A1539" s="37">
        <v>405</v>
      </c>
      <c r="B1539" s="37" t="s">
        <v>2066</v>
      </c>
      <c r="C1539" s="37" t="s">
        <v>2044</v>
      </c>
      <c r="D1539" s="37" t="s">
        <v>21</v>
      </c>
      <c r="E1539" s="37" t="s">
        <v>22</v>
      </c>
      <c r="F1539" s="42">
        <v>45473</v>
      </c>
      <c r="G1539" s="37">
        <v>2024</v>
      </c>
      <c r="H1539" s="37" t="s">
        <v>23</v>
      </c>
      <c r="I1539" s="39" t="s">
        <v>34</v>
      </c>
      <c r="J1539" s="37">
        <v>100</v>
      </c>
      <c r="K1539" s="37">
        <v>92</v>
      </c>
      <c r="L1539" s="65">
        <f t="shared" si="154"/>
        <v>0.92</v>
      </c>
      <c r="M1539" s="65">
        <f t="shared" si="155"/>
        <v>0.92</v>
      </c>
      <c r="N1539" s="37" t="s">
        <v>25</v>
      </c>
      <c r="O1539" s="37" t="s">
        <v>25</v>
      </c>
      <c r="P1539" s="37">
        <v>0</v>
      </c>
      <c r="Q1539" s="37">
        <v>0</v>
      </c>
      <c r="R1539" s="37" t="s">
        <v>2067</v>
      </c>
      <c r="S1539" s="37"/>
    </row>
    <row r="1540" spans="1:19" x14ac:dyDescent="0.3">
      <c r="A1540" s="36">
        <v>405</v>
      </c>
      <c r="B1540" s="37" t="s">
        <v>2066</v>
      </c>
      <c r="C1540" s="37" t="s">
        <v>2044</v>
      </c>
      <c r="D1540" s="37" t="s">
        <v>21</v>
      </c>
      <c r="E1540" s="37" t="s">
        <v>22</v>
      </c>
      <c r="F1540" s="42">
        <v>45657</v>
      </c>
      <c r="G1540" s="37">
        <v>2024</v>
      </c>
      <c r="H1540" s="37" t="s">
        <v>27</v>
      </c>
      <c r="I1540" s="39" t="s">
        <v>36</v>
      </c>
      <c r="J1540" s="37">
        <v>100</v>
      </c>
      <c r="K1540" s="43">
        <v>98</v>
      </c>
      <c r="L1540" s="65">
        <f t="shared" si="154"/>
        <v>0.98</v>
      </c>
      <c r="M1540" s="65">
        <f t="shared" si="155"/>
        <v>0.98</v>
      </c>
      <c r="N1540" s="37" t="s">
        <v>25</v>
      </c>
      <c r="O1540" s="37" t="s">
        <v>25</v>
      </c>
      <c r="P1540" s="40">
        <v>0</v>
      </c>
      <c r="Q1540" s="40">
        <v>0</v>
      </c>
      <c r="R1540" s="37" t="s">
        <v>2068</v>
      </c>
      <c r="S1540" s="37"/>
    </row>
    <row r="1541" spans="1:19" x14ac:dyDescent="0.3">
      <c r="A1541" s="41">
        <v>406</v>
      </c>
      <c r="B1541" s="37" t="s">
        <v>2069</v>
      </c>
      <c r="C1541" s="37" t="s">
        <v>1627</v>
      </c>
      <c r="D1541" s="37" t="s">
        <v>21</v>
      </c>
      <c r="E1541" s="37" t="s">
        <v>22</v>
      </c>
      <c r="F1541" s="42">
        <v>45291</v>
      </c>
      <c r="G1541" s="37">
        <v>2023</v>
      </c>
      <c r="H1541" s="37" t="s">
        <v>27</v>
      </c>
      <c r="I1541" s="39" t="s">
        <v>32</v>
      </c>
      <c r="J1541" s="37">
        <v>5</v>
      </c>
      <c r="K1541" s="56">
        <v>5</v>
      </c>
      <c r="L1541" s="65">
        <f t="shared" si="154"/>
        <v>1</v>
      </c>
      <c r="M1541" s="65">
        <f t="shared" si="155"/>
        <v>1</v>
      </c>
      <c r="N1541" s="37" t="s">
        <v>25</v>
      </c>
      <c r="O1541" s="37" t="s">
        <v>25</v>
      </c>
      <c r="P1541" s="40">
        <v>0</v>
      </c>
      <c r="Q1541" s="40">
        <v>0</v>
      </c>
      <c r="R1541" s="37" t="s">
        <v>2070</v>
      </c>
      <c r="S1541" s="37"/>
    </row>
    <row r="1542" spans="1:19" x14ac:dyDescent="0.3">
      <c r="A1542" s="37">
        <v>406</v>
      </c>
      <c r="B1542" s="37" t="s">
        <v>2069</v>
      </c>
      <c r="C1542" s="37" t="s">
        <v>1627</v>
      </c>
      <c r="D1542" s="37" t="s">
        <v>21</v>
      </c>
      <c r="E1542" s="37" t="s">
        <v>22</v>
      </c>
      <c r="F1542" s="42">
        <v>45473</v>
      </c>
      <c r="G1542" s="37">
        <v>2024</v>
      </c>
      <c r="H1542" s="37" t="s">
        <v>23</v>
      </c>
      <c r="I1542" s="39" t="s">
        <v>34</v>
      </c>
      <c r="J1542" s="37">
        <v>0</v>
      </c>
      <c r="K1542" s="37">
        <v>3</v>
      </c>
      <c r="L1542" s="65" t="str">
        <f t="shared" si="154"/>
        <v/>
      </c>
      <c r="M1542" s="65" t="str">
        <f t="shared" si="155"/>
        <v/>
      </c>
      <c r="N1542" s="37" t="s">
        <v>203</v>
      </c>
      <c r="O1542" s="37" t="s">
        <v>203</v>
      </c>
      <c r="P1542" s="37">
        <v>0</v>
      </c>
      <c r="Q1542" s="37">
        <v>0</v>
      </c>
      <c r="R1542" s="37" t="s">
        <v>2071</v>
      </c>
      <c r="S1542" s="37"/>
    </row>
    <row r="1543" spans="1:19" x14ac:dyDescent="0.3">
      <c r="A1543" s="41">
        <v>407</v>
      </c>
      <c r="B1543" s="37" t="s">
        <v>2072</v>
      </c>
      <c r="C1543" s="37" t="s">
        <v>1627</v>
      </c>
      <c r="D1543" s="37" t="s">
        <v>21</v>
      </c>
      <c r="E1543" s="37" t="s">
        <v>22</v>
      </c>
      <c r="F1543" s="42">
        <v>45291</v>
      </c>
      <c r="G1543" s="37">
        <v>2023</v>
      </c>
      <c r="H1543" s="37" t="s">
        <v>27</v>
      </c>
      <c r="I1543" s="39" t="s">
        <v>32</v>
      </c>
      <c r="J1543" s="37">
        <v>3</v>
      </c>
      <c r="K1543" s="56">
        <v>3</v>
      </c>
      <c r="L1543" s="65">
        <f t="shared" si="154"/>
        <v>1</v>
      </c>
      <c r="M1543" s="65">
        <f t="shared" si="155"/>
        <v>1</v>
      </c>
      <c r="N1543" s="37" t="s">
        <v>203</v>
      </c>
      <c r="O1543" s="37" t="s">
        <v>203</v>
      </c>
      <c r="P1543" s="40">
        <v>0</v>
      </c>
      <c r="Q1543" s="40">
        <v>0</v>
      </c>
      <c r="R1543" s="37" t="s">
        <v>2073</v>
      </c>
      <c r="S1543" s="37"/>
    </row>
    <row r="1544" spans="1:19" x14ac:dyDescent="0.3">
      <c r="A1544" s="37">
        <v>408</v>
      </c>
      <c r="B1544" s="37" t="s">
        <v>2074</v>
      </c>
      <c r="C1544" s="37" t="s">
        <v>1627</v>
      </c>
      <c r="D1544" s="37" t="s">
        <v>21</v>
      </c>
      <c r="E1544" s="37" t="s">
        <v>22</v>
      </c>
      <c r="F1544" s="42">
        <v>45107</v>
      </c>
      <c r="G1544" s="37">
        <v>2023</v>
      </c>
      <c r="H1544" s="37" t="s">
        <v>23</v>
      </c>
      <c r="I1544" s="37" t="s">
        <v>30</v>
      </c>
      <c r="J1544" s="37">
        <v>100</v>
      </c>
      <c r="K1544" s="37"/>
      <c r="L1544" s="65"/>
      <c r="M1544" s="65"/>
      <c r="N1544" s="37" t="s">
        <v>203</v>
      </c>
      <c r="O1544" s="37" t="s">
        <v>223</v>
      </c>
      <c r="P1544" s="37">
        <v>0</v>
      </c>
      <c r="Q1544" s="37">
        <v>0</v>
      </c>
      <c r="R1544" s="37" t="s">
        <v>2075</v>
      </c>
      <c r="S1544" s="37" t="s">
        <v>223</v>
      </c>
    </row>
    <row r="1545" spans="1:19" x14ac:dyDescent="0.3">
      <c r="A1545" s="41">
        <v>408</v>
      </c>
      <c r="B1545" s="37" t="s">
        <v>2074</v>
      </c>
      <c r="C1545" s="37" t="s">
        <v>1627</v>
      </c>
      <c r="D1545" s="37" t="s">
        <v>21</v>
      </c>
      <c r="E1545" s="37" t="s">
        <v>22</v>
      </c>
      <c r="F1545" s="42">
        <v>45291</v>
      </c>
      <c r="G1545" s="37">
        <v>2023</v>
      </c>
      <c r="H1545" s="37" t="s">
        <v>27</v>
      </c>
      <c r="I1545" s="39" t="s">
        <v>32</v>
      </c>
      <c r="J1545" s="37">
        <v>100</v>
      </c>
      <c r="K1545" s="56">
        <v>100</v>
      </c>
      <c r="L1545" s="65">
        <f>IFERROR(IF(OR(J1545=0,K1545=""),"",IF(E1545="Positivo",MIN(MAX(K1545/J1545,0),1.3),MIN(MAX(J1545/K1545,0),1.3))),"")</f>
        <v>1</v>
      </c>
      <c r="M1545" s="65">
        <f>IFERROR(IF(OR(J1545=0,K1545=""),"",IF(E1545="Positivo",MAX(K1545/J1545,0),MAX(J1545/K1545,0))),"")</f>
        <v>1</v>
      </c>
      <c r="N1545" s="37" t="s">
        <v>203</v>
      </c>
      <c r="O1545" s="37" t="s">
        <v>203</v>
      </c>
      <c r="P1545" s="40">
        <v>0</v>
      </c>
      <c r="Q1545" s="40">
        <v>0</v>
      </c>
      <c r="R1545" s="37" t="s">
        <v>2076</v>
      </c>
      <c r="S1545" s="37"/>
    </row>
    <row r="1546" spans="1:19" x14ac:dyDescent="0.3">
      <c r="A1546" s="37">
        <v>408</v>
      </c>
      <c r="B1546" s="37" t="s">
        <v>2074</v>
      </c>
      <c r="C1546" s="37" t="s">
        <v>1627</v>
      </c>
      <c r="D1546" s="37" t="s">
        <v>21</v>
      </c>
      <c r="E1546" s="37" t="s">
        <v>22</v>
      </c>
      <c r="F1546" s="42">
        <v>45473</v>
      </c>
      <c r="G1546" s="37">
        <v>2024</v>
      </c>
      <c r="H1546" s="37" t="s">
        <v>23</v>
      </c>
      <c r="I1546" s="37" t="s">
        <v>34</v>
      </c>
      <c r="J1546" s="37">
        <v>100</v>
      </c>
      <c r="K1546" s="37"/>
      <c r="L1546" s="65"/>
      <c r="M1546" s="65"/>
      <c r="N1546" s="37" t="s">
        <v>203</v>
      </c>
      <c r="O1546" s="37" t="s">
        <v>223</v>
      </c>
      <c r="P1546" s="37">
        <v>0</v>
      </c>
      <c r="Q1546" s="37">
        <v>0</v>
      </c>
      <c r="R1546" s="37" t="s">
        <v>2077</v>
      </c>
      <c r="S1546" s="37" t="s">
        <v>223</v>
      </c>
    </row>
    <row r="1547" spans="1:19" x14ac:dyDescent="0.3">
      <c r="A1547" s="36">
        <v>408</v>
      </c>
      <c r="B1547" s="37" t="s">
        <v>2074</v>
      </c>
      <c r="C1547" s="37" t="s">
        <v>1627</v>
      </c>
      <c r="D1547" s="37" t="s">
        <v>21</v>
      </c>
      <c r="E1547" s="37" t="s">
        <v>22</v>
      </c>
      <c r="F1547" s="42">
        <v>45657</v>
      </c>
      <c r="G1547" s="37">
        <v>2024</v>
      </c>
      <c r="H1547" s="37" t="s">
        <v>27</v>
      </c>
      <c r="I1547" s="39" t="s">
        <v>36</v>
      </c>
      <c r="J1547" s="37">
        <v>100</v>
      </c>
      <c r="K1547" s="43">
        <v>100</v>
      </c>
      <c r="L1547" s="65">
        <f>IFERROR(IF(OR(J1547=0,K1547=""),"",IF(E1547="Positivo",MIN(MAX(K1547/J1547,0),1.3),MIN(MAX(J1547/K1547,0),1.3))),"")</f>
        <v>1</v>
      </c>
      <c r="M1547" s="65">
        <f>IFERROR(IF(OR(J1547=0,K1547=""),"",IF(E1547="Positivo",MAX(K1547/J1547,0),MAX(J1547/K1547,0))),"")</f>
        <v>1</v>
      </c>
      <c r="N1547" s="37" t="s">
        <v>203</v>
      </c>
      <c r="O1547" s="37" t="s">
        <v>203</v>
      </c>
      <c r="P1547" s="40">
        <v>0</v>
      </c>
      <c r="Q1547" s="40">
        <v>0</v>
      </c>
      <c r="R1547" s="37" t="s">
        <v>2078</v>
      </c>
      <c r="S1547" s="37"/>
    </row>
    <row r="1548" spans="1:19" x14ac:dyDescent="0.3">
      <c r="A1548" s="37">
        <v>409</v>
      </c>
      <c r="B1548" s="37" t="s">
        <v>2081</v>
      </c>
      <c r="C1548" s="37" t="s">
        <v>1303</v>
      </c>
      <c r="D1548" s="37" t="s">
        <v>39</v>
      </c>
      <c r="E1548" s="37" t="s">
        <v>22</v>
      </c>
      <c r="F1548" s="42">
        <v>45016</v>
      </c>
      <c r="G1548" s="37">
        <v>2023</v>
      </c>
      <c r="H1548" s="37" t="s">
        <v>40</v>
      </c>
      <c r="I1548" s="37" t="s">
        <v>30</v>
      </c>
      <c r="J1548" s="37"/>
      <c r="K1548" s="37"/>
      <c r="L1548" s="65"/>
      <c r="M1548" s="65"/>
      <c r="N1548" s="37" t="s">
        <v>25</v>
      </c>
      <c r="O1548" s="37" t="s">
        <v>223</v>
      </c>
      <c r="P1548" s="37">
        <v>0</v>
      </c>
      <c r="Q1548" s="37">
        <v>0</v>
      </c>
      <c r="R1548" s="37" t="s">
        <v>2082</v>
      </c>
      <c r="S1548" s="37" t="s">
        <v>223</v>
      </c>
    </row>
    <row r="1549" spans="1:19" x14ac:dyDescent="0.3">
      <c r="A1549" s="37">
        <v>409</v>
      </c>
      <c r="B1549" s="37" t="s">
        <v>2081</v>
      </c>
      <c r="C1549" s="37" t="s">
        <v>1303</v>
      </c>
      <c r="D1549" s="37" t="s">
        <v>39</v>
      </c>
      <c r="E1549" s="37" t="s">
        <v>22</v>
      </c>
      <c r="F1549" s="42">
        <v>45107</v>
      </c>
      <c r="G1549" s="37">
        <v>2023</v>
      </c>
      <c r="H1549" s="37" t="s">
        <v>23</v>
      </c>
      <c r="I1549" s="37" t="s">
        <v>30</v>
      </c>
      <c r="J1549" s="37"/>
      <c r="K1549" s="37"/>
      <c r="L1549" s="65"/>
      <c r="M1549" s="65"/>
      <c r="N1549" s="37" t="s">
        <v>25</v>
      </c>
      <c r="O1549" s="37" t="s">
        <v>223</v>
      </c>
      <c r="P1549" s="37">
        <v>0</v>
      </c>
      <c r="Q1549" s="37">
        <v>0</v>
      </c>
      <c r="R1549" s="37" t="s">
        <v>2083</v>
      </c>
      <c r="S1549" s="37" t="s">
        <v>223</v>
      </c>
    </row>
    <row r="1550" spans="1:19" x14ac:dyDescent="0.3">
      <c r="A1550" s="45">
        <v>409</v>
      </c>
      <c r="B1550" s="37" t="s">
        <v>2081</v>
      </c>
      <c r="C1550" s="37" t="s">
        <v>1303</v>
      </c>
      <c r="D1550" s="37" t="s">
        <v>39</v>
      </c>
      <c r="E1550" s="37" t="s">
        <v>22</v>
      </c>
      <c r="F1550" s="42">
        <v>45199</v>
      </c>
      <c r="G1550" s="37">
        <v>2023</v>
      </c>
      <c r="H1550" s="37" t="s">
        <v>43</v>
      </c>
      <c r="I1550" s="39" t="s">
        <v>32</v>
      </c>
      <c r="J1550" s="37">
        <v>80</v>
      </c>
      <c r="K1550" s="56">
        <v>103.71885459278541</v>
      </c>
      <c r="L1550" s="65">
        <f t="shared" ref="L1550:L1555" si="156">IFERROR(IF(OR(J1550=0,K1550=""),"",IF(E1550="Positivo",MIN(MAX(K1550/J1550,0),1.3),MIN(MAX(J1550/K1550,0),1.3))),"")</f>
        <v>1.2964856824098177</v>
      </c>
      <c r="M1550" s="65">
        <f t="shared" ref="M1550:M1555" si="157">IFERROR(IF(OR(J1550=0,K1550=""),"",IF(E1550="Positivo",MAX(K1550/J1550,0),MAX(J1550/K1550,0))),"")</f>
        <v>1.2964856824098177</v>
      </c>
      <c r="N1550" s="37" t="s">
        <v>25</v>
      </c>
      <c r="O1550" s="37" t="s">
        <v>25</v>
      </c>
      <c r="P1550" s="40">
        <v>0</v>
      </c>
      <c r="Q1550" s="40">
        <v>0</v>
      </c>
      <c r="R1550" s="37" t="s">
        <v>2084</v>
      </c>
      <c r="S1550" s="37"/>
    </row>
    <row r="1551" spans="1:19" x14ac:dyDescent="0.3">
      <c r="A1551" s="41">
        <v>409</v>
      </c>
      <c r="B1551" s="37" t="s">
        <v>2081</v>
      </c>
      <c r="C1551" s="37" t="s">
        <v>1303</v>
      </c>
      <c r="D1551" s="37" t="s">
        <v>39</v>
      </c>
      <c r="E1551" s="37" t="s">
        <v>22</v>
      </c>
      <c r="F1551" s="42">
        <v>45291</v>
      </c>
      <c r="G1551" s="37">
        <v>2023</v>
      </c>
      <c r="H1551" s="37" t="s">
        <v>27</v>
      </c>
      <c r="I1551" s="39" t="s">
        <v>32</v>
      </c>
      <c r="J1551" s="37">
        <v>80</v>
      </c>
      <c r="K1551" s="56">
        <v>100</v>
      </c>
      <c r="L1551" s="65">
        <f t="shared" si="156"/>
        <v>1.25</v>
      </c>
      <c r="M1551" s="65">
        <f t="shared" si="157"/>
        <v>1.25</v>
      </c>
      <c r="N1551" s="37" t="s">
        <v>25</v>
      </c>
      <c r="O1551" s="37" t="s">
        <v>25</v>
      </c>
      <c r="P1551" s="40">
        <v>0</v>
      </c>
      <c r="Q1551" s="40">
        <v>0</v>
      </c>
      <c r="R1551" s="37" t="s">
        <v>2085</v>
      </c>
      <c r="S1551" s="37"/>
    </row>
    <row r="1552" spans="1:19" x14ac:dyDescent="0.3">
      <c r="A1552" s="36">
        <v>409</v>
      </c>
      <c r="B1552" s="37" t="s">
        <v>2081</v>
      </c>
      <c r="C1552" s="37" t="s">
        <v>1303</v>
      </c>
      <c r="D1552" s="37" t="s">
        <v>39</v>
      </c>
      <c r="E1552" s="37" t="s">
        <v>22</v>
      </c>
      <c r="F1552" s="42">
        <v>45382</v>
      </c>
      <c r="G1552" s="37">
        <v>2024</v>
      </c>
      <c r="H1552" s="37" t="s">
        <v>40</v>
      </c>
      <c r="I1552" s="39" t="s">
        <v>34</v>
      </c>
      <c r="J1552" s="37">
        <v>95</v>
      </c>
      <c r="K1552" s="43">
        <v>98.022598870056498</v>
      </c>
      <c r="L1552" s="65">
        <f t="shared" si="156"/>
        <v>1.031816830211121</v>
      </c>
      <c r="M1552" s="65">
        <f t="shared" si="157"/>
        <v>1.031816830211121</v>
      </c>
      <c r="N1552" s="37" t="s">
        <v>25</v>
      </c>
      <c r="O1552" s="37" t="s">
        <v>25</v>
      </c>
      <c r="P1552" s="40">
        <v>0</v>
      </c>
      <c r="Q1552" s="40">
        <v>0</v>
      </c>
      <c r="R1552" s="37" t="s">
        <v>2086</v>
      </c>
      <c r="S1552" s="37"/>
    </row>
    <row r="1553" spans="1:19" x14ac:dyDescent="0.3">
      <c r="A1553" s="37">
        <v>409</v>
      </c>
      <c r="B1553" s="37" t="s">
        <v>2081</v>
      </c>
      <c r="C1553" s="37" t="s">
        <v>1303</v>
      </c>
      <c r="D1553" s="37" t="s">
        <v>39</v>
      </c>
      <c r="E1553" s="37" t="s">
        <v>22</v>
      </c>
      <c r="F1553" s="42">
        <v>45473</v>
      </c>
      <c r="G1553" s="37">
        <v>2024</v>
      </c>
      <c r="H1553" s="37" t="s">
        <v>23</v>
      </c>
      <c r="I1553" s="39" t="s">
        <v>34</v>
      </c>
      <c r="J1553" s="37">
        <v>95</v>
      </c>
      <c r="K1553" s="37">
        <v>98.496240601503757</v>
      </c>
      <c r="L1553" s="65">
        <f t="shared" si="156"/>
        <v>1.036802532647408</v>
      </c>
      <c r="M1553" s="65">
        <f t="shared" si="157"/>
        <v>1.036802532647408</v>
      </c>
      <c r="N1553" s="37" t="s">
        <v>25</v>
      </c>
      <c r="O1553" s="37" t="s">
        <v>25</v>
      </c>
      <c r="P1553" s="37">
        <v>0</v>
      </c>
      <c r="Q1553" s="37">
        <v>0</v>
      </c>
      <c r="R1553" s="37" t="s">
        <v>2087</v>
      </c>
      <c r="S1553" s="37"/>
    </row>
    <row r="1554" spans="1:19" x14ac:dyDescent="0.3">
      <c r="A1554" s="36">
        <v>409</v>
      </c>
      <c r="B1554" s="37" t="s">
        <v>2081</v>
      </c>
      <c r="C1554" s="37" t="s">
        <v>1303</v>
      </c>
      <c r="D1554" s="37" t="s">
        <v>39</v>
      </c>
      <c r="E1554" s="37" t="s">
        <v>22</v>
      </c>
      <c r="F1554" s="42">
        <v>45565</v>
      </c>
      <c r="G1554" s="37">
        <v>2024</v>
      </c>
      <c r="H1554" s="37" t="s">
        <v>43</v>
      </c>
      <c r="I1554" s="39" t="s">
        <v>36</v>
      </c>
      <c r="J1554" s="37">
        <v>95</v>
      </c>
      <c r="K1554" s="43">
        <v>97.122302158273357</v>
      </c>
      <c r="L1554" s="65">
        <f t="shared" si="156"/>
        <v>1.022340022718667</v>
      </c>
      <c r="M1554" s="65">
        <f t="shared" si="157"/>
        <v>1.022340022718667</v>
      </c>
      <c r="N1554" s="37" t="s">
        <v>25</v>
      </c>
      <c r="O1554" s="37" t="s">
        <v>25</v>
      </c>
      <c r="P1554" s="40">
        <v>0</v>
      </c>
      <c r="Q1554" s="40">
        <v>0</v>
      </c>
      <c r="R1554" s="37" t="s">
        <v>2088</v>
      </c>
      <c r="S1554" s="37"/>
    </row>
    <row r="1555" spans="1:19" x14ac:dyDescent="0.3">
      <c r="A1555" s="36">
        <v>409</v>
      </c>
      <c r="B1555" s="37" t="s">
        <v>2081</v>
      </c>
      <c r="C1555" s="37" t="s">
        <v>1303</v>
      </c>
      <c r="D1555" s="37" t="s">
        <v>39</v>
      </c>
      <c r="E1555" s="37" t="s">
        <v>22</v>
      </c>
      <c r="F1555" s="42">
        <v>45657</v>
      </c>
      <c r="G1555" s="37">
        <v>2024</v>
      </c>
      <c r="H1555" s="37" t="s">
        <v>27</v>
      </c>
      <c r="I1555" s="39" t="s">
        <v>36</v>
      </c>
      <c r="J1555" s="37">
        <v>95</v>
      </c>
      <c r="K1555" s="43">
        <v>96.457326892109478</v>
      </c>
      <c r="L1555" s="65">
        <f t="shared" si="156"/>
        <v>1.0153402830748366</v>
      </c>
      <c r="M1555" s="65">
        <f t="shared" si="157"/>
        <v>1.0153402830748366</v>
      </c>
      <c r="N1555" s="37" t="s">
        <v>25</v>
      </c>
      <c r="O1555" s="37" t="s">
        <v>25</v>
      </c>
      <c r="P1555" s="40">
        <v>0</v>
      </c>
      <c r="Q1555" s="40">
        <v>0</v>
      </c>
      <c r="R1555" s="37" t="s">
        <v>2089</v>
      </c>
      <c r="S1555" s="37"/>
    </row>
    <row r="1556" spans="1:19" x14ac:dyDescent="0.3">
      <c r="A1556" s="45">
        <v>410</v>
      </c>
      <c r="B1556" s="37" t="s">
        <v>2091</v>
      </c>
      <c r="C1556" s="37" t="s">
        <v>1303</v>
      </c>
      <c r="D1556" s="37" t="s">
        <v>39</v>
      </c>
      <c r="E1556" s="37" t="s">
        <v>22</v>
      </c>
      <c r="F1556" s="42">
        <v>45199</v>
      </c>
      <c r="G1556" s="37">
        <v>2023</v>
      </c>
      <c r="H1556" s="37" t="s">
        <v>43</v>
      </c>
      <c r="I1556" s="39" t="s">
        <v>32</v>
      </c>
      <c r="J1556" s="37">
        <v>90</v>
      </c>
      <c r="K1556" s="56">
        <v>90.31</v>
      </c>
      <c r="L1556" s="65">
        <f t="shared" ref="L1556:L1561" si="158">IFERROR(IF(OR(J1556=0,K1556=""),"",IF(E1556="Positivo",MIN(MAX(K1556/J1556,0),1.3),MIN(MAX(J1556/K1556,0),1.3))),"")</f>
        <v>1.0034444444444444</v>
      </c>
      <c r="M1556" s="65">
        <f t="shared" ref="M1556:M1561" si="159">IFERROR(IF(OR(J1556=0,K1556=""),"",IF(E1556="Positivo",MAX(K1556/J1556,0),MAX(J1556/K1556,0))),"")</f>
        <v>1.0034444444444444</v>
      </c>
      <c r="N1556" s="37" t="s">
        <v>25</v>
      </c>
      <c r="O1556" s="37" t="s">
        <v>25</v>
      </c>
      <c r="P1556" s="40">
        <v>0</v>
      </c>
      <c r="Q1556" s="40">
        <v>0</v>
      </c>
      <c r="R1556" s="37" t="s">
        <v>2092</v>
      </c>
      <c r="S1556" s="37"/>
    </row>
    <row r="1557" spans="1:19" x14ac:dyDescent="0.3">
      <c r="A1557" s="41">
        <v>411</v>
      </c>
      <c r="B1557" s="37" t="s">
        <v>2093</v>
      </c>
      <c r="C1557" s="37" t="s">
        <v>1998</v>
      </c>
      <c r="D1557" s="37" t="s">
        <v>21</v>
      </c>
      <c r="E1557" s="37" t="s">
        <v>22</v>
      </c>
      <c r="F1557" s="42">
        <v>45291</v>
      </c>
      <c r="G1557" s="37">
        <v>2023</v>
      </c>
      <c r="H1557" s="37" t="s">
        <v>27</v>
      </c>
      <c r="I1557" s="39" t="s">
        <v>32</v>
      </c>
      <c r="J1557" s="37">
        <v>100</v>
      </c>
      <c r="K1557" s="56">
        <v>100</v>
      </c>
      <c r="L1557" s="65">
        <f t="shared" si="158"/>
        <v>1</v>
      </c>
      <c r="M1557" s="65">
        <f t="shared" si="159"/>
        <v>1</v>
      </c>
      <c r="N1557" s="37" t="s">
        <v>25</v>
      </c>
      <c r="O1557" s="37" t="s">
        <v>25</v>
      </c>
      <c r="P1557" s="40">
        <v>0</v>
      </c>
      <c r="Q1557" s="40">
        <v>0</v>
      </c>
      <c r="R1557" s="37" t="s">
        <v>2094</v>
      </c>
      <c r="S1557" s="37"/>
    </row>
    <row r="1558" spans="1:19" x14ac:dyDescent="0.3">
      <c r="A1558" s="41">
        <v>412</v>
      </c>
      <c r="B1558" s="37" t="s">
        <v>2095</v>
      </c>
      <c r="C1558" s="37" t="s">
        <v>1998</v>
      </c>
      <c r="D1558" s="37" t="s">
        <v>139</v>
      </c>
      <c r="E1558" s="37" t="s">
        <v>22</v>
      </c>
      <c r="F1558" s="42">
        <v>45291</v>
      </c>
      <c r="G1558" s="37">
        <v>2023</v>
      </c>
      <c r="H1558" s="37" t="s">
        <v>27</v>
      </c>
      <c r="I1558" s="39" t="s">
        <v>32</v>
      </c>
      <c r="J1558" s="37">
        <v>100</v>
      </c>
      <c r="K1558" s="56">
        <v>100</v>
      </c>
      <c r="L1558" s="65">
        <f t="shared" si="158"/>
        <v>1</v>
      </c>
      <c r="M1558" s="65">
        <f t="shared" si="159"/>
        <v>1</v>
      </c>
      <c r="N1558" s="37" t="s">
        <v>25</v>
      </c>
      <c r="O1558" s="37" t="s">
        <v>25</v>
      </c>
      <c r="P1558" s="40">
        <v>0</v>
      </c>
      <c r="Q1558" s="40">
        <v>0</v>
      </c>
      <c r="R1558" s="37" t="s">
        <v>2096</v>
      </c>
      <c r="S1558" s="37"/>
    </row>
    <row r="1559" spans="1:19" x14ac:dyDescent="0.3">
      <c r="A1559" s="36">
        <v>412</v>
      </c>
      <c r="B1559" s="37" t="s">
        <v>2097</v>
      </c>
      <c r="C1559" s="37" t="s">
        <v>1998</v>
      </c>
      <c r="D1559" s="37" t="s">
        <v>139</v>
      </c>
      <c r="E1559" s="37" t="s">
        <v>22</v>
      </c>
      <c r="F1559" s="42">
        <v>45657</v>
      </c>
      <c r="G1559" s="37">
        <v>2024</v>
      </c>
      <c r="H1559" s="37" t="s">
        <v>27</v>
      </c>
      <c r="I1559" s="39" t="s">
        <v>36</v>
      </c>
      <c r="J1559" s="37">
        <v>100</v>
      </c>
      <c r="K1559" s="43">
        <v>100</v>
      </c>
      <c r="L1559" s="65">
        <f t="shared" si="158"/>
        <v>1</v>
      </c>
      <c r="M1559" s="65">
        <f t="shared" si="159"/>
        <v>1</v>
      </c>
      <c r="N1559" s="37" t="s">
        <v>25</v>
      </c>
      <c r="O1559" s="37" t="s">
        <v>25</v>
      </c>
      <c r="P1559" s="40">
        <v>0</v>
      </c>
      <c r="Q1559" s="40">
        <v>0</v>
      </c>
      <c r="R1559" s="37" t="s">
        <v>2098</v>
      </c>
      <c r="S1559" s="37"/>
    </row>
    <row r="1560" spans="1:19" x14ac:dyDescent="0.3">
      <c r="A1560" s="41">
        <v>413</v>
      </c>
      <c r="B1560" s="37" t="s">
        <v>2099</v>
      </c>
      <c r="C1560" s="37" t="s">
        <v>1998</v>
      </c>
      <c r="D1560" s="37" t="s">
        <v>139</v>
      </c>
      <c r="E1560" s="37" t="s">
        <v>22</v>
      </c>
      <c r="F1560" s="42">
        <v>45291</v>
      </c>
      <c r="G1560" s="37">
        <v>2023</v>
      </c>
      <c r="H1560" s="37" t="s">
        <v>27</v>
      </c>
      <c r="I1560" s="39" t="s">
        <v>32</v>
      </c>
      <c r="J1560" s="37">
        <v>2</v>
      </c>
      <c r="K1560" s="56">
        <v>2</v>
      </c>
      <c r="L1560" s="65">
        <f t="shared" si="158"/>
        <v>1</v>
      </c>
      <c r="M1560" s="65">
        <f t="shared" si="159"/>
        <v>1</v>
      </c>
      <c r="N1560" s="37" t="s">
        <v>670</v>
      </c>
      <c r="O1560" s="37" t="s">
        <v>25</v>
      </c>
      <c r="P1560" s="40">
        <v>0</v>
      </c>
      <c r="Q1560" s="40">
        <v>0</v>
      </c>
      <c r="R1560" s="37" t="s">
        <v>2100</v>
      </c>
      <c r="S1560" s="37"/>
    </row>
    <row r="1561" spans="1:19" x14ac:dyDescent="0.3">
      <c r="A1561" s="36">
        <v>413</v>
      </c>
      <c r="B1561" s="37" t="s">
        <v>2101</v>
      </c>
      <c r="C1561" s="37" t="s">
        <v>1998</v>
      </c>
      <c r="D1561" s="37" t="s">
        <v>139</v>
      </c>
      <c r="E1561" s="37" t="s">
        <v>22</v>
      </c>
      <c r="F1561" s="42">
        <v>45657</v>
      </c>
      <c r="G1561" s="37">
        <v>2024</v>
      </c>
      <c r="H1561" s="37" t="s">
        <v>27</v>
      </c>
      <c r="I1561" s="39" t="s">
        <v>36</v>
      </c>
      <c r="J1561" s="37">
        <v>3</v>
      </c>
      <c r="K1561" s="43">
        <v>3</v>
      </c>
      <c r="L1561" s="65">
        <f t="shared" si="158"/>
        <v>1</v>
      </c>
      <c r="M1561" s="65">
        <f t="shared" si="159"/>
        <v>1</v>
      </c>
      <c r="N1561" s="37"/>
      <c r="O1561" s="37"/>
      <c r="P1561" s="40">
        <v>0</v>
      </c>
      <c r="Q1561" s="40">
        <v>0</v>
      </c>
      <c r="R1561" s="37" t="s">
        <v>2102</v>
      </c>
      <c r="S1561" s="37"/>
    </row>
    <row r="1562" spans="1:19" x14ac:dyDescent="0.3">
      <c r="A1562" s="37">
        <v>414</v>
      </c>
      <c r="B1562" s="37" t="s">
        <v>2103</v>
      </c>
      <c r="C1562" s="37" t="s">
        <v>1263</v>
      </c>
      <c r="D1562" s="37" t="s">
        <v>39</v>
      </c>
      <c r="E1562" s="37" t="s">
        <v>22</v>
      </c>
      <c r="F1562" s="42">
        <v>45016</v>
      </c>
      <c r="G1562" s="37">
        <v>2023</v>
      </c>
      <c r="H1562" s="37" t="s">
        <v>40</v>
      </c>
      <c r="I1562" s="37" t="s">
        <v>30</v>
      </c>
      <c r="J1562" s="37">
        <v>100</v>
      </c>
      <c r="K1562" s="37">
        <v>0</v>
      </c>
      <c r="L1562" s="65">
        <f t="shared" ref="L1562:L1581" si="160">IFERROR(IF(OR(J1562=0,K1562=""),"",IF(E1562="Positivo",MIN(MAX(K1562/J1562,0),1),MIN(MAX(J1562/K1562,0),1))),"")</f>
        <v>0</v>
      </c>
      <c r="M1562" s="65">
        <f t="shared" ref="M1562:M1581" si="161">IFERROR(IF(OR(J1562=0,K1562=""),"",IF(E1562="Positivo",MIN(MAX(K1562/J1562,0),1),MIN(MAX(J1562/K1562,0),1))),"")</f>
        <v>0</v>
      </c>
      <c r="N1562" s="37" t="s">
        <v>25</v>
      </c>
      <c r="O1562" s="37" t="s">
        <v>25</v>
      </c>
      <c r="P1562" s="37">
        <v>0</v>
      </c>
      <c r="Q1562" s="37">
        <v>0</v>
      </c>
      <c r="R1562" s="37" t="s">
        <v>2104</v>
      </c>
      <c r="S1562" s="37"/>
    </row>
    <row r="1563" spans="1:19" x14ac:dyDescent="0.3">
      <c r="A1563" s="36">
        <v>414</v>
      </c>
      <c r="B1563" s="37" t="s">
        <v>2103</v>
      </c>
      <c r="C1563" s="37"/>
      <c r="D1563" s="37" t="s">
        <v>39</v>
      </c>
      <c r="E1563" s="37" t="s">
        <v>22</v>
      </c>
      <c r="F1563" s="42">
        <v>45107</v>
      </c>
      <c r="G1563" s="37">
        <v>2023</v>
      </c>
      <c r="H1563" s="37" t="s">
        <v>23</v>
      </c>
      <c r="I1563" s="39" t="s">
        <v>30</v>
      </c>
      <c r="J1563" s="37">
        <v>100</v>
      </c>
      <c r="K1563" s="56">
        <v>110.01</v>
      </c>
      <c r="L1563" s="65">
        <f t="shared" si="160"/>
        <v>1</v>
      </c>
      <c r="M1563" s="65">
        <f t="shared" si="161"/>
        <v>1</v>
      </c>
      <c r="N1563" s="37"/>
      <c r="O1563" s="37"/>
      <c r="P1563" s="40">
        <v>0</v>
      </c>
      <c r="Q1563" s="40">
        <v>0</v>
      </c>
      <c r="R1563" s="37" t="s">
        <v>2105</v>
      </c>
      <c r="S1563" s="37"/>
    </row>
    <row r="1564" spans="1:19" x14ac:dyDescent="0.3">
      <c r="A1564" s="36">
        <v>414</v>
      </c>
      <c r="B1564" s="37" t="s">
        <v>2103</v>
      </c>
      <c r="C1564" s="37"/>
      <c r="D1564" s="37" t="s">
        <v>39</v>
      </c>
      <c r="E1564" s="37" t="s">
        <v>22</v>
      </c>
      <c r="F1564" s="42">
        <v>45199</v>
      </c>
      <c r="G1564" s="37">
        <v>2023</v>
      </c>
      <c r="H1564" s="37" t="s">
        <v>43</v>
      </c>
      <c r="I1564" s="39" t="s">
        <v>32</v>
      </c>
      <c r="J1564" s="37">
        <v>100</v>
      </c>
      <c r="K1564" s="56">
        <v>93.54</v>
      </c>
      <c r="L1564" s="65">
        <f t="shared" si="160"/>
        <v>0.93540000000000001</v>
      </c>
      <c r="M1564" s="65">
        <f t="shared" si="161"/>
        <v>0.93540000000000001</v>
      </c>
      <c r="N1564" s="37"/>
      <c r="O1564" s="37"/>
      <c r="P1564" s="40">
        <v>0</v>
      </c>
      <c r="Q1564" s="40">
        <v>0</v>
      </c>
      <c r="R1564" s="37" t="s">
        <v>2106</v>
      </c>
      <c r="S1564" s="37"/>
    </row>
    <row r="1565" spans="1:19" x14ac:dyDescent="0.3">
      <c r="A1565" s="36">
        <v>414</v>
      </c>
      <c r="B1565" s="37" t="s">
        <v>2103</v>
      </c>
      <c r="C1565" s="37"/>
      <c r="D1565" s="37" t="s">
        <v>39</v>
      </c>
      <c r="E1565" s="37" t="s">
        <v>22</v>
      </c>
      <c r="F1565" s="42">
        <v>45291</v>
      </c>
      <c r="G1565" s="37">
        <v>2023</v>
      </c>
      <c r="H1565" s="37" t="s">
        <v>27</v>
      </c>
      <c r="I1565" s="39" t="s">
        <v>32</v>
      </c>
      <c r="J1565" s="37">
        <v>100</v>
      </c>
      <c r="K1565" s="56">
        <v>96.28</v>
      </c>
      <c r="L1565" s="65">
        <f t="shared" si="160"/>
        <v>0.96279999999999999</v>
      </c>
      <c r="M1565" s="65">
        <f t="shared" si="161"/>
        <v>0.96279999999999999</v>
      </c>
      <c r="N1565" s="37"/>
      <c r="O1565" s="37"/>
      <c r="P1565" s="40">
        <v>0</v>
      </c>
      <c r="Q1565" s="40">
        <v>0</v>
      </c>
      <c r="R1565" s="37" t="s">
        <v>2107</v>
      </c>
      <c r="S1565" s="37"/>
    </row>
    <row r="1566" spans="1:19" x14ac:dyDescent="0.3">
      <c r="A1566" s="36">
        <v>414</v>
      </c>
      <c r="B1566" s="37" t="s">
        <v>2103</v>
      </c>
      <c r="C1566" s="37" t="s">
        <v>1263</v>
      </c>
      <c r="D1566" s="37" t="s">
        <v>39</v>
      </c>
      <c r="E1566" s="37" t="s">
        <v>22</v>
      </c>
      <c r="F1566" s="42">
        <v>45382</v>
      </c>
      <c r="G1566" s="37">
        <v>2024</v>
      </c>
      <c r="H1566" s="37" t="s">
        <v>40</v>
      </c>
      <c r="I1566" s="39" t="s">
        <v>34</v>
      </c>
      <c r="J1566" s="37">
        <v>100</v>
      </c>
      <c r="K1566" s="43">
        <v>99.3</v>
      </c>
      <c r="L1566" s="65">
        <f t="shared" si="160"/>
        <v>0.99299999999999999</v>
      </c>
      <c r="M1566" s="65">
        <f t="shared" si="161"/>
        <v>0.99299999999999999</v>
      </c>
      <c r="N1566" s="37"/>
      <c r="O1566" s="37"/>
      <c r="P1566" s="40">
        <v>0</v>
      </c>
      <c r="Q1566" s="40">
        <v>0</v>
      </c>
      <c r="R1566" s="37" t="s">
        <v>2108</v>
      </c>
      <c r="S1566" s="37"/>
    </row>
    <row r="1567" spans="1:19" x14ac:dyDescent="0.3">
      <c r="A1567" s="37">
        <v>414</v>
      </c>
      <c r="B1567" s="37" t="s">
        <v>2103</v>
      </c>
      <c r="C1567" s="37" t="s">
        <v>1263</v>
      </c>
      <c r="D1567" s="37" t="s">
        <v>39</v>
      </c>
      <c r="E1567" s="37" t="s">
        <v>22</v>
      </c>
      <c r="F1567" s="42">
        <v>45473</v>
      </c>
      <c r="G1567" s="37">
        <v>2024</v>
      </c>
      <c r="H1567" s="37" t="s">
        <v>23</v>
      </c>
      <c r="I1567" s="39" t="s">
        <v>34</v>
      </c>
      <c r="J1567" s="37">
        <v>100</v>
      </c>
      <c r="K1567" s="37">
        <v>100.06</v>
      </c>
      <c r="L1567" s="65">
        <f t="shared" si="160"/>
        <v>1</v>
      </c>
      <c r="M1567" s="65">
        <f t="shared" si="161"/>
        <v>1</v>
      </c>
      <c r="N1567" s="37"/>
      <c r="O1567" s="37"/>
      <c r="P1567" s="37">
        <v>0</v>
      </c>
      <c r="Q1567" s="37">
        <v>0</v>
      </c>
      <c r="R1567" s="37" t="s">
        <v>2109</v>
      </c>
      <c r="S1567" s="37"/>
    </row>
    <row r="1568" spans="1:19" x14ac:dyDescent="0.3">
      <c r="A1568" s="36">
        <v>414</v>
      </c>
      <c r="B1568" s="37" t="s">
        <v>2103</v>
      </c>
      <c r="C1568" s="37" t="s">
        <v>1263</v>
      </c>
      <c r="D1568" s="37" t="s">
        <v>39</v>
      </c>
      <c r="E1568" s="37" t="s">
        <v>22</v>
      </c>
      <c r="F1568" s="42">
        <v>45565</v>
      </c>
      <c r="G1568" s="37">
        <v>2024</v>
      </c>
      <c r="H1568" s="37" t="s">
        <v>43</v>
      </c>
      <c r="I1568" s="39" t="s">
        <v>36</v>
      </c>
      <c r="J1568" s="37">
        <v>100</v>
      </c>
      <c r="K1568" s="43">
        <v>99.38</v>
      </c>
      <c r="L1568" s="65">
        <f t="shared" si="160"/>
        <v>0.99379999999999991</v>
      </c>
      <c r="M1568" s="65">
        <f t="shared" si="161"/>
        <v>0.99379999999999991</v>
      </c>
      <c r="N1568" s="37"/>
      <c r="O1568" s="37"/>
      <c r="P1568" s="40">
        <v>0</v>
      </c>
      <c r="Q1568" s="40">
        <v>0</v>
      </c>
      <c r="R1568" s="37" t="s">
        <v>2110</v>
      </c>
      <c r="S1568" s="37"/>
    </row>
    <row r="1569" spans="1:19" x14ac:dyDescent="0.3">
      <c r="A1569" s="36">
        <v>414</v>
      </c>
      <c r="B1569" s="37" t="s">
        <v>2103</v>
      </c>
      <c r="C1569" s="37" t="s">
        <v>1263</v>
      </c>
      <c r="D1569" s="37" t="s">
        <v>39</v>
      </c>
      <c r="E1569" s="37" t="s">
        <v>22</v>
      </c>
      <c r="F1569" s="42">
        <v>45657</v>
      </c>
      <c r="G1569" s="37">
        <v>2024</v>
      </c>
      <c r="H1569" s="37" t="s">
        <v>27</v>
      </c>
      <c r="I1569" s="39" t="s">
        <v>36</v>
      </c>
      <c r="J1569" s="37">
        <v>100</v>
      </c>
      <c r="K1569" s="43">
        <v>98.78</v>
      </c>
      <c r="L1569" s="65">
        <f t="shared" si="160"/>
        <v>0.98780000000000001</v>
      </c>
      <c r="M1569" s="65">
        <f t="shared" si="161"/>
        <v>0.98780000000000001</v>
      </c>
      <c r="N1569" s="37"/>
      <c r="O1569" s="37"/>
      <c r="P1569" s="40">
        <v>0</v>
      </c>
      <c r="Q1569" s="40">
        <v>0</v>
      </c>
      <c r="R1569" s="37" t="s">
        <v>2111</v>
      </c>
      <c r="S1569" s="37"/>
    </row>
    <row r="1570" spans="1:19" x14ac:dyDescent="0.3">
      <c r="A1570" s="37">
        <v>415</v>
      </c>
      <c r="B1570" s="37" t="s">
        <v>2116</v>
      </c>
      <c r="C1570" s="37" t="s">
        <v>1263</v>
      </c>
      <c r="D1570" s="37" t="s">
        <v>39</v>
      </c>
      <c r="E1570" s="37" t="s">
        <v>22</v>
      </c>
      <c r="F1570" s="42">
        <v>45016</v>
      </c>
      <c r="G1570" s="37">
        <v>2023</v>
      </c>
      <c r="H1570" s="37" t="s">
        <v>40</v>
      </c>
      <c r="I1570" s="37" t="s">
        <v>30</v>
      </c>
      <c r="J1570" s="37">
        <v>100</v>
      </c>
      <c r="K1570" s="37">
        <v>0</v>
      </c>
      <c r="L1570" s="65">
        <f t="shared" si="160"/>
        <v>0</v>
      </c>
      <c r="M1570" s="65">
        <f t="shared" si="161"/>
        <v>0</v>
      </c>
      <c r="N1570" s="37" t="s">
        <v>25</v>
      </c>
      <c r="O1570" s="37" t="s">
        <v>25</v>
      </c>
      <c r="P1570" s="37">
        <v>0</v>
      </c>
      <c r="Q1570" s="37">
        <v>0</v>
      </c>
      <c r="R1570" s="37" t="s">
        <v>2117</v>
      </c>
      <c r="S1570" s="37"/>
    </row>
    <row r="1571" spans="1:19" x14ac:dyDescent="0.3">
      <c r="A1571" s="36">
        <v>415</v>
      </c>
      <c r="B1571" s="37" t="s">
        <v>2116</v>
      </c>
      <c r="C1571" s="37"/>
      <c r="D1571" s="37" t="s">
        <v>39</v>
      </c>
      <c r="E1571" s="37" t="s">
        <v>22</v>
      </c>
      <c r="F1571" s="42">
        <v>45107</v>
      </c>
      <c r="G1571" s="37">
        <v>2023</v>
      </c>
      <c r="H1571" s="37" t="s">
        <v>23</v>
      </c>
      <c r="I1571" s="39" t="s">
        <v>30</v>
      </c>
      <c r="J1571" s="37">
        <v>100</v>
      </c>
      <c r="K1571" s="56">
        <v>94.04</v>
      </c>
      <c r="L1571" s="65">
        <f t="shared" si="160"/>
        <v>0.94040000000000001</v>
      </c>
      <c r="M1571" s="65">
        <f t="shared" si="161"/>
        <v>0.94040000000000001</v>
      </c>
      <c r="N1571" s="37"/>
      <c r="O1571" s="37"/>
      <c r="P1571" s="40">
        <v>0</v>
      </c>
      <c r="Q1571" s="40">
        <v>0</v>
      </c>
      <c r="R1571" s="37" t="s">
        <v>2118</v>
      </c>
      <c r="S1571" s="37"/>
    </row>
    <row r="1572" spans="1:19" x14ac:dyDescent="0.3">
      <c r="A1572" s="36">
        <v>415</v>
      </c>
      <c r="B1572" s="37" t="s">
        <v>2116</v>
      </c>
      <c r="C1572" s="37"/>
      <c r="D1572" s="37" t="s">
        <v>39</v>
      </c>
      <c r="E1572" s="37" t="s">
        <v>22</v>
      </c>
      <c r="F1572" s="42">
        <v>45199</v>
      </c>
      <c r="G1572" s="37">
        <v>2023</v>
      </c>
      <c r="H1572" s="37" t="s">
        <v>43</v>
      </c>
      <c r="I1572" s="39" t="s">
        <v>32</v>
      </c>
      <c r="J1572" s="37">
        <v>100</v>
      </c>
      <c r="K1572" s="56">
        <v>93.94</v>
      </c>
      <c r="L1572" s="65">
        <f t="shared" si="160"/>
        <v>0.93940000000000001</v>
      </c>
      <c r="M1572" s="65">
        <f t="shared" si="161"/>
        <v>0.93940000000000001</v>
      </c>
      <c r="N1572" s="37"/>
      <c r="O1572" s="37"/>
      <c r="P1572" s="40">
        <v>0</v>
      </c>
      <c r="Q1572" s="40">
        <v>0</v>
      </c>
      <c r="R1572" s="37" t="s">
        <v>2119</v>
      </c>
      <c r="S1572" s="37"/>
    </row>
    <row r="1573" spans="1:19" x14ac:dyDescent="0.3">
      <c r="A1573" s="36">
        <v>415</v>
      </c>
      <c r="B1573" s="37" t="s">
        <v>2116</v>
      </c>
      <c r="C1573" s="37"/>
      <c r="D1573" s="37" t="s">
        <v>39</v>
      </c>
      <c r="E1573" s="37" t="s">
        <v>22</v>
      </c>
      <c r="F1573" s="42">
        <v>45291</v>
      </c>
      <c r="G1573" s="37">
        <v>2023</v>
      </c>
      <c r="H1573" s="37" t="s">
        <v>27</v>
      </c>
      <c r="I1573" s="39" t="s">
        <v>32</v>
      </c>
      <c r="J1573" s="37">
        <v>100</v>
      </c>
      <c r="K1573" s="56">
        <v>96</v>
      </c>
      <c r="L1573" s="65">
        <f t="shared" si="160"/>
        <v>0.96</v>
      </c>
      <c r="M1573" s="65">
        <f t="shared" si="161"/>
        <v>0.96</v>
      </c>
      <c r="N1573" s="37"/>
      <c r="O1573" s="37"/>
      <c r="P1573" s="40">
        <v>0</v>
      </c>
      <c r="Q1573" s="40">
        <v>0</v>
      </c>
      <c r="R1573" s="37" t="s">
        <v>2120</v>
      </c>
      <c r="S1573" s="37"/>
    </row>
    <row r="1574" spans="1:19" x14ac:dyDescent="0.3">
      <c r="A1574" s="36">
        <v>415</v>
      </c>
      <c r="B1574" s="37" t="s">
        <v>2116</v>
      </c>
      <c r="C1574" s="37" t="s">
        <v>1263</v>
      </c>
      <c r="D1574" s="37" t="s">
        <v>39</v>
      </c>
      <c r="E1574" s="37" t="s">
        <v>22</v>
      </c>
      <c r="F1574" s="42">
        <v>45382</v>
      </c>
      <c r="G1574" s="37">
        <v>2024</v>
      </c>
      <c r="H1574" s="37" t="s">
        <v>40</v>
      </c>
      <c r="I1574" s="39" t="s">
        <v>34</v>
      </c>
      <c r="J1574" s="37">
        <v>100</v>
      </c>
      <c r="K1574" s="43">
        <v>80.790000000000006</v>
      </c>
      <c r="L1574" s="65">
        <f t="shared" si="160"/>
        <v>0.80790000000000006</v>
      </c>
      <c r="M1574" s="65">
        <f t="shared" si="161"/>
        <v>0.80790000000000006</v>
      </c>
      <c r="N1574" s="37"/>
      <c r="O1574" s="37"/>
      <c r="P1574" s="40">
        <v>0</v>
      </c>
      <c r="Q1574" s="40">
        <v>0</v>
      </c>
      <c r="R1574" s="37" t="s">
        <v>2121</v>
      </c>
      <c r="S1574" s="37"/>
    </row>
    <row r="1575" spans="1:19" x14ac:dyDescent="0.3">
      <c r="A1575" s="37">
        <v>415</v>
      </c>
      <c r="B1575" s="37" t="s">
        <v>2116</v>
      </c>
      <c r="C1575" s="37" t="s">
        <v>1263</v>
      </c>
      <c r="D1575" s="37" t="s">
        <v>39</v>
      </c>
      <c r="E1575" s="37" t="s">
        <v>22</v>
      </c>
      <c r="F1575" s="42">
        <v>45473</v>
      </c>
      <c r="G1575" s="37">
        <v>2024</v>
      </c>
      <c r="H1575" s="37" t="s">
        <v>23</v>
      </c>
      <c r="I1575" s="39" t="s">
        <v>34</v>
      </c>
      <c r="J1575" s="37">
        <v>100</v>
      </c>
      <c r="K1575" s="37">
        <v>93.04</v>
      </c>
      <c r="L1575" s="65">
        <f t="shared" si="160"/>
        <v>0.93040000000000012</v>
      </c>
      <c r="M1575" s="65">
        <f t="shared" si="161"/>
        <v>0.93040000000000012</v>
      </c>
      <c r="N1575" s="37"/>
      <c r="O1575" s="37"/>
      <c r="P1575" s="37">
        <v>0</v>
      </c>
      <c r="Q1575" s="37">
        <v>0</v>
      </c>
      <c r="R1575" s="37" t="s">
        <v>2122</v>
      </c>
      <c r="S1575" s="37"/>
    </row>
    <row r="1576" spans="1:19" x14ac:dyDescent="0.3">
      <c r="A1576" s="36">
        <v>415</v>
      </c>
      <c r="B1576" s="37" t="s">
        <v>2116</v>
      </c>
      <c r="C1576" s="37" t="s">
        <v>1263</v>
      </c>
      <c r="D1576" s="37" t="s">
        <v>39</v>
      </c>
      <c r="E1576" s="37" t="s">
        <v>22</v>
      </c>
      <c r="F1576" s="42">
        <v>45565</v>
      </c>
      <c r="G1576" s="37">
        <v>2024</v>
      </c>
      <c r="H1576" s="37" t="s">
        <v>43</v>
      </c>
      <c r="I1576" s="39" t="s">
        <v>36</v>
      </c>
      <c r="J1576" s="37">
        <v>100</v>
      </c>
      <c r="K1576" s="43">
        <v>92.46</v>
      </c>
      <c r="L1576" s="65">
        <f t="shared" si="160"/>
        <v>0.92459999999999998</v>
      </c>
      <c r="M1576" s="65">
        <f t="shared" si="161"/>
        <v>0.92459999999999998</v>
      </c>
      <c r="N1576" s="37"/>
      <c r="O1576" s="37"/>
      <c r="P1576" s="40">
        <v>0</v>
      </c>
      <c r="Q1576" s="40">
        <v>0</v>
      </c>
      <c r="R1576" s="37" t="s">
        <v>2123</v>
      </c>
      <c r="S1576" s="37"/>
    </row>
    <row r="1577" spans="1:19" x14ac:dyDescent="0.3">
      <c r="A1577" s="36">
        <v>415</v>
      </c>
      <c r="B1577" s="37" t="s">
        <v>2116</v>
      </c>
      <c r="C1577" s="37" t="s">
        <v>1263</v>
      </c>
      <c r="D1577" s="37" t="s">
        <v>39</v>
      </c>
      <c r="E1577" s="37" t="s">
        <v>22</v>
      </c>
      <c r="F1577" s="42">
        <v>45657</v>
      </c>
      <c r="G1577" s="37">
        <v>2024</v>
      </c>
      <c r="H1577" s="37" t="s">
        <v>27</v>
      </c>
      <c r="I1577" s="39" t="s">
        <v>36</v>
      </c>
      <c r="J1577" s="37">
        <v>100</v>
      </c>
      <c r="K1577" s="43">
        <v>98.36</v>
      </c>
      <c r="L1577" s="65">
        <f t="shared" si="160"/>
        <v>0.98360000000000003</v>
      </c>
      <c r="M1577" s="65">
        <f t="shared" si="161"/>
        <v>0.98360000000000003</v>
      </c>
      <c r="N1577" s="37"/>
      <c r="O1577" s="37"/>
      <c r="P1577" s="40">
        <v>0</v>
      </c>
      <c r="Q1577" s="40">
        <v>0</v>
      </c>
      <c r="R1577" s="37" t="s">
        <v>2124</v>
      </c>
      <c r="S1577" s="37"/>
    </row>
    <row r="1578" spans="1:19" x14ac:dyDescent="0.3">
      <c r="A1578" s="37">
        <v>416</v>
      </c>
      <c r="B1578" s="37" t="s">
        <v>2129</v>
      </c>
      <c r="C1578" s="37" t="s">
        <v>1263</v>
      </c>
      <c r="D1578" s="37" t="s">
        <v>39</v>
      </c>
      <c r="E1578" s="37" t="s">
        <v>22</v>
      </c>
      <c r="F1578" s="42">
        <v>45016</v>
      </c>
      <c r="G1578" s="37">
        <v>2023</v>
      </c>
      <c r="H1578" s="37" t="s">
        <v>40</v>
      </c>
      <c r="I1578" s="37" t="s">
        <v>30</v>
      </c>
      <c r="J1578" s="37">
        <v>100</v>
      </c>
      <c r="K1578" s="37">
        <v>0</v>
      </c>
      <c r="L1578" s="65">
        <f t="shared" si="160"/>
        <v>0</v>
      </c>
      <c r="M1578" s="65">
        <f t="shared" si="161"/>
        <v>0</v>
      </c>
      <c r="N1578" s="37" t="s">
        <v>25</v>
      </c>
      <c r="O1578" s="37" t="s">
        <v>25</v>
      </c>
      <c r="P1578" s="37">
        <v>0</v>
      </c>
      <c r="Q1578" s="37">
        <v>0</v>
      </c>
      <c r="R1578" s="37" t="s">
        <v>2130</v>
      </c>
      <c r="S1578" s="37"/>
    </row>
    <row r="1579" spans="1:19" x14ac:dyDescent="0.3">
      <c r="A1579" s="36">
        <v>416</v>
      </c>
      <c r="B1579" s="37" t="s">
        <v>2129</v>
      </c>
      <c r="C1579" s="37"/>
      <c r="D1579" s="37" t="s">
        <v>39</v>
      </c>
      <c r="E1579" s="37" t="s">
        <v>22</v>
      </c>
      <c r="F1579" s="42">
        <v>45107</v>
      </c>
      <c r="G1579" s="37">
        <v>2023</v>
      </c>
      <c r="H1579" s="37" t="s">
        <v>23</v>
      </c>
      <c r="I1579" s="39" t="s">
        <v>30</v>
      </c>
      <c r="J1579" s="37">
        <v>100</v>
      </c>
      <c r="K1579" s="56">
        <v>95.74</v>
      </c>
      <c r="L1579" s="65">
        <f t="shared" si="160"/>
        <v>0.95739999999999992</v>
      </c>
      <c r="M1579" s="65">
        <f t="shared" si="161"/>
        <v>0.95739999999999992</v>
      </c>
      <c r="N1579" s="37"/>
      <c r="O1579" s="37"/>
      <c r="P1579" s="40">
        <v>0</v>
      </c>
      <c r="Q1579" s="40">
        <v>0</v>
      </c>
      <c r="R1579" s="37" t="s">
        <v>2131</v>
      </c>
      <c r="S1579" s="37"/>
    </row>
    <row r="1580" spans="1:19" x14ac:dyDescent="0.3">
      <c r="A1580" s="36">
        <v>416</v>
      </c>
      <c r="B1580" s="37" t="s">
        <v>2129</v>
      </c>
      <c r="C1580" s="37"/>
      <c r="D1580" s="37" t="s">
        <v>39</v>
      </c>
      <c r="E1580" s="37" t="s">
        <v>22</v>
      </c>
      <c r="F1580" s="42">
        <v>45199</v>
      </c>
      <c r="G1580" s="37">
        <v>2023</v>
      </c>
      <c r="H1580" s="37" t="s">
        <v>43</v>
      </c>
      <c r="I1580" s="39" t="s">
        <v>32</v>
      </c>
      <c r="J1580" s="37">
        <v>100</v>
      </c>
      <c r="K1580" s="56">
        <v>87.94</v>
      </c>
      <c r="L1580" s="65">
        <f t="shared" si="160"/>
        <v>0.87939999999999996</v>
      </c>
      <c r="M1580" s="65">
        <f t="shared" si="161"/>
        <v>0.87939999999999996</v>
      </c>
      <c r="N1580" s="37"/>
      <c r="O1580" s="37"/>
      <c r="P1580" s="40">
        <v>0</v>
      </c>
      <c r="Q1580" s="40">
        <v>0</v>
      </c>
      <c r="R1580" s="37" t="s">
        <v>2132</v>
      </c>
      <c r="S1580" s="37"/>
    </row>
    <row r="1581" spans="1:19" x14ac:dyDescent="0.3">
      <c r="A1581" s="36">
        <v>416</v>
      </c>
      <c r="B1581" s="37" t="s">
        <v>2129</v>
      </c>
      <c r="C1581" s="37"/>
      <c r="D1581" s="37" t="s">
        <v>39</v>
      </c>
      <c r="E1581" s="37" t="s">
        <v>22</v>
      </c>
      <c r="F1581" s="42">
        <v>45291</v>
      </c>
      <c r="G1581" s="37">
        <v>2023</v>
      </c>
      <c r="H1581" s="37" t="s">
        <v>27</v>
      </c>
      <c r="I1581" s="39" t="s">
        <v>32</v>
      </c>
      <c r="J1581" s="37">
        <v>100</v>
      </c>
      <c r="K1581" s="56">
        <v>98</v>
      </c>
      <c r="L1581" s="65">
        <f t="shared" si="160"/>
        <v>0.98</v>
      </c>
      <c r="M1581" s="65">
        <f t="shared" si="161"/>
        <v>0.98</v>
      </c>
      <c r="N1581" s="37"/>
      <c r="O1581" s="37"/>
      <c r="P1581" s="40">
        <v>0</v>
      </c>
      <c r="Q1581" s="40">
        <v>0</v>
      </c>
      <c r="R1581" s="37" t="s">
        <v>2133</v>
      </c>
      <c r="S1581" s="37"/>
    </row>
    <row r="1582" spans="1:19" x14ac:dyDescent="0.3">
      <c r="A1582" s="36">
        <v>416</v>
      </c>
      <c r="B1582" s="37" t="s">
        <v>2129</v>
      </c>
      <c r="C1582" s="37" t="s">
        <v>1263</v>
      </c>
      <c r="D1582" s="37" t="s">
        <v>39</v>
      </c>
      <c r="E1582" s="37" t="s">
        <v>22</v>
      </c>
      <c r="F1582" s="42">
        <v>45382</v>
      </c>
      <c r="G1582" s="37">
        <v>2024</v>
      </c>
      <c r="H1582" s="37" t="s">
        <v>40</v>
      </c>
      <c r="I1582" s="39" t="s">
        <v>34</v>
      </c>
      <c r="J1582" s="37">
        <v>100</v>
      </c>
      <c r="K1582" s="43">
        <v>120.07</v>
      </c>
      <c r="L1582" s="65">
        <f t="shared" ref="L1582:L1601" si="162">IFERROR(IF(OR(J1582=0,K1582=""),"",IF(E1582="Positivo",MIN(MAX(K1582/J1582,0),1),MIN(MAX(J1582/K1582,0),1))),"")</f>
        <v>1</v>
      </c>
      <c r="M1582" s="65">
        <f t="shared" ref="M1582:M1601" si="163">IFERROR(IF(OR(J1582=0,K1582=""),"",IF(E1582="Positivo",MIN(MAX(K1582/J1582,0),1),MIN(MAX(J1582/K1582,0),1))),"")</f>
        <v>1</v>
      </c>
      <c r="N1582" s="37"/>
      <c r="O1582" s="37"/>
      <c r="P1582" s="40">
        <v>0</v>
      </c>
      <c r="Q1582" s="40">
        <v>0</v>
      </c>
      <c r="R1582" s="37" t="s">
        <v>2134</v>
      </c>
      <c r="S1582" s="37"/>
    </row>
    <row r="1583" spans="1:19" x14ac:dyDescent="0.3">
      <c r="A1583" s="37">
        <v>416</v>
      </c>
      <c r="B1583" s="37" t="s">
        <v>2129</v>
      </c>
      <c r="C1583" s="37" t="s">
        <v>1263</v>
      </c>
      <c r="D1583" s="37" t="s">
        <v>39</v>
      </c>
      <c r="E1583" s="37" t="s">
        <v>22</v>
      </c>
      <c r="F1583" s="42">
        <v>45473</v>
      </c>
      <c r="G1583" s="37">
        <v>2024</v>
      </c>
      <c r="H1583" s="37" t="s">
        <v>23</v>
      </c>
      <c r="I1583" s="39" t="s">
        <v>34</v>
      </c>
      <c r="J1583" s="37">
        <v>100</v>
      </c>
      <c r="K1583" s="37">
        <v>117.1</v>
      </c>
      <c r="L1583" s="65">
        <f t="shared" si="162"/>
        <v>1</v>
      </c>
      <c r="M1583" s="65">
        <f t="shared" si="163"/>
        <v>1</v>
      </c>
      <c r="N1583" s="37"/>
      <c r="O1583" s="37"/>
      <c r="P1583" s="37">
        <v>0</v>
      </c>
      <c r="Q1583" s="37">
        <v>0</v>
      </c>
      <c r="R1583" s="37" t="s">
        <v>2135</v>
      </c>
      <c r="S1583" s="37"/>
    </row>
    <row r="1584" spans="1:19" x14ac:dyDescent="0.3">
      <c r="A1584" s="36">
        <v>416</v>
      </c>
      <c r="B1584" s="37" t="s">
        <v>2129</v>
      </c>
      <c r="C1584" s="37" t="s">
        <v>1263</v>
      </c>
      <c r="D1584" s="37" t="s">
        <v>39</v>
      </c>
      <c r="E1584" s="37" t="s">
        <v>22</v>
      </c>
      <c r="F1584" s="42">
        <v>45565</v>
      </c>
      <c r="G1584" s="37">
        <v>2024</v>
      </c>
      <c r="H1584" s="37" t="s">
        <v>43</v>
      </c>
      <c r="I1584" s="39" t="s">
        <v>36</v>
      </c>
      <c r="J1584" s="37">
        <v>100</v>
      </c>
      <c r="K1584" s="43">
        <v>99.81</v>
      </c>
      <c r="L1584" s="65">
        <f t="shared" si="162"/>
        <v>0.99809999999999999</v>
      </c>
      <c r="M1584" s="65">
        <f t="shared" si="163"/>
        <v>0.99809999999999999</v>
      </c>
      <c r="N1584" s="37"/>
      <c r="O1584" s="37"/>
      <c r="P1584" s="40">
        <v>0</v>
      </c>
      <c r="Q1584" s="40">
        <v>0</v>
      </c>
      <c r="R1584" s="37" t="s">
        <v>2136</v>
      </c>
      <c r="S1584" s="37"/>
    </row>
    <row r="1585" spans="1:19" x14ac:dyDescent="0.3">
      <c r="A1585" s="36">
        <v>416</v>
      </c>
      <c r="B1585" s="37" t="s">
        <v>2129</v>
      </c>
      <c r="C1585" s="37" t="s">
        <v>1263</v>
      </c>
      <c r="D1585" s="37" t="s">
        <v>39</v>
      </c>
      <c r="E1585" s="37" t="s">
        <v>22</v>
      </c>
      <c r="F1585" s="42">
        <v>45657</v>
      </c>
      <c r="G1585" s="37">
        <v>2024</v>
      </c>
      <c r="H1585" s="37" t="s">
        <v>27</v>
      </c>
      <c r="I1585" s="39" t="s">
        <v>36</v>
      </c>
      <c r="J1585" s="37">
        <v>100</v>
      </c>
      <c r="K1585" s="43">
        <v>100</v>
      </c>
      <c r="L1585" s="65">
        <f t="shared" si="162"/>
        <v>1</v>
      </c>
      <c r="M1585" s="65">
        <f t="shared" si="163"/>
        <v>1</v>
      </c>
      <c r="N1585" s="37"/>
      <c r="O1585" s="37"/>
      <c r="P1585" s="40">
        <v>0</v>
      </c>
      <c r="Q1585" s="40">
        <v>0</v>
      </c>
      <c r="R1585" s="37" t="s">
        <v>2137</v>
      </c>
      <c r="S1585" s="37"/>
    </row>
    <row r="1586" spans="1:19" x14ac:dyDescent="0.3">
      <c r="A1586" s="37">
        <v>417</v>
      </c>
      <c r="B1586" s="37" t="s">
        <v>2142</v>
      </c>
      <c r="C1586" s="37" t="s">
        <v>1263</v>
      </c>
      <c r="D1586" s="37" t="s">
        <v>39</v>
      </c>
      <c r="E1586" s="37" t="s">
        <v>22</v>
      </c>
      <c r="F1586" s="42">
        <v>45016</v>
      </c>
      <c r="G1586" s="37">
        <v>2023</v>
      </c>
      <c r="H1586" s="37" t="s">
        <v>40</v>
      </c>
      <c r="I1586" s="37" t="s">
        <v>30</v>
      </c>
      <c r="J1586" s="37">
        <v>100</v>
      </c>
      <c r="K1586" s="37">
        <v>0</v>
      </c>
      <c r="L1586" s="65">
        <f t="shared" si="162"/>
        <v>0</v>
      </c>
      <c r="M1586" s="65">
        <f t="shared" si="163"/>
        <v>0</v>
      </c>
      <c r="N1586" s="37" t="s">
        <v>25</v>
      </c>
      <c r="O1586" s="37" t="s">
        <v>25</v>
      </c>
      <c r="P1586" s="37">
        <v>0</v>
      </c>
      <c r="Q1586" s="37">
        <v>0</v>
      </c>
      <c r="R1586" s="37" t="s">
        <v>2143</v>
      </c>
      <c r="S1586" s="37"/>
    </row>
    <row r="1587" spans="1:19" x14ac:dyDescent="0.3">
      <c r="A1587" s="36">
        <v>417</v>
      </c>
      <c r="B1587" s="37" t="s">
        <v>2142</v>
      </c>
      <c r="C1587" s="37"/>
      <c r="D1587" s="37" t="s">
        <v>39</v>
      </c>
      <c r="E1587" s="37" t="s">
        <v>22</v>
      </c>
      <c r="F1587" s="42">
        <v>45107</v>
      </c>
      <c r="G1587" s="37">
        <v>2023</v>
      </c>
      <c r="H1587" s="37" t="s">
        <v>23</v>
      </c>
      <c r="I1587" s="39" t="s">
        <v>30</v>
      </c>
      <c r="J1587" s="37">
        <v>100</v>
      </c>
      <c r="K1587" s="56">
        <v>110.66833333333</v>
      </c>
      <c r="L1587" s="65">
        <f t="shared" si="162"/>
        <v>1</v>
      </c>
      <c r="M1587" s="65">
        <f t="shared" si="163"/>
        <v>1</v>
      </c>
      <c r="N1587" s="37"/>
      <c r="O1587" s="37"/>
      <c r="P1587" s="40">
        <v>0</v>
      </c>
      <c r="Q1587" s="40">
        <v>0</v>
      </c>
      <c r="R1587" s="37" t="s">
        <v>2144</v>
      </c>
      <c r="S1587" s="37"/>
    </row>
    <row r="1588" spans="1:19" x14ac:dyDescent="0.3">
      <c r="A1588" s="36">
        <v>417</v>
      </c>
      <c r="B1588" s="37" t="s">
        <v>2142</v>
      </c>
      <c r="C1588" s="37"/>
      <c r="D1588" s="37" t="s">
        <v>39</v>
      </c>
      <c r="E1588" s="37" t="s">
        <v>22</v>
      </c>
      <c r="F1588" s="42">
        <v>45199</v>
      </c>
      <c r="G1588" s="37">
        <v>2023</v>
      </c>
      <c r="H1588" s="37" t="s">
        <v>43</v>
      </c>
      <c r="I1588" s="39" t="s">
        <v>32</v>
      </c>
      <c r="J1588" s="37">
        <v>100</v>
      </c>
      <c r="K1588" s="56">
        <v>93.756666666667002</v>
      </c>
      <c r="L1588" s="65">
        <f t="shared" si="162"/>
        <v>0.93756666666666999</v>
      </c>
      <c r="M1588" s="65">
        <f t="shared" si="163"/>
        <v>0.93756666666666999</v>
      </c>
      <c r="N1588" s="37"/>
      <c r="O1588" s="37"/>
      <c r="P1588" s="40">
        <v>0</v>
      </c>
      <c r="Q1588" s="40">
        <v>0</v>
      </c>
      <c r="R1588" s="37" t="s">
        <v>2145</v>
      </c>
      <c r="S1588" s="37"/>
    </row>
    <row r="1589" spans="1:19" x14ac:dyDescent="0.3">
      <c r="A1589" s="36">
        <v>417</v>
      </c>
      <c r="B1589" s="37" t="s">
        <v>2142</v>
      </c>
      <c r="C1589" s="37"/>
      <c r="D1589" s="37" t="s">
        <v>39</v>
      </c>
      <c r="E1589" s="37" t="s">
        <v>22</v>
      </c>
      <c r="F1589" s="42">
        <v>45291</v>
      </c>
      <c r="G1589" s="37">
        <v>2023</v>
      </c>
      <c r="H1589" s="37" t="s">
        <v>27</v>
      </c>
      <c r="I1589" s="39" t="s">
        <v>32</v>
      </c>
      <c r="J1589" s="37">
        <v>100</v>
      </c>
      <c r="K1589" s="56">
        <v>94.39</v>
      </c>
      <c r="L1589" s="65">
        <f t="shared" si="162"/>
        <v>0.94389999999999996</v>
      </c>
      <c r="M1589" s="65">
        <f t="shared" si="163"/>
        <v>0.94389999999999996</v>
      </c>
      <c r="N1589" s="37"/>
      <c r="O1589" s="37"/>
      <c r="P1589" s="40">
        <v>0</v>
      </c>
      <c r="Q1589" s="40">
        <v>0</v>
      </c>
      <c r="R1589" s="37" t="s">
        <v>2146</v>
      </c>
      <c r="S1589" s="37"/>
    </row>
    <row r="1590" spans="1:19" x14ac:dyDescent="0.3">
      <c r="A1590" s="36">
        <v>417</v>
      </c>
      <c r="B1590" s="37" t="s">
        <v>2142</v>
      </c>
      <c r="C1590" s="37" t="s">
        <v>1263</v>
      </c>
      <c r="D1590" s="37" t="s">
        <v>39</v>
      </c>
      <c r="E1590" s="37" t="s">
        <v>22</v>
      </c>
      <c r="F1590" s="42">
        <v>45382</v>
      </c>
      <c r="G1590" s="37">
        <v>2024</v>
      </c>
      <c r="H1590" s="37" t="s">
        <v>40</v>
      </c>
      <c r="I1590" s="39" t="s">
        <v>34</v>
      </c>
      <c r="J1590" s="37">
        <v>100</v>
      </c>
      <c r="K1590" s="43">
        <v>99.01</v>
      </c>
      <c r="L1590" s="65">
        <f t="shared" si="162"/>
        <v>0.99010000000000009</v>
      </c>
      <c r="M1590" s="65">
        <f t="shared" si="163"/>
        <v>0.99010000000000009</v>
      </c>
      <c r="N1590" s="37"/>
      <c r="O1590" s="37"/>
      <c r="P1590" s="40">
        <v>0</v>
      </c>
      <c r="Q1590" s="40">
        <v>0</v>
      </c>
      <c r="R1590" s="37" t="s">
        <v>2147</v>
      </c>
      <c r="S1590" s="37"/>
    </row>
    <row r="1591" spans="1:19" x14ac:dyDescent="0.3">
      <c r="A1591" s="37">
        <v>417</v>
      </c>
      <c r="B1591" s="37" t="s">
        <v>2142</v>
      </c>
      <c r="C1591" s="37" t="s">
        <v>1263</v>
      </c>
      <c r="D1591" s="37" t="s">
        <v>39</v>
      </c>
      <c r="E1591" s="37" t="s">
        <v>22</v>
      </c>
      <c r="F1591" s="42">
        <v>45473</v>
      </c>
      <c r="G1591" s="37">
        <v>2024</v>
      </c>
      <c r="H1591" s="37" t="s">
        <v>23</v>
      </c>
      <c r="I1591" s="39" t="s">
        <v>34</v>
      </c>
      <c r="J1591" s="37">
        <v>100</v>
      </c>
      <c r="K1591" s="37">
        <v>112.12</v>
      </c>
      <c r="L1591" s="65">
        <f t="shared" si="162"/>
        <v>1</v>
      </c>
      <c r="M1591" s="65">
        <f t="shared" si="163"/>
        <v>1</v>
      </c>
      <c r="N1591" s="37"/>
      <c r="O1591" s="37"/>
      <c r="P1591" s="37">
        <v>0</v>
      </c>
      <c r="Q1591" s="37">
        <v>0</v>
      </c>
      <c r="R1591" s="37" t="s">
        <v>2148</v>
      </c>
      <c r="S1591" s="37"/>
    </row>
    <row r="1592" spans="1:19" x14ac:dyDescent="0.3">
      <c r="A1592" s="36">
        <v>417</v>
      </c>
      <c r="B1592" s="37" t="s">
        <v>2142</v>
      </c>
      <c r="C1592" s="37" t="s">
        <v>1263</v>
      </c>
      <c r="D1592" s="37" t="s">
        <v>39</v>
      </c>
      <c r="E1592" s="37" t="s">
        <v>22</v>
      </c>
      <c r="F1592" s="42">
        <v>45565</v>
      </c>
      <c r="G1592" s="37">
        <v>2024</v>
      </c>
      <c r="H1592" s="37" t="s">
        <v>43</v>
      </c>
      <c r="I1592" s="39" t="s">
        <v>36</v>
      </c>
      <c r="J1592" s="37">
        <v>100</v>
      </c>
      <c r="K1592" s="43">
        <v>100.19</v>
      </c>
      <c r="L1592" s="65">
        <f t="shared" si="162"/>
        <v>1</v>
      </c>
      <c r="M1592" s="65">
        <f t="shared" si="163"/>
        <v>1</v>
      </c>
      <c r="N1592" s="37"/>
      <c r="O1592" s="37"/>
      <c r="P1592" s="40">
        <v>0</v>
      </c>
      <c r="Q1592" s="40">
        <v>0</v>
      </c>
      <c r="R1592" s="37" t="s">
        <v>2149</v>
      </c>
      <c r="S1592" s="37"/>
    </row>
    <row r="1593" spans="1:19" x14ac:dyDescent="0.3">
      <c r="A1593" s="36">
        <v>417</v>
      </c>
      <c r="B1593" s="37" t="s">
        <v>2142</v>
      </c>
      <c r="C1593" s="37" t="s">
        <v>1263</v>
      </c>
      <c r="D1593" s="37" t="s">
        <v>39</v>
      </c>
      <c r="E1593" s="37" t="s">
        <v>22</v>
      </c>
      <c r="F1593" s="42">
        <v>45657</v>
      </c>
      <c r="G1593" s="37">
        <v>2024</v>
      </c>
      <c r="H1593" s="37" t="s">
        <v>27</v>
      </c>
      <c r="I1593" s="39" t="s">
        <v>36</v>
      </c>
      <c r="J1593" s="37">
        <v>100</v>
      </c>
      <c r="K1593" s="43">
        <v>98.83</v>
      </c>
      <c r="L1593" s="65">
        <f t="shared" si="162"/>
        <v>0.98829999999999996</v>
      </c>
      <c r="M1593" s="65">
        <f t="shared" si="163"/>
        <v>0.98829999999999996</v>
      </c>
      <c r="N1593" s="37"/>
      <c r="O1593" s="37"/>
      <c r="P1593" s="40">
        <v>0</v>
      </c>
      <c r="Q1593" s="40">
        <v>0</v>
      </c>
      <c r="R1593" s="37" t="s">
        <v>2150</v>
      </c>
      <c r="S1593" s="37"/>
    </row>
    <row r="1594" spans="1:19" x14ac:dyDescent="0.3">
      <c r="A1594" s="37">
        <v>418</v>
      </c>
      <c r="B1594" s="37" t="s">
        <v>2155</v>
      </c>
      <c r="C1594" s="37" t="s">
        <v>1263</v>
      </c>
      <c r="D1594" s="37" t="s">
        <v>39</v>
      </c>
      <c r="E1594" s="37" t="s">
        <v>22</v>
      </c>
      <c r="F1594" s="42">
        <v>45016</v>
      </c>
      <c r="G1594" s="37">
        <v>2023</v>
      </c>
      <c r="H1594" s="37" t="s">
        <v>40</v>
      </c>
      <c r="I1594" s="37" t="s">
        <v>30</v>
      </c>
      <c r="J1594" s="37">
        <v>100</v>
      </c>
      <c r="K1594" s="37">
        <v>0</v>
      </c>
      <c r="L1594" s="65">
        <f t="shared" si="162"/>
        <v>0</v>
      </c>
      <c r="M1594" s="65">
        <f t="shared" si="163"/>
        <v>0</v>
      </c>
      <c r="N1594" s="37" t="s">
        <v>25</v>
      </c>
      <c r="O1594" s="37" t="s">
        <v>25</v>
      </c>
      <c r="P1594" s="37">
        <v>0</v>
      </c>
      <c r="Q1594" s="37">
        <v>0</v>
      </c>
      <c r="R1594" s="37" t="s">
        <v>2156</v>
      </c>
      <c r="S1594" s="37"/>
    </row>
    <row r="1595" spans="1:19" x14ac:dyDescent="0.3">
      <c r="A1595" s="36">
        <v>418</v>
      </c>
      <c r="B1595" s="37" t="s">
        <v>2155</v>
      </c>
      <c r="C1595" s="37"/>
      <c r="D1595" s="37" t="s">
        <v>39</v>
      </c>
      <c r="E1595" s="37" t="s">
        <v>22</v>
      </c>
      <c r="F1595" s="42">
        <v>45107</v>
      </c>
      <c r="G1595" s="37">
        <v>2023</v>
      </c>
      <c r="H1595" s="37" t="s">
        <v>23</v>
      </c>
      <c r="I1595" s="39" t="s">
        <v>30</v>
      </c>
      <c r="J1595" s="37">
        <v>100</v>
      </c>
      <c r="K1595" s="56">
        <v>104.35666666666999</v>
      </c>
      <c r="L1595" s="65">
        <f t="shared" si="162"/>
        <v>1</v>
      </c>
      <c r="M1595" s="65">
        <f t="shared" si="163"/>
        <v>1</v>
      </c>
      <c r="N1595" s="37"/>
      <c r="O1595" s="37"/>
      <c r="P1595" s="40">
        <v>0</v>
      </c>
      <c r="Q1595" s="40">
        <v>0</v>
      </c>
      <c r="R1595" s="37" t="s">
        <v>2157</v>
      </c>
      <c r="S1595" s="37"/>
    </row>
    <row r="1596" spans="1:19" x14ac:dyDescent="0.3">
      <c r="A1596" s="36">
        <v>418</v>
      </c>
      <c r="B1596" s="37" t="s">
        <v>2155</v>
      </c>
      <c r="C1596" s="37"/>
      <c r="D1596" s="37" t="s">
        <v>39</v>
      </c>
      <c r="E1596" s="37" t="s">
        <v>22</v>
      </c>
      <c r="F1596" s="42">
        <v>45199</v>
      </c>
      <c r="G1596" s="37">
        <v>2023</v>
      </c>
      <c r="H1596" s="37" t="s">
        <v>43</v>
      </c>
      <c r="I1596" s="39" t="s">
        <v>32</v>
      </c>
      <c r="J1596" s="37">
        <v>100</v>
      </c>
      <c r="K1596" s="56">
        <v>85.611111111111001</v>
      </c>
      <c r="L1596" s="65">
        <f t="shared" si="162"/>
        <v>0.85611111111111005</v>
      </c>
      <c r="M1596" s="65">
        <f t="shared" si="163"/>
        <v>0.85611111111111005</v>
      </c>
      <c r="N1596" s="37"/>
      <c r="O1596" s="37"/>
      <c r="P1596" s="40">
        <v>0</v>
      </c>
      <c r="Q1596" s="40">
        <v>0</v>
      </c>
      <c r="R1596" s="37" t="s">
        <v>2158</v>
      </c>
      <c r="S1596" s="37"/>
    </row>
    <row r="1597" spans="1:19" x14ac:dyDescent="0.3">
      <c r="A1597" s="36">
        <v>418</v>
      </c>
      <c r="B1597" s="37" t="s">
        <v>2155</v>
      </c>
      <c r="C1597" s="37"/>
      <c r="D1597" s="37" t="s">
        <v>39</v>
      </c>
      <c r="E1597" s="37" t="s">
        <v>22</v>
      </c>
      <c r="F1597" s="42">
        <v>45291</v>
      </c>
      <c r="G1597" s="37">
        <v>2023</v>
      </c>
      <c r="H1597" s="37" t="s">
        <v>27</v>
      </c>
      <c r="I1597" s="39" t="s">
        <v>32</v>
      </c>
      <c r="J1597" s="37">
        <v>100</v>
      </c>
      <c r="K1597" s="56">
        <v>95.802222222221999</v>
      </c>
      <c r="L1597" s="65">
        <f t="shared" si="162"/>
        <v>0.95802222222222</v>
      </c>
      <c r="M1597" s="65">
        <f t="shared" si="163"/>
        <v>0.95802222222222</v>
      </c>
      <c r="N1597" s="37"/>
      <c r="O1597" s="37"/>
      <c r="P1597" s="40">
        <v>0</v>
      </c>
      <c r="Q1597" s="40">
        <v>0</v>
      </c>
      <c r="R1597" s="37" t="s">
        <v>2159</v>
      </c>
      <c r="S1597" s="37"/>
    </row>
    <row r="1598" spans="1:19" x14ac:dyDescent="0.3">
      <c r="A1598" s="36">
        <v>418</v>
      </c>
      <c r="B1598" s="37" t="s">
        <v>2155</v>
      </c>
      <c r="C1598" s="37" t="s">
        <v>1263</v>
      </c>
      <c r="D1598" s="37" t="s">
        <v>39</v>
      </c>
      <c r="E1598" s="37" t="s">
        <v>22</v>
      </c>
      <c r="F1598" s="42">
        <v>45382</v>
      </c>
      <c r="G1598" s="37">
        <v>2024</v>
      </c>
      <c r="H1598" s="37" t="s">
        <v>40</v>
      </c>
      <c r="I1598" s="39" t="s">
        <v>34</v>
      </c>
      <c r="J1598" s="37">
        <v>100</v>
      </c>
      <c r="K1598" s="43">
        <v>105.5</v>
      </c>
      <c r="L1598" s="65">
        <f t="shared" si="162"/>
        <v>1</v>
      </c>
      <c r="M1598" s="65">
        <f t="shared" si="163"/>
        <v>1</v>
      </c>
      <c r="N1598" s="37"/>
      <c r="O1598" s="37"/>
      <c r="P1598" s="40">
        <v>0</v>
      </c>
      <c r="Q1598" s="40">
        <v>0</v>
      </c>
      <c r="R1598" s="37" t="s">
        <v>2160</v>
      </c>
      <c r="S1598" s="37"/>
    </row>
    <row r="1599" spans="1:19" x14ac:dyDescent="0.3">
      <c r="A1599" s="37">
        <v>418</v>
      </c>
      <c r="B1599" s="37" t="s">
        <v>2155</v>
      </c>
      <c r="C1599" s="37" t="s">
        <v>1263</v>
      </c>
      <c r="D1599" s="37" t="s">
        <v>39</v>
      </c>
      <c r="E1599" s="37" t="s">
        <v>22</v>
      </c>
      <c r="F1599" s="42">
        <v>45473</v>
      </c>
      <c r="G1599" s="37">
        <v>2024</v>
      </c>
      <c r="H1599" s="37" t="s">
        <v>23</v>
      </c>
      <c r="I1599" s="39" t="s">
        <v>34</v>
      </c>
      <c r="J1599" s="37">
        <v>100</v>
      </c>
      <c r="K1599" s="37">
        <v>100.79</v>
      </c>
      <c r="L1599" s="65">
        <f t="shared" si="162"/>
        <v>1</v>
      </c>
      <c r="M1599" s="65">
        <f t="shared" si="163"/>
        <v>1</v>
      </c>
      <c r="N1599" s="37"/>
      <c r="O1599" s="37"/>
      <c r="P1599" s="37">
        <v>0</v>
      </c>
      <c r="Q1599" s="37">
        <v>0</v>
      </c>
      <c r="R1599" s="37" t="s">
        <v>2161</v>
      </c>
      <c r="S1599" s="37"/>
    </row>
    <row r="1600" spans="1:19" x14ac:dyDescent="0.3">
      <c r="A1600" s="36">
        <v>418</v>
      </c>
      <c r="B1600" s="37" t="s">
        <v>2155</v>
      </c>
      <c r="C1600" s="37" t="s">
        <v>1263</v>
      </c>
      <c r="D1600" s="37" t="s">
        <v>39</v>
      </c>
      <c r="E1600" s="37" t="s">
        <v>22</v>
      </c>
      <c r="F1600" s="42">
        <v>45565</v>
      </c>
      <c r="G1600" s="37">
        <v>2024</v>
      </c>
      <c r="H1600" s="37" t="s">
        <v>43</v>
      </c>
      <c r="I1600" s="39" t="s">
        <v>36</v>
      </c>
      <c r="J1600" s="37">
        <v>100</v>
      </c>
      <c r="K1600" s="43">
        <v>97.2</v>
      </c>
      <c r="L1600" s="65">
        <f t="shared" si="162"/>
        <v>0.97199999999999998</v>
      </c>
      <c r="M1600" s="65">
        <f t="shared" si="163"/>
        <v>0.97199999999999998</v>
      </c>
      <c r="N1600" s="37"/>
      <c r="O1600" s="37"/>
      <c r="P1600" s="40">
        <v>0</v>
      </c>
      <c r="Q1600" s="40">
        <v>0</v>
      </c>
      <c r="R1600" s="37" t="s">
        <v>2162</v>
      </c>
      <c r="S1600" s="37"/>
    </row>
    <row r="1601" spans="1:19" x14ac:dyDescent="0.3">
      <c r="A1601" s="36">
        <v>418</v>
      </c>
      <c r="B1601" s="37" t="s">
        <v>2155</v>
      </c>
      <c r="C1601" s="37" t="s">
        <v>1263</v>
      </c>
      <c r="D1601" s="37" t="s">
        <v>39</v>
      </c>
      <c r="E1601" s="37" t="s">
        <v>22</v>
      </c>
      <c r="F1601" s="42">
        <v>45657</v>
      </c>
      <c r="G1601" s="37">
        <v>2024</v>
      </c>
      <c r="H1601" s="37" t="s">
        <v>27</v>
      </c>
      <c r="I1601" s="39" t="s">
        <v>36</v>
      </c>
      <c r="J1601" s="37">
        <v>100</v>
      </c>
      <c r="K1601" s="43">
        <v>97.78</v>
      </c>
      <c r="L1601" s="65">
        <f t="shared" si="162"/>
        <v>0.9778</v>
      </c>
      <c r="M1601" s="65">
        <f t="shared" si="163"/>
        <v>0.9778</v>
      </c>
      <c r="N1601" s="37"/>
      <c r="O1601" s="37"/>
      <c r="P1601" s="40">
        <v>0</v>
      </c>
      <c r="Q1601" s="40">
        <v>0</v>
      </c>
      <c r="R1601" s="37" t="s">
        <v>2163</v>
      </c>
      <c r="S1601" s="37"/>
    </row>
    <row r="1602" spans="1:19" x14ac:dyDescent="0.3">
      <c r="A1602" s="36">
        <v>419</v>
      </c>
      <c r="B1602" s="37" t="s">
        <v>2168</v>
      </c>
      <c r="C1602" s="37"/>
      <c r="D1602" s="37" t="s">
        <v>39</v>
      </c>
      <c r="E1602" s="37" t="s">
        <v>22</v>
      </c>
      <c r="F1602" s="42">
        <v>45107</v>
      </c>
      <c r="G1602" s="37">
        <v>2023</v>
      </c>
      <c r="H1602" s="37" t="s">
        <v>23</v>
      </c>
      <c r="I1602" s="39" t="s">
        <v>30</v>
      </c>
      <c r="J1602" s="37">
        <v>100</v>
      </c>
      <c r="K1602" s="56">
        <v>108.3</v>
      </c>
      <c r="L1602" s="65">
        <f>IFERROR(IF(OR(J1602=0,K1602=""),"",IF(E1602="Positivo",MIN(MAX(K1602/J1602,0),1.3),MIN(MAX(J1602/K1602,0),1.3))),"")</f>
        <v>1.083</v>
      </c>
      <c r="M1602" s="65">
        <f>IFERROR(IF(OR(J1602=0,K1602=""),"",IF(E1602="Positivo",MAX(K1602/J1602,0),MAX(J1602/K1602,0))),"")</f>
        <v>1.083</v>
      </c>
      <c r="N1602" s="37" t="s">
        <v>25</v>
      </c>
      <c r="O1602" s="37" t="s">
        <v>25</v>
      </c>
      <c r="P1602" s="40">
        <v>0</v>
      </c>
      <c r="Q1602" s="40">
        <v>0</v>
      </c>
      <c r="R1602" s="37" t="s">
        <v>2169</v>
      </c>
      <c r="S1602" s="37"/>
    </row>
    <row r="1603" spans="1:19" x14ac:dyDescent="0.3">
      <c r="A1603" s="36">
        <v>419</v>
      </c>
      <c r="B1603" s="37" t="s">
        <v>2168</v>
      </c>
      <c r="C1603" s="37"/>
      <c r="D1603" s="37" t="s">
        <v>39</v>
      </c>
      <c r="E1603" s="37" t="s">
        <v>22</v>
      </c>
      <c r="F1603" s="42">
        <v>45199</v>
      </c>
      <c r="G1603" s="37">
        <v>2023</v>
      </c>
      <c r="H1603" s="37" t="s">
        <v>43</v>
      </c>
      <c r="I1603" s="39" t="s">
        <v>32</v>
      </c>
      <c r="J1603" s="37">
        <v>100</v>
      </c>
      <c r="K1603" s="56">
        <v>88.35</v>
      </c>
      <c r="L1603" s="65">
        <f>IFERROR(IF(OR(J1603=0,K1603=""),"",IF(E1603="Positivo",MIN(MAX(K1603/J1603,0),1.3),MIN(MAX(J1603/K1603,0),1.3))),"")</f>
        <v>0.88349999999999995</v>
      </c>
      <c r="M1603" s="65">
        <f>IFERROR(IF(OR(J1603=0,K1603=""),"",IF(E1603="Positivo",MAX(K1603/J1603,0),MAX(J1603/K1603,0))),"")</f>
        <v>0.88349999999999995</v>
      </c>
      <c r="N1603" s="37" t="s">
        <v>25</v>
      </c>
      <c r="O1603" s="37" t="s">
        <v>25</v>
      </c>
      <c r="P1603" s="40">
        <v>0</v>
      </c>
      <c r="Q1603" s="40">
        <v>0</v>
      </c>
      <c r="R1603" s="37" t="s">
        <v>2170</v>
      </c>
      <c r="S1603" s="37"/>
    </row>
    <row r="1604" spans="1:19" x14ac:dyDescent="0.3">
      <c r="A1604" s="36">
        <v>419</v>
      </c>
      <c r="B1604" s="37" t="s">
        <v>2168</v>
      </c>
      <c r="C1604" s="37"/>
      <c r="D1604" s="37" t="s">
        <v>39</v>
      </c>
      <c r="E1604" s="37" t="s">
        <v>22</v>
      </c>
      <c r="F1604" s="42">
        <v>45291</v>
      </c>
      <c r="G1604" s="37">
        <v>2023</v>
      </c>
      <c r="H1604" s="37" t="s">
        <v>27</v>
      </c>
      <c r="I1604" s="39" t="s">
        <v>32</v>
      </c>
      <c r="J1604" s="37">
        <v>100</v>
      </c>
      <c r="K1604" s="56">
        <v>93.56</v>
      </c>
      <c r="L1604" s="65">
        <f>IFERROR(IF(OR(J1604=0,K1604=""),"",IF(E1604="Positivo",MIN(MAX(K1604/J1604,0),1.3),MIN(MAX(J1604/K1604,0),1.3))),"")</f>
        <v>0.93559999999999999</v>
      </c>
      <c r="M1604" s="65">
        <f>IFERROR(IF(OR(J1604=0,K1604=""),"",IF(E1604="Positivo",MAX(K1604/J1604,0),MAX(J1604/K1604,0))),"")</f>
        <v>0.93559999999999999</v>
      </c>
      <c r="N1604" s="37" t="s">
        <v>25</v>
      </c>
      <c r="O1604" s="37" t="s">
        <v>25</v>
      </c>
      <c r="P1604" s="40">
        <v>0</v>
      </c>
      <c r="Q1604" s="40">
        <v>0</v>
      </c>
      <c r="R1604" s="37" t="s">
        <v>2171</v>
      </c>
      <c r="S1604" s="37"/>
    </row>
    <row r="1605" spans="1:19" x14ac:dyDescent="0.3">
      <c r="A1605" s="37">
        <v>420</v>
      </c>
      <c r="B1605" s="37" t="s">
        <v>2172</v>
      </c>
      <c r="C1605" s="37" t="s">
        <v>1263</v>
      </c>
      <c r="D1605" s="37" t="s">
        <v>39</v>
      </c>
      <c r="E1605" s="37" t="s">
        <v>22</v>
      </c>
      <c r="F1605" s="42">
        <v>45016</v>
      </c>
      <c r="G1605" s="37">
        <v>2023</v>
      </c>
      <c r="H1605" s="37" t="s">
        <v>40</v>
      </c>
      <c r="I1605" s="37" t="s">
        <v>30</v>
      </c>
      <c r="J1605" s="37">
        <v>100</v>
      </c>
      <c r="K1605" s="37">
        <v>0</v>
      </c>
      <c r="L1605" s="65">
        <f>IFERROR(IF(OR(J1605=0,K1605=""),"",IF(E1605="Positivo",MIN(MAX(K1605/J1605,0),1),MIN(MAX(J1605/K1605,0),1))),"")</f>
        <v>0</v>
      </c>
      <c r="M1605" s="65">
        <f>IFERROR(IF(OR(J1605=0,K1605=""),"",IF(E1605="Positivo",MIN(MAX(K1605/J1605,0),1),MIN(MAX(J1605/K1605,0),1))),"")</f>
        <v>0</v>
      </c>
      <c r="N1605" s="37" t="s">
        <v>25</v>
      </c>
      <c r="O1605" s="37" t="s">
        <v>25</v>
      </c>
      <c r="P1605" s="37">
        <v>0</v>
      </c>
      <c r="Q1605" s="37">
        <v>0</v>
      </c>
      <c r="R1605" s="37" t="s">
        <v>2173</v>
      </c>
      <c r="S1605" s="37"/>
    </row>
    <row r="1606" spans="1:19" x14ac:dyDescent="0.3">
      <c r="A1606" s="36">
        <v>420</v>
      </c>
      <c r="B1606" s="37" t="s">
        <v>2172</v>
      </c>
      <c r="C1606" s="37"/>
      <c r="D1606" s="37" t="s">
        <v>39</v>
      </c>
      <c r="E1606" s="37" t="s">
        <v>22</v>
      </c>
      <c r="F1606" s="42">
        <v>45107</v>
      </c>
      <c r="G1606" s="37">
        <v>2023</v>
      </c>
      <c r="H1606" s="37" t="s">
        <v>23</v>
      </c>
      <c r="I1606" s="39" t="s">
        <v>30</v>
      </c>
      <c r="J1606" s="37">
        <v>100</v>
      </c>
      <c r="K1606" s="56">
        <v>106.53</v>
      </c>
      <c r="L1606" s="65">
        <f>IFERROR(IF(OR(J1606=0,K1606=""),"",IF(E1606="Positivo",MIN(MAX(K1606/J1606,0),1),MIN(MAX(J1606/K1606,0),1))),"")</f>
        <v>1</v>
      </c>
      <c r="M1606" s="65">
        <f>IFERROR(IF(OR(J1606=0,K1606=""),"",IF(E1606="Positivo",MIN(MAX(K1606/J1606,0),1),MIN(MAX(J1606/K1606,0),1))),"")</f>
        <v>1</v>
      </c>
      <c r="N1606" s="37" t="s">
        <v>25</v>
      </c>
      <c r="O1606" s="37" t="s">
        <v>25</v>
      </c>
      <c r="P1606" s="40">
        <v>0</v>
      </c>
      <c r="Q1606" s="40">
        <v>0</v>
      </c>
      <c r="R1606" s="37" t="s">
        <v>2174</v>
      </c>
      <c r="S1606" s="37"/>
    </row>
    <row r="1607" spans="1:19" x14ac:dyDescent="0.3">
      <c r="A1607" s="36">
        <v>420</v>
      </c>
      <c r="B1607" s="37" t="s">
        <v>2172</v>
      </c>
      <c r="C1607" s="37"/>
      <c r="D1607" s="37" t="s">
        <v>39</v>
      </c>
      <c r="E1607" s="37" t="s">
        <v>22</v>
      </c>
      <c r="F1607" s="42">
        <v>45199</v>
      </c>
      <c r="G1607" s="37">
        <v>2023</v>
      </c>
      <c r="H1607" s="37" t="s">
        <v>43</v>
      </c>
      <c r="I1607" s="39" t="s">
        <v>32</v>
      </c>
      <c r="J1607" s="37">
        <v>100</v>
      </c>
      <c r="K1607" s="56">
        <v>94.69</v>
      </c>
      <c r="L1607" s="65">
        <f>IFERROR(IF(OR(J1607=0,K1607=""),"",IF(E1607="Positivo",MIN(MAX(K1607/J1607,0),1),MIN(MAX(J1607/K1607,0),1))),"")</f>
        <v>0.94689999999999996</v>
      </c>
      <c r="M1607" s="65">
        <f>IFERROR(IF(OR(J1607=0,K1607=""),"",IF(E1607="Positivo",MIN(MAX(K1607/J1607,0),1),MIN(MAX(J1607/K1607,0),1))),"")</f>
        <v>0.94689999999999996</v>
      </c>
      <c r="N1607" s="37" t="s">
        <v>25</v>
      </c>
      <c r="O1607" s="37" t="s">
        <v>25</v>
      </c>
      <c r="P1607" s="40">
        <v>0</v>
      </c>
      <c r="Q1607" s="40">
        <v>0</v>
      </c>
      <c r="R1607" s="37" t="s">
        <v>2175</v>
      </c>
      <c r="S1607" s="37"/>
    </row>
    <row r="1608" spans="1:19" x14ac:dyDescent="0.3">
      <c r="A1608" s="36">
        <v>420</v>
      </c>
      <c r="B1608" s="37" t="s">
        <v>2172</v>
      </c>
      <c r="C1608" s="37"/>
      <c r="D1608" s="37" t="s">
        <v>39</v>
      </c>
      <c r="E1608" s="37" t="s">
        <v>22</v>
      </c>
      <c r="F1608" s="42">
        <v>45291</v>
      </c>
      <c r="G1608" s="37">
        <v>2023</v>
      </c>
      <c r="H1608" s="37" t="s">
        <v>27</v>
      </c>
      <c r="I1608" s="39" t="s">
        <v>32</v>
      </c>
      <c r="J1608" s="37">
        <v>100</v>
      </c>
      <c r="K1608" s="56">
        <v>100</v>
      </c>
      <c r="L1608" s="65">
        <f>IFERROR(IF(OR(J1608=0,K1608=""),"",IF(E1608="Positivo",MIN(MAX(K1608/J1608,0),1),MIN(MAX(J1608/K1608,0),1))),"")</f>
        <v>1</v>
      </c>
      <c r="M1608" s="65">
        <f>IFERROR(IF(OR(J1608=0,K1608=""),"",IF(E1608="Positivo",MIN(MAX(K1608/J1608,0),1),MIN(MAX(J1608/K1608,0),1))),"")</f>
        <v>1</v>
      </c>
      <c r="N1608" s="37" t="s">
        <v>25</v>
      </c>
      <c r="O1608" s="37" t="s">
        <v>25</v>
      </c>
      <c r="P1608" s="40">
        <v>0</v>
      </c>
      <c r="Q1608" s="40">
        <v>0</v>
      </c>
      <c r="R1608" s="37" t="s">
        <v>2176</v>
      </c>
      <c r="S1608" s="37"/>
    </row>
    <row r="1609" spans="1:19" x14ac:dyDescent="0.3">
      <c r="A1609" s="37">
        <v>420</v>
      </c>
      <c r="B1609" s="37" t="s">
        <v>2172</v>
      </c>
      <c r="C1609" s="37" t="s">
        <v>1263</v>
      </c>
      <c r="D1609" s="37" t="s">
        <v>39</v>
      </c>
      <c r="E1609" s="37" t="s">
        <v>22</v>
      </c>
      <c r="F1609" s="42">
        <v>45382</v>
      </c>
      <c r="G1609" s="37">
        <v>2024</v>
      </c>
      <c r="H1609" s="37" t="s">
        <v>40</v>
      </c>
      <c r="I1609" s="37" t="s">
        <v>34</v>
      </c>
      <c r="J1609" s="37">
        <v>100</v>
      </c>
      <c r="K1609" s="37"/>
      <c r="L1609" s="65"/>
      <c r="M1609" s="65"/>
      <c r="N1609" s="37" t="s">
        <v>25</v>
      </c>
      <c r="O1609" s="37" t="s">
        <v>223</v>
      </c>
      <c r="P1609" s="37">
        <v>0</v>
      </c>
      <c r="Q1609" s="37">
        <v>0</v>
      </c>
      <c r="R1609" s="37" t="s">
        <v>2177</v>
      </c>
      <c r="S1609" s="37" t="s">
        <v>223</v>
      </c>
    </row>
    <row r="1610" spans="1:19" x14ac:dyDescent="0.3">
      <c r="A1610" s="37">
        <v>420</v>
      </c>
      <c r="B1610" s="37" t="s">
        <v>2172</v>
      </c>
      <c r="C1610" s="37" t="s">
        <v>1263</v>
      </c>
      <c r="D1610" s="37" t="s">
        <v>39</v>
      </c>
      <c r="E1610" s="37" t="s">
        <v>22</v>
      </c>
      <c r="F1610" s="42">
        <v>45473</v>
      </c>
      <c r="G1610" s="37">
        <v>2024</v>
      </c>
      <c r="H1610" s="37" t="s">
        <v>23</v>
      </c>
      <c r="I1610" s="39" t="s">
        <v>34</v>
      </c>
      <c r="J1610" s="37">
        <v>100</v>
      </c>
      <c r="K1610" s="37">
        <v>89.33</v>
      </c>
      <c r="L1610" s="65">
        <f t="shared" ref="L1610:L1612" si="164">IFERROR(IF(OR(J1610=0,K1610=""),"",IF(E1610="Positivo",MIN(MAX(K1610/J1610,0),1),MIN(MAX(J1610/K1610,0),1))),"")</f>
        <v>0.89329999999999998</v>
      </c>
      <c r="M1610" s="65">
        <f t="shared" ref="M1610:M1612" si="165">IFERROR(IF(OR(J1610=0,K1610=""),"",IF(E1610="Positivo",MIN(MAX(K1610/J1610,0),1),MIN(MAX(J1610/K1610,0),1))),"")</f>
        <v>0.89329999999999998</v>
      </c>
      <c r="N1610" s="37" t="s">
        <v>25</v>
      </c>
      <c r="O1610" s="37" t="s">
        <v>25</v>
      </c>
      <c r="P1610" s="37">
        <v>0</v>
      </c>
      <c r="Q1610" s="37">
        <v>0</v>
      </c>
      <c r="R1610" s="37" t="s">
        <v>2178</v>
      </c>
      <c r="S1610" s="37"/>
    </row>
    <row r="1611" spans="1:19" x14ac:dyDescent="0.3">
      <c r="A1611" s="36">
        <v>420</v>
      </c>
      <c r="B1611" s="37" t="s">
        <v>2172</v>
      </c>
      <c r="C1611" s="37" t="s">
        <v>1263</v>
      </c>
      <c r="D1611" s="37" t="s">
        <v>39</v>
      </c>
      <c r="E1611" s="37" t="s">
        <v>22</v>
      </c>
      <c r="F1611" s="42">
        <v>45565</v>
      </c>
      <c r="G1611" s="37">
        <v>2024</v>
      </c>
      <c r="H1611" s="37" t="s">
        <v>43</v>
      </c>
      <c r="I1611" s="39" t="s">
        <v>36</v>
      </c>
      <c r="J1611" s="37">
        <v>100</v>
      </c>
      <c r="K1611" s="43">
        <v>102.36</v>
      </c>
      <c r="L1611" s="65">
        <f t="shared" si="164"/>
        <v>1</v>
      </c>
      <c r="M1611" s="65">
        <f t="shared" si="165"/>
        <v>1</v>
      </c>
      <c r="N1611" s="37" t="s">
        <v>25</v>
      </c>
      <c r="O1611" s="37" t="s">
        <v>25</v>
      </c>
      <c r="P1611" s="40">
        <v>0</v>
      </c>
      <c r="Q1611" s="40">
        <v>0</v>
      </c>
      <c r="R1611" s="37" t="s">
        <v>2179</v>
      </c>
      <c r="S1611" s="37"/>
    </row>
    <row r="1612" spans="1:19" x14ac:dyDescent="0.3">
      <c r="A1612" s="36">
        <v>420</v>
      </c>
      <c r="B1612" s="37" t="s">
        <v>2172</v>
      </c>
      <c r="C1612" s="37" t="s">
        <v>1263</v>
      </c>
      <c r="D1612" s="37" t="s">
        <v>39</v>
      </c>
      <c r="E1612" s="37" t="s">
        <v>22</v>
      </c>
      <c r="F1612" s="42">
        <v>45657</v>
      </c>
      <c r="G1612" s="37">
        <v>2024</v>
      </c>
      <c r="H1612" s="37" t="s">
        <v>27</v>
      </c>
      <c r="I1612" s="39" t="s">
        <v>36</v>
      </c>
      <c r="J1612" s="37">
        <v>100</v>
      </c>
      <c r="K1612" s="43">
        <v>96.67</v>
      </c>
      <c r="L1612" s="65">
        <f t="shared" si="164"/>
        <v>0.9667</v>
      </c>
      <c r="M1612" s="65">
        <f t="shared" si="165"/>
        <v>0.9667</v>
      </c>
      <c r="N1612" s="37" t="s">
        <v>25</v>
      </c>
      <c r="O1612" s="37" t="s">
        <v>25</v>
      </c>
      <c r="P1612" s="40">
        <v>0</v>
      </c>
      <c r="Q1612" s="40">
        <v>0</v>
      </c>
      <c r="R1612" s="37" t="s">
        <v>2180</v>
      </c>
      <c r="S1612" s="37"/>
    </row>
    <row r="1613" spans="1:19" x14ac:dyDescent="0.3">
      <c r="A1613" s="36">
        <v>421</v>
      </c>
      <c r="B1613" s="37" t="s">
        <v>2185</v>
      </c>
      <c r="C1613" s="37" t="s">
        <v>2186</v>
      </c>
      <c r="D1613" s="37" t="s">
        <v>21</v>
      </c>
      <c r="E1613" s="37" t="s">
        <v>22</v>
      </c>
      <c r="F1613" s="38">
        <v>45107</v>
      </c>
      <c r="G1613" s="37">
        <v>2023</v>
      </c>
      <c r="H1613" s="37" t="s">
        <v>23</v>
      </c>
      <c r="I1613" s="39" t="s">
        <v>30</v>
      </c>
      <c r="J1613" s="37">
        <v>104072</v>
      </c>
      <c r="K1613" s="56">
        <v>140002</v>
      </c>
      <c r="L1613" s="65">
        <f t="shared" ref="L1613:L1637" si="166">IFERROR(IF(OR(J1613=0,K1613=""),"",IF(E1613="Positivo",MIN(MAX(K1613/J1613,0),1.3),MIN(MAX(J1613/K1613,0),1.3))),"")</f>
        <v>1.3</v>
      </c>
      <c r="M1613" s="65">
        <f t="shared" ref="M1613:M1637" si="167">IFERROR(IF(OR(J1613=0,K1613=""),"",IF(E1613="Positivo",MAX(K1613/J1613,0),MAX(J1613/K1613,0))),"")</f>
        <v>1.3452417557075871</v>
      </c>
      <c r="N1613" s="37" t="s">
        <v>25</v>
      </c>
      <c r="O1613" s="37" t="s">
        <v>25</v>
      </c>
      <c r="P1613" s="40">
        <v>0</v>
      </c>
      <c r="Q1613" s="40">
        <v>0</v>
      </c>
      <c r="R1613" s="37" t="s">
        <v>2187</v>
      </c>
      <c r="S1613" s="37"/>
    </row>
    <row r="1614" spans="1:19" x14ac:dyDescent="0.3">
      <c r="A1614" s="41">
        <v>421</v>
      </c>
      <c r="B1614" s="37" t="s">
        <v>2185</v>
      </c>
      <c r="C1614" s="37" t="s">
        <v>2186</v>
      </c>
      <c r="D1614" s="37" t="s">
        <v>21</v>
      </c>
      <c r="E1614" s="37" t="s">
        <v>22</v>
      </c>
      <c r="F1614" s="42">
        <v>45291</v>
      </c>
      <c r="G1614" s="37">
        <v>2023</v>
      </c>
      <c r="H1614" s="37" t="s">
        <v>27</v>
      </c>
      <c r="I1614" s="39" t="s">
        <v>32</v>
      </c>
      <c r="J1614" s="37">
        <v>97200</v>
      </c>
      <c r="K1614" s="56">
        <v>136199</v>
      </c>
      <c r="L1614" s="65">
        <f t="shared" si="166"/>
        <v>1.3</v>
      </c>
      <c r="M1614" s="65">
        <f t="shared" si="167"/>
        <v>1.4012242798353909</v>
      </c>
      <c r="N1614" s="37" t="s">
        <v>25</v>
      </c>
      <c r="O1614" s="37" t="s">
        <v>25</v>
      </c>
      <c r="P1614" s="40">
        <v>0</v>
      </c>
      <c r="Q1614" s="40">
        <v>0</v>
      </c>
      <c r="R1614" s="37" t="s">
        <v>2188</v>
      </c>
      <c r="S1614" s="37"/>
    </row>
    <row r="1615" spans="1:19" x14ac:dyDescent="0.3">
      <c r="A1615" s="36">
        <v>421</v>
      </c>
      <c r="B1615" s="37" t="s">
        <v>2185</v>
      </c>
      <c r="C1615" s="37" t="s">
        <v>2186</v>
      </c>
      <c r="D1615" s="37" t="s">
        <v>21</v>
      </c>
      <c r="E1615" s="37" t="s">
        <v>22</v>
      </c>
      <c r="F1615" s="38">
        <v>45473</v>
      </c>
      <c r="G1615" s="37">
        <v>2024</v>
      </c>
      <c r="H1615" s="37" t="s">
        <v>23</v>
      </c>
      <c r="I1615" s="39" t="s">
        <v>34</v>
      </c>
      <c r="J1615" s="37">
        <v>147043</v>
      </c>
      <c r="K1615" s="56">
        <v>177740</v>
      </c>
      <c r="L1615" s="65">
        <f t="shared" si="166"/>
        <v>1.2087620627979572</v>
      </c>
      <c r="M1615" s="65">
        <f t="shared" si="167"/>
        <v>1.2087620627979572</v>
      </c>
      <c r="N1615" s="37" t="s">
        <v>25</v>
      </c>
      <c r="O1615" s="37" t="s">
        <v>25</v>
      </c>
      <c r="P1615" s="40">
        <v>0</v>
      </c>
      <c r="Q1615" s="40">
        <v>0</v>
      </c>
      <c r="R1615" s="37" t="s">
        <v>2189</v>
      </c>
      <c r="S1615" s="37"/>
    </row>
    <row r="1616" spans="1:19" x14ac:dyDescent="0.3">
      <c r="A1616" s="36">
        <v>421</v>
      </c>
      <c r="B1616" s="37" t="s">
        <v>2185</v>
      </c>
      <c r="C1616" s="37" t="s">
        <v>2186</v>
      </c>
      <c r="D1616" s="37" t="s">
        <v>21</v>
      </c>
      <c r="E1616" s="37" t="s">
        <v>22</v>
      </c>
      <c r="F1616" s="42">
        <v>45657</v>
      </c>
      <c r="G1616" s="37">
        <v>2024</v>
      </c>
      <c r="H1616" s="37" t="s">
        <v>27</v>
      </c>
      <c r="I1616" s="39" t="s">
        <v>36</v>
      </c>
      <c r="J1616" s="37">
        <v>100</v>
      </c>
      <c r="K1616" s="43">
        <v>121.44</v>
      </c>
      <c r="L1616" s="65">
        <f t="shared" si="166"/>
        <v>1.2143999999999999</v>
      </c>
      <c r="M1616" s="65">
        <f t="shared" si="167"/>
        <v>1.2143999999999999</v>
      </c>
      <c r="N1616" s="37"/>
      <c r="O1616" s="37"/>
      <c r="P1616" s="40">
        <v>0</v>
      </c>
      <c r="Q1616" s="40">
        <v>0</v>
      </c>
      <c r="R1616" s="37" t="s">
        <v>2190</v>
      </c>
      <c r="S1616" s="37"/>
    </row>
    <row r="1617" spans="1:19" x14ac:dyDescent="0.3">
      <c r="A1617" s="36">
        <v>422</v>
      </c>
      <c r="B1617" s="37" t="s">
        <v>2191</v>
      </c>
      <c r="C1617" s="37" t="s">
        <v>2186</v>
      </c>
      <c r="D1617" s="37" t="s">
        <v>21</v>
      </c>
      <c r="E1617" s="37" t="s">
        <v>22</v>
      </c>
      <c r="F1617" s="38">
        <v>45107</v>
      </c>
      <c r="G1617" s="37">
        <v>2023</v>
      </c>
      <c r="H1617" s="37" t="s">
        <v>23</v>
      </c>
      <c r="I1617" s="39" t="s">
        <v>30</v>
      </c>
      <c r="J1617" s="60">
        <v>11.7</v>
      </c>
      <c r="K1617" s="56">
        <v>11.973211368834001</v>
      </c>
      <c r="L1617" s="65">
        <f t="shared" si="166"/>
        <v>1.0233513990456411</v>
      </c>
      <c r="M1617" s="65">
        <f t="shared" si="167"/>
        <v>1.0233513990456411</v>
      </c>
      <c r="N1617" s="60" t="s">
        <v>25</v>
      </c>
      <c r="O1617" s="60" t="s">
        <v>25</v>
      </c>
      <c r="P1617" s="40">
        <v>2</v>
      </c>
      <c r="Q1617" s="40">
        <v>2</v>
      </c>
      <c r="R1617" s="37" t="s">
        <v>2192</v>
      </c>
      <c r="S1617" s="37"/>
    </row>
    <row r="1618" spans="1:19" x14ac:dyDescent="0.3">
      <c r="A1618" s="41">
        <v>422</v>
      </c>
      <c r="B1618" s="37" t="s">
        <v>2191</v>
      </c>
      <c r="C1618" s="37" t="s">
        <v>2186</v>
      </c>
      <c r="D1618" s="37" t="s">
        <v>21</v>
      </c>
      <c r="E1618" s="37" t="s">
        <v>22</v>
      </c>
      <c r="F1618" s="42">
        <v>45291</v>
      </c>
      <c r="G1618" s="37">
        <v>2023</v>
      </c>
      <c r="H1618" s="37" t="s">
        <v>27</v>
      </c>
      <c r="I1618" s="39" t="s">
        <v>32</v>
      </c>
      <c r="J1618" s="37">
        <v>10.5</v>
      </c>
      <c r="K1618" s="56">
        <v>11.04</v>
      </c>
      <c r="L1618" s="65">
        <f t="shared" si="166"/>
        <v>1.0514285714285714</v>
      </c>
      <c r="M1618" s="65">
        <f t="shared" si="167"/>
        <v>1.0514285714285714</v>
      </c>
      <c r="N1618" s="60" t="s">
        <v>25</v>
      </c>
      <c r="O1618" s="60" t="s">
        <v>25</v>
      </c>
      <c r="P1618" s="40">
        <v>2</v>
      </c>
      <c r="Q1618" s="40">
        <v>2</v>
      </c>
      <c r="R1618" s="37" t="s">
        <v>2193</v>
      </c>
      <c r="S1618" s="37"/>
    </row>
    <row r="1619" spans="1:19" x14ac:dyDescent="0.3">
      <c r="A1619" s="41">
        <v>422</v>
      </c>
      <c r="B1619" s="37" t="s">
        <v>2191</v>
      </c>
      <c r="C1619" s="37" t="s">
        <v>2186</v>
      </c>
      <c r="D1619" s="37" t="s">
        <v>21</v>
      </c>
      <c r="E1619" s="37" t="s">
        <v>22</v>
      </c>
      <c r="F1619" s="42">
        <v>45473</v>
      </c>
      <c r="G1619" s="37">
        <v>2024</v>
      </c>
      <c r="H1619" s="37" t="s">
        <v>23</v>
      </c>
      <c r="I1619" s="39" t="s">
        <v>34</v>
      </c>
      <c r="J1619" s="37">
        <v>9.25</v>
      </c>
      <c r="K1619" s="56">
        <v>8.86</v>
      </c>
      <c r="L1619" s="65">
        <f t="shared" si="166"/>
        <v>0.95783783783783782</v>
      </c>
      <c r="M1619" s="65">
        <f t="shared" si="167"/>
        <v>0.95783783783783782</v>
      </c>
      <c r="N1619" s="60" t="s">
        <v>25</v>
      </c>
      <c r="O1619" s="60" t="s">
        <v>25</v>
      </c>
      <c r="P1619" s="40">
        <v>2</v>
      </c>
      <c r="Q1619" s="40">
        <v>2</v>
      </c>
      <c r="R1619" s="37" t="s">
        <v>2194</v>
      </c>
      <c r="S1619" s="37"/>
    </row>
    <row r="1620" spans="1:19" x14ac:dyDescent="0.3">
      <c r="A1620" s="36">
        <v>422</v>
      </c>
      <c r="B1620" s="37" t="s">
        <v>2191</v>
      </c>
      <c r="C1620" s="37" t="s">
        <v>2186</v>
      </c>
      <c r="D1620" s="37" t="s">
        <v>21</v>
      </c>
      <c r="E1620" s="37" t="s">
        <v>22</v>
      </c>
      <c r="F1620" s="42">
        <v>45657</v>
      </c>
      <c r="G1620" s="37">
        <v>2024</v>
      </c>
      <c r="H1620" s="37" t="s">
        <v>27</v>
      </c>
      <c r="I1620" s="39" t="s">
        <v>36</v>
      </c>
      <c r="J1620" s="37">
        <v>8.01</v>
      </c>
      <c r="K1620" s="43">
        <v>7.91</v>
      </c>
      <c r="L1620" s="65">
        <f t="shared" si="166"/>
        <v>0.98751560549313366</v>
      </c>
      <c r="M1620" s="65">
        <f t="shared" si="167"/>
        <v>0.98751560549313366</v>
      </c>
      <c r="N1620" s="37" t="s">
        <v>25</v>
      </c>
      <c r="O1620" s="37" t="s">
        <v>25</v>
      </c>
      <c r="P1620" s="40">
        <v>2</v>
      </c>
      <c r="Q1620" s="40">
        <v>2</v>
      </c>
      <c r="R1620" s="37" t="s">
        <v>2195</v>
      </c>
      <c r="S1620" s="37"/>
    </row>
    <row r="1621" spans="1:19" x14ac:dyDescent="0.3">
      <c r="A1621" s="41">
        <v>423</v>
      </c>
      <c r="B1621" s="37" t="s">
        <v>2196</v>
      </c>
      <c r="C1621" s="37" t="s">
        <v>2186</v>
      </c>
      <c r="D1621" s="37" t="s">
        <v>139</v>
      </c>
      <c r="E1621" s="37" t="s">
        <v>22</v>
      </c>
      <c r="F1621" s="42">
        <v>45291</v>
      </c>
      <c r="G1621" s="37">
        <v>2023</v>
      </c>
      <c r="H1621" s="37" t="s">
        <v>27</v>
      </c>
      <c r="I1621" s="39" t="s">
        <v>32</v>
      </c>
      <c r="J1621" s="37">
        <v>8.4</v>
      </c>
      <c r="K1621" s="56">
        <v>7.9</v>
      </c>
      <c r="L1621" s="65">
        <f t="shared" si="166"/>
        <v>0.94047619047619047</v>
      </c>
      <c r="M1621" s="65">
        <f t="shared" si="167"/>
        <v>0.94047619047619047</v>
      </c>
      <c r="N1621" s="37" t="s">
        <v>25</v>
      </c>
      <c r="O1621" s="37" t="s">
        <v>25</v>
      </c>
      <c r="P1621" s="40">
        <v>1</v>
      </c>
      <c r="Q1621" s="40">
        <v>1</v>
      </c>
      <c r="R1621" s="37" t="s">
        <v>2197</v>
      </c>
      <c r="S1621" s="37"/>
    </row>
    <row r="1622" spans="1:19" x14ac:dyDescent="0.3">
      <c r="A1622" s="36">
        <v>423</v>
      </c>
      <c r="B1622" s="37" t="s">
        <v>2196</v>
      </c>
      <c r="C1622" s="37" t="s">
        <v>2186</v>
      </c>
      <c r="D1622" s="37" t="s">
        <v>139</v>
      </c>
      <c r="E1622" s="37" t="s">
        <v>22</v>
      </c>
      <c r="F1622" s="42">
        <v>45657</v>
      </c>
      <c r="G1622" s="37">
        <v>2024</v>
      </c>
      <c r="H1622" s="37" t="s">
        <v>27</v>
      </c>
      <c r="I1622" s="39" t="s">
        <v>36</v>
      </c>
      <c r="J1622" s="37">
        <v>8.3000000000000007</v>
      </c>
      <c r="K1622" s="43">
        <v>12.3</v>
      </c>
      <c r="L1622" s="65">
        <f t="shared" si="166"/>
        <v>1.3</v>
      </c>
      <c r="M1622" s="65">
        <f t="shared" si="167"/>
        <v>1.4819277108433735</v>
      </c>
      <c r="N1622" s="37"/>
      <c r="O1622" s="37"/>
      <c r="P1622" s="40">
        <v>1</v>
      </c>
      <c r="Q1622" s="40">
        <v>1</v>
      </c>
      <c r="R1622" s="37" t="s">
        <v>2198</v>
      </c>
      <c r="S1622" s="37"/>
    </row>
    <row r="1623" spans="1:19" x14ac:dyDescent="0.3">
      <c r="A1623" s="41">
        <v>424</v>
      </c>
      <c r="B1623" s="37" t="s">
        <v>2199</v>
      </c>
      <c r="C1623" s="37" t="s">
        <v>2186</v>
      </c>
      <c r="D1623" s="37" t="s">
        <v>139</v>
      </c>
      <c r="E1623" s="37" t="s">
        <v>22</v>
      </c>
      <c r="F1623" s="42">
        <v>45291</v>
      </c>
      <c r="G1623" s="37">
        <v>2023</v>
      </c>
      <c r="H1623" s="37" t="s">
        <v>27</v>
      </c>
      <c r="I1623" s="39" t="s">
        <v>32</v>
      </c>
      <c r="J1623" s="37">
        <v>6</v>
      </c>
      <c r="K1623" s="56">
        <v>6</v>
      </c>
      <c r="L1623" s="65">
        <f t="shared" si="166"/>
        <v>1</v>
      </c>
      <c r="M1623" s="65">
        <f t="shared" si="167"/>
        <v>1</v>
      </c>
      <c r="N1623" s="37"/>
      <c r="O1623" s="37"/>
      <c r="P1623" s="40">
        <v>0</v>
      </c>
      <c r="Q1623" s="40">
        <v>0</v>
      </c>
      <c r="R1623" s="37" t="s">
        <v>2200</v>
      </c>
      <c r="S1623" s="37"/>
    </row>
    <row r="1624" spans="1:19" x14ac:dyDescent="0.3">
      <c r="A1624" s="36">
        <v>424</v>
      </c>
      <c r="B1624" s="37" t="s">
        <v>2199</v>
      </c>
      <c r="C1624" s="37" t="s">
        <v>2186</v>
      </c>
      <c r="D1624" s="37" t="s">
        <v>139</v>
      </c>
      <c r="E1624" s="37" t="s">
        <v>22</v>
      </c>
      <c r="F1624" s="42">
        <v>45657</v>
      </c>
      <c r="G1624" s="37">
        <v>2024</v>
      </c>
      <c r="H1624" s="37" t="s">
        <v>27</v>
      </c>
      <c r="I1624" s="39" t="s">
        <v>36</v>
      </c>
      <c r="J1624" s="37">
        <v>7</v>
      </c>
      <c r="K1624" s="43">
        <v>9</v>
      </c>
      <c r="L1624" s="65">
        <f t="shared" si="166"/>
        <v>1.2857142857142858</v>
      </c>
      <c r="M1624" s="65">
        <f t="shared" si="167"/>
        <v>1.2857142857142858</v>
      </c>
      <c r="N1624" s="37"/>
      <c r="O1624" s="37"/>
      <c r="P1624" s="40">
        <v>0</v>
      </c>
      <c r="Q1624" s="40">
        <v>0</v>
      </c>
      <c r="R1624" s="37" t="s">
        <v>2201</v>
      </c>
      <c r="S1624" s="37"/>
    </row>
    <row r="1625" spans="1:19" x14ac:dyDescent="0.3">
      <c r="A1625" s="41">
        <v>425</v>
      </c>
      <c r="B1625" s="37" t="s">
        <v>2203</v>
      </c>
      <c r="C1625" s="37" t="s">
        <v>1946</v>
      </c>
      <c r="D1625" s="37" t="s">
        <v>139</v>
      </c>
      <c r="E1625" s="37" t="s">
        <v>22</v>
      </c>
      <c r="F1625" s="42">
        <v>45291</v>
      </c>
      <c r="G1625" s="37">
        <v>2023</v>
      </c>
      <c r="H1625" s="37" t="s">
        <v>27</v>
      </c>
      <c r="I1625" s="39" t="s">
        <v>32</v>
      </c>
      <c r="J1625" s="37">
        <v>5500</v>
      </c>
      <c r="K1625" s="56">
        <v>5785</v>
      </c>
      <c r="L1625" s="65">
        <f t="shared" si="166"/>
        <v>1.0518181818181818</v>
      </c>
      <c r="M1625" s="65">
        <f t="shared" si="167"/>
        <v>1.0518181818181818</v>
      </c>
      <c r="N1625" s="37" t="s">
        <v>264</v>
      </c>
      <c r="O1625" s="37" t="s">
        <v>264</v>
      </c>
      <c r="P1625" s="40">
        <v>0</v>
      </c>
      <c r="Q1625" s="40">
        <v>0</v>
      </c>
      <c r="R1625" s="37" t="s">
        <v>2204</v>
      </c>
      <c r="S1625" s="37"/>
    </row>
    <row r="1626" spans="1:19" x14ac:dyDescent="0.3">
      <c r="A1626" s="37">
        <v>425</v>
      </c>
      <c r="B1626" s="37" t="s">
        <v>2203</v>
      </c>
      <c r="C1626" s="37" t="s">
        <v>1946</v>
      </c>
      <c r="D1626" s="37" t="s">
        <v>21</v>
      </c>
      <c r="E1626" s="37" t="s">
        <v>22</v>
      </c>
      <c r="F1626" s="42">
        <v>45473</v>
      </c>
      <c r="G1626" s="37">
        <v>2024</v>
      </c>
      <c r="H1626" s="37" t="s">
        <v>23</v>
      </c>
      <c r="I1626" s="39" t="s">
        <v>34</v>
      </c>
      <c r="J1626" s="37">
        <v>100</v>
      </c>
      <c r="K1626" s="37">
        <v>60.69</v>
      </c>
      <c r="L1626" s="65">
        <f t="shared" si="166"/>
        <v>0.6069</v>
      </c>
      <c r="M1626" s="65">
        <f t="shared" si="167"/>
        <v>0.6069</v>
      </c>
      <c r="N1626" s="37" t="s">
        <v>203</v>
      </c>
      <c r="O1626" s="37" t="s">
        <v>203</v>
      </c>
      <c r="P1626" s="37">
        <v>0</v>
      </c>
      <c r="Q1626" s="37">
        <v>0</v>
      </c>
      <c r="R1626" s="37" t="s">
        <v>2205</v>
      </c>
      <c r="S1626" s="37"/>
    </row>
    <row r="1627" spans="1:19" x14ac:dyDescent="0.3">
      <c r="A1627" s="36">
        <v>425</v>
      </c>
      <c r="B1627" s="37" t="s">
        <v>2203</v>
      </c>
      <c r="C1627" s="37" t="s">
        <v>1946</v>
      </c>
      <c r="D1627" s="37" t="s">
        <v>21</v>
      </c>
      <c r="E1627" s="37" t="s">
        <v>22</v>
      </c>
      <c r="F1627" s="42">
        <v>45657</v>
      </c>
      <c r="G1627" s="37">
        <v>2024</v>
      </c>
      <c r="H1627" s="37" t="s">
        <v>27</v>
      </c>
      <c r="I1627" s="39" t="s">
        <v>36</v>
      </c>
      <c r="J1627" s="37">
        <v>100</v>
      </c>
      <c r="K1627" s="43">
        <v>164.69</v>
      </c>
      <c r="L1627" s="65">
        <f t="shared" si="166"/>
        <v>1.3</v>
      </c>
      <c r="M1627" s="65">
        <f t="shared" si="167"/>
        <v>1.6469</v>
      </c>
      <c r="N1627" s="37" t="s">
        <v>203</v>
      </c>
      <c r="O1627" s="37" t="s">
        <v>203</v>
      </c>
      <c r="P1627" s="40">
        <v>0</v>
      </c>
      <c r="Q1627" s="40">
        <v>0</v>
      </c>
      <c r="R1627" s="37" t="s">
        <v>2206</v>
      </c>
      <c r="S1627" s="37"/>
    </row>
    <row r="1628" spans="1:19" x14ac:dyDescent="0.3">
      <c r="A1628" s="36">
        <v>426</v>
      </c>
      <c r="B1628" s="37" t="s">
        <v>2207</v>
      </c>
      <c r="C1628" s="37" t="s">
        <v>207</v>
      </c>
      <c r="D1628" s="37" t="s">
        <v>21</v>
      </c>
      <c r="E1628" s="37" t="s">
        <v>22</v>
      </c>
      <c r="F1628" s="38">
        <v>45107</v>
      </c>
      <c r="G1628" s="37">
        <v>2023</v>
      </c>
      <c r="H1628" s="37" t="s">
        <v>23</v>
      </c>
      <c r="I1628" s="39" t="s">
        <v>30</v>
      </c>
      <c r="J1628" s="37">
        <v>484</v>
      </c>
      <c r="K1628" s="56">
        <v>421</v>
      </c>
      <c r="L1628" s="65">
        <f t="shared" si="166"/>
        <v>0.8698347107438017</v>
      </c>
      <c r="M1628" s="65">
        <f t="shared" si="167"/>
        <v>0.8698347107438017</v>
      </c>
      <c r="N1628" s="37" t="s">
        <v>670</v>
      </c>
      <c r="O1628" s="37" t="s">
        <v>25</v>
      </c>
      <c r="P1628" s="40">
        <v>0</v>
      </c>
      <c r="Q1628" s="40">
        <v>0</v>
      </c>
      <c r="R1628" s="37" t="s">
        <v>2208</v>
      </c>
      <c r="S1628" s="37"/>
    </row>
    <row r="1629" spans="1:19" x14ac:dyDescent="0.3">
      <c r="A1629" s="41">
        <v>426</v>
      </c>
      <c r="B1629" s="37" t="s">
        <v>2207</v>
      </c>
      <c r="C1629" s="37" t="s">
        <v>207</v>
      </c>
      <c r="D1629" s="37" t="s">
        <v>21</v>
      </c>
      <c r="E1629" s="37" t="s">
        <v>22</v>
      </c>
      <c r="F1629" s="42">
        <v>45291</v>
      </c>
      <c r="G1629" s="37">
        <v>2023</v>
      </c>
      <c r="H1629" s="37" t="s">
        <v>27</v>
      </c>
      <c r="I1629" s="39" t="s">
        <v>32</v>
      </c>
      <c r="J1629" s="37">
        <v>494</v>
      </c>
      <c r="K1629" s="56">
        <v>456</v>
      </c>
      <c r="L1629" s="65">
        <f t="shared" si="166"/>
        <v>0.92307692307692313</v>
      </c>
      <c r="M1629" s="65">
        <f t="shared" si="167"/>
        <v>0.92307692307692313</v>
      </c>
      <c r="N1629" s="37" t="s">
        <v>670</v>
      </c>
      <c r="O1629" s="37" t="s">
        <v>25</v>
      </c>
      <c r="P1629" s="40">
        <v>0</v>
      </c>
      <c r="Q1629" s="40">
        <v>0</v>
      </c>
      <c r="R1629" s="37" t="s">
        <v>2209</v>
      </c>
      <c r="S1629" s="37"/>
    </row>
    <row r="1630" spans="1:19" x14ac:dyDescent="0.3">
      <c r="A1630" s="37">
        <v>426</v>
      </c>
      <c r="B1630" s="37" t="s">
        <v>2207</v>
      </c>
      <c r="C1630" s="37" t="s">
        <v>207</v>
      </c>
      <c r="D1630" s="37" t="s">
        <v>21</v>
      </c>
      <c r="E1630" s="37" t="s">
        <v>22</v>
      </c>
      <c r="F1630" s="42">
        <v>45473</v>
      </c>
      <c r="G1630" s="37">
        <v>2024</v>
      </c>
      <c r="H1630" s="37" t="s">
        <v>23</v>
      </c>
      <c r="I1630" s="39" t="s">
        <v>34</v>
      </c>
      <c r="J1630" s="37">
        <v>964</v>
      </c>
      <c r="K1630" s="37">
        <v>581</v>
      </c>
      <c r="L1630" s="65">
        <f t="shared" si="166"/>
        <v>0.60269709543568462</v>
      </c>
      <c r="M1630" s="65">
        <f t="shared" si="167"/>
        <v>0.60269709543568462</v>
      </c>
      <c r="N1630" s="37" t="s">
        <v>670</v>
      </c>
      <c r="O1630" s="37" t="s">
        <v>25</v>
      </c>
      <c r="P1630" s="37">
        <v>0</v>
      </c>
      <c r="Q1630" s="37">
        <v>0</v>
      </c>
      <c r="R1630" s="37" t="s">
        <v>2210</v>
      </c>
      <c r="S1630" s="37"/>
    </row>
    <row r="1631" spans="1:19" x14ac:dyDescent="0.3">
      <c r="A1631" s="36">
        <v>426</v>
      </c>
      <c r="B1631" s="37" t="s">
        <v>2207</v>
      </c>
      <c r="C1631" s="37" t="s">
        <v>207</v>
      </c>
      <c r="D1631" s="37" t="s">
        <v>21</v>
      </c>
      <c r="E1631" s="37" t="s">
        <v>22</v>
      </c>
      <c r="F1631" s="42">
        <v>45657</v>
      </c>
      <c r="G1631" s="37">
        <v>2024</v>
      </c>
      <c r="H1631" s="37" t="s">
        <v>27</v>
      </c>
      <c r="I1631" s="39" t="s">
        <v>36</v>
      </c>
      <c r="J1631" s="37">
        <v>1333</v>
      </c>
      <c r="K1631" s="43">
        <v>1156</v>
      </c>
      <c r="L1631" s="65">
        <f t="shared" si="166"/>
        <v>0.8672168042010503</v>
      </c>
      <c r="M1631" s="65">
        <f t="shared" si="167"/>
        <v>0.8672168042010503</v>
      </c>
      <c r="N1631" s="37" t="s">
        <v>670</v>
      </c>
      <c r="O1631" s="37" t="s">
        <v>25</v>
      </c>
      <c r="P1631" s="40">
        <v>0</v>
      </c>
      <c r="Q1631" s="40">
        <v>0</v>
      </c>
      <c r="R1631" s="37" t="s">
        <v>2211</v>
      </c>
      <c r="S1631" s="37"/>
    </row>
    <row r="1632" spans="1:19" x14ac:dyDescent="0.3">
      <c r="A1632" s="36">
        <v>427</v>
      </c>
      <c r="B1632" s="37" t="s">
        <v>2212</v>
      </c>
      <c r="C1632" s="37" t="s">
        <v>251</v>
      </c>
      <c r="D1632" s="37" t="s">
        <v>21</v>
      </c>
      <c r="E1632" s="37" t="s">
        <v>56</v>
      </c>
      <c r="F1632" s="38">
        <v>45107</v>
      </c>
      <c r="G1632" s="37">
        <v>2023</v>
      </c>
      <c r="H1632" s="37" t="s">
        <v>23</v>
      </c>
      <c r="I1632" s="39" t="s">
        <v>30</v>
      </c>
      <c r="J1632" s="37">
        <v>0.2</v>
      </c>
      <c r="K1632" s="59">
        <v>0.13666666666666999</v>
      </c>
      <c r="L1632" s="65">
        <f t="shared" si="166"/>
        <v>1.3</v>
      </c>
      <c r="M1632" s="65">
        <f t="shared" si="167"/>
        <v>1.4634146341463059</v>
      </c>
      <c r="N1632" s="37" t="s">
        <v>197</v>
      </c>
      <c r="O1632" s="37" t="s">
        <v>197</v>
      </c>
      <c r="P1632" s="40">
        <v>1</v>
      </c>
      <c r="Q1632" s="40">
        <v>2</v>
      </c>
      <c r="R1632" s="37" t="s">
        <v>2213</v>
      </c>
      <c r="S1632" s="37"/>
    </row>
    <row r="1633" spans="1:19" x14ac:dyDescent="0.3">
      <c r="A1633" s="41">
        <v>427</v>
      </c>
      <c r="B1633" s="37" t="s">
        <v>2212</v>
      </c>
      <c r="C1633" s="37" t="s">
        <v>251</v>
      </c>
      <c r="D1633" s="37" t="s">
        <v>21</v>
      </c>
      <c r="E1633" s="37" t="s">
        <v>56</v>
      </c>
      <c r="F1633" s="42">
        <v>45291</v>
      </c>
      <c r="G1633" s="37">
        <v>2023</v>
      </c>
      <c r="H1633" s="37" t="s">
        <v>27</v>
      </c>
      <c r="I1633" s="39" t="s">
        <v>32</v>
      </c>
      <c r="J1633" s="37">
        <v>0.2</v>
      </c>
      <c r="K1633" s="56">
        <v>0.2</v>
      </c>
      <c r="L1633" s="65">
        <f t="shared" si="166"/>
        <v>1</v>
      </c>
      <c r="M1633" s="65">
        <f t="shared" si="167"/>
        <v>1</v>
      </c>
      <c r="N1633" s="37" t="s">
        <v>197</v>
      </c>
      <c r="O1633" s="37" t="s">
        <v>197</v>
      </c>
      <c r="P1633" s="40">
        <v>1</v>
      </c>
      <c r="Q1633" s="40">
        <v>2</v>
      </c>
      <c r="R1633" s="37" t="s">
        <v>2214</v>
      </c>
      <c r="S1633" s="37"/>
    </row>
    <row r="1634" spans="1:19" x14ac:dyDescent="0.3">
      <c r="A1634" s="37">
        <v>427</v>
      </c>
      <c r="B1634" s="37" t="s">
        <v>2212</v>
      </c>
      <c r="C1634" s="37" t="s">
        <v>251</v>
      </c>
      <c r="D1634" s="37" t="s">
        <v>21</v>
      </c>
      <c r="E1634" s="37" t="s">
        <v>56</v>
      </c>
      <c r="F1634" s="42">
        <v>45473</v>
      </c>
      <c r="G1634" s="37">
        <v>2024</v>
      </c>
      <c r="H1634" s="37" t="s">
        <v>23</v>
      </c>
      <c r="I1634" s="39" t="s">
        <v>34</v>
      </c>
      <c r="J1634" s="37">
        <v>0.2</v>
      </c>
      <c r="K1634" s="37">
        <v>0.17</v>
      </c>
      <c r="L1634" s="65">
        <f t="shared" si="166"/>
        <v>1.1764705882352942</v>
      </c>
      <c r="M1634" s="65">
        <f t="shared" si="167"/>
        <v>1.1764705882352942</v>
      </c>
      <c r="N1634" s="37" t="s">
        <v>197</v>
      </c>
      <c r="O1634" s="37" t="s">
        <v>197</v>
      </c>
      <c r="P1634" s="37">
        <v>1</v>
      </c>
      <c r="Q1634" s="37">
        <v>2</v>
      </c>
      <c r="R1634" s="37" t="s">
        <v>2215</v>
      </c>
      <c r="S1634" s="37"/>
    </row>
    <row r="1635" spans="1:19" x14ac:dyDescent="0.3">
      <c r="A1635" s="36">
        <v>427</v>
      </c>
      <c r="B1635" s="37" t="s">
        <v>2212</v>
      </c>
      <c r="C1635" s="37" t="s">
        <v>251</v>
      </c>
      <c r="D1635" s="37" t="s">
        <v>21</v>
      </c>
      <c r="E1635" s="37" t="s">
        <v>56</v>
      </c>
      <c r="F1635" s="42">
        <v>45657</v>
      </c>
      <c r="G1635" s="37">
        <v>2024</v>
      </c>
      <c r="H1635" s="37" t="s">
        <v>27</v>
      </c>
      <c r="I1635" s="39" t="s">
        <v>36</v>
      </c>
      <c r="J1635" s="37">
        <v>0.2</v>
      </c>
      <c r="K1635" s="43">
        <v>0.17</v>
      </c>
      <c r="L1635" s="65">
        <f t="shared" si="166"/>
        <v>1.1764705882352942</v>
      </c>
      <c r="M1635" s="65">
        <f t="shared" si="167"/>
        <v>1.1764705882352942</v>
      </c>
      <c r="N1635" s="37" t="s">
        <v>197</v>
      </c>
      <c r="O1635" s="37" t="s">
        <v>197</v>
      </c>
      <c r="P1635" s="40">
        <v>1</v>
      </c>
      <c r="Q1635" s="40">
        <v>2</v>
      </c>
      <c r="R1635" s="37" t="s">
        <v>2216</v>
      </c>
      <c r="S1635" s="37"/>
    </row>
    <row r="1636" spans="1:19" x14ac:dyDescent="0.3">
      <c r="A1636" s="36">
        <v>428</v>
      </c>
      <c r="B1636" s="37" t="s">
        <v>2219</v>
      </c>
      <c r="C1636" s="37" t="s">
        <v>251</v>
      </c>
      <c r="D1636" s="37" t="s">
        <v>21</v>
      </c>
      <c r="E1636" s="37" t="s">
        <v>56</v>
      </c>
      <c r="F1636" s="38">
        <v>45107</v>
      </c>
      <c r="G1636" s="37">
        <v>2023</v>
      </c>
      <c r="H1636" s="37" t="s">
        <v>23</v>
      </c>
      <c r="I1636" s="39" t="s">
        <v>30</v>
      </c>
      <c r="J1636" s="37">
        <v>1</v>
      </c>
      <c r="K1636" s="56">
        <v>17.59</v>
      </c>
      <c r="L1636" s="65">
        <f t="shared" si="166"/>
        <v>5.6850483229107449E-2</v>
      </c>
      <c r="M1636" s="65">
        <f t="shared" si="167"/>
        <v>5.6850483229107449E-2</v>
      </c>
      <c r="N1636" s="37" t="s">
        <v>889</v>
      </c>
      <c r="O1636" s="37" t="s">
        <v>889</v>
      </c>
      <c r="P1636" s="40">
        <v>0</v>
      </c>
      <c r="Q1636" s="40">
        <v>1</v>
      </c>
      <c r="R1636" s="37" t="s">
        <v>2220</v>
      </c>
      <c r="S1636" s="37"/>
    </row>
    <row r="1637" spans="1:19" x14ac:dyDescent="0.3">
      <c r="A1637" s="41">
        <v>428</v>
      </c>
      <c r="B1637" s="37" t="s">
        <v>2219</v>
      </c>
      <c r="C1637" s="37" t="s">
        <v>251</v>
      </c>
      <c r="D1637" s="37" t="s">
        <v>21</v>
      </c>
      <c r="E1637" s="37" t="s">
        <v>56</v>
      </c>
      <c r="F1637" s="42">
        <v>45291</v>
      </c>
      <c r="G1637" s="37">
        <v>2023</v>
      </c>
      <c r="H1637" s="37" t="s">
        <v>27</v>
      </c>
      <c r="I1637" s="39" t="s">
        <v>32</v>
      </c>
      <c r="J1637" s="37">
        <v>1</v>
      </c>
      <c r="K1637" s="56">
        <v>18.63</v>
      </c>
      <c r="L1637" s="65">
        <f t="shared" si="166"/>
        <v>5.3676865271068172E-2</v>
      </c>
      <c r="M1637" s="65">
        <f t="shared" si="167"/>
        <v>5.3676865271068172E-2</v>
      </c>
      <c r="N1637" s="37" t="s">
        <v>889</v>
      </c>
      <c r="O1637" s="37" t="s">
        <v>889</v>
      </c>
      <c r="P1637" s="40">
        <v>0</v>
      </c>
      <c r="Q1637" s="40">
        <v>1</v>
      </c>
      <c r="R1637" s="37" t="s">
        <v>2221</v>
      </c>
      <c r="S1637" s="37"/>
    </row>
    <row r="1638" spans="1:19" x14ac:dyDescent="0.3">
      <c r="A1638" s="37">
        <v>428</v>
      </c>
      <c r="B1638" s="37" t="s">
        <v>2219</v>
      </c>
      <c r="C1638" s="37" t="s">
        <v>251</v>
      </c>
      <c r="D1638" s="37" t="s">
        <v>21</v>
      </c>
      <c r="E1638" s="37" t="s">
        <v>56</v>
      </c>
      <c r="F1638" s="42">
        <v>45473</v>
      </c>
      <c r="G1638" s="37">
        <v>2024</v>
      </c>
      <c r="H1638" s="37" t="s">
        <v>23</v>
      </c>
      <c r="I1638" s="39" t="s">
        <v>34</v>
      </c>
      <c r="J1638" s="37">
        <v>1</v>
      </c>
      <c r="K1638" s="37">
        <v>16.579999999999998</v>
      </c>
      <c r="L1638" s="65">
        <f t="shared" ref="L1638:L1653" si="168">IFERROR(IF(OR(J1638=0,K1638=""),"",IF(E1638="Positivo",MIN(MAX(K1638/J1638,0),1.3),MIN(MAX(J1638/K1638,0),1.3))),"")</f>
        <v>6.0313630880579019E-2</v>
      </c>
      <c r="M1638" s="65">
        <f t="shared" ref="M1638:M1653" si="169">IFERROR(IF(OR(J1638=0,K1638=""),"",IF(E1638="Positivo",MAX(K1638/J1638,0),MAX(J1638/K1638,0))),"")</f>
        <v>6.0313630880579019E-2</v>
      </c>
      <c r="N1638" s="37" t="s">
        <v>889</v>
      </c>
      <c r="O1638" s="37" t="s">
        <v>889</v>
      </c>
      <c r="P1638" s="37">
        <v>0</v>
      </c>
      <c r="Q1638" s="37">
        <v>1</v>
      </c>
      <c r="R1638" s="37" t="s">
        <v>2222</v>
      </c>
      <c r="S1638" s="37"/>
    </row>
    <row r="1639" spans="1:19" x14ac:dyDescent="0.3">
      <c r="A1639" s="36">
        <v>428</v>
      </c>
      <c r="B1639" s="37" t="s">
        <v>2219</v>
      </c>
      <c r="C1639" s="37" t="s">
        <v>251</v>
      </c>
      <c r="D1639" s="37" t="s">
        <v>21</v>
      </c>
      <c r="E1639" s="37" t="s">
        <v>56</v>
      </c>
      <c r="F1639" s="42">
        <v>45657</v>
      </c>
      <c r="G1639" s="37">
        <v>2024</v>
      </c>
      <c r="H1639" s="37" t="s">
        <v>27</v>
      </c>
      <c r="I1639" s="39" t="s">
        <v>36</v>
      </c>
      <c r="J1639" s="37">
        <v>1</v>
      </c>
      <c r="K1639" s="43">
        <v>18.53</v>
      </c>
      <c r="L1639" s="65">
        <f t="shared" si="168"/>
        <v>5.3966540744738258E-2</v>
      </c>
      <c r="M1639" s="65">
        <f t="shared" si="169"/>
        <v>5.3966540744738258E-2</v>
      </c>
      <c r="N1639" s="37" t="s">
        <v>889</v>
      </c>
      <c r="O1639" s="37" t="s">
        <v>889</v>
      </c>
      <c r="P1639" s="40">
        <v>0</v>
      </c>
      <c r="Q1639" s="40">
        <v>1</v>
      </c>
      <c r="R1639" s="37" t="s">
        <v>2223</v>
      </c>
      <c r="S1639" s="37"/>
    </row>
    <row r="1640" spans="1:19" x14ac:dyDescent="0.3">
      <c r="A1640" s="36">
        <v>429</v>
      </c>
      <c r="B1640" s="37" t="s">
        <v>2226</v>
      </c>
      <c r="C1640" s="37" t="s">
        <v>251</v>
      </c>
      <c r="D1640" s="37" t="s">
        <v>21</v>
      </c>
      <c r="E1640" s="37" t="s">
        <v>56</v>
      </c>
      <c r="F1640" s="38">
        <v>45107</v>
      </c>
      <c r="G1640" s="37">
        <v>2023</v>
      </c>
      <c r="H1640" s="37" t="s">
        <v>23</v>
      </c>
      <c r="I1640" s="39" t="s">
        <v>30</v>
      </c>
      <c r="J1640" s="37">
        <v>0.76</v>
      </c>
      <c r="K1640" s="59">
        <v>0.3</v>
      </c>
      <c r="L1640" s="65">
        <f t="shared" si="168"/>
        <v>1.3</v>
      </c>
      <c r="M1640" s="65">
        <f t="shared" si="169"/>
        <v>2.5333333333333337</v>
      </c>
      <c r="N1640" s="37" t="s">
        <v>197</v>
      </c>
      <c r="O1640" s="37" t="s">
        <v>197</v>
      </c>
      <c r="P1640" s="40">
        <v>1</v>
      </c>
      <c r="Q1640" s="40">
        <v>1</v>
      </c>
      <c r="R1640" s="37" t="s">
        <v>2227</v>
      </c>
      <c r="S1640" s="37"/>
    </row>
    <row r="1641" spans="1:19" x14ac:dyDescent="0.3">
      <c r="A1641" s="41">
        <v>429</v>
      </c>
      <c r="B1641" s="37" t="s">
        <v>2226</v>
      </c>
      <c r="C1641" s="37" t="s">
        <v>251</v>
      </c>
      <c r="D1641" s="37" t="s">
        <v>21</v>
      </c>
      <c r="E1641" s="37" t="s">
        <v>56</v>
      </c>
      <c r="F1641" s="42">
        <v>45291</v>
      </c>
      <c r="G1641" s="37">
        <v>2023</v>
      </c>
      <c r="H1641" s="37" t="s">
        <v>27</v>
      </c>
      <c r="I1641" s="39" t="s">
        <v>32</v>
      </c>
      <c r="J1641" s="37">
        <v>0.76</v>
      </c>
      <c r="K1641" s="59">
        <v>0.76</v>
      </c>
      <c r="L1641" s="65">
        <f t="shared" si="168"/>
        <v>1</v>
      </c>
      <c r="M1641" s="65">
        <f t="shared" si="169"/>
        <v>1</v>
      </c>
      <c r="N1641" s="37" t="s">
        <v>197</v>
      </c>
      <c r="O1641" s="37" t="s">
        <v>197</v>
      </c>
      <c r="P1641" s="40">
        <v>0</v>
      </c>
      <c r="Q1641" s="40">
        <v>0</v>
      </c>
      <c r="R1641" s="37" t="s">
        <v>2228</v>
      </c>
      <c r="S1641" s="37"/>
    </row>
    <row r="1642" spans="1:19" x14ac:dyDescent="0.3">
      <c r="A1642" s="37">
        <v>429</v>
      </c>
      <c r="B1642" s="37" t="s">
        <v>2226</v>
      </c>
      <c r="C1642" s="37" t="s">
        <v>251</v>
      </c>
      <c r="D1642" s="37" t="s">
        <v>21</v>
      </c>
      <c r="E1642" s="37" t="s">
        <v>56</v>
      </c>
      <c r="F1642" s="42">
        <v>45473</v>
      </c>
      <c r="G1642" s="37">
        <v>2024</v>
      </c>
      <c r="H1642" s="37" t="s">
        <v>23</v>
      </c>
      <c r="I1642" s="39" t="s">
        <v>34</v>
      </c>
      <c r="J1642" s="37">
        <v>0.76</v>
      </c>
      <c r="K1642" s="37">
        <v>0.66</v>
      </c>
      <c r="L1642" s="65">
        <f t="shared" si="168"/>
        <v>1.1515151515151514</v>
      </c>
      <c r="M1642" s="65">
        <f t="shared" si="169"/>
        <v>1.1515151515151514</v>
      </c>
      <c r="N1642" s="37" t="s">
        <v>197</v>
      </c>
      <c r="O1642" s="37" t="s">
        <v>197</v>
      </c>
      <c r="P1642" s="37">
        <v>1</v>
      </c>
      <c r="Q1642" s="37">
        <v>1</v>
      </c>
      <c r="R1642" s="37" t="s">
        <v>2229</v>
      </c>
      <c r="S1642" s="37"/>
    </row>
    <row r="1643" spans="1:19" x14ac:dyDescent="0.3">
      <c r="A1643" s="36">
        <v>429</v>
      </c>
      <c r="B1643" s="37" t="s">
        <v>2226</v>
      </c>
      <c r="C1643" s="37" t="s">
        <v>251</v>
      </c>
      <c r="D1643" s="37" t="s">
        <v>21</v>
      </c>
      <c r="E1643" s="37" t="s">
        <v>56</v>
      </c>
      <c r="F1643" s="42">
        <v>45657</v>
      </c>
      <c r="G1643" s="37">
        <v>2024</v>
      </c>
      <c r="H1643" s="37" t="s">
        <v>27</v>
      </c>
      <c r="I1643" s="39" t="s">
        <v>36</v>
      </c>
      <c r="J1643" s="37">
        <v>0.76</v>
      </c>
      <c r="K1643" s="43">
        <v>0.67</v>
      </c>
      <c r="L1643" s="65">
        <f t="shared" si="168"/>
        <v>1.1343283582089552</v>
      </c>
      <c r="M1643" s="65">
        <f t="shared" si="169"/>
        <v>1.1343283582089552</v>
      </c>
      <c r="N1643" s="37" t="s">
        <v>197</v>
      </c>
      <c r="O1643" s="37" t="s">
        <v>197</v>
      </c>
      <c r="P1643" s="40">
        <v>1</v>
      </c>
      <c r="Q1643" s="40">
        <v>1</v>
      </c>
      <c r="R1643" s="37" t="s">
        <v>2230</v>
      </c>
      <c r="S1643" s="37"/>
    </row>
    <row r="1644" spans="1:19" x14ac:dyDescent="0.3">
      <c r="A1644" s="36">
        <v>430</v>
      </c>
      <c r="B1644" s="37" t="s">
        <v>2233</v>
      </c>
      <c r="C1644" s="37" t="s">
        <v>210</v>
      </c>
      <c r="D1644" s="37" t="s">
        <v>21</v>
      </c>
      <c r="E1644" s="37" t="s">
        <v>22</v>
      </c>
      <c r="F1644" s="38">
        <v>45107</v>
      </c>
      <c r="G1644" s="37">
        <v>2023</v>
      </c>
      <c r="H1644" s="37" t="s">
        <v>23</v>
      </c>
      <c r="I1644" s="39" t="s">
        <v>30</v>
      </c>
      <c r="J1644" s="56">
        <v>95</v>
      </c>
      <c r="K1644" s="56">
        <v>104.59563552424</v>
      </c>
      <c r="L1644" s="65">
        <f t="shared" si="168"/>
        <v>1.101006689728842</v>
      </c>
      <c r="M1644" s="65">
        <f t="shared" si="169"/>
        <v>1.101006689728842</v>
      </c>
      <c r="N1644" s="37" t="s">
        <v>25</v>
      </c>
      <c r="O1644" s="37" t="s">
        <v>25</v>
      </c>
      <c r="P1644" s="40">
        <v>0</v>
      </c>
      <c r="Q1644" s="40">
        <v>0</v>
      </c>
      <c r="R1644" s="37" t="s">
        <v>2234</v>
      </c>
      <c r="S1644" s="37"/>
    </row>
    <row r="1645" spans="1:19" x14ac:dyDescent="0.3">
      <c r="A1645" s="41">
        <v>430</v>
      </c>
      <c r="B1645" s="37" t="s">
        <v>2233</v>
      </c>
      <c r="C1645" s="37" t="s">
        <v>210</v>
      </c>
      <c r="D1645" s="37" t="s">
        <v>21</v>
      </c>
      <c r="E1645" s="37" t="s">
        <v>22</v>
      </c>
      <c r="F1645" s="42">
        <v>45291</v>
      </c>
      <c r="G1645" s="37">
        <v>2023</v>
      </c>
      <c r="H1645" s="37" t="s">
        <v>27</v>
      </c>
      <c r="I1645" s="39" t="s">
        <v>32</v>
      </c>
      <c r="J1645" s="56">
        <v>95</v>
      </c>
      <c r="K1645" s="56">
        <v>101.39526345983001</v>
      </c>
      <c r="L1645" s="65">
        <f t="shared" si="168"/>
        <v>1.0673185627350528</v>
      </c>
      <c r="M1645" s="65">
        <f t="shared" si="169"/>
        <v>1.0673185627350528</v>
      </c>
      <c r="N1645" s="37" t="s">
        <v>25</v>
      </c>
      <c r="O1645" s="37" t="s">
        <v>25</v>
      </c>
      <c r="P1645" s="40">
        <v>0</v>
      </c>
      <c r="Q1645" s="40">
        <v>0</v>
      </c>
      <c r="R1645" s="37" t="s">
        <v>2235</v>
      </c>
      <c r="S1645" s="37"/>
    </row>
    <row r="1646" spans="1:19" x14ac:dyDescent="0.3">
      <c r="A1646" s="41">
        <v>430</v>
      </c>
      <c r="B1646" s="37" t="s">
        <v>2233</v>
      </c>
      <c r="C1646" s="37" t="s">
        <v>210</v>
      </c>
      <c r="D1646" s="37" t="s">
        <v>21</v>
      </c>
      <c r="E1646" s="37" t="s">
        <v>22</v>
      </c>
      <c r="F1646" s="42">
        <v>45473</v>
      </c>
      <c r="G1646" s="37">
        <v>2024</v>
      </c>
      <c r="H1646" s="37" t="s">
        <v>23</v>
      </c>
      <c r="I1646" s="39" t="s">
        <v>34</v>
      </c>
      <c r="J1646" s="56">
        <v>95</v>
      </c>
      <c r="K1646" s="59">
        <v>101.88</v>
      </c>
      <c r="L1646" s="65">
        <f t="shared" si="168"/>
        <v>1.0724210526315789</v>
      </c>
      <c r="M1646" s="65">
        <f t="shared" si="169"/>
        <v>1.0724210526315789</v>
      </c>
      <c r="N1646" s="37" t="s">
        <v>25</v>
      </c>
      <c r="O1646" s="37" t="s">
        <v>25</v>
      </c>
      <c r="P1646" s="40">
        <v>0</v>
      </c>
      <c r="Q1646" s="40">
        <v>0</v>
      </c>
      <c r="R1646" s="37" t="s">
        <v>2236</v>
      </c>
      <c r="S1646" s="37"/>
    </row>
    <row r="1647" spans="1:19" x14ac:dyDescent="0.3">
      <c r="A1647" s="36">
        <v>430</v>
      </c>
      <c r="B1647" s="37" t="s">
        <v>2233</v>
      </c>
      <c r="C1647" s="37" t="s">
        <v>210</v>
      </c>
      <c r="D1647" s="37" t="s">
        <v>21</v>
      </c>
      <c r="E1647" s="37" t="s">
        <v>22</v>
      </c>
      <c r="F1647" s="42">
        <v>45657</v>
      </c>
      <c r="G1647" s="37">
        <v>2024</v>
      </c>
      <c r="H1647" s="37" t="s">
        <v>27</v>
      </c>
      <c r="I1647" s="39" t="s">
        <v>36</v>
      </c>
      <c r="J1647" s="37">
        <v>95</v>
      </c>
      <c r="K1647" s="43">
        <v>102.9374919710379</v>
      </c>
      <c r="L1647" s="65">
        <f t="shared" si="168"/>
        <v>1.0835525470635567</v>
      </c>
      <c r="M1647" s="65">
        <f t="shared" si="169"/>
        <v>1.0835525470635567</v>
      </c>
      <c r="N1647" s="37" t="s">
        <v>25</v>
      </c>
      <c r="O1647" s="37" t="s">
        <v>25</v>
      </c>
      <c r="P1647" s="40">
        <v>0</v>
      </c>
      <c r="Q1647" s="40">
        <v>0</v>
      </c>
      <c r="R1647" s="37" t="s">
        <v>2237</v>
      </c>
      <c r="S1647" s="37"/>
    </row>
    <row r="1648" spans="1:19" x14ac:dyDescent="0.3">
      <c r="A1648" s="36">
        <v>431</v>
      </c>
      <c r="B1648" s="37" t="s">
        <v>2240</v>
      </c>
      <c r="C1648" s="37" t="s">
        <v>138</v>
      </c>
      <c r="D1648" s="37" t="s">
        <v>39</v>
      </c>
      <c r="E1648" s="37" t="s">
        <v>22</v>
      </c>
      <c r="F1648" s="42">
        <v>45199</v>
      </c>
      <c r="G1648" s="37">
        <v>2023</v>
      </c>
      <c r="H1648" s="37" t="s">
        <v>43</v>
      </c>
      <c r="I1648" s="39" t="s">
        <v>32</v>
      </c>
      <c r="J1648" s="37">
        <v>43</v>
      </c>
      <c r="K1648" s="56">
        <v>43</v>
      </c>
      <c r="L1648" s="65">
        <f t="shared" si="168"/>
        <v>1</v>
      </c>
      <c r="M1648" s="65">
        <f t="shared" si="169"/>
        <v>1</v>
      </c>
      <c r="N1648" s="37" t="s">
        <v>25</v>
      </c>
      <c r="O1648" s="37" t="s">
        <v>25</v>
      </c>
      <c r="P1648" s="40">
        <v>0</v>
      </c>
      <c r="Q1648" s="40">
        <v>0</v>
      </c>
      <c r="R1648" s="37" t="s">
        <v>2241</v>
      </c>
      <c r="S1648" s="37"/>
    </row>
    <row r="1649" spans="1:19" x14ac:dyDescent="0.3">
      <c r="A1649" s="41">
        <v>431</v>
      </c>
      <c r="B1649" s="37" t="s">
        <v>2240</v>
      </c>
      <c r="C1649" s="37" t="s">
        <v>138</v>
      </c>
      <c r="D1649" s="37" t="s">
        <v>39</v>
      </c>
      <c r="E1649" s="37" t="s">
        <v>22</v>
      </c>
      <c r="F1649" s="42">
        <v>45291</v>
      </c>
      <c r="G1649" s="37">
        <v>2023</v>
      </c>
      <c r="H1649" s="37" t="s">
        <v>27</v>
      </c>
      <c r="I1649" s="39" t="s">
        <v>32</v>
      </c>
      <c r="J1649" s="37">
        <v>46</v>
      </c>
      <c r="K1649" s="56">
        <v>46</v>
      </c>
      <c r="L1649" s="65">
        <f t="shared" si="168"/>
        <v>1</v>
      </c>
      <c r="M1649" s="65">
        <f t="shared" si="169"/>
        <v>1</v>
      </c>
      <c r="N1649" s="37" t="s">
        <v>25</v>
      </c>
      <c r="O1649" s="37" t="s">
        <v>25</v>
      </c>
      <c r="P1649" s="40">
        <v>0</v>
      </c>
      <c r="Q1649" s="40">
        <v>0</v>
      </c>
      <c r="R1649" s="37" t="s">
        <v>2242</v>
      </c>
      <c r="S1649" s="37"/>
    </row>
    <row r="1650" spans="1:19" x14ac:dyDescent="0.3">
      <c r="A1650" s="36">
        <v>431</v>
      </c>
      <c r="B1650" s="37" t="s">
        <v>2240</v>
      </c>
      <c r="C1650" s="37" t="s">
        <v>138</v>
      </c>
      <c r="D1650" s="37" t="s">
        <v>39</v>
      </c>
      <c r="E1650" s="37" t="s">
        <v>22</v>
      </c>
      <c r="F1650" s="42">
        <v>45382</v>
      </c>
      <c r="G1650" s="37">
        <v>2024</v>
      </c>
      <c r="H1650" s="37" t="s">
        <v>40</v>
      </c>
      <c r="I1650" s="39" t="s">
        <v>34</v>
      </c>
      <c r="J1650" s="37">
        <v>53</v>
      </c>
      <c r="K1650" s="43">
        <v>53</v>
      </c>
      <c r="L1650" s="65">
        <f t="shared" si="168"/>
        <v>1</v>
      </c>
      <c r="M1650" s="65">
        <f t="shared" si="169"/>
        <v>1</v>
      </c>
      <c r="N1650" s="37" t="s">
        <v>25</v>
      </c>
      <c r="O1650" s="37" t="s">
        <v>25</v>
      </c>
      <c r="P1650" s="40">
        <v>0</v>
      </c>
      <c r="Q1650" s="40">
        <v>0</v>
      </c>
      <c r="R1650" s="37" t="s">
        <v>2243</v>
      </c>
      <c r="S1650" s="37"/>
    </row>
    <row r="1651" spans="1:19" x14ac:dyDescent="0.3">
      <c r="A1651" s="37">
        <v>431</v>
      </c>
      <c r="B1651" s="37" t="s">
        <v>2240</v>
      </c>
      <c r="C1651" s="37" t="s">
        <v>138</v>
      </c>
      <c r="D1651" s="37" t="s">
        <v>39</v>
      </c>
      <c r="E1651" s="37" t="s">
        <v>22</v>
      </c>
      <c r="F1651" s="42">
        <v>45473</v>
      </c>
      <c r="G1651" s="37">
        <v>2024</v>
      </c>
      <c r="H1651" s="37" t="s">
        <v>23</v>
      </c>
      <c r="I1651" s="39" t="s">
        <v>34</v>
      </c>
      <c r="J1651" s="37">
        <v>12</v>
      </c>
      <c r="K1651" s="37">
        <v>12</v>
      </c>
      <c r="L1651" s="65">
        <f t="shared" si="168"/>
        <v>1</v>
      </c>
      <c r="M1651" s="65">
        <f t="shared" si="169"/>
        <v>1</v>
      </c>
      <c r="N1651" s="37" t="s">
        <v>25</v>
      </c>
      <c r="O1651" s="37" t="s">
        <v>25</v>
      </c>
      <c r="P1651" s="37">
        <v>0</v>
      </c>
      <c r="Q1651" s="37">
        <v>0</v>
      </c>
      <c r="R1651" s="37" t="s">
        <v>2244</v>
      </c>
      <c r="S1651" s="37"/>
    </row>
    <row r="1652" spans="1:19" x14ac:dyDescent="0.3">
      <c r="A1652" s="36">
        <v>431</v>
      </c>
      <c r="B1652" s="37" t="s">
        <v>2240</v>
      </c>
      <c r="C1652" s="37" t="s">
        <v>138</v>
      </c>
      <c r="D1652" s="37" t="s">
        <v>39</v>
      </c>
      <c r="E1652" s="37" t="s">
        <v>22</v>
      </c>
      <c r="F1652" s="42">
        <v>45565</v>
      </c>
      <c r="G1652" s="37">
        <v>2024</v>
      </c>
      <c r="H1652" s="37" t="s">
        <v>43</v>
      </c>
      <c r="I1652" s="39" t="s">
        <v>36</v>
      </c>
      <c r="J1652" s="37">
        <v>8</v>
      </c>
      <c r="K1652" s="43">
        <v>8</v>
      </c>
      <c r="L1652" s="65">
        <f t="shared" si="168"/>
        <v>1</v>
      </c>
      <c r="M1652" s="65">
        <f t="shared" si="169"/>
        <v>1</v>
      </c>
      <c r="N1652" s="37" t="s">
        <v>25</v>
      </c>
      <c r="O1652" s="37" t="s">
        <v>25</v>
      </c>
      <c r="P1652" s="40">
        <v>0</v>
      </c>
      <c r="Q1652" s="40">
        <v>0</v>
      </c>
      <c r="R1652" s="37" t="s">
        <v>2245</v>
      </c>
      <c r="S1652" s="37"/>
    </row>
    <row r="1653" spans="1:19" x14ac:dyDescent="0.3">
      <c r="A1653" s="36">
        <v>431</v>
      </c>
      <c r="B1653" s="37" t="s">
        <v>2240</v>
      </c>
      <c r="C1653" s="37" t="s">
        <v>138</v>
      </c>
      <c r="D1653" s="37" t="s">
        <v>39</v>
      </c>
      <c r="E1653" s="37" t="s">
        <v>22</v>
      </c>
      <c r="F1653" s="42">
        <v>45657</v>
      </c>
      <c r="G1653" s="37">
        <v>2024</v>
      </c>
      <c r="H1653" s="37" t="s">
        <v>27</v>
      </c>
      <c r="I1653" s="39" t="s">
        <v>36</v>
      </c>
      <c r="J1653" s="37">
        <v>41</v>
      </c>
      <c r="K1653" s="43">
        <v>41</v>
      </c>
      <c r="L1653" s="65">
        <f t="shared" si="168"/>
        <v>1</v>
      </c>
      <c r="M1653" s="65">
        <f t="shared" si="169"/>
        <v>1</v>
      </c>
      <c r="N1653" s="37" t="s">
        <v>25</v>
      </c>
      <c r="O1653" s="37" t="s">
        <v>25</v>
      </c>
      <c r="P1653" s="40">
        <v>0</v>
      </c>
      <c r="Q1653" s="40">
        <v>0</v>
      </c>
      <c r="R1653" s="37" t="s">
        <v>2246</v>
      </c>
      <c r="S1653" s="37"/>
    </row>
    <row r="1654" spans="1:19" x14ac:dyDescent="0.3">
      <c r="A1654" s="37">
        <v>432</v>
      </c>
      <c r="B1654" s="37" t="s">
        <v>2247</v>
      </c>
      <c r="C1654" s="37" t="s">
        <v>138</v>
      </c>
      <c r="D1654" s="37" t="s">
        <v>39</v>
      </c>
      <c r="E1654" s="37" t="s">
        <v>22</v>
      </c>
      <c r="F1654" s="42">
        <v>45016</v>
      </c>
      <c r="G1654" s="37">
        <v>2023</v>
      </c>
      <c r="H1654" s="37" t="s">
        <v>40</v>
      </c>
      <c r="I1654" s="37" t="s">
        <v>30</v>
      </c>
      <c r="J1654" s="37"/>
      <c r="K1654" s="37"/>
      <c r="L1654" s="65"/>
      <c r="M1654" s="65"/>
      <c r="N1654" s="37" t="s">
        <v>25</v>
      </c>
      <c r="O1654" s="37" t="s">
        <v>223</v>
      </c>
      <c r="P1654" s="37">
        <v>0</v>
      </c>
      <c r="Q1654" s="37">
        <v>0</v>
      </c>
      <c r="R1654" s="37" t="s">
        <v>2248</v>
      </c>
      <c r="S1654" s="37" t="s">
        <v>223</v>
      </c>
    </row>
    <row r="1655" spans="1:19" x14ac:dyDescent="0.3">
      <c r="A1655" s="37">
        <v>432</v>
      </c>
      <c r="B1655" s="37" t="s">
        <v>2247</v>
      </c>
      <c r="C1655" s="37" t="s">
        <v>138</v>
      </c>
      <c r="D1655" s="37" t="s">
        <v>39</v>
      </c>
      <c r="E1655" s="37" t="s">
        <v>22</v>
      </c>
      <c r="F1655" s="42">
        <v>45107</v>
      </c>
      <c r="G1655" s="37">
        <v>2023</v>
      </c>
      <c r="H1655" s="37" t="s">
        <v>23</v>
      </c>
      <c r="I1655" s="37" t="s">
        <v>30</v>
      </c>
      <c r="J1655" s="37"/>
      <c r="K1655" s="37"/>
      <c r="L1655" s="65"/>
      <c r="M1655" s="65"/>
      <c r="N1655" s="37" t="s">
        <v>25</v>
      </c>
      <c r="O1655" s="37" t="s">
        <v>223</v>
      </c>
      <c r="P1655" s="37">
        <v>0</v>
      </c>
      <c r="Q1655" s="37">
        <v>0</v>
      </c>
      <c r="R1655" s="37" t="s">
        <v>2249</v>
      </c>
      <c r="S1655" s="37" t="s">
        <v>223</v>
      </c>
    </row>
    <row r="1656" spans="1:19" x14ac:dyDescent="0.3">
      <c r="A1656" s="45">
        <v>432</v>
      </c>
      <c r="B1656" s="37" t="s">
        <v>2247</v>
      </c>
      <c r="C1656" s="37" t="s">
        <v>138</v>
      </c>
      <c r="D1656" s="37" t="s">
        <v>39</v>
      </c>
      <c r="E1656" s="37" t="s">
        <v>22</v>
      </c>
      <c r="F1656" s="42">
        <v>45199</v>
      </c>
      <c r="G1656" s="37">
        <v>2023</v>
      </c>
      <c r="H1656" s="37" t="s">
        <v>43</v>
      </c>
      <c r="I1656" s="39" t="s">
        <v>32</v>
      </c>
      <c r="J1656" s="37">
        <v>90</v>
      </c>
      <c r="K1656" s="56">
        <v>100</v>
      </c>
      <c r="L1656" s="65">
        <f t="shared" ref="L1656:L1680" si="170">IFERROR(IF(OR(J1656=0,K1656=""),"",IF(E1656="Positivo",MIN(MAX(K1656/J1656,0),1.3),MIN(MAX(J1656/K1656,0),1.3))),"")</f>
        <v>1.1111111111111112</v>
      </c>
      <c r="M1656" s="65">
        <f t="shared" ref="M1656:M1680" si="171">IFERROR(IF(OR(J1656=0,K1656=""),"",IF(E1656="Positivo",MAX(K1656/J1656,0),MAX(J1656/K1656,0))),"")</f>
        <v>1.1111111111111112</v>
      </c>
      <c r="N1656" s="37" t="s">
        <v>25</v>
      </c>
      <c r="O1656" s="37" t="s">
        <v>25</v>
      </c>
      <c r="P1656" s="40">
        <v>0</v>
      </c>
      <c r="Q1656" s="40">
        <v>0</v>
      </c>
      <c r="R1656" s="37" t="s">
        <v>2250</v>
      </c>
      <c r="S1656" s="37"/>
    </row>
    <row r="1657" spans="1:19" x14ac:dyDescent="0.3">
      <c r="A1657" s="41">
        <v>432</v>
      </c>
      <c r="B1657" s="37" t="s">
        <v>2247</v>
      </c>
      <c r="C1657" s="37" t="s">
        <v>138</v>
      </c>
      <c r="D1657" s="37" t="s">
        <v>39</v>
      </c>
      <c r="E1657" s="37" t="s">
        <v>22</v>
      </c>
      <c r="F1657" s="42">
        <v>45291</v>
      </c>
      <c r="G1657" s="37">
        <v>2023</v>
      </c>
      <c r="H1657" s="37" t="s">
        <v>27</v>
      </c>
      <c r="I1657" s="39" t="s">
        <v>32</v>
      </c>
      <c r="J1657" s="37">
        <v>90</v>
      </c>
      <c r="K1657" s="56">
        <v>98.765555555556006</v>
      </c>
      <c r="L1657" s="65">
        <f t="shared" si="170"/>
        <v>1.0973950617284001</v>
      </c>
      <c r="M1657" s="65">
        <f t="shared" si="171"/>
        <v>1.0973950617284001</v>
      </c>
      <c r="N1657" s="37" t="s">
        <v>25</v>
      </c>
      <c r="O1657" s="37" t="s">
        <v>25</v>
      </c>
      <c r="P1657" s="40">
        <v>0</v>
      </c>
      <c r="Q1657" s="40">
        <v>0</v>
      </c>
      <c r="R1657" s="37" t="s">
        <v>2251</v>
      </c>
      <c r="S1657" s="37"/>
    </row>
    <row r="1658" spans="1:19" x14ac:dyDescent="0.3">
      <c r="A1658" s="36">
        <v>432</v>
      </c>
      <c r="B1658" s="37" t="s">
        <v>2247</v>
      </c>
      <c r="C1658" s="37" t="s">
        <v>138</v>
      </c>
      <c r="D1658" s="37" t="s">
        <v>39</v>
      </c>
      <c r="E1658" s="37" t="s">
        <v>22</v>
      </c>
      <c r="F1658" s="42">
        <v>45382</v>
      </c>
      <c r="G1658" s="37">
        <v>2024</v>
      </c>
      <c r="H1658" s="37" t="s">
        <v>40</v>
      </c>
      <c r="I1658" s="39" t="s">
        <v>34</v>
      </c>
      <c r="J1658" s="37">
        <v>90</v>
      </c>
      <c r="K1658" s="43">
        <v>100</v>
      </c>
      <c r="L1658" s="65">
        <f t="shared" si="170"/>
        <v>1.1111111111111112</v>
      </c>
      <c r="M1658" s="65">
        <f t="shared" si="171"/>
        <v>1.1111111111111112</v>
      </c>
      <c r="N1658" s="37" t="s">
        <v>25</v>
      </c>
      <c r="O1658" s="37" t="s">
        <v>25</v>
      </c>
      <c r="P1658" s="40">
        <v>0</v>
      </c>
      <c r="Q1658" s="40">
        <v>0</v>
      </c>
      <c r="R1658" s="37" t="s">
        <v>2252</v>
      </c>
      <c r="S1658" s="37"/>
    </row>
    <row r="1659" spans="1:19" x14ac:dyDescent="0.3">
      <c r="A1659" s="37">
        <v>432</v>
      </c>
      <c r="B1659" s="37" t="s">
        <v>2247</v>
      </c>
      <c r="C1659" s="37" t="s">
        <v>138</v>
      </c>
      <c r="D1659" s="37" t="s">
        <v>39</v>
      </c>
      <c r="E1659" s="37" t="s">
        <v>22</v>
      </c>
      <c r="F1659" s="42">
        <v>45473</v>
      </c>
      <c r="G1659" s="37">
        <v>2024</v>
      </c>
      <c r="H1659" s="37" t="s">
        <v>23</v>
      </c>
      <c r="I1659" s="39" t="s">
        <v>34</v>
      </c>
      <c r="J1659" s="37">
        <v>90</v>
      </c>
      <c r="K1659" s="37">
        <v>100</v>
      </c>
      <c r="L1659" s="65">
        <f t="shared" si="170"/>
        <v>1.1111111111111112</v>
      </c>
      <c r="M1659" s="65">
        <f t="shared" si="171"/>
        <v>1.1111111111111112</v>
      </c>
      <c r="N1659" s="37" t="s">
        <v>25</v>
      </c>
      <c r="O1659" s="37" t="s">
        <v>25</v>
      </c>
      <c r="P1659" s="37">
        <v>0</v>
      </c>
      <c r="Q1659" s="37">
        <v>0</v>
      </c>
      <c r="R1659" s="37" t="s">
        <v>2253</v>
      </c>
      <c r="S1659" s="37"/>
    </row>
    <row r="1660" spans="1:19" x14ac:dyDescent="0.3">
      <c r="A1660" s="36">
        <v>432</v>
      </c>
      <c r="B1660" s="37" t="s">
        <v>2247</v>
      </c>
      <c r="C1660" s="37" t="s">
        <v>138</v>
      </c>
      <c r="D1660" s="37" t="s">
        <v>39</v>
      </c>
      <c r="E1660" s="37" t="s">
        <v>22</v>
      </c>
      <c r="F1660" s="42">
        <v>45565</v>
      </c>
      <c r="G1660" s="37">
        <v>2024</v>
      </c>
      <c r="H1660" s="37" t="s">
        <v>43</v>
      </c>
      <c r="I1660" s="39" t="s">
        <v>36</v>
      </c>
      <c r="J1660" s="37">
        <v>90</v>
      </c>
      <c r="K1660" s="43">
        <v>0</v>
      </c>
      <c r="L1660" s="65">
        <f t="shared" si="170"/>
        <v>0</v>
      </c>
      <c r="M1660" s="65">
        <f t="shared" si="171"/>
        <v>0</v>
      </c>
      <c r="N1660" s="37" t="s">
        <v>25</v>
      </c>
      <c r="O1660" s="37" t="s">
        <v>25</v>
      </c>
      <c r="P1660" s="40">
        <v>0</v>
      </c>
      <c r="Q1660" s="40">
        <v>0</v>
      </c>
      <c r="R1660" s="37" t="s">
        <v>2254</v>
      </c>
      <c r="S1660" s="37"/>
    </row>
    <row r="1661" spans="1:19" x14ac:dyDescent="0.3">
      <c r="A1661" s="36">
        <v>432</v>
      </c>
      <c r="B1661" s="37" t="s">
        <v>2247</v>
      </c>
      <c r="C1661" s="37" t="s">
        <v>138</v>
      </c>
      <c r="D1661" s="37" t="s">
        <v>39</v>
      </c>
      <c r="E1661" s="37" t="s">
        <v>22</v>
      </c>
      <c r="F1661" s="42">
        <v>45657</v>
      </c>
      <c r="G1661" s="37">
        <v>2024</v>
      </c>
      <c r="H1661" s="37" t="s">
        <v>27</v>
      </c>
      <c r="I1661" s="39" t="s">
        <v>36</v>
      </c>
      <c r="J1661" s="37">
        <v>90</v>
      </c>
      <c r="K1661" s="43">
        <v>100</v>
      </c>
      <c r="L1661" s="65">
        <f t="shared" si="170"/>
        <v>1.1111111111111112</v>
      </c>
      <c r="M1661" s="65">
        <f t="shared" si="171"/>
        <v>1.1111111111111112</v>
      </c>
      <c r="N1661" s="37" t="s">
        <v>25</v>
      </c>
      <c r="O1661" s="37" t="s">
        <v>25</v>
      </c>
      <c r="P1661" s="40">
        <v>0</v>
      </c>
      <c r="Q1661" s="40">
        <v>0</v>
      </c>
      <c r="R1661" s="37" t="s">
        <v>2255</v>
      </c>
      <c r="S1661" s="37"/>
    </row>
    <row r="1662" spans="1:19" x14ac:dyDescent="0.3">
      <c r="A1662" s="36">
        <v>433</v>
      </c>
      <c r="B1662" s="37" t="s">
        <v>2260</v>
      </c>
      <c r="C1662" s="37" t="s">
        <v>251</v>
      </c>
      <c r="D1662" s="37" t="s">
        <v>21</v>
      </c>
      <c r="E1662" s="37" t="s">
        <v>56</v>
      </c>
      <c r="F1662" s="42">
        <v>45107</v>
      </c>
      <c r="G1662" s="37">
        <v>2023</v>
      </c>
      <c r="H1662" s="37" t="s">
        <v>23</v>
      </c>
      <c r="I1662" s="39" t="s">
        <v>30</v>
      </c>
      <c r="J1662" s="37">
        <v>0.05</v>
      </c>
      <c r="K1662" s="59">
        <v>0.02</v>
      </c>
      <c r="L1662" s="65">
        <f t="shared" si="170"/>
        <v>1.3</v>
      </c>
      <c r="M1662" s="65">
        <f t="shared" si="171"/>
        <v>2.5</v>
      </c>
      <c r="N1662" s="37" t="s">
        <v>197</v>
      </c>
      <c r="O1662" s="37" t="s">
        <v>197</v>
      </c>
      <c r="P1662" s="40">
        <v>1</v>
      </c>
      <c r="Q1662" s="40">
        <v>2</v>
      </c>
      <c r="R1662" s="37" t="s">
        <v>2261</v>
      </c>
      <c r="S1662" s="37"/>
    </row>
    <row r="1663" spans="1:19" x14ac:dyDescent="0.3">
      <c r="A1663" s="41">
        <v>433</v>
      </c>
      <c r="B1663" s="37" t="s">
        <v>2260</v>
      </c>
      <c r="C1663" s="37" t="s">
        <v>251</v>
      </c>
      <c r="D1663" s="37" t="s">
        <v>21</v>
      </c>
      <c r="E1663" s="37" t="s">
        <v>56</v>
      </c>
      <c r="F1663" s="42">
        <v>45291</v>
      </c>
      <c r="G1663" s="37">
        <v>2023</v>
      </c>
      <c r="H1663" s="37" t="s">
        <v>27</v>
      </c>
      <c r="I1663" s="39" t="s">
        <v>32</v>
      </c>
      <c r="J1663" s="37">
        <v>0.05</v>
      </c>
      <c r="K1663" s="59">
        <v>0.05</v>
      </c>
      <c r="L1663" s="65">
        <f t="shared" si="170"/>
        <v>1</v>
      </c>
      <c r="M1663" s="65">
        <f t="shared" si="171"/>
        <v>1</v>
      </c>
      <c r="N1663" s="37" t="s">
        <v>197</v>
      </c>
      <c r="O1663" s="37" t="s">
        <v>197</v>
      </c>
      <c r="P1663" s="40">
        <v>0</v>
      </c>
      <c r="Q1663" s="40">
        <v>0</v>
      </c>
      <c r="R1663" s="37" t="s">
        <v>2262</v>
      </c>
      <c r="S1663" s="37"/>
    </row>
    <row r="1664" spans="1:19" x14ac:dyDescent="0.3">
      <c r="A1664" s="37">
        <v>433</v>
      </c>
      <c r="B1664" s="37" t="s">
        <v>2260</v>
      </c>
      <c r="C1664" s="37" t="s">
        <v>251</v>
      </c>
      <c r="D1664" s="37" t="s">
        <v>21</v>
      </c>
      <c r="E1664" s="37" t="s">
        <v>56</v>
      </c>
      <c r="F1664" s="42">
        <v>45473</v>
      </c>
      <c r="G1664" s="37">
        <v>2024</v>
      </c>
      <c r="H1664" s="37" t="s">
        <v>23</v>
      </c>
      <c r="I1664" s="39" t="s">
        <v>34</v>
      </c>
      <c r="J1664" s="37">
        <v>0.05</v>
      </c>
      <c r="K1664" s="37">
        <v>7.0000000000000007E-2</v>
      </c>
      <c r="L1664" s="65">
        <f t="shared" si="170"/>
        <v>0.7142857142857143</v>
      </c>
      <c r="M1664" s="65">
        <f t="shared" si="171"/>
        <v>0.7142857142857143</v>
      </c>
      <c r="N1664" s="37" t="s">
        <v>197</v>
      </c>
      <c r="O1664" s="37" t="s">
        <v>197</v>
      </c>
      <c r="P1664" s="37">
        <v>2</v>
      </c>
      <c r="Q1664" s="37">
        <v>2</v>
      </c>
      <c r="R1664" s="37" t="s">
        <v>2263</v>
      </c>
      <c r="S1664" s="37"/>
    </row>
    <row r="1665" spans="1:19" x14ac:dyDescent="0.3">
      <c r="A1665" s="36">
        <v>433</v>
      </c>
      <c r="B1665" s="37" t="s">
        <v>2260</v>
      </c>
      <c r="C1665" s="37" t="s">
        <v>251</v>
      </c>
      <c r="D1665" s="37" t="s">
        <v>21</v>
      </c>
      <c r="E1665" s="37" t="s">
        <v>56</v>
      </c>
      <c r="F1665" s="42">
        <v>45657</v>
      </c>
      <c r="G1665" s="37">
        <v>2024</v>
      </c>
      <c r="H1665" s="37" t="s">
        <v>27</v>
      </c>
      <c r="I1665" s="39" t="s">
        <v>36</v>
      </c>
      <c r="J1665" s="37">
        <v>0.05</v>
      </c>
      <c r="K1665" s="43">
        <v>0.14000000000000001</v>
      </c>
      <c r="L1665" s="65">
        <f t="shared" si="170"/>
        <v>0.35714285714285715</v>
      </c>
      <c r="M1665" s="65">
        <f t="shared" si="171"/>
        <v>0.35714285714285715</v>
      </c>
      <c r="N1665" s="37" t="s">
        <v>197</v>
      </c>
      <c r="O1665" s="37" t="s">
        <v>197</v>
      </c>
      <c r="P1665" s="40">
        <v>2</v>
      </c>
      <c r="Q1665" s="40">
        <v>2</v>
      </c>
      <c r="R1665" s="37" t="s">
        <v>2264</v>
      </c>
      <c r="S1665" s="37"/>
    </row>
    <row r="1666" spans="1:19" x14ac:dyDescent="0.3">
      <c r="A1666" s="37">
        <v>434</v>
      </c>
      <c r="B1666" s="37" t="s">
        <v>2267</v>
      </c>
      <c r="C1666" s="37" t="s">
        <v>251</v>
      </c>
      <c r="D1666" s="37" t="s">
        <v>73</v>
      </c>
      <c r="E1666" s="37" t="s">
        <v>56</v>
      </c>
      <c r="F1666" s="42">
        <v>44957</v>
      </c>
      <c r="G1666" s="37">
        <v>2023</v>
      </c>
      <c r="H1666" s="37" t="s">
        <v>74</v>
      </c>
      <c r="I1666" s="37" t="s">
        <v>30</v>
      </c>
      <c r="J1666" s="37">
        <v>200</v>
      </c>
      <c r="K1666" s="37">
        <v>7</v>
      </c>
      <c r="L1666" s="65">
        <f t="shared" si="170"/>
        <v>1.3</v>
      </c>
      <c r="M1666" s="65">
        <f t="shared" si="171"/>
        <v>28.571428571428573</v>
      </c>
      <c r="N1666" s="37" t="s">
        <v>775</v>
      </c>
      <c r="O1666" s="37" t="s">
        <v>775</v>
      </c>
      <c r="P1666" s="37">
        <v>0</v>
      </c>
      <c r="Q1666" s="37">
        <v>0</v>
      </c>
      <c r="R1666" s="37" t="s">
        <v>2268</v>
      </c>
      <c r="S1666" s="37"/>
    </row>
    <row r="1667" spans="1:19" x14ac:dyDescent="0.3">
      <c r="A1667" s="37">
        <v>434</v>
      </c>
      <c r="B1667" s="37" t="s">
        <v>2267</v>
      </c>
      <c r="C1667" s="37" t="s">
        <v>251</v>
      </c>
      <c r="D1667" s="37" t="s">
        <v>73</v>
      </c>
      <c r="E1667" s="37" t="s">
        <v>56</v>
      </c>
      <c r="F1667" s="42">
        <v>44985</v>
      </c>
      <c r="G1667" s="37">
        <v>2023</v>
      </c>
      <c r="H1667" s="37" t="s">
        <v>76</v>
      </c>
      <c r="I1667" s="37" t="s">
        <v>30</v>
      </c>
      <c r="J1667" s="37">
        <v>200</v>
      </c>
      <c r="K1667" s="37">
        <v>0</v>
      </c>
      <c r="L1667" s="65" t="str">
        <f t="shared" si="170"/>
        <v/>
      </c>
      <c r="M1667" s="65" t="str">
        <f t="shared" si="171"/>
        <v/>
      </c>
      <c r="N1667" s="37" t="s">
        <v>775</v>
      </c>
      <c r="O1667" s="37" t="s">
        <v>775</v>
      </c>
      <c r="P1667" s="37">
        <v>0</v>
      </c>
      <c r="Q1667" s="37">
        <v>0</v>
      </c>
      <c r="R1667" s="37" t="s">
        <v>2269</v>
      </c>
      <c r="S1667" s="37"/>
    </row>
    <row r="1668" spans="1:19" x14ac:dyDescent="0.3">
      <c r="A1668" s="37">
        <v>434</v>
      </c>
      <c r="B1668" s="37" t="s">
        <v>2267</v>
      </c>
      <c r="C1668" s="37" t="s">
        <v>251</v>
      </c>
      <c r="D1668" s="37" t="s">
        <v>73</v>
      </c>
      <c r="E1668" s="37" t="s">
        <v>56</v>
      </c>
      <c r="F1668" s="42">
        <v>45016</v>
      </c>
      <c r="G1668" s="37">
        <v>2023</v>
      </c>
      <c r="H1668" s="37" t="s">
        <v>40</v>
      </c>
      <c r="I1668" s="37" t="s">
        <v>30</v>
      </c>
      <c r="J1668" s="37">
        <v>200</v>
      </c>
      <c r="K1668" s="37">
        <v>1</v>
      </c>
      <c r="L1668" s="65">
        <f t="shared" si="170"/>
        <v>1.3</v>
      </c>
      <c r="M1668" s="65">
        <f t="shared" si="171"/>
        <v>200</v>
      </c>
      <c r="N1668" s="37" t="s">
        <v>775</v>
      </c>
      <c r="O1668" s="37" t="s">
        <v>775</v>
      </c>
      <c r="P1668" s="37">
        <v>0</v>
      </c>
      <c r="Q1668" s="37">
        <v>0</v>
      </c>
      <c r="R1668" s="37" t="s">
        <v>2270</v>
      </c>
      <c r="S1668" s="37"/>
    </row>
    <row r="1669" spans="1:19" x14ac:dyDescent="0.3">
      <c r="A1669" s="37">
        <v>434</v>
      </c>
      <c r="B1669" s="37" t="s">
        <v>2267</v>
      </c>
      <c r="C1669" s="37" t="s">
        <v>251</v>
      </c>
      <c r="D1669" s="37" t="s">
        <v>73</v>
      </c>
      <c r="E1669" s="37" t="s">
        <v>56</v>
      </c>
      <c r="F1669" s="42">
        <v>45046</v>
      </c>
      <c r="G1669" s="37">
        <v>2023</v>
      </c>
      <c r="H1669" s="37" t="s">
        <v>79</v>
      </c>
      <c r="I1669" s="37" t="s">
        <v>30</v>
      </c>
      <c r="J1669" s="37">
        <v>200</v>
      </c>
      <c r="K1669" s="37">
        <v>0.8</v>
      </c>
      <c r="L1669" s="65">
        <f t="shared" si="170"/>
        <v>1.3</v>
      </c>
      <c r="M1669" s="65">
        <f t="shared" si="171"/>
        <v>250</v>
      </c>
      <c r="N1669" s="37" t="s">
        <v>775</v>
      </c>
      <c r="O1669" s="37" t="s">
        <v>775</v>
      </c>
      <c r="P1669" s="37">
        <v>0</v>
      </c>
      <c r="Q1669" s="37">
        <v>0</v>
      </c>
      <c r="R1669" s="37" t="s">
        <v>2271</v>
      </c>
      <c r="S1669" s="37"/>
    </row>
    <row r="1670" spans="1:19" x14ac:dyDescent="0.3">
      <c r="A1670" s="37">
        <v>434</v>
      </c>
      <c r="B1670" s="37" t="s">
        <v>2267</v>
      </c>
      <c r="C1670" s="37" t="s">
        <v>251</v>
      </c>
      <c r="D1670" s="37" t="s">
        <v>73</v>
      </c>
      <c r="E1670" s="37" t="s">
        <v>56</v>
      </c>
      <c r="F1670" s="42">
        <v>45077</v>
      </c>
      <c r="G1670" s="37">
        <v>2023</v>
      </c>
      <c r="H1670" s="37" t="s">
        <v>81</v>
      </c>
      <c r="I1670" s="37" t="s">
        <v>30</v>
      </c>
      <c r="J1670" s="37">
        <v>200</v>
      </c>
      <c r="K1670" s="37">
        <v>4.5999999999999996</v>
      </c>
      <c r="L1670" s="65">
        <f t="shared" si="170"/>
        <v>1.3</v>
      </c>
      <c r="M1670" s="65">
        <f t="shared" si="171"/>
        <v>43.478260869565219</v>
      </c>
      <c r="N1670" s="37" t="s">
        <v>775</v>
      </c>
      <c r="O1670" s="37" t="s">
        <v>775</v>
      </c>
      <c r="P1670" s="37">
        <v>0</v>
      </c>
      <c r="Q1670" s="37">
        <v>0</v>
      </c>
      <c r="R1670" s="37" t="s">
        <v>2272</v>
      </c>
      <c r="S1670" s="37"/>
    </row>
    <row r="1671" spans="1:19" x14ac:dyDescent="0.3">
      <c r="A1671" s="37">
        <v>434</v>
      </c>
      <c r="B1671" s="37" t="s">
        <v>2267</v>
      </c>
      <c r="C1671" s="37" t="s">
        <v>251</v>
      </c>
      <c r="D1671" s="37" t="s">
        <v>73</v>
      </c>
      <c r="E1671" s="37" t="s">
        <v>56</v>
      </c>
      <c r="F1671" s="42">
        <v>45107</v>
      </c>
      <c r="G1671" s="37">
        <v>2023</v>
      </c>
      <c r="H1671" s="37" t="s">
        <v>23</v>
      </c>
      <c r="I1671" s="37" t="s">
        <v>30</v>
      </c>
      <c r="J1671" s="37">
        <v>200</v>
      </c>
      <c r="K1671" s="37">
        <v>5.0999999999999996</v>
      </c>
      <c r="L1671" s="65">
        <f t="shared" si="170"/>
        <v>1.3</v>
      </c>
      <c r="M1671" s="65">
        <f t="shared" si="171"/>
        <v>39.215686274509807</v>
      </c>
      <c r="N1671" s="37" t="s">
        <v>775</v>
      </c>
      <c r="O1671" s="37" t="s">
        <v>775</v>
      </c>
      <c r="P1671" s="37">
        <v>0</v>
      </c>
      <c r="Q1671" s="37">
        <v>0</v>
      </c>
      <c r="R1671" s="37" t="s">
        <v>2273</v>
      </c>
      <c r="S1671" s="37"/>
    </row>
    <row r="1672" spans="1:19" x14ac:dyDescent="0.3">
      <c r="A1672" s="37">
        <v>434</v>
      </c>
      <c r="B1672" s="37" t="s">
        <v>2267</v>
      </c>
      <c r="C1672" s="37" t="s">
        <v>251</v>
      </c>
      <c r="D1672" s="37" t="s">
        <v>73</v>
      </c>
      <c r="E1672" s="37" t="s">
        <v>56</v>
      </c>
      <c r="F1672" s="42">
        <v>45138</v>
      </c>
      <c r="G1672" s="37">
        <v>2023</v>
      </c>
      <c r="H1672" s="37" t="s">
        <v>84</v>
      </c>
      <c r="I1672" s="37" t="s">
        <v>32</v>
      </c>
      <c r="J1672" s="37">
        <v>200</v>
      </c>
      <c r="K1672" s="37">
        <v>18.899999999999999</v>
      </c>
      <c r="L1672" s="65">
        <f t="shared" si="170"/>
        <v>1.3</v>
      </c>
      <c r="M1672" s="65">
        <f t="shared" si="171"/>
        <v>10.582010582010582</v>
      </c>
      <c r="N1672" s="37" t="s">
        <v>775</v>
      </c>
      <c r="O1672" s="37" t="s">
        <v>775</v>
      </c>
      <c r="P1672" s="37">
        <v>0</v>
      </c>
      <c r="Q1672" s="37">
        <v>0</v>
      </c>
      <c r="R1672" s="37" t="s">
        <v>2274</v>
      </c>
      <c r="S1672" s="37"/>
    </row>
    <row r="1673" spans="1:19" x14ac:dyDescent="0.3">
      <c r="A1673" s="37">
        <v>434</v>
      </c>
      <c r="B1673" s="37" t="s">
        <v>2267</v>
      </c>
      <c r="C1673" s="37" t="s">
        <v>251</v>
      </c>
      <c r="D1673" s="37" t="s">
        <v>73</v>
      </c>
      <c r="E1673" s="37" t="s">
        <v>56</v>
      </c>
      <c r="F1673" s="42">
        <v>45169</v>
      </c>
      <c r="G1673" s="37">
        <v>2023</v>
      </c>
      <c r="H1673" s="37" t="s">
        <v>86</v>
      </c>
      <c r="I1673" s="37" t="s">
        <v>32</v>
      </c>
      <c r="J1673" s="37">
        <v>200</v>
      </c>
      <c r="K1673" s="37">
        <v>20.9</v>
      </c>
      <c r="L1673" s="65">
        <f t="shared" si="170"/>
        <v>1.3</v>
      </c>
      <c r="M1673" s="65">
        <f t="shared" si="171"/>
        <v>9.5693779904306222</v>
      </c>
      <c r="N1673" s="37" t="s">
        <v>775</v>
      </c>
      <c r="O1673" s="37" t="s">
        <v>775</v>
      </c>
      <c r="P1673" s="37">
        <v>0</v>
      </c>
      <c r="Q1673" s="37">
        <v>0</v>
      </c>
      <c r="R1673" s="37" t="s">
        <v>2275</v>
      </c>
      <c r="S1673" s="37"/>
    </row>
    <row r="1674" spans="1:19" x14ac:dyDescent="0.3">
      <c r="A1674" s="41">
        <v>434</v>
      </c>
      <c r="B1674" s="37" t="s">
        <v>2267</v>
      </c>
      <c r="C1674" s="37" t="s">
        <v>251</v>
      </c>
      <c r="D1674" s="37" t="s">
        <v>73</v>
      </c>
      <c r="E1674" s="37" t="s">
        <v>56</v>
      </c>
      <c r="F1674" s="42">
        <v>45199</v>
      </c>
      <c r="G1674" s="37">
        <v>2023</v>
      </c>
      <c r="H1674" s="37" t="s">
        <v>43</v>
      </c>
      <c r="I1674" s="39" t="s">
        <v>32</v>
      </c>
      <c r="J1674" s="37">
        <v>200</v>
      </c>
      <c r="K1674" s="56">
        <v>1803.72</v>
      </c>
      <c r="L1674" s="65">
        <f t="shared" si="170"/>
        <v>0.11088195507063181</v>
      </c>
      <c r="M1674" s="65">
        <f t="shared" si="171"/>
        <v>0.11088195507063181</v>
      </c>
      <c r="N1674" s="37" t="s">
        <v>775</v>
      </c>
      <c r="O1674" s="37" t="s">
        <v>775</v>
      </c>
      <c r="P1674" s="40">
        <v>0</v>
      </c>
      <c r="Q1674" s="40">
        <v>1</v>
      </c>
      <c r="R1674" s="37" t="s">
        <v>2276</v>
      </c>
      <c r="S1674" s="37"/>
    </row>
    <row r="1675" spans="1:19" x14ac:dyDescent="0.3">
      <c r="A1675" s="41">
        <v>434</v>
      </c>
      <c r="B1675" s="37" t="s">
        <v>2267</v>
      </c>
      <c r="C1675" s="37" t="s">
        <v>251</v>
      </c>
      <c r="D1675" s="37" t="s">
        <v>73</v>
      </c>
      <c r="E1675" s="37" t="s">
        <v>56</v>
      </c>
      <c r="F1675" s="42">
        <v>45230</v>
      </c>
      <c r="G1675" s="37">
        <v>2023</v>
      </c>
      <c r="H1675" s="37" t="s">
        <v>89</v>
      </c>
      <c r="I1675" s="39" t="s">
        <v>32</v>
      </c>
      <c r="J1675" s="37">
        <v>200</v>
      </c>
      <c r="K1675" s="56">
        <v>2.1</v>
      </c>
      <c r="L1675" s="65">
        <f t="shared" si="170"/>
        <v>1.3</v>
      </c>
      <c r="M1675" s="65">
        <f t="shared" si="171"/>
        <v>95.238095238095241</v>
      </c>
      <c r="N1675" s="37" t="s">
        <v>775</v>
      </c>
      <c r="O1675" s="37" t="s">
        <v>775</v>
      </c>
      <c r="P1675" s="40">
        <v>0</v>
      </c>
      <c r="Q1675" s="40">
        <v>0</v>
      </c>
      <c r="R1675" s="37" t="s">
        <v>2277</v>
      </c>
      <c r="S1675" s="37"/>
    </row>
    <row r="1676" spans="1:19" x14ac:dyDescent="0.3">
      <c r="A1676" s="41">
        <v>434</v>
      </c>
      <c r="B1676" s="37" t="s">
        <v>2267</v>
      </c>
      <c r="C1676" s="37" t="s">
        <v>251</v>
      </c>
      <c r="D1676" s="37" t="s">
        <v>73</v>
      </c>
      <c r="E1676" s="37" t="s">
        <v>56</v>
      </c>
      <c r="F1676" s="42">
        <v>45260</v>
      </c>
      <c r="G1676" s="37">
        <v>2023</v>
      </c>
      <c r="H1676" s="37" t="s">
        <v>91</v>
      </c>
      <c r="I1676" s="39" t="s">
        <v>32</v>
      </c>
      <c r="J1676" s="37">
        <v>200</v>
      </c>
      <c r="K1676" s="56">
        <v>14.31</v>
      </c>
      <c r="L1676" s="65">
        <f t="shared" si="170"/>
        <v>1.3</v>
      </c>
      <c r="M1676" s="65">
        <f t="shared" si="171"/>
        <v>13.976240391334731</v>
      </c>
      <c r="N1676" s="37" t="s">
        <v>775</v>
      </c>
      <c r="O1676" s="37" t="s">
        <v>775</v>
      </c>
      <c r="P1676" s="40">
        <v>0</v>
      </c>
      <c r="Q1676" s="40">
        <v>0</v>
      </c>
      <c r="R1676" s="37" t="s">
        <v>2278</v>
      </c>
      <c r="S1676" s="37"/>
    </row>
    <row r="1677" spans="1:19" x14ac:dyDescent="0.3">
      <c r="A1677" s="41">
        <v>434</v>
      </c>
      <c r="B1677" s="37" t="s">
        <v>2267</v>
      </c>
      <c r="C1677" s="37" t="s">
        <v>251</v>
      </c>
      <c r="D1677" s="37" t="s">
        <v>73</v>
      </c>
      <c r="E1677" s="37" t="s">
        <v>56</v>
      </c>
      <c r="F1677" s="42">
        <v>45291</v>
      </c>
      <c r="G1677" s="37">
        <v>2023</v>
      </c>
      <c r="H1677" s="37" t="s">
        <v>27</v>
      </c>
      <c r="I1677" s="39" t="s">
        <v>32</v>
      </c>
      <c r="J1677" s="37">
        <v>200</v>
      </c>
      <c r="K1677" s="56">
        <v>415.7</v>
      </c>
      <c r="L1677" s="65">
        <f t="shared" si="170"/>
        <v>0.4811161895597787</v>
      </c>
      <c r="M1677" s="65">
        <f t="shared" si="171"/>
        <v>0.4811161895597787</v>
      </c>
      <c r="N1677" s="37" t="s">
        <v>775</v>
      </c>
      <c r="O1677" s="37" t="s">
        <v>775</v>
      </c>
      <c r="P1677" s="40">
        <v>0</v>
      </c>
      <c r="Q1677" s="40">
        <v>0</v>
      </c>
      <c r="R1677" s="37" t="s">
        <v>2279</v>
      </c>
      <c r="S1677" s="37"/>
    </row>
    <row r="1678" spans="1:19" x14ac:dyDescent="0.3">
      <c r="A1678" s="36">
        <v>434</v>
      </c>
      <c r="B1678" s="37" t="s">
        <v>2267</v>
      </c>
      <c r="C1678" s="37" t="s">
        <v>251</v>
      </c>
      <c r="D1678" s="37" t="s">
        <v>73</v>
      </c>
      <c r="E1678" s="37" t="s">
        <v>56</v>
      </c>
      <c r="F1678" s="42">
        <v>45322</v>
      </c>
      <c r="G1678" s="37">
        <v>2024</v>
      </c>
      <c r="H1678" s="37" t="s">
        <v>74</v>
      </c>
      <c r="I1678" s="39" t="s">
        <v>34</v>
      </c>
      <c r="J1678" s="37">
        <v>200</v>
      </c>
      <c r="K1678" s="43">
        <v>9.65</v>
      </c>
      <c r="L1678" s="65">
        <f t="shared" si="170"/>
        <v>1.3</v>
      </c>
      <c r="M1678" s="65">
        <f t="shared" si="171"/>
        <v>20.725388601036268</v>
      </c>
      <c r="N1678" s="37" t="s">
        <v>775</v>
      </c>
      <c r="O1678" s="37" t="s">
        <v>775</v>
      </c>
      <c r="P1678" s="40">
        <v>0</v>
      </c>
      <c r="Q1678" s="40">
        <v>1</v>
      </c>
      <c r="R1678" s="37" t="s">
        <v>2280</v>
      </c>
      <c r="S1678" s="37"/>
    </row>
    <row r="1679" spans="1:19" x14ac:dyDescent="0.3">
      <c r="A1679" s="36">
        <v>434</v>
      </c>
      <c r="B1679" s="37" t="s">
        <v>2267</v>
      </c>
      <c r="C1679" s="37" t="s">
        <v>251</v>
      </c>
      <c r="D1679" s="37" t="s">
        <v>73</v>
      </c>
      <c r="E1679" s="37" t="s">
        <v>56</v>
      </c>
      <c r="F1679" s="42">
        <v>45351</v>
      </c>
      <c r="G1679" s="37">
        <v>2024</v>
      </c>
      <c r="H1679" s="37" t="s">
        <v>76</v>
      </c>
      <c r="I1679" s="39" t="s">
        <v>34</v>
      </c>
      <c r="J1679" s="37">
        <v>200</v>
      </c>
      <c r="K1679" s="43">
        <v>107.7</v>
      </c>
      <c r="L1679" s="65">
        <f t="shared" si="170"/>
        <v>1.3</v>
      </c>
      <c r="M1679" s="65">
        <f t="shared" si="171"/>
        <v>1.8570102135561746</v>
      </c>
      <c r="N1679" s="37" t="s">
        <v>775</v>
      </c>
      <c r="O1679" s="37" t="s">
        <v>775</v>
      </c>
      <c r="P1679" s="40">
        <v>0</v>
      </c>
      <c r="Q1679" s="40">
        <v>1</v>
      </c>
      <c r="R1679" s="37" t="s">
        <v>2281</v>
      </c>
      <c r="S1679" s="37"/>
    </row>
    <row r="1680" spans="1:19" x14ac:dyDescent="0.3">
      <c r="A1680" s="36">
        <v>434</v>
      </c>
      <c r="B1680" s="37" t="s">
        <v>2267</v>
      </c>
      <c r="C1680" s="37" t="s">
        <v>251</v>
      </c>
      <c r="D1680" s="37" t="s">
        <v>73</v>
      </c>
      <c r="E1680" s="37" t="s">
        <v>56</v>
      </c>
      <c r="F1680" s="42">
        <v>45382</v>
      </c>
      <c r="G1680" s="37">
        <v>2024</v>
      </c>
      <c r="H1680" s="37" t="s">
        <v>40</v>
      </c>
      <c r="I1680" s="39" t="s">
        <v>34</v>
      </c>
      <c r="J1680" s="37">
        <v>200</v>
      </c>
      <c r="K1680" s="43">
        <v>22.02</v>
      </c>
      <c r="L1680" s="65">
        <f t="shared" si="170"/>
        <v>1.3</v>
      </c>
      <c r="M1680" s="65">
        <f t="shared" si="171"/>
        <v>9.0826521344232525</v>
      </c>
      <c r="N1680" s="37" t="s">
        <v>775</v>
      </c>
      <c r="O1680" s="37" t="s">
        <v>775</v>
      </c>
      <c r="P1680" s="40">
        <v>0</v>
      </c>
      <c r="Q1680" s="40">
        <v>1</v>
      </c>
      <c r="R1680" s="37" t="s">
        <v>2282</v>
      </c>
      <c r="S1680" s="37"/>
    </row>
    <row r="1681" spans="1:19" x14ac:dyDescent="0.3">
      <c r="A1681" s="36">
        <v>434</v>
      </c>
      <c r="B1681" s="37" t="s">
        <v>2267</v>
      </c>
      <c r="C1681" s="37" t="s">
        <v>251</v>
      </c>
      <c r="D1681" s="37" t="s">
        <v>73</v>
      </c>
      <c r="E1681" s="37" t="s">
        <v>56</v>
      </c>
      <c r="F1681" s="42">
        <v>45412</v>
      </c>
      <c r="G1681" s="37">
        <v>2024</v>
      </c>
      <c r="H1681" s="37" t="s">
        <v>79</v>
      </c>
      <c r="I1681" s="39" t="s">
        <v>34</v>
      </c>
      <c r="J1681" s="37">
        <v>200</v>
      </c>
      <c r="K1681" s="43">
        <v>89.04</v>
      </c>
      <c r="L1681" s="65">
        <f t="shared" ref="L1681:L1689" si="172">IFERROR(IF(OR(J1681=0,K1681=""),"",IF(E1681="Positivo",MIN(MAX(K1681/J1681,0),1.3),MIN(MAX(J1681/K1681,0),1.3))),"")</f>
        <v>1.3</v>
      </c>
      <c r="M1681" s="65">
        <f t="shared" ref="M1681:M1689" si="173">IFERROR(IF(OR(J1681=0,K1681=""),"",IF(E1681="Positivo",MAX(K1681/J1681,0),MAX(J1681/K1681,0))),"")</f>
        <v>2.24618149146451</v>
      </c>
      <c r="N1681" s="37" t="s">
        <v>775</v>
      </c>
      <c r="O1681" s="37" t="s">
        <v>775</v>
      </c>
      <c r="P1681" s="40">
        <v>0</v>
      </c>
      <c r="Q1681" s="40">
        <v>1</v>
      </c>
      <c r="R1681" s="37" t="s">
        <v>2283</v>
      </c>
      <c r="S1681" s="37"/>
    </row>
    <row r="1682" spans="1:19" x14ac:dyDescent="0.3">
      <c r="A1682" s="36">
        <v>434</v>
      </c>
      <c r="B1682" s="37" t="s">
        <v>2267</v>
      </c>
      <c r="C1682" s="37" t="s">
        <v>251</v>
      </c>
      <c r="D1682" s="37" t="s">
        <v>73</v>
      </c>
      <c r="E1682" s="37" t="s">
        <v>56</v>
      </c>
      <c r="F1682" s="42">
        <v>45443</v>
      </c>
      <c r="G1682" s="37">
        <v>2024</v>
      </c>
      <c r="H1682" s="37" t="s">
        <v>81</v>
      </c>
      <c r="I1682" s="39" t="s">
        <v>34</v>
      </c>
      <c r="J1682" s="37">
        <v>200</v>
      </c>
      <c r="K1682" s="43">
        <v>42</v>
      </c>
      <c r="L1682" s="65">
        <f t="shared" si="172"/>
        <v>1.3</v>
      </c>
      <c r="M1682" s="65">
        <f t="shared" si="173"/>
        <v>4.7619047619047619</v>
      </c>
      <c r="N1682" s="37" t="s">
        <v>775</v>
      </c>
      <c r="O1682" s="37" t="s">
        <v>775</v>
      </c>
      <c r="P1682" s="40">
        <v>0</v>
      </c>
      <c r="Q1682" s="40">
        <v>0</v>
      </c>
      <c r="R1682" s="37" t="s">
        <v>2284</v>
      </c>
      <c r="S1682" s="37"/>
    </row>
    <row r="1683" spans="1:19" x14ac:dyDescent="0.3">
      <c r="A1683" s="37">
        <v>434</v>
      </c>
      <c r="B1683" s="37" t="s">
        <v>2267</v>
      </c>
      <c r="C1683" s="37" t="s">
        <v>251</v>
      </c>
      <c r="D1683" s="37" t="s">
        <v>73</v>
      </c>
      <c r="E1683" s="37" t="s">
        <v>56</v>
      </c>
      <c r="F1683" s="42">
        <v>45473</v>
      </c>
      <c r="G1683" s="37">
        <v>2024</v>
      </c>
      <c r="H1683" s="37" t="s">
        <v>23</v>
      </c>
      <c r="I1683" s="39" t="s">
        <v>34</v>
      </c>
      <c r="J1683" s="37">
        <v>200</v>
      </c>
      <c r="K1683" s="37">
        <v>3219.1</v>
      </c>
      <c r="L1683" s="65">
        <f t="shared" si="172"/>
        <v>6.2129166537230905E-2</v>
      </c>
      <c r="M1683" s="65">
        <f t="shared" si="173"/>
        <v>6.2129166537230905E-2</v>
      </c>
      <c r="N1683" s="37" t="s">
        <v>775</v>
      </c>
      <c r="O1683" s="37" t="s">
        <v>775</v>
      </c>
      <c r="P1683" s="40">
        <v>0</v>
      </c>
      <c r="Q1683" s="40">
        <v>1</v>
      </c>
      <c r="R1683" s="37" t="s">
        <v>2285</v>
      </c>
      <c r="S1683" s="37"/>
    </row>
    <row r="1684" spans="1:19" x14ac:dyDescent="0.3">
      <c r="A1684" s="36">
        <v>434</v>
      </c>
      <c r="B1684" s="37" t="s">
        <v>2267</v>
      </c>
      <c r="C1684" s="37" t="s">
        <v>251</v>
      </c>
      <c r="D1684" s="37" t="s">
        <v>73</v>
      </c>
      <c r="E1684" s="37" t="s">
        <v>56</v>
      </c>
      <c r="F1684" s="42">
        <v>45504</v>
      </c>
      <c r="G1684" s="37">
        <v>2024</v>
      </c>
      <c r="H1684" s="37" t="s">
        <v>84</v>
      </c>
      <c r="I1684" s="39" t="s">
        <v>36</v>
      </c>
      <c r="J1684" s="37">
        <v>200</v>
      </c>
      <c r="K1684" s="43">
        <v>1689.599975585938</v>
      </c>
      <c r="L1684" s="65">
        <f t="shared" si="172"/>
        <v>0.11837121383163006</v>
      </c>
      <c r="M1684" s="65">
        <f t="shared" si="173"/>
        <v>0.11837121383163006</v>
      </c>
      <c r="N1684" s="37" t="s">
        <v>775</v>
      </c>
      <c r="O1684" s="37" t="s">
        <v>775</v>
      </c>
      <c r="P1684" s="40">
        <v>0</v>
      </c>
      <c r="Q1684" s="40">
        <v>1</v>
      </c>
      <c r="R1684" s="37" t="s">
        <v>2286</v>
      </c>
      <c r="S1684" s="37"/>
    </row>
    <row r="1685" spans="1:19" x14ac:dyDescent="0.3">
      <c r="A1685" s="36">
        <v>434</v>
      </c>
      <c r="B1685" s="37" t="s">
        <v>2267</v>
      </c>
      <c r="C1685" s="37" t="s">
        <v>251</v>
      </c>
      <c r="D1685" s="37" t="s">
        <v>73</v>
      </c>
      <c r="E1685" s="37" t="s">
        <v>56</v>
      </c>
      <c r="F1685" s="42">
        <v>45535</v>
      </c>
      <c r="G1685" s="37">
        <v>2024</v>
      </c>
      <c r="H1685" s="37" t="s">
        <v>86</v>
      </c>
      <c r="I1685" s="39" t="s">
        <v>36</v>
      </c>
      <c r="J1685" s="37">
        <v>200</v>
      </c>
      <c r="K1685" s="43">
        <v>855.1</v>
      </c>
      <c r="L1685" s="65">
        <f t="shared" si="172"/>
        <v>0.23389077300900479</v>
      </c>
      <c r="M1685" s="65">
        <f t="shared" si="173"/>
        <v>0.23389077300900479</v>
      </c>
      <c r="N1685" s="37" t="s">
        <v>775</v>
      </c>
      <c r="O1685" s="37" t="s">
        <v>775</v>
      </c>
      <c r="P1685" s="40">
        <v>0</v>
      </c>
      <c r="Q1685" s="40">
        <v>1</v>
      </c>
      <c r="R1685" s="37" t="s">
        <v>2287</v>
      </c>
      <c r="S1685" s="37"/>
    </row>
    <row r="1686" spans="1:19" x14ac:dyDescent="0.3">
      <c r="A1686" s="36">
        <v>434</v>
      </c>
      <c r="B1686" s="37" t="s">
        <v>2267</v>
      </c>
      <c r="C1686" s="37" t="s">
        <v>251</v>
      </c>
      <c r="D1686" s="37" t="s">
        <v>73</v>
      </c>
      <c r="E1686" s="37" t="s">
        <v>56</v>
      </c>
      <c r="F1686" s="42">
        <v>45565</v>
      </c>
      <c r="G1686" s="37">
        <v>2024</v>
      </c>
      <c r="H1686" s="37" t="s">
        <v>43</v>
      </c>
      <c r="I1686" s="39" t="s">
        <v>36</v>
      </c>
      <c r="J1686" s="37">
        <v>200</v>
      </c>
      <c r="K1686" s="43">
        <v>16.37</v>
      </c>
      <c r="L1686" s="65">
        <f t="shared" si="172"/>
        <v>1.3</v>
      </c>
      <c r="M1686" s="65">
        <f t="shared" si="173"/>
        <v>12.217470983506413</v>
      </c>
      <c r="N1686" s="37" t="s">
        <v>775</v>
      </c>
      <c r="O1686" s="37" t="s">
        <v>775</v>
      </c>
      <c r="P1686" s="40">
        <v>0</v>
      </c>
      <c r="Q1686" s="40">
        <v>1</v>
      </c>
      <c r="R1686" s="37" t="s">
        <v>2288</v>
      </c>
      <c r="S1686" s="37"/>
    </row>
    <row r="1687" spans="1:19" x14ac:dyDescent="0.3">
      <c r="A1687" s="36">
        <v>434</v>
      </c>
      <c r="B1687" s="37" t="s">
        <v>2267</v>
      </c>
      <c r="C1687" s="37" t="s">
        <v>251</v>
      </c>
      <c r="D1687" s="37" t="s">
        <v>73</v>
      </c>
      <c r="E1687" s="37" t="s">
        <v>56</v>
      </c>
      <c r="F1687" s="42">
        <v>45596</v>
      </c>
      <c r="G1687" s="37">
        <v>2024</v>
      </c>
      <c r="H1687" s="37" t="s">
        <v>89</v>
      </c>
      <c r="I1687" s="39" t="s">
        <v>36</v>
      </c>
      <c r="J1687" s="37">
        <v>200</v>
      </c>
      <c r="K1687" s="43">
        <v>992.38</v>
      </c>
      <c r="L1687" s="65">
        <f t="shared" si="172"/>
        <v>0.2015357020496181</v>
      </c>
      <c r="M1687" s="65">
        <f t="shared" si="173"/>
        <v>0.2015357020496181</v>
      </c>
      <c r="N1687" s="37" t="s">
        <v>775</v>
      </c>
      <c r="O1687" s="37" t="s">
        <v>775</v>
      </c>
      <c r="P1687" s="40">
        <v>0</v>
      </c>
      <c r="Q1687" s="40">
        <v>1</v>
      </c>
      <c r="R1687" s="37" t="s">
        <v>2289</v>
      </c>
      <c r="S1687" s="37"/>
    </row>
    <row r="1688" spans="1:19" x14ac:dyDescent="0.3">
      <c r="A1688" s="36">
        <v>434</v>
      </c>
      <c r="B1688" s="37" t="s">
        <v>2267</v>
      </c>
      <c r="C1688" s="37" t="s">
        <v>251</v>
      </c>
      <c r="D1688" s="37" t="s">
        <v>73</v>
      </c>
      <c r="E1688" s="37" t="s">
        <v>56</v>
      </c>
      <c r="F1688" s="42">
        <v>45626</v>
      </c>
      <c r="G1688" s="37">
        <v>2024</v>
      </c>
      <c r="H1688" s="37" t="s">
        <v>91</v>
      </c>
      <c r="I1688" s="39" t="s">
        <v>36</v>
      </c>
      <c r="J1688" s="37">
        <v>200</v>
      </c>
      <c r="K1688" s="43">
        <v>73.88</v>
      </c>
      <c r="L1688" s="65">
        <f t="shared" si="172"/>
        <v>1.3</v>
      </c>
      <c r="M1688" s="65">
        <f t="shared" si="173"/>
        <v>2.7070925825663239</v>
      </c>
      <c r="N1688" s="37" t="s">
        <v>775</v>
      </c>
      <c r="O1688" s="37" t="s">
        <v>775</v>
      </c>
      <c r="P1688" s="40">
        <v>0</v>
      </c>
      <c r="Q1688" s="40">
        <v>1</v>
      </c>
      <c r="R1688" s="37" t="s">
        <v>2290</v>
      </c>
      <c r="S1688" s="37"/>
    </row>
    <row r="1689" spans="1:19" x14ac:dyDescent="0.3">
      <c r="A1689" s="36">
        <v>434</v>
      </c>
      <c r="B1689" s="37" t="s">
        <v>2267</v>
      </c>
      <c r="C1689" s="37" t="s">
        <v>251</v>
      </c>
      <c r="D1689" s="37" t="s">
        <v>73</v>
      </c>
      <c r="E1689" s="37" t="s">
        <v>56</v>
      </c>
      <c r="F1689" s="42">
        <v>45657</v>
      </c>
      <c r="G1689" s="37">
        <v>2024</v>
      </c>
      <c r="H1689" s="37" t="s">
        <v>27</v>
      </c>
      <c r="I1689" s="39" t="s">
        <v>36</v>
      </c>
      <c r="J1689" s="37">
        <v>200</v>
      </c>
      <c r="K1689" s="43">
        <v>2364.4900977164511</v>
      </c>
      <c r="L1689" s="65">
        <f t="shared" si="172"/>
        <v>8.4584832980757071E-2</v>
      </c>
      <c r="M1689" s="65">
        <f t="shared" si="173"/>
        <v>8.4584832980757071E-2</v>
      </c>
      <c r="N1689" s="37" t="s">
        <v>775</v>
      </c>
      <c r="O1689" s="37" t="s">
        <v>775</v>
      </c>
      <c r="P1689" s="40">
        <v>0</v>
      </c>
      <c r="Q1689" s="40">
        <v>1</v>
      </c>
      <c r="R1689" s="37" t="s">
        <v>2291</v>
      </c>
      <c r="S1689" s="37"/>
    </row>
    <row r="1690" spans="1:19" x14ac:dyDescent="0.3">
      <c r="A1690" s="37">
        <v>435</v>
      </c>
      <c r="B1690" s="37" t="s">
        <v>2304</v>
      </c>
      <c r="C1690" s="37" t="s">
        <v>251</v>
      </c>
      <c r="D1690" s="37" t="s">
        <v>21</v>
      </c>
      <c r="E1690" s="37" t="s">
        <v>22</v>
      </c>
      <c r="F1690" s="42">
        <v>45107</v>
      </c>
      <c r="G1690" s="37">
        <v>2023</v>
      </c>
      <c r="H1690" s="37" t="s">
        <v>23</v>
      </c>
      <c r="I1690" s="37" t="s">
        <v>30</v>
      </c>
      <c r="J1690" s="37">
        <v>100</v>
      </c>
      <c r="K1690" s="37"/>
      <c r="L1690" s="65"/>
      <c r="M1690" s="65"/>
      <c r="N1690" s="37" t="s">
        <v>25</v>
      </c>
      <c r="O1690" s="37" t="s">
        <v>223</v>
      </c>
      <c r="P1690" s="37">
        <v>2</v>
      </c>
      <c r="Q1690" s="37">
        <v>2</v>
      </c>
      <c r="R1690" s="37" t="s">
        <v>2305</v>
      </c>
      <c r="S1690" s="37" t="s">
        <v>223</v>
      </c>
    </row>
    <row r="1691" spans="1:19" x14ac:dyDescent="0.3">
      <c r="A1691" s="37">
        <v>435</v>
      </c>
      <c r="B1691" s="37" t="s">
        <v>2304</v>
      </c>
      <c r="C1691" s="37" t="s">
        <v>251</v>
      </c>
      <c r="D1691" s="37" t="s">
        <v>21</v>
      </c>
      <c r="E1691" s="37" t="s">
        <v>22</v>
      </c>
      <c r="F1691" s="42">
        <v>45291</v>
      </c>
      <c r="G1691" s="37">
        <v>2023</v>
      </c>
      <c r="H1691" s="37" t="s">
        <v>27</v>
      </c>
      <c r="I1691" s="37" t="s">
        <v>32</v>
      </c>
      <c r="J1691" s="37">
        <v>100</v>
      </c>
      <c r="K1691" s="37">
        <v>-111.57</v>
      </c>
      <c r="L1691" s="65">
        <f>IFERROR(IF(OR(J1691=0,K1691=""),"",IF(E1691="Positivo",MIN(MAX(K1691/J1691,0),1.3),MIN(MAX(J1691/K1691,0),1.3))),"")</f>
        <v>0</v>
      </c>
      <c r="M1691" s="65">
        <f>IFERROR(IF(OR(J1691=0,K1691=""),"",IF(E1691="Positivo",MAX(K1691/J1691,0),MAX(J1691/K1691,0))),"")</f>
        <v>0</v>
      </c>
      <c r="N1691" s="37" t="s">
        <v>25</v>
      </c>
      <c r="O1691" s="37" t="s">
        <v>25</v>
      </c>
      <c r="P1691" s="37">
        <v>2</v>
      </c>
      <c r="Q1691" s="37">
        <v>2</v>
      </c>
      <c r="R1691" s="37" t="s">
        <v>2306</v>
      </c>
      <c r="S1691" s="37"/>
    </row>
    <row r="1692" spans="1:19" x14ac:dyDescent="0.3">
      <c r="A1692" s="37">
        <v>435</v>
      </c>
      <c r="B1692" s="37" t="s">
        <v>2304</v>
      </c>
      <c r="C1692" s="37" t="s">
        <v>251</v>
      </c>
      <c r="D1692" s="37" t="s">
        <v>21</v>
      </c>
      <c r="E1692" s="37" t="s">
        <v>22</v>
      </c>
      <c r="F1692" s="42">
        <v>45473</v>
      </c>
      <c r="G1692" s="37">
        <v>2024</v>
      </c>
      <c r="H1692" s="37" t="s">
        <v>23</v>
      </c>
      <c r="I1692" s="39" t="s">
        <v>34</v>
      </c>
      <c r="J1692" s="37">
        <v>100</v>
      </c>
      <c r="K1692" s="37">
        <v>-20.67</v>
      </c>
      <c r="L1692" s="65">
        <f>IFERROR(IF(OR(J1692=0,K1692=""),"",IF(E1692="Positivo",MIN(MAX(K1692/J1692,0),1.3),MIN(MAX(J1692/K1692,0),1.3))),"")</f>
        <v>0</v>
      </c>
      <c r="M1692" s="65">
        <f>IFERROR(IF(OR(J1692=0,K1692=""),"",IF(E1692="Positivo",MAX(K1692/J1692,0),MAX(J1692/K1692,0))),"")</f>
        <v>0</v>
      </c>
      <c r="N1692" s="37" t="s">
        <v>25</v>
      </c>
      <c r="O1692" s="37" t="s">
        <v>25</v>
      </c>
      <c r="P1692" s="37">
        <v>2</v>
      </c>
      <c r="Q1692" s="37">
        <v>2</v>
      </c>
      <c r="R1692" s="37" t="s">
        <v>2307</v>
      </c>
      <c r="S1692" s="37"/>
    </row>
    <row r="1693" spans="1:19" x14ac:dyDescent="0.3">
      <c r="A1693" s="36">
        <v>435</v>
      </c>
      <c r="B1693" s="37" t="s">
        <v>2304</v>
      </c>
      <c r="C1693" s="37" t="s">
        <v>251</v>
      </c>
      <c r="D1693" s="37" t="s">
        <v>21</v>
      </c>
      <c r="E1693" s="37" t="s">
        <v>22</v>
      </c>
      <c r="F1693" s="42">
        <v>45657</v>
      </c>
      <c r="G1693" s="37">
        <v>2024</v>
      </c>
      <c r="H1693" s="37" t="s">
        <v>27</v>
      </c>
      <c r="I1693" s="39" t="s">
        <v>36</v>
      </c>
      <c r="J1693" s="37">
        <v>100</v>
      </c>
      <c r="K1693" s="43">
        <v>71.09</v>
      </c>
      <c r="L1693" s="65">
        <f>IFERROR(IF(OR(J1693=0,K1693=""),"",IF(E1693="Positivo",MIN(MAX(K1693/J1693,0),1.3),MIN(MAX(J1693/K1693,0),1.3))),"")</f>
        <v>0.71090000000000009</v>
      </c>
      <c r="M1693" s="65">
        <f>IFERROR(IF(OR(J1693=0,K1693=""),"",IF(E1693="Positivo",MAX(K1693/J1693,0),MAX(J1693/K1693,0))),"")</f>
        <v>0.71090000000000009</v>
      </c>
      <c r="N1693" s="37" t="s">
        <v>25</v>
      </c>
      <c r="O1693" s="37" t="s">
        <v>25</v>
      </c>
      <c r="P1693" s="40">
        <v>2</v>
      </c>
      <c r="Q1693" s="40">
        <v>2</v>
      </c>
      <c r="R1693" s="37" t="s">
        <v>2308</v>
      </c>
      <c r="S1693" s="37"/>
    </row>
    <row r="1694" spans="1:19" x14ac:dyDescent="0.3">
      <c r="A1694" s="37">
        <v>436</v>
      </c>
      <c r="B1694" s="37" t="s">
        <v>2311</v>
      </c>
      <c r="C1694" s="37" t="s">
        <v>258</v>
      </c>
      <c r="D1694" s="37" t="s">
        <v>73</v>
      </c>
      <c r="E1694" s="37" t="s">
        <v>56</v>
      </c>
      <c r="F1694" s="42">
        <v>44957</v>
      </c>
      <c r="G1694" s="37">
        <v>2023</v>
      </c>
      <c r="H1694" s="37" t="s">
        <v>74</v>
      </c>
      <c r="I1694" s="37" t="s">
        <v>30</v>
      </c>
      <c r="J1694" s="37">
        <v>14</v>
      </c>
      <c r="K1694" s="37"/>
      <c r="L1694" s="65"/>
      <c r="M1694" s="65"/>
      <c r="N1694" s="37" t="s">
        <v>57</v>
      </c>
      <c r="O1694" s="37" t="s">
        <v>223</v>
      </c>
      <c r="P1694" s="37">
        <v>0</v>
      </c>
      <c r="Q1694" s="37">
        <v>1</v>
      </c>
      <c r="R1694" s="37" t="s">
        <v>2312</v>
      </c>
      <c r="S1694" s="37" t="s">
        <v>223</v>
      </c>
    </row>
    <row r="1695" spans="1:19" x14ac:dyDescent="0.3">
      <c r="A1695" s="37">
        <v>436</v>
      </c>
      <c r="B1695" s="37" t="s">
        <v>2311</v>
      </c>
      <c r="C1695" s="37" t="s">
        <v>258</v>
      </c>
      <c r="D1695" s="37" t="s">
        <v>73</v>
      </c>
      <c r="E1695" s="37" t="s">
        <v>56</v>
      </c>
      <c r="F1695" s="42">
        <v>44985</v>
      </c>
      <c r="G1695" s="37">
        <v>2023</v>
      </c>
      <c r="H1695" s="37" t="s">
        <v>76</v>
      </c>
      <c r="I1695" s="37" t="s">
        <v>30</v>
      </c>
      <c r="J1695" s="37">
        <v>14</v>
      </c>
      <c r="K1695" s="37"/>
      <c r="L1695" s="65"/>
      <c r="M1695" s="65"/>
      <c r="N1695" s="37" t="s">
        <v>57</v>
      </c>
      <c r="O1695" s="37" t="s">
        <v>223</v>
      </c>
      <c r="P1695" s="37">
        <v>0</v>
      </c>
      <c r="Q1695" s="37">
        <v>1</v>
      </c>
      <c r="R1695" s="37" t="s">
        <v>2313</v>
      </c>
      <c r="S1695" s="37" t="s">
        <v>223</v>
      </c>
    </row>
    <row r="1696" spans="1:19" x14ac:dyDescent="0.3">
      <c r="A1696" s="37">
        <v>436</v>
      </c>
      <c r="B1696" s="37" t="s">
        <v>2311</v>
      </c>
      <c r="C1696" s="37" t="s">
        <v>258</v>
      </c>
      <c r="D1696" s="37" t="s">
        <v>73</v>
      </c>
      <c r="E1696" s="37" t="s">
        <v>56</v>
      </c>
      <c r="F1696" s="42">
        <v>45016</v>
      </c>
      <c r="G1696" s="37">
        <v>2023</v>
      </c>
      <c r="H1696" s="37" t="s">
        <v>40</v>
      </c>
      <c r="I1696" s="37" t="s">
        <v>30</v>
      </c>
      <c r="J1696" s="37">
        <v>14</v>
      </c>
      <c r="K1696" s="37"/>
      <c r="L1696" s="65"/>
      <c r="M1696" s="65"/>
      <c r="N1696" s="37" t="s">
        <v>57</v>
      </c>
      <c r="O1696" s="37" t="s">
        <v>223</v>
      </c>
      <c r="P1696" s="37">
        <v>0</v>
      </c>
      <c r="Q1696" s="37">
        <v>1</v>
      </c>
      <c r="R1696" s="37" t="s">
        <v>2314</v>
      </c>
      <c r="S1696" s="37" t="s">
        <v>223</v>
      </c>
    </row>
    <row r="1697" spans="1:19" x14ac:dyDescent="0.3">
      <c r="A1697" s="37">
        <v>436</v>
      </c>
      <c r="B1697" s="37" t="s">
        <v>2311</v>
      </c>
      <c r="C1697" s="37" t="s">
        <v>258</v>
      </c>
      <c r="D1697" s="37" t="s">
        <v>73</v>
      </c>
      <c r="E1697" s="37" t="s">
        <v>56</v>
      </c>
      <c r="F1697" s="42">
        <v>45046</v>
      </c>
      <c r="G1697" s="37">
        <v>2023</v>
      </c>
      <c r="H1697" s="37" t="s">
        <v>79</v>
      </c>
      <c r="I1697" s="37" t="s">
        <v>30</v>
      </c>
      <c r="J1697" s="37">
        <v>14</v>
      </c>
      <c r="K1697" s="37"/>
      <c r="L1697" s="65"/>
      <c r="M1697" s="65"/>
      <c r="N1697" s="37" t="s">
        <v>57</v>
      </c>
      <c r="O1697" s="37" t="s">
        <v>223</v>
      </c>
      <c r="P1697" s="37">
        <v>0</v>
      </c>
      <c r="Q1697" s="37">
        <v>1</v>
      </c>
      <c r="R1697" s="37" t="s">
        <v>2315</v>
      </c>
      <c r="S1697" s="37" t="s">
        <v>223</v>
      </c>
    </row>
    <row r="1698" spans="1:19" x14ac:dyDescent="0.3">
      <c r="A1698" s="37">
        <v>436</v>
      </c>
      <c r="B1698" s="37" t="s">
        <v>2311</v>
      </c>
      <c r="C1698" s="37" t="s">
        <v>258</v>
      </c>
      <c r="D1698" s="37" t="s">
        <v>73</v>
      </c>
      <c r="E1698" s="37" t="s">
        <v>56</v>
      </c>
      <c r="F1698" s="42">
        <v>45077</v>
      </c>
      <c r="G1698" s="37">
        <v>2023</v>
      </c>
      <c r="H1698" s="37" t="s">
        <v>81</v>
      </c>
      <c r="I1698" s="37" t="s">
        <v>30</v>
      </c>
      <c r="J1698" s="37">
        <v>14</v>
      </c>
      <c r="K1698" s="37"/>
      <c r="L1698" s="65"/>
      <c r="M1698" s="65"/>
      <c r="N1698" s="37" t="s">
        <v>57</v>
      </c>
      <c r="O1698" s="37" t="s">
        <v>223</v>
      </c>
      <c r="P1698" s="37">
        <v>0</v>
      </c>
      <c r="Q1698" s="37">
        <v>1</v>
      </c>
      <c r="R1698" s="37" t="s">
        <v>2316</v>
      </c>
      <c r="S1698" s="37" t="s">
        <v>223</v>
      </c>
    </row>
    <row r="1699" spans="1:19" x14ac:dyDescent="0.3">
      <c r="A1699" s="37">
        <v>436</v>
      </c>
      <c r="B1699" s="37" t="s">
        <v>2311</v>
      </c>
      <c r="C1699" s="37" t="s">
        <v>258</v>
      </c>
      <c r="D1699" s="37" t="s">
        <v>73</v>
      </c>
      <c r="E1699" s="37" t="s">
        <v>56</v>
      </c>
      <c r="F1699" s="42">
        <v>45107</v>
      </c>
      <c r="G1699" s="37">
        <v>2023</v>
      </c>
      <c r="H1699" s="37" t="s">
        <v>23</v>
      </c>
      <c r="I1699" s="37" t="s">
        <v>30</v>
      </c>
      <c r="J1699" s="37">
        <v>14</v>
      </c>
      <c r="K1699" s="37"/>
      <c r="L1699" s="65"/>
      <c r="M1699" s="65"/>
      <c r="N1699" s="37" t="s">
        <v>57</v>
      </c>
      <c r="O1699" s="37" t="s">
        <v>223</v>
      </c>
      <c r="P1699" s="37">
        <v>0</v>
      </c>
      <c r="Q1699" s="37">
        <v>1</v>
      </c>
      <c r="R1699" s="37" t="s">
        <v>2317</v>
      </c>
      <c r="S1699" s="37" t="s">
        <v>223</v>
      </c>
    </row>
    <row r="1700" spans="1:19" x14ac:dyDescent="0.3">
      <c r="A1700" s="41">
        <v>436</v>
      </c>
      <c r="B1700" s="37" t="s">
        <v>2311</v>
      </c>
      <c r="C1700" s="37" t="s">
        <v>258</v>
      </c>
      <c r="D1700" s="37" t="s">
        <v>73</v>
      </c>
      <c r="E1700" s="37" t="s">
        <v>56</v>
      </c>
      <c r="F1700" s="42">
        <v>45138</v>
      </c>
      <c r="G1700" s="37">
        <v>2023</v>
      </c>
      <c r="H1700" s="37" t="s">
        <v>84</v>
      </c>
      <c r="I1700" s="39" t="s">
        <v>32</v>
      </c>
      <c r="J1700" s="37">
        <v>21</v>
      </c>
      <c r="K1700" s="59">
        <v>11.7</v>
      </c>
      <c r="L1700" s="65">
        <f t="shared" ref="L1700:L1717" si="174">IFERROR(IF(OR(J1700=0,K1700=""),"",IF(E1700="Positivo",MIN(MAX(K1700/J1700,0),1.3),MIN(MAX(J1700/K1700,0),1.3))),"")</f>
        <v>1.3</v>
      </c>
      <c r="M1700" s="65">
        <f t="shared" ref="M1700:M1717" si="175">IFERROR(IF(OR(J1700=0,K1700=""),"",IF(E1700="Positivo",MAX(K1700/J1700,0),MAX(J1700/K1700,0))),"")</f>
        <v>1.7948717948717949</v>
      </c>
      <c r="N1700" s="37" t="s">
        <v>57</v>
      </c>
      <c r="O1700" s="37" t="s">
        <v>57</v>
      </c>
      <c r="P1700" s="40">
        <v>0</v>
      </c>
      <c r="Q1700" s="40">
        <v>0</v>
      </c>
      <c r="R1700" s="37" t="s">
        <v>2318</v>
      </c>
      <c r="S1700" s="37"/>
    </row>
    <row r="1701" spans="1:19" x14ac:dyDescent="0.3">
      <c r="A1701" s="41">
        <v>436</v>
      </c>
      <c r="B1701" s="37" t="s">
        <v>2311</v>
      </c>
      <c r="C1701" s="37" t="s">
        <v>258</v>
      </c>
      <c r="D1701" s="37" t="s">
        <v>73</v>
      </c>
      <c r="E1701" s="37" t="s">
        <v>56</v>
      </c>
      <c r="F1701" s="42">
        <v>45169</v>
      </c>
      <c r="G1701" s="37">
        <v>2023</v>
      </c>
      <c r="H1701" s="37" t="s">
        <v>86</v>
      </c>
      <c r="I1701" s="39" t="s">
        <v>32</v>
      </c>
      <c r="J1701" s="37">
        <v>21</v>
      </c>
      <c r="K1701" s="59">
        <v>8.6999999999999993</v>
      </c>
      <c r="L1701" s="65">
        <f t="shared" si="174"/>
        <v>1.3</v>
      </c>
      <c r="M1701" s="65">
        <f t="shared" si="175"/>
        <v>2.4137931034482762</v>
      </c>
      <c r="N1701" s="37" t="s">
        <v>57</v>
      </c>
      <c r="O1701" s="37" t="s">
        <v>57</v>
      </c>
      <c r="P1701" s="40">
        <v>0</v>
      </c>
      <c r="Q1701" s="40">
        <v>0</v>
      </c>
      <c r="R1701" s="37" t="s">
        <v>2319</v>
      </c>
      <c r="S1701" s="37"/>
    </row>
    <row r="1702" spans="1:19" x14ac:dyDescent="0.3">
      <c r="A1702" s="41">
        <v>436</v>
      </c>
      <c r="B1702" s="37" t="s">
        <v>2311</v>
      </c>
      <c r="C1702" s="37" t="s">
        <v>258</v>
      </c>
      <c r="D1702" s="37" t="s">
        <v>73</v>
      </c>
      <c r="E1702" s="37" t="s">
        <v>56</v>
      </c>
      <c r="F1702" s="42">
        <v>45199</v>
      </c>
      <c r="G1702" s="37">
        <v>2023</v>
      </c>
      <c r="H1702" s="37" t="s">
        <v>43</v>
      </c>
      <c r="I1702" s="39" t="s">
        <v>32</v>
      </c>
      <c r="J1702" s="37">
        <v>21</v>
      </c>
      <c r="K1702" s="59">
        <v>17.3</v>
      </c>
      <c r="L1702" s="65">
        <f t="shared" si="174"/>
        <v>1.2138728323699421</v>
      </c>
      <c r="M1702" s="65">
        <f t="shared" si="175"/>
        <v>1.2138728323699421</v>
      </c>
      <c r="N1702" s="37" t="s">
        <v>57</v>
      </c>
      <c r="O1702" s="37" t="s">
        <v>57</v>
      </c>
      <c r="P1702" s="40">
        <v>0</v>
      </c>
      <c r="Q1702" s="40">
        <v>0</v>
      </c>
      <c r="R1702" s="37" t="s">
        <v>2320</v>
      </c>
      <c r="S1702" s="37"/>
    </row>
    <row r="1703" spans="1:19" x14ac:dyDescent="0.3">
      <c r="A1703" s="41">
        <v>436</v>
      </c>
      <c r="B1703" s="37" t="s">
        <v>2311</v>
      </c>
      <c r="C1703" s="37" t="s">
        <v>258</v>
      </c>
      <c r="D1703" s="37" t="s">
        <v>73</v>
      </c>
      <c r="E1703" s="37" t="s">
        <v>56</v>
      </c>
      <c r="F1703" s="42">
        <v>45230</v>
      </c>
      <c r="G1703" s="37">
        <v>2023</v>
      </c>
      <c r="H1703" s="37" t="s">
        <v>89</v>
      </c>
      <c r="I1703" s="39" t="s">
        <v>32</v>
      </c>
      <c r="J1703" s="37">
        <v>21</v>
      </c>
      <c r="K1703" s="59">
        <v>5.0999999999999996</v>
      </c>
      <c r="L1703" s="65">
        <f t="shared" si="174"/>
        <v>1.3</v>
      </c>
      <c r="M1703" s="65">
        <f t="shared" si="175"/>
        <v>4.1176470588235299</v>
      </c>
      <c r="N1703" s="37" t="s">
        <v>57</v>
      </c>
      <c r="O1703" s="37" t="s">
        <v>57</v>
      </c>
      <c r="P1703" s="40">
        <v>0</v>
      </c>
      <c r="Q1703" s="40">
        <v>0</v>
      </c>
      <c r="R1703" s="37" t="s">
        <v>2321</v>
      </c>
      <c r="S1703" s="37"/>
    </row>
    <row r="1704" spans="1:19" x14ac:dyDescent="0.3">
      <c r="A1704" s="41">
        <v>436</v>
      </c>
      <c r="B1704" s="37" t="s">
        <v>2311</v>
      </c>
      <c r="C1704" s="37" t="s">
        <v>258</v>
      </c>
      <c r="D1704" s="37" t="s">
        <v>73</v>
      </c>
      <c r="E1704" s="37" t="s">
        <v>56</v>
      </c>
      <c r="F1704" s="42">
        <v>45260</v>
      </c>
      <c r="G1704" s="37">
        <v>2023</v>
      </c>
      <c r="H1704" s="37" t="s">
        <v>91</v>
      </c>
      <c r="I1704" s="39" t="s">
        <v>32</v>
      </c>
      <c r="J1704" s="37">
        <v>21</v>
      </c>
      <c r="K1704" s="59">
        <v>10.91</v>
      </c>
      <c r="L1704" s="65">
        <f t="shared" si="174"/>
        <v>1.3</v>
      </c>
      <c r="M1704" s="65">
        <f t="shared" si="175"/>
        <v>1.9248395967002749</v>
      </c>
      <c r="N1704" s="37" t="s">
        <v>57</v>
      </c>
      <c r="O1704" s="37" t="s">
        <v>57</v>
      </c>
      <c r="P1704" s="40">
        <v>0</v>
      </c>
      <c r="Q1704" s="40">
        <v>0</v>
      </c>
      <c r="R1704" s="37" t="s">
        <v>2322</v>
      </c>
      <c r="S1704" s="37"/>
    </row>
    <row r="1705" spans="1:19" x14ac:dyDescent="0.3">
      <c r="A1705" s="41">
        <v>436</v>
      </c>
      <c r="B1705" s="37" t="s">
        <v>2311</v>
      </c>
      <c r="C1705" s="37" t="s">
        <v>258</v>
      </c>
      <c r="D1705" s="37" t="s">
        <v>73</v>
      </c>
      <c r="E1705" s="37" t="s">
        <v>56</v>
      </c>
      <c r="F1705" s="42">
        <v>45291</v>
      </c>
      <c r="G1705" s="37">
        <v>2023</v>
      </c>
      <c r="H1705" s="37" t="s">
        <v>27</v>
      </c>
      <c r="I1705" s="39" t="s">
        <v>32</v>
      </c>
      <c r="J1705" s="37">
        <v>21</v>
      </c>
      <c r="K1705" s="59">
        <v>12.7</v>
      </c>
      <c r="L1705" s="65">
        <f t="shared" si="174"/>
        <v>1.3</v>
      </c>
      <c r="M1705" s="65">
        <f t="shared" si="175"/>
        <v>1.6535433070866143</v>
      </c>
      <c r="N1705" s="37" t="s">
        <v>57</v>
      </c>
      <c r="O1705" s="37" t="s">
        <v>57</v>
      </c>
      <c r="P1705" s="40">
        <v>0</v>
      </c>
      <c r="Q1705" s="40">
        <v>0</v>
      </c>
      <c r="R1705" s="37" t="s">
        <v>2323</v>
      </c>
      <c r="S1705" s="37"/>
    </row>
    <row r="1706" spans="1:19" x14ac:dyDescent="0.3">
      <c r="A1706" s="36">
        <v>436</v>
      </c>
      <c r="B1706" s="37" t="s">
        <v>2311</v>
      </c>
      <c r="C1706" s="37" t="s">
        <v>258</v>
      </c>
      <c r="D1706" s="37" t="s">
        <v>73</v>
      </c>
      <c r="E1706" s="37" t="s">
        <v>56</v>
      </c>
      <c r="F1706" s="42">
        <v>45322</v>
      </c>
      <c r="G1706" s="37">
        <v>2024</v>
      </c>
      <c r="H1706" s="37" t="s">
        <v>74</v>
      </c>
      <c r="I1706" s="39" t="s">
        <v>34</v>
      </c>
      <c r="J1706" s="37">
        <v>14</v>
      </c>
      <c r="K1706" s="43">
        <v>9.6999999999999993</v>
      </c>
      <c r="L1706" s="65">
        <f t="shared" si="174"/>
        <v>1.3</v>
      </c>
      <c r="M1706" s="65">
        <f t="shared" si="175"/>
        <v>1.4432989690721651</v>
      </c>
      <c r="N1706" s="37" t="s">
        <v>57</v>
      </c>
      <c r="O1706" s="37" t="s">
        <v>57</v>
      </c>
      <c r="P1706" s="40">
        <v>0</v>
      </c>
      <c r="Q1706" s="40">
        <v>0</v>
      </c>
      <c r="R1706" s="37" t="s">
        <v>2324</v>
      </c>
      <c r="S1706" s="37"/>
    </row>
    <row r="1707" spans="1:19" x14ac:dyDescent="0.3">
      <c r="A1707" s="36">
        <v>436</v>
      </c>
      <c r="B1707" s="37" t="s">
        <v>2311</v>
      </c>
      <c r="C1707" s="37" t="s">
        <v>258</v>
      </c>
      <c r="D1707" s="37" t="s">
        <v>73</v>
      </c>
      <c r="E1707" s="37" t="s">
        <v>56</v>
      </c>
      <c r="F1707" s="42">
        <v>45351</v>
      </c>
      <c r="G1707" s="37">
        <v>2024</v>
      </c>
      <c r="H1707" s="37" t="s">
        <v>76</v>
      </c>
      <c r="I1707" s="39" t="s">
        <v>34</v>
      </c>
      <c r="J1707" s="37">
        <v>14</v>
      </c>
      <c r="K1707" s="43">
        <v>13.5</v>
      </c>
      <c r="L1707" s="65">
        <f t="shared" si="174"/>
        <v>1.037037037037037</v>
      </c>
      <c r="M1707" s="65">
        <f t="shared" si="175"/>
        <v>1.037037037037037</v>
      </c>
      <c r="N1707" s="37" t="s">
        <v>57</v>
      </c>
      <c r="O1707" s="37" t="s">
        <v>57</v>
      </c>
      <c r="P1707" s="40">
        <v>0</v>
      </c>
      <c r="Q1707" s="40">
        <v>0</v>
      </c>
      <c r="R1707" s="37" t="s">
        <v>2325</v>
      </c>
      <c r="S1707" s="37"/>
    </row>
    <row r="1708" spans="1:19" x14ac:dyDescent="0.3">
      <c r="A1708" s="36">
        <v>436</v>
      </c>
      <c r="B1708" s="37" t="s">
        <v>2311</v>
      </c>
      <c r="C1708" s="37" t="s">
        <v>258</v>
      </c>
      <c r="D1708" s="37" t="s">
        <v>73</v>
      </c>
      <c r="E1708" s="37" t="s">
        <v>56</v>
      </c>
      <c r="F1708" s="42">
        <v>45382</v>
      </c>
      <c r="G1708" s="37">
        <v>2024</v>
      </c>
      <c r="H1708" s="37" t="s">
        <v>40</v>
      </c>
      <c r="I1708" s="39" t="s">
        <v>34</v>
      </c>
      <c r="J1708" s="37">
        <v>14</v>
      </c>
      <c r="K1708" s="43">
        <v>15.7</v>
      </c>
      <c r="L1708" s="65">
        <f t="shared" si="174"/>
        <v>0.89171974522292996</v>
      </c>
      <c r="M1708" s="65">
        <f t="shared" si="175"/>
        <v>0.89171974522292996</v>
      </c>
      <c r="N1708" s="37" t="s">
        <v>57</v>
      </c>
      <c r="O1708" s="37" t="s">
        <v>57</v>
      </c>
      <c r="P1708" s="40">
        <v>0</v>
      </c>
      <c r="Q1708" s="40">
        <v>0</v>
      </c>
      <c r="R1708" s="37" t="s">
        <v>2326</v>
      </c>
      <c r="S1708" s="37"/>
    </row>
    <row r="1709" spans="1:19" x14ac:dyDescent="0.3">
      <c r="A1709" s="36">
        <v>436</v>
      </c>
      <c r="B1709" s="37" t="s">
        <v>2311</v>
      </c>
      <c r="C1709" s="37" t="s">
        <v>258</v>
      </c>
      <c r="D1709" s="37" t="s">
        <v>73</v>
      </c>
      <c r="E1709" s="37" t="s">
        <v>56</v>
      </c>
      <c r="F1709" s="42">
        <v>45412</v>
      </c>
      <c r="G1709" s="37">
        <v>2024</v>
      </c>
      <c r="H1709" s="37" t="s">
        <v>79</v>
      </c>
      <c r="I1709" s="39" t="s">
        <v>34</v>
      </c>
      <c r="J1709" s="37">
        <v>14</v>
      </c>
      <c r="K1709" s="43">
        <v>11.1</v>
      </c>
      <c r="L1709" s="65">
        <f t="shared" si="174"/>
        <v>1.2612612612612613</v>
      </c>
      <c r="M1709" s="65">
        <f t="shared" si="175"/>
        <v>1.2612612612612613</v>
      </c>
      <c r="N1709" s="37" t="s">
        <v>57</v>
      </c>
      <c r="O1709" s="37" t="s">
        <v>57</v>
      </c>
      <c r="P1709" s="40">
        <v>0</v>
      </c>
      <c r="Q1709" s="40">
        <v>0</v>
      </c>
      <c r="R1709" s="37" t="s">
        <v>2327</v>
      </c>
      <c r="S1709" s="37"/>
    </row>
    <row r="1710" spans="1:19" x14ac:dyDescent="0.3">
      <c r="A1710" s="36">
        <v>436</v>
      </c>
      <c r="B1710" s="37" t="s">
        <v>2311</v>
      </c>
      <c r="C1710" s="37" t="s">
        <v>258</v>
      </c>
      <c r="D1710" s="37" t="s">
        <v>73</v>
      </c>
      <c r="E1710" s="37" t="s">
        <v>56</v>
      </c>
      <c r="F1710" s="42">
        <v>45443</v>
      </c>
      <c r="G1710" s="37">
        <v>2024</v>
      </c>
      <c r="H1710" s="37" t="s">
        <v>81</v>
      </c>
      <c r="I1710" s="39" t="s">
        <v>34</v>
      </c>
      <c r="J1710" s="37">
        <v>14</v>
      </c>
      <c r="K1710" s="43">
        <v>10.6</v>
      </c>
      <c r="L1710" s="65">
        <f t="shared" si="174"/>
        <v>1.3</v>
      </c>
      <c r="M1710" s="65">
        <f t="shared" si="175"/>
        <v>1.3207547169811322</v>
      </c>
      <c r="N1710" s="37" t="s">
        <v>57</v>
      </c>
      <c r="O1710" s="37" t="s">
        <v>57</v>
      </c>
      <c r="P1710" s="40">
        <v>0</v>
      </c>
      <c r="Q1710" s="40">
        <v>0</v>
      </c>
      <c r="R1710" s="37" t="s">
        <v>2328</v>
      </c>
      <c r="S1710" s="37"/>
    </row>
    <row r="1711" spans="1:19" x14ac:dyDescent="0.3">
      <c r="A1711" s="37">
        <v>436</v>
      </c>
      <c r="B1711" s="37" t="s">
        <v>2311</v>
      </c>
      <c r="C1711" s="37" t="s">
        <v>258</v>
      </c>
      <c r="D1711" s="37" t="s">
        <v>73</v>
      </c>
      <c r="E1711" s="37" t="s">
        <v>56</v>
      </c>
      <c r="F1711" s="42">
        <v>45473</v>
      </c>
      <c r="G1711" s="37">
        <v>2024</v>
      </c>
      <c r="H1711" s="37" t="s">
        <v>23</v>
      </c>
      <c r="I1711" s="39" t="s">
        <v>34</v>
      </c>
      <c r="J1711" s="37">
        <v>14</v>
      </c>
      <c r="K1711" s="37">
        <v>8.8000000000000007</v>
      </c>
      <c r="L1711" s="65">
        <f t="shared" si="174"/>
        <v>1.3</v>
      </c>
      <c r="M1711" s="65">
        <f t="shared" si="175"/>
        <v>1.5909090909090908</v>
      </c>
      <c r="N1711" s="37" t="s">
        <v>57</v>
      </c>
      <c r="O1711" s="37" t="s">
        <v>57</v>
      </c>
      <c r="P1711" s="40">
        <v>0</v>
      </c>
      <c r="Q1711" s="40">
        <v>0</v>
      </c>
      <c r="R1711" s="37" t="s">
        <v>2329</v>
      </c>
      <c r="S1711" s="37"/>
    </row>
    <row r="1712" spans="1:19" x14ac:dyDescent="0.3">
      <c r="A1712" s="36">
        <v>436</v>
      </c>
      <c r="B1712" s="37" t="s">
        <v>2311</v>
      </c>
      <c r="C1712" s="37" t="s">
        <v>258</v>
      </c>
      <c r="D1712" s="37" t="s">
        <v>73</v>
      </c>
      <c r="E1712" s="37" t="s">
        <v>56</v>
      </c>
      <c r="F1712" s="42">
        <v>45504</v>
      </c>
      <c r="G1712" s="37">
        <v>2024</v>
      </c>
      <c r="H1712" s="37" t="s">
        <v>84</v>
      </c>
      <c r="I1712" s="39" t="s">
        <v>36</v>
      </c>
      <c r="J1712" s="37">
        <v>14</v>
      </c>
      <c r="K1712" s="43">
        <v>9.4</v>
      </c>
      <c r="L1712" s="65">
        <f t="shared" si="174"/>
        <v>1.3</v>
      </c>
      <c r="M1712" s="65">
        <f t="shared" si="175"/>
        <v>1.4893617021276595</v>
      </c>
      <c r="N1712" s="37" t="s">
        <v>57</v>
      </c>
      <c r="O1712" s="37" t="s">
        <v>57</v>
      </c>
      <c r="P1712" s="40">
        <v>0</v>
      </c>
      <c r="Q1712" s="40">
        <v>0</v>
      </c>
      <c r="R1712" s="37" t="s">
        <v>2330</v>
      </c>
      <c r="S1712" s="37"/>
    </row>
    <row r="1713" spans="1:19" x14ac:dyDescent="0.3">
      <c r="A1713" s="36">
        <v>436</v>
      </c>
      <c r="B1713" s="37" t="s">
        <v>2311</v>
      </c>
      <c r="C1713" s="37" t="s">
        <v>258</v>
      </c>
      <c r="D1713" s="37" t="s">
        <v>73</v>
      </c>
      <c r="E1713" s="37" t="s">
        <v>56</v>
      </c>
      <c r="F1713" s="42">
        <v>45535</v>
      </c>
      <c r="G1713" s="37">
        <v>2024</v>
      </c>
      <c r="H1713" s="37" t="s">
        <v>86</v>
      </c>
      <c r="I1713" s="39" t="s">
        <v>36</v>
      </c>
      <c r="J1713" s="37">
        <v>14</v>
      </c>
      <c r="K1713" s="43">
        <v>8.5</v>
      </c>
      <c r="L1713" s="65">
        <f t="shared" si="174"/>
        <v>1.3</v>
      </c>
      <c r="M1713" s="65">
        <f t="shared" si="175"/>
        <v>1.6470588235294117</v>
      </c>
      <c r="N1713" s="37" t="s">
        <v>57</v>
      </c>
      <c r="O1713" s="37" t="s">
        <v>57</v>
      </c>
      <c r="P1713" s="40">
        <v>0</v>
      </c>
      <c r="Q1713" s="40">
        <v>0</v>
      </c>
      <c r="R1713" s="37" t="s">
        <v>2331</v>
      </c>
      <c r="S1713" s="37"/>
    </row>
    <row r="1714" spans="1:19" x14ac:dyDescent="0.3">
      <c r="A1714" s="36">
        <v>436</v>
      </c>
      <c r="B1714" s="37" t="s">
        <v>2311</v>
      </c>
      <c r="C1714" s="37" t="s">
        <v>258</v>
      </c>
      <c r="D1714" s="37" t="s">
        <v>73</v>
      </c>
      <c r="E1714" s="37" t="s">
        <v>56</v>
      </c>
      <c r="F1714" s="42">
        <v>45565</v>
      </c>
      <c r="G1714" s="37">
        <v>2024</v>
      </c>
      <c r="H1714" s="37" t="s">
        <v>43</v>
      </c>
      <c r="I1714" s="39" t="s">
        <v>36</v>
      </c>
      <c r="J1714" s="37">
        <v>14</v>
      </c>
      <c r="K1714" s="43">
        <v>10.5</v>
      </c>
      <c r="L1714" s="65">
        <f t="shared" si="174"/>
        <v>1.3</v>
      </c>
      <c r="M1714" s="65">
        <f t="shared" si="175"/>
        <v>1.3333333333333333</v>
      </c>
      <c r="N1714" s="37" t="s">
        <v>57</v>
      </c>
      <c r="O1714" s="37" t="s">
        <v>57</v>
      </c>
      <c r="P1714" s="40">
        <v>0</v>
      </c>
      <c r="Q1714" s="40">
        <v>0</v>
      </c>
      <c r="R1714" s="37" t="s">
        <v>2332</v>
      </c>
      <c r="S1714" s="37"/>
    </row>
    <row r="1715" spans="1:19" x14ac:dyDescent="0.3">
      <c r="A1715" s="36">
        <v>436</v>
      </c>
      <c r="B1715" s="37" t="s">
        <v>2311</v>
      </c>
      <c r="C1715" s="37" t="s">
        <v>258</v>
      </c>
      <c r="D1715" s="37" t="s">
        <v>73</v>
      </c>
      <c r="E1715" s="37" t="s">
        <v>56</v>
      </c>
      <c r="F1715" s="42">
        <v>45596</v>
      </c>
      <c r="G1715" s="37">
        <v>2024</v>
      </c>
      <c r="H1715" s="37" t="s">
        <v>89</v>
      </c>
      <c r="I1715" s="39" t="s">
        <v>36</v>
      </c>
      <c r="J1715" s="37">
        <v>14</v>
      </c>
      <c r="K1715" s="43">
        <v>8</v>
      </c>
      <c r="L1715" s="65">
        <f t="shared" si="174"/>
        <v>1.3</v>
      </c>
      <c r="M1715" s="65">
        <f t="shared" si="175"/>
        <v>1.75</v>
      </c>
      <c r="N1715" s="37" t="s">
        <v>57</v>
      </c>
      <c r="O1715" s="37" t="s">
        <v>57</v>
      </c>
      <c r="P1715" s="40">
        <v>0</v>
      </c>
      <c r="Q1715" s="40">
        <v>0</v>
      </c>
      <c r="R1715" s="37" t="s">
        <v>2333</v>
      </c>
      <c r="S1715" s="37"/>
    </row>
    <row r="1716" spans="1:19" x14ac:dyDescent="0.3">
      <c r="A1716" s="36">
        <v>436</v>
      </c>
      <c r="B1716" s="37" t="s">
        <v>2311</v>
      </c>
      <c r="C1716" s="37" t="s">
        <v>258</v>
      </c>
      <c r="D1716" s="37" t="s">
        <v>73</v>
      </c>
      <c r="E1716" s="37" t="s">
        <v>56</v>
      </c>
      <c r="F1716" s="42">
        <v>45626</v>
      </c>
      <c r="G1716" s="37">
        <v>2024</v>
      </c>
      <c r="H1716" s="37" t="s">
        <v>91</v>
      </c>
      <c r="I1716" s="39" t="s">
        <v>36</v>
      </c>
      <c r="J1716" s="37">
        <v>14</v>
      </c>
      <c r="K1716" s="43">
        <v>10</v>
      </c>
      <c r="L1716" s="65">
        <f t="shared" si="174"/>
        <v>1.3</v>
      </c>
      <c r="M1716" s="65">
        <f t="shared" si="175"/>
        <v>1.4</v>
      </c>
      <c r="N1716" s="37" t="s">
        <v>57</v>
      </c>
      <c r="O1716" s="37" t="s">
        <v>57</v>
      </c>
      <c r="P1716" s="40">
        <v>0</v>
      </c>
      <c r="Q1716" s="40">
        <v>0</v>
      </c>
      <c r="R1716" s="37" t="s">
        <v>2334</v>
      </c>
      <c r="S1716" s="37"/>
    </row>
    <row r="1717" spans="1:19" x14ac:dyDescent="0.3">
      <c r="A1717" s="36">
        <v>436</v>
      </c>
      <c r="B1717" s="37" t="s">
        <v>2311</v>
      </c>
      <c r="C1717" s="37" t="s">
        <v>258</v>
      </c>
      <c r="D1717" s="37" t="s">
        <v>73</v>
      </c>
      <c r="E1717" s="37" t="s">
        <v>56</v>
      </c>
      <c r="F1717" s="42">
        <v>45657</v>
      </c>
      <c r="G1717" s="37">
        <v>2024</v>
      </c>
      <c r="H1717" s="37" t="s">
        <v>27</v>
      </c>
      <c r="I1717" s="39" t="s">
        <v>36</v>
      </c>
      <c r="J1717" s="37">
        <v>14</v>
      </c>
      <c r="K1717" s="43">
        <v>16.97</v>
      </c>
      <c r="L1717" s="65">
        <f t="shared" si="174"/>
        <v>0.82498526812021222</v>
      </c>
      <c r="M1717" s="65">
        <f t="shared" si="175"/>
        <v>0.82498526812021222</v>
      </c>
      <c r="N1717" s="37" t="s">
        <v>57</v>
      </c>
      <c r="O1717" s="37" t="s">
        <v>57</v>
      </c>
      <c r="P1717" s="40">
        <v>0</v>
      </c>
      <c r="Q1717" s="40">
        <v>0</v>
      </c>
      <c r="R1717" s="37" t="s">
        <v>2335</v>
      </c>
      <c r="S1717" s="37"/>
    </row>
    <row r="1718" spans="1:19" x14ac:dyDescent="0.3">
      <c r="A1718" s="36">
        <v>437</v>
      </c>
      <c r="B1718" s="37" t="s">
        <v>206</v>
      </c>
      <c r="C1718" s="37" t="s">
        <v>1490</v>
      </c>
      <c r="D1718" s="37" t="s">
        <v>139</v>
      </c>
      <c r="E1718" s="37" t="s">
        <v>22</v>
      </c>
      <c r="F1718" s="42">
        <v>45230</v>
      </c>
      <c r="G1718" s="37">
        <v>2023</v>
      </c>
      <c r="H1718" s="37" t="s">
        <v>89</v>
      </c>
      <c r="I1718" s="39" t="s">
        <v>32</v>
      </c>
      <c r="J1718" s="37">
        <v>80</v>
      </c>
      <c r="K1718" s="56">
        <v>96.239806704922998</v>
      </c>
      <c r="L1718" s="65">
        <f t="shared" ref="L1718:L1721" si="176">IFERROR(IF(OR(J1718=0,K1718=""),"",IF(E1718="Positivo",MIN(MAX(K1718/J1718,0),1.3),MIN(MAX(J1718/K1718,0),1.3))),"")</f>
        <v>1.2029975838115374</v>
      </c>
      <c r="M1718" s="65">
        <f t="shared" ref="M1718:M1721" si="177">IFERROR(IF(OR(J1718=0,K1718=""),"",IF(E1718="Positivo",MAX(K1718/J1718,0),MAX(J1718/K1718,0))),"")</f>
        <v>1.2029975838115374</v>
      </c>
      <c r="N1718" s="37" t="s">
        <v>25</v>
      </c>
      <c r="O1718" s="37" t="s">
        <v>25</v>
      </c>
      <c r="P1718" s="40">
        <v>0</v>
      </c>
      <c r="Q1718" s="40">
        <v>0</v>
      </c>
      <c r="R1718" s="37" t="s">
        <v>2348</v>
      </c>
      <c r="S1718" s="37"/>
    </row>
    <row r="1719" spans="1:19" x14ac:dyDescent="0.3">
      <c r="A1719" s="37">
        <v>437</v>
      </c>
      <c r="B1719" s="37" t="s">
        <v>2349</v>
      </c>
      <c r="C1719" s="37" t="s">
        <v>1490</v>
      </c>
      <c r="D1719" s="37" t="s">
        <v>139</v>
      </c>
      <c r="E1719" s="37" t="s">
        <v>22</v>
      </c>
      <c r="F1719" s="42">
        <v>45291</v>
      </c>
      <c r="G1719" s="37">
        <v>2023</v>
      </c>
      <c r="H1719" s="37" t="s">
        <v>27</v>
      </c>
      <c r="I1719" s="39" t="s">
        <v>32</v>
      </c>
      <c r="J1719" s="37">
        <v>80</v>
      </c>
      <c r="K1719" s="37">
        <v>96</v>
      </c>
      <c r="L1719" s="65">
        <f t="shared" si="176"/>
        <v>1.2</v>
      </c>
      <c r="M1719" s="65">
        <f t="shared" si="177"/>
        <v>1.2</v>
      </c>
      <c r="N1719" s="37" t="s">
        <v>25</v>
      </c>
      <c r="O1719" s="37" t="s">
        <v>25</v>
      </c>
      <c r="P1719" s="37">
        <v>0</v>
      </c>
      <c r="Q1719" s="37">
        <v>0</v>
      </c>
      <c r="R1719" s="37" t="s">
        <v>2350</v>
      </c>
      <c r="S1719" s="37"/>
    </row>
    <row r="1720" spans="1:19" x14ac:dyDescent="0.3">
      <c r="A1720" s="36">
        <v>437</v>
      </c>
      <c r="B1720" s="37" t="s">
        <v>2349</v>
      </c>
      <c r="C1720" s="37" t="s">
        <v>1490</v>
      </c>
      <c r="D1720" s="37" t="s">
        <v>139</v>
      </c>
      <c r="E1720" s="37" t="s">
        <v>22</v>
      </c>
      <c r="F1720" s="42">
        <v>45657</v>
      </c>
      <c r="G1720" s="37">
        <v>2024</v>
      </c>
      <c r="H1720" s="37" t="s">
        <v>27</v>
      </c>
      <c r="I1720" s="39" t="s">
        <v>36</v>
      </c>
      <c r="J1720" s="37">
        <v>80</v>
      </c>
      <c r="K1720" s="43">
        <v>84</v>
      </c>
      <c r="L1720" s="65">
        <f t="shared" si="176"/>
        <v>1.05</v>
      </c>
      <c r="M1720" s="65">
        <f t="shared" si="177"/>
        <v>1.05</v>
      </c>
      <c r="N1720" s="37" t="s">
        <v>25</v>
      </c>
      <c r="O1720" s="37" t="s">
        <v>25</v>
      </c>
      <c r="P1720" s="40">
        <v>0</v>
      </c>
      <c r="Q1720" s="40">
        <v>0</v>
      </c>
      <c r="R1720" s="37" t="s">
        <v>2351</v>
      </c>
      <c r="S1720" s="37"/>
    </row>
    <row r="1721" spans="1:19" x14ac:dyDescent="0.3">
      <c r="A1721" s="41">
        <v>438</v>
      </c>
      <c r="B1721" s="37" t="s">
        <v>2352</v>
      </c>
      <c r="C1721" s="37" t="s">
        <v>1801</v>
      </c>
      <c r="D1721" s="37" t="s">
        <v>21</v>
      </c>
      <c r="E1721" s="37" t="s">
        <v>22</v>
      </c>
      <c r="F1721" s="42">
        <v>45291</v>
      </c>
      <c r="G1721" s="37">
        <v>2023</v>
      </c>
      <c r="H1721" s="37" t="s">
        <v>27</v>
      </c>
      <c r="I1721" s="39" t="s">
        <v>32</v>
      </c>
      <c r="J1721" s="37">
        <v>100</v>
      </c>
      <c r="K1721" s="56">
        <v>100</v>
      </c>
      <c r="L1721" s="65">
        <f t="shared" si="176"/>
        <v>1</v>
      </c>
      <c r="M1721" s="65">
        <f t="shared" si="177"/>
        <v>1</v>
      </c>
      <c r="N1721" s="37" t="s">
        <v>25</v>
      </c>
      <c r="O1721" s="37" t="s">
        <v>25</v>
      </c>
      <c r="P1721" s="40">
        <v>0</v>
      </c>
      <c r="Q1721" s="40">
        <v>0</v>
      </c>
      <c r="R1721" s="37" t="s">
        <v>2353</v>
      </c>
      <c r="S1721" s="37"/>
    </row>
    <row r="1722" spans="1:19" x14ac:dyDescent="0.3">
      <c r="A1722" s="37">
        <v>439</v>
      </c>
      <c r="B1722" s="37" t="s">
        <v>2354</v>
      </c>
      <c r="C1722" s="37" t="s">
        <v>1801</v>
      </c>
      <c r="D1722" s="37" t="s">
        <v>21</v>
      </c>
      <c r="E1722" s="37" t="s">
        <v>22</v>
      </c>
      <c r="F1722" s="42">
        <v>45107</v>
      </c>
      <c r="G1722" s="37">
        <v>2023</v>
      </c>
      <c r="H1722" s="37" t="s">
        <v>23</v>
      </c>
      <c r="I1722" s="37" t="s">
        <v>30</v>
      </c>
      <c r="J1722" s="37"/>
      <c r="K1722" s="37"/>
      <c r="L1722" s="65"/>
      <c r="M1722" s="65"/>
      <c r="N1722" s="37" t="s">
        <v>25</v>
      </c>
      <c r="O1722" s="37" t="s">
        <v>223</v>
      </c>
      <c r="P1722" s="37">
        <v>0</v>
      </c>
      <c r="Q1722" s="37">
        <v>0</v>
      </c>
      <c r="R1722" s="37" t="s">
        <v>2355</v>
      </c>
      <c r="S1722" s="37" t="s">
        <v>223</v>
      </c>
    </row>
    <row r="1723" spans="1:19" x14ac:dyDescent="0.3">
      <c r="A1723" s="41">
        <v>439</v>
      </c>
      <c r="B1723" s="37" t="s">
        <v>2354</v>
      </c>
      <c r="C1723" s="37" t="s">
        <v>1801</v>
      </c>
      <c r="D1723" s="37" t="s">
        <v>21</v>
      </c>
      <c r="E1723" s="37" t="s">
        <v>22</v>
      </c>
      <c r="F1723" s="42">
        <v>45291</v>
      </c>
      <c r="G1723" s="37">
        <v>2023</v>
      </c>
      <c r="H1723" s="37" t="s">
        <v>27</v>
      </c>
      <c r="I1723" s="39" t="s">
        <v>32</v>
      </c>
      <c r="J1723" s="37">
        <v>100</v>
      </c>
      <c r="K1723" s="56">
        <v>100</v>
      </c>
      <c r="L1723" s="65">
        <f t="shared" ref="L1723:L1725" si="178">IFERROR(IF(OR(J1723=0,K1723=""),"",IF(E1723="Positivo",MIN(MAX(K1723/J1723,0),1.3),MIN(MAX(J1723/K1723,0),1.3))),"")</f>
        <v>1</v>
      </c>
      <c r="M1723" s="65">
        <f t="shared" ref="M1723:M1725" si="179">IFERROR(IF(OR(J1723=0,K1723=""),"",IF(E1723="Positivo",MAX(K1723/J1723,0),MAX(J1723/K1723,0))),"")</f>
        <v>1</v>
      </c>
      <c r="N1723" s="37" t="s">
        <v>25</v>
      </c>
      <c r="O1723" s="37" t="s">
        <v>25</v>
      </c>
      <c r="P1723" s="40">
        <v>0</v>
      </c>
      <c r="Q1723" s="40">
        <v>0</v>
      </c>
      <c r="R1723" s="37" t="s">
        <v>2356</v>
      </c>
      <c r="S1723" s="37"/>
    </row>
    <row r="1724" spans="1:19" x14ac:dyDescent="0.3">
      <c r="A1724" s="37">
        <v>439</v>
      </c>
      <c r="B1724" s="37" t="s">
        <v>2354</v>
      </c>
      <c r="C1724" s="37" t="s">
        <v>1801</v>
      </c>
      <c r="D1724" s="37" t="s">
        <v>21</v>
      </c>
      <c r="E1724" s="37" t="s">
        <v>22</v>
      </c>
      <c r="F1724" s="42">
        <v>45473</v>
      </c>
      <c r="G1724" s="37">
        <v>2024</v>
      </c>
      <c r="H1724" s="37" t="s">
        <v>23</v>
      </c>
      <c r="I1724" s="39" t="s">
        <v>34</v>
      </c>
      <c r="J1724" s="37">
        <v>100</v>
      </c>
      <c r="K1724" s="37">
        <v>100</v>
      </c>
      <c r="L1724" s="65">
        <f t="shared" si="178"/>
        <v>1</v>
      </c>
      <c r="M1724" s="65">
        <f t="shared" si="179"/>
        <v>1</v>
      </c>
      <c r="N1724" s="37" t="s">
        <v>25</v>
      </c>
      <c r="O1724" s="37" t="s">
        <v>25</v>
      </c>
      <c r="P1724" s="40">
        <v>0</v>
      </c>
      <c r="Q1724" s="37">
        <v>0</v>
      </c>
      <c r="R1724" s="37" t="s">
        <v>2357</v>
      </c>
      <c r="S1724" s="37"/>
    </row>
    <row r="1725" spans="1:19" x14ac:dyDescent="0.3">
      <c r="A1725" s="36">
        <v>439</v>
      </c>
      <c r="B1725" s="37" t="s">
        <v>2354</v>
      </c>
      <c r="C1725" s="37" t="s">
        <v>1801</v>
      </c>
      <c r="D1725" s="37" t="s">
        <v>21</v>
      </c>
      <c r="E1725" s="37" t="s">
        <v>22</v>
      </c>
      <c r="F1725" s="42">
        <v>45657</v>
      </c>
      <c r="G1725" s="37">
        <v>2024</v>
      </c>
      <c r="H1725" s="37" t="s">
        <v>27</v>
      </c>
      <c r="I1725" s="39" t="s">
        <v>36</v>
      </c>
      <c r="J1725" s="37">
        <v>100</v>
      </c>
      <c r="K1725" s="43">
        <v>100</v>
      </c>
      <c r="L1725" s="65">
        <f t="shared" si="178"/>
        <v>1</v>
      </c>
      <c r="M1725" s="65">
        <f t="shared" si="179"/>
        <v>1</v>
      </c>
      <c r="N1725" s="37" t="s">
        <v>25</v>
      </c>
      <c r="O1725" s="37" t="s">
        <v>25</v>
      </c>
      <c r="P1725" s="40">
        <v>0</v>
      </c>
      <c r="Q1725" s="40">
        <v>0</v>
      </c>
      <c r="R1725" s="37" t="s">
        <v>2358</v>
      </c>
      <c r="S1725" s="37"/>
    </row>
    <row r="1726" spans="1:19" x14ac:dyDescent="0.3">
      <c r="A1726" s="37">
        <v>440</v>
      </c>
      <c r="B1726" s="37" t="s">
        <v>2361</v>
      </c>
      <c r="C1726" s="37" t="s">
        <v>1801</v>
      </c>
      <c r="D1726" s="37" t="s">
        <v>21</v>
      </c>
      <c r="E1726" s="37" t="s">
        <v>22</v>
      </c>
      <c r="F1726" s="42">
        <v>45107</v>
      </c>
      <c r="G1726" s="37">
        <v>2023</v>
      </c>
      <c r="H1726" s="37" t="s">
        <v>23</v>
      </c>
      <c r="I1726" s="37" t="s">
        <v>30</v>
      </c>
      <c r="J1726" s="37"/>
      <c r="K1726" s="37"/>
      <c r="L1726" s="65"/>
      <c r="M1726" s="65"/>
      <c r="N1726" s="37" t="s">
        <v>25</v>
      </c>
      <c r="O1726" s="37" t="s">
        <v>223</v>
      </c>
      <c r="P1726" s="37">
        <v>0</v>
      </c>
      <c r="Q1726" s="37">
        <v>1</v>
      </c>
      <c r="R1726" s="37" t="s">
        <v>2362</v>
      </c>
      <c r="S1726" s="37" t="s">
        <v>223</v>
      </c>
    </row>
    <row r="1727" spans="1:19" x14ac:dyDescent="0.3">
      <c r="A1727" s="41">
        <v>440</v>
      </c>
      <c r="B1727" s="37" t="s">
        <v>2361</v>
      </c>
      <c r="C1727" s="37" t="s">
        <v>1801</v>
      </c>
      <c r="D1727" s="37" t="s">
        <v>21</v>
      </c>
      <c r="E1727" s="37" t="s">
        <v>22</v>
      </c>
      <c r="F1727" s="42">
        <v>45291</v>
      </c>
      <c r="G1727" s="37">
        <v>2023</v>
      </c>
      <c r="H1727" s="37" t="s">
        <v>27</v>
      </c>
      <c r="I1727" s="39" t="s">
        <v>32</v>
      </c>
      <c r="J1727" s="37">
        <v>98</v>
      </c>
      <c r="K1727" s="56">
        <v>97.746062537526996</v>
      </c>
      <c r="L1727" s="65">
        <f t="shared" ref="L1727:L1745" si="180">IFERROR(IF(OR(J1727=0,K1727=""),"",IF(E1727="Positivo",MIN(MAX(K1727/J1727,0),1.3),MIN(MAX(J1727/K1727,0),1.3))),"")</f>
        <v>0.99740880140333665</v>
      </c>
      <c r="M1727" s="65">
        <f t="shared" ref="M1727:M1745" si="181">IFERROR(IF(OR(J1727=0,K1727=""),"",IF(E1727="Positivo",MAX(K1727/J1727,0),MAX(J1727/K1727,0))),"")</f>
        <v>0.99740880140333665</v>
      </c>
      <c r="N1727" s="37" t="s">
        <v>25</v>
      </c>
      <c r="O1727" s="37" t="s">
        <v>25</v>
      </c>
      <c r="P1727" s="40">
        <v>0</v>
      </c>
      <c r="Q1727" s="40">
        <v>1</v>
      </c>
      <c r="R1727" s="37" t="s">
        <v>2363</v>
      </c>
      <c r="S1727" s="37"/>
    </row>
    <row r="1728" spans="1:19" x14ac:dyDescent="0.3">
      <c r="A1728" s="37">
        <v>440</v>
      </c>
      <c r="B1728" s="37" t="s">
        <v>2361</v>
      </c>
      <c r="C1728" s="37" t="s">
        <v>1801</v>
      </c>
      <c r="D1728" s="37" t="s">
        <v>21</v>
      </c>
      <c r="E1728" s="37" t="s">
        <v>22</v>
      </c>
      <c r="F1728" s="42">
        <v>45473</v>
      </c>
      <c r="G1728" s="37">
        <v>2024</v>
      </c>
      <c r="H1728" s="37" t="s">
        <v>23</v>
      </c>
      <c r="I1728" s="39" t="s">
        <v>34</v>
      </c>
      <c r="J1728" s="37">
        <v>98</v>
      </c>
      <c r="K1728" s="37">
        <v>99.73</v>
      </c>
      <c r="L1728" s="65">
        <f t="shared" si="180"/>
        <v>1.0176530612244898</v>
      </c>
      <c r="M1728" s="65">
        <f t="shared" si="181"/>
        <v>1.0176530612244898</v>
      </c>
      <c r="N1728" s="37" t="s">
        <v>25</v>
      </c>
      <c r="O1728" s="37" t="s">
        <v>25</v>
      </c>
      <c r="P1728" s="40">
        <v>0</v>
      </c>
      <c r="Q1728" s="37">
        <v>1</v>
      </c>
      <c r="R1728" s="37" t="s">
        <v>2364</v>
      </c>
      <c r="S1728" s="37"/>
    </row>
    <row r="1729" spans="1:19" x14ac:dyDescent="0.3">
      <c r="A1729" s="36">
        <v>440</v>
      </c>
      <c r="B1729" s="37" t="s">
        <v>2361</v>
      </c>
      <c r="C1729" s="37" t="s">
        <v>1801</v>
      </c>
      <c r="D1729" s="37" t="s">
        <v>21</v>
      </c>
      <c r="E1729" s="37" t="s">
        <v>22</v>
      </c>
      <c r="F1729" s="42">
        <v>45657</v>
      </c>
      <c r="G1729" s="37">
        <v>2024</v>
      </c>
      <c r="H1729" s="37" t="s">
        <v>27</v>
      </c>
      <c r="I1729" s="39" t="s">
        <v>36</v>
      </c>
      <c r="J1729" s="37">
        <v>98</v>
      </c>
      <c r="K1729" s="43">
        <v>99.24</v>
      </c>
      <c r="L1729" s="65">
        <f t="shared" si="180"/>
        <v>1.0126530612244897</v>
      </c>
      <c r="M1729" s="65">
        <f t="shared" si="181"/>
        <v>1.0126530612244897</v>
      </c>
      <c r="N1729" s="37" t="s">
        <v>25</v>
      </c>
      <c r="O1729" s="37" t="s">
        <v>25</v>
      </c>
      <c r="P1729" s="40">
        <v>0</v>
      </c>
      <c r="Q1729" s="40">
        <v>1</v>
      </c>
      <c r="R1729" s="37" t="s">
        <v>2365</v>
      </c>
      <c r="S1729" s="37"/>
    </row>
    <row r="1730" spans="1:19" x14ac:dyDescent="0.3">
      <c r="A1730" s="36">
        <v>441</v>
      </c>
      <c r="B1730" s="37" t="s">
        <v>2368</v>
      </c>
      <c r="C1730" s="37" t="s">
        <v>1096</v>
      </c>
      <c r="D1730" s="37" t="s">
        <v>73</v>
      </c>
      <c r="E1730" s="37" t="s">
        <v>22</v>
      </c>
      <c r="F1730" s="42">
        <v>45322</v>
      </c>
      <c r="G1730" s="37">
        <v>2024</v>
      </c>
      <c r="H1730" s="37" t="s">
        <v>74</v>
      </c>
      <c r="I1730" s="39" t="s">
        <v>34</v>
      </c>
      <c r="J1730" s="37">
        <v>90</v>
      </c>
      <c r="K1730" s="43">
        <v>87.82</v>
      </c>
      <c r="L1730" s="65">
        <f t="shared" si="180"/>
        <v>0.97577777777777774</v>
      </c>
      <c r="M1730" s="65">
        <f t="shared" si="181"/>
        <v>0.97577777777777774</v>
      </c>
      <c r="N1730" s="37" t="s">
        <v>25</v>
      </c>
      <c r="O1730" s="60" t="s">
        <v>25</v>
      </c>
      <c r="P1730" s="40">
        <v>0</v>
      </c>
      <c r="Q1730" s="40">
        <v>1</v>
      </c>
      <c r="R1730" s="37" t="s">
        <v>2369</v>
      </c>
      <c r="S1730" s="37"/>
    </row>
    <row r="1731" spans="1:19" x14ac:dyDescent="0.3">
      <c r="A1731" s="36">
        <v>441</v>
      </c>
      <c r="B1731" s="37" t="s">
        <v>2368</v>
      </c>
      <c r="C1731" s="37" t="s">
        <v>1096</v>
      </c>
      <c r="D1731" s="37" t="s">
        <v>73</v>
      </c>
      <c r="E1731" s="37" t="s">
        <v>22</v>
      </c>
      <c r="F1731" s="42">
        <v>45351</v>
      </c>
      <c r="G1731" s="37">
        <v>2024</v>
      </c>
      <c r="H1731" s="37" t="s">
        <v>76</v>
      </c>
      <c r="I1731" s="39" t="s">
        <v>34</v>
      </c>
      <c r="J1731" s="37">
        <v>90</v>
      </c>
      <c r="K1731" s="43">
        <v>90.88</v>
      </c>
      <c r="L1731" s="65">
        <f t="shared" si="180"/>
        <v>1.0097777777777777</v>
      </c>
      <c r="M1731" s="65">
        <f t="shared" si="181"/>
        <v>1.0097777777777777</v>
      </c>
      <c r="N1731" s="37" t="s">
        <v>25</v>
      </c>
      <c r="O1731" s="60" t="s">
        <v>25</v>
      </c>
      <c r="P1731" s="40">
        <v>0</v>
      </c>
      <c r="Q1731" s="40">
        <v>1</v>
      </c>
      <c r="R1731" s="37" t="s">
        <v>2370</v>
      </c>
      <c r="S1731" s="37"/>
    </row>
    <row r="1732" spans="1:19" x14ac:dyDescent="0.3">
      <c r="A1732" s="36">
        <v>441</v>
      </c>
      <c r="B1732" s="37" t="s">
        <v>2368</v>
      </c>
      <c r="C1732" s="37" t="s">
        <v>1096</v>
      </c>
      <c r="D1732" s="37" t="s">
        <v>73</v>
      </c>
      <c r="E1732" s="37" t="s">
        <v>22</v>
      </c>
      <c r="F1732" s="42">
        <v>45382</v>
      </c>
      <c r="G1732" s="37">
        <v>2024</v>
      </c>
      <c r="H1732" s="37" t="s">
        <v>40</v>
      </c>
      <c r="I1732" s="39" t="s">
        <v>34</v>
      </c>
      <c r="J1732" s="37">
        <v>90</v>
      </c>
      <c r="K1732" s="43">
        <v>91.52</v>
      </c>
      <c r="L1732" s="65">
        <f t="shared" si="180"/>
        <v>1.016888888888889</v>
      </c>
      <c r="M1732" s="65">
        <f t="shared" si="181"/>
        <v>1.016888888888889</v>
      </c>
      <c r="N1732" s="37" t="s">
        <v>25</v>
      </c>
      <c r="O1732" s="60" t="s">
        <v>25</v>
      </c>
      <c r="P1732" s="40">
        <v>0</v>
      </c>
      <c r="Q1732" s="40">
        <v>1</v>
      </c>
      <c r="R1732" s="37" t="s">
        <v>2371</v>
      </c>
      <c r="S1732" s="37"/>
    </row>
    <row r="1733" spans="1:19" x14ac:dyDescent="0.3">
      <c r="A1733" s="36">
        <v>441</v>
      </c>
      <c r="B1733" s="37" t="s">
        <v>2368</v>
      </c>
      <c r="C1733" s="37" t="s">
        <v>1096</v>
      </c>
      <c r="D1733" s="37" t="s">
        <v>73</v>
      </c>
      <c r="E1733" s="37" t="s">
        <v>22</v>
      </c>
      <c r="F1733" s="42">
        <v>45412</v>
      </c>
      <c r="G1733" s="37">
        <v>2024</v>
      </c>
      <c r="H1733" s="37" t="s">
        <v>79</v>
      </c>
      <c r="I1733" s="39" t="s">
        <v>34</v>
      </c>
      <c r="J1733" s="37">
        <v>90</v>
      </c>
      <c r="K1733" s="43">
        <v>95.82</v>
      </c>
      <c r="L1733" s="65">
        <f t="shared" si="180"/>
        <v>1.0646666666666667</v>
      </c>
      <c r="M1733" s="65">
        <f t="shared" si="181"/>
        <v>1.0646666666666667</v>
      </c>
      <c r="N1733" s="37" t="s">
        <v>25</v>
      </c>
      <c r="O1733" s="60" t="s">
        <v>25</v>
      </c>
      <c r="P1733" s="40">
        <v>0</v>
      </c>
      <c r="Q1733" s="40">
        <v>1</v>
      </c>
      <c r="R1733" s="37" t="s">
        <v>2372</v>
      </c>
      <c r="S1733" s="37"/>
    </row>
    <row r="1734" spans="1:19" x14ac:dyDescent="0.3">
      <c r="A1734" s="36">
        <v>441</v>
      </c>
      <c r="B1734" s="37" t="s">
        <v>2368</v>
      </c>
      <c r="C1734" s="37" t="s">
        <v>1096</v>
      </c>
      <c r="D1734" s="37" t="s">
        <v>73</v>
      </c>
      <c r="E1734" s="37" t="s">
        <v>22</v>
      </c>
      <c r="F1734" s="42">
        <v>45443</v>
      </c>
      <c r="G1734" s="37">
        <v>2024</v>
      </c>
      <c r="H1734" s="37" t="s">
        <v>81</v>
      </c>
      <c r="I1734" s="39" t="s">
        <v>34</v>
      </c>
      <c r="J1734" s="37">
        <v>90</v>
      </c>
      <c r="K1734" s="43">
        <v>96.89</v>
      </c>
      <c r="L1734" s="65">
        <f t="shared" si="180"/>
        <v>1.0765555555555555</v>
      </c>
      <c r="M1734" s="65">
        <f t="shared" si="181"/>
        <v>1.0765555555555555</v>
      </c>
      <c r="N1734" s="37" t="s">
        <v>25</v>
      </c>
      <c r="O1734" s="60" t="s">
        <v>25</v>
      </c>
      <c r="P1734" s="40">
        <v>0</v>
      </c>
      <c r="Q1734" s="40">
        <v>1</v>
      </c>
      <c r="R1734" s="37" t="s">
        <v>2373</v>
      </c>
      <c r="S1734" s="37"/>
    </row>
    <row r="1735" spans="1:19" x14ac:dyDescent="0.3">
      <c r="A1735" s="37">
        <v>441</v>
      </c>
      <c r="B1735" s="37" t="s">
        <v>2368</v>
      </c>
      <c r="C1735" s="37" t="s">
        <v>1096</v>
      </c>
      <c r="D1735" s="37" t="s">
        <v>73</v>
      </c>
      <c r="E1735" s="37" t="s">
        <v>22</v>
      </c>
      <c r="F1735" s="42">
        <v>45473</v>
      </c>
      <c r="G1735" s="37">
        <v>2024</v>
      </c>
      <c r="H1735" s="37" t="s">
        <v>23</v>
      </c>
      <c r="I1735" s="39" t="s">
        <v>34</v>
      </c>
      <c r="J1735" s="37">
        <v>90</v>
      </c>
      <c r="K1735" s="37">
        <v>101.44927536231801</v>
      </c>
      <c r="L1735" s="65">
        <f t="shared" si="180"/>
        <v>1.1272141706924224</v>
      </c>
      <c r="M1735" s="65">
        <f t="shared" si="181"/>
        <v>1.1272141706924224</v>
      </c>
      <c r="N1735" s="37" t="s">
        <v>25</v>
      </c>
      <c r="O1735" s="60" t="s">
        <v>25</v>
      </c>
      <c r="P1735" s="37">
        <v>0</v>
      </c>
      <c r="Q1735" s="37">
        <v>0</v>
      </c>
      <c r="R1735" s="37" t="s">
        <v>2374</v>
      </c>
      <c r="S1735" s="37"/>
    </row>
    <row r="1736" spans="1:19" x14ac:dyDescent="0.3">
      <c r="A1736" s="36">
        <v>441</v>
      </c>
      <c r="B1736" s="37" t="s">
        <v>2368</v>
      </c>
      <c r="C1736" s="37" t="s">
        <v>1096</v>
      </c>
      <c r="D1736" s="37" t="s">
        <v>73</v>
      </c>
      <c r="E1736" s="37" t="s">
        <v>22</v>
      </c>
      <c r="F1736" s="42">
        <v>45504</v>
      </c>
      <c r="G1736" s="37">
        <v>2024</v>
      </c>
      <c r="H1736" s="37" t="s">
        <v>84</v>
      </c>
      <c r="I1736" s="39" t="s">
        <v>36</v>
      </c>
      <c r="J1736" s="37">
        <v>90</v>
      </c>
      <c r="K1736" s="43">
        <v>91.2</v>
      </c>
      <c r="L1736" s="65">
        <f t="shared" si="180"/>
        <v>1.0133333333333334</v>
      </c>
      <c r="M1736" s="65">
        <f t="shared" si="181"/>
        <v>1.0133333333333334</v>
      </c>
      <c r="N1736" s="37" t="s">
        <v>25</v>
      </c>
      <c r="O1736" s="60" t="s">
        <v>25</v>
      </c>
      <c r="P1736" s="40">
        <v>0</v>
      </c>
      <c r="Q1736" s="40">
        <v>0</v>
      </c>
      <c r="R1736" s="37" t="s">
        <v>2375</v>
      </c>
      <c r="S1736" s="37"/>
    </row>
    <row r="1737" spans="1:19" x14ac:dyDescent="0.3">
      <c r="A1737" s="36">
        <v>441</v>
      </c>
      <c r="B1737" s="37" t="s">
        <v>2368</v>
      </c>
      <c r="C1737" s="37" t="s">
        <v>1096</v>
      </c>
      <c r="D1737" s="37" t="s">
        <v>73</v>
      </c>
      <c r="E1737" s="37" t="s">
        <v>22</v>
      </c>
      <c r="F1737" s="42">
        <v>45535</v>
      </c>
      <c r="G1737" s="37">
        <v>2024</v>
      </c>
      <c r="H1737" s="37" t="s">
        <v>86</v>
      </c>
      <c r="I1737" s="39" t="s">
        <v>36</v>
      </c>
      <c r="J1737" s="37">
        <v>90</v>
      </c>
      <c r="K1737" s="43">
        <v>98.160535117056796</v>
      </c>
      <c r="L1737" s="65">
        <f t="shared" si="180"/>
        <v>1.0906726124117421</v>
      </c>
      <c r="M1737" s="65">
        <f t="shared" si="181"/>
        <v>1.0906726124117421</v>
      </c>
      <c r="N1737" s="37" t="s">
        <v>25</v>
      </c>
      <c r="O1737" s="60" t="s">
        <v>25</v>
      </c>
      <c r="P1737" s="40">
        <v>0</v>
      </c>
      <c r="Q1737" s="40">
        <v>0</v>
      </c>
      <c r="R1737" s="37" t="s">
        <v>2376</v>
      </c>
      <c r="S1737" s="37"/>
    </row>
    <row r="1738" spans="1:19" x14ac:dyDescent="0.3">
      <c r="A1738" s="36">
        <v>441</v>
      </c>
      <c r="B1738" s="37" t="s">
        <v>2368</v>
      </c>
      <c r="C1738" s="37" t="s">
        <v>1096</v>
      </c>
      <c r="D1738" s="37" t="s">
        <v>73</v>
      </c>
      <c r="E1738" s="37" t="s">
        <v>22</v>
      </c>
      <c r="F1738" s="42">
        <v>45565</v>
      </c>
      <c r="G1738" s="37">
        <v>2024</v>
      </c>
      <c r="H1738" s="37" t="s">
        <v>43</v>
      </c>
      <c r="I1738" s="39" t="s">
        <v>36</v>
      </c>
      <c r="J1738" s="37">
        <v>90</v>
      </c>
      <c r="K1738" s="43">
        <v>97.789566755083996</v>
      </c>
      <c r="L1738" s="65">
        <f t="shared" si="180"/>
        <v>1.0865507417231555</v>
      </c>
      <c r="M1738" s="65">
        <f t="shared" si="181"/>
        <v>1.0865507417231555</v>
      </c>
      <c r="N1738" s="37" t="s">
        <v>25</v>
      </c>
      <c r="O1738" s="60" t="s">
        <v>25</v>
      </c>
      <c r="P1738" s="40">
        <v>0</v>
      </c>
      <c r="Q1738" s="40">
        <v>0</v>
      </c>
      <c r="R1738" s="37" t="s">
        <v>2377</v>
      </c>
      <c r="S1738" s="37"/>
    </row>
    <row r="1739" spans="1:19" x14ac:dyDescent="0.3">
      <c r="A1739" s="36">
        <v>441</v>
      </c>
      <c r="B1739" s="37" t="s">
        <v>2368</v>
      </c>
      <c r="C1739" s="37" t="s">
        <v>1096</v>
      </c>
      <c r="D1739" s="37" t="s">
        <v>73</v>
      </c>
      <c r="E1739" s="37" t="s">
        <v>22</v>
      </c>
      <c r="F1739" s="42">
        <v>45596</v>
      </c>
      <c r="G1739" s="37">
        <v>2024</v>
      </c>
      <c r="H1739" s="37" t="s">
        <v>89</v>
      </c>
      <c r="I1739" s="39" t="s">
        <v>36</v>
      </c>
      <c r="J1739" s="37">
        <v>90</v>
      </c>
      <c r="K1739" s="43">
        <v>96.619083395942894</v>
      </c>
      <c r="L1739" s="65">
        <f t="shared" si="180"/>
        <v>1.0735453710660321</v>
      </c>
      <c r="M1739" s="65">
        <f t="shared" si="181"/>
        <v>1.0735453710660321</v>
      </c>
      <c r="N1739" s="37" t="s">
        <v>25</v>
      </c>
      <c r="O1739" s="60" t="s">
        <v>25</v>
      </c>
      <c r="P1739" s="40">
        <v>0</v>
      </c>
      <c r="Q1739" s="40">
        <v>0</v>
      </c>
      <c r="R1739" s="37" t="s">
        <v>2378</v>
      </c>
      <c r="S1739" s="37"/>
    </row>
    <row r="1740" spans="1:19" x14ac:dyDescent="0.3">
      <c r="A1740" s="36">
        <v>441</v>
      </c>
      <c r="B1740" s="37" t="s">
        <v>2368</v>
      </c>
      <c r="C1740" s="37" t="s">
        <v>1096</v>
      </c>
      <c r="D1740" s="37" t="s">
        <v>73</v>
      </c>
      <c r="E1740" s="37" t="s">
        <v>22</v>
      </c>
      <c r="F1740" s="42">
        <v>45626</v>
      </c>
      <c r="G1740" s="37">
        <v>2024</v>
      </c>
      <c r="H1740" s="37" t="s">
        <v>91</v>
      </c>
      <c r="I1740" s="39" t="s">
        <v>36</v>
      </c>
      <c r="J1740" s="37">
        <v>90</v>
      </c>
      <c r="K1740" s="43">
        <v>97.5359342915811</v>
      </c>
      <c r="L1740" s="65">
        <f t="shared" si="180"/>
        <v>1.08373260323979</v>
      </c>
      <c r="M1740" s="65">
        <f t="shared" si="181"/>
        <v>1.08373260323979</v>
      </c>
      <c r="N1740" s="37" t="s">
        <v>25</v>
      </c>
      <c r="O1740" s="60" t="s">
        <v>25</v>
      </c>
      <c r="P1740" s="40">
        <v>0</v>
      </c>
      <c r="Q1740" s="40">
        <v>0</v>
      </c>
      <c r="R1740" s="37" t="s">
        <v>2379</v>
      </c>
      <c r="S1740" s="37"/>
    </row>
    <row r="1741" spans="1:19" x14ac:dyDescent="0.3">
      <c r="A1741" s="36">
        <v>441</v>
      </c>
      <c r="B1741" s="37" t="s">
        <v>2368</v>
      </c>
      <c r="C1741" s="37" t="s">
        <v>1096</v>
      </c>
      <c r="D1741" s="37" t="s">
        <v>73</v>
      </c>
      <c r="E1741" s="37" t="s">
        <v>22</v>
      </c>
      <c r="F1741" s="42">
        <v>45657</v>
      </c>
      <c r="G1741" s="37">
        <v>2024</v>
      </c>
      <c r="H1741" s="37" t="s">
        <v>27</v>
      </c>
      <c r="I1741" s="39" t="s">
        <v>36</v>
      </c>
      <c r="J1741" s="37">
        <v>90</v>
      </c>
      <c r="K1741" s="43">
        <v>99.919935948759004</v>
      </c>
      <c r="L1741" s="65">
        <f t="shared" si="180"/>
        <v>1.1102215105417668</v>
      </c>
      <c r="M1741" s="65">
        <f t="shared" si="181"/>
        <v>1.1102215105417668</v>
      </c>
      <c r="N1741" s="37" t="s">
        <v>25</v>
      </c>
      <c r="O1741" s="60" t="s">
        <v>25</v>
      </c>
      <c r="P1741" s="40">
        <v>0</v>
      </c>
      <c r="Q1741" s="40">
        <v>0</v>
      </c>
      <c r="R1741" s="37" t="s">
        <v>2380</v>
      </c>
      <c r="S1741" s="37"/>
    </row>
    <row r="1742" spans="1:19" x14ac:dyDescent="0.3">
      <c r="A1742" s="37">
        <v>442</v>
      </c>
      <c r="B1742" s="37" t="s">
        <v>2381</v>
      </c>
      <c r="C1742" s="37" t="s">
        <v>454</v>
      </c>
      <c r="D1742" s="37" t="s">
        <v>21</v>
      </c>
      <c r="E1742" s="37" t="s">
        <v>22</v>
      </c>
      <c r="F1742" s="42">
        <v>45473</v>
      </c>
      <c r="G1742" s="37">
        <v>2024</v>
      </c>
      <c r="H1742" s="37" t="s">
        <v>23</v>
      </c>
      <c r="I1742" s="39" t="s">
        <v>34</v>
      </c>
      <c r="J1742" s="37">
        <v>100</v>
      </c>
      <c r="K1742" s="37">
        <v>80</v>
      </c>
      <c r="L1742" s="65">
        <f t="shared" si="180"/>
        <v>0.8</v>
      </c>
      <c r="M1742" s="65">
        <f t="shared" si="181"/>
        <v>0.8</v>
      </c>
      <c r="N1742" s="37"/>
      <c r="O1742" s="37"/>
      <c r="P1742" s="37">
        <v>0</v>
      </c>
      <c r="Q1742" s="37">
        <v>0</v>
      </c>
      <c r="R1742" s="37" t="s">
        <v>2382</v>
      </c>
      <c r="S1742" s="37"/>
    </row>
    <row r="1743" spans="1:19" x14ac:dyDescent="0.3">
      <c r="A1743" s="36">
        <v>442</v>
      </c>
      <c r="B1743" s="37" t="s">
        <v>2381</v>
      </c>
      <c r="C1743" s="37" t="s">
        <v>454</v>
      </c>
      <c r="D1743" s="37" t="s">
        <v>21</v>
      </c>
      <c r="E1743" s="37" t="s">
        <v>22</v>
      </c>
      <c r="F1743" s="42">
        <v>45657</v>
      </c>
      <c r="G1743" s="37">
        <v>2024</v>
      </c>
      <c r="H1743" s="37" t="s">
        <v>27</v>
      </c>
      <c r="I1743" s="39" t="s">
        <v>36</v>
      </c>
      <c r="J1743" s="37">
        <v>100</v>
      </c>
      <c r="K1743" s="43">
        <v>145</v>
      </c>
      <c r="L1743" s="65">
        <f t="shared" si="180"/>
        <v>1.3</v>
      </c>
      <c r="M1743" s="65">
        <f t="shared" si="181"/>
        <v>1.45</v>
      </c>
      <c r="N1743" s="37"/>
      <c r="O1743" s="37"/>
      <c r="P1743" s="40">
        <v>0</v>
      </c>
      <c r="Q1743" s="40">
        <v>0</v>
      </c>
      <c r="R1743" s="37" t="s">
        <v>2383</v>
      </c>
      <c r="S1743" s="37"/>
    </row>
    <row r="1744" spans="1:19" x14ac:dyDescent="0.3">
      <c r="A1744" s="37">
        <v>443</v>
      </c>
      <c r="B1744" s="37" t="s">
        <v>2384</v>
      </c>
      <c r="C1744" s="37" t="s">
        <v>454</v>
      </c>
      <c r="D1744" s="37" t="s">
        <v>21</v>
      </c>
      <c r="E1744" s="37" t="s">
        <v>22</v>
      </c>
      <c r="F1744" s="42">
        <v>45473</v>
      </c>
      <c r="G1744" s="37">
        <v>2024</v>
      </c>
      <c r="H1744" s="37" t="s">
        <v>23</v>
      </c>
      <c r="I1744" s="39" t="s">
        <v>34</v>
      </c>
      <c r="J1744" s="37">
        <v>100</v>
      </c>
      <c r="K1744" s="37">
        <v>114.33</v>
      </c>
      <c r="L1744" s="65">
        <f t="shared" si="180"/>
        <v>1.1433</v>
      </c>
      <c r="M1744" s="65">
        <f t="shared" si="181"/>
        <v>1.1433</v>
      </c>
      <c r="N1744" s="37"/>
      <c r="O1744" s="37"/>
      <c r="P1744" s="37">
        <v>0</v>
      </c>
      <c r="Q1744" s="37">
        <v>0</v>
      </c>
      <c r="R1744" s="37" t="s">
        <v>2385</v>
      </c>
      <c r="S1744" s="37"/>
    </row>
    <row r="1745" spans="1:19" x14ac:dyDescent="0.3">
      <c r="A1745" s="36">
        <v>443</v>
      </c>
      <c r="B1745" s="37" t="s">
        <v>2384</v>
      </c>
      <c r="C1745" s="37" t="s">
        <v>454</v>
      </c>
      <c r="D1745" s="37" t="s">
        <v>21</v>
      </c>
      <c r="E1745" s="37" t="s">
        <v>22</v>
      </c>
      <c r="F1745" s="42">
        <v>45657</v>
      </c>
      <c r="G1745" s="37">
        <v>2024</v>
      </c>
      <c r="H1745" s="37" t="s">
        <v>27</v>
      </c>
      <c r="I1745" s="39" t="s">
        <v>36</v>
      </c>
      <c r="J1745" s="37">
        <v>100</v>
      </c>
      <c r="K1745" s="43">
        <v>209</v>
      </c>
      <c r="L1745" s="65">
        <f t="shared" si="180"/>
        <v>1.3</v>
      </c>
      <c r="M1745" s="65">
        <f t="shared" si="181"/>
        <v>2.09</v>
      </c>
      <c r="N1745" s="37"/>
      <c r="O1745" s="37"/>
      <c r="P1745" s="40">
        <v>0</v>
      </c>
      <c r="Q1745" s="40">
        <v>0</v>
      </c>
      <c r="R1745" s="37" t="s">
        <v>2386</v>
      </c>
      <c r="S1745" s="37"/>
    </row>
    <row r="1746" spans="1:19" x14ac:dyDescent="0.3">
      <c r="A1746" s="36">
        <v>444</v>
      </c>
      <c r="B1746" s="37" t="s">
        <v>2387</v>
      </c>
      <c r="C1746" s="37" t="s">
        <v>1215</v>
      </c>
      <c r="D1746" s="37" t="s">
        <v>21</v>
      </c>
      <c r="E1746" s="37" t="s">
        <v>22</v>
      </c>
      <c r="F1746" s="42">
        <v>45657</v>
      </c>
      <c r="G1746" s="37">
        <v>2024</v>
      </c>
      <c r="H1746" s="37" t="s">
        <v>27</v>
      </c>
      <c r="I1746" s="39" t="s">
        <v>36</v>
      </c>
      <c r="J1746" s="37"/>
      <c r="K1746" s="43">
        <v>2.1</v>
      </c>
      <c r="L1746" s="65"/>
      <c r="M1746" s="65"/>
      <c r="N1746" s="37" t="s">
        <v>670</v>
      </c>
      <c r="O1746" s="37"/>
      <c r="P1746" s="40">
        <v>0</v>
      </c>
      <c r="Q1746" s="40">
        <v>1</v>
      </c>
      <c r="R1746" s="37" t="s">
        <v>2388</v>
      </c>
      <c r="S1746" s="37"/>
    </row>
    <row r="1747" spans="1:19" x14ac:dyDescent="0.3">
      <c r="A1747" s="37">
        <v>445</v>
      </c>
      <c r="B1747" s="37" t="s">
        <v>2389</v>
      </c>
      <c r="C1747" s="37" t="s">
        <v>1215</v>
      </c>
      <c r="D1747" s="37" t="s">
        <v>21</v>
      </c>
      <c r="E1747" s="37" t="s">
        <v>22</v>
      </c>
      <c r="F1747" s="42">
        <v>45473</v>
      </c>
      <c r="G1747" s="37">
        <v>2024</v>
      </c>
      <c r="H1747" s="37" t="s">
        <v>23</v>
      </c>
      <c r="I1747" s="39" t="s">
        <v>34</v>
      </c>
      <c r="J1747" s="37">
        <v>67.5</v>
      </c>
      <c r="K1747" s="37">
        <v>55.2</v>
      </c>
      <c r="L1747" s="65">
        <f t="shared" ref="L1747:L1763" si="182">IFERROR(IF(OR(J1747=0,K1747=""),"",IF(E1747="Positivo",MIN(MAX(K1747/J1747,0),1.3),MIN(MAX(J1747/K1747,0),1.3))),"")</f>
        <v>0.81777777777777783</v>
      </c>
      <c r="M1747" s="65">
        <f t="shared" ref="M1747:M1763" si="183">IFERROR(IF(OR(J1747=0,K1747=""),"",IF(E1747="Positivo",MAX(K1747/J1747,0),MAX(J1747/K1747,0))),"")</f>
        <v>0.81777777777777783</v>
      </c>
      <c r="N1747" s="37" t="s">
        <v>25</v>
      </c>
      <c r="O1747" s="37" t="s">
        <v>25</v>
      </c>
      <c r="P1747" s="37">
        <v>0</v>
      </c>
      <c r="Q1747" s="37">
        <v>0</v>
      </c>
      <c r="R1747" s="37" t="s">
        <v>2390</v>
      </c>
      <c r="S1747" s="37"/>
    </row>
    <row r="1748" spans="1:19" x14ac:dyDescent="0.3">
      <c r="A1748" s="36">
        <v>445</v>
      </c>
      <c r="B1748" s="37" t="s">
        <v>2389</v>
      </c>
      <c r="C1748" s="37" t="s">
        <v>1215</v>
      </c>
      <c r="D1748" s="37" t="s">
        <v>21</v>
      </c>
      <c r="E1748" s="37" t="s">
        <v>22</v>
      </c>
      <c r="F1748" s="42">
        <v>45657</v>
      </c>
      <c r="G1748" s="37">
        <v>2024</v>
      </c>
      <c r="H1748" s="37" t="s">
        <v>27</v>
      </c>
      <c r="I1748" s="39" t="s">
        <v>36</v>
      </c>
      <c r="J1748" s="37">
        <v>67.5</v>
      </c>
      <c r="K1748" s="43">
        <v>86.5</v>
      </c>
      <c r="L1748" s="65">
        <f t="shared" si="182"/>
        <v>1.2814814814814814</v>
      </c>
      <c r="M1748" s="65">
        <f t="shared" si="183"/>
        <v>1.2814814814814814</v>
      </c>
      <c r="N1748" s="37" t="s">
        <v>25</v>
      </c>
      <c r="O1748" s="37" t="s">
        <v>25</v>
      </c>
      <c r="P1748" s="40">
        <v>0</v>
      </c>
      <c r="Q1748" s="40">
        <v>0</v>
      </c>
      <c r="R1748" s="37" t="s">
        <v>2391</v>
      </c>
      <c r="S1748" s="37"/>
    </row>
    <row r="1749" spans="1:19" x14ac:dyDescent="0.3">
      <c r="A1749" s="37">
        <v>447</v>
      </c>
      <c r="B1749" s="37" t="s">
        <v>1481</v>
      </c>
      <c r="C1749" s="37" t="s">
        <v>461</v>
      </c>
      <c r="D1749" s="37" t="s">
        <v>21</v>
      </c>
      <c r="E1749" s="37" t="s">
        <v>22</v>
      </c>
      <c r="F1749" s="42">
        <v>45473</v>
      </c>
      <c r="G1749" s="37">
        <v>2024</v>
      </c>
      <c r="H1749" s="37" t="s">
        <v>23</v>
      </c>
      <c r="I1749" s="39" t="s">
        <v>34</v>
      </c>
      <c r="J1749" s="37">
        <v>15</v>
      </c>
      <c r="K1749" s="37">
        <v>31.04</v>
      </c>
      <c r="L1749" s="65">
        <f t="shared" si="182"/>
        <v>1.3</v>
      </c>
      <c r="M1749" s="65">
        <f t="shared" si="183"/>
        <v>2.0693333333333332</v>
      </c>
      <c r="N1749" s="37" t="s">
        <v>25</v>
      </c>
      <c r="O1749" s="37" t="s">
        <v>25</v>
      </c>
      <c r="P1749" s="37">
        <v>0</v>
      </c>
      <c r="Q1749" s="37">
        <v>0</v>
      </c>
      <c r="R1749" s="37" t="s">
        <v>2392</v>
      </c>
      <c r="S1749" s="37"/>
    </row>
    <row r="1750" spans="1:19" x14ac:dyDescent="0.3">
      <c r="A1750" s="36">
        <v>447</v>
      </c>
      <c r="B1750" s="37" t="s">
        <v>1481</v>
      </c>
      <c r="C1750" s="37" t="s">
        <v>461</v>
      </c>
      <c r="D1750" s="37" t="s">
        <v>21</v>
      </c>
      <c r="E1750" s="37" t="s">
        <v>22</v>
      </c>
      <c r="F1750" s="42">
        <v>45657</v>
      </c>
      <c r="G1750" s="37">
        <v>2024</v>
      </c>
      <c r="H1750" s="37" t="s">
        <v>27</v>
      </c>
      <c r="I1750" s="39" t="s">
        <v>36</v>
      </c>
      <c r="J1750" s="37">
        <v>15</v>
      </c>
      <c r="K1750" s="43">
        <v>16.16</v>
      </c>
      <c r="L1750" s="65">
        <f t="shared" si="182"/>
        <v>1.0773333333333333</v>
      </c>
      <c r="M1750" s="65">
        <f t="shared" si="183"/>
        <v>1.0773333333333333</v>
      </c>
      <c r="N1750" s="37" t="s">
        <v>25</v>
      </c>
      <c r="O1750" s="37" t="s">
        <v>25</v>
      </c>
      <c r="P1750" s="40">
        <v>0</v>
      </c>
      <c r="Q1750" s="40">
        <v>0</v>
      </c>
      <c r="R1750" s="37" t="s">
        <v>2393</v>
      </c>
      <c r="S1750" s="37"/>
    </row>
    <row r="1751" spans="1:19" x14ac:dyDescent="0.3">
      <c r="A1751" s="37">
        <v>448</v>
      </c>
      <c r="B1751" s="37" t="s">
        <v>2394</v>
      </c>
      <c r="C1751" s="37" t="s">
        <v>461</v>
      </c>
      <c r="D1751" s="37" t="s">
        <v>21</v>
      </c>
      <c r="E1751" s="37" t="s">
        <v>22</v>
      </c>
      <c r="F1751" s="42">
        <v>45473</v>
      </c>
      <c r="G1751" s="37">
        <v>2024</v>
      </c>
      <c r="H1751" s="37" t="s">
        <v>23</v>
      </c>
      <c r="I1751" s="39" t="s">
        <v>34</v>
      </c>
      <c r="J1751" s="37">
        <v>9</v>
      </c>
      <c r="K1751" s="37">
        <v>18.93</v>
      </c>
      <c r="L1751" s="65">
        <f t="shared" si="182"/>
        <v>1.3</v>
      </c>
      <c r="M1751" s="65">
        <f t="shared" si="183"/>
        <v>2.1033333333333335</v>
      </c>
      <c r="N1751" s="37" t="s">
        <v>25</v>
      </c>
      <c r="O1751" s="37" t="s">
        <v>25</v>
      </c>
      <c r="P1751" s="37">
        <v>0</v>
      </c>
      <c r="Q1751" s="37">
        <v>0</v>
      </c>
      <c r="R1751" s="37" t="s">
        <v>2395</v>
      </c>
      <c r="S1751" s="37"/>
    </row>
    <row r="1752" spans="1:19" x14ac:dyDescent="0.3">
      <c r="A1752" s="36">
        <v>448</v>
      </c>
      <c r="B1752" s="37" t="s">
        <v>2394</v>
      </c>
      <c r="C1752" s="37" t="s">
        <v>461</v>
      </c>
      <c r="D1752" s="37" t="s">
        <v>21</v>
      </c>
      <c r="E1752" s="37" t="s">
        <v>22</v>
      </c>
      <c r="F1752" s="42">
        <v>45657</v>
      </c>
      <c r="G1752" s="37">
        <v>2024</v>
      </c>
      <c r="H1752" s="37" t="s">
        <v>27</v>
      </c>
      <c r="I1752" s="39" t="s">
        <v>36</v>
      </c>
      <c r="J1752" s="37">
        <v>9</v>
      </c>
      <c r="K1752" s="43">
        <v>9.32</v>
      </c>
      <c r="L1752" s="65">
        <f t="shared" si="182"/>
        <v>1.0355555555555556</v>
      </c>
      <c r="M1752" s="65">
        <f t="shared" si="183"/>
        <v>1.0355555555555556</v>
      </c>
      <c r="N1752" s="37" t="s">
        <v>25</v>
      </c>
      <c r="O1752" s="37" t="s">
        <v>25</v>
      </c>
      <c r="P1752" s="40">
        <v>0</v>
      </c>
      <c r="Q1752" s="40">
        <v>0</v>
      </c>
      <c r="R1752" s="37" t="s">
        <v>2396</v>
      </c>
      <c r="S1752" s="37"/>
    </row>
    <row r="1753" spans="1:19" x14ac:dyDescent="0.3">
      <c r="A1753" s="36">
        <v>449</v>
      </c>
      <c r="B1753" s="37" t="s">
        <v>2397</v>
      </c>
      <c r="C1753" s="37" t="s">
        <v>1490</v>
      </c>
      <c r="D1753" s="37" t="s">
        <v>39</v>
      </c>
      <c r="E1753" s="37" t="s">
        <v>22</v>
      </c>
      <c r="F1753" s="42">
        <v>45382</v>
      </c>
      <c r="G1753" s="37">
        <v>2024</v>
      </c>
      <c r="H1753" s="37" t="s">
        <v>40</v>
      </c>
      <c r="I1753" s="39" t="s">
        <v>34</v>
      </c>
      <c r="J1753" s="37">
        <v>20</v>
      </c>
      <c r="K1753" s="43">
        <v>51.28</v>
      </c>
      <c r="L1753" s="65">
        <f t="shared" si="182"/>
        <v>1.3</v>
      </c>
      <c r="M1753" s="65">
        <f t="shared" si="183"/>
        <v>2.5640000000000001</v>
      </c>
      <c r="N1753" s="37"/>
      <c r="O1753" s="37"/>
      <c r="P1753" s="40">
        <v>0</v>
      </c>
      <c r="Q1753" s="40">
        <v>0</v>
      </c>
      <c r="R1753" s="37" t="s">
        <v>2398</v>
      </c>
      <c r="S1753" s="37"/>
    </row>
    <row r="1754" spans="1:19" x14ac:dyDescent="0.3">
      <c r="A1754" s="36">
        <v>449</v>
      </c>
      <c r="B1754" s="37" t="s">
        <v>2397</v>
      </c>
      <c r="C1754" s="37" t="s">
        <v>1490</v>
      </c>
      <c r="D1754" s="37" t="s">
        <v>39</v>
      </c>
      <c r="E1754" s="37" t="s">
        <v>22</v>
      </c>
      <c r="F1754" s="42">
        <v>45565</v>
      </c>
      <c r="G1754" s="37">
        <v>2024</v>
      </c>
      <c r="H1754" s="37" t="s">
        <v>43</v>
      </c>
      <c r="I1754" s="39" t="s">
        <v>36</v>
      </c>
      <c r="J1754" s="37">
        <v>70</v>
      </c>
      <c r="K1754" s="43">
        <v>84.615384615384599</v>
      </c>
      <c r="L1754" s="65">
        <f t="shared" si="182"/>
        <v>1.2087912087912085</v>
      </c>
      <c r="M1754" s="65">
        <f t="shared" si="183"/>
        <v>1.2087912087912085</v>
      </c>
      <c r="N1754" s="37"/>
      <c r="O1754" s="37"/>
      <c r="P1754" s="40">
        <v>0</v>
      </c>
      <c r="Q1754" s="40">
        <v>0</v>
      </c>
      <c r="R1754" s="37" t="s">
        <v>2399</v>
      </c>
      <c r="S1754" s="37"/>
    </row>
    <row r="1755" spans="1:19" x14ac:dyDescent="0.3">
      <c r="A1755" s="36">
        <v>449</v>
      </c>
      <c r="B1755" s="37" t="s">
        <v>2397</v>
      </c>
      <c r="C1755" s="37" t="s">
        <v>1490</v>
      </c>
      <c r="D1755" s="37" t="s">
        <v>39</v>
      </c>
      <c r="E1755" s="37" t="s">
        <v>22</v>
      </c>
      <c r="F1755" s="42">
        <v>45657</v>
      </c>
      <c r="G1755" s="37">
        <v>2024</v>
      </c>
      <c r="H1755" s="37" t="s">
        <v>27</v>
      </c>
      <c r="I1755" s="39" t="s">
        <v>36</v>
      </c>
      <c r="J1755" s="37">
        <v>100</v>
      </c>
      <c r="K1755" s="43">
        <v>100</v>
      </c>
      <c r="L1755" s="65">
        <f t="shared" si="182"/>
        <v>1</v>
      </c>
      <c r="M1755" s="65">
        <f t="shared" si="183"/>
        <v>1</v>
      </c>
      <c r="N1755" s="37"/>
      <c r="O1755" s="37"/>
      <c r="P1755" s="40">
        <v>0</v>
      </c>
      <c r="Q1755" s="40">
        <v>0</v>
      </c>
      <c r="R1755" s="37" t="s">
        <v>2400</v>
      </c>
      <c r="S1755" s="37"/>
    </row>
    <row r="1756" spans="1:19" x14ac:dyDescent="0.3">
      <c r="A1756" s="37">
        <v>451</v>
      </c>
      <c r="B1756" s="37" t="s">
        <v>2401</v>
      </c>
      <c r="C1756" s="37" t="s">
        <v>1998</v>
      </c>
      <c r="D1756" s="37" t="s">
        <v>21</v>
      </c>
      <c r="E1756" s="37" t="s">
        <v>22</v>
      </c>
      <c r="F1756" s="42">
        <v>45473</v>
      </c>
      <c r="G1756" s="37">
        <v>2024</v>
      </c>
      <c r="H1756" s="37" t="s">
        <v>23</v>
      </c>
      <c r="I1756" s="39" t="s">
        <v>34</v>
      </c>
      <c r="J1756" s="37">
        <v>0</v>
      </c>
      <c r="K1756" s="37">
        <v>34.9</v>
      </c>
      <c r="L1756" s="65" t="str">
        <f t="shared" si="182"/>
        <v/>
      </c>
      <c r="M1756" s="65" t="str">
        <f t="shared" si="183"/>
        <v/>
      </c>
      <c r="N1756" s="37"/>
      <c r="O1756" s="37"/>
      <c r="P1756" s="37">
        <v>0</v>
      </c>
      <c r="Q1756" s="37">
        <v>0</v>
      </c>
      <c r="R1756" s="37" t="s">
        <v>2402</v>
      </c>
      <c r="S1756" s="37"/>
    </row>
    <row r="1757" spans="1:19" x14ac:dyDescent="0.3">
      <c r="A1757" s="36">
        <v>451</v>
      </c>
      <c r="B1757" s="37" t="s">
        <v>2401</v>
      </c>
      <c r="C1757" s="37" t="s">
        <v>1998</v>
      </c>
      <c r="D1757" s="37" t="s">
        <v>21</v>
      </c>
      <c r="E1757" s="37" t="s">
        <v>22</v>
      </c>
      <c r="F1757" s="42">
        <v>45657</v>
      </c>
      <c r="G1757" s="37">
        <v>2024</v>
      </c>
      <c r="H1757" s="37" t="s">
        <v>27</v>
      </c>
      <c r="I1757" s="39" t="s">
        <v>36</v>
      </c>
      <c r="J1757" s="37">
        <v>0</v>
      </c>
      <c r="K1757" s="43">
        <v>42.7</v>
      </c>
      <c r="L1757" s="65" t="str">
        <f t="shared" si="182"/>
        <v/>
      </c>
      <c r="M1757" s="65" t="str">
        <f t="shared" si="183"/>
        <v/>
      </c>
      <c r="N1757" s="37"/>
      <c r="O1757" s="37"/>
      <c r="P1757" s="40">
        <v>0</v>
      </c>
      <c r="Q1757" s="40">
        <v>0</v>
      </c>
      <c r="R1757" s="37" t="s">
        <v>2403</v>
      </c>
      <c r="S1757" s="37"/>
    </row>
    <row r="1758" spans="1:19" x14ac:dyDescent="0.3">
      <c r="A1758" s="37">
        <v>452</v>
      </c>
      <c r="B1758" s="37" t="s">
        <v>2405</v>
      </c>
      <c r="C1758" s="37" t="s">
        <v>1998</v>
      </c>
      <c r="D1758" s="37" t="s">
        <v>21</v>
      </c>
      <c r="E1758" s="37" t="s">
        <v>22</v>
      </c>
      <c r="F1758" s="42">
        <v>45473</v>
      </c>
      <c r="G1758" s="37">
        <v>2024</v>
      </c>
      <c r="H1758" s="37" t="s">
        <v>23</v>
      </c>
      <c r="I1758" s="37" t="s">
        <v>34</v>
      </c>
      <c r="J1758" s="37">
        <v>42</v>
      </c>
      <c r="K1758" s="37">
        <v>42</v>
      </c>
      <c r="L1758" s="65">
        <f t="shared" si="182"/>
        <v>1</v>
      </c>
      <c r="M1758" s="65">
        <f t="shared" si="183"/>
        <v>1</v>
      </c>
      <c r="N1758" s="37" t="s">
        <v>25</v>
      </c>
      <c r="O1758" s="37" t="s">
        <v>25</v>
      </c>
      <c r="P1758" s="37">
        <v>0</v>
      </c>
      <c r="Q1758" s="37">
        <v>0</v>
      </c>
      <c r="R1758" s="37" t="s">
        <v>2406</v>
      </c>
      <c r="S1758" s="37"/>
    </row>
    <row r="1759" spans="1:19" x14ac:dyDescent="0.3">
      <c r="A1759" s="36">
        <v>452</v>
      </c>
      <c r="B1759" s="37" t="s">
        <v>2405</v>
      </c>
      <c r="C1759" s="37" t="s">
        <v>1998</v>
      </c>
      <c r="D1759" s="37" t="s">
        <v>21</v>
      </c>
      <c r="E1759" s="37" t="s">
        <v>22</v>
      </c>
      <c r="F1759" s="42">
        <v>45657</v>
      </c>
      <c r="G1759" s="37">
        <v>2024</v>
      </c>
      <c r="H1759" s="37" t="s">
        <v>27</v>
      </c>
      <c r="I1759" s="39" t="s">
        <v>36</v>
      </c>
      <c r="J1759" s="37">
        <v>50</v>
      </c>
      <c r="K1759" s="43">
        <v>80</v>
      </c>
      <c r="L1759" s="65">
        <f t="shared" si="182"/>
        <v>1.3</v>
      </c>
      <c r="M1759" s="65">
        <f t="shared" si="183"/>
        <v>1.6</v>
      </c>
      <c r="N1759" s="37"/>
      <c r="O1759" s="37"/>
      <c r="P1759" s="40">
        <v>0</v>
      </c>
      <c r="Q1759" s="40">
        <v>0</v>
      </c>
      <c r="R1759" s="37" t="s">
        <v>2407</v>
      </c>
      <c r="S1759" s="37"/>
    </row>
    <row r="1760" spans="1:19" x14ac:dyDescent="0.3">
      <c r="A1760" s="36">
        <v>453</v>
      </c>
      <c r="B1760" s="37" t="s">
        <v>2408</v>
      </c>
      <c r="C1760" s="37" t="s">
        <v>2018</v>
      </c>
      <c r="D1760" s="37" t="s">
        <v>39</v>
      </c>
      <c r="E1760" s="37" t="s">
        <v>22</v>
      </c>
      <c r="F1760" s="42">
        <v>45382</v>
      </c>
      <c r="G1760" s="37">
        <v>2024</v>
      </c>
      <c r="H1760" s="37" t="s">
        <v>40</v>
      </c>
      <c r="I1760" s="39" t="s">
        <v>34</v>
      </c>
      <c r="J1760" s="37">
        <v>25</v>
      </c>
      <c r="K1760" s="43">
        <v>13</v>
      </c>
      <c r="L1760" s="65">
        <f t="shared" si="182"/>
        <v>0.52</v>
      </c>
      <c r="M1760" s="65">
        <f t="shared" si="183"/>
        <v>0.52</v>
      </c>
      <c r="N1760" s="37"/>
      <c r="O1760" s="37"/>
      <c r="P1760" s="40">
        <v>0</v>
      </c>
      <c r="Q1760" s="40">
        <v>0</v>
      </c>
      <c r="R1760" s="37" t="s">
        <v>2409</v>
      </c>
      <c r="S1760" s="37"/>
    </row>
    <row r="1761" spans="1:19" x14ac:dyDescent="0.3">
      <c r="A1761" s="37">
        <v>453</v>
      </c>
      <c r="B1761" s="37" t="s">
        <v>2408</v>
      </c>
      <c r="C1761" s="37" t="s">
        <v>2018</v>
      </c>
      <c r="D1761" s="37" t="s">
        <v>39</v>
      </c>
      <c r="E1761" s="37" t="s">
        <v>22</v>
      </c>
      <c r="F1761" s="42">
        <v>45473</v>
      </c>
      <c r="G1761" s="37">
        <v>2024</v>
      </c>
      <c r="H1761" s="37" t="s">
        <v>23</v>
      </c>
      <c r="I1761" s="39" t="s">
        <v>34</v>
      </c>
      <c r="J1761" s="37">
        <v>25</v>
      </c>
      <c r="K1761" s="37">
        <v>35</v>
      </c>
      <c r="L1761" s="65">
        <f t="shared" si="182"/>
        <v>1.3</v>
      </c>
      <c r="M1761" s="65">
        <f t="shared" si="183"/>
        <v>1.4</v>
      </c>
      <c r="N1761" s="37"/>
      <c r="O1761" s="37"/>
      <c r="P1761" s="37">
        <v>0</v>
      </c>
      <c r="Q1761" s="37">
        <v>0</v>
      </c>
      <c r="R1761" s="37" t="s">
        <v>2410</v>
      </c>
      <c r="S1761" s="37"/>
    </row>
    <row r="1762" spans="1:19" x14ac:dyDescent="0.3">
      <c r="A1762" s="36">
        <v>453</v>
      </c>
      <c r="B1762" s="37" t="s">
        <v>2408</v>
      </c>
      <c r="C1762" s="37" t="s">
        <v>2018</v>
      </c>
      <c r="D1762" s="37" t="s">
        <v>39</v>
      </c>
      <c r="E1762" s="37" t="s">
        <v>22</v>
      </c>
      <c r="F1762" s="42">
        <v>45565</v>
      </c>
      <c r="G1762" s="37">
        <v>2024</v>
      </c>
      <c r="H1762" s="37" t="s">
        <v>43</v>
      </c>
      <c r="I1762" s="39" t="s">
        <v>36</v>
      </c>
      <c r="J1762" s="37">
        <v>25</v>
      </c>
      <c r="K1762" s="43">
        <v>75</v>
      </c>
      <c r="L1762" s="65">
        <f t="shared" si="182"/>
        <v>1.3</v>
      </c>
      <c r="M1762" s="65">
        <f t="shared" si="183"/>
        <v>3</v>
      </c>
      <c r="N1762" s="37"/>
      <c r="O1762" s="37"/>
      <c r="P1762" s="40">
        <v>0</v>
      </c>
      <c r="Q1762" s="40">
        <v>0</v>
      </c>
      <c r="R1762" s="37" t="s">
        <v>2411</v>
      </c>
      <c r="S1762" s="37"/>
    </row>
    <row r="1763" spans="1:19" x14ac:dyDescent="0.3">
      <c r="A1763" s="36">
        <v>453</v>
      </c>
      <c r="B1763" s="37" t="s">
        <v>2408</v>
      </c>
      <c r="C1763" s="37" t="s">
        <v>2018</v>
      </c>
      <c r="D1763" s="37" t="s">
        <v>39</v>
      </c>
      <c r="E1763" s="37" t="s">
        <v>22</v>
      </c>
      <c r="F1763" s="42">
        <v>45657</v>
      </c>
      <c r="G1763" s="37">
        <v>2024</v>
      </c>
      <c r="H1763" s="37" t="s">
        <v>27</v>
      </c>
      <c r="I1763" s="39" t="s">
        <v>36</v>
      </c>
      <c r="J1763" s="37">
        <v>25</v>
      </c>
      <c r="K1763" s="43">
        <v>37</v>
      </c>
      <c r="L1763" s="65">
        <f t="shared" si="182"/>
        <v>1.3</v>
      </c>
      <c r="M1763" s="65">
        <f t="shared" si="183"/>
        <v>1.48</v>
      </c>
      <c r="N1763" s="37"/>
      <c r="O1763" s="37"/>
      <c r="P1763" s="40">
        <v>0</v>
      </c>
      <c r="Q1763" s="40">
        <v>0</v>
      </c>
      <c r="R1763" s="37" t="s">
        <v>2412</v>
      </c>
      <c r="S1763" s="37"/>
    </row>
    <row r="1764" spans="1:19" x14ac:dyDescent="0.3">
      <c r="A1764" s="36">
        <v>454</v>
      </c>
      <c r="B1764" s="37" t="s">
        <v>2413</v>
      </c>
      <c r="C1764" s="37" t="s">
        <v>2018</v>
      </c>
      <c r="D1764" s="37" t="s">
        <v>39</v>
      </c>
      <c r="E1764" s="37" t="s">
        <v>22</v>
      </c>
      <c r="F1764" s="42">
        <v>45565</v>
      </c>
      <c r="G1764" s="37">
        <v>2024</v>
      </c>
      <c r="H1764" s="37" t="s">
        <v>43</v>
      </c>
      <c r="I1764" s="39" t="s">
        <v>36</v>
      </c>
      <c r="J1764" s="37">
        <v>0</v>
      </c>
      <c r="K1764" s="43">
        <v>88</v>
      </c>
      <c r="L1764" s="65" t="str">
        <f t="shared" ref="L1764:L1769" si="184">IFERROR(IF(OR(J1764=0,K1764=""),"",IF(E1764="Positivo",MIN(MAX(K1764/J1764,0),1.3),MIN(MAX(J1764/K1764,0),1.3))),"")</f>
        <v/>
      </c>
      <c r="M1764" s="65" t="str">
        <f t="shared" ref="M1764:M1769" si="185">IFERROR(IF(OR(J1764=0,K1764=""),"",IF(E1764="Positivo",MAX(K1764/J1764,0),MAX(J1764/K1764,0))),"")</f>
        <v/>
      </c>
      <c r="N1764" s="37"/>
      <c r="O1764" s="37"/>
      <c r="P1764" s="40">
        <v>0</v>
      </c>
      <c r="Q1764" s="40">
        <v>0</v>
      </c>
      <c r="R1764" s="37" t="s">
        <v>2414</v>
      </c>
      <c r="S1764" s="37"/>
    </row>
    <row r="1765" spans="1:19" x14ac:dyDescent="0.3">
      <c r="A1765" s="36">
        <v>454</v>
      </c>
      <c r="B1765" s="37" t="s">
        <v>2413</v>
      </c>
      <c r="C1765" s="37" t="s">
        <v>2018</v>
      </c>
      <c r="D1765" s="37" t="s">
        <v>39</v>
      </c>
      <c r="E1765" s="37" t="s">
        <v>22</v>
      </c>
      <c r="F1765" s="42">
        <v>45657</v>
      </c>
      <c r="G1765" s="37">
        <v>2024</v>
      </c>
      <c r="H1765" s="37" t="s">
        <v>27</v>
      </c>
      <c r="I1765" s="39" t="s">
        <v>36</v>
      </c>
      <c r="J1765" s="37">
        <v>0</v>
      </c>
      <c r="K1765" s="43">
        <v>88</v>
      </c>
      <c r="L1765" s="65" t="str">
        <f t="shared" si="184"/>
        <v/>
      </c>
      <c r="M1765" s="65" t="str">
        <f t="shared" si="185"/>
        <v/>
      </c>
      <c r="N1765" s="37"/>
      <c r="O1765" s="37"/>
      <c r="P1765" s="40">
        <v>0</v>
      </c>
      <c r="Q1765" s="40">
        <v>0</v>
      </c>
      <c r="R1765" s="37" t="s">
        <v>2415</v>
      </c>
      <c r="S1765" s="37"/>
    </row>
    <row r="1766" spans="1:19" x14ac:dyDescent="0.3">
      <c r="A1766" s="36">
        <v>455</v>
      </c>
      <c r="B1766" s="37" t="s">
        <v>2416</v>
      </c>
      <c r="C1766" s="37" t="s">
        <v>2018</v>
      </c>
      <c r="D1766" s="37" t="s">
        <v>39</v>
      </c>
      <c r="E1766" s="37" t="s">
        <v>22</v>
      </c>
      <c r="F1766" s="42">
        <v>45565</v>
      </c>
      <c r="G1766" s="37">
        <v>2024</v>
      </c>
      <c r="H1766" s="37" t="s">
        <v>43</v>
      </c>
      <c r="I1766" s="39" t="s">
        <v>36</v>
      </c>
      <c r="J1766" s="37">
        <v>5</v>
      </c>
      <c r="K1766" s="43">
        <v>5</v>
      </c>
      <c r="L1766" s="65">
        <f t="shared" si="184"/>
        <v>1</v>
      </c>
      <c r="M1766" s="65">
        <f t="shared" si="185"/>
        <v>1</v>
      </c>
      <c r="N1766" s="37" t="s">
        <v>25</v>
      </c>
      <c r="O1766" s="37" t="s">
        <v>25</v>
      </c>
      <c r="P1766" s="40">
        <v>0</v>
      </c>
      <c r="Q1766" s="40">
        <v>0</v>
      </c>
      <c r="R1766" s="37" t="s">
        <v>2417</v>
      </c>
      <c r="S1766" s="37"/>
    </row>
    <row r="1767" spans="1:19" x14ac:dyDescent="0.3">
      <c r="A1767" s="36">
        <v>455</v>
      </c>
      <c r="B1767" s="37" t="s">
        <v>2416</v>
      </c>
      <c r="C1767" s="37" t="s">
        <v>2018</v>
      </c>
      <c r="D1767" s="37" t="s">
        <v>39</v>
      </c>
      <c r="E1767" s="37" t="s">
        <v>22</v>
      </c>
      <c r="F1767" s="42">
        <v>45657</v>
      </c>
      <c r="G1767" s="37">
        <v>2024</v>
      </c>
      <c r="H1767" s="37" t="s">
        <v>27</v>
      </c>
      <c r="I1767" s="39" t="s">
        <v>36</v>
      </c>
      <c r="J1767" s="37">
        <v>20</v>
      </c>
      <c r="K1767" s="43">
        <v>20</v>
      </c>
      <c r="L1767" s="65">
        <f t="shared" si="184"/>
        <v>1</v>
      </c>
      <c r="M1767" s="65">
        <f t="shared" si="185"/>
        <v>1</v>
      </c>
      <c r="N1767" s="37" t="s">
        <v>25</v>
      </c>
      <c r="O1767" s="37" t="s">
        <v>25</v>
      </c>
      <c r="P1767" s="40">
        <v>0</v>
      </c>
      <c r="Q1767" s="40">
        <v>0</v>
      </c>
      <c r="R1767" s="37" t="s">
        <v>2418</v>
      </c>
      <c r="S1767" s="37"/>
    </row>
    <row r="1768" spans="1:19" x14ac:dyDescent="0.3">
      <c r="A1768" s="37">
        <v>456</v>
      </c>
      <c r="B1768" s="37" t="s">
        <v>2419</v>
      </c>
      <c r="C1768" s="37" t="s">
        <v>207</v>
      </c>
      <c r="D1768" s="37" t="s">
        <v>21</v>
      </c>
      <c r="E1768" s="37" t="s">
        <v>22</v>
      </c>
      <c r="F1768" s="42">
        <v>45473</v>
      </c>
      <c r="G1768" s="37">
        <v>2024</v>
      </c>
      <c r="H1768" s="37" t="s">
        <v>23</v>
      </c>
      <c r="I1768" s="39" t="s">
        <v>34</v>
      </c>
      <c r="J1768" s="37">
        <v>100</v>
      </c>
      <c r="K1768" s="37">
        <v>100</v>
      </c>
      <c r="L1768" s="65">
        <f t="shared" si="184"/>
        <v>1</v>
      </c>
      <c r="M1768" s="65">
        <f t="shared" si="185"/>
        <v>1</v>
      </c>
      <c r="N1768" s="37" t="s">
        <v>25</v>
      </c>
      <c r="O1768" s="37" t="s">
        <v>25</v>
      </c>
      <c r="P1768" s="37">
        <v>0</v>
      </c>
      <c r="Q1768" s="37">
        <v>0</v>
      </c>
      <c r="R1768" s="37" t="s">
        <v>2420</v>
      </c>
      <c r="S1768" s="37"/>
    </row>
    <row r="1769" spans="1:19" x14ac:dyDescent="0.3">
      <c r="A1769" s="36">
        <v>456</v>
      </c>
      <c r="B1769" s="37" t="s">
        <v>2419</v>
      </c>
      <c r="C1769" s="37" t="s">
        <v>207</v>
      </c>
      <c r="D1769" s="37" t="s">
        <v>21</v>
      </c>
      <c r="E1769" s="37" t="s">
        <v>22</v>
      </c>
      <c r="F1769" s="42">
        <v>45657</v>
      </c>
      <c r="G1769" s="37">
        <v>2024</v>
      </c>
      <c r="H1769" s="37" t="s">
        <v>27</v>
      </c>
      <c r="I1769" s="39" t="s">
        <v>36</v>
      </c>
      <c r="J1769" s="37">
        <v>100</v>
      </c>
      <c r="K1769" s="43">
        <v>94.69</v>
      </c>
      <c r="L1769" s="65">
        <f t="shared" si="184"/>
        <v>0.94689999999999996</v>
      </c>
      <c r="M1769" s="65">
        <f t="shared" si="185"/>
        <v>0.94689999999999996</v>
      </c>
      <c r="N1769" s="37" t="s">
        <v>25</v>
      </c>
      <c r="O1769" s="37" t="s">
        <v>25</v>
      </c>
      <c r="P1769" s="40">
        <v>0</v>
      </c>
      <c r="Q1769" s="40">
        <v>0</v>
      </c>
      <c r="R1769" s="37" t="s">
        <v>2421</v>
      </c>
      <c r="S1769" s="37"/>
    </row>
    <row r="1770" spans="1:19" x14ac:dyDescent="0.3">
      <c r="A1770" s="37">
        <v>457</v>
      </c>
      <c r="B1770" s="37" t="s">
        <v>2426</v>
      </c>
      <c r="C1770" s="37" t="s">
        <v>207</v>
      </c>
      <c r="D1770" s="37" t="s">
        <v>21</v>
      </c>
      <c r="E1770" s="37" t="s">
        <v>22</v>
      </c>
      <c r="F1770" s="42">
        <v>45473</v>
      </c>
      <c r="G1770" s="37">
        <v>2024</v>
      </c>
      <c r="H1770" s="37" t="s">
        <v>23</v>
      </c>
      <c r="I1770" s="39" t="s">
        <v>34</v>
      </c>
      <c r="J1770" s="37">
        <v>100</v>
      </c>
      <c r="K1770" s="37">
        <v>90</v>
      </c>
      <c r="L1770" s="65">
        <f t="shared" ref="L1770:L1786" si="186">IFERROR(IF(OR(J1770=0,K1770=""),"",IF(E1770="Positivo",MIN(MAX(K1770/J1770,0),1.3),MIN(MAX(J1770/K1770,0),1.3))),"")</f>
        <v>0.9</v>
      </c>
      <c r="M1770" s="65">
        <f t="shared" ref="M1770:M1786" si="187">IFERROR(IF(OR(J1770=0,K1770=""),"",IF(E1770="Positivo",MAX(K1770/J1770,0),MAX(J1770/K1770,0))),"")</f>
        <v>0.9</v>
      </c>
      <c r="N1770" s="37" t="s">
        <v>25</v>
      </c>
      <c r="O1770" s="37" t="s">
        <v>25</v>
      </c>
      <c r="P1770" s="37">
        <v>0</v>
      </c>
      <c r="Q1770" s="37">
        <v>0</v>
      </c>
      <c r="R1770" s="37" t="s">
        <v>2427</v>
      </c>
      <c r="S1770" s="37"/>
    </row>
    <row r="1771" spans="1:19" x14ac:dyDescent="0.3">
      <c r="A1771" s="36">
        <v>457</v>
      </c>
      <c r="B1771" s="37" t="s">
        <v>2426</v>
      </c>
      <c r="C1771" s="37" t="s">
        <v>207</v>
      </c>
      <c r="D1771" s="37" t="s">
        <v>21</v>
      </c>
      <c r="E1771" s="37" t="s">
        <v>22</v>
      </c>
      <c r="F1771" s="42">
        <v>45657</v>
      </c>
      <c r="G1771" s="37">
        <v>2024</v>
      </c>
      <c r="H1771" s="37" t="s">
        <v>27</v>
      </c>
      <c r="I1771" s="39" t="s">
        <v>36</v>
      </c>
      <c r="J1771" s="37">
        <v>100</v>
      </c>
      <c r="K1771" s="43">
        <v>70</v>
      </c>
      <c r="L1771" s="65">
        <f t="shared" si="186"/>
        <v>0.7</v>
      </c>
      <c r="M1771" s="65">
        <f t="shared" si="187"/>
        <v>0.7</v>
      </c>
      <c r="N1771" s="37" t="s">
        <v>25</v>
      </c>
      <c r="O1771" s="37" t="s">
        <v>25</v>
      </c>
      <c r="P1771" s="40">
        <v>0</v>
      </c>
      <c r="Q1771" s="40">
        <v>0</v>
      </c>
      <c r="R1771" s="37" t="s">
        <v>2428</v>
      </c>
      <c r="S1771" s="37"/>
    </row>
    <row r="1772" spans="1:19" x14ac:dyDescent="0.3">
      <c r="A1772" s="37">
        <v>459</v>
      </c>
      <c r="B1772" s="37" t="s">
        <v>2433</v>
      </c>
      <c r="C1772" s="37" t="s">
        <v>1998</v>
      </c>
      <c r="D1772" s="37" t="s">
        <v>39</v>
      </c>
      <c r="E1772" s="37" t="s">
        <v>22</v>
      </c>
      <c r="F1772" s="42">
        <v>45473</v>
      </c>
      <c r="G1772" s="37">
        <v>2024</v>
      </c>
      <c r="H1772" s="37" t="s">
        <v>23</v>
      </c>
      <c r="I1772" s="39" t="s">
        <v>34</v>
      </c>
      <c r="J1772" s="37">
        <v>100</v>
      </c>
      <c r="K1772" s="37">
        <v>130.43</v>
      </c>
      <c r="L1772" s="65">
        <f t="shared" si="186"/>
        <v>1.3</v>
      </c>
      <c r="M1772" s="65">
        <f t="shared" si="187"/>
        <v>1.3043</v>
      </c>
      <c r="N1772" s="37"/>
      <c r="O1772" s="37"/>
      <c r="P1772" s="37">
        <v>0</v>
      </c>
      <c r="Q1772" s="37">
        <v>0</v>
      </c>
      <c r="R1772" s="37" t="s">
        <v>2434</v>
      </c>
      <c r="S1772" s="37"/>
    </row>
    <row r="1773" spans="1:19" x14ac:dyDescent="0.3">
      <c r="A1773" s="36">
        <v>459</v>
      </c>
      <c r="B1773" s="37" t="s">
        <v>2433</v>
      </c>
      <c r="C1773" s="37" t="s">
        <v>1998</v>
      </c>
      <c r="D1773" s="37" t="s">
        <v>39</v>
      </c>
      <c r="E1773" s="37" t="s">
        <v>22</v>
      </c>
      <c r="F1773" s="42">
        <v>45565</v>
      </c>
      <c r="G1773" s="37">
        <v>2024</v>
      </c>
      <c r="H1773" s="37" t="s">
        <v>43</v>
      </c>
      <c r="I1773" s="39" t="s">
        <v>36</v>
      </c>
      <c r="J1773" s="37">
        <v>100</v>
      </c>
      <c r="K1773" s="43">
        <v>147.83000000000001</v>
      </c>
      <c r="L1773" s="65">
        <f t="shared" si="186"/>
        <v>1.3</v>
      </c>
      <c r="M1773" s="65">
        <f t="shared" si="187"/>
        <v>1.4783000000000002</v>
      </c>
      <c r="N1773" s="37"/>
      <c r="O1773" s="37"/>
      <c r="P1773" s="40">
        <v>0</v>
      </c>
      <c r="Q1773" s="40">
        <v>0</v>
      </c>
      <c r="R1773" s="37" t="s">
        <v>2435</v>
      </c>
      <c r="S1773" s="37"/>
    </row>
    <row r="1774" spans="1:19" x14ac:dyDescent="0.3">
      <c r="A1774" s="36">
        <v>460</v>
      </c>
      <c r="B1774" s="37" t="s">
        <v>2436</v>
      </c>
      <c r="C1774" s="37" t="s">
        <v>55</v>
      </c>
      <c r="D1774" s="37" t="s">
        <v>139</v>
      </c>
      <c r="E1774" s="37" t="s">
        <v>22</v>
      </c>
      <c r="F1774" s="42">
        <v>45657</v>
      </c>
      <c r="G1774" s="37">
        <v>2024</v>
      </c>
      <c r="H1774" s="37" t="s">
        <v>27</v>
      </c>
      <c r="I1774" s="39" t="s">
        <v>36</v>
      </c>
      <c r="J1774" s="37">
        <v>80</v>
      </c>
      <c r="K1774" s="43">
        <v>91.439688715953324</v>
      </c>
      <c r="L1774" s="65">
        <f t="shared" si="186"/>
        <v>1.1429961089494165</v>
      </c>
      <c r="M1774" s="65">
        <f t="shared" si="187"/>
        <v>1.1429961089494165</v>
      </c>
      <c r="N1774" s="37"/>
      <c r="O1774" s="37"/>
      <c r="P1774" s="40">
        <v>0</v>
      </c>
      <c r="Q1774" s="40">
        <v>0</v>
      </c>
      <c r="R1774" s="37" t="s">
        <v>2437</v>
      </c>
      <c r="S1774" s="37"/>
    </row>
    <row r="1775" spans="1:19" x14ac:dyDescent="0.3">
      <c r="A1775" s="37">
        <v>462</v>
      </c>
      <c r="B1775" s="37" t="s">
        <v>2438</v>
      </c>
      <c r="C1775" s="37" t="s">
        <v>546</v>
      </c>
      <c r="D1775" s="37" t="s">
        <v>21</v>
      </c>
      <c r="E1775" s="37" t="s">
        <v>22</v>
      </c>
      <c r="F1775" s="42">
        <v>45473</v>
      </c>
      <c r="G1775" s="37">
        <v>2024</v>
      </c>
      <c r="H1775" s="37" t="s">
        <v>23</v>
      </c>
      <c r="I1775" s="39" t="s">
        <v>34</v>
      </c>
      <c r="J1775" s="37">
        <v>85</v>
      </c>
      <c r="K1775" s="37">
        <v>100</v>
      </c>
      <c r="L1775" s="65">
        <f t="shared" si="186"/>
        <v>1.1764705882352942</v>
      </c>
      <c r="M1775" s="65">
        <f t="shared" si="187"/>
        <v>1.1764705882352942</v>
      </c>
      <c r="N1775" s="37"/>
      <c r="O1775" s="37"/>
      <c r="P1775" s="37">
        <v>0</v>
      </c>
      <c r="Q1775" s="37">
        <v>0</v>
      </c>
      <c r="R1775" s="37" t="s">
        <v>2439</v>
      </c>
      <c r="S1775" s="37"/>
    </row>
    <row r="1776" spans="1:19" x14ac:dyDescent="0.3">
      <c r="A1776" s="36">
        <v>462</v>
      </c>
      <c r="B1776" s="37" t="s">
        <v>2438</v>
      </c>
      <c r="C1776" s="37" t="s">
        <v>546</v>
      </c>
      <c r="D1776" s="37" t="s">
        <v>21</v>
      </c>
      <c r="E1776" s="37" t="s">
        <v>22</v>
      </c>
      <c r="F1776" s="42">
        <v>45657</v>
      </c>
      <c r="G1776" s="37">
        <v>2024</v>
      </c>
      <c r="H1776" s="37" t="s">
        <v>27</v>
      </c>
      <c r="I1776" s="39" t="s">
        <v>36</v>
      </c>
      <c r="J1776" s="37">
        <v>85</v>
      </c>
      <c r="K1776" s="43">
        <v>100</v>
      </c>
      <c r="L1776" s="65">
        <f t="shared" si="186"/>
        <v>1.1764705882352942</v>
      </c>
      <c r="M1776" s="65">
        <f t="shared" si="187"/>
        <v>1.1764705882352942</v>
      </c>
      <c r="N1776" s="37"/>
      <c r="O1776" s="37"/>
      <c r="P1776" s="40">
        <v>0</v>
      </c>
      <c r="Q1776" s="40">
        <v>0</v>
      </c>
      <c r="R1776" s="37" t="s">
        <v>2440</v>
      </c>
      <c r="S1776" s="37"/>
    </row>
    <row r="1777" spans="1:19" x14ac:dyDescent="0.3">
      <c r="A1777" s="37">
        <v>463</v>
      </c>
      <c r="B1777" s="37" t="s">
        <v>2441</v>
      </c>
      <c r="C1777" s="37" t="s">
        <v>55</v>
      </c>
      <c r="D1777" s="37" t="s">
        <v>21</v>
      </c>
      <c r="E1777" s="37" t="s">
        <v>22</v>
      </c>
      <c r="F1777" s="42">
        <v>45473</v>
      </c>
      <c r="G1777" s="37">
        <v>2024</v>
      </c>
      <c r="H1777" s="37" t="s">
        <v>23</v>
      </c>
      <c r="I1777" s="39" t="s">
        <v>34</v>
      </c>
      <c r="J1777" s="37">
        <v>100</v>
      </c>
      <c r="K1777" s="37">
        <v>95</v>
      </c>
      <c r="L1777" s="65">
        <f t="shared" si="186"/>
        <v>0.95</v>
      </c>
      <c r="M1777" s="65">
        <f t="shared" si="187"/>
        <v>0.95</v>
      </c>
      <c r="N1777" s="37" t="s">
        <v>25</v>
      </c>
      <c r="O1777" s="37" t="s">
        <v>25</v>
      </c>
      <c r="P1777" s="37">
        <v>0</v>
      </c>
      <c r="Q1777" s="37">
        <v>0</v>
      </c>
      <c r="R1777" s="37" t="s">
        <v>2442</v>
      </c>
      <c r="S1777" s="37"/>
    </row>
    <row r="1778" spans="1:19" x14ac:dyDescent="0.3">
      <c r="A1778" s="36">
        <v>463</v>
      </c>
      <c r="B1778" s="37" t="s">
        <v>2441</v>
      </c>
      <c r="C1778" s="37" t="s">
        <v>55</v>
      </c>
      <c r="D1778" s="37" t="s">
        <v>21</v>
      </c>
      <c r="E1778" s="37" t="s">
        <v>22</v>
      </c>
      <c r="F1778" s="42">
        <v>45657</v>
      </c>
      <c r="G1778" s="37">
        <v>2024</v>
      </c>
      <c r="H1778" s="37" t="s">
        <v>27</v>
      </c>
      <c r="I1778" s="39" t="s">
        <v>36</v>
      </c>
      <c r="J1778" s="37">
        <v>100</v>
      </c>
      <c r="K1778" s="43">
        <v>100</v>
      </c>
      <c r="L1778" s="65">
        <f t="shared" si="186"/>
        <v>1</v>
      </c>
      <c r="M1778" s="65">
        <f t="shared" si="187"/>
        <v>1</v>
      </c>
      <c r="N1778" s="37" t="s">
        <v>25</v>
      </c>
      <c r="O1778" s="37" t="s">
        <v>25</v>
      </c>
      <c r="P1778" s="40">
        <v>0</v>
      </c>
      <c r="Q1778" s="40">
        <v>0</v>
      </c>
      <c r="R1778" s="37" t="s">
        <v>2443</v>
      </c>
      <c r="S1778" s="37"/>
    </row>
    <row r="1779" spans="1:19" x14ac:dyDescent="0.3">
      <c r="A1779" s="37">
        <v>465</v>
      </c>
      <c r="B1779" s="37" t="s">
        <v>2444</v>
      </c>
      <c r="C1779" s="37" t="s">
        <v>1758</v>
      </c>
      <c r="D1779" s="37" t="s">
        <v>21</v>
      </c>
      <c r="E1779" s="37" t="s">
        <v>22</v>
      </c>
      <c r="F1779" s="42">
        <v>45473</v>
      </c>
      <c r="G1779" s="37">
        <v>2024</v>
      </c>
      <c r="H1779" s="37" t="s">
        <v>23</v>
      </c>
      <c r="I1779" s="39" t="s">
        <v>34</v>
      </c>
      <c r="J1779" s="37">
        <v>75</v>
      </c>
      <c r="K1779" s="37">
        <v>57.86</v>
      </c>
      <c r="L1779" s="65">
        <f t="shared" si="186"/>
        <v>0.77146666666666663</v>
      </c>
      <c r="M1779" s="65">
        <f t="shared" si="187"/>
        <v>0.77146666666666663</v>
      </c>
      <c r="N1779" s="37" t="s">
        <v>25</v>
      </c>
      <c r="O1779" s="37" t="s">
        <v>25</v>
      </c>
      <c r="P1779" s="37">
        <v>0</v>
      </c>
      <c r="Q1779" s="37">
        <v>0</v>
      </c>
      <c r="R1779" s="37" t="s">
        <v>2445</v>
      </c>
      <c r="S1779" s="37"/>
    </row>
    <row r="1780" spans="1:19" x14ac:dyDescent="0.3">
      <c r="A1780" s="36">
        <v>465</v>
      </c>
      <c r="B1780" s="37" t="s">
        <v>2444</v>
      </c>
      <c r="C1780" s="37" t="s">
        <v>1758</v>
      </c>
      <c r="D1780" s="37" t="s">
        <v>21</v>
      </c>
      <c r="E1780" s="37" t="s">
        <v>22</v>
      </c>
      <c r="F1780" s="42">
        <v>45657</v>
      </c>
      <c r="G1780" s="37">
        <v>2024</v>
      </c>
      <c r="H1780" s="37" t="s">
        <v>27</v>
      </c>
      <c r="I1780" s="39" t="s">
        <v>36</v>
      </c>
      <c r="J1780" s="37">
        <v>100</v>
      </c>
      <c r="K1780" s="43">
        <v>56.83</v>
      </c>
      <c r="L1780" s="65">
        <f t="shared" si="186"/>
        <v>0.56830000000000003</v>
      </c>
      <c r="M1780" s="65">
        <f t="shared" si="187"/>
        <v>0.56830000000000003</v>
      </c>
      <c r="N1780" s="37"/>
      <c r="O1780" s="37"/>
      <c r="P1780" s="40">
        <v>0</v>
      </c>
      <c r="Q1780" s="40">
        <v>0</v>
      </c>
      <c r="R1780" s="37" t="s">
        <v>2446</v>
      </c>
      <c r="S1780" s="37"/>
    </row>
    <row r="1781" spans="1:19" x14ac:dyDescent="0.3">
      <c r="A1781" s="37">
        <v>466</v>
      </c>
      <c r="B1781" s="37" t="s">
        <v>2447</v>
      </c>
      <c r="C1781" s="37" t="s">
        <v>1376</v>
      </c>
      <c r="D1781" s="37" t="s">
        <v>21</v>
      </c>
      <c r="E1781" s="37" t="s">
        <v>22</v>
      </c>
      <c r="F1781" s="42">
        <v>45473</v>
      </c>
      <c r="G1781" s="37">
        <v>2024</v>
      </c>
      <c r="H1781" s="37" t="s">
        <v>23</v>
      </c>
      <c r="I1781" s="39" t="s">
        <v>34</v>
      </c>
      <c r="J1781" s="37">
        <v>50</v>
      </c>
      <c r="K1781" s="37">
        <v>59.6</v>
      </c>
      <c r="L1781" s="65">
        <f t="shared" si="186"/>
        <v>1.1919999999999999</v>
      </c>
      <c r="M1781" s="65">
        <f t="shared" si="187"/>
        <v>1.1919999999999999</v>
      </c>
      <c r="N1781" s="37" t="s">
        <v>203</v>
      </c>
      <c r="O1781" s="37" t="s">
        <v>203</v>
      </c>
      <c r="P1781" s="37">
        <v>0</v>
      </c>
      <c r="Q1781" s="37">
        <v>1</v>
      </c>
      <c r="R1781" s="37" t="s">
        <v>2448</v>
      </c>
      <c r="S1781" s="37"/>
    </row>
    <row r="1782" spans="1:19" x14ac:dyDescent="0.3">
      <c r="A1782" s="36">
        <v>466</v>
      </c>
      <c r="B1782" s="37" t="s">
        <v>2447</v>
      </c>
      <c r="C1782" s="37" t="s">
        <v>1376</v>
      </c>
      <c r="D1782" s="37" t="s">
        <v>21</v>
      </c>
      <c r="E1782" s="37" t="s">
        <v>22</v>
      </c>
      <c r="F1782" s="42">
        <v>45657</v>
      </c>
      <c r="G1782" s="37">
        <v>2024</v>
      </c>
      <c r="H1782" s="37" t="s">
        <v>27</v>
      </c>
      <c r="I1782" s="39" t="s">
        <v>36</v>
      </c>
      <c r="J1782" s="37">
        <v>50</v>
      </c>
      <c r="K1782" s="43">
        <v>53.8</v>
      </c>
      <c r="L1782" s="65">
        <f t="shared" si="186"/>
        <v>1.0759999999999998</v>
      </c>
      <c r="M1782" s="65">
        <f t="shared" si="187"/>
        <v>1.0759999999999998</v>
      </c>
      <c r="N1782" s="37" t="s">
        <v>203</v>
      </c>
      <c r="O1782" s="37" t="s">
        <v>197</v>
      </c>
      <c r="P1782" s="40">
        <v>0</v>
      </c>
      <c r="Q1782" s="40">
        <v>1</v>
      </c>
      <c r="R1782" s="37" t="s">
        <v>2449</v>
      </c>
      <c r="S1782" s="37"/>
    </row>
    <row r="1783" spans="1:19" x14ac:dyDescent="0.3">
      <c r="A1783" s="37">
        <v>467</v>
      </c>
      <c r="B1783" s="37" t="s">
        <v>2450</v>
      </c>
      <c r="C1783" s="37" t="s">
        <v>1376</v>
      </c>
      <c r="D1783" s="37" t="s">
        <v>21</v>
      </c>
      <c r="E1783" s="37" t="s">
        <v>22</v>
      </c>
      <c r="F1783" s="42">
        <v>45473</v>
      </c>
      <c r="G1783" s="37">
        <v>2024</v>
      </c>
      <c r="H1783" s="37" t="s">
        <v>23</v>
      </c>
      <c r="I1783" s="39" t="s">
        <v>34</v>
      </c>
      <c r="J1783" s="37">
        <v>60</v>
      </c>
      <c r="K1783" s="37">
        <v>72.75</v>
      </c>
      <c r="L1783" s="65">
        <f t="shared" si="186"/>
        <v>1.2124999999999999</v>
      </c>
      <c r="M1783" s="65">
        <f t="shared" si="187"/>
        <v>1.2124999999999999</v>
      </c>
      <c r="N1783" s="37" t="s">
        <v>203</v>
      </c>
      <c r="O1783" s="37" t="s">
        <v>197</v>
      </c>
      <c r="P1783" s="37">
        <v>0</v>
      </c>
      <c r="Q1783" s="37">
        <v>1</v>
      </c>
      <c r="R1783" s="37" t="s">
        <v>2451</v>
      </c>
      <c r="S1783" s="37"/>
    </row>
    <row r="1784" spans="1:19" x14ac:dyDescent="0.3">
      <c r="A1784" s="36">
        <v>467</v>
      </c>
      <c r="B1784" s="37" t="s">
        <v>2450</v>
      </c>
      <c r="C1784" s="37" t="s">
        <v>1376</v>
      </c>
      <c r="D1784" s="37" t="s">
        <v>21</v>
      </c>
      <c r="E1784" s="37" t="s">
        <v>22</v>
      </c>
      <c r="F1784" s="42">
        <v>45657</v>
      </c>
      <c r="G1784" s="37">
        <v>2024</v>
      </c>
      <c r="H1784" s="37" t="s">
        <v>27</v>
      </c>
      <c r="I1784" s="39" t="s">
        <v>36</v>
      </c>
      <c r="J1784" s="37">
        <v>60</v>
      </c>
      <c r="K1784" s="43">
        <v>73.099999999999994</v>
      </c>
      <c r="L1784" s="65">
        <f t="shared" si="186"/>
        <v>1.2183333333333333</v>
      </c>
      <c r="M1784" s="65">
        <f t="shared" si="187"/>
        <v>1.2183333333333333</v>
      </c>
      <c r="N1784" s="37" t="s">
        <v>203</v>
      </c>
      <c r="O1784" s="37" t="s">
        <v>197</v>
      </c>
      <c r="P1784" s="40">
        <v>0</v>
      </c>
      <c r="Q1784" s="40">
        <v>1</v>
      </c>
      <c r="R1784" s="37" t="s">
        <v>2452</v>
      </c>
      <c r="S1784" s="37"/>
    </row>
    <row r="1785" spans="1:19" x14ac:dyDescent="0.3">
      <c r="A1785" s="37">
        <v>468</v>
      </c>
      <c r="B1785" s="37" t="s">
        <v>2453</v>
      </c>
      <c r="C1785" s="37" t="s">
        <v>1376</v>
      </c>
      <c r="D1785" s="37" t="s">
        <v>21</v>
      </c>
      <c r="E1785" s="37" t="s">
        <v>56</v>
      </c>
      <c r="F1785" s="42">
        <v>45473</v>
      </c>
      <c r="G1785" s="37">
        <v>2024</v>
      </c>
      <c r="H1785" s="37" t="s">
        <v>23</v>
      </c>
      <c r="I1785" s="39" t="s">
        <v>34</v>
      </c>
      <c r="J1785" s="37">
        <v>3</v>
      </c>
      <c r="K1785" s="37">
        <v>2.85</v>
      </c>
      <c r="L1785" s="65">
        <f t="shared" si="186"/>
        <v>1.0526315789473684</v>
      </c>
      <c r="M1785" s="65">
        <f t="shared" si="187"/>
        <v>1.0526315789473684</v>
      </c>
      <c r="N1785" s="37" t="s">
        <v>203</v>
      </c>
      <c r="O1785" s="37" t="s">
        <v>197</v>
      </c>
      <c r="P1785" s="37">
        <v>0</v>
      </c>
      <c r="Q1785" s="37">
        <v>1</v>
      </c>
      <c r="R1785" s="37" t="s">
        <v>2454</v>
      </c>
      <c r="S1785" s="37"/>
    </row>
    <row r="1786" spans="1:19" x14ac:dyDescent="0.3">
      <c r="A1786" s="36">
        <v>468</v>
      </c>
      <c r="B1786" s="37" t="s">
        <v>2453</v>
      </c>
      <c r="C1786" s="37" t="s">
        <v>1376</v>
      </c>
      <c r="D1786" s="37" t="s">
        <v>21</v>
      </c>
      <c r="E1786" s="37" t="s">
        <v>56</v>
      </c>
      <c r="F1786" s="42">
        <v>45657</v>
      </c>
      <c r="G1786" s="37">
        <v>2024</v>
      </c>
      <c r="H1786" s="37" t="s">
        <v>27</v>
      </c>
      <c r="I1786" s="39" t="s">
        <v>36</v>
      </c>
      <c r="J1786" s="37">
        <v>3</v>
      </c>
      <c r="K1786" s="43">
        <v>2.6</v>
      </c>
      <c r="L1786" s="65">
        <f t="shared" si="186"/>
        <v>1.1538461538461537</v>
      </c>
      <c r="M1786" s="65">
        <f t="shared" si="187"/>
        <v>1.1538461538461537</v>
      </c>
      <c r="N1786" s="37" t="s">
        <v>203</v>
      </c>
      <c r="O1786" s="37" t="s">
        <v>197</v>
      </c>
      <c r="P1786" s="40">
        <v>0</v>
      </c>
      <c r="Q1786" s="40">
        <v>1</v>
      </c>
      <c r="R1786" s="37" t="s">
        <v>2455</v>
      </c>
      <c r="S1786" s="37"/>
    </row>
    <row r="1787" spans="1:19" x14ac:dyDescent="0.3">
      <c r="A1787" s="36">
        <v>469</v>
      </c>
      <c r="B1787" s="37" t="s">
        <v>2168</v>
      </c>
      <c r="C1787" s="37" t="s">
        <v>1263</v>
      </c>
      <c r="D1787" s="37" t="s">
        <v>39</v>
      </c>
      <c r="E1787" s="37" t="s">
        <v>22</v>
      </c>
      <c r="F1787" s="42">
        <v>45382</v>
      </c>
      <c r="G1787" s="37">
        <v>2024</v>
      </c>
      <c r="H1787" s="37" t="s">
        <v>40</v>
      </c>
      <c r="I1787" s="39" t="s">
        <v>34</v>
      </c>
      <c r="J1787" s="37">
        <v>100</v>
      </c>
      <c r="K1787" s="43">
        <v>195.07</v>
      </c>
      <c r="L1787" s="65">
        <f t="shared" ref="L1787:L1798" si="188">IFERROR(IF(OR(J1787=0,K1787=""),"",IF(E1787="Positivo",MIN(MAX(K1787/J1787,0),1),MIN(MAX(J1787/K1787,0),1))),"")</f>
        <v>1</v>
      </c>
      <c r="M1787" s="65">
        <f t="shared" ref="M1787:M1798" si="189">IFERROR(IF(OR(J1787=0,K1787=""),"",IF(E1787="Positivo",MIN(MAX(K1787/J1787,0),1),MIN(MAX(J1787/K1787,0),1))),"")</f>
        <v>1</v>
      </c>
      <c r="N1787" s="37" t="s">
        <v>25</v>
      </c>
      <c r="O1787" s="37" t="s">
        <v>25</v>
      </c>
      <c r="P1787" s="40">
        <v>1</v>
      </c>
      <c r="Q1787" s="40">
        <v>1</v>
      </c>
      <c r="R1787" s="37" t="s">
        <v>2456</v>
      </c>
      <c r="S1787" s="37"/>
    </row>
    <row r="1788" spans="1:19" x14ac:dyDescent="0.3">
      <c r="A1788" s="37">
        <v>469</v>
      </c>
      <c r="B1788" s="37" t="s">
        <v>2168</v>
      </c>
      <c r="C1788" s="37" t="s">
        <v>2457</v>
      </c>
      <c r="D1788" s="37" t="s">
        <v>39</v>
      </c>
      <c r="E1788" s="37" t="s">
        <v>22</v>
      </c>
      <c r="F1788" s="42">
        <v>45473</v>
      </c>
      <c r="G1788" s="37">
        <v>2024</v>
      </c>
      <c r="H1788" s="37" t="s">
        <v>23</v>
      </c>
      <c r="I1788" s="39" t="s">
        <v>34</v>
      </c>
      <c r="J1788" s="37">
        <v>100</v>
      </c>
      <c r="K1788" s="37">
        <v>114.33</v>
      </c>
      <c r="L1788" s="65">
        <f t="shared" si="188"/>
        <v>1</v>
      </c>
      <c r="M1788" s="65">
        <f t="shared" si="189"/>
        <v>1</v>
      </c>
      <c r="N1788" s="37" t="s">
        <v>25</v>
      </c>
      <c r="O1788" s="37" t="s">
        <v>25</v>
      </c>
      <c r="P1788" s="37">
        <v>0</v>
      </c>
      <c r="Q1788" s="37">
        <v>0</v>
      </c>
      <c r="R1788" s="37" t="s">
        <v>2458</v>
      </c>
      <c r="S1788" s="37"/>
    </row>
    <row r="1789" spans="1:19" x14ac:dyDescent="0.3">
      <c r="A1789" s="36">
        <v>469</v>
      </c>
      <c r="B1789" s="37" t="s">
        <v>2168</v>
      </c>
      <c r="C1789" s="37" t="s">
        <v>1263</v>
      </c>
      <c r="D1789" s="37" t="s">
        <v>39</v>
      </c>
      <c r="E1789" s="37" t="s">
        <v>22</v>
      </c>
      <c r="F1789" s="42">
        <v>45565</v>
      </c>
      <c r="G1789" s="37">
        <v>2024</v>
      </c>
      <c r="H1789" s="37" t="s">
        <v>43</v>
      </c>
      <c r="I1789" s="39" t="s">
        <v>36</v>
      </c>
      <c r="J1789" s="37">
        <v>100</v>
      </c>
      <c r="K1789" s="43">
        <v>94.86</v>
      </c>
      <c r="L1789" s="65">
        <f t="shared" si="188"/>
        <v>0.9486</v>
      </c>
      <c r="M1789" s="65">
        <f t="shared" si="189"/>
        <v>0.9486</v>
      </c>
      <c r="N1789" s="37" t="s">
        <v>25</v>
      </c>
      <c r="O1789" s="37" t="s">
        <v>25</v>
      </c>
      <c r="P1789" s="40">
        <v>0</v>
      </c>
      <c r="Q1789" s="40">
        <v>0</v>
      </c>
      <c r="R1789" s="37" t="s">
        <v>2459</v>
      </c>
      <c r="S1789" s="37"/>
    </row>
    <row r="1790" spans="1:19" x14ac:dyDescent="0.3">
      <c r="A1790" s="36">
        <v>469</v>
      </c>
      <c r="B1790" s="37" t="s">
        <v>2168</v>
      </c>
      <c r="C1790" s="37" t="s">
        <v>1263</v>
      </c>
      <c r="D1790" s="37" t="s">
        <v>39</v>
      </c>
      <c r="E1790" s="37" t="s">
        <v>22</v>
      </c>
      <c r="F1790" s="42">
        <v>45657</v>
      </c>
      <c r="G1790" s="37">
        <v>2024</v>
      </c>
      <c r="H1790" s="37" t="s">
        <v>27</v>
      </c>
      <c r="I1790" s="39" t="s">
        <v>36</v>
      </c>
      <c r="J1790" s="37">
        <v>100</v>
      </c>
      <c r="K1790" s="43">
        <v>99.7</v>
      </c>
      <c r="L1790" s="65">
        <f t="shared" si="188"/>
        <v>0.997</v>
      </c>
      <c r="M1790" s="65">
        <f t="shared" si="189"/>
        <v>0.997</v>
      </c>
      <c r="N1790" s="37" t="s">
        <v>25</v>
      </c>
      <c r="O1790" s="37" t="s">
        <v>25</v>
      </c>
      <c r="P1790" s="40">
        <v>0</v>
      </c>
      <c r="Q1790" s="40">
        <v>0</v>
      </c>
      <c r="R1790" s="37" t="s">
        <v>2460</v>
      </c>
      <c r="S1790" s="37"/>
    </row>
    <row r="1791" spans="1:19" x14ac:dyDescent="0.3">
      <c r="A1791" s="36">
        <v>470</v>
      </c>
      <c r="B1791" s="37" t="s">
        <v>2465</v>
      </c>
      <c r="C1791" s="37" t="s">
        <v>1263</v>
      </c>
      <c r="D1791" s="37" t="s">
        <v>39</v>
      </c>
      <c r="E1791" s="37" t="s">
        <v>22</v>
      </c>
      <c r="F1791" s="42">
        <v>45382</v>
      </c>
      <c r="G1791" s="37">
        <v>2024</v>
      </c>
      <c r="H1791" s="37" t="s">
        <v>40</v>
      </c>
      <c r="I1791" s="39" t="s">
        <v>34</v>
      </c>
      <c r="J1791" s="37">
        <v>100</v>
      </c>
      <c r="K1791" s="43">
        <v>79.599999999999994</v>
      </c>
      <c r="L1791" s="65">
        <f t="shared" si="188"/>
        <v>0.79599999999999993</v>
      </c>
      <c r="M1791" s="65">
        <f t="shared" si="189"/>
        <v>0.79599999999999993</v>
      </c>
      <c r="N1791" s="37" t="s">
        <v>25</v>
      </c>
      <c r="O1791" s="37" t="s">
        <v>25</v>
      </c>
      <c r="P1791" s="40">
        <v>0</v>
      </c>
      <c r="Q1791" s="40">
        <v>0</v>
      </c>
      <c r="R1791" s="37" t="s">
        <v>2466</v>
      </c>
      <c r="S1791" s="37"/>
    </row>
    <row r="1792" spans="1:19" x14ac:dyDescent="0.3">
      <c r="A1792" s="37">
        <v>470</v>
      </c>
      <c r="B1792" s="37" t="s">
        <v>2465</v>
      </c>
      <c r="C1792" s="37" t="s">
        <v>1263</v>
      </c>
      <c r="D1792" s="37" t="s">
        <v>39</v>
      </c>
      <c r="E1792" s="37" t="s">
        <v>22</v>
      </c>
      <c r="F1792" s="42">
        <v>45473</v>
      </c>
      <c r="G1792" s="37">
        <v>2024</v>
      </c>
      <c r="H1792" s="37" t="s">
        <v>23</v>
      </c>
      <c r="I1792" s="39" t="s">
        <v>34</v>
      </c>
      <c r="J1792" s="37">
        <v>100</v>
      </c>
      <c r="K1792" s="37">
        <v>118.1</v>
      </c>
      <c r="L1792" s="65">
        <f t="shared" si="188"/>
        <v>1</v>
      </c>
      <c r="M1792" s="65">
        <f t="shared" si="189"/>
        <v>1</v>
      </c>
      <c r="N1792" s="37" t="s">
        <v>25</v>
      </c>
      <c r="O1792" s="37" t="s">
        <v>25</v>
      </c>
      <c r="P1792" s="37">
        <v>0</v>
      </c>
      <c r="Q1792" s="37">
        <v>0</v>
      </c>
      <c r="R1792" s="37" t="s">
        <v>2467</v>
      </c>
      <c r="S1792" s="37"/>
    </row>
    <row r="1793" spans="1:19" x14ac:dyDescent="0.3">
      <c r="A1793" s="36">
        <v>470</v>
      </c>
      <c r="B1793" s="37" t="s">
        <v>2465</v>
      </c>
      <c r="C1793" s="37" t="s">
        <v>1263</v>
      </c>
      <c r="D1793" s="37" t="s">
        <v>39</v>
      </c>
      <c r="E1793" s="37" t="s">
        <v>22</v>
      </c>
      <c r="F1793" s="42">
        <v>45565</v>
      </c>
      <c r="G1793" s="37">
        <v>2024</v>
      </c>
      <c r="H1793" s="37" t="s">
        <v>43</v>
      </c>
      <c r="I1793" s="39" t="s">
        <v>36</v>
      </c>
      <c r="J1793" s="37">
        <v>100</v>
      </c>
      <c r="K1793" s="43">
        <v>104.86</v>
      </c>
      <c r="L1793" s="65">
        <f t="shared" si="188"/>
        <v>1</v>
      </c>
      <c r="M1793" s="65">
        <f t="shared" si="189"/>
        <v>1</v>
      </c>
      <c r="N1793" s="37" t="s">
        <v>25</v>
      </c>
      <c r="O1793" s="37" t="s">
        <v>25</v>
      </c>
      <c r="P1793" s="40">
        <v>0</v>
      </c>
      <c r="Q1793" s="40">
        <v>0</v>
      </c>
      <c r="R1793" s="37" t="s">
        <v>2468</v>
      </c>
      <c r="S1793" s="37"/>
    </row>
    <row r="1794" spans="1:19" x14ac:dyDescent="0.3">
      <c r="A1794" s="36">
        <v>470</v>
      </c>
      <c r="B1794" s="37" t="s">
        <v>2465</v>
      </c>
      <c r="C1794" s="37" t="s">
        <v>1263</v>
      </c>
      <c r="D1794" s="37" t="s">
        <v>39</v>
      </c>
      <c r="E1794" s="37" t="s">
        <v>22</v>
      </c>
      <c r="F1794" s="42">
        <v>45657</v>
      </c>
      <c r="G1794" s="37">
        <v>2024</v>
      </c>
      <c r="H1794" s="37" t="s">
        <v>27</v>
      </c>
      <c r="I1794" s="39" t="s">
        <v>36</v>
      </c>
      <c r="J1794" s="37">
        <v>100</v>
      </c>
      <c r="K1794" s="43">
        <v>100</v>
      </c>
      <c r="L1794" s="65">
        <f t="shared" si="188"/>
        <v>1</v>
      </c>
      <c r="M1794" s="65">
        <f t="shared" si="189"/>
        <v>1</v>
      </c>
      <c r="N1794" s="37" t="s">
        <v>25</v>
      </c>
      <c r="O1794" s="37" t="s">
        <v>25</v>
      </c>
      <c r="P1794" s="40">
        <v>0</v>
      </c>
      <c r="Q1794" s="40">
        <v>0</v>
      </c>
      <c r="R1794" s="37" t="s">
        <v>2469</v>
      </c>
      <c r="S1794" s="37"/>
    </row>
    <row r="1795" spans="1:19" x14ac:dyDescent="0.3">
      <c r="A1795" s="36">
        <v>471</v>
      </c>
      <c r="B1795" s="37" t="s">
        <v>2474</v>
      </c>
      <c r="C1795" s="37" t="s">
        <v>1263</v>
      </c>
      <c r="D1795" s="37" t="s">
        <v>39</v>
      </c>
      <c r="E1795" s="37" t="s">
        <v>22</v>
      </c>
      <c r="F1795" s="42">
        <v>45382</v>
      </c>
      <c r="G1795" s="37">
        <v>2024</v>
      </c>
      <c r="H1795" s="37" t="s">
        <v>40</v>
      </c>
      <c r="I1795" s="39" t="s">
        <v>34</v>
      </c>
      <c r="J1795" s="37">
        <v>100</v>
      </c>
      <c r="K1795" s="43">
        <v>108.48</v>
      </c>
      <c r="L1795" s="65">
        <f t="shared" si="188"/>
        <v>1</v>
      </c>
      <c r="M1795" s="65">
        <f t="shared" si="189"/>
        <v>1</v>
      </c>
      <c r="N1795" s="37" t="s">
        <v>25</v>
      </c>
      <c r="O1795" s="37" t="s">
        <v>25</v>
      </c>
      <c r="P1795" s="40">
        <v>0</v>
      </c>
      <c r="Q1795" s="40">
        <v>0</v>
      </c>
      <c r="R1795" s="37" t="s">
        <v>2475</v>
      </c>
      <c r="S1795" s="37"/>
    </row>
    <row r="1796" spans="1:19" x14ac:dyDescent="0.3">
      <c r="A1796" s="37">
        <v>471</v>
      </c>
      <c r="B1796" s="37" t="s">
        <v>2474</v>
      </c>
      <c r="C1796" s="37" t="s">
        <v>55</v>
      </c>
      <c r="D1796" s="37" t="s">
        <v>39</v>
      </c>
      <c r="E1796" s="37" t="s">
        <v>22</v>
      </c>
      <c r="F1796" s="42">
        <v>45473</v>
      </c>
      <c r="G1796" s="37">
        <v>2024</v>
      </c>
      <c r="H1796" s="37" t="s">
        <v>23</v>
      </c>
      <c r="I1796" s="39" t="s">
        <v>34</v>
      </c>
      <c r="J1796" s="37">
        <v>100</v>
      </c>
      <c r="K1796" s="37">
        <v>105.56</v>
      </c>
      <c r="L1796" s="65">
        <f t="shared" si="188"/>
        <v>1</v>
      </c>
      <c r="M1796" s="65">
        <f t="shared" si="189"/>
        <v>1</v>
      </c>
      <c r="N1796" s="37" t="s">
        <v>25</v>
      </c>
      <c r="O1796" s="37" t="s">
        <v>25</v>
      </c>
      <c r="P1796" s="37">
        <v>0</v>
      </c>
      <c r="Q1796" s="37">
        <v>0</v>
      </c>
      <c r="R1796" s="37" t="s">
        <v>2476</v>
      </c>
      <c r="S1796" s="37"/>
    </row>
    <row r="1797" spans="1:19" x14ac:dyDescent="0.3">
      <c r="A1797" s="36">
        <v>471</v>
      </c>
      <c r="B1797" s="37" t="s">
        <v>2474</v>
      </c>
      <c r="C1797" s="37" t="s">
        <v>1263</v>
      </c>
      <c r="D1797" s="37" t="s">
        <v>39</v>
      </c>
      <c r="E1797" s="37" t="s">
        <v>22</v>
      </c>
      <c r="F1797" s="42">
        <v>45565</v>
      </c>
      <c r="G1797" s="37">
        <v>2024</v>
      </c>
      <c r="H1797" s="37" t="s">
        <v>43</v>
      </c>
      <c r="I1797" s="39" t="s">
        <v>36</v>
      </c>
      <c r="J1797" s="37">
        <v>100</v>
      </c>
      <c r="K1797" s="43">
        <v>91.07</v>
      </c>
      <c r="L1797" s="65">
        <f t="shared" si="188"/>
        <v>0.91069999999999995</v>
      </c>
      <c r="M1797" s="65">
        <f t="shared" si="189"/>
        <v>0.91069999999999995</v>
      </c>
      <c r="N1797" s="37" t="s">
        <v>25</v>
      </c>
      <c r="O1797" s="37" t="s">
        <v>25</v>
      </c>
      <c r="P1797" s="40">
        <v>0</v>
      </c>
      <c r="Q1797" s="40">
        <v>0</v>
      </c>
      <c r="R1797" s="37" t="s">
        <v>2477</v>
      </c>
      <c r="S1797" s="37"/>
    </row>
    <row r="1798" spans="1:19" x14ac:dyDescent="0.3">
      <c r="A1798" s="36">
        <v>471</v>
      </c>
      <c r="B1798" s="37" t="s">
        <v>2474</v>
      </c>
      <c r="C1798" s="37" t="s">
        <v>1263</v>
      </c>
      <c r="D1798" s="37" t="s">
        <v>39</v>
      </c>
      <c r="E1798" s="37" t="s">
        <v>22</v>
      </c>
      <c r="F1798" s="42">
        <v>45657</v>
      </c>
      <c r="G1798" s="37">
        <v>2024</v>
      </c>
      <c r="H1798" s="37" t="s">
        <v>27</v>
      </c>
      <c r="I1798" s="39" t="s">
        <v>36</v>
      </c>
      <c r="J1798" s="37">
        <v>100</v>
      </c>
      <c r="K1798" s="43">
        <v>99</v>
      </c>
      <c r="L1798" s="65">
        <f t="shared" si="188"/>
        <v>0.99</v>
      </c>
      <c r="M1798" s="65">
        <f t="shared" si="189"/>
        <v>0.99</v>
      </c>
      <c r="N1798" s="37" t="s">
        <v>25</v>
      </c>
      <c r="O1798" s="37" t="s">
        <v>25</v>
      </c>
      <c r="P1798" s="40">
        <v>0</v>
      </c>
      <c r="Q1798" s="40">
        <v>0</v>
      </c>
      <c r="R1798" s="37" t="s">
        <v>2478</v>
      </c>
      <c r="S1798" s="37"/>
    </row>
    <row r="1799" spans="1:19" x14ac:dyDescent="0.3">
      <c r="A1799" s="37">
        <v>472</v>
      </c>
      <c r="B1799" s="37" t="s">
        <v>2483</v>
      </c>
      <c r="C1799" s="37" t="s">
        <v>1758</v>
      </c>
      <c r="D1799" s="37" t="s">
        <v>21</v>
      </c>
      <c r="E1799" s="37" t="s">
        <v>22</v>
      </c>
      <c r="F1799" s="42">
        <v>45473</v>
      </c>
      <c r="G1799" s="37">
        <v>2024</v>
      </c>
      <c r="H1799" s="37" t="s">
        <v>23</v>
      </c>
      <c r="I1799" s="39" t="s">
        <v>34</v>
      </c>
      <c r="J1799" s="37">
        <v>100</v>
      </c>
      <c r="K1799" s="37">
        <v>82.1</v>
      </c>
      <c r="L1799" s="65">
        <f>IFERROR(IF(OR(J1799=0,K1799=""),"",IF(E1799="Positivo",MIN(MAX(K1799/J1799,0),1.3),MIN(MAX(J1799/K1799,0),1.3))),"")</f>
        <v>0.82099999999999995</v>
      </c>
      <c r="M1799" s="65">
        <f>IFERROR(IF(OR(J1799=0,K1799=""),"",IF(E1799="Positivo",MAX(K1799/J1799,0),MAX(J1799/K1799,0))),"")</f>
        <v>0.82099999999999995</v>
      </c>
      <c r="N1799" s="37" t="s">
        <v>25</v>
      </c>
      <c r="O1799" s="37" t="s">
        <v>25</v>
      </c>
      <c r="P1799" s="37">
        <v>0</v>
      </c>
      <c r="Q1799" s="37">
        <v>0</v>
      </c>
      <c r="R1799" s="37" t="s">
        <v>2484</v>
      </c>
      <c r="S1799" s="37"/>
    </row>
    <row r="1800" spans="1:19" x14ac:dyDescent="0.3">
      <c r="A1800" s="36">
        <v>472</v>
      </c>
      <c r="B1800" s="37" t="s">
        <v>2483</v>
      </c>
      <c r="C1800" s="37" t="s">
        <v>1758</v>
      </c>
      <c r="D1800" s="37" t="s">
        <v>21</v>
      </c>
      <c r="E1800" s="37" t="s">
        <v>22</v>
      </c>
      <c r="F1800" s="42">
        <v>45657</v>
      </c>
      <c r="G1800" s="37">
        <v>2024</v>
      </c>
      <c r="H1800" s="37" t="s">
        <v>27</v>
      </c>
      <c r="I1800" s="39" t="s">
        <v>36</v>
      </c>
      <c r="J1800" s="37">
        <v>100</v>
      </c>
      <c r="K1800" s="43">
        <v>100</v>
      </c>
      <c r="L1800" s="65">
        <f>IFERROR(IF(OR(J1800=0,K1800=""),"",IF(E1800="Positivo",MIN(MAX(K1800/J1800,0),1.3),MIN(MAX(J1800/K1800,0),1.3))),"")</f>
        <v>1</v>
      </c>
      <c r="M1800" s="65">
        <f>IFERROR(IF(OR(J1800=0,K1800=""),"",IF(E1800="Positivo",MAX(K1800/J1800,0),MAX(J1800/K1800,0))),"")</f>
        <v>1</v>
      </c>
      <c r="N1800" s="37" t="s">
        <v>25</v>
      </c>
      <c r="O1800" s="37" t="s">
        <v>25</v>
      </c>
      <c r="P1800" s="40">
        <v>0</v>
      </c>
      <c r="Q1800" s="40">
        <v>0</v>
      </c>
      <c r="R1800" s="37" t="s">
        <v>2485</v>
      </c>
      <c r="S1800" s="37"/>
    </row>
    <row r="1801" spans="1:19" x14ac:dyDescent="0.3">
      <c r="A1801" s="36">
        <v>473</v>
      </c>
      <c r="B1801" s="12" t="s">
        <v>2486</v>
      </c>
      <c r="C1801" s="37" t="s">
        <v>1234</v>
      </c>
      <c r="D1801" s="37" t="s">
        <v>21</v>
      </c>
      <c r="E1801" s="37" t="s">
        <v>22</v>
      </c>
      <c r="F1801" s="42">
        <v>45473</v>
      </c>
      <c r="G1801" s="37">
        <v>2024</v>
      </c>
      <c r="H1801" s="37" t="s">
        <v>23</v>
      </c>
      <c r="I1801" s="39" t="s">
        <v>34</v>
      </c>
      <c r="J1801" s="37">
        <v>100</v>
      </c>
      <c r="K1801" s="68">
        <v>100</v>
      </c>
      <c r="L1801" s="65">
        <f>IFERROR(IF(OR(J1801=0,K1801=""),"",IF(E1801="Positivo",MIN(MAX(K1801/J1801,0),1.3),MIN(MAX(J1801/K1801,0),1.3))),"")</f>
        <v>1</v>
      </c>
      <c r="M1801" s="65">
        <f>IFERROR(IF(OR(J1801=0,K1801=""),"",IF(E1801="Positivo",MAX(K1801/J1801,0),MAX(J1801/K1801,0))),"")</f>
        <v>1</v>
      </c>
      <c r="N1801" s="37" t="s">
        <v>203</v>
      </c>
      <c r="O1801" s="37" t="s">
        <v>203</v>
      </c>
      <c r="P1801" s="40">
        <v>0</v>
      </c>
      <c r="Q1801" s="40">
        <v>0</v>
      </c>
      <c r="R1801" s="37" t="s">
        <v>2487</v>
      </c>
      <c r="S1801" s="37"/>
    </row>
    <row r="1802" spans="1:19" x14ac:dyDescent="0.3">
      <c r="A1802" s="36">
        <v>473</v>
      </c>
      <c r="B1802" s="37" t="s">
        <v>2488</v>
      </c>
      <c r="C1802" s="37" t="s">
        <v>1234</v>
      </c>
      <c r="D1802" s="37" t="s">
        <v>21</v>
      </c>
      <c r="E1802" s="37" t="s">
        <v>22</v>
      </c>
      <c r="F1802" s="42">
        <v>45657</v>
      </c>
      <c r="G1802" s="37">
        <v>2024</v>
      </c>
      <c r="H1802" s="37" t="s">
        <v>27</v>
      </c>
      <c r="I1802" s="39" t="s">
        <v>36</v>
      </c>
      <c r="J1802" s="37">
        <v>100</v>
      </c>
      <c r="K1802" s="40">
        <v>100</v>
      </c>
      <c r="L1802" s="65">
        <f>IFERROR(IF(OR(J1802=0,K1802=""),"",IF(E1802="Positivo",MIN(MAX(K1802/J1802,0),1.3),MIN(MAX(J1802/K1802,0),1.3))),"")</f>
        <v>1</v>
      </c>
      <c r="M1802" s="65">
        <f>IFERROR(IF(OR(J1802=0,K1802=""),"",IF(E1802="Positivo",MAX(K1802/J1802,0),MAX(J1802/K1802,0))),"")</f>
        <v>1</v>
      </c>
      <c r="N1802" s="37" t="s">
        <v>203</v>
      </c>
      <c r="O1802" s="37" t="s">
        <v>203</v>
      </c>
      <c r="P1802" s="40">
        <v>0</v>
      </c>
      <c r="Q1802" s="40">
        <v>0</v>
      </c>
      <c r="R1802" s="37" t="s">
        <v>2489</v>
      </c>
      <c r="S1802" s="37"/>
    </row>
    <row r="1803" spans="1:19" x14ac:dyDescent="0.3">
      <c r="A1803" s="36">
        <v>474</v>
      </c>
      <c r="B1803" s="12" t="s">
        <v>2492</v>
      </c>
      <c r="C1803" s="37" t="s">
        <v>1969</v>
      </c>
      <c r="D1803" s="37" t="s">
        <v>21</v>
      </c>
      <c r="E1803" s="37" t="s">
        <v>22</v>
      </c>
      <c r="F1803" s="42">
        <v>45473</v>
      </c>
      <c r="G1803" s="37">
        <v>2024</v>
      </c>
      <c r="H1803" s="37" t="s">
        <v>23</v>
      </c>
      <c r="I1803" s="39" t="s">
        <v>34</v>
      </c>
      <c r="J1803" s="37">
        <v>100</v>
      </c>
      <c r="K1803" s="37">
        <v>100</v>
      </c>
      <c r="L1803" s="65">
        <f>IFERROR(IF(OR(J1803=0,K1803=""),"",IF(E1803="Positivo",MIN(MAX(K1803/J1803,0),1.3),MIN(MAX(J1803/K1803,0),1.3))),"")</f>
        <v>1</v>
      </c>
      <c r="M1803" s="65">
        <f>IFERROR(IF(OR(J1803=0,K1803=""),"",IF(E1803="Positivo",MAX(K1803/J1803,0),MAX(J1803/K1803,0))),"")</f>
        <v>1</v>
      </c>
      <c r="N1803" s="37" t="s">
        <v>203</v>
      </c>
      <c r="O1803" s="37" t="s">
        <v>203</v>
      </c>
      <c r="P1803" s="37">
        <v>0</v>
      </c>
      <c r="Q1803" s="37">
        <v>0</v>
      </c>
      <c r="R1803" s="37" t="s">
        <v>2493</v>
      </c>
      <c r="S1803" s="37"/>
    </row>
    <row r="1804" spans="1:19" x14ac:dyDescent="0.3">
      <c r="A1804" s="36">
        <v>474</v>
      </c>
      <c r="B1804" s="37" t="s">
        <v>2494</v>
      </c>
      <c r="C1804" s="37" t="s">
        <v>1969</v>
      </c>
      <c r="D1804" s="37" t="s">
        <v>21</v>
      </c>
      <c r="E1804" s="37" t="s">
        <v>22</v>
      </c>
      <c r="F1804" s="42">
        <v>45657</v>
      </c>
      <c r="G1804" s="37">
        <v>2024</v>
      </c>
      <c r="H1804" s="37" t="s">
        <v>27</v>
      </c>
      <c r="I1804" s="39" t="s">
        <v>36</v>
      </c>
      <c r="J1804" s="37">
        <v>100</v>
      </c>
      <c r="K1804" s="43">
        <v>100</v>
      </c>
      <c r="L1804" s="65">
        <f>IFERROR(IF(OR(J1804=0,K1804=""),"",IF(E1804="Positivo",MIN(MAX(K1804/J1804,0),1.3),MIN(MAX(J1804/K1804,0),1.3))),"")</f>
        <v>1</v>
      </c>
      <c r="M1804" s="65">
        <f>IFERROR(IF(OR(J1804=0,K1804=""),"",IF(E1804="Positivo",MAX(K1804/J1804,0),MAX(J1804/K1804,0))),"")</f>
        <v>1</v>
      </c>
      <c r="N1804" s="37" t="s">
        <v>203</v>
      </c>
      <c r="O1804" s="37" t="s">
        <v>203</v>
      </c>
      <c r="P1804" s="40">
        <v>0</v>
      </c>
      <c r="Q1804" s="40">
        <v>0</v>
      </c>
      <c r="R1804" s="37" t="s">
        <v>2495</v>
      </c>
      <c r="S1804" s="37"/>
    </row>
    <row r="1805" spans="1:19" x14ac:dyDescent="0.3">
      <c r="A1805" s="37">
        <v>475</v>
      </c>
      <c r="B1805" s="37" t="s">
        <v>2496</v>
      </c>
      <c r="C1805" s="37" t="s">
        <v>1627</v>
      </c>
      <c r="D1805" s="37" t="s">
        <v>21</v>
      </c>
      <c r="E1805" s="37" t="s">
        <v>22</v>
      </c>
      <c r="F1805" s="42">
        <v>45473</v>
      </c>
      <c r="G1805" s="37">
        <v>2024</v>
      </c>
      <c r="H1805" s="37" t="s">
        <v>23</v>
      </c>
      <c r="I1805" s="37" t="s">
        <v>34</v>
      </c>
      <c r="J1805" s="37">
        <v>0</v>
      </c>
      <c r="K1805" s="37">
        <v>0</v>
      </c>
      <c r="L1805" s="65" t="str">
        <f t="shared" ref="L1805:L1810" si="190">IFERROR(IF(OR(J1805=0,K1805=""),"",IF(E1805="Positivo",MIN(MAX(K1805/J1805,0),1.3),MIN(MAX(J1805/K1805,0),1.3))),"")</f>
        <v/>
      </c>
      <c r="M1805" s="65" t="str">
        <f t="shared" ref="M1805:M1810" si="191">IFERROR(IF(OR(J1805=0,K1805=""),"",IF(E1805="Positivo",MAX(K1805/J1805,0),MAX(J1805/K1805,0))),"")</f>
        <v/>
      </c>
      <c r="N1805" s="37" t="s">
        <v>203</v>
      </c>
      <c r="O1805" s="37" t="s">
        <v>203</v>
      </c>
      <c r="P1805" s="37">
        <v>0</v>
      </c>
      <c r="Q1805" s="37">
        <v>0</v>
      </c>
      <c r="R1805" s="37" t="s">
        <v>2497</v>
      </c>
      <c r="S1805" s="37"/>
    </row>
    <row r="1806" spans="1:19" x14ac:dyDescent="0.3">
      <c r="A1806" s="36">
        <v>475</v>
      </c>
      <c r="B1806" s="37" t="s">
        <v>2496</v>
      </c>
      <c r="C1806" s="37" t="s">
        <v>1627</v>
      </c>
      <c r="D1806" s="37" t="s">
        <v>21</v>
      </c>
      <c r="E1806" s="37" t="s">
        <v>22</v>
      </c>
      <c r="F1806" s="42">
        <v>45657</v>
      </c>
      <c r="G1806" s="37">
        <v>2024</v>
      </c>
      <c r="H1806" s="37" t="s">
        <v>27</v>
      </c>
      <c r="I1806" s="39" t="s">
        <v>36</v>
      </c>
      <c r="J1806" s="37">
        <v>10</v>
      </c>
      <c r="K1806" s="43">
        <v>14</v>
      </c>
      <c r="L1806" s="65">
        <f t="shared" si="190"/>
        <v>1.3</v>
      </c>
      <c r="M1806" s="65">
        <f t="shared" si="191"/>
        <v>1.4</v>
      </c>
      <c r="N1806" s="37"/>
      <c r="O1806" s="37"/>
      <c r="P1806" s="40">
        <v>0</v>
      </c>
      <c r="Q1806" s="40">
        <v>0</v>
      </c>
      <c r="R1806" s="37" t="s">
        <v>2498</v>
      </c>
      <c r="S1806" s="37"/>
    </row>
    <row r="1807" spans="1:19" x14ac:dyDescent="0.3">
      <c r="A1807" s="36">
        <v>476</v>
      </c>
      <c r="B1807" s="37" t="s">
        <v>2499</v>
      </c>
      <c r="C1807" s="37" t="s">
        <v>1234</v>
      </c>
      <c r="D1807" s="37" t="s">
        <v>21</v>
      </c>
      <c r="E1807" s="37" t="s">
        <v>22</v>
      </c>
      <c r="F1807" s="42">
        <v>45473</v>
      </c>
      <c r="G1807" s="37">
        <v>2024</v>
      </c>
      <c r="H1807" s="37" t="s">
        <v>23</v>
      </c>
      <c r="I1807" s="39" t="s">
        <v>34</v>
      </c>
      <c r="J1807" s="37">
        <v>100</v>
      </c>
      <c r="K1807" s="43">
        <v>100</v>
      </c>
      <c r="L1807" s="65">
        <f t="shared" si="190"/>
        <v>1</v>
      </c>
      <c r="M1807" s="65">
        <f t="shared" si="191"/>
        <v>1</v>
      </c>
      <c r="N1807" s="37"/>
      <c r="O1807" s="37"/>
      <c r="P1807" s="40">
        <v>0</v>
      </c>
      <c r="Q1807" s="40">
        <v>0</v>
      </c>
      <c r="R1807" s="37" t="s">
        <v>2500</v>
      </c>
      <c r="S1807" s="37"/>
    </row>
    <row r="1808" spans="1:19" x14ac:dyDescent="0.3">
      <c r="A1808" s="36">
        <v>476</v>
      </c>
      <c r="B1808" s="37" t="s">
        <v>2499</v>
      </c>
      <c r="C1808" s="37" t="s">
        <v>1234</v>
      </c>
      <c r="D1808" s="37" t="s">
        <v>21</v>
      </c>
      <c r="E1808" s="37" t="s">
        <v>22</v>
      </c>
      <c r="F1808" s="42">
        <v>45657</v>
      </c>
      <c r="G1808" s="37">
        <v>2024</v>
      </c>
      <c r="H1808" s="37" t="s">
        <v>27</v>
      </c>
      <c r="I1808" s="39" t="s">
        <v>36</v>
      </c>
      <c r="J1808" s="37">
        <v>100</v>
      </c>
      <c r="K1808" s="43">
        <v>100</v>
      </c>
      <c r="L1808" s="65">
        <f t="shared" si="190"/>
        <v>1</v>
      </c>
      <c r="M1808" s="65">
        <f t="shared" si="191"/>
        <v>1</v>
      </c>
      <c r="N1808" s="37"/>
      <c r="O1808" s="37"/>
      <c r="P1808" s="40">
        <v>0</v>
      </c>
      <c r="Q1808" s="40">
        <v>0</v>
      </c>
      <c r="R1808" s="37" t="s">
        <v>2501</v>
      </c>
      <c r="S1808" s="37"/>
    </row>
    <row r="1809" spans="1:19" x14ac:dyDescent="0.3">
      <c r="A1809" s="36">
        <v>477</v>
      </c>
      <c r="B1809" s="37" t="s">
        <v>2504</v>
      </c>
      <c r="C1809" s="37" t="s">
        <v>1969</v>
      </c>
      <c r="D1809" s="37" t="s">
        <v>21</v>
      </c>
      <c r="E1809" s="37" t="s">
        <v>22</v>
      </c>
      <c r="F1809" s="42">
        <v>45473</v>
      </c>
      <c r="G1809" s="37">
        <v>2024</v>
      </c>
      <c r="H1809" s="37" t="s">
        <v>23</v>
      </c>
      <c r="I1809" s="39" t="s">
        <v>34</v>
      </c>
      <c r="J1809" s="37">
        <v>100</v>
      </c>
      <c r="K1809" s="43">
        <v>100</v>
      </c>
      <c r="L1809" s="65">
        <f t="shared" si="190"/>
        <v>1</v>
      </c>
      <c r="M1809" s="65">
        <f t="shared" si="191"/>
        <v>1</v>
      </c>
      <c r="N1809" s="37"/>
      <c r="O1809" s="37"/>
      <c r="P1809" s="40">
        <v>0</v>
      </c>
      <c r="Q1809" s="40">
        <v>0</v>
      </c>
      <c r="R1809" s="37" t="s">
        <v>2505</v>
      </c>
      <c r="S1809" s="37"/>
    </row>
    <row r="1810" spans="1:19" x14ac:dyDescent="0.3">
      <c r="A1810" s="36">
        <v>477</v>
      </c>
      <c r="B1810" s="37" t="s">
        <v>2504</v>
      </c>
      <c r="C1810" s="37" t="s">
        <v>1969</v>
      </c>
      <c r="D1810" s="37" t="s">
        <v>21</v>
      </c>
      <c r="E1810" s="37" t="s">
        <v>22</v>
      </c>
      <c r="F1810" s="42">
        <v>45657</v>
      </c>
      <c r="G1810" s="37">
        <v>2024</v>
      </c>
      <c r="H1810" s="37" t="s">
        <v>27</v>
      </c>
      <c r="I1810" s="39" t="s">
        <v>36</v>
      </c>
      <c r="J1810" s="37">
        <v>100</v>
      </c>
      <c r="K1810" s="43">
        <v>100</v>
      </c>
      <c r="L1810" s="65">
        <f t="shared" si="190"/>
        <v>1</v>
      </c>
      <c r="M1810" s="65">
        <f t="shared" si="191"/>
        <v>1</v>
      </c>
      <c r="N1810" s="37"/>
      <c r="O1810" s="37"/>
      <c r="P1810" s="40">
        <v>0</v>
      </c>
      <c r="Q1810" s="40">
        <v>0</v>
      </c>
      <c r="R1810" s="37" t="s">
        <v>2506</v>
      </c>
      <c r="S1810" s="37"/>
    </row>
    <row r="1811" spans="1:19" x14ac:dyDescent="0.3">
      <c r="A1811" s="37">
        <v>478</v>
      </c>
      <c r="B1811" s="37" t="s">
        <v>2507</v>
      </c>
      <c r="C1811" s="37" t="s">
        <v>1969</v>
      </c>
      <c r="D1811" s="37" t="s">
        <v>21</v>
      </c>
      <c r="E1811" s="37" t="s">
        <v>22</v>
      </c>
      <c r="F1811" s="42">
        <v>45473</v>
      </c>
      <c r="G1811" s="37">
        <v>2024</v>
      </c>
      <c r="H1811" s="37" t="s">
        <v>23</v>
      </c>
      <c r="I1811" s="37" t="s">
        <v>34</v>
      </c>
      <c r="J1811" s="37">
        <v>100</v>
      </c>
      <c r="K1811" s="37"/>
      <c r="L1811" s="65"/>
      <c r="M1811" s="65"/>
      <c r="N1811" s="37" t="s">
        <v>203</v>
      </c>
      <c r="O1811" s="37" t="s">
        <v>223</v>
      </c>
      <c r="P1811" s="37">
        <v>0</v>
      </c>
      <c r="Q1811" s="37">
        <v>0</v>
      </c>
      <c r="R1811" s="37" t="s">
        <v>2508</v>
      </c>
      <c r="S1811" s="37" t="s">
        <v>223</v>
      </c>
    </row>
    <row r="1812" spans="1:19" x14ac:dyDescent="0.3">
      <c r="A1812" s="36">
        <v>478</v>
      </c>
      <c r="B1812" s="37" t="s">
        <v>2507</v>
      </c>
      <c r="C1812" s="37" t="s">
        <v>1969</v>
      </c>
      <c r="D1812" s="37" t="s">
        <v>21</v>
      </c>
      <c r="E1812" s="37" t="s">
        <v>22</v>
      </c>
      <c r="F1812" s="42">
        <v>45657</v>
      </c>
      <c r="G1812" s="37">
        <v>2024</v>
      </c>
      <c r="H1812" s="37" t="s">
        <v>27</v>
      </c>
      <c r="I1812" s="39" t="s">
        <v>36</v>
      </c>
      <c r="J1812" s="37">
        <v>100</v>
      </c>
      <c r="K1812" s="43">
        <v>100</v>
      </c>
      <c r="L1812" s="65">
        <f>IFERROR(IF(OR(J1812=0,K1812=""),"",IF(E1812="Positivo",MIN(MAX(K1812/J1812,0),1.3),MIN(MAX(J1812/K1812,0),1.3))),"")</f>
        <v>1</v>
      </c>
      <c r="M1812" s="65">
        <f>IFERROR(IF(OR(J1812=0,K1812=""),"",IF(E1812="Positivo",MAX(K1812/J1812,0),MAX(J1812/K1812,0))),"")</f>
        <v>1</v>
      </c>
      <c r="N1812" s="37"/>
      <c r="O1812" s="37"/>
      <c r="P1812" s="40">
        <v>0</v>
      </c>
      <c r="Q1812" s="40">
        <v>0</v>
      </c>
      <c r="R1812" s="37" t="s">
        <v>2509</v>
      </c>
      <c r="S1812" s="37"/>
    </row>
    <row r="1813" spans="1:19" x14ac:dyDescent="0.3">
      <c r="A1813" s="36">
        <v>479</v>
      </c>
      <c r="B1813" s="37" t="s">
        <v>2510</v>
      </c>
      <c r="C1813" s="37" t="s">
        <v>1969</v>
      </c>
      <c r="D1813" s="37" t="s">
        <v>21</v>
      </c>
      <c r="E1813" s="37" t="s">
        <v>22</v>
      </c>
      <c r="F1813" s="42">
        <v>45473</v>
      </c>
      <c r="G1813" s="37">
        <v>2024</v>
      </c>
      <c r="H1813" s="37" t="s">
        <v>23</v>
      </c>
      <c r="I1813" s="39" t="s">
        <v>34</v>
      </c>
      <c r="J1813" s="37">
        <v>100</v>
      </c>
      <c r="K1813" s="43">
        <v>100</v>
      </c>
      <c r="L1813" s="65">
        <f>IFERROR(IF(OR(J1813=0,K1813=""),"",IF(E1813="Positivo",MIN(MAX(K1813/J1813,0),1.3),MIN(MAX(J1813/K1813,0),1.3))),"")</f>
        <v>1</v>
      </c>
      <c r="M1813" s="65">
        <f>IFERROR(IF(OR(J1813=0,K1813=""),"",IF(E1813="Positivo",MAX(K1813/J1813,0),MAX(J1813/K1813,0))),"")</f>
        <v>1</v>
      </c>
      <c r="N1813" s="37"/>
      <c r="O1813" s="37"/>
      <c r="P1813" s="40">
        <v>0</v>
      </c>
      <c r="Q1813" s="40">
        <v>0</v>
      </c>
      <c r="R1813" s="37" t="s">
        <v>2511</v>
      </c>
      <c r="S1813" s="37"/>
    </row>
    <row r="1814" spans="1:19" x14ac:dyDescent="0.3">
      <c r="A1814" s="36">
        <v>479</v>
      </c>
      <c r="B1814" s="37" t="s">
        <v>2510</v>
      </c>
      <c r="C1814" s="37" t="s">
        <v>1969</v>
      </c>
      <c r="D1814" s="37" t="s">
        <v>21</v>
      </c>
      <c r="E1814" s="37" t="s">
        <v>22</v>
      </c>
      <c r="F1814" s="42">
        <v>45657</v>
      </c>
      <c r="G1814" s="37">
        <v>2024</v>
      </c>
      <c r="H1814" s="37" t="s">
        <v>27</v>
      </c>
      <c r="I1814" s="39" t="s">
        <v>36</v>
      </c>
      <c r="J1814" s="37">
        <v>100</v>
      </c>
      <c r="K1814" s="43">
        <v>100</v>
      </c>
      <c r="L1814" s="65">
        <f>IFERROR(IF(OR(J1814=0,K1814=""),"",IF(E1814="Positivo",MIN(MAX(K1814/J1814,0),1.3),MIN(MAX(J1814/K1814,0),1.3))),"")</f>
        <v>1</v>
      </c>
      <c r="M1814" s="65">
        <f>IFERROR(IF(OR(J1814=0,K1814=""),"",IF(E1814="Positivo",MAX(K1814/J1814,0),MAX(J1814/K1814,0))),"")</f>
        <v>1</v>
      </c>
      <c r="N1814" s="37"/>
      <c r="O1814" s="37"/>
      <c r="P1814" s="40">
        <v>0</v>
      </c>
      <c r="Q1814" s="40">
        <v>0</v>
      </c>
      <c r="R1814" s="37" t="s">
        <v>2512</v>
      </c>
      <c r="S1814" s="37"/>
    </row>
    <row r="1815" spans="1:19" x14ac:dyDescent="0.3">
      <c r="A1815" s="36">
        <v>480</v>
      </c>
      <c r="B1815" s="37" t="s">
        <v>2513</v>
      </c>
      <c r="C1815" s="37" t="s">
        <v>1969</v>
      </c>
      <c r="D1815" s="37" t="s">
        <v>21</v>
      </c>
      <c r="E1815" s="37" t="s">
        <v>22</v>
      </c>
      <c r="F1815" s="42">
        <v>45473</v>
      </c>
      <c r="G1815" s="37">
        <v>2024</v>
      </c>
      <c r="H1815" s="37" t="s">
        <v>23</v>
      </c>
      <c r="I1815" s="39" t="s">
        <v>34</v>
      </c>
      <c r="J1815" s="37">
        <v>100</v>
      </c>
      <c r="K1815" s="43">
        <v>100</v>
      </c>
      <c r="L1815" s="65">
        <f>IFERROR(IF(OR(J1815=0,K1815=""),"",IF(E1815="Positivo",MIN(MAX(K1815/J1815,0),1.3),MIN(MAX(J1815/K1815,0),1.3))),"")</f>
        <v>1</v>
      </c>
      <c r="M1815" s="65">
        <f>IFERROR(IF(OR(J1815=0,K1815=""),"",IF(E1815="Positivo",MAX(K1815/J1815,0),MAX(J1815/K1815,0))),"")</f>
        <v>1</v>
      </c>
      <c r="N1815" s="37"/>
      <c r="O1815" s="37"/>
      <c r="P1815" s="40">
        <v>0</v>
      </c>
      <c r="Q1815" s="40">
        <v>0</v>
      </c>
      <c r="R1815" s="37" t="s">
        <v>2514</v>
      </c>
      <c r="S1815" s="37"/>
    </row>
    <row r="1816" spans="1:19" x14ac:dyDescent="0.3">
      <c r="A1816" s="36">
        <v>480</v>
      </c>
      <c r="B1816" s="37" t="s">
        <v>2513</v>
      </c>
      <c r="C1816" s="37" t="s">
        <v>1969</v>
      </c>
      <c r="D1816" s="37" t="s">
        <v>21</v>
      </c>
      <c r="E1816" s="37" t="s">
        <v>22</v>
      </c>
      <c r="F1816" s="42">
        <v>45657</v>
      </c>
      <c r="G1816" s="37">
        <v>2024</v>
      </c>
      <c r="H1816" s="37" t="s">
        <v>27</v>
      </c>
      <c r="I1816" s="39" t="s">
        <v>36</v>
      </c>
      <c r="J1816" s="37">
        <v>100</v>
      </c>
      <c r="K1816" s="43">
        <v>100</v>
      </c>
      <c r="L1816" s="65">
        <f>IFERROR(IF(OR(J1816=0,K1816=""),"",IF(E1816="Positivo",MIN(MAX(K1816/J1816,0),1.3),MIN(MAX(J1816/K1816,0),1.3))),"")</f>
        <v>1</v>
      </c>
      <c r="M1816" s="65">
        <f>IFERROR(IF(OR(J1816=0,K1816=""),"",IF(E1816="Positivo",MAX(K1816/J1816,0),MAX(J1816/K1816,0))),"")</f>
        <v>1</v>
      </c>
      <c r="N1816" s="37"/>
      <c r="O1816" s="37"/>
      <c r="P1816" s="40">
        <v>0</v>
      </c>
      <c r="Q1816" s="40">
        <v>0</v>
      </c>
      <c r="R1816" s="37" t="s">
        <v>2515</v>
      </c>
      <c r="S1816" s="37"/>
    </row>
    <row r="1817" spans="1:19" x14ac:dyDescent="0.3">
      <c r="A1817" s="36">
        <v>481</v>
      </c>
      <c r="B1817" s="37" t="s">
        <v>2516</v>
      </c>
      <c r="C1817" s="37" t="s">
        <v>1234</v>
      </c>
      <c r="D1817" s="37" t="s">
        <v>21</v>
      </c>
      <c r="E1817" s="37" t="s">
        <v>22</v>
      </c>
      <c r="F1817" s="42">
        <v>45473</v>
      </c>
      <c r="G1817" s="37">
        <v>2024</v>
      </c>
      <c r="H1817" s="37" t="s">
        <v>23</v>
      </c>
      <c r="I1817" s="39" t="s">
        <v>34</v>
      </c>
      <c r="J1817" s="37">
        <v>100</v>
      </c>
      <c r="K1817" s="43">
        <v>100</v>
      </c>
      <c r="L1817" s="65">
        <f>IFERROR(IF(OR(J1817=0,K1817=""),"",IF(E1817="Positivo",MIN(MAX(K1817/J1817,0),1.3),MIN(MAX(J1817/K1817,0),1.3))),"")</f>
        <v>1</v>
      </c>
      <c r="M1817" s="65">
        <f>IFERROR(IF(OR(J1817=0,K1817=""),"",IF(E1817="Positivo",MAX(K1817/J1817,0),MAX(J1817/K1817,0))),"")</f>
        <v>1</v>
      </c>
      <c r="N1817" s="37"/>
      <c r="O1817" s="37"/>
      <c r="P1817" s="40">
        <v>0</v>
      </c>
      <c r="Q1817" s="40">
        <v>0</v>
      </c>
      <c r="R1817" s="37" t="s">
        <v>2517</v>
      </c>
      <c r="S1817" s="37"/>
    </row>
    <row r="1818" spans="1:19" x14ac:dyDescent="0.3">
      <c r="A1818" s="37">
        <v>481</v>
      </c>
      <c r="B1818" s="37" t="s">
        <v>2516</v>
      </c>
      <c r="C1818" s="37" t="s">
        <v>1234</v>
      </c>
      <c r="D1818" s="37" t="s">
        <v>21</v>
      </c>
      <c r="E1818" s="37" t="s">
        <v>22</v>
      </c>
      <c r="F1818" s="42">
        <v>45657</v>
      </c>
      <c r="G1818" s="37">
        <v>2024</v>
      </c>
      <c r="H1818" s="37" t="s">
        <v>27</v>
      </c>
      <c r="I1818" s="37" t="s">
        <v>36</v>
      </c>
      <c r="J1818" s="37">
        <v>100</v>
      </c>
      <c r="K1818" s="37"/>
      <c r="L1818" s="65"/>
      <c r="M1818" s="65"/>
      <c r="N1818" s="37" t="s">
        <v>25</v>
      </c>
      <c r="O1818" s="37" t="s">
        <v>223</v>
      </c>
      <c r="P1818" s="37">
        <v>0</v>
      </c>
      <c r="Q1818" s="37">
        <v>0</v>
      </c>
      <c r="R1818" s="37" t="s">
        <v>2518</v>
      </c>
      <c r="S1818" s="37" t="s">
        <v>223</v>
      </c>
    </row>
    <row r="1819" spans="1:19" x14ac:dyDescent="0.3">
      <c r="A1819" s="36">
        <v>483</v>
      </c>
      <c r="B1819" s="37" t="s">
        <v>2519</v>
      </c>
      <c r="C1819" s="37" t="s">
        <v>1984</v>
      </c>
      <c r="D1819" s="37" t="s">
        <v>139</v>
      </c>
      <c r="E1819" s="37" t="s">
        <v>22</v>
      </c>
      <c r="F1819" s="42">
        <v>45657</v>
      </c>
      <c r="G1819" s="37">
        <v>2024</v>
      </c>
      <c r="H1819" s="37" t="s">
        <v>27</v>
      </c>
      <c r="I1819" s="39" t="s">
        <v>36</v>
      </c>
      <c r="J1819" s="37">
        <v>10</v>
      </c>
      <c r="K1819" s="43">
        <v>91.65</v>
      </c>
      <c r="L1819" s="65">
        <f t="shared" ref="L1819:L1822" si="192">IFERROR(IF(OR(J1819=0,K1819=""),"",IF(E1819="Positivo",MIN(MAX(K1819/J1819,0),1.3),MIN(MAX(J1819/K1819,0),1.3))),"")</f>
        <v>1.3</v>
      </c>
      <c r="M1819" s="65">
        <f t="shared" ref="M1819:M1822" si="193">IFERROR(IF(OR(J1819=0,K1819=""),"",IF(E1819="Positivo",MAX(K1819/J1819,0),MAX(J1819/K1819,0))),"")</f>
        <v>9.1650000000000009</v>
      </c>
      <c r="N1819" s="37"/>
      <c r="O1819" s="37"/>
      <c r="P1819" s="40">
        <v>0</v>
      </c>
      <c r="Q1819" s="40">
        <v>0</v>
      </c>
      <c r="R1819" s="37" t="s">
        <v>2520</v>
      </c>
      <c r="S1819" s="37"/>
    </row>
    <row r="1820" spans="1:19" x14ac:dyDescent="0.3">
      <c r="A1820" s="37">
        <v>484</v>
      </c>
      <c r="B1820" s="37" t="s">
        <v>2521</v>
      </c>
      <c r="C1820" s="37" t="s">
        <v>138</v>
      </c>
      <c r="D1820" s="37" t="s">
        <v>39</v>
      </c>
      <c r="E1820" s="37" t="s">
        <v>22</v>
      </c>
      <c r="F1820" s="42">
        <v>45473</v>
      </c>
      <c r="G1820" s="37">
        <v>2024</v>
      </c>
      <c r="H1820" s="37" t="s">
        <v>23</v>
      </c>
      <c r="I1820" s="39" t="s">
        <v>34</v>
      </c>
      <c r="J1820" s="37">
        <v>18</v>
      </c>
      <c r="K1820" s="37">
        <v>18</v>
      </c>
      <c r="L1820" s="65">
        <f t="shared" si="192"/>
        <v>1</v>
      </c>
      <c r="M1820" s="65">
        <f t="shared" si="193"/>
        <v>1</v>
      </c>
      <c r="N1820" s="37" t="s">
        <v>25</v>
      </c>
      <c r="O1820" s="37" t="s">
        <v>25</v>
      </c>
      <c r="P1820" s="37">
        <v>0</v>
      </c>
      <c r="Q1820" s="37">
        <v>0</v>
      </c>
      <c r="R1820" s="37" t="s">
        <v>2522</v>
      </c>
      <c r="S1820" s="37"/>
    </row>
    <row r="1821" spans="1:19" x14ac:dyDescent="0.3">
      <c r="A1821" s="36">
        <v>484</v>
      </c>
      <c r="B1821" s="37" t="s">
        <v>2521</v>
      </c>
      <c r="C1821" s="37" t="s">
        <v>138</v>
      </c>
      <c r="D1821" s="37" t="s">
        <v>39</v>
      </c>
      <c r="E1821" s="37" t="s">
        <v>22</v>
      </c>
      <c r="F1821" s="42">
        <v>45565</v>
      </c>
      <c r="G1821" s="37">
        <v>2024</v>
      </c>
      <c r="H1821" s="37" t="s">
        <v>43</v>
      </c>
      <c r="I1821" s="39" t="s">
        <v>36</v>
      </c>
      <c r="J1821" s="37">
        <v>13</v>
      </c>
      <c r="K1821" s="43">
        <v>13</v>
      </c>
      <c r="L1821" s="65">
        <f t="shared" si="192"/>
        <v>1</v>
      </c>
      <c r="M1821" s="65">
        <f t="shared" si="193"/>
        <v>1</v>
      </c>
      <c r="N1821" s="37" t="s">
        <v>25</v>
      </c>
      <c r="O1821" s="37" t="s">
        <v>25</v>
      </c>
      <c r="P1821" s="40">
        <v>0</v>
      </c>
      <c r="Q1821" s="40">
        <v>0</v>
      </c>
      <c r="R1821" s="37" t="s">
        <v>2523</v>
      </c>
      <c r="S1821" s="37"/>
    </row>
    <row r="1822" spans="1:19" x14ac:dyDescent="0.3">
      <c r="A1822" s="36">
        <v>484</v>
      </c>
      <c r="B1822" s="37" t="s">
        <v>2521</v>
      </c>
      <c r="C1822" s="37" t="s">
        <v>138</v>
      </c>
      <c r="D1822" s="37" t="s">
        <v>39</v>
      </c>
      <c r="E1822" s="37" t="s">
        <v>22</v>
      </c>
      <c r="F1822" s="42">
        <v>45657</v>
      </c>
      <c r="G1822" s="37">
        <v>2024</v>
      </c>
      <c r="H1822" s="37" t="s">
        <v>27</v>
      </c>
      <c r="I1822" s="39" t="s">
        <v>36</v>
      </c>
      <c r="J1822" s="37">
        <v>10</v>
      </c>
      <c r="K1822" s="43">
        <v>10</v>
      </c>
      <c r="L1822" s="65">
        <f t="shared" si="192"/>
        <v>1</v>
      </c>
      <c r="M1822" s="65">
        <f t="shared" si="193"/>
        <v>1</v>
      </c>
      <c r="N1822" s="37" t="s">
        <v>25</v>
      </c>
      <c r="O1822" s="37" t="s">
        <v>25</v>
      </c>
      <c r="P1822" s="40">
        <v>0</v>
      </c>
      <c r="Q1822" s="40">
        <v>0</v>
      </c>
      <c r="R1822" s="37" t="s">
        <v>2524</v>
      </c>
      <c r="S1822" s="37"/>
    </row>
    <row r="1823" spans="1:19" x14ac:dyDescent="0.3">
      <c r="A1823" s="37">
        <v>485</v>
      </c>
      <c r="B1823" s="37" t="s">
        <v>2525</v>
      </c>
      <c r="C1823" s="37" t="s">
        <v>258</v>
      </c>
      <c r="D1823" s="37" t="s">
        <v>73</v>
      </c>
      <c r="E1823" s="37" t="s">
        <v>22</v>
      </c>
      <c r="F1823" s="42">
        <v>45322</v>
      </c>
      <c r="G1823" s="37">
        <v>2024</v>
      </c>
      <c r="H1823" s="37" t="s">
        <v>74</v>
      </c>
      <c r="I1823" s="37" t="s">
        <v>34</v>
      </c>
      <c r="J1823" s="37"/>
      <c r="K1823" s="37"/>
      <c r="L1823" s="65"/>
      <c r="M1823" s="65"/>
      <c r="N1823" s="37" t="s">
        <v>25</v>
      </c>
      <c r="O1823" s="37" t="s">
        <v>223</v>
      </c>
      <c r="P1823" s="37">
        <v>0</v>
      </c>
      <c r="Q1823" s="37">
        <v>0</v>
      </c>
      <c r="R1823" s="37" t="s">
        <v>2526</v>
      </c>
      <c r="S1823" s="37" t="s">
        <v>223</v>
      </c>
    </row>
    <row r="1824" spans="1:19" x14ac:dyDescent="0.3">
      <c r="A1824" s="37">
        <v>485</v>
      </c>
      <c r="B1824" s="37" t="s">
        <v>2525</v>
      </c>
      <c r="C1824" s="37" t="s">
        <v>258</v>
      </c>
      <c r="D1824" s="37" t="s">
        <v>73</v>
      </c>
      <c r="E1824" s="37" t="s">
        <v>22</v>
      </c>
      <c r="F1824" s="42">
        <v>45351</v>
      </c>
      <c r="G1824" s="37">
        <v>2024</v>
      </c>
      <c r="H1824" s="37" t="s">
        <v>76</v>
      </c>
      <c r="I1824" s="37" t="s">
        <v>34</v>
      </c>
      <c r="J1824" s="37"/>
      <c r="K1824" s="37"/>
      <c r="L1824" s="65"/>
      <c r="M1824" s="65"/>
      <c r="N1824" s="37" t="s">
        <v>25</v>
      </c>
      <c r="O1824" s="37" t="s">
        <v>223</v>
      </c>
      <c r="P1824" s="37">
        <v>0</v>
      </c>
      <c r="Q1824" s="37">
        <v>0</v>
      </c>
      <c r="R1824" s="37" t="s">
        <v>2527</v>
      </c>
      <c r="S1824" s="37" t="s">
        <v>223</v>
      </c>
    </row>
    <row r="1825" spans="1:19" x14ac:dyDescent="0.3">
      <c r="A1825" s="37">
        <v>485</v>
      </c>
      <c r="B1825" s="37" t="s">
        <v>2525</v>
      </c>
      <c r="C1825" s="37" t="s">
        <v>258</v>
      </c>
      <c r="D1825" s="37" t="s">
        <v>73</v>
      </c>
      <c r="E1825" s="37" t="s">
        <v>22</v>
      </c>
      <c r="F1825" s="42">
        <v>45382</v>
      </c>
      <c r="G1825" s="37">
        <v>2024</v>
      </c>
      <c r="H1825" s="37" t="s">
        <v>40</v>
      </c>
      <c r="I1825" s="37" t="s">
        <v>34</v>
      </c>
      <c r="J1825" s="37"/>
      <c r="K1825" s="37"/>
      <c r="L1825" s="65"/>
      <c r="M1825" s="65"/>
      <c r="N1825" s="37" t="s">
        <v>25</v>
      </c>
      <c r="O1825" s="37" t="s">
        <v>223</v>
      </c>
      <c r="P1825" s="37">
        <v>0</v>
      </c>
      <c r="Q1825" s="37">
        <v>0</v>
      </c>
      <c r="R1825" s="37" t="s">
        <v>2528</v>
      </c>
      <c r="S1825" s="37" t="s">
        <v>223</v>
      </c>
    </row>
    <row r="1826" spans="1:19" x14ac:dyDescent="0.3">
      <c r="A1826" s="37">
        <v>485</v>
      </c>
      <c r="B1826" s="37" t="s">
        <v>2525</v>
      </c>
      <c r="C1826" s="37" t="s">
        <v>258</v>
      </c>
      <c r="D1826" s="37" t="s">
        <v>73</v>
      </c>
      <c r="E1826" s="37" t="s">
        <v>22</v>
      </c>
      <c r="F1826" s="42">
        <v>45412</v>
      </c>
      <c r="G1826" s="37">
        <v>2024</v>
      </c>
      <c r="H1826" s="37" t="s">
        <v>79</v>
      </c>
      <c r="I1826" s="37" t="s">
        <v>34</v>
      </c>
      <c r="J1826" s="37"/>
      <c r="K1826" s="37"/>
      <c r="L1826" s="65"/>
      <c r="M1826" s="65"/>
      <c r="N1826" s="37" t="s">
        <v>25</v>
      </c>
      <c r="O1826" s="37" t="s">
        <v>223</v>
      </c>
      <c r="P1826" s="37">
        <v>0</v>
      </c>
      <c r="Q1826" s="37">
        <v>0</v>
      </c>
      <c r="R1826" s="37" t="s">
        <v>2529</v>
      </c>
      <c r="S1826" s="37" t="s">
        <v>223</v>
      </c>
    </row>
    <row r="1827" spans="1:19" x14ac:dyDescent="0.3">
      <c r="A1827" s="37">
        <v>485</v>
      </c>
      <c r="B1827" s="37" t="s">
        <v>2525</v>
      </c>
      <c r="C1827" s="37" t="s">
        <v>258</v>
      </c>
      <c r="D1827" s="37" t="s">
        <v>73</v>
      </c>
      <c r="E1827" s="37" t="s">
        <v>22</v>
      </c>
      <c r="F1827" s="42">
        <v>45443</v>
      </c>
      <c r="G1827" s="37">
        <v>2024</v>
      </c>
      <c r="H1827" s="37" t="s">
        <v>81</v>
      </c>
      <c r="I1827" s="37" t="s">
        <v>34</v>
      </c>
      <c r="J1827" s="37"/>
      <c r="K1827" s="37"/>
      <c r="L1827" s="65"/>
      <c r="M1827" s="65"/>
      <c r="N1827" s="37" t="s">
        <v>25</v>
      </c>
      <c r="O1827" s="37" t="s">
        <v>223</v>
      </c>
      <c r="P1827" s="37">
        <v>0</v>
      </c>
      <c r="Q1827" s="37">
        <v>0</v>
      </c>
      <c r="R1827" s="37" t="s">
        <v>2530</v>
      </c>
      <c r="S1827" s="37" t="s">
        <v>223</v>
      </c>
    </row>
    <row r="1828" spans="1:19" x14ac:dyDescent="0.3">
      <c r="A1828" s="37">
        <v>485</v>
      </c>
      <c r="B1828" s="37" t="s">
        <v>2525</v>
      </c>
      <c r="C1828" s="37" t="s">
        <v>258</v>
      </c>
      <c r="D1828" s="37" t="s">
        <v>73</v>
      </c>
      <c r="E1828" s="37" t="s">
        <v>22</v>
      </c>
      <c r="F1828" s="42">
        <v>45473</v>
      </c>
      <c r="G1828" s="37">
        <v>2024</v>
      </c>
      <c r="H1828" s="37" t="s">
        <v>23</v>
      </c>
      <c r="I1828" s="37" t="s">
        <v>34</v>
      </c>
      <c r="J1828" s="37"/>
      <c r="K1828" s="37"/>
      <c r="L1828" s="65"/>
      <c r="M1828" s="65"/>
      <c r="N1828" s="37" t="s">
        <v>25</v>
      </c>
      <c r="O1828" s="37" t="s">
        <v>223</v>
      </c>
      <c r="P1828" s="37">
        <v>0</v>
      </c>
      <c r="Q1828" s="37">
        <v>0</v>
      </c>
      <c r="R1828" s="37" t="s">
        <v>2531</v>
      </c>
      <c r="S1828" s="37" t="s">
        <v>223</v>
      </c>
    </row>
    <row r="1829" spans="1:19" x14ac:dyDescent="0.3">
      <c r="A1829" s="37">
        <v>485</v>
      </c>
      <c r="B1829" s="37" t="s">
        <v>2525</v>
      </c>
      <c r="C1829" s="37" t="s">
        <v>258</v>
      </c>
      <c r="D1829" s="37" t="s">
        <v>73</v>
      </c>
      <c r="E1829" s="37" t="s">
        <v>22</v>
      </c>
      <c r="F1829" s="42">
        <v>45504</v>
      </c>
      <c r="G1829" s="37">
        <v>2024</v>
      </c>
      <c r="H1829" s="37" t="s">
        <v>84</v>
      </c>
      <c r="I1829" s="37" t="s">
        <v>36</v>
      </c>
      <c r="J1829" s="37">
        <v>80</v>
      </c>
      <c r="K1829" s="37"/>
      <c r="L1829" s="65"/>
      <c r="M1829" s="65"/>
      <c r="N1829" s="37" t="s">
        <v>25</v>
      </c>
      <c r="O1829" s="37" t="s">
        <v>223</v>
      </c>
      <c r="P1829" s="37">
        <v>0</v>
      </c>
      <c r="Q1829" s="37">
        <v>0</v>
      </c>
      <c r="R1829" s="37" t="s">
        <v>2532</v>
      </c>
      <c r="S1829" s="37" t="s">
        <v>223</v>
      </c>
    </row>
    <row r="1830" spans="1:19" x14ac:dyDescent="0.3">
      <c r="A1830" s="36">
        <v>485</v>
      </c>
      <c r="B1830" s="37" t="s">
        <v>2525</v>
      </c>
      <c r="C1830" s="37" t="s">
        <v>258</v>
      </c>
      <c r="D1830" s="37" t="s">
        <v>73</v>
      </c>
      <c r="E1830" s="37" t="s">
        <v>22</v>
      </c>
      <c r="F1830" s="42">
        <v>45565</v>
      </c>
      <c r="G1830" s="37">
        <v>2024</v>
      </c>
      <c r="H1830" s="37" t="s">
        <v>43</v>
      </c>
      <c r="I1830" s="39" t="s">
        <v>36</v>
      </c>
      <c r="J1830" s="37">
        <v>80</v>
      </c>
      <c r="K1830" s="43">
        <v>100</v>
      </c>
      <c r="L1830" s="65">
        <f t="shared" ref="L1830:L1833" si="194">IFERROR(IF(OR(J1830=0,K1830=""),"",IF(E1830="Positivo",MIN(MAX(K1830/J1830,0),1.3),MIN(MAX(J1830/K1830,0),1.3))),"")</f>
        <v>1.25</v>
      </c>
      <c r="M1830" s="65">
        <f t="shared" ref="M1830:M1833" si="195">IFERROR(IF(OR(J1830=0,K1830=""),"",IF(E1830="Positivo",MAX(K1830/J1830,0),MAX(J1830/K1830,0))),"")</f>
        <v>1.25</v>
      </c>
      <c r="N1830" s="37"/>
      <c r="O1830" s="37"/>
      <c r="P1830" s="40">
        <v>0</v>
      </c>
      <c r="Q1830" s="40">
        <v>0</v>
      </c>
      <c r="R1830" s="37" t="s">
        <v>2533</v>
      </c>
      <c r="S1830" s="37"/>
    </row>
    <row r="1831" spans="1:19" x14ac:dyDescent="0.3">
      <c r="A1831" s="36">
        <v>485</v>
      </c>
      <c r="B1831" s="37" t="s">
        <v>2525</v>
      </c>
      <c r="C1831" s="37" t="s">
        <v>258</v>
      </c>
      <c r="D1831" s="37" t="s">
        <v>73</v>
      </c>
      <c r="E1831" s="37" t="s">
        <v>22</v>
      </c>
      <c r="F1831" s="42">
        <v>45596</v>
      </c>
      <c r="G1831" s="37">
        <v>2024</v>
      </c>
      <c r="H1831" s="37" t="s">
        <v>89</v>
      </c>
      <c r="I1831" s="39" t="s">
        <v>36</v>
      </c>
      <c r="J1831" s="37">
        <v>80</v>
      </c>
      <c r="K1831" s="43">
        <v>100</v>
      </c>
      <c r="L1831" s="65">
        <f t="shared" si="194"/>
        <v>1.25</v>
      </c>
      <c r="M1831" s="65">
        <f t="shared" si="195"/>
        <v>1.25</v>
      </c>
      <c r="N1831" s="37"/>
      <c r="O1831" s="37"/>
      <c r="P1831" s="40">
        <v>0</v>
      </c>
      <c r="Q1831" s="40">
        <v>0</v>
      </c>
      <c r="R1831" s="37" t="s">
        <v>2534</v>
      </c>
      <c r="S1831" s="37"/>
    </row>
    <row r="1832" spans="1:19" x14ac:dyDescent="0.3">
      <c r="A1832" s="36">
        <v>485</v>
      </c>
      <c r="B1832" s="37" t="s">
        <v>2525</v>
      </c>
      <c r="C1832" s="37" t="s">
        <v>258</v>
      </c>
      <c r="D1832" s="37" t="s">
        <v>73</v>
      </c>
      <c r="E1832" s="37" t="s">
        <v>22</v>
      </c>
      <c r="F1832" s="42">
        <v>45626</v>
      </c>
      <c r="G1832" s="37">
        <v>2024</v>
      </c>
      <c r="H1832" s="37" t="s">
        <v>91</v>
      </c>
      <c r="I1832" s="39" t="s">
        <v>36</v>
      </c>
      <c r="J1832" s="37">
        <v>80</v>
      </c>
      <c r="K1832" s="43">
        <v>100</v>
      </c>
      <c r="L1832" s="65">
        <f t="shared" si="194"/>
        <v>1.25</v>
      </c>
      <c r="M1832" s="65">
        <f t="shared" si="195"/>
        <v>1.25</v>
      </c>
      <c r="N1832" s="37"/>
      <c r="O1832" s="37"/>
      <c r="P1832" s="40">
        <v>0</v>
      </c>
      <c r="Q1832" s="40">
        <v>0</v>
      </c>
      <c r="R1832" s="37" t="s">
        <v>2535</v>
      </c>
      <c r="S1832" s="37"/>
    </row>
    <row r="1833" spans="1:19" x14ac:dyDescent="0.3">
      <c r="A1833" s="36">
        <v>485</v>
      </c>
      <c r="B1833" s="37" t="s">
        <v>2525</v>
      </c>
      <c r="C1833" s="37" t="s">
        <v>258</v>
      </c>
      <c r="D1833" s="37" t="s">
        <v>73</v>
      </c>
      <c r="E1833" s="37" t="s">
        <v>22</v>
      </c>
      <c r="F1833" s="42">
        <v>45657</v>
      </c>
      <c r="G1833" s="37">
        <v>2024</v>
      </c>
      <c r="H1833" s="37" t="s">
        <v>27</v>
      </c>
      <c r="I1833" s="39" t="s">
        <v>36</v>
      </c>
      <c r="J1833" s="37">
        <v>80</v>
      </c>
      <c r="K1833" s="43">
        <v>66.666666666666657</v>
      </c>
      <c r="L1833" s="65">
        <f t="shared" si="194"/>
        <v>0.83333333333333326</v>
      </c>
      <c r="M1833" s="65">
        <f t="shared" si="195"/>
        <v>0.83333333333333326</v>
      </c>
      <c r="N1833" s="37"/>
      <c r="O1833" s="37"/>
      <c r="P1833" s="40">
        <v>0</v>
      </c>
      <c r="Q1833" s="40">
        <v>0</v>
      </c>
      <c r="R1833" s="37" t="s">
        <v>2536</v>
      </c>
      <c r="S1833" s="37"/>
    </row>
    <row r="1834" spans="1:19" x14ac:dyDescent="0.3">
      <c r="A1834" s="36">
        <v>486</v>
      </c>
      <c r="B1834" s="37" t="s">
        <v>2549</v>
      </c>
      <c r="C1834" s="37" t="s">
        <v>207</v>
      </c>
      <c r="D1834" s="37" t="s">
        <v>21</v>
      </c>
      <c r="E1834" s="37" t="s">
        <v>22</v>
      </c>
      <c r="F1834" s="42">
        <v>45473</v>
      </c>
      <c r="G1834" s="37">
        <v>2024</v>
      </c>
      <c r="H1834" s="37" t="s">
        <v>23</v>
      </c>
      <c r="I1834" s="39" t="s">
        <v>34</v>
      </c>
      <c r="J1834" s="37"/>
      <c r="K1834" s="43">
        <v>4900000</v>
      </c>
      <c r="L1834" s="65"/>
      <c r="M1834" s="65"/>
      <c r="N1834" s="37" t="s">
        <v>223</v>
      </c>
      <c r="O1834" s="37" t="s">
        <v>223</v>
      </c>
      <c r="P1834" s="40">
        <v>0</v>
      </c>
      <c r="Q1834" s="40">
        <v>0</v>
      </c>
      <c r="R1834" s="37" t="s">
        <v>2550</v>
      </c>
      <c r="S1834" s="37"/>
    </row>
    <row r="1835" spans="1:19" x14ac:dyDescent="0.3">
      <c r="A1835" s="36">
        <v>486</v>
      </c>
      <c r="B1835" s="37" t="s">
        <v>2549</v>
      </c>
      <c r="C1835" s="37" t="s">
        <v>207</v>
      </c>
      <c r="D1835" s="37" t="s">
        <v>21</v>
      </c>
      <c r="E1835" s="37" t="s">
        <v>22</v>
      </c>
      <c r="F1835" s="42">
        <v>45657</v>
      </c>
      <c r="G1835" s="37">
        <v>2024</v>
      </c>
      <c r="H1835" s="37" t="s">
        <v>27</v>
      </c>
      <c r="I1835" s="39" t="s">
        <v>36</v>
      </c>
      <c r="J1835" s="37"/>
      <c r="K1835" s="43">
        <v>2700000</v>
      </c>
      <c r="L1835" s="65"/>
      <c r="M1835" s="65"/>
      <c r="N1835" s="37" t="s">
        <v>223</v>
      </c>
      <c r="O1835" s="37" t="s">
        <v>223</v>
      </c>
      <c r="P1835" s="40">
        <v>0</v>
      </c>
      <c r="Q1835" s="40">
        <v>0</v>
      </c>
      <c r="R1835" s="37" t="s">
        <v>2551</v>
      </c>
      <c r="S1835" s="37"/>
    </row>
    <row r="1836" spans="1:19" x14ac:dyDescent="0.3">
      <c r="A1836" s="36">
        <v>487</v>
      </c>
      <c r="B1836" s="37" t="s">
        <v>2552</v>
      </c>
      <c r="C1836" s="37" t="s">
        <v>1336</v>
      </c>
      <c r="D1836" s="37" t="s">
        <v>139</v>
      </c>
      <c r="E1836" s="37" t="s">
        <v>22</v>
      </c>
      <c r="F1836" s="42">
        <v>45657</v>
      </c>
      <c r="G1836" s="37">
        <v>2024</v>
      </c>
      <c r="H1836" s="37" t="s">
        <v>27</v>
      </c>
      <c r="I1836" s="39" t="s">
        <v>36</v>
      </c>
      <c r="J1836" s="37">
        <v>20</v>
      </c>
      <c r="K1836" s="43">
        <v>6.06</v>
      </c>
      <c r="L1836" s="65">
        <f>IFERROR(IF(OR(J1836=0,K1836=""),"",IF(E1836="Positivo",MIN(MAX(K1836/J1836,0),1.3),MIN(MAX(J1836/K1836,0),1.3))),"")</f>
        <v>0.30299999999999999</v>
      </c>
      <c r="M1836" s="65">
        <f>IFERROR(IF(OR(J1836=0,K1836=""),"",IF(E1836="Positivo",MAX(K1836/J1836,0),MAX(J1836/K1836,0))),"")</f>
        <v>0.30299999999999999</v>
      </c>
      <c r="N1836" s="37"/>
      <c r="O1836" s="37"/>
      <c r="P1836" s="40">
        <v>0</v>
      </c>
      <c r="Q1836" s="40">
        <v>0</v>
      </c>
      <c r="R1836" s="37" t="s">
        <v>2553</v>
      </c>
      <c r="S1836" s="37"/>
    </row>
    <row r="1837" spans="1:19" x14ac:dyDescent="0.3">
      <c r="A1837" s="37">
        <v>488</v>
      </c>
      <c r="B1837" s="37" t="s">
        <v>2555</v>
      </c>
      <c r="C1837" s="37" t="s">
        <v>258</v>
      </c>
      <c r="D1837" s="37" t="s">
        <v>73</v>
      </c>
      <c r="E1837" s="37" t="s">
        <v>22</v>
      </c>
      <c r="F1837" s="42">
        <v>45322</v>
      </c>
      <c r="G1837" s="37">
        <v>2024</v>
      </c>
      <c r="H1837" s="37" t="s">
        <v>74</v>
      </c>
      <c r="I1837" s="37" t="s">
        <v>34</v>
      </c>
      <c r="J1837" s="37"/>
      <c r="K1837" s="37"/>
      <c r="L1837" s="65"/>
      <c r="M1837" s="65"/>
      <c r="N1837" s="37" t="s">
        <v>25</v>
      </c>
      <c r="O1837" s="37" t="s">
        <v>223</v>
      </c>
      <c r="P1837" s="37">
        <v>0</v>
      </c>
      <c r="Q1837" s="37">
        <v>0</v>
      </c>
      <c r="R1837" s="37" t="s">
        <v>2556</v>
      </c>
      <c r="S1837" s="37" t="s">
        <v>223</v>
      </c>
    </row>
    <row r="1838" spans="1:19" x14ac:dyDescent="0.3">
      <c r="A1838" s="37">
        <v>488</v>
      </c>
      <c r="B1838" s="37" t="s">
        <v>2555</v>
      </c>
      <c r="C1838" s="37" t="s">
        <v>258</v>
      </c>
      <c r="D1838" s="37" t="s">
        <v>73</v>
      </c>
      <c r="E1838" s="37" t="s">
        <v>22</v>
      </c>
      <c r="F1838" s="42">
        <v>45351</v>
      </c>
      <c r="G1838" s="37">
        <v>2024</v>
      </c>
      <c r="H1838" s="37" t="s">
        <v>76</v>
      </c>
      <c r="I1838" s="37" t="s">
        <v>34</v>
      </c>
      <c r="J1838" s="37"/>
      <c r="K1838" s="37"/>
      <c r="L1838" s="65"/>
      <c r="M1838" s="65"/>
      <c r="N1838" s="37" t="s">
        <v>25</v>
      </c>
      <c r="O1838" s="37" t="s">
        <v>223</v>
      </c>
      <c r="P1838" s="37">
        <v>0</v>
      </c>
      <c r="Q1838" s="37">
        <v>0</v>
      </c>
      <c r="R1838" s="37" t="s">
        <v>2557</v>
      </c>
      <c r="S1838" s="37" t="s">
        <v>223</v>
      </c>
    </row>
    <row r="1839" spans="1:19" x14ac:dyDescent="0.3">
      <c r="A1839" s="37">
        <v>488</v>
      </c>
      <c r="B1839" s="37" t="s">
        <v>2555</v>
      </c>
      <c r="C1839" s="37" t="s">
        <v>258</v>
      </c>
      <c r="D1839" s="37" t="s">
        <v>73</v>
      </c>
      <c r="E1839" s="37" t="s">
        <v>22</v>
      </c>
      <c r="F1839" s="42">
        <v>45382</v>
      </c>
      <c r="G1839" s="37">
        <v>2024</v>
      </c>
      <c r="H1839" s="37" t="s">
        <v>40</v>
      </c>
      <c r="I1839" s="37" t="s">
        <v>34</v>
      </c>
      <c r="J1839" s="37"/>
      <c r="K1839" s="37"/>
      <c r="L1839" s="65"/>
      <c r="M1839" s="65"/>
      <c r="N1839" s="37" t="s">
        <v>25</v>
      </c>
      <c r="O1839" s="37" t="s">
        <v>223</v>
      </c>
      <c r="P1839" s="37">
        <v>0</v>
      </c>
      <c r="Q1839" s="37">
        <v>0</v>
      </c>
      <c r="R1839" s="37" t="s">
        <v>2558</v>
      </c>
      <c r="S1839" s="37" t="s">
        <v>223</v>
      </c>
    </row>
    <row r="1840" spans="1:19" x14ac:dyDescent="0.3">
      <c r="A1840" s="37">
        <v>488</v>
      </c>
      <c r="B1840" s="37" t="s">
        <v>2555</v>
      </c>
      <c r="C1840" s="37" t="s">
        <v>258</v>
      </c>
      <c r="D1840" s="37" t="s">
        <v>73</v>
      </c>
      <c r="E1840" s="37" t="s">
        <v>22</v>
      </c>
      <c r="F1840" s="42">
        <v>45412</v>
      </c>
      <c r="G1840" s="37">
        <v>2024</v>
      </c>
      <c r="H1840" s="37" t="s">
        <v>79</v>
      </c>
      <c r="I1840" s="37" t="s">
        <v>34</v>
      </c>
      <c r="J1840" s="37"/>
      <c r="K1840" s="37"/>
      <c r="L1840" s="65"/>
      <c r="M1840" s="65"/>
      <c r="N1840" s="37" t="s">
        <v>25</v>
      </c>
      <c r="O1840" s="37" t="s">
        <v>223</v>
      </c>
      <c r="P1840" s="37">
        <v>0</v>
      </c>
      <c r="Q1840" s="37">
        <v>0</v>
      </c>
      <c r="R1840" s="37" t="s">
        <v>2559</v>
      </c>
      <c r="S1840" s="37" t="s">
        <v>223</v>
      </c>
    </row>
    <row r="1841" spans="1:19" x14ac:dyDescent="0.3">
      <c r="A1841" s="37">
        <v>488</v>
      </c>
      <c r="B1841" s="37" t="s">
        <v>2555</v>
      </c>
      <c r="C1841" s="37" t="s">
        <v>258</v>
      </c>
      <c r="D1841" s="37" t="s">
        <v>73</v>
      </c>
      <c r="E1841" s="37" t="s">
        <v>22</v>
      </c>
      <c r="F1841" s="42">
        <v>45443</v>
      </c>
      <c r="G1841" s="37">
        <v>2024</v>
      </c>
      <c r="H1841" s="37" t="s">
        <v>81</v>
      </c>
      <c r="I1841" s="37" t="s">
        <v>34</v>
      </c>
      <c r="J1841" s="37"/>
      <c r="K1841" s="37"/>
      <c r="L1841" s="65"/>
      <c r="M1841" s="65"/>
      <c r="N1841" s="37" t="s">
        <v>25</v>
      </c>
      <c r="O1841" s="37" t="s">
        <v>223</v>
      </c>
      <c r="P1841" s="37">
        <v>0</v>
      </c>
      <c r="Q1841" s="37">
        <v>0</v>
      </c>
      <c r="R1841" s="37" t="s">
        <v>2560</v>
      </c>
      <c r="S1841" s="37" t="s">
        <v>223</v>
      </c>
    </row>
    <row r="1842" spans="1:19" x14ac:dyDescent="0.3">
      <c r="A1842" s="37">
        <v>488</v>
      </c>
      <c r="B1842" s="37" t="s">
        <v>2555</v>
      </c>
      <c r="C1842" s="37" t="s">
        <v>258</v>
      </c>
      <c r="D1842" s="37" t="s">
        <v>73</v>
      </c>
      <c r="E1842" s="37" t="s">
        <v>22</v>
      </c>
      <c r="F1842" s="42">
        <v>45473</v>
      </c>
      <c r="G1842" s="37">
        <v>2024</v>
      </c>
      <c r="H1842" s="37" t="s">
        <v>23</v>
      </c>
      <c r="I1842" s="37" t="s">
        <v>34</v>
      </c>
      <c r="J1842" s="37"/>
      <c r="K1842" s="37"/>
      <c r="L1842" s="65"/>
      <c r="M1842" s="65"/>
      <c r="N1842" s="37" t="s">
        <v>25</v>
      </c>
      <c r="O1842" s="37" t="s">
        <v>223</v>
      </c>
      <c r="P1842" s="37">
        <v>0</v>
      </c>
      <c r="Q1842" s="37">
        <v>0</v>
      </c>
      <c r="R1842" s="37" t="s">
        <v>2561</v>
      </c>
      <c r="S1842" s="37" t="s">
        <v>223</v>
      </c>
    </row>
    <row r="1843" spans="1:19" x14ac:dyDescent="0.3">
      <c r="A1843" s="37">
        <v>488</v>
      </c>
      <c r="B1843" s="37" t="s">
        <v>2555</v>
      </c>
      <c r="C1843" s="37" t="s">
        <v>258</v>
      </c>
      <c r="D1843" s="37" t="s">
        <v>73</v>
      </c>
      <c r="E1843" s="37" t="s">
        <v>22</v>
      </c>
      <c r="F1843" s="42">
        <v>45504</v>
      </c>
      <c r="G1843" s="37">
        <v>2024</v>
      </c>
      <c r="H1843" s="37" t="s">
        <v>84</v>
      </c>
      <c r="I1843" s="37" t="s">
        <v>36</v>
      </c>
      <c r="J1843" s="37"/>
      <c r="K1843" s="37"/>
      <c r="L1843" s="65"/>
      <c r="M1843" s="65"/>
      <c r="N1843" s="37" t="s">
        <v>25</v>
      </c>
      <c r="O1843" s="37" t="s">
        <v>223</v>
      </c>
      <c r="P1843" s="37">
        <v>0</v>
      </c>
      <c r="Q1843" s="37">
        <v>0</v>
      </c>
      <c r="R1843" s="37" t="s">
        <v>2562</v>
      </c>
      <c r="S1843" s="37" t="s">
        <v>223</v>
      </c>
    </row>
    <row r="1844" spans="1:19" x14ac:dyDescent="0.3">
      <c r="A1844" s="37">
        <v>488</v>
      </c>
      <c r="B1844" s="37" t="s">
        <v>2555</v>
      </c>
      <c r="C1844" s="37" t="s">
        <v>258</v>
      </c>
      <c r="D1844" s="37" t="s">
        <v>73</v>
      </c>
      <c r="E1844" s="37" t="s">
        <v>22</v>
      </c>
      <c r="F1844" s="42">
        <v>45535</v>
      </c>
      <c r="G1844" s="37">
        <v>2024</v>
      </c>
      <c r="H1844" s="37" t="s">
        <v>86</v>
      </c>
      <c r="I1844" s="37" t="s">
        <v>36</v>
      </c>
      <c r="J1844" s="37"/>
      <c r="K1844" s="37"/>
      <c r="L1844" s="65"/>
      <c r="M1844" s="65"/>
      <c r="N1844" s="37" t="s">
        <v>25</v>
      </c>
      <c r="O1844" s="37" t="s">
        <v>223</v>
      </c>
      <c r="P1844" s="37">
        <v>0</v>
      </c>
      <c r="Q1844" s="37">
        <v>0</v>
      </c>
      <c r="R1844" s="37" t="s">
        <v>2563</v>
      </c>
      <c r="S1844" s="37" t="s">
        <v>223</v>
      </c>
    </row>
    <row r="1845" spans="1:19" x14ac:dyDescent="0.3">
      <c r="A1845" s="37">
        <v>488</v>
      </c>
      <c r="B1845" s="37" t="s">
        <v>2555</v>
      </c>
      <c r="C1845" s="37" t="s">
        <v>258</v>
      </c>
      <c r="D1845" s="37" t="s">
        <v>73</v>
      </c>
      <c r="E1845" s="37" t="s">
        <v>22</v>
      </c>
      <c r="F1845" s="42">
        <v>45565</v>
      </c>
      <c r="G1845" s="37">
        <v>2024</v>
      </c>
      <c r="H1845" s="37" t="s">
        <v>43</v>
      </c>
      <c r="I1845" s="37" t="s">
        <v>36</v>
      </c>
      <c r="J1845" s="37"/>
      <c r="K1845" s="37"/>
      <c r="L1845" s="65"/>
      <c r="M1845" s="65"/>
      <c r="N1845" s="37" t="s">
        <v>25</v>
      </c>
      <c r="O1845" s="37" t="s">
        <v>223</v>
      </c>
      <c r="P1845" s="37">
        <v>0</v>
      </c>
      <c r="Q1845" s="37">
        <v>0</v>
      </c>
      <c r="R1845" s="37" t="s">
        <v>2564</v>
      </c>
      <c r="S1845" s="37" t="s">
        <v>223</v>
      </c>
    </row>
    <row r="1846" spans="1:19" x14ac:dyDescent="0.3">
      <c r="A1846" s="36">
        <v>488</v>
      </c>
      <c r="B1846" s="37" t="s">
        <v>2555</v>
      </c>
      <c r="C1846" s="37" t="s">
        <v>258</v>
      </c>
      <c r="D1846" s="37" t="s">
        <v>73</v>
      </c>
      <c r="E1846" s="37" t="s">
        <v>22</v>
      </c>
      <c r="F1846" s="42">
        <v>45596</v>
      </c>
      <c r="G1846" s="37">
        <v>2024</v>
      </c>
      <c r="H1846" s="37" t="s">
        <v>89</v>
      </c>
      <c r="I1846" s="39" t="s">
        <v>36</v>
      </c>
      <c r="J1846" s="37">
        <v>85</v>
      </c>
      <c r="K1846" s="43">
        <v>91.78082191780824</v>
      </c>
      <c r="L1846" s="65">
        <f>IFERROR(IF(OR(J1846=0,K1846=""),"",IF(E1846="Positivo",MIN(MAX(K1846/J1846,0),1.3),MIN(MAX(J1846/K1846,0),1.3))),"")</f>
        <v>1.0797743755036264</v>
      </c>
      <c r="M1846" s="65">
        <f>IFERROR(IF(OR(J1846=0,K1846=""),"",IF(E1846="Positivo",MAX(K1846/J1846,0),MAX(J1846/K1846,0))),"")</f>
        <v>1.0797743755036264</v>
      </c>
      <c r="N1846" s="37" t="s">
        <v>25</v>
      </c>
      <c r="O1846" s="37" t="s">
        <v>25</v>
      </c>
      <c r="P1846" s="40">
        <v>0</v>
      </c>
      <c r="Q1846" s="40">
        <v>0</v>
      </c>
      <c r="R1846" s="37" t="s">
        <v>2565</v>
      </c>
      <c r="S1846" s="37"/>
    </row>
    <row r="1847" spans="1:19" x14ac:dyDescent="0.3">
      <c r="A1847" s="36">
        <v>488</v>
      </c>
      <c r="B1847" s="37" t="s">
        <v>2555</v>
      </c>
      <c r="C1847" s="37" t="s">
        <v>258</v>
      </c>
      <c r="D1847" s="37" t="s">
        <v>73</v>
      </c>
      <c r="E1847" s="37" t="s">
        <v>22</v>
      </c>
      <c r="F1847" s="42">
        <v>45626</v>
      </c>
      <c r="G1847" s="37">
        <v>2024</v>
      </c>
      <c r="H1847" s="37" t="s">
        <v>91</v>
      </c>
      <c r="I1847" s="39" t="s">
        <v>36</v>
      </c>
      <c r="J1847" s="37">
        <v>85</v>
      </c>
      <c r="K1847" s="43">
        <v>95.786516853932582</v>
      </c>
      <c r="L1847" s="65">
        <f>IFERROR(IF(OR(J1847=0,K1847=""),"",IF(E1847="Positivo",MIN(MAX(K1847/J1847,0),1.3),MIN(MAX(J1847/K1847,0),1.3))),"")</f>
        <v>1.1269001982815599</v>
      </c>
      <c r="M1847" s="65">
        <f>IFERROR(IF(OR(J1847=0,K1847=""),"",IF(E1847="Positivo",MAX(K1847/J1847,0),MAX(J1847/K1847,0))),"")</f>
        <v>1.1269001982815599</v>
      </c>
      <c r="N1847" s="37" t="s">
        <v>25</v>
      </c>
      <c r="O1847" s="37" t="s">
        <v>25</v>
      </c>
      <c r="P1847" s="40">
        <v>0</v>
      </c>
      <c r="Q1847" s="40">
        <v>0</v>
      </c>
      <c r="R1847" s="37" t="s">
        <v>2566</v>
      </c>
      <c r="S1847" s="37"/>
    </row>
    <row r="1848" spans="1:19" x14ac:dyDescent="0.3">
      <c r="A1848" s="36">
        <v>488</v>
      </c>
      <c r="B1848" s="37" t="s">
        <v>2555</v>
      </c>
      <c r="C1848" s="37" t="s">
        <v>258</v>
      </c>
      <c r="D1848" s="37" t="s">
        <v>73</v>
      </c>
      <c r="E1848" s="37" t="s">
        <v>22</v>
      </c>
      <c r="F1848" s="42">
        <v>45657</v>
      </c>
      <c r="G1848" s="37">
        <v>2024</v>
      </c>
      <c r="H1848" s="37" t="s">
        <v>27</v>
      </c>
      <c r="I1848" s="39" t="s">
        <v>36</v>
      </c>
      <c r="J1848" s="37">
        <v>85</v>
      </c>
      <c r="K1848" s="43">
        <v>91.31652661064426</v>
      </c>
      <c r="L1848" s="65">
        <f>IFERROR(IF(OR(J1848=0,K1848=""),"",IF(E1848="Positivo",MIN(MAX(K1848/J1848,0),1.3),MIN(MAX(J1848/K1848,0),1.3))),"")</f>
        <v>1.0743120777722854</v>
      </c>
      <c r="M1848" s="65">
        <f>IFERROR(IF(OR(J1848=0,K1848=""),"",IF(E1848="Positivo",MAX(K1848/J1848,0),MAX(J1848/K1848,0))),"")</f>
        <v>1.0743120777722854</v>
      </c>
      <c r="N1848" s="37" t="s">
        <v>25</v>
      </c>
      <c r="O1848" s="37" t="s">
        <v>25</v>
      </c>
      <c r="P1848" s="40">
        <v>0</v>
      </c>
      <c r="Q1848" s="40">
        <v>0</v>
      </c>
      <c r="R1848" s="37" t="s">
        <v>2567</v>
      </c>
      <c r="S1848" s="37"/>
    </row>
    <row r="1849" spans="1:19" x14ac:dyDescent="0.3">
      <c r="A1849" s="36">
        <v>489</v>
      </c>
      <c r="B1849" s="37" t="s">
        <v>2580</v>
      </c>
      <c r="C1849" s="37" t="s">
        <v>258</v>
      </c>
      <c r="D1849" s="37" t="s">
        <v>73</v>
      </c>
      <c r="E1849" s="37" t="s">
        <v>22</v>
      </c>
      <c r="F1849" s="42">
        <v>45596</v>
      </c>
      <c r="G1849" s="37">
        <v>2024</v>
      </c>
      <c r="H1849" s="37" t="s">
        <v>89</v>
      </c>
      <c r="I1849" s="39" t="s">
        <v>36</v>
      </c>
      <c r="J1849" s="37">
        <v>80</v>
      </c>
      <c r="K1849" s="43">
        <v>80</v>
      </c>
      <c r="L1849" s="65">
        <f t="shared" ref="L1849:L1857" si="196">IFERROR(IF(OR(J1849=0,K1849=""),"",IF(E1849="Positivo",MIN(MAX(K1849/J1849,0),1.3),MIN(MAX(J1849/K1849,0),1.3))),"")</f>
        <v>1</v>
      </c>
      <c r="M1849" s="65">
        <f t="shared" ref="M1849:M1857" si="197">IFERROR(IF(OR(J1849=0,K1849=""),"",IF(E1849="Positivo",MAX(K1849/J1849,0),MAX(J1849/K1849,0))),"")</f>
        <v>1</v>
      </c>
      <c r="N1849" s="37" t="s">
        <v>25</v>
      </c>
      <c r="O1849" s="37" t="s">
        <v>25</v>
      </c>
      <c r="P1849" s="40">
        <v>0</v>
      </c>
      <c r="Q1849" s="40">
        <v>0</v>
      </c>
      <c r="R1849" s="37" t="s">
        <v>2581</v>
      </c>
      <c r="S1849" s="37"/>
    </row>
    <row r="1850" spans="1:19" x14ac:dyDescent="0.3">
      <c r="A1850" s="36">
        <v>489</v>
      </c>
      <c r="B1850" s="37" t="s">
        <v>2580</v>
      </c>
      <c r="C1850" s="37" t="s">
        <v>258</v>
      </c>
      <c r="D1850" s="37" t="s">
        <v>73</v>
      </c>
      <c r="E1850" s="37" t="s">
        <v>22</v>
      </c>
      <c r="F1850" s="42">
        <v>45626</v>
      </c>
      <c r="G1850" s="37">
        <v>2024</v>
      </c>
      <c r="H1850" s="37" t="s">
        <v>91</v>
      </c>
      <c r="I1850" s="39" t="s">
        <v>36</v>
      </c>
      <c r="J1850" s="37">
        <v>80</v>
      </c>
      <c r="K1850" s="43">
        <v>100</v>
      </c>
      <c r="L1850" s="65">
        <f t="shared" si="196"/>
        <v>1.25</v>
      </c>
      <c r="M1850" s="65">
        <f t="shared" si="197"/>
        <v>1.25</v>
      </c>
      <c r="N1850" s="37" t="s">
        <v>25</v>
      </c>
      <c r="O1850" s="37" t="s">
        <v>25</v>
      </c>
      <c r="P1850" s="40">
        <v>0</v>
      </c>
      <c r="Q1850" s="40">
        <v>0</v>
      </c>
      <c r="R1850" s="37" t="s">
        <v>2582</v>
      </c>
      <c r="S1850" s="37"/>
    </row>
    <row r="1851" spans="1:19" x14ac:dyDescent="0.3">
      <c r="A1851" s="36">
        <v>489</v>
      </c>
      <c r="B1851" s="37" t="s">
        <v>2580</v>
      </c>
      <c r="C1851" s="37" t="s">
        <v>258</v>
      </c>
      <c r="D1851" s="37" t="s">
        <v>73</v>
      </c>
      <c r="E1851" s="37" t="s">
        <v>22</v>
      </c>
      <c r="F1851" s="42">
        <v>45657</v>
      </c>
      <c r="G1851" s="37">
        <v>2024</v>
      </c>
      <c r="H1851" s="37" t="s">
        <v>27</v>
      </c>
      <c r="I1851" s="39" t="s">
        <v>36</v>
      </c>
      <c r="J1851" s="37">
        <v>80</v>
      </c>
      <c r="K1851" s="43">
        <v>100</v>
      </c>
      <c r="L1851" s="65">
        <f t="shared" si="196"/>
        <v>1.25</v>
      </c>
      <c r="M1851" s="65">
        <f t="shared" si="197"/>
        <v>1.25</v>
      </c>
      <c r="N1851" s="37" t="s">
        <v>25</v>
      </c>
      <c r="O1851" s="37" t="s">
        <v>25</v>
      </c>
      <c r="P1851" s="40">
        <v>0</v>
      </c>
      <c r="Q1851" s="40">
        <v>0</v>
      </c>
      <c r="R1851" s="37" t="s">
        <v>2583</v>
      </c>
      <c r="S1851" s="37"/>
    </row>
    <row r="1852" spans="1:19" x14ac:dyDescent="0.3">
      <c r="A1852" s="36">
        <v>490</v>
      </c>
      <c r="B1852" s="37" t="s">
        <v>2584</v>
      </c>
      <c r="C1852" s="37" t="s">
        <v>1263</v>
      </c>
      <c r="D1852" s="37" t="s">
        <v>139</v>
      </c>
      <c r="E1852" s="37" t="s">
        <v>22</v>
      </c>
      <c r="F1852" s="42">
        <v>45657</v>
      </c>
      <c r="G1852" s="37">
        <v>2024</v>
      </c>
      <c r="H1852" s="37" t="s">
        <v>27</v>
      </c>
      <c r="I1852" s="39" t="s">
        <v>36</v>
      </c>
      <c r="J1852" s="37">
        <v>80</v>
      </c>
      <c r="K1852" s="43">
        <v>88</v>
      </c>
      <c r="L1852" s="65">
        <f t="shared" si="196"/>
        <v>1.1000000000000001</v>
      </c>
      <c r="M1852" s="65">
        <f t="shared" si="197"/>
        <v>1.1000000000000001</v>
      </c>
      <c r="N1852" s="37" t="s">
        <v>25</v>
      </c>
      <c r="O1852" s="37" t="s">
        <v>25</v>
      </c>
      <c r="P1852" s="40">
        <v>0</v>
      </c>
      <c r="Q1852" s="40">
        <v>0</v>
      </c>
      <c r="R1852" s="37" t="s">
        <v>2585</v>
      </c>
      <c r="S1852" s="37"/>
    </row>
    <row r="1853" spans="1:19" x14ac:dyDescent="0.3">
      <c r="A1853" s="36">
        <v>491</v>
      </c>
      <c r="B1853" s="37" t="s">
        <v>2586</v>
      </c>
      <c r="C1853" s="37" t="s">
        <v>1096</v>
      </c>
      <c r="D1853" s="37" t="s">
        <v>139</v>
      </c>
      <c r="E1853" s="37" t="s">
        <v>22</v>
      </c>
      <c r="F1853" s="42">
        <v>45657</v>
      </c>
      <c r="G1853" s="37">
        <v>2024</v>
      </c>
      <c r="H1853" s="37" t="s">
        <v>27</v>
      </c>
      <c r="I1853" s="39" t="s">
        <v>36</v>
      </c>
      <c r="J1853" s="37">
        <v>80</v>
      </c>
      <c r="K1853" s="43">
        <v>88</v>
      </c>
      <c r="L1853" s="65">
        <f t="shared" si="196"/>
        <v>1.1000000000000001</v>
      </c>
      <c r="M1853" s="65">
        <f t="shared" si="197"/>
        <v>1.1000000000000001</v>
      </c>
      <c r="N1853" s="37" t="s">
        <v>25</v>
      </c>
      <c r="O1853" s="37" t="s">
        <v>25</v>
      </c>
      <c r="P1853" s="40">
        <v>0</v>
      </c>
      <c r="Q1853" s="40">
        <v>0</v>
      </c>
      <c r="R1853" s="37" t="s">
        <v>2587</v>
      </c>
      <c r="S1853" s="37"/>
    </row>
    <row r="1854" spans="1:19" x14ac:dyDescent="0.3">
      <c r="A1854" s="36">
        <v>492</v>
      </c>
      <c r="B1854" s="37" t="s">
        <v>2588</v>
      </c>
      <c r="C1854" s="37" t="s">
        <v>1241</v>
      </c>
      <c r="D1854" s="37" t="s">
        <v>139</v>
      </c>
      <c r="E1854" s="37" t="s">
        <v>22</v>
      </c>
      <c r="F1854" s="42">
        <v>45657</v>
      </c>
      <c r="G1854" s="37">
        <v>2024</v>
      </c>
      <c r="H1854" s="37" t="s">
        <v>27</v>
      </c>
      <c r="I1854" s="39" t="s">
        <v>36</v>
      </c>
      <c r="J1854" s="37">
        <v>80</v>
      </c>
      <c r="K1854" s="43">
        <v>83</v>
      </c>
      <c r="L1854" s="65">
        <f t="shared" si="196"/>
        <v>1.0375000000000001</v>
      </c>
      <c r="M1854" s="65">
        <f t="shared" si="197"/>
        <v>1.0375000000000001</v>
      </c>
      <c r="N1854" s="37" t="s">
        <v>25</v>
      </c>
      <c r="O1854" s="37" t="s">
        <v>25</v>
      </c>
      <c r="P1854" s="40">
        <v>0</v>
      </c>
      <c r="Q1854" s="40">
        <v>0</v>
      </c>
      <c r="R1854" s="37" t="s">
        <v>2589</v>
      </c>
      <c r="S1854" s="37"/>
    </row>
    <row r="1855" spans="1:19" x14ac:dyDescent="0.3">
      <c r="A1855" s="36">
        <v>493</v>
      </c>
      <c r="B1855" s="37" t="s">
        <v>2590</v>
      </c>
      <c r="C1855" s="37" t="s">
        <v>1303</v>
      </c>
      <c r="D1855" s="37" t="s">
        <v>139</v>
      </c>
      <c r="E1855" s="37" t="s">
        <v>22</v>
      </c>
      <c r="F1855" s="42">
        <v>45657</v>
      </c>
      <c r="G1855" s="37">
        <v>2024</v>
      </c>
      <c r="H1855" s="37" t="s">
        <v>27</v>
      </c>
      <c r="I1855" s="39" t="s">
        <v>36</v>
      </c>
      <c r="J1855" s="37">
        <v>80</v>
      </c>
      <c r="K1855" s="43">
        <v>81</v>
      </c>
      <c r="L1855" s="65">
        <f t="shared" si="196"/>
        <v>1.0125</v>
      </c>
      <c r="M1855" s="65">
        <f t="shared" si="197"/>
        <v>1.0125</v>
      </c>
      <c r="N1855" s="37" t="s">
        <v>25</v>
      </c>
      <c r="O1855" s="37" t="s">
        <v>25</v>
      </c>
      <c r="P1855" s="40">
        <v>0</v>
      </c>
      <c r="Q1855" s="40">
        <v>0</v>
      </c>
      <c r="R1855" s="37" t="s">
        <v>2591</v>
      </c>
      <c r="S1855" s="37"/>
    </row>
    <row r="1856" spans="1:19" x14ac:dyDescent="0.3">
      <c r="A1856" s="36">
        <v>494</v>
      </c>
      <c r="B1856" s="37" t="s">
        <v>2592</v>
      </c>
      <c r="C1856" s="37" t="s">
        <v>1501</v>
      </c>
      <c r="D1856" s="37" t="s">
        <v>139</v>
      </c>
      <c r="E1856" s="37" t="s">
        <v>22</v>
      </c>
      <c r="F1856" s="42">
        <v>45657</v>
      </c>
      <c r="G1856" s="37">
        <v>2024</v>
      </c>
      <c r="H1856" s="37" t="s">
        <v>27</v>
      </c>
      <c r="I1856" s="39" t="s">
        <v>36</v>
      </c>
      <c r="J1856" s="37">
        <v>80</v>
      </c>
      <c r="K1856" s="43">
        <v>89</v>
      </c>
      <c r="L1856" s="65">
        <f t="shared" si="196"/>
        <v>1.1125</v>
      </c>
      <c r="M1856" s="65">
        <f t="shared" si="197"/>
        <v>1.1125</v>
      </c>
      <c r="N1856" s="37" t="s">
        <v>25</v>
      </c>
      <c r="O1856" s="37" t="s">
        <v>25</v>
      </c>
      <c r="P1856" s="40">
        <v>0</v>
      </c>
      <c r="Q1856" s="40">
        <v>0</v>
      </c>
      <c r="R1856" s="37" t="s">
        <v>2593</v>
      </c>
      <c r="S1856" s="37"/>
    </row>
    <row r="1857" spans="1:19" x14ac:dyDescent="0.3">
      <c r="A1857" s="36">
        <v>495</v>
      </c>
      <c r="B1857" s="37" t="s">
        <v>2594</v>
      </c>
      <c r="C1857" s="37" t="s">
        <v>1721</v>
      </c>
      <c r="D1857" s="37" t="s">
        <v>139</v>
      </c>
      <c r="E1857" s="37" t="s">
        <v>22</v>
      </c>
      <c r="F1857" s="42">
        <v>45657</v>
      </c>
      <c r="G1857" s="37">
        <v>2024</v>
      </c>
      <c r="H1857" s="37" t="s">
        <v>27</v>
      </c>
      <c r="I1857" s="39" t="s">
        <v>36</v>
      </c>
      <c r="J1857" s="37">
        <v>80</v>
      </c>
      <c r="K1857" s="43">
        <v>92</v>
      </c>
      <c r="L1857" s="65">
        <f t="shared" si="196"/>
        <v>1.1499999999999999</v>
      </c>
      <c r="M1857" s="65">
        <f t="shared" si="197"/>
        <v>1.1499999999999999</v>
      </c>
      <c r="N1857" s="37" t="s">
        <v>25</v>
      </c>
      <c r="O1857" s="37" t="s">
        <v>25</v>
      </c>
      <c r="P1857" s="40">
        <v>0</v>
      </c>
      <c r="Q1857" s="40">
        <v>0</v>
      </c>
      <c r="R1857" s="37" t="s">
        <v>2595</v>
      </c>
      <c r="S1857" s="37"/>
    </row>
    <row r="1858" spans="1:19" x14ac:dyDescent="0.3">
      <c r="A1858" s="36">
        <v>496</v>
      </c>
      <c r="B1858" s="37" t="s">
        <v>2596</v>
      </c>
      <c r="C1858" s="37" t="s">
        <v>210</v>
      </c>
      <c r="D1858" s="37" t="s">
        <v>139</v>
      </c>
      <c r="E1858" s="37" t="s">
        <v>22</v>
      </c>
      <c r="F1858" s="42">
        <v>45657</v>
      </c>
      <c r="G1858" s="37">
        <v>2024</v>
      </c>
      <c r="H1858" s="37" t="s">
        <v>27</v>
      </c>
      <c r="I1858" s="39" t="s">
        <v>36</v>
      </c>
      <c r="J1858" s="37">
        <v>80</v>
      </c>
      <c r="K1858" s="43">
        <v>88</v>
      </c>
      <c r="L1858" s="65">
        <f t="shared" ref="L1858:L1869" si="198">IFERROR(IF(OR(J1858=0,K1858=""),"",IF(E1858="Positivo",MIN(MAX(K1858/J1858,0),1.3),MIN(MAX(J1858/K1858,0),1.3))),"")</f>
        <v>1.1000000000000001</v>
      </c>
      <c r="M1858" s="65">
        <f t="shared" ref="M1858:M1869" si="199">IFERROR(IF(OR(J1858=0,K1858=""),"",IF(E1858="Positivo",MAX(K1858/J1858,0),MAX(J1858/K1858,0))),"")</f>
        <v>1.1000000000000001</v>
      </c>
      <c r="N1858" s="37" t="s">
        <v>25</v>
      </c>
      <c r="O1858" s="37" t="s">
        <v>25</v>
      </c>
      <c r="P1858" s="40">
        <v>0</v>
      </c>
      <c r="Q1858" s="40">
        <v>0</v>
      </c>
      <c r="R1858" s="37" t="s">
        <v>2597</v>
      </c>
      <c r="S1858" s="37"/>
    </row>
    <row r="1859" spans="1:19" x14ac:dyDescent="0.3">
      <c r="A1859" s="36">
        <v>497</v>
      </c>
      <c r="B1859" s="37" t="s">
        <v>2598</v>
      </c>
      <c r="C1859" s="37" t="s">
        <v>1765</v>
      </c>
      <c r="D1859" s="37" t="s">
        <v>139</v>
      </c>
      <c r="E1859" s="37" t="s">
        <v>22</v>
      </c>
      <c r="F1859" s="42">
        <v>45657</v>
      </c>
      <c r="G1859" s="37">
        <v>2024</v>
      </c>
      <c r="H1859" s="37" t="s">
        <v>27</v>
      </c>
      <c r="I1859" s="39" t="s">
        <v>36</v>
      </c>
      <c r="J1859" s="37">
        <v>80</v>
      </c>
      <c r="K1859" s="43">
        <v>83</v>
      </c>
      <c r="L1859" s="65">
        <f t="shared" si="198"/>
        <v>1.0375000000000001</v>
      </c>
      <c r="M1859" s="65">
        <f t="shared" si="199"/>
        <v>1.0375000000000001</v>
      </c>
      <c r="N1859" s="37" t="s">
        <v>25</v>
      </c>
      <c r="O1859" s="37" t="s">
        <v>25</v>
      </c>
      <c r="P1859" s="40">
        <v>0</v>
      </c>
      <c r="Q1859" s="40">
        <v>0</v>
      </c>
      <c r="R1859" s="37" t="s">
        <v>2599</v>
      </c>
      <c r="S1859" s="37"/>
    </row>
    <row r="1860" spans="1:19" x14ac:dyDescent="0.3">
      <c r="A1860" s="36">
        <v>498</v>
      </c>
      <c r="B1860" s="37" t="s">
        <v>2600</v>
      </c>
      <c r="C1860" s="37" t="s">
        <v>1336</v>
      </c>
      <c r="D1860" s="37" t="s">
        <v>139</v>
      </c>
      <c r="E1860" s="37" t="s">
        <v>22</v>
      </c>
      <c r="F1860" s="42">
        <v>45657</v>
      </c>
      <c r="G1860" s="37">
        <v>2024</v>
      </c>
      <c r="H1860" s="37" t="s">
        <v>27</v>
      </c>
      <c r="I1860" s="39" t="s">
        <v>36</v>
      </c>
      <c r="J1860" s="37">
        <v>80</v>
      </c>
      <c r="K1860" s="43">
        <v>92</v>
      </c>
      <c r="L1860" s="65">
        <f t="shared" si="198"/>
        <v>1.1499999999999999</v>
      </c>
      <c r="M1860" s="65">
        <f t="shared" si="199"/>
        <v>1.1499999999999999</v>
      </c>
      <c r="N1860" s="37" t="s">
        <v>25</v>
      </c>
      <c r="O1860" s="37" t="s">
        <v>25</v>
      </c>
      <c r="P1860" s="40">
        <v>0</v>
      </c>
      <c r="Q1860" s="40">
        <v>0</v>
      </c>
      <c r="R1860" s="37" t="s">
        <v>2601</v>
      </c>
      <c r="S1860" s="37"/>
    </row>
    <row r="1861" spans="1:19" x14ac:dyDescent="0.3">
      <c r="A1861" s="36">
        <v>499</v>
      </c>
      <c r="B1861" s="37" t="s">
        <v>2602</v>
      </c>
      <c r="C1861" s="37" t="s">
        <v>1758</v>
      </c>
      <c r="D1861" s="37" t="s">
        <v>139</v>
      </c>
      <c r="E1861" s="37" t="s">
        <v>22</v>
      </c>
      <c r="F1861" s="42">
        <v>45657</v>
      </c>
      <c r="G1861" s="37">
        <v>2024</v>
      </c>
      <c r="H1861" s="37" t="s">
        <v>27</v>
      </c>
      <c r="I1861" s="39" t="s">
        <v>36</v>
      </c>
      <c r="J1861" s="37">
        <v>80</v>
      </c>
      <c r="K1861" s="43">
        <v>87</v>
      </c>
      <c r="L1861" s="65">
        <f t="shared" si="198"/>
        <v>1.0874999999999999</v>
      </c>
      <c r="M1861" s="65">
        <f t="shared" si="199"/>
        <v>1.0874999999999999</v>
      </c>
      <c r="N1861" s="37" t="s">
        <v>25</v>
      </c>
      <c r="O1861" s="37" t="s">
        <v>25</v>
      </c>
      <c r="P1861" s="40">
        <v>0</v>
      </c>
      <c r="Q1861" s="40">
        <v>0</v>
      </c>
      <c r="R1861" s="37" t="s">
        <v>2603</v>
      </c>
      <c r="S1861" s="37"/>
    </row>
    <row r="1862" spans="1:19" x14ac:dyDescent="0.3">
      <c r="A1862" s="36">
        <v>500</v>
      </c>
      <c r="B1862" s="37" t="s">
        <v>2604</v>
      </c>
      <c r="C1862" s="37" t="s">
        <v>1528</v>
      </c>
      <c r="D1862" s="37" t="s">
        <v>139</v>
      </c>
      <c r="E1862" s="37" t="s">
        <v>22</v>
      </c>
      <c r="F1862" s="42">
        <v>45657</v>
      </c>
      <c r="G1862" s="37">
        <v>2024</v>
      </c>
      <c r="H1862" s="37" t="s">
        <v>27</v>
      </c>
      <c r="I1862" s="39" t="s">
        <v>36</v>
      </c>
      <c r="J1862" s="37">
        <v>80</v>
      </c>
      <c r="K1862" s="43">
        <v>89</v>
      </c>
      <c r="L1862" s="65">
        <f t="shared" si="198"/>
        <v>1.1125</v>
      </c>
      <c r="M1862" s="65">
        <f t="shared" si="199"/>
        <v>1.1125</v>
      </c>
      <c r="N1862" s="37" t="s">
        <v>25</v>
      </c>
      <c r="O1862" s="37" t="s">
        <v>25</v>
      </c>
      <c r="P1862" s="40">
        <v>0</v>
      </c>
      <c r="Q1862" s="40">
        <v>0</v>
      </c>
      <c r="R1862" s="37" t="s">
        <v>2605</v>
      </c>
      <c r="S1862" s="37"/>
    </row>
    <row r="1863" spans="1:19" x14ac:dyDescent="0.3">
      <c r="A1863" s="36">
        <v>501</v>
      </c>
      <c r="B1863" s="37" t="s">
        <v>2606</v>
      </c>
      <c r="C1863" s="37" t="s">
        <v>1234</v>
      </c>
      <c r="D1863" s="37" t="s">
        <v>139</v>
      </c>
      <c r="E1863" s="37" t="s">
        <v>22</v>
      </c>
      <c r="F1863" s="42">
        <v>45657</v>
      </c>
      <c r="G1863" s="37">
        <v>2024</v>
      </c>
      <c r="H1863" s="37" t="s">
        <v>27</v>
      </c>
      <c r="I1863" s="39" t="s">
        <v>36</v>
      </c>
      <c r="J1863" s="37">
        <v>80</v>
      </c>
      <c r="K1863" s="43">
        <v>88</v>
      </c>
      <c r="L1863" s="65">
        <f t="shared" si="198"/>
        <v>1.1000000000000001</v>
      </c>
      <c r="M1863" s="65">
        <f t="shared" si="199"/>
        <v>1.1000000000000001</v>
      </c>
      <c r="N1863" s="37" t="s">
        <v>25</v>
      </c>
      <c r="O1863" s="37" t="s">
        <v>25</v>
      </c>
      <c r="P1863" s="40">
        <v>0</v>
      </c>
      <c r="Q1863" s="40">
        <v>0</v>
      </c>
      <c r="R1863" s="37" t="s">
        <v>2607</v>
      </c>
      <c r="S1863" s="37"/>
    </row>
    <row r="1864" spans="1:19" x14ac:dyDescent="0.3">
      <c r="A1864" s="36">
        <v>502</v>
      </c>
      <c r="B1864" s="37" t="s">
        <v>2608</v>
      </c>
      <c r="C1864" s="37" t="s">
        <v>509</v>
      </c>
      <c r="D1864" s="37" t="s">
        <v>139</v>
      </c>
      <c r="E1864" s="37" t="s">
        <v>22</v>
      </c>
      <c r="F1864" s="42">
        <v>45657</v>
      </c>
      <c r="G1864" s="37">
        <v>2024</v>
      </c>
      <c r="H1864" s="37" t="s">
        <v>27</v>
      </c>
      <c r="I1864" s="39" t="s">
        <v>36</v>
      </c>
      <c r="J1864" s="37">
        <v>80</v>
      </c>
      <c r="K1864" s="43">
        <v>90</v>
      </c>
      <c r="L1864" s="65">
        <f t="shared" si="198"/>
        <v>1.125</v>
      </c>
      <c r="M1864" s="65">
        <f t="shared" si="199"/>
        <v>1.125</v>
      </c>
      <c r="N1864" s="37" t="s">
        <v>25</v>
      </c>
      <c r="O1864" s="37" t="s">
        <v>25</v>
      </c>
      <c r="P1864" s="40">
        <v>0</v>
      </c>
      <c r="Q1864" s="40">
        <v>0</v>
      </c>
      <c r="R1864" s="37" t="s">
        <v>2609</v>
      </c>
      <c r="S1864" s="37"/>
    </row>
    <row r="1865" spans="1:19" x14ac:dyDescent="0.3">
      <c r="A1865" s="36">
        <v>503</v>
      </c>
      <c r="B1865" s="37" t="s">
        <v>2610</v>
      </c>
      <c r="C1865" s="37" t="s">
        <v>1969</v>
      </c>
      <c r="D1865" s="37" t="s">
        <v>139</v>
      </c>
      <c r="E1865" s="37" t="s">
        <v>22</v>
      </c>
      <c r="F1865" s="42">
        <v>45657</v>
      </c>
      <c r="G1865" s="37">
        <v>2024</v>
      </c>
      <c r="H1865" s="37" t="s">
        <v>27</v>
      </c>
      <c r="I1865" s="39" t="s">
        <v>36</v>
      </c>
      <c r="J1865" s="37">
        <v>80</v>
      </c>
      <c r="K1865" s="43">
        <v>86</v>
      </c>
      <c r="L1865" s="65">
        <f t="shared" si="198"/>
        <v>1.075</v>
      </c>
      <c r="M1865" s="65">
        <f t="shared" si="199"/>
        <v>1.075</v>
      </c>
      <c r="N1865" s="37" t="s">
        <v>25</v>
      </c>
      <c r="O1865" s="37" t="s">
        <v>25</v>
      </c>
      <c r="P1865" s="40">
        <v>0</v>
      </c>
      <c r="Q1865" s="40">
        <v>0</v>
      </c>
      <c r="R1865" s="37" t="s">
        <v>2611</v>
      </c>
      <c r="S1865" s="37"/>
    </row>
    <row r="1866" spans="1:19" x14ac:dyDescent="0.3">
      <c r="A1866" s="36">
        <v>504</v>
      </c>
      <c r="B1866" s="37" t="s">
        <v>2612</v>
      </c>
      <c r="C1866" s="37" t="s">
        <v>2044</v>
      </c>
      <c r="D1866" s="37" t="s">
        <v>139</v>
      </c>
      <c r="E1866" s="37" t="s">
        <v>22</v>
      </c>
      <c r="F1866" s="42">
        <v>45657</v>
      </c>
      <c r="G1866" s="37">
        <v>2024</v>
      </c>
      <c r="H1866" s="37" t="s">
        <v>27</v>
      </c>
      <c r="I1866" s="39" t="s">
        <v>36</v>
      </c>
      <c r="J1866" s="37">
        <v>80</v>
      </c>
      <c r="K1866" s="43">
        <v>88</v>
      </c>
      <c r="L1866" s="65">
        <f t="shared" si="198"/>
        <v>1.1000000000000001</v>
      </c>
      <c r="M1866" s="65">
        <f t="shared" si="199"/>
        <v>1.1000000000000001</v>
      </c>
      <c r="N1866" s="37" t="s">
        <v>25</v>
      </c>
      <c r="O1866" s="37" t="s">
        <v>25</v>
      </c>
      <c r="P1866" s="40">
        <v>0</v>
      </c>
      <c r="Q1866" s="40">
        <v>0</v>
      </c>
      <c r="R1866" s="37" t="s">
        <v>2613</v>
      </c>
      <c r="S1866" s="37"/>
    </row>
    <row r="1867" spans="1:19" x14ac:dyDescent="0.3">
      <c r="A1867" s="36">
        <v>505</v>
      </c>
      <c r="B1867" s="37" t="s">
        <v>2614</v>
      </c>
      <c r="C1867" s="37" t="s">
        <v>2186</v>
      </c>
      <c r="D1867" s="37" t="s">
        <v>139</v>
      </c>
      <c r="E1867" s="37" t="s">
        <v>22</v>
      </c>
      <c r="F1867" s="42">
        <v>45657</v>
      </c>
      <c r="G1867" s="37">
        <v>2024</v>
      </c>
      <c r="H1867" s="37" t="s">
        <v>27</v>
      </c>
      <c r="I1867" s="39" t="s">
        <v>36</v>
      </c>
      <c r="J1867" s="37">
        <v>80</v>
      </c>
      <c r="K1867" s="43">
        <v>85</v>
      </c>
      <c r="L1867" s="65">
        <f t="shared" si="198"/>
        <v>1.0625</v>
      </c>
      <c r="M1867" s="65">
        <f t="shared" si="199"/>
        <v>1.0625</v>
      </c>
      <c r="N1867" s="37" t="s">
        <v>25</v>
      </c>
      <c r="O1867" s="37" t="s">
        <v>25</v>
      </c>
      <c r="P1867" s="40">
        <v>0</v>
      </c>
      <c r="Q1867" s="40">
        <v>0</v>
      </c>
      <c r="R1867" s="37" t="s">
        <v>2615</v>
      </c>
      <c r="S1867" s="37"/>
    </row>
    <row r="1868" spans="1:19" x14ac:dyDescent="0.3">
      <c r="A1868" s="36">
        <v>506</v>
      </c>
      <c r="B1868" s="37" t="s">
        <v>2616</v>
      </c>
      <c r="C1868" s="37" t="s">
        <v>1781</v>
      </c>
      <c r="D1868" s="37" t="s">
        <v>139</v>
      </c>
      <c r="E1868" s="37" t="s">
        <v>22</v>
      </c>
      <c r="F1868" s="42">
        <v>45657</v>
      </c>
      <c r="G1868" s="37">
        <v>2024</v>
      </c>
      <c r="H1868" s="37" t="s">
        <v>27</v>
      </c>
      <c r="I1868" s="39" t="s">
        <v>36</v>
      </c>
      <c r="J1868" s="37">
        <v>80</v>
      </c>
      <c r="K1868" s="43">
        <v>67</v>
      </c>
      <c r="L1868" s="65">
        <f t="shared" si="198"/>
        <v>0.83750000000000002</v>
      </c>
      <c r="M1868" s="65">
        <f t="shared" si="199"/>
        <v>0.83750000000000002</v>
      </c>
      <c r="N1868" s="37" t="s">
        <v>25</v>
      </c>
      <c r="O1868" s="37" t="s">
        <v>25</v>
      </c>
      <c r="P1868" s="40">
        <v>0</v>
      </c>
      <c r="Q1868" s="40">
        <v>0</v>
      </c>
      <c r="R1868" s="37" t="s">
        <v>2617</v>
      </c>
      <c r="S1868" s="37"/>
    </row>
    <row r="1869" spans="1:19" x14ac:dyDescent="0.3">
      <c r="A1869" s="36">
        <v>507</v>
      </c>
      <c r="B1869" s="37" t="s">
        <v>2618</v>
      </c>
      <c r="C1869" s="37" t="s">
        <v>1460</v>
      </c>
      <c r="D1869" s="37" t="s">
        <v>139</v>
      </c>
      <c r="E1869" s="37" t="s">
        <v>22</v>
      </c>
      <c r="F1869" s="42">
        <v>45657</v>
      </c>
      <c r="G1869" s="37">
        <v>2024</v>
      </c>
      <c r="H1869" s="37" t="s">
        <v>27</v>
      </c>
      <c r="I1869" s="39" t="s">
        <v>36</v>
      </c>
      <c r="J1869" s="37">
        <v>80</v>
      </c>
      <c r="K1869" s="43">
        <v>77</v>
      </c>
      <c r="L1869" s="65">
        <f t="shared" si="198"/>
        <v>0.96250000000000002</v>
      </c>
      <c r="M1869" s="65">
        <f t="shared" si="199"/>
        <v>0.96250000000000002</v>
      </c>
      <c r="N1869" s="37" t="s">
        <v>25</v>
      </c>
      <c r="O1869" s="37" t="s">
        <v>25</v>
      </c>
      <c r="P1869" s="40">
        <v>0</v>
      </c>
      <c r="Q1869" s="40">
        <v>0</v>
      </c>
      <c r="R1869" s="37" t="s">
        <v>2619</v>
      </c>
      <c r="S1869" s="37"/>
    </row>
    <row r="1870" spans="1:19" x14ac:dyDescent="0.3">
      <c r="A1870" s="36">
        <v>508</v>
      </c>
      <c r="B1870" s="37" t="s">
        <v>2620</v>
      </c>
      <c r="C1870" s="37" t="s">
        <v>2018</v>
      </c>
      <c r="D1870" s="37" t="s">
        <v>139</v>
      </c>
      <c r="E1870" s="37" t="s">
        <v>22</v>
      </c>
      <c r="F1870" s="42">
        <v>45657</v>
      </c>
      <c r="G1870" s="37">
        <v>2024</v>
      </c>
      <c r="H1870" s="37" t="s">
        <v>27</v>
      </c>
      <c r="I1870" s="39" t="s">
        <v>36</v>
      </c>
      <c r="J1870" s="37">
        <v>80</v>
      </c>
      <c r="K1870" s="43">
        <v>88</v>
      </c>
      <c r="L1870" s="65">
        <f t="shared" ref="L1870" si="200">IFERROR(IF(OR(J1870=0,K1870=""),"",IF(E1870="Positivo",MIN(MAX(K1870/J1870,0),1.3),MIN(MAX(J1870/K1870,0),1.3))),"")</f>
        <v>1.1000000000000001</v>
      </c>
      <c r="M1870" s="65">
        <f t="shared" ref="M1870" si="201">IFERROR(IF(OR(J1870=0,K1870=""),"",IF(E1870="Positivo",MAX(K1870/J1870,0),MAX(J1870/K1870,0))),"")</f>
        <v>1.1000000000000001</v>
      </c>
      <c r="N1870" s="37" t="s">
        <v>25</v>
      </c>
      <c r="O1870" s="37" t="s">
        <v>25</v>
      </c>
      <c r="P1870" s="40">
        <v>0</v>
      </c>
      <c r="Q1870" s="40">
        <v>0</v>
      </c>
      <c r="R1870" s="37" t="s">
        <v>2621</v>
      </c>
      <c r="S1870" s="37"/>
    </row>
    <row r="1871" spans="1:19" x14ac:dyDescent="0.3">
      <c r="A1871" s="76" t="s">
        <v>2726</v>
      </c>
      <c r="B1871" s="76" t="s">
        <v>2727</v>
      </c>
      <c r="C1871" s="76" t="s">
        <v>625</v>
      </c>
      <c r="D1871" s="76" t="s">
        <v>21</v>
      </c>
      <c r="E1871" s="76" t="s">
        <v>22</v>
      </c>
      <c r="F1871" s="77">
        <v>45107</v>
      </c>
      <c r="G1871" s="76">
        <v>2023</v>
      </c>
      <c r="H1871" s="76" t="s">
        <v>23</v>
      </c>
      <c r="I1871" s="76" t="s">
        <v>30</v>
      </c>
      <c r="J1871" s="76">
        <v>52177</v>
      </c>
      <c r="K1871" s="76">
        <v>51649</v>
      </c>
      <c r="L1871" s="78">
        <f t="shared" ref="L1871:L1882" si="202">IFERROR(IF(OR(J1871=0,K1871=""),"",IF(E1871="Positivo",MIN(MAX(K1871/J1871,0),1.3),MIN(MAX(J1871/K1871,0),1.3))),"")</f>
        <v>0.98988059873124179</v>
      </c>
      <c r="M1871" s="78">
        <f t="shared" ref="M1871:M1882" si="203">IFERROR(IF(OR(J1871=0,K1871=""),"",IF(E1871="Positivo",MAX(K1871/J1871,0),MAX(J1871/K1871,0))),"")</f>
        <v>0.98988059873124179</v>
      </c>
      <c r="N1871" s="76" t="s">
        <v>25</v>
      </c>
      <c r="O1871" s="76" t="s">
        <v>25</v>
      </c>
      <c r="P1871" s="76">
        <v>0</v>
      </c>
      <c r="Q1871" s="76">
        <v>0</v>
      </c>
      <c r="R1871" s="76" t="s">
        <v>2728</v>
      </c>
      <c r="S1871" s="76"/>
    </row>
    <row r="1872" spans="1:19" x14ac:dyDescent="0.3">
      <c r="A1872" s="76" t="s">
        <v>2726</v>
      </c>
      <c r="B1872" s="76" t="s">
        <v>2727</v>
      </c>
      <c r="C1872" s="76" t="s">
        <v>625</v>
      </c>
      <c r="D1872" s="76" t="s">
        <v>21</v>
      </c>
      <c r="E1872" s="76" t="s">
        <v>22</v>
      </c>
      <c r="F1872" s="77">
        <v>45291</v>
      </c>
      <c r="G1872" s="76">
        <v>2023</v>
      </c>
      <c r="H1872" s="76" t="s">
        <v>27</v>
      </c>
      <c r="I1872" s="76" t="s">
        <v>32</v>
      </c>
      <c r="J1872" s="76">
        <v>51688</v>
      </c>
      <c r="K1872" s="76">
        <v>51499</v>
      </c>
      <c r="L1872" s="78">
        <f t="shared" si="202"/>
        <v>0.99634344528710728</v>
      </c>
      <c r="M1872" s="78">
        <f t="shared" si="203"/>
        <v>0.99634344528710728</v>
      </c>
      <c r="N1872" s="76" t="s">
        <v>25</v>
      </c>
      <c r="O1872" s="76" t="s">
        <v>25</v>
      </c>
      <c r="P1872" s="76">
        <v>0</v>
      </c>
      <c r="Q1872" s="76">
        <v>0</v>
      </c>
      <c r="R1872" s="76" t="s">
        <v>2729</v>
      </c>
      <c r="S1872" s="76"/>
    </row>
    <row r="1873" spans="1:19" x14ac:dyDescent="0.3">
      <c r="A1873" s="76" t="s">
        <v>2726</v>
      </c>
      <c r="B1873" s="76" t="s">
        <v>2727</v>
      </c>
      <c r="C1873" s="76" t="s">
        <v>625</v>
      </c>
      <c r="D1873" s="76" t="s">
        <v>21</v>
      </c>
      <c r="E1873" s="76" t="s">
        <v>22</v>
      </c>
      <c r="F1873" s="77">
        <v>45473</v>
      </c>
      <c r="G1873" s="76">
        <v>2024</v>
      </c>
      <c r="H1873" s="76" t="s">
        <v>23</v>
      </c>
      <c r="I1873" s="76" t="s">
        <v>34</v>
      </c>
      <c r="J1873" s="76">
        <v>52405</v>
      </c>
      <c r="K1873" s="76">
        <v>52758</v>
      </c>
      <c r="L1873" s="78">
        <f t="shared" si="202"/>
        <v>1.0067359984734281</v>
      </c>
      <c r="M1873" s="78">
        <f t="shared" si="203"/>
        <v>1.0067359984734281</v>
      </c>
      <c r="N1873" s="76" t="s">
        <v>25</v>
      </c>
      <c r="O1873" s="76" t="s">
        <v>25</v>
      </c>
      <c r="P1873" s="76">
        <v>0</v>
      </c>
      <c r="Q1873" s="76">
        <v>0</v>
      </c>
      <c r="R1873" s="76" t="s">
        <v>2730</v>
      </c>
      <c r="S1873" s="76"/>
    </row>
    <row r="1874" spans="1:19" x14ac:dyDescent="0.3">
      <c r="A1874" s="76" t="s">
        <v>2731</v>
      </c>
      <c r="B1874" s="76" t="s">
        <v>2732</v>
      </c>
      <c r="C1874" s="76" t="s">
        <v>625</v>
      </c>
      <c r="D1874" s="76" t="s">
        <v>21</v>
      </c>
      <c r="E1874" s="76" t="s">
        <v>22</v>
      </c>
      <c r="F1874" s="77">
        <v>45107</v>
      </c>
      <c r="G1874" s="76">
        <v>2023</v>
      </c>
      <c r="H1874" s="76" t="s">
        <v>23</v>
      </c>
      <c r="I1874" s="76" t="s">
        <v>30</v>
      </c>
      <c r="J1874" s="76">
        <v>7822</v>
      </c>
      <c r="K1874" s="76">
        <v>7944</v>
      </c>
      <c r="L1874" s="78">
        <f t="shared" si="202"/>
        <v>1.015597034006648</v>
      </c>
      <c r="M1874" s="78">
        <f t="shared" si="203"/>
        <v>1.015597034006648</v>
      </c>
      <c r="N1874" s="76" t="s">
        <v>203</v>
      </c>
      <c r="O1874" s="76" t="s">
        <v>203</v>
      </c>
      <c r="P1874" s="76">
        <v>0</v>
      </c>
      <c r="Q1874" s="76">
        <v>0</v>
      </c>
      <c r="R1874" s="76" t="s">
        <v>2733</v>
      </c>
      <c r="S1874" s="76"/>
    </row>
    <row r="1875" spans="1:19" x14ac:dyDescent="0.3">
      <c r="A1875" s="76" t="s">
        <v>2731</v>
      </c>
      <c r="B1875" s="76" t="s">
        <v>2732</v>
      </c>
      <c r="C1875" s="76" t="s">
        <v>625</v>
      </c>
      <c r="D1875" s="76" t="s">
        <v>21</v>
      </c>
      <c r="E1875" s="76" t="s">
        <v>22</v>
      </c>
      <c r="F1875" s="77">
        <v>45291</v>
      </c>
      <c r="G1875" s="76">
        <v>2023</v>
      </c>
      <c r="H1875" s="76" t="s">
        <v>27</v>
      </c>
      <c r="I1875" s="76" t="s">
        <v>32</v>
      </c>
      <c r="J1875" s="76">
        <v>7620</v>
      </c>
      <c r="K1875" s="76">
        <v>8054</v>
      </c>
      <c r="L1875" s="78">
        <f t="shared" si="202"/>
        <v>1.0569553805774279</v>
      </c>
      <c r="M1875" s="78">
        <f t="shared" si="203"/>
        <v>1.0569553805774279</v>
      </c>
      <c r="N1875" s="76" t="s">
        <v>203</v>
      </c>
      <c r="O1875" s="76" t="s">
        <v>203</v>
      </c>
      <c r="P1875" s="76">
        <v>0</v>
      </c>
      <c r="Q1875" s="76">
        <v>0</v>
      </c>
      <c r="R1875" s="76" t="s">
        <v>2734</v>
      </c>
      <c r="S1875" s="76"/>
    </row>
    <row r="1876" spans="1:19" x14ac:dyDescent="0.3">
      <c r="A1876" s="76" t="s">
        <v>2731</v>
      </c>
      <c r="B1876" s="76" t="s">
        <v>2732</v>
      </c>
      <c r="C1876" s="76" t="s">
        <v>625</v>
      </c>
      <c r="D1876" s="76" t="s">
        <v>21</v>
      </c>
      <c r="E1876" s="76" t="s">
        <v>22</v>
      </c>
      <c r="F1876" s="77">
        <v>45473</v>
      </c>
      <c r="G1876" s="76">
        <v>2024</v>
      </c>
      <c r="H1876" s="76" t="s">
        <v>23</v>
      </c>
      <c r="I1876" s="76" t="s">
        <v>34</v>
      </c>
      <c r="J1876" s="76">
        <v>8169</v>
      </c>
      <c r="K1876" s="76">
        <v>8488</v>
      </c>
      <c r="L1876" s="78">
        <f t="shared" si="202"/>
        <v>1.0390500673277023</v>
      </c>
      <c r="M1876" s="78">
        <f t="shared" si="203"/>
        <v>1.0390500673277023</v>
      </c>
      <c r="N1876" s="76" t="s">
        <v>203</v>
      </c>
      <c r="O1876" s="76" t="s">
        <v>203</v>
      </c>
      <c r="P1876" s="76">
        <v>0</v>
      </c>
      <c r="Q1876" s="76">
        <v>0</v>
      </c>
      <c r="R1876" s="76" t="s">
        <v>2735</v>
      </c>
      <c r="S1876" s="76"/>
    </row>
    <row r="1877" spans="1:19" x14ac:dyDescent="0.3">
      <c r="A1877" s="76" t="s">
        <v>2736</v>
      </c>
      <c r="B1877" s="76" t="s">
        <v>2737</v>
      </c>
      <c r="C1877" s="76" t="s">
        <v>625</v>
      </c>
      <c r="D1877" s="76" t="s">
        <v>21</v>
      </c>
      <c r="E1877" s="76" t="s">
        <v>22</v>
      </c>
      <c r="F1877" s="77">
        <v>45107</v>
      </c>
      <c r="G1877" s="76">
        <v>2023</v>
      </c>
      <c r="H1877" s="76" t="s">
        <v>23</v>
      </c>
      <c r="I1877" s="76" t="s">
        <v>30</v>
      </c>
      <c r="J1877" s="76">
        <v>44355</v>
      </c>
      <c r="K1877" s="76">
        <v>43705</v>
      </c>
      <c r="L1877" s="78">
        <f t="shared" si="202"/>
        <v>0.98534550783451702</v>
      </c>
      <c r="M1877" s="78">
        <f t="shared" si="203"/>
        <v>0.98534550783451702</v>
      </c>
      <c r="N1877" s="76" t="s">
        <v>203</v>
      </c>
      <c r="O1877" s="76" t="s">
        <v>203</v>
      </c>
      <c r="P1877" s="76">
        <v>0</v>
      </c>
      <c r="Q1877" s="76">
        <v>0</v>
      </c>
      <c r="R1877" s="76" t="s">
        <v>2738</v>
      </c>
      <c r="S1877" s="76"/>
    </row>
    <row r="1878" spans="1:19" x14ac:dyDescent="0.3">
      <c r="A1878" s="76" t="s">
        <v>2736</v>
      </c>
      <c r="B1878" s="76" t="s">
        <v>2737</v>
      </c>
      <c r="C1878" s="76" t="s">
        <v>625</v>
      </c>
      <c r="D1878" s="76" t="s">
        <v>21</v>
      </c>
      <c r="E1878" s="76" t="s">
        <v>22</v>
      </c>
      <c r="F1878" s="77">
        <v>45291</v>
      </c>
      <c r="G1878" s="76">
        <v>2023</v>
      </c>
      <c r="H1878" s="76" t="s">
        <v>27</v>
      </c>
      <c r="I1878" s="76" t="s">
        <v>32</v>
      </c>
      <c r="J1878" s="76">
        <v>44067</v>
      </c>
      <c r="K1878" s="76">
        <v>43445</v>
      </c>
      <c r="L1878" s="78">
        <f t="shared" si="202"/>
        <v>0.98588512946195561</v>
      </c>
      <c r="M1878" s="78">
        <f t="shared" si="203"/>
        <v>0.98588512946195561</v>
      </c>
      <c r="N1878" s="76" t="s">
        <v>203</v>
      </c>
      <c r="O1878" s="76" t="s">
        <v>203</v>
      </c>
      <c r="P1878" s="76">
        <v>0</v>
      </c>
      <c r="Q1878" s="76">
        <v>0</v>
      </c>
      <c r="R1878" s="76" t="s">
        <v>2739</v>
      </c>
      <c r="S1878" s="76"/>
    </row>
    <row r="1879" spans="1:19" x14ac:dyDescent="0.3">
      <c r="A1879" s="76" t="s">
        <v>2736</v>
      </c>
      <c r="B1879" s="76" t="s">
        <v>2737</v>
      </c>
      <c r="C1879" s="76" t="s">
        <v>625</v>
      </c>
      <c r="D1879" s="76" t="s">
        <v>21</v>
      </c>
      <c r="E1879" s="76" t="s">
        <v>22</v>
      </c>
      <c r="F1879" s="77">
        <v>45473</v>
      </c>
      <c r="G1879" s="76">
        <v>2024</v>
      </c>
      <c r="H1879" s="76" t="s">
        <v>23</v>
      </c>
      <c r="I1879" s="76" t="s">
        <v>34</v>
      </c>
      <c r="J1879" s="76">
        <v>44236</v>
      </c>
      <c r="K1879" s="76">
        <v>44270</v>
      </c>
      <c r="L1879" s="78">
        <f t="shared" si="202"/>
        <v>1.0007686047563071</v>
      </c>
      <c r="M1879" s="78">
        <f t="shared" si="203"/>
        <v>1.0007686047563071</v>
      </c>
      <c r="N1879" s="76" t="s">
        <v>203</v>
      </c>
      <c r="O1879" s="76" t="s">
        <v>203</v>
      </c>
      <c r="P1879" s="76">
        <v>0</v>
      </c>
      <c r="Q1879" s="76">
        <v>0</v>
      </c>
      <c r="R1879" s="76" t="s">
        <v>2740</v>
      </c>
      <c r="S1879" s="76"/>
    </row>
    <row r="1880" spans="1:19" x14ac:dyDescent="0.3">
      <c r="A1880" s="76" t="s">
        <v>2741</v>
      </c>
      <c r="B1880" s="76" t="s">
        <v>2742</v>
      </c>
      <c r="C1880" s="76" t="s">
        <v>625</v>
      </c>
      <c r="D1880" s="76" t="s">
        <v>21</v>
      </c>
      <c r="E1880" s="76" t="s">
        <v>22</v>
      </c>
      <c r="F1880" s="77">
        <v>45107</v>
      </c>
      <c r="G1880" s="76">
        <v>2023</v>
      </c>
      <c r="H1880" s="76" t="s">
        <v>23</v>
      </c>
      <c r="I1880" s="76" t="s">
        <v>30</v>
      </c>
      <c r="J1880" s="76">
        <v>49451</v>
      </c>
      <c r="K1880" s="76">
        <v>48680</v>
      </c>
      <c r="L1880" s="78">
        <f t="shared" si="202"/>
        <v>0.98440880871974279</v>
      </c>
      <c r="M1880" s="78">
        <f t="shared" si="203"/>
        <v>0.98440880871974279</v>
      </c>
      <c r="N1880" s="76" t="s">
        <v>203</v>
      </c>
      <c r="O1880" s="76" t="s">
        <v>203</v>
      </c>
      <c r="P1880" s="76">
        <v>0</v>
      </c>
      <c r="Q1880" s="76">
        <v>0</v>
      </c>
      <c r="R1880" s="76" t="s">
        <v>2743</v>
      </c>
      <c r="S1880" s="76"/>
    </row>
    <row r="1881" spans="1:19" x14ac:dyDescent="0.3">
      <c r="A1881" s="76" t="s">
        <v>2741</v>
      </c>
      <c r="B1881" s="76" t="s">
        <v>2742</v>
      </c>
      <c r="C1881" s="76" t="s">
        <v>625</v>
      </c>
      <c r="D1881" s="76" t="s">
        <v>21</v>
      </c>
      <c r="E1881" s="76" t="s">
        <v>22</v>
      </c>
      <c r="F1881" s="77">
        <v>45291</v>
      </c>
      <c r="G1881" s="76">
        <v>2023</v>
      </c>
      <c r="H1881" s="76" t="s">
        <v>27</v>
      </c>
      <c r="I1881" s="76" t="s">
        <v>32</v>
      </c>
      <c r="J1881" s="76">
        <v>48890</v>
      </c>
      <c r="K1881" s="76">
        <v>48144</v>
      </c>
      <c r="L1881" s="78">
        <f t="shared" si="202"/>
        <v>0.98474125588054817</v>
      </c>
      <c r="M1881" s="78">
        <f t="shared" si="203"/>
        <v>0.98474125588054817</v>
      </c>
      <c r="N1881" s="76" t="s">
        <v>203</v>
      </c>
      <c r="O1881" s="76" t="s">
        <v>203</v>
      </c>
      <c r="P1881" s="76">
        <v>0</v>
      </c>
      <c r="Q1881" s="76">
        <v>0</v>
      </c>
      <c r="R1881" s="76" t="s">
        <v>2744</v>
      </c>
      <c r="S1881" s="76"/>
    </row>
    <row r="1882" spans="1:19" x14ac:dyDescent="0.3">
      <c r="A1882" s="76" t="s">
        <v>2741</v>
      </c>
      <c r="B1882" s="76" t="s">
        <v>2742</v>
      </c>
      <c r="C1882" s="76" t="s">
        <v>625</v>
      </c>
      <c r="D1882" s="76" t="s">
        <v>21</v>
      </c>
      <c r="E1882" s="76" t="s">
        <v>22</v>
      </c>
      <c r="F1882" s="77">
        <v>45473</v>
      </c>
      <c r="G1882" s="76">
        <v>2024</v>
      </c>
      <c r="H1882" s="76" t="s">
        <v>23</v>
      </c>
      <c r="I1882" s="76" t="s">
        <v>34</v>
      </c>
      <c r="J1882" s="76">
        <v>49312</v>
      </c>
      <c r="K1882" s="76">
        <v>49259</v>
      </c>
      <c r="L1882" s="78">
        <f t="shared" si="202"/>
        <v>0.9989252109020117</v>
      </c>
      <c r="M1882" s="78">
        <f t="shared" si="203"/>
        <v>0.9989252109020117</v>
      </c>
      <c r="N1882" s="76" t="s">
        <v>203</v>
      </c>
      <c r="O1882" s="76" t="s">
        <v>203</v>
      </c>
      <c r="P1882" s="76">
        <v>0</v>
      </c>
      <c r="Q1882" s="76">
        <v>0</v>
      </c>
      <c r="R1882" s="76" t="s">
        <v>2745</v>
      </c>
      <c r="S1882" s="76"/>
    </row>
    <row r="1883" spans="1:19" x14ac:dyDescent="0.3">
      <c r="A1883" s="76" t="s">
        <v>2746</v>
      </c>
      <c r="B1883" s="76" t="s">
        <v>2747</v>
      </c>
      <c r="C1883" s="76" t="s">
        <v>625</v>
      </c>
      <c r="D1883" s="76" t="s">
        <v>21</v>
      </c>
      <c r="E1883" s="76" t="s">
        <v>22</v>
      </c>
      <c r="F1883" s="77">
        <v>45107</v>
      </c>
      <c r="G1883" s="76">
        <v>2023</v>
      </c>
      <c r="H1883" s="76" t="s">
        <v>23</v>
      </c>
      <c r="I1883" s="76" t="s">
        <v>30</v>
      </c>
      <c r="J1883" s="76">
        <v>2726</v>
      </c>
      <c r="K1883" s="76">
        <v>2969</v>
      </c>
      <c r="L1883" s="78">
        <f t="shared" ref="L1883:L1885" si="204">IFERROR(IF(OR(J1883=0,K1883=""),"",IF(E1883="Positivo",MIN(MAX(K1883/J1883,0),1.3),MIN(MAX(J1883/K1883,0),1.3))),"")</f>
        <v>1.0891415994130593</v>
      </c>
      <c r="M1883" s="78">
        <f t="shared" ref="M1883:M1885" si="205">IFERROR(IF(OR(J1883=0,K1883=""),"",IF(E1883="Positivo",MAX(K1883/J1883,0),MAX(J1883/K1883,0))),"")</f>
        <v>1.0891415994130593</v>
      </c>
      <c r="N1883" s="76" t="s">
        <v>203</v>
      </c>
      <c r="O1883" s="76" t="s">
        <v>203</v>
      </c>
      <c r="P1883" s="76">
        <v>0</v>
      </c>
      <c r="Q1883" s="76">
        <v>0</v>
      </c>
      <c r="R1883" s="76" t="s">
        <v>2748</v>
      </c>
      <c r="S1883" s="76"/>
    </row>
    <row r="1884" spans="1:19" x14ac:dyDescent="0.3">
      <c r="A1884" s="76" t="s">
        <v>2746</v>
      </c>
      <c r="B1884" s="76" t="s">
        <v>2747</v>
      </c>
      <c r="C1884" s="76" t="s">
        <v>625</v>
      </c>
      <c r="D1884" s="76" t="s">
        <v>21</v>
      </c>
      <c r="E1884" s="76" t="s">
        <v>22</v>
      </c>
      <c r="F1884" s="77">
        <v>45291</v>
      </c>
      <c r="G1884" s="76">
        <v>2023</v>
      </c>
      <c r="H1884" s="76" t="s">
        <v>27</v>
      </c>
      <c r="I1884" s="76" t="s">
        <v>32</v>
      </c>
      <c r="J1884" s="76">
        <v>2797</v>
      </c>
      <c r="K1884" s="76">
        <v>3355</v>
      </c>
      <c r="L1884" s="78">
        <f t="shared" si="204"/>
        <v>1.1994994637111192</v>
      </c>
      <c r="M1884" s="78">
        <f t="shared" si="205"/>
        <v>1.1994994637111192</v>
      </c>
      <c r="N1884" s="76" t="s">
        <v>203</v>
      </c>
      <c r="O1884" s="76" t="s">
        <v>203</v>
      </c>
      <c r="P1884" s="76">
        <v>0</v>
      </c>
      <c r="Q1884" s="76">
        <v>0</v>
      </c>
      <c r="R1884" s="76" t="s">
        <v>2749</v>
      </c>
      <c r="S1884" s="76"/>
    </row>
    <row r="1885" spans="1:19" x14ac:dyDescent="0.3">
      <c r="A1885" s="76" t="s">
        <v>2746</v>
      </c>
      <c r="B1885" s="76" t="s">
        <v>2747</v>
      </c>
      <c r="C1885" s="76" t="s">
        <v>625</v>
      </c>
      <c r="D1885" s="76" t="s">
        <v>21</v>
      </c>
      <c r="E1885" s="76" t="s">
        <v>22</v>
      </c>
      <c r="F1885" s="77">
        <v>45473</v>
      </c>
      <c r="G1885" s="76">
        <v>2024</v>
      </c>
      <c r="H1885" s="76" t="s">
        <v>23</v>
      </c>
      <c r="I1885" s="76" t="s">
        <v>34</v>
      </c>
      <c r="J1885" s="76">
        <v>3093</v>
      </c>
      <c r="K1885" s="76">
        <v>3499</v>
      </c>
      <c r="L1885" s="78">
        <f t="shared" si="204"/>
        <v>1.1312641448431944</v>
      </c>
      <c r="M1885" s="78">
        <f t="shared" si="205"/>
        <v>1.1312641448431944</v>
      </c>
      <c r="N1885" s="76" t="s">
        <v>203</v>
      </c>
      <c r="O1885" s="76" t="s">
        <v>203</v>
      </c>
      <c r="P1885" s="76">
        <v>0</v>
      </c>
      <c r="Q1885" s="76">
        <v>0</v>
      </c>
      <c r="R1885" s="76" t="s">
        <v>2750</v>
      </c>
      <c r="S1885" s="76"/>
    </row>
    <row r="1886" spans="1:19" x14ac:dyDescent="0.3">
      <c r="A1886" s="76" t="s">
        <v>2751</v>
      </c>
      <c r="B1886" s="76" t="s">
        <v>2752</v>
      </c>
      <c r="C1886" s="76" t="s">
        <v>1263</v>
      </c>
      <c r="D1886" s="76" t="s">
        <v>39</v>
      </c>
      <c r="E1886" s="76" t="s">
        <v>22</v>
      </c>
      <c r="F1886" s="77">
        <v>45107</v>
      </c>
      <c r="G1886" s="76">
        <v>2023</v>
      </c>
      <c r="H1886" s="76" t="s">
        <v>23</v>
      </c>
      <c r="I1886" s="76" t="s">
        <v>30</v>
      </c>
      <c r="J1886" s="76">
        <v>53</v>
      </c>
      <c r="K1886" s="76">
        <v>64</v>
      </c>
      <c r="L1886" s="78">
        <f t="shared" ref="L1886:L1900" si="206">IFERROR(IF(OR(J1886=0,K1886=""),"",IF(E1886="Positivo",MIN(MAX(K1886/J1886,0),1.3),MIN(MAX(J1886/K1886,0),1.3))),"")</f>
        <v>1.2075471698113207</v>
      </c>
      <c r="M1886" s="78">
        <f t="shared" ref="M1886:M1900" si="207">IFERROR(IF(OR(J1886=0,K1886=""),"",IF(E1886="Positivo",MAX(K1886/J1886,0),MAX(J1886/K1886,0))),"")</f>
        <v>1.2075471698113207</v>
      </c>
      <c r="N1886" s="76" t="s">
        <v>25</v>
      </c>
      <c r="O1886" s="76" t="s">
        <v>25</v>
      </c>
      <c r="P1886" s="76">
        <v>0</v>
      </c>
      <c r="Q1886" s="76">
        <v>0</v>
      </c>
      <c r="R1886" s="76" t="s">
        <v>2753</v>
      </c>
      <c r="S1886" s="76"/>
    </row>
    <row r="1887" spans="1:19" x14ac:dyDescent="0.3">
      <c r="A1887" s="76" t="s">
        <v>2751</v>
      </c>
      <c r="B1887" s="76" t="s">
        <v>2752</v>
      </c>
      <c r="C1887" s="76" t="s">
        <v>1263</v>
      </c>
      <c r="D1887" s="76" t="s">
        <v>39</v>
      </c>
      <c r="E1887" s="76" t="s">
        <v>22</v>
      </c>
      <c r="F1887" s="77">
        <v>45199</v>
      </c>
      <c r="G1887" s="76">
        <v>2023</v>
      </c>
      <c r="H1887" s="76" t="s">
        <v>43</v>
      </c>
      <c r="I1887" s="76" t="s">
        <v>32</v>
      </c>
      <c r="J1887" s="76">
        <v>96</v>
      </c>
      <c r="K1887" s="76">
        <v>87</v>
      </c>
      <c r="L1887" s="78">
        <f t="shared" si="206"/>
        <v>0.90625</v>
      </c>
      <c r="M1887" s="78">
        <f t="shared" si="207"/>
        <v>0.90625</v>
      </c>
      <c r="N1887" s="76" t="s">
        <v>25</v>
      </c>
      <c r="O1887" s="76" t="s">
        <v>25</v>
      </c>
      <c r="P1887" s="76">
        <v>0</v>
      </c>
      <c r="Q1887" s="76">
        <v>0</v>
      </c>
      <c r="R1887" s="76" t="s">
        <v>2754</v>
      </c>
      <c r="S1887" s="76"/>
    </row>
    <row r="1888" spans="1:19" x14ac:dyDescent="0.3">
      <c r="A1888" s="76" t="s">
        <v>2751</v>
      </c>
      <c r="B1888" s="76" t="s">
        <v>2752</v>
      </c>
      <c r="C1888" s="76" t="s">
        <v>1263</v>
      </c>
      <c r="D1888" s="76" t="s">
        <v>39</v>
      </c>
      <c r="E1888" s="76" t="s">
        <v>22</v>
      </c>
      <c r="F1888" s="77">
        <v>45291</v>
      </c>
      <c r="G1888" s="76">
        <v>2023</v>
      </c>
      <c r="H1888" s="76" t="s">
        <v>27</v>
      </c>
      <c r="I1888" s="76" t="s">
        <v>32</v>
      </c>
      <c r="J1888" s="76">
        <v>100</v>
      </c>
      <c r="K1888" s="76">
        <v>98</v>
      </c>
      <c r="L1888" s="78">
        <f t="shared" si="206"/>
        <v>0.98</v>
      </c>
      <c r="M1888" s="78">
        <f t="shared" si="207"/>
        <v>0.98</v>
      </c>
      <c r="N1888" s="76" t="s">
        <v>25</v>
      </c>
      <c r="O1888" s="76" t="s">
        <v>25</v>
      </c>
      <c r="P1888" s="76">
        <v>0</v>
      </c>
      <c r="Q1888" s="76">
        <v>0</v>
      </c>
      <c r="R1888" s="76" t="s">
        <v>2755</v>
      </c>
      <c r="S1888" s="76"/>
    </row>
    <row r="1889" spans="1:19" x14ac:dyDescent="0.3">
      <c r="A1889" s="76" t="s">
        <v>2751</v>
      </c>
      <c r="B1889" s="76" t="s">
        <v>2752</v>
      </c>
      <c r="C1889" s="76" t="s">
        <v>1263</v>
      </c>
      <c r="D1889" s="76" t="s">
        <v>39</v>
      </c>
      <c r="E1889" s="76" t="s">
        <v>22</v>
      </c>
      <c r="F1889" s="77">
        <v>45565</v>
      </c>
      <c r="G1889" s="76">
        <v>2024</v>
      </c>
      <c r="H1889" s="76" t="s">
        <v>43</v>
      </c>
      <c r="I1889" s="76" t="s">
        <v>36</v>
      </c>
      <c r="J1889" s="76">
        <v>86</v>
      </c>
      <c r="K1889" s="76">
        <v>86</v>
      </c>
      <c r="L1889" s="78">
        <f t="shared" si="206"/>
        <v>1</v>
      </c>
      <c r="M1889" s="78">
        <f t="shared" si="207"/>
        <v>1</v>
      </c>
      <c r="N1889" s="76" t="s">
        <v>25</v>
      </c>
      <c r="O1889" s="76" t="s">
        <v>25</v>
      </c>
      <c r="P1889" s="76">
        <v>0</v>
      </c>
      <c r="Q1889" s="76">
        <v>0</v>
      </c>
      <c r="R1889" s="76" t="s">
        <v>2756</v>
      </c>
      <c r="S1889" s="76"/>
    </row>
    <row r="1890" spans="1:19" x14ac:dyDescent="0.3">
      <c r="A1890" s="76" t="s">
        <v>2751</v>
      </c>
      <c r="B1890" s="76" t="s">
        <v>2752</v>
      </c>
      <c r="C1890" s="76" t="s">
        <v>1263</v>
      </c>
      <c r="D1890" s="76" t="s">
        <v>39</v>
      </c>
      <c r="E1890" s="76" t="s">
        <v>22</v>
      </c>
      <c r="F1890" s="77">
        <v>45657</v>
      </c>
      <c r="G1890" s="76">
        <v>2024</v>
      </c>
      <c r="H1890" s="76" t="s">
        <v>27</v>
      </c>
      <c r="I1890" s="76" t="s">
        <v>36</v>
      </c>
      <c r="J1890" s="76">
        <v>100</v>
      </c>
      <c r="K1890" s="76">
        <v>98</v>
      </c>
      <c r="L1890" s="78">
        <f t="shared" si="206"/>
        <v>0.98</v>
      </c>
      <c r="M1890" s="78">
        <f t="shared" si="207"/>
        <v>0.98</v>
      </c>
      <c r="N1890" s="76" t="s">
        <v>25</v>
      </c>
      <c r="O1890" s="76" t="s">
        <v>25</v>
      </c>
      <c r="P1890" s="76">
        <v>0</v>
      </c>
      <c r="Q1890" s="76">
        <v>0</v>
      </c>
      <c r="R1890" s="76" t="s">
        <v>2757</v>
      </c>
      <c r="S1890" s="76"/>
    </row>
    <row r="1891" spans="1:19" x14ac:dyDescent="0.3">
      <c r="A1891" s="76" t="s">
        <v>2758</v>
      </c>
      <c r="B1891" s="76" t="s">
        <v>2759</v>
      </c>
      <c r="C1891" s="76" t="s">
        <v>1263</v>
      </c>
      <c r="D1891" s="76" t="s">
        <v>39</v>
      </c>
      <c r="E1891" s="76" t="s">
        <v>22</v>
      </c>
      <c r="F1891" s="77">
        <v>45107</v>
      </c>
      <c r="G1891" s="76">
        <v>2023</v>
      </c>
      <c r="H1891" s="76" t="s">
        <v>23</v>
      </c>
      <c r="I1891" s="76" t="s">
        <v>30</v>
      </c>
      <c r="J1891" s="76">
        <v>68</v>
      </c>
      <c r="K1891" s="76">
        <v>65</v>
      </c>
      <c r="L1891" s="78">
        <f t="shared" si="206"/>
        <v>0.95588235294117652</v>
      </c>
      <c r="M1891" s="78">
        <f t="shared" si="207"/>
        <v>0.95588235294117652</v>
      </c>
      <c r="N1891" s="76" t="s">
        <v>25</v>
      </c>
      <c r="O1891" s="76" t="s">
        <v>25</v>
      </c>
      <c r="P1891" s="76">
        <v>0</v>
      </c>
      <c r="Q1891" s="76">
        <v>0</v>
      </c>
      <c r="R1891" s="76" t="s">
        <v>2760</v>
      </c>
      <c r="S1891" s="76"/>
    </row>
    <row r="1892" spans="1:19" x14ac:dyDescent="0.3">
      <c r="A1892" s="76" t="s">
        <v>2758</v>
      </c>
      <c r="B1892" s="76" t="s">
        <v>2759</v>
      </c>
      <c r="C1892" s="76" t="s">
        <v>1263</v>
      </c>
      <c r="D1892" s="76" t="s">
        <v>39</v>
      </c>
      <c r="E1892" s="76" t="s">
        <v>22</v>
      </c>
      <c r="F1892" s="77">
        <v>45199</v>
      </c>
      <c r="G1892" s="76">
        <v>2023</v>
      </c>
      <c r="H1892" s="76" t="s">
        <v>43</v>
      </c>
      <c r="I1892" s="76" t="s">
        <v>32</v>
      </c>
      <c r="J1892" s="76">
        <v>94</v>
      </c>
      <c r="K1892" s="76">
        <v>82</v>
      </c>
      <c r="L1892" s="78">
        <f t="shared" si="206"/>
        <v>0.87234042553191493</v>
      </c>
      <c r="M1892" s="78">
        <f t="shared" si="207"/>
        <v>0.87234042553191493</v>
      </c>
      <c r="N1892" s="76" t="s">
        <v>25</v>
      </c>
      <c r="O1892" s="76" t="s">
        <v>25</v>
      </c>
      <c r="P1892" s="76">
        <v>0</v>
      </c>
      <c r="Q1892" s="76">
        <v>0</v>
      </c>
      <c r="R1892" s="76" t="s">
        <v>2761</v>
      </c>
      <c r="S1892" s="76"/>
    </row>
    <row r="1893" spans="1:19" x14ac:dyDescent="0.3">
      <c r="A1893" s="76" t="s">
        <v>2758</v>
      </c>
      <c r="B1893" s="76" t="s">
        <v>2759</v>
      </c>
      <c r="C1893" s="76" t="s">
        <v>1263</v>
      </c>
      <c r="D1893" s="76" t="s">
        <v>39</v>
      </c>
      <c r="E1893" s="76" t="s">
        <v>22</v>
      </c>
      <c r="F1893" s="77">
        <v>45291</v>
      </c>
      <c r="G1893" s="76">
        <v>2023</v>
      </c>
      <c r="H1893" s="76" t="s">
        <v>27</v>
      </c>
      <c r="I1893" s="76" t="s">
        <v>32</v>
      </c>
      <c r="J1893" s="76">
        <v>100</v>
      </c>
      <c r="K1893" s="76">
        <v>98</v>
      </c>
      <c r="L1893" s="78">
        <f t="shared" si="206"/>
        <v>0.98</v>
      </c>
      <c r="M1893" s="78">
        <f t="shared" si="207"/>
        <v>0.98</v>
      </c>
      <c r="N1893" s="76" t="s">
        <v>25</v>
      </c>
      <c r="O1893" s="76" t="s">
        <v>25</v>
      </c>
      <c r="P1893" s="76">
        <v>0</v>
      </c>
      <c r="Q1893" s="76">
        <v>0</v>
      </c>
      <c r="R1893" s="76" t="s">
        <v>2762</v>
      </c>
      <c r="S1893" s="76"/>
    </row>
    <row r="1894" spans="1:19" x14ac:dyDescent="0.3">
      <c r="A1894" s="76" t="s">
        <v>2758</v>
      </c>
      <c r="B1894" s="76" t="s">
        <v>2759</v>
      </c>
      <c r="C1894" s="76" t="s">
        <v>1263</v>
      </c>
      <c r="D1894" s="76" t="s">
        <v>39</v>
      </c>
      <c r="E1894" s="76" t="s">
        <v>22</v>
      </c>
      <c r="F1894" s="77">
        <v>45565</v>
      </c>
      <c r="G1894" s="76">
        <v>2024</v>
      </c>
      <c r="H1894" s="76" t="s">
        <v>43</v>
      </c>
      <c r="I1894" s="76" t="s">
        <v>36</v>
      </c>
      <c r="J1894" s="76">
        <v>87</v>
      </c>
      <c r="K1894" s="76">
        <v>90</v>
      </c>
      <c r="L1894" s="78">
        <f t="shared" si="206"/>
        <v>1.0344827586206897</v>
      </c>
      <c r="M1894" s="78">
        <f t="shared" si="207"/>
        <v>1.0344827586206897</v>
      </c>
      <c r="N1894" s="76" t="s">
        <v>25</v>
      </c>
      <c r="O1894" s="76" t="s">
        <v>25</v>
      </c>
      <c r="P1894" s="76">
        <v>0</v>
      </c>
      <c r="Q1894" s="76">
        <v>0</v>
      </c>
      <c r="R1894" s="76" t="s">
        <v>2763</v>
      </c>
      <c r="S1894" s="76"/>
    </row>
    <row r="1895" spans="1:19" x14ac:dyDescent="0.3">
      <c r="A1895" s="76" t="s">
        <v>2758</v>
      </c>
      <c r="B1895" s="76" t="s">
        <v>2759</v>
      </c>
      <c r="C1895" s="76" t="s">
        <v>1263</v>
      </c>
      <c r="D1895" s="76" t="s">
        <v>39</v>
      </c>
      <c r="E1895" s="76" t="s">
        <v>22</v>
      </c>
      <c r="F1895" s="77">
        <v>45657</v>
      </c>
      <c r="G1895" s="76">
        <v>2024</v>
      </c>
      <c r="H1895" s="76" t="s">
        <v>27</v>
      </c>
      <c r="I1895" s="76" t="s">
        <v>36</v>
      </c>
      <c r="J1895" s="76">
        <v>100</v>
      </c>
      <c r="K1895" s="76">
        <v>100</v>
      </c>
      <c r="L1895" s="78">
        <f t="shared" si="206"/>
        <v>1</v>
      </c>
      <c r="M1895" s="78">
        <f t="shared" si="207"/>
        <v>1</v>
      </c>
      <c r="N1895" s="76" t="s">
        <v>25</v>
      </c>
      <c r="O1895" s="76" t="s">
        <v>25</v>
      </c>
      <c r="P1895" s="76">
        <v>0</v>
      </c>
      <c r="Q1895" s="76">
        <v>0</v>
      </c>
      <c r="R1895" s="76" t="s">
        <v>2764</v>
      </c>
      <c r="S1895" s="76"/>
    </row>
    <row r="1896" spans="1:19" x14ac:dyDescent="0.3">
      <c r="A1896" s="76" t="s">
        <v>2765</v>
      </c>
      <c r="B1896" s="76" t="s">
        <v>2766</v>
      </c>
      <c r="C1896" s="76" t="s">
        <v>1263</v>
      </c>
      <c r="D1896" s="76" t="s">
        <v>39</v>
      </c>
      <c r="E1896" s="76" t="s">
        <v>22</v>
      </c>
      <c r="F1896" s="77">
        <v>45107</v>
      </c>
      <c r="G1896" s="76">
        <v>2023</v>
      </c>
      <c r="H1896" s="76" t="s">
        <v>23</v>
      </c>
      <c r="I1896" s="76" t="s">
        <v>30</v>
      </c>
      <c r="J1896" s="76">
        <v>66</v>
      </c>
      <c r="K1896" s="76">
        <v>64</v>
      </c>
      <c r="L1896" s="78">
        <f t="shared" si="206"/>
        <v>0.96969696969696972</v>
      </c>
      <c r="M1896" s="78">
        <f t="shared" si="207"/>
        <v>0.96969696969696972</v>
      </c>
      <c r="N1896" s="76" t="s">
        <v>25</v>
      </c>
      <c r="O1896" s="76" t="s">
        <v>25</v>
      </c>
      <c r="P1896" s="76">
        <v>0</v>
      </c>
      <c r="Q1896" s="76">
        <v>0</v>
      </c>
      <c r="R1896" s="76" t="s">
        <v>2767</v>
      </c>
      <c r="S1896" s="76"/>
    </row>
    <row r="1897" spans="1:19" x14ac:dyDescent="0.3">
      <c r="A1897" s="76" t="s">
        <v>2765</v>
      </c>
      <c r="B1897" s="76" t="s">
        <v>2766</v>
      </c>
      <c r="C1897" s="76" t="s">
        <v>1263</v>
      </c>
      <c r="D1897" s="76" t="s">
        <v>39</v>
      </c>
      <c r="E1897" s="76" t="s">
        <v>22</v>
      </c>
      <c r="F1897" s="77">
        <v>45199</v>
      </c>
      <c r="G1897" s="76">
        <v>2023</v>
      </c>
      <c r="H1897" s="76" t="s">
        <v>43</v>
      </c>
      <c r="I1897" s="76" t="s">
        <v>32</v>
      </c>
      <c r="J1897" s="76">
        <v>94</v>
      </c>
      <c r="K1897" s="76">
        <v>85</v>
      </c>
      <c r="L1897" s="78">
        <f t="shared" si="206"/>
        <v>0.9042553191489362</v>
      </c>
      <c r="M1897" s="78">
        <f t="shared" si="207"/>
        <v>0.9042553191489362</v>
      </c>
      <c r="N1897" s="76" t="s">
        <v>25</v>
      </c>
      <c r="O1897" s="76" t="s">
        <v>25</v>
      </c>
      <c r="P1897" s="76">
        <v>0</v>
      </c>
      <c r="Q1897" s="76">
        <v>0</v>
      </c>
      <c r="R1897" s="76" t="s">
        <v>2768</v>
      </c>
      <c r="S1897" s="76"/>
    </row>
    <row r="1898" spans="1:19" x14ac:dyDescent="0.3">
      <c r="A1898" s="76" t="s">
        <v>2765</v>
      </c>
      <c r="B1898" s="76" t="s">
        <v>2766</v>
      </c>
      <c r="C1898" s="76" t="s">
        <v>1263</v>
      </c>
      <c r="D1898" s="76" t="s">
        <v>39</v>
      </c>
      <c r="E1898" s="76" t="s">
        <v>22</v>
      </c>
      <c r="F1898" s="77">
        <v>45291</v>
      </c>
      <c r="G1898" s="76">
        <v>2023</v>
      </c>
      <c r="H1898" s="76" t="s">
        <v>27</v>
      </c>
      <c r="I1898" s="76" t="s">
        <v>32</v>
      </c>
      <c r="J1898" s="76">
        <v>100</v>
      </c>
      <c r="K1898" s="76">
        <v>95</v>
      </c>
      <c r="L1898" s="78">
        <f t="shared" si="206"/>
        <v>0.95</v>
      </c>
      <c r="M1898" s="78">
        <f t="shared" si="207"/>
        <v>0.95</v>
      </c>
      <c r="N1898" s="76" t="s">
        <v>25</v>
      </c>
      <c r="O1898" s="76" t="s">
        <v>25</v>
      </c>
      <c r="P1898" s="76">
        <v>0</v>
      </c>
      <c r="Q1898" s="76">
        <v>0</v>
      </c>
      <c r="R1898" s="76" t="s">
        <v>2769</v>
      </c>
      <c r="S1898" s="76"/>
    </row>
    <row r="1899" spans="1:19" x14ac:dyDescent="0.3">
      <c r="A1899" s="76" t="s">
        <v>2765</v>
      </c>
      <c r="B1899" s="76" t="s">
        <v>2766</v>
      </c>
      <c r="C1899" s="76" t="s">
        <v>1263</v>
      </c>
      <c r="D1899" s="76" t="s">
        <v>39</v>
      </c>
      <c r="E1899" s="76" t="s">
        <v>22</v>
      </c>
      <c r="F1899" s="77">
        <v>45565</v>
      </c>
      <c r="G1899" s="76">
        <v>2024</v>
      </c>
      <c r="H1899" s="76" t="s">
        <v>43</v>
      </c>
      <c r="I1899" s="76" t="s">
        <v>36</v>
      </c>
      <c r="J1899" s="76">
        <v>82</v>
      </c>
      <c r="K1899" s="76">
        <v>81</v>
      </c>
      <c r="L1899" s="78">
        <f t="shared" si="206"/>
        <v>0.98780487804878048</v>
      </c>
      <c r="M1899" s="78">
        <f t="shared" si="207"/>
        <v>0.98780487804878048</v>
      </c>
      <c r="N1899" s="76" t="s">
        <v>25</v>
      </c>
      <c r="O1899" s="76" t="s">
        <v>25</v>
      </c>
      <c r="P1899" s="76">
        <v>0</v>
      </c>
      <c r="Q1899" s="76">
        <v>0</v>
      </c>
      <c r="R1899" s="76" t="s">
        <v>2770</v>
      </c>
      <c r="S1899" s="76"/>
    </row>
    <row r="1900" spans="1:19" x14ac:dyDescent="0.3">
      <c r="A1900" s="76" t="s">
        <v>2765</v>
      </c>
      <c r="B1900" s="76" t="s">
        <v>2766</v>
      </c>
      <c r="C1900" s="76" t="s">
        <v>1263</v>
      </c>
      <c r="D1900" s="76" t="s">
        <v>39</v>
      </c>
      <c r="E1900" s="76" t="s">
        <v>22</v>
      </c>
      <c r="F1900" s="77">
        <v>45657</v>
      </c>
      <c r="G1900" s="76">
        <v>2024</v>
      </c>
      <c r="H1900" s="76" t="s">
        <v>27</v>
      </c>
      <c r="I1900" s="76" t="s">
        <v>36</v>
      </c>
      <c r="J1900" s="76">
        <v>100</v>
      </c>
      <c r="K1900" s="76">
        <v>99</v>
      </c>
      <c r="L1900" s="78">
        <f t="shared" si="206"/>
        <v>0.99</v>
      </c>
      <c r="M1900" s="78">
        <f t="shared" si="207"/>
        <v>0.99</v>
      </c>
      <c r="N1900" s="76" t="s">
        <v>25</v>
      </c>
      <c r="O1900" s="76" t="s">
        <v>25</v>
      </c>
      <c r="P1900" s="76">
        <v>0</v>
      </c>
      <c r="Q1900" s="76">
        <v>0</v>
      </c>
      <c r="R1900" s="76" t="s">
        <v>2771</v>
      </c>
      <c r="S1900" s="76"/>
    </row>
    <row r="1901" spans="1:19" x14ac:dyDescent="0.3">
      <c r="A1901" s="76" t="s">
        <v>2772</v>
      </c>
      <c r="B1901" s="76" t="s">
        <v>2773</v>
      </c>
      <c r="C1901" s="76" t="s">
        <v>1263</v>
      </c>
      <c r="D1901" s="76" t="s">
        <v>39</v>
      </c>
      <c r="E1901" s="76" t="s">
        <v>22</v>
      </c>
      <c r="F1901" s="77">
        <v>45107</v>
      </c>
      <c r="G1901" s="76">
        <v>2023</v>
      </c>
      <c r="H1901" s="76" t="s">
        <v>23</v>
      </c>
      <c r="I1901" s="76" t="s">
        <v>30</v>
      </c>
      <c r="J1901" s="76">
        <v>61</v>
      </c>
      <c r="K1901" s="76">
        <v>62</v>
      </c>
      <c r="L1901" s="78">
        <f t="shared" ref="L1901:L1917" si="208">IFERROR(IF(OR(J1901=0,K1901=""),"",IF(E1901="Positivo",MIN(MAX(K1901/J1901,0),1.3),MIN(MAX(J1901/K1901,0),1.3))),"")</f>
        <v>1.0163934426229508</v>
      </c>
      <c r="M1901" s="78">
        <f t="shared" ref="M1901:M1917" si="209">IFERROR(IF(OR(J1901=0,K1901=""),"",IF(E1901="Positivo",MAX(K1901/J1901,0),MAX(J1901/K1901,0))),"")</f>
        <v>1.0163934426229508</v>
      </c>
      <c r="N1901" s="76" t="s">
        <v>25</v>
      </c>
      <c r="O1901" s="76" t="s">
        <v>25</v>
      </c>
      <c r="P1901" s="76">
        <v>0</v>
      </c>
      <c r="Q1901" s="76">
        <v>0</v>
      </c>
      <c r="R1901" s="76" t="s">
        <v>2774</v>
      </c>
      <c r="S1901" s="76"/>
    </row>
    <row r="1902" spans="1:19" x14ac:dyDescent="0.3">
      <c r="A1902" s="76" t="s">
        <v>2772</v>
      </c>
      <c r="B1902" s="76" t="s">
        <v>2773</v>
      </c>
      <c r="C1902" s="76" t="s">
        <v>1263</v>
      </c>
      <c r="D1902" s="76" t="s">
        <v>39</v>
      </c>
      <c r="E1902" s="76" t="s">
        <v>22</v>
      </c>
      <c r="F1902" s="77">
        <v>45199</v>
      </c>
      <c r="G1902" s="76">
        <v>2023</v>
      </c>
      <c r="H1902" s="76" t="s">
        <v>43</v>
      </c>
      <c r="I1902" s="76" t="s">
        <v>32</v>
      </c>
      <c r="J1902" s="76">
        <v>93</v>
      </c>
      <c r="K1902" s="76">
        <v>85</v>
      </c>
      <c r="L1902" s="78">
        <f t="shared" si="208"/>
        <v>0.91397849462365588</v>
      </c>
      <c r="M1902" s="78">
        <f t="shared" si="209"/>
        <v>0.91397849462365588</v>
      </c>
      <c r="N1902" s="76" t="s">
        <v>25</v>
      </c>
      <c r="O1902" s="76" t="s">
        <v>25</v>
      </c>
      <c r="P1902" s="76">
        <v>0</v>
      </c>
      <c r="Q1902" s="76">
        <v>0</v>
      </c>
      <c r="R1902" s="76" t="s">
        <v>2775</v>
      </c>
      <c r="S1902" s="76"/>
    </row>
    <row r="1903" spans="1:19" x14ac:dyDescent="0.3">
      <c r="A1903" s="76" t="s">
        <v>2772</v>
      </c>
      <c r="B1903" s="76" t="s">
        <v>2773</v>
      </c>
      <c r="C1903" s="76" t="s">
        <v>1263</v>
      </c>
      <c r="D1903" s="76" t="s">
        <v>39</v>
      </c>
      <c r="E1903" s="76" t="s">
        <v>22</v>
      </c>
      <c r="F1903" s="77">
        <v>45291</v>
      </c>
      <c r="G1903" s="76">
        <v>2023</v>
      </c>
      <c r="H1903" s="76" t="s">
        <v>27</v>
      </c>
      <c r="I1903" s="76" t="s">
        <v>32</v>
      </c>
      <c r="J1903" s="76">
        <v>100</v>
      </c>
      <c r="K1903" s="76">
        <v>96</v>
      </c>
      <c r="L1903" s="78">
        <f t="shared" si="208"/>
        <v>0.96</v>
      </c>
      <c r="M1903" s="78">
        <f t="shared" si="209"/>
        <v>0.96</v>
      </c>
      <c r="N1903" s="76" t="s">
        <v>25</v>
      </c>
      <c r="O1903" s="76" t="s">
        <v>25</v>
      </c>
      <c r="P1903" s="76">
        <v>0</v>
      </c>
      <c r="Q1903" s="76">
        <v>0</v>
      </c>
      <c r="R1903" s="76" t="s">
        <v>2776</v>
      </c>
      <c r="S1903" s="76"/>
    </row>
    <row r="1904" spans="1:19" x14ac:dyDescent="0.3">
      <c r="A1904" s="76" t="s">
        <v>2772</v>
      </c>
      <c r="B1904" s="76" t="s">
        <v>2773</v>
      </c>
      <c r="C1904" s="76" t="s">
        <v>1263</v>
      </c>
      <c r="D1904" s="76" t="s">
        <v>39</v>
      </c>
      <c r="E1904" s="76" t="s">
        <v>22</v>
      </c>
      <c r="F1904" s="77">
        <v>45565</v>
      </c>
      <c r="G1904" s="76">
        <v>2024</v>
      </c>
      <c r="H1904" s="76" t="s">
        <v>43</v>
      </c>
      <c r="I1904" s="76" t="s">
        <v>36</v>
      </c>
      <c r="J1904" s="76">
        <v>85</v>
      </c>
      <c r="K1904" s="76">
        <v>84</v>
      </c>
      <c r="L1904" s="78">
        <f t="shared" si="208"/>
        <v>0.9882352941176471</v>
      </c>
      <c r="M1904" s="78">
        <f t="shared" si="209"/>
        <v>0.9882352941176471</v>
      </c>
      <c r="N1904" s="76" t="s">
        <v>25</v>
      </c>
      <c r="O1904" s="76" t="s">
        <v>25</v>
      </c>
      <c r="P1904" s="76">
        <v>0</v>
      </c>
      <c r="Q1904" s="76">
        <v>0</v>
      </c>
      <c r="R1904" s="76" t="s">
        <v>2777</v>
      </c>
      <c r="S1904" s="76"/>
    </row>
    <row r="1905" spans="1:19" x14ac:dyDescent="0.3">
      <c r="A1905" s="76" t="s">
        <v>2772</v>
      </c>
      <c r="B1905" s="76" t="s">
        <v>2773</v>
      </c>
      <c r="C1905" s="76" t="s">
        <v>1263</v>
      </c>
      <c r="D1905" s="76" t="s">
        <v>39</v>
      </c>
      <c r="E1905" s="76" t="s">
        <v>22</v>
      </c>
      <c r="F1905" s="77">
        <v>45657</v>
      </c>
      <c r="G1905" s="76">
        <v>2024</v>
      </c>
      <c r="H1905" s="76" t="s">
        <v>27</v>
      </c>
      <c r="I1905" s="76" t="s">
        <v>36</v>
      </c>
      <c r="J1905" s="76">
        <v>100</v>
      </c>
      <c r="K1905" s="76">
        <v>99</v>
      </c>
      <c r="L1905" s="78">
        <f t="shared" si="208"/>
        <v>0.99</v>
      </c>
      <c r="M1905" s="78">
        <f t="shared" si="209"/>
        <v>0.99</v>
      </c>
      <c r="N1905" s="76" t="s">
        <v>25</v>
      </c>
      <c r="O1905" s="76" t="s">
        <v>25</v>
      </c>
      <c r="P1905" s="76">
        <v>0</v>
      </c>
      <c r="Q1905" s="76">
        <v>0</v>
      </c>
      <c r="R1905" s="76" t="s">
        <v>2778</v>
      </c>
      <c r="S1905" s="76"/>
    </row>
    <row r="1906" spans="1:19" x14ac:dyDescent="0.3">
      <c r="A1906" s="76" t="s">
        <v>2779</v>
      </c>
      <c r="B1906" s="76" t="s">
        <v>2780</v>
      </c>
      <c r="C1906" s="76" t="s">
        <v>1263</v>
      </c>
      <c r="D1906" s="76" t="s">
        <v>39</v>
      </c>
      <c r="E1906" s="76" t="s">
        <v>22</v>
      </c>
      <c r="F1906" s="77">
        <v>45107</v>
      </c>
      <c r="G1906" s="76">
        <v>2023</v>
      </c>
      <c r="H1906" s="76" t="s">
        <v>23</v>
      </c>
      <c r="I1906" s="76" t="s">
        <v>30</v>
      </c>
      <c r="J1906" s="76">
        <v>62</v>
      </c>
      <c r="K1906" s="76">
        <v>71</v>
      </c>
      <c r="L1906" s="78">
        <f t="shared" si="208"/>
        <v>1.1451612903225807</v>
      </c>
      <c r="M1906" s="78">
        <f t="shared" si="209"/>
        <v>1.1451612903225807</v>
      </c>
      <c r="N1906" s="76" t="s">
        <v>25</v>
      </c>
      <c r="O1906" s="76" t="s">
        <v>25</v>
      </c>
      <c r="P1906" s="76">
        <v>0</v>
      </c>
      <c r="Q1906" s="76">
        <v>0</v>
      </c>
      <c r="R1906" s="76" t="s">
        <v>2781</v>
      </c>
      <c r="S1906" s="76"/>
    </row>
    <row r="1907" spans="1:19" x14ac:dyDescent="0.3">
      <c r="A1907" s="76" t="s">
        <v>2779</v>
      </c>
      <c r="B1907" s="76" t="s">
        <v>2780</v>
      </c>
      <c r="C1907" s="76" t="s">
        <v>1263</v>
      </c>
      <c r="D1907" s="76" t="s">
        <v>39</v>
      </c>
      <c r="E1907" s="76" t="s">
        <v>22</v>
      </c>
      <c r="F1907" s="77">
        <v>45199</v>
      </c>
      <c r="G1907" s="76">
        <v>2023</v>
      </c>
      <c r="H1907" s="76" t="s">
        <v>43</v>
      </c>
      <c r="I1907" s="76" t="s">
        <v>32</v>
      </c>
      <c r="J1907" s="76">
        <v>94</v>
      </c>
      <c r="K1907" s="76">
        <v>92</v>
      </c>
      <c r="L1907" s="78">
        <f t="shared" si="208"/>
        <v>0.97872340425531912</v>
      </c>
      <c r="M1907" s="78">
        <f t="shared" si="209"/>
        <v>0.97872340425531912</v>
      </c>
      <c r="N1907" s="76" t="s">
        <v>25</v>
      </c>
      <c r="O1907" s="76" t="s">
        <v>25</v>
      </c>
      <c r="P1907" s="76">
        <v>0</v>
      </c>
      <c r="Q1907" s="76">
        <v>0</v>
      </c>
      <c r="R1907" s="76" t="s">
        <v>2782</v>
      </c>
      <c r="S1907" s="76"/>
    </row>
    <row r="1908" spans="1:19" x14ac:dyDescent="0.3">
      <c r="A1908" s="76" t="s">
        <v>2779</v>
      </c>
      <c r="B1908" s="76" t="s">
        <v>2780</v>
      </c>
      <c r="C1908" s="76" t="s">
        <v>1263</v>
      </c>
      <c r="D1908" s="76" t="s">
        <v>39</v>
      </c>
      <c r="E1908" s="76" t="s">
        <v>22</v>
      </c>
      <c r="F1908" s="77">
        <v>45291</v>
      </c>
      <c r="G1908" s="76">
        <v>2023</v>
      </c>
      <c r="H1908" s="76" t="s">
        <v>27</v>
      </c>
      <c r="I1908" s="76" t="s">
        <v>32</v>
      </c>
      <c r="J1908" s="76">
        <v>100</v>
      </c>
      <c r="K1908" s="76">
        <v>99</v>
      </c>
      <c r="L1908" s="78">
        <f t="shared" si="208"/>
        <v>0.99</v>
      </c>
      <c r="M1908" s="78">
        <f t="shared" si="209"/>
        <v>0.99</v>
      </c>
      <c r="N1908" s="76" t="s">
        <v>25</v>
      </c>
      <c r="O1908" s="76" t="s">
        <v>25</v>
      </c>
      <c r="P1908" s="76">
        <v>0</v>
      </c>
      <c r="Q1908" s="76">
        <v>0</v>
      </c>
      <c r="R1908" s="76" t="s">
        <v>2783</v>
      </c>
      <c r="S1908" s="76"/>
    </row>
    <row r="1909" spans="1:19" x14ac:dyDescent="0.3">
      <c r="A1909" s="76" t="s">
        <v>2779</v>
      </c>
      <c r="B1909" s="76" t="s">
        <v>2780</v>
      </c>
      <c r="C1909" s="76" t="s">
        <v>1263</v>
      </c>
      <c r="D1909" s="76" t="s">
        <v>39</v>
      </c>
      <c r="E1909" s="76" t="s">
        <v>22</v>
      </c>
      <c r="F1909" s="77">
        <v>45382</v>
      </c>
      <c r="G1909" s="76">
        <v>2024</v>
      </c>
      <c r="H1909" s="76" t="s">
        <v>40</v>
      </c>
      <c r="I1909" s="76" t="s">
        <v>34</v>
      </c>
      <c r="J1909" s="76">
        <v>56</v>
      </c>
      <c r="K1909" s="76">
        <v>43</v>
      </c>
      <c r="L1909" s="78">
        <f t="shared" si="208"/>
        <v>0.7678571428571429</v>
      </c>
      <c r="M1909" s="78">
        <f t="shared" si="209"/>
        <v>0.7678571428571429</v>
      </c>
      <c r="N1909" s="76" t="s">
        <v>25</v>
      </c>
      <c r="O1909" s="76" t="s">
        <v>25</v>
      </c>
      <c r="P1909" s="76">
        <v>0</v>
      </c>
      <c r="Q1909" s="76">
        <v>0</v>
      </c>
      <c r="R1909" s="76" t="s">
        <v>2784</v>
      </c>
      <c r="S1909" s="76"/>
    </row>
    <row r="1910" spans="1:19" x14ac:dyDescent="0.3">
      <c r="A1910" s="76" t="s">
        <v>2779</v>
      </c>
      <c r="B1910" s="76" t="s">
        <v>2780</v>
      </c>
      <c r="C1910" s="76" t="s">
        <v>1263</v>
      </c>
      <c r="D1910" s="76" t="s">
        <v>39</v>
      </c>
      <c r="E1910" s="76" t="s">
        <v>22</v>
      </c>
      <c r="F1910" s="77">
        <v>45473</v>
      </c>
      <c r="G1910" s="76">
        <v>2024</v>
      </c>
      <c r="H1910" s="76" t="s">
        <v>23</v>
      </c>
      <c r="I1910" s="76" t="s">
        <v>34</v>
      </c>
      <c r="J1910" s="76">
        <v>62</v>
      </c>
      <c r="K1910" s="76">
        <v>63</v>
      </c>
      <c r="L1910" s="78">
        <f t="shared" si="208"/>
        <v>1.0161290322580645</v>
      </c>
      <c r="M1910" s="78">
        <f t="shared" si="209"/>
        <v>1.0161290322580645</v>
      </c>
      <c r="N1910" s="76" t="s">
        <v>25</v>
      </c>
      <c r="O1910" s="76" t="s">
        <v>25</v>
      </c>
      <c r="P1910" s="76">
        <v>0</v>
      </c>
      <c r="Q1910" s="76">
        <v>0</v>
      </c>
      <c r="R1910" s="76" t="s">
        <v>2785</v>
      </c>
      <c r="S1910" s="76"/>
    </row>
    <row r="1911" spans="1:19" x14ac:dyDescent="0.3">
      <c r="A1911" s="76" t="s">
        <v>2779</v>
      </c>
      <c r="B1911" s="76" t="s">
        <v>2780</v>
      </c>
      <c r="C1911" s="76" t="s">
        <v>1263</v>
      </c>
      <c r="D1911" s="76" t="s">
        <v>39</v>
      </c>
      <c r="E1911" s="76" t="s">
        <v>22</v>
      </c>
      <c r="F1911" s="77">
        <v>45565</v>
      </c>
      <c r="G1911" s="76">
        <v>2024</v>
      </c>
      <c r="H1911" s="76" t="s">
        <v>43</v>
      </c>
      <c r="I1911" s="76" t="s">
        <v>36</v>
      </c>
      <c r="J1911" s="76">
        <v>84</v>
      </c>
      <c r="K1911" s="76">
        <v>84</v>
      </c>
      <c r="L1911" s="78">
        <f t="shared" si="208"/>
        <v>1</v>
      </c>
      <c r="M1911" s="78">
        <f t="shared" si="209"/>
        <v>1</v>
      </c>
      <c r="N1911" s="76" t="s">
        <v>25</v>
      </c>
      <c r="O1911" s="76" t="s">
        <v>25</v>
      </c>
      <c r="P1911" s="76">
        <v>0</v>
      </c>
      <c r="Q1911" s="76">
        <v>0</v>
      </c>
      <c r="R1911" s="76" t="s">
        <v>2786</v>
      </c>
      <c r="S1911" s="76"/>
    </row>
    <row r="1912" spans="1:19" x14ac:dyDescent="0.3">
      <c r="A1912" s="76" t="s">
        <v>2779</v>
      </c>
      <c r="B1912" s="76" t="s">
        <v>2780</v>
      </c>
      <c r="C1912" s="76" t="s">
        <v>1263</v>
      </c>
      <c r="D1912" s="76" t="s">
        <v>39</v>
      </c>
      <c r="E1912" s="76" t="s">
        <v>22</v>
      </c>
      <c r="F1912" s="77">
        <v>45657</v>
      </c>
      <c r="G1912" s="76">
        <v>2024</v>
      </c>
      <c r="H1912" s="76" t="s">
        <v>27</v>
      </c>
      <c r="I1912" s="76" t="s">
        <v>36</v>
      </c>
      <c r="J1912" s="76">
        <v>100</v>
      </c>
      <c r="K1912" s="76">
        <v>97</v>
      </c>
      <c r="L1912" s="78">
        <f t="shared" si="208"/>
        <v>0.97</v>
      </c>
      <c r="M1912" s="78">
        <f t="shared" si="209"/>
        <v>0.97</v>
      </c>
      <c r="N1912" s="76" t="s">
        <v>25</v>
      </c>
      <c r="O1912" s="76" t="s">
        <v>25</v>
      </c>
      <c r="P1912" s="76">
        <v>0</v>
      </c>
      <c r="Q1912" s="76">
        <v>0</v>
      </c>
      <c r="R1912" s="76" t="s">
        <v>2787</v>
      </c>
      <c r="S1912" s="76"/>
    </row>
    <row r="1913" spans="1:19" x14ac:dyDescent="0.3">
      <c r="A1913" s="76" t="s">
        <v>2788</v>
      </c>
      <c r="B1913" s="76" t="s">
        <v>2789</v>
      </c>
      <c r="C1913" s="76" t="s">
        <v>1263</v>
      </c>
      <c r="D1913" s="76" t="s">
        <v>39</v>
      </c>
      <c r="E1913" s="76" t="s">
        <v>22</v>
      </c>
      <c r="F1913" s="77">
        <v>45107</v>
      </c>
      <c r="G1913" s="76">
        <v>2023</v>
      </c>
      <c r="H1913" s="76" t="s">
        <v>23</v>
      </c>
      <c r="I1913" s="76" t="s">
        <v>30</v>
      </c>
      <c r="J1913" s="76">
        <v>59</v>
      </c>
      <c r="K1913" s="76">
        <v>67</v>
      </c>
      <c r="L1913" s="78">
        <f t="shared" si="208"/>
        <v>1.1355932203389831</v>
      </c>
      <c r="M1913" s="78">
        <f t="shared" si="209"/>
        <v>1.1355932203389831</v>
      </c>
      <c r="N1913" s="76" t="s">
        <v>25</v>
      </c>
      <c r="O1913" s="76" t="s">
        <v>25</v>
      </c>
      <c r="P1913" s="76">
        <v>0</v>
      </c>
      <c r="Q1913" s="76">
        <v>0</v>
      </c>
      <c r="R1913" s="76" t="s">
        <v>2790</v>
      </c>
      <c r="S1913" s="76"/>
    </row>
    <row r="1914" spans="1:19" x14ac:dyDescent="0.3">
      <c r="A1914" s="76" t="s">
        <v>2788</v>
      </c>
      <c r="B1914" s="76" t="s">
        <v>2789</v>
      </c>
      <c r="C1914" s="76" t="s">
        <v>1263</v>
      </c>
      <c r="D1914" s="76" t="s">
        <v>39</v>
      </c>
      <c r="E1914" s="76" t="s">
        <v>22</v>
      </c>
      <c r="F1914" s="77">
        <v>45199</v>
      </c>
      <c r="G1914" s="76">
        <v>2023</v>
      </c>
      <c r="H1914" s="76" t="s">
        <v>43</v>
      </c>
      <c r="I1914" s="76" t="s">
        <v>32</v>
      </c>
      <c r="J1914" s="76">
        <v>94</v>
      </c>
      <c r="K1914" s="76">
        <v>86</v>
      </c>
      <c r="L1914" s="78">
        <f t="shared" si="208"/>
        <v>0.91489361702127658</v>
      </c>
      <c r="M1914" s="78">
        <f t="shared" si="209"/>
        <v>0.91489361702127658</v>
      </c>
      <c r="N1914" s="76" t="s">
        <v>25</v>
      </c>
      <c r="O1914" s="76" t="s">
        <v>25</v>
      </c>
      <c r="P1914" s="76">
        <v>0</v>
      </c>
      <c r="Q1914" s="76">
        <v>0</v>
      </c>
      <c r="R1914" s="76" t="s">
        <v>2791</v>
      </c>
      <c r="S1914" s="76"/>
    </row>
    <row r="1915" spans="1:19" x14ac:dyDescent="0.3">
      <c r="A1915" s="76" t="s">
        <v>2788</v>
      </c>
      <c r="B1915" s="76" t="s">
        <v>2789</v>
      </c>
      <c r="C1915" s="76" t="s">
        <v>1263</v>
      </c>
      <c r="D1915" s="76" t="s">
        <v>39</v>
      </c>
      <c r="E1915" s="76" t="s">
        <v>22</v>
      </c>
      <c r="F1915" s="77">
        <v>45291</v>
      </c>
      <c r="G1915" s="76">
        <v>2023</v>
      </c>
      <c r="H1915" s="76" t="s">
        <v>27</v>
      </c>
      <c r="I1915" s="76" t="s">
        <v>32</v>
      </c>
      <c r="J1915" s="76">
        <v>100</v>
      </c>
      <c r="K1915" s="76">
        <v>97</v>
      </c>
      <c r="L1915" s="78">
        <f t="shared" si="208"/>
        <v>0.97</v>
      </c>
      <c r="M1915" s="78">
        <f t="shared" si="209"/>
        <v>0.97</v>
      </c>
      <c r="N1915" s="76" t="s">
        <v>25</v>
      </c>
      <c r="O1915" s="76" t="s">
        <v>25</v>
      </c>
      <c r="P1915" s="76">
        <v>0</v>
      </c>
      <c r="Q1915" s="76">
        <v>0</v>
      </c>
      <c r="R1915" s="76" t="s">
        <v>2792</v>
      </c>
      <c r="S1915" s="76"/>
    </row>
    <row r="1916" spans="1:19" x14ac:dyDescent="0.3">
      <c r="A1916" s="76" t="s">
        <v>2788</v>
      </c>
      <c r="B1916" s="76" t="s">
        <v>2789</v>
      </c>
      <c r="C1916" s="76" t="s">
        <v>1263</v>
      </c>
      <c r="D1916" s="76" t="s">
        <v>39</v>
      </c>
      <c r="E1916" s="76" t="s">
        <v>22</v>
      </c>
      <c r="F1916" s="77">
        <v>45565</v>
      </c>
      <c r="G1916" s="76">
        <v>2024</v>
      </c>
      <c r="H1916" s="76" t="s">
        <v>43</v>
      </c>
      <c r="I1916" s="76" t="s">
        <v>36</v>
      </c>
      <c r="J1916" s="76">
        <v>85</v>
      </c>
      <c r="K1916" s="76">
        <v>82</v>
      </c>
      <c r="L1916" s="78">
        <f t="shared" si="208"/>
        <v>0.96470588235294119</v>
      </c>
      <c r="M1916" s="78">
        <f t="shared" si="209"/>
        <v>0.96470588235294119</v>
      </c>
      <c r="N1916" s="76" t="s">
        <v>25</v>
      </c>
      <c r="O1916" s="76" t="s">
        <v>25</v>
      </c>
      <c r="P1916" s="76">
        <v>0</v>
      </c>
      <c r="Q1916" s="76">
        <v>0</v>
      </c>
      <c r="R1916" s="76" t="s">
        <v>2793</v>
      </c>
      <c r="S1916" s="76"/>
    </row>
    <row r="1917" spans="1:19" x14ac:dyDescent="0.3">
      <c r="A1917" s="76" t="s">
        <v>2788</v>
      </c>
      <c r="B1917" s="76" t="s">
        <v>2789</v>
      </c>
      <c r="C1917" s="76" t="s">
        <v>1263</v>
      </c>
      <c r="D1917" s="76" t="s">
        <v>39</v>
      </c>
      <c r="E1917" s="76" t="s">
        <v>22</v>
      </c>
      <c r="F1917" s="77">
        <v>45657</v>
      </c>
      <c r="G1917" s="76">
        <v>2024</v>
      </c>
      <c r="H1917" s="76" t="s">
        <v>27</v>
      </c>
      <c r="I1917" s="76" t="s">
        <v>36</v>
      </c>
      <c r="J1917" s="76">
        <v>100</v>
      </c>
      <c r="K1917" s="76">
        <v>99</v>
      </c>
      <c r="L1917" s="78">
        <f t="shared" si="208"/>
        <v>0.99</v>
      </c>
      <c r="M1917" s="78">
        <f t="shared" si="209"/>
        <v>0.99</v>
      </c>
      <c r="N1917" s="76" t="s">
        <v>25</v>
      </c>
      <c r="O1917" s="76" t="s">
        <v>25</v>
      </c>
      <c r="P1917" s="76">
        <v>0</v>
      </c>
      <c r="Q1917" s="76">
        <v>0</v>
      </c>
      <c r="R1917" s="76" t="s">
        <v>2794</v>
      </c>
      <c r="S1917" s="76"/>
    </row>
    <row r="1918" spans="1:19" x14ac:dyDescent="0.3">
      <c r="A1918" s="76" t="s">
        <v>2795</v>
      </c>
      <c r="B1918" s="76" t="s">
        <v>2796</v>
      </c>
      <c r="C1918" s="76" t="s">
        <v>1263</v>
      </c>
      <c r="D1918" s="76" t="s">
        <v>39</v>
      </c>
      <c r="E1918" s="76" t="s">
        <v>22</v>
      </c>
      <c r="F1918" s="77">
        <v>45107</v>
      </c>
      <c r="G1918" s="76">
        <v>2023</v>
      </c>
      <c r="H1918" s="76" t="s">
        <v>23</v>
      </c>
      <c r="I1918" s="76" t="s">
        <v>30</v>
      </c>
      <c r="J1918" s="76">
        <v>62.74</v>
      </c>
      <c r="K1918" s="76">
        <v>66</v>
      </c>
      <c r="L1918" s="78">
        <f t="shared" ref="L1918:L1951" si="210">IFERROR(IF(OR(J1918=0,K1918=""),"",IF(E1918="Positivo",MIN(MAX(K1918/J1918,0),1),MIN(MAX(J1918/K1918,0),1))),"")</f>
        <v>1</v>
      </c>
      <c r="M1918" s="78">
        <f t="shared" ref="M1918:M1951" si="211">IFERROR(IF(OR(J1918=0,K1918=""),"",IF(E1918="Positivo",MIN(MAX(K1918/J1918,0),1),MIN(MAX(J1918/K1918,0),1))),"")</f>
        <v>1</v>
      </c>
      <c r="N1918" s="76" t="s">
        <v>25</v>
      </c>
      <c r="O1918" s="76" t="s">
        <v>25</v>
      </c>
      <c r="P1918" s="76">
        <v>0</v>
      </c>
      <c r="Q1918" s="76">
        <v>0</v>
      </c>
      <c r="R1918" s="76" t="s">
        <v>2797</v>
      </c>
      <c r="S1918" s="76"/>
    </row>
    <row r="1919" spans="1:19" x14ac:dyDescent="0.3">
      <c r="A1919" s="76" t="s">
        <v>2795</v>
      </c>
      <c r="B1919" s="76" t="s">
        <v>2796</v>
      </c>
      <c r="C1919" s="76" t="s">
        <v>1263</v>
      </c>
      <c r="D1919" s="76" t="s">
        <v>39</v>
      </c>
      <c r="E1919" s="76" t="s">
        <v>22</v>
      </c>
      <c r="F1919" s="77">
        <v>45199</v>
      </c>
      <c r="G1919" s="76">
        <v>2023</v>
      </c>
      <c r="H1919" s="76" t="s">
        <v>43</v>
      </c>
      <c r="I1919" s="76" t="s">
        <v>32</v>
      </c>
      <c r="J1919" s="76">
        <v>99.68</v>
      </c>
      <c r="K1919" s="76">
        <v>91.7</v>
      </c>
      <c r="L1919" s="78">
        <f t="shared" si="210"/>
        <v>0.9199438202247191</v>
      </c>
      <c r="M1919" s="78">
        <f t="shared" si="211"/>
        <v>0.9199438202247191</v>
      </c>
      <c r="N1919" s="76" t="s">
        <v>25</v>
      </c>
      <c r="O1919" s="76" t="s">
        <v>25</v>
      </c>
      <c r="P1919" s="76">
        <v>0</v>
      </c>
      <c r="Q1919" s="76">
        <v>0</v>
      </c>
      <c r="R1919" s="76" t="s">
        <v>2798</v>
      </c>
      <c r="S1919" s="76"/>
    </row>
    <row r="1920" spans="1:19" x14ac:dyDescent="0.3">
      <c r="A1920" s="76" t="s">
        <v>2795</v>
      </c>
      <c r="B1920" s="76" t="s">
        <v>2796</v>
      </c>
      <c r="C1920" s="76" t="s">
        <v>1263</v>
      </c>
      <c r="D1920" s="76" t="s">
        <v>39</v>
      </c>
      <c r="E1920" s="76" t="s">
        <v>22</v>
      </c>
      <c r="F1920" s="77">
        <v>45291</v>
      </c>
      <c r="G1920" s="76">
        <v>2023</v>
      </c>
      <c r="H1920" s="76" t="s">
        <v>27</v>
      </c>
      <c r="I1920" s="76" t="s">
        <v>32</v>
      </c>
      <c r="J1920" s="76">
        <v>100</v>
      </c>
      <c r="K1920" s="76">
        <v>100</v>
      </c>
      <c r="L1920" s="78">
        <f t="shared" si="210"/>
        <v>1</v>
      </c>
      <c r="M1920" s="78">
        <f t="shared" si="211"/>
        <v>1</v>
      </c>
      <c r="N1920" s="76" t="s">
        <v>25</v>
      </c>
      <c r="O1920" s="76" t="s">
        <v>25</v>
      </c>
      <c r="P1920" s="76">
        <v>0</v>
      </c>
      <c r="Q1920" s="76">
        <v>0</v>
      </c>
      <c r="R1920" s="76" t="s">
        <v>2799</v>
      </c>
      <c r="S1920" s="76"/>
    </row>
    <row r="1921" spans="1:19" x14ac:dyDescent="0.3">
      <c r="A1921" s="36" t="s">
        <v>2795</v>
      </c>
      <c r="B1921" s="12" t="s">
        <v>2800</v>
      </c>
      <c r="C1921" s="37" t="s">
        <v>2801</v>
      </c>
      <c r="D1921" s="37" t="s">
        <v>39</v>
      </c>
      <c r="E1921" s="37" t="s">
        <v>22</v>
      </c>
      <c r="F1921" s="42">
        <v>45473</v>
      </c>
      <c r="G1921" s="37">
        <v>2024</v>
      </c>
      <c r="H1921" s="37" t="s">
        <v>23</v>
      </c>
      <c r="I1921" s="39" t="s">
        <v>34</v>
      </c>
      <c r="J1921" s="69">
        <v>52.4</v>
      </c>
      <c r="K1921" s="69">
        <v>52.57</v>
      </c>
      <c r="L1921" s="65">
        <f t="shared" si="210"/>
        <v>1</v>
      </c>
      <c r="M1921" s="65">
        <f t="shared" si="211"/>
        <v>1</v>
      </c>
      <c r="N1921" s="37" t="s">
        <v>25</v>
      </c>
      <c r="O1921" s="37" t="s">
        <v>25</v>
      </c>
      <c r="P1921" s="37">
        <v>0</v>
      </c>
      <c r="Q1921" s="37">
        <v>0</v>
      </c>
      <c r="R1921" s="37" t="s">
        <v>2802</v>
      </c>
      <c r="S1921" s="37"/>
    </row>
    <row r="1922" spans="1:19" x14ac:dyDescent="0.3">
      <c r="A1922" s="76" t="s">
        <v>2795</v>
      </c>
      <c r="B1922" s="76" t="s">
        <v>2796</v>
      </c>
      <c r="C1922" s="76" t="s">
        <v>1263</v>
      </c>
      <c r="D1922" s="76" t="s">
        <v>39</v>
      </c>
      <c r="E1922" s="76" t="s">
        <v>22</v>
      </c>
      <c r="F1922" s="77">
        <v>45565</v>
      </c>
      <c r="G1922" s="76">
        <v>2024</v>
      </c>
      <c r="H1922" s="76" t="s">
        <v>43</v>
      </c>
      <c r="I1922" s="76" t="s">
        <v>36</v>
      </c>
      <c r="J1922" s="76">
        <v>99.26</v>
      </c>
      <c r="K1922" s="76">
        <v>81.89</v>
      </c>
      <c r="L1922" s="78">
        <f t="shared" si="210"/>
        <v>0.82500503727584118</v>
      </c>
      <c r="M1922" s="78">
        <f t="shared" si="211"/>
        <v>0.82500503727584118</v>
      </c>
      <c r="N1922" s="76" t="s">
        <v>25</v>
      </c>
      <c r="O1922" s="76" t="s">
        <v>25</v>
      </c>
      <c r="P1922" s="76">
        <v>0</v>
      </c>
      <c r="Q1922" s="76">
        <v>0</v>
      </c>
      <c r="R1922" s="76" t="s">
        <v>2803</v>
      </c>
      <c r="S1922" s="76"/>
    </row>
    <row r="1923" spans="1:19" x14ac:dyDescent="0.3">
      <c r="A1923" s="76" t="s">
        <v>2795</v>
      </c>
      <c r="B1923" s="76" t="s">
        <v>2796</v>
      </c>
      <c r="C1923" s="76" t="s">
        <v>1263</v>
      </c>
      <c r="D1923" s="76" t="s">
        <v>39</v>
      </c>
      <c r="E1923" s="76" t="s">
        <v>22</v>
      </c>
      <c r="F1923" s="77">
        <v>45657</v>
      </c>
      <c r="G1923" s="76">
        <v>2024</v>
      </c>
      <c r="H1923" s="76" t="s">
        <v>27</v>
      </c>
      <c r="I1923" s="76" t="s">
        <v>36</v>
      </c>
      <c r="J1923" s="76">
        <v>100</v>
      </c>
      <c r="K1923" s="76">
        <v>100</v>
      </c>
      <c r="L1923" s="78">
        <f t="shared" si="210"/>
        <v>1</v>
      </c>
      <c r="M1923" s="78">
        <f t="shared" si="211"/>
        <v>1</v>
      </c>
      <c r="N1923" s="76" t="s">
        <v>25</v>
      </c>
      <c r="O1923" s="76" t="s">
        <v>25</v>
      </c>
      <c r="P1923" s="76">
        <v>0</v>
      </c>
      <c r="Q1923" s="76">
        <v>0</v>
      </c>
      <c r="R1923" s="76" t="s">
        <v>2804</v>
      </c>
      <c r="S1923" s="76"/>
    </row>
    <row r="1924" spans="1:19" x14ac:dyDescent="0.3">
      <c r="A1924" s="76" t="s">
        <v>2805</v>
      </c>
      <c r="B1924" s="76" t="s">
        <v>2806</v>
      </c>
      <c r="C1924" s="76" t="s">
        <v>1263</v>
      </c>
      <c r="D1924" s="76" t="s">
        <v>39</v>
      </c>
      <c r="E1924" s="76" t="s">
        <v>22</v>
      </c>
      <c r="F1924" s="77">
        <v>45107</v>
      </c>
      <c r="G1924" s="76">
        <v>2023</v>
      </c>
      <c r="H1924" s="76" t="s">
        <v>23</v>
      </c>
      <c r="I1924" s="76" t="s">
        <v>30</v>
      </c>
      <c r="J1924" s="76">
        <v>69.58</v>
      </c>
      <c r="K1924" s="76">
        <v>73.75</v>
      </c>
      <c r="L1924" s="78">
        <f t="shared" si="210"/>
        <v>1</v>
      </c>
      <c r="M1924" s="78">
        <f t="shared" si="211"/>
        <v>1</v>
      </c>
      <c r="N1924" s="76" t="s">
        <v>25</v>
      </c>
      <c r="O1924" s="76" t="s">
        <v>25</v>
      </c>
      <c r="P1924" s="76">
        <v>0</v>
      </c>
      <c r="Q1924" s="76">
        <v>0</v>
      </c>
      <c r="R1924" s="76" t="s">
        <v>2807</v>
      </c>
      <c r="S1924" s="76"/>
    </row>
    <row r="1925" spans="1:19" x14ac:dyDescent="0.3">
      <c r="A1925" s="76" t="s">
        <v>2805</v>
      </c>
      <c r="B1925" s="76" t="s">
        <v>2806</v>
      </c>
      <c r="C1925" s="76" t="s">
        <v>1263</v>
      </c>
      <c r="D1925" s="76" t="s">
        <v>39</v>
      </c>
      <c r="E1925" s="76" t="s">
        <v>22</v>
      </c>
      <c r="F1925" s="77">
        <v>45199</v>
      </c>
      <c r="G1925" s="76">
        <v>2023</v>
      </c>
      <c r="H1925" s="76" t="s">
        <v>43</v>
      </c>
      <c r="I1925" s="76" t="s">
        <v>32</v>
      </c>
      <c r="J1925" s="76">
        <v>94.81</v>
      </c>
      <c r="K1925" s="76">
        <v>92.5</v>
      </c>
      <c r="L1925" s="78">
        <f t="shared" si="210"/>
        <v>0.97563548148929435</v>
      </c>
      <c r="M1925" s="78">
        <f t="shared" si="211"/>
        <v>0.97563548148929435</v>
      </c>
      <c r="N1925" s="76" t="s">
        <v>25</v>
      </c>
      <c r="O1925" s="76" t="s">
        <v>25</v>
      </c>
      <c r="P1925" s="76">
        <v>0</v>
      </c>
      <c r="Q1925" s="76">
        <v>0</v>
      </c>
      <c r="R1925" s="76" t="s">
        <v>2808</v>
      </c>
      <c r="S1925" s="76"/>
    </row>
    <row r="1926" spans="1:19" x14ac:dyDescent="0.3">
      <c r="A1926" s="76" t="s">
        <v>2805</v>
      </c>
      <c r="B1926" s="76" t="s">
        <v>2806</v>
      </c>
      <c r="C1926" s="76" t="s">
        <v>1263</v>
      </c>
      <c r="D1926" s="76" t="s">
        <v>39</v>
      </c>
      <c r="E1926" s="76" t="s">
        <v>22</v>
      </c>
      <c r="F1926" s="77">
        <v>45291</v>
      </c>
      <c r="G1926" s="76">
        <v>2023</v>
      </c>
      <c r="H1926" s="76" t="s">
        <v>27</v>
      </c>
      <c r="I1926" s="76" t="s">
        <v>32</v>
      </c>
      <c r="J1926" s="76">
        <v>100</v>
      </c>
      <c r="K1926" s="76">
        <v>98.75</v>
      </c>
      <c r="L1926" s="78">
        <f t="shared" si="210"/>
        <v>0.98750000000000004</v>
      </c>
      <c r="M1926" s="78">
        <f t="shared" si="211"/>
        <v>0.98750000000000004</v>
      </c>
      <c r="N1926" s="76" t="s">
        <v>25</v>
      </c>
      <c r="O1926" s="76" t="s">
        <v>25</v>
      </c>
      <c r="P1926" s="76">
        <v>0</v>
      </c>
      <c r="Q1926" s="76">
        <v>0</v>
      </c>
      <c r="R1926" s="76" t="s">
        <v>2809</v>
      </c>
      <c r="S1926" s="76"/>
    </row>
    <row r="1927" spans="1:19" x14ac:dyDescent="0.3">
      <c r="A1927" s="36" t="s">
        <v>2805</v>
      </c>
      <c r="B1927" s="12" t="s">
        <v>2810</v>
      </c>
      <c r="C1927" s="37" t="s">
        <v>2801</v>
      </c>
      <c r="D1927" s="37" t="s">
        <v>39</v>
      </c>
      <c r="E1927" s="37" t="s">
        <v>22</v>
      </c>
      <c r="F1927" s="42">
        <v>45473</v>
      </c>
      <c r="G1927" s="37">
        <v>2024</v>
      </c>
      <c r="H1927" s="37" t="s">
        <v>23</v>
      </c>
      <c r="I1927" s="39" t="s">
        <v>34</v>
      </c>
      <c r="J1927" s="37">
        <v>38.159999999999997</v>
      </c>
      <c r="K1927" s="37">
        <v>44.36</v>
      </c>
      <c r="L1927" s="65">
        <f t="shared" si="210"/>
        <v>1</v>
      </c>
      <c r="M1927" s="65">
        <f t="shared" si="211"/>
        <v>1</v>
      </c>
      <c r="N1927" s="37" t="s">
        <v>25</v>
      </c>
      <c r="O1927" s="37" t="s">
        <v>25</v>
      </c>
      <c r="P1927" s="37">
        <v>0</v>
      </c>
      <c r="Q1927" s="37">
        <v>0</v>
      </c>
      <c r="R1927" s="37" t="s">
        <v>2811</v>
      </c>
      <c r="S1927" s="37"/>
    </row>
    <row r="1928" spans="1:19" x14ac:dyDescent="0.3">
      <c r="A1928" s="76" t="s">
        <v>2805</v>
      </c>
      <c r="B1928" s="76" t="s">
        <v>2806</v>
      </c>
      <c r="C1928" s="76" t="s">
        <v>1263</v>
      </c>
      <c r="D1928" s="76" t="s">
        <v>39</v>
      </c>
      <c r="E1928" s="76" t="s">
        <v>22</v>
      </c>
      <c r="F1928" s="77">
        <v>45565</v>
      </c>
      <c r="G1928" s="76">
        <v>2024</v>
      </c>
      <c r="H1928" s="76" t="s">
        <v>43</v>
      </c>
      <c r="I1928" s="76" t="s">
        <v>36</v>
      </c>
      <c r="J1928" s="76">
        <v>100</v>
      </c>
      <c r="K1928" s="76">
        <v>81</v>
      </c>
      <c r="L1928" s="78">
        <f t="shared" si="210"/>
        <v>0.81</v>
      </c>
      <c r="M1928" s="78">
        <f t="shared" si="211"/>
        <v>0.81</v>
      </c>
      <c r="N1928" s="76" t="s">
        <v>25</v>
      </c>
      <c r="O1928" s="76" t="s">
        <v>25</v>
      </c>
      <c r="P1928" s="76">
        <v>0</v>
      </c>
      <c r="Q1928" s="76">
        <v>0</v>
      </c>
      <c r="R1928" s="76" t="s">
        <v>2812</v>
      </c>
      <c r="S1928" s="76"/>
    </row>
    <row r="1929" spans="1:19" x14ac:dyDescent="0.3">
      <c r="A1929" s="76" t="s">
        <v>2805</v>
      </c>
      <c r="B1929" s="76" t="s">
        <v>2806</v>
      </c>
      <c r="C1929" s="76" t="s">
        <v>1263</v>
      </c>
      <c r="D1929" s="76" t="s">
        <v>39</v>
      </c>
      <c r="E1929" s="76" t="s">
        <v>22</v>
      </c>
      <c r="F1929" s="77">
        <v>45657</v>
      </c>
      <c r="G1929" s="76">
        <v>2024</v>
      </c>
      <c r="H1929" s="76" t="s">
        <v>27</v>
      </c>
      <c r="I1929" s="76" t="s">
        <v>36</v>
      </c>
      <c r="J1929" s="76">
        <v>100</v>
      </c>
      <c r="K1929" s="76">
        <v>100</v>
      </c>
      <c r="L1929" s="78">
        <f t="shared" si="210"/>
        <v>1</v>
      </c>
      <c r="M1929" s="78">
        <f t="shared" si="211"/>
        <v>1</v>
      </c>
      <c r="N1929" s="76" t="s">
        <v>25</v>
      </c>
      <c r="O1929" s="76" t="s">
        <v>25</v>
      </c>
      <c r="P1929" s="76">
        <v>0</v>
      </c>
      <c r="Q1929" s="76">
        <v>0</v>
      </c>
      <c r="R1929" s="76" t="s">
        <v>2813</v>
      </c>
      <c r="S1929" s="76"/>
    </row>
    <row r="1930" spans="1:19" x14ac:dyDescent="0.3">
      <c r="A1930" s="76" t="s">
        <v>2814</v>
      </c>
      <c r="B1930" s="76" t="s">
        <v>2815</v>
      </c>
      <c r="C1930" s="76" t="s">
        <v>1263</v>
      </c>
      <c r="D1930" s="76" t="s">
        <v>39</v>
      </c>
      <c r="E1930" s="76" t="s">
        <v>22</v>
      </c>
      <c r="F1930" s="77">
        <v>45107</v>
      </c>
      <c r="G1930" s="76">
        <v>2023</v>
      </c>
      <c r="H1930" s="76" t="s">
        <v>23</v>
      </c>
      <c r="I1930" s="76" t="s">
        <v>30</v>
      </c>
      <c r="J1930" s="76">
        <v>72.27</v>
      </c>
      <c r="K1930" s="76">
        <v>70.209999999999994</v>
      </c>
      <c r="L1930" s="78">
        <f t="shared" si="210"/>
        <v>0.97149577971495782</v>
      </c>
      <c r="M1930" s="78">
        <f t="shared" si="211"/>
        <v>0.97149577971495782</v>
      </c>
      <c r="N1930" s="76" t="s">
        <v>25</v>
      </c>
      <c r="O1930" s="76" t="s">
        <v>25</v>
      </c>
      <c r="P1930" s="76">
        <v>0</v>
      </c>
      <c r="Q1930" s="76">
        <v>0</v>
      </c>
      <c r="R1930" s="76" t="s">
        <v>2816</v>
      </c>
      <c r="S1930" s="76"/>
    </row>
    <row r="1931" spans="1:19" x14ac:dyDescent="0.3">
      <c r="A1931" s="76" t="s">
        <v>2814</v>
      </c>
      <c r="B1931" s="76" t="s">
        <v>2815</v>
      </c>
      <c r="C1931" s="76" t="s">
        <v>1263</v>
      </c>
      <c r="D1931" s="76" t="s">
        <v>39</v>
      </c>
      <c r="E1931" s="76" t="s">
        <v>22</v>
      </c>
      <c r="F1931" s="77">
        <v>45199</v>
      </c>
      <c r="G1931" s="76">
        <v>2023</v>
      </c>
      <c r="H1931" s="76" t="s">
        <v>43</v>
      </c>
      <c r="I1931" s="76" t="s">
        <v>32</v>
      </c>
      <c r="J1931" s="76">
        <v>97.44</v>
      </c>
      <c r="K1931" s="76">
        <v>88.71</v>
      </c>
      <c r="L1931" s="78">
        <f t="shared" si="210"/>
        <v>0.91040640394088668</v>
      </c>
      <c r="M1931" s="78">
        <f t="shared" si="211"/>
        <v>0.91040640394088668</v>
      </c>
      <c r="N1931" s="76" t="s">
        <v>25</v>
      </c>
      <c r="O1931" s="76" t="s">
        <v>25</v>
      </c>
      <c r="P1931" s="76">
        <v>0</v>
      </c>
      <c r="Q1931" s="76">
        <v>0</v>
      </c>
      <c r="R1931" s="76" t="s">
        <v>2817</v>
      </c>
      <c r="S1931" s="76"/>
    </row>
    <row r="1932" spans="1:19" x14ac:dyDescent="0.3">
      <c r="A1932" s="76" t="s">
        <v>2814</v>
      </c>
      <c r="B1932" s="76" t="s">
        <v>2815</v>
      </c>
      <c r="C1932" s="76" t="s">
        <v>1263</v>
      </c>
      <c r="D1932" s="76" t="s">
        <v>39</v>
      </c>
      <c r="E1932" s="76" t="s">
        <v>22</v>
      </c>
      <c r="F1932" s="77">
        <v>45291</v>
      </c>
      <c r="G1932" s="76">
        <v>2023</v>
      </c>
      <c r="H1932" s="76" t="s">
        <v>27</v>
      </c>
      <c r="I1932" s="76" t="s">
        <v>32</v>
      </c>
      <c r="J1932" s="76">
        <v>100</v>
      </c>
      <c r="K1932" s="76">
        <v>100</v>
      </c>
      <c r="L1932" s="78">
        <f t="shared" si="210"/>
        <v>1</v>
      </c>
      <c r="M1932" s="78">
        <f t="shared" si="211"/>
        <v>1</v>
      </c>
      <c r="N1932" s="76" t="s">
        <v>25</v>
      </c>
      <c r="O1932" s="76" t="s">
        <v>25</v>
      </c>
      <c r="P1932" s="76">
        <v>0</v>
      </c>
      <c r="Q1932" s="76">
        <v>0</v>
      </c>
      <c r="R1932" s="76" t="s">
        <v>2818</v>
      </c>
      <c r="S1932" s="76"/>
    </row>
    <row r="1933" spans="1:19" x14ac:dyDescent="0.3">
      <c r="A1933" s="76" t="s">
        <v>2814</v>
      </c>
      <c r="B1933" s="76" t="s">
        <v>2815</v>
      </c>
      <c r="C1933" s="76" t="s">
        <v>1263</v>
      </c>
      <c r="D1933" s="76" t="s">
        <v>39</v>
      </c>
      <c r="E1933" s="76" t="s">
        <v>22</v>
      </c>
      <c r="F1933" s="77">
        <v>45382</v>
      </c>
      <c r="G1933" s="76">
        <v>2024</v>
      </c>
      <c r="H1933" s="76" t="s">
        <v>40</v>
      </c>
      <c r="I1933" s="76" t="s">
        <v>34</v>
      </c>
      <c r="J1933" s="76">
        <v>7.01</v>
      </c>
      <c r="K1933" s="76">
        <v>23.95</v>
      </c>
      <c r="L1933" s="78">
        <f t="shared" si="210"/>
        <v>1</v>
      </c>
      <c r="M1933" s="78">
        <f t="shared" si="211"/>
        <v>1</v>
      </c>
      <c r="N1933" s="76" t="s">
        <v>25</v>
      </c>
      <c r="O1933" s="76" t="s">
        <v>25</v>
      </c>
      <c r="P1933" s="76">
        <v>0</v>
      </c>
      <c r="Q1933" s="76">
        <v>0</v>
      </c>
      <c r="R1933" s="76" t="s">
        <v>2819</v>
      </c>
      <c r="S1933" s="76"/>
    </row>
    <row r="1934" spans="1:19" x14ac:dyDescent="0.3">
      <c r="A1934" s="76" t="s">
        <v>2814</v>
      </c>
      <c r="B1934" s="76" t="s">
        <v>2815</v>
      </c>
      <c r="C1934" s="76" t="s">
        <v>1263</v>
      </c>
      <c r="D1934" s="76" t="s">
        <v>39</v>
      </c>
      <c r="E1934" s="76" t="s">
        <v>22</v>
      </c>
      <c r="F1934" s="77">
        <v>45473</v>
      </c>
      <c r="G1934" s="76">
        <v>2024</v>
      </c>
      <c r="H1934" s="76" t="s">
        <v>23</v>
      </c>
      <c r="I1934" s="76" t="s">
        <v>34</v>
      </c>
      <c r="J1934" s="76">
        <v>36.78</v>
      </c>
      <c r="K1934" s="76">
        <v>44.65</v>
      </c>
      <c r="L1934" s="78">
        <f t="shared" si="210"/>
        <v>1</v>
      </c>
      <c r="M1934" s="78">
        <f t="shared" si="211"/>
        <v>1</v>
      </c>
      <c r="N1934" s="76" t="s">
        <v>25</v>
      </c>
      <c r="O1934" s="76" t="s">
        <v>25</v>
      </c>
      <c r="P1934" s="76">
        <v>0</v>
      </c>
      <c r="Q1934" s="76">
        <v>0</v>
      </c>
      <c r="R1934" s="76" t="s">
        <v>2820</v>
      </c>
      <c r="S1934" s="76"/>
    </row>
    <row r="1935" spans="1:19" x14ac:dyDescent="0.3">
      <c r="A1935" s="76" t="s">
        <v>2814</v>
      </c>
      <c r="B1935" s="76" t="s">
        <v>2815</v>
      </c>
      <c r="C1935" s="76" t="s">
        <v>1263</v>
      </c>
      <c r="D1935" s="76" t="s">
        <v>39</v>
      </c>
      <c r="E1935" s="76" t="s">
        <v>22</v>
      </c>
      <c r="F1935" s="77">
        <v>45565</v>
      </c>
      <c r="G1935" s="76">
        <v>2024</v>
      </c>
      <c r="H1935" s="76" t="s">
        <v>43</v>
      </c>
      <c r="I1935" s="76" t="s">
        <v>36</v>
      </c>
      <c r="J1935" s="76">
        <v>99.49</v>
      </c>
      <c r="K1935" s="76">
        <v>89.67</v>
      </c>
      <c r="L1935" s="78">
        <f t="shared" si="210"/>
        <v>0.90129661272489703</v>
      </c>
      <c r="M1935" s="78">
        <f t="shared" si="211"/>
        <v>0.90129661272489703</v>
      </c>
      <c r="N1935" s="76" t="s">
        <v>25</v>
      </c>
      <c r="O1935" s="76" t="s">
        <v>25</v>
      </c>
      <c r="P1935" s="76">
        <v>0</v>
      </c>
      <c r="Q1935" s="76">
        <v>0</v>
      </c>
      <c r="R1935" s="76" t="s">
        <v>2821</v>
      </c>
      <c r="S1935" s="76"/>
    </row>
    <row r="1936" spans="1:19" x14ac:dyDescent="0.3">
      <c r="A1936" s="76" t="s">
        <v>2814</v>
      </c>
      <c r="B1936" s="76" t="s">
        <v>2815</v>
      </c>
      <c r="C1936" s="76" t="s">
        <v>1263</v>
      </c>
      <c r="D1936" s="76" t="s">
        <v>39</v>
      </c>
      <c r="E1936" s="76" t="s">
        <v>22</v>
      </c>
      <c r="F1936" s="77">
        <v>45657</v>
      </c>
      <c r="G1936" s="76">
        <v>2024</v>
      </c>
      <c r="H1936" s="76" t="s">
        <v>27</v>
      </c>
      <c r="I1936" s="76" t="s">
        <v>36</v>
      </c>
      <c r="J1936" s="76">
        <v>100</v>
      </c>
      <c r="K1936" s="76">
        <v>100</v>
      </c>
      <c r="L1936" s="78">
        <f t="shared" si="210"/>
        <v>1</v>
      </c>
      <c r="M1936" s="78">
        <f t="shared" si="211"/>
        <v>1</v>
      </c>
      <c r="N1936" s="76" t="s">
        <v>25</v>
      </c>
      <c r="O1936" s="76" t="s">
        <v>25</v>
      </c>
      <c r="P1936" s="76">
        <v>0</v>
      </c>
      <c r="Q1936" s="76">
        <v>0</v>
      </c>
      <c r="R1936" s="76" t="s">
        <v>2822</v>
      </c>
      <c r="S1936" s="76"/>
    </row>
    <row r="1937" spans="1:19" x14ac:dyDescent="0.3">
      <c r="A1937" s="76" t="s">
        <v>2823</v>
      </c>
      <c r="B1937" s="76" t="s">
        <v>2824</v>
      </c>
      <c r="C1937" s="76" t="s">
        <v>1263</v>
      </c>
      <c r="D1937" s="76" t="s">
        <v>39</v>
      </c>
      <c r="E1937" s="76" t="s">
        <v>22</v>
      </c>
      <c r="F1937" s="77">
        <v>45107</v>
      </c>
      <c r="G1937" s="76">
        <v>2023</v>
      </c>
      <c r="H1937" s="76" t="s">
        <v>23</v>
      </c>
      <c r="I1937" s="76" t="s">
        <v>30</v>
      </c>
      <c r="J1937" s="76">
        <v>61.42</v>
      </c>
      <c r="K1937" s="76">
        <v>67.67</v>
      </c>
      <c r="L1937" s="78">
        <f t="shared" si="210"/>
        <v>1</v>
      </c>
      <c r="M1937" s="78">
        <f t="shared" si="211"/>
        <v>1</v>
      </c>
      <c r="N1937" s="76" t="s">
        <v>25</v>
      </c>
      <c r="O1937" s="76" t="s">
        <v>25</v>
      </c>
      <c r="P1937" s="76">
        <v>0</v>
      </c>
      <c r="Q1937" s="76">
        <v>0</v>
      </c>
      <c r="R1937" s="76" t="s">
        <v>2825</v>
      </c>
      <c r="S1937" s="76"/>
    </row>
    <row r="1938" spans="1:19" x14ac:dyDescent="0.3">
      <c r="A1938" s="76" t="s">
        <v>2823</v>
      </c>
      <c r="B1938" s="76" t="s">
        <v>2824</v>
      </c>
      <c r="C1938" s="76" t="s">
        <v>1263</v>
      </c>
      <c r="D1938" s="76" t="s">
        <v>39</v>
      </c>
      <c r="E1938" s="76" t="s">
        <v>22</v>
      </c>
      <c r="F1938" s="77">
        <v>45199</v>
      </c>
      <c r="G1938" s="76">
        <v>2023</v>
      </c>
      <c r="H1938" s="76" t="s">
        <v>43</v>
      </c>
      <c r="I1938" s="76" t="s">
        <v>32</v>
      </c>
      <c r="J1938" s="76">
        <v>92.93</v>
      </c>
      <c r="K1938" s="76">
        <v>88.33</v>
      </c>
      <c r="L1938" s="78">
        <f t="shared" si="210"/>
        <v>0.95050037662756903</v>
      </c>
      <c r="M1938" s="78">
        <f t="shared" si="211"/>
        <v>0.95050037662756903</v>
      </c>
      <c r="N1938" s="76" t="s">
        <v>25</v>
      </c>
      <c r="O1938" s="76" t="s">
        <v>25</v>
      </c>
      <c r="P1938" s="76">
        <v>0</v>
      </c>
      <c r="Q1938" s="76">
        <v>0</v>
      </c>
      <c r="R1938" s="76" t="s">
        <v>2826</v>
      </c>
      <c r="S1938" s="76"/>
    </row>
    <row r="1939" spans="1:19" x14ac:dyDescent="0.3">
      <c r="A1939" s="76" t="s">
        <v>2823</v>
      </c>
      <c r="B1939" s="76" t="s">
        <v>2824</v>
      </c>
      <c r="C1939" s="76" t="s">
        <v>1263</v>
      </c>
      <c r="D1939" s="76" t="s">
        <v>39</v>
      </c>
      <c r="E1939" s="76" t="s">
        <v>22</v>
      </c>
      <c r="F1939" s="77">
        <v>45291</v>
      </c>
      <c r="G1939" s="76">
        <v>2023</v>
      </c>
      <c r="H1939" s="76" t="s">
        <v>27</v>
      </c>
      <c r="I1939" s="76" t="s">
        <v>32</v>
      </c>
      <c r="J1939" s="76">
        <v>100</v>
      </c>
      <c r="K1939" s="76">
        <v>100</v>
      </c>
      <c r="L1939" s="78">
        <f t="shared" si="210"/>
        <v>1</v>
      </c>
      <c r="M1939" s="78">
        <f t="shared" si="211"/>
        <v>1</v>
      </c>
      <c r="N1939" s="76" t="s">
        <v>25</v>
      </c>
      <c r="O1939" s="76" t="s">
        <v>25</v>
      </c>
      <c r="P1939" s="76">
        <v>0</v>
      </c>
      <c r="Q1939" s="76">
        <v>0</v>
      </c>
      <c r="R1939" s="76" t="s">
        <v>2827</v>
      </c>
      <c r="S1939" s="76"/>
    </row>
    <row r="1940" spans="1:19" x14ac:dyDescent="0.3">
      <c r="A1940" s="36" t="s">
        <v>2823</v>
      </c>
      <c r="B1940" s="12" t="s">
        <v>2828</v>
      </c>
      <c r="C1940" s="37" t="s">
        <v>2801</v>
      </c>
      <c r="D1940" s="37" t="s">
        <v>39</v>
      </c>
      <c r="E1940" s="37" t="s">
        <v>22</v>
      </c>
      <c r="F1940" s="42">
        <v>45473</v>
      </c>
      <c r="G1940" s="37">
        <v>2024</v>
      </c>
      <c r="H1940" s="37" t="s">
        <v>23</v>
      </c>
      <c r="I1940" s="39" t="s">
        <v>34</v>
      </c>
      <c r="J1940" s="37">
        <v>36.78</v>
      </c>
      <c r="K1940" s="37">
        <v>44.65</v>
      </c>
      <c r="L1940" s="65">
        <f t="shared" si="210"/>
        <v>1</v>
      </c>
      <c r="M1940" s="65">
        <f t="shared" si="211"/>
        <v>1</v>
      </c>
      <c r="N1940" s="37" t="s">
        <v>25</v>
      </c>
      <c r="O1940" s="37" t="s">
        <v>25</v>
      </c>
      <c r="P1940" s="37">
        <v>0</v>
      </c>
      <c r="Q1940" s="37">
        <v>0</v>
      </c>
      <c r="R1940" s="37" t="s">
        <v>2829</v>
      </c>
      <c r="S1940" s="37"/>
    </row>
    <row r="1941" spans="1:19" x14ac:dyDescent="0.3">
      <c r="A1941" s="76" t="s">
        <v>2823</v>
      </c>
      <c r="B1941" s="76" t="s">
        <v>2824</v>
      </c>
      <c r="C1941" s="76" t="s">
        <v>1263</v>
      </c>
      <c r="D1941" s="76" t="s">
        <v>39</v>
      </c>
      <c r="E1941" s="76" t="s">
        <v>22</v>
      </c>
      <c r="F1941" s="77">
        <v>45565</v>
      </c>
      <c r="G1941" s="76">
        <v>2024</v>
      </c>
      <c r="H1941" s="76" t="s">
        <v>43</v>
      </c>
      <c r="I1941" s="76" t="s">
        <v>36</v>
      </c>
      <c r="J1941" s="76">
        <v>100</v>
      </c>
      <c r="K1941" s="76">
        <v>85.4</v>
      </c>
      <c r="L1941" s="78">
        <f t="shared" si="210"/>
        <v>0.85400000000000009</v>
      </c>
      <c r="M1941" s="78">
        <f t="shared" si="211"/>
        <v>0.85400000000000009</v>
      </c>
      <c r="N1941" s="76" t="s">
        <v>25</v>
      </c>
      <c r="O1941" s="76" t="s">
        <v>25</v>
      </c>
      <c r="P1941" s="76">
        <v>0</v>
      </c>
      <c r="Q1941" s="76">
        <v>0</v>
      </c>
      <c r="R1941" s="76" t="s">
        <v>2830</v>
      </c>
      <c r="S1941" s="76"/>
    </row>
    <row r="1942" spans="1:19" x14ac:dyDescent="0.3">
      <c r="A1942" s="76" t="s">
        <v>2823</v>
      </c>
      <c r="B1942" s="76" t="s">
        <v>2824</v>
      </c>
      <c r="C1942" s="76" t="s">
        <v>1263</v>
      </c>
      <c r="D1942" s="76" t="s">
        <v>39</v>
      </c>
      <c r="E1942" s="76" t="s">
        <v>22</v>
      </c>
      <c r="F1942" s="77">
        <v>45657</v>
      </c>
      <c r="G1942" s="76">
        <v>2024</v>
      </c>
      <c r="H1942" s="76" t="s">
        <v>27</v>
      </c>
      <c r="I1942" s="76" t="s">
        <v>36</v>
      </c>
      <c r="J1942" s="76">
        <v>100</v>
      </c>
      <c r="K1942" s="76">
        <v>100</v>
      </c>
      <c r="L1942" s="78">
        <f t="shared" si="210"/>
        <v>1</v>
      </c>
      <c r="M1942" s="78">
        <f t="shared" si="211"/>
        <v>1</v>
      </c>
      <c r="N1942" s="76" t="s">
        <v>25</v>
      </c>
      <c r="O1942" s="76" t="s">
        <v>25</v>
      </c>
      <c r="P1942" s="76">
        <v>0</v>
      </c>
      <c r="Q1942" s="76">
        <v>0</v>
      </c>
      <c r="R1942" s="76" t="s">
        <v>2831</v>
      </c>
      <c r="S1942" s="76"/>
    </row>
    <row r="1943" spans="1:19" x14ac:dyDescent="0.3">
      <c r="A1943" s="76" t="s">
        <v>2832</v>
      </c>
      <c r="B1943" s="76" t="s">
        <v>2833</v>
      </c>
      <c r="C1943" s="76" t="s">
        <v>1263</v>
      </c>
      <c r="D1943" s="76" t="s">
        <v>39</v>
      </c>
      <c r="E1943" s="76" t="s">
        <v>22</v>
      </c>
      <c r="F1943" s="77">
        <v>45107</v>
      </c>
      <c r="G1943" s="76">
        <v>2023</v>
      </c>
      <c r="H1943" s="76" t="s">
        <v>23</v>
      </c>
      <c r="I1943" s="76" t="s">
        <v>30</v>
      </c>
      <c r="J1943" s="76">
        <v>66.319999999999993</v>
      </c>
      <c r="K1943" s="76">
        <v>73</v>
      </c>
      <c r="L1943" s="78">
        <f t="shared" si="210"/>
        <v>1</v>
      </c>
      <c r="M1943" s="78">
        <f t="shared" si="211"/>
        <v>1</v>
      </c>
      <c r="N1943" s="76" t="s">
        <v>25</v>
      </c>
      <c r="O1943" s="76" t="s">
        <v>25</v>
      </c>
      <c r="P1943" s="76">
        <v>0</v>
      </c>
      <c r="Q1943" s="76">
        <v>0</v>
      </c>
      <c r="R1943" s="76" t="s">
        <v>2834</v>
      </c>
      <c r="S1943" s="76"/>
    </row>
    <row r="1944" spans="1:19" x14ac:dyDescent="0.3">
      <c r="A1944" s="76" t="s">
        <v>2832</v>
      </c>
      <c r="B1944" s="76" t="s">
        <v>2833</v>
      </c>
      <c r="C1944" s="76" t="s">
        <v>1263</v>
      </c>
      <c r="D1944" s="76" t="s">
        <v>39</v>
      </c>
      <c r="E1944" s="76" t="s">
        <v>22</v>
      </c>
      <c r="F1944" s="77">
        <v>45199</v>
      </c>
      <c r="G1944" s="76">
        <v>2023</v>
      </c>
      <c r="H1944" s="76" t="s">
        <v>43</v>
      </c>
      <c r="I1944" s="76" t="s">
        <v>32</v>
      </c>
      <c r="J1944" s="76">
        <v>96.78</v>
      </c>
      <c r="K1944" s="76">
        <v>90.5</v>
      </c>
      <c r="L1944" s="78">
        <f t="shared" si="210"/>
        <v>0.9351105600330647</v>
      </c>
      <c r="M1944" s="78">
        <f t="shared" si="211"/>
        <v>0.9351105600330647</v>
      </c>
      <c r="N1944" s="76" t="s">
        <v>25</v>
      </c>
      <c r="O1944" s="76" t="s">
        <v>25</v>
      </c>
      <c r="P1944" s="76">
        <v>0</v>
      </c>
      <c r="Q1944" s="76">
        <v>0</v>
      </c>
      <c r="R1944" s="76" t="s">
        <v>2835</v>
      </c>
      <c r="S1944" s="76"/>
    </row>
    <row r="1945" spans="1:19" x14ac:dyDescent="0.3">
      <c r="A1945" s="76" t="s">
        <v>2832</v>
      </c>
      <c r="B1945" s="76" t="s">
        <v>2833</v>
      </c>
      <c r="C1945" s="76" t="s">
        <v>1263</v>
      </c>
      <c r="D1945" s="76" t="s">
        <v>39</v>
      </c>
      <c r="E1945" s="76" t="s">
        <v>22</v>
      </c>
      <c r="F1945" s="77">
        <v>45291</v>
      </c>
      <c r="G1945" s="76">
        <v>2023</v>
      </c>
      <c r="H1945" s="76" t="s">
        <v>27</v>
      </c>
      <c r="I1945" s="76" t="s">
        <v>32</v>
      </c>
      <c r="J1945" s="76">
        <v>100</v>
      </c>
      <c r="K1945" s="76">
        <v>100</v>
      </c>
      <c r="L1945" s="78">
        <f t="shared" si="210"/>
        <v>1</v>
      </c>
      <c r="M1945" s="78">
        <f t="shared" si="211"/>
        <v>1</v>
      </c>
      <c r="N1945" s="76" t="s">
        <v>25</v>
      </c>
      <c r="O1945" s="76" t="s">
        <v>25</v>
      </c>
      <c r="P1945" s="76">
        <v>0</v>
      </c>
      <c r="Q1945" s="76">
        <v>0</v>
      </c>
      <c r="R1945" s="76" t="s">
        <v>2836</v>
      </c>
      <c r="S1945" s="76"/>
    </row>
    <row r="1946" spans="1:19" x14ac:dyDescent="0.3">
      <c r="A1946" s="36" t="s">
        <v>2832</v>
      </c>
      <c r="B1946" s="12" t="s">
        <v>2837</v>
      </c>
      <c r="C1946" s="37" t="s">
        <v>2801</v>
      </c>
      <c r="D1946" s="37" t="s">
        <v>39</v>
      </c>
      <c r="E1946" s="37" t="s">
        <v>22</v>
      </c>
      <c r="F1946" s="42">
        <v>45473</v>
      </c>
      <c r="G1946" s="37">
        <v>2024</v>
      </c>
      <c r="H1946" s="37" t="s">
        <v>23</v>
      </c>
      <c r="I1946" s="39" t="s">
        <v>34</v>
      </c>
      <c r="J1946" s="37">
        <v>34.4</v>
      </c>
      <c r="K1946" s="37">
        <v>35.71</v>
      </c>
      <c r="L1946" s="65">
        <f t="shared" si="210"/>
        <v>1</v>
      </c>
      <c r="M1946" s="65">
        <f t="shared" si="211"/>
        <v>1</v>
      </c>
      <c r="N1946" s="37" t="s">
        <v>25</v>
      </c>
      <c r="O1946" s="37" t="s">
        <v>25</v>
      </c>
      <c r="P1946" s="37">
        <v>0</v>
      </c>
      <c r="Q1946" s="37">
        <v>0</v>
      </c>
      <c r="R1946" s="37" t="s">
        <v>2838</v>
      </c>
      <c r="S1946" s="37"/>
    </row>
    <row r="1947" spans="1:19" x14ac:dyDescent="0.3">
      <c r="A1947" s="76" t="s">
        <v>2832</v>
      </c>
      <c r="B1947" s="76" t="s">
        <v>2833</v>
      </c>
      <c r="C1947" s="76" t="s">
        <v>1263</v>
      </c>
      <c r="D1947" s="76" t="s">
        <v>39</v>
      </c>
      <c r="E1947" s="76" t="s">
        <v>22</v>
      </c>
      <c r="F1947" s="77">
        <v>45565</v>
      </c>
      <c r="G1947" s="76">
        <v>2024</v>
      </c>
      <c r="H1947" s="76" t="s">
        <v>43</v>
      </c>
      <c r="I1947" s="76" t="s">
        <v>36</v>
      </c>
      <c r="J1947" s="76">
        <v>99.07</v>
      </c>
      <c r="K1947" s="76">
        <v>71.430000000000007</v>
      </c>
      <c r="L1947" s="78">
        <f t="shared" si="210"/>
        <v>0.72100534975270025</v>
      </c>
      <c r="M1947" s="78">
        <f t="shared" si="211"/>
        <v>0.72100534975270025</v>
      </c>
      <c r="N1947" s="76" t="s">
        <v>25</v>
      </c>
      <c r="O1947" s="76" t="s">
        <v>25</v>
      </c>
      <c r="P1947" s="76">
        <v>0</v>
      </c>
      <c r="Q1947" s="76">
        <v>0</v>
      </c>
      <c r="R1947" s="76" t="s">
        <v>2839</v>
      </c>
      <c r="S1947" s="76"/>
    </row>
    <row r="1948" spans="1:19" x14ac:dyDescent="0.3">
      <c r="A1948" s="76" t="s">
        <v>2832</v>
      </c>
      <c r="B1948" s="76" t="s">
        <v>2833</v>
      </c>
      <c r="C1948" s="76" t="s">
        <v>1263</v>
      </c>
      <c r="D1948" s="76" t="s">
        <v>39</v>
      </c>
      <c r="E1948" s="76" t="s">
        <v>22</v>
      </c>
      <c r="F1948" s="77">
        <v>45657</v>
      </c>
      <c r="G1948" s="76">
        <v>2024</v>
      </c>
      <c r="H1948" s="76" t="s">
        <v>27</v>
      </c>
      <c r="I1948" s="76" t="s">
        <v>36</v>
      </c>
      <c r="J1948" s="76">
        <v>100</v>
      </c>
      <c r="K1948" s="76">
        <v>99</v>
      </c>
      <c r="L1948" s="78">
        <f t="shared" si="210"/>
        <v>0.99</v>
      </c>
      <c r="M1948" s="78">
        <f t="shared" si="211"/>
        <v>0.99</v>
      </c>
      <c r="N1948" s="76" t="s">
        <v>25</v>
      </c>
      <c r="O1948" s="76" t="s">
        <v>25</v>
      </c>
      <c r="P1948" s="76">
        <v>0</v>
      </c>
      <c r="Q1948" s="76">
        <v>0</v>
      </c>
      <c r="R1948" s="76" t="s">
        <v>2840</v>
      </c>
      <c r="S1948" s="76"/>
    </row>
    <row r="1949" spans="1:19" x14ac:dyDescent="0.3">
      <c r="A1949" s="76" t="s">
        <v>2841</v>
      </c>
      <c r="B1949" s="76" t="s">
        <v>2842</v>
      </c>
      <c r="C1949" s="76" t="s">
        <v>1263</v>
      </c>
      <c r="D1949" s="76" t="s">
        <v>39</v>
      </c>
      <c r="E1949" s="76" t="s">
        <v>22</v>
      </c>
      <c r="F1949" s="77">
        <v>45107</v>
      </c>
      <c r="G1949" s="76">
        <v>2023</v>
      </c>
      <c r="H1949" s="76" t="s">
        <v>23</v>
      </c>
      <c r="I1949" s="76" t="s">
        <v>30</v>
      </c>
      <c r="J1949" s="76">
        <v>67.81</v>
      </c>
      <c r="K1949" s="76">
        <v>77.5</v>
      </c>
      <c r="L1949" s="78">
        <f t="shared" si="210"/>
        <v>1</v>
      </c>
      <c r="M1949" s="78">
        <f t="shared" si="211"/>
        <v>1</v>
      </c>
      <c r="N1949" s="76" t="s">
        <v>25</v>
      </c>
      <c r="O1949" s="76" t="s">
        <v>25</v>
      </c>
      <c r="P1949" s="76">
        <v>1</v>
      </c>
      <c r="Q1949" s="76">
        <v>1</v>
      </c>
      <c r="R1949" s="76" t="s">
        <v>2843</v>
      </c>
      <c r="S1949" s="76"/>
    </row>
    <row r="1950" spans="1:19" x14ac:dyDescent="0.3">
      <c r="A1950" s="76" t="s">
        <v>2841</v>
      </c>
      <c r="B1950" s="76" t="s">
        <v>2842</v>
      </c>
      <c r="C1950" s="76" t="s">
        <v>1263</v>
      </c>
      <c r="D1950" s="76" t="s">
        <v>39</v>
      </c>
      <c r="E1950" s="76" t="s">
        <v>22</v>
      </c>
      <c r="F1950" s="77">
        <v>45199</v>
      </c>
      <c r="G1950" s="76">
        <v>2023</v>
      </c>
      <c r="H1950" s="76" t="s">
        <v>43</v>
      </c>
      <c r="I1950" s="76" t="s">
        <v>32</v>
      </c>
      <c r="J1950" s="76">
        <v>97.74</v>
      </c>
      <c r="K1950" s="76">
        <v>96.56</v>
      </c>
      <c r="L1950" s="78">
        <f t="shared" si="210"/>
        <v>0.98792715367301009</v>
      </c>
      <c r="M1950" s="78">
        <f t="shared" si="211"/>
        <v>0.98792715367301009</v>
      </c>
      <c r="N1950" s="76" t="s">
        <v>25</v>
      </c>
      <c r="O1950" s="76" t="s">
        <v>25</v>
      </c>
      <c r="P1950" s="76">
        <v>1</v>
      </c>
      <c r="Q1950" s="76">
        <v>1</v>
      </c>
      <c r="R1950" s="76" t="s">
        <v>2844</v>
      </c>
      <c r="S1950" s="76"/>
    </row>
    <row r="1951" spans="1:19" x14ac:dyDescent="0.3">
      <c r="A1951" s="76" t="s">
        <v>2841</v>
      </c>
      <c r="B1951" s="76" t="s">
        <v>2842</v>
      </c>
      <c r="C1951" s="76" t="s">
        <v>1263</v>
      </c>
      <c r="D1951" s="76" t="s">
        <v>39</v>
      </c>
      <c r="E1951" s="76" t="s">
        <v>22</v>
      </c>
      <c r="F1951" s="77">
        <v>45291</v>
      </c>
      <c r="G1951" s="76">
        <v>2023</v>
      </c>
      <c r="H1951" s="76" t="s">
        <v>27</v>
      </c>
      <c r="I1951" s="76" t="s">
        <v>32</v>
      </c>
      <c r="J1951" s="76">
        <v>100</v>
      </c>
      <c r="K1951" s="76">
        <v>99.38</v>
      </c>
      <c r="L1951" s="78">
        <f t="shared" si="210"/>
        <v>0.99379999999999991</v>
      </c>
      <c r="M1951" s="78">
        <f t="shared" si="211"/>
        <v>0.99379999999999991</v>
      </c>
      <c r="N1951" s="76" t="s">
        <v>25</v>
      </c>
      <c r="O1951" s="76" t="s">
        <v>25</v>
      </c>
      <c r="P1951" s="76">
        <v>1</v>
      </c>
      <c r="Q1951" s="76">
        <v>1</v>
      </c>
      <c r="R1951" s="76" t="s">
        <v>2845</v>
      </c>
      <c r="S1951" s="76"/>
    </row>
    <row r="1952" spans="1:19" x14ac:dyDescent="0.3">
      <c r="A1952" s="36" t="s">
        <v>2841</v>
      </c>
      <c r="B1952" s="12" t="s">
        <v>2846</v>
      </c>
      <c r="C1952" s="37" t="s">
        <v>2801</v>
      </c>
      <c r="D1952" s="37" t="s">
        <v>39</v>
      </c>
      <c r="E1952" s="37" t="s">
        <v>22</v>
      </c>
      <c r="F1952" s="42">
        <v>45473</v>
      </c>
      <c r="G1952" s="37">
        <v>2024</v>
      </c>
      <c r="H1952" s="37" t="s">
        <v>23</v>
      </c>
      <c r="I1952" s="39" t="s">
        <v>34</v>
      </c>
      <c r="J1952" s="37">
        <v>44.99</v>
      </c>
      <c r="K1952" s="37">
        <v>60.75</v>
      </c>
      <c r="L1952" s="65">
        <f t="shared" ref="L1952:L1984" si="212">IFERROR(IF(OR(J1952=0,K1952=""),"",IF(E1952="Positivo",MIN(MAX(K1952/J1952,0),1),MIN(MAX(J1952/K1952,0),1))),"")</f>
        <v>1</v>
      </c>
      <c r="M1952" s="65">
        <f t="shared" ref="M1952:M1984" si="213">IFERROR(IF(OR(J1952=0,K1952=""),"",IF(E1952="Positivo",MIN(MAX(K1952/J1952,0),1),MIN(MAX(J1952/K1952,0),1))),"")</f>
        <v>1</v>
      </c>
      <c r="N1952" s="37" t="s">
        <v>25</v>
      </c>
      <c r="O1952" s="37" t="s">
        <v>25</v>
      </c>
      <c r="P1952" s="37">
        <v>1</v>
      </c>
      <c r="Q1952" s="37">
        <v>1</v>
      </c>
      <c r="R1952" s="37" t="s">
        <v>2847</v>
      </c>
      <c r="S1952" s="37"/>
    </row>
    <row r="1953" spans="1:19" x14ac:dyDescent="0.3">
      <c r="A1953" s="76" t="s">
        <v>2841</v>
      </c>
      <c r="B1953" s="76" t="s">
        <v>2842</v>
      </c>
      <c r="C1953" s="76" t="s">
        <v>1263</v>
      </c>
      <c r="D1953" s="76" t="s">
        <v>39</v>
      </c>
      <c r="E1953" s="76" t="s">
        <v>22</v>
      </c>
      <c r="F1953" s="77">
        <v>45565</v>
      </c>
      <c r="G1953" s="76">
        <v>2024</v>
      </c>
      <c r="H1953" s="76" t="s">
        <v>43</v>
      </c>
      <c r="I1953" s="76" t="s">
        <v>36</v>
      </c>
      <c r="J1953" s="76">
        <v>100</v>
      </c>
      <c r="K1953" s="76">
        <v>82.79</v>
      </c>
      <c r="L1953" s="78">
        <f t="shared" si="212"/>
        <v>0.82790000000000008</v>
      </c>
      <c r="M1953" s="78">
        <f t="shared" si="213"/>
        <v>0.82790000000000008</v>
      </c>
      <c r="N1953" s="76" t="s">
        <v>25</v>
      </c>
      <c r="O1953" s="76" t="s">
        <v>25</v>
      </c>
      <c r="P1953" s="76">
        <v>1</v>
      </c>
      <c r="Q1953" s="76">
        <v>1</v>
      </c>
      <c r="R1953" s="76" t="s">
        <v>2848</v>
      </c>
      <c r="S1953" s="76"/>
    </row>
    <row r="1954" spans="1:19" x14ac:dyDescent="0.3">
      <c r="A1954" s="76" t="s">
        <v>2841</v>
      </c>
      <c r="B1954" s="76" t="s">
        <v>2842</v>
      </c>
      <c r="C1954" s="76" t="s">
        <v>1263</v>
      </c>
      <c r="D1954" s="76" t="s">
        <v>39</v>
      </c>
      <c r="E1954" s="76" t="s">
        <v>22</v>
      </c>
      <c r="F1954" s="77">
        <v>45657</v>
      </c>
      <c r="G1954" s="76">
        <v>2024</v>
      </c>
      <c r="H1954" s="76" t="s">
        <v>27</v>
      </c>
      <c r="I1954" s="76" t="s">
        <v>36</v>
      </c>
      <c r="J1954" s="76">
        <v>100</v>
      </c>
      <c r="K1954" s="76">
        <v>100</v>
      </c>
      <c r="L1954" s="78">
        <f t="shared" si="212"/>
        <v>1</v>
      </c>
      <c r="M1954" s="78">
        <f t="shared" si="213"/>
        <v>1</v>
      </c>
      <c r="N1954" s="76" t="s">
        <v>25</v>
      </c>
      <c r="O1954" s="76" t="s">
        <v>25</v>
      </c>
      <c r="P1954" s="76">
        <v>1</v>
      </c>
      <c r="Q1954" s="76">
        <v>1</v>
      </c>
      <c r="R1954" s="76" t="s">
        <v>2849</v>
      </c>
      <c r="S1954" s="76"/>
    </row>
    <row r="1955" spans="1:19" x14ac:dyDescent="0.3">
      <c r="A1955" s="76" t="s">
        <v>2850</v>
      </c>
      <c r="B1955" s="76" t="s">
        <v>2851</v>
      </c>
      <c r="C1955" s="76" t="s">
        <v>1263</v>
      </c>
      <c r="D1955" s="76" t="s">
        <v>39</v>
      </c>
      <c r="E1955" s="76" t="s">
        <v>22</v>
      </c>
      <c r="F1955" s="77">
        <v>45107</v>
      </c>
      <c r="G1955" s="76">
        <v>2023</v>
      </c>
      <c r="H1955" s="76" t="s">
        <v>23</v>
      </c>
      <c r="I1955" s="76" t="s">
        <v>30</v>
      </c>
      <c r="J1955" s="76">
        <v>64.88</v>
      </c>
      <c r="K1955" s="76">
        <v>78.33</v>
      </c>
      <c r="L1955" s="78">
        <f t="shared" si="212"/>
        <v>1</v>
      </c>
      <c r="M1955" s="78">
        <f t="shared" si="213"/>
        <v>1</v>
      </c>
      <c r="N1955" s="76" t="s">
        <v>25</v>
      </c>
      <c r="O1955" s="76" t="s">
        <v>25</v>
      </c>
      <c r="P1955" s="76">
        <v>0</v>
      </c>
      <c r="Q1955" s="76">
        <v>0</v>
      </c>
      <c r="R1955" s="76" t="s">
        <v>2852</v>
      </c>
      <c r="S1955" s="76"/>
    </row>
    <row r="1956" spans="1:19" x14ac:dyDescent="0.3">
      <c r="A1956" s="76" t="s">
        <v>2850</v>
      </c>
      <c r="B1956" s="76" t="s">
        <v>2851</v>
      </c>
      <c r="C1956" s="76" t="s">
        <v>1263</v>
      </c>
      <c r="D1956" s="76" t="s">
        <v>39</v>
      </c>
      <c r="E1956" s="76" t="s">
        <v>22</v>
      </c>
      <c r="F1956" s="77">
        <v>45199</v>
      </c>
      <c r="G1956" s="76">
        <v>2023</v>
      </c>
      <c r="H1956" s="76" t="s">
        <v>43</v>
      </c>
      <c r="I1956" s="76" t="s">
        <v>32</v>
      </c>
      <c r="J1956" s="76">
        <v>99.7</v>
      </c>
      <c r="K1956" s="76">
        <v>93.72</v>
      </c>
      <c r="L1956" s="78">
        <f t="shared" si="212"/>
        <v>0.94002006018054163</v>
      </c>
      <c r="M1956" s="78">
        <f t="shared" si="213"/>
        <v>0.94002006018054163</v>
      </c>
      <c r="N1956" s="76" t="s">
        <v>25</v>
      </c>
      <c r="O1956" s="76" t="s">
        <v>25</v>
      </c>
      <c r="P1956" s="76">
        <v>0</v>
      </c>
      <c r="Q1956" s="76">
        <v>0</v>
      </c>
      <c r="R1956" s="76" t="s">
        <v>2853</v>
      </c>
      <c r="S1956" s="76"/>
    </row>
    <row r="1957" spans="1:19" x14ac:dyDescent="0.3">
      <c r="A1957" s="76" t="s">
        <v>2850</v>
      </c>
      <c r="B1957" s="76" t="s">
        <v>2851</v>
      </c>
      <c r="C1957" s="76" t="s">
        <v>1263</v>
      </c>
      <c r="D1957" s="76" t="s">
        <v>39</v>
      </c>
      <c r="E1957" s="76" t="s">
        <v>22</v>
      </c>
      <c r="F1957" s="77">
        <v>45291</v>
      </c>
      <c r="G1957" s="76">
        <v>2023</v>
      </c>
      <c r="H1957" s="76" t="s">
        <v>27</v>
      </c>
      <c r="I1957" s="76" t="s">
        <v>32</v>
      </c>
      <c r="J1957" s="76">
        <v>100</v>
      </c>
      <c r="K1957" s="76">
        <v>100</v>
      </c>
      <c r="L1957" s="78">
        <f t="shared" si="212"/>
        <v>1</v>
      </c>
      <c r="M1957" s="78">
        <f t="shared" si="213"/>
        <v>1</v>
      </c>
      <c r="N1957" s="76" t="s">
        <v>25</v>
      </c>
      <c r="O1957" s="76" t="s">
        <v>25</v>
      </c>
      <c r="P1957" s="76">
        <v>0</v>
      </c>
      <c r="Q1957" s="76">
        <v>0</v>
      </c>
      <c r="R1957" s="76" t="s">
        <v>2854</v>
      </c>
      <c r="S1957" s="76"/>
    </row>
    <row r="1958" spans="1:19" x14ac:dyDescent="0.3">
      <c r="A1958" s="36" t="s">
        <v>2850</v>
      </c>
      <c r="B1958" s="12" t="s">
        <v>2855</v>
      </c>
      <c r="C1958" s="37" t="s">
        <v>2801</v>
      </c>
      <c r="D1958" s="37" t="s">
        <v>39</v>
      </c>
      <c r="E1958" s="37" t="s">
        <v>22</v>
      </c>
      <c r="F1958" s="42">
        <v>45473</v>
      </c>
      <c r="G1958" s="37">
        <v>2024</v>
      </c>
      <c r="H1958" s="37" t="s">
        <v>23</v>
      </c>
      <c r="I1958" s="39" t="s">
        <v>34</v>
      </c>
      <c r="J1958" s="37">
        <v>31.84</v>
      </c>
      <c r="K1958" s="37">
        <v>39.01</v>
      </c>
      <c r="L1958" s="65">
        <f t="shared" si="212"/>
        <v>1</v>
      </c>
      <c r="M1958" s="65">
        <f t="shared" si="213"/>
        <v>1</v>
      </c>
      <c r="N1958" s="37" t="s">
        <v>25</v>
      </c>
      <c r="O1958" s="37" t="s">
        <v>25</v>
      </c>
      <c r="P1958" s="37">
        <v>0</v>
      </c>
      <c r="Q1958" s="37">
        <v>0</v>
      </c>
      <c r="R1958" s="37" t="s">
        <v>2856</v>
      </c>
      <c r="S1958" s="37"/>
    </row>
    <row r="1959" spans="1:19" x14ac:dyDescent="0.3">
      <c r="A1959" s="76" t="s">
        <v>2850</v>
      </c>
      <c r="B1959" s="76" t="s">
        <v>2851</v>
      </c>
      <c r="C1959" s="76" t="s">
        <v>1263</v>
      </c>
      <c r="D1959" s="76" t="s">
        <v>39</v>
      </c>
      <c r="E1959" s="76" t="s">
        <v>22</v>
      </c>
      <c r="F1959" s="77">
        <v>45565</v>
      </c>
      <c r="G1959" s="76">
        <v>2024</v>
      </c>
      <c r="H1959" s="76" t="s">
        <v>43</v>
      </c>
      <c r="I1959" s="76" t="s">
        <v>36</v>
      </c>
      <c r="J1959" s="76">
        <v>98.1</v>
      </c>
      <c r="K1959" s="76">
        <v>81.010000000000005</v>
      </c>
      <c r="L1959" s="78">
        <f t="shared" si="212"/>
        <v>0.82579001019368004</v>
      </c>
      <c r="M1959" s="78">
        <f t="shared" si="213"/>
        <v>0.82579001019368004</v>
      </c>
      <c r="N1959" s="76" t="s">
        <v>25</v>
      </c>
      <c r="O1959" s="76" t="s">
        <v>25</v>
      </c>
      <c r="P1959" s="76">
        <v>0</v>
      </c>
      <c r="Q1959" s="76">
        <v>0</v>
      </c>
      <c r="R1959" s="76" t="s">
        <v>2857</v>
      </c>
      <c r="S1959" s="76"/>
    </row>
    <row r="1960" spans="1:19" x14ac:dyDescent="0.3">
      <c r="A1960" s="76" t="s">
        <v>2850</v>
      </c>
      <c r="B1960" s="76" t="s">
        <v>2851</v>
      </c>
      <c r="C1960" s="76" t="s">
        <v>1263</v>
      </c>
      <c r="D1960" s="76" t="s">
        <v>39</v>
      </c>
      <c r="E1960" s="76" t="s">
        <v>22</v>
      </c>
      <c r="F1960" s="77">
        <v>45657</v>
      </c>
      <c r="G1960" s="76">
        <v>2024</v>
      </c>
      <c r="H1960" s="76" t="s">
        <v>27</v>
      </c>
      <c r="I1960" s="76" t="s">
        <v>36</v>
      </c>
      <c r="J1960" s="76">
        <v>100</v>
      </c>
      <c r="K1960" s="76">
        <v>100</v>
      </c>
      <c r="L1960" s="78">
        <f t="shared" si="212"/>
        <v>1</v>
      </c>
      <c r="M1960" s="78">
        <f t="shared" si="213"/>
        <v>1</v>
      </c>
      <c r="N1960" s="76" t="s">
        <v>25</v>
      </c>
      <c r="O1960" s="76" t="s">
        <v>25</v>
      </c>
      <c r="P1960" s="76">
        <v>0</v>
      </c>
      <c r="Q1960" s="76">
        <v>0</v>
      </c>
      <c r="R1960" s="76" t="s">
        <v>2858</v>
      </c>
      <c r="S1960" s="76"/>
    </row>
    <row r="1961" spans="1:19" x14ac:dyDescent="0.3">
      <c r="A1961" s="76" t="s">
        <v>2859</v>
      </c>
      <c r="B1961" s="76" t="s">
        <v>2860</v>
      </c>
      <c r="C1961" s="76" t="s">
        <v>1263</v>
      </c>
      <c r="D1961" s="76" t="s">
        <v>39</v>
      </c>
      <c r="E1961" s="76" t="s">
        <v>22</v>
      </c>
      <c r="F1961" s="77">
        <v>45107</v>
      </c>
      <c r="G1961" s="76">
        <v>2023</v>
      </c>
      <c r="H1961" s="76" t="s">
        <v>23</v>
      </c>
      <c r="I1961" s="76" t="s">
        <v>30</v>
      </c>
      <c r="J1961" s="76">
        <v>51.39</v>
      </c>
      <c r="K1961" s="76">
        <v>53.93</v>
      </c>
      <c r="L1961" s="78">
        <f t="shared" si="212"/>
        <v>1</v>
      </c>
      <c r="M1961" s="78">
        <f t="shared" si="213"/>
        <v>1</v>
      </c>
      <c r="N1961" s="76" t="s">
        <v>25</v>
      </c>
      <c r="O1961" s="76" t="s">
        <v>25</v>
      </c>
      <c r="P1961" s="76">
        <v>0</v>
      </c>
      <c r="Q1961" s="76">
        <v>0</v>
      </c>
      <c r="R1961" s="76" t="s">
        <v>2861</v>
      </c>
      <c r="S1961" s="76"/>
    </row>
    <row r="1962" spans="1:19" x14ac:dyDescent="0.3">
      <c r="A1962" s="76" t="s">
        <v>2859</v>
      </c>
      <c r="B1962" s="76" t="s">
        <v>2860</v>
      </c>
      <c r="C1962" s="76" t="s">
        <v>1263</v>
      </c>
      <c r="D1962" s="76" t="s">
        <v>39</v>
      </c>
      <c r="E1962" s="76" t="s">
        <v>22</v>
      </c>
      <c r="F1962" s="77">
        <v>45199</v>
      </c>
      <c r="G1962" s="76">
        <v>2023</v>
      </c>
      <c r="H1962" s="76" t="s">
        <v>43</v>
      </c>
      <c r="I1962" s="76" t="s">
        <v>32</v>
      </c>
      <c r="J1962" s="76">
        <v>89.58</v>
      </c>
      <c r="K1962" s="76">
        <v>78.900000000000006</v>
      </c>
      <c r="L1962" s="78">
        <f t="shared" si="212"/>
        <v>0.88077695914266585</v>
      </c>
      <c r="M1962" s="78">
        <f t="shared" si="213"/>
        <v>0.88077695914266585</v>
      </c>
      <c r="N1962" s="76" t="s">
        <v>25</v>
      </c>
      <c r="O1962" s="76" t="s">
        <v>25</v>
      </c>
      <c r="P1962" s="76">
        <v>0</v>
      </c>
      <c r="Q1962" s="76">
        <v>0</v>
      </c>
      <c r="R1962" s="76" t="s">
        <v>2862</v>
      </c>
      <c r="S1962" s="76"/>
    </row>
    <row r="1963" spans="1:19" x14ac:dyDescent="0.3">
      <c r="A1963" s="76" t="s">
        <v>2859</v>
      </c>
      <c r="B1963" s="76" t="s">
        <v>2860</v>
      </c>
      <c r="C1963" s="76" t="s">
        <v>1263</v>
      </c>
      <c r="D1963" s="76" t="s">
        <v>39</v>
      </c>
      <c r="E1963" s="76" t="s">
        <v>22</v>
      </c>
      <c r="F1963" s="77">
        <v>45291</v>
      </c>
      <c r="G1963" s="76">
        <v>2023</v>
      </c>
      <c r="H1963" s="76" t="s">
        <v>27</v>
      </c>
      <c r="I1963" s="76" t="s">
        <v>32</v>
      </c>
      <c r="J1963" s="76">
        <v>100</v>
      </c>
      <c r="K1963" s="76">
        <v>92.86</v>
      </c>
      <c r="L1963" s="78">
        <f t="shared" si="212"/>
        <v>0.92859999999999998</v>
      </c>
      <c r="M1963" s="78">
        <f t="shared" si="213"/>
        <v>0.92859999999999998</v>
      </c>
      <c r="N1963" s="76" t="s">
        <v>25</v>
      </c>
      <c r="O1963" s="76" t="s">
        <v>25</v>
      </c>
      <c r="P1963" s="76">
        <v>0</v>
      </c>
      <c r="Q1963" s="76">
        <v>0</v>
      </c>
      <c r="R1963" s="76" t="s">
        <v>2863</v>
      </c>
      <c r="S1963" s="76"/>
    </row>
    <row r="1964" spans="1:19" x14ac:dyDescent="0.3">
      <c r="A1964" s="36" t="s">
        <v>2859</v>
      </c>
      <c r="B1964" s="12" t="s">
        <v>2864</v>
      </c>
      <c r="C1964" s="37" t="s">
        <v>2801</v>
      </c>
      <c r="D1964" s="37" t="s">
        <v>39</v>
      </c>
      <c r="E1964" s="37" t="s">
        <v>22</v>
      </c>
      <c r="F1964" s="42">
        <v>45473</v>
      </c>
      <c r="G1964" s="37">
        <v>2024</v>
      </c>
      <c r="H1964" s="37" t="s">
        <v>23</v>
      </c>
      <c r="I1964" s="39" t="s">
        <v>34</v>
      </c>
      <c r="J1964" s="37">
        <v>65.739999999999995</v>
      </c>
      <c r="K1964" s="37">
        <v>68.33</v>
      </c>
      <c r="L1964" s="65">
        <f t="shared" si="212"/>
        <v>1</v>
      </c>
      <c r="M1964" s="65">
        <f t="shared" si="213"/>
        <v>1</v>
      </c>
      <c r="N1964" s="37" t="s">
        <v>25</v>
      </c>
      <c r="O1964" s="37" t="s">
        <v>25</v>
      </c>
      <c r="P1964" s="37">
        <v>0</v>
      </c>
      <c r="Q1964" s="37">
        <v>0</v>
      </c>
      <c r="R1964" s="37" t="s">
        <v>2865</v>
      </c>
      <c r="S1964" s="37"/>
    </row>
    <row r="1965" spans="1:19" x14ac:dyDescent="0.3">
      <c r="A1965" s="76" t="s">
        <v>2859</v>
      </c>
      <c r="B1965" s="76" t="s">
        <v>2860</v>
      </c>
      <c r="C1965" s="76" t="s">
        <v>1263</v>
      </c>
      <c r="D1965" s="76" t="s">
        <v>39</v>
      </c>
      <c r="E1965" s="76" t="s">
        <v>22</v>
      </c>
      <c r="F1965" s="77">
        <v>45565</v>
      </c>
      <c r="G1965" s="76">
        <v>2024</v>
      </c>
      <c r="H1965" s="76" t="s">
        <v>43</v>
      </c>
      <c r="I1965" s="76" t="s">
        <v>36</v>
      </c>
      <c r="J1965" s="76">
        <v>96.96</v>
      </c>
      <c r="K1965" s="76">
        <v>88.33</v>
      </c>
      <c r="L1965" s="78">
        <f t="shared" si="212"/>
        <v>0.91099422442244227</v>
      </c>
      <c r="M1965" s="78">
        <f t="shared" si="213"/>
        <v>0.91099422442244227</v>
      </c>
      <c r="N1965" s="76" t="s">
        <v>25</v>
      </c>
      <c r="O1965" s="76" t="s">
        <v>25</v>
      </c>
      <c r="P1965" s="76">
        <v>0</v>
      </c>
      <c r="Q1965" s="76">
        <v>0</v>
      </c>
      <c r="R1965" s="76" t="s">
        <v>2866</v>
      </c>
      <c r="S1965" s="76"/>
    </row>
    <row r="1966" spans="1:19" x14ac:dyDescent="0.3">
      <c r="A1966" s="76" t="s">
        <v>2859</v>
      </c>
      <c r="B1966" s="76" t="s">
        <v>2860</v>
      </c>
      <c r="C1966" s="76" t="s">
        <v>1263</v>
      </c>
      <c r="D1966" s="76" t="s">
        <v>39</v>
      </c>
      <c r="E1966" s="76" t="s">
        <v>22</v>
      </c>
      <c r="F1966" s="77">
        <v>45657</v>
      </c>
      <c r="G1966" s="76">
        <v>2024</v>
      </c>
      <c r="H1966" s="76" t="s">
        <v>27</v>
      </c>
      <c r="I1966" s="76" t="s">
        <v>36</v>
      </c>
      <c r="J1966" s="76">
        <v>100</v>
      </c>
      <c r="K1966" s="76">
        <v>100</v>
      </c>
      <c r="L1966" s="78">
        <f t="shared" si="212"/>
        <v>1</v>
      </c>
      <c r="M1966" s="78">
        <f t="shared" si="213"/>
        <v>1</v>
      </c>
      <c r="N1966" s="76" t="s">
        <v>25</v>
      </c>
      <c r="O1966" s="76" t="s">
        <v>25</v>
      </c>
      <c r="P1966" s="76">
        <v>0</v>
      </c>
      <c r="Q1966" s="76">
        <v>0</v>
      </c>
      <c r="R1966" s="76" t="s">
        <v>2867</v>
      </c>
      <c r="S1966" s="76"/>
    </row>
    <row r="1967" spans="1:19" x14ac:dyDescent="0.3">
      <c r="A1967" s="76" t="s">
        <v>2868</v>
      </c>
      <c r="B1967" s="76" t="s">
        <v>2869</v>
      </c>
      <c r="C1967" s="76" t="s">
        <v>1263</v>
      </c>
      <c r="D1967" s="76" t="s">
        <v>39</v>
      </c>
      <c r="E1967" s="76" t="s">
        <v>22</v>
      </c>
      <c r="F1967" s="77">
        <v>45107</v>
      </c>
      <c r="G1967" s="76">
        <v>2023</v>
      </c>
      <c r="H1967" s="76" t="s">
        <v>23</v>
      </c>
      <c r="I1967" s="76" t="s">
        <v>30</v>
      </c>
      <c r="J1967" s="76">
        <v>54.33</v>
      </c>
      <c r="K1967" s="76">
        <v>67</v>
      </c>
      <c r="L1967" s="78">
        <f t="shared" si="212"/>
        <v>1</v>
      </c>
      <c r="M1967" s="78">
        <f t="shared" si="213"/>
        <v>1</v>
      </c>
      <c r="N1967" s="76" t="s">
        <v>25</v>
      </c>
      <c r="O1967" s="76" t="s">
        <v>25</v>
      </c>
      <c r="P1967" s="76">
        <v>0</v>
      </c>
      <c r="Q1967" s="76">
        <v>0</v>
      </c>
      <c r="R1967" s="76" t="s">
        <v>2870</v>
      </c>
      <c r="S1967" s="76"/>
    </row>
    <row r="1968" spans="1:19" x14ac:dyDescent="0.3">
      <c r="A1968" s="76" t="s">
        <v>2868</v>
      </c>
      <c r="B1968" s="76" t="s">
        <v>2869</v>
      </c>
      <c r="C1968" s="76" t="s">
        <v>1263</v>
      </c>
      <c r="D1968" s="76" t="s">
        <v>39</v>
      </c>
      <c r="E1968" s="76" t="s">
        <v>22</v>
      </c>
      <c r="F1968" s="77">
        <v>45199</v>
      </c>
      <c r="G1968" s="76">
        <v>2023</v>
      </c>
      <c r="H1968" s="76" t="s">
        <v>43</v>
      </c>
      <c r="I1968" s="76" t="s">
        <v>32</v>
      </c>
      <c r="J1968" s="76">
        <v>90.21</v>
      </c>
      <c r="K1968" s="76">
        <v>92</v>
      </c>
      <c r="L1968" s="78">
        <f t="shared" si="212"/>
        <v>1</v>
      </c>
      <c r="M1968" s="78">
        <f t="shared" si="213"/>
        <v>1</v>
      </c>
      <c r="N1968" s="76" t="s">
        <v>25</v>
      </c>
      <c r="O1968" s="76" t="s">
        <v>25</v>
      </c>
      <c r="P1968" s="76">
        <v>0</v>
      </c>
      <c r="Q1968" s="76">
        <v>0</v>
      </c>
      <c r="R1968" s="76" t="s">
        <v>2871</v>
      </c>
      <c r="S1968" s="76"/>
    </row>
    <row r="1969" spans="1:19" x14ac:dyDescent="0.3">
      <c r="A1969" s="76" t="s">
        <v>2868</v>
      </c>
      <c r="B1969" s="76" t="s">
        <v>2869</v>
      </c>
      <c r="C1969" s="76" t="s">
        <v>1263</v>
      </c>
      <c r="D1969" s="76" t="s">
        <v>39</v>
      </c>
      <c r="E1969" s="76" t="s">
        <v>22</v>
      </c>
      <c r="F1969" s="77">
        <v>45291</v>
      </c>
      <c r="G1969" s="76">
        <v>2023</v>
      </c>
      <c r="H1969" s="76" t="s">
        <v>27</v>
      </c>
      <c r="I1969" s="76" t="s">
        <v>32</v>
      </c>
      <c r="J1969" s="76">
        <v>100</v>
      </c>
      <c r="K1969" s="76">
        <v>100</v>
      </c>
      <c r="L1969" s="78">
        <f t="shared" si="212"/>
        <v>1</v>
      </c>
      <c r="M1969" s="78">
        <f t="shared" si="213"/>
        <v>1</v>
      </c>
      <c r="N1969" s="76" t="s">
        <v>25</v>
      </c>
      <c r="O1969" s="76" t="s">
        <v>25</v>
      </c>
      <c r="P1969" s="76">
        <v>0</v>
      </c>
      <c r="Q1969" s="76">
        <v>0</v>
      </c>
      <c r="R1969" s="76" t="s">
        <v>2872</v>
      </c>
      <c r="S1969" s="76"/>
    </row>
    <row r="1970" spans="1:19" x14ac:dyDescent="0.3">
      <c r="A1970" s="36" t="s">
        <v>2868</v>
      </c>
      <c r="B1970" s="12" t="s">
        <v>2873</v>
      </c>
      <c r="C1970" s="37" t="s">
        <v>2801</v>
      </c>
      <c r="D1970" s="37" t="s">
        <v>39</v>
      </c>
      <c r="E1970" s="37" t="s">
        <v>22</v>
      </c>
      <c r="F1970" s="42">
        <v>45473</v>
      </c>
      <c r="G1970" s="37">
        <v>2024</v>
      </c>
      <c r="H1970" s="37" t="s">
        <v>23</v>
      </c>
      <c r="I1970" s="39" t="s">
        <v>34</v>
      </c>
      <c r="J1970" s="37">
        <v>50.22</v>
      </c>
      <c r="K1970" s="37">
        <v>52.92</v>
      </c>
      <c r="L1970" s="65">
        <f t="shared" si="212"/>
        <v>1</v>
      </c>
      <c r="M1970" s="65">
        <f t="shared" si="213"/>
        <v>1</v>
      </c>
      <c r="N1970" s="37" t="s">
        <v>25</v>
      </c>
      <c r="O1970" s="37" t="s">
        <v>25</v>
      </c>
      <c r="P1970" s="37">
        <v>0</v>
      </c>
      <c r="Q1970" s="37">
        <v>0</v>
      </c>
      <c r="R1970" s="37" t="s">
        <v>2874</v>
      </c>
      <c r="S1970" s="37"/>
    </row>
    <row r="1971" spans="1:19" x14ac:dyDescent="0.3">
      <c r="A1971" s="76" t="s">
        <v>2868</v>
      </c>
      <c r="B1971" s="76" t="s">
        <v>2869</v>
      </c>
      <c r="C1971" s="76" t="s">
        <v>1263</v>
      </c>
      <c r="D1971" s="76" t="s">
        <v>39</v>
      </c>
      <c r="E1971" s="76" t="s">
        <v>22</v>
      </c>
      <c r="F1971" s="77">
        <v>45565</v>
      </c>
      <c r="G1971" s="76">
        <v>2024</v>
      </c>
      <c r="H1971" s="76" t="s">
        <v>43</v>
      </c>
      <c r="I1971" s="76" t="s">
        <v>36</v>
      </c>
      <c r="J1971" s="76">
        <v>100</v>
      </c>
      <c r="K1971" s="76">
        <v>81.94</v>
      </c>
      <c r="L1971" s="78">
        <f t="shared" si="212"/>
        <v>0.81940000000000002</v>
      </c>
      <c r="M1971" s="78">
        <f t="shared" si="213"/>
        <v>0.81940000000000002</v>
      </c>
      <c r="N1971" s="76" t="s">
        <v>25</v>
      </c>
      <c r="O1971" s="76" t="s">
        <v>25</v>
      </c>
      <c r="P1971" s="76">
        <v>0</v>
      </c>
      <c r="Q1971" s="76">
        <v>0</v>
      </c>
      <c r="R1971" s="76" t="s">
        <v>2875</v>
      </c>
      <c r="S1971" s="76"/>
    </row>
    <row r="1972" spans="1:19" x14ac:dyDescent="0.3">
      <c r="A1972" s="76" t="s">
        <v>2868</v>
      </c>
      <c r="B1972" s="76" t="s">
        <v>2869</v>
      </c>
      <c r="C1972" s="76" t="s">
        <v>1263</v>
      </c>
      <c r="D1972" s="76" t="s">
        <v>39</v>
      </c>
      <c r="E1972" s="76" t="s">
        <v>22</v>
      </c>
      <c r="F1972" s="77">
        <v>45657</v>
      </c>
      <c r="G1972" s="76">
        <v>2024</v>
      </c>
      <c r="H1972" s="76" t="s">
        <v>27</v>
      </c>
      <c r="I1972" s="76" t="s">
        <v>36</v>
      </c>
      <c r="J1972" s="76">
        <v>100</v>
      </c>
      <c r="K1972" s="76">
        <v>100</v>
      </c>
      <c r="L1972" s="78">
        <f t="shared" si="212"/>
        <v>1</v>
      </c>
      <c r="M1972" s="78">
        <f t="shared" si="213"/>
        <v>1</v>
      </c>
      <c r="N1972" s="76" t="s">
        <v>25</v>
      </c>
      <c r="O1972" s="76" t="s">
        <v>25</v>
      </c>
      <c r="P1972" s="76">
        <v>0</v>
      </c>
      <c r="Q1972" s="76">
        <v>0</v>
      </c>
      <c r="R1972" s="76" t="s">
        <v>2876</v>
      </c>
      <c r="S1972" s="76"/>
    </row>
    <row r="1973" spans="1:19" x14ac:dyDescent="0.3">
      <c r="A1973" s="76" t="s">
        <v>2877</v>
      </c>
      <c r="B1973" s="76" t="s">
        <v>2878</v>
      </c>
      <c r="C1973" s="76" t="s">
        <v>1263</v>
      </c>
      <c r="D1973" s="76" t="s">
        <v>39</v>
      </c>
      <c r="E1973" s="76" t="s">
        <v>22</v>
      </c>
      <c r="F1973" s="77">
        <v>45107</v>
      </c>
      <c r="G1973" s="76">
        <v>2023</v>
      </c>
      <c r="H1973" s="76" t="s">
        <v>23</v>
      </c>
      <c r="I1973" s="76" t="s">
        <v>30</v>
      </c>
      <c r="J1973" s="76">
        <v>60.38</v>
      </c>
      <c r="K1973" s="76">
        <v>73.06</v>
      </c>
      <c r="L1973" s="78">
        <f t="shared" si="212"/>
        <v>1</v>
      </c>
      <c r="M1973" s="78">
        <f t="shared" si="213"/>
        <v>1</v>
      </c>
      <c r="N1973" s="76" t="s">
        <v>25</v>
      </c>
      <c r="O1973" s="76" t="s">
        <v>25</v>
      </c>
      <c r="P1973" s="76">
        <v>0</v>
      </c>
      <c r="Q1973" s="76">
        <v>0</v>
      </c>
      <c r="R1973" s="76" t="s">
        <v>2879</v>
      </c>
      <c r="S1973" s="76"/>
    </row>
    <row r="1974" spans="1:19" x14ac:dyDescent="0.3">
      <c r="A1974" s="76" t="s">
        <v>2877</v>
      </c>
      <c r="B1974" s="76" t="s">
        <v>2878</v>
      </c>
      <c r="C1974" s="76" t="s">
        <v>1263</v>
      </c>
      <c r="D1974" s="76" t="s">
        <v>39</v>
      </c>
      <c r="E1974" s="76" t="s">
        <v>22</v>
      </c>
      <c r="F1974" s="77">
        <v>45199</v>
      </c>
      <c r="G1974" s="76">
        <v>2023</v>
      </c>
      <c r="H1974" s="76" t="s">
        <v>43</v>
      </c>
      <c r="I1974" s="76" t="s">
        <v>32</v>
      </c>
      <c r="J1974" s="76">
        <v>91.94</v>
      </c>
      <c r="K1974" s="76">
        <v>90.9</v>
      </c>
      <c r="L1974" s="78">
        <f t="shared" si="212"/>
        <v>0.98868827496193179</v>
      </c>
      <c r="M1974" s="78">
        <f t="shared" si="213"/>
        <v>0.98868827496193179</v>
      </c>
      <c r="N1974" s="76" t="s">
        <v>25</v>
      </c>
      <c r="O1974" s="76" t="s">
        <v>25</v>
      </c>
      <c r="P1974" s="76">
        <v>0</v>
      </c>
      <c r="Q1974" s="76">
        <v>0</v>
      </c>
      <c r="R1974" s="76" t="s">
        <v>2880</v>
      </c>
      <c r="S1974" s="76"/>
    </row>
    <row r="1975" spans="1:19" x14ac:dyDescent="0.3">
      <c r="A1975" s="76" t="s">
        <v>2877</v>
      </c>
      <c r="B1975" s="76" t="s">
        <v>2878</v>
      </c>
      <c r="C1975" s="76" t="s">
        <v>1263</v>
      </c>
      <c r="D1975" s="76" t="s">
        <v>39</v>
      </c>
      <c r="E1975" s="76" t="s">
        <v>22</v>
      </c>
      <c r="F1975" s="77">
        <v>45291</v>
      </c>
      <c r="G1975" s="76">
        <v>2023</v>
      </c>
      <c r="H1975" s="76" t="s">
        <v>27</v>
      </c>
      <c r="I1975" s="76" t="s">
        <v>32</v>
      </c>
      <c r="J1975" s="76">
        <v>100</v>
      </c>
      <c r="K1975" s="76">
        <v>100</v>
      </c>
      <c r="L1975" s="78">
        <f t="shared" si="212"/>
        <v>1</v>
      </c>
      <c r="M1975" s="78">
        <f t="shared" si="213"/>
        <v>1</v>
      </c>
      <c r="N1975" s="76" t="s">
        <v>25</v>
      </c>
      <c r="O1975" s="76" t="s">
        <v>25</v>
      </c>
      <c r="P1975" s="76">
        <v>0</v>
      </c>
      <c r="Q1975" s="76">
        <v>0</v>
      </c>
      <c r="R1975" s="76" t="s">
        <v>2881</v>
      </c>
      <c r="S1975" s="76"/>
    </row>
    <row r="1976" spans="1:19" x14ac:dyDescent="0.3">
      <c r="A1976" s="36" t="s">
        <v>2877</v>
      </c>
      <c r="B1976" s="12" t="s">
        <v>2882</v>
      </c>
      <c r="C1976" s="37" t="s">
        <v>2801</v>
      </c>
      <c r="D1976" s="37" t="s">
        <v>39</v>
      </c>
      <c r="E1976" s="37" t="s">
        <v>22</v>
      </c>
      <c r="F1976" s="42">
        <v>45473</v>
      </c>
      <c r="G1976" s="37">
        <v>2024</v>
      </c>
      <c r="H1976" s="37" t="s">
        <v>23</v>
      </c>
      <c r="I1976" s="39" t="s">
        <v>34</v>
      </c>
      <c r="J1976" s="37">
        <v>58.85</v>
      </c>
      <c r="K1976" s="37">
        <v>65.08</v>
      </c>
      <c r="L1976" s="65">
        <f t="shared" si="212"/>
        <v>1</v>
      </c>
      <c r="M1976" s="65">
        <f t="shared" si="213"/>
        <v>1</v>
      </c>
      <c r="N1976" s="37" t="s">
        <v>25</v>
      </c>
      <c r="O1976" s="37" t="s">
        <v>25</v>
      </c>
      <c r="P1976" s="37">
        <v>0</v>
      </c>
      <c r="Q1976" s="37">
        <v>0</v>
      </c>
      <c r="R1976" s="37" t="s">
        <v>2883</v>
      </c>
      <c r="S1976" s="37"/>
    </row>
    <row r="1977" spans="1:19" x14ac:dyDescent="0.3">
      <c r="A1977" s="76" t="s">
        <v>2877</v>
      </c>
      <c r="B1977" s="76" t="s">
        <v>2878</v>
      </c>
      <c r="C1977" s="76" t="s">
        <v>1263</v>
      </c>
      <c r="D1977" s="76" t="s">
        <v>39</v>
      </c>
      <c r="E1977" s="76" t="s">
        <v>22</v>
      </c>
      <c r="F1977" s="77">
        <v>45565</v>
      </c>
      <c r="G1977" s="76">
        <v>2024</v>
      </c>
      <c r="H1977" s="76" t="s">
        <v>43</v>
      </c>
      <c r="I1977" s="76" t="s">
        <v>36</v>
      </c>
      <c r="J1977" s="76">
        <v>100</v>
      </c>
      <c r="K1977" s="76">
        <v>92.17</v>
      </c>
      <c r="L1977" s="78">
        <f t="shared" si="212"/>
        <v>0.92169999999999996</v>
      </c>
      <c r="M1977" s="78">
        <f t="shared" si="213"/>
        <v>0.92169999999999996</v>
      </c>
      <c r="N1977" s="76" t="s">
        <v>25</v>
      </c>
      <c r="O1977" s="76" t="s">
        <v>25</v>
      </c>
      <c r="P1977" s="76">
        <v>0</v>
      </c>
      <c r="Q1977" s="76">
        <v>0</v>
      </c>
      <c r="R1977" s="76" t="s">
        <v>2884</v>
      </c>
      <c r="S1977" s="76"/>
    </row>
    <row r="1978" spans="1:19" x14ac:dyDescent="0.3">
      <c r="A1978" s="76" t="s">
        <v>2877</v>
      </c>
      <c r="B1978" s="76" t="s">
        <v>2878</v>
      </c>
      <c r="C1978" s="76" t="s">
        <v>1263</v>
      </c>
      <c r="D1978" s="76" t="s">
        <v>39</v>
      </c>
      <c r="E1978" s="76" t="s">
        <v>22</v>
      </c>
      <c r="F1978" s="77">
        <v>45657</v>
      </c>
      <c r="G1978" s="76">
        <v>2024</v>
      </c>
      <c r="H1978" s="76" t="s">
        <v>27</v>
      </c>
      <c r="I1978" s="76" t="s">
        <v>36</v>
      </c>
      <c r="J1978" s="76">
        <v>100</v>
      </c>
      <c r="K1978" s="76">
        <v>100</v>
      </c>
      <c r="L1978" s="78">
        <f t="shared" si="212"/>
        <v>1</v>
      </c>
      <c r="M1978" s="78">
        <f t="shared" si="213"/>
        <v>1</v>
      </c>
      <c r="N1978" s="76" t="s">
        <v>25</v>
      </c>
      <c r="O1978" s="76" t="s">
        <v>25</v>
      </c>
      <c r="P1978" s="76">
        <v>0</v>
      </c>
      <c r="Q1978" s="76">
        <v>0</v>
      </c>
      <c r="R1978" s="76" t="s">
        <v>2885</v>
      </c>
      <c r="S1978" s="76"/>
    </row>
    <row r="1979" spans="1:19" x14ac:dyDescent="0.3">
      <c r="A1979" s="76" t="s">
        <v>2886</v>
      </c>
      <c r="B1979" s="76" t="s">
        <v>2887</v>
      </c>
      <c r="C1979" s="76" t="s">
        <v>1263</v>
      </c>
      <c r="D1979" s="76" t="s">
        <v>39</v>
      </c>
      <c r="E1979" s="76" t="s">
        <v>22</v>
      </c>
      <c r="F1979" s="77">
        <v>45107</v>
      </c>
      <c r="G1979" s="76">
        <v>2023</v>
      </c>
      <c r="H1979" s="76" t="s">
        <v>23</v>
      </c>
      <c r="I1979" s="76" t="s">
        <v>30</v>
      </c>
      <c r="J1979" s="76">
        <v>69.650000000000006</v>
      </c>
      <c r="K1979" s="76">
        <v>68.75</v>
      </c>
      <c r="L1979" s="78">
        <f t="shared" si="212"/>
        <v>0.98707824838478098</v>
      </c>
      <c r="M1979" s="78">
        <f t="shared" si="213"/>
        <v>0.98707824838478098</v>
      </c>
      <c r="N1979" s="76" t="s">
        <v>25</v>
      </c>
      <c r="O1979" s="76" t="s">
        <v>25</v>
      </c>
      <c r="P1979" s="76">
        <v>0</v>
      </c>
      <c r="Q1979" s="76">
        <v>0</v>
      </c>
      <c r="R1979" s="76" t="s">
        <v>2888</v>
      </c>
      <c r="S1979" s="76"/>
    </row>
    <row r="1980" spans="1:19" x14ac:dyDescent="0.3">
      <c r="A1980" s="76" t="s">
        <v>2886</v>
      </c>
      <c r="B1980" s="76" t="s">
        <v>2887</v>
      </c>
      <c r="C1980" s="76" t="s">
        <v>1263</v>
      </c>
      <c r="D1980" s="76" t="s">
        <v>39</v>
      </c>
      <c r="E1980" s="76" t="s">
        <v>22</v>
      </c>
      <c r="F1980" s="77">
        <v>45199</v>
      </c>
      <c r="G1980" s="76">
        <v>2023</v>
      </c>
      <c r="H1980" s="76" t="s">
        <v>43</v>
      </c>
      <c r="I1980" s="76" t="s">
        <v>32</v>
      </c>
      <c r="J1980" s="76">
        <v>94.86</v>
      </c>
      <c r="K1980" s="76">
        <v>91.25</v>
      </c>
      <c r="L1980" s="78">
        <f t="shared" si="212"/>
        <v>0.961943917351887</v>
      </c>
      <c r="M1980" s="78">
        <f t="shared" si="213"/>
        <v>0.961943917351887</v>
      </c>
      <c r="N1980" s="76" t="s">
        <v>25</v>
      </c>
      <c r="O1980" s="76" t="s">
        <v>25</v>
      </c>
      <c r="P1980" s="76">
        <v>0</v>
      </c>
      <c r="Q1980" s="76">
        <v>0</v>
      </c>
      <c r="R1980" s="76" t="s">
        <v>2889</v>
      </c>
      <c r="S1980" s="76"/>
    </row>
    <row r="1981" spans="1:19" x14ac:dyDescent="0.3">
      <c r="A1981" s="76" t="s">
        <v>2886</v>
      </c>
      <c r="B1981" s="76" t="s">
        <v>2887</v>
      </c>
      <c r="C1981" s="76" t="s">
        <v>1263</v>
      </c>
      <c r="D1981" s="76" t="s">
        <v>39</v>
      </c>
      <c r="E1981" s="76" t="s">
        <v>22</v>
      </c>
      <c r="F1981" s="77">
        <v>45291</v>
      </c>
      <c r="G1981" s="76">
        <v>2023</v>
      </c>
      <c r="H1981" s="76" t="s">
        <v>27</v>
      </c>
      <c r="I1981" s="76" t="s">
        <v>32</v>
      </c>
      <c r="J1981" s="76">
        <v>100</v>
      </c>
      <c r="K1981" s="76">
        <v>100</v>
      </c>
      <c r="L1981" s="78">
        <f t="shared" si="212"/>
        <v>1</v>
      </c>
      <c r="M1981" s="78">
        <f t="shared" si="213"/>
        <v>1</v>
      </c>
      <c r="N1981" s="76" t="s">
        <v>25</v>
      </c>
      <c r="O1981" s="76" t="s">
        <v>25</v>
      </c>
      <c r="P1981" s="76">
        <v>0</v>
      </c>
      <c r="Q1981" s="76">
        <v>0</v>
      </c>
      <c r="R1981" s="76" t="s">
        <v>2890</v>
      </c>
      <c r="S1981" s="76"/>
    </row>
    <row r="1982" spans="1:19" x14ac:dyDescent="0.3">
      <c r="A1982" s="36" t="s">
        <v>2886</v>
      </c>
      <c r="B1982" s="12" t="s">
        <v>2891</v>
      </c>
      <c r="C1982" s="37" t="s">
        <v>2801</v>
      </c>
      <c r="D1982" s="37" t="s">
        <v>39</v>
      </c>
      <c r="E1982" s="37" t="s">
        <v>22</v>
      </c>
      <c r="F1982" s="42">
        <v>45473</v>
      </c>
      <c r="G1982" s="37">
        <v>2024</v>
      </c>
      <c r="H1982" s="37" t="s">
        <v>23</v>
      </c>
      <c r="I1982" s="39" t="s">
        <v>34</v>
      </c>
      <c r="J1982" s="37">
        <v>44.13</v>
      </c>
      <c r="K1982" s="37">
        <v>58.56</v>
      </c>
      <c r="L1982" s="65">
        <f t="shared" si="212"/>
        <v>1</v>
      </c>
      <c r="M1982" s="65">
        <f t="shared" si="213"/>
        <v>1</v>
      </c>
      <c r="N1982" s="37" t="s">
        <v>25</v>
      </c>
      <c r="O1982" s="37" t="s">
        <v>25</v>
      </c>
      <c r="P1982" s="37">
        <v>0</v>
      </c>
      <c r="Q1982" s="37">
        <v>0</v>
      </c>
      <c r="R1982" s="37" t="s">
        <v>2892</v>
      </c>
      <c r="S1982" s="37"/>
    </row>
    <row r="1983" spans="1:19" x14ac:dyDescent="0.3">
      <c r="A1983" s="76" t="s">
        <v>2886</v>
      </c>
      <c r="B1983" s="76" t="s">
        <v>2887</v>
      </c>
      <c r="C1983" s="76" t="s">
        <v>1263</v>
      </c>
      <c r="D1983" s="76" t="s">
        <v>39</v>
      </c>
      <c r="E1983" s="76" t="s">
        <v>22</v>
      </c>
      <c r="F1983" s="77">
        <v>45565</v>
      </c>
      <c r="G1983" s="76">
        <v>2024</v>
      </c>
      <c r="H1983" s="76" t="s">
        <v>43</v>
      </c>
      <c r="I1983" s="76" t="s">
        <v>36</v>
      </c>
      <c r="J1983" s="76">
        <v>100</v>
      </c>
      <c r="K1983" s="76">
        <v>87.58</v>
      </c>
      <c r="L1983" s="78">
        <f t="shared" si="212"/>
        <v>0.87580000000000002</v>
      </c>
      <c r="M1983" s="78">
        <f t="shared" si="213"/>
        <v>0.87580000000000002</v>
      </c>
      <c r="N1983" s="76" t="s">
        <v>25</v>
      </c>
      <c r="O1983" s="76" t="s">
        <v>25</v>
      </c>
      <c r="P1983" s="76">
        <v>0</v>
      </c>
      <c r="Q1983" s="76">
        <v>0</v>
      </c>
      <c r="R1983" s="76" t="s">
        <v>2893</v>
      </c>
      <c r="S1983" s="76"/>
    </row>
    <row r="1984" spans="1:19" x14ac:dyDescent="0.3">
      <c r="A1984" s="76" t="s">
        <v>2886</v>
      </c>
      <c r="B1984" s="76" t="s">
        <v>2887</v>
      </c>
      <c r="C1984" s="76" t="s">
        <v>1263</v>
      </c>
      <c r="D1984" s="76" t="s">
        <v>39</v>
      </c>
      <c r="E1984" s="76" t="s">
        <v>22</v>
      </c>
      <c r="F1984" s="77">
        <v>45657</v>
      </c>
      <c r="G1984" s="76">
        <v>2024</v>
      </c>
      <c r="H1984" s="76" t="s">
        <v>27</v>
      </c>
      <c r="I1984" s="76" t="s">
        <v>36</v>
      </c>
      <c r="J1984" s="76">
        <v>100</v>
      </c>
      <c r="K1984" s="76">
        <v>100</v>
      </c>
      <c r="L1984" s="78">
        <f t="shared" si="212"/>
        <v>1</v>
      </c>
      <c r="M1984" s="78">
        <f t="shared" si="213"/>
        <v>1</v>
      </c>
      <c r="N1984" s="76" t="s">
        <v>25</v>
      </c>
      <c r="O1984" s="76" t="s">
        <v>25</v>
      </c>
      <c r="P1984" s="76">
        <v>0</v>
      </c>
      <c r="Q1984" s="76">
        <v>0</v>
      </c>
      <c r="R1984" s="76" t="s">
        <v>2894</v>
      </c>
      <c r="S1984" s="76"/>
    </row>
    <row r="1985" spans="1:19" x14ac:dyDescent="0.3">
      <c r="A1985" s="76" t="s">
        <v>2895</v>
      </c>
      <c r="B1985" s="76" t="s">
        <v>2896</v>
      </c>
      <c r="C1985" s="76" t="s">
        <v>1263</v>
      </c>
      <c r="D1985" s="76" t="s">
        <v>39</v>
      </c>
      <c r="E1985" s="76" t="s">
        <v>22</v>
      </c>
      <c r="F1985" s="77">
        <v>45107</v>
      </c>
      <c r="G1985" s="76">
        <v>2023</v>
      </c>
      <c r="H1985" s="76" t="s">
        <v>23</v>
      </c>
      <c r="I1985" s="76" t="s">
        <v>30</v>
      </c>
      <c r="J1985" s="76">
        <v>51.82</v>
      </c>
      <c r="K1985" s="76">
        <v>58.57</v>
      </c>
      <c r="L1985" s="78">
        <f t="shared" ref="L1985:L2018" si="214">IFERROR(IF(OR(J1985=0,K1985=""),"",IF(E1985="Positivo",MIN(MAX(K1985/J1985,0),1),MIN(MAX(J1985/K1985,0),1))),"")</f>
        <v>1</v>
      </c>
      <c r="M1985" s="78">
        <f t="shared" ref="M1985:M2018" si="215">IFERROR(IF(OR(J1985=0,K1985=""),"",IF(E1985="Positivo",MIN(MAX(K1985/J1985,0),1),MIN(MAX(J1985/K1985,0),1))),"")</f>
        <v>1</v>
      </c>
      <c r="N1985" s="76" t="s">
        <v>25</v>
      </c>
      <c r="O1985" s="76" t="s">
        <v>25</v>
      </c>
      <c r="P1985" s="76">
        <v>0</v>
      </c>
      <c r="Q1985" s="76">
        <v>0</v>
      </c>
      <c r="R1985" s="76" t="s">
        <v>2897</v>
      </c>
      <c r="S1985" s="76"/>
    </row>
    <row r="1986" spans="1:19" x14ac:dyDescent="0.3">
      <c r="A1986" s="76" t="s">
        <v>2895</v>
      </c>
      <c r="B1986" s="76" t="s">
        <v>2896</v>
      </c>
      <c r="C1986" s="76" t="s">
        <v>1263</v>
      </c>
      <c r="D1986" s="76" t="s">
        <v>39</v>
      </c>
      <c r="E1986" s="76" t="s">
        <v>22</v>
      </c>
      <c r="F1986" s="77">
        <v>45199</v>
      </c>
      <c r="G1986" s="76">
        <v>2023</v>
      </c>
      <c r="H1986" s="76" t="s">
        <v>43</v>
      </c>
      <c r="I1986" s="76" t="s">
        <v>32</v>
      </c>
      <c r="J1986" s="76">
        <v>92.72</v>
      </c>
      <c r="K1986" s="76">
        <v>90</v>
      </c>
      <c r="L1986" s="78">
        <f t="shared" si="214"/>
        <v>0.97066436583261428</v>
      </c>
      <c r="M1986" s="78">
        <f t="shared" si="215"/>
        <v>0.97066436583261428</v>
      </c>
      <c r="N1986" s="76" t="s">
        <v>25</v>
      </c>
      <c r="O1986" s="76" t="s">
        <v>25</v>
      </c>
      <c r="P1986" s="76">
        <v>0</v>
      </c>
      <c r="Q1986" s="76">
        <v>0</v>
      </c>
      <c r="R1986" s="76" t="s">
        <v>2898</v>
      </c>
      <c r="S1986" s="76"/>
    </row>
    <row r="1987" spans="1:19" x14ac:dyDescent="0.3">
      <c r="A1987" s="76" t="s">
        <v>2895</v>
      </c>
      <c r="B1987" s="76" t="s">
        <v>2896</v>
      </c>
      <c r="C1987" s="76" t="s">
        <v>1263</v>
      </c>
      <c r="D1987" s="76" t="s">
        <v>39</v>
      </c>
      <c r="E1987" s="76" t="s">
        <v>22</v>
      </c>
      <c r="F1987" s="77">
        <v>45291</v>
      </c>
      <c r="G1987" s="76">
        <v>2023</v>
      </c>
      <c r="H1987" s="76" t="s">
        <v>27</v>
      </c>
      <c r="I1987" s="76" t="s">
        <v>32</v>
      </c>
      <c r="J1987" s="76">
        <v>100</v>
      </c>
      <c r="K1987" s="76">
        <v>100</v>
      </c>
      <c r="L1987" s="78">
        <f t="shared" si="214"/>
        <v>1</v>
      </c>
      <c r="M1987" s="78">
        <f t="shared" si="215"/>
        <v>1</v>
      </c>
      <c r="N1987" s="76" t="s">
        <v>25</v>
      </c>
      <c r="O1987" s="76" t="s">
        <v>25</v>
      </c>
      <c r="P1987" s="76">
        <v>0</v>
      </c>
      <c r="Q1987" s="76">
        <v>0</v>
      </c>
      <c r="R1987" s="76" t="s">
        <v>2899</v>
      </c>
      <c r="S1987" s="76"/>
    </row>
    <row r="1988" spans="1:19" x14ac:dyDescent="0.3">
      <c r="A1988" s="36" t="s">
        <v>2895</v>
      </c>
      <c r="B1988" s="12" t="s">
        <v>2900</v>
      </c>
      <c r="C1988" s="37" t="s">
        <v>2801</v>
      </c>
      <c r="D1988" s="37" t="s">
        <v>39</v>
      </c>
      <c r="E1988" s="37" t="s">
        <v>22</v>
      </c>
      <c r="F1988" s="42">
        <v>45473</v>
      </c>
      <c r="G1988" s="37">
        <v>2024</v>
      </c>
      <c r="H1988" s="37" t="s">
        <v>23</v>
      </c>
      <c r="I1988" s="39" t="s">
        <v>34</v>
      </c>
      <c r="J1988" s="37">
        <v>44.29</v>
      </c>
      <c r="K1988" s="37">
        <v>44.65</v>
      </c>
      <c r="L1988" s="65">
        <f t="shared" si="214"/>
        <v>1</v>
      </c>
      <c r="M1988" s="65">
        <f t="shared" si="215"/>
        <v>1</v>
      </c>
      <c r="N1988" s="37" t="s">
        <v>25</v>
      </c>
      <c r="O1988" s="37" t="s">
        <v>25</v>
      </c>
      <c r="P1988" s="37">
        <v>0</v>
      </c>
      <c r="Q1988" s="37">
        <v>0</v>
      </c>
      <c r="R1988" s="37" t="s">
        <v>2901</v>
      </c>
      <c r="S1988" s="37"/>
    </row>
    <row r="1989" spans="1:19" x14ac:dyDescent="0.3">
      <c r="A1989" s="76" t="s">
        <v>2895</v>
      </c>
      <c r="B1989" s="76" t="s">
        <v>2896</v>
      </c>
      <c r="C1989" s="76" t="s">
        <v>1263</v>
      </c>
      <c r="D1989" s="76" t="s">
        <v>39</v>
      </c>
      <c r="E1989" s="76" t="s">
        <v>22</v>
      </c>
      <c r="F1989" s="77">
        <v>45565</v>
      </c>
      <c r="G1989" s="76">
        <v>2024</v>
      </c>
      <c r="H1989" s="76" t="s">
        <v>43</v>
      </c>
      <c r="I1989" s="76" t="s">
        <v>36</v>
      </c>
      <c r="J1989" s="76">
        <v>100</v>
      </c>
      <c r="K1989" s="76">
        <v>70.67</v>
      </c>
      <c r="L1989" s="78">
        <f t="shared" si="214"/>
        <v>0.70669999999999999</v>
      </c>
      <c r="M1989" s="78">
        <f t="shared" si="215"/>
        <v>0.70669999999999999</v>
      </c>
      <c r="N1989" s="76" t="s">
        <v>25</v>
      </c>
      <c r="O1989" s="76" t="s">
        <v>25</v>
      </c>
      <c r="P1989" s="76">
        <v>0</v>
      </c>
      <c r="Q1989" s="76">
        <v>0</v>
      </c>
      <c r="R1989" s="76" t="s">
        <v>2902</v>
      </c>
      <c r="S1989" s="76"/>
    </row>
    <row r="1990" spans="1:19" x14ac:dyDescent="0.3">
      <c r="A1990" s="76" t="s">
        <v>2895</v>
      </c>
      <c r="B1990" s="76" t="s">
        <v>2896</v>
      </c>
      <c r="C1990" s="76" t="s">
        <v>1263</v>
      </c>
      <c r="D1990" s="76" t="s">
        <v>39</v>
      </c>
      <c r="E1990" s="76" t="s">
        <v>22</v>
      </c>
      <c r="F1990" s="77">
        <v>45657</v>
      </c>
      <c r="G1990" s="76">
        <v>2024</v>
      </c>
      <c r="H1990" s="76" t="s">
        <v>27</v>
      </c>
      <c r="I1990" s="76" t="s">
        <v>36</v>
      </c>
      <c r="J1990" s="76">
        <v>100</v>
      </c>
      <c r="K1990" s="76">
        <v>100</v>
      </c>
      <c r="L1990" s="78">
        <f t="shared" si="214"/>
        <v>1</v>
      </c>
      <c r="M1990" s="78">
        <f t="shared" si="215"/>
        <v>1</v>
      </c>
      <c r="N1990" s="76" t="s">
        <v>25</v>
      </c>
      <c r="O1990" s="76" t="s">
        <v>25</v>
      </c>
      <c r="P1990" s="76">
        <v>0</v>
      </c>
      <c r="Q1990" s="76">
        <v>0</v>
      </c>
      <c r="R1990" s="76" t="s">
        <v>2903</v>
      </c>
      <c r="S1990" s="76"/>
    </row>
    <row r="1991" spans="1:19" x14ac:dyDescent="0.3">
      <c r="A1991" s="76" t="s">
        <v>2904</v>
      </c>
      <c r="B1991" s="76" t="s">
        <v>2905</v>
      </c>
      <c r="C1991" s="76" t="s">
        <v>1263</v>
      </c>
      <c r="D1991" s="76" t="s">
        <v>39</v>
      </c>
      <c r="E1991" s="76" t="s">
        <v>22</v>
      </c>
      <c r="F1991" s="77">
        <v>45107</v>
      </c>
      <c r="G1991" s="76">
        <v>2023</v>
      </c>
      <c r="H1991" s="76" t="s">
        <v>23</v>
      </c>
      <c r="I1991" s="76" t="s">
        <v>30</v>
      </c>
      <c r="J1991" s="76">
        <v>71</v>
      </c>
      <c r="K1991" s="76">
        <v>78</v>
      </c>
      <c r="L1991" s="78">
        <f t="shared" si="214"/>
        <v>1</v>
      </c>
      <c r="M1991" s="78">
        <f t="shared" si="215"/>
        <v>1</v>
      </c>
      <c r="N1991" s="76" t="s">
        <v>25</v>
      </c>
      <c r="O1991" s="76" t="s">
        <v>25</v>
      </c>
      <c r="P1991" s="76">
        <v>0</v>
      </c>
      <c r="Q1991" s="76">
        <v>0</v>
      </c>
      <c r="R1991" s="76" t="s">
        <v>2906</v>
      </c>
      <c r="S1991" s="76"/>
    </row>
    <row r="1992" spans="1:19" x14ac:dyDescent="0.3">
      <c r="A1992" s="76" t="s">
        <v>2904</v>
      </c>
      <c r="B1992" s="76" t="s">
        <v>2905</v>
      </c>
      <c r="C1992" s="76" t="s">
        <v>1263</v>
      </c>
      <c r="D1992" s="76" t="s">
        <v>39</v>
      </c>
      <c r="E1992" s="76" t="s">
        <v>22</v>
      </c>
      <c r="F1992" s="77">
        <v>45199</v>
      </c>
      <c r="G1992" s="76">
        <v>2023</v>
      </c>
      <c r="H1992" s="76" t="s">
        <v>43</v>
      </c>
      <c r="I1992" s="76" t="s">
        <v>32</v>
      </c>
      <c r="J1992" s="76">
        <v>100</v>
      </c>
      <c r="K1992" s="76">
        <v>91.25</v>
      </c>
      <c r="L1992" s="78">
        <f t="shared" si="214"/>
        <v>0.91249999999999998</v>
      </c>
      <c r="M1992" s="78">
        <f t="shared" si="215"/>
        <v>0.91249999999999998</v>
      </c>
      <c r="N1992" s="76" t="s">
        <v>25</v>
      </c>
      <c r="O1992" s="76" t="s">
        <v>25</v>
      </c>
      <c r="P1992" s="76">
        <v>0</v>
      </c>
      <c r="Q1992" s="76">
        <v>0</v>
      </c>
      <c r="R1992" s="76" t="s">
        <v>2907</v>
      </c>
      <c r="S1992" s="76"/>
    </row>
    <row r="1993" spans="1:19" x14ac:dyDescent="0.3">
      <c r="A1993" s="76" t="s">
        <v>2904</v>
      </c>
      <c r="B1993" s="76" t="s">
        <v>2905</v>
      </c>
      <c r="C1993" s="76" t="s">
        <v>1263</v>
      </c>
      <c r="D1993" s="76" t="s">
        <v>39</v>
      </c>
      <c r="E1993" s="76" t="s">
        <v>22</v>
      </c>
      <c r="F1993" s="77">
        <v>45291</v>
      </c>
      <c r="G1993" s="76">
        <v>2023</v>
      </c>
      <c r="H1993" s="76" t="s">
        <v>27</v>
      </c>
      <c r="I1993" s="76" t="s">
        <v>32</v>
      </c>
      <c r="J1993" s="76">
        <v>100</v>
      </c>
      <c r="K1993" s="76">
        <v>99.75</v>
      </c>
      <c r="L1993" s="78">
        <f t="shared" si="214"/>
        <v>0.99750000000000005</v>
      </c>
      <c r="M1993" s="78">
        <f t="shared" si="215"/>
        <v>0.99750000000000005</v>
      </c>
      <c r="N1993" s="76" t="s">
        <v>25</v>
      </c>
      <c r="O1993" s="76" t="s">
        <v>25</v>
      </c>
      <c r="P1993" s="76">
        <v>0</v>
      </c>
      <c r="Q1993" s="76">
        <v>0</v>
      </c>
      <c r="R1993" s="76" t="s">
        <v>2908</v>
      </c>
      <c r="S1993" s="76"/>
    </row>
    <row r="1994" spans="1:19" x14ac:dyDescent="0.3">
      <c r="A1994" s="76" t="s">
        <v>2904</v>
      </c>
      <c r="B1994" s="76" t="s">
        <v>2905</v>
      </c>
      <c r="C1994" s="76" t="s">
        <v>1263</v>
      </c>
      <c r="D1994" s="76" t="s">
        <v>39</v>
      </c>
      <c r="E1994" s="76" t="s">
        <v>22</v>
      </c>
      <c r="F1994" s="77">
        <v>45382</v>
      </c>
      <c r="G1994" s="76">
        <v>2024</v>
      </c>
      <c r="H1994" s="76" t="s">
        <v>40</v>
      </c>
      <c r="I1994" s="76" t="s">
        <v>34</v>
      </c>
      <c r="J1994" s="76">
        <v>26</v>
      </c>
      <c r="K1994" s="76">
        <v>23</v>
      </c>
      <c r="L1994" s="78">
        <f t="shared" si="214"/>
        <v>0.88461538461538458</v>
      </c>
      <c r="M1994" s="78">
        <f t="shared" si="215"/>
        <v>0.88461538461538458</v>
      </c>
      <c r="N1994" s="76" t="s">
        <v>25</v>
      </c>
      <c r="O1994" s="76" t="s">
        <v>25</v>
      </c>
      <c r="P1994" s="76">
        <v>0</v>
      </c>
      <c r="Q1994" s="76">
        <v>0</v>
      </c>
      <c r="R1994" s="76" t="s">
        <v>2909</v>
      </c>
      <c r="S1994" s="76"/>
    </row>
    <row r="1995" spans="1:19" x14ac:dyDescent="0.3">
      <c r="A1995" s="76" t="s">
        <v>2904</v>
      </c>
      <c r="B1995" s="76" t="s">
        <v>2905</v>
      </c>
      <c r="C1995" s="76" t="s">
        <v>1263</v>
      </c>
      <c r="D1995" s="76" t="s">
        <v>39</v>
      </c>
      <c r="E1995" s="76" t="s">
        <v>22</v>
      </c>
      <c r="F1995" s="77">
        <v>45473</v>
      </c>
      <c r="G1995" s="76">
        <v>2024</v>
      </c>
      <c r="H1995" s="76" t="s">
        <v>23</v>
      </c>
      <c r="I1995" s="76" t="s">
        <v>34</v>
      </c>
      <c r="J1995" s="76">
        <v>40.79</v>
      </c>
      <c r="K1995" s="76">
        <v>42.33</v>
      </c>
      <c r="L1995" s="78">
        <f t="shared" si="214"/>
        <v>1</v>
      </c>
      <c r="M1995" s="78">
        <f t="shared" si="215"/>
        <v>1</v>
      </c>
      <c r="N1995" s="76" t="s">
        <v>25</v>
      </c>
      <c r="O1995" s="76" t="s">
        <v>25</v>
      </c>
      <c r="P1995" s="76">
        <v>0</v>
      </c>
      <c r="Q1995" s="76">
        <v>0</v>
      </c>
      <c r="R1995" s="76" t="s">
        <v>2910</v>
      </c>
      <c r="S1995" s="76"/>
    </row>
    <row r="1996" spans="1:19" x14ac:dyDescent="0.3">
      <c r="A1996" s="76" t="s">
        <v>2904</v>
      </c>
      <c r="B1996" s="76" t="s">
        <v>2905</v>
      </c>
      <c r="C1996" s="76" t="s">
        <v>1263</v>
      </c>
      <c r="D1996" s="76" t="s">
        <v>39</v>
      </c>
      <c r="E1996" s="76" t="s">
        <v>22</v>
      </c>
      <c r="F1996" s="77">
        <v>45565</v>
      </c>
      <c r="G1996" s="76">
        <v>2024</v>
      </c>
      <c r="H1996" s="76" t="s">
        <v>43</v>
      </c>
      <c r="I1996" s="76" t="s">
        <v>36</v>
      </c>
      <c r="J1996" s="76">
        <v>76</v>
      </c>
      <c r="K1996" s="76">
        <v>83</v>
      </c>
      <c r="L1996" s="78">
        <f t="shared" si="214"/>
        <v>1</v>
      </c>
      <c r="M1996" s="78">
        <f t="shared" si="215"/>
        <v>1</v>
      </c>
      <c r="N1996" s="76" t="s">
        <v>25</v>
      </c>
      <c r="O1996" s="76" t="s">
        <v>25</v>
      </c>
      <c r="P1996" s="76">
        <v>0</v>
      </c>
      <c r="Q1996" s="76">
        <v>0</v>
      </c>
      <c r="R1996" s="76" t="s">
        <v>2911</v>
      </c>
      <c r="S1996" s="76"/>
    </row>
    <row r="1997" spans="1:19" x14ac:dyDescent="0.3">
      <c r="A1997" s="76" t="s">
        <v>2904</v>
      </c>
      <c r="B1997" s="76" t="s">
        <v>2905</v>
      </c>
      <c r="C1997" s="76" t="s">
        <v>1263</v>
      </c>
      <c r="D1997" s="76" t="s">
        <v>39</v>
      </c>
      <c r="E1997" s="76" t="s">
        <v>22</v>
      </c>
      <c r="F1997" s="77">
        <v>45657</v>
      </c>
      <c r="G1997" s="76">
        <v>2024</v>
      </c>
      <c r="H1997" s="76" t="s">
        <v>27</v>
      </c>
      <c r="I1997" s="76" t="s">
        <v>36</v>
      </c>
      <c r="J1997" s="76">
        <v>100</v>
      </c>
      <c r="K1997" s="76">
        <v>100</v>
      </c>
      <c r="L1997" s="78">
        <f t="shared" si="214"/>
        <v>1</v>
      </c>
      <c r="M1997" s="78">
        <f t="shared" si="215"/>
        <v>1</v>
      </c>
      <c r="N1997" s="76" t="s">
        <v>25</v>
      </c>
      <c r="O1997" s="76" t="s">
        <v>25</v>
      </c>
      <c r="P1997" s="76">
        <v>0</v>
      </c>
      <c r="Q1997" s="76">
        <v>0</v>
      </c>
      <c r="R1997" s="76" t="s">
        <v>2912</v>
      </c>
      <c r="S1997" s="76"/>
    </row>
    <row r="1998" spans="1:19" x14ac:dyDescent="0.3">
      <c r="A1998" s="76" t="s">
        <v>2913</v>
      </c>
      <c r="B1998" s="76" t="s">
        <v>2914</v>
      </c>
      <c r="C1998" s="76" t="s">
        <v>1263</v>
      </c>
      <c r="D1998" s="76" t="s">
        <v>39</v>
      </c>
      <c r="E1998" s="76" t="s">
        <v>22</v>
      </c>
      <c r="F1998" s="77">
        <v>45107</v>
      </c>
      <c r="G1998" s="76">
        <v>2023</v>
      </c>
      <c r="H1998" s="76" t="s">
        <v>23</v>
      </c>
      <c r="I1998" s="76" t="s">
        <v>30</v>
      </c>
      <c r="J1998" s="76">
        <v>74</v>
      </c>
      <c r="K1998" s="76">
        <v>45</v>
      </c>
      <c r="L1998" s="78">
        <f t="shared" si="214"/>
        <v>0.60810810810810811</v>
      </c>
      <c r="M1998" s="78">
        <f t="shared" si="215"/>
        <v>0.60810810810810811</v>
      </c>
      <c r="N1998" s="76" t="s">
        <v>25</v>
      </c>
      <c r="O1998" s="76" t="s">
        <v>25</v>
      </c>
      <c r="P1998" s="76">
        <v>0</v>
      </c>
      <c r="Q1998" s="76">
        <v>0</v>
      </c>
      <c r="R1998" s="76" t="s">
        <v>2915</v>
      </c>
      <c r="S1998" s="76"/>
    </row>
    <row r="1999" spans="1:19" x14ac:dyDescent="0.3">
      <c r="A1999" s="76" t="s">
        <v>2913</v>
      </c>
      <c r="B1999" s="76" t="s">
        <v>2914</v>
      </c>
      <c r="C1999" s="76" t="s">
        <v>1263</v>
      </c>
      <c r="D1999" s="76" t="s">
        <v>39</v>
      </c>
      <c r="E1999" s="76" t="s">
        <v>22</v>
      </c>
      <c r="F1999" s="77">
        <v>45199</v>
      </c>
      <c r="G1999" s="76">
        <v>2023</v>
      </c>
      <c r="H1999" s="76" t="s">
        <v>43</v>
      </c>
      <c r="I1999" s="76" t="s">
        <v>32</v>
      </c>
      <c r="J1999" s="76">
        <v>94.41</v>
      </c>
      <c r="K1999" s="76">
        <v>65.8</v>
      </c>
      <c r="L1999" s="78">
        <f t="shared" si="214"/>
        <v>0.69696006778942909</v>
      </c>
      <c r="M1999" s="78">
        <f t="shared" si="215"/>
        <v>0.69696006778942909</v>
      </c>
      <c r="N1999" s="76" t="s">
        <v>25</v>
      </c>
      <c r="O1999" s="76" t="s">
        <v>25</v>
      </c>
      <c r="P1999" s="76">
        <v>0</v>
      </c>
      <c r="Q1999" s="76">
        <v>0</v>
      </c>
      <c r="R1999" s="76" t="s">
        <v>2916</v>
      </c>
      <c r="S1999" s="76"/>
    </row>
    <row r="2000" spans="1:19" x14ac:dyDescent="0.3">
      <c r="A2000" s="76" t="s">
        <v>2913</v>
      </c>
      <c r="B2000" s="76" t="s">
        <v>2914</v>
      </c>
      <c r="C2000" s="76" t="s">
        <v>1263</v>
      </c>
      <c r="D2000" s="76" t="s">
        <v>39</v>
      </c>
      <c r="E2000" s="76" t="s">
        <v>22</v>
      </c>
      <c r="F2000" s="77">
        <v>45291</v>
      </c>
      <c r="G2000" s="76">
        <v>2023</v>
      </c>
      <c r="H2000" s="76" t="s">
        <v>27</v>
      </c>
      <c r="I2000" s="76" t="s">
        <v>32</v>
      </c>
      <c r="J2000" s="76">
        <v>100</v>
      </c>
      <c r="K2000" s="76">
        <v>97.4</v>
      </c>
      <c r="L2000" s="78">
        <f t="shared" si="214"/>
        <v>0.97400000000000009</v>
      </c>
      <c r="M2000" s="78">
        <f t="shared" si="215"/>
        <v>0.97400000000000009</v>
      </c>
      <c r="N2000" s="76" t="s">
        <v>25</v>
      </c>
      <c r="O2000" s="76" t="s">
        <v>25</v>
      </c>
      <c r="P2000" s="76">
        <v>0</v>
      </c>
      <c r="Q2000" s="76">
        <v>0</v>
      </c>
      <c r="R2000" s="76" t="s">
        <v>2917</v>
      </c>
      <c r="S2000" s="76"/>
    </row>
    <row r="2001" spans="1:19" x14ac:dyDescent="0.3">
      <c r="A2001" s="76" t="s">
        <v>2913</v>
      </c>
      <c r="B2001" s="76" t="s">
        <v>2914</v>
      </c>
      <c r="C2001" s="76" t="s">
        <v>1263</v>
      </c>
      <c r="D2001" s="76" t="s">
        <v>39</v>
      </c>
      <c r="E2001" s="76" t="s">
        <v>22</v>
      </c>
      <c r="F2001" s="77">
        <v>45382</v>
      </c>
      <c r="G2001" s="76">
        <v>2024</v>
      </c>
      <c r="H2001" s="76" t="s">
        <v>40</v>
      </c>
      <c r="I2001" s="76" t="s">
        <v>34</v>
      </c>
      <c r="J2001" s="76">
        <v>84</v>
      </c>
      <c r="K2001" s="76">
        <v>77</v>
      </c>
      <c r="L2001" s="78">
        <f t="shared" si="214"/>
        <v>0.91666666666666663</v>
      </c>
      <c r="M2001" s="78">
        <f t="shared" si="215"/>
        <v>0.91666666666666663</v>
      </c>
      <c r="N2001" s="76" t="s">
        <v>25</v>
      </c>
      <c r="O2001" s="76" t="s">
        <v>25</v>
      </c>
      <c r="P2001" s="76">
        <v>0</v>
      </c>
      <c r="Q2001" s="76">
        <v>0</v>
      </c>
      <c r="R2001" s="76" t="s">
        <v>2918</v>
      </c>
      <c r="S2001" s="76"/>
    </row>
    <row r="2002" spans="1:19" x14ac:dyDescent="0.3">
      <c r="A2002" s="76" t="s">
        <v>2913</v>
      </c>
      <c r="B2002" s="76" t="s">
        <v>2914</v>
      </c>
      <c r="C2002" s="76" t="s">
        <v>1263</v>
      </c>
      <c r="D2002" s="76" t="s">
        <v>39</v>
      </c>
      <c r="E2002" s="76" t="s">
        <v>22</v>
      </c>
      <c r="F2002" s="77">
        <v>45473</v>
      </c>
      <c r="G2002" s="76">
        <v>2024</v>
      </c>
      <c r="H2002" s="76" t="s">
        <v>23</v>
      </c>
      <c r="I2002" s="76" t="s">
        <v>34</v>
      </c>
      <c r="J2002" s="76">
        <v>92.24</v>
      </c>
      <c r="K2002" s="76">
        <v>88</v>
      </c>
      <c r="L2002" s="78">
        <f t="shared" si="214"/>
        <v>0.95403295750216832</v>
      </c>
      <c r="M2002" s="78">
        <f t="shared" si="215"/>
        <v>0.95403295750216832</v>
      </c>
      <c r="N2002" s="76" t="s">
        <v>25</v>
      </c>
      <c r="O2002" s="76" t="s">
        <v>25</v>
      </c>
      <c r="P2002" s="76">
        <v>0</v>
      </c>
      <c r="Q2002" s="76">
        <v>0</v>
      </c>
      <c r="R2002" s="76" t="s">
        <v>2919</v>
      </c>
      <c r="S2002" s="76"/>
    </row>
    <row r="2003" spans="1:19" x14ac:dyDescent="0.3">
      <c r="A2003" s="76" t="s">
        <v>2913</v>
      </c>
      <c r="B2003" s="76" t="s">
        <v>2914</v>
      </c>
      <c r="C2003" s="76" t="s">
        <v>1263</v>
      </c>
      <c r="D2003" s="76" t="s">
        <v>39</v>
      </c>
      <c r="E2003" s="76" t="s">
        <v>22</v>
      </c>
      <c r="F2003" s="77">
        <v>45565</v>
      </c>
      <c r="G2003" s="76">
        <v>2024</v>
      </c>
      <c r="H2003" s="76" t="s">
        <v>43</v>
      </c>
      <c r="I2003" s="76" t="s">
        <v>36</v>
      </c>
      <c r="J2003" s="76">
        <v>99</v>
      </c>
      <c r="K2003" s="76">
        <v>99</v>
      </c>
      <c r="L2003" s="78">
        <f t="shared" si="214"/>
        <v>1</v>
      </c>
      <c r="M2003" s="78">
        <f t="shared" si="215"/>
        <v>1</v>
      </c>
      <c r="N2003" s="76" t="s">
        <v>25</v>
      </c>
      <c r="O2003" s="76" t="s">
        <v>25</v>
      </c>
      <c r="P2003" s="76">
        <v>0</v>
      </c>
      <c r="Q2003" s="76">
        <v>0</v>
      </c>
      <c r="R2003" s="76" t="s">
        <v>2920</v>
      </c>
      <c r="S2003" s="76"/>
    </row>
    <row r="2004" spans="1:19" x14ac:dyDescent="0.3">
      <c r="A2004" s="76" t="s">
        <v>2913</v>
      </c>
      <c r="B2004" s="76" t="s">
        <v>2914</v>
      </c>
      <c r="C2004" s="76" t="s">
        <v>1263</v>
      </c>
      <c r="D2004" s="76" t="s">
        <v>39</v>
      </c>
      <c r="E2004" s="76" t="s">
        <v>22</v>
      </c>
      <c r="F2004" s="77">
        <v>45657</v>
      </c>
      <c r="G2004" s="76">
        <v>2024</v>
      </c>
      <c r="H2004" s="76" t="s">
        <v>27</v>
      </c>
      <c r="I2004" s="76" t="s">
        <v>36</v>
      </c>
      <c r="J2004" s="76">
        <v>100</v>
      </c>
      <c r="K2004" s="76">
        <v>100</v>
      </c>
      <c r="L2004" s="78">
        <f t="shared" si="214"/>
        <v>1</v>
      </c>
      <c r="M2004" s="78">
        <f t="shared" si="215"/>
        <v>1</v>
      </c>
      <c r="N2004" s="76" t="s">
        <v>25</v>
      </c>
      <c r="O2004" s="76" t="s">
        <v>25</v>
      </c>
      <c r="P2004" s="76">
        <v>0</v>
      </c>
      <c r="Q2004" s="76">
        <v>0</v>
      </c>
      <c r="R2004" s="76" t="s">
        <v>2921</v>
      </c>
      <c r="S2004" s="76"/>
    </row>
    <row r="2005" spans="1:19" x14ac:dyDescent="0.3">
      <c r="A2005" s="76" t="s">
        <v>2922</v>
      </c>
      <c r="B2005" s="76" t="s">
        <v>2923</v>
      </c>
      <c r="C2005" s="76" t="s">
        <v>1263</v>
      </c>
      <c r="D2005" s="76" t="s">
        <v>39</v>
      </c>
      <c r="E2005" s="76" t="s">
        <v>22</v>
      </c>
      <c r="F2005" s="77">
        <v>45107</v>
      </c>
      <c r="G2005" s="76">
        <v>2023</v>
      </c>
      <c r="H2005" s="76" t="s">
        <v>23</v>
      </c>
      <c r="I2005" s="76" t="s">
        <v>30</v>
      </c>
      <c r="J2005" s="76">
        <v>52</v>
      </c>
      <c r="K2005" s="76">
        <v>65</v>
      </c>
      <c r="L2005" s="78">
        <f t="shared" si="214"/>
        <v>1</v>
      </c>
      <c r="M2005" s="78">
        <f t="shared" si="215"/>
        <v>1</v>
      </c>
      <c r="N2005" s="76" t="s">
        <v>25</v>
      </c>
      <c r="O2005" s="76" t="s">
        <v>25</v>
      </c>
      <c r="P2005" s="76">
        <v>0</v>
      </c>
      <c r="Q2005" s="76">
        <v>0</v>
      </c>
      <c r="R2005" s="76" t="s">
        <v>2924</v>
      </c>
      <c r="S2005" s="76"/>
    </row>
    <row r="2006" spans="1:19" x14ac:dyDescent="0.3">
      <c r="A2006" s="76" t="s">
        <v>2922</v>
      </c>
      <c r="B2006" s="76" t="s">
        <v>2923</v>
      </c>
      <c r="C2006" s="76" t="s">
        <v>1263</v>
      </c>
      <c r="D2006" s="76" t="s">
        <v>39</v>
      </c>
      <c r="E2006" s="76" t="s">
        <v>22</v>
      </c>
      <c r="F2006" s="77">
        <v>45199</v>
      </c>
      <c r="G2006" s="76">
        <v>2023</v>
      </c>
      <c r="H2006" s="76" t="s">
        <v>43</v>
      </c>
      <c r="I2006" s="76" t="s">
        <v>32</v>
      </c>
      <c r="J2006" s="76">
        <v>87.53</v>
      </c>
      <c r="K2006" s="76">
        <v>94.79</v>
      </c>
      <c r="L2006" s="78">
        <f t="shared" si="214"/>
        <v>1</v>
      </c>
      <c r="M2006" s="78">
        <f t="shared" si="215"/>
        <v>1</v>
      </c>
      <c r="N2006" s="76" t="s">
        <v>25</v>
      </c>
      <c r="O2006" s="76" t="s">
        <v>25</v>
      </c>
      <c r="P2006" s="76">
        <v>0</v>
      </c>
      <c r="Q2006" s="76">
        <v>0</v>
      </c>
      <c r="R2006" s="76" t="s">
        <v>2925</v>
      </c>
      <c r="S2006" s="76"/>
    </row>
    <row r="2007" spans="1:19" x14ac:dyDescent="0.3">
      <c r="A2007" s="76" t="s">
        <v>2922</v>
      </c>
      <c r="B2007" s="76" t="s">
        <v>2923</v>
      </c>
      <c r="C2007" s="76" t="s">
        <v>1263</v>
      </c>
      <c r="D2007" s="76" t="s">
        <v>39</v>
      </c>
      <c r="E2007" s="76" t="s">
        <v>22</v>
      </c>
      <c r="F2007" s="77">
        <v>45291</v>
      </c>
      <c r="G2007" s="76">
        <v>2023</v>
      </c>
      <c r="H2007" s="76" t="s">
        <v>27</v>
      </c>
      <c r="I2007" s="76" t="s">
        <v>32</v>
      </c>
      <c r="J2007" s="76">
        <v>100</v>
      </c>
      <c r="K2007" s="76">
        <v>98.83</v>
      </c>
      <c r="L2007" s="78">
        <f t="shared" si="214"/>
        <v>0.98829999999999996</v>
      </c>
      <c r="M2007" s="78">
        <f t="shared" si="215"/>
        <v>0.98829999999999996</v>
      </c>
      <c r="N2007" s="76" t="s">
        <v>25</v>
      </c>
      <c r="O2007" s="76" t="s">
        <v>25</v>
      </c>
      <c r="P2007" s="76">
        <v>0</v>
      </c>
      <c r="Q2007" s="76">
        <v>0</v>
      </c>
      <c r="R2007" s="76" t="s">
        <v>2926</v>
      </c>
      <c r="S2007" s="76"/>
    </row>
    <row r="2008" spans="1:19" x14ac:dyDescent="0.3">
      <c r="A2008" s="76" t="s">
        <v>2922</v>
      </c>
      <c r="B2008" s="76" t="s">
        <v>2923</v>
      </c>
      <c r="C2008" s="76" t="s">
        <v>1263</v>
      </c>
      <c r="D2008" s="76" t="s">
        <v>39</v>
      </c>
      <c r="E2008" s="76" t="s">
        <v>22</v>
      </c>
      <c r="F2008" s="77">
        <v>45382</v>
      </c>
      <c r="G2008" s="76">
        <v>2024</v>
      </c>
      <c r="H2008" s="76" t="s">
        <v>40</v>
      </c>
      <c r="I2008" s="76" t="s">
        <v>34</v>
      </c>
      <c r="J2008" s="76">
        <v>42</v>
      </c>
      <c r="K2008" s="76">
        <v>35</v>
      </c>
      <c r="L2008" s="78">
        <f t="shared" si="214"/>
        <v>0.83333333333333337</v>
      </c>
      <c r="M2008" s="78">
        <f t="shared" si="215"/>
        <v>0.83333333333333337</v>
      </c>
      <c r="N2008" s="76" t="s">
        <v>25</v>
      </c>
      <c r="O2008" s="76" t="s">
        <v>25</v>
      </c>
      <c r="P2008" s="76">
        <v>0</v>
      </c>
      <c r="Q2008" s="76">
        <v>0</v>
      </c>
      <c r="R2008" s="76" t="s">
        <v>2927</v>
      </c>
      <c r="S2008" s="76"/>
    </row>
    <row r="2009" spans="1:19" x14ac:dyDescent="0.3">
      <c r="A2009" s="76" t="s">
        <v>2922</v>
      </c>
      <c r="B2009" s="76" t="s">
        <v>2923</v>
      </c>
      <c r="C2009" s="76" t="s">
        <v>1263</v>
      </c>
      <c r="D2009" s="76" t="s">
        <v>39</v>
      </c>
      <c r="E2009" s="76" t="s">
        <v>22</v>
      </c>
      <c r="F2009" s="77">
        <v>45473</v>
      </c>
      <c r="G2009" s="76">
        <v>2024</v>
      </c>
      <c r="H2009" s="76" t="s">
        <v>23</v>
      </c>
      <c r="I2009" s="76" t="s">
        <v>34</v>
      </c>
      <c r="J2009" s="76">
        <v>51.84</v>
      </c>
      <c r="K2009" s="76">
        <v>48.34</v>
      </c>
      <c r="L2009" s="78">
        <f t="shared" si="214"/>
        <v>0.93248456790123457</v>
      </c>
      <c r="M2009" s="78">
        <f t="shared" si="215"/>
        <v>0.93248456790123457</v>
      </c>
      <c r="N2009" s="76" t="s">
        <v>25</v>
      </c>
      <c r="O2009" s="76" t="s">
        <v>25</v>
      </c>
      <c r="P2009" s="76">
        <v>0</v>
      </c>
      <c r="Q2009" s="76">
        <v>0</v>
      </c>
      <c r="R2009" s="76" t="s">
        <v>2928</v>
      </c>
      <c r="S2009" s="76"/>
    </row>
    <row r="2010" spans="1:19" x14ac:dyDescent="0.3">
      <c r="A2010" s="76" t="s">
        <v>2922</v>
      </c>
      <c r="B2010" s="76" t="s">
        <v>2923</v>
      </c>
      <c r="C2010" s="76" t="s">
        <v>1263</v>
      </c>
      <c r="D2010" s="76" t="s">
        <v>39</v>
      </c>
      <c r="E2010" s="76" t="s">
        <v>22</v>
      </c>
      <c r="F2010" s="77">
        <v>45565</v>
      </c>
      <c r="G2010" s="76">
        <v>2024</v>
      </c>
      <c r="H2010" s="76" t="s">
        <v>43</v>
      </c>
      <c r="I2010" s="76" t="s">
        <v>36</v>
      </c>
      <c r="J2010" s="76">
        <v>87</v>
      </c>
      <c r="K2010" s="76">
        <v>94</v>
      </c>
      <c r="L2010" s="78">
        <f t="shared" si="214"/>
        <v>1</v>
      </c>
      <c r="M2010" s="78">
        <f t="shared" si="215"/>
        <v>1</v>
      </c>
      <c r="N2010" s="76" t="s">
        <v>25</v>
      </c>
      <c r="O2010" s="76" t="s">
        <v>25</v>
      </c>
      <c r="P2010" s="76">
        <v>0</v>
      </c>
      <c r="Q2010" s="76">
        <v>0</v>
      </c>
      <c r="R2010" s="76" t="s">
        <v>2929</v>
      </c>
      <c r="S2010" s="76"/>
    </row>
    <row r="2011" spans="1:19" x14ac:dyDescent="0.3">
      <c r="A2011" s="76" t="s">
        <v>2922</v>
      </c>
      <c r="B2011" s="76" t="s">
        <v>2923</v>
      </c>
      <c r="C2011" s="76" t="s">
        <v>1263</v>
      </c>
      <c r="D2011" s="76" t="s">
        <v>39</v>
      </c>
      <c r="E2011" s="76" t="s">
        <v>22</v>
      </c>
      <c r="F2011" s="77">
        <v>45657</v>
      </c>
      <c r="G2011" s="76">
        <v>2024</v>
      </c>
      <c r="H2011" s="76" t="s">
        <v>27</v>
      </c>
      <c r="I2011" s="76" t="s">
        <v>36</v>
      </c>
      <c r="J2011" s="76">
        <v>100</v>
      </c>
      <c r="K2011" s="76">
        <v>100</v>
      </c>
      <c r="L2011" s="78">
        <f t="shared" si="214"/>
        <v>1</v>
      </c>
      <c r="M2011" s="78">
        <f t="shared" si="215"/>
        <v>1</v>
      </c>
      <c r="N2011" s="76" t="s">
        <v>25</v>
      </c>
      <c r="O2011" s="76" t="s">
        <v>25</v>
      </c>
      <c r="P2011" s="76">
        <v>0</v>
      </c>
      <c r="Q2011" s="76">
        <v>0</v>
      </c>
      <c r="R2011" s="76" t="s">
        <v>2930</v>
      </c>
      <c r="S2011" s="76"/>
    </row>
    <row r="2012" spans="1:19" x14ac:dyDescent="0.3">
      <c r="A2012" s="76" t="s">
        <v>2931</v>
      </c>
      <c r="B2012" s="76" t="s">
        <v>2932</v>
      </c>
      <c r="C2012" s="76" t="s">
        <v>1263</v>
      </c>
      <c r="D2012" s="76" t="s">
        <v>39</v>
      </c>
      <c r="E2012" s="76" t="s">
        <v>22</v>
      </c>
      <c r="F2012" s="77">
        <v>45107</v>
      </c>
      <c r="G2012" s="76">
        <v>2023</v>
      </c>
      <c r="H2012" s="76" t="s">
        <v>23</v>
      </c>
      <c r="I2012" s="76" t="s">
        <v>30</v>
      </c>
      <c r="J2012" s="76">
        <v>41</v>
      </c>
      <c r="K2012" s="76">
        <v>54</v>
      </c>
      <c r="L2012" s="78">
        <f t="shared" si="214"/>
        <v>1</v>
      </c>
      <c r="M2012" s="78">
        <f t="shared" si="215"/>
        <v>1</v>
      </c>
      <c r="N2012" s="76" t="s">
        <v>25</v>
      </c>
      <c r="O2012" s="76" t="s">
        <v>25</v>
      </c>
      <c r="P2012" s="76">
        <v>0</v>
      </c>
      <c r="Q2012" s="76">
        <v>0</v>
      </c>
      <c r="R2012" s="76" t="s">
        <v>2933</v>
      </c>
      <c r="S2012" s="76"/>
    </row>
    <row r="2013" spans="1:19" x14ac:dyDescent="0.3">
      <c r="A2013" s="76" t="s">
        <v>2931</v>
      </c>
      <c r="B2013" s="76" t="s">
        <v>2932</v>
      </c>
      <c r="C2013" s="76" t="s">
        <v>1263</v>
      </c>
      <c r="D2013" s="76" t="s">
        <v>39</v>
      </c>
      <c r="E2013" s="76" t="s">
        <v>22</v>
      </c>
      <c r="F2013" s="77">
        <v>45199</v>
      </c>
      <c r="G2013" s="76">
        <v>2023</v>
      </c>
      <c r="H2013" s="76" t="s">
        <v>43</v>
      </c>
      <c r="I2013" s="76" t="s">
        <v>32</v>
      </c>
      <c r="J2013" s="76">
        <v>90.58</v>
      </c>
      <c r="K2013" s="76">
        <v>92.75</v>
      </c>
      <c r="L2013" s="78">
        <f t="shared" si="214"/>
        <v>1</v>
      </c>
      <c r="M2013" s="78">
        <f t="shared" si="215"/>
        <v>1</v>
      </c>
      <c r="N2013" s="76" t="s">
        <v>25</v>
      </c>
      <c r="O2013" s="76" t="s">
        <v>25</v>
      </c>
      <c r="P2013" s="76">
        <v>0</v>
      </c>
      <c r="Q2013" s="76">
        <v>0</v>
      </c>
      <c r="R2013" s="76" t="s">
        <v>2934</v>
      </c>
      <c r="S2013" s="76"/>
    </row>
    <row r="2014" spans="1:19" x14ac:dyDescent="0.3">
      <c r="A2014" s="76" t="s">
        <v>2931</v>
      </c>
      <c r="B2014" s="76" t="s">
        <v>2932</v>
      </c>
      <c r="C2014" s="76" t="s">
        <v>1263</v>
      </c>
      <c r="D2014" s="76" t="s">
        <v>39</v>
      </c>
      <c r="E2014" s="76" t="s">
        <v>22</v>
      </c>
      <c r="F2014" s="77">
        <v>45291</v>
      </c>
      <c r="G2014" s="76">
        <v>2023</v>
      </c>
      <c r="H2014" s="76" t="s">
        <v>27</v>
      </c>
      <c r="I2014" s="76" t="s">
        <v>32</v>
      </c>
      <c r="J2014" s="76">
        <v>100</v>
      </c>
      <c r="K2014" s="76">
        <v>100</v>
      </c>
      <c r="L2014" s="78">
        <f t="shared" si="214"/>
        <v>1</v>
      </c>
      <c r="M2014" s="78">
        <f t="shared" si="215"/>
        <v>1</v>
      </c>
      <c r="N2014" s="76" t="s">
        <v>25</v>
      </c>
      <c r="O2014" s="76" t="s">
        <v>25</v>
      </c>
      <c r="P2014" s="76">
        <v>0</v>
      </c>
      <c r="Q2014" s="76">
        <v>0</v>
      </c>
      <c r="R2014" s="76" t="s">
        <v>2935</v>
      </c>
      <c r="S2014" s="76"/>
    </row>
    <row r="2015" spans="1:19" x14ac:dyDescent="0.3">
      <c r="A2015" s="76" t="s">
        <v>2931</v>
      </c>
      <c r="B2015" s="76" t="s">
        <v>2932</v>
      </c>
      <c r="C2015" s="76" t="s">
        <v>1263</v>
      </c>
      <c r="D2015" s="76" t="s">
        <v>39</v>
      </c>
      <c r="E2015" s="76" t="s">
        <v>22</v>
      </c>
      <c r="F2015" s="77">
        <v>45382</v>
      </c>
      <c r="G2015" s="76">
        <v>2024</v>
      </c>
      <c r="H2015" s="76" t="s">
        <v>40</v>
      </c>
      <c r="I2015" s="76" t="s">
        <v>34</v>
      </c>
      <c r="J2015" s="76">
        <v>54</v>
      </c>
      <c r="K2015" s="76">
        <v>53</v>
      </c>
      <c r="L2015" s="78">
        <f t="shared" si="214"/>
        <v>0.98148148148148151</v>
      </c>
      <c r="M2015" s="78">
        <f t="shared" si="215"/>
        <v>0.98148148148148151</v>
      </c>
      <c r="N2015" s="76" t="s">
        <v>25</v>
      </c>
      <c r="O2015" s="76" t="s">
        <v>25</v>
      </c>
      <c r="P2015" s="76">
        <v>0</v>
      </c>
      <c r="Q2015" s="76">
        <v>0</v>
      </c>
      <c r="R2015" s="76" t="s">
        <v>2936</v>
      </c>
      <c r="S2015" s="76"/>
    </row>
    <row r="2016" spans="1:19" x14ac:dyDescent="0.3">
      <c r="A2016" s="76" t="s">
        <v>2931</v>
      </c>
      <c r="B2016" s="76" t="s">
        <v>2932</v>
      </c>
      <c r="C2016" s="76" t="s">
        <v>1263</v>
      </c>
      <c r="D2016" s="76" t="s">
        <v>39</v>
      </c>
      <c r="E2016" s="76" t="s">
        <v>22</v>
      </c>
      <c r="F2016" s="77">
        <v>45473</v>
      </c>
      <c r="G2016" s="76">
        <v>2024</v>
      </c>
      <c r="H2016" s="76" t="s">
        <v>23</v>
      </c>
      <c r="I2016" s="76" t="s">
        <v>34</v>
      </c>
      <c r="J2016" s="76">
        <v>65.83</v>
      </c>
      <c r="K2016" s="76">
        <v>65.63</v>
      </c>
      <c r="L2016" s="78">
        <f t="shared" si="214"/>
        <v>0.99696187148716386</v>
      </c>
      <c r="M2016" s="78">
        <f t="shared" si="215"/>
        <v>0.99696187148716386</v>
      </c>
      <c r="N2016" s="76" t="s">
        <v>25</v>
      </c>
      <c r="O2016" s="76" t="s">
        <v>25</v>
      </c>
      <c r="P2016" s="76">
        <v>0</v>
      </c>
      <c r="Q2016" s="76">
        <v>0</v>
      </c>
      <c r="R2016" s="76" t="s">
        <v>2937</v>
      </c>
      <c r="S2016" s="76"/>
    </row>
    <row r="2017" spans="1:19" x14ac:dyDescent="0.3">
      <c r="A2017" s="76" t="s">
        <v>2931</v>
      </c>
      <c r="B2017" s="76" t="s">
        <v>2932</v>
      </c>
      <c r="C2017" s="76" t="s">
        <v>1263</v>
      </c>
      <c r="D2017" s="76" t="s">
        <v>39</v>
      </c>
      <c r="E2017" s="76" t="s">
        <v>22</v>
      </c>
      <c r="F2017" s="77">
        <v>45565</v>
      </c>
      <c r="G2017" s="76">
        <v>2024</v>
      </c>
      <c r="H2017" s="76" t="s">
        <v>43</v>
      </c>
      <c r="I2017" s="76" t="s">
        <v>36</v>
      </c>
      <c r="J2017" s="76">
        <v>88</v>
      </c>
      <c r="K2017" s="76">
        <v>88</v>
      </c>
      <c r="L2017" s="78">
        <f t="shared" si="214"/>
        <v>1</v>
      </c>
      <c r="M2017" s="78">
        <f t="shared" si="215"/>
        <v>1</v>
      </c>
      <c r="N2017" s="76" t="s">
        <v>25</v>
      </c>
      <c r="O2017" s="76" t="s">
        <v>25</v>
      </c>
      <c r="P2017" s="76">
        <v>0</v>
      </c>
      <c r="Q2017" s="76">
        <v>0</v>
      </c>
      <c r="R2017" s="76" t="s">
        <v>2938</v>
      </c>
      <c r="S2017" s="76"/>
    </row>
    <row r="2018" spans="1:19" x14ac:dyDescent="0.3">
      <c r="A2018" s="76" t="s">
        <v>2931</v>
      </c>
      <c r="B2018" s="76" t="s">
        <v>2932</v>
      </c>
      <c r="C2018" s="76" t="s">
        <v>1263</v>
      </c>
      <c r="D2018" s="76" t="s">
        <v>39</v>
      </c>
      <c r="E2018" s="76" t="s">
        <v>22</v>
      </c>
      <c r="F2018" s="77">
        <v>45657</v>
      </c>
      <c r="G2018" s="76">
        <v>2024</v>
      </c>
      <c r="H2018" s="76" t="s">
        <v>27</v>
      </c>
      <c r="I2018" s="76" t="s">
        <v>36</v>
      </c>
      <c r="J2018" s="76">
        <v>100</v>
      </c>
      <c r="K2018" s="76">
        <v>100</v>
      </c>
      <c r="L2018" s="78">
        <f t="shared" si="214"/>
        <v>1</v>
      </c>
      <c r="M2018" s="78">
        <f t="shared" si="215"/>
        <v>1</v>
      </c>
      <c r="N2018" s="76" t="s">
        <v>25</v>
      </c>
      <c r="O2018" s="76" t="s">
        <v>25</v>
      </c>
      <c r="P2018" s="76">
        <v>0</v>
      </c>
      <c r="Q2018" s="76">
        <v>0</v>
      </c>
      <c r="R2018" s="76" t="s">
        <v>2939</v>
      </c>
      <c r="S2018" s="76"/>
    </row>
    <row r="2019" spans="1:19" x14ac:dyDescent="0.3">
      <c r="A2019" s="76" t="s">
        <v>2940</v>
      </c>
      <c r="B2019" s="76" t="s">
        <v>2941</v>
      </c>
      <c r="C2019" s="76" t="s">
        <v>1263</v>
      </c>
      <c r="D2019" s="76" t="s">
        <v>39</v>
      </c>
      <c r="E2019" s="76" t="s">
        <v>22</v>
      </c>
      <c r="F2019" s="77">
        <v>45107</v>
      </c>
      <c r="G2019" s="76">
        <v>2023</v>
      </c>
      <c r="H2019" s="76" t="s">
        <v>23</v>
      </c>
      <c r="I2019" s="76" t="s">
        <v>30</v>
      </c>
      <c r="J2019" s="76">
        <v>56</v>
      </c>
      <c r="K2019" s="76">
        <v>70</v>
      </c>
      <c r="L2019" s="78">
        <f t="shared" ref="L2019:L2052" si="216">IFERROR(IF(OR(J2019=0,K2019=""),"",IF(E2019="Positivo",MIN(MAX(K2019/J2019,0),1),MIN(MAX(J2019/K2019,0),1))),"")</f>
        <v>1</v>
      </c>
      <c r="M2019" s="78">
        <f t="shared" ref="M2019:M2052" si="217">IFERROR(IF(OR(J2019=0,K2019=""),"",IF(E2019="Positivo",MIN(MAX(K2019/J2019,0),1),MIN(MAX(J2019/K2019,0),1))),"")</f>
        <v>1</v>
      </c>
      <c r="N2019" s="76" t="s">
        <v>25</v>
      </c>
      <c r="O2019" s="76" t="s">
        <v>25</v>
      </c>
      <c r="P2019" s="76">
        <v>0</v>
      </c>
      <c r="Q2019" s="76">
        <v>0</v>
      </c>
      <c r="R2019" s="76" t="s">
        <v>2942</v>
      </c>
      <c r="S2019" s="76"/>
    </row>
    <row r="2020" spans="1:19" x14ac:dyDescent="0.3">
      <c r="A2020" s="76" t="s">
        <v>2940</v>
      </c>
      <c r="B2020" s="76" t="s">
        <v>2941</v>
      </c>
      <c r="C2020" s="76" t="s">
        <v>1263</v>
      </c>
      <c r="D2020" s="76" t="s">
        <v>39</v>
      </c>
      <c r="E2020" s="76" t="s">
        <v>22</v>
      </c>
      <c r="F2020" s="77">
        <v>45199</v>
      </c>
      <c r="G2020" s="76">
        <v>2023</v>
      </c>
      <c r="H2020" s="76" t="s">
        <v>43</v>
      </c>
      <c r="I2020" s="76" t="s">
        <v>32</v>
      </c>
      <c r="J2020" s="76">
        <v>88.76</v>
      </c>
      <c r="K2020" s="76">
        <v>91.01</v>
      </c>
      <c r="L2020" s="78">
        <f t="shared" si="216"/>
        <v>1</v>
      </c>
      <c r="M2020" s="78">
        <f t="shared" si="217"/>
        <v>1</v>
      </c>
      <c r="N2020" s="76" t="s">
        <v>25</v>
      </c>
      <c r="O2020" s="76" t="s">
        <v>25</v>
      </c>
      <c r="P2020" s="76">
        <v>0</v>
      </c>
      <c r="Q2020" s="76">
        <v>0</v>
      </c>
      <c r="R2020" s="76" t="s">
        <v>2943</v>
      </c>
      <c r="S2020" s="76"/>
    </row>
    <row r="2021" spans="1:19" x14ac:dyDescent="0.3">
      <c r="A2021" s="76" t="s">
        <v>2940</v>
      </c>
      <c r="B2021" s="76" t="s">
        <v>2941</v>
      </c>
      <c r="C2021" s="76" t="s">
        <v>1263</v>
      </c>
      <c r="D2021" s="76" t="s">
        <v>39</v>
      </c>
      <c r="E2021" s="76" t="s">
        <v>22</v>
      </c>
      <c r="F2021" s="77">
        <v>45291</v>
      </c>
      <c r="G2021" s="76">
        <v>2023</v>
      </c>
      <c r="H2021" s="76" t="s">
        <v>27</v>
      </c>
      <c r="I2021" s="76" t="s">
        <v>32</v>
      </c>
      <c r="J2021" s="76">
        <v>100</v>
      </c>
      <c r="K2021" s="76">
        <v>94.51</v>
      </c>
      <c r="L2021" s="78">
        <f t="shared" si="216"/>
        <v>0.94510000000000005</v>
      </c>
      <c r="M2021" s="78">
        <f t="shared" si="217"/>
        <v>0.94510000000000005</v>
      </c>
      <c r="N2021" s="76" t="s">
        <v>25</v>
      </c>
      <c r="O2021" s="76" t="s">
        <v>25</v>
      </c>
      <c r="P2021" s="76">
        <v>0</v>
      </c>
      <c r="Q2021" s="76">
        <v>0</v>
      </c>
      <c r="R2021" s="76" t="s">
        <v>2944</v>
      </c>
      <c r="S2021" s="76"/>
    </row>
    <row r="2022" spans="1:19" x14ac:dyDescent="0.3">
      <c r="A2022" s="76" t="s">
        <v>2940</v>
      </c>
      <c r="B2022" s="76" t="s">
        <v>2941</v>
      </c>
      <c r="C2022" s="76" t="s">
        <v>1263</v>
      </c>
      <c r="D2022" s="76" t="s">
        <v>39</v>
      </c>
      <c r="E2022" s="76" t="s">
        <v>22</v>
      </c>
      <c r="F2022" s="77">
        <v>45382</v>
      </c>
      <c r="G2022" s="76">
        <v>2024</v>
      </c>
      <c r="H2022" s="76" t="s">
        <v>40</v>
      </c>
      <c r="I2022" s="76" t="s">
        <v>34</v>
      </c>
      <c r="J2022" s="76">
        <v>48</v>
      </c>
      <c r="K2022" s="76">
        <v>57</v>
      </c>
      <c r="L2022" s="78">
        <f t="shared" si="216"/>
        <v>1</v>
      </c>
      <c r="M2022" s="78">
        <f t="shared" si="217"/>
        <v>1</v>
      </c>
      <c r="N2022" s="76" t="s">
        <v>25</v>
      </c>
      <c r="O2022" s="76" t="s">
        <v>25</v>
      </c>
      <c r="P2022" s="76">
        <v>0</v>
      </c>
      <c r="Q2022" s="76">
        <v>0</v>
      </c>
      <c r="R2022" s="76" t="s">
        <v>2945</v>
      </c>
      <c r="S2022" s="76"/>
    </row>
    <row r="2023" spans="1:19" x14ac:dyDescent="0.3">
      <c r="A2023" s="76" t="s">
        <v>2940</v>
      </c>
      <c r="B2023" s="76" t="s">
        <v>2941</v>
      </c>
      <c r="C2023" s="76" t="s">
        <v>1263</v>
      </c>
      <c r="D2023" s="76" t="s">
        <v>39</v>
      </c>
      <c r="E2023" s="76" t="s">
        <v>22</v>
      </c>
      <c r="F2023" s="77">
        <v>45473</v>
      </c>
      <c r="G2023" s="76">
        <v>2024</v>
      </c>
      <c r="H2023" s="76" t="s">
        <v>23</v>
      </c>
      <c r="I2023" s="76" t="s">
        <v>34</v>
      </c>
      <c r="J2023" s="76">
        <v>51.58</v>
      </c>
      <c r="K2023" s="76">
        <v>62.5</v>
      </c>
      <c r="L2023" s="78">
        <f t="shared" si="216"/>
        <v>1</v>
      </c>
      <c r="M2023" s="78">
        <f t="shared" si="217"/>
        <v>1</v>
      </c>
      <c r="N2023" s="76" t="s">
        <v>25</v>
      </c>
      <c r="O2023" s="76" t="s">
        <v>25</v>
      </c>
      <c r="P2023" s="76">
        <v>0</v>
      </c>
      <c r="Q2023" s="76">
        <v>0</v>
      </c>
      <c r="R2023" s="76" t="s">
        <v>2946</v>
      </c>
      <c r="S2023" s="76"/>
    </row>
    <row r="2024" spans="1:19" x14ac:dyDescent="0.3">
      <c r="A2024" s="76" t="s">
        <v>2940</v>
      </c>
      <c r="B2024" s="76" t="s">
        <v>2941</v>
      </c>
      <c r="C2024" s="76" t="s">
        <v>1263</v>
      </c>
      <c r="D2024" s="76" t="s">
        <v>39</v>
      </c>
      <c r="E2024" s="76" t="s">
        <v>22</v>
      </c>
      <c r="F2024" s="77">
        <v>45565</v>
      </c>
      <c r="G2024" s="76">
        <v>2024</v>
      </c>
      <c r="H2024" s="76" t="s">
        <v>43</v>
      </c>
      <c r="I2024" s="76" t="s">
        <v>36</v>
      </c>
      <c r="J2024" s="76">
        <v>99</v>
      </c>
      <c r="K2024" s="76">
        <v>95</v>
      </c>
      <c r="L2024" s="78">
        <f t="shared" si="216"/>
        <v>0.95959595959595956</v>
      </c>
      <c r="M2024" s="78">
        <f t="shared" si="217"/>
        <v>0.95959595959595956</v>
      </c>
      <c r="N2024" s="76" t="s">
        <v>25</v>
      </c>
      <c r="O2024" s="76" t="s">
        <v>25</v>
      </c>
      <c r="P2024" s="76">
        <v>0</v>
      </c>
      <c r="Q2024" s="76">
        <v>0</v>
      </c>
      <c r="R2024" s="76" t="s">
        <v>2947</v>
      </c>
      <c r="S2024" s="76"/>
    </row>
    <row r="2025" spans="1:19" x14ac:dyDescent="0.3">
      <c r="A2025" s="76" t="s">
        <v>2940</v>
      </c>
      <c r="B2025" s="76" t="s">
        <v>2941</v>
      </c>
      <c r="C2025" s="76" t="s">
        <v>1263</v>
      </c>
      <c r="D2025" s="76" t="s">
        <v>39</v>
      </c>
      <c r="E2025" s="76" t="s">
        <v>22</v>
      </c>
      <c r="F2025" s="77">
        <v>45657</v>
      </c>
      <c r="G2025" s="76">
        <v>2024</v>
      </c>
      <c r="H2025" s="76" t="s">
        <v>27</v>
      </c>
      <c r="I2025" s="76" t="s">
        <v>36</v>
      </c>
      <c r="J2025" s="76">
        <v>100</v>
      </c>
      <c r="K2025" s="76">
        <v>99</v>
      </c>
      <c r="L2025" s="78">
        <f t="shared" si="216"/>
        <v>0.99</v>
      </c>
      <c r="M2025" s="78">
        <f t="shared" si="217"/>
        <v>0.99</v>
      </c>
      <c r="N2025" s="76" t="s">
        <v>25</v>
      </c>
      <c r="O2025" s="76" t="s">
        <v>25</v>
      </c>
      <c r="P2025" s="76">
        <v>0</v>
      </c>
      <c r="Q2025" s="76">
        <v>0</v>
      </c>
      <c r="R2025" s="76" t="s">
        <v>2948</v>
      </c>
      <c r="S2025" s="76"/>
    </row>
    <row r="2026" spans="1:19" x14ac:dyDescent="0.3">
      <c r="A2026" s="76" t="s">
        <v>2949</v>
      </c>
      <c r="B2026" s="76" t="s">
        <v>2950</v>
      </c>
      <c r="C2026" s="76" t="s">
        <v>1263</v>
      </c>
      <c r="D2026" s="76" t="s">
        <v>39</v>
      </c>
      <c r="E2026" s="76" t="s">
        <v>22</v>
      </c>
      <c r="F2026" s="77">
        <v>45107</v>
      </c>
      <c r="G2026" s="76">
        <v>2023</v>
      </c>
      <c r="H2026" s="76" t="s">
        <v>23</v>
      </c>
      <c r="I2026" s="76" t="s">
        <v>30</v>
      </c>
      <c r="J2026" s="76">
        <v>52</v>
      </c>
      <c r="K2026" s="76">
        <v>56</v>
      </c>
      <c r="L2026" s="78">
        <f t="shared" si="216"/>
        <v>1</v>
      </c>
      <c r="M2026" s="78">
        <f t="shared" si="217"/>
        <v>1</v>
      </c>
      <c r="N2026" s="76" t="s">
        <v>25</v>
      </c>
      <c r="O2026" s="76" t="s">
        <v>25</v>
      </c>
      <c r="P2026" s="76">
        <v>0</v>
      </c>
      <c r="Q2026" s="76">
        <v>0</v>
      </c>
      <c r="R2026" s="76" t="s">
        <v>2951</v>
      </c>
      <c r="S2026" s="76"/>
    </row>
    <row r="2027" spans="1:19" x14ac:dyDescent="0.3">
      <c r="A2027" s="76" t="s">
        <v>2949</v>
      </c>
      <c r="B2027" s="76" t="s">
        <v>2950</v>
      </c>
      <c r="C2027" s="76" t="s">
        <v>1263</v>
      </c>
      <c r="D2027" s="76" t="s">
        <v>39</v>
      </c>
      <c r="E2027" s="76" t="s">
        <v>22</v>
      </c>
      <c r="F2027" s="77">
        <v>45199</v>
      </c>
      <c r="G2027" s="76">
        <v>2023</v>
      </c>
      <c r="H2027" s="76" t="s">
        <v>43</v>
      </c>
      <c r="I2027" s="76" t="s">
        <v>32</v>
      </c>
      <c r="J2027" s="76">
        <v>89.58</v>
      </c>
      <c r="K2027" s="76">
        <v>94.63</v>
      </c>
      <c r="L2027" s="78">
        <f t="shared" si="216"/>
        <v>1</v>
      </c>
      <c r="M2027" s="78">
        <f t="shared" si="217"/>
        <v>1</v>
      </c>
      <c r="N2027" s="76" t="s">
        <v>25</v>
      </c>
      <c r="O2027" s="76" t="s">
        <v>25</v>
      </c>
      <c r="P2027" s="76">
        <v>0</v>
      </c>
      <c r="Q2027" s="76">
        <v>0</v>
      </c>
      <c r="R2027" s="76" t="s">
        <v>2952</v>
      </c>
      <c r="S2027" s="76"/>
    </row>
    <row r="2028" spans="1:19" x14ac:dyDescent="0.3">
      <c r="A2028" s="76" t="s">
        <v>2949</v>
      </c>
      <c r="B2028" s="76" t="s">
        <v>2950</v>
      </c>
      <c r="C2028" s="76" t="s">
        <v>1263</v>
      </c>
      <c r="D2028" s="76" t="s">
        <v>39</v>
      </c>
      <c r="E2028" s="76" t="s">
        <v>22</v>
      </c>
      <c r="F2028" s="77">
        <v>45291</v>
      </c>
      <c r="G2028" s="76">
        <v>2023</v>
      </c>
      <c r="H2028" s="76" t="s">
        <v>27</v>
      </c>
      <c r="I2028" s="76" t="s">
        <v>32</v>
      </c>
      <c r="J2028" s="76">
        <v>100</v>
      </c>
      <c r="K2028" s="76">
        <v>86.43</v>
      </c>
      <c r="L2028" s="78">
        <f t="shared" si="216"/>
        <v>0.86430000000000007</v>
      </c>
      <c r="M2028" s="78">
        <f t="shared" si="217"/>
        <v>0.86430000000000007</v>
      </c>
      <c r="N2028" s="76" t="s">
        <v>25</v>
      </c>
      <c r="O2028" s="76" t="s">
        <v>25</v>
      </c>
      <c r="P2028" s="76">
        <v>0</v>
      </c>
      <c r="Q2028" s="76">
        <v>0</v>
      </c>
      <c r="R2028" s="76" t="s">
        <v>2953</v>
      </c>
      <c r="S2028" s="76"/>
    </row>
    <row r="2029" spans="1:19" x14ac:dyDescent="0.3">
      <c r="A2029" s="76" t="s">
        <v>2949</v>
      </c>
      <c r="B2029" s="76" t="s">
        <v>2950</v>
      </c>
      <c r="C2029" s="76" t="s">
        <v>1263</v>
      </c>
      <c r="D2029" s="76" t="s">
        <v>39</v>
      </c>
      <c r="E2029" s="76" t="s">
        <v>22</v>
      </c>
      <c r="F2029" s="77">
        <v>45382</v>
      </c>
      <c r="G2029" s="76">
        <v>2024</v>
      </c>
      <c r="H2029" s="76" t="s">
        <v>40</v>
      </c>
      <c r="I2029" s="76" t="s">
        <v>34</v>
      </c>
      <c r="J2029" s="76">
        <v>52</v>
      </c>
      <c r="K2029" s="76">
        <v>63</v>
      </c>
      <c r="L2029" s="78">
        <f t="shared" si="216"/>
        <v>1</v>
      </c>
      <c r="M2029" s="78">
        <f t="shared" si="217"/>
        <v>1</v>
      </c>
      <c r="N2029" s="76" t="s">
        <v>25</v>
      </c>
      <c r="O2029" s="76" t="s">
        <v>25</v>
      </c>
      <c r="P2029" s="76">
        <v>0</v>
      </c>
      <c r="Q2029" s="76">
        <v>0</v>
      </c>
      <c r="R2029" s="76" t="s">
        <v>2954</v>
      </c>
      <c r="S2029" s="76"/>
    </row>
    <row r="2030" spans="1:19" x14ac:dyDescent="0.3">
      <c r="A2030" s="76" t="s">
        <v>2949</v>
      </c>
      <c r="B2030" s="76" t="s">
        <v>2950</v>
      </c>
      <c r="C2030" s="76" t="s">
        <v>1263</v>
      </c>
      <c r="D2030" s="76" t="s">
        <v>39</v>
      </c>
      <c r="E2030" s="76" t="s">
        <v>22</v>
      </c>
      <c r="F2030" s="77">
        <v>45473</v>
      </c>
      <c r="G2030" s="76">
        <v>2024</v>
      </c>
      <c r="H2030" s="76" t="s">
        <v>23</v>
      </c>
      <c r="I2030" s="76" t="s">
        <v>34</v>
      </c>
      <c r="J2030" s="76">
        <v>65.95</v>
      </c>
      <c r="K2030" s="76">
        <v>62.83</v>
      </c>
      <c r="L2030" s="78">
        <f t="shared" si="216"/>
        <v>0.95269143290371483</v>
      </c>
      <c r="M2030" s="78">
        <f t="shared" si="217"/>
        <v>0.95269143290371483</v>
      </c>
      <c r="N2030" s="76" t="s">
        <v>25</v>
      </c>
      <c r="O2030" s="76" t="s">
        <v>25</v>
      </c>
      <c r="P2030" s="76">
        <v>0</v>
      </c>
      <c r="Q2030" s="76">
        <v>0</v>
      </c>
      <c r="R2030" s="76" t="s">
        <v>2955</v>
      </c>
      <c r="S2030" s="76"/>
    </row>
    <row r="2031" spans="1:19" x14ac:dyDescent="0.3">
      <c r="A2031" s="76" t="s">
        <v>2949</v>
      </c>
      <c r="B2031" s="76" t="s">
        <v>2950</v>
      </c>
      <c r="C2031" s="76" t="s">
        <v>1263</v>
      </c>
      <c r="D2031" s="76" t="s">
        <v>39</v>
      </c>
      <c r="E2031" s="76" t="s">
        <v>22</v>
      </c>
      <c r="F2031" s="77">
        <v>45565</v>
      </c>
      <c r="G2031" s="76">
        <v>2024</v>
      </c>
      <c r="H2031" s="76" t="s">
        <v>43</v>
      </c>
      <c r="I2031" s="76" t="s">
        <v>36</v>
      </c>
      <c r="J2031" s="76">
        <v>89</v>
      </c>
      <c r="K2031" s="76">
        <v>94</v>
      </c>
      <c r="L2031" s="78">
        <f t="shared" si="216"/>
        <v>1</v>
      </c>
      <c r="M2031" s="78">
        <f t="shared" si="217"/>
        <v>1</v>
      </c>
      <c r="N2031" s="76" t="s">
        <v>25</v>
      </c>
      <c r="O2031" s="76" t="s">
        <v>25</v>
      </c>
      <c r="P2031" s="76">
        <v>0</v>
      </c>
      <c r="Q2031" s="76">
        <v>0</v>
      </c>
      <c r="R2031" s="76" t="s">
        <v>2956</v>
      </c>
      <c r="S2031" s="76"/>
    </row>
    <row r="2032" spans="1:19" x14ac:dyDescent="0.3">
      <c r="A2032" s="76" t="s">
        <v>2949</v>
      </c>
      <c r="B2032" s="76" t="s">
        <v>2950</v>
      </c>
      <c r="C2032" s="76" t="s">
        <v>1263</v>
      </c>
      <c r="D2032" s="76" t="s">
        <v>39</v>
      </c>
      <c r="E2032" s="76" t="s">
        <v>22</v>
      </c>
      <c r="F2032" s="77">
        <v>45657</v>
      </c>
      <c r="G2032" s="76">
        <v>2024</v>
      </c>
      <c r="H2032" s="76" t="s">
        <v>27</v>
      </c>
      <c r="I2032" s="76" t="s">
        <v>36</v>
      </c>
      <c r="J2032" s="76">
        <v>100</v>
      </c>
      <c r="K2032" s="76">
        <v>94</v>
      </c>
      <c r="L2032" s="78">
        <f t="shared" si="216"/>
        <v>0.94</v>
      </c>
      <c r="M2032" s="78">
        <f t="shared" si="217"/>
        <v>0.94</v>
      </c>
      <c r="N2032" s="76" t="s">
        <v>25</v>
      </c>
      <c r="O2032" s="76" t="s">
        <v>25</v>
      </c>
      <c r="P2032" s="76">
        <v>0</v>
      </c>
      <c r="Q2032" s="76">
        <v>0</v>
      </c>
      <c r="R2032" s="76" t="s">
        <v>2957</v>
      </c>
      <c r="S2032" s="76"/>
    </row>
    <row r="2033" spans="1:19" x14ac:dyDescent="0.3">
      <c r="A2033" s="76" t="s">
        <v>2958</v>
      </c>
      <c r="B2033" s="76" t="s">
        <v>2959</v>
      </c>
      <c r="C2033" s="76" t="s">
        <v>1263</v>
      </c>
      <c r="D2033" s="76" t="s">
        <v>39</v>
      </c>
      <c r="E2033" s="76" t="s">
        <v>22</v>
      </c>
      <c r="F2033" s="77">
        <v>45107</v>
      </c>
      <c r="G2033" s="76">
        <v>2023</v>
      </c>
      <c r="H2033" s="76" t="s">
        <v>23</v>
      </c>
      <c r="I2033" s="76" t="s">
        <v>30</v>
      </c>
      <c r="J2033" s="76">
        <v>66</v>
      </c>
      <c r="K2033" s="76">
        <v>66</v>
      </c>
      <c r="L2033" s="78">
        <f t="shared" si="216"/>
        <v>1</v>
      </c>
      <c r="M2033" s="78">
        <f t="shared" si="217"/>
        <v>1</v>
      </c>
      <c r="N2033" s="76" t="s">
        <v>25</v>
      </c>
      <c r="O2033" s="76" t="s">
        <v>25</v>
      </c>
      <c r="P2033" s="76">
        <v>0</v>
      </c>
      <c r="Q2033" s="76">
        <v>0</v>
      </c>
      <c r="R2033" s="76" t="s">
        <v>2960</v>
      </c>
      <c r="S2033" s="76"/>
    </row>
    <row r="2034" spans="1:19" x14ac:dyDescent="0.3">
      <c r="A2034" s="76" t="s">
        <v>2958</v>
      </c>
      <c r="B2034" s="76" t="s">
        <v>2959</v>
      </c>
      <c r="C2034" s="76" t="s">
        <v>1263</v>
      </c>
      <c r="D2034" s="76" t="s">
        <v>39</v>
      </c>
      <c r="E2034" s="76" t="s">
        <v>22</v>
      </c>
      <c r="F2034" s="77">
        <v>45199</v>
      </c>
      <c r="G2034" s="76">
        <v>2023</v>
      </c>
      <c r="H2034" s="76" t="s">
        <v>43</v>
      </c>
      <c r="I2034" s="76" t="s">
        <v>32</v>
      </c>
      <c r="J2034" s="76">
        <v>91.7</v>
      </c>
      <c r="K2034" s="76">
        <v>77.5</v>
      </c>
      <c r="L2034" s="78">
        <f t="shared" si="216"/>
        <v>0.84514721919302072</v>
      </c>
      <c r="M2034" s="78">
        <f t="shared" si="217"/>
        <v>0.84514721919302072</v>
      </c>
      <c r="N2034" s="76" t="s">
        <v>25</v>
      </c>
      <c r="O2034" s="76" t="s">
        <v>25</v>
      </c>
      <c r="P2034" s="76">
        <v>0</v>
      </c>
      <c r="Q2034" s="76">
        <v>0</v>
      </c>
      <c r="R2034" s="76" t="s">
        <v>2961</v>
      </c>
      <c r="S2034" s="76"/>
    </row>
    <row r="2035" spans="1:19" x14ac:dyDescent="0.3">
      <c r="A2035" s="76" t="s">
        <v>2958</v>
      </c>
      <c r="B2035" s="76" t="s">
        <v>2959</v>
      </c>
      <c r="C2035" s="76" t="s">
        <v>1263</v>
      </c>
      <c r="D2035" s="76" t="s">
        <v>39</v>
      </c>
      <c r="E2035" s="76" t="s">
        <v>22</v>
      </c>
      <c r="F2035" s="77">
        <v>45291</v>
      </c>
      <c r="G2035" s="76">
        <v>2023</v>
      </c>
      <c r="H2035" s="76" t="s">
        <v>27</v>
      </c>
      <c r="I2035" s="76" t="s">
        <v>32</v>
      </c>
      <c r="J2035" s="76">
        <v>100</v>
      </c>
      <c r="K2035" s="76">
        <v>94.6</v>
      </c>
      <c r="L2035" s="78">
        <f t="shared" si="216"/>
        <v>0.94599999999999995</v>
      </c>
      <c r="M2035" s="78">
        <f t="shared" si="217"/>
        <v>0.94599999999999995</v>
      </c>
      <c r="N2035" s="76" t="s">
        <v>25</v>
      </c>
      <c r="O2035" s="76" t="s">
        <v>25</v>
      </c>
      <c r="P2035" s="76">
        <v>0</v>
      </c>
      <c r="Q2035" s="76">
        <v>0</v>
      </c>
      <c r="R2035" s="76" t="s">
        <v>2962</v>
      </c>
      <c r="S2035" s="76"/>
    </row>
    <row r="2036" spans="1:19" x14ac:dyDescent="0.3">
      <c r="A2036" s="76" t="s">
        <v>2958</v>
      </c>
      <c r="B2036" s="76" t="s">
        <v>2959</v>
      </c>
      <c r="C2036" s="76" t="s">
        <v>1263</v>
      </c>
      <c r="D2036" s="76" t="s">
        <v>39</v>
      </c>
      <c r="E2036" s="76" t="s">
        <v>22</v>
      </c>
      <c r="F2036" s="77">
        <v>45382</v>
      </c>
      <c r="G2036" s="76">
        <v>2024</v>
      </c>
      <c r="H2036" s="76" t="s">
        <v>40</v>
      </c>
      <c r="I2036" s="76" t="s">
        <v>34</v>
      </c>
      <c r="J2036" s="76">
        <v>63</v>
      </c>
      <c r="K2036" s="76">
        <v>64</v>
      </c>
      <c r="L2036" s="78">
        <f t="shared" si="216"/>
        <v>1</v>
      </c>
      <c r="M2036" s="78">
        <f t="shared" si="217"/>
        <v>1</v>
      </c>
      <c r="N2036" s="76" t="s">
        <v>25</v>
      </c>
      <c r="O2036" s="76" t="s">
        <v>25</v>
      </c>
      <c r="P2036" s="76">
        <v>0</v>
      </c>
      <c r="Q2036" s="76">
        <v>0</v>
      </c>
      <c r="R2036" s="76" t="s">
        <v>2963</v>
      </c>
      <c r="S2036" s="76"/>
    </row>
    <row r="2037" spans="1:19" x14ac:dyDescent="0.3">
      <c r="A2037" s="76" t="s">
        <v>2958</v>
      </c>
      <c r="B2037" s="76" t="s">
        <v>2959</v>
      </c>
      <c r="C2037" s="76" t="s">
        <v>1263</v>
      </c>
      <c r="D2037" s="76" t="s">
        <v>39</v>
      </c>
      <c r="E2037" s="76" t="s">
        <v>22</v>
      </c>
      <c r="F2037" s="77">
        <v>45473</v>
      </c>
      <c r="G2037" s="76">
        <v>2024</v>
      </c>
      <c r="H2037" s="76" t="s">
        <v>23</v>
      </c>
      <c r="I2037" s="76" t="s">
        <v>34</v>
      </c>
      <c r="J2037" s="76">
        <v>79.25</v>
      </c>
      <c r="K2037" s="76">
        <v>85.57</v>
      </c>
      <c r="L2037" s="78">
        <f t="shared" si="216"/>
        <v>1</v>
      </c>
      <c r="M2037" s="78">
        <f t="shared" si="217"/>
        <v>1</v>
      </c>
      <c r="N2037" s="76" t="s">
        <v>25</v>
      </c>
      <c r="O2037" s="76" t="s">
        <v>25</v>
      </c>
      <c r="P2037" s="76">
        <v>0</v>
      </c>
      <c r="Q2037" s="76">
        <v>0</v>
      </c>
      <c r="R2037" s="76" t="s">
        <v>2964</v>
      </c>
      <c r="S2037" s="76"/>
    </row>
    <row r="2038" spans="1:19" x14ac:dyDescent="0.3">
      <c r="A2038" s="76" t="s">
        <v>2958</v>
      </c>
      <c r="B2038" s="76" t="s">
        <v>2959</v>
      </c>
      <c r="C2038" s="76" t="s">
        <v>1263</v>
      </c>
      <c r="D2038" s="76" t="s">
        <v>39</v>
      </c>
      <c r="E2038" s="76" t="s">
        <v>22</v>
      </c>
      <c r="F2038" s="77">
        <v>45565</v>
      </c>
      <c r="G2038" s="76">
        <v>2024</v>
      </c>
      <c r="H2038" s="76" t="s">
        <v>43</v>
      </c>
      <c r="I2038" s="76" t="s">
        <v>36</v>
      </c>
      <c r="J2038" s="76">
        <v>92</v>
      </c>
      <c r="K2038" s="76">
        <v>93</v>
      </c>
      <c r="L2038" s="78">
        <f t="shared" si="216"/>
        <v>1</v>
      </c>
      <c r="M2038" s="78">
        <f t="shared" si="217"/>
        <v>1</v>
      </c>
      <c r="N2038" s="76" t="s">
        <v>25</v>
      </c>
      <c r="O2038" s="76" t="s">
        <v>25</v>
      </c>
      <c r="P2038" s="76">
        <v>0</v>
      </c>
      <c r="Q2038" s="76">
        <v>0</v>
      </c>
      <c r="R2038" s="76" t="s">
        <v>2965</v>
      </c>
      <c r="S2038" s="76"/>
    </row>
    <row r="2039" spans="1:19" x14ac:dyDescent="0.3">
      <c r="A2039" s="76" t="s">
        <v>2958</v>
      </c>
      <c r="B2039" s="76" t="s">
        <v>2959</v>
      </c>
      <c r="C2039" s="76" t="s">
        <v>1263</v>
      </c>
      <c r="D2039" s="76" t="s">
        <v>39</v>
      </c>
      <c r="E2039" s="76" t="s">
        <v>22</v>
      </c>
      <c r="F2039" s="77">
        <v>45657</v>
      </c>
      <c r="G2039" s="76">
        <v>2024</v>
      </c>
      <c r="H2039" s="76" t="s">
        <v>27</v>
      </c>
      <c r="I2039" s="76" t="s">
        <v>36</v>
      </c>
      <c r="J2039" s="76">
        <v>100</v>
      </c>
      <c r="K2039" s="76">
        <v>100</v>
      </c>
      <c r="L2039" s="78">
        <f t="shared" si="216"/>
        <v>1</v>
      </c>
      <c r="M2039" s="78">
        <f t="shared" si="217"/>
        <v>1</v>
      </c>
      <c r="N2039" s="76" t="s">
        <v>25</v>
      </c>
      <c r="O2039" s="76" t="s">
        <v>25</v>
      </c>
      <c r="P2039" s="76">
        <v>0</v>
      </c>
      <c r="Q2039" s="76">
        <v>0</v>
      </c>
      <c r="R2039" s="76" t="s">
        <v>2966</v>
      </c>
      <c r="S2039" s="76"/>
    </row>
    <row r="2040" spans="1:19" x14ac:dyDescent="0.3">
      <c r="A2040" s="36" t="s">
        <v>2967</v>
      </c>
      <c r="B2040" s="12" t="s">
        <v>2968</v>
      </c>
      <c r="C2040" s="37" t="s">
        <v>1303</v>
      </c>
      <c r="D2040" s="37" t="s">
        <v>39</v>
      </c>
      <c r="E2040" s="37" t="s">
        <v>22</v>
      </c>
      <c r="F2040" s="42">
        <v>45107</v>
      </c>
      <c r="G2040" s="37">
        <v>2023</v>
      </c>
      <c r="H2040" s="37" t="s">
        <v>23</v>
      </c>
      <c r="I2040" s="39" t="s">
        <v>30</v>
      </c>
      <c r="J2040" s="37">
        <v>66</v>
      </c>
      <c r="K2040" s="37">
        <v>66</v>
      </c>
      <c r="L2040" s="65">
        <f t="shared" si="216"/>
        <v>1</v>
      </c>
      <c r="M2040" s="65">
        <f t="shared" si="217"/>
        <v>1</v>
      </c>
      <c r="N2040" s="37" t="s">
        <v>25</v>
      </c>
      <c r="O2040" s="37" t="s">
        <v>25</v>
      </c>
      <c r="P2040" s="40">
        <v>0</v>
      </c>
      <c r="Q2040" s="40">
        <v>0</v>
      </c>
      <c r="R2040" s="37" t="s">
        <v>2969</v>
      </c>
      <c r="S2040" s="37"/>
    </row>
    <row r="2041" spans="1:19" x14ac:dyDescent="0.3">
      <c r="A2041" s="36" t="s">
        <v>2967</v>
      </c>
      <c r="B2041" s="12" t="s">
        <v>2968</v>
      </c>
      <c r="C2041" s="37" t="s">
        <v>1303</v>
      </c>
      <c r="D2041" s="37" t="s">
        <v>39</v>
      </c>
      <c r="E2041" s="37" t="s">
        <v>22</v>
      </c>
      <c r="F2041" s="42">
        <v>45291</v>
      </c>
      <c r="G2041" s="37">
        <v>2023</v>
      </c>
      <c r="H2041" s="37" t="s">
        <v>27</v>
      </c>
      <c r="I2041" s="39" t="s">
        <v>32</v>
      </c>
      <c r="J2041" s="37">
        <v>100</v>
      </c>
      <c r="K2041" s="43">
        <v>94.6</v>
      </c>
      <c r="L2041" s="65">
        <f t="shared" si="216"/>
        <v>0.94599999999999995</v>
      </c>
      <c r="M2041" s="65">
        <f t="shared" si="217"/>
        <v>0.94599999999999995</v>
      </c>
      <c r="N2041" s="37" t="s">
        <v>25</v>
      </c>
      <c r="O2041" s="37" t="s">
        <v>25</v>
      </c>
      <c r="P2041" s="40">
        <v>0</v>
      </c>
      <c r="Q2041" s="40">
        <v>0</v>
      </c>
      <c r="R2041" s="37" t="s">
        <v>2970</v>
      </c>
      <c r="S2041" s="37"/>
    </row>
    <row r="2042" spans="1:19" x14ac:dyDescent="0.3">
      <c r="A2042" s="76" t="s">
        <v>2967</v>
      </c>
      <c r="B2042" s="76" t="s">
        <v>2971</v>
      </c>
      <c r="C2042" s="76" t="s">
        <v>1263</v>
      </c>
      <c r="D2042" s="76" t="s">
        <v>39</v>
      </c>
      <c r="E2042" s="76" t="s">
        <v>22</v>
      </c>
      <c r="F2042" s="77">
        <v>45382</v>
      </c>
      <c r="G2042" s="76">
        <v>2024</v>
      </c>
      <c r="H2042" s="76" t="s">
        <v>40</v>
      </c>
      <c r="I2042" s="76" t="s">
        <v>34</v>
      </c>
      <c r="J2042" s="76">
        <v>37</v>
      </c>
      <c r="K2042" s="76">
        <v>31</v>
      </c>
      <c r="L2042" s="78">
        <f t="shared" si="216"/>
        <v>0.83783783783783783</v>
      </c>
      <c r="M2042" s="78">
        <f t="shared" si="217"/>
        <v>0.83783783783783783</v>
      </c>
      <c r="N2042" s="76" t="s">
        <v>25</v>
      </c>
      <c r="O2042" s="76" t="s">
        <v>25</v>
      </c>
      <c r="P2042" s="76">
        <v>0</v>
      </c>
      <c r="Q2042" s="76">
        <v>0</v>
      </c>
      <c r="R2042" s="76" t="s">
        <v>2972</v>
      </c>
      <c r="S2042" s="76"/>
    </row>
    <row r="2043" spans="1:19" x14ac:dyDescent="0.3">
      <c r="A2043" s="76" t="s">
        <v>2967</v>
      </c>
      <c r="B2043" s="76" t="s">
        <v>2971</v>
      </c>
      <c r="C2043" s="76" t="s">
        <v>1263</v>
      </c>
      <c r="D2043" s="76" t="s">
        <v>39</v>
      </c>
      <c r="E2043" s="76" t="s">
        <v>22</v>
      </c>
      <c r="F2043" s="77">
        <v>45473</v>
      </c>
      <c r="G2043" s="76">
        <v>2024</v>
      </c>
      <c r="H2043" s="76" t="s">
        <v>23</v>
      </c>
      <c r="I2043" s="76" t="s">
        <v>34</v>
      </c>
      <c r="J2043" s="76">
        <v>52.19</v>
      </c>
      <c r="K2043" s="76">
        <v>45</v>
      </c>
      <c r="L2043" s="78">
        <f t="shared" si="216"/>
        <v>0.8622341444721211</v>
      </c>
      <c r="M2043" s="78">
        <f t="shared" si="217"/>
        <v>0.8622341444721211</v>
      </c>
      <c r="N2043" s="76" t="s">
        <v>25</v>
      </c>
      <c r="O2043" s="76" t="s">
        <v>25</v>
      </c>
      <c r="P2043" s="76">
        <v>0</v>
      </c>
      <c r="Q2043" s="76">
        <v>0</v>
      </c>
      <c r="R2043" s="76" t="s">
        <v>2973</v>
      </c>
      <c r="S2043" s="76"/>
    </row>
    <row r="2044" spans="1:19" x14ac:dyDescent="0.3">
      <c r="A2044" s="76" t="s">
        <v>2967</v>
      </c>
      <c r="B2044" s="76" t="s">
        <v>2971</v>
      </c>
      <c r="C2044" s="76" t="s">
        <v>1263</v>
      </c>
      <c r="D2044" s="76" t="s">
        <v>39</v>
      </c>
      <c r="E2044" s="76" t="s">
        <v>22</v>
      </c>
      <c r="F2044" s="77">
        <v>45565</v>
      </c>
      <c r="G2044" s="76">
        <v>2024</v>
      </c>
      <c r="H2044" s="76" t="s">
        <v>43</v>
      </c>
      <c r="I2044" s="76" t="s">
        <v>36</v>
      </c>
      <c r="J2044" s="76">
        <v>87</v>
      </c>
      <c r="K2044" s="76">
        <v>73</v>
      </c>
      <c r="L2044" s="78">
        <f t="shared" si="216"/>
        <v>0.83908045977011492</v>
      </c>
      <c r="M2044" s="78">
        <f t="shared" si="217"/>
        <v>0.83908045977011492</v>
      </c>
      <c r="N2044" s="76" t="s">
        <v>25</v>
      </c>
      <c r="O2044" s="76" t="s">
        <v>25</v>
      </c>
      <c r="P2044" s="76">
        <v>0</v>
      </c>
      <c r="Q2044" s="76">
        <v>0</v>
      </c>
      <c r="R2044" s="76" t="s">
        <v>2974</v>
      </c>
      <c r="S2044" s="76"/>
    </row>
    <row r="2045" spans="1:19" x14ac:dyDescent="0.3">
      <c r="A2045" s="76" t="s">
        <v>2967</v>
      </c>
      <c r="B2045" s="76" t="s">
        <v>2971</v>
      </c>
      <c r="C2045" s="76" t="s">
        <v>1263</v>
      </c>
      <c r="D2045" s="76" t="s">
        <v>39</v>
      </c>
      <c r="E2045" s="76" t="s">
        <v>22</v>
      </c>
      <c r="F2045" s="77">
        <v>45657</v>
      </c>
      <c r="G2045" s="76">
        <v>2024</v>
      </c>
      <c r="H2045" s="76" t="s">
        <v>27</v>
      </c>
      <c r="I2045" s="76" t="s">
        <v>36</v>
      </c>
      <c r="J2045" s="76">
        <v>100</v>
      </c>
      <c r="K2045" s="76">
        <v>96</v>
      </c>
      <c r="L2045" s="78">
        <f t="shared" si="216"/>
        <v>0.96</v>
      </c>
      <c r="M2045" s="78">
        <f t="shared" si="217"/>
        <v>0.96</v>
      </c>
      <c r="N2045" s="76" t="s">
        <v>25</v>
      </c>
      <c r="O2045" s="76" t="s">
        <v>25</v>
      </c>
      <c r="P2045" s="76">
        <v>0</v>
      </c>
      <c r="Q2045" s="76">
        <v>0</v>
      </c>
      <c r="R2045" s="76" t="s">
        <v>2975</v>
      </c>
      <c r="S2045" s="76"/>
    </row>
    <row r="2046" spans="1:19" x14ac:dyDescent="0.3">
      <c r="A2046" s="76" t="s">
        <v>2976</v>
      </c>
      <c r="B2046" s="76" t="s">
        <v>2977</v>
      </c>
      <c r="C2046" s="76" t="s">
        <v>1263</v>
      </c>
      <c r="D2046" s="76" t="s">
        <v>39</v>
      </c>
      <c r="E2046" s="76" t="s">
        <v>22</v>
      </c>
      <c r="F2046" s="77">
        <v>45107</v>
      </c>
      <c r="G2046" s="76">
        <v>2023</v>
      </c>
      <c r="H2046" s="76" t="s">
        <v>23</v>
      </c>
      <c r="I2046" s="76" t="s">
        <v>30</v>
      </c>
      <c r="J2046" s="76">
        <v>70</v>
      </c>
      <c r="K2046" s="76">
        <v>84</v>
      </c>
      <c r="L2046" s="78">
        <f t="shared" si="216"/>
        <v>1</v>
      </c>
      <c r="M2046" s="78">
        <f t="shared" si="217"/>
        <v>1</v>
      </c>
      <c r="N2046" s="76" t="s">
        <v>25</v>
      </c>
      <c r="O2046" s="76" t="s">
        <v>25</v>
      </c>
      <c r="P2046" s="76">
        <v>0</v>
      </c>
      <c r="Q2046" s="76">
        <v>0</v>
      </c>
      <c r="R2046" s="76" t="s">
        <v>2978</v>
      </c>
      <c r="S2046" s="76"/>
    </row>
    <row r="2047" spans="1:19" x14ac:dyDescent="0.3">
      <c r="A2047" s="76" t="s">
        <v>2976</v>
      </c>
      <c r="B2047" s="76" t="s">
        <v>2977</v>
      </c>
      <c r="C2047" s="76" t="s">
        <v>1263</v>
      </c>
      <c r="D2047" s="76" t="s">
        <v>39</v>
      </c>
      <c r="E2047" s="76" t="s">
        <v>22</v>
      </c>
      <c r="F2047" s="77">
        <v>45199</v>
      </c>
      <c r="G2047" s="76">
        <v>2023</v>
      </c>
      <c r="H2047" s="76" t="s">
        <v>43</v>
      </c>
      <c r="I2047" s="76" t="s">
        <v>32</v>
      </c>
      <c r="J2047" s="76">
        <v>100</v>
      </c>
      <c r="K2047" s="76">
        <v>84.02</v>
      </c>
      <c r="L2047" s="78">
        <f t="shared" si="216"/>
        <v>0.84019999999999995</v>
      </c>
      <c r="M2047" s="78">
        <f t="shared" si="217"/>
        <v>0.84019999999999995</v>
      </c>
      <c r="N2047" s="76" t="s">
        <v>25</v>
      </c>
      <c r="O2047" s="76" t="s">
        <v>25</v>
      </c>
      <c r="P2047" s="76">
        <v>0</v>
      </c>
      <c r="Q2047" s="76">
        <v>0</v>
      </c>
      <c r="R2047" s="76" t="s">
        <v>2979</v>
      </c>
      <c r="S2047" s="76"/>
    </row>
    <row r="2048" spans="1:19" x14ac:dyDescent="0.3">
      <c r="A2048" s="76" t="s">
        <v>2976</v>
      </c>
      <c r="B2048" s="76" t="s">
        <v>2977</v>
      </c>
      <c r="C2048" s="76" t="s">
        <v>1263</v>
      </c>
      <c r="D2048" s="76" t="s">
        <v>39</v>
      </c>
      <c r="E2048" s="76" t="s">
        <v>22</v>
      </c>
      <c r="F2048" s="77">
        <v>45291</v>
      </c>
      <c r="G2048" s="76">
        <v>2023</v>
      </c>
      <c r="H2048" s="76" t="s">
        <v>27</v>
      </c>
      <c r="I2048" s="76" t="s">
        <v>32</v>
      </c>
      <c r="J2048" s="76">
        <v>100</v>
      </c>
      <c r="K2048" s="76">
        <v>98.75</v>
      </c>
      <c r="L2048" s="78">
        <f t="shared" si="216"/>
        <v>0.98750000000000004</v>
      </c>
      <c r="M2048" s="78">
        <f t="shared" si="217"/>
        <v>0.98750000000000004</v>
      </c>
      <c r="N2048" s="76" t="s">
        <v>25</v>
      </c>
      <c r="O2048" s="76" t="s">
        <v>25</v>
      </c>
      <c r="P2048" s="76">
        <v>0</v>
      </c>
      <c r="Q2048" s="76">
        <v>0</v>
      </c>
      <c r="R2048" s="76" t="s">
        <v>2980</v>
      </c>
      <c r="S2048" s="76"/>
    </row>
    <row r="2049" spans="1:19" x14ac:dyDescent="0.3">
      <c r="A2049" s="76" t="s">
        <v>2976</v>
      </c>
      <c r="B2049" s="76" t="s">
        <v>2977</v>
      </c>
      <c r="C2049" s="76" t="s">
        <v>1263</v>
      </c>
      <c r="D2049" s="76" t="s">
        <v>39</v>
      </c>
      <c r="E2049" s="76" t="s">
        <v>22</v>
      </c>
      <c r="F2049" s="77">
        <v>45382</v>
      </c>
      <c r="G2049" s="76">
        <v>2024</v>
      </c>
      <c r="H2049" s="76" t="s">
        <v>40</v>
      </c>
      <c r="I2049" s="76" t="s">
        <v>34</v>
      </c>
      <c r="J2049" s="76">
        <v>73</v>
      </c>
      <c r="K2049" s="76">
        <v>78</v>
      </c>
      <c r="L2049" s="78">
        <f t="shared" si="216"/>
        <v>1</v>
      </c>
      <c r="M2049" s="78">
        <f t="shared" si="217"/>
        <v>1</v>
      </c>
      <c r="N2049" s="76" t="s">
        <v>25</v>
      </c>
      <c r="O2049" s="76" t="s">
        <v>25</v>
      </c>
      <c r="P2049" s="76">
        <v>0</v>
      </c>
      <c r="Q2049" s="76">
        <v>0</v>
      </c>
      <c r="R2049" s="76" t="s">
        <v>2981</v>
      </c>
      <c r="S2049" s="76"/>
    </row>
    <row r="2050" spans="1:19" x14ac:dyDescent="0.3">
      <c r="A2050" s="76" t="s">
        <v>2976</v>
      </c>
      <c r="B2050" s="76" t="s">
        <v>2977</v>
      </c>
      <c r="C2050" s="76" t="s">
        <v>1263</v>
      </c>
      <c r="D2050" s="76" t="s">
        <v>39</v>
      </c>
      <c r="E2050" s="76" t="s">
        <v>22</v>
      </c>
      <c r="F2050" s="77">
        <v>45473</v>
      </c>
      <c r="G2050" s="76">
        <v>2024</v>
      </c>
      <c r="H2050" s="76" t="s">
        <v>23</v>
      </c>
      <c r="I2050" s="76" t="s">
        <v>34</v>
      </c>
      <c r="J2050" s="76">
        <v>81.790000000000006</v>
      </c>
      <c r="K2050" s="76">
        <v>80</v>
      </c>
      <c r="L2050" s="78">
        <f t="shared" si="216"/>
        <v>0.97811468394669265</v>
      </c>
      <c r="M2050" s="78">
        <f t="shared" si="217"/>
        <v>0.97811468394669265</v>
      </c>
      <c r="N2050" s="76" t="s">
        <v>25</v>
      </c>
      <c r="O2050" s="76" t="s">
        <v>25</v>
      </c>
      <c r="P2050" s="76">
        <v>0</v>
      </c>
      <c r="Q2050" s="76">
        <v>0</v>
      </c>
      <c r="R2050" s="76" t="s">
        <v>2982</v>
      </c>
      <c r="S2050" s="76"/>
    </row>
    <row r="2051" spans="1:19" x14ac:dyDescent="0.3">
      <c r="A2051" s="76" t="s">
        <v>2976</v>
      </c>
      <c r="B2051" s="76" t="s">
        <v>2977</v>
      </c>
      <c r="C2051" s="76" t="s">
        <v>1263</v>
      </c>
      <c r="D2051" s="76" t="s">
        <v>39</v>
      </c>
      <c r="E2051" s="76" t="s">
        <v>22</v>
      </c>
      <c r="F2051" s="77">
        <v>45565</v>
      </c>
      <c r="G2051" s="76">
        <v>2024</v>
      </c>
      <c r="H2051" s="76" t="s">
        <v>43</v>
      </c>
      <c r="I2051" s="76" t="s">
        <v>36</v>
      </c>
      <c r="J2051" s="76">
        <v>94</v>
      </c>
      <c r="K2051" s="76">
        <v>87</v>
      </c>
      <c r="L2051" s="78">
        <f t="shared" si="216"/>
        <v>0.92553191489361697</v>
      </c>
      <c r="M2051" s="78">
        <f t="shared" si="217"/>
        <v>0.92553191489361697</v>
      </c>
      <c r="N2051" s="76" t="s">
        <v>25</v>
      </c>
      <c r="O2051" s="76" t="s">
        <v>25</v>
      </c>
      <c r="P2051" s="76">
        <v>0</v>
      </c>
      <c r="Q2051" s="76">
        <v>0</v>
      </c>
      <c r="R2051" s="76" t="s">
        <v>2983</v>
      </c>
      <c r="S2051" s="76"/>
    </row>
    <row r="2052" spans="1:19" x14ac:dyDescent="0.3">
      <c r="A2052" s="76" t="s">
        <v>2976</v>
      </c>
      <c r="B2052" s="76" t="s">
        <v>2977</v>
      </c>
      <c r="C2052" s="76" t="s">
        <v>1263</v>
      </c>
      <c r="D2052" s="76" t="s">
        <v>39</v>
      </c>
      <c r="E2052" s="76" t="s">
        <v>22</v>
      </c>
      <c r="F2052" s="77">
        <v>45657</v>
      </c>
      <c r="G2052" s="76">
        <v>2024</v>
      </c>
      <c r="H2052" s="76" t="s">
        <v>27</v>
      </c>
      <c r="I2052" s="76" t="s">
        <v>36</v>
      </c>
      <c r="J2052" s="76">
        <v>100</v>
      </c>
      <c r="K2052" s="76">
        <v>100</v>
      </c>
      <c r="L2052" s="78">
        <f t="shared" si="216"/>
        <v>1</v>
      </c>
      <c r="M2052" s="78">
        <f t="shared" si="217"/>
        <v>1</v>
      </c>
      <c r="N2052" s="76" t="s">
        <v>25</v>
      </c>
      <c r="O2052" s="76" t="s">
        <v>25</v>
      </c>
      <c r="P2052" s="76">
        <v>0</v>
      </c>
      <c r="Q2052" s="76">
        <v>0</v>
      </c>
      <c r="R2052" s="76" t="s">
        <v>2984</v>
      </c>
      <c r="S2052" s="76"/>
    </row>
    <row r="2053" spans="1:19" x14ac:dyDescent="0.3">
      <c r="A2053" s="76" t="s">
        <v>2985</v>
      </c>
      <c r="B2053" s="76" t="s">
        <v>2986</v>
      </c>
      <c r="C2053" s="76" t="s">
        <v>1263</v>
      </c>
      <c r="D2053" s="76" t="s">
        <v>39</v>
      </c>
      <c r="E2053" s="76" t="s">
        <v>22</v>
      </c>
      <c r="F2053" s="77">
        <v>45107</v>
      </c>
      <c r="G2053" s="76">
        <v>2023</v>
      </c>
      <c r="H2053" s="76" t="s">
        <v>23</v>
      </c>
      <c r="I2053" s="76" t="s">
        <v>30</v>
      </c>
      <c r="J2053" s="76">
        <v>63</v>
      </c>
      <c r="K2053" s="76">
        <v>52</v>
      </c>
      <c r="L2053" s="78">
        <f t="shared" ref="L2053:L2081" si="218">IFERROR(IF(OR(J2053=0,K2053=""),"",IF(E2053="Positivo",MIN(MAX(K2053/J2053,0),1),MIN(MAX(J2053/K2053,0),1))),"")</f>
        <v>0.82539682539682535</v>
      </c>
      <c r="M2053" s="78">
        <f t="shared" ref="M2053:M2081" si="219">IFERROR(IF(OR(J2053=0,K2053=""),"",IF(E2053="Positivo",MIN(MAX(K2053/J2053,0),1),MIN(MAX(J2053/K2053,0),1))),"")</f>
        <v>0.82539682539682535</v>
      </c>
      <c r="N2053" s="76" t="s">
        <v>25</v>
      </c>
      <c r="O2053" s="76" t="s">
        <v>25</v>
      </c>
      <c r="P2053" s="76">
        <v>0</v>
      </c>
      <c r="Q2053" s="76">
        <v>0</v>
      </c>
      <c r="R2053" s="76" t="s">
        <v>2987</v>
      </c>
      <c r="S2053" s="76"/>
    </row>
    <row r="2054" spans="1:19" x14ac:dyDescent="0.3">
      <c r="A2054" s="76" t="s">
        <v>2985</v>
      </c>
      <c r="B2054" s="76" t="s">
        <v>2986</v>
      </c>
      <c r="C2054" s="76" t="s">
        <v>1263</v>
      </c>
      <c r="D2054" s="76" t="s">
        <v>39</v>
      </c>
      <c r="E2054" s="76" t="s">
        <v>22</v>
      </c>
      <c r="F2054" s="77">
        <v>45199</v>
      </c>
      <c r="G2054" s="76">
        <v>2023</v>
      </c>
      <c r="H2054" s="76" t="s">
        <v>43</v>
      </c>
      <c r="I2054" s="76" t="s">
        <v>32</v>
      </c>
      <c r="J2054" s="76">
        <v>92.91</v>
      </c>
      <c r="K2054" s="76">
        <v>73.569999999999993</v>
      </c>
      <c r="L2054" s="78">
        <f t="shared" si="218"/>
        <v>0.79184156710795384</v>
      </c>
      <c r="M2054" s="78">
        <f t="shared" si="219"/>
        <v>0.79184156710795384</v>
      </c>
      <c r="N2054" s="76" t="s">
        <v>25</v>
      </c>
      <c r="O2054" s="76" t="s">
        <v>25</v>
      </c>
      <c r="P2054" s="76">
        <v>0</v>
      </c>
      <c r="Q2054" s="76">
        <v>0</v>
      </c>
      <c r="R2054" s="76" t="s">
        <v>2988</v>
      </c>
      <c r="S2054" s="76"/>
    </row>
    <row r="2055" spans="1:19" x14ac:dyDescent="0.3">
      <c r="A2055" s="76" t="s">
        <v>2985</v>
      </c>
      <c r="B2055" s="76" t="s">
        <v>2986</v>
      </c>
      <c r="C2055" s="76" t="s">
        <v>1263</v>
      </c>
      <c r="D2055" s="76" t="s">
        <v>39</v>
      </c>
      <c r="E2055" s="76" t="s">
        <v>22</v>
      </c>
      <c r="F2055" s="77">
        <v>45291</v>
      </c>
      <c r="G2055" s="76">
        <v>2023</v>
      </c>
      <c r="H2055" s="76" t="s">
        <v>27</v>
      </c>
      <c r="I2055" s="76" t="s">
        <v>32</v>
      </c>
      <c r="J2055" s="76">
        <v>100</v>
      </c>
      <c r="K2055" s="76">
        <v>100</v>
      </c>
      <c r="L2055" s="78">
        <f t="shared" si="218"/>
        <v>1</v>
      </c>
      <c r="M2055" s="78">
        <f t="shared" si="219"/>
        <v>1</v>
      </c>
      <c r="N2055" s="76" t="s">
        <v>25</v>
      </c>
      <c r="O2055" s="76" t="s">
        <v>25</v>
      </c>
      <c r="P2055" s="76">
        <v>0</v>
      </c>
      <c r="Q2055" s="76">
        <v>0</v>
      </c>
      <c r="R2055" s="76" t="s">
        <v>2989</v>
      </c>
      <c r="S2055" s="76"/>
    </row>
    <row r="2056" spans="1:19" x14ac:dyDescent="0.3">
      <c r="A2056" s="76" t="s">
        <v>2985</v>
      </c>
      <c r="B2056" s="76" t="s">
        <v>2986</v>
      </c>
      <c r="C2056" s="76" t="s">
        <v>1263</v>
      </c>
      <c r="D2056" s="76" t="s">
        <v>39</v>
      </c>
      <c r="E2056" s="76" t="s">
        <v>22</v>
      </c>
      <c r="F2056" s="77">
        <v>45382</v>
      </c>
      <c r="G2056" s="76">
        <v>2024</v>
      </c>
      <c r="H2056" s="76" t="s">
        <v>40</v>
      </c>
      <c r="I2056" s="76" t="s">
        <v>34</v>
      </c>
      <c r="J2056" s="76">
        <v>61</v>
      </c>
      <c r="K2056" s="76">
        <v>41</v>
      </c>
      <c r="L2056" s="78">
        <f t="shared" si="218"/>
        <v>0.67213114754098358</v>
      </c>
      <c r="M2056" s="78">
        <f t="shared" si="219"/>
        <v>0.67213114754098358</v>
      </c>
      <c r="N2056" s="76" t="s">
        <v>25</v>
      </c>
      <c r="O2056" s="76" t="s">
        <v>25</v>
      </c>
      <c r="P2056" s="76">
        <v>0</v>
      </c>
      <c r="Q2056" s="76">
        <v>0</v>
      </c>
      <c r="R2056" s="76" t="s">
        <v>2990</v>
      </c>
      <c r="S2056" s="76"/>
    </row>
    <row r="2057" spans="1:19" x14ac:dyDescent="0.3">
      <c r="A2057" s="76" t="s">
        <v>2985</v>
      </c>
      <c r="B2057" s="76" t="s">
        <v>2986</v>
      </c>
      <c r="C2057" s="76" t="s">
        <v>1263</v>
      </c>
      <c r="D2057" s="76" t="s">
        <v>39</v>
      </c>
      <c r="E2057" s="76" t="s">
        <v>22</v>
      </c>
      <c r="F2057" s="77">
        <v>45473</v>
      </c>
      <c r="G2057" s="76">
        <v>2024</v>
      </c>
      <c r="H2057" s="76" t="s">
        <v>23</v>
      </c>
      <c r="I2057" s="76" t="s">
        <v>34</v>
      </c>
      <c r="J2057" s="76">
        <v>78.680000000000007</v>
      </c>
      <c r="K2057" s="76">
        <v>65.67</v>
      </c>
      <c r="L2057" s="78">
        <f t="shared" si="218"/>
        <v>0.83464667005592263</v>
      </c>
      <c r="M2057" s="78">
        <f t="shared" si="219"/>
        <v>0.83464667005592263</v>
      </c>
      <c r="N2057" s="76" t="s">
        <v>25</v>
      </c>
      <c r="O2057" s="76" t="s">
        <v>25</v>
      </c>
      <c r="P2057" s="76">
        <v>0</v>
      </c>
      <c r="Q2057" s="76">
        <v>0</v>
      </c>
      <c r="R2057" s="76" t="s">
        <v>2991</v>
      </c>
      <c r="S2057" s="76"/>
    </row>
    <row r="2058" spans="1:19" x14ac:dyDescent="0.3">
      <c r="A2058" s="76" t="s">
        <v>2985</v>
      </c>
      <c r="B2058" s="76" t="s">
        <v>2986</v>
      </c>
      <c r="C2058" s="76" t="s">
        <v>1263</v>
      </c>
      <c r="D2058" s="76" t="s">
        <v>39</v>
      </c>
      <c r="E2058" s="76" t="s">
        <v>22</v>
      </c>
      <c r="F2058" s="77">
        <v>45565</v>
      </c>
      <c r="G2058" s="76">
        <v>2024</v>
      </c>
      <c r="H2058" s="76" t="s">
        <v>43</v>
      </c>
      <c r="I2058" s="76" t="s">
        <v>36</v>
      </c>
      <c r="J2058" s="76">
        <v>100</v>
      </c>
      <c r="K2058" s="76">
        <v>100</v>
      </c>
      <c r="L2058" s="78">
        <f t="shared" si="218"/>
        <v>1</v>
      </c>
      <c r="M2058" s="78">
        <f t="shared" si="219"/>
        <v>1</v>
      </c>
      <c r="N2058" s="76" t="s">
        <v>25</v>
      </c>
      <c r="O2058" s="76" t="s">
        <v>25</v>
      </c>
      <c r="P2058" s="76">
        <v>0</v>
      </c>
      <c r="Q2058" s="76">
        <v>0</v>
      </c>
      <c r="R2058" s="76" t="s">
        <v>2992</v>
      </c>
      <c r="S2058" s="76"/>
    </row>
    <row r="2059" spans="1:19" x14ac:dyDescent="0.3">
      <c r="A2059" s="76" t="s">
        <v>2985</v>
      </c>
      <c r="B2059" s="76" t="s">
        <v>2986</v>
      </c>
      <c r="C2059" s="76" t="s">
        <v>1263</v>
      </c>
      <c r="D2059" s="76" t="s">
        <v>39</v>
      </c>
      <c r="E2059" s="76" t="s">
        <v>22</v>
      </c>
      <c r="F2059" s="77">
        <v>45657</v>
      </c>
      <c r="G2059" s="76">
        <v>2024</v>
      </c>
      <c r="H2059" s="76" t="s">
        <v>27</v>
      </c>
      <c r="I2059" s="76" t="s">
        <v>36</v>
      </c>
      <c r="J2059" s="76">
        <v>100</v>
      </c>
      <c r="K2059" s="76">
        <v>100</v>
      </c>
      <c r="L2059" s="78">
        <f t="shared" si="218"/>
        <v>1</v>
      </c>
      <c r="M2059" s="78">
        <f t="shared" si="219"/>
        <v>1</v>
      </c>
      <c r="N2059" s="76" t="s">
        <v>25</v>
      </c>
      <c r="O2059" s="76" t="s">
        <v>25</v>
      </c>
      <c r="P2059" s="76">
        <v>0</v>
      </c>
      <c r="Q2059" s="76">
        <v>0</v>
      </c>
      <c r="R2059" s="76" t="s">
        <v>2993</v>
      </c>
      <c r="S2059" s="76"/>
    </row>
    <row r="2060" spans="1:19" x14ac:dyDescent="0.3">
      <c r="A2060" s="36" t="s">
        <v>2994</v>
      </c>
      <c r="B2060" s="12" t="s">
        <v>2995</v>
      </c>
      <c r="C2060" s="37" t="s">
        <v>94</v>
      </c>
      <c r="D2060" s="37" t="s">
        <v>39</v>
      </c>
      <c r="E2060" s="37" t="s">
        <v>22</v>
      </c>
      <c r="F2060" s="42">
        <v>45107</v>
      </c>
      <c r="G2060" s="37">
        <v>2023</v>
      </c>
      <c r="H2060" s="37" t="s">
        <v>23</v>
      </c>
      <c r="I2060" s="39" t="s">
        <v>30</v>
      </c>
      <c r="J2060" s="37">
        <v>58</v>
      </c>
      <c r="K2060" s="37">
        <v>37</v>
      </c>
      <c r="L2060" s="65">
        <f t="shared" si="218"/>
        <v>0.63793103448275867</v>
      </c>
      <c r="M2060" s="65">
        <f t="shared" si="219"/>
        <v>0.63793103448275867</v>
      </c>
      <c r="N2060" s="37" t="s">
        <v>25</v>
      </c>
      <c r="O2060" s="37" t="s">
        <v>25</v>
      </c>
      <c r="P2060" s="40">
        <v>0</v>
      </c>
      <c r="Q2060" s="40">
        <v>0</v>
      </c>
      <c r="R2060" s="37" t="s">
        <v>2996</v>
      </c>
      <c r="S2060" s="37"/>
    </row>
    <row r="2061" spans="1:19" x14ac:dyDescent="0.3">
      <c r="A2061" s="36" t="s">
        <v>2994</v>
      </c>
      <c r="B2061" s="12" t="s">
        <v>2995</v>
      </c>
      <c r="C2061" s="37" t="s">
        <v>94</v>
      </c>
      <c r="D2061" s="37" t="s">
        <v>39</v>
      </c>
      <c r="E2061" s="37" t="s">
        <v>22</v>
      </c>
      <c r="F2061" s="42">
        <v>45291</v>
      </c>
      <c r="G2061" s="37">
        <v>2023</v>
      </c>
      <c r="H2061" s="37" t="s">
        <v>27</v>
      </c>
      <c r="I2061" s="39" t="s">
        <v>32</v>
      </c>
      <c r="J2061" s="37">
        <v>100</v>
      </c>
      <c r="K2061" s="43">
        <v>84.33</v>
      </c>
      <c r="L2061" s="65">
        <f t="shared" si="218"/>
        <v>0.84329999999999994</v>
      </c>
      <c r="M2061" s="65">
        <f t="shared" si="219"/>
        <v>0.84329999999999994</v>
      </c>
      <c r="N2061" s="37" t="s">
        <v>25</v>
      </c>
      <c r="O2061" s="37" t="s">
        <v>25</v>
      </c>
      <c r="P2061" s="40">
        <v>0</v>
      </c>
      <c r="Q2061" s="40">
        <v>0</v>
      </c>
      <c r="R2061" s="37" t="s">
        <v>2997</v>
      </c>
      <c r="S2061" s="37"/>
    </row>
    <row r="2062" spans="1:19" x14ac:dyDescent="0.3">
      <c r="A2062" s="76" t="s">
        <v>2994</v>
      </c>
      <c r="B2062" s="76" t="s">
        <v>2998</v>
      </c>
      <c r="C2062" s="76" t="s">
        <v>1263</v>
      </c>
      <c r="D2062" s="76" t="s">
        <v>39</v>
      </c>
      <c r="E2062" s="76" t="s">
        <v>22</v>
      </c>
      <c r="F2062" s="77">
        <v>45382</v>
      </c>
      <c r="G2062" s="76">
        <v>2024</v>
      </c>
      <c r="H2062" s="76" t="s">
        <v>40</v>
      </c>
      <c r="I2062" s="76" t="s">
        <v>34</v>
      </c>
      <c r="J2062" s="76">
        <v>6.56</v>
      </c>
      <c r="K2062" s="76">
        <v>0</v>
      </c>
      <c r="L2062" s="78">
        <f t="shared" si="218"/>
        <v>0</v>
      </c>
      <c r="M2062" s="78">
        <f t="shared" si="219"/>
        <v>0</v>
      </c>
      <c r="N2062" s="76" t="s">
        <v>25</v>
      </c>
      <c r="O2062" s="76" t="s">
        <v>25</v>
      </c>
      <c r="P2062" s="76">
        <v>0</v>
      </c>
      <c r="Q2062" s="76">
        <v>0</v>
      </c>
      <c r="R2062" s="76" t="s">
        <v>2999</v>
      </c>
      <c r="S2062" s="76"/>
    </row>
    <row r="2063" spans="1:19" x14ac:dyDescent="0.3">
      <c r="A2063" s="76" t="s">
        <v>2994</v>
      </c>
      <c r="B2063" s="76" t="s">
        <v>2998</v>
      </c>
      <c r="C2063" s="76" t="s">
        <v>1263</v>
      </c>
      <c r="D2063" s="76" t="s">
        <v>39</v>
      </c>
      <c r="E2063" s="76" t="s">
        <v>22</v>
      </c>
      <c r="F2063" s="77">
        <v>45473</v>
      </c>
      <c r="G2063" s="76">
        <v>2024</v>
      </c>
      <c r="H2063" s="76" t="s">
        <v>23</v>
      </c>
      <c r="I2063" s="76" t="s">
        <v>34</v>
      </c>
      <c r="J2063" s="76">
        <v>27.99</v>
      </c>
      <c r="K2063" s="76">
        <v>26.66</v>
      </c>
      <c r="L2063" s="78">
        <f t="shared" si="218"/>
        <v>0.95248302965344767</v>
      </c>
      <c r="M2063" s="78">
        <f t="shared" si="219"/>
        <v>0.95248302965344767</v>
      </c>
      <c r="N2063" s="76" t="s">
        <v>25</v>
      </c>
      <c r="O2063" s="76" t="s">
        <v>25</v>
      </c>
      <c r="P2063" s="76">
        <v>0</v>
      </c>
      <c r="Q2063" s="76">
        <v>0</v>
      </c>
      <c r="R2063" s="76" t="s">
        <v>3000</v>
      </c>
      <c r="S2063" s="76"/>
    </row>
    <row r="2064" spans="1:19" x14ac:dyDescent="0.3">
      <c r="A2064" s="76" t="s">
        <v>2994</v>
      </c>
      <c r="B2064" s="76" t="s">
        <v>2998</v>
      </c>
      <c r="C2064" s="76" t="s">
        <v>1263</v>
      </c>
      <c r="D2064" s="76" t="s">
        <v>39</v>
      </c>
      <c r="E2064" s="76" t="s">
        <v>22</v>
      </c>
      <c r="F2064" s="77">
        <v>45565</v>
      </c>
      <c r="G2064" s="76">
        <v>2024</v>
      </c>
      <c r="H2064" s="76" t="s">
        <v>43</v>
      </c>
      <c r="I2064" s="76" t="s">
        <v>36</v>
      </c>
      <c r="J2064" s="76">
        <v>100</v>
      </c>
      <c r="K2064" s="76">
        <v>90</v>
      </c>
      <c r="L2064" s="78">
        <f t="shared" si="218"/>
        <v>0.9</v>
      </c>
      <c r="M2064" s="78">
        <f t="shared" si="219"/>
        <v>0.9</v>
      </c>
      <c r="N2064" s="76" t="s">
        <v>25</v>
      </c>
      <c r="O2064" s="76" t="s">
        <v>25</v>
      </c>
      <c r="P2064" s="76">
        <v>0</v>
      </c>
      <c r="Q2064" s="76">
        <v>0</v>
      </c>
      <c r="R2064" s="76" t="s">
        <v>3001</v>
      </c>
      <c r="S2064" s="76"/>
    </row>
    <row r="2065" spans="1:19" x14ac:dyDescent="0.3">
      <c r="A2065" s="76" t="s">
        <v>2994</v>
      </c>
      <c r="B2065" s="76" t="s">
        <v>2998</v>
      </c>
      <c r="C2065" s="76" t="s">
        <v>1263</v>
      </c>
      <c r="D2065" s="76" t="s">
        <v>39</v>
      </c>
      <c r="E2065" s="76" t="s">
        <v>22</v>
      </c>
      <c r="F2065" s="77">
        <v>45657</v>
      </c>
      <c r="G2065" s="76">
        <v>2024</v>
      </c>
      <c r="H2065" s="76" t="s">
        <v>27</v>
      </c>
      <c r="I2065" s="76" t="s">
        <v>36</v>
      </c>
      <c r="J2065" s="76">
        <v>100</v>
      </c>
      <c r="K2065" s="76">
        <v>100</v>
      </c>
      <c r="L2065" s="78">
        <f t="shared" si="218"/>
        <v>1</v>
      </c>
      <c r="M2065" s="78">
        <f t="shared" si="219"/>
        <v>1</v>
      </c>
      <c r="N2065" s="76" t="s">
        <v>25</v>
      </c>
      <c r="O2065" s="76" t="s">
        <v>25</v>
      </c>
      <c r="P2065" s="76">
        <v>0</v>
      </c>
      <c r="Q2065" s="76">
        <v>0</v>
      </c>
      <c r="R2065" s="76" t="s">
        <v>3002</v>
      </c>
      <c r="S2065" s="76"/>
    </row>
    <row r="2066" spans="1:19" x14ac:dyDescent="0.3">
      <c r="A2066" s="76" t="s">
        <v>3003</v>
      </c>
      <c r="B2066" s="76" t="s">
        <v>3004</v>
      </c>
      <c r="C2066" s="76" t="s">
        <v>1263</v>
      </c>
      <c r="D2066" s="76" t="s">
        <v>39</v>
      </c>
      <c r="E2066" s="76" t="s">
        <v>22</v>
      </c>
      <c r="F2066" s="77">
        <v>45382</v>
      </c>
      <c r="G2066" s="76">
        <v>2024</v>
      </c>
      <c r="H2066" s="76" t="s">
        <v>40</v>
      </c>
      <c r="I2066" s="76" t="s">
        <v>34</v>
      </c>
      <c r="J2066" s="76">
        <v>32.630000000000003</v>
      </c>
      <c r="K2066" s="76">
        <v>29.2</v>
      </c>
      <c r="L2066" s="78">
        <f t="shared" si="218"/>
        <v>0.89488201041985893</v>
      </c>
      <c r="M2066" s="78">
        <f t="shared" si="219"/>
        <v>0.89488201041985893</v>
      </c>
      <c r="N2066" s="76" t="s">
        <v>25</v>
      </c>
      <c r="O2066" s="76" t="s">
        <v>25</v>
      </c>
      <c r="P2066" s="76">
        <v>0</v>
      </c>
      <c r="Q2066" s="76">
        <v>0</v>
      </c>
      <c r="R2066" s="76" t="s">
        <v>3005</v>
      </c>
      <c r="S2066" s="76"/>
    </row>
    <row r="2067" spans="1:19" x14ac:dyDescent="0.3">
      <c r="A2067" s="76" t="s">
        <v>3003</v>
      </c>
      <c r="B2067" s="76" t="s">
        <v>3004</v>
      </c>
      <c r="C2067" s="76" t="s">
        <v>1263</v>
      </c>
      <c r="D2067" s="76" t="s">
        <v>39</v>
      </c>
      <c r="E2067" s="76" t="s">
        <v>22</v>
      </c>
      <c r="F2067" s="77">
        <v>45473</v>
      </c>
      <c r="G2067" s="76">
        <v>2024</v>
      </c>
      <c r="H2067" s="76" t="s">
        <v>23</v>
      </c>
      <c r="I2067" s="76" t="s">
        <v>34</v>
      </c>
      <c r="J2067" s="76">
        <v>100</v>
      </c>
      <c r="K2067" s="76">
        <v>97</v>
      </c>
      <c r="L2067" s="78">
        <f t="shared" si="218"/>
        <v>0.97</v>
      </c>
      <c r="M2067" s="78">
        <f t="shared" si="219"/>
        <v>0.97</v>
      </c>
      <c r="N2067" s="76" t="s">
        <v>25</v>
      </c>
      <c r="O2067" s="76" t="s">
        <v>25</v>
      </c>
      <c r="P2067" s="76">
        <v>0</v>
      </c>
      <c r="Q2067" s="76">
        <v>0</v>
      </c>
      <c r="R2067" s="76" t="s">
        <v>3006</v>
      </c>
      <c r="S2067" s="76"/>
    </row>
    <row r="2068" spans="1:19" x14ac:dyDescent="0.3">
      <c r="A2068" s="76" t="s">
        <v>3003</v>
      </c>
      <c r="B2068" s="76" t="s">
        <v>3004</v>
      </c>
      <c r="C2068" s="76" t="s">
        <v>1263</v>
      </c>
      <c r="D2068" s="76" t="s">
        <v>39</v>
      </c>
      <c r="E2068" s="76" t="s">
        <v>22</v>
      </c>
      <c r="F2068" s="77">
        <v>45565</v>
      </c>
      <c r="G2068" s="76">
        <v>2024</v>
      </c>
      <c r="H2068" s="76" t="s">
        <v>43</v>
      </c>
      <c r="I2068" s="76" t="s">
        <v>36</v>
      </c>
      <c r="J2068" s="76">
        <v>100</v>
      </c>
      <c r="K2068" s="76">
        <v>100</v>
      </c>
      <c r="L2068" s="78">
        <f t="shared" si="218"/>
        <v>1</v>
      </c>
      <c r="M2068" s="78">
        <f t="shared" si="219"/>
        <v>1</v>
      </c>
      <c r="N2068" s="76" t="s">
        <v>25</v>
      </c>
      <c r="O2068" s="76" t="s">
        <v>25</v>
      </c>
      <c r="P2068" s="76">
        <v>0</v>
      </c>
      <c r="Q2068" s="76">
        <v>0</v>
      </c>
      <c r="R2068" s="76" t="s">
        <v>3007</v>
      </c>
      <c r="S2068" s="76"/>
    </row>
    <row r="2069" spans="1:19" x14ac:dyDescent="0.3">
      <c r="A2069" s="76" t="s">
        <v>3003</v>
      </c>
      <c r="B2069" s="76" t="s">
        <v>3004</v>
      </c>
      <c r="C2069" s="76" t="s">
        <v>1263</v>
      </c>
      <c r="D2069" s="76" t="s">
        <v>39</v>
      </c>
      <c r="E2069" s="76" t="s">
        <v>22</v>
      </c>
      <c r="F2069" s="77">
        <v>45657</v>
      </c>
      <c r="G2069" s="76">
        <v>2024</v>
      </c>
      <c r="H2069" s="76" t="s">
        <v>27</v>
      </c>
      <c r="I2069" s="76" t="s">
        <v>36</v>
      </c>
      <c r="J2069" s="76">
        <v>100</v>
      </c>
      <c r="K2069" s="76">
        <v>100</v>
      </c>
      <c r="L2069" s="78">
        <f t="shared" si="218"/>
        <v>1</v>
      </c>
      <c r="M2069" s="78">
        <f t="shared" si="219"/>
        <v>1</v>
      </c>
      <c r="N2069" s="76" t="s">
        <v>25</v>
      </c>
      <c r="O2069" s="76" t="s">
        <v>25</v>
      </c>
      <c r="P2069" s="76">
        <v>0</v>
      </c>
      <c r="Q2069" s="76">
        <v>0</v>
      </c>
      <c r="R2069" s="76" t="s">
        <v>3008</v>
      </c>
      <c r="S2069" s="76"/>
    </row>
    <row r="2070" spans="1:19" x14ac:dyDescent="0.3">
      <c r="A2070" s="76" t="s">
        <v>3009</v>
      </c>
      <c r="B2070" s="76" t="s">
        <v>3010</v>
      </c>
      <c r="C2070" s="76" t="s">
        <v>1263</v>
      </c>
      <c r="D2070" s="76" t="s">
        <v>39</v>
      </c>
      <c r="E2070" s="76" t="s">
        <v>22</v>
      </c>
      <c r="F2070" s="77">
        <v>45382</v>
      </c>
      <c r="G2070" s="76">
        <v>2024</v>
      </c>
      <c r="H2070" s="76" t="s">
        <v>40</v>
      </c>
      <c r="I2070" s="76" t="s">
        <v>34</v>
      </c>
      <c r="J2070" s="76">
        <v>83.39</v>
      </c>
      <c r="K2070" s="76">
        <v>73.34</v>
      </c>
      <c r="L2070" s="78">
        <f t="shared" si="218"/>
        <v>0.87948195227245474</v>
      </c>
      <c r="M2070" s="78">
        <f t="shared" si="219"/>
        <v>0.87948195227245474</v>
      </c>
      <c r="N2070" s="76" t="s">
        <v>25</v>
      </c>
      <c r="O2070" s="76" t="s">
        <v>25</v>
      </c>
      <c r="P2070" s="76">
        <v>0</v>
      </c>
      <c r="Q2070" s="76">
        <v>0</v>
      </c>
      <c r="R2070" s="76" t="s">
        <v>3011</v>
      </c>
      <c r="S2070" s="76"/>
    </row>
    <row r="2071" spans="1:19" x14ac:dyDescent="0.3">
      <c r="A2071" s="76" t="s">
        <v>3009</v>
      </c>
      <c r="B2071" s="76" t="s">
        <v>3010</v>
      </c>
      <c r="C2071" s="76" t="s">
        <v>1263</v>
      </c>
      <c r="D2071" s="76" t="s">
        <v>39</v>
      </c>
      <c r="E2071" s="76" t="s">
        <v>22</v>
      </c>
      <c r="F2071" s="77">
        <v>45473</v>
      </c>
      <c r="G2071" s="76">
        <v>2024</v>
      </c>
      <c r="H2071" s="76" t="s">
        <v>23</v>
      </c>
      <c r="I2071" s="76" t="s">
        <v>34</v>
      </c>
      <c r="J2071" s="76">
        <v>87.8</v>
      </c>
      <c r="K2071" s="76">
        <v>77.5</v>
      </c>
      <c r="L2071" s="78">
        <f t="shared" si="218"/>
        <v>0.88268792710706157</v>
      </c>
      <c r="M2071" s="78">
        <f t="shared" si="219"/>
        <v>0.88268792710706157</v>
      </c>
      <c r="N2071" s="76" t="s">
        <v>25</v>
      </c>
      <c r="O2071" s="76" t="s">
        <v>25</v>
      </c>
      <c r="P2071" s="76">
        <v>0</v>
      </c>
      <c r="Q2071" s="76">
        <v>0</v>
      </c>
      <c r="R2071" s="76" t="s">
        <v>3012</v>
      </c>
      <c r="S2071" s="76"/>
    </row>
    <row r="2072" spans="1:19" x14ac:dyDescent="0.3">
      <c r="A2072" s="76" t="s">
        <v>3009</v>
      </c>
      <c r="B2072" s="76" t="s">
        <v>3010</v>
      </c>
      <c r="C2072" s="76" t="s">
        <v>1263</v>
      </c>
      <c r="D2072" s="76" t="s">
        <v>39</v>
      </c>
      <c r="E2072" s="76" t="s">
        <v>22</v>
      </c>
      <c r="F2072" s="77">
        <v>45565</v>
      </c>
      <c r="G2072" s="76">
        <v>2024</v>
      </c>
      <c r="H2072" s="76" t="s">
        <v>43</v>
      </c>
      <c r="I2072" s="76" t="s">
        <v>36</v>
      </c>
      <c r="J2072" s="76">
        <v>100</v>
      </c>
      <c r="K2072" s="76">
        <v>100</v>
      </c>
      <c r="L2072" s="78">
        <f t="shared" si="218"/>
        <v>1</v>
      </c>
      <c r="M2072" s="78">
        <f t="shared" si="219"/>
        <v>1</v>
      </c>
      <c r="N2072" s="76" t="s">
        <v>25</v>
      </c>
      <c r="O2072" s="76" t="s">
        <v>25</v>
      </c>
      <c r="P2072" s="76">
        <v>0</v>
      </c>
      <c r="Q2072" s="76">
        <v>0</v>
      </c>
      <c r="R2072" s="76" t="s">
        <v>3013</v>
      </c>
      <c r="S2072" s="76"/>
    </row>
    <row r="2073" spans="1:19" x14ac:dyDescent="0.3">
      <c r="A2073" s="76" t="s">
        <v>3009</v>
      </c>
      <c r="B2073" s="76" t="s">
        <v>3010</v>
      </c>
      <c r="C2073" s="76" t="s">
        <v>1263</v>
      </c>
      <c r="D2073" s="76" t="s">
        <v>39</v>
      </c>
      <c r="E2073" s="76" t="s">
        <v>22</v>
      </c>
      <c r="F2073" s="77">
        <v>45657</v>
      </c>
      <c r="G2073" s="76">
        <v>2024</v>
      </c>
      <c r="H2073" s="76" t="s">
        <v>27</v>
      </c>
      <c r="I2073" s="76" t="s">
        <v>36</v>
      </c>
      <c r="J2073" s="76">
        <v>100</v>
      </c>
      <c r="K2073" s="76">
        <v>100</v>
      </c>
      <c r="L2073" s="78">
        <f t="shared" si="218"/>
        <v>1</v>
      </c>
      <c r="M2073" s="78">
        <f t="shared" si="219"/>
        <v>1</v>
      </c>
      <c r="N2073" s="76" t="s">
        <v>25</v>
      </c>
      <c r="O2073" s="76" t="s">
        <v>25</v>
      </c>
      <c r="P2073" s="76">
        <v>0</v>
      </c>
      <c r="Q2073" s="76">
        <v>0</v>
      </c>
      <c r="R2073" s="76" t="s">
        <v>3014</v>
      </c>
      <c r="S2073" s="76"/>
    </row>
    <row r="2074" spans="1:19" x14ac:dyDescent="0.3">
      <c r="A2074" s="76" t="s">
        <v>3015</v>
      </c>
      <c r="B2074" s="76" t="s">
        <v>3016</v>
      </c>
      <c r="C2074" s="76" t="s">
        <v>1263</v>
      </c>
      <c r="D2074" s="76" t="s">
        <v>39</v>
      </c>
      <c r="E2074" s="76" t="s">
        <v>22</v>
      </c>
      <c r="F2074" s="77">
        <v>45382</v>
      </c>
      <c r="G2074" s="76">
        <v>2024</v>
      </c>
      <c r="H2074" s="76" t="s">
        <v>40</v>
      </c>
      <c r="I2074" s="76" t="s">
        <v>34</v>
      </c>
      <c r="J2074" s="76">
        <v>85.64</v>
      </c>
      <c r="K2074" s="76">
        <v>80</v>
      </c>
      <c r="L2074" s="78">
        <f t="shared" si="218"/>
        <v>0.93414292386735165</v>
      </c>
      <c r="M2074" s="78">
        <f t="shared" si="219"/>
        <v>0.93414292386735165</v>
      </c>
      <c r="N2074" s="76" t="s">
        <v>25</v>
      </c>
      <c r="O2074" s="76" t="s">
        <v>25</v>
      </c>
      <c r="P2074" s="76">
        <v>0</v>
      </c>
      <c r="Q2074" s="76">
        <v>0</v>
      </c>
      <c r="R2074" s="76" t="s">
        <v>3017</v>
      </c>
      <c r="S2074" s="76"/>
    </row>
    <row r="2075" spans="1:19" x14ac:dyDescent="0.3">
      <c r="A2075" s="76" t="s">
        <v>3015</v>
      </c>
      <c r="B2075" s="76" t="s">
        <v>3016</v>
      </c>
      <c r="C2075" s="76" t="s">
        <v>1263</v>
      </c>
      <c r="D2075" s="76" t="s">
        <v>39</v>
      </c>
      <c r="E2075" s="76" t="s">
        <v>22</v>
      </c>
      <c r="F2075" s="77">
        <v>45473</v>
      </c>
      <c r="G2075" s="76">
        <v>2024</v>
      </c>
      <c r="H2075" s="76" t="s">
        <v>23</v>
      </c>
      <c r="I2075" s="76" t="s">
        <v>34</v>
      </c>
      <c r="J2075" s="76">
        <v>100</v>
      </c>
      <c r="K2075" s="76">
        <v>85</v>
      </c>
      <c r="L2075" s="78">
        <f t="shared" si="218"/>
        <v>0.85</v>
      </c>
      <c r="M2075" s="78">
        <f t="shared" si="219"/>
        <v>0.85</v>
      </c>
      <c r="N2075" s="76" t="s">
        <v>25</v>
      </c>
      <c r="O2075" s="76" t="s">
        <v>25</v>
      </c>
      <c r="P2075" s="76">
        <v>0</v>
      </c>
      <c r="Q2075" s="76">
        <v>0</v>
      </c>
      <c r="R2075" s="76" t="s">
        <v>3018</v>
      </c>
      <c r="S2075" s="76"/>
    </row>
    <row r="2076" spans="1:19" x14ac:dyDescent="0.3">
      <c r="A2076" s="76" t="s">
        <v>3015</v>
      </c>
      <c r="B2076" s="76" t="s">
        <v>3016</v>
      </c>
      <c r="C2076" s="76" t="s">
        <v>1263</v>
      </c>
      <c r="D2076" s="76" t="s">
        <v>39</v>
      </c>
      <c r="E2076" s="76" t="s">
        <v>22</v>
      </c>
      <c r="F2076" s="77">
        <v>45565</v>
      </c>
      <c r="G2076" s="76">
        <v>2024</v>
      </c>
      <c r="H2076" s="76" t="s">
        <v>43</v>
      </c>
      <c r="I2076" s="76" t="s">
        <v>36</v>
      </c>
      <c r="J2076" s="76">
        <v>100</v>
      </c>
      <c r="K2076" s="76">
        <v>100</v>
      </c>
      <c r="L2076" s="78">
        <f t="shared" si="218"/>
        <v>1</v>
      </c>
      <c r="M2076" s="78">
        <f t="shared" si="219"/>
        <v>1</v>
      </c>
      <c r="N2076" s="76" t="s">
        <v>25</v>
      </c>
      <c r="O2076" s="76" t="s">
        <v>25</v>
      </c>
      <c r="P2076" s="76">
        <v>0</v>
      </c>
      <c r="Q2076" s="76">
        <v>0</v>
      </c>
      <c r="R2076" s="76" t="s">
        <v>3019</v>
      </c>
      <c r="S2076" s="76"/>
    </row>
    <row r="2077" spans="1:19" x14ac:dyDescent="0.3">
      <c r="A2077" s="76" t="s">
        <v>3015</v>
      </c>
      <c r="B2077" s="76" t="s">
        <v>3016</v>
      </c>
      <c r="C2077" s="76" t="s">
        <v>1263</v>
      </c>
      <c r="D2077" s="76" t="s">
        <v>39</v>
      </c>
      <c r="E2077" s="76" t="s">
        <v>22</v>
      </c>
      <c r="F2077" s="77">
        <v>45657</v>
      </c>
      <c r="G2077" s="76">
        <v>2024</v>
      </c>
      <c r="H2077" s="76" t="s">
        <v>27</v>
      </c>
      <c r="I2077" s="76" t="s">
        <v>36</v>
      </c>
      <c r="J2077" s="76">
        <v>100</v>
      </c>
      <c r="K2077" s="76">
        <v>100</v>
      </c>
      <c r="L2077" s="78">
        <f t="shared" si="218"/>
        <v>1</v>
      </c>
      <c r="M2077" s="78">
        <f t="shared" si="219"/>
        <v>1</v>
      </c>
      <c r="N2077" s="76" t="s">
        <v>25</v>
      </c>
      <c r="O2077" s="76" t="s">
        <v>25</v>
      </c>
      <c r="P2077" s="76">
        <v>0</v>
      </c>
      <c r="Q2077" s="76">
        <v>0</v>
      </c>
      <c r="R2077" s="76" t="s">
        <v>3020</v>
      </c>
      <c r="S2077" s="76"/>
    </row>
    <row r="2078" spans="1:19" x14ac:dyDescent="0.3">
      <c r="A2078" s="76" t="s">
        <v>3021</v>
      </c>
      <c r="B2078" s="76" t="s">
        <v>3022</v>
      </c>
      <c r="C2078" s="76" t="s">
        <v>1263</v>
      </c>
      <c r="D2078" s="76" t="s">
        <v>39</v>
      </c>
      <c r="E2078" s="76" t="s">
        <v>22</v>
      </c>
      <c r="F2078" s="77">
        <v>45107</v>
      </c>
      <c r="G2078" s="76">
        <v>2023</v>
      </c>
      <c r="H2078" s="76" t="s">
        <v>23</v>
      </c>
      <c r="I2078" s="76" t="s">
        <v>30</v>
      </c>
      <c r="J2078" s="76">
        <v>62</v>
      </c>
      <c r="K2078" s="76">
        <v>51</v>
      </c>
      <c r="L2078" s="78">
        <f t="shared" si="218"/>
        <v>0.82258064516129037</v>
      </c>
      <c r="M2078" s="78">
        <f t="shared" si="219"/>
        <v>0.82258064516129037</v>
      </c>
      <c r="N2078" s="76" t="s">
        <v>25</v>
      </c>
      <c r="O2078" s="76" t="s">
        <v>25</v>
      </c>
      <c r="P2078" s="76">
        <v>0</v>
      </c>
      <c r="Q2078" s="76">
        <v>0</v>
      </c>
      <c r="R2078" s="76" t="s">
        <v>3023</v>
      </c>
      <c r="S2078" s="76"/>
    </row>
    <row r="2079" spans="1:19" x14ac:dyDescent="0.3">
      <c r="A2079" s="76" t="s">
        <v>3021</v>
      </c>
      <c r="B2079" s="76" t="s">
        <v>3022</v>
      </c>
      <c r="C2079" s="76" t="s">
        <v>1263</v>
      </c>
      <c r="D2079" s="76" t="s">
        <v>39</v>
      </c>
      <c r="E2079" s="76" t="s">
        <v>22</v>
      </c>
      <c r="F2079" s="77">
        <v>45199</v>
      </c>
      <c r="G2079" s="76">
        <v>2023</v>
      </c>
      <c r="H2079" s="76" t="s">
        <v>43</v>
      </c>
      <c r="I2079" s="76" t="s">
        <v>32</v>
      </c>
      <c r="J2079" s="76">
        <v>93.78</v>
      </c>
      <c r="K2079" s="76">
        <v>77.78</v>
      </c>
      <c r="L2079" s="78">
        <f t="shared" si="218"/>
        <v>0.82938792919599058</v>
      </c>
      <c r="M2079" s="78">
        <f t="shared" si="219"/>
        <v>0.82938792919599058</v>
      </c>
      <c r="N2079" s="76" t="s">
        <v>25</v>
      </c>
      <c r="O2079" s="76" t="s">
        <v>25</v>
      </c>
      <c r="P2079" s="76">
        <v>0</v>
      </c>
      <c r="Q2079" s="76">
        <v>0</v>
      </c>
      <c r="R2079" s="76" t="s">
        <v>3024</v>
      </c>
      <c r="S2079" s="76"/>
    </row>
    <row r="2080" spans="1:19" x14ac:dyDescent="0.3">
      <c r="A2080" s="76" t="s">
        <v>3021</v>
      </c>
      <c r="B2080" s="76" t="s">
        <v>3022</v>
      </c>
      <c r="C2080" s="76" t="s">
        <v>1263</v>
      </c>
      <c r="D2080" s="76" t="s">
        <v>39</v>
      </c>
      <c r="E2080" s="76" t="s">
        <v>22</v>
      </c>
      <c r="F2080" s="77">
        <v>45291</v>
      </c>
      <c r="G2080" s="76">
        <v>2023</v>
      </c>
      <c r="H2080" s="76" t="s">
        <v>27</v>
      </c>
      <c r="I2080" s="76" t="s">
        <v>32</v>
      </c>
      <c r="J2080" s="76">
        <v>100</v>
      </c>
      <c r="K2080" s="76">
        <v>100</v>
      </c>
      <c r="L2080" s="78">
        <f t="shared" si="218"/>
        <v>1</v>
      </c>
      <c r="M2080" s="78">
        <f t="shared" si="219"/>
        <v>1</v>
      </c>
      <c r="N2080" s="76" t="s">
        <v>25</v>
      </c>
      <c r="O2080" s="76" t="s">
        <v>25</v>
      </c>
      <c r="P2080" s="76">
        <v>0</v>
      </c>
      <c r="Q2080" s="76">
        <v>0</v>
      </c>
      <c r="R2080" s="76" t="s">
        <v>3025</v>
      </c>
      <c r="S2080" s="76"/>
    </row>
    <row r="2081" spans="1:19" x14ac:dyDescent="0.3">
      <c r="A2081" s="76" t="s">
        <v>3021</v>
      </c>
      <c r="B2081" s="76" t="s">
        <v>3022</v>
      </c>
      <c r="C2081" s="76" t="s">
        <v>1263</v>
      </c>
      <c r="D2081" s="76" t="s">
        <v>39</v>
      </c>
      <c r="E2081" s="76" t="s">
        <v>22</v>
      </c>
      <c r="F2081" s="77">
        <v>45382</v>
      </c>
      <c r="G2081" s="76">
        <v>2024</v>
      </c>
      <c r="H2081" s="76" t="s">
        <v>40</v>
      </c>
      <c r="I2081" s="76" t="s">
        <v>34</v>
      </c>
      <c r="J2081" s="76">
        <v>56.81</v>
      </c>
      <c r="K2081" s="76">
        <v>23.33</v>
      </c>
      <c r="L2081" s="78">
        <f t="shared" si="218"/>
        <v>0.4106671360675937</v>
      </c>
      <c r="M2081" s="78">
        <f t="shared" si="219"/>
        <v>0.4106671360675937</v>
      </c>
      <c r="N2081" s="76" t="s">
        <v>25</v>
      </c>
      <c r="O2081" s="76" t="s">
        <v>25</v>
      </c>
      <c r="P2081" s="76">
        <v>0</v>
      </c>
      <c r="Q2081" s="76">
        <v>0</v>
      </c>
      <c r="R2081" s="76" t="s">
        <v>3026</v>
      </c>
      <c r="S2081" s="76"/>
    </row>
    <row r="2082" spans="1:19" x14ac:dyDescent="0.3">
      <c r="A2082" s="76" t="s">
        <v>3021</v>
      </c>
      <c r="B2082" s="76" t="s">
        <v>3022</v>
      </c>
      <c r="C2082" s="76" t="s">
        <v>1263</v>
      </c>
      <c r="D2082" s="76" t="s">
        <v>39</v>
      </c>
      <c r="E2082" s="76" t="s">
        <v>22</v>
      </c>
      <c r="F2082" s="77">
        <v>45473</v>
      </c>
      <c r="G2082" s="76">
        <v>2024</v>
      </c>
      <c r="H2082" s="76" t="s">
        <v>23</v>
      </c>
      <c r="I2082" s="76" t="s">
        <v>34</v>
      </c>
      <c r="J2082" s="76">
        <v>71.25</v>
      </c>
      <c r="K2082" s="76">
        <v>52.22</v>
      </c>
      <c r="L2082" s="78">
        <f t="shared" ref="L2082:L2115" si="220">IFERROR(IF(OR(J2082=0,K2082=""),"",IF(E2082="Positivo",MIN(MAX(K2082/J2082,0),1),MIN(MAX(J2082/K2082,0),1))),"")</f>
        <v>0.7329122807017544</v>
      </c>
      <c r="M2082" s="78">
        <f t="shared" ref="M2082:M2115" si="221">IFERROR(IF(OR(J2082=0,K2082=""),"",IF(E2082="Positivo",MIN(MAX(K2082/J2082,0),1),MIN(MAX(J2082/K2082,0),1))),"")</f>
        <v>0.7329122807017544</v>
      </c>
      <c r="N2082" s="76" t="s">
        <v>25</v>
      </c>
      <c r="O2082" s="76" t="s">
        <v>25</v>
      </c>
      <c r="P2082" s="76">
        <v>0</v>
      </c>
      <c r="Q2082" s="76">
        <v>0</v>
      </c>
      <c r="R2082" s="76" t="s">
        <v>3027</v>
      </c>
      <c r="S2082" s="76"/>
    </row>
    <row r="2083" spans="1:19" x14ac:dyDescent="0.3">
      <c r="A2083" s="76" t="s">
        <v>3021</v>
      </c>
      <c r="B2083" s="76" t="s">
        <v>3022</v>
      </c>
      <c r="C2083" s="76" t="s">
        <v>1263</v>
      </c>
      <c r="D2083" s="76" t="s">
        <v>39</v>
      </c>
      <c r="E2083" s="76" t="s">
        <v>22</v>
      </c>
      <c r="F2083" s="77">
        <v>45565</v>
      </c>
      <c r="G2083" s="76">
        <v>2024</v>
      </c>
      <c r="H2083" s="76" t="s">
        <v>43</v>
      </c>
      <c r="I2083" s="76" t="s">
        <v>36</v>
      </c>
      <c r="J2083" s="76">
        <v>100</v>
      </c>
      <c r="K2083" s="76">
        <v>100</v>
      </c>
      <c r="L2083" s="78">
        <f t="shared" si="220"/>
        <v>1</v>
      </c>
      <c r="M2083" s="78">
        <f t="shared" si="221"/>
        <v>1</v>
      </c>
      <c r="N2083" s="76" t="s">
        <v>25</v>
      </c>
      <c r="O2083" s="76" t="s">
        <v>25</v>
      </c>
      <c r="P2083" s="76">
        <v>0</v>
      </c>
      <c r="Q2083" s="76">
        <v>0</v>
      </c>
      <c r="R2083" s="76" t="s">
        <v>3028</v>
      </c>
      <c r="S2083" s="76"/>
    </row>
    <row r="2084" spans="1:19" x14ac:dyDescent="0.3">
      <c r="A2084" s="76" t="s">
        <v>3021</v>
      </c>
      <c r="B2084" s="76" t="s">
        <v>3022</v>
      </c>
      <c r="C2084" s="76" t="s">
        <v>1263</v>
      </c>
      <c r="D2084" s="76" t="s">
        <v>39</v>
      </c>
      <c r="E2084" s="76" t="s">
        <v>22</v>
      </c>
      <c r="F2084" s="77">
        <v>45657</v>
      </c>
      <c r="G2084" s="76">
        <v>2024</v>
      </c>
      <c r="H2084" s="76" t="s">
        <v>27</v>
      </c>
      <c r="I2084" s="76" t="s">
        <v>36</v>
      </c>
      <c r="J2084" s="76">
        <v>100</v>
      </c>
      <c r="K2084" s="76">
        <v>97</v>
      </c>
      <c r="L2084" s="78">
        <f t="shared" si="220"/>
        <v>0.97</v>
      </c>
      <c r="M2084" s="78">
        <f t="shared" si="221"/>
        <v>0.97</v>
      </c>
      <c r="N2084" s="76" t="s">
        <v>25</v>
      </c>
      <c r="O2084" s="76" t="s">
        <v>25</v>
      </c>
      <c r="P2084" s="76">
        <v>0</v>
      </c>
      <c r="Q2084" s="76">
        <v>0</v>
      </c>
      <c r="R2084" s="76" t="s">
        <v>3029</v>
      </c>
      <c r="S2084" s="76"/>
    </row>
    <row r="2085" spans="1:19" x14ac:dyDescent="0.3">
      <c r="A2085" s="76" t="s">
        <v>3030</v>
      </c>
      <c r="B2085" s="76" t="s">
        <v>3031</v>
      </c>
      <c r="C2085" s="76" t="s">
        <v>1263</v>
      </c>
      <c r="D2085" s="76" t="s">
        <v>39</v>
      </c>
      <c r="E2085" s="76" t="s">
        <v>22</v>
      </c>
      <c r="F2085" s="77">
        <v>45107</v>
      </c>
      <c r="G2085" s="76">
        <v>2023</v>
      </c>
      <c r="H2085" s="76" t="s">
        <v>23</v>
      </c>
      <c r="I2085" s="76" t="s">
        <v>30</v>
      </c>
      <c r="J2085" s="76">
        <v>88</v>
      </c>
      <c r="K2085" s="76">
        <v>94</v>
      </c>
      <c r="L2085" s="78">
        <f t="shared" si="220"/>
        <v>1</v>
      </c>
      <c r="M2085" s="78">
        <f t="shared" si="221"/>
        <v>1</v>
      </c>
      <c r="N2085" s="76" t="s">
        <v>25</v>
      </c>
      <c r="O2085" s="76" t="s">
        <v>25</v>
      </c>
      <c r="P2085" s="76">
        <v>0</v>
      </c>
      <c r="Q2085" s="76">
        <v>0</v>
      </c>
      <c r="R2085" s="76" t="s">
        <v>3032</v>
      </c>
      <c r="S2085" s="76"/>
    </row>
    <row r="2086" spans="1:19" x14ac:dyDescent="0.3">
      <c r="A2086" s="76" t="s">
        <v>3030</v>
      </c>
      <c r="B2086" s="76" t="s">
        <v>3031</v>
      </c>
      <c r="C2086" s="76" t="s">
        <v>1263</v>
      </c>
      <c r="D2086" s="76" t="s">
        <v>39</v>
      </c>
      <c r="E2086" s="76" t="s">
        <v>22</v>
      </c>
      <c r="F2086" s="77">
        <v>45199</v>
      </c>
      <c r="G2086" s="76">
        <v>2023</v>
      </c>
      <c r="H2086" s="76" t="s">
        <v>43</v>
      </c>
      <c r="I2086" s="76" t="s">
        <v>32</v>
      </c>
      <c r="J2086" s="76">
        <v>100</v>
      </c>
      <c r="K2086" s="76">
        <v>94.1</v>
      </c>
      <c r="L2086" s="78">
        <f t="shared" si="220"/>
        <v>0.94099999999999995</v>
      </c>
      <c r="M2086" s="78">
        <f t="shared" si="221"/>
        <v>0.94099999999999995</v>
      </c>
      <c r="N2086" s="76" t="s">
        <v>25</v>
      </c>
      <c r="O2086" s="76" t="s">
        <v>25</v>
      </c>
      <c r="P2086" s="76">
        <v>0</v>
      </c>
      <c r="Q2086" s="76">
        <v>0</v>
      </c>
      <c r="R2086" s="76" t="s">
        <v>3033</v>
      </c>
      <c r="S2086" s="76"/>
    </row>
    <row r="2087" spans="1:19" x14ac:dyDescent="0.3">
      <c r="A2087" s="76" t="s">
        <v>3030</v>
      </c>
      <c r="B2087" s="76" t="s">
        <v>3031</v>
      </c>
      <c r="C2087" s="76" t="s">
        <v>1263</v>
      </c>
      <c r="D2087" s="76" t="s">
        <v>39</v>
      </c>
      <c r="E2087" s="76" t="s">
        <v>22</v>
      </c>
      <c r="F2087" s="77">
        <v>45291</v>
      </c>
      <c r="G2087" s="76">
        <v>2023</v>
      </c>
      <c r="H2087" s="76" t="s">
        <v>27</v>
      </c>
      <c r="I2087" s="76" t="s">
        <v>32</v>
      </c>
      <c r="J2087" s="76">
        <v>100</v>
      </c>
      <c r="K2087" s="76">
        <v>100</v>
      </c>
      <c r="L2087" s="78">
        <f t="shared" si="220"/>
        <v>1</v>
      </c>
      <c r="M2087" s="78">
        <f t="shared" si="221"/>
        <v>1</v>
      </c>
      <c r="N2087" s="76" t="s">
        <v>25</v>
      </c>
      <c r="O2087" s="76" t="s">
        <v>25</v>
      </c>
      <c r="P2087" s="76">
        <v>0</v>
      </c>
      <c r="Q2087" s="76">
        <v>0</v>
      </c>
      <c r="R2087" s="76" t="s">
        <v>3034</v>
      </c>
      <c r="S2087" s="76"/>
    </row>
    <row r="2088" spans="1:19" x14ac:dyDescent="0.3">
      <c r="A2088" s="76" t="s">
        <v>3030</v>
      </c>
      <c r="B2088" s="76" t="s">
        <v>3031</v>
      </c>
      <c r="C2088" s="76" t="s">
        <v>1263</v>
      </c>
      <c r="D2088" s="76" t="s">
        <v>39</v>
      </c>
      <c r="E2088" s="76" t="s">
        <v>22</v>
      </c>
      <c r="F2088" s="77">
        <v>45382</v>
      </c>
      <c r="G2088" s="76">
        <v>2024</v>
      </c>
      <c r="H2088" s="76" t="s">
        <v>40</v>
      </c>
      <c r="I2088" s="76" t="s">
        <v>34</v>
      </c>
      <c r="J2088" s="76">
        <v>68.150000000000006</v>
      </c>
      <c r="K2088" s="76">
        <v>62.8</v>
      </c>
      <c r="L2088" s="78">
        <f t="shared" si="220"/>
        <v>0.92149669845928084</v>
      </c>
      <c r="M2088" s="78">
        <f t="shared" si="221"/>
        <v>0.92149669845928084</v>
      </c>
      <c r="N2088" s="76" t="s">
        <v>25</v>
      </c>
      <c r="O2088" s="76" t="s">
        <v>25</v>
      </c>
      <c r="P2088" s="76">
        <v>0</v>
      </c>
      <c r="Q2088" s="76">
        <v>0</v>
      </c>
      <c r="R2088" s="76" t="s">
        <v>3035</v>
      </c>
      <c r="S2088" s="76"/>
    </row>
    <row r="2089" spans="1:19" x14ac:dyDescent="0.3">
      <c r="A2089" s="76" t="s">
        <v>3030</v>
      </c>
      <c r="B2089" s="76" t="s">
        <v>3031</v>
      </c>
      <c r="C2089" s="76" t="s">
        <v>1263</v>
      </c>
      <c r="D2089" s="76" t="s">
        <v>39</v>
      </c>
      <c r="E2089" s="76" t="s">
        <v>22</v>
      </c>
      <c r="F2089" s="77">
        <v>45473</v>
      </c>
      <c r="G2089" s="76">
        <v>2024</v>
      </c>
      <c r="H2089" s="76" t="s">
        <v>23</v>
      </c>
      <c r="I2089" s="76" t="s">
        <v>34</v>
      </c>
      <c r="J2089" s="76">
        <v>79.88</v>
      </c>
      <c r="K2089" s="76">
        <v>68.599999999999994</v>
      </c>
      <c r="L2089" s="78">
        <f t="shared" si="220"/>
        <v>0.85878818227341014</v>
      </c>
      <c r="M2089" s="78">
        <f t="shared" si="221"/>
        <v>0.85878818227341014</v>
      </c>
      <c r="N2089" s="76" t="s">
        <v>25</v>
      </c>
      <c r="O2089" s="76" t="s">
        <v>25</v>
      </c>
      <c r="P2089" s="76">
        <v>0</v>
      </c>
      <c r="Q2089" s="76">
        <v>0</v>
      </c>
      <c r="R2089" s="76" t="s">
        <v>3036</v>
      </c>
      <c r="S2089" s="76"/>
    </row>
    <row r="2090" spans="1:19" x14ac:dyDescent="0.3">
      <c r="A2090" s="76" t="s">
        <v>3030</v>
      </c>
      <c r="B2090" s="76" t="s">
        <v>3031</v>
      </c>
      <c r="C2090" s="76" t="s">
        <v>1263</v>
      </c>
      <c r="D2090" s="76" t="s">
        <v>39</v>
      </c>
      <c r="E2090" s="76" t="s">
        <v>22</v>
      </c>
      <c r="F2090" s="77">
        <v>45565</v>
      </c>
      <c r="G2090" s="76">
        <v>2024</v>
      </c>
      <c r="H2090" s="76" t="s">
        <v>43</v>
      </c>
      <c r="I2090" s="76" t="s">
        <v>36</v>
      </c>
      <c r="J2090" s="76">
        <v>100</v>
      </c>
      <c r="K2090" s="76">
        <v>96</v>
      </c>
      <c r="L2090" s="78">
        <f t="shared" si="220"/>
        <v>0.96</v>
      </c>
      <c r="M2090" s="78">
        <f t="shared" si="221"/>
        <v>0.96</v>
      </c>
      <c r="N2090" s="76" t="s">
        <v>25</v>
      </c>
      <c r="O2090" s="76" t="s">
        <v>25</v>
      </c>
      <c r="P2090" s="76">
        <v>0</v>
      </c>
      <c r="Q2090" s="76">
        <v>0</v>
      </c>
      <c r="R2090" s="76" t="s">
        <v>3037</v>
      </c>
      <c r="S2090" s="76"/>
    </row>
    <row r="2091" spans="1:19" x14ac:dyDescent="0.3">
      <c r="A2091" s="76" t="s">
        <v>3030</v>
      </c>
      <c r="B2091" s="76" t="s">
        <v>3031</v>
      </c>
      <c r="C2091" s="76" t="s">
        <v>1263</v>
      </c>
      <c r="D2091" s="76" t="s">
        <v>39</v>
      </c>
      <c r="E2091" s="76" t="s">
        <v>22</v>
      </c>
      <c r="F2091" s="77">
        <v>45657</v>
      </c>
      <c r="G2091" s="76">
        <v>2024</v>
      </c>
      <c r="H2091" s="76" t="s">
        <v>27</v>
      </c>
      <c r="I2091" s="76" t="s">
        <v>36</v>
      </c>
      <c r="J2091" s="76">
        <v>100</v>
      </c>
      <c r="K2091" s="76">
        <v>100</v>
      </c>
      <c r="L2091" s="78">
        <f t="shared" si="220"/>
        <v>1</v>
      </c>
      <c r="M2091" s="78">
        <f t="shared" si="221"/>
        <v>1</v>
      </c>
      <c r="N2091" s="76" t="s">
        <v>25</v>
      </c>
      <c r="O2091" s="76" t="s">
        <v>25</v>
      </c>
      <c r="P2091" s="76">
        <v>0</v>
      </c>
      <c r="Q2091" s="76">
        <v>0</v>
      </c>
      <c r="R2091" s="76" t="s">
        <v>3038</v>
      </c>
      <c r="S2091" s="76"/>
    </row>
    <row r="2092" spans="1:19" x14ac:dyDescent="0.3">
      <c r="A2092" s="76" t="s">
        <v>3039</v>
      </c>
      <c r="B2092" s="76" t="s">
        <v>3040</v>
      </c>
      <c r="C2092" s="76" t="s">
        <v>1263</v>
      </c>
      <c r="D2092" s="76" t="s">
        <v>39</v>
      </c>
      <c r="E2092" s="76" t="s">
        <v>22</v>
      </c>
      <c r="F2092" s="77">
        <v>45107</v>
      </c>
      <c r="G2092" s="76">
        <v>2023</v>
      </c>
      <c r="H2092" s="76" t="s">
        <v>23</v>
      </c>
      <c r="I2092" s="76" t="s">
        <v>30</v>
      </c>
      <c r="J2092" s="76">
        <v>58</v>
      </c>
      <c r="K2092" s="76">
        <v>37</v>
      </c>
      <c r="L2092" s="78">
        <f t="shared" si="220"/>
        <v>0.63793103448275867</v>
      </c>
      <c r="M2092" s="78">
        <f t="shared" si="221"/>
        <v>0.63793103448275867</v>
      </c>
      <c r="N2092" s="76" t="s">
        <v>25</v>
      </c>
      <c r="O2092" s="76" t="s">
        <v>25</v>
      </c>
      <c r="P2092" s="76">
        <v>0</v>
      </c>
      <c r="Q2092" s="76">
        <v>0</v>
      </c>
      <c r="R2092" s="76" t="s">
        <v>3041</v>
      </c>
      <c r="S2092" s="76"/>
    </row>
    <row r="2093" spans="1:19" x14ac:dyDescent="0.3">
      <c r="A2093" s="76" t="s">
        <v>3039</v>
      </c>
      <c r="B2093" s="76" t="s">
        <v>3040</v>
      </c>
      <c r="C2093" s="76" t="s">
        <v>1263</v>
      </c>
      <c r="D2093" s="76" t="s">
        <v>39</v>
      </c>
      <c r="E2093" s="76" t="s">
        <v>22</v>
      </c>
      <c r="F2093" s="77">
        <v>45199</v>
      </c>
      <c r="G2093" s="76">
        <v>2023</v>
      </c>
      <c r="H2093" s="76" t="s">
        <v>43</v>
      </c>
      <c r="I2093" s="76" t="s">
        <v>32</v>
      </c>
      <c r="J2093" s="76">
        <v>90.99</v>
      </c>
      <c r="K2093" s="76">
        <v>68.33</v>
      </c>
      <c r="L2093" s="78">
        <f t="shared" si="220"/>
        <v>0.7509616441367184</v>
      </c>
      <c r="M2093" s="78">
        <f t="shared" si="221"/>
        <v>0.7509616441367184</v>
      </c>
      <c r="N2093" s="76" t="s">
        <v>25</v>
      </c>
      <c r="O2093" s="76" t="s">
        <v>25</v>
      </c>
      <c r="P2093" s="76">
        <v>0</v>
      </c>
      <c r="Q2093" s="76">
        <v>0</v>
      </c>
      <c r="R2093" s="76" t="s">
        <v>3042</v>
      </c>
      <c r="S2093" s="76"/>
    </row>
    <row r="2094" spans="1:19" x14ac:dyDescent="0.3">
      <c r="A2094" s="76" t="s">
        <v>3039</v>
      </c>
      <c r="B2094" s="76" t="s">
        <v>3040</v>
      </c>
      <c r="C2094" s="76" t="s">
        <v>1263</v>
      </c>
      <c r="D2094" s="76" t="s">
        <v>39</v>
      </c>
      <c r="E2094" s="76" t="s">
        <v>22</v>
      </c>
      <c r="F2094" s="77">
        <v>45291</v>
      </c>
      <c r="G2094" s="76">
        <v>2023</v>
      </c>
      <c r="H2094" s="76" t="s">
        <v>27</v>
      </c>
      <c r="I2094" s="76" t="s">
        <v>32</v>
      </c>
      <c r="J2094" s="76">
        <v>100</v>
      </c>
      <c r="K2094" s="76">
        <v>84</v>
      </c>
      <c r="L2094" s="78">
        <f t="shared" si="220"/>
        <v>0.84</v>
      </c>
      <c r="M2094" s="78">
        <f t="shared" si="221"/>
        <v>0.84</v>
      </c>
      <c r="N2094" s="76" t="s">
        <v>25</v>
      </c>
      <c r="O2094" s="76" t="s">
        <v>25</v>
      </c>
      <c r="P2094" s="76">
        <v>0</v>
      </c>
      <c r="Q2094" s="76">
        <v>0</v>
      </c>
      <c r="R2094" s="76" t="s">
        <v>3043</v>
      </c>
      <c r="S2094" s="76"/>
    </row>
    <row r="2095" spans="1:19" x14ac:dyDescent="0.3">
      <c r="A2095" s="36" t="s">
        <v>3039</v>
      </c>
      <c r="B2095" s="12" t="s">
        <v>3044</v>
      </c>
      <c r="C2095" s="37" t="s">
        <v>1758</v>
      </c>
      <c r="D2095" s="37" t="s">
        <v>39</v>
      </c>
      <c r="E2095" s="37" t="s">
        <v>22</v>
      </c>
      <c r="F2095" s="42">
        <v>45473</v>
      </c>
      <c r="G2095" s="37">
        <v>2024</v>
      </c>
      <c r="H2095" s="37" t="s">
        <v>23</v>
      </c>
      <c r="I2095" s="39" t="s">
        <v>34</v>
      </c>
      <c r="J2095" s="37">
        <v>53.64</v>
      </c>
      <c r="K2095" s="37">
        <v>40</v>
      </c>
      <c r="L2095" s="65">
        <f t="shared" si="220"/>
        <v>0.74571215510812827</v>
      </c>
      <c r="M2095" s="65">
        <f t="shared" si="221"/>
        <v>0.74571215510812827</v>
      </c>
      <c r="N2095" s="37" t="s">
        <v>25</v>
      </c>
      <c r="O2095" s="37" t="s">
        <v>25</v>
      </c>
      <c r="P2095" s="37">
        <v>0</v>
      </c>
      <c r="Q2095" s="37">
        <v>0</v>
      </c>
      <c r="R2095" s="37" t="s">
        <v>3045</v>
      </c>
      <c r="S2095" s="37"/>
    </row>
    <row r="2096" spans="1:19" x14ac:dyDescent="0.3">
      <c r="A2096" s="76" t="s">
        <v>3039</v>
      </c>
      <c r="B2096" s="76" t="s">
        <v>3040</v>
      </c>
      <c r="C2096" s="76" t="s">
        <v>1263</v>
      </c>
      <c r="D2096" s="76" t="s">
        <v>39</v>
      </c>
      <c r="E2096" s="76" t="s">
        <v>22</v>
      </c>
      <c r="F2096" s="77">
        <v>45565</v>
      </c>
      <c r="G2096" s="76">
        <v>2024</v>
      </c>
      <c r="H2096" s="76" t="s">
        <v>43</v>
      </c>
      <c r="I2096" s="76" t="s">
        <v>36</v>
      </c>
      <c r="J2096" s="76">
        <v>0</v>
      </c>
      <c r="K2096" s="76">
        <v>0</v>
      </c>
      <c r="L2096" s="78" t="str">
        <f t="shared" si="220"/>
        <v/>
      </c>
      <c r="M2096" s="78" t="str">
        <f t="shared" si="221"/>
        <v/>
      </c>
      <c r="N2096" s="76" t="s">
        <v>25</v>
      </c>
      <c r="O2096" s="76" t="s">
        <v>25</v>
      </c>
      <c r="P2096" s="76">
        <v>0</v>
      </c>
      <c r="Q2096" s="76">
        <v>0</v>
      </c>
      <c r="R2096" s="76" t="s">
        <v>3046</v>
      </c>
      <c r="S2096" s="76"/>
    </row>
    <row r="2097" spans="1:19" x14ac:dyDescent="0.3">
      <c r="A2097" s="76" t="s">
        <v>3039</v>
      </c>
      <c r="B2097" s="76" t="s">
        <v>3040</v>
      </c>
      <c r="C2097" s="76" t="s">
        <v>1263</v>
      </c>
      <c r="D2097" s="76" t="s">
        <v>39</v>
      </c>
      <c r="E2097" s="76" t="s">
        <v>22</v>
      </c>
      <c r="F2097" s="77">
        <v>45657</v>
      </c>
      <c r="G2097" s="76">
        <v>2024</v>
      </c>
      <c r="H2097" s="76" t="s">
        <v>27</v>
      </c>
      <c r="I2097" s="76" t="s">
        <v>36</v>
      </c>
      <c r="J2097" s="76">
        <v>100</v>
      </c>
      <c r="K2097" s="76">
        <v>94</v>
      </c>
      <c r="L2097" s="78">
        <f t="shared" si="220"/>
        <v>0.94</v>
      </c>
      <c r="M2097" s="78">
        <f t="shared" si="221"/>
        <v>0.94</v>
      </c>
      <c r="N2097" s="76" t="s">
        <v>25</v>
      </c>
      <c r="O2097" s="76" t="s">
        <v>25</v>
      </c>
      <c r="P2097" s="76">
        <v>0</v>
      </c>
      <c r="Q2097" s="76">
        <v>0</v>
      </c>
      <c r="R2097" s="76" t="s">
        <v>3047</v>
      </c>
      <c r="S2097" s="76"/>
    </row>
    <row r="2098" spans="1:19" x14ac:dyDescent="0.3">
      <c r="A2098" s="76" t="s">
        <v>3048</v>
      </c>
      <c r="B2098" s="76" t="s">
        <v>3049</v>
      </c>
      <c r="C2098" s="76" t="s">
        <v>1263</v>
      </c>
      <c r="D2098" s="76" t="s">
        <v>39</v>
      </c>
      <c r="E2098" s="76" t="s">
        <v>22</v>
      </c>
      <c r="F2098" s="77">
        <v>45107</v>
      </c>
      <c r="G2098" s="76">
        <v>2023</v>
      </c>
      <c r="H2098" s="76" t="s">
        <v>23</v>
      </c>
      <c r="I2098" s="76" t="s">
        <v>30</v>
      </c>
      <c r="J2098" s="76">
        <v>58</v>
      </c>
      <c r="K2098" s="76">
        <v>50</v>
      </c>
      <c r="L2098" s="78">
        <f t="shared" si="220"/>
        <v>0.86206896551724133</v>
      </c>
      <c r="M2098" s="78">
        <f t="shared" si="221"/>
        <v>0.86206896551724133</v>
      </c>
      <c r="N2098" s="76" t="s">
        <v>25</v>
      </c>
      <c r="O2098" s="76" t="s">
        <v>25</v>
      </c>
      <c r="P2098" s="76">
        <v>0</v>
      </c>
      <c r="Q2098" s="76">
        <v>0</v>
      </c>
      <c r="R2098" s="76" t="s">
        <v>3050</v>
      </c>
      <c r="S2098" s="76"/>
    </row>
    <row r="2099" spans="1:19" x14ac:dyDescent="0.3">
      <c r="A2099" s="76" t="s">
        <v>3048</v>
      </c>
      <c r="B2099" s="76" t="s">
        <v>3049</v>
      </c>
      <c r="C2099" s="76" t="s">
        <v>1263</v>
      </c>
      <c r="D2099" s="76" t="s">
        <v>39</v>
      </c>
      <c r="E2099" s="76" t="s">
        <v>22</v>
      </c>
      <c r="F2099" s="77">
        <v>45199</v>
      </c>
      <c r="G2099" s="76">
        <v>2023</v>
      </c>
      <c r="H2099" s="76" t="s">
        <v>43</v>
      </c>
      <c r="I2099" s="76" t="s">
        <v>32</v>
      </c>
      <c r="J2099" s="76">
        <v>90.99</v>
      </c>
      <c r="K2099" s="76">
        <v>96.78</v>
      </c>
      <c r="L2099" s="78">
        <f t="shared" si="220"/>
        <v>1</v>
      </c>
      <c r="M2099" s="78">
        <f t="shared" si="221"/>
        <v>1</v>
      </c>
      <c r="N2099" s="76" t="s">
        <v>25</v>
      </c>
      <c r="O2099" s="76" t="s">
        <v>25</v>
      </c>
      <c r="P2099" s="76">
        <v>0</v>
      </c>
      <c r="Q2099" s="76">
        <v>0</v>
      </c>
      <c r="R2099" s="76" t="s">
        <v>3051</v>
      </c>
      <c r="S2099" s="76"/>
    </row>
    <row r="2100" spans="1:19" x14ac:dyDescent="0.3">
      <c r="A2100" s="76" t="s">
        <v>3048</v>
      </c>
      <c r="B2100" s="76" t="s">
        <v>3049</v>
      </c>
      <c r="C2100" s="76" t="s">
        <v>1263</v>
      </c>
      <c r="D2100" s="76" t="s">
        <v>39</v>
      </c>
      <c r="E2100" s="76" t="s">
        <v>22</v>
      </c>
      <c r="F2100" s="77">
        <v>45291</v>
      </c>
      <c r="G2100" s="76">
        <v>2023</v>
      </c>
      <c r="H2100" s="76" t="s">
        <v>27</v>
      </c>
      <c r="I2100" s="76" t="s">
        <v>32</v>
      </c>
      <c r="J2100" s="76">
        <v>100</v>
      </c>
      <c r="K2100" s="76">
        <v>98</v>
      </c>
      <c r="L2100" s="78">
        <f t="shared" si="220"/>
        <v>0.98</v>
      </c>
      <c r="M2100" s="78">
        <f t="shared" si="221"/>
        <v>0.98</v>
      </c>
      <c r="N2100" s="76" t="s">
        <v>25</v>
      </c>
      <c r="O2100" s="76" t="s">
        <v>25</v>
      </c>
      <c r="P2100" s="76">
        <v>0</v>
      </c>
      <c r="Q2100" s="76">
        <v>0</v>
      </c>
      <c r="R2100" s="76" t="s">
        <v>3052</v>
      </c>
      <c r="S2100" s="76"/>
    </row>
    <row r="2101" spans="1:19" x14ac:dyDescent="0.3">
      <c r="A2101" s="76" t="s">
        <v>3048</v>
      </c>
      <c r="B2101" s="76" t="s">
        <v>3049</v>
      </c>
      <c r="C2101" s="76" t="s">
        <v>1263</v>
      </c>
      <c r="D2101" s="76" t="s">
        <v>39</v>
      </c>
      <c r="E2101" s="76" t="s">
        <v>22</v>
      </c>
      <c r="F2101" s="77">
        <v>45382</v>
      </c>
      <c r="G2101" s="76">
        <v>2024</v>
      </c>
      <c r="H2101" s="76" t="s">
        <v>40</v>
      </c>
      <c r="I2101" s="76" t="s">
        <v>34</v>
      </c>
      <c r="J2101" s="76">
        <v>32.450000000000003</v>
      </c>
      <c r="K2101" s="76">
        <v>37</v>
      </c>
      <c r="L2101" s="78">
        <f t="shared" si="220"/>
        <v>1</v>
      </c>
      <c r="M2101" s="78">
        <f t="shared" si="221"/>
        <v>1</v>
      </c>
      <c r="N2101" s="76" t="s">
        <v>25</v>
      </c>
      <c r="O2101" s="76" t="s">
        <v>25</v>
      </c>
      <c r="P2101" s="76">
        <v>0</v>
      </c>
      <c r="Q2101" s="76">
        <v>0</v>
      </c>
      <c r="R2101" s="76" t="s">
        <v>3053</v>
      </c>
      <c r="S2101" s="76"/>
    </row>
    <row r="2102" spans="1:19" x14ac:dyDescent="0.3">
      <c r="A2102" s="76" t="s">
        <v>3048</v>
      </c>
      <c r="B2102" s="76" t="s">
        <v>3049</v>
      </c>
      <c r="C2102" s="76" t="s">
        <v>1263</v>
      </c>
      <c r="D2102" s="76" t="s">
        <v>39</v>
      </c>
      <c r="E2102" s="76" t="s">
        <v>22</v>
      </c>
      <c r="F2102" s="77">
        <v>45473</v>
      </c>
      <c r="G2102" s="76">
        <v>2024</v>
      </c>
      <c r="H2102" s="76" t="s">
        <v>23</v>
      </c>
      <c r="I2102" s="76" t="s">
        <v>34</v>
      </c>
      <c r="J2102" s="76">
        <v>53.64</v>
      </c>
      <c r="K2102" s="76">
        <v>40</v>
      </c>
      <c r="L2102" s="78">
        <f t="shared" si="220"/>
        <v>0.74571215510812827</v>
      </c>
      <c r="M2102" s="78">
        <f t="shared" si="221"/>
        <v>0.74571215510812827</v>
      </c>
      <c r="N2102" s="76" t="s">
        <v>25</v>
      </c>
      <c r="O2102" s="76" t="s">
        <v>25</v>
      </c>
      <c r="P2102" s="76">
        <v>0</v>
      </c>
      <c r="Q2102" s="76">
        <v>0</v>
      </c>
      <c r="R2102" s="76" t="s">
        <v>3054</v>
      </c>
      <c r="S2102" s="76"/>
    </row>
    <row r="2103" spans="1:19" x14ac:dyDescent="0.3">
      <c r="A2103" s="76" t="s">
        <v>3048</v>
      </c>
      <c r="B2103" s="76" t="s">
        <v>3049</v>
      </c>
      <c r="C2103" s="76" t="s">
        <v>1263</v>
      </c>
      <c r="D2103" s="76" t="s">
        <v>39</v>
      </c>
      <c r="E2103" s="76" t="s">
        <v>22</v>
      </c>
      <c r="F2103" s="77">
        <v>45565</v>
      </c>
      <c r="G2103" s="76">
        <v>2024</v>
      </c>
      <c r="H2103" s="76" t="s">
        <v>43</v>
      </c>
      <c r="I2103" s="76" t="s">
        <v>36</v>
      </c>
      <c r="J2103" s="76">
        <v>100</v>
      </c>
      <c r="K2103" s="76">
        <v>60</v>
      </c>
      <c r="L2103" s="78">
        <f t="shared" si="220"/>
        <v>0.6</v>
      </c>
      <c r="M2103" s="78">
        <f t="shared" si="221"/>
        <v>0.6</v>
      </c>
      <c r="N2103" s="76" t="s">
        <v>25</v>
      </c>
      <c r="O2103" s="76" t="s">
        <v>25</v>
      </c>
      <c r="P2103" s="76">
        <v>0</v>
      </c>
      <c r="Q2103" s="76">
        <v>0</v>
      </c>
      <c r="R2103" s="76" t="s">
        <v>3055</v>
      </c>
      <c r="S2103" s="76"/>
    </row>
    <row r="2104" spans="1:19" x14ac:dyDescent="0.3">
      <c r="A2104" s="76" t="s">
        <v>3048</v>
      </c>
      <c r="B2104" s="76" t="s">
        <v>3049</v>
      </c>
      <c r="C2104" s="76" t="s">
        <v>1263</v>
      </c>
      <c r="D2104" s="76" t="s">
        <v>39</v>
      </c>
      <c r="E2104" s="76" t="s">
        <v>22</v>
      </c>
      <c r="F2104" s="77">
        <v>45657</v>
      </c>
      <c r="G2104" s="76">
        <v>2024</v>
      </c>
      <c r="H2104" s="76" t="s">
        <v>27</v>
      </c>
      <c r="I2104" s="76" t="s">
        <v>36</v>
      </c>
      <c r="J2104" s="76">
        <v>100</v>
      </c>
      <c r="K2104" s="76">
        <v>95</v>
      </c>
      <c r="L2104" s="78">
        <f t="shared" si="220"/>
        <v>0.95</v>
      </c>
      <c r="M2104" s="78">
        <f t="shared" si="221"/>
        <v>0.95</v>
      </c>
      <c r="N2104" s="76" t="s">
        <v>25</v>
      </c>
      <c r="O2104" s="76" t="s">
        <v>25</v>
      </c>
      <c r="P2104" s="76">
        <v>0</v>
      </c>
      <c r="Q2104" s="76">
        <v>0</v>
      </c>
      <c r="R2104" s="76" t="s">
        <v>3056</v>
      </c>
      <c r="S2104" s="76"/>
    </row>
    <row r="2105" spans="1:19" x14ac:dyDescent="0.3">
      <c r="A2105" s="76" t="s">
        <v>3057</v>
      </c>
      <c r="B2105" s="76" t="s">
        <v>3058</v>
      </c>
      <c r="C2105" s="76" t="s">
        <v>1263</v>
      </c>
      <c r="D2105" s="76" t="s">
        <v>39</v>
      </c>
      <c r="E2105" s="76" t="s">
        <v>22</v>
      </c>
      <c r="F2105" s="77">
        <v>45107</v>
      </c>
      <c r="G2105" s="76">
        <v>2023</v>
      </c>
      <c r="H2105" s="76" t="s">
        <v>23</v>
      </c>
      <c r="I2105" s="76" t="s">
        <v>30</v>
      </c>
      <c r="J2105" s="76">
        <v>20</v>
      </c>
      <c r="K2105" s="76">
        <v>24</v>
      </c>
      <c r="L2105" s="78">
        <f t="shared" si="220"/>
        <v>1</v>
      </c>
      <c r="M2105" s="78">
        <f t="shared" si="221"/>
        <v>1</v>
      </c>
      <c r="N2105" s="76" t="s">
        <v>25</v>
      </c>
      <c r="O2105" s="76" t="s">
        <v>25</v>
      </c>
      <c r="P2105" s="76">
        <v>0</v>
      </c>
      <c r="Q2105" s="76">
        <v>0</v>
      </c>
      <c r="R2105" s="76" t="s">
        <v>3059</v>
      </c>
      <c r="S2105" s="76"/>
    </row>
    <row r="2106" spans="1:19" x14ac:dyDescent="0.3">
      <c r="A2106" s="76" t="s">
        <v>3057</v>
      </c>
      <c r="B2106" s="76" t="s">
        <v>3058</v>
      </c>
      <c r="C2106" s="76" t="s">
        <v>1263</v>
      </c>
      <c r="D2106" s="76" t="s">
        <v>39</v>
      </c>
      <c r="E2106" s="76" t="s">
        <v>22</v>
      </c>
      <c r="F2106" s="77">
        <v>45199</v>
      </c>
      <c r="G2106" s="76">
        <v>2023</v>
      </c>
      <c r="H2106" s="76" t="s">
        <v>43</v>
      </c>
      <c r="I2106" s="76" t="s">
        <v>32</v>
      </c>
      <c r="J2106" s="76">
        <v>84.45</v>
      </c>
      <c r="K2106" s="76">
        <v>98.89</v>
      </c>
      <c r="L2106" s="78">
        <f t="shared" si="220"/>
        <v>1</v>
      </c>
      <c r="M2106" s="78">
        <f t="shared" si="221"/>
        <v>1</v>
      </c>
      <c r="N2106" s="76" t="s">
        <v>25</v>
      </c>
      <c r="O2106" s="76" t="s">
        <v>25</v>
      </c>
      <c r="P2106" s="76">
        <v>0</v>
      </c>
      <c r="Q2106" s="76">
        <v>0</v>
      </c>
      <c r="R2106" s="76" t="s">
        <v>3060</v>
      </c>
      <c r="S2106" s="76"/>
    </row>
    <row r="2107" spans="1:19" x14ac:dyDescent="0.3">
      <c r="A2107" s="76" t="s">
        <v>3057</v>
      </c>
      <c r="B2107" s="76" t="s">
        <v>3058</v>
      </c>
      <c r="C2107" s="76" t="s">
        <v>1263</v>
      </c>
      <c r="D2107" s="76" t="s">
        <v>39</v>
      </c>
      <c r="E2107" s="76" t="s">
        <v>22</v>
      </c>
      <c r="F2107" s="77">
        <v>45291</v>
      </c>
      <c r="G2107" s="76">
        <v>2023</v>
      </c>
      <c r="H2107" s="76" t="s">
        <v>27</v>
      </c>
      <c r="I2107" s="76" t="s">
        <v>32</v>
      </c>
      <c r="J2107" s="76">
        <v>100</v>
      </c>
      <c r="K2107" s="76">
        <v>100</v>
      </c>
      <c r="L2107" s="78">
        <f t="shared" si="220"/>
        <v>1</v>
      </c>
      <c r="M2107" s="78">
        <f t="shared" si="221"/>
        <v>1</v>
      </c>
      <c r="N2107" s="76" t="s">
        <v>25</v>
      </c>
      <c r="O2107" s="76" t="s">
        <v>25</v>
      </c>
      <c r="P2107" s="76">
        <v>0</v>
      </c>
      <c r="Q2107" s="76">
        <v>0</v>
      </c>
      <c r="R2107" s="76" t="s">
        <v>3061</v>
      </c>
      <c r="S2107" s="76"/>
    </row>
    <row r="2108" spans="1:19" x14ac:dyDescent="0.3">
      <c r="A2108" s="76" t="s">
        <v>3057</v>
      </c>
      <c r="B2108" s="76" t="s">
        <v>3058</v>
      </c>
      <c r="C2108" s="76" t="s">
        <v>1263</v>
      </c>
      <c r="D2108" s="76" t="s">
        <v>39</v>
      </c>
      <c r="E2108" s="76" t="s">
        <v>22</v>
      </c>
      <c r="F2108" s="77">
        <v>45382</v>
      </c>
      <c r="G2108" s="76">
        <v>2024</v>
      </c>
      <c r="H2108" s="76" t="s">
        <v>40</v>
      </c>
      <c r="I2108" s="76" t="s">
        <v>34</v>
      </c>
      <c r="J2108" s="76">
        <v>38.020000000000003</v>
      </c>
      <c r="K2108" s="76">
        <v>37.33</v>
      </c>
      <c r="L2108" s="78">
        <f t="shared" si="220"/>
        <v>0.98185165702261956</v>
      </c>
      <c r="M2108" s="78">
        <f t="shared" si="221"/>
        <v>0.98185165702261956</v>
      </c>
      <c r="N2108" s="76" t="s">
        <v>25</v>
      </c>
      <c r="O2108" s="76" t="s">
        <v>25</v>
      </c>
      <c r="P2108" s="76">
        <v>0</v>
      </c>
      <c r="Q2108" s="76">
        <v>0</v>
      </c>
      <c r="R2108" s="76" t="s">
        <v>3062</v>
      </c>
      <c r="S2108" s="76"/>
    </row>
    <row r="2109" spans="1:19" x14ac:dyDescent="0.3">
      <c r="A2109" s="76" t="s">
        <v>3057</v>
      </c>
      <c r="B2109" s="76" t="s">
        <v>3058</v>
      </c>
      <c r="C2109" s="76" t="s">
        <v>1263</v>
      </c>
      <c r="D2109" s="76" t="s">
        <v>39</v>
      </c>
      <c r="E2109" s="76" t="s">
        <v>22</v>
      </c>
      <c r="F2109" s="77">
        <v>45473</v>
      </c>
      <c r="G2109" s="76">
        <v>2024</v>
      </c>
      <c r="H2109" s="76" t="s">
        <v>23</v>
      </c>
      <c r="I2109" s="76" t="s">
        <v>34</v>
      </c>
      <c r="J2109" s="76">
        <v>36.049999999999997</v>
      </c>
      <c r="K2109" s="76">
        <v>43.92</v>
      </c>
      <c r="L2109" s="78">
        <f t="shared" si="220"/>
        <v>1</v>
      </c>
      <c r="M2109" s="78">
        <f t="shared" si="221"/>
        <v>1</v>
      </c>
      <c r="N2109" s="76" t="s">
        <v>25</v>
      </c>
      <c r="O2109" s="76" t="s">
        <v>25</v>
      </c>
      <c r="P2109" s="76">
        <v>0</v>
      </c>
      <c r="Q2109" s="76">
        <v>0</v>
      </c>
      <c r="R2109" s="76" t="s">
        <v>3063</v>
      </c>
      <c r="S2109" s="76"/>
    </row>
    <row r="2110" spans="1:19" x14ac:dyDescent="0.3">
      <c r="A2110" s="76" t="s">
        <v>3057</v>
      </c>
      <c r="B2110" s="76" t="s">
        <v>3058</v>
      </c>
      <c r="C2110" s="76" t="s">
        <v>1263</v>
      </c>
      <c r="D2110" s="76" t="s">
        <v>39</v>
      </c>
      <c r="E2110" s="76" t="s">
        <v>22</v>
      </c>
      <c r="F2110" s="77">
        <v>45565</v>
      </c>
      <c r="G2110" s="76">
        <v>2024</v>
      </c>
      <c r="H2110" s="76" t="s">
        <v>43</v>
      </c>
      <c r="I2110" s="76" t="s">
        <v>36</v>
      </c>
      <c r="J2110" s="76">
        <v>100</v>
      </c>
      <c r="K2110" s="76">
        <v>100</v>
      </c>
      <c r="L2110" s="78">
        <f t="shared" si="220"/>
        <v>1</v>
      </c>
      <c r="M2110" s="78">
        <f t="shared" si="221"/>
        <v>1</v>
      </c>
      <c r="N2110" s="76" t="s">
        <v>25</v>
      </c>
      <c r="O2110" s="76" t="s">
        <v>25</v>
      </c>
      <c r="P2110" s="76">
        <v>0</v>
      </c>
      <c r="Q2110" s="76">
        <v>0</v>
      </c>
      <c r="R2110" s="76" t="s">
        <v>3064</v>
      </c>
      <c r="S2110" s="76"/>
    </row>
    <row r="2111" spans="1:19" x14ac:dyDescent="0.3">
      <c r="A2111" s="76" t="s">
        <v>3057</v>
      </c>
      <c r="B2111" s="76" t="s">
        <v>3058</v>
      </c>
      <c r="C2111" s="76" t="s">
        <v>1263</v>
      </c>
      <c r="D2111" s="76" t="s">
        <v>39</v>
      </c>
      <c r="E2111" s="76" t="s">
        <v>22</v>
      </c>
      <c r="F2111" s="77">
        <v>45657</v>
      </c>
      <c r="G2111" s="76">
        <v>2024</v>
      </c>
      <c r="H2111" s="76" t="s">
        <v>27</v>
      </c>
      <c r="I2111" s="76" t="s">
        <v>36</v>
      </c>
      <c r="J2111" s="76">
        <v>100</v>
      </c>
      <c r="K2111" s="76">
        <v>100</v>
      </c>
      <c r="L2111" s="78">
        <f t="shared" si="220"/>
        <v>1</v>
      </c>
      <c r="M2111" s="78">
        <f t="shared" si="221"/>
        <v>1</v>
      </c>
      <c r="N2111" s="76" t="s">
        <v>25</v>
      </c>
      <c r="O2111" s="76" t="s">
        <v>25</v>
      </c>
      <c r="P2111" s="76">
        <v>0</v>
      </c>
      <c r="Q2111" s="76">
        <v>0</v>
      </c>
      <c r="R2111" s="76" t="s">
        <v>3065</v>
      </c>
      <c r="S2111" s="76"/>
    </row>
    <row r="2112" spans="1:19" x14ac:dyDescent="0.3">
      <c r="A2112" s="76" t="s">
        <v>3066</v>
      </c>
      <c r="B2112" s="76" t="s">
        <v>3067</v>
      </c>
      <c r="C2112" s="76" t="s">
        <v>1263</v>
      </c>
      <c r="D2112" s="76" t="s">
        <v>39</v>
      </c>
      <c r="E2112" s="76" t="s">
        <v>22</v>
      </c>
      <c r="F2112" s="77">
        <v>45107</v>
      </c>
      <c r="G2112" s="76">
        <v>2023</v>
      </c>
      <c r="H2112" s="76" t="s">
        <v>23</v>
      </c>
      <c r="I2112" s="76" t="s">
        <v>30</v>
      </c>
      <c r="J2112" s="76">
        <v>54</v>
      </c>
      <c r="K2112" s="76">
        <v>63</v>
      </c>
      <c r="L2112" s="78">
        <f t="shared" si="220"/>
        <v>1</v>
      </c>
      <c r="M2112" s="78">
        <f t="shared" si="221"/>
        <v>1</v>
      </c>
      <c r="N2112" s="76" t="s">
        <v>25</v>
      </c>
      <c r="O2112" s="76" t="s">
        <v>25</v>
      </c>
      <c r="P2112" s="76">
        <v>0</v>
      </c>
      <c r="Q2112" s="76">
        <v>0</v>
      </c>
      <c r="R2112" s="76" t="s">
        <v>3068</v>
      </c>
      <c r="S2112" s="76"/>
    </row>
    <row r="2113" spans="1:19" x14ac:dyDescent="0.3">
      <c r="A2113" s="76" t="s">
        <v>3066</v>
      </c>
      <c r="B2113" s="76" t="s">
        <v>3067</v>
      </c>
      <c r="C2113" s="76" t="s">
        <v>1263</v>
      </c>
      <c r="D2113" s="76" t="s">
        <v>39</v>
      </c>
      <c r="E2113" s="76" t="s">
        <v>22</v>
      </c>
      <c r="F2113" s="77">
        <v>45199</v>
      </c>
      <c r="G2113" s="76">
        <v>2023</v>
      </c>
      <c r="H2113" s="76" t="s">
        <v>43</v>
      </c>
      <c r="I2113" s="76" t="s">
        <v>32</v>
      </c>
      <c r="J2113" s="76">
        <v>90.07</v>
      </c>
      <c r="K2113" s="76">
        <v>92.6</v>
      </c>
      <c r="L2113" s="78">
        <f t="shared" si="220"/>
        <v>1</v>
      </c>
      <c r="M2113" s="78">
        <f t="shared" si="221"/>
        <v>1</v>
      </c>
      <c r="N2113" s="76" t="s">
        <v>25</v>
      </c>
      <c r="O2113" s="76" t="s">
        <v>25</v>
      </c>
      <c r="P2113" s="76">
        <v>0</v>
      </c>
      <c r="Q2113" s="76">
        <v>0</v>
      </c>
      <c r="R2113" s="76" t="s">
        <v>3069</v>
      </c>
      <c r="S2113" s="76"/>
    </row>
    <row r="2114" spans="1:19" x14ac:dyDescent="0.3">
      <c r="A2114" s="76" t="s">
        <v>3066</v>
      </c>
      <c r="B2114" s="76" t="s">
        <v>3067</v>
      </c>
      <c r="C2114" s="76" t="s">
        <v>1263</v>
      </c>
      <c r="D2114" s="76" t="s">
        <v>39</v>
      </c>
      <c r="E2114" s="76" t="s">
        <v>22</v>
      </c>
      <c r="F2114" s="77">
        <v>45291</v>
      </c>
      <c r="G2114" s="76">
        <v>2023</v>
      </c>
      <c r="H2114" s="76" t="s">
        <v>27</v>
      </c>
      <c r="I2114" s="76" t="s">
        <v>32</v>
      </c>
      <c r="J2114" s="76">
        <v>100</v>
      </c>
      <c r="K2114" s="76">
        <v>90</v>
      </c>
      <c r="L2114" s="78">
        <f t="shared" si="220"/>
        <v>0.9</v>
      </c>
      <c r="M2114" s="78">
        <f t="shared" si="221"/>
        <v>0.9</v>
      </c>
      <c r="N2114" s="76" t="s">
        <v>25</v>
      </c>
      <c r="O2114" s="76" t="s">
        <v>25</v>
      </c>
      <c r="P2114" s="76">
        <v>0</v>
      </c>
      <c r="Q2114" s="76">
        <v>0</v>
      </c>
      <c r="R2114" s="76" t="s">
        <v>3070</v>
      </c>
      <c r="S2114" s="76"/>
    </row>
    <row r="2115" spans="1:19" x14ac:dyDescent="0.3">
      <c r="A2115" s="76" t="s">
        <v>3066</v>
      </c>
      <c r="B2115" s="76" t="s">
        <v>3067</v>
      </c>
      <c r="C2115" s="76" t="s">
        <v>1263</v>
      </c>
      <c r="D2115" s="76" t="s">
        <v>39</v>
      </c>
      <c r="E2115" s="76" t="s">
        <v>22</v>
      </c>
      <c r="F2115" s="77">
        <v>45382</v>
      </c>
      <c r="G2115" s="76">
        <v>2024</v>
      </c>
      <c r="H2115" s="76" t="s">
        <v>40</v>
      </c>
      <c r="I2115" s="76" t="s">
        <v>34</v>
      </c>
      <c r="J2115" s="76">
        <v>71.41</v>
      </c>
      <c r="K2115" s="76">
        <v>82.22</v>
      </c>
      <c r="L2115" s="78">
        <f t="shared" si="220"/>
        <v>1</v>
      </c>
      <c r="M2115" s="78">
        <f t="shared" si="221"/>
        <v>1</v>
      </c>
      <c r="N2115" s="76" t="s">
        <v>25</v>
      </c>
      <c r="O2115" s="76" t="s">
        <v>25</v>
      </c>
      <c r="P2115" s="76">
        <v>0</v>
      </c>
      <c r="Q2115" s="76">
        <v>0</v>
      </c>
      <c r="R2115" s="76" t="s">
        <v>3071</v>
      </c>
      <c r="S2115" s="76"/>
    </row>
    <row r="2116" spans="1:19" x14ac:dyDescent="0.3">
      <c r="A2116" s="76" t="s">
        <v>3066</v>
      </c>
      <c r="B2116" s="76" t="s">
        <v>3067</v>
      </c>
      <c r="C2116" s="76" t="s">
        <v>1263</v>
      </c>
      <c r="D2116" s="76" t="s">
        <v>39</v>
      </c>
      <c r="E2116" s="76" t="s">
        <v>22</v>
      </c>
      <c r="F2116" s="77">
        <v>45473</v>
      </c>
      <c r="G2116" s="76">
        <v>2024</v>
      </c>
      <c r="H2116" s="76" t="s">
        <v>23</v>
      </c>
      <c r="I2116" s="76" t="s">
        <v>34</v>
      </c>
      <c r="J2116" s="76">
        <v>81.239999999999995</v>
      </c>
      <c r="K2116" s="76">
        <v>86.67</v>
      </c>
      <c r="L2116" s="78">
        <f t="shared" ref="L2116:L2145" si="222">IFERROR(IF(OR(J2116=0,K2116=""),"",IF(E2116="Positivo",MIN(MAX(K2116/J2116,0),1),MIN(MAX(J2116/K2116,0),1))),"")</f>
        <v>1</v>
      </c>
      <c r="M2116" s="78">
        <f t="shared" ref="M2116:M2145" si="223">IFERROR(IF(OR(J2116=0,K2116=""),"",IF(E2116="Positivo",MIN(MAX(K2116/J2116,0),1),MIN(MAX(J2116/K2116,0),1))),"")</f>
        <v>1</v>
      </c>
      <c r="N2116" s="76" t="s">
        <v>25</v>
      </c>
      <c r="O2116" s="76" t="s">
        <v>25</v>
      </c>
      <c r="P2116" s="76">
        <v>0</v>
      </c>
      <c r="Q2116" s="76">
        <v>0</v>
      </c>
      <c r="R2116" s="76" t="s">
        <v>3072</v>
      </c>
      <c r="S2116" s="76"/>
    </row>
    <row r="2117" spans="1:19" x14ac:dyDescent="0.3">
      <c r="A2117" s="76" t="s">
        <v>3066</v>
      </c>
      <c r="B2117" s="76" t="s">
        <v>3067</v>
      </c>
      <c r="C2117" s="76" t="s">
        <v>1263</v>
      </c>
      <c r="D2117" s="76" t="s">
        <v>39</v>
      </c>
      <c r="E2117" s="76" t="s">
        <v>22</v>
      </c>
      <c r="F2117" s="77">
        <v>45565</v>
      </c>
      <c r="G2117" s="76">
        <v>2024</v>
      </c>
      <c r="H2117" s="76" t="s">
        <v>43</v>
      </c>
      <c r="I2117" s="76" t="s">
        <v>36</v>
      </c>
      <c r="J2117" s="76">
        <v>99.47</v>
      </c>
      <c r="K2117" s="76">
        <v>96.11</v>
      </c>
      <c r="L2117" s="78">
        <f t="shared" si="222"/>
        <v>0.9662209711470795</v>
      </c>
      <c r="M2117" s="78">
        <f t="shared" si="223"/>
        <v>0.9662209711470795</v>
      </c>
      <c r="N2117" s="76" t="s">
        <v>25</v>
      </c>
      <c r="O2117" s="76" t="s">
        <v>25</v>
      </c>
      <c r="P2117" s="76">
        <v>0</v>
      </c>
      <c r="Q2117" s="76">
        <v>0</v>
      </c>
      <c r="R2117" s="76" t="s">
        <v>3073</v>
      </c>
      <c r="S2117" s="76"/>
    </row>
    <row r="2118" spans="1:19" x14ac:dyDescent="0.3">
      <c r="A2118" s="76" t="s">
        <v>3066</v>
      </c>
      <c r="B2118" s="76" t="s">
        <v>3067</v>
      </c>
      <c r="C2118" s="76" t="s">
        <v>1263</v>
      </c>
      <c r="D2118" s="76" t="s">
        <v>39</v>
      </c>
      <c r="E2118" s="76" t="s">
        <v>22</v>
      </c>
      <c r="F2118" s="77">
        <v>45657</v>
      </c>
      <c r="G2118" s="76">
        <v>2024</v>
      </c>
      <c r="H2118" s="76" t="s">
        <v>27</v>
      </c>
      <c r="I2118" s="76" t="s">
        <v>36</v>
      </c>
      <c r="J2118" s="76">
        <v>100</v>
      </c>
      <c r="K2118" s="76">
        <v>100</v>
      </c>
      <c r="L2118" s="78">
        <f t="shared" si="222"/>
        <v>1</v>
      </c>
      <c r="M2118" s="78">
        <f t="shared" si="223"/>
        <v>1</v>
      </c>
      <c r="N2118" s="76" t="s">
        <v>25</v>
      </c>
      <c r="O2118" s="76" t="s">
        <v>25</v>
      </c>
      <c r="P2118" s="76">
        <v>0</v>
      </c>
      <c r="Q2118" s="76">
        <v>0</v>
      </c>
      <c r="R2118" s="76" t="s">
        <v>3074</v>
      </c>
      <c r="S2118" s="76"/>
    </row>
    <row r="2119" spans="1:19" x14ac:dyDescent="0.3">
      <c r="A2119" s="76" t="s">
        <v>3075</v>
      </c>
      <c r="B2119" s="76" t="s">
        <v>3076</v>
      </c>
      <c r="C2119" s="76" t="s">
        <v>1263</v>
      </c>
      <c r="D2119" s="76" t="s">
        <v>39</v>
      </c>
      <c r="E2119" s="76" t="s">
        <v>22</v>
      </c>
      <c r="F2119" s="77">
        <v>45291</v>
      </c>
      <c r="G2119" s="76">
        <v>2023</v>
      </c>
      <c r="H2119" s="76" t="s">
        <v>27</v>
      </c>
      <c r="I2119" s="76" t="s">
        <v>32</v>
      </c>
      <c r="J2119" s="76">
        <v>0</v>
      </c>
      <c r="K2119" s="76">
        <v>0</v>
      </c>
      <c r="L2119" s="78" t="str">
        <f t="shared" si="222"/>
        <v/>
      </c>
      <c r="M2119" s="78" t="str">
        <f t="shared" si="223"/>
        <v/>
      </c>
      <c r="N2119" s="76" t="s">
        <v>25</v>
      </c>
      <c r="O2119" s="76" t="s">
        <v>25</v>
      </c>
      <c r="P2119" s="76">
        <v>0</v>
      </c>
      <c r="Q2119" s="76">
        <v>0</v>
      </c>
      <c r="R2119" s="76" t="s">
        <v>3077</v>
      </c>
      <c r="S2119" s="76"/>
    </row>
    <row r="2120" spans="1:19" x14ac:dyDescent="0.3">
      <c r="A2120" s="76" t="s">
        <v>3075</v>
      </c>
      <c r="B2120" s="76" t="s">
        <v>3076</v>
      </c>
      <c r="C2120" s="76" t="s">
        <v>1263</v>
      </c>
      <c r="D2120" s="76" t="s">
        <v>39</v>
      </c>
      <c r="E2120" s="76" t="s">
        <v>22</v>
      </c>
      <c r="F2120" s="77">
        <v>45382</v>
      </c>
      <c r="G2120" s="76">
        <v>2024</v>
      </c>
      <c r="H2120" s="76" t="s">
        <v>40</v>
      </c>
      <c r="I2120" s="76" t="s">
        <v>34</v>
      </c>
      <c r="J2120" s="76">
        <v>20.49</v>
      </c>
      <c r="K2120" s="76">
        <v>18.75</v>
      </c>
      <c r="L2120" s="78">
        <f t="shared" si="222"/>
        <v>0.91508052708638365</v>
      </c>
      <c r="M2120" s="78">
        <f t="shared" si="223"/>
        <v>0.91508052708638365</v>
      </c>
      <c r="N2120" s="76" t="s">
        <v>25</v>
      </c>
      <c r="O2120" s="76" t="s">
        <v>25</v>
      </c>
      <c r="P2120" s="76">
        <v>0</v>
      </c>
      <c r="Q2120" s="76">
        <v>0</v>
      </c>
      <c r="R2120" s="76" t="s">
        <v>3078</v>
      </c>
      <c r="S2120" s="76"/>
    </row>
    <row r="2121" spans="1:19" x14ac:dyDescent="0.3">
      <c r="A2121" s="76" t="s">
        <v>3075</v>
      </c>
      <c r="B2121" s="76" t="s">
        <v>3076</v>
      </c>
      <c r="C2121" s="76" t="s">
        <v>1263</v>
      </c>
      <c r="D2121" s="76" t="s">
        <v>39</v>
      </c>
      <c r="E2121" s="76" t="s">
        <v>22</v>
      </c>
      <c r="F2121" s="77">
        <v>45473</v>
      </c>
      <c r="G2121" s="76">
        <v>2024</v>
      </c>
      <c r="H2121" s="76" t="s">
        <v>23</v>
      </c>
      <c r="I2121" s="76" t="s">
        <v>34</v>
      </c>
      <c r="J2121" s="76">
        <v>46.98</v>
      </c>
      <c r="K2121" s="76">
        <v>57.83</v>
      </c>
      <c r="L2121" s="78">
        <f t="shared" si="222"/>
        <v>1</v>
      </c>
      <c r="M2121" s="78">
        <f t="shared" si="223"/>
        <v>1</v>
      </c>
      <c r="N2121" s="76" t="s">
        <v>25</v>
      </c>
      <c r="O2121" s="76" t="s">
        <v>25</v>
      </c>
      <c r="P2121" s="76">
        <v>0</v>
      </c>
      <c r="Q2121" s="76">
        <v>0</v>
      </c>
      <c r="R2121" s="76" t="s">
        <v>3079</v>
      </c>
      <c r="S2121" s="76"/>
    </row>
    <row r="2122" spans="1:19" x14ac:dyDescent="0.3">
      <c r="A2122" s="76" t="s">
        <v>3075</v>
      </c>
      <c r="B2122" s="76" t="s">
        <v>3076</v>
      </c>
      <c r="C2122" s="76" t="s">
        <v>1263</v>
      </c>
      <c r="D2122" s="76" t="s">
        <v>39</v>
      </c>
      <c r="E2122" s="76" t="s">
        <v>22</v>
      </c>
      <c r="F2122" s="77">
        <v>45565</v>
      </c>
      <c r="G2122" s="76">
        <v>2024</v>
      </c>
      <c r="H2122" s="76" t="s">
        <v>43</v>
      </c>
      <c r="I2122" s="76" t="s">
        <v>36</v>
      </c>
      <c r="J2122" s="76">
        <v>100</v>
      </c>
      <c r="K2122" s="76">
        <v>95</v>
      </c>
      <c r="L2122" s="78">
        <f t="shared" si="222"/>
        <v>0.95</v>
      </c>
      <c r="M2122" s="78">
        <f t="shared" si="223"/>
        <v>0.95</v>
      </c>
      <c r="N2122" s="76" t="s">
        <v>25</v>
      </c>
      <c r="O2122" s="76" t="s">
        <v>25</v>
      </c>
      <c r="P2122" s="76">
        <v>0</v>
      </c>
      <c r="Q2122" s="76">
        <v>0</v>
      </c>
      <c r="R2122" s="76" t="s">
        <v>3080</v>
      </c>
      <c r="S2122" s="76"/>
    </row>
    <row r="2123" spans="1:19" x14ac:dyDescent="0.3">
      <c r="A2123" s="76" t="s">
        <v>3075</v>
      </c>
      <c r="B2123" s="76" t="s">
        <v>3076</v>
      </c>
      <c r="C2123" s="76" t="s">
        <v>1263</v>
      </c>
      <c r="D2123" s="76" t="s">
        <v>39</v>
      </c>
      <c r="E2123" s="76" t="s">
        <v>22</v>
      </c>
      <c r="F2123" s="77">
        <v>45657</v>
      </c>
      <c r="G2123" s="76">
        <v>2024</v>
      </c>
      <c r="H2123" s="76" t="s">
        <v>27</v>
      </c>
      <c r="I2123" s="76" t="s">
        <v>36</v>
      </c>
      <c r="J2123" s="76">
        <v>100</v>
      </c>
      <c r="K2123" s="76">
        <v>97</v>
      </c>
      <c r="L2123" s="78">
        <f t="shared" si="222"/>
        <v>0.97</v>
      </c>
      <c r="M2123" s="78">
        <f t="shared" si="223"/>
        <v>0.97</v>
      </c>
      <c r="N2123" s="76" t="s">
        <v>25</v>
      </c>
      <c r="O2123" s="76" t="s">
        <v>25</v>
      </c>
      <c r="P2123" s="76">
        <v>0</v>
      </c>
      <c r="Q2123" s="76">
        <v>0</v>
      </c>
      <c r="R2123" s="76" t="s">
        <v>3081</v>
      </c>
      <c r="S2123" s="76"/>
    </row>
    <row r="2124" spans="1:19" x14ac:dyDescent="0.3">
      <c r="A2124" s="76" t="s">
        <v>3082</v>
      </c>
      <c r="B2124" s="76" t="s">
        <v>3083</v>
      </c>
      <c r="C2124" s="76" t="s">
        <v>1263</v>
      </c>
      <c r="D2124" s="76" t="s">
        <v>39</v>
      </c>
      <c r="E2124" s="76" t="s">
        <v>22</v>
      </c>
      <c r="F2124" s="77">
        <v>45382</v>
      </c>
      <c r="G2124" s="76">
        <v>2024</v>
      </c>
      <c r="H2124" s="76" t="s">
        <v>40</v>
      </c>
      <c r="I2124" s="76" t="s">
        <v>34</v>
      </c>
      <c r="J2124" s="76">
        <v>32.450000000000003</v>
      </c>
      <c r="K2124" s="76">
        <v>27.5</v>
      </c>
      <c r="L2124" s="78">
        <f t="shared" si="222"/>
        <v>0.84745762711864403</v>
      </c>
      <c r="M2124" s="78">
        <f t="shared" si="223"/>
        <v>0.84745762711864403</v>
      </c>
      <c r="N2124" s="76" t="s">
        <v>25</v>
      </c>
      <c r="O2124" s="76" t="s">
        <v>25</v>
      </c>
      <c r="P2124" s="76">
        <v>0</v>
      </c>
      <c r="Q2124" s="76">
        <v>0</v>
      </c>
      <c r="R2124" s="76" t="s">
        <v>3084</v>
      </c>
      <c r="S2124" s="76"/>
    </row>
    <row r="2125" spans="1:19" x14ac:dyDescent="0.3">
      <c r="A2125" s="76" t="s">
        <v>3082</v>
      </c>
      <c r="B2125" s="76" t="s">
        <v>3083</v>
      </c>
      <c r="C2125" s="76" t="s">
        <v>1263</v>
      </c>
      <c r="D2125" s="76" t="s">
        <v>39</v>
      </c>
      <c r="E2125" s="76" t="s">
        <v>22</v>
      </c>
      <c r="F2125" s="77">
        <v>45473</v>
      </c>
      <c r="G2125" s="76">
        <v>2024</v>
      </c>
      <c r="H2125" s="76" t="s">
        <v>23</v>
      </c>
      <c r="I2125" s="76" t="s">
        <v>34</v>
      </c>
      <c r="J2125" s="76">
        <v>53.64</v>
      </c>
      <c r="K2125" s="76">
        <v>48.5</v>
      </c>
      <c r="L2125" s="78">
        <f t="shared" si="222"/>
        <v>0.90417598806860555</v>
      </c>
      <c r="M2125" s="78">
        <f t="shared" si="223"/>
        <v>0.90417598806860555</v>
      </c>
      <c r="N2125" s="76" t="s">
        <v>25</v>
      </c>
      <c r="O2125" s="76" t="s">
        <v>25</v>
      </c>
      <c r="P2125" s="76">
        <v>0</v>
      </c>
      <c r="Q2125" s="76">
        <v>0</v>
      </c>
      <c r="R2125" s="76" t="s">
        <v>3085</v>
      </c>
      <c r="S2125" s="76"/>
    </row>
    <row r="2126" spans="1:19" x14ac:dyDescent="0.3">
      <c r="A2126" s="76" t="s">
        <v>3082</v>
      </c>
      <c r="B2126" s="76" t="s">
        <v>3083</v>
      </c>
      <c r="C2126" s="76" t="s">
        <v>1263</v>
      </c>
      <c r="D2126" s="76" t="s">
        <v>39</v>
      </c>
      <c r="E2126" s="76" t="s">
        <v>22</v>
      </c>
      <c r="F2126" s="77">
        <v>45565</v>
      </c>
      <c r="G2126" s="76">
        <v>2024</v>
      </c>
      <c r="H2126" s="76" t="s">
        <v>43</v>
      </c>
      <c r="I2126" s="76" t="s">
        <v>36</v>
      </c>
      <c r="J2126" s="76">
        <v>100</v>
      </c>
      <c r="K2126" s="76">
        <v>76.5</v>
      </c>
      <c r="L2126" s="78">
        <f t="shared" si="222"/>
        <v>0.76500000000000001</v>
      </c>
      <c r="M2126" s="78">
        <f t="shared" si="223"/>
        <v>0.76500000000000001</v>
      </c>
      <c r="N2126" s="76" t="s">
        <v>25</v>
      </c>
      <c r="O2126" s="76" t="s">
        <v>25</v>
      </c>
      <c r="P2126" s="76">
        <v>0</v>
      </c>
      <c r="Q2126" s="76">
        <v>0</v>
      </c>
      <c r="R2126" s="76" t="s">
        <v>3086</v>
      </c>
      <c r="S2126" s="76"/>
    </row>
    <row r="2127" spans="1:19" x14ac:dyDescent="0.3">
      <c r="A2127" s="76" t="s">
        <v>3082</v>
      </c>
      <c r="B2127" s="76" t="s">
        <v>3083</v>
      </c>
      <c r="C2127" s="76" t="s">
        <v>1263</v>
      </c>
      <c r="D2127" s="76" t="s">
        <v>39</v>
      </c>
      <c r="E2127" s="76" t="s">
        <v>22</v>
      </c>
      <c r="F2127" s="77">
        <v>45657</v>
      </c>
      <c r="G2127" s="76">
        <v>2024</v>
      </c>
      <c r="H2127" s="76" t="s">
        <v>27</v>
      </c>
      <c r="I2127" s="76" t="s">
        <v>36</v>
      </c>
      <c r="J2127" s="76">
        <v>100</v>
      </c>
      <c r="K2127" s="76">
        <v>100</v>
      </c>
      <c r="L2127" s="78">
        <f t="shared" si="222"/>
        <v>1</v>
      </c>
      <c r="M2127" s="78">
        <f t="shared" si="223"/>
        <v>1</v>
      </c>
      <c r="N2127" s="76" t="s">
        <v>25</v>
      </c>
      <c r="O2127" s="76" t="s">
        <v>25</v>
      </c>
      <c r="P2127" s="76">
        <v>0</v>
      </c>
      <c r="Q2127" s="76">
        <v>0</v>
      </c>
      <c r="R2127" s="76" t="s">
        <v>3087</v>
      </c>
      <c r="S2127" s="76"/>
    </row>
    <row r="2128" spans="1:19" x14ac:dyDescent="0.3">
      <c r="A2128" s="76" t="s">
        <v>3088</v>
      </c>
      <c r="B2128" s="76" t="s">
        <v>3089</v>
      </c>
      <c r="C2128" s="76" t="s">
        <v>1263</v>
      </c>
      <c r="D2128" s="76" t="s">
        <v>39</v>
      </c>
      <c r="E2128" s="76" t="s">
        <v>22</v>
      </c>
      <c r="F2128" s="77">
        <v>45382</v>
      </c>
      <c r="G2128" s="76">
        <v>2024</v>
      </c>
      <c r="H2128" s="76" t="s">
        <v>40</v>
      </c>
      <c r="I2128" s="76" t="s">
        <v>34</v>
      </c>
      <c r="J2128" s="76">
        <v>54.79</v>
      </c>
      <c r="K2128" s="76">
        <v>41.33</v>
      </c>
      <c r="L2128" s="78">
        <f t="shared" si="222"/>
        <v>0.75433473261544071</v>
      </c>
      <c r="M2128" s="78">
        <f t="shared" si="223"/>
        <v>0.75433473261544071</v>
      </c>
      <c r="N2128" s="76" t="s">
        <v>25</v>
      </c>
      <c r="O2128" s="76" t="s">
        <v>25</v>
      </c>
      <c r="P2128" s="76">
        <v>0</v>
      </c>
      <c r="Q2128" s="76">
        <v>0</v>
      </c>
      <c r="R2128" s="76" t="s">
        <v>3090</v>
      </c>
      <c r="S2128" s="76"/>
    </row>
    <row r="2129" spans="1:19" x14ac:dyDescent="0.3">
      <c r="A2129" s="76" t="s">
        <v>3088</v>
      </c>
      <c r="B2129" s="76" t="s">
        <v>3089</v>
      </c>
      <c r="C2129" s="76" t="s">
        <v>1263</v>
      </c>
      <c r="D2129" s="76" t="s">
        <v>39</v>
      </c>
      <c r="E2129" s="76" t="s">
        <v>22</v>
      </c>
      <c r="F2129" s="77">
        <v>45473</v>
      </c>
      <c r="G2129" s="76">
        <v>2024</v>
      </c>
      <c r="H2129" s="76" t="s">
        <v>23</v>
      </c>
      <c r="I2129" s="76" t="s">
        <v>34</v>
      </c>
      <c r="J2129" s="76">
        <v>64.53</v>
      </c>
      <c r="K2129" s="76">
        <v>54.67</v>
      </c>
      <c r="L2129" s="78">
        <f t="shared" si="222"/>
        <v>0.84720285138695184</v>
      </c>
      <c r="M2129" s="78">
        <f t="shared" si="223"/>
        <v>0.84720285138695184</v>
      </c>
      <c r="N2129" s="76" t="s">
        <v>25</v>
      </c>
      <c r="O2129" s="76" t="s">
        <v>25</v>
      </c>
      <c r="P2129" s="76">
        <v>0</v>
      </c>
      <c r="Q2129" s="76">
        <v>0</v>
      </c>
      <c r="R2129" s="76" t="s">
        <v>3091</v>
      </c>
      <c r="S2129" s="76"/>
    </row>
    <row r="2130" spans="1:19" x14ac:dyDescent="0.3">
      <c r="A2130" s="76" t="s">
        <v>3088</v>
      </c>
      <c r="B2130" s="76" t="s">
        <v>3089</v>
      </c>
      <c r="C2130" s="76" t="s">
        <v>1263</v>
      </c>
      <c r="D2130" s="76" t="s">
        <v>39</v>
      </c>
      <c r="E2130" s="76" t="s">
        <v>22</v>
      </c>
      <c r="F2130" s="77">
        <v>45565</v>
      </c>
      <c r="G2130" s="76">
        <v>2024</v>
      </c>
      <c r="H2130" s="76" t="s">
        <v>43</v>
      </c>
      <c r="I2130" s="76" t="s">
        <v>36</v>
      </c>
      <c r="J2130" s="76">
        <v>99.37</v>
      </c>
      <c r="K2130" s="76">
        <v>87.33</v>
      </c>
      <c r="L2130" s="78">
        <f t="shared" si="222"/>
        <v>0.87883667102747298</v>
      </c>
      <c r="M2130" s="78">
        <f t="shared" si="223"/>
        <v>0.87883667102747298</v>
      </c>
      <c r="N2130" s="76" t="s">
        <v>25</v>
      </c>
      <c r="O2130" s="76" t="s">
        <v>25</v>
      </c>
      <c r="P2130" s="76">
        <v>0</v>
      </c>
      <c r="Q2130" s="76">
        <v>0</v>
      </c>
      <c r="R2130" s="76" t="s">
        <v>3092</v>
      </c>
      <c r="S2130" s="76"/>
    </row>
    <row r="2131" spans="1:19" x14ac:dyDescent="0.3">
      <c r="A2131" s="76" t="s">
        <v>3088</v>
      </c>
      <c r="B2131" s="76" t="s">
        <v>3089</v>
      </c>
      <c r="C2131" s="76" t="s">
        <v>1263</v>
      </c>
      <c r="D2131" s="76" t="s">
        <v>39</v>
      </c>
      <c r="E2131" s="76" t="s">
        <v>22</v>
      </c>
      <c r="F2131" s="77">
        <v>45657</v>
      </c>
      <c r="G2131" s="76">
        <v>2024</v>
      </c>
      <c r="H2131" s="76" t="s">
        <v>27</v>
      </c>
      <c r="I2131" s="76" t="s">
        <v>36</v>
      </c>
      <c r="J2131" s="76">
        <v>100</v>
      </c>
      <c r="K2131" s="76">
        <v>94</v>
      </c>
      <c r="L2131" s="78">
        <f t="shared" si="222"/>
        <v>0.94</v>
      </c>
      <c r="M2131" s="78">
        <f t="shared" si="223"/>
        <v>0.94</v>
      </c>
      <c r="N2131" s="76" t="s">
        <v>25</v>
      </c>
      <c r="O2131" s="76" t="s">
        <v>25</v>
      </c>
      <c r="P2131" s="76">
        <v>0</v>
      </c>
      <c r="Q2131" s="76">
        <v>0</v>
      </c>
      <c r="R2131" s="76" t="s">
        <v>3093</v>
      </c>
      <c r="S2131" s="76"/>
    </row>
    <row r="2132" spans="1:19" x14ac:dyDescent="0.3">
      <c r="A2132" s="76" t="s">
        <v>3094</v>
      </c>
      <c r="B2132" s="76" t="s">
        <v>3095</v>
      </c>
      <c r="C2132" s="76" t="s">
        <v>1263</v>
      </c>
      <c r="D2132" s="76" t="s">
        <v>39</v>
      </c>
      <c r="E2132" s="76" t="s">
        <v>22</v>
      </c>
      <c r="F2132" s="77">
        <v>45107</v>
      </c>
      <c r="G2132" s="76">
        <v>2023</v>
      </c>
      <c r="H2132" s="76" t="s">
        <v>23</v>
      </c>
      <c r="I2132" s="76" t="s">
        <v>30</v>
      </c>
      <c r="J2132" s="76">
        <v>63</v>
      </c>
      <c r="K2132" s="76">
        <v>62</v>
      </c>
      <c r="L2132" s="78">
        <f t="shared" si="222"/>
        <v>0.98412698412698407</v>
      </c>
      <c r="M2132" s="78">
        <f t="shared" si="223"/>
        <v>0.98412698412698407</v>
      </c>
      <c r="N2132" s="76" t="s">
        <v>25</v>
      </c>
      <c r="O2132" s="76" t="s">
        <v>25</v>
      </c>
      <c r="P2132" s="76">
        <v>0</v>
      </c>
      <c r="Q2132" s="76">
        <v>0</v>
      </c>
      <c r="R2132" s="76" t="s">
        <v>3096</v>
      </c>
      <c r="S2132" s="76"/>
    </row>
    <row r="2133" spans="1:19" x14ac:dyDescent="0.3">
      <c r="A2133" s="76" t="s">
        <v>3094</v>
      </c>
      <c r="B2133" s="76" t="s">
        <v>3095</v>
      </c>
      <c r="C2133" s="76" t="s">
        <v>1263</v>
      </c>
      <c r="D2133" s="76" t="s">
        <v>39</v>
      </c>
      <c r="E2133" s="76" t="s">
        <v>22</v>
      </c>
      <c r="F2133" s="77">
        <v>45199</v>
      </c>
      <c r="G2133" s="76">
        <v>2023</v>
      </c>
      <c r="H2133" s="76" t="s">
        <v>43</v>
      </c>
      <c r="I2133" s="76" t="s">
        <v>32</v>
      </c>
      <c r="J2133" s="76">
        <v>96.01</v>
      </c>
      <c r="K2133" s="76">
        <v>83.57</v>
      </c>
      <c r="L2133" s="78">
        <f t="shared" si="222"/>
        <v>0.87043016352463276</v>
      </c>
      <c r="M2133" s="78">
        <f t="shared" si="223"/>
        <v>0.87043016352463276</v>
      </c>
      <c r="N2133" s="76" t="s">
        <v>25</v>
      </c>
      <c r="O2133" s="76" t="s">
        <v>25</v>
      </c>
      <c r="P2133" s="76">
        <v>0</v>
      </c>
      <c r="Q2133" s="76">
        <v>0</v>
      </c>
      <c r="R2133" s="76" t="s">
        <v>3097</v>
      </c>
      <c r="S2133" s="76"/>
    </row>
    <row r="2134" spans="1:19" x14ac:dyDescent="0.3">
      <c r="A2134" s="76" t="s">
        <v>3094</v>
      </c>
      <c r="B2134" s="76" t="s">
        <v>3095</v>
      </c>
      <c r="C2134" s="76" t="s">
        <v>1263</v>
      </c>
      <c r="D2134" s="76" t="s">
        <v>39</v>
      </c>
      <c r="E2134" s="76" t="s">
        <v>22</v>
      </c>
      <c r="F2134" s="77">
        <v>45291</v>
      </c>
      <c r="G2134" s="76">
        <v>2023</v>
      </c>
      <c r="H2134" s="76" t="s">
        <v>27</v>
      </c>
      <c r="I2134" s="76" t="s">
        <v>32</v>
      </c>
      <c r="J2134" s="76">
        <v>100</v>
      </c>
      <c r="K2134" s="76">
        <v>100</v>
      </c>
      <c r="L2134" s="78">
        <f t="shared" si="222"/>
        <v>1</v>
      </c>
      <c r="M2134" s="78">
        <f t="shared" si="223"/>
        <v>1</v>
      </c>
      <c r="N2134" s="76" t="s">
        <v>25</v>
      </c>
      <c r="O2134" s="76" t="s">
        <v>25</v>
      </c>
      <c r="P2134" s="76">
        <v>0</v>
      </c>
      <c r="Q2134" s="76">
        <v>0</v>
      </c>
      <c r="R2134" s="76" t="s">
        <v>3098</v>
      </c>
      <c r="S2134" s="76"/>
    </row>
    <row r="2135" spans="1:19" x14ac:dyDescent="0.3">
      <c r="A2135" s="76" t="s">
        <v>3094</v>
      </c>
      <c r="B2135" s="76" t="s">
        <v>3095</v>
      </c>
      <c r="C2135" s="76" t="s">
        <v>1263</v>
      </c>
      <c r="D2135" s="76" t="s">
        <v>39</v>
      </c>
      <c r="E2135" s="76" t="s">
        <v>22</v>
      </c>
      <c r="F2135" s="77">
        <v>45382</v>
      </c>
      <c r="G2135" s="76">
        <v>2024</v>
      </c>
      <c r="H2135" s="76" t="s">
        <v>40</v>
      </c>
      <c r="I2135" s="76" t="s">
        <v>34</v>
      </c>
      <c r="J2135" s="76">
        <v>40.729999999999997</v>
      </c>
      <c r="K2135" s="76">
        <v>33</v>
      </c>
      <c r="L2135" s="78">
        <f t="shared" si="222"/>
        <v>0.81021360176773882</v>
      </c>
      <c r="M2135" s="78">
        <f t="shared" si="223"/>
        <v>0.81021360176773882</v>
      </c>
      <c r="N2135" s="76" t="s">
        <v>25</v>
      </c>
      <c r="O2135" s="76" t="s">
        <v>25</v>
      </c>
      <c r="P2135" s="76">
        <v>0</v>
      </c>
      <c r="Q2135" s="76">
        <v>0</v>
      </c>
      <c r="R2135" s="76" t="s">
        <v>3099</v>
      </c>
      <c r="S2135" s="76"/>
    </row>
    <row r="2136" spans="1:19" x14ac:dyDescent="0.3">
      <c r="A2136" s="76" t="s">
        <v>3094</v>
      </c>
      <c r="B2136" s="76" t="s">
        <v>3095</v>
      </c>
      <c r="C2136" s="76" t="s">
        <v>1263</v>
      </c>
      <c r="D2136" s="76" t="s">
        <v>39</v>
      </c>
      <c r="E2136" s="76" t="s">
        <v>22</v>
      </c>
      <c r="F2136" s="77">
        <v>45473</v>
      </c>
      <c r="G2136" s="76">
        <v>2024</v>
      </c>
      <c r="H2136" s="76" t="s">
        <v>23</v>
      </c>
      <c r="I2136" s="76" t="s">
        <v>34</v>
      </c>
      <c r="J2136" s="76">
        <v>60.93</v>
      </c>
      <c r="K2136" s="76">
        <v>61.45</v>
      </c>
      <c r="L2136" s="78">
        <f t="shared" si="222"/>
        <v>1</v>
      </c>
      <c r="M2136" s="78">
        <f t="shared" si="223"/>
        <v>1</v>
      </c>
      <c r="N2136" s="76" t="s">
        <v>25</v>
      </c>
      <c r="O2136" s="76" t="s">
        <v>25</v>
      </c>
      <c r="P2136" s="76">
        <v>0</v>
      </c>
      <c r="Q2136" s="76">
        <v>0</v>
      </c>
      <c r="R2136" s="76" t="s">
        <v>3100</v>
      </c>
      <c r="S2136" s="76"/>
    </row>
    <row r="2137" spans="1:19" x14ac:dyDescent="0.3">
      <c r="A2137" s="76" t="s">
        <v>3094</v>
      </c>
      <c r="B2137" s="76" t="s">
        <v>3095</v>
      </c>
      <c r="C2137" s="76" t="s">
        <v>1263</v>
      </c>
      <c r="D2137" s="76" t="s">
        <v>39</v>
      </c>
      <c r="E2137" s="76" t="s">
        <v>22</v>
      </c>
      <c r="F2137" s="77">
        <v>45565</v>
      </c>
      <c r="G2137" s="76">
        <v>2024</v>
      </c>
      <c r="H2137" s="76" t="s">
        <v>43</v>
      </c>
      <c r="I2137" s="76" t="s">
        <v>36</v>
      </c>
      <c r="J2137" s="76">
        <v>91</v>
      </c>
      <c r="K2137" s="76">
        <v>100</v>
      </c>
      <c r="L2137" s="78">
        <f t="shared" si="222"/>
        <v>1</v>
      </c>
      <c r="M2137" s="78">
        <f t="shared" si="223"/>
        <v>1</v>
      </c>
      <c r="N2137" s="76" t="s">
        <v>25</v>
      </c>
      <c r="O2137" s="76" t="s">
        <v>25</v>
      </c>
      <c r="P2137" s="76">
        <v>0</v>
      </c>
      <c r="Q2137" s="76">
        <v>0</v>
      </c>
      <c r="R2137" s="76" t="s">
        <v>3101</v>
      </c>
      <c r="S2137" s="76"/>
    </row>
    <row r="2138" spans="1:19" x14ac:dyDescent="0.3">
      <c r="A2138" s="76" t="s">
        <v>3094</v>
      </c>
      <c r="B2138" s="76" t="s">
        <v>3095</v>
      </c>
      <c r="C2138" s="76" t="s">
        <v>1263</v>
      </c>
      <c r="D2138" s="76" t="s">
        <v>39</v>
      </c>
      <c r="E2138" s="76" t="s">
        <v>22</v>
      </c>
      <c r="F2138" s="77">
        <v>45657</v>
      </c>
      <c r="G2138" s="76">
        <v>2024</v>
      </c>
      <c r="H2138" s="76" t="s">
        <v>27</v>
      </c>
      <c r="I2138" s="76" t="s">
        <v>36</v>
      </c>
      <c r="J2138" s="76">
        <v>100</v>
      </c>
      <c r="K2138" s="76">
        <v>100</v>
      </c>
      <c r="L2138" s="78">
        <f t="shared" si="222"/>
        <v>1</v>
      </c>
      <c r="M2138" s="78">
        <f t="shared" si="223"/>
        <v>1</v>
      </c>
      <c r="N2138" s="76" t="s">
        <v>25</v>
      </c>
      <c r="O2138" s="76" t="s">
        <v>25</v>
      </c>
      <c r="P2138" s="76">
        <v>0</v>
      </c>
      <c r="Q2138" s="76">
        <v>0</v>
      </c>
      <c r="R2138" s="76" t="s">
        <v>3102</v>
      </c>
      <c r="S2138" s="76"/>
    </row>
    <row r="2139" spans="1:19" x14ac:dyDescent="0.3">
      <c r="A2139" s="76" t="s">
        <v>3103</v>
      </c>
      <c r="B2139" s="76" t="s">
        <v>3104</v>
      </c>
      <c r="C2139" s="76" t="s">
        <v>1263</v>
      </c>
      <c r="D2139" s="76" t="s">
        <v>39</v>
      </c>
      <c r="E2139" s="76" t="s">
        <v>22</v>
      </c>
      <c r="F2139" s="77">
        <v>45107</v>
      </c>
      <c r="G2139" s="76">
        <v>2023</v>
      </c>
      <c r="H2139" s="76" t="s">
        <v>23</v>
      </c>
      <c r="I2139" s="76" t="s">
        <v>30</v>
      </c>
      <c r="J2139" s="76">
        <v>78</v>
      </c>
      <c r="K2139" s="76">
        <v>73</v>
      </c>
      <c r="L2139" s="78">
        <f t="shared" si="222"/>
        <v>0.9358974358974359</v>
      </c>
      <c r="M2139" s="78">
        <f t="shared" si="223"/>
        <v>0.9358974358974359</v>
      </c>
      <c r="N2139" s="76" t="s">
        <v>25</v>
      </c>
      <c r="O2139" s="76" t="s">
        <v>25</v>
      </c>
      <c r="P2139" s="76">
        <v>0</v>
      </c>
      <c r="Q2139" s="76">
        <v>0</v>
      </c>
      <c r="R2139" s="76" t="s">
        <v>3105</v>
      </c>
      <c r="S2139" s="76"/>
    </row>
    <row r="2140" spans="1:19" x14ac:dyDescent="0.3">
      <c r="A2140" s="76" t="s">
        <v>3103</v>
      </c>
      <c r="B2140" s="76" t="s">
        <v>3104</v>
      </c>
      <c r="C2140" s="76" t="s">
        <v>1263</v>
      </c>
      <c r="D2140" s="76" t="s">
        <v>39</v>
      </c>
      <c r="E2140" s="76" t="s">
        <v>22</v>
      </c>
      <c r="F2140" s="77">
        <v>45199</v>
      </c>
      <c r="G2140" s="76">
        <v>2023</v>
      </c>
      <c r="H2140" s="76" t="s">
        <v>43</v>
      </c>
      <c r="I2140" s="76" t="s">
        <v>32</v>
      </c>
      <c r="J2140" s="76">
        <v>100</v>
      </c>
      <c r="K2140" s="76">
        <v>88.8</v>
      </c>
      <c r="L2140" s="78">
        <f t="shared" si="222"/>
        <v>0.88800000000000001</v>
      </c>
      <c r="M2140" s="78">
        <f t="shared" si="223"/>
        <v>0.88800000000000001</v>
      </c>
      <c r="N2140" s="76" t="s">
        <v>25</v>
      </c>
      <c r="O2140" s="76" t="s">
        <v>25</v>
      </c>
      <c r="P2140" s="76">
        <v>0</v>
      </c>
      <c r="Q2140" s="76">
        <v>0</v>
      </c>
      <c r="R2140" s="76" t="s">
        <v>3106</v>
      </c>
      <c r="S2140" s="76"/>
    </row>
    <row r="2141" spans="1:19" x14ac:dyDescent="0.3">
      <c r="A2141" s="76" t="s">
        <v>3103</v>
      </c>
      <c r="B2141" s="76" t="s">
        <v>3104</v>
      </c>
      <c r="C2141" s="76" t="s">
        <v>1263</v>
      </c>
      <c r="D2141" s="76" t="s">
        <v>39</v>
      </c>
      <c r="E2141" s="76" t="s">
        <v>22</v>
      </c>
      <c r="F2141" s="77">
        <v>45291</v>
      </c>
      <c r="G2141" s="76">
        <v>2023</v>
      </c>
      <c r="H2141" s="76" t="s">
        <v>27</v>
      </c>
      <c r="I2141" s="76" t="s">
        <v>32</v>
      </c>
      <c r="J2141" s="76">
        <v>100</v>
      </c>
      <c r="K2141" s="76">
        <v>96</v>
      </c>
      <c r="L2141" s="78">
        <f t="shared" si="222"/>
        <v>0.96</v>
      </c>
      <c r="M2141" s="78">
        <f t="shared" si="223"/>
        <v>0.96</v>
      </c>
      <c r="N2141" s="76" t="s">
        <v>25</v>
      </c>
      <c r="O2141" s="76" t="s">
        <v>25</v>
      </c>
      <c r="P2141" s="76">
        <v>0</v>
      </c>
      <c r="Q2141" s="76">
        <v>0</v>
      </c>
      <c r="R2141" s="76" t="s">
        <v>3107</v>
      </c>
      <c r="S2141" s="76"/>
    </row>
    <row r="2142" spans="1:19" x14ac:dyDescent="0.3">
      <c r="A2142" s="76" t="s">
        <v>3103</v>
      </c>
      <c r="B2142" s="76" t="s">
        <v>3104</v>
      </c>
      <c r="C2142" s="76" t="s">
        <v>1263</v>
      </c>
      <c r="D2142" s="76" t="s">
        <v>39</v>
      </c>
      <c r="E2142" s="76" t="s">
        <v>22</v>
      </c>
      <c r="F2142" s="77">
        <v>45382</v>
      </c>
      <c r="G2142" s="76">
        <v>2024</v>
      </c>
      <c r="H2142" s="76" t="s">
        <v>40</v>
      </c>
      <c r="I2142" s="76" t="s">
        <v>34</v>
      </c>
      <c r="J2142" s="76">
        <v>21.71</v>
      </c>
      <c r="K2142" s="76">
        <v>20</v>
      </c>
      <c r="L2142" s="78">
        <f t="shared" si="222"/>
        <v>0.92123445416858585</v>
      </c>
      <c r="M2142" s="78">
        <f t="shared" si="223"/>
        <v>0.92123445416858585</v>
      </c>
      <c r="N2142" s="76" t="s">
        <v>25</v>
      </c>
      <c r="O2142" s="76" t="s">
        <v>25</v>
      </c>
      <c r="P2142" s="76">
        <v>0</v>
      </c>
      <c r="Q2142" s="76">
        <v>0</v>
      </c>
      <c r="R2142" s="76" t="s">
        <v>3108</v>
      </c>
      <c r="S2142" s="76"/>
    </row>
    <row r="2143" spans="1:19" x14ac:dyDescent="0.3">
      <c r="A2143" s="76" t="s">
        <v>3103</v>
      </c>
      <c r="B2143" s="76" t="s">
        <v>3104</v>
      </c>
      <c r="C2143" s="76" t="s">
        <v>1263</v>
      </c>
      <c r="D2143" s="76" t="s">
        <v>39</v>
      </c>
      <c r="E2143" s="76" t="s">
        <v>22</v>
      </c>
      <c r="F2143" s="77">
        <v>45473</v>
      </c>
      <c r="G2143" s="76">
        <v>2024</v>
      </c>
      <c r="H2143" s="76" t="s">
        <v>23</v>
      </c>
      <c r="I2143" s="76" t="s">
        <v>34</v>
      </c>
      <c r="J2143" s="76">
        <v>42.89</v>
      </c>
      <c r="K2143" s="76">
        <v>41.67</v>
      </c>
      <c r="L2143" s="78">
        <f t="shared" si="222"/>
        <v>0.97155514105852181</v>
      </c>
      <c r="M2143" s="78">
        <f t="shared" si="223"/>
        <v>0.97155514105852181</v>
      </c>
      <c r="N2143" s="76" t="s">
        <v>25</v>
      </c>
      <c r="O2143" s="76" t="s">
        <v>25</v>
      </c>
      <c r="P2143" s="76">
        <v>0</v>
      </c>
      <c r="Q2143" s="76">
        <v>0</v>
      </c>
      <c r="R2143" s="76" t="s">
        <v>3109</v>
      </c>
      <c r="S2143" s="76"/>
    </row>
    <row r="2144" spans="1:19" x14ac:dyDescent="0.3">
      <c r="A2144" s="76" t="s">
        <v>3103</v>
      </c>
      <c r="B2144" s="76" t="s">
        <v>3104</v>
      </c>
      <c r="C2144" s="76" t="s">
        <v>1263</v>
      </c>
      <c r="D2144" s="76" t="s">
        <v>39</v>
      </c>
      <c r="E2144" s="76" t="s">
        <v>22</v>
      </c>
      <c r="F2144" s="77">
        <v>45565</v>
      </c>
      <c r="G2144" s="76">
        <v>2024</v>
      </c>
      <c r="H2144" s="76" t="s">
        <v>43</v>
      </c>
      <c r="I2144" s="76" t="s">
        <v>36</v>
      </c>
      <c r="J2144" s="76">
        <v>82</v>
      </c>
      <c r="K2144" s="76">
        <v>72</v>
      </c>
      <c r="L2144" s="78">
        <f t="shared" si="222"/>
        <v>0.87804878048780488</v>
      </c>
      <c r="M2144" s="78">
        <f t="shared" si="223"/>
        <v>0.87804878048780488</v>
      </c>
      <c r="N2144" s="76" t="s">
        <v>25</v>
      </c>
      <c r="O2144" s="76" t="s">
        <v>25</v>
      </c>
      <c r="P2144" s="76">
        <v>0</v>
      </c>
      <c r="Q2144" s="76">
        <v>0</v>
      </c>
      <c r="R2144" s="76" t="s">
        <v>3110</v>
      </c>
      <c r="S2144" s="76"/>
    </row>
    <row r="2145" spans="1:19" x14ac:dyDescent="0.3">
      <c r="A2145" s="76" t="s">
        <v>3103</v>
      </c>
      <c r="B2145" s="76" t="s">
        <v>3104</v>
      </c>
      <c r="C2145" s="76" t="s">
        <v>1263</v>
      </c>
      <c r="D2145" s="76" t="s">
        <v>39</v>
      </c>
      <c r="E2145" s="76" t="s">
        <v>22</v>
      </c>
      <c r="F2145" s="77">
        <v>45657</v>
      </c>
      <c r="G2145" s="76">
        <v>2024</v>
      </c>
      <c r="H2145" s="76" t="s">
        <v>27</v>
      </c>
      <c r="I2145" s="76" t="s">
        <v>36</v>
      </c>
      <c r="J2145" s="76">
        <v>100</v>
      </c>
      <c r="K2145" s="76">
        <v>100</v>
      </c>
      <c r="L2145" s="78">
        <f t="shared" si="222"/>
        <v>1</v>
      </c>
      <c r="M2145" s="78">
        <f t="shared" si="223"/>
        <v>1</v>
      </c>
      <c r="N2145" s="76" t="s">
        <v>25</v>
      </c>
      <c r="O2145" s="76" t="s">
        <v>25</v>
      </c>
      <c r="P2145" s="76">
        <v>0</v>
      </c>
      <c r="Q2145" s="76">
        <v>0</v>
      </c>
      <c r="R2145" s="76" t="s">
        <v>3111</v>
      </c>
      <c r="S2145" s="76"/>
    </row>
    <row r="2146" spans="1:19" x14ac:dyDescent="0.3">
      <c r="A2146" s="76" t="s">
        <v>3112</v>
      </c>
      <c r="B2146" s="76" t="s">
        <v>3113</v>
      </c>
      <c r="C2146" s="76" t="s">
        <v>1263</v>
      </c>
      <c r="D2146" s="76" t="s">
        <v>39</v>
      </c>
      <c r="E2146" s="76" t="s">
        <v>22</v>
      </c>
      <c r="F2146" s="77">
        <v>45382</v>
      </c>
      <c r="G2146" s="76">
        <v>2024</v>
      </c>
      <c r="H2146" s="76" t="s">
        <v>40</v>
      </c>
      <c r="I2146" s="76" t="s">
        <v>34</v>
      </c>
      <c r="J2146" s="76">
        <v>15.7</v>
      </c>
      <c r="K2146" s="76">
        <v>50</v>
      </c>
      <c r="L2146" s="78">
        <f t="shared" ref="L2146:L2175" si="224">IFERROR(IF(OR(J2146=0,K2146=""),"",IF(E2146="Positivo",MIN(MAX(K2146/J2146,0),1),MIN(MAX(J2146/K2146,0),1))),"")</f>
        <v>1</v>
      </c>
      <c r="M2146" s="78">
        <f t="shared" ref="M2146:M2175" si="225">IFERROR(IF(OR(J2146=0,K2146=""),"",IF(E2146="Positivo",MIN(MAX(K2146/J2146,0),1),MIN(MAX(J2146/K2146,0),1))),"")</f>
        <v>1</v>
      </c>
      <c r="N2146" s="76" t="s">
        <v>25</v>
      </c>
      <c r="O2146" s="76" t="s">
        <v>25</v>
      </c>
      <c r="P2146" s="76">
        <v>0</v>
      </c>
      <c r="Q2146" s="76">
        <v>0</v>
      </c>
      <c r="R2146" s="76" t="s">
        <v>3114</v>
      </c>
      <c r="S2146" s="76"/>
    </row>
    <row r="2147" spans="1:19" x14ac:dyDescent="0.3">
      <c r="A2147" s="76" t="s">
        <v>3112</v>
      </c>
      <c r="B2147" s="76" t="s">
        <v>3113</v>
      </c>
      <c r="C2147" s="76" t="s">
        <v>1263</v>
      </c>
      <c r="D2147" s="76" t="s">
        <v>39</v>
      </c>
      <c r="E2147" s="76" t="s">
        <v>22</v>
      </c>
      <c r="F2147" s="77">
        <v>45473</v>
      </c>
      <c r="G2147" s="76">
        <v>2024</v>
      </c>
      <c r="H2147" s="76" t="s">
        <v>23</v>
      </c>
      <c r="I2147" s="76" t="s">
        <v>34</v>
      </c>
      <c r="J2147" s="76">
        <v>42.15</v>
      </c>
      <c r="K2147" s="76">
        <v>90</v>
      </c>
      <c r="L2147" s="78">
        <f t="shared" si="224"/>
        <v>1</v>
      </c>
      <c r="M2147" s="78">
        <f t="shared" si="225"/>
        <v>1</v>
      </c>
      <c r="N2147" s="76" t="s">
        <v>25</v>
      </c>
      <c r="O2147" s="76" t="s">
        <v>25</v>
      </c>
      <c r="P2147" s="76">
        <v>0</v>
      </c>
      <c r="Q2147" s="76">
        <v>0</v>
      </c>
      <c r="R2147" s="76" t="s">
        <v>3115</v>
      </c>
      <c r="S2147" s="76"/>
    </row>
    <row r="2148" spans="1:19" x14ac:dyDescent="0.3">
      <c r="A2148" s="76" t="s">
        <v>3112</v>
      </c>
      <c r="B2148" s="76" t="s">
        <v>3113</v>
      </c>
      <c r="C2148" s="76" t="s">
        <v>1263</v>
      </c>
      <c r="D2148" s="76" t="s">
        <v>39</v>
      </c>
      <c r="E2148" s="76" t="s">
        <v>22</v>
      </c>
      <c r="F2148" s="77">
        <v>45565</v>
      </c>
      <c r="G2148" s="76">
        <v>2024</v>
      </c>
      <c r="H2148" s="76" t="s">
        <v>43</v>
      </c>
      <c r="I2148" s="76" t="s">
        <v>36</v>
      </c>
      <c r="J2148" s="76">
        <v>82</v>
      </c>
      <c r="K2148" s="76">
        <v>90</v>
      </c>
      <c r="L2148" s="78">
        <f t="shared" si="224"/>
        <v>1</v>
      </c>
      <c r="M2148" s="78">
        <f t="shared" si="225"/>
        <v>1</v>
      </c>
      <c r="N2148" s="76" t="s">
        <v>25</v>
      </c>
      <c r="O2148" s="76" t="s">
        <v>25</v>
      </c>
      <c r="P2148" s="76">
        <v>0</v>
      </c>
      <c r="Q2148" s="76">
        <v>0</v>
      </c>
      <c r="R2148" s="76" t="s">
        <v>3116</v>
      </c>
      <c r="S2148" s="76"/>
    </row>
    <row r="2149" spans="1:19" x14ac:dyDescent="0.3">
      <c r="A2149" s="76" t="s">
        <v>3112</v>
      </c>
      <c r="B2149" s="76" t="s">
        <v>3113</v>
      </c>
      <c r="C2149" s="76" t="s">
        <v>1263</v>
      </c>
      <c r="D2149" s="76" t="s">
        <v>39</v>
      </c>
      <c r="E2149" s="76" t="s">
        <v>22</v>
      </c>
      <c r="F2149" s="77">
        <v>45657</v>
      </c>
      <c r="G2149" s="76">
        <v>2024</v>
      </c>
      <c r="H2149" s="76" t="s">
        <v>27</v>
      </c>
      <c r="I2149" s="76" t="s">
        <v>36</v>
      </c>
      <c r="J2149" s="76">
        <v>100</v>
      </c>
      <c r="K2149" s="76">
        <v>100</v>
      </c>
      <c r="L2149" s="78">
        <f t="shared" si="224"/>
        <v>1</v>
      </c>
      <c r="M2149" s="78">
        <f t="shared" si="225"/>
        <v>1</v>
      </c>
      <c r="N2149" s="76" t="s">
        <v>25</v>
      </c>
      <c r="O2149" s="76" t="s">
        <v>25</v>
      </c>
      <c r="P2149" s="76">
        <v>0</v>
      </c>
      <c r="Q2149" s="76">
        <v>0</v>
      </c>
      <c r="R2149" s="76" t="s">
        <v>3117</v>
      </c>
      <c r="S2149" s="76"/>
    </row>
    <row r="2150" spans="1:19" x14ac:dyDescent="0.3">
      <c r="A2150" s="76" t="s">
        <v>3118</v>
      </c>
      <c r="B2150" s="76" t="s">
        <v>3119</v>
      </c>
      <c r="C2150" s="76" t="s">
        <v>1263</v>
      </c>
      <c r="D2150" s="76" t="s">
        <v>39</v>
      </c>
      <c r="E2150" s="76" t="s">
        <v>22</v>
      </c>
      <c r="F2150" s="77">
        <v>45382</v>
      </c>
      <c r="G2150" s="76">
        <v>2024</v>
      </c>
      <c r="H2150" s="76" t="s">
        <v>40</v>
      </c>
      <c r="I2150" s="76" t="s">
        <v>34</v>
      </c>
      <c r="J2150" s="76">
        <v>53.52</v>
      </c>
      <c r="K2150" s="76">
        <v>52.5</v>
      </c>
      <c r="L2150" s="78">
        <f t="shared" si="224"/>
        <v>0.98094170403587433</v>
      </c>
      <c r="M2150" s="78">
        <f t="shared" si="225"/>
        <v>0.98094170403587433</v>
      </c>
      <c r="N2150" s="76" t="s">
        <v>25</v>
      </c>
      <c r="O2150" s="76" t="s">
        <v>25</v>
      </c>
      <c r="P2150" s="76">
        <v>0</v>
      </c>
      <c r="Q2150" s="76">
        <v>0</v>
      </c>
      <c r="R2150" s="76" t="s">
        <v>3120</v>
      </c>
      <c r="S2150" s="76"/>
    </row>
    <row r="2151" spans="1:19" x14ac:dyDescent="0.3">
      <c r="A2151" s="76" t="s">
        <v>3118</v>
      </c>
      <c r="B2151" s="76" t="s">
        <v>3119</v>
      </c>
      <c r="C2151" s="76" t="s">
        <v>1263</v>
      </c>
      <c r="D2151" s="76" t="s">
        <v>39</v>
      </c>
      <c r="E2151" s="76" t="s">
        <v>22</v>
      </c>
      <c r="F2151" s="77">
        <v>45473</v>
      </c>
      <c r="G2151" s="76">
        <v>2024</v>
      </c>
      <c r="H2151" s="76" t="s">
        <v>23</v>
      </c>
      <c r="I2151" s="76" t="s">
        <v>34</v>
      </c>
      <c r="J2151" s="76">
        <v>58.9</v>
      </c>
      <c r="K2151" s="76">
        <v>60</v>
      </c>
      <c r="L2151" s="78">
        <f t="shared" si="224"/>
        <v>1</v>
      </c>
      <c r="M2151" s="78">
        <f t="shared" si="225"/>
        <v>1</v>
      </c>
      <c r="N2151" s="76" t="s">
        <v>25</v>
      </c>
      <c r="O2151" s="76" t="s">
        <v>25</v>
      </c>
      <c r="P2151" s="76">
        <v>0</v>
      </c>
      <c r="Q2151" s="76">
        <v>0</v>
      </c>
      <c r="R2151" s="76" t="s">
        <v>3121</v>
      </c>
      <c r="S2151" s="76"/>
    </row>
    <row r="2152" spans="1:19" x14ac:dyDescent="0.3">
      <c r="A2152" s="76" t="s">
        <v>3118</v>
      </c>
      <c r="B2152" s="76" t="s">
        <v>3119</v>
      </c>
      <c r="C2152" s="76" t="s">
        <v>1263</v>
      </c>
      <c r="D2152" s="76" t="s">
        <v>39</v>
      </c>
      <c r="E2152" s="76" t="s">
        <v>22</v>
      </c>
      <c r="F2152" s="77">
        <v>45565</v>
      </c>
      <c r="G2152" s="76">
        <v>2024</v>
      </c>
      <c r="H2152" s="76" t="s">
        <v>43</v>
      </c>
      <c r="I2152" s="76" t="s">
        <v>36</v>
      </c>
      <c r="J2152" s="76">
        <v>95</v>
      </c>
      <c r="K2152" s="76">
        <v>90</v>
      </c>
      <c r="L2152" s="78">
        <f t="shared" si="224"/>
        <v>0.94736842105263153</v>
      </c>
      <c r="M2152" s="78">
        <f t="shared" si="225"/>
        <v>0.94736842105263153</v>
      </c>
      <c r="N2152" s="76" t="s">
        <v>25</v>
      </c>
      <c r="O2152" s="76" t="s">
        <v>25</v>
      </c>
      <c r="P2152" s="76">
        <v>0</v>
      </c>
      <c r="Q2152" s="76">
        <v>0</v>
      </c>
      <c r="R2152" s="76" t="s">
        <v>3122</v>
      </c>
      <c r="S2152" s="76"/>
    </row>
    <row r="2153" spans="1:19" x14ac:dyDescent="0.3">
      <c r="A2153" s="76" t="s">
        <v>3118</v>
      </c>
      <c r="B2153" s="76" t="s">
        <v>3119</v>
      </c>
      <c r="C2153" s="76" t="s">
        <v>1263</v>
      </c>
      <c r="D2153" s="76" t="s">
        <v>39</v>
      </c>
      <c r="E2153" s="76" t="s">
        <v>22</v>
      </c>
      <c r="F2153" s="77">
        <v>45657</v>
      </c>
      <c r="G2153" s="76">
        <v>2024</v>
      </c>
      <c r="H2153" s="76" t="s">
        <v>27</v>
      </c>
      <c r="I2153" s="76" t="s">
        <v>36</v>
      </c>
      <c r="J2153" s="76">
        <v>100</v>
      </c>
      <c r="K2153" s="76">
        <v>100</v>
      </c>
      <c r="L2153" s="78">
        <f t="shared" si="224"/>
        <v>1</v>
      </c>
      <c r="M2153" s="78">
        <f t="shared" si="225"/>
        <v>1</v>
      </c>
      <c r="N2153" s="76" t="s">
        <v>25</v>
      </c>
      <c r="O2153" s="76" t="s">
        <v>25</v>
      </c>
      <c r="P2153" s="76">
        <v>0</v>
      </c>
      <c r="Q2153" s="76">
        <v>0</v>
      </c>
      <c r="R2153" s="76" t="s">
        <v>3123</v>
      </c>
      <c r="S2153" s="76"/>
    </row>
    <row r="2154" spans="1:19" x14ac:dyDescent="0.3">
      <c r="A2154" s="76" t="s">
        <v>3124</v>
      </c>
      <c r="B2154" s="76" t="s">
        <v>3125</v>
      </c>
      <c r="C2154" s="76" t="s">
        <v>1263</v>
      </c>
      <c r="D2154" s="76" t="s">
        <v>39</v>
      </c>
      <c r="E2154" s="76" t="s">
        <v>22</v>
      </c>
      <c r="F2154" s="77">
        <v>45382</v>
      </c>
      <c r="G2154" s="76">
        <v>2024</v>
      </c>
      <c r="H2154" s="76" t="s">
        <v>40</v>
      </c>
      <c r="I2154" s="76" t="s">
        <v>34</v>
      </c>
      <c r="J2154" s="76">
        <v>14.54</v>
      </c>
      <c r="K2154" s="76">
        <v>17.5</v>
      </c>
      <c r="L2154" s="78">
        <f t="shared" si="224"/>
        <v>1</v>
      </c>
      <c r="M2154" s="78">
        <f t="shared" si="225"/>
        <v>1</v>
      </c>
      <c r="N2154" s="76" t="s">
        <v>25</v>
      </c>
      <c r="O2154" s="76" t="s">
        <v>25</v>
      </c>
      <c r="P2154" s="76">
        <v>0</v>
      </c>
      <c r="Q2154" s="76">
        <v>0</v>
      </c>
      <c r="R2154" s="76" t="s">
        <v>3126</v>
      </c>
      <c r="S2154" s="76"/>
    </row>
    <row r="2155" spans="1:19" x14ac:dyDescent="0.3">
      <c r="A2155" s="76" t="s">
        <v>3124</v>
      </c>
      <c r="B2155" s="76" t="s">
        <v>3125</v>
      </c>
      <c r="C2155" s="76" t="s">
        <v>1263</v>
      </c>
      <c r="D2155" s="76" t="s">
        <v>39</v>
      </c>
      <c r="E2155" s="76" t="s">
        <v>22</v>
      </c>
      <c r="F2155" s="77">
        <v>45473</v>
      </c>
      <c r="G2155" s="76">
        <v>2024</v>
      </c>
      <c r="H2155" s="76" t="s">
        <v>23</v>
      </c>
      <c r="I2155" s="76" t="s">
        <v>34</v>
      </c>
      <c r="J2155" s="76">
        <v>36.28</v>
      </c>
      <c r="K2155" s="76">
        <v>35</v>
      </c>
      <c r="L2155" s="78">
        <f t="shared" si="224"/>
        <v>0.96471885336273422</v>
      </c>
      <c r="M2155" s="78">
        <f t="shared" si="225"/>
        <v>0.96471885336273422</v>
      </c>
      <c r="N2155" s="76" t="s">
        <v>25</v>
      </c>
      <c r="O2155" s="76" t="s">
        <v>25</v>
      </c>
      <c r="P2155" s="76">
        <v>0</v>
      </c>
      <c r="Q2155" s="76">
        <v>0</v>
      </c>
      <c r="R2155" s="76" t="s">
        <v>3127</v>
      </c>
      <c r="S2155" s="76"/>
    </row>
    <row r="2156" spans="1:19" x14ac:dyDescent="0.3">
      <c r="A2156" s="76" t="s">
        <v>3124</v>
      </c>
      <c r="B2156" s="76" t="s">
        <v>3125</v>
      </c>
      <c r="C2156" s="76" t="s">
        <v>1263</v>
      </c>
      <c r="D2156" s="76" t="s">
        <v>39</v>
      </c>
      <c r="E2156" s="76" t="s">
        <v>22</v>
      </c>
      <c r="F2156" s="77">
        <v>45565</v>
      </c>
      <c r="G2156" s="76">
        <v>2024</v>
      </c>
      <c r="H2156" s="76" t="s">
        <v>43</v>
      </c>
      <c r="I2156" s="76" t="s">
        <v>36</v>
      </c>
      <c r="J2156" s="76">
        <v>80</v>
      </c>
      <c r="K2156" s="76">
        <v>79</v>
      </c>
      <c r="L2156" s="78">
        <f t="shared" si="224"/>
        <v>0.98750000000000004</v>
      </c>
      <c r="M2156" s="78">
        <f t="shared" si="225"/>
        <v>0.98750000000000004</v>
      </c>
      <c r="N2156" s="76" t="s">
        <v>25</v>
      </c>
      <c r="O2156" s="76" t="s">
        <v>25</v>
      </c>
      <c r="P2156" s="76">
        <v>0</v>
      </c>
      <c r="Q2156" s="76">
        <v>0</v>
      </c>
      <c r="R2156" s="76" t="s">
        <v>3128</v>
      </c>
      <c r="S2156" s="76"/>
    </row>
    <row r="2157" spans="1:19" x14ac:dyDescent="0.3">
      <c r="A2157" s="76" t="s">
        <v>3124</v>
      </c>
      <c r="B2157" s="76" t="s">
        <v>3125</v>
      </c>
      <c r="C2157" s="76" t="s">
        <v>1263</v>
      </c>
      <c r="D2157" s="76" t="s">
        <v>39</v>
      </c>
      <c r="E2157" s="76" t="s">
        <v>22</v>
      </c>
      <c r="F2157" s="77">
        <v>45657</v>
      </c>
      <c r="G2157" s="76">
        <v>2024</v>
      </c>
      <c r="H2157" s="76" t="s">
        <v>27</v>
      </c>
      <c r="I2157" s="76" t="s">
        <v>36</v>
      </c>
      <c r="J2157" s="76">
        <v>100</v>
      </c>
      <c r="K2157" s="76">
        <v>100</v>
      </c>
      <c r="L2157" s="78">
        <f t="shared" si="224"/>
        <v>1</v>
      </c>
      <c r="M2157" s="78">
        <f t="shared" si="225"/>
        <v>1</v>
      </c>
      <c r="N2157" s="76" t="s">
        <v>25</v>
      </c>
      <c r="O2157" s="76" t="s">
        <v>25</v>
      </c>
      <c r="P2157" s="76">
        <v>0</v>
      </c>
      <c r="Q2157" s="76">
        <v>0</v>
      </c>
      <c r="R2157" s="76" t="s">
        <v>3129</v>
      </c>
      <c r="S2157" s="76"/>
    </row>
    <row r="2158" spans="1:19" x14ac:dyDescent="0.3">
      <c r="A2158" s="76" t="s">
        <v>3130</v>
      </c>
      <c r="B2158" s="76" t="s">
        <v>3131</v>
      </c>
      <c r="C2158" s="76" t="s">
        <v>1263</v>
      </c>
      <c r="D2158" s="76" t="s">
        <v>39</v>
      </c>
      <c r="E2158" s="76" t="s">
        <v>22</v>
      </c>
      <c r="F2158" s="77">
        <v>45382</v>
      </c>
      <c r="G2158" s="76">
        <v>2024</v>
      </c>
      <c r="H2158" s="76" t="s">
        <v>40</v>
      </c>
      <c r="I2158" s="76" t="s">
        <v>34</v>
      </c>
      <c r="J2158" s="76">
        <v>36.75</v>
      </c>
      <c r="K2158" s="76">
        <v>46.67</v>
      </c>
      <c r="L2158" s="78">
        <f t="shared" si="224"/>
        <v>1</v>
      </c>
      <c r="M2158" s="78">
        <f t="shared" si="225"/>
        <v>1</v>
      </c>
      <c r="N2158" s="76" t="s">
        <v>25</v>
      </c>
      <c r="O2158" s="76" t="s">
        <v>25</v>
      </c>
      <c r="P2158" s="76">
        <v>0</v>
      </c>
      <c r="Q2158" s="76">
        <v>0</v>
      </c>
      <c r="R2158" s="76" t="s">
        <v>3132</v>
      </c>
      <c r="S2158" s="76"/>
    </row>
    <row r="2159" spans="1:19" x14ac:dyDescent="0.3">
      <c r="A2159" s="76" t="s">
        <v>3130</v>
      </c>
      <c r="B2159" s="76" t="s">
        <v>3131</v>
      </c>
      <c r="C2159" s="76" t="s">
        <v>1263</v>
      </c>
      <c r="D2159" s="76" t="s">
        <v>39</v>
      </c>
      <c r="E2159" s="76" t="s">
        <v>22</v>
      </c>
      <c r="F2159" s="77">
        <v>45473</v>
      </c>
      <c r="G2159" s="76">
        <v>2024</v>
      </c>
      <c r="H2159" s="76" t="s">
        <v>23</v>
      </c>
      <c r="I2159" s="76" t="s">
        <v>34</v>
      </c>
      <c r="J2159" s="76">
        <v>57.55</v>
      </c>
      <c r="K2159" s="76">
        <v>61.67</v>
      </c>
      <c r="L2159" s="78">
        <f t="shared" si="224"/>
        <v>1</v>
      </c>
      <c r="M2159" s="78">
        <f t="shared" si="225"/>
        <v>1</v>
      </c>
      <c r="N2159" s="76" t="s">
        <v>25</v>
      </c>
      <c r="O2159" s="76" t="s">
        <v>25</v>
      </c>
      <c r="P2159" s="76">
        <v>0</v>
      </c>
      <c r="Q2159" s="76">
        <v>0</v>
      </c>
      <c r="R2159" s="76" t="s">
        <v>3133</v>
      </c>
      <c r="S2159" s="76"/>
    </row>
    <row r="2160" spans="1:19" x14ac:dyDescent="0.3">
      <c r="A2160" s="76" t="s">
        <v>3130</v>
      </c>
      <c r="B2160" s="76" t="s">
        <v>3131</v>
      </c>
      <c r="C2160" s="76" t="s">
        <v>1263</v>
      </c>
      <c r="D2160" s="76" t="s">
        <v>39</v>
      </c>
      <c r="E2160" s="76" t="s">
        <v>22</v>
      </c>
      <c r="F2160" s="77">
        <v>45565</v>
      </c>
      <c r="G2160" s="76">
        <v>2024</v>
      </c>
      <c r="H2160" s="76" t="s">
        <v>43</v>
      </c>
      <c r="I2160" s="76" t="s">
        <v>36</v>
      </c>
      <c r="J2160" s="76">
        <v>89</v>
      </c>
      <c r="K2160" s="76">
        <v>87</v>
      </c>
      <c r="L2160" s="78">
        <f t="shared" si="224"/>
        <v>0.97752808988764039</v>
      </c>
      <c r="M2160" s="78">
        <f t="shared" si="225"/>
        <v>0.97752808988764039</v>
      </c>
      <c r="N2160" s="76" t="s">
        <v>25</v>
      </c>
      <c r="O2160" s="76" t="s">
        <v>25</v>
      </c>
      <c r="P2160" s="76">
        <v>0</v>
      </c>
      <c r="Q2160" s="76">
        <v>0</v>
      </c>
      <c r="R2160" s="76" t="s">
        <v>3134</v>
      </c>
      <c r="S2160" s="76"/>
    </row>
    <row r="2161" spans="1:19" x14ac:dyDescent="0.3">
      <c r="A2161" s="76" t="s">
        <v>3130</v>
      </c>
      <c r="B2161" s="76" t="s">
        <v>3131</v>
      </c>
      <c r="C2161" s="76" t="s">
        <v>1263</v>
      </c>
      <c r="D2161" s="76" t="s">
        <v>39</v>
      </c>
      <c r="E2161" s="76" t="s">
        <v>22</v>
      </c>
      <c r="F2161" s="77">
        <v>45657</v>
      </c>
      <c r="G2161" s="76">
        <v>2024</v>
      </c>
      <c r="H2161" s="76" t="s">
        <v>27</v>
      </c>
      <c r="I2161" s="76" t="s">
        <v>36</v>
      </c>
      <c r="J2161" s="76">
        <v>100</v>
      </c>
      <c r="K2161" s="76">
        <v>100</v>
      </c>
      <c r="L2161" s="78">
        <f t="shared" si="224"/>
        <v>1</v>
      </c>
      <c r="M2161" s="78">
        <f t="shared" si="225"/>
        <v>1</v>
      </c>
      <c r="N2161" s="76" t="s">
        <v>25</v>
      </c>
      <c r="O2161" s="76" t="s">
        <v>25</v>
      </c>
      <c r="P2161" s="76">
        <v>0</v>
      </c>
      <c r="Q2161" s="76">
        <v>0</v>
      </c>
      <c r="R2161" s="76" t="s">
        <v>3135</v>
      </c>
      <c r="S2161" s="76"/>
    </row>
    <row r="2162" spans="1:19" x14ac:dyDescent="0.3">
      <c r="A2162" s="76" t="s">
        <v>3136</v>
      </c>
      <c r="B2162" s="76" t="s">
        <v>3137</v>
      </c>
      <c r="C2162" s="76" t="s">
        <v>1263</v>
      </c>
      <c r="D2162" s="76" t="s">
        <v>39</v>
      </c>
      <c r="E2162" s="76" t="s">
        <v>22</v>
      </c>
      <c r="F2162" s="77">
        <v>45107</v>
      </c>
      <c r="G2162" s="76">
        <v>2023</v>
      </c>
      <c r="H2162" s="76" t="s">
        <v>23</v>
      </c>
      <c r="I2162" s="76" t="s">
        <v>30</v>
      </c>
      <c r="J2162" s="76">
        <v>50</v>
      </c>
      <c r="K2162" s="76">
        <v>56</v>
      </c>
      <c r="L2162" s="78">
        <f t="shared" si="224"/>
        <v>1</v>
      </c>
      <c r="M2162" s="78">
        <f t="shared" si="225"/>
        <v>1</v>
      </c>
      <c r="N2162" s="76" t="s">
        <v>25</v>
      </c>
      <c r="O2162" s="76" t="s">
        <v>25</v>
      </c>
      <c r="P2162" s="76">
        <v>0</v>
      </c>
      <c r="Q2162" s="76">
        <v>0</v>
      </c>
      <c r="R2162" s="76" t="s">
        <v>3138</v>
      </c>
      <c r="S2162" s="76"/>
    </row>
    <row r="2163" spans="1:19" x14ac:dyDescent="0.3">
      <c r="A2163" s="76" t="s">
        <v>3136</v>
      </c>
      <c r="B2163" s="76" t="s">
        <v>3137</v>
      </c>
      <c r="C2163" s="76" t="s">
        <v>1263</v>
      </c>
      <c r="D2163" s="76" t="s">
        <v>39</v>
      </c>
      <c r="E2163" s="76" t="s">
        <v>22</v>
      </c>
      <c r="F2163" s="77">
        <v>45199</v>
      </c>
      <c r="G2163" s="76">
        <v>2023</v>
      </c>
      <c r="H2163" s="76" t="s">
        <v>43</v>
      </c>
      <c r="I2163" s="76" t="s">
        <v>32</v>
      </c>
      <c r="J2163" s="76">
        <v>89.12</v>
      </c>
      <c r="K2163" s="76">
        <v>85.5</v>
      </c>
      <c r="L2163" s="78">
        <f t="shared" si="224"/>
        <v>0.95938061041292633</v>
      </c>
      <c r="M2163" s="78">
        <f t="shared" si="225"/>
        <v>0.95938061041292633</v>
      </c>
      <c r="N2163" s="76" t="s">
        <v>25</v>
      </c>
      <c r="O2163" s="76" t="s">
        <v>25</v>
      </c>
      <c r="P2163" s="76">
        <v>0</v>
      </c>
      <c r="Q2163" s="76">
        <v>0</v>
      </c>
      <c r="R2163" s="76" t="s">
        <v>3139</v>
      </c>
      <c r="S2163" s="76"/>
    </row>
    <row r="2164" spans="1:19" x14ac:dyDescent="0.3">
      <c r="A2164" s="76" t="s">
        <v>3136</v>
      </c>
      <c r="B2164" s="76" t="s">
        <v>3137</v>
      </c>
      <c r="C2164" s="76" t="s">
        <v>1263</v>
      </c>
      <c r="D2164" s="76" t="s">
        <v>39</v>
      </c>
      <c r="E2164" s="76" t="s">
        <v>22</v>
      </c>
      <c r="F2164" s="77">
        <v>45291</v>
      </c>
      <c r="G2164" s="76">
        <v>2023</v>
      </c>
      <c r="H2164" s="76" t="s">
        <v>27</v>
      </c>
      <c r="I2164" s="76" t="s">
        <v>32</v>
      </c>
      <c r="J2164" s="76">
        <v>100</v>
      </c>
      <c r="K2164" s="76">
        <v>94</v>
      </c>
      <c r="L2164" s="78">
        <f t="shared" si="224"/>
        <v>0.94</v>
      </c>
      <c r="M2164" s="78">
        <f t="shared" si="225"/>
        <v>0.94</v>
      </c>
      <c r="N2164" s="76" t="s">
        <v>25</v>
      </c>
      <c r="O2164" s="76" t="s">
        <v>25</v>
      </c>
      <c r="P2164" s="76">
        <v>0</v>
      </c>
      <c r="Q2164" s="76">
        <v>0</v>
      </c>
      <c r="R2164" s="76" t="s">
        <v>3140</v>
      </c>
      <c r="S2164" s="76"/>
    </row>
    <row r="2165" spans="1:19" x14ac:dyDescent="0.3">
      <c r="A2165" s="76" t="s">
        <v>3136</v>
      </c>
      <c r="B2165" s="76" t="s">
        <v>3137</v>
      </c>
      <c r="C2165" s="76" t="s">
        <v>1263</v>
      </c>
      <c r="D2165" s="76" t="s">
        <v>39</v>
      </c>
      <c r="E2165" s="76" t="s">
        <v>22</v>
      </c>
      <c r="F2165" s="77">
        <v>45382</v>
      </c>
      <c r="G2165" s="76">
        <v>2024</v>
      </c>
      <c r="H2165" s="76" t="s">
        <v>40</v>
      </c>
      <c r="I2165" s="76" t="s">
        <v>34</v>
      </c>
      <c r="J2165" s="76">
        <v>28.7</v>
      </c>
      <c r="K2165" s="76">
        <v>27.92</v>
      </c>
      <c r="L2165" s="78">
        <f t="shared" si="224"/>
        <v>0.97282229965156808</v>
      </c>
      <c r="M2165" s="78">
        <f t="shared" si="225"/>
        <v>0.97282229965156808</v>
      </c>
      <c r="N2165" s="76" t="s">
        <v>25</v>
      </c>
      <c r="O2165" s="76" t="s">
        <v>25</v>
      </c>
      <c r="P2165" s="76">
        <v>0</v>
      </c>
      <c r="Q2165" s="76">
        <v>0</v>
      </c>
      <c r="R2165" s="76" t="s">
        <v>3141</v>
      </c>
      <c r="S2165" s="76"/>
    </row>
    <row r="2166" spans="1:19" x14ac:dyDescent="0.3">
      <c r="A2166" s="76" t="s">
        <v>3136</v>
      </c>
      <c r="B2166" s="76" t="s">
        <v>3137</v>
      </c>
      <c r="C2166" s="76" t="s">
        <v>1263</v>
      </c>
      <c r="D2166" s="76" t="s">
        <v>39</v>
      </c>
      <c r="E2166" s="76" t="s">
        <v>22</v>
      </c>
      <c r="F2166" s="77">
        <v>45473</v>
      </c>
      <c r="G2166" s="76">
        <v>2024</v>
      </c>
      <c r="H2166" s="76" t="s">
        <v>23</v>
      </c>
      <c r="I2166" s="76" t="s">
        <v>34</v>
      </c>
      <c r="J2166" s="76">
        <v>59.24</v>
      </c>
      <c r="K2166" s="76">
        <v>58.73</v>
      </c>
      <c r="L2166" s="78">
        <f t="shared" si="224"/>
        <v>0.99139095205941918</v>
      </c>
      <c r="M2166" s="78">
        <f t="shared" si="225"/>
        <v>0.99139095205941918</v>
      </c>
      <c r="N2166" s="76" t="s">
        <v>25</v>
      </c>
      <c r="O2166" s="76" t="s">
        <v>25</v>
      </c>
      <c r="P2166" s="76">
        <v>0</v>
      </c>
      <c r="Q2166" s="76">
        <v>0</v>
      </c>
      <c r="R2166" s="76" t="s">
        <v>3142</v>
      </c>
      <c r="S2166" s="76"/>
    </row>
    <row r="2167" spans="1:19" x14ac:dyDescent="0.3">
      <c r="A2167" s="76" t="s">
        <v>3136</v>
      </c>
      <c r="B2167" s="76" t="s">
        <v>3137</v>
      </c>
      <c r="C2167" s="76" t="s">
        <v>1263</v>
      </c>
      <c r="D2167" s="76" t="s">
        <v>39</v>
      </c>
      <c r="E2167" s="76" t="s">
        <v>22</v>
      </c>
      <c r="F2167" s="77">
        <v>45565</v>
      </c>
      <c r="G2167" s="76">
        <v>2024</v>
      </c>
      <c r="H2167" s="76" t="s">
        <v>43</v>
      </c>
      <c r="I2167" s="76" t="s">
        <v>36</v>
      </c>
      <c r="J2167" s="76">
        <v>86</v>
      </c>
      <c r="K2167" s="76">
        <v>91</v>
      </c>
      <c r="L2167" s="78">
        <f t="shared" si="224"/>
        <v>1</v>
      </c>
      <c r="M2167" s="78">
        <f t="shared" si="225"/>
        <v>1</v>
      </c>
      <c r="N2167" s="76" t="s">
        <v>25</v>
      </c>
      <c r="O2167" s="76" t="s">
        <v>25</v>
      </c>
      <c r="P2167" s="76">
        <v>0</v>
      </c>
      <c r="Q2167" s="76">
        <v>0</v>
      </c>
      <c r="R2167" s="76" t="s">
        <v>3143</v>
      </c>
      <c r="S2167" s="76"/>
    </row>
    <row r="2168" spans="1:19" x14ac:dyDescent="0.3">
      <c r="A2168" s="76" t="s">
        <v>3136</v>
      </c>
      <c r="B2168" s="76" t="s">
        <v>3137</v>
      </c>
      <c r="C2168" s="76" t="s">
        <v>1263</v>
      </c>
      <c r="D2168" s="76" t="s">
        <v>39</v>
      </c>
      <c r="E2168" s="76" t="s">
        <v>22</v>
      </c>
      <c r="F2168" s="77">
        <v>45657</v>
      </c>
      <c r="G2168" s="76">
        <v>2024</v>
      </c>
      <c r="H2168" s="76" t="s">
        <v>27</v>
      </c>
      <c r="I2168" s="76" t="s">
        <v>36</v>
      </c>
      <c r="J2168" s="76">
        <v>100</v>
      </c>
      <c r="K2168" s="76">
        <v>100</v>
      </c>
      <c r="L2168" s="78">
        <f t="shared" si="224"/>
        <v>1</v>
      </c>
      <c r="M2168" s="78">
        <f t="shared" si="225"/>
        <v>1</v>
      </c>
      <c r="N2168" s="76" t="s">
        <v>25</v>
      </c>
      <c r="O2168" s="76" t="s">
        <v>25</v>
      </c>
      <c r="P2168" s="76">
        <v>0</v>
      </c>
      <c r="Q2168" s="76">
        <v>0</v>
      </c>
      <c r="R2168" s="76" t="s">
        <v>3144</v>
      </c>
      <c r="S2168" s="76"/>
    </row>
    <row r="2169" spans="1:19" x14ac:dyDescent="0.3">
      <c r="A2169" s="76" t="s">
        <v>3145</v>
      </c>
      <c r="B2169" s="76" t="s">
        <v>3146</v>
      </c>
      <c r="C2169" s="76" t="s">
        <v>1263</v>
      </c>
      <c r="D2169" s="76" t="s">
        <v>39</v>
      </c>
      <c r="E2169" s="76" t="s">
        <v>22</v>
      </c>
      <c r="F2169" s="77">
        <v>45107</v>
      </c>
      <c r="G2169" s="76">
        <v>2023</v>
      </c>
      <c r="H2169" s="76" t="s">
        <v>23</v>
      </c>
      <c r="I2169" s="76" t="s">
        <v>30</v>
      </c>
      <c r="J2169" s="76">
        <v>63</v>
      </c>
      <c r="K2169" s="76">
        <v>53</v>
      </c>
      <c r="L2169" s="78">
        <f t="shared" si="224"/>
        <v>0.84126984126984128</v>
      </c>
      <c r="M2169" s="78">
        <f t="shared" si="225"/>
        <v>0.84126984126984128</v>
      </c>
      <c r="N2169" s="76" t="s">
        <v>25</v>
      </c>
      <c r="O2169" s="76" t="s">
        <v>25</v>
      </c>
      <c r="P2169" s="76">
        <v>0</v>
      </c>
      <c r="Q2169" s="76">
        <v>0</v>
      </c>
      <c r="R2169" s="76" t="s">
        <v>3147</v>
      </c>
      <c r="S2169" s="76"/>
    </row>
    <row r="2170" spans="1:19" x14ac:dyDescent="0.3">
      <c r="A2170" s="76" t="s">
        <v>3145</v>
      </c>
      <c r="B2170" s="76" t="s">
        <v>3146</v>
      </c>
      <c r="C2170" s="76" t="s">
        <v>1263</v>
      </c>
      <c r="D2170" s="76" t="s">
        <v>39</v>
      </c>
      <c r="E2170" s="76" t="s">
        <v>22</v>
      </c>
      <c r="F2170" s="77">
        <v>45199</v>
      </c>
      <c r="G2170" s="76">
        <v>2023</v>
      </c>
      <c r="H2170" s="76" t="s">
        <v>43</v>
      </c>
      <c r="I2170" s="76" t="s">
        <v>32</v>
      </c>
      <c r="J2170" s="76">
        <v>92.7</v>
      </c>
      <c r="K2170" s="76">
        <v>73.33</v>
      </c>
      <c r="L2170" s="78">
        <f t="shared" si="224"/>
        <v>0.79104638619201717</v>
      </c>
      <c r="M2170" s="78">
        <f t="shared" si="225"/>
        <v>0.79104638619201717</v>
      </c>
      <c r="N2170" s="76" t="s">
        <v>25</v>
      </c>
      <c r="O2170" s="76" t="s">
        <v>25</v>
      </c>
      <c r="P2170" s="76">
        <v>0</v>
      </c>
      <c r="Q2170" s="76">
        <v>0</v>
      </c>
      <c r="R2170" s="76" t="s">
        <v>3148</v>
      </c>
      <c r="S2170" s="76"/>
    </row>
    <row r="2171" spans="1:19" x14ac:dyDescent="0.3">
      <c r="A2171" s="76" t="s">
        <v>3145</v>
      </c>
      <c r="B2171" s="76" t="s">
        <v>3146</v>
      </c>
      <c r="C2171" s="76" t="s">
        <v>1263</v>
      </c>
      <c r="D2171" s="76" t="s">
        <v>39</v>
      </c>
      <c r="E2171" s="76" t="s">
        <v>22</v>
      </c>
      <c r="F2171" s="77">
        <v>45291</v>
      </c>
      <c r="G2171" s="76">
        <v>2023</v>
      </c>
      <c r="H2171" s="76" t="s">
        <v>27</v>
      </c>
      <c r="I2171" s="76" t="s">
        <v>32</v>
      </c>
      <c r="J2171" s="76">
        <v>100</v>
      </c>
      <c r="K2171" s="76">
        <v>86.67</v>
      </c>
      <c r="L2171" s="78">
        <f t="shared" si="224"/>
        <v>0.86670000000000003</v>
      </c>
      <c r="M2171" s="78">
        <f t="shared" si="225"/>
        <v>0.86670000000000003</v>
      </c>
      <c r="N2171" s="76" t="s">
        <v>25</v>
      </c>
      <c r="O2171" s="76" t="s">
        <v>25</v>
      </c>
      <c r="P2171" s="76">
        <v>0</v>
      </c>
      <c r="Q2171" s="76">
        <v>0</v>
      </c>
      <c r="R2171" s="76" t="s">
        <v>3149</v>
      </c>
      <c r="S2171" s="76"/>
    </row>
    <row r="2172" spans="1:19" x14ac:dyDescent="0.3">
      <c r="A2172" s="76" t="s">
        <v>3145</v>
      </c>
      <c r="B2172" s="76" t="s">
        <v>3146</v>
      </c>
      <c r="C2172" s="76" t="s">
        <v>1263</v>
      </c>
      <c r="D2172" s="76" t="s">
        <v>39</v>
      </c>
      <c r="E2172" s="76" t="s">
        <v>22</v>
      </c>
      <c r="F2172" s="77">
        <v>45382</v>
      </c>
      <c r="G2172" s="76">
        <v>2024</v>
      </c>
      <c r="H2172" s="76" t="s">
        <v>40</v>
      </c>
      <c r="I2172" s="76" t="s">
        <v>34</v>
      </c>
      <c r="J2172" s="76">
        <v>61.11</v>
      </c>
      <c r="K2172" s="76">
        <v>66.67</v>
      </c>
      <c r="L2172" s="78">
        <f t="shared" si="224"/>
        <v>1</v>
      </c>
      <c r="M2172" s="78">
        <f t="shared" si="225"/>
        <v>1</v>
      </c>
      <c r="N2172" s="76" t="s">
        <v>25</v>
      </c>
      <c r="O2172" s="76" t="s">
        <v>25</v>
      </c>
      <c r="P2172" s="76">
        <v>0</v>
      </c>
      <c r="Q2172" s="76">
        <v>0</v>
      </c>
      <c r="R2172" s="76" t="s">
        <v>3150</v>
      </c>
      <c r="S2172" s="76"/>
    </row>
    <row r="2173" spans="1:19" x14ac:dyDescent="0.3">
      <c r="A2173" s="76" t="s">
        <v>3145</v>
      </c>
      <c r="B2173" s="76" t="s">
        <v>3146</v>
      </c>
      <c r="C2173" s="76" t="s">
        <v>1263</v>
      </c>
      <c r="D2173" s="76" t="s">
        <v>39</v>
      </c>
      <c r="E2173" s="76" t="s">
        <v>22</v>
      </c>
      <c r="F2173" s="77">
        <v>45473</v>
      </c>
      <c r="G2173" s="76">
        <v>2024</v>
      </c>
      <c r="H2173" s="76" t="s">
        <v>23</v>
      </c>
      <c r="I2173" s="76" t="s">
        <v>34</v>
      </c>
      <c r="J2173" s="76">
        <v>70.150000000000006</v>
      </c>
      <c r="K2173" s="76">
        <v>83.25</v>
      </c>
      <c r="L2173" s="78">
        <f t="shared" si="224"/>
        <v>1</v>
      </c>
      <c r="M2173" s="78">
        <f t="shared" si="225"/>
        <v>1</v>
      </c>
      <c r="N2173" s="76" t="s">
        <v>25</v>
      </c>
      <c r="O2173" s="76" t="s">
        <v>25</v>
      </c>
      <c r="P2173" s="76">
        <v>0</v>
      </c>
      <c r="Q2173" s="76">
        <v>0</v>
      </c>
      <c r="R2173" s="76" t="s">
        <v>3151</v>
      </c>
      <c r="S2173" s="76"/>
    </row>
    <row r="2174" spans="1:19" x14ac:dyDescent="0.3">
      <c r="A2174" s="76" t="s">
        <v>3145</v>
      </c>
      <c r="B2174" s="76" t="s">
        <v>3146</v>
      </c>
      <c r="C2174" s="76" t="s">
        <v>1263</v>
      </c>
      <c r="D2174" s="76" t="s">
        <v>39</v>
      </c>
      <c r="E2174" s="76" t="s">
        <v>22</v>
      </c>
      <c r="F2174" s="77">
        <v>45565</v>
      </c>
      <c r="G2174" s="76">
        <v>2024</v>
      </c>
      <c r="H2174" s="76" t="s">
        <v>43</v>
      </c>
      <c r="I2174" s="76" t="s">
        <v>36</v>
      </c>
      <c r="J2174" s="76">
        <v>91</v>
      </c>
      <c r="K2174" s="76">
        <v>97</v>
      </c>
      <c r="L2174" s="78">
        <f t="shared" si="224"/>
        <v>1</v>
      </c>
      <c r="M2174" s="78">
        <f t="shared" si="225"/>
        <v>1</v>
      </c>
      <c r="N2174" s="76" t="s">
        <v>25</v>
      </c>
      <c r="O2174" s="76" t="s">
        <v>25</v>
      </c>
      <c r="P2174" s="76">
        <v>0</v>
      </c>
      <c r="Q2174" s="76">
        <v>0</v>
      </c>
      <c r="R2174" s="76" t="s">
        <v>3152</v>
      </c>
      <c r="S2174" s="76"/>
    </row>
    <row r="2175" spans="1:19" x14ac:dyDescent="0.3">
      <c r="A2175" s="76" t="s">
        <v>3145</v>
      </c>
      <c r="B2175" s="76" t="s">
        <v>3146</v>
      </c>
      <c r="C2175" s="76" t="s">
        <v>1263</v>
      </c>
      <c r="D2175" s="76" t="s">
        <v>39</v>
      </c>
      <c r="E2175" s="76" t="s">
        <v>22</v>
      </c>
      <c r="F2175" s="77">
        <v>45657</v>
      </c>
      <c r="G2175" s="76">
        <v>2024</v>
      </c>
      <c r="H2175" s="76" t="s">
        <v>27</v>
      </c>
      <c r="I2175" s="76" t="s">
        <v>36</v>
      </c>
      <c r="J2175" s="76">
        <v>100</v>
      </c>
      <c r="K2175" s="76">
        <v>100</v>
      </c>
      <c r="L2175" s="78">
        <f t="shared" si="224"/>
        <v>1</v>
      </c>
      <c r="M2175" s="78">
        <f t="shared" si="225"/>
        <v>1</v>
      </c>
      <c r="N2175" s="76" t="s">
        <v>25</v>
      </c>
      <c r="O2175" s="76" t="s">
        <v>25</v>
      </c>
      <c r="P2175" s="76">
        <v>0</v>
      </c>
      <c r="Q2175" s="76">
        <v>0</v>
      </c>
      <c r="R2175" s="76" t="s">
        <v>3153</v>
      </c>
      <c r="S2175" s="76"/>
    </row>
    <row r="2176" spans="1:19" x14ac:dyDescent="0.3">
      <c r="A2176" s="76" t="s">
        <v>3154</v>
      </c>
      <c r="B2176" s="76" t="s">
        <v>3155</v>
      </c>
      <c r="C2176" s="76" t="s">
        <v>1263</v>
      </c>
      <c r="D2176" s="76" t="s">
        <v>39</v>
      </c>
      <c r="E2176" s="76" t="s">
        <v>22</v>
      </c>
      <c r="F2176" s="77">
        <v>45107</v>
      </c>
      <c r="G2176" s="76">
        <v>2023</v>
      </c>
      <c r="H2176" s="76" t="s">
        <v>23</v>
      </c>
      <c r="I2176" s="76" t="s">
        <v>30</v>
      </c>
      <c r="J2176" s="76">
        <v>56</v>
      </c>
      <c r="K2176" s="76">
        <v>74</v>
      </c>
      <c r="L2176" s="78">
        <f t="shared" ref="L2176:L2210" si="226">IFERROR(IF(OR(J2176=0,K2176=""),"",IF(E2176="Positivo",MIN(MAX(K2176/J2176,0),1),MIN(MAX(J2176/K2176,0),1))),"")</f>
        <v>1</v>
      </c>
      <c r="M2176" s="78">
        <f t="shared" ref="M2176:M2210" si="227">IFERROR(IF(OR(J2176=0,K2176=""),"",IF(E2176="Positivo",MIN(MAX(K2176/J2176,0),1),MIN(MAX(J2176/K2176,0),1))),"")</f>
        <v>1</v>
      </c>
      <c r="N2176" s="76" t="s">
        <v>25</v>
      </c>
      <c r="O2176" s="76" t="s">
        <v>25</v>
      </c>
      <c r="P2176" s="76">
        <v>0</v>
      </c>
      <c r="Q2176" s="76">
        <v>0</v>
      </c>
      <c r="R2176" s="76" t="s">
        <v>3156</v>
      </c>
      <c r="S2176" s="76"/>
    </row>
    <row r="2177" spans="1:19" x14ac:dyDescent="0.3">
      <c r="A2177" s="76" t="s">
        <v>3154</v>
      </c>
      <c r="B2177" s="76" t="s">
        <v>3155</v>
      </c>
      <c r="C2177" s="76" t="s">
        <v>1263</v>
      </c>
      <c r="D2177" s="76" t="s">
        <v>39</v>
      </c>
      <c r="E2177" s="76" t="s">
        <v>22</v>
      </c>
      <c r="F2177" s="77">
        <v>45199</v>
      </c>
      <c r="G2177" s="76">
        <v>2023</v>
      </c>
      <c r="H2177" s="76" t="s">
        <v>43</v>
      </c>
      <c r="I2177" s="76" t="s">
        <v>32</v>
      </c>
      <c r="J2177" s="76">
        <v>90.5</v>
      </c>
      <c r="K2177" s="76">
        <v>93.75</v>
      </c>
      <c r="L2177" s="78">
        <f t="shared" si="226"/>
        <v>1</v>
      </c>
      <c r="M2177" s="78">
        <f t="shared" si="227"/>
        <v>1</v>
      </c>
      <c r="N2177" s="76" t="s">
        <v>25</v>
      </c>
      <c r="O2177" s="76" t="s">
        <v>25</v>
      </c>
      <c r="P2177" s="76">
        <v>0</v>
      </c>
      <c r="Q2177" s="76">
        <v>0</v>
      </c>
      <c r="R2177" s="76" t="s">
        <v>3157</v>
      </c>
      <c r="S2177" s="76"/>
    </row>
    <row r="2178" spans="1:19" x14ac:dyDescent="0.3">
      <c r="A2178" s="76" t="s">
        <v>3154</v>
      </c>
      <c r="B2178" s="76" t="s">
        <v>3155</v>
      </c>
      <c r="C2178" s="76" t="s">
        <v>1263</v>
      </c>
      <c r="D2178" s="76" t="s">
        <v>39</v>
      </c>
      <c r="E2178" s="76" t="s">
        <v>22</v>
      </c>
      <c r="F2178" s="77">
        <v>45291</v>
      </c>
      <c r="G2178" s="76">
        <v>2023</v>
      </c>
      <c r="H2178" s="76" t="s">
        <v>27</v>
      </c>
      <c r="I2178" s="76" t="s">
        <v>32</v>
      </c>
      <c r="J2178" s="76">
        <v>100</v>
      </c>
      <c r="K2178" s="76">
        <v>93.75</v>
      </c>
      <c r="L2178" s="78">
        <f t="shared" si="226"/>
        <v>0.9375</v>
      </c>
      <c r="M2178" s="78">
        <f t="shared" si="227"/>
        <v>0.9375</v>
      </c>
      <c r="N2178" s="76" t="s">
        <v>25</v>
      </c>
      <c r="O2178" s="76" t="s">
        <v>25</v>
      </c>
      <c r="P2178" s="76">
        <v>0</v>
      </c>
      <c r="Q2178" s="76">
        <v>0</v>
      </c>
      <c r="R2178" s="76" t="s">
        <v>3158</v>
      </c>
      <c r="S2178" s="76"/>
    </row>
    <row r="2179" spans="1:19" x14ac:dyDescent="0.3">
      <c r="A2179" s="76" t="s">
        <v>3154</v>
      </c>
      <c r="B2179" s="76" t="s">
        <v>3155</v>
      </c>
      <c r="C2179" s="76" t="s">
        <v>1263</v>
      </c>
      <c r="D2179" s="76" t="s">
        <v>39</v>
      </c>
      <c r="E2179" s="76" t="s">
        <v>22</v>
      </c>
      <c r="F2179" s="77">
        <v>45382</v>
      </c>
      <c r="G2179" s="76">
        <v>2024</v>
      </c>
      <c r="H2179" s="76" t="s">
        <v>40</v>
      </c>
      <c r="I2179" s="76" t="s">
        <v>34</v>
      </c>
      <c r="J2179" s="76">
        <v>48.38</v>
      </c>
      <c r="K2179" s="76">
        <v>53.33</v>
      </c>
      <c r="L2179" s="78">
        <f t="shared" si="226"/>
        <v>1</v>
      </c>
      <c r="M2179" s="78">
        <f t="shared" si="227"/>
        <v>1</v>
      </c>
      <c r="N2179" s="76" t="s">
        <v>25</v>
      </c>
      <c r="O2179" s="76" t="s">
        <v>25</v>
      </c>
      <c r="P2179" s="76">
        <v>0</v>
      </c>
      <c r="Q2179" s="76">
        <v>0</v>
      </c>
      <c r="R2179" s="76" t="s">
        <v>3159</v>
      </c>
      <c r="S2179" s="76"/>
    </row>
    <row r="2180" spans="1:19" x14ac:dyDescent="0.3">
      <c r="A2180" s="76" t="s">
        <v>3154</v>
      </c>
      <c r="B2180" s="76" t="s">
        <v>3155</v>
      </c>
      <c r="C2180" s="76" t="s">
        <v>1263</v>
      </c>
      <c r="D2180" s="76" t="s">
        <v>39</v>
      </c>
      <c r="E2180" s="76" t="s">
        <v>22</v>
      </c>
      <c r="F2180" s="77">
        <v>45473</v>
      </c>
      <c r="G2180" s="76">
        <v>2024</v>
      </c>
      <c r="H2180" s="76" t="s">
        <v>23</v>
      </c>
      <c r="I2180" s="76" t="s">
        <v>34</v>
      </c>
      <c r="J2180" s="76">
        <v>36.979999999999997</v>
      </c>
      <c r="K2180" s="76">
        <v>52.24</v>
      </c>
      <c r="L2180" s="78">
        <f t="shared" si="226"/>
        <v>1</v>
      </c>
      <c r="M2180" s="78">
        <f t="shared" si="227"/>
        <v>1</v>
      </c>
      <c r="N2180" s="76" t="s">
        <v>25</v>
      </c>
      <c r="O2180" s="76" t="s">
        <v>25</v>
      </c>
      <c r="P2180" s="76">
        <v>0</v>
      </c>
      <c r="Q2180" s="76">
        <v>0</v>
      </c>
      <c r="R2180" s="76" t="s">
        <v>3160</v>
      </c>
      <c r="S2180" s="76"/>
    </row>
    <row r="2181" spans="1:19" x14ac:dyDescent="0.3">
      <c r="A2181" s="76" t="s">
        <v>3154</v>
      </c>
      <c r="B2181" s="76" t="s">
        <v>3155</v>
      </c>
      <c r="C2181" s="76" t="s">
        <v>1263</v>
      </c>
      <c r="D2181" s="76" t="s">
        <v>39</v>
      </c>
      <c r="E2181" s="76" t="s">
        <v>22</v>
      </c>
      <c r="F2181" s="77">
        <v>45565</v>
      </c>
      <c r="G2181" s="76">
        <v>2024</v>
      </c>
      <c r="H2181" s="76" t="s">
        <v>43</v>
      </c>
      <c r="I2181" s="76" t="s">
        <v>36</v>
      </c>
      <c r="J2181" s="76">
        <v>88</v>
      </c>
      <c r="K2181" s="76">
        <v>82</v>
      </c>
      <c r="L2181" s="78">
        <f t="shared" si="226"/>
        <v>0.93181818181818177</v>
      </c>
      <c r="M2181" s="78">
        <f t="shared" si="227"/>
        <v>0.93181818181818177</v>
      </c>
      <c r="N2181" s="76" t="s">
        <v>25</v>
      </c>
      <c r="O2181" s="76" t="s">
        <v>25</v>
      </c>
      <c r="P2181" s="76">
        <v>0</v>
      </c>
      <c r="Q2181" s="76">
        <v>0</v>
      </c>
      <c r="R2181" s="76" t="s">
        <v>3161</v>
      </c>
      <c r="S2181" s="76"/>
    </row>
    <row r="2182" spans="1:19" x14ac:dyDescent="0.3">
      <c r="A2182" s="76" t="s">
        <v>3154</v>
      </c>
      <c r="B2182" s="76" t="s">
        <v>3155</v>
      </c>
      <c r="C2182" s="76" t="s">
        <v>1263</v>
      </c>
      <c r="D2182" s="76" t="s">
        <v>39</v>
      </c>
      <c r="E2182" s="76" t="s">
        <v>22</v>
      </c>
      <c r="F2182" s="77">
        <v>45657</v>
      </c>
      <c r="G2182" s="76">
        <v>2024</v>
      </c>
      <c r="H2182" s="76" t="s">
        <v>27</v>
      </c>
      <c r="I2182" s="76" t="s">
        <v>36</v>
      </c>
      <c r="J2182" s="76">
        <v>100</v>
      </c>
      <c r="K2182" s="76">
        <v>100</v>
      </c>
      <c r="L2182" s="78">
        <f t="shared" si="226"/>
        <v>1</v>
      </c>
      <c r="M2182" s="78">
        <f t="shared" si="227"/>
        <v>1</v>
      </c>
      <c r="N2182" s="76" t="s">
        <v>25</v>
      </c>
      <c r="O2182" s="76" t="s">
        <v>25</v>
      </c>
      <c r="P2182" s="76">
        <v>0</v>
      </c>
      <c r="Q2182" s="76">
        <v>0</v>
      </c>
      <c r="R2182" s="76" t="s">
        <v>3162</v>
      </c>
      <c r="S2182" s="76"/>
    </row>
    <row r="2183" spans="1:19" x14ac:dyDescent="0.3">
      <c r="A2183" s="76" t="s">
        <v>3163</v>
      </c>
      <c r="B2183" s="76" t="s">
        <v>3164</v>
      </c>
      <c r="C2183" s="76" t="s">
        <v>1263</v>
      </c>
      <c r="D2183" s="76" t="s">
        <v>39</v>
      </c>
      <c r="E2183" s="76" t="s">
        <v>22</v>
      </c>
      <c r="F2183" s="77">
        <v>45107</v>
      </c>
      <c r="G2183" s="76">
        <v>2023</v>
      </c>
      <c r="H2183" s="76" t="s">
        <v>23</v>
      </c>
      <c r="I2183" s="76" t="s">
        <v>30</v>
      </c>
      <c r="J2183" s="76">
        <v>44</v>
      </c>
      <c r="K2183" s="76">
        <v>49</v>
      </c>
      <c r="L2183" s="78">
        <f t="shared" si="226"/>
        <v>1</v>
      </c>
      <c r="M2183" s="78">
        <f t="shared" si="227"/>
        <v>1</v>
      </c>
      <c r="N2183" s="76" t="s">
        <v>25</v>
      </c>
      <c r="O2183" s="76" t="s">
        <v>25</v>
      </c>
      <c r="P2183" s="76">
        <v>0</v>
      </c>
      <c r="Q2183" s="76">
        <v>0</v>
      </c>
      <c r="R2183" s="76" t="s">
        <v>3165</v>
      </c>
      <c r="S2183" s="76"/>
    </row>
    <row r="2184" spans="1:19" x14ac:dyDescent="0.3">
      <c r="A2184" s="76" t="s">
        <v>3163</v>
      </c>
      <c r="B2184" s="76" t="s">
        <v>3164</v>
      </c>
      <c r="C2184" s="76" t="s">
        <v>1263</v>
      </c>
      <c r="D2184" s="76" t="s">
        <v>39</v>
      </c>
      <c r="E2184" s="76" t="s">
        <v>22</v>
      </c>
      <c r="F2184" s="77">
        <v>45199</v>
      </c>
      <c r="G2184" s="76">
        <v>2023</v>
      </c>
      <c r="H2184" s="76" t="s">
        <v>43</v>
      </c>
      <c r="I2184" s="76" t="s">
        <v>32</v>
      </c>
      <c r="J2184" s="76">
        <v>79.22</v>
      </c>
      <c r="K2184" s="76">
        <v>61.16</v>
      </c>
      <c r="L2184" s="78">
        <f t="shared" si="226"/>
        <v>0.77202726584195902</v>
      </c>
      <c r="M2184" s="78">
        <f t="shared" si="227"/>
        <v>0.77202726584195902</v>
      </c>
      <c r="N2184" s="76" t="s">
        <v>25</v>
      </c>
      <c r="O2184" s="76" t="s">
        <v>25</v>
      </c>
      <c r="P2184" s="76">
        <v>0</v>
      </c>
      <c r="Q2184" s="76">
        <v>0</v>
      </c>
      <c r="R2184" s="76" t="s">
        <v>3166</v>
      </c>
      <c r="S2184" s="76"/>
    </row>
    <row r="2185" spans="1:19" x14ac:dyDescent="0.3">
      <c r="A2185" s="76" t="s">
        <v>3163</v>
      </c>
      <c r="B2185" s="76" t="s">
        <v>3164</v>
      </c>
      <c r="C2185" s="76" t="s">
        <v>1263</v>
      </c>
      <c r="D2185" s="76" t="s">
        <v>39</v>
      </c>
      <c r="E2185" s="76" t="s">
        <v>22</v>
      </c>
      <c r="F2185" s="77">
        <v>45291</v>
      </c>
      <c r="G2185" s="76">
        <v>2023</v>
      </c>
      <c r="H2185" s="76" t="s">
        <v>27</v>
      </c>
      <c r="I2185" s="76" t="s">
        <v>32</v>
      </c>
      <c r="J2185" s="76">
        <v>100</v>
      </c>
      <c r="K2185" s="76">
        <v>94.17</v>
      </c>
      <c r="L2185" s="78">
        <f t="shared" si="226"/>
        <v>0.94169999999999998</v>
      </c>
      <c r="M2185" s="78">
        <f t="shared" si="227"/>
        <v>0.94169999999999998</v>
      </c>
      <c r="N2185" s="76" t="s">
        <v>25</v>
      </c>
      <c r="O2185" s="76" t="s">
        <v>25</v>
      </c>
      <c r="P2185" s="76">
        <v>0</v>
      </c>
      <c r="Q2185" s="76">
        <v>0</v>
      </c>
      <c r="R2185" s="76" t="s">
        <v>3167</v>
      </c>
      <c r="S2185" s="76"/>
    </row>
    <row r="2186" spans="1:19" x14ac:dyDescent="0.3">
      <c r="A2186" s="76" t="s">
        <v>3163</v>
      </c>
      <c r="B2186" s="76" t="s">
        <v>3164</v>
      </c>
      <c r="C2186" s="76" t="s">
        <v>1263</v>
      </c>
      <c r="D2186" s="76" t="s">
        <v>39</v>
      </c>
      <c r="E2186" s="76" t="s">
        <v>22</v>
      </c>
      <c r="F2186" s="77">
        <v>45382</v>
      </c>
      <c r="G2186" s="76">
        <v>2024</v>
      </c>
      <c r="H2186" s="76" t="s">
        <v>40</v>
      </c>
      <c r="I2186" s="76" t="s">
        <v>34</v>
      </c>
      <c r="J2186" s="76">
        <v>47.52</v>
      </c>
      <c r="K2186" s="76">
        <v>52</v>
      </c>
      <c r="L2186" s="78">
        <f t="shared" si="226"/>
        <v>1</v>
      </c>
      <c r="M2186" s="78">
        <f t="shared" si="227"/>
        <v>1</v>
      </c>
      <c r="N2186" s="76" t="s">
        <v>25</v>
      </c>
      <c r="O2186" s="76" t="s">
        <v>25</v>
      </c>
      <c r="P2186" s="76">
        <v>0</v>
      </c>
      <c r="Q2186" s="76">
        <v>0</v>
      </c>
      <c r="R2186" s="76" t="s">
        <v>3168</v>
      </c>
      <c r="S2186" s="76"/>
    </row>
    <row r="2187" spans="1:19" x14ac:dyDescent="0.3">
      <c r="A2187" s="76" t="s">
        <v>3163</v>
      </c>
      <c r="B2187" s="76" t="s">
        <v>3164</v>
      </c>
      <c r="C2187" s="76" t="s">
        <v>1263</v>
      </c>
      <c r="D2187" s="76" t="s">
        <v>39</v>
      </c>
      <c r="E2187" s="76" t="s">
        <v>22</v>
      </c>
      <c r="F2187" s="77">
        <v>45473</v>
      </c>
      <c r="G2187" s="76">
        <v>2024</v>
      </c>
      <c r="H2187" s="76" t="s">
        <v>23</v>
      </c>
      <c r="I2187" s="76" t="s">
        <v>34</v>
      </c>
      <c r="J2187" s="76">
        <v>39.619999999999997</v>
      </c>
      <c r="K2187" s="76">
        <v>43.31</v>
      </c>
      <c r="L2187" s="78">
        <f t="shared" si="226"/>
        <v>1</v>
      </c>
      <c r="M2187" s="78">
        <f t="shared" si="227"/>
        <v>1</v>
      </c>
      <c r="N2187" s="76" t="s">
        <v>25</v>
      </c>
      <c r="O2187" s="76" t="s">
        <v>25</v>
      </c>
      <c r="P2187" s="76">
        <v>0</v>
      </c>
      <c r="Q2187" s="76">
        <v>0</v>
      </c>
      <c r="R2187" s="76" t="s">
        <v>3169</v>
      </c>
      <c r="S2187" s="76"/>
    </row>
    <row r="2188" spans="1:19" x14ac:dyDescent="0.3">
      <c r="A2188" s="76" t="s">
        <v>3163</v>
      </c>
      <c r="B2188" s="76" t="s">
        <v>3164</v>
      </c>
      <c r="C2188" s="76" t="s">
        <v>1263</v>
      </c>
      <c r="D2188" s="76" t="s">
        <v>39</v>
      </c>
      <c r="E2188" s="76" t="s">
        <v>22</v>
      </c>
      <c r="F2188" s="77">
        <v>45565</v>
      </c>
      <c r="G2188" s="76">
        <v>2024</v>
      </c>
      <c r="H2188" s="76" t="s">
        <v>43</v>
      </c>
      <c r="I2188" s="76" t="s">
        <v>36</v>
      </c>
      <c r="J2188" s="76">
        <v>83</v>
      </c>
      <c r="K2188" s="76">
        <v>76</v>
      </c>
      <c r="L2188" s="78">
        <f t="shared" si="226"/>
        <v>0.91566265060240959</v>
      </c>
      <c r="M2188" s="78">
        <f t="shared" si="227"/>
        <v>0.91566265060240959</v>
      </c>
      <c r="N2188" s="76" t="s">
        <v>25</v>
      </c>
      <c r="O2188" s="76" t="s">
        <v>25</v>
      </c>
      <c r="P2188" s="76">
        <v>0</v>
      </c>
      <c r="Q2188" s="76">
        <v>0</v>
      </c>
      <c r="R2188" s="76" t="s">
        <v>3170</v>
      </c>
      <c r="S2188" s="76"/>
    </row>
    <row r="2189" spans="1:19" x14ac:dyDescent="0.3">
      <c r="A2189" s="76" t="s">
        <v>3163</v>
      </c>
      <c r="B2189" s="76" t="s">
        <v>3164</v>
      </c>
      <c r="C2189" s="76" t="s">
        <v>1263</v>
      </c>
      <c r="D2189" s="76" t="s">
        <v>39</v>
      </c>
      <c r="E2189" s="76" t="s">
        <v>22</v>
      </c>
      <c r="F2189" s="77">
        <v>45657</v>
      </c>
      <c r="G2189" s="76">
        <v>2024</v>
      </c>
      <c r="H2189" s="76" t="s">
        <v>27</v>
      </c>
      <c r="I2189" s="76" t="s">
        <v>36</v>
      </c>
      <c r="J2189" s="76">
        <v>100</v>
      </c>
      <c r="K2189" s="76">
        <v>97</v>
      </c>
      <c r="L2189" s="78">
        <f t="shared" si="226"/>
        <v>0.97</v>
      </c>
      <c r="M2189" s="78">
        <f t="shared" si="227"/>
        <v>0.97</v>
      </c>
      <c r="N2189" s="76" t="s">
        <v>25</v>
      </c>
      <c r="O2189" s="76" t="s">
        <v>25</v>
      </c>
      <c r="P2189" s="76">
        <v>0</v>
      </c>
      <c r="Q2189" s="76">
        <v>0</v>
      </c>
      <c r="R2189" s="76" t="s">
        <v>3171</v>
      </c>
      <c r="S2189" s="76"/>
    </row>
    <row r="2190" spans="1:19" x14ac:dyDescent="0.3">
      <c r="A2190" s="76" t="s">
        <v>3172</v>
      </c>
      <c r="B2190" s="76" t="s">
        <v>3173</v>
      </c>
      <c r="C2190" s="76" t="s">
        <v>1263</v>
      </c>
      <c r="D2190" s="76" t="s">
        <v>39</v>
      </c>
      <c r="E2190" s="76" t="s">
        <v>22</v>
      </c>
      <c r="F2190" s="77">
        <v>45107</v>
      </c>
      <c r="G2190" s="76">
        <v>2023</v>
      </c>
      <c r="H2190" s="76" t="s">
        <v>23</v>
      </c>
      <c r="I2190" s="76" t="s">
        <v>30</v>
      </c>
      <c r="J2190" s="76">
        <v>62</v>
      </c>
      <c r="K2190" s="76">
        <v>64</v>
      </c>
      <c r="L2190" s="78">
        <f t="shared" si="226"/>
        <v>1</v>
      </c>
      <c r="M2190" s="78">
        <f t="shared" si="227"/>
        <v>1</v>
      </c>
      <c r="N2190" s="76" t="s">
        <v>25</v>
      </c>
      <c r="O2190" s="76" t="s">
        <v>25</v>
      </c>
      <c r="P2190" s="76">
        <v>0</v>
      </c>
      <c r="Q2190" s="76">
        <v>0</v>
      </c>
      <c r="R2190" s="76" t="s">
        <v>3174</v>
      </c>
      <c r="S2190" s="76"/>
    </row>
    <row r="2191" spans="1:19" x14ac:dyDescent="0.3">
      <c r="A2191" s="76" t="s">
        <v>3172</v>
      </c>
      <c r="B2191" s="76" t="s">
        <v>3173</v>
      </c>
      <c r="C2191" s="76" t="s">
        <v>1263</v>
      </c>
      <c r="D2191" s="76" t="s">
        <v>39</v>
      </c>
      <c r="E2191" s="76" t="s">
        <v>22</v>
      </c>
      <c r="F2191" s="77">
        <v>45199</v>
      </c>
      <c r="G2191" s="76">
        <v>2023</v>
      </c>
      <c r="H2191" s="76" t="s">
        <v>43</v>
      </c>
      <c r="I2191" s="76" t="s">
        <v>32</v>
      </c>
      <c r="J2191" s="76">
        <v>89.04</v>
      </c>
      <c r="K2191" s="76">
        <v>92.95</v>
      </c>
      <c r="L2191" s="78">
        <f t="shared" si="226"/>
        <v>1</v>
      </c>
      <c r="M2191" s="78">
        <f t="shared" si="227"/>
        <v>1</v>
      </c>
      <c r="N2191" s="76" t="s">
        <v>25</v>
      </c>
      <c r="O2191" s="76" t="s">
        <v>25</v>
      </c>
      <c r="P2191" s="76">
        <v>0</v>
      </c>
      <c r="Q2191" s="76">
        <v>0</v>
      </c>
      <c r="R2191" s="76" t="s">
        <v>3175</v>
      </c>
      <c r="S2191" s="76"/>
    </row>
    <row r="2192" spans="1:19" x14ac:dyDescent="0.3">
      <c r="A2192" s="76" t="s">
        <v>3172</v>
      </c>
      <c r="B2192" s="76" t="s">
        <v>3173</v>
      </c>
      <c r="C2192" s="76" t="s">
        <v>1263</v>
      </c>
      <c r="D2192" s="76" t="s">
        <v>39</v>
      </c>
      <c r="E2192" s="76" t="s">
        <v>22</v>
      </c>
      <c r="F2192" s="77">
        <v>45291</v>
      </c>
      <c r="G2192" s="76">
        <v>2023</v>
      </c>
      <c r="H2192" s="76" t="s">
        <v>27</v>
      </c>
      <c r="I2192" s="76" t="s">
        <v>32</v>
      </c>
      <c r="J2192" s="76">
        <v>100</v>
      </c>
      <c r="K2192" s="76">
        <v>99</v>
      </c>
      <c r="L2192" s="78">
        <f t="shared" si="226"/>
        <v>0.99</v>
      </c>
      <c r="M2192" s="78">
        <f t="shared" si="227"/>
        <v>0.99</v>
      </c>
      <c r="N2192" s="76" t="s">
        <v>25</v>
      </c>
      <c r="O2192" s="76" t="s">
        <v>25</v>
      </c>
      <c r="P2192" s="76">
        <v>0</v>
      </c>
      <c r="Q2192" s="76">
        <v>0</v>
      </c>
      <c r="R2192" s="76" t="s">
        <v>3176</v>
      </c>
      <c r="S2192" s="76"/>
    </row>
    <row r="2193" spans="1:19" x14ac:dyDescent="0.3">
      <c r="A2193" s="76" t="s">
        <v>3172</v>
      </c>
      <c r="B2193" s="76" t="s">
        <v>3173</v>
      </c>
      <c r="C2193" s="76" t="s">
        <v>1263</v>
      </c>
      <c r="D2193" s="76" t="s">
        <v>39</v>
      </c>
      <c r="E2193" s="76" t="s">
        <v>22</v>
      </c>
      <c r="F2193" s="77">
        <v>45382</v>
      </c>
      <c r="G2193" s="76">
        <v>2024</v>
      </c>
      <c r="H2193" s="76" t="s">
        <v>40</v>
      </c>
      <c r="I2193" s="76" t="s">
        <v>34</v>
      </c>
      <c r="J2193" s="76">
        <v>36.729999999999997</v>
      </c>
      <c r="K2193" s="76">
        <v>25</v>
      </c>
      <c r="L2193" s="78">
        <f t="shared" si="226"/>
        <v>0.68064252654505863</v>
      </c>
      <c r="M2193" s="78">
        <f t="shared" si="227"/>
        <v>0.68064252654505863</v>
      </c>
      <c r="N2193" s="76" t="s">
        <v>25</v>
      </c>
      <c r="O2193" s="76" t="s">
        <v>25</v>
      </c>
      <c r="P2193" s="76">
        <v>0</v>
      </c>
      <c r="Q2193" s="76">
        <v>0</v>
      </c>
      <c r="R2193" s="76" t="s">
        <v>3177</v>
      </c>
      <c r="S2193" s="76"/>
    </row>
    <row r="2194" spans="1:19" x14ac:dyDescent="0.3">
      <c r="A2194" s="76" t="s">
        <v>3172</v>
      </c>
      <c r="B2194" s="76" t="s">
        <v>3173</v>
      </c>
      <c r="C2194" s="76" t="s">
        <v>1263</v>
      </c>
      <c r="D2194" s="76" t="s">
        <v>39</v>
      </c>
      <c r="E2194" s="76" t="s">
        <v>22</v>
      </c>
      <c r="F2194" s="77">
        <v>45473</v>
      </c>
      <c r="G2194" s="76">
        <v>2024</v>
      </c>
      <c r="H2194" s="76" t="s">
        <v>23</v>
      </c>
      <c r="I2194" s="76" t="s">
        <v>34</v>
      </c>
      <c r="J2194" s="76">
        <v>48.75</v>
      </c>
      <c r="K2194" s="76">
        <v>48.75</v>
      </c>
      <c r="L2194" s="78">
        <f t="shared" si="226"/>
        <v>1</v>
      </c>
      <c r="M2194" s="78">
        <f t="shared" si="227"/>
        <v>1</v>
      </c>
      <c r="N2194" s="76" t="s">
        <v>25</v>
      </c>
      <c r="O2194" s="76" t="s">
        <v>25</v>
      </c>
      <c r="P2194" s="76">
        <v>0</v>
      </c>
      <c r="Q2194" s="76">
        <v>0</v>
      </c>
      <c r="R2194" s="76" t="s">
        <v>3178</v>
      </c>
      <c r="S2194" s="76"/>
    </row>
    <row r="2195" spans="1:19" x14ac:dyDescent="0.3">
      <c r="A2195" s="76" t="s">
        <v>3172</v>
      </c>
      <c r="B2195" s="76" t="s">
        <v>3173</v>
      </c>
      <c r="C2195" s="76" t="s">
        <v>1263</v>
      </c>
      <c r="D2195" s="76" t="s">
        <v>39</v>
      </c>
      <c r="E2195" s="76" t="s">
        <v>22</v>
      </c>
      <c r="F2195" s="77">
        <v>45565</v>
      </c>
      <c r="G2195" s="76">
        <v>2024</v>
      </c>
      <c r="H2195" s="76" t="s">
        <v>43</v>
      </c>
      <c r="I2195" s="76" t="s">
        <v>36</v>
      </c>
      <c r="J2195" s="76">
        <v>90</v>
      </c>
      <c r="K2195" s="76">
        <v>89</v>
      </c>
      <c r="L2195" s="78">
        <f t="shared" si="226"/>
        <v>0.98888888888888893</v>
      </c>
      <c r="M2195" s="78">
        <f t="shared" si="227"/>
        <v>0.98888888888888893</v>
      </c>
      <c r="N2195" s="76" t="s">
        <v>25</v>
      </c>
      <c r="O2195" s="76" t="s">
        <v>25</v>
      </c>
      <c r="P2195" s="76">
        <v>0</v>
      </c>
      <c r="Q2195" s="76">
        <v>0</v>
      </c>
      <c r="R2195" s="76" t="s">
        <v>3179</v>
      </c>
      <c r="S2195" s="76"/>
    </row>
    <row r="2196" spans="1:19" x14ac:dyDescent="0.3">
      <c r="A2196" s="76" t="s">
        <v>3172</v>
      </c>
      <c r="B2196" s="76" t="s">
        <v>3173</v>
      </c>
      <c r="C2196" s="76" t="s">
        <v>1263</v>
      </c>
      <c r="D2196" s="76" t="s">
        <v>39</v>
      </c>
      <c r="E2196" s="76" t="s">
        <v>22</v>
      </c>
      <c r="F2196" s="77">
        <v>45657</v>
      </c>
      <c r="G2196" s="76">
        <v>2024</v>
      </c>
      <c r="H2196" s="76" t="s">
        <v>27</v>
      </c>
      <c r="I2196" s="76" t="s">
        <v>36</v>
      </c>
      <c r="J2196" s="76">
        <v>100</v>
      </c>
      <c r="K2196" s="76">
        <v>99</v>
      </c>
      <c r="L2196" s="78">
        <f t="shared" si="226"/>
        <v>0.99</v>
      </c>
      <c r="M2196" s="78">
        <f t="shared" si="227"/>
        <v>0.99</v>
      </c>
      <c r="N2196" s="76" t="s">
        <v>25</v>
      </c>
      <c r="O2196" s="76" t="s">
        <v>25</v>
      </c>
      <c r="P2196" s="76">
        <v>0</v>
      </c>
      <c r="Q2196" s="76">
        <v>0</v>
      </c>
      <c r="R2196" s="76" t="s">
        <v>3180</v>
      </c>
      <c r="S2196" s="76"/>
    </row>
    <row r="2197" spans="1:19" x14ac:dyDescent="0.3">
      <c r="A2197" s="76" t="s">
        <v>3181</v>
      </c>
      <c r="B2197" s="76" t="s">
        <v>3182</v>
      </c>
      <c r="C2197" s="76" t="s">
        <v>1263</v>
      </c>
      <c r="D2197" s="76" t="s">
        <v>39</v>
      </c>
      <c r="E2197" s="76" t="s">
        <v>22</v>
      </c>
      <c r="F2197" s="77">
        <v>45107</v>
      </c>
      <c r="G2197" s="76">
        <v>2023</v>
      </c>
      <c r="H2197" s="76" t="s">
        <v>23</v>
      </c>
      <c r="I2197" s="76" t="s">
        <v>30</v>
      </c>
      <c r="J2197" s="76">
        <v>52</v>
      </c>
      <c r="K2197" s="76">
        <v>63</v>
      </c>
      <c r="L2197" s="78">
        <f t="shared" si="226"/>
        <v>1</v>
      </c>
      <c r="M2197" s="78">
        <f t="shared" si="227"/>
        <v>1</v>
      </c>
      <c r="N2197" s="76" t="s">
        <v>25</v>
      </c>
      <c r="O2197" s="76" t="s">
        <v>25</v>
      </c>
      <c r="P2197" s="76">
        <v>0</v>
      </c>
      <c r="Q2197" s="76">
        <v>0</v>
      </c>
      <c r="R2197" s="76" t="s">
        <v>3183</v>
      </c>
      <c r="S2197" s="76"/>
    </row>
    <row r="2198" spans="1:19" x14ac:dyDescent="0.3">
      <c r="A2198" s="76" t="s">
        <v>3181</v>
      </c>
      <c r="B2198" s="76" t="s">
        <v>3182</v>
      </c>
      <c r="C2198" s="76" t="s">
        <v>1263</v>
      </c>
      <c r="D2198" s="76" t="s">
        <v>39</v>
      </c>
      <c r="E2198" s="76" t="s">
        <v>22</v>
      </c>
      <c r="F2198" s="77">
        <v>45199</v>
      </c>
      <c r="G2198" s="76">
        <v>2023</v>
      </c>
      <c r="H2198" s="76" t="s">
        <v>43</v>
      </c>
      <c r="I2198" s="76" t="s">
        <v>32</v>
      </c>
      <c r="J2198" s="76">
        <v>89.67</v>
      </c>
      <c r="K2198" s="76">
        <v>91.75</v>
      </c>
      <c r="L2198" s="78">
        <f t="shared" si="226"/>
        <v>1</v>
      </c>
      <c r="M2198" s="78">
        <f t="shared" si="227"/>
        <v>1</v>
      </c>
      <c r="N2198" s="76" t="s">
        <v>25</v>
      </c>
      <c r="O2198" s="76" t="s">
        <v>25</v>
      </c>
      <c r="P2198" s="76">
        <v>0</v>
      </c>
      <c r="Q2198" s="76">
        <v>0</v>
      </c>
      <c r="R2198" s="76" t="s">
        <v>3184</v>
      </c>
      <c r="S2198" s="76"/>
    </row>
    <row r="2199" spans="1:19" x14ac:dyDescent="0.3">
      <c r="A2199" s="76" t="s">
        <v>3181</v>
      </c>
      <c r="B2199" s="76" t="s">
        <v>3182</v>
      </c>
      <c r="C2199" s="76" t="s">
        <v>1263</v>
      </c>
      <c r="D2199" s="76" t="s">
        <v>39</v>
      </c>
      <c r="E2199" s="76" t="s">
        <v>22</v>
      </c>
      <c r="F2199" s="77">
        <v>45291</v>
      </c>
      <c r="G2199" s="76">
        <v>2023</v>
      </c>
      <c r="H2199" s="76" t="s">
        <v>27</v>
      </c>
      <c r="I2199" s="76" t="s">
        <v>32</v>
      </c>
      <c r="J2199" s="76">
        <v>100</v>
      </c>
      <c r="K2199" s="76">
        <v>98.75</v>
      </c>
      <c r="L2199" s="78">
        <f t="shared" si="226"/>
        <v>0.98750000000000004</v>
      </c>
      <c r="M2199" s="78">
        <f t="shared" si="227"/>
        <v>0.98750000000000004</v>
      </c>
      <c r="N2199" s="76" t="s">
        <v>25</v>
      </c>
      <c r="O2199" s="76" t="s">
        <v>25</v>
      </c>
      <c r="P2199" s="76">
        <v>0</v>
      </c>
      <c r="Q2199" s="76">
        <v>0</v>
      </c>
      <c r="R2199" s="76" t="s">
        <v>3185</v>
      </c>
      <c r="S2199" s="76"/>
    </row>
    <row r="2200" spans="1:19" x14ac:dyDescent="0.3">
      <c r="A2200" s="76" t="s">
        <v>3181</v>
      </c>
      <c r="B2200" s="76" t="s">
        <v>3182</v>
      </c>
      <c r="C2200" s="76" t="s">
        <v>1263</v>
      </c>
      <c r="D2200" s="76" t="s">
        <v>39</v>
      </c>
      <c r="E2200" s="76" t="s">
        <v>22</v>
      </c>
      <c r="F2200" s="77">
        <v>45382</v>
      </c>
      <c r="G2200" s="76">
        <v>2024</v>
      </c>
      <c r="H2200" s="76" t="s">
        <v>40</v>
      </c>
      <c r="I2200" s="76" t="s">
        <v>34</v>
      </c>
      <c r="J2200" s="76">
        <v>28.76</v>
      </c>
      <c r="K2200" s="76">
        <v>28.75</v>
      </c>
      <c r="L2200" s="78">
        <f t="shared" si="226"/>
        <v>0.99965229485396379</v>
      </c>
      <c r="M2200" s="78">
        <f t="shared" si="227"/>
        <v>0.99965229485396379</v>
      </c>
      <c r="N2200" s="76" t="s">
        <v>25</v>
      </c>
      <c r="O2200" s="76" t="s">
        <v>25</v>
      </c>
      <c r="P2200" s="76">
        <v>0</v>
      </c>
      <c r="Q2200" s="76">
        <v>0</v>
      </c>
      <c r="R2200" s="76" t="s">
        <v>3186</v>
      </c>
      <c r="S2200" s="76"/>
    </row>
    <row r="2201" spans="1:19" x14ac:dyDescent="0.3">
      <c r="A2201" s="76" t="s">
        <v>3181</v>
      </c>
      <c r="B2201" s="76" t="s">
        <v>3182</v>
      </c>
      <c r="C2201" s="76" t="s">
        <v>1263</v>
      </c>
      <c r="D2201" s="76" t="s">
        <v>39</v>
      </c>
      <c r="E2201" s="76" t="s">
        <v>22</v>
      </c>
      <c r="F2201" s="77">
        <v>45473</v>
      </c>
      <c r="G2201" s="76">
        <v>2024</v>
      </c>
      <c r="H2201" s="76" t="s">
        <v>23</v>
      </c>
      <c r="I2201" s="76" t="s">
        <v>34</v>
      </c>
      <c r="J2201" s="76">
        <v>47.2</v>
      </c>
      <c r="K2201" s="76">
        <v>49.23</v>
      </c>
      <c r="L2201" s="78">
        <f t="shared" si="226"/>
        <v>1</v>
      </c>
      <c r="M2201" s="78">
        <f t="shared" si="227"/>
        <v>1</v>
      </c>
      <c r="N2201" s="76" t="s">
        <v>25</v>
      </c>
      <c r="O2201" s="76" t="s">
        <v>25</v>
      </c>
      <c r="P2201" s="76">
        <v>0</v>
      </c>
      <c r="Q2201" s="76">
        <v>0</v>
      </c>
      <c r="R2201" s="76" t="s">
        <v>3187</v>
      </c>
      <c r="S2201" s="76"/>
    </row>
    <row r="2202" spans="1:19" x14ac:dyDescent="0.3">
      <c r="A2202" s="76" t="s">
        <v>3181</v>
      </c>
      <c r="B2202" s="76" t="s">
        <v>3182</v>
      </c>
      <c r="C2202" s="76" t="s">
        <v>1263</v>
      </c>
      <c r="D2202" s="76" t="s">
        <v>39</v>
      </c>
      <c r="E2202" s="76" t="s">
        <v>22</v>
      </c>
      <c r="F2202" s="77">
        <v>45565</v>
      </c>
      <c r="G2202" s="76">
        <v>2024</v>
      </c>
      <c r="H2202" s="76" t="s">
        <v>43</v>
      </c>
      <c r="I2202" s="76" t="s">
        <v>36</v>
      </c>
      <c r="J2202" s="76">
        <v>82</v>
      </c>
      <c r="K2202" s="76">
        <v>86</v>
      </c>
      <c r="L2202" s="78">
        <f t="shared" si="226"/>
        <v>1</v>
      </c>
      <c r="M2202" s="78">
        <f t="shared" si="227"/>
        <v>1</v>
      </c>
      <c r="N2202" s="76" t="s">
        <v>25</v>
      </c>
      <c r="O2202" s="76" t="s">
        <v>25</v>
      </c>
      <c r="P2202" s="76">
        <v>0</v>
      </c>
      <c r="Q2202" s="76">
        <v>0</v>
      </c>
      <c r="R2202" s="76" t="s">
        <v>3188</v>
      </c>
      <c r="S2202" s="76"/>
    </row>
    <row r="2203" spans="1:19" x14ac:dyDescent="0.3">
      <c r="A2203" s="76" t="s">
        <v>3181</v>
      </c>
      <c r="B2203" s="76" t="s">
        <v>3182</v>
      </c>
      <c r="C2203" s="76" t="s">
        <v>1263</v>
      </c>
      <c r="D2203" s="76" t="s">
        <v>39</v>
      </c>
      <c r="E2203" s="76" t="s">
        <v>22</v>
      </c>
      <c r="F2203" s="77">
        <v>45657</v>
      </c>
      <c r="G2203" s="76">
        <v>2024</v>
      </c>
      <c r="H2203" s="76" t="s">
        <v>27</v>
      </c>
      <c r="I2203" s="76" t="s">
        <v>36</v>
      </c>
      <c r="J2203" s="76">
        <v>100</v>
      </c>
      <c r="K2203" s="76">
        <v>97</v>
      </c>
      <c r="L2203" s="78">
        <f t="shared" si="226"/>
        <v>0.97</v>
      </c>
      <c r="M2203" s="78">
        <f t="shared" si="227"/>
        <v>0.97</v>
      </c>
      <c r="N2203" s="76" t="s">
        <v>25</v>
      </c>
      <c r="O2203" s="76" t="s">
        <v>25</v>
      </c>
      <c r="P2203" s="76">
        <v>0</v>
      </c>
      <c r="Q2203" s="76">
        <v>0</v>
      </c>
      <c r="R2203" s="76" t="s">
        <v>3189</v>
      </c>
      <c r="S2203" s="76"/>
    </row>
    <row r="2204" spans="1:19" x14ac:dyDescent="0.3">
      <c r="A2204" s="76" t="s">
        <v>3190</v>
      </c>
      <c r="B2204" s="76" t="s">
        <v>3191</v>
      </c>
      <c r="C2204" s="76" t="s">
        <v>1263</v>
      </c>
      <c r="D2204" s="76" t="s">
        <v>39</v>
      </c>
      <c r="E2204" s="76" t="s">
        <v>22</v>
      </c>
      <c r="F2204" s="77">
        <v>45107</v>
      </c>
      <c r="G2204" s="76">
        <v>2023</v>
      </c>
      <c r="H2204" s="76" t="s">
        <v>23</v>
      </c>
      <c r="I2204" s="76" t="s">
        <v>30</v>
      </c>
      <c r="J2204" s="76">
        <v>43</v>
      </c>
      <c r="K2204" s="76">
        <v>46</v>
      </c>
      <c r="L2204" s="78">
        <f t="shared" si="226"/>
        <v>1</v>
      </c>
      <c r="M2204" s="78">
        <f t="shared" si="227"/>
        <v>1</v>
      </c>
      <c r="N2204" s="76" t="s">
        <v>25</v>
      </c>
      <c r="O2204" s="76" t="s">
        <v>25</v>
      </c>
      <c r="P2204" s="76">
        <v>0</v>
      </c>
      <c r="Q2204" s="76">
        <v>0</v>
      </c>
      <c r="R2204" s="76" t="s">
        <v>3192</v>
      </c>
      <c r="S2204" s="76"/>
    </row>
    <row r="2205" spans="1:19" x14ac:dyDescent="0.3">
      <c r="A2205" s="76" t="s">
        <v>3190</v>
      </c>
      <c r="B2205" s="76" t="s">
        <v>3191</v>
      </c>
      <c r="C2205" s="76" t="s">
        <v>1263</v>
      </c>
      <c r="D2205" s="76" t="s">
        <v>39</v>
      </c>
      <c r="E2205" s="76" t="s">
        <v>22</v>
      </c>
      <c r="F2205" s="77">
        <v>45199</v>
      </c>
      <c r="G2205" s="76">
        <v>2023</v>
      </c>
      <c r="H2205" s="76" t="s">
        <v>43</v>
      </c>
      <c r="I2205" s="76" t="s">
        <v>32</v>
      </c>
      <c r="J2205" s="76">
        <v>87.77</v>
      </c>
      <c r="K2205" s="76">
        <v>54.95</v>
      </c>
      <c r="L2205" s="78">
        <f t="shared" si="226"/>
        <v>0.62606813261934613</v>
      </c>
      <c r="M2205" s="78">
        <f t="shared" si="227"/>
        <v>0.62606813261934613</v>
      </c>
      <c r="N2205" s="76" t="s">
        <v>25</v>
      </c>
      <c r="O2205" s="76" t="s">
        <v>25</v>
      </c>
      <c r="P2205" s="76">
        <v>0</v>
      </c>
      <c r="Q2205" s="76">
        <v>0</v>
      </c>
      <c r="R2205" s="76" t="s">
        <v>3193</v>
      </c>
      <c r="S2205" s="76"/>
    </row>
    <row r="2206" spans="1:19" x14ac:dyDescent="0.3">
      <c r="A2206" s="76" t="s">
        <v>3190</v>
      </c>
      <c r="B2206" s="76" t="s">
        <v>3191</v>
      </c>
      <c r="C2206" s="76" t="s">
        <v>1263</v>
      </c>
      <c r="D2206" s="76" t="s">
        <v>39</v>
      </c>
      <c r="E2206" s="76" t="s">
        <v>22</v>
      </c>
      <c r="F2206" s="77">
        <v>45291</v>
      </c>
      <c r="G2206" s="76">
        <v>2023</v>
      </c>
      <c r="H2206" s="76" t="s">
        <v>27</v>
      </c>
      <c r="I2206" s="76" t="s">
        <v>32</v>
      </c>
      <c r="J2206" s="76">
        <v>100</v>
      </c>
      <c r="K2206" s="76">
        <v>87.5</v>
      </c>
      <c r="L2206" s="78">
        <f t="shared" si="226"/>
        <v>0.875</v>
      </c>
      <c r="M2206" s="78">
        <f t="shared" si="227"/>
        <v>0.875</v>
      </c>
      <c r="N2206" s="76" t="s">
        <v>25</v>
      </c>
      <c r="O2206" s="76" t="s">
        <v>25</v>
      </c>
      <c r="P2206" s="76">
        <v>0</v>
      </c>
      <c r="Q2206" s="76">
        <v>0</v>
      </c>
      <c r="R2206" s="76" t="s">
        <v>3194</v>
      </c>
      <c r="S2206" s="76"/>
    </row>
    <row r="2207" spans="1:19" x14ac:dyDescent="0.3">
      <c r="A2207" s="76" t="s">
        <v>3190</v>
      </c>
      <c r="B2207" s="76" t="s">
        <v>3191</v>
      </c>
      <c r="C2207" s="76" t="s">
        <v>1263</v>
      </c>
      <c r="D2207" s="76" t="s">
        <v>39</v>
      </c>
      <c r="E2207" s="76" t="s">
        <v>22</v>
      </c>
      <c r="F2207" s="77">
        <v>45382</v>
      </c>
      <c r="G2207" s="76">
        <v>2024</v>
      </c>
      <c r="H2207" s="76" t="s">
        <v>40</v>
      </c>
      <c r="I2207" s="76" t="s">
        <v>34</v>
      </c>
      <c r="J2207" s="76">
        <v>36.56</v>
      </c>
      <c r="K2207" s="76">
        <v>47.29</v>
      </c>
      <c r="L2207" s="78">
        <f t="shared" si="226"/>
        <v>1</v>
      </c>
      <c r="M2207" s="78">
        <f t="shared" si="227"/>
        <v>1</v>
      </c>
      <c r="N2207" s="76" t="s">
        <v>25</v>
      </c>
      <c r="O2207" s="76" t="s">
        <v>25</v>
      </c>
      <c r="P2207" s="76">
        <v>0</v>
      </c>
      <c r="Q2207" s="76">
        <v>0</v>
      </c>
      <c r="R2207" s="76" t="s">
        <v>3195</v>
      </c>
      <c r="S2207" s="76"/>
    </row>
    <row r="2208" spans="1:19" x14ac:dyDescent="0.3">
      <c r="A2208" s="76" t="s">
        <v>3190</v>
      </c>
      <c r="B2208" s="76" t="s">
        <v>3191</v>
      </c>
      <c r="C2208" s="76" t="s">
        <v>1263</v>
      </c>
      <c r="D2208" s="76" t="s">
        <v>39</v>
      </c>
      <c r="E2208" s="76" t="s">
        <v>22</v>
      </c>
      <c r="F2208" s="77">
        <v>45473</v>
      </c>
      <c r="G2208" s="76">
        <v>2024</v>
      </c>
      <c r="H2208" s="76" t="s">
        <v>23</v>
      </c>
      <c r="I2208" s="76" t="s">
        <v>34</v>
      </c>
      <c r="J2208" s="76">
        <v>49.54</v>
      </c>
      <c r="K2208" s="76">
        <v>67.12</v>
      </c>
      <c r="L2208" s="78">
        <f t="shared" si="226"/>
        <v>1</v>
      </c>
      <c r="M2208" s="78">
        <f t="shared" si="227"/>
        <v>1</v>
      </c>
      <c r="N2208" s="76" t="s">
        <v>25</v>
      </c>
      <c r="O2208" s="76" t="s">
        <v>25</v>
      </c>
      <c r="P2208" s="76">
        <v>0</v>
      </c>
      <c r="Q2208" s="76">
        <v>0</v>
      </c>
      <c r="R2208" s="76" t="s">
        <v>3196</v>
      </c>
      <c r="S2208" s="76"/>
    </row>
    <row r="2209" spans="1:19" x14ac:dyDescent="0.3">
      <c r="A2209" s="76" t="s">
        <v>3190</v>
      </c>
      <c r="B2209" s="76" t="s">
        <v>3191</v>
      </c>
      <c r="C2209" s="76" t="s">
        <v>1263</v>
      </c>
      <c r="D2209" s="76" t="s">
        <v>39</v>
      </c>
      <c r="E2209" s="76" t="s">
        <v>22</v>
      </c>
      <c r="F2209" s="77">
        <v>45565</v>
      </c>
      <c r="G2209" s="76">
        <v>2024</v>
      </c>
      <c r="H2209" s="76" t="s">
        <v>43</v>
      </c>
      <c r="I2209" s="76" t="s">
        <v>36</v>
      </c>
      <c r="J2209" s="76">
        <v>80</v>
      </c>
      <c r="K2209" s="76">
        <v>87</v>
      </c>
      <c r="L2209" s="78">
        <f t="shared" si="226"/>
        <v>1</v>
      </c>
      <c r="M2209" s="78">
        <f t="shared" si="227"/>
        <v>1</v>
      </c>
      <c r="N2209" s="76" t="s">
        <v>25</v>
      </c>
      <c r="O2209" s="76" t="s">
        <v>25</v>
      </c>
      <c r="P2209" s="76">
        <v>0</v>
      </c>
      <c r="Q2209" s="76">
        <v>0</v>
      </c>
      <c r="R2209" s="76" t="s">
        <v>3197</v>
      </c>
      <c r="S2209" s="76"/>
    </row>
    <row r="2210" spans="1:19" x14ac:dyDescent="0.3">
      <c r="A2210" s="76" t="s">
        <v>3190</v>
      </c>
      <c r="B2210" s="76" t="s">
        <v>3191</v>
      </c>
      <c r="C2210" s="76" t="s">
        <v>1263</v>
      </c>
      <c r="D2210" s="76" t="s">
        <v>39</v>
      </c>
      <c r="E2210" s="76" t="s">
        <v>22</v>
      </c>
      <c r="F2210" s="77">
        <v>45657</v>
      </c>
      <c r="G2210" s="76">
        <v>2024</v>
      </c>
      <c r="H2210" s="76" t="s">
        <v>27</v>
      </c>
      <c r="I2210" s="76" t="s">
        <v>36</v>
      </c>
      <c r="J2210" s="76">
        <v>100</v>
      </c>
      <c r="K2210" s="76">
        <v>100</v>
      </c>
      <c r="L2210" s="78">
        <f t="shared" si="226"/>
        <v>1</v>
      </c>
      <c r="M2210" s="78">
        <f t="shared" si="227"/>
        <v>1</v>
      </c>
      <c r="N2210" s="76" t="s">
        <v>25</v>
      </c>
      <c r="O2210" s="76" t="s">
        <v>25</v>
      </c>
      <c r="P2210" s="76">
        <v>0</v>
      </c>
      <c r="Q2210" s="76">
        <v>0</v>
      </c>
      <c r="R2210" s="76" t="s">
        <v>3198</v>
      </c>
      <c r="S2210" s="76"/>
    </row>
    <row r="2211" spans="1:19" x14ac:dyDescent="0.3">
      <c r="A2211" s="76" t="s">
        <v>3199</v>
      </c>
      <c r="B2211" s="76" t="s">
        <v>3200</v>
      </c>
      <c r="C2211" s="76" t="s">
        <v>1263</v>
      </c>
      <c r="D2211" s="76" t="s">
        <v>39</v>
      </c>
      <c r="E2211" s="76" t="s">
        <v>22</v>
      </c>
      <c r="F2211" s="77">
        <v>45107</v>
      </c>
      <c r="G2211" s="76">
        <v>2023</v>
      </c>
      <c r="H2211" s="76" t="s">
        <v>23</v>
      </c>
      <c r="I2211" s="76" t="s">
        <v>30</v>
      </c>
      <c r="J2211" s="76">
        <v>56</v>
      </c>
      <c r="K2211" s="76">
        <v>63</v>
      </c>
      <c r="L2211" s="78">
        <f t="shared" ref="L2211:L2245" si="228">IFERROR(IF(OR(J2211=0,K2211=""),"",IF(E2211="Positivo",MIN(MAX(K2211/J2211,0),1),MIN(MAX(J2211/K2211,0),1))),"")</f>
        <v>1</v>
      </c>
      <c r="M2211" s="78">
        <f t="shared" ref="M2211:M2245" si="229">IFERROR(IF(OR(J2211=0,K2211=""),"",IF(E2211="Positivo",MIN(MAX(K2211/J2211,0),1),MIN(MAX(J2211/K2211,0),1))),"")</f>
        <v>1</v>
      </c>
      <c r="N2211" s="76" t="s">
        <v>25</v>
      </c>
      <c r="O2211" s="76" t="s">
        <v>25</v>
      </c>
      <c r="P2211" s="76">
        <v>0</v>
      </c>
      <c r="Q2211" s="76">
        <v>0</v>
      </c>
      <c r="R2211" s="76" t="s">
        <v>3201</v>
      </c>
      <c r="S2211" s="76"/>
    </row>
    <row r="2212" spans="1:19" x14ac:dyDescent="0.3">
      <c r="A2212" s="76" t="s">
        <v>3199</v>
      </c>
      <c r="B2212" s="76" t="s">
        <v>3200</v>
      </c>
      <c r="C2212" s="76" t="s">
        <v>1263</v>
      </c>
      <c r="D2212" s="76" t="s">
        <v>39</v>
      </c>
      <c r="E2212" s="76" t="s">
        <v>22</v>
      </c>
      <c r="F2212" s="77">
        <v>45199</v>
      </c>
      <c r="G2212" s="76">
        <v>2023</v>
      </c>
      <c r="H2212" s="76" t="s">
        <v>43</v>
      </c>
      <c r="I2212" s="76" t="s">
        <v>32</v>
      </c>
      <c r="J2212" s="76">
        <v>90.56</v>
      </c>
      <c r="K2212" s="76">
        <v>79.73</v>
      </c>
      <c r="L2212" s="78">
        <f t="shared" si="228"/>
        <v>0.88041077738515905</v>
      </c>
      <c r="M2212" s="78">
        <f t="shared" si="229"/>
        <v>0.88041077738515905</v>
      </c>
      <c r="N2212" s="76" t="s">
        <v>25</v>
      </c>
      <c r="O2212" s="76" t="s">
        <v>25</v>
      </c>
      <c r="P2212" s="76">
        <v>0</v>
      </c>
      <c r="Q2212" s="76">
        <v>0</v>
      </c>
      <c r="R2212" s="76" t="s">
        <v>3202</v>
      </c>
      <c r="S2212" s="76"/>
    </row>
    <row r="2213" spans="1:19" x14ac:dyDescent="0.3">
      <c r="A2213" s="76" t="s">
        <v>3199</v>
      </c>
      <c r="B2213" s="76" t="s">
        <v>3200</v>
      </c>
      <c r="C2213" s="76" t="s">
        <v>1263</v>
      </c>
      <c r="D2213" s="76" t="s">
        <v>39</v>
      </c>
      <c r="E2213" s="76" t="s">
        <v>22</v>
      </c>
      <c r="F2213" s="77">
        <v>45291</v>
      </c>
      <c r="G2213" s="76">
        <v>2023</v>
      </c>
      <c r="H2213" s="76" t="s">
        <v>27</v>
      </c>
      <c r="I2213" s="76" t="s">
        <v>32</v>
      </c>
      <c r="J2213" s="76">
        <v>100</v>
      </c>
      <c r="K2213" s="76">
        <v>90.95</v>
      </c>
      <c r="L2213" s="78">
        <f t="shared" si="228"/>
        <v>0.90949999999999998</v>
      </c>
      <c r="M2213" s="78">
        <f t="shared" si="229"/>
        <v>0.90949999999999998</v>
      </c>
      <c r="N2213" s="76" t="s">
        <v>25</v>
      </c>
      <c r="O2213" s="76" t="s">
        <v>25</v>
      </c>
      <c r="P2213" s="76">
        <v>0</v>
      </c>
      <c r="Q2213" s="76">
        <v>0</v>
      </c>
      <c r="R2213" s="76" t="s">
        <v>3203</v>
      </c>
      <c r="S2213" s="76"/>
    </row>
    <row r="2214" spans="1:19" x14ac:dyDescent="0.3">
      <c r="A2214" s="76" t="s">
        <v>3199</v>
      </c>
      <c r="B2214" s="76" t="s">
        <v>3200</v>
      </c>
      <c r="C2214" s="76" t="s">
        <v>1263</v>
      </c>
      <c r="D2214" s="76" t="s">
        <v>39</v>
      </c>
      <c r="E2214" s="76" t="s">
        <v>22</v>
      </c>
      <c r="F2214" s="77">
        <v>45382</v>
      </c>
      <c r="G2214" s="76">
        <v>2024</v>
      </c>
      <c r="H2214" s="76" t="s">
        <v>40</v>
      </c>
      <c r="I2214" s="76" t="s">
        <v>34</v>
      </c>
      <c r="J2214" s="76">
        <v>15.7</v>
      </c>
      <c r="K2214" s="76">
        <v>25</v>
      </c>
      <c r="L2214" s="78">
        <f t="shared" si="228"/>
        <v>1</v>
      </c>
      <c r="M2214" s="78">
        <f t="shared" si="229"/>
        <v>1</v>
      </c>
      <c r="N2214" s="76" t="s">
        <v>25</v>
      </c>
      <c r="O2214" s="76" t="s">
        <v>25</v>
      </c>
      <c r="P2214" s="76">
        <v>0</v>
      </c>
      <c r="Q2214" s="76">
        <v>0</v>
      </c>
      <c r="R2214" s="76" t="s">
        <v>3204</v>
      </c>
      <c r="S2214" s="76"/>
    </row>
    <row r="2215" spans="1:19" x14ac:dyDescent="0.3">
      <c r="A2215" s="76" t="s">
        <v>3199</v>
      </c>
      <c r="B2215" s="76" t="s">
        <v>3200</v>
      </c>
      <c r="C2215" s="76" t="s">
        <v>1263</v>
      </c>
      <c r="D2215" s="76" t="s">
        <v>39</v>
      </c>
      <c r="E2215" s="76" t="s">
        <v>22</v>
      </c>
      <c r="F2215" s="77">
        <v>45473</v>
      </c>
      <c r="G2215" s="76">
        <v>2024</v>
      </c>
      <c r="H2215" s="76" t="s">
        <v>23</v>
      </c>
      <c r="I2215" s="76" t="s">
        <v>34</v>
      </c>
      <c r="J2215" s="76">
        <v>42.15</v>
      </c>
      <c r="K2215" s="76">
        <v>45</v>
      </c>
      <c r="L2215" s="78">
        <f t="shared" si="228"/>
        <v>1</v>
      </c>
      <c r="M2215" s="78">
        <f t="shared" si="229"/>
        <v>1</v>
      </c>
      <c r="N2215" s="76" t="s">
        <v>25</v>
      </c>
      <c r="O2215" s="76" t="s">
        <v>25</v>
      </c>
      <c r="P2215" s="76">
        <v>0</v>
      </c>
      <c r="Q2215" s="76">
        <v>0</v>
      </c>
      <c r="R2215" s="76" t="s">
        <v>3205</v>
      </c>
      <c r="S2215" s="76"/>
    </row>
    <row r="2216" spans="1:19" x14ac:dyDescent="0.3">
      <c r="A2216" s="76" t="s">
        <v>3199</v>
      </c>
      <c r="B2216" s="76" t="s">
        <v>3200</v>
      </c>
      <c r="C2216" s="76" t="s">
        <v>1263</v>
      </c>
      <c r="D2216" s="76" t="s">
        <v>39</v>
      </c>
      <c r="E2216" s="76" t="s">
        <v>22</v>
      </c>
      <c r="F2216" s="77">
        <v>45565</v>
      </c>
      <c r="G2216" s="76">
        <v>2024</v>
      </c>
      <c r="H2216" s="76" t="s">
        <v>43</v>
      </c>
      <c r="I2216" s="76" t="s">
        <v>36</v>
      </c>
      <c r="J2216" s="76">
        <v>82</v>
      </c>
      <c r="K2216" s="76">
        <v>75</v>
      </c>
      <c r="L2216" s="78">
        <f t="shared" si="228"/>
        <v>0.91463414634146345</v>
      </c>
      <c r="M2216" s="78">
        <f t="shared" si="229"/>
        <v>0.91463414634146345</v>
      </c>
      <c r="N2216" s="76" t="s">
        <v>25</v>
      </c>
      <c r="O2216" s="76" t="s">
        <v>25</v>
      </c>
      <c r="P2216" s="76">
        <v>0</v>
      </c>
      <c r="Q2216" s="76">
        <v>0</v>
      </c>
      <c r="R2216" s="76" t="s">
        <v>3206</v>
      </c>
      <c r="S2216" s="76"/>
    </row>
    <row r="2217" spans="1:19" x14ac:dyDescent="0.3">
      <c r="A2217" s="76" t="s">
        <v>3199</v>
      </c>
      <c r="B2217" s="76" t="s">
        <v>3200</v>
      </c>
      <c r="C2217" s="76" t="s">
        <v>1263</v>
      </c>
      <c r="D2217" s="76" t="s">
        <v>39</v>
      </c>
      <c r="E2217" s="76" t="s">
        <v>22</v>
      </c>
      <c r="F2217" s="77">
        <v>45657</v>
      </c>
      <c r="G2217" s="76">
        <v>2024</v>
      </c>
      <c r="H2217" s="76" t="s">
        <v>27</v>
      </c>
      <c r="I2217" s="76" t="s">
        <v>36</v>
      </c>
      <c r="J2217" s="76">
        <v>100</v>
      </c>
      <c r="K2217" s="76">
        <v>80</v>
      </c>
      <c r="L2217" s="78">
        <f t="shared" si="228"/>
        <v>0.8</v>
      </c>
      <c r="M2217" s="78">
        <f t="shared" si="229"/>
        <v>0.8</v>
      </c>
      <c r="N2217" s="76" t="s">
        <v>25</v>
      </c>
      <c r="O2217" s="76" t="s">
        <v>25</v>
      </c>
      <c r="P2217" s="76">
        <v>0</v>
      </c>
      <c r="Q2217" s="76">
        <v>0</v>
      </c>
      <c r="R2217" s="76" t="s">
        <v>3207</v>
      </c>
      <c r="S2217" s="76"/>
    </row>
    <row r="2218" spans="1:19" x14ac:dyDescent="0.3">
      <c r="A2218" s="76" t="s">
        <v>3208</v>
      </c>
      <c r="B2218" s="76" t="s">
        <v>3209</v>
      </c>
      <c r="C2218" s="76" t="s">
        <v>1263</v>
      </c>
      <c r="D2218" s="76" t="s">
        <v>39</v>
      </c>
      <c r="E2218" s="76" t="s">
        <v>22</v>
      </c>
      <c r="F2218" s="77">
        <v>45107</v>
      </c>
      <c r="G2218" s="76">
        <v>2023</v>
      </c>
      <c r="H2218" s="76" t="s">
        <v>23</v>
      </c>
      <c r="I2218" s="76" t="s">
        <v>30</v>
      </c>
      <c r="J2218" s="76">
        <v>67</v>
      </c>
      <c r="K2218" s="76">
        <v>61</v>
      </c>
      <c r="L2218" s="78">
        <f t="shared" si="228"/>
        <v>0.91044776119402981</v>
      </c>
      <c r="M2218" s="78">
        <f t="shared" si="229"/>
        <v>0.91044776119402981</v>
      </c>
      <c r="N2218" s="76" t="s">
        <v>25</v>
      </c>
      <c r="O2218" s="76" t="s">
        <v>25</v>
      </c>
      <c r="P2218" s="76">
        <v>0</v>
      </c>
      <c r="Q2218" s="76">
        <v>0</v>
      </c>
      <c r="R2218" s="76" t="s">
        <v>3210</v>
      </c>
      <c r="S2218" s="76"/>
    </row>
    <row r="2219" spans="1:19" x14ac:dyDescent="0.3">
      <c r="A2219" s="76" t="s">
        <v>3208</v>
      </c>
      <c r="B2219" s="76" t="s">
        <v>3209</v>
      </c>
      <c r="C2219" s="76" t="s">
        <v>1263</v>
      </c>
      <c r="D2219" s="76" t="s">
        <v>39</v>
      </c>
      <c r="E2219" s="76" t="s">
        <v>22</v>
      </c>
      <c r="F2219" s="77">
        <v>45199</v>
      </c>
      <c r="G2219" s="76">
        <v>2023</v>
      </c>
      <c r="H2219" s="76" t="s">
        <v>43</v>
      </c>
      <c r="I2219" s="76" t="s">
        <v>32</v>
      </c>
      <c r="J2219" s="76">
        <v>92.58</v>
      </c>
      <c r="K2219" s="76">
        <v>96</v>
      </c>
      <c r="L2219" s="78">
        <f t="shared" si="228"/>
        <v>1</v>
      </c>
      <c r="M2219" s="78">
        <f t="shared" si="229"/>
        <v>1</v>
      </c>
      <c r="N2219" s="76" t="s">
        <v>25</v>
      </c>
      <c r="O2219" s="76" t="s">
        <v>25</v>
      </c>
      <c r="P2219" s="76">
        <v>0</v>
      </c>
      <c r="Q2219" s="76">
        <v>0</v>
      </c>
      <c r="R2219" s="76" t="s">
        <v>3211</v>
      </c>
      <c r="S2219" s="76"/>
    </row>
    <row r="2220" spans="1:19" x14ac:dyDescent="0.3">
      <c r="A2220" s="76" t="s">
        <v>3208</v>
      </c>
      <c r="B2220" s="76" t="s">
        <v>3209</v>
      </c>
      <c r="C2220" s="76" t="s">
        <v>1263</v>
      </c>
      <c r="D2220" s="76" t="s">
        <v>39</v>
      </c>
      <c r="E2220" s="76" t="s">
        <v>22</v>
      </c>
      <c r="F2220" s="77">
        <v>45291</v>
      </c>
      <c r="G2220" s="76">
        <v>2023</v>
      </c>
      <c r="H2220" s="76" t="s">
        <v>27</v>
      </c>
      <c r="I2220" s="76" t="s">
        <v>32</v>
      </c>
      <c r="J2220" s="76">
        <v>100</v>
      </c>
      <c r="K2220" s="76">
        <v>99.78</v>
      </c>
      <c r="L2220" s="78">
        <f t="shared" si="228"/>
        <v>0.99780000000000002</v>
      </c>
      <c r="M2220" s="78">
        <f t="shared" si="229"/>
        <v>0.99780000000000002</v>
      </c>
      <c r="N2220" s="76" t="s">
        <v>25</v>
      </c>
      <c r="O2220" s="76" t="s">
        <v>25</v>
      </c>
      <c r="P2220" s="76">
        <v>0</v>
      </c>
      <c r="Q2220" s="76">
        <v>0</v>
      </c>
      <c r="R2220" s="76" t="s">
        <v>3212</v>
      </c>
      <c r="S2220" s="76"/>
    </row>
    <row r="2221" spans="1:19" x14ac:dyDescent="0.3">
      <c r="A2221" s="76" t="s">
        <v>3208</v>
      </c>
      <c r="B2221" s="76" t="s">
        <v>3209</v>
      </c>
      <c r="C2221" s="76" t="s">
        <v>1263</v>
      </c>
      <c r="D2221" s="76" t="s">
        <v>39</v>
      </c>
      <c r="E2221" s="76" t="s">
        <v>22</v>
      </c>
      <c r="F2221" s="77">
        <v>45382</v>
      </c>
      <c r="G2221" s="76">
        <v>2024</v>
      </c>
      <c r="H2221" s="76" t="s">
        <v>40</v>
      </c>
      <c r="I2221" s="76" t="s">
        <v>34</v>
      </c>
      <c r="J2221" s="76">
        <v>29.88</v>
      </c>
      <c r="K2221" s="76">
        <v>0</v>
      </c>
      <c r="L2221" s="78">
        <f t="shared" si="228"/>
        <v>0</v>
      </c>
      <c r="M2221" s="78">
        <f t="shared" si="229"/>
        <v>0</v>
      </c>
      <c r="N2221" s="76" t="s">
        <v>25</v>
      </c>
      <c r="O2221" s="76" t="s">
        <v>25</v>
      </c>
      <c r="P2221" s="76">
        <v>0</v>
      </c>
      <c r="Q2221" s="76">
        <v>0</v>
      </c>
      <c r="R2221" s="76" t="s">
        <v>3213</v>
      </c>
      <c r="S2221" s="76"/>
    </row>
    <row r="2222" spans="1:19" x14ac:dyDescent="0.3">
      <c r="A2222" s="76" t="s">
        <v>3208</v>
      </c>
      <c r="B2222" s="76" t="s">
        <v>3209</v>
      </c>
      <c r="C2222" s="76" t="s">
        <v>1263</v>
      </c>
      <c r="D2222" s="76" t="s">
        <v>39</v>
      </c>
      <c r="E2222" s="76" t="s">
        <v>22</v>
      </c>
      <c r="F2222" s="77">
        <v>45473</v>
      </c>
      <c r="G2222" s="76">
        <v>2024</v>
      </c>
      <c r="H2222" s="76" t="s">
        <v>23</v>
      </c>
      <c r="I2222" s="76" t="s">
        <v>34</v>
      </c>
      <c r="J2222" s="76">
        <v>51.88</v>
      </c>
      <c r="K2222" s="76">
        <v>57</v>
      </c>
      <c r="L2222" s="78">
        <f t="shared" si="228"/>
        <v>1</v>
      </c>
      <c r="M2222" s="78">
        <f t="shared" si="229"/>
        <v>1</v>
      </c>
      <c r="N2222" s="76" t="s">
        <v>25</v>
      </c>
      <c r="O2222" s="76" t="s">
        <v>25</v>
      </c>
      <c r="P2222" s="76">
        <v>0</v>
      </c>
      <c r="Q2222" s="76">
        <v>0</v>
      </c>
      <c r="R2222" s="76" t="s">
        <v>3214</v>
      </c>
      <c r="S2222" s="76"/>
    </row>
    <row r="2223" spans="1:19" x14ac:dyDescent="0.3">
      <c r="A2223" s="76" t="s">
        <v>3208</v>
      </c>
      <c r="B2223" s="76" t="s">
        <v>3209</v>
      </c>
      <c r="C2223" s="76" t="s">
        <v>1263</v>
      </c>
      <c r="D2223" s="76" t="s">
        <v>39</v>
      </c>
      <c r="E2223" s="76" t="s">
        <v>22</v>
      </c>
      <c r="F2223" s="77">
        <v>45565</v>
      </c>
      <c r="G2223" s="76">
        <v>2024</v>
      </c>
      <c r="H2223" s="76" t="s">
        <v>43</v>
      </c>
      <c r="I2223" s="76" t="s">
        <v>36</v>
      </c>
      <c r="J2223" s="76">
        <v>85</v>
      </c>
      <c r="K2223" s="76">
        <v>92</v>
      </c>
      <c r="L2223" s="78">
        <f t="shared" si="228"/>
        <v>1</v>
      </c>
      <c r="M2223" s="78">
        <f t="shared" si="229"/>
        <v>1</v>
      </c>
      <c r="N2223" s="76" t="s">
        <v>25</v>
      </c>
      <c r="O2223" s="76" t="s">
        <v>25</v>
      </c>
      <c r="P2223" s="76">
        <v>0</v>
      </c>
      <c r="Q2223" s="76">
        <v>0</v>
      </c>
      <c r="R2223" s="76" t="s">
        <v>3215</v>
      </c>
      <c r="S2223" s="76"/>
    </row>
    <row r="2224" spans="1:19" x14ac:dyDescent="0.3">
      <c r="A2224" s="76" t="s">
        <v>3208</v>
      </c>
      <c r="B2224" s="76" t="s">
        <v>3209</v>
      </c>
      <c r="C2224" s="76" t="s">
        <v>1263</v>
      </c>
      <c r="D2224" s="76" t="s">
        <v>39</v>
      </c>
      <c r="E2224" s="76" t="s">
        <v>22</v>
      </c>
      <c r="F2224" s="77">
        <v>45657</v>
      </c>
      <c r="G2224" s="76">
        <v>2024</v>
      </c>
      <c r="H2224" s="76" t="s">
        <v>27</v>
      </c>
      <c r="I2224" s="76" t="s">
        <v>36</v>
      </c>
      <c r="J2224" s="76">
        <v>100</v>
      </c>
      <c r="K2224" s="76">
        <v>100</v>
      </c>
      <c r="L2224" s="78">
        <f t="shared" si="228"/>
        <v>1</v>
      </c>
      <c r="M2224" s="78">
        <f t="shared" si="229"/>
        <v>1</v>
      </c>
      <c r="N2224" s="76" t="s">
        <v>25</v>
      </c>
      <c r="O2224" s="76" t="s">
        <v>25</v>
      </c>
      <c r="P2224" s="76">
        <v>0</v>
      </c>
      <c r="Q2224" s="76">
        <v>0</v>
      </c>
      <c r="R2224" s="76" t="s">
        <v>3216</v>
      </c>
      <c r="S2224" s="76"/>
    </row>
    <row r="2225" spans="1:19" x14ac:dyDescent="0.3">
      <c r="A2225" s="76" t="s">
        <v>3217</v>
      </c>
      <c r="B2225" s="76" t="s">
        <v>3218</v>
      </c>
      <c r="C2225" s="76" t="s">
        <v>1263</v>
      </c>
      <c r="D2225" s="76" t="s">
        <v>39</v>
      </c>
      <c r="E2225" s="76" t="s">
        <v>22</v>
      </c>
      <c r="F2225" s="77">
        <v>45107</v>
      </c>
      <c r="G2225" s="76">
        <v>2023</v>
      </c>
      <c r="H2225" s="76" t="s">
        <v>23</v>
      </c>
      <c r="I2225" s="76" t="s">
        <v>30</v>
      </c>
      <c r="J2225" s="76">
        <v>56</v>
      </c>
      <c r="K2225" s="76">
        <v>70</v>
      </c>
      <c r="L2225" s="78">
        <f t="shared" si="228"/>
        <v>1</v>
      </c>
      <c r="M2225" s="78">
        <f t="shared" si="229"/>
        <v>1</v>
      </c>
      <c r="N2225" s="76" t="s">
        <v>25</v>
      </c>
      <c r="O2225" s="76" t="s">
        <v>25</v>
      </c>
      <c r="P2225" s="76">
        <v>0</v>
      </c>
      <c r="Q2225" s="76">
        <v>0</v>
      </c>
      <c r="R2225" s="76" t="s">
        <v>3219</v>
      </c>
      <c r="S2225" s="76"/>
    </row>
    <row r="2226" spans="1:19" x14ac:dyDescent="0.3">
      <c r="A2226" s="76" t="s">
        <v>3217</v>
      </c>
      <c r="B2226" s="76" t="s">
        <v>3218</v>
      </c>
      <c r="C2226" s="76" t="s">
        <v>1263</v>
      </c>
      <c r="D2226" s="76" t="s">
        <v>39</v>
      </c>
      <c r="E2226" s="76" t="s">
        <v>22</v>
      </c>
      <c r="F2226" s="77">
        <v>45199</v>
      </c>
      <c r="G2226" s="76">
        <v>2023</v>
      </c>
      <c r="H2226" s="76" t="s">
        <v>43</v>
      </c>
      <c r="I2226" s="76" t="s">
        <v>32</v>
      </c>
      <c r="J2226" s="76">
        <v>90.6</v>
      </c>
      <c r="K2226" s="76">
        <v>92.5</v>
      </c>
      <c r="L2226" s="78">
        <f t="shared" si="228"/>
        <v>1</v>
      </c>
      <c r="M2226" s="78">
        <f t="shared" si="229"/>
        <v>1</v>
      </c>
      <c r="N2226" s="76" t="s">
        <v>25</v>
      </c>
      <c r="O2226" s="76" t="s">
        <v>25</v>
      </c>
      <c r="P2226" s="76">
        <v>0</v>
      </c>
      <c r="Q2226" s="76">
        <v>0</v>
      </c>
      <c r="R2226" s="76" t="s">
        <v>3220</v>
      </c>
      <c r="S2226" s="76"/>
    </row>
    <row r="2227" spans="1:19" x14ac:dyDescent="0.3">
      <c r="A2227" s="76" t="s">
        <v>3217</v>
      </c>
      <c r="B2227" s="76" t="s">
        <v>3218</v>
      </c>
      <c r="C2227" s="76" t="s">
        <v>1263</v>
      </c>
      <c r="D2227" s="76" t="s">
        <v>39</v>
      </c>
      <c r="E2227" s="76" t="s">
        <v>22</v>
      </c>
      <c r="F2227" s="77">
        <v>45291</v>
      </c>
      <c r="G2227" s="76">
        <v>2023</v>
      </c>
      <c r="H2227" s="76" t="s">
        <v>27</v>
      </c>
      <c r="I2227" s="76" t="s">
        <v>32</v>
      </c>
      <c r="J2227" s="76">
        <v>100</v>
      </c>
      <c r="K2227" s="76">
        <v>100</v>
      </c>
      <c r="L2227" s="78">
        <f t="shared" si="228"/>
        <v>1</v>
      </c>
      <c r="M2227" s="78">
        <f t="shared" si="229"/>
        <v>1</v>
      </c>
      <c r="N2227" s="76" t="s">
        <v>25</v>
      </c>
      <c r="O2227" s="76" t="s">
        <v>25</v>
      </c>
      <c r="P2227" s="76">
        <v>0</v>
      </c>
      <c r="Q2227" s="76">
        <v>0</v>
      </c>
      <c r="R2227" s="76" t="s">
        <v>3221</v>
      </c>
      <c r="S2227" s="76"/>
    </row>
    <row r="2228" spans="1:19" x14ac:dyDescent="0.3">
      <c r="A2228" s="76" t="s">
        <v>3217</v>
      </c>
      <c r="B2228" s="76" t="s">
        <v>3218</v>
      </c>
      <c r="C2228" s="76" t="s">
        <v>1263</v>
      </c>
      <c r="D2228" s="76" t="s">
        <v>39</v>
      </c>
      <c r="E2228" s="76" t="s">
        <v>22</v>
      </c>
      <c r="F2228" s="77">
        <v>45382</v>
      </c>
      <c r="G2228" s="76">
        <v>2024</v>
      </c>
      <c r="H2228" s="76" t="s">
        <v>40</v>
      </c>
      <c r="I2228" s="76" t="s">
        <v>34</v>
      </c>
      <c r="J2228" s="76">
        <v>70.81</v>
      </c>
      <c r="K2228" s="76">
        <v>46</v>
      </c>
      <c r="L2228" s="78">
        <f t="shared" si="228"/>
        <v>0.64962575907357711</v>
      </c>
      <c r="M2228" s="78">
        <f t="shared" si="229"/>
        <v>0.64962575907357711</v>
      </c>
      <c r="N2228" s="76" t="s">
        <v>25</v>
      </c>
      <c r="O2228" s="76" t="s">
        <v>25</v>
      </c>
      <c r="P2228" s="76">
        <v>0</v>
      </c>
      <c r="Q2228" s="76">
        <v>0</v>
      </c>
      <c r="R2228" s="76" t="s">
        <v>3222</v>
      </c>
      <c r="S2228" s="76"/>
    </row>
    <row r="2229" spans="1:19" x14ac:dyDescent="0.3">
      <c r="A2229" s="76" t="s">
        <v>3217</v>
      </c>
      <c r="B2229" s="76" t="s">
        <v>3218</v>
      </c>
      <c r="C2229" s="76" t="s">
        <v>1263</v>
      </c>
      <c r="D2229" s="76" t="s">
        <v>39</v>
      </c>
      <c r="E2229" s="76" t="s">
        <v>22</v>
      </c>
      <c r="F2229" s="77">
        <v>45473</v>
      </c>
      <c r="G2229" s="76">
        <v>2024</v>
      </c>
      <c r="H2229" s="76" t="s">
        <v>23</v>
      </c>
      <c r="I2229" s="76" t="s">
        <v>34</v>
      </c>
      <c r="J2229" s="76">
        <v>75.790000000000006</v>
      </c>
      <c r="K2229" s="76">
        <v>65.5</v>
      </c>
      <c r="L2229" s="78">
        <f t="shared" si="228"/>
        <v>0.86423010951312829</v>
      </c>
      <c r="M2229" s="78">
        <f t="shared" si="229"/>
        <v>0.86423010951312829</v>
      </c>
      <c r="N2229" s="76" t="s">
        <v>25</v>
      </c>
      <c r="O2229" s="76" t="s">
        <v>25</v>
      </c>
      <c r="P2229" s="76">
        <v>0</v>
      </c>
      <c r="Q2229" s="76">
        <v>0</v>
      </c>
      <c r="R2229" s="76" t="s">
        <v>3223</v>
      </c>
      <c r="S2229" s="76"/>
    </row>
    <row r="2230" spans="1:19" x14ac:dyDescent="0.3">
      <c r="A2230" s="76" t="s">
        <v>3217</v>
      </c>
      <c r="B2230" s="76" t="s">
        <v>3218</v>
      </c>
      <c r="C2230" s="76" t="s">
        <v>1263</v>
      </c>
      <c r="D2230" s="76" t="s">
        <v>39</v>
      </c>
      <c r="E2230" s="76" t="s">
        <v>22</v>
      </c>
      <c r="F2230" s="77">
        <v>45565</v>
      </c>
      <c r="G2230" s="76">
        <v>2024</v>
      </c>
      <c r="H2230" s="76" t="s">
        <v>43</v>
      </c>
      <c r="I2230" s="76" t="s">
        <v>36</v>
      </c>
      <c r="J2230" s="76">
        <v>95</v>
      </c>
      <c r="K2230" s="76">
        <v>98</v>
      </c>
      <c r="L2230" s="78">
        <f t="shared" si="228"/>
        <v>1</v>
      </c>
      <c r="M2230" s="78">
        <f t="shared" si="229"/>
        <v>1</v>
      </c>
      <c r="N2230" s="76" t="s">
        <v>25</v>
      </c>
      <c r="O2230" s="76" t="s">
        <v>25</v>
      </c>
      <c r="P2230" s="76">
        <v>0</v>
      </c>
      <c r="Q2230" s="76">
        <v>0</v>
      </c>
      <c r="R2230" s="76" t="s">
        <v>3224</v>
      </c>
      <c r="S2230" s="76"/>
    </row>
    <row r="2231" spans="1:19" x14ac:dyDescent="0.3">
      <c r="A2231" s="76" t="s">
        <v>3217</v>
      </c>
      <c r="B2231" s="76" t="s">
        <v>3218</v>
      </c>
      <c r="C2231" s="76" t="s">
        <v>1263</v>
      </c>
      <c r="D2231" s="76" t="s">
        <v>39</v>
      </c>
      <c r="E2231" s="76" t="s">
        <v>22</v>
      </c>
      <c r="F2231" s="77">
        <v>45657</v>
      </c>
      <c r="G2231" s="76">
        <v>2024</v>
      </c>
      <c r="H2231" s="76" t="s">
        <v>27</v>
      </c>
      <c r="I2231" s="76" t="s">
        <v>36</v>
      </c>
      <c r="J2231" s="76">
        <v>100</v>
      </c>
      <c r="K2231" s="76">
        <v>100</v>
      </c>
      <c r="L2231" s="78">
        <f t="shared" si="228"/>
        <v>1</v>
      </c>
      <c r="M2231" s="78">
        <f t="shared" si="229"/>
        <v>1</v>
      </c>
      <c r="N2231" s="76" t="s">
        <v>25</v>
      </c>
      <c r="O2231" s="76" t="s">
        <v>25</v>
      </c>
      <c r="P2231" s="76">
        <v>0</v>
      </c>
      <c r="Q2231" s="76">
        <v>0</v>
      </c>
      <c r="R2231" s="76" t="s">
        <v>3225</v>
      </c>
      <c r="S2231" s="76"/>
    </row>
    <row r="2232" spans="1:19" x14ac:dyDescent="0.3">
      <c r="A2232" s="76" t="s">
        <v>3226</v>
      </c>
      <c r="B2232" s="76" t="s">
        <v>3227</v>
      </c>
      <c r="C2232" s="76" t="s">
        <v>1263</v>
      </c>
      <c r="D2232" s="76" t="s">
        <v>39</v>
      </c>
      <c r="E2232" s="76" t="s">
        <v>22</v>
      </c>
      <c r="F2232" s="77">
        <v>45107</v>
      </c>
      <c r="G2232" s="76">
        <v>2023</v>
      </c>
      <c r="H2232" s="76" t="s">
        <v>23</v>
      </c>
      <c r="I2232" s="76" t="s">
        <v>30</v>
      </c>
      <c r="J2232" s="76">
        <v>56</v>
      </c>
      <c r="K2232" s="76">
        <v>66</v>
      </c>
      <c r="L2232" s="78">
        <f t="shared" si="228"/>
        <v>1</v>
      </c>
      <c r="M2232" s="78">
        <f t="shared" si="229"/>
        <v>1</v>
      </c>
      <c r="N2232" s="76" t="s">
        <v>25</v>
      </c>
      <c r="O2232" s="76" t="s">
        <v>25</v>
      </c>
      <c r="P2232" s="76">
        <v>0</v>
      </c>
      <c r="Q2232" s="76">
        <v>0</v>
      </c>
      <c r="R2232" s="76" t="s">
        <v>3228</v>
      </c>
      <c r="S2232" s="76"/>
    </row>
    <row r="2233" spans="1:19" x14ac:dyDescent="0.3">
      <c r="A2233" s="76" t="s">
        <v>3226</v>
      </c>
      <c r="B2233" s="76" t="s">
        <v>3227</v>
      </c>
      <c r="C2233" s="76" t="s">
        <v>1263</v>
      </c>
      <c r="D2233" s="76" t="s">
        <v>39</v>
      </c>
      <c r="E2233" s="76" t="s">
        <v>22</v>
      </c>
      <c r="F2233" s="77">
        <v>45199</v>
      </c>
      <c r="G2233" s="76">
        <v>2023</v>
      </c>
      <c r="H2233" s="76" t="s">
        <v>43</v>
      </c>
      <c r="I2233" s="76" t="s">
        <v>32</v>
      </c>
      <c r="J2233" s="76">
        <v>92.87</v>
      </c>
      <c r="K2233" s="76">
        <v>85.25</v>
      </c>
      <c r="L2233" s="78">
        <f t="shared" si="228"/>
        <v>0.91794982233229239</v>
      </c>
      <c r="M2233" s="78">
        <f t="shared" si="229"/>
        <v>0.91794982233229239</v>
      </c>
      <c r="N2233" s="76" t="s">
        <v>25</v>
      </c>
      <c r="O2233" s="76" t="s">
        <v>25</v>
      </c>
      <c r="P2233" s="76">
        <v>0</v>
      </c>
      <c r="Q2233" s="76">
        <v>0</v>
      </c>
      <c r="R2233" s="76" t="s">
        <v>3229</v>
      </c>
      <c r="S2233" s="76"/>
    </row>
    <row r="2234" spans="1:19" x14ac:dyDescent="0.3">
      <c r="A2234" s="76" t="s">
        <v>3226</v>
      </c>
      <c r="B2234" s="76" t="s">
        <v>3227</v>
      </c>
      <c r="C2234" s="76" t="s">
        <v>1263</v>
      </c>
      <c r="D2234" s="76" t="s">
        <v>39</v>
      </c>
      <c r="E2234" s="76" t="s">
        <v>22</v>
      </c>
      <c r="F2234" s="77">
        <v>45291</v>
      </c>
      <c r="G2234" s="76">
        <v>2023</v>
      </c>
      <c r="H2234" s="76" t="s">
        <v>27</v>
      </c>
      <c r="I2234" s="76" t="s">
        <v>32</v>
      </c>
      <c r="J2234" s="76">
        <v>100</v>
      </c>
      <c r="K2234" s="76">
        <v>100</v>
      </c>
      <c r="L2234" s="78">
        <f t="shared" si="228"/>
        <v>1</v>
      </c>
      <c r="M2234" s="78">
        <f t="shared" si="229"/>
        <v>1</v>
      </c>
      <c r="N2234" s="76" t="s">
        <v>25</v>
      </c>
      <c r="O2234" s="76" t="s">
        <v>25</v>
      </c>
      <c r="P2234" s="76">
        <v>0</v>
      </c>
      <c r="Q2234" s="76">
        <v>0</v>
      </c>
      <c r="R2234" s="76" t="s">
        <v>3230</v>
      </c>
      <c r="S2234" s="76"/>
    </row>
    <row r="2235" spans="1:19" x14ac:dyDescent="0.3">
      <c r="A2235" s="76" t="s">
        <v>3226</v>
      </c>
      <c r="B2235" s="76" t="s">
        <v>3227</v>
      </c>
      <c r="C2235" s="76" t="s">
        <v>1263</v>
      </c>
      <c r="D2235" s="76" t="s">
        <v>39</v>
      </c>
      <c r="E2235" s="76" t="s">
        <v>22</v>
      </c>
      <c r="F2235" s="77">
        <v>45382</v>
      </c>
      <c r="G2235" s="76">
        <v>2024</v>
      </c>
      <c r="H2235" s="76" t="s">
        <v>40</v>
      </c>
      <c r="I2235" s="76" t="s">
        <v>34</v>
      </c>
      <c r="J2235" s="76">
        <v>2.17</v>
      </c>
      <c r="K2235" s="76">
        <v>1.5</v>
      </c>
      <c r="L2235" s="78">
        <f t="shared" si="228"/>
        <v>0.69124423963133641</v>
      </c>
      <c r="M2235" s="78">
        <f t="shared" si="229"/>
        <v>0.69124423963133641</v>
      </c>
      <c r="N2235" s="76" t="s">
        <v>25</v>
      </c>
      <c r="O2235" s="76" t="s">
        <v>25</v>
      </c>
      <c r="P2235" s="76">
        <v>0</v>
      </c>
      <c r="Q2235" s="76">
        <v>0</v>
      </c>
      <c r="R2235" s="76" t="s">
        <v>3231</v>
      </c>
      <c r="S2235" s="76"/>
    </row>
    <row r="2236" spans="1:19" x14ac:dyDescent="0.3">
      <c r="A2236" s="76" t="s">
        <v>3226</v>
      </c>
      <c r="B2236" s="76" t="s">
        <v>3227</v>
      </c>
      <c r="C2236" s="76" t="s">
        <v>1263</v>
      </c>
      <c r="D2236" s="76" t="s">
        <v>39</v>
      </c>
      <c r="E2236" s="76" t="s">
        <v>22</v>
      </c>
      <c r="F2236" s="77">
        <v>45473</v>
      </c>
      <c r="G2236" s="76">
        <v>2024</v>
      </c>
      <c r="H2236" s="76" t="s">
        <v>23</v>
      </c>
      <c r="I2236" s="76" t="s">
        <v>34</v>
      </c>
      <c r="J2236" s="76">
        <v>19.57</v>
      </c>
      <c r="K2236" s="76">
        <v>16.25</v>
      </c>
      <c r="L2236" s="78">
        <f t="shared" si="228"/>
        <v>0.83035258048032701</v>
      </c>
      <c r="M2236" s="78">
        <f t="shared" si="229"/>
        <v>0.83035258048032701</v>
      </c>
      <c r="N2236" s="76" t="s">
        <v>25</v>
      </c>
      <c r="O2236" s="76" t="s">
        <v>25</v>
      </c>
      <c r="P2236" s="76">
        <v>0</v>
      </c>
      <c r="Q2236" s="76">
        <v>0</v>
      </c>
      <c r="R2236" s="76" t="s">
        <v>3232</v>
      </c>
      <c r="S2236" s="76"/>
    </row>
    <row r="2237" spans="1:19" x14ac:dyDescent="0.3">
      <c r="A2237" s="76" t="s">
        <v>3226</v>
      </c>
      <c r="B2237" s="76" t="s">
        <v>3227</v>
      </c>
      <c r="C2237" s="76" t="s">
        <v>1263</v>
      </c>
      <c r="D2237" s="76" t="s">
        <v>39</v>
      </c>
      <c r="E2237" s="76" t="s">
        <v>22</v>
      </c>
      <c r="F2237" s="77">
        <v>45565</v>
      </c>
      <c r="G2237" s="76">
        <v>2024</v>
      </c>
      <c r="H2237" s="76" t="s">
        <v>43</v>
      </c>
      <c r="I2237" s="76" t="s">
        <v>36</v>
      </c>
      <c r="J2237" s="76">
        <v>82</v>
      </c>
      <c r="K2237" s="76">
        <v>90</v>
      </c>
      <c r="L2237" s="78">
        <f t="shared" si="228"/>
        <v>1</v>
      </c>
      <c r="M2237" s="78">
        <f t="shared" si="229"/>
        <v>1</v>
      </c>
      <c r="N2237" s="76" t="s">
        <v>25</v>
      </c>
      <c r="O2237" s="76" t="s">
        <v>25</v>
      </c>
      <c r="P2237" s="76">
        <v>0</v>
      </c>
      <c r="Q2237" s="76">
        <v>0</v>
      </c>
      <c r="R2237" s="76" t="s">
        <v>3233</v>
      </c>
      <c r="S2237" s="76"/>
    </row>
    <row r="2238" spans="1:19" x14ac:dyDescent="0.3">
      <c r="A2238" s="76" t="s">
        <v>3226</v>
      </c>
      <c r="B2238" s="76" t="s">
        <v>3227</v>
      </c>
      <c r="C2238" s="76" t="s">
        <v>1263</v>
      </c>
      <c r="D2238" s="76" t="s">
        <v>39</v>
      </c>
      <c r="E2238" s="76" t="s">
        <v>22</v>
      </c>
      <c r="F2238" s="77">
        <v>45657</v>
      </c>
      <c r="G2238" s="76">
        <v>2024</v>
      </c>
      <c r="H2238" s="76" t="s">
        <v>27</v>
      </c>
      <c r="I2238" s="76" t="s">
        <v>36</v>
      </c>
      <c r="J2238" s="76">
        <v>100</v>
      </c>
      <c r="K2238" s="76">
        <v>100</v>
      </c>
      <c r="L2238" s="78">
        <f t="shared" si="228"/>
        <v>1</v>
      </c>
      <c r="M2238" s="78">
        <f t="shared" si="229"/>
        <v>1</v>
      </c>
      <c r="N2238" s="76" t="s">
        <v>25</v>
      </c>
      <c r="O2238" s="76" t="s">
        <v>25</v>
      </c>
      <c r="P2238" s="76">
        <v>0</v>
      </c>
      <c r="Q2238" s="76">
        <v>0</v>
      </c>
      <c r="R2238" s="76" t="s">
        <v>3234</v>
      </c>
      <c r="S2238" s="76"/>
    </row>
    <row r="2239" spans="1:19" x14ac:dyDescent="0.3">
      <c r="A2239" s="76" t="s">
        <v>3235</v>
      </c>
      <c r="B2239" s="76" t="s">
        <v>3236</v>
      </c>
      <c r="C2239" s="76" t="s">
        <v>1263</v>
      </c>
      <c r="D2239" s="76" t="s">
        <v>39</v>
      </c>
      <c r="E2239" s="76" t="s">
        <v>22</v>
      </c>
      <c r="F2239" s="77">
        <v>45107</v>
      </c>
      <c r="G2239" s="76">
        <v>2023</v>
      </c>
      <c r="H2239" s="76" t="s">
        <v>23</v>
      </c>
      <c r="I2239" s="76" t="s">
        <v>30</v>
      </c>
      <c r="J2239" s="76">
        <v>61</v>
      </c>
      <c r="K2239" s="76">
        <v>69</v>
      </c>
      <c r="L2239" s="78">
        <f t="shared" si="228"/>
        <v>1</v>
      </c>
      <c r="M2239" s="78">
        <f t="shared" si="229"/>
        <v>1</v>
      </c>
      <c r="N2239" s="76" t="s">
        <v>25</v>
      </c>
      <c r="O2239" s="76" t="s">
        <v>25</v>
      </c>
      <c r="P2239" s="76">
        <v>0</v>
      </c>
      <c r="Q2239" s="76">
        <v>0</v>
      </c>
      <c r="R2239" s="76" t="s">
        <v>3237</v>
      </c>
      <c r="S2239" s="76"/>
    </row>
    <row r="2240" spans="1:19" x14ac:dyDescent="0.3">
      <c r="A2240" s="76" t="s">
        <v>3235</v>
      </c>
      <c r="B2240" s="76" t="s">
        <v>3236</v>
      </c>
      <c r="C2240" s="76" t="s">
        <v>1263</v>
      </c>
      <c r="D2240" s="76" t="s">
        <v>39</v>
      </c>
      <c r="E2240" s="76" t="s">
        <v>22</v>
      </c>
      <c r="F2240" s="77">
        <v>45199</v>
      </c>
      <c r="G2240" s="76">
        <v>2023</v>
      </c>
      <c r="H2240" s="76" t="s">
        <v>43</v>
      </c>
      <c r="I2240" s="76" t="s">
        <v>32</v>
      </c>
      <c r="J2240" s="76">
        <v>99.65</v>
      </c>
      <c r="K2240" s="76">
        <v>94.31</v>
      </c>
      <c r="L2240" s="78">
        <f t="shared" si="228"/>
        <v>0.94641244355243348</v>
      </c>
      <c r="M2240" s="78">
        <f t="shared" si="229"/>
        <v>0.94641244355243348</v>
      </c>
      <c r="N2240" s="76" t="s">
        <v>25</v>
      </c>
      <c r="O2240" s="76" t="s">
        <v>25</v>
      </c>
      <c r="P2240" s="76">
        <v>0</v>
      </c>
      <c r="Q2240" s="76">
        <v>0</v>
      </c>
      <c r="R2240" s="76" t="s">
        <v>3238</v>
      </c>
      <c r="S2240" s="76"/>
    </row>
    <row r="2241" spans="1:19" x14ac:dyDescent="0.3">
      <c r="A2241" s="76" t="s">
        <v>3235</v>
      </c>
      <c r="B2241" s="76" t="s">
        <v>3236</v>
      </c>
      <c r="C2241" s="76" t="s">
        <v>1263</v>
      </c>
      <c r="D2241" s="76" t="s">
        <v>39</v>
      </c>
      <c r="E2241" s="76" t="s">
        <v>22</v>
      </c>
      <c r="F2241" s="77">
        <v>45291</v>
      </c>
      <c r="G2241" s="76">
        <v>2023</v>
      </c>
      <c r="H2241" s="76" t="s">
        <v>27</v>
      </c>
      <c r="I2241" s="76" t="s">
        <v>32</v>
      </c>
      <c r="J2241" s="76">
        <v>100</v>
      </c>
      <c r="K2241" s="76">
        <v>100</v>
      </c>
      <c r="L2241" s="78">
        <f t="shared" si="228"/>
        <v>1</v>
      </c>
      <c r="M2241" s="78">
        <f t="shared" si="229"/>
        <v>1</v>
      </c>
      <c r="N2241" s="76" t="s">
        <v>25</v>
      </c>
      <c r="O2241" s="76" t="s">
        <v>25</v>
      </c>
      <c r="P2241" s="76">
        <v>0</v>
      </c>
      <c r="Q2241" s="76">
        <v>0</v>
      </c>
      <c r="R2241" s="76" t="s">
        <v>3239</v>
      </c>
      <c r="S2241" s="76"/>
    </row>
    <row r="2242" spans="1:19" x14ac:dyDescent="0.3">
      <c r="A2242" s="76" t="s">
        <v>3235</v>
      </c>
      <c r="B2242" s="76" t="s">
        <v>3236</v>
      </c>
      <c r="C2242" s="76" t="s">
        <v>1263</v>
      </c>
      <c r="D2242" s="76" t="s">
        <v>39</v>
      </c>
      <c r="E2242" s="76" t="s">
        <v>22</v>
      </c>
      <c r="F2242" s="77">
        <v>45382</v>
      </c>
      <c r="G2242" s="76">
        <v>2024</v>
      </c>
      <c r="H2242" s="76" t="s">
        <v>40</v>
      </c>
      <c r="I2242" s="76" t="s">
        <v>34</v>
      </c>
      <c r="J2242" s="76">
        <v>28.02</v>
      </c>
      <c r="K2242" s="76">
        <v>67.98</v>
      </c>
      <c r="L2242" s="78">
        <f t="shared" si="228"/>
        <v>1</v>
      </c>
      <c r="M2242" s="78">
        <f t="shared" si="229"/>
        <v>1</v>
      </c>
      <c r="N2242" s="76" t="s">
        <v>25</v>
      </c>
      <c r="O2242" s="76" t="s">
        <v>25</v>
      </c>
      <c r="P2242" s="76">
        <v>0</v>
      </c>
      <c r="Q2242" s="76">
        <v>0</v>
      </c>
      <c r="R2242" s="76" t="s">
        <v>3240</v>
      </c>
      <c r="S2242" s="76"/>
    </row>
    <row r="2243" spans="1:19" x14ac:dyDescent="0.3">
      <c r="A2243" s="76" t="s">
        <v>3235</v>
      </c>
      <c r="B2243" s="76" t="s">
        <v>3236</v>
      </c>
      <c r="C2243" s="76" t="s">
        <v>1263</v>
      </c>
      <c r="D2243" s="76" t="s">
        <v>39</v>
      </c>
      <c r="E2243" s="76" t="s">
        <v>22</v>
      </c>
      <c r="F2243" s="77">
        <v>45473</v>
      </c>
      <c r="G2243" s="76">
        <v>2024</v>
      </c>
      <c r="H2243" s="76" t="s">
        <v>23</v>
      </c>
      <c r="I2243" s="76" t="s">
        <v>34</v>
      </c>
      <c r="J2243" s="76">
        <v>64.13</v>
      </c>
      <c r="K2243" s="76">
        <v>67.98</v>
      </c>
      <c r="L2243" s="78">
        <f t="shared" si="228"/>
        <v>1</v>
      </c>
      <c r="M2243" s="78">
        <f t="shared" si="229"/>
        <v>1</v>
      </c>
      <c r="N2243" s="76" t="s">
        <v>25</v>
      </c>
      <c r="O2243" s="76" t="s">
        <v>25</v>
      </c>
      <c r="P2243" s="76">
        <v>0</v>
      </c>
      <c r="Q2243" s="76">
        <v>0</v>
      </c>
      <c r="R2243" s="76" t="s">
        <v>3241</v>
      </c>
      <c r="S2243" s="76"/>
    </row>
    <row r="2244" spans="1:19" x14ac:dyDescent="0.3">
      <c r="A2244" s="76" t="s">
        <v>3235</v>
      </c>
      <c r="B2244" s="76" t="s">
        <v>3236</v>
      </c>
      <c r="C2244" s="76" t="s">
        <v>1263</v>
      </c>
      <c r="D2244" s="76" t="s">
        <v>39</v>
      </c>
      <c r="E2244" s="76" t="s">
        <v>22</v>
      </c>
      <c r="F2244" s="77">
        <v>45565</v>
      </c>
      <c r="G2244" s="76">
        <v>2024</v>
      </c>
      <c r="H2244" s="76" t="s">
        <v>43</v>
      </c>
      <c r="I2244" s="76" t="s">
        <v>36</v>
      </c>
      <c r="J2244" s="76">
        <v>95</v>
      </c>
      <c r="K2244" s="76">
        <v>89</v>
      </c>
      <c r="L2244" s="78">
        <f t="shared" si="228"/>
        <v>0.93684210526315792</v>
      </c>
      <c r="M2244" s="78">
        <f t="shared" si="229"/>
        <v>0.93684210526315792</v>
      </c>
      <c r="N2244" s="76" t="s">
        <v>25</v>
      </c>
      <c r="O2244" s="76" t="s">
        <v>25</v>
      </c>
      <c r="P2244" s="76">
        <v>0</v>
      </c>
      <c r="Q2244" s="76">
        <v>0</v>
      </c>
      <c r="R2244" s="76" t="s">
        <v>3242</v>
      </c>
      <c r="S2244" s="76"/>
    </row>
    <row r="2245" spans="1:19" x14ac:dyDescent="0.3">
      <c r="A2245" s="76" t="s">
        <v>3235</v>
      </c>
      <c r="B2245" s="76" t="s">
        <v>3236</v>
      </c>
      <c r="C2245" s="76" t="s">
        <v>1263</v>
      </c>
      <c r="D2245" s="76" t="s">
        <v>39</v>
      </c>
      <c r="E2245" s="76" t="s">
        <v>22</v>
      </c>
      <c r="F2245" s="77">
        <v>45657</v>
      </c>
      <c r="G2245" s="76">
        <v>2024</v>
      </c>
      <c r="H2245" s="76" t="s">
        <v>27</v>
      </c>
      <c r="I2245" s="76" t="s">
        <v>36</v>
      </c>
      <c r="J2245" s="76">
        <v>100</v>
      </c>
      <c r="K2245" s="76">
        <v>100</v>
      </c>
      <c r="L2245" s="78">
        <f t="shared" si="228"/>
        <v>1</v>
      </c>
      <c r="M2245" s="78">
        <f t="shared" si="229"/>
        <v>1</v>
      </c>
      <c r="N2245" s="76" t="s">
        <v>25</v>
      </c>
      <c r="O2245" s="76" t="s">
        <v>25</v>
      </c>
      <c r="P2245" s="76">
        <v>0</v>
      </c>
      <c r="Q2245" s="76">
        <v>0</v>
      </c>
      <c r="R2245" s="76" t="s">
        <v>3243</v>
      </c>
      <c r="S2245" s="76"/>
    </row>
    <row r="2246" spans="1:19" x14ac:dyDescent="0.3">
      <c r="A2246" s="76" t="s">
        <v>3244</v>
      </c>
      <c r="B2246" s="76" t="s">
        <v>3245</v>
      </c>
      <c r="C2246" s="76" t="s">
        <v>1263</v>
      </c>
      <c r="D2246" s="76" t="s">
        <v>39</v>
      </c>
      <c r="E2246" s="76" t="s">
        <v>22</v>
      </c>
      <c r="F2246" s="77">
        <v>45107</v>
      </c>
      <c r="G2246" s="76">
        <v>2023</v>
      </c>
      <c r="H2246" s="76" t="s">
        <v>23</v>
      </c>
      <c r="I2246" s="76" t="s">
        <v>30</v>
      </c>
      <c r="J2246" s="76">
        <v>64</v>
      </c>
      <c r="K2246" s="76">
        <v>66</v>
      </c>
      <c r="L2246" s="78">
        <f t="shared" ref="L2246:L2280" si="230">IFERROR(IF(OR(J2246=0,K2246=""),"",IF(E2246="Positivo",MIN(MAX(K2246/J2246,0),1),MIN(MAX(J2246/K2246,0),1))),"")</f>
        <v>1</v>
      </c>
      <c r="M2246" s="78">
        <f t="shared" ref="M2246:M2280" si="231">IFERROR(IF(OR(J2246=0,K2246=""),"",IF(E2246="Positivo",MIN(MAX(K2246/J2246,0),1),MIN(MAX(J2246/K2246,0),1))),"")</f>
        <v>1</v>
      </c>
      <c r="N2246" s="76" t="s">
        <v>25</v>
      </c>
      <c r="O2246" s="76" t="s">
        <v>25</v>
      </c>
      <c r="P2246" s="76">
        <v>0</v>
      </c>
      <c r="Q2246" s="76">
        <v>0</v>
      </c>
      <c r="R2246" s="76" t="s">
        <v>3246</v>
      </c>
      <c r="S2246" s="76"/>
    </row>
    <row r="2247" spans="1:19" x14ac:dyDescent="0.3">
      <c r="A2247" s="76" t="s">
        <v>3244</v>
      </c>
      <c r="B2247" s="76" t="s">
        <v>3245</v>
      </c>
      <c r="C2247" s="76" t="s">
        <v>1263</v>
      </c>
      <c r="D2247" s="76" t="s">
        <v>39</v>
      </c>
      <c r="E2247" s="76" t="s">
        <v>22</v>
      </c>
      <c r="F2247" s="77">
        <v>45199</v>
      </c>
      <c r="G2247" s="76">
        <v>2023</v>
      </c>
      <c r="H2247" s="76" t="s">
        <v>43</v>
      </c>
      <c r="I2247" s="76" t="s">
        <v>32</v>
      </c>
      <c r="J2247" s="76">
        <v>92.26</v>
      </c>
      <c r="K2247" s="76">
        <v>81.48</v>
      </c>
      <c r="L2247" s="78">
        <f t="shared" si="230"/>
        <v>0.88315629742033386</v>
      </c>
      <c r="M2247" s="78">
        <f t="shared" si="231"/>
        <v>0.88315629742033386</v>
      </c>
      <c r="N2247" s="76" t="s">
        <v>25</v>
      </c>
      <c r="O2247" s="76" t="s">
        <v>25</v>
      </c>
      <c r="P2247" s="76">
        <v>0</v>
      </c>
      <c r="Q2247" s="76">
        <v>0</v>
      </c>
      <c r="R2247" s="76" t="s">
        <v>3247</v>
      </c>
      <c r="S2247" s="76"/>
    </row>
    <row r="2248" spans="1:19" x14ac:dyDescent="0.3">
      <c r="A2248" s="76" t="s">
        <v>3244</v>
      </c>
      <c r="B2248" s="76" t="s">
        <v>3245</v>
      </c>
      <c r="C2248" s="76" t="s">
        <v>1263</v>
      </c>
      <c r="D2248" s="76" t="s">
        <v>39</v>
      </c>
      <c r="E2248" s="76" t="s">
        <v>22</v>
      </c>
      <c r="F2248" s="77">
        <v>45291</v>
      </c>
      <c r="G2248" s="76">
        <v>2023</v>
      </c>
      <c r="H2248" s="76" t="s">
        <v>27</v>
      </c>
      <c r="I2248" s="76" t="s">
        <v>32</v>
      </c>
      <c r="J2248" s="76">
        <v>100</v>
      </c>
      <c r="K2248" s="76">
        <v>97.74</v>
      </c>
      <c r="L2248" s="78">
        <f t="shared" si="230"/>
        <v>0.97739999999999994</v>
      </c>
      <c r="M2248" s="78">
        <f t="shared" si="231"/>
        <v>0.97739999999999994</v>
      </c>
      <c r="N2248" s="76" t="s">
        <v>25</v>
      </c>
      <c r="O2248" s="76" t="s">
        <v>25</v>
      </c>
      <c r="P2248" s="76">
        <v>0</v>
      </c>
      <c r="Q2248" s="76">
        <v>0</v>
      </c>
      <c r="R2248" s="76" t="s">
        <v>3248</v>
      </c>
      <c r="S2248" s="76"/>
    </row>
    <row r="2249" spans="1:19" x14ac:dyDescent="0.3">
      <c r="A2249" s="76" t="s">
        <v>3244</v>
      </c>
      <c r="B2249" s="76" t="s">
        <v>3245</v>
      </c>
      <c r="C2249" s="76" t="s">
        <v>1263</v>
      </c>
      <c r="D2249" s="76" t="s">
        <v>39</v>
      </c>
      <c r="E2249" s="76" t="s">
        <v>22</v>
      </c>
      <c r="F2249" s="77">
        <v>45382</v>
      </c>
      <c r="G2249" s="76">
        <v>2024</v>
      </c>
      <c r="H2249" s="76" t="s">
        <v>40</v>
      </c>
      <c r="I2249" s="76" t="s">
        <v>34</v>
      </c>
      <c r="J2249" s="76">
        <v>30.14</v>
      </c>
      <c r="K2249" s="76">
        <v>44.5</v>
      </c>
      <c r="L2249" s="78">
        <f t="shared" si="230"/>
        <v>1</v>
      </c>
      <c r="M2249" s="78">
        <f t="shared" si="231"/>
        <v>1</v>
      </c>
      <c r="N2249" s="76" t="s">
        <v>25</v>
      </c>
      <c r="O2249" s="76" t="s">
        <v>25</v>
      </c>
      <c r="P2249" s="76">
        <v>0</v>
      </c>
      <c r="Q2249" s="76">
        <v>0</v>
      </c>
      <c r="R2249" s="76" t="s">
        <v>3249</v>
      </c>
      <c r="S2249" s="76"/>
    </row>
    <row r="2250" spans="1:19" x14ac:dyDescent="0.3">
      <c r="A2250" s="76" t="s">
        <v>3244</v>
      </c>
      <c r="B2250" s="76" t="s">
        <v>3245</v>
      </c>
      <c r="C2250" s="76" t="s">
        <v>1263</v>
      </c>
      <c r="D2250" s="76" t="s">
        <v>39</v>
      </c>
      <c r="E2250" s="76" t="s">
        <v>22</v>
      </c>
      <c r="F2250" s="77">
        <v>45473</v>
      </c>
      <c r="G2250" s="76">
        <v>2024</v>
      </c>
      <c r="H2250" s="76" t="s">
        <v>23</v>
      </c>
      <c r="I2250" s="76" t="s">
        <v>34</v>
      </c>
      <c r="J2250" s="76">
        <v>59.61</v>
      </c>
      <c r="K2250" s="76">
        <v>65.25</v>
      </c>
      <c r="L2250" s="78">
        <f t="shared" si="230"/>
        <v>1</v>
      </c>
      <c r="M2250" s="78">
        <f t="shared" si="231"/>
        <v>1</v>
      </c>
      <c r="N2250" s="76" t="s">
        <v>25</v>
      </c>
      <c r="O2250" s="76" t="s">
        <v>25</v>
      </c>
      <c r="P2250" s="76">
        <v>0</v>
      </c>
      <c r="Q2250" s="76">
        <v>0</v>
      </c>
      <c r="R2250" s="76" t="s">
        <v>3250</v>
      </c>
      <c r="S2250" s="76"/>
    </row>
    <row r="2251" spans="1:19" x14ac:dyDescent="0.3">
      <c r="A2251" s="76" t="s">
        <v>3244</v>
      </c>
      <c r="B2251" s="76" t="s">
        <v>3245</v>
      </c>
      <c r="C2251" s="76" t="s">
        <v>1263</v>
      </c>
      <c r="D2251" s="76" t="s">
        <v>39</v>
      </c>
      <c r="E2251" s="76" t="s">
        <v>22</v>
      </c>
      <c r="F2251" s="77">
        <v>45565</v>
      </c>
      <c r="G2251" s="76">
        <v>2024</v>
      </c>
      <c r="H2251" s="76" t="s">
        <v>43</v>
      </c>
      <c r="I2251" s="76" t="s">
        <v>36</v>
      </c>
      <c r="J2251" s="76">
        <v>89</v>
      </c>
      <c r="K2251" s="76">
        <v>83</v>
      </c>
      <c r="L2251" s="78">
        <f t="shared" si="230"/>
        <v>0.93258426966292129</v>
      </c>
      <c r="M2251" s="78">
        <f t="shared" si="231"/>
        <v>0.93258426966292129</v>
      </c>
      <c r="N2251" s="76" t="s">
        <v>25</v>
      </c>
      <c r="O2251" s="76" t="s">
        <v>25</v>
      </c>
      <c r="P2251" s="76">
        <v>0</v>
      </c>
      <c r="Q2251" s="76">
        <v>0</v>
      </c>
      <c r="R2251" s="76" t="s">
        <v>3251</v>
      </c>
      <c r="S2251" s="76"/>
    </row>
    <row r="2252" spans="1:19" x14ac:dyDescent="0.3">
      <c r="A2252" s="76" t="s">
        <v>3244</v>
      </c>
      <c r="B2252" s="76" t="s">
        <v>3245</v>
      </c>
      <c r="C2252" s="76" t="s">
        <v>1263</v>
      </c>
      <c r="D2252" s="76" t="s">
        <v>39</v>
      </c>
      <c r="E2252" s="76" t="s">
        <v>22</v>
      </c>
      <c r="F2252" s="77">
        <v>45657</v>
      </c>
      <c r="G2252" s="76">
        <v>2024</v>
      </c>
      <c r="H2252" s="76" t="s">
        <v>27</v>
      </c>
      <c r="I2252" s="76" t="s">
        <v>36</v>
      </c>
      <c r="J2252" s="76">
        <v>100</v>
      </c>
      <c r="K2252" s="76">
        <v>100</v>
      </c>
      <c r="L2252" s="78">
        <f t="shared" si="230"/>
        <v>1</v>
      </c>
      <c r="M2252" s="78">
        <f t="shared" si="231"/>
        <v>1</v>
      </c>
      <c r="N2252" s="76" t="s">
        <v>25</v>
      </c>
      <c r="O2252" s="76" t="s">
        <v>25</v>
      </c>
      <c r="P2252" s="76">
        <v>0</v>
      </c>
      <c r="Q2252" s="76">
        <v>0</v>
      </c>
      <c r="R2252" s="76" t="s">
        <v>3252</v>
      </c>
      <c r="S2252" s="76"/>
    </row>
    <row r="2253" spans="1:19" x14ac:dyDescent="0.3">
      <c r="A2253" s="76" t="s">
        <v>3253</v>
      </c>
      <c r="B2253" s="76" t="s">
        <v>3254</v>
      </c>
      <c r="C2253" s="76" t="s">
        <v>1263</v>
      </c>
      <c r="D2253" s="76" t="s">
        <v>39</v>
      </c>
      <c r="E2253" s="76" t="s">
        <v>22</v>
      </c>
      <c r="F2253" s="77">
        <v>45107</v>
      </c>
      <c r="G2253" s="76">
        <v>2023</v>
      </c>
      <c r="H2253" s="76" t="s">
        <v>23</v>
      </c>
      <c r="I2253" s="76" t="s">
        <v>30</v>
      </c>
      <c r="J2253" s="76">
        <v>71</v>
      </c>
      <c r="K2253" s="76">
        <v>84</v>
      </c>
      <c r="L2253" s="78">
        <f t="shared" si="230"/>
        <v>1</v>
      </c>
      <c r="M2253" s="78">
        <f t="shared" si="231"/>
        <v>1</v>
      </c>
      <c r="N2253" s="76" t="s">
        <v>25</v>
      </c>
      <c r="O2253" s="76" t="s">
        <v>25</v>
      </c>
      <c r="P2253" s="76">
        <v>0</v>
      </c>
      <c r="Q2253" s="76">
        <v>0</v>
      </c>
      <c r="R2253" s="76" t="s">
        <v>3255</v>
      </c>
      <c r="S2253" s="76"/>
    </row>
    <row r="2254" spans="1:19" x14ac:dyDescent="0.3">
      <c r="A2254" s="76" t="s">
        <v>3253</v>
      </c>
      <c r="B2254" s="76" t="s">
        <v>3254</v>
      </c>
      <c r="C2254" s="76" t="s">
        <v>1263</v>
      </c>
      <c r="D2254" s="76" t="s">
        <v>39</v>
      </c>
      <c r="E2254" s="76" t="s">
        <v>22</v>
      </c>
      <c r="F2254" s="77">
        <v>45199</v>
      </c>
      <c r="G2254" s="76">
        <v>2023</v>
      </c>
      <c r="H2254" s="76" t="s">
        <v>43</v>
      </c>
      <c r="I2254" s="76" t="s">
        <v>32</v>
      </c>
      <c r="J2254" s="76">
        <v>98.78</v>
      </c>
      <c r="K2254" s="76">
        <v>83.83</v>
      </c>
      <c r="L2254" s="78">
        <f t="shared" si="230"/>
        <v>0.84865357359789428</v>
      </c>
      <c r="M2254" s="78">
        <f t="shared" si="231"/>
        <v>0.84865357359789428</v>
      </c>
      <c r="N2254" s="76" t="s">
        <v>25</v>
      </c>
      <c r="O2254" s="76" t="s">
        <v>25</v>
      </c>
      <c r="P2254" s="76">
        <v>0</v>
      </c>
      <c r="Q2254" s="76">
        <v>0</v>
      </c>
      <c r="R2254" s="76" t="s">
        <v>3256</v>
      </c>
      <c r="S2254" s="76"/>
    </row>
    <row r="2255" spans="1:19" x14ac:dyDescent="0.3">
      <c r="A2255" s="76" t="s">
        <v>3253</v>
      </c>
      <c r="B2255" s="76" t="s">
        <v>3254</v>
      </c>
      <c r="C2255" s="76" t="s">
        <v>1263</v>
      </c>
      <c r="D2255" s="76" t="s">
        <v>39</v>
      </c>
      <c r="E2255" s="76" t="s">
        <v>22</v>
      </c>
      <c r="F2255" s="77">
        <v>45291</v>
      </c>
      <c r="G2255" s="76">
        <v>2023</v>
      </c>
      <c r="H2255" s="76" t="s">
        <v>27</v>
      </c>
      <c r="I2255" s="76" t="s">
        <v>32</v>
      </c>
      <c r="J2255" s="76">
        <v>100</v>
      </c>
      <c r="K2255" s="76">
        <v>100</v>
      </c>
      <c r="L2255" s="78">
        <f t="shared" si="230"/>
        <v>1</v>
      </c>
      <c r="M2255" s="78">
        <f t="shared" si="231"/>
        <v>1</v>
      </c>
      <c r="N2255" s="76" t="s">
        <v>25</v>
      </c>
      <c r="O2255" s="76" t="s">
        <v>25</v>
      </c>
      <c r="P2255" s="76">
        <v>0</v>
      </c>
      <c r="Q2255" s="76">
        <v>0</v>
      </c>
      <c r="R2255" s="76" t="s">
        <v>3257</v>
      </c>
      <c r="S2255" s="76"/>
    </row>
    <row r="2256" spans="1:19" x14ac:dyDescent="0.3">
      <c r="A2256" s="76" t="s">
        <v>3253</v>
      </c>
      <c r="B2256" s="76" t="s">
        <v>3254</v>
      </c>
      <c r="C2256" s="76" t="s">
        <v>1263</v>
      </c>
      <c r="D2256" s="76" t="s">
        <v>39</v>
      </c>
      <c r="E2256" s="76" t="s">
        <v>22</v>
      </c>
      <c r="F2256" s="77">
        <v>45382</v>
      </c>
      <c r="G2256" s="76">
        <v>2024</v>
      </c>
      <c r="H2256" s="76" t="s">
        <v>40</v>
      </c>
      <c r="I2256" s="76" t="s">
        <v>34</v>
      </c>
      <c r="J2256" s="76">
        <v>24.21</v>
      </c>
      <c r="K2256" s="76">
        <v>17.329999999999998</v>
      </c>
      <c r="L2256" s="78">
        <f t="shared" si="230"/>
        <v>0.71581990912845916</v>
      </c>
      <c r="M2256" s="78">
        <f t="shared" si="231"/>
        <v>0.71581990912845916</v>
      </c>
      <c r="N2256" s="76" t="s">
        <v>25</v>
      </c>
      <c r="O2256" s="76" t="s">
        <v>25</v>
      </c>
      <c r="P2256" s="76">
        <v>0</v>
      </c>
      <c r="Q2256" s="76">
        <v>0</v>
      </c>
      <c r="R2256" s="76" t="s">
        <v>3258</v>
      </c>
      <c r="S2256" s="76"/>
    </row>
    <row r="2257" spans="1:19" x14ac:dyDescent="0.3">
      <c r="A2257" s="76" t="s">
        <v>3253</v>
      </c>
      <c r="B2257" s="76" t="s">
        <v>3254</v>
      </c>
      <c r="C2257" s="76" t="s">
        <v>1263</v>
      </c>
      <c r="D2257" s="76" t="s">
        <v>39</v>
      </c>
      <c r="E2257" s="76" t="s">
        <v>22</v>
      </c>
      <c r="F2257" s="77">
        <v>45473</v>
      </c>
      <c r="G2257" s="76">
        <v>2024</v>
      </c>
      <c r="H2257" s="76" t="s">
        <v>23</v>
      </c>
      <c r="I2257" s="76" t="s">
        <v>34</v>
      </c>
      <c r="J2257" s="76">
        <v>46.42</v>
      </c>
      <c r="K2257" s="76">
        <v>47.33</v>
      </c>
      <c r="L2257" s="78">
        <f t="shared" si="230"/>
        <v>1</v>
      </c>
      <c r="M2257" s="78">
        <f t="shared" si="231"/>
        <v>1</v>
      </c>
      <c r="N2257" s="76" t="s">
        <v>25</v>
      </c>
      <c r="O2257" s="76" t="s">
        <v>25</v>
      </c>
      <c r="P2257" s="76">
        <v>0</v>
      </c>
      <c r="Q2257" s="76">
        <v>0</v>
      </c>
      <c r="R2257" s="76" t="s">
        <v>3259</v>
      </c>
      <c r="S2257" s="76"/>
    </row>
    <row r="2258" spans="1:19" x14ac:dyDescent="0.3">
      <c r="A2258" s="76" t="s">
        <v>3253</v>
      </c>
      <c r="B2258" s="76" t="s">
        <v>3254</v>
      </c>
      <c r="C2258" s="76" t="s">
        <v>1263</v>
      </c>
      <c r="D2258" s="76" t="s">
        <v>39</v>
      </c>
      <c r="E2258" s="76" t="s">
        <v>22</v>
      </c>
      <c r="F2258" s="77">
        <v>45565</v>
      </c>
      <c r="G2258" s="76">
        <v>2024</v>
      </c>
      <c r="H2258" s="76" t="s">
        <v>43</v>
      </c>
      <c r="I2258" s="76" t="s">
        <v>36</v>
      </c>
      <c r="J2258" s="76">
        <v>80</v>
      </c>
      <c r="K2258" s="76">
        <v>90</v>
      </c>
      <c r="L2258" s="78">
        <f t="shared" si="230"/>
        <v>1</v>
      </c>
      <c r="M2258" s="78">
        <f t="shared" si="231"/>
        <v>1</v>
      </c>
      <c r="N2258" s="76" t="s">
        <v>25</v>
      </c>
      <c r="O2258" s="76" t="s">
        <v>25</v>
      </c>
      <c r="P2258" s="76">
        <v>0</v>
      </c>
      <c r="Q2258" s="76">
        <v>0</v>
      </c>
      <c r="R2258" s="76" t="s">
        <v>3260</v>
      </c>
      <c r="S2258" s="76"/>
    </row>
    <row r="2259" spans="1:19" x14ac:dyDescent="0.3">
      <c r="A2259" s="76" t="s">
        <v>3253</v>
      </c>
      <c r="B2259" s="76" t="s">
        <v>3254</v>
      </c>
      <c r="C2259" s="76" t="s">
        <v>1263</v>
      </c>
      <c r="D2259" s="76" t="s">
        <v>39</v>
      </c>
      <c r="E2259" s="76" t="s">
        <v>22</v>
      </c>
      <c r="F2259" s="77">
        <v>45657</v>
      </c>
      <c r="G2259" s="76">
        <v>2024</v>
      </c>
      <c r="H2259" s="76" t="s">
        <v>27</v>
      </c>
      <c r="I2259" s="76" t="s">
        <v>36</v>
      </c>
      <c r="J2259" s="76">
        <v>100</v>
      </c>
      <c r="K2259" s="76">
        <v>100</v>
      </c>
      <c r="L2259" s="78">
        <f t="shared" si="230"/>
        <v>1</v>
      </c>
      <c r="M2259" s="78">
        <f t="shared" si="231"/>
        <v>1</v>
      </c>
      <c r="N2259" s="76" t="s">
        <v>25</v>
      </c>
      <c r="O2259" s="76" t="s">
        <v>25</v>
      </c>
      <c r="P2259" s="76">
        <v>0</v>
      </c>
      <c r="Q2259" s="76">
        <v>0</v>
      </c>
      <c r="R2259" s="76" t="s">
        <v>3261</v>
      </c>
      <c r="S2259" s="76"/>
    </row>
    <row r="2260" spans="1:19" x14ac:dyDescent="0.3">
      <c r="A2260" s="76" t="s">
        <v>3262</v>
      </c>
      <c r="B2260" s="76" t="s">
        <v>3263</v>
      </c>
      <c r="C2260" s="76" t="s">
        <v>1263</v>
      </c>
      <c r="D2260" s="76" t="s">
        <v>39</v>
      </c>
      <c r="E2260" s="76" t="s">
        <v>22</v>
      </c>
      <c r="F2260" s="77">
        <v>45107</v>
      </c>
      <c r="G2260" s="76">
        <v>2023</v>
      </c>
      <c r="H2260" s="76" t="s">
        <v>23</v>
      </c>
      <c r="I2260" s="76" t="s">
        <v>30</v>
      </c>
      <c r="J2260" s="76">
        <v>39</v>
      </c>
      <c r="K2260" s="76">
        <v>20</v>
      </c>
      <c r="L2260" s="78">
        <f t="shared" si="230"/>
        <v>0.51282051282051277</v>
      </c>
      <c r="M2260" s="78">
        <f t="shared" si="231"/>
        <v>0.51282051282051277</v>
      </c>
      <c r="N2260" s="76" t="s">
        <v>25</v>
      </c>
      <c r="O2260" s="76" t="s">
        <v>25</v>
      </c>
      <c r="P2260" s="76">
        <v>0</v>
      </c>
      <c r="Q2260" s="76">
        <v>0</v>
      </c>
      <c r="R2260" s="76" t="s">
        <v>3264</v>
      </c>
      <c r="S2260" s="76"/>
    </row>
    <row r="2261" spans="1:19" x14ac:dyDescent="0.3">
      <c r="A2261" s="76" t="s">
        <v>3262</v>
      </c>
      <c r="B2261" s="76" t="s">
        <v>3263</v>
      </c>
      <c r="C2261" s="76" t="s">
        <v>1263</v>
      </c>
      <c r="D2261" s="76" t="s">
        <v>39</v>
      </c>
      <c r="E2261" s="76" t="s">
        <v>22</v>
      </c>
      <c r="F2261" s="77">
        <v>45199</v>
      </c>
      <c r="G2261" s="76">
        <v>2023</v>
      </c>
      <c r="H2261" s="76" t="s">
        <v>43</v>
      </c>
      <c r="I2261" s="76" t="s">
        <v>32</v>
      </c>
      <c r="J2261" s="76">
        <v>92.62</v>
      </c>
      <c r="K2261" s="76">
        <v>50.42</v>
      </c>
      <c r="L2261" s="78">
        <f t="shared" si="230"/>
        <v>0.54437486503994814</v>
      </c>
      <c r="M2261" s="78">
        <f t="shared" si="231"/>
        <v>0.54437486503994814</v>
      </c>
      <c r="N2261" s="76" t="s">
        <v>25</v>
      </c>
      <c r="O2261" s="76" t="s">
        <v>25</v>
      </c>
      <c r="P2261" s="76">
        <v>0</v>
      </c>
      <c r="Q2261" s="76">
        <v>0</v>
      </c>
      <c r="R2261" s="76" t="s">
        <v>3265</v>
      </c>
      <c r="S2261" s="76"/>
    </row>
    <row r="2262" spans="1:19" x14ac:dyDescent="0.3">
      <c r="A2262" s="76" t="s">
        <v>3262</v>
      </c>
      <c r="B2262" s="76" t="s">
        <v>3263</v>
      </c>
      <c r="C2262" s="76" t="s">
        <v>1263</v>
      </c>
      <c r="D2262" s="76" t="s">
        <v>39</v>
      </c>
      <c r="E2262" s="76" t="s">
        <v>22</v>
      </c>
      <c r="F2262" s="77">
        <v>45291</v>
      </c>
      <c r="G2262" s="76">
        <v>2023</v>
      </c>
      <c r="H2262" s="76" t="s">
        <v>27</v>
      </c>
      <c r="I2262" s="76" t="s">
        <v>32</v>
      </c>
      <c r="J2262" s="76">
        <v>100</v>
      </c>
      <c r="K2262" s="76">
        <v>86.25</v>
      </c>
      <c r="L2262" s="78">
        <f t="shared" si="230"/>
        <v>0.86250000000000004</v>
      </c>
      <c r="M2262" s="78">
        <f t="shared" si="231"/>
        <v>0.86250000000000004</v>
      </c>
      <c r="N2262" s="76" t="s">
        <v>25</v>
      </c>
      <c r="O2262" s="76" t="s">
        <v>25</v>
      </c>
      <c r="P2262" s="76">
        <v>0</v>
      </c>
      <c r="Q2262" s="76">
        <v>0</v>
      </c>
      <c r="R2262" s="76" t="s">
        <v>3266</v>
      </c>
      <c r="S2262" s="76"/>
    </row>
    <row r="2263" spans="1:19" x14ac:dyDescent="0.3">
      <c r="A2263" s="76" t="s">
        <v>3262</v>
      </c>
      <c r="B2263" s="76" t="s">
        <v>3263</v>
      </c>
      <c r="C2263" s="76" t="s">
        <v>1263</v>
      </c>
      <c r="D2263" s="76" t="s">
        <v>39</v>
      </c>
      <c r="E2263" s="76" t="s">
        <v>22</v>
      </c>
      <c r="F2263" s="77">
        <v>45382</v>
      </c>
      <c r="G2263" s="76">
        <v>2024</v>
      </c>
      <c r="H2263" s="76" t="s">
        <v>40</v>
      </c>
      <c r="I2263" s="76" t="s">
        <v>34</v>
      </c>
      <c r="J2263" s="76">
        <v>86.42</v>
      </c>
      <c r="K2263" s="76">
        <v>56.21</v>
      </c>
      <c r="L2263" s="78">
        <f t="shared" si="230"/>
        <v>0.65042814163388107</v>
      </c>
      <c r="M2263" s="78">
        <f t="shared" si="231"/>
        <v>0.65042814163388107</v>
      </c>
      <c r="N2263" s="76" t="s">
        <v>25</v>
      </c>
      <c r="O2263" s="76" t="s">
        <v>25</v>
      </c>
      <c r="P2263" s="76">
        <v>0</v>
      </c>
      <c r="Q2263" s="76">
        <v>0</v>
      </c>
      <c r="R2263" s="76" t="s">
        <v>3267</v>
      </c>
      <c r="S2263" s="76"/>
    </row>
    <row r="2264" spans="1:19" x14ac:dyDescent="0.3">
      <c r="A2264" s="76" t="s">
        <v>3262</v>
      </c>
      <c r="B2264" s="76" t="s">
        <v>3263</v>
      </c>
      <c r="C2264" s="76" t="s">
        <v>1263</v>
      </c>
      <c r="D2264" s="76" t="s">
        <v>39</v>
      </c>
      <c r="E2264" s="76" t="s">
        <v>22</v>
      </c>
      <c r="F2264" s="77">
        <v>45473</v>
      </c>
      <c r="G2264" s="76">
        <v>2024</v>
      </c>
      <c r="H2264" s="76" t="s">
        <v>23</v>
      </c>
      <c r="I2264" s="76" t="s">
        <v>34</v>
      </c>
      <c r="J2264" s="76">
        <v>89.58</v>
      </c>
      <c r="K2264" s="76">
        <v>61</v>
      </c>
      <c r="L2264" s="78">
        <f t="shared" si="230"/>
        <v>0.68095557043983035</v>
      </c>
      <c r="M2264" s="78">
        <f t="shared" si="231"/>
        <v>0.68095557043983035</v>
      </c>
      <c r="N2264" s="76" t="s">
        <v>25</v>
      </c>
      <c r="O2264" s="76" t="s">
        <v>25</v>
      </c>
      <c r="P2264" s="76">
        <v>0</v>
      </c>
      <c r="Q2264" s="76">
        <v>0</v>
      </c>
      <c r="R2264" s="76" t="s">
        <v>3268</v>
      </c>
      <c r="S2264" s="76"/>
    </row>
    <row r="2265" spans="1:19" x14ac:dyDescent="0.3">
      <c r="A2265" s="76" t="s">
        <v>3262</v>
      </c>
      <c r="B2265" s="76" t="s">
        <v>3263</v>
      </c>
      <c r="C2265" s="76" t="s">
        <v>1263</v>
      </c>
      <c r="D2265" s="76" t="s">
        <v>39</v>
      </c>
      <c r="E2265" s="76" t="s">
        <v>22</v>
      </c>
      <c r="F2265" s="77">
        <v>45565</v>
      </c>
      <c r="G2265" s="76">
        <v>2024</v>
      </c>
      <c r="H2265" s="76" t="s">
        <v>43</v>
      </c>
      <c r="I2265" s="76" t="s">
        <v>36</v>
      </c>
      <c r="J2265" s="76">
        <v>99</v>
      </c>
      <c r="K2265" s="76">
        <v>61</v>
      </c>
      <c r="L2265" s="78">
        <f t="shared" si="230"/>
        <v>0.61616161616161613</v>
      </c>
      <c r="M2265" s="78">
        <f t="shared" si="231"/>
        <v>0.61616161616161613</v>
      </c>
      <c r="N2265" s="76" t="s">
        <v>25</v>
      </c>
      <c r="O2265" s="76" t="s">
        <v>25</v>
      </c>
      <c r="P2265" s="76">
        <v>0</v>
      </c>
      <c r="Q2265" s="76">
        <v>0</v>
      </c>
      <c r="R2265" s="76" t="s">
        <v>3269</v>
      </c>
      <c r="S2265" s="76"/>
    </row>
    <row r="2266" spans="1:19" x14ac:dyDescent="0.3">
      <c r="A2266" s="76" t="s">
        <v>3262</v>
      </c>
      <c r="B2266" s="76" t="s">
        <v>3263</v>
      </c>
      <c r="C2266" s="76" t="s">
        <v>1263</v>
      </c>
      <c r="D2266" s="76" t="s">
        <v>39</v>
      </c>
      <c r="E2266" s="76" t="s">
        <v>22</v>
      </c>
      <c r="F2266" s="77">
        <v>45657</v>
      </c>
      <c r="G2266" s="76">
        <v>2024</v>
      </c>
      <c r="H2266" s="76" t="s">
        <v>27</v>
      </c>
      <c r="I2266" s="76" t="s">
        <v>36</v>
      </c>
      <c r="J2266" s="76">
        <v>100</v>
      </c>
      <c r="K2266" s="76">
        <v>100</v>
      </c>
      <c r="L2266" s="78">
        <f t="shared" si="230"/>
        <v>1</v>
      </c>
      <c r="M2266" s="78">
        <f t="shared" si="231"/>
        <v>1</v>
      </c>
      <c r="N2266" s="76" t="s">
        <v>25</v>
      </c>
      <c r="O2266" s="76" t="s">
        <v>25</v>
      </c>
      <c r="P2266" s="76">
        <v>0</v>
      </c>
      <c r="Q2266" s="76">
        <v>0</v>
      </c>
      <c r="R2266" s="76" t="s">
        <v>3270</v>
      </c>
      <c r="S2266" s="76"/>
    </row>
    <row r="2267" spans="1:19" x14ac:dyDescent="0.3">
      <c r="A2267" s="76" t="s">
        <v>3271</v>
      </c>
      <c r="B2267" s="76" t="s">
        <v>3272</v>
      </c>
      <c r="C2267" s="76" t="s">
        <v>1263</v>
      </c>
      <c r="D2267" s="76" t="s">
        <v>39</v>
      </c>
      <c r="E2267" s="76" t="s">
        <v>22</v>
      </c>
      <c r="F2267" s="77">
        <v>45107</v>
      </c>
      <c r="G2267" s="76">
        <v>2023</v>
      </c>
      <c r="H2267" s="76" t="s">
        <v>23</v>
      </c>
      <c r="I2267" s="76" t="s">
        <v>30</v>
      </c>
      <c r="J2267" s="76">
        <v>50.8</v>
      </c>
      <c r="K2267" s="76">
        <v>47.47</v>
      </c>
      <c r="L2267" s="78">
        <f t="shared" si="230"/>
        <v>0.93444881889763787</v>
      </c>
      <c r="M2267" s="78">
        <f t="shared" si="231"/>
        <v>0.93444881889763787</v>
      </c>
      <c r="N2267" s="76" t="s">
        <v>25</v>
      </c>
      <c r="O2267" s="76" t="s">
        <v>25</v>
      </c>
      <c r="P2267" s="76">
        <v>0</v>
      </c>
      <c r="Q2267" s="76">
        <v>0</v>
      </c>
      <c r="R2267" s="76" t="s">
        <v>3273</v>
      </c>
      <c r="S2267" s="76"/>
    </row>
    <row r="2268" spans="1:19" x14ac:dyDescent="0.3">
      <c r="A2268" s="76" t="s">
        <v>3271</v>
      </c>
      <c r="B2268" s="76" t="s">
        <v>3272</v>
      </c>
      <c r="C2268" s="76" t="s">
        <v>1263</v>
      </c>
      <c r="D2268" s="76" t="s">
        <v>39</v>
      </c>
      <c r="E2268" s="76" t="s">
        <v>22</v>
      </c>
      <c r="F2268" s="77">
        <v>45199</v>
      </c>
      <c r="G2268" s="76">
        <v>2023</v>
      </c>
      <c r="H2268" s="76" t="s">
        <v>43</v>
      </c>
      <c r="I2268" s="76" t="s">
        <v>32</v>
      </c>
      <c r="J2268" s="76">
        <v>96.91</v>
      </c>
      <c r="K2268" s="76">
        <v>90.52</v>
      </c>
      <c r="L2268" s="78">
        <f t="shared" si="230"/>
        <v>0.93406253224641422</v>
      </c>
      <c r="M2268" s="78">
        <f t="shared" si="231"/>
        <v>0.93406253224641422</v>
      </c>
      <c r="N2268" s="76" t="s">
        <v>25</v>
      </c>
      <c r="O2268" s="76" t="s">
        <v>25</v>
      </c>
      <c r="P2268" s="76">
        <v>0</v>
      </c>
      <c r="Q2268" s="76">
        <v>0</v>
      </c>
      <c r="R2268" s="76" t="s">
        <v>3274</v>
      </c>
      <c r="S2268" s="76"/>
    </row>
    <row r="2269" spans="1:19" x14ac:dyDescent="0.3">
      <c r="A2269" s="76" t="s">
        <v>3271</v>
      </c>
      <c r="B2269" s="76" t="s">
        <v>3272</v>
      </c>
      <c r="C2269" s="76" t="s">
        <v>1263</v>
      </c>
      <c r="D2269" s="76" t="s">
        <v>39</v>
      </c>
      <c r="E2269" s="76" t="s">
        <v>22</v>
      </c>
      <c r="F2269" s="77">
        <v>45291</v>
      </c>
      <c r="G2269" s="76">
        <v>2023</v>
      </c>
      <c r="H2269" s="76" t="s">
        <v>27</v>
      </c>
      <c r="I2269" s="76" t="s">
        <v>32</v>
      </c>
      <c r="J2269" s="76">
        <v>100</v>
      </c>
      <c r="K2269" s="76">
        <v>100</v>
      </c>
      <c r="L2269" s="78">
        <f t="shared" si="230"/>
        <v>1</v>
      </c>
      <c r="M2269" s="78">
        <f t="shared" si="231"/>
        <v>1</v>
      </c>
      <c r="N2269" s="76" t="s">
        <v>25</v>
      </c>
      <c r="O2269" s="76" t="s">
        <v>25</v>
      </c>
      <c r="P2269" s="76">
        <v>0</v>
      </c>
      <c r="Q2269" s="76">
        <v>0</v>
      </c>
      <c r="R2269" s="76" t="s">
        <v>3275</v>
      </c>
      <c r="S2269" s="76"/>
    </row>
    <row r="2270" spans="1:19" x14ac:dyDescent="0.3">
      <c r="A2270" s="76" t="s">
        <v>3271</v>
      </c>
      <c r="B2270" s="76" t="s">
        <v>3272</v>
      </c>
      <c r="C2270" s="76" t="s">
        <v>1263</v>
      </c>
      <c r="D2270" s="76" t="s">
        <v>39</v>
      </c>
      <c r="E2270" s="76" t="s">
        <v>22</v>
      </c>
      <c r="F2270" s="77">
        <v>45382</v>
      </c>
      <c r="G2270" s="76">
        <v>2024</v>
      </c>
      <c r="H2270" s="76" t="s">
        <v>40</v>
      </c>
      <c r="I2270" s="76" t="s">
        <v>34</v>
      </c>
      <c r="J2270" s="76">
        <v>0</v>
      </c>
      <c r="K2270" s="76">
        <v>0</v>
      </c>
      <c r="L2270" s="78" t="str">
        <f t="shared" si="230"/>
        <v/>
      </c>
      <c r="M2270" s="78" t="str">
        <f t="shared" si="231"/>
        <v/>
      </c>
      <c r="N2270" s="76" t="s">
        <v>25</v>
      </c>
      <c r="O2270" s="76" t="s">
        <v>25</v>
      </c>
      <c r="P2270" s="76">
        <v>0</v>
      </c>
      <c r="Q2270" s="76">
        <v>0</v>
      </c>
      <c r="R2270" s="76" t="s">
        <v>3276</v>
      </c>
      <c r="S2270" s="76"/>
    </row>
    <row r="2271" spans="1:19" x14ac:dyDescent="0.3">
      <c r="A2271" s="76" t="s">
        <v>3271</v>
      </c>
      <c r="B2271" s="76" t="s">
        <v>3272</v>
      </c>
      <c r="C2271" s="76" t="s">
        <v>1263</v>
      </c>
      <c r="D2271" s="76" t="s">
        <v>39</v>
      </c>
      <c r="E2271" s="76" t="s">
        <v>22</v>
      </c>
      <c r="F2271" s="77">
        <v>45473</v>
      </c>
      <c r="G2271" s="76">
        <v>2024</v>
      </c>
      <c r="H2271" s="76" t="s">
        <v>23</v>
      </c>
      <c r="I2271" s="76" t="s">
        <v>34</v>
      </c>
      <c r="J2271" s="76">
        <v>72.38</v>
      </c>
      <c r="K2271" s="76">
        <v>70.209999999999994</v>
      </c>
      <c r="L2271" s="78">
        <f t="shared" si="230"/>
        <v>0.97001934235976783</v>
      </c>
      <c r="M2271" s="78">
        <f t="shared" si="231"/>
        <v>0.97001934235976783</v>
      </c>
      <c r="N2271" s="76" t="s">
        <v>25</v>
      </c>
      <c r="O2271" s="76" t="s">
        <v>25</v>
      </c>
      <c r="P2271" s="76">
        <v>0</v>
      </c>
      <c r="Q2271" s="76">
        <v>0</v>
      </c>
      <c r="R2271" s="76" t="s">
        <v>3277</v>
      </c>
      <c r="S2271" s="76"/>
    </row>
    <row r="2272" spans="1:19" x14ac:dyDescent="0.3">
      <c r="A2272" s="76" t="s">
        <v>3271</v>
      </c>
      <c r="B2272" s="76" t="s">
        <v>3272</v>
      </c>
      <c r="C2272" s="76" t="s">
        <v>1263</v>
      </c>
      <c r="D2272" s="76" t="s">
        <v>39</v>
      </c>
      <c r="E2272" s="76" t="s">
        <v>22</v>
      </c>
      <c r="F2272" s="77">
        <v>45565</v>
      </c>
      <c r="G2272" s="76">
        <v>2024</v>
      </c>
      <c r="H2272" s="76" t="s">
        <v>43</v>
      </c>
      <c r="I2272" s="76" t="s">
        <v>36</v>
      </c>
      <c r="J2272" s="76">
        <v>96</v>
      </c>
      <c r="K2272" s="76">
        <v>97</v>
      </c>
      <c r="L2272" s="78">
        <f t="shared" si="230"/>
        <v>1</v>
      </c>
      <c r="M2272" s="78">
        <f t="shared" si="231"/>
        <v>1</v>
      </c>
      <c r="N2272" s="76" t="s">
        <v>25</v>
      </c>
      <c r="O2272" s="76" t="s">
        <v>25</v>
      </c>
      <c r="P2272" s="76">
        <v>0</v>
      </c>
      <c r="Q2272" s="76">
        <v>0</v>
      </c>
      <c r="R2272" s="76" t="s">
        <v>3278</v>
      </c>
      <c r="S2272" s="76"/>
    </row>
    <row r="2273" spans="1:19" x14ac:dyDescent="0.3">
      <c r="A2273" s="76" t="s">
        <v>3271</v>
      </c>
      <c r="B2273" s="76" t="s">
        <v>3272</v>
      </c>
      <c r="C2273" s="76" t="s">
        <v>1263</v>
      </c>
      <c r="D2273" s="76" t="s">
        <v>39</v>
      </c>
      <c r="E2273" s="76" t="s">
        <v>22</v>
      </c>
      <c r="F2273" s="77">
        <v>45657</v>
      </c>
      <c r="G2273" s="76">
        <v>2024</v>
      </c>
      <c r="H2273" s="76" t="s">
        <v>27</v>
      </c>
      <c r="I2273" s="76" t="s">
        <v>36</v>
      </c>
      <c r="J2273" s="76">
        <v>100</v>
      </c>
      <c r="K2273" s="76">
        <v>100</v>
      </c>
      <c r="L2273" s="78">
        <f t="shared" si="230"/>
        <v>1</v>
      </c>
      <c r="M2273" s="78">
        <f t="shared" si="231"/>
        <v>1</v>
      </c>
      <c r="N2273" s="76" t="s">
        <v>25</v>
      </c>
      <c r="O2273" s="76" t="s">
        <v>25</v>
      </c>
      <c r="P2273" s="76">
        <v>0</v>
      </c>
      <c r="Q2273" s="76">
        <v>0</v>
      </c>
      <c r="R2273" s="76" t="s">
        <v>3279</v>
      </c>
      <c r="S2273" s="76"/>
    </row>
    <row r="2274" spans="1:19" x14ac:dyDescent="0.3">
      <c r="A2274" s="76" t="s">
        <v>3280</v>
      </c>
      <c r="B2274" s="76" t="s">
        <v>3281</v>
      </c>
      <c r="C2274" s="76" t="s">
        <v>1263</v>
      </c>
      <c r="D2274" s="76" t="s">
        <v>39</v>
      </c>
      <c r="E2274" s="76" t="s">
        <v>22</v>
      </c>
      <c r="F2274" s="77">
        <v>45107</v>
      </c>
      <c r="G2274" s="76">
        <v>2023</v>
      </c>
      <c r="H2274" s="76" t="s">
        <v>23</v>
      </c>
      <c r="I2274" s="76" t="s">
        <v>30</v>
      </c>
      <c r="J2274" s="76">
        <v>31.86</v>
      </c>
      <c r="K2274" s="76">
        <v>54</v>
      </c>
      <c r="L2274" s="78">
        <f t="shared" si="230"/>
        <v>1</v>
      </c>
      <c r="M2274" s="78">
        <f t="shared" si="231"/>
        <v>1</v>
      </c>
      <c r="N2274" s="76" t="s">
        <v>25</v>
      </c>
      <c r="O2274" s="76" t="s">
        <v>25</v>
      </c>
      <c r="P2274" s="76">
        <v>0</v>
      </c>
      <c r="Q2274" s="76">
        <v>0</v>
      </c>
      <c r="R2274" s="76" t="s">
        <v>3282</v>
      </c>
      <c r="S2274" s="76"/>
    </row>
    <row r="2275" spans="1:19" x14ac:dyDescent="0.3">
      <c r="A2275" s="76" t="s">
        <v>3280</v>
      </c>
      <c r="B2275" s="76" t="s">
        <v>3281</v>
      </c>
      <c r="C2275" s="76" t="s">
        <v>1263</v>
      </c>
      <c r="D2275" s="76" t="s">
        <v>39</v>
      </c>
      <c r="E2275" s="76" t="s">
        <v>22</v>
      </c>
      <c r="F2275" s="77">
        <v>45199</v>
      </c>
      <c r="G2275" s="76">
        <v>2023</v>
      </c>
      <c r="H2275" s="76" t="s">
        <v>43</v>
      </c>
      <c r="I2275" s="76" t="s">
        <v>32</v>
      </c>
      <c r="J2275" s="76">
        <v>89.5</v>
      </c>
      <c r="K2275" s="76">
        <v>79</v>
      </c>
      <c r="L2275" s="78">
        <f t="shared" si="230"/>
        <v>0.88268156424581001</v>
      </c>
      <c r="M2275" s="78">
        <f t="shared" si="231"/>
        <v>0.88268156424581001</v>
      </c>
      <c r="N2275" s="76" t="s">
        <v>25</v>
      </c>
      <c r="O2275" s="76" t="s">
        <v>25</v>
      </c>
      <c r="P2275" s="76">
        <v>0</v>
      </c>
      <c r="Q2275" s="76">
        <v>0</v>
      </c>
      <c r="R2275" s="76" t="s">
        <v>3283</v>
      </c>
      <c r="S2275" s="76"/>
    </row>
    <row r="2276" spans="1:19" x14ac:dyDescent="0.3">
      <c r="A2276" s="76" t="s">
        <v>3280</v>
      </c>
      <c r="B2276" s="76" t="s">
        <v>3281</v>
      </c>
      <c r="C2276" s="76" t="s">
        <v>1263</v>
      </c>
      <c r="D2276" s="76" t="s">
        <v>39</v>
      </c>
      <c r="E2276" s="76" t="s">
        <v>22</v>
      </c>
      <c r="F2276" s="77">
        <v>45291</v>
      </c>
      <c r="G2276" s="76">
        <v>2023</v>
      </c>
      <c r="H2276" s="76" t="s">
        <v>27</v>
      </c>
      <c r="I2276" s="76" t="s">
        <v>32</v>
      </c>
      <c r="J2276" s="76">
        <v>100</v>
      </c>
      <c r="K2276" s="76">
        <v>100</v>
      </c>
      <c r="L2276" s="78">
        <f t="shared" si="230"/>
        <v>1</v>
      </c>
      <c r="M2276" s="78">
        <f t="shared" si="231"/>
        <v>1</v>
      </c>
      <c r="N2276" s="76" t="s">
        <v>25</v>
      </c>
      <c r="O2276" s="76" t="s">
        <v>25</v>
      </c>
      <c r="P2276" s="76">
        <v>0</v>
      </c>
      <c r="Q2276" s="76">
        <v>0</v>
      </c>
      <c r="R2276" s="76" t="s">
        <v>3284</v>
      </c>
      <c r="S2276" s="76"/>
    </row>
    <row r="2277" spans="1:19" x14ac:dyDescent="0.3">
      <c r="A2277" s="76" t="s">
        <v>3280</v>
      </c>
      <c r="B2277" s="76" t="s">
        <v>3281</v>
      </c>
      <c r="C2277" s="76" t="s">
        <v>1263</v>
      </c>
      <c r="D2277" s="76" t="s">
        <v>39</v>
      </c>
      <c r="E2277" s="76" t="s">
        <v>22</v>
      </c>
      <c r="F2277" s="77">
        <v>45382</v>
      </c>
      <c r="G2277" s="76">
        <v>2024</v>
      </c>
      <c r="H2277" s="76" t="s">
        <v>40</v>
      </c>
      <c r="I2277" s="76" t="s">
        <v>34</v>
      </c>
      <c r="J2277" s="76">
        <v>0</v>
      </c>
      <c r="K2277" s="76">
        <v>0</v>
      </c>
      <c r="L2277" s="78" t="str">
        <f t="shared" si="230"/>
        <v/>
      </c>
      <c r="M2277" s="78" t="str">
        <f t="shared" si="231"/>
        <v/>
      </c>
      <c r="N2277" s="76" t="s">
        <v>25</v>
      </c>
      <c r="O2277" s="76" t="s">
        <v>25</v>
      </c>
      <c r="P2277" s="76">
        <v>0</v>
      </c>
      <c r="Q2277" s="76">
        <v>0</v>
      </c>
      <c r="R2277" s="76" t="s">
        <v>3285</v>
      </c>
      <c r="S2277" s="76"/>
    </row>
    <row r="2278" spans="1:19" x14ac:dyDescent="0.3">
      <c r="A2278" s="76" t="s">
        <v>3280</v>
      </c>
      <c r="B2278" s="76" t="s">
        <v>3281</v>
      </c>
      <c r="C2278" s="76" t="s">
        <v>1263</v>
      </c>
      <c r="D2278" s="76" t="s">
        <v>39</v>
      </c>
      <c r="E2278" s="76" t="s">
        <v>22</v>
      </c>
      <c r="F2278" s="77">
        <v>45473</v>
      </c>
      <c r="G2278" s="76">
        <v>2024</v>
      </c>
      <c r="H2278" s="76" t="s">
        <v>23</v>
      </c>
      <c r="I2278" s="76" t="s">
        <v>34</v>
      </c>
      <c r="J2278" s="76">
        <v>23.26</v>
      </c>
      <c r="K2278" s="76">
        <v>25.92</v>
      </c>
      <c r="L2278" s="78">
        <f t="shared" si="230"/>
        <v>1</v>
      </c>
      <c r="M2278" s="78">
        <f t="shared" si="231"/>
        <v>1</v>
      </c>
      <c r="N2278" s="76" t="s">
        <v>25</v>
      </c>
      <c r="O2278" s="76" t="s">
        <v>25</v>
      </c>
      <c r="P2278" s="76">
        <v>0</v>
      </c>
      <c r="Q2278" s="76">
        <v>0</v>
      </c>
      <c r="R2278" s="76" t="s">
        <v>3286</v>
      </c>
      <c r="S2278" s="76"/>
    </row>
    <row r="2279" spans="1:19" x14ac:dyDescent="0.3">
      <c r="A2279" s="76" t="s">
        <v>3280</v>
      </c>
      <c r="B2279" s="76" t="s">
        <v>3281</v>
      </c>
      <c r="C2279" s="76" t="s">
        <v>1263</v>
      </c>
      <c r="D2279" s="76" t="s">
        <v>39</v>
      </c>
      <c r="E2279" s="76" t="s">
        <v>22</v>
      </c>
      <c r="F2279" s="77">
        <v>45565</v>
      </c>
      <c r="G2279" s="76">
        <v>2024</v>
      </c>
      <c r="H2279" s="76" t="s">
        <v>43</v>
      </c>
      <c r="I2279" s="76" t="s">
        <v>36</v>
      </c>
      <c r="J2279" s="76">
        <v>29</v>
      </c>
      <c r="K2279" s="76">
        <v>50</v>
      </c>
      <c r="L2279" s="78">
        <f t="shared" si="230"/>
        <v>1</v>
      </c>
      <c r="M2279" s="78">
        <f t="shared" si="231"/>
        <v>1</v>
      </c>
      <c r="N2279" s="76" t="s">
        <v>25</v>
      </c>
      <c r="O2279" s="76" t="s">
        <v>25</v>
      </c>
      <c r="P2279" s="76">
        <v>0</v>
      </c>
      <c r="Q2279" s="76">
        <v>0</v>
      </c>
      <c r="R2279" s="76" t="s">
        <v>3287</v>
      </c>
      <c r="S2279" s="76"/>
    </row>
    <row r="2280" spans="1:19" x14ac:dyDescent="0.3">
      <c r="A2280" s="76" t="s">
        <v>3280</v>
      </c>
      <c r="B2280" s="76" t="s">
        <v>3281</v>
      </c>
      <c r="C2280" s="76" t="s">
        <v>1263</v>
      </c>
      <c r="D2280" s="76" t="s">
        <v>39</v>
      </c>
      <c r="E2280" s="76" t="s">
        <v>22</v>
      </c>
      <c r="F2280" s="77">
        <v>45657</v>
      </c>
      <c r="G2280" s="76">
        <v>2024</v>
      </c>
      <c r="H2280" s="76" t="s">
        <v>27</v>
      </c>
      <c r="I2280" s="76" t="s">
        <v>36</v>
      </c>
      <c r="J2280" s="76">
        <v>100</v>
      </c>
      <c r="K2280" s="76">
        <v>100</v>
      </c>
      <c r="L2280" s="78">
        <f t="shared" si="230"/>
        <v>1</v>
      </c>
      <c r="M2280" s="78">
        <f t="shared" si="231"/>
        <v>1</v>
      </c>
      <c r="N2280" s="76" t="s">
        <v>25</v>
      </c>
      <c r="O2280" s="76" t="s">
        <v>25</v>
      </c>
      <c r="P2280" s="76">
        <v>0</v>
      </c>
      <c r="Q2280" s="76">
        <v>0</v>
      </c>
      <c r="R2280" s="76" t="s">
        <v>3288</v>
      </c>
      <c r="S2280" s="76"/>
    </row>
    <row r="2281" spans="1:19" x14ac:dyDescent="0.3">
      <c r="A2281" s="76" t="s">
        <v>3289</v>
      </c>
      <c r="B2281" s="76" t="s">
        <v>3290</v>
      </c>
      <c r="C2281" s="76" t="s">
        <v>1263</v>
      </c>
      <c r="D2281" s="76" t="s">
        <v>39</v>
      </c>
      <c r="E2281" s="76" t="s">
        <v>22</v>
      </c>
      <c r="F2281" s="77">
        <v>45107</v>
      </c>
      <c r="G2281" s="76">
        <v>2023</v>
      </c>
      <c r="H2281" s="76" t="s">
        <v>23</v>
      </c>
      <c r="I2281" s="76" t="s">
        <v>30</v>
      </c>
      <c r="J2281" s="76">
        <v>15.06</v>
      </c>
      <c r="K2281" s="76">
        <v>17.3</v>
      </c>
      <c r="L2281" s="78">
        <f t="shared" ref="L2281:L2301" si="232">IFERROR(IF(OR(J2281=0,K2281=""),"",IF(E2281="Positivo",MIN(MAX(K2281/J2281,0),1),MIN(MAX(J2281/K2281,0),1))),"")</f>
        <v>1</v>
      </c>
      <c r="M2281" s="78">
        <f t="shared" ref="M2281:M2301" si="233">IFERROR(IF(OR(J2281=0,K2281=""),"",IF(E2281="Positivo",MIN(MAX(K2281/J2281,0),1),MIN(MAX(J2281/K2281,0),1))),"")</f>
        <v>1</v>
      </c>
      <c r="N2281" s="76" t="s">
        <v>25</v>
      </c>
      <c r="O2281" s="76" t="s">
        <v>25</v>
      </c>
      <c r="P2281" s="76">
        <v>0</v>
      </c>
      <c r="Q2281" s="76">
        <v>0</v>
      </c>
      <c r="R2281" s="76" t="s">
        <v>3291</v>
      </c>
      <c r="S2281" s="76"/>
    </row>
    <row r="2282" spans="1:19" x14ac:dyDescent="0.3">
      <c r="A2282" s="76" t="s">
        <v>3289</v>
      </c>
      <c r="B2282" s="76" t="s">
        <v>3290</v>
      </c>
      <c r="C2282" s="76" t="s">
        <v>1263</v>
      </c>
      <c r="D2282" s="76" t="s">
        <v>39</v>
      </c>
      <c r="E2282" s="76" t="s">
        <v>22</v>
      </c>
      <c r="F2282" s="77">
        <v>45199</v>
      </c>
      <c r="G2282" s="76">
        <v>2023</v>
      </c>
      <c r="H2282" s="76" t="s">
        <v>43</v>
      </c>
      <c r="I2282" s="76" t="s">
        <v>32</v>
      </c>
      <c r="J2282" s="76">
        <v>92.16</v>
      </c>
      <c r="K2282" s="76">
        <v>92</v>
      </c>
      <c r="L2282" s="78">
        <f t="shared" si="232"/>
        <v>0.99826388888888895</v>
      </c>
      <c r="M2282" s="78">
        <f t="shared" si="233"/>
        <v>0.99826388888888895</v>
      </c>
      <c r="N2282" s="76" t="s">
        <v>25</v>
      </c>
      <c r="O2282" s="76" t="s">
        <v>25</v>
      </c>
      <c r="P2282" s="76">
        <v>0</v>
      </c>
      <c r="Q2282" s="76">
        <v>0</v>
      </c>
      <c r="R2282" s="76" t="s">
        <v>3292</v>
      </c>
      <c r="S2282" s="76"/>
    </row>
    <row r="2283" spans="1:19" x14ac:dyDescent="0.3">
      <c r="A2283" s="76" t="s">
        <v>3289</v>
      </c>
      <c r="B2283" s="76" t="s">
        <v>3290</v>
      </c>
      <c r="C2283" s="76" t="s">
        <v>1263</v>
      </c>
      <c r="D2283" s="76" t="s">
        <v>39</v>
      </c>
      <c r="E2283" s="76" t="s">
        <v>22</v>
      </c>
      <c r="F2283" s="77">
        <v>45291</v>
      </c>
      <c r="G2283" s="76">
        <v>2023</v>
      </c>
      <c r="H2283" s="76" t="s">
        <v>27</v>
      </c>
      <c r="I2283" s="76" t="s">
        <v>32</v>
      </c>
      <c r="J2283" s="76">
        <v>100</v>
      </c>
      <c r="K2283" s="76">
        <v>100</v>
      </c>
      <c r="L2283" s="78">
        <f t="shared" si="232"/>
        <v>1</v>
      </c>
      <c r="M2283" s="78">
        <f t="shared" si="233"/>
        <v>1</v>
      </c>
      <c r="N2283" s="76" t="s">
        <v>25</v>
      </c>
      <c r="O2283" s="76" t="s">
        <v>25</v>
      </c>
      <c r="P2283" s="76">
        <v>0</v>
      </c>
      <c r="Q2283" s="76">
        <v>0</v>
      </c>
      <c r="R2283" s="76" t="s">
        <v>3293</v>
      </c>
      <c r="S2283" s="76"/>
    </row>
    <row r="2284" spans="1:19" x14ac:dyDescent="0.3">
      <c r="A2284" s="76" t="s">
        <v>3289</v>
      </c>
      <c r="B2284" s="76" t="s">
        <v>3290</v>
      </c>
      <c r="C2284" s="76" t="s">
        <v>1263</v>
      </c>
      <c r="D2284" s="76" t="s">
        <v>39</v>
      </c>
      <c r="E2284" s="76" t="s">
        <v>22</v>
      </c>
      <c r="F2284" s="77">
        <v>45382</v>
      </c>
      <c r="G2284" s="76">
        <v>2024</v>
      </c>
      <c r="H2284" s="76" t="s">
        <v>40</v>
      </c>
      <c r="I2284" s="76" t="s">
        <v>34</v>
      </c>
      <c r="J2284" s="76">
        <v>0</v>
      </c>
      <c r="K2284" s="76">
        <v>0</v>
      </c>
      <c r="L2284" s="78" t="str">
        <f t="shared" si="232"/>
        <v/>
      </c>
      <c r="M2284" s="78" t="str">
        <f t="shared" si="233"/>
        <v/>
      </c>
      <c r="N2284" s="76" t="s">
        <v>25</v>
      </c>
      <c r="O2284" s="76" t="s">
        <v>25</v>
      </c>
      <c r="P2284" s="76">
        <v>0</v>
      </c>
      <c r="Q2284" s="76">
        <v>0</v>
      </c>
      <c r="R2284" s="76" t="s">
        <v>3294</v>
      </c>
      <c r="S2284" s="76"/>
    </row>
    <row r="2285" spans="1:19" x14ac:dyDescent="0.3">
      <c r="A2285" s="76" t="s">
        <v>3289</v>
      </c>
      <c r="B2285" s="76" t="s">
        <v>3290</v>
      </c>
      <c r="C2285" s="76" t="s">
        <v>1263</v>
      </c>
      <c r="D2285" s="76" t="s">
        <v>39</v>
      </c>
      <c r="E2285" s="76" t="s">
        <v>22</v>
      </c>
      <c r="F2285" s="77">
        <v>45473</v>
      </c>
      <c r="G2285" s="76">
        <v>2024</v>
      </c>
      <c r="H2285" s="76" t="s">
        <v>23</v>
      </c>
      <c r="I2285" s="76" t="s">
        <v>34</v>
      </c>
      <c r="J2285" s="76">
        <v>64.03</v>
      </c>
      <c r="K2285" s="76">
        <v>66.25</v>
      </c>
      <c r="L2285" s="78">
        <f t="shared" si="232"/>
        <v>1</v>
      </c>
      <c r="M2285" s="78">
        <f t="shared" si="233"/>
        <v>1</v>
      </c>
      <c r="N2285" s="76" t="s">
        <v>25</v>
      </c>
      <c r="O2285" s="76" t="s">
        <v>25</v>
      </c>
      <c r="P2285" s="76">
        <v>0</v>
      </c>
      <c r="Q2285" s="76">
        <v>0</v>
      </c>
      <c r="R2285" s="76" t="s">
        <v>3295</v>
      </c>
      <c r="S2285" s="76"/>
    </row>
    <row r="2286" spans="1:19" x14ac:dyDescent="0.3">
      <c r="A2286" s="76" t="s">
        <v>3289</v>
      </c>
      <c r="B2286" s="76" t="s">
        <v>3290</v>
      </c>
      <c r="C2286" s="76" t="s">
        <v>1263</v>
      </c>
      <c r="D2286" s="76" t="s">
        <v>39</v>
      </c>
      <c r="E2286" s="76" t="s">
        <v>22</v>
      </c>
      <c r="F2286" s="77">
        <v>45565</v>
      </c>
      <c r="G2286" s="76">
        <v>2024</v>
      </c>
      <c r="H2286" s="76" t="s">
        <v>43</v>
      </c>
      <c r="I2286" s="76" t="s">
        <v>36</v>
      </c>
      <c r="J2286" s="76">
        <v>96</v>
      </c>
      <c r="K2286" s="76">
        <v>88</v>
      </c>
      <c r="L2286" s="78">
        <f t="shared" si="232"/>
        <v>0.91666666666666663</v>
      </c>
      <c r="M2286" s="78">
        <f t="shared" si="233"/>
        <v>0.91666666666666663</v>
      </c>
      <c r="N2286" s="76" t="s">
        <v>25</v>
      </c>
      <c r="O2286" s="76" t="s">
        <v>25</v>
      </c>
      <c r="P2286" s="76">
        <v>0</v>
      </c>
      <c r="Q2286" s="76">
        <v>0</v>
      </c>
      <c r="R2286" s="76" t="s">
        <v>3296</v>
      </c>
      <c r="S2286" s="76"/>
    </row>
    <row r="2287" spans="1:19" x14ac:dyDescent="0.3">
      <c r="A2287" s="76" t="s">
        <v>3289</v>
      </c>
      <c r="B2287" s="76" t="s">
        <v>3290</v>
      </c>
      <c r="C2287" s="76" t="s">
        <v>1263</v>
      </c>
      <c r="D2287" s="76" t="s">
        <v>39</v>
      </c>
      <c r="E2287" s="76" t="s">
        <v>22</v>
      </c>
      <c r="F2287" s="77">
        <v>45657</v>
      </c>
      <c r="G2287" s="76">
        <v>2024</v>
      </c>
      <c r="H2287" s="76" t="s">
        <v>27</v>
      </c>
      <c r="I2287" s="76" t="s">
        <v>36</v>
      </c>
      <c r="J2287" s="76">
        <v>100</v>
      </c>
      <c r="K2287" s="76">
        <v>100</v>
      </c>
      <c r="L2287" s="78">
        <f t="shared" si="232"/>
        <v>1</v>
      </c>
      <c r="M2287" s="78">
        <f t="shared" si="233"/>
        <v>1</v>
      </c>
      <c r="N2287" s="76" t="s">
        <v>25</v>
      </c>
      <c r="O2287" s="76" t="s">
        <v>25</v>
      </c>
      <c r="P2287" s="76">
        <v>0</v>
      </c>
      <c r="Q2287" s="76">
        <v>0</v>
      </c>
      <c r="R2287" s="76" t="s">
        <v>3297</v>
      </c>
      <c r="S2287" s="76"/>
    </row>
    <row r="2288" spans="1:19" x14ac:dyDescent="0.3">
      <c r="A2288" s="76" t="s">
        <v>3298</v>
      </c>
      <c r="B2288" s="76" t="s">
        <v>3299</v>
      </c>
      <c r="C2288" s="76" t="s">
        <v>1263</v>
      </c>
      <c r="D2288" s="76" t="s">
        <v>39</v>
      </c>
      <c r="E2288" s="76" t="s">
        <v>22</v>
      </c>
      <c r="F2288" s="77">
        <v>45107</v>
      </c>
      <c r="G2288" s="76">
        <v>2023</v>
      </c>
      <c r="H2288" s="76" t="s">
        <v>23</v>
      </c>
      <c r="I2288" s="76" t="s">
        <v>30</v>
      </c>
      <c r="J2288" s="76">
        <v>57.83</v>
      </c>
      <c r="K2288" s="76">
        <v>47.72</v>
      </c>
      <c r="L2288" s="78">
        <f t="shared" si="232"/>
        <v>0.82517724364516687</v>
      </c>
      <c r="M2288" s="78">
        <f t="shared" si="233"/>
        <v>0.82517724364516687</v>
      </c>
      <c r="N2288" s="76" t="s">
        <v>25</v>
      </c>
      <c r="O2288" s="76" t="s">
        <v>25</v>
      </c>
      <c r="P2288" s="76">
        <v>0</v>
      </c>
      <c r="Q2288" s="76">
        <v>0</v>
      </c>
      <c r="R2288" s="76" t="s">
        <v>3300</v>
      </c>
      <c r="S2288" s="76"/>
    </row>
    <row r="2289" spans="1:19" x14ac:dyDescent="0.3">
      <c r="A2289" s="76" t="s">
        <v>3298</v>
      </c>
      <c r="B2289" s="76" t="s">
        <v>3299</v>
      </c>
      <c r="C2289" s="76" t="s">
        <v>1263</v>
      </c>
      <c r="D2289" s="76" t="s">
        <v>39</v>
      </c>
      <c r="E2289" s="76" t="s">
        <v>22</v>
      </c>
      <c r="F2289" s="77">
        <v>45199</v>
      </c>
      <c r="G2289" s="76">
        <v>2023</v>
      </c>
      <c r="H2289" s="76" t="s">
        <v>43</v>
      </c>
      <c r="I2289" s="76" t="s">
        <v>32</v>
      </c>
      <c r="J2289" s="76">
        <v>100</v>
      </c>
      <c r="K2289" s="76">
        <v>100</v>
      </c>
      <c r="L2289" s="78">
        <f t="shared" si="232"/>
        <v>1</v>
      </c>
      <c r="M2289" s="78">
        <f t="shared" si="233"/>
        <v>1</v>
      </c>
      <c r="N2289" s="76" t="s">
        <v>25</v>
      </c>
      <c r="O2289" s="76" t="s">
        <v>25</v>
      </c>
      <c r="P2289" s="76">
        <v>0</v>
      </c>
      <c r="Q2289" s="76">
        <v>0</v>
      </c>
      <c r="R2289" s="76" t="s">
        <v>3301</v>
      </c>
      <c r="S2289" s="76"/>
    </row>
    <row r="2290" spans="1:19" x14ac:dyDescent="0.3">
      <c r="A2290" s="76" t="s">
        <v>3298</v>
      </c>
      <c r="B2290" s="76" t="s">
        <v>3299</v>
      </c>
      <c r="C2290" s="76" t="s">
        <v>1263</v>
      </c>
      <c r="D2290" s="76" t="s">
        <v>39</v>
      </c>
      <c r="E2290" s="76" t="s">
        <v>22</v>
      </c>
      <c r="F2290" s="77">
        <v>45291</v>
      </c>
      <c r="G2290" s="76">
        <v>2023</v>
      </c>
      <c r="H2290" s="76" t="s">
        <v>27</v>
      </c>
      <c r="I2290" s="76" t="s">
        <v>32</v>
      </c>
      <c r="J2290" s="76">
        <v>100</v>
      </c>
      <c r="K2290" s="76">
        <v>100</v>
      </c>
      <c r="L2290" s="78">
        <f t="shared" si="232"/>
        <v>1</v>
      </c>
      <c r="M2290" s="78">
        <f t="shared" si="233"/>
        <v>1</v>
      </c>
      <c r="N2290" s="76" t="s">
        <v>25</v>
      </c>
      <c r="O2290" s="76" t="s">
        <v>25</v>
      </c>
      <c r="P2290" s="76">
        <v>0</v>
      </c>
      <c r="Q2290" s="76">
        <v>0</v>
      </c>
      <c r="R2290" s="76" t="s">
        <v>3302</v>
      </c>
      <c r="S2290" s="76"/>
    </row>
    <row r="2291" spans="1:19" x14ac:dyDescent="0.3">
      <c r="A2291" s="76" t="s">
        <v>3298</v>
      </c>
      <c r="B2291" s="76" t="s">
        <v>3299</v>
      </c>
      <c r="C2291" s="76" t="s">
        <v>1263</v>
      </c>
      <c r="D2291" s="76" t="s">
        <v>39</v>
      </c>
      <c r="E2291" s="76" t="s">
        <v>22</v>
      </c>
      <c r="F2291" s="77">
        <v>45382</v>
      </c>
      <c r="G2291" s="76">
        <v>2024</v>
      </c>
      <c r="H2291" s="76" t="s">
        <v>40</v>
      </c>
      <c r="I2291" s="76" t="s">
        <v>34</v>
      </c>
      <c r="J2291" s="76">
        <v>0</v>
      </c>
      <c r="K2291" s="76">
        <v>0</v>
      </c>
      <c r="L2291" s="78" t="str">
        <f t="shared" si="232"/>
        <v/>
      </c>
      <c r="M2291" s="78" t="str">
        <f t="shared" si="233"/>
        <v/>
      </c>
      <c r="N2291" s="76" t="s">
        <v>25</v>
      </c>
      <c r="O2291" s="76" t="s">
        <v>25</v>
      </c>
      <c r="P2291" s="76">
        <v>0</v>
      </c>
      <c r="Q2291" s="76">
        <v>0</v>
      </c>
      <c r="R2291" s="76" t="s">
        <v>3303</v>
      </c>
      <c r="S2291" s="76"/>
    </row>
    <row r="2292" spans="1:19" x14ac:dyDescent="0.3">
      <c r="A2292" s="76" t="s">
        <v>3298</v>
      </c>
      <c r="B2292" s="76" t="s">
        <v>3299</v>
      </c>
      <c r="C2292" s="76" t="s">
        <v>1263</v>
      </c>
      <c r="D2292" s="76" t="s">
        <v>39</v>
      </c>
      <c r="E2292" s="76" t="s">
        <v>22</v>
      </c>
      <c r="F2292" s="77">
        <v>45473</v>
      </c>
      <c r="G2292" s="76">
        <v>2024</v>
      </c>
      <c r="H2292" s="76" t="s">
        <v>23</v>
      </c>
      <c r="I2292" s="76" t="s">
        <v>34</v>
      </c>
      <c r="J2292" s="76">
        <v>58.34</v>
      </c>
      <c r="K2292" s="76">
        <v>45.5</v>
      </c>
      <c r="L2292" s="78">
        <f t="shared" si="232"/>
        <v>0.77991086732944803</v>
      </c>
      <c r="M2292" s="78">
        <f t="shared" si="233"/>
        <v>0.77991086732944803</v>
      </c>
      <c r="N2292" s="76" t="s">
        <v>25</v>
      </c>
      <c r="O2292" s="76" t="s">
        <v>25</v>
      </c>
      <c r="P2292" s="76">
        <v>0</v>
      </c>
      <c r="Q2292" s="76">
        <v>0</v>
      </c>
      <c r="R2292" s="76" t="s">
        <v>3304</v>
      </c>
      <c r="S2292" s="76"/>
    </row>
    <row r="2293" spans="1:19" x14ac:dyDescent="0.3">
      <c r="A2293" s="76" t="s">
        <v>3298</v>
      </c>
      <c r="B2293" s="76" t="s">
        <v>3299</v>
      </c>
      <c r="C2293" s="76" t="s">
        <v>1263</v>
      </c>
      <c r="D2293" s="76" t="s">
        <v>39</v>
      </c>
      <c r="E2293" s="76" t="s">
        <v>22</v>
      </c>
      <c r="F2293" s="77">
        <v>45565</v>
      </c>
      <c r="G2293" s="76">
        <v>2024</v>
      </c>
      <c r="H2293" s="76" t="s">
        <v>43</v>
      </c>
      <c r="I2293" s="76" t="s">
        <v>36</v>
      </c>
      <c r="J2293" s="76">
        <v>89</v>
      </c>
      <c r="K2293" s="76">
        <v>75</v>
      </c>
      <c r="L2293" s="78">
        <f t="shared" si="232"/>
        <v>0.84269662921348309</v>
      </c>
      <c r="M2293" s="78">
        <f t="shared" si="233"/>
        <v>0.84269662921348309</v>
      </c>
      <c r="N2293" s="76" t="s">
        <v>25</v>
      </c>
      <c r="O2293" s="76" t="s">
        <v>25</v>
      </c>
      <c r="P2293" s="76">
        <v>0</v>
      </c>
      <c r="Q2293" s="76">
        <v>0</v>
      </c>
      <c r="R2293" s="76" t="s">
        <v>3305</v>
      </c>
      <c r="S2293" s="76"/>
    </row>
    <row r="2294" spans="1:19" x14ac:dyDescent="0.3">
      <c r="A2294" s="76" t="s">
        <v>3298</v>
      </c>
      <c r="B2294" s="76" t="s">
        <v>3299</v>
      </c>
      <c r="C2294" s="76" t="s">
        <v>1263</v>
      </c>
      <c r="D2294" s="76" t="s">
        <v>39</v>
      </c>
      <c r="E2294" s="76" t="s">
        <v>22</v>
      </c>
      <c r="F2294" s="77">
        <v>45657</v>
      </c>
      <c r="G2294" s="76">
        <v>2024</v>
      </c>
      <c r="H2294" s="76" t="s">
        <v>27</v>
      </c>
      <c r="I2294" s="76" t="s">
        <v>36</v>
      </c>
      <c r="J2294" s="76">
        <v>100</v>
      </c>
      <c r="K2294" s="76">
        <v>80</v>
      </c>
      <c r="L2294" s="78">
        <f t="shared" si="232"/>
        <v>0.8</v>
      </c>
      <c r="M2294" s="78">
        <f t="shared" si="233"/>
        <v>0.8</v>
      </c>
      <c r="N2294" s="76" t="s">
        <v>25</v>
      </c>
      <c r="O2294" s="76" t="s">
        <v>25</v>
      </c>
      <c r="P2294" s="76">
        <v>0</v>
      </c>
      <c r="Q2294" s="76">
        <v>0</v>
      </c>
      <c r="R2294" s="76" t="s">
        <v>3306</v>
      </c>
      <c r="S2294" s="76"/>
    </row>
    <row r="2295" spans="1:19" x14ac:dyDescent="0.3">
      <c r="A2295" s="76" t="s">
        <v>3307</v>
      </c>
      <c r="B2295" s="76" t="s">
        <v>3308</v>
      </c>
      <c r="C2295" s="76" t="s">
        <v>1263</v>
      </c>
      <c r="D2295" s="76" t="s">
        <v>39</v>
      </c>
      <c r="E2295" s="76" t="s">
        <v>22</v>
      </c>
      <c r="F2295" s="77">
        <v>45107</v>
      </c>
      <c r="G2295" s="76">
        <v>2023</v>
      </c>
      <c r="H2295" s="76" t="s">
        <v>23</v>
      </c>
      <c r="I2295" s="76" t="s">
        <v>30</v>
      </c>
      <c r="J2295" s="76">
        <v>39.369999999999997</v>
      </c>
      <c r="K2295" s="76">
        <v>41.15</v>
      </c>
      <c r="L2295" s="78">
        <f t="shared" si="232"/>
        <v>1</v>
      </c>
      <c r="M2295" s="78">
        <f t="shared" si="233"/>
        <v>1</v>
      </c>
      <c r="N2295" s="76" t="s">
        <v>25</v>
      </c>
      <c r="O2295" s="76" t="s">
        <v>25</v>
      </c>
      <c r="P2295" s="76">
        <v>0</v>
      </c>
      <c r="Q2295" s="76">
        <v>0</v>
      </c>
      <c r="R2295" s="76" t="s">
        <v>3309</v>
      </c>
      <c r="S2295" s="76"/>
    </row>
    <row r="2296" spans="1:19" x14ac:dyDescent="0.3">
      <c r="A2296" s="76" t="s">
        <v>3307</v>
      </c>
      <c r="B2296" s="76" t="s">
        <v>3308</v>
      </c>
      <c r="C2296" s="76" t="s">
        <v>1263</v>
      </c>
      <c r="D2296" s="76" t="s">
        <v>39</v>
      </c>
      <c r="E2296" s="76" t="s">
        <v>22</v>
      </c>
      <c r="F2296" s="77">
        <v>45199</v>
      </c>
      <c r="G2296" s="76">
        <v>2023</v>
      </c>
      <c r="H2296" s="76" t="s">
        <v>43</v>
      </c>
      <c r="I2296" s="76" t="s">
        <v>32</v>
      </c>
      <c r="J2296" s="76">
        <v>93.8</v>
      </c>
      <c r="K2296" s="76">
        <v>85.76</v>
      </c>
      <c r="L2296" s="78">
        <f t="shared" si="232"/>
        <v>0.91428571428571437</v>
      </c>
      <c r="M2296" s="78">
        <f t="shared" si="233"/>
        <v>0.91428571428571437</v>
      </c>
      <c r="N2296" s="76" t="s">
        <v>25</v>
      </c>
      <c r="O2296" s="76" t="s">
        <v>25</v>
      </c>
      <c r="P2296" s="76">
        <v>0</v>
      </c>
      <c r="Q2296" s="76">
        <v>0</v>
      </c>
      <c r="R2296" s="76" t="s">
        <v>3310</v>
      </c>
      <c r="S2296" s="76"/>
    </row>
    <row r="2297" spans="1:19" x14ac:dyDescent="0.3">
      <c r="A2297" s="76" t="s">
        <v>3307</v>
      </c>
      <c r="B2297" s="76" t="s">
        <v>3308</v>
      </c>
      <c r="C2297" s="76" t="s">
        <v>1263</v>
      </c>
      <c r="D2297" s="76" t="s">
        <v>39</v>
      </c>
      <c r="E2297" s="76" t="s">
        <v>22</v>
      </c>
      <c r="F2297" s="77">
        <v>45291</v>
      </c>
      <c r="G2297" s="76">
        <v>2023</v>
      </c>
      <c r="H2297" s="76" t="s">
        <v>27</v>
      </c>
      <c r="I2297" s="76" t="s">
        <v>32</v>
      </c>
      <c r="J2297" s="76">
        <v>100</v>
      </c>
      <c r="K2297" s="76">
        <v>100</v>
      </c>
      <c r="L2297" s="78">
        <f t="shared" si="232"/>
        <v>1</v>
      </c>
      <c r="M2297" s="78">
        <f t="shared" si="233"/>
        <v>1</v>
      </c>
      <c r="N2297" s="76" t="s">
        <v>25</v>
      </c>
      <c r="O2297" s="76" t="s">
        <v>25</v>
      </c>
      <c r="P2297" s="76">
        <v>0</v>
      </c>
      <c r="Q2297" s="76">
        <v>0</v>
      </c>
      <c r="R2297" s="76" t="s">
        <v>3311</v>
      </c>
      <c r="S2297" s="76"/>
    </row>
    <row r="2298" spans="1:19" x14ac:dyDescent="0.3">
      <c r="A2298" s="76" t="s">
        <v>3307</v>
      </c>
      <c r="B2298" s="76" t="s">
        <v>3308</v>
      </c>
      <c r="C2298" s="76" t="s">
        <v>1263</v>
      </c>
      <c r="D2298" s="76" t="s">
        <v>39</v>
      </c>
      <c r="E2298" s="76" t="s">
        <v>22</v>
      </c>
      <c r="F2298" s="77">
        <v>45382</v>
      </c>
      <c r="G2298" s="76">
        <v>2024</v>
      </c>
      <c r="H2298" s="76" t="s">
        <v>40</v>
      </c>
      <c r="I2298" s="76" t="s">
        <v>34</v>
      </c>
      <c r="J2298" s="76">
        <v>0</v>
      </c>
      <c r="K2298" s="76">
        <v>0</v>
      </c>
      <c r="L2298" s="78" t="str">
        <f t="shared" si="232"/>
        <v/>
      </c>
      <c r="M2298" s="78" t="str">
        <f t="shared" si="233"/>
        <v/>
      </c>
      <c r="N2298" s="76" t="s">
        <v>25</v>
      </c>
      <c r="O2298" s="76" t="s">
        <v>25</v>
      </c>
      <c r="P2298" s="76">
        <v>0</v>
      </c>
      <c r="Q2298" s="76">
        <v>0</v>
      </c>
      <c r="R2298" s="76" t="s">
        <v>3312</v>
      </c>
      <c r="S2298" s="76"/>
    </row>
    <row r="2299" spans="1:19" x14ac:dyDescent="0.3">
      <c r="A2299" s="76" t="s">
        <v>3307</v>
      </c>
      <c r="B2299" s="76" t="s">
        <v>3308</v>
      </c>
      <c r="C2299" s="76" t="s">
        <v>1263</v>
      </c>
      <c r="D2299" s="76" t="s">
        <v>39</v>
      </c>
      <c r="E2299" s="76" t="s">
        <v>22</v>
      </c>
      <c r="F2299" s="77">
        <v>45473</v>
      </c>
      <c r="G2299" s="76">
        <v>2024</v>
      </c>
      <c r="H2299" s="76" t="s">
        <v>23</v>
      </c>
      <c r="I2299" s="76" t="s">
        <v>34</v>
      </c>
      <c r="J2299" s="76">
        <v>58.4</v>
      </c>
      <c r="K2299" s="76">
        <v>53.96</v>
      </c>
      <c r="L2299" s="78">
        <f t="shared" si="232"/>
        <v>0.92397260273972603</v>
      </c>
      <c r="M2299" s="78">
        <f t="shared" si="233"/>
        <v>0.92397260273972603</v>
      </c>
      <c r="N2299" s="76" t="s">
        <v>25</v>
      </c>
      <c r="O2299" s="76" t="s">
        <v>25</v>
      </c>
      <c r="P2299" s="76">
        <v>0</v>
      </c>
      <c r="Q2299" s="76">
        <v>0</v>
      </c>
      <c r="R2299" s="76" t="s">
        <v>3313</v>
      </c>
      <c r="S2299" s="76"/>
    </row>
    <row r="2300" spans="1:19" x14ac:dyDescent="0.3">
      <c r="A2300" s="76" t="s">
        <v>3307</v>
      </c>
      <c r="B2300" s="76" t="s">
        <v>3308</v>
      </c>
      <c r="C2300" s="76" t="s">
        <v>1263</v>
      </c>
      <c r="D2300" s="76" t="s">
        <v>39</v>
      </c>
      <c r="E2300" s="76" t="s">
        <v>22</v>
      </c>
      <c r="F2300" s="77">
        <v>45565</v>
      </c>
      <c r="G2300" s="76">
        <v>2024</v>
      </c>
      <c r="H2300" s="76" t="s">
        <v>43</v>
      </c>
      <c r="I2300" s="76" t="s">
        <v>36</v>
      </c>
      <c r="J2300" s="76">
        <v>61</v>
      </c>
      <c r="K2300" s="76">
        <v>67</v>
      </c>
      <c r="L2300" s="78">
        <f t="shared" si="232"/>
        <v>1</v>
      </c>
      <c r="M2300" s="78">
        <f t="shared" si="233"/>
        <v>1</v>
      </c>
      <c r="N2300" s="76" t="s">
        <v>25</v>
      </c>
      <c r="O2300" s="76" t="s">
        <v>25</v>
      </c>
      <c r="P2300" s="76">
        <v>0</v>
      </c>
      <c r="Q2300" s="76">
        <v>0</v>
      </c>
      <c r="R2300" s="76" t="s">
        <v>3314</v>
      </c>
      <c r="S2300" s="76"/>
    </row>
    <row r="2301" spans="1:19" x14ac:dyDescent="0.3">
      <c r="A2301" s="76" t="s">
        <v>3307</v>
      </c>
      <c r="B2301" s="76" t="s">
        <v>3308</v>
      </c>
      <c r="C2301" s="76" t="s">
        <v>1263</v>
      </c>
      <c r="D2301" s="76" t="s">
        <v>39</v>
      </c>
      <c r="E2301" s="76" t="s">
        <v>22</v>
      </c>
      <c r="F2301" s="77">
        <v>45657</v>
      </c>
      <c r="G2301" s="76">
        <v>2024</v>
      </c>
      <c r="H2301" s="76" t="s">
        <v>27</v>
      </c>
      <c r="I2301" s="76" t="s">
        <v>36</v>
      </c>
      <c r="J2301" s="76">
        <v>100</v>
      </c>
      <c r="K2301" s="76">
        <v>100</v>
      </c>
      <c r="L2301" s="78">
        <f t="shared" si="232"/>
        <v>1</v>
      </c>
      <c r="M2301" s="78">
        <f t="shared" si="233"/>
        <v>1</v>
      </c>
      <c r="N2301" s="76" t="s">
        <v>25</v>
      </c>
      <c r="O2301" s="76" t="s">
        <v>25</v>
      </c>
      <c r="P2301" s="76">
        <v>0</v>
      </c>
      <c r="Q2301" s="76">
        <v>0</v>
      </c>
      <c r="R2301" s="76" t="s">
        <v>3315</v>
      </c>
      <c r="S2301" s="76"/>
    </row>
    <row r="2302" spans="1:19" x14ac:dyDescent="0.3">
      <c r="A2302" s="76" t="s">
        <v>3316</v>
      </c>
      <c r="B2302" s="76" t="s">
        <v>3317</v>
      </c>
      <c r="C2302" s="76" t="s">
        <v>1263</v>
      </c>
      <c r="D2302" s="76" t="s">
        <v>39</v>
      </c>
      <c r="E2302" s="76" t="s">
        <v>22</v>
      </c>
      <c r="F2302" s="77">
        <v>45382</v>
      </c>
      <c r="G2302" s="76">
        <v>2024</v>
      </c>
      <c r="H2302" s="76" t="s">
        <v>40</v>
      </c>
      <c r="I2302" s="76" t="s">
        <v>34</v>
      </c>
      <c r="J2302" s="76">
        <v>0</v>
      </c>
      <c r="K2302" s="76">
        <v>0</v>
      </c>
      <c r="L2302" s="78" t="str">
        <f t="shared" ref="L2302:L2305" si="234">IFERROR(IF(OR(J2302=0,K2302=""),"",IF(E2302="Positivo",MIN(MAX(K2302/J2302,0),1.3),MIN(MAX(J2302/K2302,0),1.3))),"")</f>
        <v/>
      </c>
      <c r="M2302" s="78" t="str">
        <f t="shared" ref="M2302:M2305" si="235">IFERROR(IF(OR(J2302=0,K2302=""),"",IF(E2302="Positivo",MAX(K2302/J2302,0),MAX(J2302/K2302,0))),"")</f>
        <v/>
      </c>
      <c r="N2302" s="76" t="s">
        <v>25</v>
      </c>
      <c r="O2302" s="76" t="s">
        <v>25</v>
      </c>
      <c r="P2302" s="76">
        <v>0</v>
      </c>
      <c r="Q2302" s="76">
        <v>0</v>
      </c>
      <c r="R2302" s="76" t="s">
        <v>3318</v>
      </c>
      <c r="S2302" s="76"/>
    </row>
    <row r="2303" spans="1:19" x14ac:dyDescent="0.3">
      <c r="A2303" s="76" t="s">
        <v>3316</v>
      </c>
      <c r="B2303" s="76" t="s">
        <v>3317</v>
      </c>
      <c r="C2303" s="76" t="s">
        <v>1263</v>
      </c>
      <c r="D2303" s="76" t="s">
        <v>39</v>
      </c>
      <c r="E2303" s="76" t="s">
        <v>22</v>
      </c>
      <c r="F2303" s="77">
        <v>45473</v>
      </c>
      <c r="G2303" s="76">
        <v>2024</v>
      </c>
      <c r="H2303" s="76" t="s">
        <v>23</v>
      </c>
      <c r="I2303" s="76" t="s">
        <v>34</v>
      </c>
      <c r="J2303" s="76">
        <v>44.68</v>
      </c>
      <c r="K2303" s="76">
        <v>25</v>
      </c>
      <c r="L2303" s="78">
        <f t="shared" si="234"/>
        <v>0.55953446732318712</v>
      </c>
      <c r="M2303" s="78">
        <f t="shared" si="235"/>
        <v>0.55953446732318712</v>
      </c>
      <c r="N2303" s="76" t="s">
        <v>25</v>
      </c>
      <c r="O2303" s="76" t="s">
        <v>25</v>
      </c>
      <c r="P2303" s="76">
        <v>0</v>
      </c>
      <c r="Q2303" s="76">
        <v>0</v>
      </c>
      <c r="R2303" s="76" t="s">
        <v>3319</v>
      </c>
      <c r="S2303" s="76"/>
    </row>
    <row r="2304" spans="1:19" x14ac:dyDescent="0.3">
      <c r="A2304" s="76" t="s">
        <v>3316</v>
      </c>
      <c r="B2304" s="76" t="s">
        <v>3317</v>
      </c>
      <c r="C2304" s="76" t="s">
        <v>1263</v>
      </c>
      <c r="D2304" s="76" t="s">
        <v>39</v>
      </c>
      <c r="E2304" s="76" t="s">
        <v>22</v>
      </c>
      <c r="F2304" s="77">
        <v>45565</v>
      </c>
      <c r="G2304" s="76">
        <v>2024</v>
      </c>
      <c r="H2304" s="76" t="s">
        <v>43</v>
      </c>
      <c r="I2304" s="76" t="s">
        <v>36</v>
      </c>
      <c r="J2304" s="76">
        <v>95</v>
      </c>
      <c r="K2304" s="76">
        <v>100</v>
      </c>
      <c r="L2304" s="78">
        <f t="shared" si="234"/>
        <v>1.0526315789473684</v>
      </c>
      <c r="M2304" s="78">
        <f t="shared" si="235"/>
        <v>1.0526315789473684</v>
      </c>
      <c r="N2304" s="76" t="s">
        <v>25</v>
      </c>
      <c r="O2304" s="76" t="s">
        <v>25</v>
      </c>
      <c r="P2304" s="76">
        <v>0</v>
      </c>
      <c r="Q2304" s="76">
        <v>0</v>
      </c>
      <c r="R2304" s="76" t="s">
        <v>3320</v>
      </c>
      <c r="S2304" s="76"/>
    </row>
    <row r="2305" spans="1:19" x14ac:dyDescent="0.3">
      <c r="A2305" s="76" t="s">
        <v>3316</v>
      </c>
      <c r="B2305" s="76" t="s">
        <v>3317</v>
      </c>
      <c r="C2305" s="76" t="s">
        <v>1263</v>
      </c>
      <c r="D2305" s="76" t="s">
        <v>39</v>
      </c>
      <c r="E2305" s="76" t="s">
        <v>22</v>
      </c>
      <c r="F2305" s="77">
        <v>45657</v>
      </c>
      <c r="G2305" s="76">
        <v>2024</v>
      </c>
      <c r="H2305" s="76" t="s">
        <v>27</v>
      </c>
      <c r="I2305" s="76" t="s">
        <v>36</v>
      </c>
      <c r="J2305" s="76">
        <v>100</v>
      </c>
      <c r="K2305" s="76">
        <v>100</v>
      </c>
      <c r="L2305" s="78">
        <f t="shared" si="234"/>
        <v>1</v>
      </c>
      <c r="M2305" s="78">
        <f t="shared" si="235"/>
        <v>1</v>
      </c>
      <c r="N2305" s="76" t="s">
        <v>25</v>
      </c>
      <c r="O2305" s="76" t="s">
        <v>25</v>
      </c>
      <c r="P2305" s="76">
        <v>0</v>
      </c>
      <c r="Q2305" s="76">
        <v>0</v>
      </c>
      <c r="R2305" s="76" t="s">
        <v>3321</v>
      </c>
      <c r="S2305" s="76"/>
    </row>
    <row r="2306" spans="1:19" x14ac:dyDescent="0.3">
      <c r="A2306" s="76" t="s">
        <v>3322</v>
      </c>
      <c r="B2306" s="76" t="s">
        <v>3323</v>
      </c>
      <c r="C2306" s="76" t="s">
        <v>1263</v>
      </c>
      <c r="D2306" s="76" t="s">
        <v>39</v>
      </c>
      <c r="E2306" s="76" t="s">
        <v>22</v>
      </c>
      <c r="F2306" s="77">
        <v>45382</v>
      </c>
      <c r="G2306" s="76">
        <v>2024</v>
      </c>
      <c r="H2306" s="76" t="s">
        <v>40</v>
      </c>
      <c r="I2306" s="76" t="s">
        <v>34</v>
      </c>
      <c r="J2306" s="76">
        <v>83.23</v>
      </c>
      <c r="K2306" s="76">
        <v>20.399999999999999</v>
      </c>
      <c r="L2306" s="78">
        <f t="shared" ref="L2306:L2333" si="236">IFERROR(IF(OR(J2306=0,K2306=""),"",IF(E2306="Positivo",MIN(MAX(K2306/J2306,0),1),MIN(MAX(J2306/K2306,0),1))),"")</f>
        <v>0.24510392887180099</v>
      </c>
      <c r="M2306" s="78">
        <f t="shared" ref="M2306:M2333" si="237">IFERROR(IF(OR(J2306=0,K2306=""),"",IF(E2306="Positivo",MIN(MAX(K2306/J2306,0),1),MIN(MAX(J2306/K2306,0),1))),"")</f>
        <v>0.24510392887180099</v>
      </c>
      <c r="N2306" s="76" t="s">
        <v>25</v>
      </c>
      <c r="O2306" s="76" t="s">
        <v>25</v>
      </c>
      <c r="P2306" s="76">
        <v>0</v>
      </c>
      <c r="Q2306" s="76">
        <v>0</v>
      </c>
      <c r="R2306" s="76" t="s">
        <v>3324</v>
      </c>
      <c r="S2306" s="76"/>
    </row>
    <row r="2307" spans="1:19" x14ac:dyDescent="0.3">
      <c r="A2307" s="76" t="s">
        <v>3322</v>
      </c>
      <c r="B2307" s="76" t="s">
        <v>3323</v>
      </c>
      <c r="C2307" s="76" t="s">
        <v>1263</v>
      </c>
      <c r="D2307" s="76" t="s">
        <v>39</v>
      </c>
      <c r="E2307" s="76" t="s">
        <v>22</v>
      </c>
      <c r="F2307" s="77">
        <v>45473</v>
      </c>
      <c r="G2307" s="76">
        <v>2024</v>
      </c>
      <c r="H2307" s="76" t="s">
        <v>23</v>
      </c>
      <c r="I2307" s="76" t="s">
        <v>34</v>
      </c>
      <c r="J2307" s="76">
        <v>89.9</v>
      </c>
      <c r="K2307" s="76">
        <v>82</v>
      </c>
      <c r="L2307" s="78">
        <f t="shared" si="236"/>
        <v>0.91212458286985532</v>
      </c>
      <c r="M2307" s="78">
        <f t="shared" si="237"/>
        <v>0.91212458286985532</v>
      </c>
      <c r="N2307" s="76" t="s">
        <v>25</v>
      </c>
      <c r="O2307" s="76" t="s">
        <v>25</v>
      </c>
      <c r="P2307" s="76">
        <v>0</v>
      </c>
      <c r="Q2307" s="76">
        <v>0</v>
      </c>
      <c r="R2307" s="76" t="s">
        <v>3325</v>
      </c>
      <c r="S2307" s="76"/>
    </row>
    <row r="2308" spans="1:19" x14ac:dyDescent="0.3">
      <c r="A2308" s="76" t="s">
        <v>3322</v>
      </c>
      <c r="B2308" s="76" t="s">
        <v>3323</v>
      </c>
      <c r="C2308" s="76" t="s">
        <v>1263</v>
      </c>
      <c r="D2308" s="76" t="s">
        <v>39</v>
      </c>
      <c r="E2308" s="76" t="s">
        <v>22</v>
      </c>
      <c r="F2308" s="77">
        <v>45565</v>
      </c>
      <c r="G2308" s="76">
        <v>2024</v>
      </c>
      <c r="H2308" s="76" t="s">
        <v>43</v>
      </c>
      <c r="I2308" s="76" t="s">
        <v>36</v>
      </c>
      <c r="J2308" s="76">
        <v>100</v>
      </c>
      <c r="K2308" s="76">
        <v>90</v>
      </c>
      <c r="L2308" s="78">
        <f t="shared" si="236"/>
        <v>0.9</v>
      </c>
      <c r="M2308" s="78">
        <f t="shared" si="237"/>
        <v>0.9</v>
      </c>
      <c r="N2308" s="76" t="s">
        <v>25</v>
      </c>
      <c r="O2308" s="76" t="s">
        <v>25</v>
      </c>
      <c r="P2308" s="76">
        <v>0</v>
      </c>
      <c r="Q2308" s="76">
        <v>0</v>
      </c>
      <c r="R2308" s="76" t="s">
        <v>3326</v>
      </c>
      <c r="S2308" s="76"/>
    </row>
    <row r="2309" spans="1:19" x14ac:dyDescent="0.3">
      <c r="A2309" s="76" t="s">
        <v>3322</v>
      </c>
      <c r="B2309" s="76" t="s">
        <v>3323</v>
      </c>
      <c r="C2309" s="76" t="s">
        <v>1263</v>
      </c>
      <c r="D2309" s="76" t="s">
        <v>39</v>
      </c>
      <c r="E2309" s="76" t="s">
        <v>22</v>
      </c>
      <c r="F2309" s="77">
        <v>45657</v>
      </c>
      <c r="G2309" s="76">
        <v>2024</v>
      </c>
      <c r="H2309" s="76" t="s">
        <v>27</v>
      </c>
      <c r="I2309" s="76" t="s">
        <v>36</v>
      </c>
      <c r="J2309" s="76">
        <v>100</v>
      </c>
      <c r="K2309" s="76">
        <v>100</v>
      </c>
      <c r="L2309" s="78">
        <f t="shared" si="236"/>
        <v>1</v>
      </c>
      <c r="M2309" s="78">
        <f t="shared" si="237"/>
        <v>1</v>
      </c>
      <c r="N2309" s="76" t="s">
        <v>25</v>
      </c>
      <c r="O2309" s="76" t="s">
        <v>25</v>
      </c>
      <c r="P2309" s="76">
        <v>0</v>
      </c>
      <c r="Q2309" s="76">
        <v>0</v>
      </c>
      <c r="R2309" s="76" t="s">
        <v>3327</v>
      </c>
      <c r="S2309" s="76"/>
    </row>
    <row r="2310" spans="1:19" x14ac:dyDescent="0.3">
      <c r="A2310" s="76" t="s">
        <v>3328</v>
      </c>
      <c r="B2310" s="76" t="s">
        <v>3329</v>
      </c>
      <c r="C2310" s="76" t="s">
        <v>1263</v>
      </c>
      <c r="D2310" s="76" t="s">
        <v>39</v>
      </c>
      <c r="E2310" s="76" t="s">
        <v>22</v>
      </c>
      <c r="F2310" s="77">
        <v>45382</v>
      </c>
      <c r="G2310" s="76">
        <v>2024</v>
      </c>
      <c r="H2310" s="76" t="s">
        <v>40</v>
      </c>
      <c r="I2310" s="76" t="s">
        <v>34</v>
      </c>
      <c r="J2310" s="76">
        <v>12.18</v>
      </c>
      <c r="K2310" s="76">
        <v>40.36</v>
      </c>
      <c r="L2310" s="78">
        <f t="shared" si="236"/>
        <v>1</v>
      </c>
      <c r="M2310" s="78">
        <f t="shared" si="237"/>
        <v>1</v>
      </c>
      <c r="N2310" s="76" t="s">
        <v>25</v>
      </c>
      <c r="O2310" s="76" t="s">
        <v>25</v>
      </c>
      <c r="P2310" s="76">
        <v>0</v>
      </c>
      <c r="Q2310" s="76">
        <v>0</v>
      </c>
      <c r="R2310" s="76" t="s">
        <v>3330</v>
      </c>
      <c r="S2310" s="76"/>
    </row>
    <row r="2311" spans="1:19" x14ac:dyDescent="0.3">
      <c r="A2311" s="76" t="s">
        <v>3328</v>
      </c>
      <c r="B2311" s="76" t="s">
        <v>3329</v>
      </c>
      <c r="C2311" s="76" t="s">
        <v>1263</v>
      </c>
      <c r="D2311" s="76" t="s">
        <v>39</v>
      </c>
      <c r="E2311" s="76" t="s">
        <v>22</v>
      </c>
      <c r="F2311" s="77">
        <v>45473</v>
      </c>
      <c r="G2311" s="76">
        <v>2024</v>
      </c>
      <c r="H2311" s="76" t="s">
        <v>23</v>
      </c>
      <c r="I2311" s="76" t="s">
        <v>34</v>
      </c>
      <c r="J2311" s="76">
        <v>29.69</v>
      </c>
      <c r="K2311" s="76">
        <v>40.36</v>
      </c>
      <c r="L2311" s="78">
        <f t="shared" si="236"/>
        <v>1</v>
      </c>
      <c r="M2311" s="78">
        <f t="shared" si="237"/>
        <v>1</v>
      </c>
      <c r="N2311" s="76" t="s">
        <v>25</v>
      </c>
      <c r="O2311" s="76" t="s">
        <v>25</v>
      </c>
      <c r="P2311" s="76">
        <v>0</v>
      </c>
      <c r="Q2311" s="76">
        <v>0</v>
      </c>
      <c r="R2311" s="76" t="s">
        <v>3331</v>
      </c>
      <c r="S2311" s="76"/>
    </row>
    <row r="2312" spans="1:19" x14ac:dyDescent="0.3">
      <c r="A2312" s="76" t="s">
        <v>3328</v>
      </c>
      <c r="B2312" s="76" t="s">
        <v>3329</v>
      </c>
      <c r="C2312" s="76" t="s">
        <v>1263</v>
      </c>
      <c r="D2312" s="76" t="s">
        <v>39</v>
      </c>
      <c r="E2312" s="76" t="s">
        <v>22</v>
      </c>
      <c r="F2312" s="77">
        <v>45565</v>
      </c>
      <c r="G2312" s="76">
        <v>2024</v>
      </c>
      <c r="H2312" s="76" t="s">
        <v>43</v>
      </c>
      <c r="I2312" s="76" t="s">
        <v>36</v>
      </c>
      <c r="J2312" s="76">
        <v>76</v>
      </c>
      <c r="K2312" s="76">
        <v>80</v>
      </c>
      <c r="L2312" s="78">
        <f t="shared" si="236"/>
        <v>1</v>
      </c>
      <c r="M2312" s="78">
        <f t="shared" si="237"/>
        <v>1</v>
      </c>
      <c r="N2312" s="76" t="s">
        <v>25</v>
      </c>
      <c r="O2312" s="76" t="s">
        <v>25</v>
      </c>
      <c r="P2312" s="76">
        <v>0</v>
      </c>
      <c r="Q2312" s="76">
        <v>0</v>
      </c>
      <c r="R2312" s="76" t="s">
        <v>3332</v>
      </c>
      <c r="S2312" s="76"/>
    </row>
    <row r="2313" spans="1:19" x14ac:dyDescent="0.3">
      <c r="A2313" s="76" t="s">
        <v>3328</v>
      </c>
      <c r="B2313" s="76" t="s">
        <v>3329</v>
      </c>
      <c r="C2313" s="76" t="s">
        <v>1263</v>
      </c>
      <c r="D2313" s="76" t="s">
        <v>39</v>
      </c>
      <c r="E2313" s="76" t="s">
        <v>22</v>
      </c>
      <c r="F2313" s="77">
        <v>45657</v>
      </c>
      <c r="G2313" s="76">
        <v>2024</v>
      </c>
      <c r="H2313" s="76" t="s">
        <v>27</v>
      </c>
      <c r="I2313" s="76" t="s">
        <v>36</v>
      </c>
      <c r="J2313" s="76">
        <v>100</v>
      </c>
      <c r="K2313" s="76">
        <v>100</v>
      </c>
      <c r="L2313" s="78">
        <f t="shared" si="236"/>
        <v>1</v>
      </c>
      <c r="M2313" s="78">
        <f t="shared" si="237"/>
        <v>1</v>
      </c>
      <c r="N2313" s="76" t="s">
        <v>25</v>
      </c>
      <c r="O2313" s="76" t="s">
        <v>25</v>
      </c>
      <c r="P2313" s="76">
        <v>0</v>
      </c>
      <c r="Q2313" s="76">
        <v>0</v>
      </c>
      <c r="R2313" s="76" t="s">
        <v>3333</v>
      </c>
      <c r="S2313" s="76"/>
    </row>
    <row r="2314" spans="1:19" x14ac:dyDescent="0.3">
      <c r="A2314" s="76" t="s">
        <v>3334</v>
      </c>
      <c r="B2314" s="76" t="s">
        <v>3335</v>
      </c>
      <c r="C2314" s="76" t="s">
        <v>1263</v>
      </c>
      <c r="D2314" s="76" t="s">
        <v>39</v>
      </c>
      <c r="E2314" s="76" t="s">
        <v>22</v>
      </c>
      <c r="F2314" s="77">
        <v>45382</v>
      </c>
      <c r="G2314" s="76">
        <v>2024</v>
      </c>
      <c r="H2314" s="76" t="s">
        <v>40</v>
      </c>
      <c r="I2314" s="76" t="s">
        <v>34</v>
      </c>
      <c r="J2314" s="76">
        <v>20.82</v>
      </c>
      <c r="K2314" s="76">
        <v>45.75</v>
      </c>
      <c r="L2314" s="78">
        <f t="shared" si="236"/>
        <v>1</v>
      </c>
      <c r="M2314" s="78">
        <f t="shared" si="237"/>
        <v>1</v>
      </c>
      <c r="N2314" s="76" t="s">
        <v>25</v>
      </c>
      <c r="O2314" s="76" t="s">
        <v>25</v>
      </c>
      <c r="P2314" s="76">
        <v>0</v>
      </c>
      <c r="Q2314" s="76">
        <v>0</v>
      </c>
      <c r="R2314" s="76" t="s">
        <v>3336</v>
      </c>
      <c r="S2314" s="76"/>
    </row>
    <row r="2315" spans="1:19" x14ac:dyDescent="0.3">
      <c r="A2315" s="76" t="s">
        <v>3334</v>
      </c>
      <c r="B2315" s="76" t="s">
        <v>3335</v>
      </c>
      <c r="C2315" s="76" t="s">
        <v>1263</v>
      </c>
      <c r="D2315" s="76" t="s">
        <v>39</v>
      </c>
      <c r="E2315" s="76" t="s">
        <v>22</v>
      </c>
      <c r="F2315" s="77">
        <v>45473</v>
      </c>
      <c r="G2315" s="76">
        <v>2024</v>
      </c>
      <c r="H2315" s="76" t="s">
        <v>23</v>
      </c>
      <c r="I2315" s="76" t="s">
        <v>34</v>
      </c>
      <c r="J2315" s="76">
        <v>40.85</v>
      </c>
      <c r="K2315" s="76">
        <v>45.75</v>
      </c>
      <c r="L2315" s="78">
        <f t="shared" si="236"/>
        <v>1</v>
      </c>
      <c r="M2315" s="78">
        <f t="shared" si="237"/>
        <v>1</v>
      </c>
      <c r="N2315" s="76" t="s">
        <v>25</v>
      </c>
      <c r="O2315" s="76" t="s">
        <v>25</v>
      </c>
      <c r="P2315" s="76">
        <v>0</v>
      </c>
      <c r="Q2315" s="76">
        <v>0</v>
      </c>
      <c r="R2315" s="76" t="s">
        <v>3337</v>
      </c>
      <c r="S2315" s="76"/>
    </row>
    <row r="2316" spans="1:19" x14ac:dyDescent="0.3">
      <c r="A2316" s="76" t="s">
        <v>3334</v>
      </c>
      <c r="B2316" s="76" t="s">
        <v>3335</v>
      </c>
      <c r="C2316" s="76" t="s">
        <v>1263</v>
      </c>
      <c r="D2316" s="76" t="s">
        <v>39</v>
      </c>
      <c r="E2316" s="76" t="s">
        <v>22</v>
      </c>
      <c r="F2316" s="77">
        <v>45565</v>
      </c>
      <c r="G2316" s="76">
        <v>2024</v>
      </c>
      <c r="H2316" s="76" t="s">
        <v>43</v>
      </c>
      <c r="I2316" s="76" t="s">
        <v>36</v>
      </c>
      <c r="J2316" s="76">
        <v>78</v>
      </c>
      <c r="K2316" s="76">
        <v>81</v>
      </c>
      <c r="L2316" s="78">
        <f t="shared" si="236"/>
        <v>1</v>
      </c>
      <c r="M2316" s="78">
        <f t="shared" si="237"/>
        <v>1</v>
      </c>
      <c r="N2316" s="76" t="s">
        <v>25</v>
      </c>
      <c r="O2316" s="76" t="s">
        <v>25</v>
      </c>
      <c r="P2316" s="76">
        <v>0</v>
      </c>
      <c r="Q2316" s="76">
        <v>0</v>
      </c>
      <c r="R2316" s="76" t="s">
        <v>3338</v>
      </c>
      <c r="S2316" s="76"/>
    </row>
    <row r="2317" spans="1:19" x14ac:dyDescent="0.3">
      <c r="A2317" s="76" t="s">
        <v>3334</v>
      </c>
      <c r="B2317" s="76" t="s">
        <v>3335</v>
      </c>
      <c r="C2317" s="76" t="s">
        <v>1263</v>
      </c>
      <c r="D2317" s="76" t="s">
        <v>39</v>
      </c>
      <c r="E2317" s="76" t="s">
        <v>22</v>
      </c>
      <c r="F2317" s="77">
        <v>45657</v>
      </c>
      <c r="G2317" s="76">
        <v>2024</v>
      </c>
      <c r="H2317" s="76" t="s">
        <v>27</v>
      </c>
      <c r="I2317" s="76" t="s">
        <v>36</v>
      </c>
      <c r="J2317" s="76">
        <v>100</v>
      </c>
      <c r="K2317" s="76">
        <v>100</v>
      </c>
      <c r="L2317" s="78">
        <f t="shared" si="236"/>
        <v>1</v>
      </c>
      <c r="M2317" s="78">
        <f t="shared" si="237"/>
        <v>1</v>
      </c>
      <c r="N2317" s="76" t="s">
        <v>25</v>
      </c>
      <c r="O2317" s="76" t="s">
        <v>25</v>
      </c>
      <c r="P2317" s="76">
        <v>0</v>
      </c>
      <c r="Q2317" s="76">
        <v>0</v>
      </c>
      <c r="R2317" s="76" t="s">
        <v>3339</v>
      </c>
      <c r="S2317" s="76"/>
    </row>
    <row r="2318" spans="1:19" x14ac:dyDescent="0.3">
      <c r="A2318" s="76" t="s">
        <v>3340</v>
      </c>
      <c r="B2318" s="76" t="s">
        <v>3341</v>
      </c>
      <c r="C2318" s="76" t="s">
        <v>1263</v>
      </c>
      <c r="D2318" s="76" t="s">
        <v>39</v>
      </c>
      <c r="E2318" s="76" t="s">
        <v>22</v>
      </c>
      <c r="F2318" s="77">
        <v>45382</v>
      </c>
      <c r="G2318" s="76">
        <v>2024</v>
      </c>
      <c r="H2318" s="76" t="s">
        <v>40</v>
      </c>
      <c r="I2318" s="76" t="s">
        <v>34</v>
      </c>
      <c r="J2318" s="76">
        <v>35.9</v>
      </c>
      <c r="K2318" s="76">
        <v>60</v>
      </c>
      <c r="L2318" s="78">
        <f t="shared" si="236"/>
        <v>1</v>
      </c>
      <c r="M2318" s="78">
        <f t="shared" si="237"/>
        <v>1</v>
      </c>
      <c r="N2318" s="76" t="s">
        <v>25</v>
      </c>
      <c r="O2318" s="76" t="s">
        <v>25</v>
      </c>
      <c r="P2318" s="76">
        <v>0</v>
      </c>
      <c r="Q2318" s="76">
        <v>0</v>
      </c>
      <c r="R2318" s="76" t="s">
        <v>3342</v>
      </c>
      <c r="S2318" s="76"/>
    </row>
    <row r="2319" spans="1:19" x14ac:dyDescent="0.3">
      <c r="A2319" s="76" t="s">
        <v>3340</v>
      </c>
      <c r="B2319" s="76" t="s">
        <v>3341</v>
      </c>
      <c r="C2319" s="76" t="s">
        <v>1263</v>
      </c>
      <c r="D2319" s="76" t="s">
        <v>39</v>
      </c>
      <c r="E2319" s="76" t="s">
        <v>22</v>
      </c>
      <c r="F2319" s="77">
        <v>45473</v>
      </c>
      <c r="G2319" s="76">
        <v>2024</v>
      </c>
      <c r="H2319" s="76" t="s">
        <v>23</v>
      </c>
      <c r="I2319" s="76" t="s">
        <v>34</v>
      </c>
      <c r="J2319" s="76">
        <v>57.31</v>
      </c>
      <c r="K2319" s="76">
        <v>72.5</v>
      </c>
      <c r="L2319" s="78">
        <f t="shared" si="236"/>
        <v>1</v>
      </c>
      <c r="M2319" s="78">
        <f t="shared" si="237"/>
        <v>1</v>
      </c>
      <c r="N2319" s="76" t="s">
        <v>25</v>
      </c>
      <c r="O2319" s="76" t="s">
        <v>25</v>
      </c>
      <c r="P2319" s="76">
        <v>0</v>
      </c>
      <c r="Q2319" s="76">
        <v>0</v>
      </c>
      <c r="R2319" s="76" t="s">
        <v>3343</v>
      </c>
      <c r="S2319" s="76"/>
    </row>
    <row r="2320" spans="1:19" x14ac:dyDescent="0.3">
      <c r="A2320" s="76" t="s">
        <v>3340</v>
      </c>
      <c r="B2320" s="76" t="s">
        <v>3341</v>
      </c>
      <c r="C2320" s="76" t="s">
        <v>1263</v>
      </c>
      <c r="D2320" s="76" t="s">
        <v>39</v>
      </c>
      <c r="E2320" s="76" t="s">
        <v>22</v>
      </c>
      <c r="F2320" s="77">
        <v>45565</v>
      </c>
      <c r="G2320" s="76">
        <v>2024</v>
      </c>
      <c r="H2320" s="76" t="s">
        <v>43</v>
      </c>
      <c r="I2320" s="76" t="s">
        <v>36</v>
      </c>
      <c r="J2320" s="76">
        <v>88</v>
      </c>
      <c r="K2320" s="76">
        <v>84</v>
      </c>
      <c r="L2320" s="78">
        <f t="shared" si="236"/>
        <v>0.95454545454545459</v>
      </c>
      <c r="M2320" s="78">
        <f t="shared" si="237"/>
        <v>0.95454545454545459</v>
      </c>
      <c r="N2320" s="76" t="s">
        <v>25</v>
      </c>
      <c r="O2320" s="76" t="s">
        <v>25</v>
      </c>
      <c r="P2320" s="76">
        <v>0</v>
      </c>
      <c r="Q2320" s="76">
        <v>0</v>
      </c>
      <c r="R2320" s="76" t="s">
        <v>3344</v>
      </c>
      <c r="S2320" s="76"/>
    </row>
    <row r="2321" spans="1:19" x14ac:dyDescent="0.3">
      <c r="A2321" s="76" t="s">
        <v>3340</v>
      </c>
      <c r="B2321" s="76" t="s">
        <v>3341</v>
      </c>
      <c r="C2321" s="76" t="s">
        <v>1263</v>
      </c>
      <c r="D2321" s="76" t="s">
        <v>39</v>
      </c>
      <c r="E2321" s="76" t="s">
        <v>22</v>
      </c>
      <c r="F2321" s="77">
        <v>45657</v>
      </c>
      <c r="G2321" s="76">
        <v>2024</v>
      </c>
      <c r="H2321" s="76" t="s">
        <v>27</v>
      </c>
      <c r="I2321" s="76" t="s">
        <v>36</v>
      </c>
      <c r="J2321" s="76">
        <v>100</v>
      </c>
      <c r="K2321" s="76">
        <v>100</v>
      </c>
      <c r="L2321" s="78">
        <f t="shared" si="236"/>
        <v>1</v>
      </c>
      <c r="M2321" s="78">
        <f t="shared" si="237"/>
        <v>1</v>
      </c>
      <c r="N2321" s="76" t="s">
        <v>25</v>
      </c>
      <c r="O2321" s="76" t="s">
        <v>25</v>
      </c>
      <c r="P2321" s="76">
        <v>0</v>
      </c>
      <c r="Q2321" s="76">
        <v>0</v>
      </c>
      <c r="R2321" s="76" t="s">
        <v>3345</v>
      </c>
      <c r="S2321" s="76"/>
    </row>
    <row r="2322" spans="1:19" x14ac:dyDescent="0.3">
      <c r="A2322" s="76" t="s">
        <v>3346</v>
      </c>
      <c r="B2322" s="76" t="s">
        <v>3347</v>
      </c>
      <c r="C2322" s="76" t="s">
        <v>1263</v>
      </c>
      <c r="D2322" s="76" t="s">
        <v>39</v>
      </c>
      <c r="E2322" s="76" t="s">
        <v>22</v>
      </c>
      <c r="F2322" s="77">
        <v>45382</v>
      </c>
      <c r="G2322" s="76">
        <v>2024</v>
      </c>
      <c r="H2322" s="76" t="s">
        <v>40</v>
      </c>
      <c r="I2322" s="76" t="s">
        <v>34</v>
      </c>
      <c r="J2322" s="76">
        <v>32.54</v>
      </c>
      <c r="K2322" s="76">
        <v>24.25</v>
      </c>
      <c r="L2322" s="78">
        <f t="shared" si="236"/>
        <v>0.74523663183773814</v>
      </c>
      <c r="M2322" s="78">
        <f t="shared" si="237"/>
        <v>0.74523663183773814</v>
      </c>
      <c r="N2322" s="76" t="s">
        <v>25</v>
      </c>
      <c r="O2322" s="76" t="s">
        <v>25</v>
      </c>
      <c r="P2322" s="76">
        <v>0</v>
      </c>
      <c r="Q2322" s="76">
        <v>0</v>
      </c>
      <c r="R2322" s="76" t="s">
        <v>3348</v>
      </c>
      <c r="S2322" s="76"/>
    </row>
    <row r="2323" spans="1:19" x14ac:dyDescent="0.3">
      <c r="A2323" s="76" t="s">
        <v>3346</v>
      </c>
      <c r="B2323" s="76" t="s">
        <v>3347</v>
      </c>
      <c r="C2323" s="76" t="s">
        <v>1263</v>
      </c>
      <c r="D2323" s="76" t="s">
        <v>39</v>
      </c>
      <c r="E2323" s="76" t="s">
        <v>22</v>
      </c>
      <c r="F2323" s="77">
        <v>45473</v>
      </c>
      <c r="G2323" s="76">
        <v>2024</v>
      </c>
      <c r="H2323" s="76" t="s">
        <v>23</v>
      </c>
      <c r="I2323" s="76" t="s">
        <v>34</v>
      </c>
      <c r="J2323" s="76">
        <v>54.94</v>
      </c>
      <c r="K2323" s="76">
        <v>68.75</v>
      </c>
      <c r="L2323" s="78">
        <f t="shared" si="236"/>
        <v>1</v>
      </c>
      <c r="M2323" s="78">
        <f t="shared" si="237"/>
        <v>1</v>
      </c>
      <c r="N2323" s="76" t="s">
        <v>25</v>
      </c>
      <c r="O2323" s="76" t="s">
        <v>25</v>
      </c>
      <c r="P2323" s="76">
        <v>0</v>
      </c>
      <c r="Q2323" s="76">
        <v>0</v>
      </c>
      <c r="R2323" s="76" t="s">
        <v>3349</v>
      </c>
      <c r="S2323" s="76"/>
    </row>
    <row r="2324" spans="1:19" x14ac:dyDescent="0.3">
      <c r="A2324" s="76" t="s">
        <v>3346</v>
      </c>
      <c r="B2324" s="76" t="s">
        <v>3347</v>
      </c>
      <c r="C2324" s="76" t="s">
        <v>1263</v>
      </c>
      <c r="D2324" s="76" t="s">
        <v>39</v>
      </c>
      <c r="E2324" s="76" t="s">
        <v>22</v>
      </c>
      <c r="F2324" s="77">
        <v>45565</v>
      </c>
      <c r="G2324" s="76">
        <v>2024</v>
      </c>
      <c r="H2324" s="76" t="s">
        <v>43</v>
      </c>
      <c r="I2324" s="76" t="s">
        <v>36</v>
      </c>
      <c r="J2324" s="76">
        <v>89</v>
      </c>
      <c r="K2324" s="76">
        <v>84</v>
      </c>
      <c r="L2324" s="78">
        <f t="shared" si="236"/>
        <v>0.9438202247191011</v>
      </c>
      <c r="M2324" s="78">
        <f t="shared" si="237"/>
        <v>0.9438202247191011</v>
      </c>
      <c r="N2324" s="76" t="s">
        <v>25</v>
      </c>
      <c r="O2324" s="76" t="s">
        <v>25</v>
      </c>
      <c r="P2324" s="76">
        <v>0</v>
      </c>
      <c r="Q2324" s="76">
        <v>0</v>
      </c>
      <c r="R2324" s="76" t="s">
        <v>3350</v>
      </c>
      <c r="S2324" s="76"/>
    </row>
    <row r="2325" spans="1:19" x14ac:dyDescent="0.3">
      <c r="A2325" s="76" t="s">
        <v>3346</v>
      </c>
      <c r="B2325" s="76" t="s">
        <v>3347</v>
      </c>
      <c r="C2325" s="76" t="s">
        <v>1263</v>
      </c>
      <c r="D2325" s="76" t="s">
        <v>39</v>
      </c>
      <c r="E2325" s="76" t="s">
        <v>22</v>
      </c>
      <c r="F2325" s="77">
        <v>45657</v>
      </c>
      <c r="G2325" s="76">
        <v>2024</v>
      </c>
      <c r="H2325" s="76" t="s">
        <v>27</v>
      </c>
      <c r="I2325" s="76" t="s">
        <v>36</v>
      </c>
      <c r="J2325" s="76">
        <v>100</v>
      </c>
      <c r="K2325" s="76">
        <v>100</v>
      </c>
      <c r="L2325" s="78">
        <f t="shared" si="236"/>
        <v>1</v>
      </c>
      <c r="M2325" s="78">
        <f t="shared" si="237"/>
        <v>1</v>
      </c>
      <c r="N2325" s="76" t="s">
        <v>25</v>
      </c>
      <c r="O2325" s="76" t="s">
        <v>25</v>
      </c>
      <c r="P2325" s="76">
        <v>0</v>
      </c>
      <c r="Q2325" s="76">
        <v>0</v>
      </c>
      <c r="R2325" s="76" t="s">
        <v>3351</v>
      </c>
      <c r="S2325" s="76"/>
    </row>
    <row r="2326" spans="1:19" x14ac:dyDescent="0.3">
      <c r="A2326" s="76" t="s">
        <v>3352</v>
      </c>
      <c r="B2326" s="76" t="s">
        <v>3353</v>
      </c>
      <c r="C2326" s="76" t="s">
        <v>1263</v>
      </c>
      <c r="D2326" s="76" t="s">
        <v>39</v>
      </c>
      <c r="E2326" s="76" t="s">
        <v>22</v>
      </c>
      <c r="F2326" s="77">
        <v>45382</v>
      </c>
      <c r="G2326" s="76">
        <v>2024</v>
      </c>
      <c r="H2326" s="76" t="s">
        <v>40</v>
      </c>
      <c r="I2326" s="76" t="s">
        <v>34</v>
      </c>
      <c r="J2326" s="76">
        <v>30.89</v>
      </c>
      <c r="K2326" s="76">
        <v>50</v>
      </c>
      <c r="L2326" s="78">
        <f t="shared" si="236"/>
        <v>1</v>
      </c>
      <c r="M2326" s="78">
        <f t="shared" si="237"/>
        <v>1</v>
      </c>
      <c r="N2326" s="76" t="s">
        <v>25</v>
      </c>
      <c r="O2326" s="76" t="s">
        <v>25</v>
      </c>
      <c r="P2326" s="76">
        <v>0</v>
      </c>
      <c r="Q2326" s="76">
        <v>0</v>
      </c>
      <c r="R2326" s="76" t="s">
        <v>3354</v>
      </c>
      <c r="S2326" s="76"/>
    </row>
    <row r="2327" spans="1:19" x14ac:dyDescent="0.3">
      <c r="A2327" s="76" t="s">
        <v>3352</v>
      </c>
      <c r="B2327" s="76" t="s">
        <v>3353</v>
      </c>
      <c r="C2327" s="76" t="s">
        <v>1263</v>
      </c>
      <c r="D2327" s="76" t="s">
        <v>39</v>
      </c>
      <c r="E2327" s="76" t="s">
        <v>22</v>
      </c>
      <c r="F2327" s="77">
        <v>45473</v>
      </c>
      <c r="G2327" s="76">
        <v>2024</v>
      </c>
      <c r="H2327" s="76" t="s">
        <v>23</v>
      </c>
      <c r="I2327" s="76" t="s">
        <v>34</v>
      </c>
      <c r="J2327" s="76">
        <v>50.46</v>
      </c>
      <c r="K2327" s="76">
        <v>50</v>
      </c>
      <c r="L2327" s="78">
        <f t="shared" si="236"/>
        <v>0.99088386841062226</v>
      </c>
      <c r="M2327" s="78">
        <f t="shared" si="237"/>
        <v>0.99088386841062226</v>
      </c>
      <c r="N2327" s="76" t="s">
        <v>25</v>
      </c>
      <c r="O2327" s="76" t="s">
        <v>25</v>
      </c>
      <c r="P2327" s="76">
        <v>0</v>
      </c>
      <c r="Q2327" s="76">
        <v>0</v>
      </c>
      <c r="R2327" s="76" t="s">
        <v>3355</v>
      </c>
      <c r="S2327" s="76"/>
    </row>
    <row r="2328" spans="1:19" x14ac:dyDescent="0.3">
      <c r="A2328" s="76" t="s">
        <v>3352</v>
      </c>
      <c r="B2328" s="76" t="s">
        <v>3353</v>
      </c>
      <c r="C2328" s="76" t="s">
        <v>1263</v>
      </c>
      <c r="D2328" s="76" t="s">
        <v>39</v>
      </c>
      <c r="E2328" s="76" t="s">
        <v>22</v>
      </c>
      <c r="F2328" s="77">
        <v>45565</v>
      </c>
      <c r="G2328" s="76">
        <v>2024</v>
      </c>
      <c r="H2328" s="76" t="s">
        <v>43</v>
      </c>
      <c r="I2328" s="76" t="s">
        <v>36</v>
      </c>
      <c r="J2328" s="76">
        <v>80</v>
      </c>
      <c r="K2328" s="76">
        <v>72</v>
      </c>
      <c r="L2328" s="78">
        <f t="shared" si="236"/>
        <v>0.9</v>
      </c>
      <c r="M2328" s="78">
        <f t="shared" si="237"/>
        <v>0.9</v>
      </c>
      <c r="N2328" s="76" t="s">
        <v>25</v>
      </c>
      <c r="O2328" s="76" t="s">
        <v>25</v>
      </c>
      <c r="P2328" s="76">
        <v>0</v>
      </c>
      <c r="Q2328" s="76">
        <v>0</v>
      </c>
      <c r="R2328" s="76" t="s">
        <v>3356</v>
      </c>
      <c r="S2328" s="76"/>
    </row>
    <row r="2329" spans="1:19" x14ac:dyDescent="0.3">
      <c r="A2329" s="76" t="s">
        <v>3352</v>
      </c>
      <c r="B2329" s="76" t="s">
        <v>3353</v>
      </c>
      <c r="C2329" s="76" t="s">
        <v>1263</v>
      </c>
      <c r="D2329" s="76" t="s">
        <v>39</v>
      </c>
      <c r="E2329" s="76" t="s">
        <v>22</v>
      </c>
      <c r="F2329" s="77">
        <v>45657</v>
      </c>
      <c r="G2329" s="76">
        <v>2024</v>
      </c>
      <c r="H2329" s="76" t="s">
        <v>27</v>
      </c>
      <c r="I2329" s="76" t="s">
        <v>36</v>
      </c>
      <c r="J2329" s="76">
        <v>100</v>
      </c>
      <c r="K2329" s="76">
        <v>97</v>
      </c>
      <c r="L2329" s="78">
        <f t="shared" si="236"/>
        <v>0.97</v>
      </c>
      <c r="M2329" s="78">
        <f t="shared" si="237"/>
        <v>0.97</v>
      </c>
      <c r="N2329" s="76" t="s">
        <v>25</v>
      </c>
      <c r="O2329" s="76" t="s">
        <v>25</v>
      </c>
      <c r="P2329" s="76">
        <v>0</v>
      </c>
      <c r="Q2329" s="76">
        <v>0</v>
      </c>
      <c r="R2329" s="76" t="s">
        <v>3357</v>
      </c>
      <c r="S2329" s="76"/>
    </row>
    <row r="2330" spans="1:19" x14ac:dyDescent="0.3">
      <c r="A2330" s="76" t="s">
        <v>3358</v>
      </c>
      <c r="B2330" s="76" t="s">
        <v>3359</v>
      </c>
      <c r="C2330" s="76" t="s">
        <v>1263</v>
      </c>
      <c r="D2330" s="76" t="s">
        <v>39</v>
      </c>
      <c r="E2330" s="76" t="s">
        <v>22</v>
      </c>
      <c r="F2330" s="77">
        <v>45382</v>
      </c>
      <c r="G2330" s="76">
        <v>2024</v>
      </c>
      <c r="H2330" s="76" t="s">
        <v>40</v>
      </c>
      <c r="I2330" s="76" t="s">
        <v>34</v>
      </c>
      <c r="J2330" s="76">
        <v>50.52</v>
      </c>
      <c r="K2330" s="76">
        <v>68.75</v>
      </c>
      <c r="L2330" s="78">
        <f t="shared" si="236"/>
        <v>1</v>
      </c>
      <c r="M2330" s="78">
        <f t="shared" si="237"/>
        <v>1</v>
      </c>
      <c r="N2330" s="76" t="s">
        <v>25</v>
      </c>
      <c r="O2330" s="76" t="s">
        <v>25</v>
      </c>
      <c r="P2330" s="76">
        <v>0</v>
      </c>
      <c r="Q2330" s="76">
        <v>0</v>
      </c>
      <c r="R2330" s="76" t="s">
        <v>3360</v>
      </c>
      <c r="S2330" s="76"/>
    </row>
    <row r="2331" spans="1:19" x14ac:dyDescent="0.3">
      <c r="A2331" s="76" t="s">
        <v>3358</v>
      </c>
      <c r="B2331" s="76" t="s">
        <v>3359</v>
      </c>
      <c r="C2331" s="76" t="s">
        <v>1263</v>
      </c>
      <c r="D2331" s="76" t="s">
        <v>39</v>
      </c>
      <c r="E2331" s="76" t="s">
        <v>22</v>
      </c>
      <c r="F2331" s="77">
        <v>45473</v>
      </c>
      <c r="G2331" s="76">
        <v>2024</v>
      </c>
      <c r="H2331" s="76" t="s">
        <v>23</v>
      </c>
      <c r="I2331" s="76" t="s">
        <v>34</v>
      </c>
      <c r="J2331" s="76">
        <v>68.98</v>
      </c>
      <c r="K2331" s="76">
        <v>68.75</v>
      </c>
      <c r="L2331" s="78">
        <f t="shared" si="236"/>
        <v>0.99666570020295731</v>
      </c>
      <c r="M2331" s="78">
        <f t="shared" si="237"/>
        <v>0.99666570020295731</v>
      </c>
      <c r="N2331" s="76" t="s">
        <v>25</v>
      </c>
      <c r="O2331" s="76" t="s">
        <v>25</v>
      </c>
      <c r="P2331" s="76">
        <v>0</v>
      </c>
      <c r="Q2331" s="76">
        <v>0</v>
      </c>
      <c r="R2331" s="76" t="s">
        <v>3361</v>
      </c>
      <c r="S2331" s="76"/>
    </row>
    <row r="2332" spans="1:19" x14ac:dyDescent="0.3">
      <c r="A2332" s="76" t="s">
        <v>3358</v>
      </c>
      <c r="B2332" s="76" t="s">
        <v>3359</v>
      </c>
      <c r="C2332" s="76" t="s">
        <v>1263</v>
      </c>
      <c r="D2332" s="76" t="s">
        <v>39</v>
      </c>
      <c r="E2332" s="76" t="s">
        <v>22</v>
      </c>
      <c r="F2332" s="77">
        <v>45565</v>
      </c>
      <c r="G2332" s="76">
        <v>2024</v>
      </c>
      <c r="H2332" s="76" t="s">
        <v>43</v>
      </c>
      <c r="I2332" s="76" t="s">
        <v>36</v>
      </c>
      <c r="J2332" s="76">
        <v>90</v>
      </c>
      <c r="K2332" s="76">
        <v>69</v>
      </c>
      <c r="L2332" s="78">
        <f t="shared" si="236"/>
        <v>0.76666666666666672</v>
      </c>
      <c r="M2332" s="78">
        <f t="shared" si="237"/>
        <v>0.76666666666666672</v>
      </c>
      <c r="N2332" s="76" t="s">
        <v>25</v>
      </c>
      <c r="O2332" s="76" t="s">
        <v>25</v>
      </c>
      <c r="P2332" s="76">
        <v>0</v>
      </c>
      <c r="Q2332" s="76">
        <v>0</v>
      </c>
      <c r="R2332" s="76" t="s">
        <v>3362</v>
      </c>
      <c r="S2332" s="76"/>
    </row>
    <row r="2333" spans="1:19" x14ac:dyDescent="0.3">
      <c r="A2333" s="76" t="s">
        <v>3358</v>
      </c>
      <c r="B2333" s="76" t="s">
        <v>3359</v>
      </c>
      <c r="C2333" s="76" t="s">
        <v>1263</v>
      </c>
      <c r="D2333" s="76" t="s">
        <v>39</v>
      </c>
      <c r="E2333" s="76" t="s">
        <v>22</v>
      </c>
      <c r="F2333" s="77">
        <v>45657</v>
      </c>
      <c r="G2333" s="76">
        <v>2024</v>
      </c>
      <c r="H2333" s="76" t="s">
        <v>27</v>
      </c>
      <c r="I2333" s="76" t="s">
        <v>36</v>
      </c>
      <c r="J2333" s="76">
        <v>100</v>
      </c>
      <c r="K2333" s="76">
        <v>100</v>
      </c>
      <c r="L2333" s="78">
        <f t="shared" si="236"/>
        <v>1</v>
      </c>
      <c r="M2333" s="78">
        <f t="shared" si="237"/>
        <v>1</v>
      </c>
      <c r="N2333" s="76" t="s">
        <v>25</v>
      </c>
      <c r="O2333" s="76" t="s">
        <v>25</v>
      </c>
      <c r="P2333" s="76">
        <v>0</v>
      </c>
      <c r="Q2333" s="76">
        <v>0</v>
      </c>
      <c r="R2333" s="76" t="s">
        <v>3363</v>
      </c>
      <c r="S2333" s="76"/>
    </row>
    <row r="2334" spans="1:19" x14ac:dyDescent="0.3">
      <c r="A2334" s="76" t="s">
        <v>3364</v>
      </c>
      <c r="B2334" s="76" t="s">
        <v>3365</v>
      </c>
      <c r="C2334" s="76" t="s">
        <v>1263</v>
      </c>
      <c r="D2334" s="76" t="s">
        <v>39</v>
      </c>
      <c r="E2334" s="76" t="s">
        <v>22</v>
      </c>
      <c r="F2334" s="77">
        <v>45382</v>
      </c>
      <c r="G2334" s="76">
        <v>2024</v>
      </c>
      <c r="H2334" s="76" t="s">
        <v>40</v>
      </c>
      <c r="I2334" s="76" t="s">
        <v>34</v>
      </c>
      <c r="J2334" s="76">
        <v>4.67</v>
      </c>
      <c r="K2334" s="76">
        <v>25</v>
      </c>
      <c r="L2334" s="78">
        <f t="shared" ref="L2334:L2357" si="238">IFERROR(IF(OR(J2334=0,K2334=""),"",IF(E2334="Positivo",MIN(MAX(K2334/J2334,0),1),MIN(MAX(J2334/K2334,0),1))),"")</f>
        <v>1</v>
      </c>
      <c r="M2334" s="78">
        <f t="shared" ref="M2334:M2357" si="239">IFERROR(IF(OR(J2334=0,K2334=""),"",IF(E2334="Positivo",MIN(MAX(K2334/J2334,0),1),MIN(MAX(J2334/K2334,0),1))),"")</f>
        <v>1</v>
      </c>
      <c r="N2334" s="76" t="s">
        <v>25</v>
      </c>
      <c r="O2334" s="76" t="s">
        <v>25</v>
      </c>
      <c r="P2334" s="76">
        <v>0</v>
      </c>
      <c r="Q2334" s="76">
        <v>0</v>
      </c>
      <c r="R2334" s="76" t="s">
        <v>3366</v>
      </c>
      <c r="S2334" s="76"/>
    </row>
    <row r="2335" spans="1:19" x14ac:dyDescent="0.3">
      <c r="A2335" s="76" t="s">
        <v>3364</v>
      </c>
      <c r="B2335" s="76" t="s">
        <v>3365</v>
      </c>
      <c r="C2335" s="76" t="s">
        <v>1263</v>
      </c>
      <c r="D2335" s="76" t="s">
        <v>39</v>
      </c>
      <c r="E2335" s="76" t="s">
        <v>22</v>
      </c>
      <c r="F2335" s="77">
        <v>45473</v>
      </c>
      <c r="G2335" s="76">
        <v>2024</v>
      </c>
      <c r="H2335" s="76" t="s">
        <v>23</v>
      </c>
      <c r="I2335" s="76" t="s">
        <v>34</v>
      </c>
      <c r="J2335" s="76">
        <v>34.58</v>
      </c>
      <c r="K2335" s="76">
        <v>50</v>
      </c>
      <c r="L2335" s="78">
        <f t="shared" si="238"/>
        <v>1</v>
      </c>
      <c r="M2335" s="78">
        <f t="shared" si="239"/>
        <v>1</v>
      </c>
      <c r="N2335" s="76" t="s">
        <v>25</v>
      </c>
      <c r="O2335" s="76" t="s">
        <v>25</v>
      </c>
      <c r="P2335" s="76">
        <v>0</v>
      </c>
      <c r="Q2335" s="76">
        <v>0</v>
      </c>
      <c r="R2335" s="76" t="s">
        <v>3367</v>
      </c>
      <c r="S2335" s="76"/>
    </row>
    <row r="2336" spans="1:19" x14ac:dyDescent="0.3">
      <c r="A2336" s="76" t="s">
        <v>3364</v>
      </c>
      <c r="B2336" s="76" t="s">
        <v>3365</v>
      </c>
      <c r="C2336" s="76" t="s">
        <v>1263</v>
      </c>
      <c r="D2336" s="76" t="s">
        <v>39</v>
      </c>
      <c r="E2336" s="76" t="s">
        <v>22</v>
      </c>
      <c r="F2336" s="77">
        <v>45565</v>
      </c>
      <c r="G2336" s="76">
        <v>2024</v>
      </c>
      <c r="H2336" s="76" t="s">
        <v>43</v>
      </c>
      <c r="I2336" s="76" t="s">
        <v>36</v>
      </c>
      <c r="J2336" s="76">
        <v>79</v>
      </c>
      <c r="K2336" s="76">
        <v>75</v>
      </c>
      <c r="L2336" s="78">
        <f t="shared" si="238"/>
        <v>0.94936708860759489</v>
      </c>
      <c r="M2336" s="78">
        <f t="shared" si="239"/>
        <v>0.94936708860759489</v>
      </c>
      <c r="N2336" s="76" t="s">
        <v>25</v>
      </c>
      <c r="O2336" s="76" t="s">
        <v>25</v>
      </c>
      <c r="P2336" s="76">
        <v>0</v>
      </c>
      <c r="Q2336" s="76">
        <v>0</v>
      </c>
      <c r="R2336" s="76" t="s">
        <v>3368</v>
      </c>
      <c r="S2336" s="76"/>
    </row>
    <row r="2337" spans="1:19" x14ac:dyDescent="0.3">
      <c r="A2337" s="76" t="s">
        <v>3364</v>
      </c>
      <c r="B2337" s="76" t="s">
        <v>3365</v>
      </c>
      <c r="C2337" s="76" t="s">
        <v>1263</v>
      </c>
      <c r="D2337" s="76" t="s">
        <v>39</v>
      </c>
      <c r="E2337" s="76" t="s">
        <v>22</v>
      </c>
      <c r="F2337" s="77">
        <v>45657</v>
      </c>
      <c r="G2337" s="76">
        <v>2024</v>
      </c>
      <c r="H2337" s="76" t="s">
        <v>27</v>
      </c>
      <c r="I2337" s="76" t="s">
        <v>36</v>
      </c>
      <c r="J2337" s="76">
        <v>100</v>
      </c>
      <c r="K2337" s="76">
        <v>100</v>
      </c>
      <c r="L2337" s="78">
        <f t="shared" si="238"/>
        <v>1</v>
      </c>
      <c r="M2337" s="78">
        <f t="shared" si="239"/>
        <v>1</v>
      </c>
      <c r="N2337" s="76" t="s">
        <v>25</v>
      </c>
      <c r="O2337" s="76" t="s">
        <v>25</v>
      </c>
      <c r="P2337" s="76">
        <v>0</v>
      </c>
      <c r="Q2337" s="76">
        <v>0</v>
      </c>
      <c r="R2337" s="76" t="s">
        <v>3369</v>
      </c>
      <c r="S2337" s="76"/>
    </row>
    <row r="2338" spans="1:19" x14ac:dyDescent="0.3">
      <c r="A2338" s="76" t="s">
        <v>3370</v>
      </c>
      <c r="B2338" s="76" t="s">
        <v>3371</v>
      </c>
      <c r="C2338" s="76" t="s">
        <v>1263</v>
      </c>
      <c r="D2338" s="76" t="s">
        <v>39</v>
      </c>
      <c r="E2338" s="76" t="s">
        <v>22</v>
      </c>
      <c r="F2338" s="77">
        <v>45382</v>
      </c>
      <c r="G2338" s="76">
        <v>2024</v>
      </c>
      <c r="H2338" s="76" t="s">
        <v>40</v>
      </c>
      <c r="I2338" s="76" t="s">
        <v>34</v>
      </c>
      <c r="J2338" s="76">
        <v>23.71</v>
      </c>
      <c r="K2338" s="76">
        <v>43.61</v>
      </c>
      <c r="L2338" s="78">
        <f t="shared" si="238"/>
        <v>1</v>
      </c>
      <c r="M2338" s="78">
        <f t="shared" si="239"/>
        <v>1</v>
      </c>
      <c r="N2338" s="76" t="s">
        <v>25</v>
      </c>
      <c r="O2338" s="76" t="s">
        <v>25</v>
      </c>
      <c r="P2338" s="76">
        <v>0</v>
      </c>
      <c r="Q2338" s="76">
        <v>0</v>
      </c>
      <c r="R2338" s="76" t="s">
        <v>3372</v>
      </c>
      <c r="S2338" s="76"/>
    </row>
    <row r="2339" spans="1:19" x14ac:dyDescent="0.3">
      <c r="A2339" s="76" t="s">
        <v>3370</v>
      </c>
      <c r="B2339" s="76" t="s">
        <v>3371</v>
      </c>
      <c r="C2339" s="76" t="s">
        <v>1263</v>
      </c>
      <c r="D2339" s="76" t="s">
        <v>39</v>
      </c>
      <c r="E2339" s="76" t="s">
        <v>22</v>
      </c>
      <c r="F2339" s="77">
        <v>45473</v>
      </c>
      <c r="G2339" s="76">
        <v>2024</v>
      </c>
      <c r="H2339" s="76" t="s">
        <v>23</v>
      </c>
      <c r="I2339" s="76" t="s">
        <v>34</v>
      </c>
      <c r="J2339" s="76">
        <v>39.950000000000003</v>
      </c>
      <c r="K2339" s="76">
        <v>43.61</v>
      </c>
      <c r="L2339" s="78">
        <f t="shared" si="238"/>
        <v>1</v>
      </c>
      <c r="M2339" s="78">
        <f t="shared" si="239"/>
        <v>1</v>
      </c>
      <c r="N2339" s="76" t="s">
        <v>25</v>
      </c>
      <c r="O2339" s="76" t="s">
        <v>25</v>
      </c>
      <c r="P2339" s="76">
        <v>0</v>
      </c>
      <c r="Q2339" s="76">
        <v>0</v>
      </c>
      <c r="R2339" s="76" t="s">
        <v>3373</v>
      </c>
      <c r="S2339" s="76"/>
    </row>
    <row r="2340" spans="1:19" x14ac:dyDescent="0.3">
      <c r="A2340" s="76" t="s">
        <v>3370</v>
      </c>
      <c r="B2340" s="76" t="s">
        <v>3371</v>
      </c>
      <c r="C2340" s="76" t="s">
        <v>1263</v>
      </c>
      <c r="D2340" s="76" t="s">
        <v>39</v>
      </c>
      <c r="E2340" s="76" t="s">
        <v>22</v>
      </c>
      <c r="F2340" s="77">
        <v>45565</v>
      </c>
      <c r="G2340" s="76">
        <v>2024</v>
      </c>
      <c r="H2340" s="76" t="s">
        <v>43</v>
      </c>
      <c r="I2340" s="76" t="s">
        <v>36</v>
      </c>
      <c r="J2340" s="76">
        <v>77</v>
      </c>
      <c r="K2340" s="76">
        <v>78</v>
      </c>
      <c r="L2340" s="78">
        <f t="shared" si="238"/>
        <v>1</v>
      </c>
      <c r="M2340" s="78">
        <f t="shared" si="239"/>
        <v>1</v>
      </c>
      <c r="N2340" s="76" t="s">
        <v>25</v>
      </c>
      <c r="O2340" s="76" t="s">
        <v>25</v>
      </c>
      <c r="P2340" s="76">
        <v>0</v>
      </c>
      <c r="Q2340" s="76">
        <v>0</v>
      </c>
      <c r="R2340" s="76" t="s">
        <v>3374</v>
      </c>
      <c r="S2340" s="76"/>
    </row>
    <row r="2341" spans="1:19" x14ac:dyDescent="0.3">
      <c r="A2341" s="76" t="s">
        <v>3370</v>
      </c>
      <c r="B2341" s="76" t="s">
        <v>3371</v>
      </c>
      <c r="C2341" s="76" t="s">
        <v>1263</v>
      </c>
      <c r="D2341" s="76" t="s">
        <v>39</v>
      </c>
      <c r="E2341" s="76" t="s">
        <v>22</v>
      </c>
      <c r="F2341" s="77">
        <v>45657</v>
      </c>
      <c r="G2341" s="76">
        <v>2024</v>
      </c>
      <c r="H2341" s="76" t="s">
        <v>27</v>
      </c>
      <c r="I2341" s="76" t="s">
        <v>36</v>
      </c>
      <c r="J2341" s="76">
        <v>100</v>
      </c>
      <c r="K2341" s="76">
        <v>100</v>
      </c>
      <c r="L2341" s="78">
        <f t="shared" si="238"/>
        <v>1</v>
      </c>
      <c r="M2341" s="78">
        <f t="shared" si="239"/>
        <v>1</v>
      </c>
      <c r="N2341" s="76" t="s">
        <v>25</v>
      </c>
      <c r="O2341" s="76" t="s">
        <v>25</v>
      </c>
      <c r="P2341" s="76">
        <v>0</v>
      </c>
      <c r="Q2341" s="76">
        <v>0</v>
      </c>
      <c r="R2341" s="76" t="s">
        <v>3375</v>
      </c>
      <c r="S2341" s="76"/>
    </row>
    <row r="2342" spans="1:19" x14ac:dyDescent="0.3">
      <c r="A2342" s="76" t="s">
        <v>3376</v>
      </c>
      <c r="B2342" s="76" t="s">
        <v>3377</v>
      </c>
      <c r="C2342" s="76" t="s">
        <v>1263</v>
      </c>
      <c r="D2342" s="76" t="s">
        <v>39</v>
      </c>
      <c r="E2342" s="76" t="s">
        <v>22</v>
      </c>
      <c r="F2342" s="77">
        <v>45382</v>
      </c>
      <c r="G2342" s="76">
        <v>2024</v>
      </c>
      <c r="H2342" s="76" t="s">
        <v>40</v>
      </c>
      <c r="I2342" s="76" t="s">
        <v>34</v>
      </c>
      <c r="J2342" s="76">
        <v>49.16</v>
      </c>
      <c r="K2342" s="76">
        <v>22</v>
      </c>
      <c r="L2342" s="78">
        <f t="shared" si="238"/>
        <v>0.44751830756712779</v>
      </c>
      <c r="M2342" s="78">
        <f t="shared" si="239"/>
        <v>0.44751830756712779</v>
      </c>
      <c r="N2342" s="76" t="s">
        <v>25</v>
      </c>
      <c r="O2342" s="76" t="s">
        <v>25</v>
      </c>
      <c r="P2342" s="76">
        <v>0</v>
      </c>
      <c r="Q2342" s="76">
        <v>0</v>
      </c>
      <c r="R2342" s="76" t="s">
        <v>3378</v>
      </c>
      <c r="S2342" s="76"/>
    </row>
    <row r="2343" spans="1:19" x14ac:dyDescent="0.3">
      <c r="A2343" s="76" t="s">
        <v>3376</v>
      </c>
      <c r="B2343" s="76" t="s">
        <v>3377</v>
      </c>
      <c r="C2343" s="76" t="s">
        <v>1263</v>
      </c>
      <c r="D2343" s="76" t="s">
        <v>39</v>
      </c>
      <c r="E2343" s="76" t="s">
        <v>22</v>
      </c>
      <c r="F2343" s="77">
        <v>45473</v>
      </c>
      <c r="G2343" s="76">
        <v>2024</v>
      </c>
      <c r="H2343" s="76" t="s">
        <v>23</v>
      </c>
      <c r="I2343" s="76" t="s">
        <v>34</v>
      </c>
      <c r="J2343" s="76">
        <v>67.84</v>
      </c>
      <c r="K2343" s="76">
        <v>63.75</v>
      </c>
      <c r="L2343" s="78">
        <f t="shared" si="238"/>
        <v>0.93971108490566035</v>
      </c>
      <c r="M2343" s="78">
        <f t="shared" si="239"/>
        <v>0.93971108490566035</v>
      </c>
      <c r="N2343" s="76" t="s">
        <v>25</v>
      </c>
      <c r="O2343" s="76" t="s">
        <v>25</v>
      </c>
      <c r="P2343" s="76">
        <v>0</v>
      </c>
      <c r="Q2343" s="76">
        <v>0</v>
      </c>
      <c r="R2343" s="76" t="s">
        <v>3379</v>
      </c>
      <c r="S2343" s="76"/>
    </row>
    <row r="2344" spans="1:19" x14ac:dyDescent="0.3">
      <c r="A2344" s="76" t="s">
        <v>3376</v>
      </c>
      <c r="B2344" s="76" t="s">
        <v>3377</v>
      </c>
      <c r="C2344" s="76" t="s">
        <v>1263</v>
      </c>
      <c r="D2344" s="76" t="s">
        <v>39</v>
      </c>
      <c r="E2344" s="76" t="s">
        <v>22</v>
      </c>
      <c r="F2344" s="77">
        <v>45565</v>
      </c>
      <c r="G2344" s="76">
        <v>2024</v>
      </c>
      <c r="H2344" s="76" t="s">
        <v>43</v>
      </c>
      <c r="I2344" s="76" t="s">
        <v>36</v>
      </c>
      <c r="J2344" s="76">
        <v>90</v>
      </c>
      <c r="K2344" s="76">
        <v>95</v>
      </c>
      <c r="L2344" s="78">
        <f t="shared" si="238"/>
        <v>1</v>
      </c>
      <c r="M2344" s="78">
        <f t="shared" si="239"/>
        <v>1</v>
      </c>
      <c r="N2344" s="76" t="s">
        <v>25</v>
      </c>
      <c r="O2344" s="76" t="s">
        <v>25</v>
      </c>
      <c r="P2344" s="76">
        <v>0</v>
      </c>
      <c r="Q2344" s="76">
        <v>0</v>
      </c>
      <c r="R2344" s="76" t="s">
        <v>3380</v>
      </c>
      <c r="S2344" s="76"/>
    </row>
    <row r="2345" spans="1:19" x14ac:dyDescent="0.3">
      <c r="A2345" s="76" t="s">
        <v>3376</v>
      </c>
      <c r="B2345" s="76" t="s">
        <v>3377</v>
      </c>
      <c r="C2345" s="76" t="s">
        <v>1263</v>
      </c>
      <c r="D2345" s="76" t="s">
        <v>39</v>
      </c>
      <c r="E2345" s="76" t="s">
        <v>22</v>
      </c>
      <c r="F2345" s="77">
        <v>45657</v>
      </c>
      <c r="G2345" s="76">
        <v>2024</v>
      </c>
      <c r="H2345" s="76" t="s">
        <v>27</v>
      </c>
      <c r="I2345" s="76" t="s">
        <v>36</v>
      </c>
      <c r="J2345" s="76">
        <v>100</v>
      </c>
      <c r="K2345" s="76">
        <v>100</v>
      </c>
      <c r="L2345" s="78">
        <f t="shared" si="238"/>
        <v>1</v>
      </c>
      <c r="M2345" s="78">
        <f t="shared" si="239"/>
        <v>1</v>
      </c>
      <c r="N2345" s="76" t="s">
        <v>25</v>
      </c>
      <c r="O2345" s="76" t="s">
        <v>25</v>
      </c>
      <c r="P2345" s="76">
        <v>0</v>
      </c>
      <c r="Q2345" s="76">
        <v>0</v>
      </c>
      <c r="R2345" s="76" t="s">
        <v>3381</v>
      </c>
      <c r="S2345" s="76"/>
    </row>
    <row r="2346" spans="1:19" x14ac:dyDescent="0.3">
      <c r="A2346" s="76" t="s">
        <v>3382</v>
      </c>
      <c r="B2346" s="76" t="s">
        <v>3383</v>
      </c>
      <c r="C2346" s="76" t="s">
        <v>1263</v>
      </c>
      <c r="D2346" s="76" t="s">
        <v>39</v>
      </c>
      <c r="E2346" s="76" t="s">
        <v>22</v>
      </c>
      <c r="F2346" s="77">
        <v>45382</v>
      </c>
      <c r="G2346" s="76">
        <v>2024</v>
      </c>
      <c r="H2346" s="76" t="s">
        <v>40</v>
      </c>
      <c r="I2346" s="76" t="s">
        <v>34</v>
      </c>
      <c r="J2346" s="76">
        <v>43.46</v>
      </c>
      <c r="K2346" s="76">
        <v>50</v>
      </c>
      <c r="L2346" s="78">
        <f t="shared" si="238"/>
        <v>1</v>
      </c>
      <c r="M2346" s="78">
        <f t="shared" si="239"/>
        <v>1</v>
      </c>
      <c r="N2346" s="76" t="s">
        <v>25</v>
      </c>
      <c r="O2346" s="76" t="s">
        <v>25</v>
      </c>
      <c r="P2346" s="76">
        <v>0</v>
      </c>
      <c r="Q2346" s="76">
        <v>0</v>
      </c>
      <c r="R2346" s="76" t="s">
        <v>3384</v>
      </c>
      <c r="S2346" s="76"/>
    </row>
    <row r="2347" spans="1:19" x14ac:dyDescent="0.3">
      <c r="A2347" s="76" t="s">
        <v>3382</v>
      </c>
      <c r="B2347" s="76" t="s">
        <v>3383</v>
      </c>
      <c r="C2347" s="76" t="s">
        <v>1263</v>
      </c>
      <c r="D2347" s="76" t="s">
        <v>39</v>
      </c>
      <c r="E2347" s="76" t="s">
        <v>22</v>
      </c>
      <c r="F2347" s="77">
        <v>45473</v>
      </c>
      <c r="G2347" s="76">
        <v>2024</v>
      </c>
      <c r="H2347" s="76" t="s">
        <v>23</v>
      </c>
      <c r="I2347" s="76" t="s">
        <v>34</v>
      </c>
      <c r="J2347" s="76">
        <v>71.58</v>
      </c>
      <c r="K2347" s="76">
        <v>80</v>
      </c>
      <c r="L2347" s="78">
        <f t="shared" si="238"/>
        <v>1</v>
      </c>
      <c r="M2347" s="78">
        <f t="shared" si="239"/>
        <v>1</v>
      </c>
      <c r="N2347" s="76" t="s">
        <v>25</v>
      </c>
      <c r="O2347" s="76" t="s">
        <v>25</v>
      </c>
      <c r="P2347" s="76">
        <v>0</v>
      </c>
      <c r="Q2347" s="76">
        <v>0</v>
      </c>
      <c r="R2347" s="76" t="s">
        <v>3385</v>
      </c>
      <c r="S2347" s="76"/>
    </row>
    <row r="2348" spans="1:19" x14ac:dyDescent="0.3">
      <c r="A2348" s="76" t="s">
        <v>3382</v>
      </c>
      <c r="B2348" s="76" t="s">
        <v>3383</v>
      </c>
      <c r="C2348" s="76" t="s">
        <v>1263</v>
      </c>
      <c r="D2348" s="76" t="s">
        <v>39</v>
      </c>
      <c r="E2348" s="76" t="s">
        <v>22</v>
      </c>
      <c r="F2348" s="77">
        <v>45565</v>
      </c>
      <c r="G2348" s="76">
        <v>2024</v>
      </c>
      <c r="H2348" s="76" t="s">
        <v>43</v>
      </c>
      <c r="I2348" s="76" t="s">
        <v>36</v>
      </c>
      <c r="J2348" s="76">
        <v>93</v>
      </c>
      <c r="K2348" s="76">
        <v>97</v>
      </c>
      <c r="L2348" s="78">
        <f t="shared" si="238"/>
        <v>1</v>
      </c>
      <c r="M2348" s="78">
        <f t="shared" si="239"/>
        <v>1</v>
      </c>
      <c r="N2348" s="76" t="s">
        <v>25</v>
      </c>
      <c r="O2348" s="76" t="s">
        <v>25</v>
      </c>
      <c r="P2348" s="76">
        <v>0</v>
      </c>
      <c r="Q2348" s="76">
        <v>0</v>
      </c>
      <c r="R2348" s="76" t="s">
        <v>3386</v>
      </c>
      <c r="S2348" s="76"/>
    </row>
    <row r="2349" spans="1:19" x14ac:dyDescent="0.3">
      <c r="A2349" s="76" t="s">
        <v>3382</v>
      </c>
      <c r="B2349" s="76" t="s">
        <v>3383</v>
      </c>
      <c r="C2349" s="76" t="s">
        <v>1263</v>
      </c>
      <c r="D2349" s="76" t="s">
        <v>39</v>
      </c>
      <c r="E2349" s="76" t="s">
        <v>22</v>
      </c>
      <c r="F2349" s="77">
        <v>45657</v>
      </c>
      <c r="G2349" s="76">
        <v>2024</v>
      </c>
      <c r="H2349" s="76" t="s">
        <v>27</v>
      </c>
      <c r="I2349" s="76" t="s">
        <v>36</v>
      </c>
      <c r="J2349" s="76">
        <v>100</v>
      </c>
      <c r="K2349" s="76">
        <v>100</v>
      </c>
      <c r="L2349" s="78">
        <f t="shared" si="238"/>
        <v>1</v>
      </c>
      <c r="M2349" s="78">
        <f t="shared" si="239"/>
        <v>1</v>
      </c>
      <c r="N2349" s="76" t="s">
        <v>25</v>
      </c>
      <c r="O2349" s="76" t="s">
        <v>25</v>
      </c>
      <c r="P2349" s="76">
        <v>0</v>
      </c>
      <c r="Q2349" s="76">
        <v>0</v>
      </c>
      <c r="R2349" s="76" t="s">
        <v>3387</v>
      </c>
      <c r="S2349" s="76"/>
    </row>
    <row r="2350" spans="1:19" x14ac:dyDescent="0.3">
      <c r="A2350" s="76" t="s">
        <v>3388</v>
      </c>
      <c r="B2350" s="76" t="s">
        <v>3389</v>
      </c>
      <c r="C2350" s="76" t="s">
        <v>1263</v>
      </c>
      <c r="D2350" s="76" t="s">
        <v>39</v>
      </c>
      <c r="E2350" s="76" t="s">
        <v>22</v>
      </c>
      <c r="F2350" s="77">
        <v>45382</v>
      </c>
      <c r="G2350" s="76">
        <v>2024</v>
      </c>
      <c r="H2350" s="76" t="s">
        <v>40</v>
      </c>
      <c r="I2350" s="76" t="s">
        <v>34</v>
      </c>
      <c r="J2350" s="76">
        <v>49.4</v>
      </c>
      <c r="K2350" s="76">
        <v>52.17</v>
      </c>
      <c r="L2350" s="78">
        <f t="shared" si="238"/>
        <v>1</v>
      </c>
      <c r="M2350" s="78">
        <f t="shared" si="239"/>
        <v>1</v>
      </c>
      <c r="N2350" s="76" t="s">
        <v>25</v>
      </c>
      <c r="O2350" s="76" t="s">
        <v>25</v>
      </c>
      <c r="P2350" s="76">
        <v>0</v>
      </c>
      <c r="Q2350" s="76">
        <v>0</v>
      </c>
      <c r="R2350" s="76" t="s">
        <v>3390</v>
      </c>
      <c r="S2350" s="76"/>
    </row>
    <row r="2351" spans="1:19" x14ac:dyDescent="0.3">
      <c r="A2351" s="76" t="s">
        <v>3388</v>
      </c>
      <c r="B2351" s="76" t="s">
        <v>3389</v>
      </c>
      <c r="C2351" s="76" t="s">
        <v>1263</v>
      </c>
      <c r="D2351" s="76" t="s">
        <v>39</v>
      </c>
      <c r="E2351" s="76" t="s">
        <v>22</v>
      </c>
      <c r="F2351" s="77">
        <v>45473</v>
      </c>
      <c r="G2351" s="76">
        <v>2024</v>
      </c>
      <c r="H2351" s="76" t="s">
        <v>23</v>
      </c>
      <c r="I2351" s="76" t="s">
        <v>34</v>
      </c>
      <c r="J2351" s="76">
        <v>74.19</v>
      </c>
      <c r="K2351" s="76">
        <v>90</v>
      </c>
      <c r="L2351" s="78">
        <f t="shared" si="238"/>
        <v>1</v>
      </c>
      <c r="M2351" s="78">
        <f t="shared" si="239"/>
        <v>1</v>
      </c>
      <c r="N2351" s="76" t="s">
        <v>25</v>
      </c>
      <c r="O2351" s="76" t="s">
        <v>25</v>
      </c>
      <c r="P2351" s="76">
        <v>0</v>
      </c>
      <c r="Q2351" s="76">
        <v>0</v>
      </c>
      <c r="R2351" s="76" t="s">
        <v>3391</v>
      </c>
      <c r="S2351" s="76"/>
    </row>
    <row r="2352" spans="1:19" x14ac:dyDescent="0.3">
      <c r="A2352" s="76" t="s">
        <v>3388</v>
      </c>
      <c r="B2352" s="76" t="s">
        <v>3389</v>
      </c>
      <c r="C2352" s="76" t="s">
        <v>1263</v>
      </c>
      <c r="D2352" s="76" t="s">
        <v>39</v>
      </c>
      <c r="E2352" s="76" t="s">
        <v>22</v>
      </c>
      <c r="F2352" s="77">
        <v>45565</v>
      </c>
      <c r="G2352" s="76">
        <v>2024</v>
      </c>
      <c r="H2352" s="76" t="s">
        <v>43</v>
      </c>
      <c r="I2352" s="76" t="s">
        <v>36</v>
      </c>
      <c r="J2352" s="76">
        <v>90</v>
      </c>
      <c r="K2352" s="76">
        <v>93</v>
      </c>
      <c r="L2352" s="78">
        <f t="shared" si="238"/>
        <v>1</v>
      </c>
      <c r="M2352" s="78">
        <f t="shared" si="239"/>
        <v>1</v>
      </c>
      <c r="N2352" s="76" t="s">
        <v>25</v>
      </c>
      <c r="O2352" s="76" t="s">
        <v>25</v>
      </c>
      <c r="P2352" s="76">
        <v>0</v>
      </c>
      <c r="Q2352" s="76">
        <v>0</v>
      </c>
      <c r="R2352" s="76" t="s">
        <v>3392</v>
      </c>
      <c r="S2352" s="76"/>
    </row>
    <row r="2353" spans="1:19" x14ac:dyDescent="0.3">
      <c r="A2353" s="76" t="s">
        <v>3388</v>
      </c>
      <c r="B2353" s="76" t="s">
        <v>3389</v>
      </c>
      <c r="C2353" s="76" t="s">
        <v>1263</v>
      </c>
      <c r="D2353" s="76" t="s">
        <v>39</v>
      </c>
      <c r="E2353" s="76" t="s">
        <v>22</v>
      </c>
      <c r="F2353" s="77">
        <v>45657</v>
      </c>
      <c r="G2353" s="76">
        <v>2024</v>
      </c>
      <c r="H2353" s="76" t="s">
        <v>27</v>
      </c>
      <c r="I2353" s="76" t="s">
        <v>36</v>
      </c>
      <c r="J2353" s="76">
        <v>100</v>
      </c>
      <c r="K2353" s="76">
        <v>100</v>
      </c>
      <c r="L2353" s="78">
        <f t="shared" si="238"/>
        <v>1</v>
      </c>
      <c r="M2353" s="78">
        <f t="shared" si="239"/>
        <v>1</v>
      </c>
      <c r="N2353" s="76" t="s">
        <v>25</v>
      </c>
      <c r="O2353" s="76" t="s">
        <v>25</v>
      </c>
      <c r="P2353" s="76">
        <v>0</v>
      </c>
      <c r="Q2353" s="76">
        <v>0</v>
      </c>
      <c r="R2353" s="76" t="s">
        <v>3393</v>
      </c>
      <c r="S2353" s="76"/>
    </row>
    <row r="2354" spans="1:19" x14ac:dyDescent="0.3">
      <c r="A2354" s="76" t="s">
        <v>3394</v>
      </c>
      <c r="B2354" s="76" t="s">
        <v>3395</v>
      </c>
      <c r="C2354" s="76" t="s">
        <v>1263</v>
      </c>
      <c r="D2354" s="76" t="s">
        <v>39</v>
      </c>
      <c r="E2354" s="76" t="s">
        <v>22</v>
      </c>
      <c r="F2354" s="77">
        <v>45382</v>
      </c>
      <c r="G2354" s="76">
        <v>2024</v>
      </c>
      <c r="H2354" s="76" t="s">
        <v>40</v>
      </c>
      <c r="I2354" s="76" t="s">
        <v>34</v>
      </c>
      <c r="J2354" s="76">
        <v>33.94</v>
      </c>
      <c r="K2354" s="76">
        <v>45</v>
      </c>
      <c r="L2354" s="78">
        <f t="shared" si="238"/>
        <v>1</v>
      </c>
      <c r="M2354" s="78">
        <f t="shared" si="239"/>
        <v>1</v>
      </c>
      <c r="N2354" s="76" t="s">
        <v>25</v>
      </c>
      <c r="O2354" s="76" t="s">
        <v>25</v>
      </c>
      <c r="P2354" s="76">
        <v>0</v>
      </c>
      <c r="Q2354" s="76">
        <v>0</v>
      </c>
      <c r="R2354" s="76" t="s">
        <v>3396</v>
      </c>
      <c r="S2354" s="76"/>
    </row>
    <row r="2355" spans="1:19" x14ac:dyDescent="0.3">
      <c r="A2355" s="76" t="s">
        <v>3394</v>
      </c>
      <c r="B2355" s="76" t="s">
        <v>3395</v>
      </c>
      <c r="C2355" s="76" t="s">
        <v>1263</v>
      </c>
      <c r="D2355" s="76" t="s">
        <v>39</v>
      </c>
      <c r="E2355" s="76" t="s">
        <v>22</v>
      </c>
      <c r="F2355" s="77">
        <v>45473</v>
      </c>
      <c r="G2355" s="76">
        <v>2024</v>
      </c>
      <c r="H2355" s="76" t="s">
        <v>23</v>
      </c>
      <c r="I2355" s="76" t="s">
        <v>34</v>
      </c>
      <c r="J2355" s="76">
        <v>34.85</v>
      </c>
      <c r="K2355" s="76">
        <v>55</v>
      </c>
      <c r="L2355" s="78">
        <f t="shared" si="238"/>
        <v>1</v>
      </c>
      <c r="M2355" s="78">
        <f t="shared" si="239"/>
        <v>1</v>
      </c>
      <c r="N2355" s="76" t="s">
        <v>25</v>
      </c>
      <c r="O2355" s="76" t="s">
        <v>25</v>
      </c>
      <c r="P2355" s="76">
        <v>0</v>
      </c>
      <c r="Q2355" s="76">
        <v>0</v>
      </c>
      <c r="R2355" s="76" t="s">
        <v>3397</v>
      </c>
      <c r="S2355" s="76"/>
    </row>
    <row r="2356" spans="1:19" x14ac:dyDescent="0.3">
      <c r="A2356" s="76" t="s">
        <v>3394</v>
      </c>
      <c r="B2356" s="76" t="s">
        <v>3395</v>
      </c>
      <c r="C2356" s="76" t="s">
        <v>1263</v>
      </c>
      <c r="D2356" s="76" t="s">
        <v>39</v>
      </c>
      <c r="E2356" s="76" t="s">
        <v>22</v>
      </c>
      <c r="F2356" s="77">
        <v>45565</v>
      </c>
      <c r="G2356" s="76">
        <v>2024</v>
      </c>
      <c r="H2356" s="76" t="s">
        <v>43</v>
      </c>
      <c r="I2356" s="76" t="s">
        <v>36</v>
      </c>
      <c r="J2356" s="76">
        <v>73</v>
      </c>
      <c r="K2356" s="76">
        <v>75</v>
      </c>
      <c r="L2356" s="78">
        <f t="shared" si="238"/>
        <v>1</v>
      </c>
      <c r="M2356" s="78">
        <f t="shared" si="239"/>
        <v>1</v>
      </c>
      <c r="N2356" s="76" t="s">
        <v>25</v>
      </c>
      <c r="O2356" s="76" t="s">
        <v>25</v>
      </c>
      <c r="P2356" s="76">
        <v>0</v>
      </c>
      <c r="Q2356" s="76">
        <v>0</v>
      </c>
      <c r="R2356" s="76" t="s">
        <v>3398</v>
      </c>
      <c r="S2356" s="76"/>
    </row>
    <row r="2357" spans="1:19" x14ac:dyDescent="0.3">
      <c r="A2357" s="76" t="s">
        <v>3394</v>
      </c>
      <c r="B2357" s="76" t="s">
        <v>3395</v>
      </c>
      <c r="C2357" s="76" t="s">
        <v>1263</v>
      </c>
      <c r="D2357" s="76" t="s">
        <v>39</v>
      </c>
      <c r="E2357" s="76" t="s">
        <v>22</v>
      </c>
      <c r="F2357" s="77">
        <v>45657</v>
      </c>
      <c r="G2357" s="76">
        <v>2024</v>
      </c>
      <c r="H2357" s="76" t="s">
        <v>27</v>
      </c>
      <c r="I2357" s="76" t="s">
        <v>36</v>
      </c>
      <c r="J2357" s="76">
        <v>100</v>
      </c>
      <c r="K2357" s="76">
        <v>100</v>
      </c>
      <c r="L2357" s="78">
        <f t="shared" si="238"/>
        <v>1</v>
      </c>
      <c r="M2357" s="78">
        <f t="shared" si="239"/>
        <v>1</v>
      </c>
      <c r="N2357" s="76" t="s">
        <v>25</v>
      </c>
      <c r="O2357" s="76" t="s">
        <v>25</v>
      </c>
      <c r="P2357" s="76">
        <v>0</v>
      </c>
      <c r="Q2357" s="76">
        <v>0</v>
      </c>
      <c r="R2357" s="76" t="s">
        <v>3399</v>
      </c>
      <c r="S2357" s="76"/>
    </row>
    <row r="2358" spans="1:19" x14ac:dyDescent="0.3">
      <c r="A2358" s="76" t="s">
        <v>3400</v>
      </c>
      <c r="B2358" s="76" t="s">
        <v>3401</v>
      </c>
      <c r="C2358" s="76" t="s">
        <v>1263</v>
      </c>
      <c r="D2358" s="76" t="s">
        <v>39</v>
      </c>
      <c r="E2358" s="76" t="s">
        <v>22</v>
      </c>
      <c r="F2358" s="77">
        <v>45382</v>
      </c>
      <c r="G2358" s="76">
        <v>2024</v>
      </c>
      <c r="H2358" s="76" t="s">
        <v>40</v>
      </c>
      <c r="I2358" s="76" t="s">
        <v>34</v>
      </c>
      <c r="J2358" s="76">
        <v>37.04</v>
      </c>
      <c r="K2358" s="76">
        <v>0</v>
      </c>
      <c r="L2358" s="78">
        <f t="shared" ref="L2358:L2384" si="240">IFERROR(IF(OR(J2358=0,K2358=""),"",IF(E2358="Positivo",MIN(MAX(K2358/J2358,0),1),MIN(MAX(J2358/K2358,0),1))),"")</f>
        <v>0</v>
      </c>
      <c r="M2358" s="78">
        <f t="shared" ref="M2358:M2384" si="241">IFERROR(IF(OR(J2358=0,K2358=""),"",IF(E2358="Positivo",MIN(MAX(K2358/J2358,0),1),MIN(MAX(J2358/K2358,0),1))),"")</f>
        <v>0</v>
      </c>
      <c r="N2358" s="76" t="s">
        <v>25</v>
      </c>
      <c r="O2358" s="76" t="s">
        <v>25</v>
      </c>
      <c r="P2358" s="76">
        <v>0</v>
      </c>
      <c r="Q2358" s="76">
        <v>0</v>
      </c>
      <c r="R2358" s="76" t="s">
        <v>3402</v>
      </c>
      <c r="S2358" s="76"/>
    </row>
    <row r="2359" spans="1:19" x14ac:dyDescent="0.3">
      <c r="A2359" s="76" t="s">
        <v>3400</v>
      </c>
      <c r="B2359" s="76" t="s">
        <v>3401</v>
      </c>
      <c r="C2359" s="76" t="s">
        <v>1263</v>
      </c>
      <c r="D2359" s="76" t="s">
        <v>39</v>
      </c>
      <c r="E2359" s="76" t="s">
        <v>22</v>
      </c>
      <c r="F2359" s="77">
        <v>45473</v>
      </c>
      <c r="G2359" s="76">
        <v>2024</v>
      </c>
      <c r="H2359" s="76" t="s">
        <v>23</v>
      </c>
      <c r="I2359" s="76" t="s">
        <v>34</v>
      </c>
      <c r="J2359" s="76">
        <v>56.79</v>
      </c>
      <c r="K2359" s="76">
        <v>60</v>
      </c>
      <c r="L2359" s="78">
        <f t="shared" si="240"/>
        <v>1</v>
      </c>
      <c r="M2359" s="78">
        <f t="shared" si="241"/>
        <v>1</v>
      </c>
      <c r="N2359" s="76" t="s">
        <v>25</v>
      </c>
      <c r="O2359" s="76" t="s">
        <v>25</v>
      </c>
      <c r="P2359" s="76">
        <v>0</v>
      </c>
      <c r="Q2359" s="76">
        <v>0</v>
      </c>
      <c r="R2359" s="76" t="s">
        <v>3403</v>
      </c>
      <c r="S2359" s="76"/>
    </row>
    <row r="2360" spans="1:19" x14ac:dyDescent="0.3">
      <c r="A2360" s="76" t="s">
        <v>3400</v>
      </c>
      <c r="B2360" s="76" t="s">
        <v>3401</v>
      </c>
      <c r="C2360" s="76" t="s">
        <v>1263</v>
      </c>
      <c r="D2360" s="76" t="s">
        <v>39</v>
      </c>
      <c r="E2360" s="76" t="s">
        <v>22</v>
      </c>
      <c r="F2360" s="77">
        <v>45565</v>
      </c>
      <c r="G2360" s="76">
        <v>2024</v>
      </c>
      <c r="H2360" s="76" t="s">
        <v>43</v>
      </c>
      <c r="I2360" s="76" t="s">
        <v>36</v>
      </c>
      <c r="J2360" s="76">
        <v>86</v>
      </c>
      <c r="K2360" s="76">
        <v>93</v>
      </c>
      <c r="L2360" s="78">
        <f t="shared" si="240"/>
        <v>1</v>
      </c>
      <c r="M2360" s="78">
        <f t="shared" si="241"/>
        <v>1</v>
      </c>
      <c r="N2360" s="76" t="s">
        <v>25</v>
      </c>
      <c r="O2360" s="76" t="s">
        <v>25</v>
      </c>
      <c r="P2360" s="76">
        <v>0</v>
      </c>
      <c r="Q2360" s="76">
        <v>0</v>
      </c>
      <c r="R2360" s="76" t="s">
        <v>3404</v>
      </c>
      <c r="S2360" s="76"/>
    </row>
    <row r="2361" spans="1:19" x14ac:dyDescent="0.3">
      <c r="A2361" s="76" t="s">
        <v>3400</v>
      </c>
      <c r="B2361" s="76" t="s">
        <v>3401</v>
      </c>
      <c r="C2361" s="76" t="s">
        <v>1263</v>
      </c>
      <c r="D2361" s="76" t="s">
        <v>39</v>
      </c>
      <c r="E2361" s="76" t="s">
        <v>22</v>
      </c>
      <c r="F2361" s="77">
        <v>45657</v>
      </c>
      <c r="G2361" s="76">
        <v>2024</v>
      </c>
      <c r="H2361" s="76" t="s">
        <v>27</v>
      </c>
      <c r="I2361" s="76" t="s">
        <v>36</v>
      </c>
      <c r="J2361" s="76">
        <v>100</v>
      </c>
      <c r="K2361" s="76">
        <v>100</v>
      </c>
      <c r="L2361" s="78">
        <f t="shared" si="240"/>
        <v>1</v>
      </c>
      <c r="M2361" s="78">
        <f t="shared" si="241"/>
        <v>1</v>
      </c>
      <c r="N2361" s="76" t="s">
        <v>25</v>
      </c>
      <c r="O2361" s="76" t="s">
        <v>25</v>
      </c>
      <c r="P2361" s="76">
        <v>0</v>
      </c>
      <c r="Q2361" s="76">
        <v>0</v>
      </c>
      <c r="R2361" s="76" t="s">
        <v>3405</v>
      </c>
      <c r="S2361" s="76"/>
    </row>
    <row r="2362" spans="1:19" x14ac:dyDescent="0.3">
      <c r="A2362" s="76" t="s">
        <v>3406</v>
      </c>
      <c r="B2362" s="76" t="s">
        <v>3407</v>
      </c>
      <c r="C2362" s="76" t="s">
        <v>1263</v>
      </c>
      <c r="D2362" s="76" t="s">
        <v>39</v>
      </c>
      <c r="E2362" s="76" t="s">
        <v>22</v>
      </c>
      <c r="F2362" s="77">
        <v>45382</v>
      </c>
      <c r="G2362" s="76">
        <v>2024</v>
      </c>
      <c r="H2362" s="76" t="s">
        <v>40</v>
      </c>
      <c r="I2362" s="76" t="s">
        <v>34</v>
      </c>
      <c r="J2362" s="76">
        <v>32.79</v>
      </c>
      <c r="K2362" s="76">
        <v>48.33</v>
      </c>
      <c r="L2362" s="78">
        <f t="shared" si="240"/>
        <v>1</v>
      </c>
      <c r="M2362" s="78">
        <f t="shared" si="241"/>
        <v>1</v>
      </c>
      <c r="N2362" s="76" t="s">
        <v>25</v>
      </c>
      <c r="O2362" s="76" t="s">
        <v>25</v>
      </c>
      <c r="P2362" s="76">
        <v>0</v>
      </c>
      <c r="Q2362" s="76">
        <v>0</v>
      </c>
      <c r="R2362" s="76" t="s">
        <v>3408</v>
      </c>
      <c r="S2362" s="76"/>
    </row>
    <row r="2363" spans="1:19" x14ac:dyDescent="0.3">
      <c r="A2363" s="76" t="s">
        <v>3406</v>
      </c>
      <c r="B2363" s="76" t="s">
        <v>3407</v>
      </c>
      <c r="C2363" s="76" t="s">
        <v>1263</v>
      </c>
      <c r="D2363" s="76" t="s">
        <v>39</v>
      </c>
      <c r="E2363" s="76" t="s">
        <v>22</v>
      </c>
      <c r="F2363" s="77">
        <v>45473</v>
      </c>
      <c r="G2363" s="76">
        <v>2024</v>
      </c>
      <c r="H2363" s="76" t="s">
        <v>23</v>
      </c>
      <c r="I2363" s="76" t="s">
        <v>34</v>
      </c>
      <c r="J2363" s="76">
        <v>68.48</v>
      </c>
      <c r="K2363" s="76">
        <v>55</v>
      </c>
      <c r="L2363" s="78">
        <f t="shared" si="240"/>
        <v>0.80315420560747663</v>
      </c>
      <c r="M2363" s="78">
        <f t="shared" si="241"/>
        <v>0.80315420560747663</v>
      </c>
      <c r="N2363" s="76" t="s">
        <v>25</v>
      </c>
      <c r="O2363" s="76" t="s">
        <v>25</v>
      </c>
      <c r="P2363" s="76">
        <v>0</v>
      </c>
      <c r="Q2363" s="76">
        <v>0</v>
      </c>
      <c r="R2363" s="76" t="s">
        <v>3409</v>
      </c>
      <c r="S2363" s="76"/>
    </row>
    <row r="2364" spans="1:19" x14ac:dyDescent="0.3">
      <c r="A2364" s="76" t="s">
        <v>3406</v>
      </c>
      <c r="B2364" s="76" t="s">
        <v>3407</v>
      </c>
      <c r="C2364" s="76" t="s">
        <v>1263</v>
      </c>
      <c r="D2364" s="76" t="s">
        <v>39</v>
      </c>
      <c r="E2364" s="76" t="s">
        <v>22</v>
      </c>
      <c r="F2364" s="77">
        <v>45565</v>
      </c>
      <c r="G2364" s="76">
        <v>2024</v>
      </c>
      <c r="H2364" s="76" t="s">
        <v>43</v>
      </c>
      <c r="I2364" s="76" t="s">
        <v>36</v>
      </c>
      <c r="J2364" s="76">
        <v>90</v>
      </c>
      <c r="K2364" s="76">
        <v>89</v>
      </c>
      <c r="L2364" s="78">
        <f t="shared" si="240"/>
        <v>0.98888888888888893</v>
      </c>
      <c r="M2364" s="78">
        <f t="shared" si="241"/>
        <v>0.98888888888888893</v>
      </c>
      <c r="N2364" s="76" t="s">
        <v>25</v>
      </c>
      <c r="O2364" s="76" t="s">
        <v>25</v>
      </c>
      <c r="P2364" s="76">
        <v>0</v>
      </c>
      <c r="Q2364" s="76">
        <v>0</v>
      </c>
      <c r="R2364" s="76" t="s">
        <v>3410</v>
      </c>
      <c r="S2364" s="76"/>
    </row>
    <row r="2365" spans="1:19" x14ac:dyDescent="0.3">
      <c r="A2365" s="76" t="s">
        <v>3406</v>
      </c>
      <c r="B2365" s="76" t="s">
        <v>3407</v>
      </c>
      <c r="C2365" s="76" t="s">
        <v>1263</v>
      </c>
      <c r="D2365" s="76" t="s">
        <v>39</v>
      </c>
      <c r="E2365" s="76" t="s">
        <v>22</v>
      </c>
      <c r="F2365" s="77">
        <v>45657</v>
      </c>
      <c r="G2365" s="76">
        <v>2024</v>
      </c>
      <c r="H2365" s="76" t="s">
        <v>27</v>
      </c>
      <c r="I2365" s="76" t="s">
        <v>36</v>
      </c>
      <c r="J2365" s="76">
        <v>100</v>
      </c>
      <c r="K2365" s="76">
        <v>97</v>
      </c>
      <c r="L2365" s="78">
        <f t="shared" si="240"/>
        <v>0.97</v>
      </c>
      <c r="M2365" s="78">
        <f t="shared" si="241"/>
        <v>0.97</v>
      </c>
      <c r="N2365" s="76" t="s">
        <v>25</v>
      </c>
      <c r="O2365" s="76" t="s">
        <v>25</v>
      </c>
      <c r="P2365" s="76">
        <v>0</v>
      </c>
      <c r="Q2365" s="76">
        <v>0</v>
      </c>
      <c r="R2365" s="76" t="s">
        <v>3411</v>
      </c>
      <c r="S2365" s="76"/>
    </row>
    <row r="2366" spans="1:19" x14ac:dyDescent="0.3">
      <c r="A2366" s="76" t="s">
        <v>3412</v>
      </c>
      <c r="B2366" s="76" t="s">
        <v>3413</v>
      </c>
      <c r="C2366" s="76" t="s">
        <v>1263</v>
      </c>
      <c r="D2366" s="76" t="s">
        <v>39</v>
      </c>
      <c r="E2366" s="76" t="s">
        <v>22</v>
      </c>
      <c r="F2366" s="77">
        <v>45382</v>
      </c>
      <c r="G2366" s="76">
        <v>2024</v>
      </c>
      <c r="H2366" s="76" t="s">
        <v>40</v>
      </c>
      <c r="I2366" s="76" t="s">
        <v>34</v>
      </c>
      <c r="J2366" s="76">
        <v>25.96</v>
      </c>
      <c r="K2366" s="76">
        <v>25</v>
      </c>
      <c r="L2366" s="78">
        <f t="shared" si="240"/>
        <v>0.963020030816641</v>
      </c>
      <c r="M2366" s="78">
        <f t="shared" si="241"/>
        <v>0.963020030816641</v>
      </c>
      <c r="N2366" s="76" t="s">
        <v>25</v>
      </c>
      <c r="O2366" s="76" t="s">
        <v>25</v>
      </c>
      <c r="P2366" s="76">
        <v>0</v>
      </c>
      <c r="Q2366" s="76">
        <v>0</v>
      </c>
      <c r="R2366" s="76" t="s">
        <v>3414</v>
      </c>
      <c r="S2366" s="76"/>
    </row>
    <row r="2367" spans="1:19" x14ac:dyDescent="0.3">
      <c r="A2367" s="76" t="s">
        <v>3412</v>
      </c>
      <c r="B2367" s="76" t="s">
        <v>3413</v>
      </c>
      <c r="C2367" s="76" t="s">
        <v>1263</v>
      </c>
      <c r="D2367" s="76" t="s">
        <v>39</v>
      </c>
      <c r="E2367" s="76" t="s">
        <v>22</v>
      </c>
      <c r="F2367" s="77">
        <v>45473</v>
      </c>
      <c r="G2367" s="76">
        <v>2024</v>
      </c>
      <c r="H2367" s="76" t="s">
        <v>23</v>
      </c>
      <c r="I2367" s="76" t="s">
        <v>34</v>
      </c>
      <c r="J2367" s="76">
        <v>49.2</v>
      </c>
      <c r="K2367" s="76">
        <v>37.5</v>
      </c>
      <c r="L2367" s="78">
        <f t="shared" si="240"/>
        <v>0.76219512195121952</v>
      </c>
      <c r="M2367" s="78">
        <f t="shared" si="241"/>
        <v>0.76219512195121952</v>
      </c>
      <c r="N2367" s="76" t="s">
        <v>25</v>
      </c>
      <c r="O2367" s="76" t="s">
        <v>25</v>
      </c>
      <c r="P2367" s="76">
        <v>0</v>
      </c>
      <c r="Q2367" s="76">
        <v>0</v>
      </c>
      <c r="R2367" s="76" t="s">
        <v>3415</v>
      </c>
      <c r="S2367" s="76"/>
    </row>
    <row r="2368" spans="1:19" x14ac:dyDescent="0.3">
      <c r="A2368" s="76" t="s">
        <v>3412</v>
      </c>
      <c r="B2368" s="76" t="s">
        <v>3413</v>
      </c>
      <c r="C2368" s="76" t="s">
        <v>1263</v>
      </c>
      <c r="D2368" s="76" t="s">
        <v>39</v>
      </c>
      <c r="E2368" s="76" t="s">
        <v>22</v>
      </c>
      <c r="F2368" s="77">
        <v>45565</v>
      </c>
      <c r="G2368" s="76">
        <v>2024</v>
      </c>
      <c r="H2368" s="76" t="s">
        <v>43</v>
      </c>
      <c r="I2368" s="76" t="s">
        <v>36</v>
      </c>
      <c r="J2368" s="76">
        <v>84</v>
      </c>
      <c r="K2368" s="76">
        <v>60</v>
      </c>
      <c r="L2368" s="78">
        <f t="shared" si="240"/>
        <v>0.7142857142857143</v>
      </c>
      <c r="M2368" s="78">
        <f t="shared" si="241"/>
        <v>0.7142857142857143</v>
      </c>
      <c r="N2368" s="76" t="s">
        <v>25</v>
      </c>
      <c r="O2368" s="76" t="s">
        <v>25</v>
      </c>
      <c r="P2368" s="76">
        <v>0</v>
      </c>
      <c r="Q2368" s="76">
        <v>0</v>
      </c>
      <c r="R2368" s="76" t="s">
        <v>3416</v>
      </c>
      <c r="S2368" s="76"/>
    </row>
    <row r="2369" spans="1:19" x14ac:dyDescent="0.3">
      <c r="A2369" s="76" t="s">
        <v>3412</v>
      </c>
      <c r="B2369" s="76" t="s">
        <v>3413</v>
      </c>
      <c r="C2369" s="76" t="s">
        <v>1263</v>
      </c>
      <c r="D2369" s="76" t="s">
        <v>39</v>
      </c>
      <c r="E2369" s="76" t="s">
        <v>22</v>
      </c>
      <c r="F2369" s="77">
        <v>45657</v>
      </c>
      <c r="G2369" s="76">
        <v>2024</v>
      </c>
      <c r="H2369" s="76" t="s">
        <v>27</v>
      </c>
      <c r="I2369" s="76" t="s">
        <v>36</v>
      </c>
      <c r="J2369" s="76">
        <v>100</v>
      </c>
      <c r="K2369" s="76">
        <v>100</v>
      </c>
      <c r="L2369" s="78">
        <f t="shared" si="240"/>
        <v>1</v>
      </c>
      <c r="M2369" s="78">
        <f t="shared" si="241"/>
        <v>1</v>
      </c>
      <c r="N2369" s="76" t="s">
        <v>25</v>
      </c>
      <c r="O2369" s="76" t="s">
        <v>25</v>
      </c>
      <c r="P2369" s="76">
        <v>0</v>
      </c>
      <c r="Q2369" s="76">
        <v>0</v>
      </c>
      <c r="R2369" s="76" t="s">
        <v>3417</v>
      </c>
      <c r="S2369" s="76"/>
    </row>
    <row r="2370" spans="1:19" x14ac:dyDescent="0.3">
      <c r="A2370" s="76" t="s">
        <v>3418</v>
      </c>
      <c r="B2370" s="76" t="s">
        <v>3419</v>
      </c>
      <c r="C2370" s="76" t="s">
        <v>1263</v>
      </c>
      <c r="D2370" s="76" t="s">
        <v>39</v>
      </c>
      <c r="E2370" s="76" t="s">
        <v>22</v>
      </c>
      <c r="F2370" s="77">
        <v>45382</v>
      </c>
      <c r="G2370" s="76">
        <v>2024</v>
      </c>
      <c r="H2370" s="76" t="s">
        <v>40</v>
      </c>
      <c r="I2370" s="76" t="s">
        <v>34</v>
      </c>
      <c r="J2370" s="76">
        <v>34.619999999999997</v>
      </c>
      <c r="K2370" s="76">
        <v>26.25</v>
      </c>
      <c r="L2370" s="78">
        <f t="shared" si="240"/>
        <v>0.75823223570190645</v>
      </c>
      <c r="M2370" s="78">
        <f t="shared" si="241"/>
        <v>0.75823223570190645</v>
      </c>
      <c r="N2370" s="76" t="s">
        <v>25</v>
      </c>
      <c r="O2370" s="76" t="s">
        <v>25</v>
      </c>
      <c r="P2370" s="76">
        <v>0</v>
      </c>
      <c r="Q2370" s="76">
        <v>0</v>
      </c>
      <c r="R2370" s="76" t="s">
        <v>3420</v>
      </c>
      <c r="S2370" s="76"/>
    </row>
    <row r="2371" spans="1:19" x14ac:dyDescent="0.3">
      <c r="A2371" s="76" t="s">
        <v>3418</v>
      </c>
      <c r="B2371" s="76" t="s">
        <v>3419</v>
      </c>
      <c r="C2371" s="76" t="s">
        <v>1263</v>
      </c>
      <c r="D2371" s="76" t="s">
        <v>39</v>
      </c>
      <c r="E2371" s="76" t="s">
        <v>22</v>
      </c>
      <c r="F2371" s="77">
        <v>45473</v>
      </c>
      <c r="G2371" s="76">
        <v>2024</v>
      </c>
      <c r="H2371" s="76" t="s">
        <v>23</v>
      </c>
      <c r="I2371" s="76" t="s">
        <v>34</v>
      </c>
      <c r="J2371" s="76">
        <v>55.13</v>
      </c>
      <c r="K2371" s="76">
        <v>60</v>
      </c>
      <c r="L2371" s="78">
        <f t="shared" si="240"/>
        <v>1</v>
      </c>
      <c r="M2371" s="78">
        <f t="shared" si="241"/>
        <v>1</v>
      </c>
      <c r="N2371" s="76" t="s">
        <v>25</v>
      </c>
      <c r="O2371" s="76" t="s">
        <v>25</v>
      </c>
      <c r="P2371" s="76">
        <v>0</v>
      </c>
      <c r="Q2371" s="76">
        <v>0</v>
      </c>
      <c r="R2371" s="76" t="s">
        <v>3421</v>
      </c>
      <c r="S2371" s="76"/>
    </row>
    <row r="2372" spans="1:19" x14ac:dyDescent="0.3">
      <c r="A2372" s="76" t="s">
        <v>3418</v>
      </c>
      <c r="B2372" s="76" t="s">
        <v>3419</v>
      </c>
      <c r="C2372" s="76" t="s">
        <v>1263</v>
      </c>
      <c r="D2372" s="76" t="s">
        <v>39</v>
      </c>
      <c r="E2372" s="76" t="s">
        <v>22</v>
      </c>
      <c r="F2372" s="77">
        <v>45565</v>
      </c>
      <c r="G2372" s="76">
        <v>2024</v>
      </c>
      <c r="H2372" s="76" t="s">
        <v>43</v>
      </c>
      <c r="I2372" s="76" t="s">
        <v>36</v>
      </c>
      <c r="J2372" s="76">
        <v>86</v>
      </c>
      <c r="K2372" s="76">
        <v>90</v>
      </c>
      <c r="L2372" s="78">
        <f t="shared" si="240"/>
        <v>1</v>
      </c>
      <c r="M2372" s="78">
        <f t="shared" si="241"/>
        <v>1</v>
      </c>
      <c r="N2372" s="76" t="s">
        <v>25</v>
      </c>
      <c r="O2372" s="76" t="s">
        <v>25</v>
      </c>
      <c r="P2372" s="76">
        <v>0</v>
      </c>
      <c r="Q2372" s="76">
        <v>0</v>
      </c>
      <c r="R2372" s="76" t="s">
        <v>3422</v>
      </c>
      <c r="S2372" s="76"/>
    </row>
    <row r="2373" spans="1:19" x14ac:dyDescent="0.3">
      <c r="A2373" s="76" t="s">
        <v>3418</v>
      </c>
      <c r="B2373" s="76" t="s">
        <v>3419</v>
      </c>
      <c r="C2373" s="76" t="s">
        <v>1263</v>
      </c>
      <c r="D2373" s="76" t="s">
        <v>39</v>
      </c>
      <c r="E2373" s="76" t="s">
        <v>22</v>
      </c>
      <c r="F2373" s="77">
        <v>45657</v>
      </c>
      <c r="G2373" s="76">
        <v>2024</v>
      </c>
      <c r="H2373" s="76" t="s">
        <v>27</v>
      </c>
      <c r="I2373" s="76" t="s">
        <v>36</v>
      </c>
      <c r="J2373" s="76">
        <v>100</v>
      </c>
      <c r="K2373" s="76">
        <v>100</v>
      </c>
      <c r="L2373" s="78">
        <f t="shared" si="240"/>
        <v>1</v>
      </c>
      <c r="M2373" s="78">
        <f t="shared" si="241"/>
        <v>1</v>
      </c>
      <c r="N2373" s="76" t="s">
        <v>25</v>
      </c>
      <c r="O2373" s="76" t="s">
        <v>25</v>
      </c>
      <c r="P2373" s="76">
        <v>0</v>
      </c>
      <c r="Q2373" s="76">
        <v>0</v>
      </c>
      <c r="R2373" s="76" t="s">
        <v>3423</v>
      </c>
      <c r="S2373" s="76"/>
    </row>
    <row r="2374" spans="1:19" x14ac:dyDescent="0.3">
      <c r="A2374" s="76" t="s">
        <v>3424</v>
      </c>
      <c r="B2374" s="76" t="s">
        <v>3425</v>
      </c>
      <c r="C2374" s="76" t="s">
        <v>1263</v>
      </c>
      <c r="D2374" s="76" t="s">
        <v>39</v>
      </c>
      <c r="E2374" s="76" t="s">
        <v>22</v>
      </c>
      <c r="F2374" s="77">
        <v>45382</v>
      </c>
      <c r="G2374" s="76">
        <v>2024</v>
      </c>
      <c r="H2374" s="76" t="s">
        <v>40</v>
      </c>
      <c r="I2374" s="76" t="s">
        <v>34</v>
      </c>
      <c r="J2374" s="76">
        <v>60.74</v>
      </c>
      <c r="K2374" s="76">
        <v>55.22</v>
      </c>
      <c r="L2374" s="78">
        <f t="shared" si="240"/>
        <v>0.90912084293710893</v>
      </c>
      <c r="M2374" s="78">
        <f t="shared" si="241"/>
        <v>0.90912084293710893</v>
      </c>
      <c r="N2374" s="76" t="s">
        <v>25</v>
      </c>
      <c r="O2374" s="76" t="s">
        <v>25</v>
      </c>
      <c r="P2374" s="76">
        <v>0</v>
      </c>
      <c r="Q2374" s="76">
        <v>0</v>
      </c>
      <c r="R2374" s="76" t="s">
        <v>3426</v>
      </c>
      <c r="S2374" s="76"/>
    </row>
    <row r="2375" spans="1:19" x14ac:dyDescent="0.3">
      <c r="A2375" s="76" t="s">
        <v>3424</v>
      </c>
      <c r="B2375" s="76" t="s">
        <v>3425</v>
      </c>
      <c r="C2375" s="76" t="s">
        <v>1263</v>
      </c>
      <c r="D2375" s="76" t="s">
        <v>39</v>
      </c>
      <c r="E2375" s="76" t="s">
        <v>22</v>
      </c>
      <c r="F2375" s="77">
        <v>45473</v>
      </c>
      <c r="G2375" s="76">
        <v>2024</v>
      </c>
      <c r="H2375" s="76" t="s">
        <v>23</v>
      </c>
      <c r="I2375" s="76" t="s">
        <v>34</v>
      </c>
      <c r="J2375" s="76">
        <v>67.13</v>
      </c>
      <c r="K2375" s="76">
        <v>64.17</v>
      </c>
      <c r="L2375" s="78">
        <f t="shared" si="240"/>
        <v>0.95590645017130949</v>
      </c>
      <c r="M2375" s="78">
        <f t="shared" si="241"/>
        <v>0.95590645017130949</v>
      </c>
      <c r="N2375" s="76" t="s">
        <v>25</v>
      </c>
      <c r="O2375" s="76" t="s">
        <v>25</v>
      </c>
      <c r="P2375" s="76">
        <v>0</v>
      </c>
      <c r="Q2375" s="76">
        <v>0</v>
      </c>
      <c r="R2375" s="76" t="s">
        <v>3427</v>
      </c>
      <c r="S2375" s="76"/>
    </row>
    <row r="2376" spans="1:19" x14ac:dyDescent="0.3">
      <c r="A2376" s="76" t="s">
        <v>3424</v>
      </c>
      <c r="B2376" s="76" t="s">
        <v>3425</v>
      </c>
      <c r="C2376" s="76" t="s">
        <v>1263</v>
      </c>
      <c r="D2376" s="76" t="s">
        <v>39</v>
      </c>
      <c r="E2376" s="76" t="s">
        <v>22</v>
      </c>
      <c r="F2376" s="77">
        <v>45565</v>
      </c>
      <c r="G2376" s="76">
        <v>2024</v>
      </c>
      <c r="H2376" s="76" t="s">
        <v>43</v>
      </c>
      <c r="I2376" s="76" t="s">
        <v>36</v>
      </c>
      <c r="J2376" s="76">
        <v>91</v>
      </c>
      <c r="K2376" s="76">
        <v>61</v>
      </c>
      <c r="L2376" s="78">
        <f t="shared" si="240"/>
        <v>0.67032967032967028</v>
      </c>
      <c r="M2376" s="78">
        <f t="shared" si="241"/>
        <v>0.67032967032967028</v>
      </c>
      <c r="N2376" s="76" t="s">
        <v>25</v>
      </c>
      <c r="O2376" s="76" t="s">
        <v>25</v>
      </c>
      <c r="P2376" s="76">
        <v>0</v>
      </c>
      <c r="Q2376" s="76">
        <v>0</v>
      </c>
      <c r="R2376" s="76" t="s">
        <v>3428</v>
      </c>
      <c r="S2376" s="76"/>
    </row>
    <row r="2377" spans="1:19" x14ac:dyDescent="0.3">
      <c r="A2377" s="76" t="s">
        <v>3424</v>
      </c>
      <c r="B2377" s="76" t="s">
        <v>3425</v>
      </c>
      <c r="C2377" s="76" t="s">
        <v>1263</v>
      </c>
      <c r="D2377" s="76" t="s">
        <v>39</v>
      </c>
      <c r="E2377" s="76" t="s">
        <v>22</v>
      </c>
      <c r="F2377" s="77">
        <v>45657</v>
      </c>
      <c r="G2377" s="76">
        <v>2024</v>
      </c>
      <c r="H2377" s="76" t="s">
        <v>27</v>
      </c>
      <c r="I2377" s="76" t="s">
        <v>36</v>
      </c>
      <c r="J2377" s="76">
        <v>100</v>
      </c>
      <c r="K2377" s="76">
        <v>100</v>
      </c>
      <c r="L2377" s="78">
        <f t="shared" si="240"/>
        <v>1</v>
      </c>
      <c r="M2377" s="78">
        <f t="shared" si="241"/>
        <v>1</v>
      </c>
      <c r="N2377" s="76" t="s">
        <v>25</v>
      </c>
      <c r="O2377" s="76" t="s">
        <v>25</v>
      </c>
      <c r="P2377" s="76">
        <v>0</v>
      </c>
      <c r="Q2377" s="76">
        <v>0</v>
      </c>
      <c r="R2377" s="76" t="s">
        <v>3429</v>
      </c>
      <c r="S2377" s="76"/>
    </row>
    <row r="2378" spans="1:19" x14ac:dyDescent="0.3">
      <c r="A2378" s="76" t="s">
        <v>3430</v>
      </c>
      <c r="B2378" s="76" t="s">
        <v>3431</v>
      </c>
      <c r="C2378" s="76" t="s">
        <v>1263</v>
      </c>
      <c r="D2378" s="76" t="s">
        <v>39</v>
      </c>
      <c r="E2378" s="76" t="s">
        <v>22</v>
      </c>
      <c r="F2378" s="77">
        <v>45382</v>
      </c>
      <c r="G2378" s="76">
        <v>2024</v>
      </c>
      <c r="H2378" s="76" t="s">
        <v>40</v>
      </c>
      <c r="I2378" s="76" t="s">
        <v>34</v>
      </c>
      <c r="J2378" s="76">
        <v>38.74</v>
      </c>
      <c r="K2378" s="76">
        <v>40</v>
      </c>
      <c r="L2378" s="78">
        <f t="shared" si="240"/>
        <v>1</v>
      </c>
      <c r="M2378" s="78">
        <f t="shared" si="241"/>
        <v>1</v>
      </c>
      <c r="N2378" s="76" t="s">
        <v>25</v>
      </c>
      <c r="O2378" s="76" t="s">
        <v>25</v>
      </c>
      <c r="P2378" s="76">
        <v>0</v>
      </c>
      <c r="Q2378" s="76">
        <v>0</v>
      </c>
      <c r="R2378" s="76" t="s">
        <v>3432</v>
      </c>
      <c r="S2378" s="76"/>
    </row>
    <row r="2379" spans="1:19" x14ac:dyDescent="0.3">
      <c r="A2379" s="76" t="s">
        <v>3430</v>
      </c>
      <c r="B2379" s="76" t="s">
        <v>3431</v>
      </c>
      <c r="C2379" s="76" t="s">
        <v>1263</v>
      </c>
      <c r="D2379" s="76" t="s">
        <v>39</v>
      </c>
      <c r="E2379" s="76" t="s">
        <v>22</v>
      </c>
      <c r="F2379" s="77">
        <v>45473</v>
      </c>
      <c r="G2379" s="76">
        <v>2024</v>
      </c>
      <c r="H2379" s="76" t="s">
        <v>23</v>
      </c>
      <c r="I2379" s="76" t="s">
        <v>34</v>
      </c>
      <c r="J2379" s="76">
        <v>46.12</v>
      </c>
      <c r="K2379" s="76">
        <v>50</v>
      </c>
      <c r="L2379" s="78">
        <f t="shared" si="240"/>
        <v>1</v>
      </c>
      <c r="M2379" s="78">
        <f t="shared" si="241"/>
        <v>1</v>
      </c>
      <c r="N2379" s="76" t="s">
        <v>25</v>
      </c>
      <c r="O2379" s="76" t="s">
        <v>25</v>
      </c>
      <c r="P2379" s="76">
        <v>0</v>
      </c>
      <c r="Q2379" s="76">
        <v>0</v>
      </c>
      <c r="R2379" s="76" t="s">
        <v>3433</v>
      </c>
      <c r="S2379" s="76"/>
    </row>
    <row r="2380" spans="1:19" x14ac:dyDescent="0.3">
      <c r="A2380" s="76" t="s">
        <v>3430</v>
      </c>
      <c r="B2380" s="76" t="s">
        <v>3431</v>
      </c>
      <c r="C2380" s="76" t="s">
        <v>1263</v>
      </c>
      <c r="D2380" s="76" t="s">
        <v>39</v>
      </c>
      <c r="E2380" s="76" t="s">
        <v>22</v>
      </c>
      <c r="F2380" s="77">
        <v>45565</v>
      </c>
      <c r="G2380" s="76">
        <v>2024</v>
      </c>
      <c r="H2380" s="76" t="s">
        <v>43</v>
      </c>
      <c r="I2380" s="76" t="s">
        <v>36</v>
      </c>
      <c r="J2380" s="76">
        <v>83</v>
      </c>
      <c r="K2380" s="76">
        <v>80</v>
      </c>
      <c r="L2380" s="78">
        <f t="shared" si="240"/>
        <v>0.96385542168674698</v>
      </c>
      <c r="M2380" s="78">
        <f t="shared" si="241"/>
        <v>0.96385542168674698</v>
      </c>
      <c r="N2380" s="76" t="s">
        <v>25</v>
      </c>
      <c r="O2380" s="76" t="s">
        <v>25</v>
      </c>
      <c r="P2380" s="76">
        <v>0</v>
      </c>
      <c r="Q2380" s="76">
        <v>0</v>
      </c>
      <c r="R2380" s="76" t="s">
        <v>3434</v>
      </c>
      <c r="S2380" s="76"/>
    </row>
    <row r="2381" spans="1:19" x14ac:dyDescent="0.3">
      <c r="A2381" s="76" t="s">
        <v>3430</v>
      </c>
      <c r="B2381" s="76" t="s">
        <v>3431</v>
      </c>
      <c r="C2381" s="76" t="s">
        <v>1263</v>
      </c>
      <c r="D2381" s="76" t="s">
        <v>39</v>
      </c>
      <c r="E2381" s="76" t="s">
        <v>22</v>
      </c>
      <c r="F2381" s="77">
        <v>45657</v>
      </c>
      <c r="G2381" s="76">
        <v>2024</v>
      </c>
      <c r="H2381" s="76" t="s">
        <v>27</v>
      </c>
      <c r="I2381" s="76" t="s">
        <v>36</v>
      </c>
      <c r="J2381" s="76">
        <v>100</v>
      </c>
      <c r="K2381" s="76">
        <v>100</v>
      </c>
      <c r="L2381" s="78">
        <f t="shared" si="240"/>
        <v>1</v>
      </c>
      <c r="M2381" s="78">
        <f t="shared" si="241"/>
        <v>1</v>
      </c>
      <c r="N2381" s="76" t="s">
        <v>25</v>
      </c>
      <c r="O2381" s="76" t="s">
        <v>25</v>
      </c>
      <c r="P2381" s="76">
        <v>0</v>
      </c>
      <c r="Q2381" s="76">
        <v>0</v>
      </c>
      <c r="R2381" s="76" t="s">
        <v>3435</v>
      </c>
      <c r="S2381" s="76"/>
    </row>
    <row r="2382" spans="1:19" x14ac:dyDescent="0.3">
      <c r="A2382" s="76" t="s">
        <v>3436</v>
      </c>
      <c r="B2382" s="76" t="s">
        <v>3437</v>
      </c>
      <c r="C2382" s="76" t="s">
        <v>1263</v>
      </c>
      <c r="D2382" s="76" t="s">
        <v>39</v>
      </c>
      <c r="E2382" s="76" t="s">
        <v>22</v>
      </c>
      <c r="F2382" s="77">
        <v>45382</v>
      </c>
      <c r="G2382" s="76">
        <v>2024</v>
      </c>
      <c r="H2382" s="76" t="s">
        <v>40</v>
      </c>
      <c r="I2382" s="76" t="s">
        <v>34</v>
      </c>
      <c r="J2382" s="76">
        <v>46.88</v>
      </c>
      <c r="K2382" s="76">
        <v>41.25</v>
      </c>
      <c r="L2382" s="78">
        <f t="shared" si="240"/>
        <v>0.87990614334470985</v>
      </c>
      <c r="M2382" s="78">
        <f t="shared" si="241"/>
        <v>0.87990614334470985</v>
      </c>
      <c r="N2382" s="76" t="s">
        <v>25</v>
      </c>
      <c r="O2382" s="76" t="s">
        <v>25</v>
      </c>
      <c r="P2382" s="76">
        <v>0</v>
      </c>
      <c r="Q2382" s="76">
        <v>0</v>
      </c>
      <c r="R2382" s="76" t="s">
        <v>3438</v>
      </c>
      <c r="S2382" s="76"/>
    </row>
    <row r="2383" spans="1:19" x14ac:dyDescent="0.3">
      <c r="A2383" s="76" t="s">
        <v>3436</v>
      </c>
      <c r="B2383" s="76" t="s">
        <v>3437</v>
      </c>
      <c r="C2383" s="76" t="s">
        <v>1263</v>
      </c>
      <c r="D2383" s="76" t="s">
        <v>39</v>
      </c>
      <c r="E2383" s="76" t="s">
        <v>22</v>
      </c>
      <c r="F2383" s="77">
        <v>45473</v>
      </c>
      <c r="G2383" s="76">
        <v>2024</v>
      </c>
      <c r="H2383" s="76" t="s">
        <v>23</v>
      </c>
      <c r="I2383" s="76" t="s">
        <v>34</v>
      </c>
      <c r="J2383" s="76">
        <v>51.58</v>
      </c>
      <c r="K2383" s="76">
        <v>62.5</v>
      </c>
      <c r="L2383" s="78">
        <f t="shared" si="240"/>
        <v>1</v>
      </c>
      <c r="M2383" s="78">
        <f t="shared" si="241"/>
        <v>1</v>
      </c>
      <c r="N2383" s="76" t="s">
        <v>25</v>
      </c>
      <c r="O2383" s="76" t="s">
        <v>25</v>
      </c>
      <c r="P2383" s="76">
        <v>0</v>
      </c>
      <c r="Q2383" s="76">
        <v>0</v>
      </c>
      <c r="R2383" s="76" t="s">
        <v>3439</v>
      </c>
      <c r="S2383" s="76"/>
    </row>
    <row r="2384" spans="1:19" x14ac:dyDescent="0.3">
      <c r="A2384" s="76" t="s">
        <v>3436</v>
      </c>
      <c r="B2384" s="76" t="s">
        <v>3437</v>
      </c>
      <c r="C2384" s="76" t="s">
        <v>1263</v>
      </c>
      <c r="D2384" s="76" t="s">
        <v>39</v>
      </c>
      <c r="E2384" s="76" t="s">
        <v>22</v>
      </c>
      <c r="F2384" s="77">
        <v>45565</v>
      </c>
      <c r="G2384" s="76">
        <v>2024</v>
      </c>
      <c r="H2384" s="76" t="s">
        <v>43</v>
      </c>
      <c r="I2384" s="76" t="s">
        <v>36</v>
      </c>
      <c r="J2384" s="76">
        <v>81</v>
      </c>
      <c r="K2384" s="76">
        <v>71</v>
      </c>
      <c r="L2384" s="78">
        <f t="shared" si="240"/>
        <v>0.87654320987654322</v>
      </c>
      <c r="M2384" s="78">
        <f t="shared" si="241"/>
        <v>0.87654320987654322</v>
      </c>
      <c r="N2384" s="76" t="s">
        <v>25</v>
      </c>
      <c r="O2384" s="76" t="s">
        <v>25</v>
      </c>
      <c r="P2384" s="76">
        <v>0</v>
      </c>
      <c r="Q2384" s="76">
        <v>0</v>
      </c>
      <c r="R2384" s="76" t="s">
        <v>3440</v>
      </c>
      <c r="S2384" s="76"/>
    </row>
    <row r="2385" spans="1:19" x14ac:dyDescent="0.3">
      <c r="A2385" s="76" t="s">
        <v>3436</v>
      </c>
      <c r="B2385" s="76" t="s">
        <v>3437</v>
      </c>
      <c r="C2385" s="76" t="s">
        <v>1263</v>
      </c>
      <c r="D2385" s="76" t="s">
        <v>39</v>
      </c>
      <c r="E2385" s="76" t="s">
        <v>22</v>
      </c>
      <c r="F2385" s="77">
        <v>45657</v>
      </c>
      <c r="G2385" s="76">
        <v>2024</v>
      </c>
      <c r="H2385" s="76" t="s">
        <v>27</v>
      </c>
      <c r="I2385" s="76" t="s">
        <v>36</v>
      </c>
      <c r="J2385" s="76">
        <v>100</v>
      </c>
      <c r="K2385" s="76">
        <v>96</v>
      </c>
      <c r="L2385" s="78">
        <f t="shared" ref="L2385:L2389" si="242">IFERROR(IF(OR(J2385=0,K2385=""),"",IF(E2385="Positivo",MIN(MAX(K2385/J2385,0),1),MIN(MAX(J2385/K2385,0),1))),"")</f>
        <v>0.96</v>
      </c>
      <c r="M2385" s="78">
        <f t="shared" ref="M2385:M2389" si="243">IFERROR(IF(OR(J2385=0,K2385=""),"",IF(E2385="Positivo",MIN(MAX(K2385/J2385,0),1),MIN(MAX(J2385/K2385,0),1))),"")</f>
        <v>0.96</v>
      </c>
      <c r="N2385" s="76" t="s">
        <v>25</v>
      </c>
      <c r="O2385" s="76" t="s">
        <v>25</v>
      </c>
      <c r="P2385" s="76">
        <v>0</v>
      </c>
      <c r="Q2385" s="76">
        <v>0</v>
      </c>
      <c r="R2385" s="76" t="s">
        <v>3441</v>
      </c>
      <c r="S2385" s="76"/>
    </row>
    <row r="2386" spans="1:19" x14ac:dyDescent="0.3">
      <c r="A2386" s="76" t="s">
        <v>3442</v>
      </c>
      <c r="B2386" s="76" t="s">
        <v>3443</v>
      </c>
      <c r="C2386" s="76" t="s">
        <v>1263</v>
      </c>
      <c r="D2386" s="76" t="s">
        <v>39</v>
      </c>
      <c r="E2386" s="76" t="s">
        <v>22</v>
      </c>
      <c r="F2386" s="77">
        <v>45382</v>
      </c>
      <c r="G2386" s="76">
        <v>2024</v>
      </c>
      <c r="H2386" s="76" t="s">
        <v>40</v>
      </c>
      <c r="I2386" s="76" t="s">
        <v>34</v>
      </c>
      <c r="J2386" s="76">
        <v>45.5</v>
      </c>
      <c r="K2386" s="76">
        <v>71.75</v>
      </c>
      <c r="L2386" s="78">
        <f t="shared" si="242"/>
        <v>1</v>
      </c>
      <c r="M2386" s="78">
        <f t="shared" si="243"/>
        <v>1</v>
      </c>
      <c r="N2386" s="76" t="s">
        <v>25</v>
      </c>
      <c r="O2386" s="76" t="s">
        <v>25</v>
      </c>
      <c r="P2386" s="76">
        <v>0</v>
      </c>
      <c r="Q2386" s="76">
        <v>0</v>
      </c>
      <c r="R2386" s="76" t="s">
        <v>3444</v>
      </c>
      <c r="S2386" s="76"/>
    </row>
    <row r="2387" spans="1:19" x14ac:dyDescent="0.3">
      <c r="A2387" s="76" t="s">
        <v>3442</v>
      </c>
      <c r="B2387" s="76" t="s">
        <v>3443</v>
      </c>
      <c r="C2387" s="76" t="s">
        <v>1263</v>
      </c>
      <c r="D2387" s="76" t="s">
        <v>39</v>
      </c>
      <c r="E2387" s="76" t="s">
        <v>22</v>
      </c>
      <c r="F2387" s="77">
        <v>45473</v>
      </c>
      <c r="G2387" s="76">
        <v>2024</v>
      </c>
      <c r="H2387" s="76" t="s">
        <v>23</v>
      </c>
      <c r="I2387" s="76" t="s">
        <v>34</v>
      </c>
      <c r="J2387" s="76">
        <v>67.39</v>
      </c>
      <c r="K2387" s="76">
        <v>100</v>
      </c>
      <c r="L2387" s="78">
        <f t="shared" si="242"/>
        <v>1</v>
      </c>
      <c r="M2387" s="78">
        <f t="shared" si="243"/>
        <v>1</v>
      </c>
      <c r="N2387" s="76" t="s">
        <v>25</v>
      </c>
      <c r="O2387" s="76" t="s">
        <v>25</v>
      </c>
      <c r="P2387" s="76">
        <v>0</v>
      </c>
      <c r="Q2387" s="76">
        <v>0</v>
      </c>
      <c r="R2387" s="76" t="s">
        <v>3445</v>
      </c>
      <c r="S2387" s="76"/>
    </row>
    <row r="2388" spans="1:19" x14ac:dyDescent="0.3">
      <c r="A2388" s="76" t="s">
        <v>3442</v>
      </c>
      <c r="B2388" s="76" t="s">
        <v>3443</v>
      </c>
      <c r="C2388" s="76" t="s">
        <v>1263</v>
      </c>
      <c r="D2388" s="76" t="s">
        <v>39</v>
      </c>
      <c r="E2388" s="76" t="s">
        <v>22</v>
      </c>
      <c r="F2388" s="77">
        <v>45565</v>
      </c>
      <c r="G2388" s="76">
        <v>2024</v>
      </c>
      <c r="H2388" s="76" t="s">
        <v>43</v>
      </c>
      <c r="I2388" s="76" t="s">
        <v>36</v>
      </c>
      <c r="J2388" s="76">
        <v>90</v>
      </c>
      <c r="K2388" s="76">
        <v>100</v>
      </c>
      <c r="L2388" s="78">
        <f t="shared" si="242"/>
        <v>1</v>
      </c>
      <c r="M2388" s="78">
        <f t="shared" si="243"/>
        <v>1</v>
      </c>
      <c r="N2388" s="76" t="s">
        <v>25</v>
      </c>
      <c r="O2388" s="76" t="s">
        <v>25</v>
      </c>
      <c r="P2388" s="76">
        <v>0</v>
      </c>
      <c r="Q2388" s="76">
        <v>0</v>
      </c>
      <c r="R2388" s="76" t="s">
        <v>3446</v>
      </c>
      <c r="S2388" s="76"/>
    </row>
    <row r="2389" spans="1:19" x14ac:dyDescent="0.3">
      <c r="A2389" s="76" t="s">
        <v>3442</v>
      </c>
      <c r="B2389" s="76" t="s">
        <v>3443</v>
      </c>
      <c r="C2389" s="76" t="s">
        <v>1263</v>
      </c>
      <c r="D2389" s="76" t="s">
        <v>39</v>
      </c>
      <c r="E2389" s="76" t="s">
        <v>22</v>
      </c>
      <c r="F2389" s="77">
        <v>45657</v>
      </c>
      <c r="G2389" s="76">
        <v>2024</v>
      </c>
      <c r="H2389" s="76" t="s">
        <v>27</v>
      </c>
      <c r="I2389" s="76" t="s">
        <v>36</v>
      </c>
      <c r="J2389" s="76">
        <v>100</v>
      </c>
      <c r="K2389" s="76">
        <v>100</v>
      </c>
      <c r="L2389" s="78">
        <f t="shared" si="242"/>
        <v>1</v>
      </c>
      <c r="M2389" s="78">
        <f t="shared" si="243"/>
        <v>1</v>
      </c>
      <c r="N2389" s="76" t="s">
        <v>25</v>
      </c>
      <c r="O2389" s="76" t="s">
        <v>25</v>
      </c>
      <c r="P2389" s="76">
        <v>0</v>
      </c>
      <c r="Q2389" s="76">
        <v>0</v>
      </c>
      <c r="R2389" s="76" t="s">
        <v>3447</v>
      </c>
      <c r="S2389" s="76"/>
    </row>
  </sheetData>
  <autoFilter ref="A1:S2389" xr:uid="{00000000-0001-0000-0000-000000000000}"/>
  <conditionalFormatting sqref="A147">
    <cfRule type="duplicateValues" dxfId="89" priority="43"/>
  </conditionalFormatting>
  <conditionalFormatting sqref="A443:A445">
    <cfRule type="duplicateValues" dxfId="88" priority="191"/>
  </conditionalFormatting>
  <conditionalFormatting sqref="A446:A447">
    <cfRule type="duplicateValues" dxfId="87" priority="204"/>
  </conditionalFormatting>
  <conditionalFormatting sqref="A593">
    <cfRule type="duplicateValues" dxfId="86" priority="54"/>
    <cfRule type="duplicateValues" dxfId="85" priority="55"/>
    <cfRule type="duplicateValues" dxfId="84" priority="56"/>
    <cfRule type="duplicateValues" dxfId="83" priority="57"/>
  </conditionalFormatting>
  <conditionalFormatting sqref="A360:A366">
    <cfRule type="duplicateValues" dxfId="82" priority="207"/>
  </conditionalFormatting>
  <conditionalFormatting sqref="A151:A155">
    <cfRule type="duplicateValues" dxfId="81" priority="208"/>
  </conditionalFormatting>
  <conditionalFormatting sqref="A148:A150">
    <cfRule type="duplicateValues" dxfId="80" priority="209"/>
  </conditionalFormatting>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S1494"/>
  <sheetViews>
    <sheetView zoomScale="85" zoomScaleNormal="85" workbookViewId="0">
      <pane ySplit="1" topLeftCell="A2" activePane="bottomLeft" state="frozen"/>
      <selection activeCell="O18" sqref="O18"/>
      <selection pane="bottomLeft"/>
    </sheetView>
  </sheetViews>
  <sheetFormatPr baseColWidth="10" defaultColWidth="11.44140625" defaultRowHeight="14.4" x14ac:dyDescent="0.3"/>
  <cols>
    <col min="2" max="2" width="85" bestFit="1" customWidth="1"/>
    <col min="3" max="3" width="41.5546875" customWidth="1"/>
    <col min="4" max="5" width="10.88671875" customWidth="1"/>
    <col min="6" max="6" width="11.33203125" customWidth="1"/>
    <col min="7" max="9" width="10.88671875" customWidth="1"/>
    <col min="10" max="10" width="18.33203125" customWidth="1"/>
    <col min="11" max="11" width="18.33203125" bestFit="1" customWidth="1"/>
    <col min="12" max="12" width="12.88671875" bestFit="1" customWidth="1"/>
    <col min="13" max="13" width="12.88671875" customWidth="1"/>
  </cols>
  <sheetData>
    <row r="1" spans="1:19" ht="28.8" customHeight="1" x14ac:dyDescent="0.3">
      <c r="A1" s="18" t="s">
        <v>0</v>
      </c>
      <c r="B1" s="18" t="s">
        <v>1</v>
      </c>
      <c r="C1" s="18" t="s">
        <v>2</v>
      </c>
      <c r="D1" s="18" t="s">
        <v>3</v>
      </c>
      <c r="E1" s="18" t="s">
        <v>4</v>
      </c>
      <c r="F1" s="18" t="s">
        <v>5</v>
      </c>
      <c r="G1" s="18" t="s">
        <v>6</v>
      </c>
      <c r="H1" s="18" t="s">
        <v>7</v>
      </c>
      <c r="I1" s="18" t="s">
        <v>3485</v>
      </c>
      <c r="J1" s="1" t="s">
        <v>9</v>
      </c>
      <c r="K1" s="1" t="s">
        <v>10</v>
      </c>
      <c r="L1" s="4" t="s">
        <v>11</v>
      </c>
      <c r="M1" s="4" t="s">
        <v>12</v>
      </c>
      <c r="N1" s="1" t="s">
        <v>13</v>
      </c>
      <c r="O1" s="1" t="s">
        <v>14</v>
      </c>
      <c r="P1" s="1" t="s">
        <v>15</v>
      </c>
      <c r="Q1" s="1" t="s">
        <v>16</v>
      </c>
      <c r="R1" s="1" t="s">
        <v>17</v>
      </c>
      <c r="S1" s="5" t="s">
        <v>18</v>
      </c>
    </row>
    <row r="2" spans="1:19" x14ac:dyDescent="0.3">
      <c r="A2" s="37">
        <v>68</v>
      </c>
      <c r="B2" s="37" t="s">
        <v>19</v>
      </c>
      <c r="C2" s="37" t="s">
        <v>20</v>
      </c>
      <c r="D2" s="37" t="s">
        <v>21</v>
      </c>
      <c r="E2" s="37" t="s">
        <v>22</v>
      </c>
      <c r="F2" s="42">
        <v>44742</v>
      </c>
      <c r="G2" s="37">
        <v>2022</v>
      </c>
      <c r="H2" s="37" t="s">
        <v>23</v>
      </c>
      <c r="I2" s="37" t="s">
        <v>24</v>
      </c>
      <c r="J2" s="37">
        <v>80</v>
      </c>
      <c r="K2" s="37">
        <v>89</v>
      </c>
      <c r="L2" s="24">
        <f t="shared" ref="L2:L25" si="0">IFERROR(IF(OR(J2=0,K2=""),"",IF(E2="Positivo",MIN(MAX(K2/J2,0),1.3),MIN(MAX(J2/K2,0),1.3))),"")</f>
        <v>1.1125</v>
      </c>
      <c r="M2" s="24">
        <f t="shared" ref="M2:M25" si="1">IFERROR(IF(OR(J2=0,K2=""),"",IF(E2="Positivo",MAX(K2/J2,0),MAX(J2/K2,0))),"")</f>
        <v>1.1125</v>
      </c>
      <c r="N2" s="37" t="s">
        <v>25</v>
      </c>
      <c r="O2" s="37" t="s">
        <v>25</v>
      </c>
      <c r="P2" s="37">
        <v>0</v>
      </c>
      <c r="Q2" s="37">
        <v>1</v>
      </c>
      <c r="R2" s="37" t="s">
        <v>26</v>
      </c>
      <c r="S2" s="37"/>
    </row>
    <row r="3" spans="1:19" x14ac:dyDescent="0.3">
      <c r="A3" s="37">
        <v>68</v>
      </c>
      <c r="B3" s="37" t="s">
        <v>19</v>
      </c>
      <c r="C3" s="37" t="s">
        <v>20</v>
      </c>
      <c r="D3" s="37" t="s">
        <v>21</v>
      </c>
      <c r="E3" s="37" t="s">
        <v>22</v>
      </c>
      <c r="F3" s="42">
        <v>44926</v>
      </c>
      <c r="G3" s="37">
        <v>2022</v>
      </c>
      <c r="H3" s="37" t="s">
        <v>27</v>
      </c>
      <c r="I3" s="37" t="s">
        <v>28</v>
      </c>
      <c r="J3" s="37">
        <v>80</v>
      </c>
      <c r="K3" s="37">
        <v>93</v>
      </c>
      <c r="L3" s="24">
        <f t="shared" si="0"/>
        <v>1.1625000000000001</v>
      </c>
      <c r="M3" s="24">
        <f t="shared" si="1"/>
        <v>1.1625000000000001</v>
      </c>
      <c r="N3" s="37" t="s">
        <v>25</v>
      </c>
      <c r="O3" s="37" t="s">
        <v>25</v>
      </c>
      <c r="P3" s="37">
        <v>0</v>
      </c>
      <c r="Q3" s="37">
        <v>1</v>
      </c>
      <c r="R3" s="37" t="s">
        <v>29</v>
      </c>
      <c r="S3" s="37"/>
    </row>
    <row r="4" spans="1:19" x14ac:dyDescent="0.3">
      <c r="A4" s="45">
        <v>68</v>
      </c>
      <c r="B4" s="37" t="s">
        <v>19</v>
      </c>
      <c r="C4" s="37" t="s">
        <v>20</v>
      </c>
      <c r="D4" s="37" t="s">
        <v>21</v>
      </c>
      <c r="E4" s="37" t="s">
        <v>22</v>
      </c>
      <c r="F4" s="42">
        <v>45107</v>
      </c>
      <c r="G4" s="37">
        <v>2023</v>
      </c>
      <c r="H4" s="37" t="s">
        <v>23</v>
      </c>
      <c r="I4" s="39" t="s">
        <v>30</v>
      </c>
      <c r="J4" s="37">
        <v>80</v>
      </c>
      <c r="K4" s="37">
        <v>91.5</v>
      </c>
      <c r="L4" s="55">
        <f t="shared" si="0"/>
        <v>1.14375</v>
      </c>
      <c r="M4" s="24">
        <f t="shared" si="1"/>
        <v>1.14375</v>
      </c>
      <c r="N4" s="37" t="s">
        <v>25</v>
      </c>
      <c r="O4" s="37" t="s">
        <v>25</v>
      </c>
      <c r="P4" s="37">
        <v>1</v>
      </c>
      <c r="Q4" s="37">
        <v>1</v>
      </c>
      <c r="R4" s="37" t="s">
        <v>31</v>
      </c>
      <c r="S4" s="37"/>
    </row>
    <row r="5" spans="1:19" x14ac:dyDescent="0.3">
      <c r="A5" s="41">
        <v>68</v>
      </c>
      <c r="B5" s="37" t="s">
        <v>19</v>
      </c>
      <c r="C5" s="37" t="s">
        <v>20</v>
      </c>
      <c r="D5" s="37" t="s">
        <v>21</v>
      </c>
      <c r="E5" s="37" t="s">
        <v>22</v>
      </c>
      <c r="F5" s="42">
        <v>45291</v>
      </c>
      <c r="G5" s="37">
        <v>2023</v>
      </c>
      <c r="H5" s="37" t="s">
        <v>27</v>
      </c>
      <c r="I5" s="39" t="s">
        <v>32</v>
      </c>
      <c r="J5" s="37">
        <v>80</v>
      </c>
      <c r="K5" s="37">
        <v>85</v>
      </c>
      <c r="L5" s="55">
        <f t="shared" si="0"/>
        <v>1.0625</v>
      </c>
      <c r="M5" s="24">
        <f t="shared" si="1"/>
        <v>1.0625</v>
      </c>
      <c r="N5" s="37" t="s">
        <v>25</v>
      </c>
      <c r="O5" s="37" t="s">
        <v>25</v>
      </c>
      <c r="P5" s="37">
        <v>1</v>
      </c>
      <c r="Q5" s="37">
        <v>0</v>
      </c>
      <c r="R5" s="37" t="s">
        <v>33</v>
      </c>
      <c r="S5" s="37"/>
    </row>
    <row r="6" spans="1:19" x14ac:dyDescent="0.3">
      <c r="A6" s="37">
        <v>68</v>
      </c>
      <c r="B6" s="37" t="s">
        <v>19</v>
      </c>
      <c r="C6" s="37" t="s">
        <v>20</v>
      </c>
      <c r="D6" s="37" t="s">
        <v>21</v>
      </c>
      <c r="E6" s="37" t="s">
        <v>22</v>
      </c>
      <c r="F6" s="42">
        <v>45473</v>
      </c>
      <c r="G6" s="37">
        <v>2024</v>
      </c>
      <c r="H6" s="37" t="s">
        <v>23</v>
      </c>
      <c r="I6" s="39" t="s">
        <v>34</v>
      </c>
      <c r="J6" s="37">
        <v>80</v>
      </c>
      <c r="K6" s="37">
        <v>86</v>
      </c>
      <c r="L6" s="24">
        <f t="shared" si="0"/>
        <v>1.075</v>
      </c>
      <c r="M6" s="24">
        <f t="shared" si="1"/>
        <v>1.075</v>
      </c>
      <c r="N6" s="37" t="s">
        <v>25</v>
      </c>
      <c r="O6" s="37" t="s">
        <v>25</v>
      </c>
      <c r="P6" s="37">
        <v>1</v>
      </c>
      <c r="Q6" s="37">
        <v>0</v>
      </c>
      <c r="R6" s="37" t="s">
        <v>35</v>
      </c>
      <c r="S6" s="37"/>
    </row>
    <row r="7" spans="1:19" x14ac:dyDescent="0.3">
      <c r="A7" s="37">
        <v>68</v>
      </c>
      <c r="B7" s="37" t="s">
        <v>19</v>
      </c>
      <c r="C7" s="37" t="s">
        <v>20</v>
      </c>
      <c r="D7" s="37" t="s">
        <v>21</v>
      </c>
      <c r="E7" s="37" t="s">
        <v>22</v>
      </c>
      <c r="F7" s="42">
        <v>45657</v>
      </c>
      <c r="G7" s="37">
        <v>2024</v>
      </c>
      <c r="H7" s="37" t="s">
        <v>27</v>
      </c>
      <c r="I7" s="39" t="s">
        <v>36</v>
      </c>
      <c r="J7" s="37">
        <v>80</v>
      </c>
      <c r="K7" s="43">
        <v>87.5</v>
      </c>
      <c r="L7" s="24">
        <f t="shared" si="0"/>
        <v>1.09375</v>
      </c>
      <c r="M7" s="24">
        <f t="shared" si="1"/>
        <v>1.09375</v>
      </c>
      <c r="N7" s="37" t="s">
        <v>25</v>
      </c>
      <c r="O7" s="37" t="s">
        <v>25</v>
      </c>
      <c r="P7" s="37">
        <v>1</v>
      </c>
      <c r="Q7" s="37">
        <v>1</v>
      </c>
      <c r="R7" s="37" t="s">
        <v>37</v>
      </c>
      <c r="S7" s="37"/>
    </row>
    <row r="8" spans="1:19" x14ac:dyDescent="0.3">
      <c r="A8" s="37">
        <v>69</v>
      </c>
      <c r="B8" s="37" t="s">
        <v>38</v>
      </c>
      <c r="C8" s="37" t="s">
        <v>20</v>
      </c>
      <c r="D8" s="37" t="s">
        <v>39</v>
      </c>
      <c r="E8" s="37" t="s">
        <v>22</v>
      </c>
      <c r="F8" s="42">
        <v>44742</v>
      </c>
      <c r="G8" s="37">
        <v>2022</v>
      </c>
      <c r="H8" s="37" t="s">
        <v>23</v>
      </c>
      <c r="I8" s="37" t="s">
        <v>24</v>
      </c>
      <c r="J8" s="37">
        <v>1362.5</v>
      </c>
      <c r="K8" s="37">
        <v>1141</v>
      </c>
      <c r="L8" s="24">
        <f t="shared" si="0"/>
        <v>0.83743119266055044</v>
      </c>
      <c r="M8" s="24">
        <f t="shared" si="1"/>
        <v>0.83743119266055044</v>
      </c>
      <c r="N8" s="37" t="s">
        <v>25</v>
      </c>
      <c r="O8" s="37" t="s">
        <v>25</v>
      </c>
      <c r="P8" s="37">
        <v>0</v>
      </c>
      <c r="Q8" s="37">
        <v>1</v>
      </c>
      <c r="R8" s="37" t="s">
        <v>42</v>
      </c>
      <c r="S8" s="37"/>
    </row>
    <row r="9" spans="1:19" x14ac:dyDescent="0.3">
      <c r="A9" s="37">
        <v>69</v>
      </c>
      <c r="B9" s="37" t="s">
        <v>38</v>
      </c>
      <c r="C9" s="37" t="s">
        <v>20</v>
      </c>
      <c r="D9" s="37" t="s">
        <v>39</v>
      </c>
      <c r="E9" s="37" t="s">
        <v>22</v>
      </c>
      <c r="F9" s="42">
        <v>44926</v>
      </c>
      <c r="G9" s="37">
        <v>2022</v>
      </c>
      <c r="H9" s="37" t="s">
        <v>27</v>
      </c>
      <c r="I9" s="37" t="s">
        <v>28</v>
      </c>
      <c r="J9" s="37">
        <v>1115.5</v>
      </c>
      <c r="K9" s="37">
        <v>942</v>
      </c>
      <c r="L9" s="24">
        <f t="shared" si="0"/>
        <v>0.84446436575526673</v>
      </c>
      <c r="M9" s="24">
        <f t="shared" si="1"/>
        <v>0.84446436575526673</v>
      </c>
      <c r="N9" s="37" t="s">
        <v>25</v>
      </c>
      <c r="O9" s="37" t="s">
        <v>25</v>
      </c>
      <c r="P9" s="37">
        <v>0</v>
      </c>
      <c r="Q9" s="37">
        <v>1</v>
      </c>
      <c r="R9" s="37" t="s">
        <v>45</v>
      </c>
      <c r="S9" s="37"/>
    </row>
    <row r="10" spans="1:19" x14ac:dyDescent="0.3">
      <c r="A10" s="41">
        <v>69</v>
      </c>
      <c r="B10" s="37" t="s">
        <v>38</v>
      </c>
      <c r="C10" s="37" t="s">
        <v>20</v>
      </c>
      <c r="D10" s="37" t="s">
        <v>39</v>
      </c>
      <c r="E10" s="37" t="s">
        <v>22</v>
      </c>
      <c r="F10" s="42">
        <v>45107</v>
      </c>
      <c r="G10" s="37">
        <v>2023</v>
      </c>
      <c r="H10" s="37" t="s">
        <v>23</v>
      </c>
      <c r="I10" s="39" t="s">
        <v>30</v>
      </c>
      <c r="J10" s="37">
        <v>1060</v>
      </c>
      <c r="K10" s="37">
        <v>959</v>
      </c>
      <c r="L10" s="55">
        <f t="shared" si="0"/>
        <v>0.90471698113207544</v>
      </c>
      <c r="M10" s="24">
        <f t="shared" si="1"/>
        <v>0.90471698113207544</v>
      </c>
      <c r="N10" s="37" t="s">
        <v>25</v>
      </c>
      <c r="O10" s="37" t="s">
        <v>25</v>
      </c>
      <c r="P10" s="37">
        <v>0</v>
      </c>
      <c r="Q10" s="37">
        <v>0</v>
      </c>
      <c r="R10" s="37" t="s">
        <v>47</v>
      </c>
      <c r="S10" s="37"/>
    </row>
    <row r="11" spans="1:19" x14ac:dyDescent="0.3">
      <c r="A11" s="41">
        <v>69</v>
      </c>
      <c r="B11" s="37" t="s">
        <v>38</v>
      </c>
      <c r="C11" s="37" t="s">
        <v>20</v>
      </c>
      <c r="D11" s="37" t="s">
        <v>39</v>
      </c>
      <c r="E11" s="37" t="s">
        <v>22</v>
      </c>
      <c r="F11" s="42">
        <v>45291</v>
      </c>
      <c r="G11" s="37">
        <v>2023</v>
      </c>
      <c r="H11" s="37" t="s">
        <v>27</v>
      </c>
      <c r="I11" s="39" t="s">
        <v>32</v>
      </c>
      <c r="J11" s="37">
        <v>1605</v>
      </c>
      <c r="K11" s="37">
        <v>1490</v>
      </c>
      <c r="L11" s="55">
        <f t="shared" si="0"/>
        <v>0.92834890965732086</v>
      </c>
      <c r="M11" s="24">
        <f t="shared" si="1"/>
        <v>0.92834890965732086</v>
      </c>
      <c r="N11" s="37" t="s">
        <v>25</v>
      </c>
      <c r="O11" s="37" t="s">
        <v>25</v>
      </c>
      <c r="P11" s="37">
        <v>0</v>
      </c>
      <c r="Q11" s="37">
        <v>0</v>
      </c>
      <c r="R11" s="37" t="s">
        <v>49</v>
      </c>
      <c r="S11" s="37"/>
    </row>
    <row r="12" spans="1:19" x14ac:dyDescent="0.3">
      <c r="A12" s="37">
        <v>69</v>
      </c>
      <c r="B12" s="37" t="s">
        <v>38</v>
      </c>
      <c r="C12" s="37" t="s">
        <v>20</v>
      </c>
      <c r="D12" s="37" t="s">
        <v>39</v>
      </c>
      <c r="E12" s="37" t="s">
        <v>22</v>
      </c>
      <c r="F12" s="42">
        <v>45473</v>
      </c>
      <c r="G12" s="37">
        <v>2024</v>
      </c>
      <c r="H12" s="37" t="s">
        <v>23</v>
      </c>
      <c r="I12" s="39" t="s">
        <v>34</v>
      </c>
      <c r="J12" s="37">
        <v>1066</v>
      </c>
      <c r="K12" s="37">
        <v>973.5</v>
      </c>
      <c r="L12" s="24">
        <f t="shared" si="0"/>
        <v>0.91322701688555352</v>
      </c>
      <c r="M12" s="24">
        <f t="shared" si="1"/>
        <v>0.91322701688555352</v>
      </c>
      <c r="N12" s="37" t="s">
        <v>25</v>
      </c>
      <c r="O12" s="37" t="s">
        <v>25</v>
      </c>
      <c r="P12" s="37">
        <v>0</v>
      </c>
      <c r="Q12" s="37">
        <v>0</v>
      </c>
      <c r="R12" s="37" t="s">
        <v>51</v>
      </c>
      <c r="S12" s="37"/>
    </row>
    <row r="13" spans="1:19" x14ac:dyDescent="0.3">
      <c r="A13" s="37">
        <v>69</v>
      </c>
      <c r="B13" s="37" t="s">
        <v>38</v>
      </c>
      <c r="C13" s="37" t="s">
        <v>20</v>
      </c>
      <c r="D13" s="37" t="s">
        <v>39</v>
      </c>
      <c r="E13" s="37" t="s">
        <v>22</v>
      </c>
      <c r="F13" s="42">
        <v>45657</v>
      </c>
      <c r="G13" s="37">
        <v>2024</v>
      </c>
      <c r="H13" s="37" t="s">
        <v>27</v>
      </c>
      <c r="I13" s="39" t="s">
        <v>36</v>
      </c>
      <c r="J13" s="37">
        <v>1337</v>
      </c>
      <c r="K13" s="37">
        <v>1218.5</v>
      </c>
      <c r="L13" s="24">
        <f t="shared" si="0"/>
        <v>0.91136873597606582</v>
      </c>
      <c r="M13" s="24">
        <f t="shared" si="1"/>
        <v>0.91136873597606582</v>
      </c>
      <c r="N13" s="37" t="s">
        <v>25</v>
      </c>
      <c r="O13" s="37" t="s">
        <v>25</v>
      </c>
      <c r="P13" s="37">
        <v>0</v>
      </c>
      <c r="Q13" s="37">
        <v>0</v>
      </c>
      <c r="R13" s="37" t="s">
        <v>53</v>
      </c>
      <c r="S13" s="37"/>
    </row>
    <row r="14" spans="1:19" x14ac:dyDescent="0.3">
      <c r="A14" s="37">
        <v>73</v>
      </c>
      <c r="B14" s="37" t="s">
        <v>54</v>
      </c>
      <c r="C14" s="37" t="s">
        <v>55</v>
      </c>
      <c r="D14" s="37" t="s">
        <v>21</v>
      </c>
      <c r="E14" s="37" t="s">
        <v>56</v>
      </c>
      <c r="F14" s="42">
        <v>44742</v>
      </c>
      <c r="G14" s="37">
        <v>2022</v>
      </c>
      <c r="H14" s="37" t="s">
        <v>23</v>
      </c>
      <c r="I14" s="37" t="s">
        <v>24</v>
      </c>
      <c r="J14" s="37">
        <v>20</v>
      </c>
      <c r="K14" s="37">
        <v>17.670000000000002</v>
      </c>
      <c r="L14" s="24">
        <f t="shared" si="0"/>
        <v>1.1318619128466325</v>
      </c>
      <c r="M14" s="24">
        <f t="shared" si="1"/>
        <v>1.1318619128466325</v>
      </c>
      <c r="N14" s="37" t="s">
        <v>57</v>
      </c>
      <c r="O14" s="37" t="s">
        <v>57</v>
      </c>
      <c r="P14" s="37">
        <v>0</v>
      </c>
      <c r="Q14" s="37">
        <v>0</v>
      </c>
      <c r="R14" s="37" t="s">
        <v>58</v>
      </c>
      <c r="S14" s="37"/>
    </row>
    <row r="15" spans="1:19" x14ac:dyDescent="0.3">
      <c r="A15" s="37">
        <v>73</v>
      </c>
      <c r="B15" s="37" t="s">
        <v>54</v>
      </c>
      <c r="C15" s="37" t="s">
        <v>55</v>
      </c>
      <c r="D15" s="37" t="s">
        <v>21</v>
      </c>
      <c r="E15" s="37" t="s">
        <v>56</v>
      </c>
      <c r="F15" s="42">
        <v>44926</v>
      </c>
      <c r="G15" s="37">
        <v>2022</v>
      </c>
      <c r="H15" s="37" t="s">
        <v>27</v>
      </c>
      <c r="I15" s="37" t="s">
        <v>28</v>
      </c>
      <c r="J15" s="37">
        <v>20</v>
      </c>
      <c r="K15" s="37">
        <v>20</v>
      </c>
      <c r="L15" s="24">
        <f t="shared" si="0"/>
        <v>1</v>
      </c>
      <c r="M15" s="24">
        <f t="shared" si="1"/>
        <v>1</v>
      </c>
      <c r="N15" s="37" t="s">
        <v>57</v>
      </c>
      <c r="O15" s="37" t="s">
        <v>57</v>
      </c>
      <c r="P15" s="37">
        <v>0</v>
      </c>
      <c r="Q15" s="37">
        <v>0</v>
      </c>
      <c r="R15" s="37" t="s">
        <v>59</v>
      </c>
      <c r="S15" s="37"/>
    </row>
    <row r="16" spans="1:19" x14ac:dyDescent="0.3">
      <c r="A16" s="45">
        <v>73</v>
      </c>
      <c r="B16" s="37" t="s">
        <v>54</v>
      </c>
      <c r="C16" s="37" t="s">
        <v>55</v>
      </c>
      <c r="D16" s="37" t="s">
        <v>21</v>
      </c>
      <c r="E16" s="37" t="s">
        <v>56</v>
      </c>
      <c r="F16" s="42">
        <v>45107</v>
      </c>
      <c r="G16" s="37">
        <v>2023</v>
      </c>
      <c r="H16" s="37" t="s">
        <v>23</v>
      </c>
      <c r="I16" s="39" t="s">
        <v>30</v>
      </c>
      <c r="J16" s="37">
        <v>20</v>
      </c>
      <c r="K16" s="37">
        <v>19</v>
      </c>
      <c r="L16" s="24">
        <f t="shared" si="0"/>
        <v>1.0526315789473684</v>
      </c>
      <c r="M16" s="24">
        <f t="shared" si="1"/>
        <v>1.0526315789473684</v>
      </c>
      <c r="N16" s="37" t="s">
        <v>57</v>
      </c>
      <c r="O16" s="37" t="s">
        <v>57</v>
      </c>
      <c r="P16" s="37">
        <v>0</v>
      </c>
      <c r="Q16" s="37">
        <v>0</v>
      </c>
      <c r="R16" s="37" t="s">
        <v>60</v>
      </c>
      <c r="S16" s="37"/>
    </row>
    <row r="17" spans="1:19" x14ac:dyDescent="0.3">
      <c r="A17" s="41">
        <v>73</v>
      </c>
      <c r="B17" s="37" t="s">
        <v>54</v>
      </c>
      <c r="C17" s="37" t="s">
        <v>55</v>
      </c>
      <c r="D17" s="37" t="s">
        <v>21</v>
      </c>
      <c r="E17" s="37" t="s">
        <v>56</v>
      </c>
      <c r="F17" s="42">
        <v>45291</v>
      </c>
      <c r="G17" s="37">
        <v>2023</v>
      </c>
      <c r="H17" s="37" t="s">
        <v>27</v>
      </c>
      <c r="I17" s="39" t="s">
        <v>32</v>
      </c>
      <c r="J17" s="37">
        <v>20</v>
      </c>
      <c r="K17" s="37">
        <v>17</v>
      </c>
      <c r="L17" s="24">
        <f t="shared" si="0"/>
        <v>1.1764705882352942</v>
      </c>
      <c r="M17" s="24">
        <f t="shared" si="1"/>
        <v>1.1764705882352942</v>
      </c>
      <c r="N17" s="37" t="s">
        <v>57</v>
      </c>
      <c r="O17" s="37" t="s">
        <v>57</v>
      </c>
      <c r="P17" s="37">
        <v>0</v>
      </c>
      <c r="Q17" s="37">
        <v>0</v>
      </c>
      <c r="R17" s="37" t="s">
        <v>61</v>
      </c>
      <c r="S17" s="37"/>
    </row>
    <row r="18" spans="1:19" x14ac:dyDescent="0.3">
      <c r="A18" s="37">
        <v>73</v>
      </c>
      <c r="B18" s="37" t="s">
        <v>54</v>
      </c>
      <c r="C18" s="37" t="s">
        <v>55</v>
      </c>
      <c r="D18" s="37" t="s">
        <v>21</v>
      </c>
      <c r="E18" s="37" t="s">
        <v>56</v>
      </c>
      <c r="F18" s="42">
        <v>45473</v>
      </c>
      <c r="G18" s="37">
        <v>2024</v>
      </c>
      <c r="H18" s="37" t="s">
        <v>23</v>
      </c>
      <c r="I18" s="39" t="s">
        <v>34</v>
      </c>
      <c r="J18" s="37">
        <v>20</v>
      </c>
      <c r="K18" s="37">
        <v>20</v>
      </c>
      <c r="L18" s="24">
        <f t="shared" si="0"/>
        <v>1</v>
      </c>
      <c r="M18" s="24">
        <f t="shared" si="1"/>
        <v>1</v>
      </c>
      <c r="N18" s="37" t="s">
        <v>57</v>
      </c>
      <c r="O18" s="37" t="s">
        <v>57</v>
      </c>
      <c r="P18" s="37">
        <v>0</v>
      </c>
      <c r="Q18" s="37">
        <v>0</v>
      </c>
      <c r="R18" s="37" t="s">
        <v>62</v>
      </c>
      <c r="S18" s="37"/>
    </row>
    <row r="19" spans="1:19" x14ac:dyDescent="0.3">
      <c r="A19" s="37">
        <v>73</v>
      </c>
      <c r="B19" s="37" t="s">
        <v>54</v>
      </c>
      <c r="C19" s="37" t="s">
        <v>55</v>
      </c>
      <c r="D19" s="37" t="s">
        <v>21</v>
      </c>
      <c r="E19" s="37" t="s">
        <v>56</v>
      </c>
      <c r="F19" s="42">
        <v>45657</v>
      </c>
      <c r="G19" s="37">
        <v>2024</v>
      </c>
      <c r="H19" s="37" t="s">
        <v>27</v>
      </c>
      <c r="I19" s="39" t="s">
        <v>36</v>
      </c>
      <c r="J19" s="37">
        <v>20</v>
      </c>
      <c r="K19" s="43">
        <v>17</v>
      </c>
      <c r="L19" s="24">
        <f t="shared" si="0"/>
        <v>1.1764705882352942</v>
      </c>
      <c r="M19" s="24">
        <f t="shared" si="1"/>
        <v>1.1764705882352942</v>
      </c>
      <c r="N19" s="37" t="s">
        <v>57</v>
      </c>
      <c r="O19" s="37" t="s">
        <v>57</v>
      </c>
      <c r="P19" s="37">
        <v>0</v>
      </c>
      <c r="Q19" s="37">
        <v>0</v>
      </c>
      <c r="R19" s="37" t="s">
        <v>63</v>
      </c>
      <c r="S19" s="37"/>
    </row>
    <row r="20" spans="1:19" x14ac:dyDescent="0.3">
      <c r="A20" s="37">
        <v>74</v>
      </c>
      <c r="B20" s="37" t="s">
        <v>64</v>
      </c>
      <c r="C20" s="37" t="s">
        <v>55</v>
      </c>
      <c r="D20" s="37" t="s">
        <v>21</v>
      </c>
      <c r="E20" s="37" t="s">
        <v>22</v>
      </c>
      <c r="F20" s="42">
        <v>44742</v>
      </c>
      <c r="G20" s="37">
        <v>2022</v>
      </c>
      <c r="H20" s="37" t="s">
        <v>23</v>
      </c>
      <c r="I20" s="37" t="s">
        <v>24</v>
      </c>
      <c r="J20" s="37">
        <v>80</v>
      </c>
      <c r="K20" s="37">
        <v>88</v>
      </c>
      <c r="L20" s="24">
        <f t="shared" si="0"/>
        <v>1.1000000000000001</v>
      </c>
      <c r="M20" s="24">
        <f t="shared" si="1"/>
        <v>1.1000000000000001</v>
      </c>
      <c r="N20" s="37" t="s">
        <v>25</v>
      </c>
      <c r="O20" s="37" t="s">
        <v>25</v>
      </c>
      <c r="P20" s="37">
        <v>0</v>
      </c>
      <c r="Q20" s="37">
        <v>0</v>
      </c>
      <c r="R20" s="37" t="s">
        <v>65</v>
      </c>
      <c r="S20" s="37"/>
    </row>
    <row r="21" spans="1:19" x14ac:dyDescent="0.3">
      <c r="A21" s="37">
        <v>74</v>
      </c>
      <c r="B21" s="37" t="s">
        <v>64</v>
      </c>
      <c r="C21" s="37" t="s">
        <v>55</v>
      </c>
      <c r="D21" s="37" t="s">
        <v>21</v>
      </c>
      <c r="E21" s="37" t="s">
        <v>22</v>
      </c>
      <c r="F21" s="42">
        <v>44926</v>
      </c>
      <c r="G21" s="37">
        <v>2022</v>
      </c>
      <c r="H21" s="37" t="s">
        <v>27</v>
      </c>
      <c r="I21" s="37" t="s">
        <v>28</v>
      </c>
      <c r="J21" s="37">
        <v>80</v>
      </c>
      <c r="K21" s="37">
        <v>82.894736842105004</v>
      </c>
      <c r="L21" s="24">
        <f t="shared" si="0"/>
        <v>1.0361842105263126</v>
      </c>
      <c r="M21" s="24">
        <f t="shared" si="1"/>
        <v>1.0361842105263126</v>
      </c>
      <c r="N21" s="37" t="s">
        <v>25</v>
      </c>
      <c r="O21" s="37" t="s">
        <v>25</v>
      </c>
      <c r="P21" s="37">
        <v>0</v>
      </c>
      <c r="Q21" s="37">
        <v>0</v>
      </c>
      <c r="R21" s="37" t="s">
        <v>66</v>
      </c>
      <c r="S21" s="37"/>
    </row>
    <row r="22" spans="1:19" x14ac:dyDescent="0.3">
      <c r="A22" s="45">
        <v>74</v>
      </c>
      <c r="B22" s="37" t="s">
        <v>64</v>
      </c>
      <c r="C22" s="37" t="s">
        <v>55</v>
      </c>
      <c r="D22" s="37" t="s">
        <v>21</v>
      </c>
      <c r="E22" s="37" t="s">
        <v>22</v>
      </c>
      <c r="F22" s="42">
        <v>45107</v>
      </c>
      <c r="G22" s="37">
        <v>2023</v>
      </c>
      <c r="H22" s="37" t="s">
        <v>23</v>
      </c>
      <c r="I22" s="39" t="s">
        <v>30</v>
      </c>
      <c r="J22" s="37">
        <v>80</v>
      </c>
      <c r="K22" s="37">
        <v>87.179487179486998</v>
      </c>
      <c r="L22" s="55">
        <f t="shared" si="0"/>
        <v>1.0897435897435874</v>
      </c>
      <c r="M22" s="24">
        <f t="shared" si="1"/>
        <v>1.0897435897435874</v>
      </c>
      <c r="N22" s="37" t="s">
        <v>25</v>
      </c>
      <c r="O22" s="37" t="s">
        <v>25</v>
      </c>
      <c r="P22" s="37">
        <v>0</v>
      </c>
      <c r="Q22" s="37">
        <v>0</v>
      </c>
      <c r="R22" s="37" t="s">
        <v>67</v>
      </c>
      <c r="S22" s="37"/>
    </row>
    <row r="23" spans="1:19" x14ac:dyDescent="0.3">
      <c r="A23" s="41">
        <v>74</v>
      </c>
      <c r="B23" s="37" t="s">
        <v>64</v>
      </c>
      <c r="C23" s="37" t="s">
        <v>55</v>
      </c>
      <c r="D23" s="37" t="s">
        <v>21</v>
      </c>
      <c r="E23" s="37" t="s">
        <v>22</v>
      </c>
      <c r="F23" s="42">
        <v>45291</v>
      </c>
      <c r="G23" s="37">
        <v>2023</v>
      </c>
      <c r="H23" s="37" t="s">
        <v>27</v>
      </c>
      <c r="I23" s="39" t="s">
        <v>32</v>
      </c>
      <c r="J23" s="37">
        <v>80</v>
      </c>
      <c r="K23" s="37">
        <v>94.64</v>
      </c>
      <c r="L23" s="55">
        <f t="shared" si="0"/>
        <v>1.1830000000000001</v>
      </c>
      <c r="M23" s="24">
        <f t="shared" si="1"/>
        <v>1.1830000000000001</v>
      </c>
      <c r="N23" s="37" t="s">
        <v>25</v>
      </c>
      <c r="O23" s="37" t="s">
        <v>25</v>
      </c>
      <c r="P23" s="37">
        <v>0</v>
      </c>
      <c r="Q23" s="37">
        <v>0</v>
      </c>
      <c r="R23" s="37" t="s">
        <v>68</v>
      </c>
      <c r="S23" s="37"/>
    </row>
    <row r="24" spans="1:19" x14ac:dyDescent="0.3">
      <c r="A24" s="37">
        <v>74</v>
      </c>
      <c r="B24" s="37" t="s">
        <v>64</v>
      </c>
      <c r="C24" s="37" t="s">
        <v>55</v>
      </c>
      <c r="D24" s="37" t="s">
        <v>21</v>
      </c>
      <c r="E24" s="37" t="s">
        <v>22</v>
      </c>
      <c r="F24" s="42">
        <v>45473</v>
      </c>
      <c r="G24" s="37">
        <v>2024</v>
      </c>
      <c r="H24" s="37" t="s">
        <v>23</v>
      </c>
      <c r="I24" s="39" t="s">
        <v>34</v>
      </c>
      <c r="J24" s="53">
        <v>80</v>
      </c>
      <c r="K24" s="53">
        <v>91.53</v>
      </c>
      <c r="L24" s="24">
        <f t="shared" si="0"/>
        <v>1.1441250000000001</v>
      </c>
      <c r="M24" s="24">
        <f t="shared" si="1"/>
        <v>1.1441250000000001</v>
      </c>
      <c r="N24" s="37" t="s">
        <v>25</v>
      </c>
      <c r="O24" s="37" t="s">
        <v>25</v>
      </c>
      <c r="P24" s="37">
        <v>0</v>
      </c>
      <c r="Q24" s="37">
        <v>0</v>
      </c>
      <c r="R24" s="37" t="s">
        <v>69</v>
      </c>
      <c r="S24" s="37"/>
    </row>
    <row r="25" spans="1:19" x14ac:dyDescent="0.3">
      <c r="A25" s="37">
        <v>74</v>
      </c>
      <c r="B25" s="37" t="s">
        <v>64</v>
      </c>
      <c r="C25" s="37" t="s">
        <v>55</v>
      </c>
      <c r="D25" s="37" t="s">
        <v>21</v>
      </c>
      <c r="E25" s="37" t="s">
        <v>22</v>
      </c>
      <c r="F25" s="42">
        <v>45657</v>
      </c>
      <c r="G25" s="37">
        <v>2024</v>
      </c>
      <c r="H25" s="37" t="s">
        <v>27</v>
      </c>
      <c r="I25" s="39" t="s">
        <v>36</v>
      </c>
      <c r="J25" s="37">
        <v>80</v>
      </c>
      <c r="K25" s="43">
        <v>95.45</v>
      </c>
      <c r="L25" s="24">
        <f t="shared" si="0"/>
        <v>1.193125</v>
      </c>
      <c r="M25" s="24">
        <f t="shared" si="1"/>
        <v>1.193125</v>
      </c>
      <c r="N25" s="37" t="s">
        <v>25</v>
      </c>
      <c r="O25" s="37" t="s">
        <v>25</v>
      </c>
      <c r="P25" s="37">
        <v>0</v>
      </c>
      <c r="Q25" s="37">
        <v>0</v>
      </c>
      <c r="R25" s="37" t="s">
        <v>70</v>
      </c>
      <c r="S25" s="37"/>
    </row>
    <row r="26" spans="1:19" x14ac:dyDescent="0.3">
      <c r="A26" s="37">
        <v>77</v>
      </c>
      <c r="B26" s="37" t="s">
        <v>71</v>
      </c>
      <c r="C26" s="37" t="s">
        <v>72</v>
      </c>
      <c r="D26" s="37" t="s">
        <v>73</v>
      </c>
      <c r="E26" s="37" t="s">
        <v>22</v>
      </c>
      <c r="F26" s="42">
        <v>44742</v>
      </c>
      <c r="G26" s="40">
        <v>2022</v>
      </c>
      <c r="H26" s="39" t="s">
        <v>23</v>
      </c>
      <c r="I26" s="39" t="s">
        <v>24</v>
      </c>
      <c r="J26" s="37">
        <v>97</v>
      </c>
      <c r="K26" s="37">
        <v>97.683333333333337</v>
      </c>
      <c r="L26" s="24">
        <f t="shared" ref="L26:L49" si="2">IFERROR(IF(OR(J26=0,K26=""),"",IF(E26="Positivo",MIN(MAX(K26/J26,0),1.3),MIN(MAX(J26/K26,0),1.3))),"")</f>
        <v>1.0070446735395189</v>
      </c>
      <c r="M26" s="24">
        <f t="shared" ref="M26:M49" si="3">IFERROR(IF(OR(J26=0,K26=""),"",IF(E26="Positivo",MAX(K26/J26,0),MAX(J26/K26,0))),"")</f>
        <v>1.0070446735395189</v>
      </c>
      <c r="N26" s="37" t="s">
        <v>25</v>
      </c>
      <c r="O26" s="37" t="s">
        <v>25</v>
      </c>
      <c r="P26" s="37">
        <v>1</v>
      </c>
      <c r="Q26" s="37">
        <v>1</v>
      </c>
      <c r="R26" s="37" t="s">
        <v>83</v>
      </c>
      <c r="S26" s="37"/>
    </row>
    <row r="27" spans="1:19" x14ac:dyDescent="0.3">
      <c r="A27" s="37">
        <v>77</v>
      </c>
      <c r="B27" s="37" t="s">
        <v>71</v>
      </c>
      <c r="C27" s="37" t="s">
        <v>72</v>
      </c>
      <c r="D27" s="37" t="s">
        <v>73</v>
      </c>
      <c r="E27" s="37" t="s">
        <v>22</v>
      </c>
      <c r="F27" s="42">
        <v>44926</v>
      </c>
      <c r="G27" s="40">
        <v>2022</v>
      </c>
      <c r="H27" s="39" t="s">
        <v>27</v>
      </c>
      <c r="I27" s="39" t="s">
        <v>28</v>
      </c>
      <c r="J27" s="37">
        <v>97</v>
      </c>
      <c r="K27" s="37">
        <v>98.116666666666674</v>
      </c>
      <c r="L27" s="24">
        <f t="shared" si="2"/>
        <v>1.0115120274914091</v>
      </c>
      <c r="M27" s="24">
        <f t="shared" si="3"/>
        <v>1.0115120274914091</v>
      </c>
      <c r="N27" s="37" t="s">
        <v>25</v>
      </c>
      <c r="O27" s="37" t="s">
        <v>25</v>
      </c>
      <c r="P27" s="37">
        <v>1</v>
      </c>
      <c r="Q27" s="37">
        <v>1</v>
      </c>
      <c r="R27" s="37" t="s">
        <v>93</v>
      </c>
      <c r="S27" s="37"/>
    </row>
    <row r="28" spans="1:19" x14ac:dyDescent="0.3">
      <c r="A28" s="37">
        <v>77</v>
      </c>
      <c r="B28" s="37" t="s">
        <v>71</v>
      </c>
      <c r="C28" s="37" t="s">
        <v>72</v>
      </c>
      <c r="D28" s="37" t="s">
        <v>73</v>
      </c>
      <c r="E28" s="37" t="s">
        <v>22</v>
      </c>
      <c r="F28" s="42">
        <v>45107</v>
      </c>
      <c r="G28" s="40">
        <v>2023</v>
      </c>
      <c r="H28" s="39" t="s">
        <v>23</v>
      </c>
      <c r="I28" s="39" t="s">
        <v>30</v>
      </c>
      <c r="J28" s="37">
        <v>97</v>
      </c>
      <c r="K28" s="43">
        <v>97.683333333333337</v>
      </c>
      <c r="L28" s="24">
        <f t="shared" si="2"/>
        <v>1.0070446735395189</v>
      </c>
      <c r="M28" s="24">
        <f t="shared" si="3"/>
        <v>1.0070446735395189</v>
      </c>
      <c r="N28" s="37" t="s">
        <v>25</v>
      </c>
      <c r="O28" s="37" t="s">
        <v>25</v>
      </c>
      <c r="P28" s="37">
        <v>1</v>
      </c>
      <c r="Q28" s="37">
        <v>1</v>
      </c>
      <c r="R28" s="37" t="s">
        <v>100</v>
      </c>
      <c r="S28" s="37"/>
    </row>
    <row r="29" spans="1:19" x14ac:dyDescent="0.3">
      <c r="A29" s="37">
        <v>77</v>
      </c>
      <c r="B29" s="37" t="s">
        <v>71</v>
      </c>
      <c r="C29" s="37" t="s">
        <v>72</v>
      </c>
      <c r="D29" s="37" t="s">
        <v>73</v>
      </c>
      <c r="E29" s="37" t="s">
        <v>22</v>
      </c>
      <c r="F29" s="42">
        <v>45291</v>
      </c>
      <c r="G29" s="37">
        <v>2023</v>
      </c>
      <c r="H29" s="37" t="s">
        <v>27</v>
      </c>
      <c r="I29" s="39" t="s">
        <v>32</v>
      </c>
      <c r="J29" s="37">
        <v>97</v>
      </c>
      <c r="K29" s="43">
        <v>97.583333333333329</v>
      </c>
      <c r="L29" s="24">
        <f t="shared" si="2"/>
        <v>1.0060137457044673</v>
      </c>
      <c r="M29" s="24">
        <f t="shared" si="3"/>
        <v>1.0060137457044673</v>
      </c>
      <c r="N29" s="37" t="s">
        <v>25</v>
      </c>
      <c r="O29" s="37" t="s">
        <v>25</v>
      </c>
      <c r="P29" s="37">
        <v>1</v>
      </c>
      <c r="Q29" s="37">
        <v>1</v>
      </c>
      <c r="R29" s="37" t="s">
        <v>106</v>
      </c>
      <c r="S29" s="37"/>
    </row>
    <row r="30" spans="1:19" x14ac:dyDescent="0.3">
      <c r="A30" s="37">
        <v>77</v>
      </c>
      <c r="B30" s="37" t="s">
        <v>71</v>
      </c>
      <c r="C30" s="37" t="s">
        <v>72</v>
      </c>
      <c r="D30" s="37" t="s">
        <v>73</v>
      </c>
      <c r="E30" s="37" t="s">
        <v>22</v>
      </c>
      <c r="F30" s="42">
        <v>45473</v>
      </c>
      <c r="G30" s="37">
        <v>2024</v>
      </c>
      <c r="H30" s="37" t="s">
        <v>23</v>
      </c>
      <c r="I30" s="39" t="s">
        <v>34</v>
      </c>
      <c r="J30" s="37">
        <v>97</v>
      </c>
      <c r="K30" s="43">
        <v>98.331666666666663</v>
      </c>
      <c r="L30" s="24">
        <f t="shared" si="2"/>
        <v>1.0137285223367698</v>
      </c>
      <c r="M30" s="24">
        <f t="shared" si="3"/>
        <v>1.0137285223367698</v>
      </c>
      <c r="N30" s="37" t="s">
        <v>25</v>
      </c>
      <c r="O30" s="37" t="s">
        <v>25</v>
      </c>
      <c r="P30" s="37">
        <v>1</v>
      </c>
      <c r="Q30" s="37">
        <v>1</v>
      </c>
      <c r="R30" s="37" t="s">
        <v>112</v>
      </c>
      <c r="S30" s="37"/>
    </row>
    <row r="31" spans="1:19" x14ac:dyDescent="0.3">
      <c r="A31" s="37">
        <v>77</v>
      </c>
      <c r="B31" s="37" t="s">
        <v>71</v>
      </c>
      <c r="C31" s="37" t="s">
        <v>72</v>
      </c>
      <c r="D31" s="37" t="s">
        <v>73</v>
      </c>
      <c r="E31" s="37" t="s">
        <v>22</v>
      </c>
      <c r="F31" s="42">
        <v>45657</v>
      </c>
      <c r="G31" s="37">
        <v>2024</v>
      </c>
      <c r="H31" s="37" t="s">
        <v>27</v>
      </c>
      <c r="I31" s="39" t="s">
        <v>36</v>
      </c>
      <c r="J31" s="37">
        <v>97</v>
      </c>
      <c r="K31" s="43">
        <v>96.533333333333346</v>
      </c>
      <c r="L31" s="24">
        <f t="shared" si="2"/>
        <v>0.99518900343642624</v>
      </c>
      <c r="M31" s="24">
        <f t="shared" si="3"/>
        <v>0.99518900343642624</v>
      </c>
      <c r="N31" s="37" t="s">
        <v>25</v>
      </c>
      <c r="O31" s="37" t="s">
        <v>25</v>
      </c>
      <c r="P31" s="37">
        <v>1</v>
      </c>
      <c r="Q31" s="37">
        <v>1</v>
      </c>
      <c r="R31" s="37" t="s">
        <v>118</v>
      </c>
      <c r="S31" s="37"/>
    </row>
    <row r="32" spans="1:19" x14ac:dyDescent="0.3">
      <c r="A32" s="41">
        <v>78</v>
      </c>
      <c r="B32" s="37" t="s">
        <v>119</v>
      </c>
      <c r="C32" s="37" t="s">
        <v>120</v>
      </c>
      <c r="D32" s="37" t="s">
        <v>121</v>
      </c>
      <c r="E32" s="37" t="s">
        <v>22</v>
      </c>
      <c r="F32" s="42">
        <v>45107</v>
      </c>
      <c r="G32" s="37">
        <v>2023</v>
      </c>
      <c r="H32" s="37" t="s">
        <v>23</v>
      </c>
      <c r="I32" s="39" t="s">
        <v>30</v>
      </c>
      <c r="J32" s="37">
        <v>100</v>
      </c>
      <c r="K32" s="37">
        <v>100</v>
      </c>
      <c r="L32" s="55">
        <f t="shared" si="2"/>
        <v>1</v>
      </c>
      <c r="M32" s="24">
        <f t="shared" si="3"/>
        <v>1</v>
      </c>
      <c r="N32" s="37" t="s">
        <v>25</v>
      </c>
      <c r="O32" s="37" t="s">
        <v>25</v>
      </c>
      <c r="P32" s="37">
        <v>0</v>
      </c>
      <c r="Q32" s="37">
        <v>0</v>
      </c>
      <c r="R32" s="37" t="s">
        <v>123</v>
      </c>
      <c r="S32" s="37"/>
    </row>
    <row r="33" spans="1:19" x14ac:dyDescent="0.3">
      <c r="A33" s="41">
        <v>78</v>
      </c>
      <c r="B33" s="37" t="s">
        <v>119</v>
      </c>
      <c r="C33" s="37" t="s">
        <v>120</v>
      </c>
      <c r="D33" s="37" t="s">
        <v>121</v>
      </c>
      <c r="E33" s="37" t="s">
        <v>22</v>
      </c>
      <c r="F33" s="42">
        <v>45291</v>
      </c>
      <c r="G33" s="37">
        <v>2023</v>
      </c>
      <c r="H33" s="37" t="s">
        <v>27</v>
      </c>
      <c r="I33" s="39" t="s">
        <v>32</v>
      </c>
      <c r="J33" s="37">
        <v>100</v>
      </c>
      <c r="K33" s="37">
        <v>122</v>
      </c>
      <c r="L33" s="55">
        <f t="shared" si="2"/>
        <v>1.22</v>
      </c>
      <c r="M33" s="24">
        <f t="shared" si="3"/>
        <v>1.22</v>
      </c>
      <c r="N33" s="37" t="s">
        <v>25</v>
      </c>
      <c r="O33" s="37" t="s">
        <v>25</v>
      </c>
      <c r="P33" s="37">
        <v>0</v>
      </c>
      <c r="Q33" s="37">
        <v>0</v>
      </c>
      <c r="R33" s="37" t="s">
        <v>126</v>
      </c>
      <c r="S33" s="37"/>
    </row>
    <row r="34" spans="1:19" x14ac:dyDescent="0.3">
      <c r="A34" s="37">
        <v>78</v>
      </c>
      <c r="B34" s="37" t="s">
        <v>119</v>
      </c>
      <c r="C34" s="37" t="s">
        <v>120</v>
      </c>
      <c r="D34" s="37" t="s">
        <v>121</v>
      </c>
      <c r="E34" s="37" t="s">
        <v>22</v>
      </c>
      <c r="F34" s="42">
        <v>45473</v>
      </c>
      <c r="G34" s="37">
        <v>2024</v>
      </c>
      <c r="H34" s="37" t="s">
        <v>23</v>
      </c>
      <c r="I34" s="39" t="s">
        <v>34</v>
      </c>
      <c r="J34" s="37">
        <v>100</v>
      </c>
      <c r="K34" s="37">
        <v>80</v>
      </c>
      <c r="L34" s="24">
        <f t="shared" si="2"/>
        <v>0.8</v>
      </c>
      <c r="M34" s="24">
        <f t="shared" si="3"/>
        <v>0.8</v>
      </c>
      <c r="N34" s="37"/>
      <c r="O34" s="37"/>
      <c r="P34" s="37">
        <v>0</v>
      </c>
      <c r="Q34" s="37">
        <v>0</v>
      </c>
      <c r="R34" s="37" t="s">
        <v>128</v>
      </c>
      <c r="S34" s="37"/>
    </row>
    <row r="35" spans="1:19" x14ac:dyDescent="0.3">
      <c r="A35" s="37">
        <v>78</v>
      </c>
      <c r="B35" s="37" t="s">
        <v>119</v>
      </c>
      <c r="C35" s="37" t="s">
        <v>120</v>
      </c>
      <c r="D35" s="37" t="s">
        <v>121</v>
      </c>
      <c r="E35" s="37" t="s">
        <v>22</v>
      </c>
      <c r="F35" s="42">
        <v>45657</v>
      </c>
      <c r="G35" s="37">
        <v>2024</v>
      </c>
      <c r="H35" s="37" t="s">
        <v>27</v>
      </c>
      <c r="I35" s="39" t="s">
        <v>36</v>
      </c>
      <c r="J35" s="37">
        <v>100</v>
      </c>
      <c r="K35" s="43">
        <v>112.5</v>
      </c>
      <c r="L35" s="24">
        <f t="shared" si="2"/>
        <v>1.125</v>
      </c>
      <c r="M35" s="24">
        <f t="shared" si="3"/>
        <v>1.125</v>
      </c>
      <c r="N35" s="37"/>
      <c r="O35" s="37"/>
      <c r="P35" s="37">
        <v>0</v>
      </c>
      <c r="Q35" s="37">
        <v>0</v>
      </c>
      <c r="R35" s="37" t="s">
        <v>131</v>
      </c>
      <c r="S35" s="37"/>
    </row>
    <row r="36" spans="1:19" x14ac:dyDescent="0.3">
      <c r="A36" s="41">
        <v>79</v>
      </c>
      <c r="B36" s="37" t="s">
        <v>132</v>
      </c>
      <c r="C36" s="37" t="s">
        <v>120</v>
      </c>
      <c r="D36" s="37" t="s">
        <v>121</v>
      </c>
      <c r="E36" s="37" t="s">
        <v>22</v>
      </c>
      <c r="F36" s="42">
        <v>45107</v>
      </c>
      <c r="G36" s="37">
        <v>2023</v>
      </c>
      <c r="H36" s="37" t="s">
        <v>23</v>
      </c>
      <c r="I36" s="39" t="s">
        <v>30</v>
      </c>
      <c r="J36" s="37">
        <v>85</v>
      </c>
      <c r="K36" s="37">
        <v>100</v>
      </c>
      <c r="L36" s="55">
        <f t="shared" si="2"/>
        <v>1.1764705882352942</v>
      </c>
      <c r="M36" s="24">
        <f t="shared" si="3"/>
        <v>1.1764705882352942</v>
      </c>
      <c r="N36" s="37" t="s">
        <v>25</v>
      </c>
      <c r="O36" s="37" t="s">
        <v>25</v>
      </c>
      <c r="P36" s="37">
        <v>0</v>
      </c>
      <c r="Q36" s="37">
        <v>0</v>
      </c>
      <c r="R36" s="37" t="s">
        <v>133</v>
      </c>
      <c r="S36" s="37"/>
    </row>
    <row r="37" spans="1:19" x14ac:dyDescent="0.3">
      <c r="A37" s="37">
        <v>79</v>
      </c>
      <c r="B37" s="37" t="s">
        <v>132</v>
      </c>
      <c r="C37" s="37" t="s">
        <v>120</v>
      </c>
      <c r="D37" s="37" t="s">
        <v>121</v>
      </c>
      <c r="E37" s="37" t="s">
        <v>22</v>
      </c>
      <c r="F37" s="38">
        <v>45169</v>
      </c>
      <c r="G37" s="40">
        <v>2023</v>
      </c>
      <c r="H37" s="39" t="s">
        <v>86</v>
      </c>
      <c r="I37" s="39" t="s">
        <v>32</v>
      </c>
      <c r="J37" s="37">
        <v>85</v>
      </c>
      <c r="K37" s="37">
        <v>100</v>
      </c>
      <c r="L37" s="55">
        <f t="shared" si="2"/>
        <v>1.1764705882352942</v>
      </c>
      <c r="M37" s="24">
        <f t="shared" si="3"/>
        <v>1.1764705882352942</v>
      </c>
      <c r="N37" s="37" t="s">
        <v>25</v>
      </c>
      <c r="O37" s="37" t="s">
        <v>25</v>
      </c>
      <c r="P37" s="37">
        <v>0</v>
      </c>
      <c r="Q37" s="37">
        <v>0</v>
      </c>
      <c r="R37" s="37" t="s">
        <v>134</v>
      </c>
      <c r="S37" s="37"/>
    </row>
    <row r="38" spans="1:19" x14ac:dyDescent="0.3">
      <c r="A38" s="41">
        <v>79</v>
      </c>
      <c r="B38" s="37" t="s">
        <v>132</v>
      </c>
      <c r="C38" s="37" t="s">
        <v>120</v>
      </c>
      <c r="D38" s="37" t="s">
        <v>121</v>
      </c>
      <c r="E38" s="37" t="s">
        <v>22</v>
      </c>
      <c r="F38" s="42">
        <v>45230</v>
      </c>
      <c r="G38" s="37">
        <v>2023</v>
      </c>
      <c r="H38" s="37" t="s">
        <v>89</v>
      </c>
      <c r="I38" s="39" t="s">
        <v>32</v>
      </c>
      <c r="J38" s="37">
        <v>85</v>
      </c>
      <c r="K38" s="37">
        <v>100</v>
      </c>
      <c r="L38" s="55">
        <f t="shared" si="2"/>
        <v>1.1764705882352942</v>
      </c>
      <c r="M38" s="24">
        <f t="shared" si="3"/>
        <v>1.1764705882352942</v>
      </c>
      <c r="N38" s="37" t="s">
        <v>25</v>
      </c>
      <c r="O38" s="37" t="s">
        <v>25</v>
      </c>
      <c r="P38" s="37">
        <v>0</v>
      </c>
      <c r="Q38" s="37">
        <v>0</v>
      </c>
      <c r="R38" s="37" t="s">
        <v>135</v>
      </c>
      <c r="S38" s="37"/>
    </row>
    <row r="39" spans="1:19" x14ac:dyDescent="0.3">
      <c r="A39" s="41">
        <v>79</v>
      </c>
      <c r="B39" s="37" t="s">
        <v>132</v>
      </c>
      <c r="C39" s="37" t="s">
        <v>120</v>
      </c>
      <c r="D39" s="37" t="s">
        <v>121</v>
      </c>
      <c r="E39" s="37" t="s">
        <v>22</v>
      </c>
      <c r="F39" s="42">
        <v>45291</v>
      </c>
      <c r="G39" s="37">
        <v>2023</v>
      </c>
      <c r="H39" s="37" t="s">
        <v>27</v>
      </c>
      <c r="I39" s="39" t="s">
        <v>32</v>
      </c>
      <c r="J39" s="53">
        <v>85</v>
      </c>
      <c r="K39" s="53">
        <v>95.45</v>
      </c>
      <c r="L39" s="55">
        <f t="shared" si="2"/>
        <v>1.1229411764705883</v>
      </c>
      <c r="M39" s="24">
        <f t="shared" si="3"/>
        <v>1.1229411764705883</v>
      </c>
      <c r="N39" s="53" t="s">
        <v>25</v>
      </c>
      <c r="O39" s="53" t="s">
        <v>25</v>
      </c>
      <c r="P39" s="37">
        <v>0</v>
      </c>
      <c r="Q39" s="37">
        <v>0</v>
      </c>
      <c r="R39" s="37" t="s">
        <v>136</v>
      </c>
      <c r="S39" s="37"/>
    </row>
    <row r="40" spans="1:19" x14ac:dyDescent="0.3">
      <c r="A40" s="37">
        <v>84</v>
      </c>
      <c r="B40" s="37" t="s">
        <v>137</v>
      </c>
      <c r="C40" s="37" t="s">
        <v>138</v>
      </c>
      <c r="D40" s="37" t="s">
        <v>139</v>
      </c>
      <c r="E40" s="37" t="s">
        <v>22</v>
      </c>
      <c r="F40" s="42">
        <v>44926</v>
      </c>
      <c r="G40" s="37">
        <v>2022</v>
      </c>
      <c r="H40" s="37" t="s">
        <v>27</v>
      </c>
      <c r="I40" s="37" t="s">
        <v>28</v>
      </c>
      <c r="J40" s="53">
        <v>100</v>
      </c>
      <c r="K40" s="53">
        <v>100</v>
      </c>
      <c r="L40" s="24">
        <f t="shared" si="2"/>
        <v>1</v>
      </c>
      <c r="M40" s="24">
        <f t="shared" si="3"/>
        <v>1</v>
      </c>
      <c r="N40" s="53" t="s">
        <v>25</v>
      </c>
      <c r="O40" s="53" t="s">
        <v>25</v>
      </c>
      <c r="P40" s="37">
        <v>0</v>
      </c>
      <c r="Q40" s="37">
        <v>0</v>
      </c>
      <c r="R40" s="37" t="s">
        <v>140</v>
      </c>
      <c r="S40" s="37"/>
    </row>
    <row r="41" spans="1:19" x14ac:dyDescent="0.3">
      <c r="A41" s="41">
        <v>84</v>
      </c>
      <c r="B41" s="37" t="s">
        <v>137</v>
      </c>
      <c r="C41" s="37" t="s">
        <v>138</v>
      </c>
      <c r="D41" s="37" t="s">
        <v>139</v>
      </c>
      <c r="E41" s="37" t="s">
        <v>22</v>
      </c>
      <c r="F41" s="42">
        <v>45291</v>
      </c>
      <c r="G41" s="37">
        <v>2023</v>
      </c>
      <c r="H41" s="37" t="s">
        <v>27</v>
      </c>
      <c r="I41" s="39" t="s">
        <v>32</v>
      </c>
      <c r="J41" s="53">
        <v>100</v>
      </c>
      <c r="K41" s="53">
        <v>100</v>
      </c>
      <c r="L41" s="55">
        <f t="shared" si="2"/>
        <v>1</v>
      </c>
      <c r="M41" s="24">
        <f t="shared" si="3"/>
        <v>1</v>
      </c>
      <c r="N41" s="53" t="s">
        <v>25</v>
      </c>
      <c r="O41" s="53" t="s">
        <v>25</v>
      </c>
      <c r="P41" s="37">
        <v>0</v>
      </c>
      <c r="Q41" s="37">
        <v>0</v>
      </c>
      <c r="R41" s="37" t="s">
        <v>141</v>
      </c>
      <c r="S41" s="37"/>
    </row>
    <row r="42" spans="1:19" x14ac:dyDescent="0.3">
      <c r="A42" s="37">
        <v>84</v>
      </c>
      <c r="B42" s="37" t="s">
        <v>137</v>
      </c>
      <c r="C42" s="37" t="s">
        <v>138</v>
      </c>
      <c r="D42" s="37" t="s">
        <v>139</v>
      </c>
      <c r="E42" s="37" t="s">
        <v>22</v>
      </c>
      <c r="F42" s="42">
        <v>45657</v>
      </c>
      <c r="G42" s="37">
        <v>2024</v>
      </c>
      <c r="H42" s="37" t="s">
        <v>27</v>
      </c>
      <c r="I42" s="39" t="s">
        <v>36</v>
      </c>
      <c r="J42" s="53">
        <v>100</v>
      </c>
      <c r="K42" s="53">
        <v>100</v>
      </c>
      <c r="L42" s="24">
        <f t="shared" si="2"/>
        <v>1</v>
      </c>
      <c r="M42" s="24">
        <f t="shared" si="3"/>
        <v>1</v>
      </c>
      <c r="N42" s="53" t="s">
        <v>25</v>
      </c>
      <c r="O42" s="53" t="s">
        <v>25</v>
      </c>
      <c r="P42" s="37">
        <v>0</v>
      </c>
      <c r="Q42" s="37">
        <v>0</v>
      </c>
      <c r="R42" s="37" t="s">
        <v>142</v>
      </c>
      <c r="S42" s="37"/>
    </row>
    <row r="43" spans="1:19" x14ac:dyDescent="0.3">
      <c r="A43" s="37">
        <v>85</v>
      </c>
      <c r="B43" s="37" t="s">
        <v>143</v>
      </c>
      <c r="C43" s="37" t="s">
        <v>138</v>
      </c>
      <c r="D43" s="37" t="s">
        <v>139</v>
      </c>
      <c r="E43" s="37" t="s">
        <v>22</v>
      </c>
      <c r="F43" s="42">
        <v>44926</v>
      </c>
      <c r="G43" s="37">
        <v>2022</v>
      </c>
      <c r="H43" s="37" t="s">
        <v>27</v>
      </c>
      <c r="I43" s="37" t="s">
        <v>28</v>
      </c>
      <c r="J43" s="37">
        <v>4</v>
      </c>
      <c r="K43" s="37">
        <v>4</v>
      </c>
      <c r="L43" s="24">
        <f t="shared" si="2"/>
        <v>1</v>
      </c>
      <c r="M43" s="24">
        <f t="shared" si="3"/>
        <v>1</v>
      </c>
      <c r="N43" s="37" t="s">
        <v>25</v>
      </c>
      <c r="O43" s="37" t="s">
        <v>25</v>
      </c>
      <c r="P43" s="37">
        <v>0</v>
      </c>
      <c r="Q43" s="37">
        <v>0</v>
      </c>
      <c r="R43" s="37" t="s">
        <v>144</v>
      </c>
      <c r="S43" s="37"/>
    </row>
    <row r="44" spans="1:19" x14ac:dyDescent="0.3">
      <c r="A44" s="41">
        <v>85</v>
      </c>
      <c r="B44" s="37" t="s">
        <v>143</v>
      </c>
      <c r="C44" s="37" t="s">
        <v>138</v>
      </c>
      <c r="D44" s="37" t="s">
        <v>139</v>
      </c>
      <c r="E44" s="37" t="s">
        <v>22</v>
      </c>
      <c r="F44" s="42">
        <v>45291</v>
      </c>
      <c r="G44" s="37">
        <v>2023</v>
      </c>
      <c r="H44" s="37" t="s">
        <v>27</v>
      </c>
      <c r="I44" s="39" t="s">
        <v>32</v>
      </c>
      <c r="J44" s="37">
        <v>3</v>
      </c>
      <c r="K44" s="37">
        <v>3</v>
      </c>
      <c r="L44" s="55">
        <f t="shared" si="2"/>
        <v>1</v>
      </c>
      <c r="M44" s="24">
        <f t="shared" si="3"/>
        <v>1</v>
      </c>
      <c r="N44" s="37" t="s">
        <v>25</v>
      </c>
      <c r="O44" s="37" t="s">
        <v>25</v>
      </c>
      <c r="P44" s="37">
        <v>0</v>
      </c>
      <c r="Q44" s="37">
        <v>0</v>
      </c>
      <c r="R44" s="37" t="s">
        <v>145</v>
      </c>
      <c r="S44" s="37"/>
    </row>
    <row r="45" spans="1:19" x14ac:dyDescent="0.3">
      <c r="A45" s="37">
        <v>85</v>
      </c>
      <c r="B45" s="37" t="s">
        <v>143</v>
      </c>
      <c r="C45" s="37" t="s">
        <v>138</v>
      </c>
      <c r="D45" s="37" t="s">
        <v>139</v>
      </c>
      <c r="E45" s="37" t="s">
        <v>22</v>
      </c>
      <c r="F45" s="42">
        <v>45657</v>
      </c>
      <c r="G45" s="37">
        <v>2024</v>
      </c>
      <c r="H45" s="37" t="s">
        <v>27</v>
      </c>
      <c r="I45" s="39" t="s">
        <v>36</v>
      </c>
      <c r="J45" s="37">
        <v>3</v>
      </c>
      <c r="K45" s="37">
        <v>3</v>
      </c>
      <c r="L45" s="24">
        <f t="shared" si="2"/>
        <v>1</v>
      </c>
      <c r="M45" s="24">
        <f t="shared" si="3"/>
        <v>1</v>
      </c>
      <c r="N45" s="37" t="s">
        <v>25</v>
      </c>
      <c r="O45" s="37" t="s">
        <v>25</v>
      </c>
      <c r="P45" s="37">
        <v>0</v>
      </c>
      <c r="Q45" s="37">
        <v>0</v>
      </c>
      <c r="R45" s="37" t="s">
        <v>146</v>
      </c>
      <c r="S45" s="37"/>
    </row>
    <row r="46" spans="1:19" x14ac:dyDescent="0.3">
      <c r="A46" s="37">
        <v>86</v>
      </c>
      <c r="B46" s="37" t="s">
        <v>147</v>
      </c>
      <c r="C46" s="37" t="s">
        <v>138</v>
      </c>
      <c r="D46" s="37" t="s">
        <v>21</v>
      </c>
      <c r="E46" s="37" t="s">
        <v>22</v>
      </c>
      <c r="F46" s="42">
        <v>44742</v>
      </c>
      <c r="G46" s="37">
        <v>2022</v>
      </c>
      <c r="H46" s="37" t="s">
        <v>23</v>
      </c>
      <c r="I46" s="37" t="s">
        <v>24</v>
      </c>
      <c r="J46" s="37">
        <v>100</v>
      </c>
      <c r="K46" s="37">
        <v>4</v>
      </c>
      <c r="L46" s="24">
        <f t="shared" si="2"/>
        <v>0.04</v>
      </c>
      <c r="M46" s="24">
        <f t="shared" si="3"/>
        <v>0.04</v>
      </c>
      <c r="N46" s="37" t="s">
        <v>25</v>
      </c>
      <c r="O46" s="37" t="s">
        <v>25</v>
      </c>
      <c r="P46" s="37">
        <v>0</v>
      </c>
      <c r="Q46" s="37">
        <v>0</v>
      </c>
      <c r="R46" s="37" t="s">
        <v>148</v>
      </c>
      <c r="S46" s="37"/>
    </row>
    <row r="47" spans="1:19" x14ac:dyDescent="0.3">
      <c r="A47" s="37">
        <v>86</v>
      </c>
      <c r="B47" s="37" t="s">
        <v>147</v>
      </c>
      <c r="C47" s="37" t="s">
        <v>138</v>
      </c>
      <c r="D47" s="37" t="s">
        <v>21</v>
      </c>
      <c r="E47" s="37" t="s">
        <v>22</v>
      </c>
      <c r="F47" s="42">
        <v>44926</v>
      </c>
      <c r="G47" s="37">
        <v>2022</v>
      </c>
      <c r="H47" s="37" t="s">
        <v>27</v>
      </c>
      <c r="I47" s="37" t="s">
        <v>28</v>
      </c>
      <c r="J47" s="37">
        <v>100</v>
      </c>
      <c r="K47" s="37">
        <v>14</v>
      </c>
      <c r="L47" s="24">
        <f t="shared" si="2"/>
        <v>0.14000000000000001</v>
      </c>
      <c r="M47" s="24">
        <f t="shared" si="3"/>
        <v>0.14000000000000001</v>
      </c>
      <c r="N47" s="37" t="s">
        <v>25</v>
      </c>
      <c r="O47" s="37" t="s">
        <v>25</v>
      </c>
      <c r="P47" s="37">
        <v>0</v>
      </c>
      <c r="Q47" s="37">
        <v>0</v>
      </c>
      <c r="R47" s="37" t="s">
        <v>149</v>
      </c>
      <c r="S47" s="37"/>
    </row>
    <row r="48" spans="1:19" x14ac:dyDescent="0.3">
      <c r="A48" s="45">
        <v>86</v>
      </c>
      <c r="B48" s="37" t="s">
        <v>147</v>
      </c>
      <c r="C48" s="37" t="s">
        <v>138</v>
      </c>
      <c r="D48" s="37" t="s">
        <v>21</v>
      </c>
      <c r="E48" s="37" t="s">
        <v>22</v>
      </c>
      <c r="F48" s="42">
        <v>45107</v>
      </c>
      <c r="G48" s="37">
        <v>2023</v>
      </c>
      <c r="H48" s="37" t="s">
        <v>23</v>
      </c>
      <c r="I48" s="39" t="s">
        <v>30</v>
      </c>
      <c r="J48" s="37">
        <v>100</v>
      </c>
      <c r="K48" s="37">
        <v>4</v>
      </c>
      <c r="L48" s="55">
        <f t="shared" si="2"/>
        <v>0.04</v>
      </c>
      <c r="M48" s="24">
        <f t="shared" si="3"/>
        <v>0.04</v>
      </c>
      <c r="N48" s="37" t="s">
        <v>25</v>
      </c>
      <c r="O48" s="37" t="s">
        <v>25</v>
      </c>
      <c r="P48" s="37">
        <v>0</v>
      </c>
      <c r="Q48" s="37">
        <v>0</v>
      </c>
      <c r="R48" s="37" t="s">
        <v>150</v>
      </c>
      <c r="S48" s="37"/>
    </row>
    <row r="49" spans="1:19" x14ac:dyDescent="0.3">
      <c r="A49" s="41">
        <v>86</v>
      </c>
      <c r="B49" s="37" t="s">
        <v>147</v>
      </c>
      <c r="C49" s="37" t="s">
        <v>138</v>
      </c>
      <c r="D49" s="37" t="s">
        <v>21</v>
      </c>
      <c r="E49" s="37" t="s">
        <v>22</v>
      </c>
      <c r="F49" s="42">
        <v>45291</v>
      </c>
      <c r="G49" s="37">
        <v>2023</v>
      </c>
      <c r="H49" s="37" t="s">
        <v>27</v>
      </c>
      <c r="I49" s="39" t="s">
        <v>32</v>
      </c>
      <c r="J49" s="37">
        <v>100</v>
      </c>
      <c r="K49" s="37">
        <v>4</v>
      </c>
      <c r="L49" s="55">
        <f t="shared" si="2"/>
        <v>0.04</v>
      </c>
      <c r="M49" s="24">
        <f t="shared" si="3"/>
        <v>0.04</v>
      </c>
      <c r="N49" s="37" t="s">
        <v>25</v>
      </c>
      <c r="O49" s="37" t="s">
        <v>25</v>
      </c>
      <c r="P49" s="37">
        <v>0</v>
      </c>
      <c r="Q49" s="37">
        <v>0</v>
      </c>
      <c r="R49" s="37" t="s">
        <v>151</v>
      </c>
      <c r="S49" s="37"/>
    </row>
    <row r="50" spans="1:19" x14ac:dyDescent="0.3">
      <c r="A50" s="37">
        <v>86</v>
      </c>
      <c r="B50" s="37" t="s">
        <v>147</v>
      </c>
      <c r="C50" s="37" t="s">
        <v>138</v>
      </c>
      <c r="D50" s="37" t="s">
        <v>21</v>
      </c>
      <c r="E50" s="37" t="s">
        <v>22</v>
      </c>
      <c r="F50" s="42">
        <v>45473</v>
      </c>
      <c r="G50" s="37">
        <v>2024</v>
      </c>
      <c r="H50" s="37" t="s">
        <v>23</v>
      </c>
      <c r="I50" s="39" t="s">
        <v>34</v>
      </c>
      <c r="J50" s="37">
        <v>100</v>
      </c>
      <c r="K50" s="37">
        <v>1</v>
      </c>
      <c r="L50" s="24">
        <f t="shared" ref="L50:L54" si="4">IFERROR(IF(OR(J50=0,K50=""),"",IF(E50="Positivo",MIN(MAX(K50/J50,0),1.3),MIN(MAX(J50/K50,0),1.3))),"")</f>
        <v>0.01</v>
      </c>
      <c r="M50" s="24">
        <f t="shared" ref="M50:M54" si="5">IFERROR(IF(OR(J50=0,K50=""),"",IF(E50="Positivo",MAX(K50/J50,0),MAX(J50/K50,0))),"")</f>
        <v>0.01</v>
      </c>
      <c r="N50" s="37" t="s">
        <v>25</v>
      </c>
      <c r="O50" s="37" t="s">
        <v>25</v>
      </c>
      <c r="P50" s="37">
        <v>0</v>
      </c>
      <c r="Q50" s="37">
        <v>0</v>
      </c>
      <c r="R50" s="37" t="s">
        <v>152</v>
      </c>
      <c r="S50" s="37"/>
    </row>
    <row r="51" spans="1:19" x14ac:dyDescent="0.3">
      <c r="A51" s="37">
        <v>86</v>
      </c>
      <c r="B51" s="37" t="s">
        <v>147</v>
      </c>
      <c r="C51" s="37" t="s">
        <v>138</v>
      </c>
      <c r="D51" s="37" t="s">
        <v>21</v>
      </c>
      <c r="E51" s="37" t="s">
        <v>22</v>
      </c>
      <c r="F51" s="42">
        <v>45657</v>
      </c>
      <c r="G51" s="37">
        <v>2024</v>
      </c>
      <c r="H51" s="37" t="s">
        <v>27</v>
      </c>
      <c r="I51" s="39" t="s">
        <v>36</v>
      </c>
      <c r="J51" s="37">
        <v>100</v>
      </c>
      <c r="K51" s="37">
        <v>1</v>
      </c>
      <c r="L51" s="24">
        <f t="shared" si="4"/>
        <v>0.01</v>
      </c>
      <c r="M51" s="24">
        <f t="shared" si="5"/>
        <v>0.01</v>
      </c>
      <c r="N51" s="37" t="s">
        <v>25</v>
      </c>
      <c r="O51" s="37" t="s">
        <v>25</v>
      </c>
      <c r="P51" s="37">
        <v>0</v>
      </c>
      <c r="Q51" s="37">
        <v>0</v>
      </c>
      <c r="R51" s="37" t="s">
        <v>153</v>
      </c>
      <c r="S51" s="37"/>
    </row>
    <row r="52" spans="1:19" x14ac:dyDescent="0.3">
      <c r="A52" s="37">
        <v>87</v>
      </c>
      <c r="B52" s="37" t="s">
        <v>154</v>
      </c>
      <c r="C52" s="37" t="s">
        <v>138</v>
      </c>
      <c r="D52" s="37" t="s">
        <v>139</v>
      </c>
      <c r="E52" s="37" t="s">
        <v>22</v>
      </c>
      <c r="F52" s="42">
        <v>44926</v>
      </c>
      <c r="G52" s="37">
        <v>2022</v>
      </c>
      <c r="H52" s="37" t="s">
        <v>27</v>
      </c>
      <c r="I52" s="37" t="s">
        <v>28</v>
      </c>
      <c r="J52" s="37">
        <v>1</v>
      </c>
      <c r="K52" s="37">
        <v>99</v>
      </c>
      <c r="L52" s="24">
        <f t="shared" si="4"/>
        <v>1.3</v>
      </c>
      <c r="M52" s="24">
        <f t="shared" si="5"/>
        <v>99</v>
      </c>
      <c r="N52" s="37" t="s">
        <v>25</v>
      </c>
      <c r="O52" s="37" t="s">
        <v>25</v>
      </c>
      <c r="P52" s="37">
        <v>0</v>
      </c>
      <c r="Q52" s="37">
        <v>0</v>
      </c>
      <c r="R52" s="37" t="s">
        <v>155</v>
      </c>
      <c r="S52" s="37"/>
    </row>
    <row r="53" spans="1:19" x14ac:dyDescent="0.3">
      <c r="A53" s="41">
        <v>87</v>
      </c>
      <c r="B53" s="37" t="s">
        <v>154</v>
      </c>
      <c r="C53" s="37" t="s">
        <v>138</v>
      </c>
      <c r="D53" s="37" t="s">
        <v>139</v>
      </c>
      <c r="E53" s="37" t="s">
        <v>22</v>
      </c>
      <c r="F53" s="42">
        <v>45291</v>
      </c>
      <c r="G53" s="37">
        <v>2023</v>
      </c>
      <c r="H53" s="37" t="s">
        <v>27</v>
      </c>
      <c r="I53" s="39" t="s">
        <v>32</v>
      </c>
      <c r="J53" s="37">
        <v>90</v>
      </c>
      <c r="K53" s="37">
        <v>100</v>
      </c>
      <c r="L53" s="55">
        <f t="shared" si="4"/>
        <v>1.1111111111111112</v>
      </c>
      <c r="M53" s="24">
        <f t="shared" si="5"/>
        <v>1.1111111111111112</v>
      </c>
      <c r="N53" s="37" t="s">
        <v>25</v>
      </c>
      <c r="O53" s="37" t="s">
        <v>25</v>
      </c>
      <c r="P53" s="37">
        <v>0</v>
      </c>
      <c r="Q53" s="37">
        <v>0</v>
      </c>
      <c r="R53" s="37" t="s">
        <v>156</v>
      </c>
      <c r="S53" s="37"/>
    </row>
    <row r="54" spans="1:19" x14ac:dyDescent="0.3">
      <c r="A54" s="37">
        <v>87</v>
      </c>
      <c r="B54" s="37" t="s">
        <v>154</v>
      </c>
      <c r="C54" s="37" t="s">
        <v>138</v>
      </c>
      <c r="D54" s="37" t="s">
        <v>139</v>
      </c>
      <c r="E54" s="37" t="s">
        <v>22</v>
      </c>
      <c r="F54" s="42">
        <v>45657</v>
      </c>
      <c r="G54" s="37">
        <v>2024</v>
      </c>
      <c r="H54" s="37" t="s">
        <v>27</v>
      </c>
      <c r="I54" s="39" t="s">
        <v>36</v>
      </c>
      <c r="J54" s="37">
        <v>90</v>
      </c>
      <c r="K54" s="37">
        <v>100</v>
      </c>
      <c r="L54" s="24">
        <f t="shared" si="4"/>
        <v>1.1111111111111112</v>
      </c>
      <c r="M54" s="24">
        <f t="shared" si="5"/>
        <v>1.1111111111111112</v>
      </c>
      <c r="N54" s="37"/>
      <c r="O54" s="37"/>
      <c r="P54" s="37">
        <v>0</v>
      </c>
      <c r="Q54" s="37">
        <v>0</v>
      </c>
      <c r="R54" s="37" t="s">
        <v>157</v>
      </c>
      <c r="S54" s="37"/>
    </row>
    <row r="55" spans="1:19" x14ac:dyDescent="0.3">
      <c r="A55" s="37">
        <v>88</v>
      </c>
      <c r="B55" s="37" t="s">
        <v>158</v>
      </c>
      <c r="C55" s="37" t="s">
        <v>138</v>
      </c>
      <c r="D55" s="37" t="s">
        <v>139</v>
      </c>
      <c r="E55" s="37" t="s">
        <v>22</v>
      </c>
      <c r="F55" s="42">
        <v>44926</v>
      </c>
      <c r="G55" s="37">
        <v>2022</v>
      </c>
      <c r="H55" s="37" t="s">
        <v>27</v>
      </c>
      <c r="I55" s="37" t="s">
        <v>28</v>
      </c>
      <c r="J55" s="37">
        <v>305</v>
      </c>
      <c r="K55" s="37">
        <v>303</v>
      </c>
      <c r="L55" s="24">
        <f>IFERROR(IF(OR(J55=0,K55=""),"",IF(E55="Positivo",MIN(MAX(K55/J55,0),1),MIN(MAX(J55/K55,0),1))),"")</f>
        <v>0.99344262295081964</v>
      </c>
      <c r="M55" s="24">
        <f>IFERROR(IF(OR(J55=0,K55=""),"",IF(E55="Positivo",MIN(MAX(K55/J55,0),1),MIN(MAX(J55/K55,0),1))),"")</f>
        <v>0.99344262295081964</v>
      </c>
      <c r="N55" s="37" t="s">
        <v>25</v>
      </c>
      <c r="O55" s="37" t="s">
        <v>25</v>
      </c>
      <c r="P55" s="37">
        <v>0</v>
      </c>
      <c r="Q55" s="37">
        <v>0</v>
      </c>
      <c r="R55" s="37" t="s">
        <v>159</v>
      </c>
      <c r="S55" s="37"/>
    </row>
    <row r="56" spans="1:19" x14ac:dyDescent="0.3">
      <c r="A56" s="41">
        <v>88</v>
      </c>
      <c r="B56" s="37" t="s">
        <v>158</v>
      </c>
      <c r="C56" s="37" t="s">
        <v>138</v>
      </c>
      <c r="D56" s="37" t="s">
        <v>139</v>
      </c>
      <c r="E56" s="37" t="s">
        <v>22</v>
      </c>
      <c r="F56" s="42">
        <v>45291</v>
      </c>
      <c r="G56" s="37">
        <v>2023</v>
      </c>
      <c r="H56" s="37" t="s">
        <v>27</v>
      </c>
      <c r="I56" s="39" t="s">
        <v>32</v>
      </c>
      <c r="J56" s="37">
        <v>290</v>
      </c>
      <c r="K56" s="37">
        <v>290</v>
      </c>
      <c r="L56" s="55">
        <f>IFERROR(IF(OR(J56=0,K56=""),"",IF(E56="Positivo",MIN(MAX(K56/J56,0),1),MIN(MAX(J56/K56,0),1))),"")</f>
        <v>1</v>
      </c>
      <c r="M56" s="24">
        <f>IFERROR(IF(OR(J56=0,K56=""),"",IF(E56="Positivo",MIN(MAX(K56/J56,0),1),MIN(MAX(J56/K56,0),1))),"")</f>
        <v>1</v>
      </c>
      <c r="N56" s="37" t="s">
        <v>25</v>
      </c>
      <c r="O56" s="37" t="s">
        <v>25</v>
      </c>
      <c r="P56" s="37">
        <v>0</v>
      </c>
      <c r="Q56" s="37">
        <v>0</v>
      </c>
      <c r="R56" s="37" t="s">
        <v>160</v>
      </c>
      <c r="S56" s="37"/>
    </row>
    <row r="57" spans="1:19" x14ac:dyDescent="0.3">
      <c r="A57" s="37">
        <v>88</v>
      </c>
      <c r="B57" s="37" t="s">
        <v>158</v>
      </c>
      <c r="C57" s="37" t="s">
        <v>138</v>
      </c>
      <c r="D57" s="37" t="s">
        <v>139</v>
      </c>
      <c r="E57" s="37" t="s">
        <v>22</v>
      </c>
      <c r="F57" s="42">
        <v>45657</v>
      </c>
      <c r="G57" s="37">
        <v>2024</v>
      </c>
      <c r="H57" s="37" t="s">
        <v>27</v>
      </c>
      <c r="I57" s="39" t="s">
        <v>36</v>
      </c>
      <c r="J57" s="37">
        <v>260</v>
      </c>
      <c r="K57" s="37">
        <v>260</v>
      </c>
      <c r="L57" s="55">
        <f>IFERROR(IF(OR(J57=0,K57=""),"",IF(E57="Positivo",MIN(MAX(K57/J57,0),1),MIN(MAX(J57/K57,0),1))),"")</f>
        <v>1</v>
      </c>
      <c r="M57" s="24">
        <f>IFERROR(IF(OR(J57=0,K57=""),"",IF(E57="Positivo",MIN(MAX(K57/J57,0),1),MIN(MAX(J57/K57,0),1))),"")</f>
        <v>1</v>
      </c>
      <c r="N57" s="37" t="s">
        <v>25</v>
      </c>
      <c r="O57" s="37" t="s">
        <v>25</v>
      </c>
      <c r="P57" s="37">
        <v>0</v>
      </c>
      <c r="Q57" s="37">
        <v>0</v>
      </c>
      <c r="R57" s="37" t="s">
        <v>161</v>
      </c>
      <c r="S57" s="37"/>
    </row>
    <row r="58" spans="1:19" x14ac:dyDescent="0.3">
      <c r="A58" s="37">
        <v>89</v>
      </c>
      <c r="B58" s="37" t="s">
        <v>162</v>
      </c>
      <c r="C58" s="37" t="s">
        <v>138</v>
      </c>
      <c r="D58" s="37" t="s">
        <v>139</v>
      </c>
      <c r="E58" s="37" t="s">
        <v>22</v>
      </c>
      <c r="F58" s="42">
        <v>44926</v>
      </c>
      <c r="G58" s="37">
        <v>2022</v>
      </c>
      <c r="H58" s="37" t="s">
        <v>27</v>
      </c>
      <c r="I58" s="37" t="s">
        <v>28</v>
      </c>
      <c r="J58" s="53">
        <v>56</v>
      </c>
      <c r="K58" s="53">
        <v>56</v>
      </c>
      <c r="L58" s="24">
        <f t="shared" ref="L58:L66" si="6">IFERROR(IF(OR(J58=0,K58=""),"",IF(E58="Positivo",MIN(MAX(K58/J58,0),1.3),MIN(MAX(J58/K58,0),1.3))),"")</f>
        <v>1</v>
      </c>
      <c r="M58" s="24">
        <f t="shared" ref="M58:M66" si="7">IFERROR(IF(OR(J58=0,K58=""),"",IF(E58="Positivo",MAX(K58/J58,0),MAX(J58/K58,0))),"")</f>
        <v>1</v>
      </c>
      <c r="N58" s="37" t="s">
        <v>25</v>
      </c>
      <c r="O58" s="37" t="s">
        <v>25</v>
      </c>
      <c r="P58" s="37">
        <v>0</v>
      </c>
      <c r="Q58" s="37">
        <v>0</v>
      </c>
      <c r="R58" s="37" t="s">
        <v>163</v>
      </c>
      <c r="S58" s="37"/>
    </row>
    <row r="59" spans="1:19" x14ac:dyDescent="0.3">
      <c r="A59" s="41">
        <v>89</v>
      </c>
      <c r="B59" s="37" t="s">
        <v>162</v>
      </c>
      <c r="C59" s="37" t="s">
        <v>138</v>
      </c>
      <c r="D59" s="37" t="s">
        <v>139</v>
      </c>
      <c r="E59" s="37" t="s">
        <v>22</v>
      </c>
      <c r="F59" s="42">
        <v>45291</v>
      </c>
      <c r="G59" s="37">
        <v>2023</v>
      </c>
      <c r="H59" s="37" t="s">
        <v>27</v>
      </c>
      <c r="I59" s="39" t="s">
        <v>32</v>
      </c>
      <c r="J59" s="53">
        <v>122</v>
      </c>
      <c r="K59" s="53">
        <v>122</v>
      </c>
      <c r="L59" s="55">
        <f t="shared" si="6"/>
        <v>1</v>
      </c>
      <c r="M59" s="24">
        <f t="shared" si="7"/>
        <v>1</v>
      </c>
      <c r="N59" s="37" t="s">
        <v>25</v>
      </c>
      <c r="O59" s="37" t="s">
        <v>25</v>
      </c>
      <c r="P59" s="37">
        <v>0</v>
      </c>
      <c r="Q59" s="37">
        <v>0</v>
      </c>
      <c r="R59" s="37" t="s">
        <v>164</v>
      </c>
      <c r="S59" s="37"/>
    </row>
    <row r="60" spans="1:19" x14ac:dyDescent="0.3">
      <c r="A60" s="37">
        <v>89</v>
      </c>
      <c r="B60" s="37" t="s">
        <v>162</v>
      </c>
      <c r="C60" s="37" t="s">
        <v>138</v>
      </c>
      <c r="D60" s="37" t="s">
        <v>139</v>
      </c>
      <c r="E60" s="37" t="s">
        <v>22</v>
      </c>
      <c r="F60" s="42">
        <v>45657</v>
      </c>
      <c r="G60" s="37">
        <v>2024</v>
      </c>
      <c r="H60" s="37" t="s">
        <v>27</v>
      </c>
      <c r="I60" s="39" t="s">
        <v>36</v>
      </c>
      <c r="J60" s="37">
        <v>154</v>
      </c>
      <c r="K60" s="37">
        <v>154</v>
      </c>
      <c r="L60" s="24">
        <f t="shared" si="6"/>
        <v>1</v>
      </c>
      <c r="M60" s="24">
        <f t="shared" si="7"/>
        <v>1</v>
      </c>
      <c r="N60" s="37" t="s">
        <v>25</v>
      </c>
      <c r="O60" s="37" t="s">
        <v>25</v>
      </c>
      <c r="P60" s="37">
        <v>0</v>
      </c>
      <c r="Q60" s="37">
        <v>0</v>
      </c>
      <c r="R60" s="37" t="s">
        <v>165</v>
      </c>
      <c r="S60" s="37"/>
    </row>
    <row r="61" spans="1:19" x14ac:dyDescent="0.3">
      <c r="A61" s="37">
        <v>90</v>
      </c>
      <c r="B61" s="37" t="s">
        <v>166</v>
      </c>
      <c r="C61" s="37" t="s">
        <v>138</v>
      </c>
      <c r="D61" s="37" t="s">
        <v>139</v>
      </c>
      <c r="E61" s="37" t="s">
        <v>22</v>
      </c>
      <c r="F61" s="42">
        <v>44926</v>
      </c>
      <c r="G61" s="37">
        <v>2022</v>
      </c>
      <c r="H61" s="37" t="s">
        <v>27</v>
      </c>
      <c r="I61" s="37" t="s">
        <v>28</v>
      </c>
      <c r="J61" s="37">
        <v>2</v>
      </c>
      <c r="K61" s="37">
        <v>2</v>
      </c>
      <c r="L61" s="24">
        <f t="shared" si="6"/>
        <v>1</v>
      </c>
      <c r="M61" s="24">
        <f t="shared" si="7"/>
        <v>1</v>
      </c>
      <c r="N61" s="37" t="s">
        <v>25</v>
      </c>
      <c r="O61" s="37" t="s">
        <v>25</v>
      </c>
      <c r="P61" s="37">
        <v>0</v>
      </c>
      <c r="Q61" s="37">
        <v>0</v>
      </c>
      <c r="R61" s="37" t="s">
        <v>167</v>
      </c>
      <c r="S61" s="37"/>
    </row>
    <row r="62" spans="1:19" x14ac:dyDescent="0.3">
      <c r="A62" s="41">
        <v>90</v>
      </c>
      <c r="B62" s="37" t="s">
        <v>166</v>
      </c>
      <c r="C62" s="37" t="s">
        <v>138</v>
      </c>
      <c r="D62" s="37" t="s">
        <v>139</v>
      </c>
      <c r="E62" s="37" t="s">
        <v>22</v>
      </c>
      <c r="F62" s="42">
        <v>45291</v>
      </c>
      <c r="G62" s="37">
        <v>2023</v>
      </c>
      <c r="H62" s="37" t="s">
        <v>27</v>
      </c>
      <c r="I62" s="39" t="s">
        <v>32</v>
      </c>
      <c r="J62" s="37">
        <v>7</v>
      </c>
      <c r="K62" s="37">
        <v>7</v>
      </c>
      <c r="L62" s="55">
        <f t="shared" si="6"/>
        <v>1</v>
      </c>
      <c r="M62" s="24">
        <f t="shared" si="7"/>
        <v>1</v>
      </c>
      <c r="N62" s="37" t="s">
        <v>25</v>
      </c>
      <c r="O62" s="37" t="s">
        <v>25</v>
      </c>
      <c r="P62" s="37">
        <v>0</v>
      </c>
      <c r="Q62" s="37">
        <v>0</v>
      </c>
      <c r="R62" s="37" t="s">
        <v>168</v>
      </c>
      <c r="S62" s="37"/>
    </row>
    <row r="63" spans="1:19" x14ac:dyDescent="0.3">
      <c r="A63" s="37">
        <v>90</v>
      </c>
      <c r="B63" s="37" t="s">
        <v>166</v>
      </c>
      <c r="C63" s="37" t="s">
        <v>138</v>
      </c>
      <c r="D63" s="37" t="s">
        <v>139</v>
      </c>
      <c r="E63" s="37" t="s">
        <v>22</v>
      </c>
      <c r="F63" s="42">
        <v>45657</v>
      </c>
      <c r="G63" s="37">
        <v>2024</v>
      </c>
      <c r="H63" s="37" t="s">
        <v>27</v>
      </c>
      <c r="I63" s="39" t="s">
        <v>36</v>
      </c>
      <c r="J63" s="37">
        <v>8</v>
      </c>
      <c r="K63" s="37">
        <v>8</v>
      </c>
      <c r="L63" s="24">
        <f t="shared" si="6"/>
        <v>1</v>
      </c>
      <c r="M63" s="24">
        <f t="shared" si="7"/>
        <v>1</v>
      </c>
      <c r="N63" s="37" t="s">
        <v>25</v>
      </c>
      <c r="O63" s="37" t="s">
        <v>25</v>
      </c>
      <c r="P63" s="37">
        <v>0</v>
      </c>
      <c r="Q63" s="37">
        <v>0</v>
      </c>
      <c r="R63" s="37" t="s">
        <v>169</v>
      </c>
      <c r="S63" s="37"/>
    </row>
    <row r="64" spans="1:19" x14ac:dyDescent="0.3">
      <c r="A64" s="37">
        <v>91</v>
      </c>
      <c r="B64" s="37" t="s">
        <v>170</v>
      </c>
      <c r="C64" s="37" t="s">
        <v>138</v>
      </c>
      <c r="D64" s="37" t="s">
        <v>139</v>
      </c>
      <c r="E64" s="37" t="s">
        <v>22</v>
      </c>
      <c r="F64" s="42">
        <v>44926</v>
      </c>
      <c r="G64" s="37">
        <v>2022</v>
      </c>
      <c r="H64" s="37" t="s">
        <v>27</v>
      </c>
      <c r="I64" s="37" t="s">
        <v>28</v>
      </c>
      <c r="J64" s="37">
        <v>1759</v>
      </c>
      <c r="K64" s="37">
        <v>1759</v>
      </c>
      <c r="L64" s="24">
        <f t="shared" si="6"/>
        <v>1</v>
      </c>
      <c r="M64" s="24">
        <f t="shared" si="7"/>
        <v>1</v>
      </c>
      <c r="N64" s="37" t="s">
        <v>25</v>
      </c>
      <c r="O64" s="37" t="s">
        <v>25</v>
      </c>
      <c r="P64" s="37">
        <v>0</v>
      </c>
      <c r="Q64" s="37">
        <v>0</v>
      </c>
      <c r="R64" s="37" t="s">
        <v>171</v>
      </c>
      <c r="S64" s="37"/>
    </row>
    <row r="65" spans="1:19" x14ac:dyDescent="0.3">
      <c r="A65" s="41">
        <v>91</v>
      </c>
      <c r="B65" s="37" t="s">
        <v>170</v>
      </c>
      <c r="C65" s="37" t="s">
        <v>138</v>
      </c>
      <c r="D65" s="37" t="s">
        <v>139</v>
      </c>
      <c r="E65" s="37" t="s">
        <v>22</v>
      </c>
      <c r="F65" s="42">
        <v>45291</v>
      </c>
      <c r="G65" s="37">
        <v>2023</v>
      </c>
      <c r="H65" s="37" t="s">
        <v>27</v>
      </c>
      <c r="I65" s="39" t="s">
        <v>32</v>
      </c>
      <c r="J65" s="37">
        <v>4314</v>
      </c>
      <c r="K65" s="37">
        <v>4314</v>
      </c>
      <c r="L65" s="55">
        <f t="shared" si="6"/>
        <v>1</v>
      </c>
      <c r="M65" s="24">
        <f t="shared" si="7"/>
        <v>1</v>
      </c>
      <c r="N65" s="37" t="s">
        <v>25</v>
      </c>
      <c r="O65" s="37" t="s">
        <v>25</v>
      </c>
      <c r="P65" s="37">
        <v>0</v>
      </c>
      <c r="Q65" s="37">
        <v>0</v>
      </c>
      <c r="R65" s="37" t="s">
        <v>172</v>
      </c>
      <c r="S65" s="37"/>
    </row>
    <row r="66" spans="1:19" x14ac:dyDescent="0.3">
      <c r="A66" s="37">
        <v>91</v>
      </c>
      <c r="B66" s="37" t="s">
        <v>170</v>
      </c>
      <c r="C66" s="37" t="s">
        <v>138</v>
      </c>
      <c r="D66" s="37" t="s">
        <v>139</v>
      </c>
      <c r="E66" s="37" t="s">
        <v>22</v>
      </c>
      <c r="F66" s="42">
        <v>45657</v>
      </c>
      <c r="G66" s="37">
        <v>2024</v>
      </c>
      <c r="H66" s="37" t="s">
        <v>27</v>
      </c>
      <c r="I66" s="39" t="s">
        <v>36</v>
      </c>
      <c r="J66" s="37">
        <v>5348</v>
      </c>
      <c r="K66" s="37">
        <v>5348</v>
      </c>
      <c r="L66" s="24">
        <f t="shared" si="6"/>
        <v>1</v>
      </c>
      <c r="M66" s="24">
        <f t="shared" si="7"/>
        <v>1</v>
      </c>
      <c r="N66" s="37" t="s">
        <v>25</v>
      </c>
      <c r="O66" s="37" t="s">
        <v>25</v>
      </c>
      <c r="P66" s="37">
        <v>0</v>
      </c>
      <c r="Q66" s="37">
        <v>0</v>
      </c>
      <c r="R66" s="37" t="s">
        <v>173</v>
      </c>
      <c r="S66" s="37"/>
    </row>
    <row r="67" spans="1:19" x14ac:dyDescent="0.3">
      <c r="A67" s="37">
        <v>92</v>
      </c>
      <c r="B67" s="37" t="s">
        <v>174</v>
      </c>
      <c r="C67" s="37" t="s">
        <v>138</v>
      </c>
      <c r="D67" s="37" t="s">
        <v>139</v>
      </c>
      <c r="E67" s="37" t="s">
        <v>22</v>
      </c>
      <c r="F67" s="42">
        <v>44926</v>
      </c>
      <c r="G67" s="37">
        <v>2022</v>
      </c>
      <c r="H67" s="37" t="s">
        <v>27</v>
      </c>
      <c r="I67" s="37" t="s">
        <v>28</v>
      </c>
      <c r="J67" s="37">
        <v>100</v>
      </c>
      <c r="K67" s="37">
        <v>100</v>
      </c>
      <c r="L67" s="24">
        <f>IFERROR(IF(OR(J67=0,K67=""),"",IF(E67="Positivo",MIN(MAX(K67/J67,0),1),MIN(MAX(J67/K67,0),1))),"")</f>
        <v>1</v>
      </c>
      <c r="M67" s="24">
        <f>IFERROR(IF(OR(J67=0,K67=""),"",IF(E67="Positivo",MIN(MAX(K67/J67,0),1),MIN(MAX(J67/K67,0),1))),"")</f>
        <v>1</v>
      </c>
      <c r="N67" s="37" t="s">
        <v>25</v>
      </c>
      <c r="O67" s="37" t="s">
        <v>25</v>
      </c>
      <c r="P67" s="37">
        <v>0</v>
      </c>
      <c r="Q67" s="37">
        <v>0</v>
      </c>
      <c r="R67" s="37" t="s">
        <v>175</v>
      </c>
      <c r="S67" s="37"/>
    </row>
    <row r="68" spans="1:19" x14ac:dyDescent="0.3">
      <c r="A68" s="41">
        <v>92</v>
      </c>
      <c r="B68" s="37" t="s">
        <v>174</v>
      </c>
      <c r="C68" s="37" t="s">
        <v>138</v>
      </c>
      <c r="D68" s="37" t="s">
        <v>139</v>
      </c>
      <c r="E68" s="37" t="s">
        <v>22</v>
      </c>
      <c r="F68" s="42">
        <v>45291</v>
      </c>
      <c r="G68" s="37">
        <v>2023</v>
      </c>
      <c r="H68" s="37" t="s">
        <v>27</v>
      </c>
      <c r="I68" s="70" t="s">
        <v>32</v>
      </c>
      <c r="J68" s="37">
        <v>100</v>
      </c>
      <c r="K68" s="37">
        <v>100</v>
      </c>
      <c r="L68" s="55">
        <f>IFERROR(IF(OR(J68=0,K68=""),"",IF(E68="Positivo",MIN(MAX(K68/J68,0),1),MIN(MAX(J68/K68,0),1))),"")</f>
        <v>1</v>
      </c>
      <c r="M68" s="24">
        <f>IFERROR(IF(OR(J68=0,K68=""),"",IF(E68="Positivo",MIN(MAX(K68/J68,0),1),MIN(MAX(J68/K68,0),1))),"")</f>
        <v>1</v>
      </c>
      <c r="N68" s="37" t="s">
        <v>25</v>
      </c>
      <c r="O68" s="37" t="s">
        <v>25</v>
      </c>
      <c r="P68" s="37">
        <v>0</v>
      </c>
      <c r="Q68" s="37">
        <v>0</v>
      </c>
      <c r="R68" s="37" t="s">
        <v>176</v>
      </c>
      <c r="S68" s="37"/>
    </row>
    <row r="69" spans="1:19" x14ac:dyDescent="0.3">
      <c r="A69" s="37">
        <v>92</v>
      </c>
      <c r="B69" s="37" t="s">
        <v>174</v>
      </c>
      <c r="C69" s="37" t="s">
        <v>138</v>
      </c>
      <c r="D69" s="37" t="s">
        <v>139</v>
      </c>
      <c r="E69" s="37" t="s">
        <v>22</v>
      </c>
      <c r="F69" s="42">
        <v>45657</v>
      </c>
      <c r="G69" s="37">
        <v>2024</v>
      </c>
      <c r="H69" s="37" t="s">
        <v>27</v>
      </c>
      <c r="I69" s="70" t="s">
        <v>36</v>
      </c>
      <c r="J69" s="37">
        <v>98</v>
      </c>
      <c r="K69" s="37">
        <v>100</v>
      </c>
      <c r="L69" s="24">
        <f>IFERROR(IF(OR(J69=0,K69=""),"",IF(E69="Positivo",MIN(MAX(K69/J69,0),1),MIN(MAX(J69/K69,0),1))),"")</f>
        <v>1</v>
      </c>
      <c r="M69" s="24">
        <f>IFERROR(IF(OR(J69=0,K69=""),"",IF(E69="Positivo",MIN(MAX(K69/J69,0),1),MIN(MAX(J69/K69,0),1))),"")</f>
        <v>1</v>
      </c>
      <c r="N69" s="37" t="s">
        <v>25</v>
      </c>
      <c r="O69" s="37" t="s">
        <v>25</v>
      </c>
      <c r="P69" s="37">
        <v>0</v>
      </c>
      <c r="Q69" s="37">
        <v>0</v>
      </c>
      <c r="R69" s="37" t="s">
        <v>177</v>
      </c>
      <c r="S69" s="37"/>
    </row>
    <row r="70" spans="1:19" x14ac:dyDescent="0.3">
      <c r="A70" s="37">
        <v>94</v>
      </c>
      <c r="B70" s="37" t="s">
        <v>178</v>
      </c>
      <c r="C70" s="37" t="s">
        <v>138</v>
      </c>
      <c r="D70" s="37" t="s">
        <v>139</v>
      </c>
      <c r="E70" s="37" t="s">
        <v>22</v>
      </c>
      <c r="F70" s="42">
        <v>44926</v>
      </c>
      <c r="G70" s="37">
        <v>2022</v>
      </c>
      <c r="H70" s="37" t="s">
        <v>27</v>
      </c>
      <c r="I70" s="37" t="s">
        <v>28</v>
      </c>
      <c r="J70" s="37">
        <v>100</v>
      </c>
      <c r="K70" s="37">
        <v>100</v>
      </c>
      <c r="L70" s="24">
        <f t="shared" ref="L70:L82" si="8">IFERROR(IF(OR(J70=0,K70=""),"",IF(E70="Positivo",MIN(MAX(K70/J70,0),1.3),MIN(MAX(J70/K70,0),1.3))),"")</f>
        <v>1</v>
      </c>
      <c r="M70" s="24">
        <f t="shared" ref="M70:M82" si="9">IFERROR(IF(OR(J70=0,K70=""),"",IF(E70="Positivo",MAX(K70/J70,0),MAX(J70/K70,0))),"")</f>
        <v>1</v>
      </c>
      <c r="N70" s="37" t="s">
        <v>25</v>
      </c>
      <c r="O70" s="37" t="s">
        <v>25</v>
      </c>
      <c r="P70" s="37">
        <v>0</v>
      </c>
      <c r="Q70" s="37">
        <v>0</v>
      </c>
      <c r="R70" s="37" t="s">
        <v>179</v>
      </c>
      <c r="S70" s="37"/>
    </row>
    <row r="71" spans="1:19" x14ac:dyDescent="0.3">
      <c r="A71" s="41">
        <v>94</v>
      </c>
      <c r="B71" s="37" t="s">
        <v>178</v>
      </c>
      <c r="C71" s="37" t="s">
        <v>138</v>
      </c>
      <c r="D71" s="37" t="s">
        <v>139</v>
      </c>
      <c r="E71" s="37" t="s">
        <v>22</v>
      </c>
      <c r="F71" s="42">
        <v>45291</v>
      </c>
      <c r="G71" s="37">
        <v>2023</v>
      </c>
      <c r="H71" s="37" t="s">
        <v>27</v>
      </c>
      <c r="I71" s="39" t="s">
        <v>32</v>
      </c>
      <c r="J71" s="37">
        <v>100</v>
      </c>
      <c r="K71" s="37">
        <v>100</v>
      </c>
      <c r="L71" s="55">
        <f t="shared" si="8"/>
        <v>1</v>
      </c>
      <c r="M71" s="24">
        <f t="shared" si="9"/>
        <v>1</v>
      </c>
      <c r="N71" s="37" t="s">
        <v>25</v>
      </c>
      <c r="O71" s="37" t="s">
        <v>25</v>
      </c>
      <c r="P71" s="37">
        <v>0</v>
      </c>
      <c r="Q71" s="37">
        <v>0</v>
      </c>
      <c r="R71" s="37" t="s">
        <v>180</v>
      </c>
      <c r="S71" s="37"/>
    </row>
    <row r="72" spans="1:19" x14ac:dyDescent="0.3">
      <c r="A72" s="37">
        <v>94</v>
      </c>
      <c r="B72" s="37" t="s">
        <v>178</v>
      </c>
      <c r="C72" s="37" t="s">
        <v>138</v>
      </c>
      <c r="D72" s="37" t="s">
        <v>139</v>
      </c>
      <c r="E72" s="37" t="s">
        <v>22</v>
      </c>
      <c r="F72" s="42">
        <v>45657</v>
      </c>
      <c r="G72" s="37">
        <v>2024</v>
      </c>
      <c r="H72" s="37" t="s">
        <v>27</v>
      </c>
      <c r="I72" s="39" t="s">
        <v>36</v>
      </c>
      <c r="J72" s="37">
        <v>100</v>
      </c>
      <c r="K72" s="37">
        <v>100</v>
      </c>
      <c r="L72" s="55">
        <f t="shared" si="8"/>
        <v>1</v>
      </c>
      <c r="M72" s="24">
        <f t="shared" si="9"/>
        <v>1</v>
      </c>
      <c r="N72" s="37" t="s">
        <v>25</v>
      </c>
      <c r="O72" s="37" t="s">
        <v>25</v>
      </c>
      <c r="P72" s="37">
        <v>0</v>
      </c>
      <c r="Q72" s="37">
        <v>0</v>
      </c>
      <c r="R72" s="37" t="s">
        <v>181</v>
      </c>
      <c r="S72" s="37"/>
    </row>
    <row r="73" spans="1:19" x14ac:dyDescent="0.3">
      <c r="A73" s="37">
        <v>95</v>
      </c>
      <c r="B73" s="37" t="s">
        <v>182</v>
      </c>
      <c r="C73" s="37" t="s">
        <v>138</v>
      </c>
      <c r="D73" s="37" t="s">
        <v>21</v>
      </c>
      <c r="E73" s="37" t="s">
        <v>22</v>
      </c>
      <c r="F73" s="42">
        <v>44742</v>
      </c>
      <c r="G73" s="37">
        <v>2022</v>
      </c>
      <c r="H73" s="37" t="s">
        <v>23</v>
      </c>
      <c r="I73" s="37" t="s">
        <v>24</v>
      </c>
      <c r="J73" s="37">
        <v>22</v>
      </c>
      <c r="K73" s="37">
        <v>22</v>
      </c>
      <c r="L73" s="24">
        <f t="shared" si="8"/>
        <v>1</v>
      </c>
      <c r="M73" s="24">
        <f t="shared" si="9"/>
        <v>1</v>
      </c>
      <c r="N73" s="37" t="s">
        <v>25</v>
      </c>
      <c r="O73" s="37" t="s">
        <v>25</v>
      </c>
      <c r="P73" s="37">
        <v>0</v>
      </c>
      <c r="Q73" s="37">
        <v>0</v>
      </c>
      <c r="R73" s="37" t="s">
        <v>183</v>
      </c>
      <c r="S73" s="37"/>
    </row>
    <row r="74" spans="1:19" x14ac:dyDescent="0.3">
      <c r="A74" s="37">
        <v>95</v>
      </c>
      <c r="B74" s="37" t="s">
        <v>182</v>
      </c>
      <c r="C74" s="37" t="s">
        <v>138</v>
      </c>
      <c r="D74" s="37" t="s">
        <v>21</v>
      </c>
      <c r="E74" s="37" t="s">
        <v>22</v>
      </c>
      <c r="F74" s="42">
        <v>44926</v>
      </c>
      <c r="G74" s="37">
        <v>2022</v>
      </c>
      <c r="H74" s="37" t="s">
        <v>27</v>
      </c>
      <c r="I74" s="37" t="s">
        <v>28</v>
      </c>
      <c r="J74" s="37">
        <v>54</v>
      </c>
      <c r="K74" s="37">
        <v>54</v>
      </c>
      <c r="L74" s="24">
        <f t="shared" si="8"/>
        <v>1</v>
      </c>
      <c r="M74" s="24">
        <f t="shared" si="9"/>
        <v>1</v>
      </c>
      <c r="N74" s="37" t="s">
        <v>25</v>
      </c>
      <c r="O74" s="37" t="s">
        <v>25</v>
      </c>
      <c r="P74" s="37">
        <v>0</v>
      </c>
      <c r="Q74" s="37">
        <v>0</v>
      </c>
      <c r="R74" s="37" t="s">
        <v>184</v>
      </c>
      <c r="S74" s="37"/>
    </row>
    <row r="75" spans="1:19" x14ac:dyDescent="0.3">
      <c r="A75" s="45">
        <v>95</v>
      </c>
      <c r="B75" s="37" t="s">
        <v>182</v>
      </c>
      <c r="C75" s="37" t="s">
        <v>138</v>
      </c>
      <c r="D75" s="37" t="s">
        <v>21</v>
      </c>
      <c r="E75" s="37" t="s">
        <v>22</v>
      </c>
      <c r="F75" s="42">
        <v>45107</v>
      </c>
      <c r="G75" s="37">
        <v>2023</v>
      </c>
      <c r="H75" s="37" t="s">
        <v>23</v>
      </c>
      <c r="I75" s="39" t="s">
        <v>30</v>
      </c>
      <c r="J75" s="37">
        <v>38</v>
      </c>
      <c r="K75" s="37">
        <v>38</v>
      </c>
      <c r="L75" s="55">
        <f t="shared" si="8"/>
        <v>1</v>
      </c>
      <c r="M75" s="24">
        <f t="shared" si="9"/>
        <v>1</v>
      </c>
      <c r="N75" s="37" t="s">
        <v>25</v>
      </c>
      <c r="O75" s="37" t="s">
        <v>25</v>
      </c>
      <c r="P75" s="37">
        <v>0</v>
      </c>
      <c r="Q75" s="37">
        <v>0</v>
      </c>
      <c r="R75" s="37" t="s">
        <v>185</v>
      </c>
      <c r="S75" s="37"/>
    </row>
    <row r="76" spans="1:19" x14ac:dyDescent="0.3">
      <c r="A76" s="41">
        <v>95</v>
      </c>
      <c r="B76" s="37" t="s">
        <v>182</v>
      </c>
      <c r="C76" s="37" t="s">
        <v>138</v>
      </c>
      <c r="D76" s="37" t="s">
        <v>21</v>
      </c>
      <c r="E76" s="37" t="s">
        <v>22</v>
      </c>
      <c r="F76" s="42">
        <v>45291</v>
      </c>
      <c r="G76" s="37">
        <v>2023</v>
      </c>
      <c r="H76" s="37" t="s">
        <v>27</v>
      </c>
      <c r="I76" s="39" t="s">
        <v>32</v>
      </c>
      <c r="J76" s="37">
        <v>70</v>
      </c>
      <c r="K76" s="37">
        <v>70</v>
      </c>
      <c r="L76" s="55">
        <f t="shared" si="8"/>
        <v>1</v>
      </c>
      <c r="M76" s="24">
        <f t="shared" si="9"/>
        <v>1</v>
      </c>
      <c r="N76" s="37" t="s">
        <v>25</v>
      </c>
      <c r="O76" s="37" t="s">
        <v>25</v>
      </c>
      <c r="P76" s="37">
        <v>0</v>
      </c>
      <c r="Q76" s="37">
        <v>0</v>
      </c>
      <c r="R76" s="37" t="s">
        <v>186</v>
      </c>
      <c r="S76" s="37"/>
    </row>
    <row r="77" spans="1:19" x14ac:dyDescent="0.3">
      <c r="A77" s="37">
        <v>95</v>
      </c>
      <c r="B77" s="37" t="s">
        <v>182</v>
      </c>
      <c r="C77" s="37" t="s">
        <v>138</v>
      </c>
      <c r="D77" s="37" t="s">
        <v>21</v>
      </c>
      <c r="E77" s="37" t="s">
        <v>22</v>
      </c>
      <c r="F77" s="42">
        <v>45473</v>
      </c>
      <c r="G77" s="37">
        <v>2024</v>
      </c>
      <c r="H77" s="37" t="s">
        <v>23</v>
      </c>
      <c r="I77" s="39" t="s">
        <v>34</v>
      </c>
      <c r="J77" s="37">
        <v>49</v>
      </c>
      <c r="K77" s="37">
        <v>49</v>
      </c>
      <c r="L77" s="55">
        <f t="shared" si="8"/>
        <v>1</v>
      </c>
      <c r="M77" s="24">
        <f t="shared" si="9"/>
        <v>1</v>
      </c>
      <c r="N77" s="37" t="s">
        <v>25</v>
      </c>
      <c r="O77" s="37" t="s">
        <v>25</v>
      </c>
      <c r="P77" s="37">
        <v>0</v>
      </c>
      <c r="Q77" s="37">
        <v>0</v>
      </c>
      <c r="R77" s="37" t="s">
        <v>187</v>
      </c>
      <c r="S77" s="37"/>
    </row>
    <row r="78" spans="1:19" x14ac:dyDescent="0.3">
      <c r="A78" s="37">
        <v>95</v>
      </c>
      <c r="B78" s="37" t="s">
        <v>182</v>
      </c>
      <c r="C78" s="37" t="s">
        <v>138</v>
      </c>
      <c r="D78" s="37" t="s">
        <v>21</v>
      </c>
      <c r="E78" s="37" t="s">
        <v>22</v>
      </c>
      <c r="F78" s="42">
        <v>45657</v>
      </c>
      <c r="G78" s="37">
        <v>2024</v>
      </c>
      <c r="H78" s="37" t="s">
        <v>27</v>
      </c>
      <c r="I78" s="39" t="s">
        <v>36</v>
      </c>
      <c r="J78" s="37">
        <v>34</v>
      </c>
      <c r="K78" s="37">
        <v>34</v>
      </c>
      <c r="L78" s="55">
        <f t="shared" si="8"/>
        <v>1</v>
      </c>
      <c r="M78" s="24">
        <f t="shared" si="9"/>
        <v>1</v>
      </c>
      <c r="N78" s="37" t="s">
        <v>25</v>
      </c>
      <c r="O78" s="37" t="s">
        <v>25</v>
      </c>
      <c r="P78" s="37">
        <v>0</v>
      </c>
      <c r="Q78" s="37">
        <v>0</v>
      </c>
      <c r="R78" s="37" t="s">
        <v>188</v>
      </c>
      <c r="S78" s="37"/>
    </row>
    <row r="79" spans="1:19" x14ac:dyDescent="0.3">
      <c r="A79" s="37">
        <v>96</v>
      </c>
      <c r="B79" s="12" t="s">
        <v>189</v>
      </c>
      <c r="C79" s="37" t="s">
        <v>190</v>
      </c>
      <c r="D79" s="37" t="s">
        <v>21</v>
      </c>
      <c r="E79" s="37" t="s">
        <v>22</v>
      </c>
      <c r="F79" s="42">
        <v>44926</v>
      </c>
      <c r="G79" s="40">
        <v>2022</v>
      </c>
      <c r="H79" s="39" t="s">
        <v>27</v>
      </c>
      <c r="I79" s="39" t="s">
        <v>28</v>
      </c>
      <c r="J79" s="37">
        <v>509</v>
      </c>
      <c r="K79" s="37">
        <v>566</v>
      </c>
      <c r="L79" s="24">
        <f t="shared" si="8"/>
        <v>1.111984282907662</v>
      </c>
      <c r="M79" s="24">
        <f t="shared" si="9"/>
        <v>1.111984282907662</v>
      </c>
      <c r="N79" s="37" t="s">
        <v>203</v>
      </c>
      <c r="O79" s="37" t="s">
        <v>203</v>
      </c>
      <c r="P79" s="37">
        <v>0</v>
      </c>
      <c r="Q79" s="37">
        <v>0</v>
      </c>
      <c r="R79" s="37" t="s">
        <v>191</v>
      </c>
      <c r="S79" s="37"/>
    </row>
    <row r="80" spans="1:19" x14ac:dyDescent="0.3">
      <c r="A80" s="37">
        <v>100</v>
      </c>
      <c r="B80" s="37" t="s">
        <v>192</v>
      </c>
      <c r="C80" s="37" t="s">
        <v>138</v>
      </c>
      <c r="D80" s="37" t="s">
        <v>139</v>
      </c>
      <c r="E80" s="37" t="s">
        <v>22</v>
      </c>
      <c r="F80" s="42">
        <v>44926</v>
      </c>
      <c r="G80" s="37">
        <v>2022</v>
      </c>
      <c r="H80" s="37" t="s">
        <v>27</v>
      </c>
      <c r="I80" s="37" t="s">
        <v>28</v>
      </c>
      <c r="J80" s="37">
        <v>1</v>
      </c>
      <c r="K80" s="37">
        <v>98.3</v>
      </c>
      <c r="L80" s="24">
        <f t="shared" si="8"/>
        <v>1.3</v>
      </c>
      <c r="M80" s="24">
        <f t="shared" si="9"/>
        <v>98.3</v>
      </c>
      <c r="N80" s="37" t="s">
        <v>25</v>
      </c>
      <c r="O80" s="37" t="s">
        <v>25</v>
      </c>
      <c r="P80" s="37">
        <v>0</v>
      </c>
      <c r="Q80" s="37">
        <v>0</v>
      </c>
      <c r="R80" s="37" t="s">
        <v>193</v>
      </c>
      <c r="S80" s="37"/>
    </row>
    <row r="81" spans="1:19" x14ac:dyDescent="0.3">
      <c r="A81" s="41">
        <v>100</v>
      </c>
      <c r="B81" s="37" t="s">
        <v>192</v>
      </c>
      <c r="C81" s="37" t="s">
        <v>138</v>
      </c>
      <c r="D81" s="37" t="s">
        <v>139</v>
      </c>
      <c r="E81" s="37" t="s">
        <v>22</v>
      </c>
      <c r="F81" s="42">
        <v>45291</v>
      </c>
      <c r="G81" s="37">
        <v>2023</v>
      </c>
      <c r="H81" s="37" t="s">
        <v>27</v>
      </c>
      <c r="I81" s="39" t="s">
        <v>32</v>
      </c>
      <c r="J81" s="37">
        <v>100</v>
      </c>
      <c r="K81" s="37">
        <v>99</v>
      </c>
      <c r="L81" s="55">
        <f t="shared" si="8"/>
        <v>0.99</v>
      </c>
      <c r="M81" s="24">
        <f t="shared" si="9"/>
        <v>0.99</v>
      </c>
      <c r="N81" s="37" t="s">
        <v>25</v>
      </c>
      <c r="O81" s="37" t="s">
        <v>25</v>
      </c>
      <c r="P81" s="37">
        <v>0</v>
      </c>
      <c r="Q81" s="37">
        <v>0</v>
      </c>
      <c r="R81" s="37" t="s">
        <v>194</v>
      </c>
      <c r="S81" s="37"/>
    </row>
    <row r="82" spans="1:19" x14ac:dyDescent="0.3">
      <c r="A82" s="37">
        <v>100</v>
      </c>
      <c r="B82" s="37" t="s">
        <v>192</v>
      </c>
      <c r="C82" s="37" t="s">
        <v>138</v>
      </c>
      <c r="D82" s="37" t="s">
        <v>139</v>
      </c>
      <c r="E82" s="37" t="s">
        <v>22</v>
      </c>
      <c r="F82" s="42">
        <v>45657</v>
      </c>
      <c r="G82" s="37">
        <v>2024</v>
      </c>
      <c r="H82" s="37" t="s">
        <v>27</v>
      </c>
      <c r="I82" s="39" t="s">
        <v>36</v>
      </c>
      <c r="J82" s="37">
        <v>100</v>
      </c>
      <c r="K82" s="37">
        <v>99</v>
      </c>
      <c r="L82" s="24">
        <f t="shared" si="8"/>
        <v>0.99</v>
      </c>
      <c r="M82" s="24">
        <f t="shared" si="9"/>
        <v>0.99</v>
      </c>
      <c r="N82" s="37" t="s">
        <v>25</v>
      </c>
      <c r="O82" s="37" t="s">
        <v>25</v>
      </c>
      <c r="P82" s="37">
        <v>0</v>
      </c>
      <c r="Q82" s="37">
        <v>0</v>
      </c>
      <c r="R82" s="37" t="s">
        <v>195</v>
      </c>
      <c r="S82" s="37"/>
    </row>
    <row r="83" spans="1:19" x14ac:dyDescent="0.3">
      <c r="A83" s="37">
        <v>104</v>
      </c>
      <c r="B83" s="37" t="s">
        <v>196</v>
      </c>
      <c r="C83" s="37" t="s">
        <v>138</v>
      </c>
      <c r="D83" s="37" t="s">
        <v>139</v>
      </c>
      <c r="E83" s="37" t="s">
        <v>56</v>
      </c>
      <c r="F83" s="42">
        <v>44926</v>
      </c>
      <c r="G83" s="37">
        <v>2022</v>
      </c>
      <c r="H83" s="37" t="s">
        <v>27</v>
      </c>
      <c r="I83" s="37" t="s">
        <v>28</v>
      </c>
      <c r="J83" s="37">
        <v>2.14</v>
      </c>
      <c r="K83" s="37">
        <v>0.37174721189590998</v>
      </c>
      <c r="L83" s="24">
        <f t="shared" ref="L83:L88" si="10">IFERROR(IF(OR(J83=0,K83=""),"",IF(E83="Positivo",MIN(MAX(K83/J83,0),1),MIN(MAX(J83/K83,0),1))),"")</f>
        <v>1</v>
      </c>
      <c r="M83" s="24">
        <f t="shared" ref="M83:M88" si="11">IFERROR(IF(OR(J83=0,K83=""),"",IF(E83="Positivo",MIN(MAX(K83/J83,0),1),MIN(MAX(J83/K83,0),1))),"")</f>
        <v>1</v>
      </c>
      <c r="N83" s="37" t="s">
        <v>197</v>
      </c>
      <c r="O83" s="37" t="s">
        <v>197</v>
      </c>
      <c r="P83" s="37">
        <v>1</v>
      </c>
      <c r="Q83" s="37">
        <v>2</v>
      </c>
      <c r="R83" s="37" t="s">
        <v>198</v>
      </c>
      <c r="S83" s="37"/>
    </row>
    <row r="84" spans="1:19" x14ac:dyDescent="0.3">
      <c r="A84" s="41">
        <v>104</v>
      </c>
      <c r="B84" s="37" t="s">
        <v>196</v>
      </c>
      <c r="C84" s="37" t="s">
        <v>138</v>
      </c>
      <c r="D84" s="37" t="s">
        <v>139</v>
      </c>
      <c r="E84" s="37" t="s">
        <v>56</v>
      </c>
      <c r="F84" s="42">
        <v>45291</v>
      </c>
      <c r="G84" s="37">
        <v>2023</v>
      </c>
      <c r="H84" s="37" t="s">
        <v>27</v>
      </c>
      <c r="I84" s="39" t="s">
        <v>32</v>
      </c>
      <c r="J84" s="37">
        <v>2.14</v>
      </c>
      <c r="K84" s="37">
        <v>0.47</v>
      </c>
      <c r="L84" s="24">
        <f t="shared" si="10"/>
        <v>1</v>
      </c>
      <c r="M84" s="24">
        <f t="shared" si="11"/>
        <v>1</v>
      </c>
      <c r="N84" s="37" t="s">
        <v>197</v>
      </c>
      <c r="O84" s="37" t="s">
        <v>197</v>
      </c>
      <c r="P84" s="37">
        <v>2</v>
      </c>
      <c r="Q84" s="37">
        <v>2</v>
      </c>
      <c r="R84" s="37" t="s">
        <v>199</v>
      </c>
      <c r="S84" s="37"/>
    </row>
    <row r="85" spans="1:19" x14ac:dyDescent="0.3">
      <c r="A85" s="37">
        <v>104</v>
      </c>
      <c r="B85" s="37" t="s">
        <v>196</v>
      </c>
      <c r="C85" s="37" t="s">
        <v>138</v>
      </c>
      <c r="D85" s="37" t="s">
        <v>139</v>
      </c>
      <c r="E85" s="37" t="s">
        <v>56</v>
      </c>
      <c r="F85" s="42">
        <v>45657</v>
      </c>
      <c r="G85" s="37">
        <v>2024</v>
      </c>
      <c r="H85" s="37" t="s">
        <v>27</v>
      </c>
      <c r="I85" s="39" t="s">
        <v>36</v>
      </c>
      <c r="J85" s="37">
        <v>1.2</v>
      </c>
      <c r="K85" s="43">
        <v>0.11</v>
      </c>
      <c r="L85" s="24">
        <f t="shared" si="10"/>
        <v>1</v>
      </c>
      <c r="M85" s="24">
        <f t="shared" si="11"/>
        <v>1</v>
      </c>
      <c r="N85" s="37" t="s">
        <v>197</v>
      </c>
      <c r="O85" s="37" t="s">
        <v>197</v>
      </c>
      <c r="P85" s="37">
        <v>1</v>
      </c>
      <c r="Q85" s="37">
        <v>2</v>
      </c>
      <c r="R85" s="37" t="s">
        <v>200</v>
      </c>
      <c r="S85" s="37"/>
    </row>
    <row r="86" spans="1:19" x14ac:dyDescent="0.3">
      <c r="A86" s="37">
        <v>106</v>
      </c>
      <c r="B86" s="37" t="s">
        <v>201</v>
      </c>
      <c r="C86" s="37" t="s">
        <v>138</v>
      </c>
      <c r="D86" s="37" t="s">
        <v>139</v>
      </c>
      <c r="E86" s="37" t="s">
        <v>56</v>
      </c>
      <c r="F86" s="42">
        <v>44926</v>
      </c>
      <c r="G86" s="37">
        <v>2022</v>
      </c>
      <c r="H86" s="37" t="s">
        <v>27</v>
      </c>
      <c r="I86" s="37" t="s">
        <v>28</v>
      </c>
      <c r="J86" s="37">
        <v>0</v>
      </c>
      <c r="K86" s="37">
        <v>0</v>
      </c>
      <c r="L86" s="24" t="str">
        <f t="shared" si="10"/>
        <v/>
      </c>
      <c r="M86" s="24" t="str">
        <f t="shared" si="11"/>
        <v/>
      </c>
      <c r="N86" s="37" t="s">
        <v>197</v>
      </c>
      <c r="O86" s="37" t="s">
        <v>197</v>
      </c>
      <c r="P86" s="37">
        <v>0</v>
      </c>
      <c r="Q86" s="37">
        <v>0</v>
      </c>
      <c r="R86" s="37" t="s">
        <v>202</v>
      </c>
      <c r="S86" s="37"/>
    </row>
    <row r="87" spans="1:19" x14ac:dyDescent="0.3">
      <c r="A87" s="41">
        <v>106</v>
      </c>
      <c r="B87" s="37" t="s">
        <v>201</v>
      </c>
      <c r="C87" s="37" t="s">
        <v>138</v>
      </c>
      <c r="D87" s="37" t="s">
        <v>139</v>
      </c>
      <c r="E87" s="37" t="s">
        <v>56</v>
      </c>
      <c r="F87" s="42">
        <v>45291</v>
      </c>
      <c r="G87" s="37">
        <v>2023</v>
      </c>
      <c r="H87" s="37" t="s">
        <v>27</v>
      </c>
      <c r="I87" s="39" t="s">
        <v>32</v>
      </c>
      <c r="J87" s="37">
        <v>0</v>
      </c>
      <c r="K87" s="56">
        <v>0</v>
      </c>
      <c r="L87" s="24" t="str">
        <f t="shared" si="10"/>
        <v/>
      </c>
      <c r="M87" s="24" t="str">
        <f t="shared" si="11"/>
        <v/>
      </c>
      <c r="N87" s="37" t="s">
        <v>203</v>
      </c>
      <c r="O87" s="37" t="s">
        <v>203</v>
      </c>
      <c r="P87" s="37">
        <v>0</v>
      </c>
      <c r="Q87" s="37">
        <v>0</v>
      </c>
      <c r="R87" s="37" t="s">
        <v>204</v>
      </c>
      <c r="S87" s="37"/>
    </row>
    <row r="88" spans="1:19" x14ac:dyDescent="0.3">
      <c r="A88" s="37">
        <v>106</v>
      </c>
      <c r="B88" s="37" t="s">
        <v>201</v>
      </c>
      <c r="C88" s="37" t="s">
        <v>138</v>
      </c>
      <c r="D88" s="37" t="s">
        <v>139</v>
      </c>
      <c r="E88" s="37" t="s">
        <v>56</v>
      </c>
      <c r="F88" s="42">
        <v>45657</v>
      </c>
      <c r="G88" s="37">
        <v>2024</v>
      </c>
      <c r="H88" s="37" t="s">
        <v>27</v>
      </c>
      <c r="I88" s="39" t="s">
        <v>36</v>
      </c>
      <c r="J88" s="37">
        <v>0</v>
      </c>
      <c r="K88" s="56">
        <v>0</v>
      </c>
      <c r="L88" s="24" t="str">
        <f t="shared" si="10"/>
        <v/>
      </c>
      <c r="M88" s="24" t="str">
        <f t="shared" si="11"/>
        <v/>
      </c>
      <c r="N88" s="37" t="s">
        <v>203</v>
      </c>
      <c r="O88" s="37" t="s">
        <v>203</v>
      </c>
      <c r="P88" s="37">
        <v>0</v>
      </c>
      <c r="Q88" s="37">
        <v>0</v>
      </c>
      <c r="R88" s="37" t="s">
        <v>205</v>
      </c>
      <c r="S88" s="37"/>
    </row>
    <row r="89" spans="1:19" x14ac:dyDescent="0.3">
      <c r="A89" s="41">
        <v>108</v>
      </c>
      <c r="B89" s="37" t="s">
        <v>206</v>
      </c>
      <c r="C89" s="37" t="s">
        <v>3486</v>
      </c>
      <c r="D89" s="37" t="s">
        <v>139</v>
      </c>
      <c r="E89" s="37" t="s">
        <v>22</v>
      </c>
      <c r="F89" s="42">
        <v>45291</v>
      </c>
      <c r="G89" s="37">
        <v>2023</v>
      </c>
      <c r="H89" s="37" t="s">
        <v>27</v>
      </c>
      <c r="I89" s="39" t="s">
        <v>32</v>
      </c>
      <c r="J89" s="37"/>
      <c r="K89" s="37"/>
      <c r="L89" s="55"/>
      <c r="M89" s="24"/>
      <c r="N89" s="37"/>
      <c r="O89" s="37"/>
      <c r="P89" s="37">
        <v>0</v>
      </c>
      <c r="Q89" s="37">
        <v>0</v>
      </c>
      <c r="R89" s="37" t="s">
        <v>3487</v>
      </c>
      <c r="S89" s="37"/>
    </row>
    <row r="90" spans="1:19" x14ac:dyDescent="0.3">
      <c r="A90" s="37">
        <v>108</v>
      </c>
      <c r="B90" s="37" t="s">
        <v>206</v>
      </c>
      <c r="C90" s="37" t="s">
        <v>3486</v>
      </c>
      <c r="D90" s="37" t="s">
        <v>139</v>
      </c>
      <c r="E90" s="37" t="s">
        <v>22</v>
      </c>
      <c r="F90" s="42">
        <v>45657</v>
      </c>
      <c r="G90" s="37">
        <v>2024</v>
      </c>
      <c r="H90" s="37" t="s">
        <v>27</v>
      </c>
      <c r="I90" s="39" t="s">
        <v>36</v>
      </c>
      <c r="J90" s="37"/>
      <c r="K90" s="37"/>
      <c r="L90" s="24"/>
      <c r="M90" s="24"/>
      <c r="N90" s="37"/>
      <c r="O90" s="37"/>
      <c r="P90" s="37">
        <v>0</v>
      </c>
      <c r="Q90" s="37">
        <v>0</v>
      </c>
      <c r="R90" s="37" t="s">
        <v>3488</v>
      </c>
      <c r="S90" s="37"/>
    </row>
    <row r="91" spans="1:19" x14ac:dyDescent="0.3">
      <c r="A91" s="41">
        <v>109</v>
      </c>
      <c r="B91" s="37" t="s">
        <v>206</v>
      </c>
      <c r="C91" s="37" t="s">
        <v>3489</v>
      </c>
      <c r="D91" s="37" t="s">
        <v>139</v>
      </c>
      <c r="E91" s="37" t="s">
        <v>22</v>
      </c>
      <c r="F91" s="42">
        <v>45291</v>
      </c>
      <c r="G91" s="37">
        <v>2023</v>
      </c>
      <c r="H91" s="37" t="s">
        <v>27</v>
      </c>
      <c r="I91" s="39" t="s">
        <v>32</v>
      </c>
      <c r="J91" s="37"/>
      <c r="K91" s="37"/>
      <c r="L91" s="55"/>
      <c r="M91" s="24"/>
      <c r="N91" s="37"/>
      <c r="O91" s="37"/>
      <c r="P91" s="37">
        <v>0</v>
      </c>
      <c r="Q91" s="37">
        <v>0</v>
      </c>
      <c r="R91" s="37" t="s">
        <v>3490</v>
      </c>
      <c r="S91" s="37"/>
    </row>
    <row r="92" spans="1:19" x14ac:dyDescent="0.3">
      <c r="A92" s="37">
        <v>109</v>
      </c>
      <c r="B92" s="37" t="s">
        <v>206</v>
      </c>
      <c r="C92" s="37" t="s">
        <v>207</v>
      </c>
      <c r="D92" s="37" t="s">
        <v>139</v>
      </c>
      <c r="E92" s="37" t="s">
        <v>22</v>
      </c>
      <c r="F92" s="42">
        <v>45657</v>
      </c>
      <c r="G92" s="37">
        <v>2024</v>
      </c>
      <c r="H92" s="37" t="s">
        <v>27</v>
      </c>
      <c r="I92" s="39" t="s">
        <v>36</v>
      </c>
      <c r="J92" s="37"/>
      <c r="K92" s="37"/>
      <c r="L92" s="24"/>
      <c r="M92" s="24"/>
      <c r="N92" s="37"/>
      <c r="O92" s="37"/>
      <c r="P92" s="37">
        <v>0</v>
      </c>
      <c r="Q92" s="37">
        <v>0</v>
      </c>
      <c r="R92" s="37" t="s">
        <v>3491</v>
      </c>
      <c r="S92" s="37"/>
    </row>
    <row r="93" spans="1:19" x14ac:dyDescent="0.3">
      <c r="A93" s="37">
        <v>110</v>
      </c>
      <c r="B93" s="37" t="s">
        <v>206</v>
      </c>
      <c r="C93" s="37" t="s">
        <v>210</v>
      </c>
      <c r="D93" s="37" t="s">
        <v>139</v>
      </c>
      <c r="E93" s="37" t="s">
        <v>22</v>
      </c>
      <c r="F93" s="42">
        <v>44865</v>
      </c>
      <c r="G93" s="37">
        <v>2022</v>
      </c>
      <c r="H93" s="37" t="s">
        <v>89</v>
      </c>
      <c r="I93" s="39" t="s">
        <v>28</v>
      </c>
      <c r="J93" s="37">
        <v>80</v>
      </c>
      <c r="K93" s="37">
        <v>73.401915113871596</v>
      </c>
      <c r="L93" s="55">
        <f>IFERROR(IF(OR(J93=0,K93=""),"",IF(E93="Positivo",MIN(MAX(K93/J93,0),1.3),MIN(MAX(J93/K93,0),1.3))),"")</f>
        <v>0.9175239389233949</v>
      </c>
      <c r="M93" s="24">
        <f>IFERROR(IF(OR(J93=0,K93=""),"",IF(E93="Positivo",MAX(K93/J93,0),MAX(J93/K93,0))),"")</f>
        <v>0.9175239389233949</v>
      </c>
      <c r="N93" s="37" t="s">
        <v>25</v>
      </c>
      <c r="O93" s="37" t="s">
        <v>25</v>
      </c>
      <c r="P93" s="37">
        <v>0</v>
      </c>
      <c r="Q93" s="37">
        <v>0</v>
      </c>
      <c r="R93" s="37" t="s">
        <v>211</v>
      </c>
      <c r="S93" s="37"/>
    </row>
    <row r="94" spans="1:19" x14ac:dyDescent="0.3">
      <c r="A94" s="37">
        <v>110</v>
      </c>
      <c r="B94" s="37" t="s">
        <v>206</v>
      </c>
      <c r="C94" s="37" t="s">
        <v>210</v>
      </c>
      <c r="D94" s="37" t="s">
        <v>139</v>
      </c>
      <c r="E94" s="37" t="s">
        <v>22</v>
      </c>
      <c r="F94" s="42">
        <v>45291</v>
      </c>
      <c r="G94" s="37">
        <v>2023</v>
      </c>
      <c r="H94" s="37" t="s">
        <v>27</v>
      </c>
      <c r="I94" s="39" t="s">
        <v>32</v>
      </c>
      <c r="J94" s="37">
        <v>80</v>
      </c>
      <c r="K94" s="37">
        <v>78</v>
      </c>
      <c r="L94" s="55">
        <f>IFERROR(IF(OR(J94=0,K94=""),"",IF(E94="Positivo",MIN(MAX(K94/J94,0),1.3),MIN(MAX(J94/K94,0),1.3))),"")</f>
        <v>0.97499999999999998</v>
      </c>
      <c r="M94" s="24">
        <f>IFERROR(IF(OR(J94=0,K94=""),"",IF(E94="Positivo",MAX(K94/J94,0),MAX(J94/K94,0))),"")</f>
        <v>0.97499999999999998</v>
      </c>
      <c r="N94" s="37" t="s">
        <v>25</v>
      </c>
      <c r="O94" s="37" t="s">
        <v>25</v>
      </c>
      <c r="P94" s="37">
        <v>0</v>
      </c>
      <c r="Q94" s="37">
        <v>0</v>
      </c>
      <c r="R94" s="37" t="s">
        <v>213</v>
      </c>
      <c r="S94" s="37"/>
    </row>
    <row r="95" spans="1:19" x14ac:dyDescent="0.3">
      <c r="A95" s="37">
        <v>110</v>
      </c>
      <c r="B95" s="37" t="s">
        <v>206</v>
      </c>
      <c r="C95" s="37" t="s">
        <v>3492</v>
      </c>
      <c r="D95" s="37" t="s">
        <v>139</v>
      </c>
      <c r="E95" s="37" t="s">
        <v>22</v>
      </c>
      <c r="F95" s="42">
        <v>45657</v>
      </c>
      <c r="G95" s="37">
        <v>2024</v>
      </c>
      <c r="H95" s="37" t="s">
        <v>27</v>
      </c>
      <c r="I95" s="39" t="s">
        <v>36</v>
      </c>
      <c r="J95" s="37"/>
      <c r="K95" s="37"/>
      <c r="L95" s="24"/>
      <c r="M95" s="24"/>
      <c r="N95" s="37"/>
      <c r="O95" s="37"/>
      <c r="P95" s="37">
        <v>0</v>
      </c>
      <c r="Q95" s="37">
        <v>0</v>
      </c>
      <c r="R95" s="37" t="s">
        <v>3493</v>
      </c>
      <c r="S95" s="37"/>
    </row>
    <row r="96" spans="1:19" x14ac:dyDescent="0.3">
      <c r="A96" s="37">
        <v>111</v>
      </c>
      <c r="B96" s="37" t="s">
        <v>206</v>
      </c>
      <c r="C96" s="37" t="s">
        <v>20</v>
      </c>
      <c r="D96" s="37" t="s">
        <v>39</v>
      </c>
      <c r="E96" s="37" t="s">
        <v>22</v>
      </c>
      <c r="F96" s="42">
        <v>44926</v>
      </c>
      <c r="G96" s="37">
        <v>2022</v>
      </c>
      <c r="H96" s="37" t="s">
        <v>27</v>
      </c>
      <c r="I96" s="37" t="s">
        <v>28</v>
      </c>
      <c r="J96" s="37"/>
      <c r="K96" s="37">
        <v>70</v>
      </c>
      <c r="L96" s="24"/>
      <c r="M96" s="24"/>
      <c r="N96" s="37" t="s">
        <v>25</v>
      </c>
      <c r="O96" s="37" t="s">
        <v>25</v>
      </c>
      <c r="P96" s="37">
        <v>0</v>
      </c>
      <c r="Q96" s="37">
        <v>0</v>
      </c>
      <c r="R96" s="37" t="s">
        <v>3494</v>
      </c>
      <c r="S96" s="37"/>
    </row>
    <row r="97" spans="1:19" x14ac:dyDescent="0.3">
      <c r="A97" s="41">
        <v>111</v>
      </c>
      <c r="B97" s="37" t="s">
        <v>206</v>
      </c>
      <c r="C97" s="37" t="s">
        <v>20</v>
      </c>
      <c r="D97" s="37" t="s">
        <v>39</v>
      </c>
      <c r="E97" s="37" t="s">
        <v>22</v>
      </c>
      <c r="F97" s="42">
        <v>45107</v>
      </c>
      <c r="G97" s="37">
        <v>2023</v>
      </c>
      <c r="H97" s="37" t="s">
        <v>23</v>
      </c>
      <c r="I97" s="39" t="s">
        <v>30</v>
      </c>
      <c r="J97" s="37">
        <v>80</v>
      </c>
      <c r="K97" s="43">
        <v>88.5</v>
      </c>
      <c r="L97" s="55">
        <f t="shared" ref="L97:L100" si="12">IFERROR(IF(OR(J97=0,K97=""),"",IF(E97="Positivo",MIN(MAX(K97/J97,0),1.3),MIN(MAX(J97/K97,0),1.3))),"")</f>
        <v>1.10625</v>
      </c>
      <c r="M97" s="24">
        <f t="shared" ref="M97:M100" si="13">IFERROR(IF(OR(J97=0,K97=""),"",IF(E97="Positivo",MAX(K97/J97,0),MAX(J97/K97,0))),"")</f>
        <v>1.10625</v>
      </c>
      <c r="N97" s="37" t="s">
        <v>25</v>
      </c>
      <c r="O97" s="37" t="s">
        <v>25</v>
      </c>
      <c r="P97" s="37">
        <v>0</v>
      </c>
      <c r="Q97" s="37">
        <v>0</v>
      </c>
      <c r="R97" s="37" t="s">
        <v>216</v>
      </c>
      <c r="S97" s="37"/>
    </row>
    <row r="98" spans="1:19" x14ac:dyDescent="0.3">
      <c r="A98" s="41">
        <v>111</v>
      </c>
      <c r="B98" s="37" t="s">
        <v>206</v>
      </c>
      <c r="C98" s="37" t="s">
        <v>20</v>
      </c>
      <c r="D98" s="37" t="s">
        <v>39</v>
      </c>
      <c r="E98" s="37" t="s">
        <v>22</v>
      </c>
      <c r="F98" s="42">
        <v>45291</v>
      </c>
      <c r="G98" s="37">
        <v>2023</v>
      </c>
      <c r="H98" s="37" t="s">
        <v>27</v>
      </c>
      <c r="I98" s="70" t="s">
        <v>32</v>
      </c>
      <c r="J98" s="53">
        <v>80</v>
      </c>
      <c r="K98" s="54">
        <v>94.5</v>
      </c>
      <c r="L98" s="55">
        <f t="shared" si="12"/>
        <v>1.1812499999999999</v>
      </c>
      <c r="M98" s="24">
        <f t="shared" si="13"/>
        <v>1.1812499999999999</v>
      </c>
      <c r="N98" s="37" t="s">
        <v>25</v>
      </c>
      <c r="O98" s="37" t="s">
        <v>25</v>
      </c>
      <c r="P98" s="37">
        <v>0</v>
      </c>
      <c r="Q98" s="37">
        <v>0</v>
      </c>
      <c r="R98" s="37" t="s">
        <v>218</v>
      </c>
      <c r="S98" s="37"/>
    </row>
    <row r="99" spans="1:19" x14ac:dyDescent="0.3">
      <c r="A99" s="37">
        <v>111</v>
      </c>
      <c r="B99" s="37" t="s">
        <v>206</v>
      </c>
      <c r="C99" s="37" t="s">
        <v>20</v>
      </c>
      <c r="D99" s="37" t="s">
        <v>39</v>
      </c>
      <c r="E99" s="37" t="s">
        <v>22</v>
      </c>
      <c r="F99" s="42">
        <v>45473</v>
      </c>
      <c r="G99" s="37">
        <v>2024</v>
      </c>
      <c r="H99" s="37" t="s">
        <v>23</v>
      </c>
      <c r="I99" s="39" t="s">
        <v>34</v>
      </c>
      <c r="J99" s="53">
        <v>80</v>
      </c>
      <c r="K99" s="54">
        <v>96</v>
      </c>
      <c r="L99" s="24">
        <f t="shared" si="12"/>
        <v>1.2</v>
      </c>
      <c r="M99" s="24">
        <f t="shared" si="13"/>
        <v>1.2</v>
      </c>
      <c r="N99" s="37" t="s">
        <v>25</v>
      </c>
      <c r="O99" s="37" t="s">
        <v>25</v>
      </c>
      <c r="P99" s="37">
        <v>0</v>
      </c>
      <c r="Q99" s="37">
        <v>0</v>
      </c>
      <c r="R99" s="37" t="s">
        <v>220</v>
      </c>
      <c r="S99" s="37"/>
    </row>
    <row r="100" spans="1:19" x14ac:dyDescent="0.3">
      <c r="A100" s="37">
        <v>111</v>
      </c>
      <c r="B100" s="37" t="s">
        <v>206</v>
      </c>
      <c r="C100" s="37" t="s">
        <v>20</v>
      </c>
      <c r="D100" s="37" t="s">
        <v>39</v>
      </c>
      <c r="E100" s="37" t="s">
        <v>22</v>
      </c>
      <c r="F100" s="42">
        <v>45657</v>
      </c>
      <c r="G100" s="37">
        <v>2024</v>
      </c>
      <c r="H100" s="37" t="s">
        <v>27</v>
      </c>
      <c r="I100" s="39" t="s">
        <v>36</v>
      </c>
      <c r="J100" s="37">
        <v>80</v>
      </c>
      <c r="K100" s="43">
        <v>89.35</v>
      </c>
      <c r="L100" s="24">
        <f t="shared" si="12"/>
        <v>1.1168749999999998</v>
      </c>
      <c r="M100" s="24">
        <f t="shared" si="13"/>
        <v>1.1168749999999998</v>
      </c>
      <c r="N100" s="37" t="s">
        <v>25</v>
      </c>
      <c r="O100" s="37" t="s">
        <v>25</v>
      </c>
      <c r="P100" s="37">
        <v>0</v>
      </c>
      <c r="Q100" s="37">
        <v>0</v>
      </c>
      <c r="R100" s="37" t="s">
        <v>222</v>
      </c>
      <c r="S100" s="37"/>
    </row>
    <row r="101" spans="1:19" x14ac:dyDescent="0.3">
      <c r="A101" s="37">
        <v>112</v>
      </c>
      <c r="B101" s="37" t="s">
        <v>206</v>
      </c>
      <c r="C101" s="37" t="s">
        <v>224</v>
      </c>
      <c r="D101" s="37" t="s">
        <v>139</v>
      </c>
      <c r="E101" s="37" t="s">
        <v>22</v>
      </c>
      <c r="F101" s="42">
        <v>44865</v>
      </c>
      <c r="G101" s="37">
        <v>2022</v>
      </c>
      <c r="H101" s="37" t="s">
        <v>89</v>
      </c>
      <c r="I101" s="70" t="s">
        <v>28</v>
      </c>
      <c r="J101" s="37">
        <v>80</v>
      </c>
      <c r="K101" s="37">
        <v>85</v>
      </c>
      <c r="L101" s="55">
        <f t="shared" ref="L101:L110" si="14">IFERROR(IF(OR(J101=0,K101=""),"",IF(E101="Positivo",MIN(MAX(K101/J101,0),1.3),MIN(MAX(J101/K101,0),1.3))),"")</f>
        <v>1.0625</v>
      </c>
      <c r="M101" s="24">
        <f t="shared" ref="M101:M110" si="15">IFERROR(IF(OR(J101=0,K101=""),"",IF(E101="Positivo",MAX(K101/J101,0),MAX(J101/K101,0))),"")</f>
        <v>1.0625</v>
      </c>
      <c r="N101" s="37" t="s">
        <v>25</v>
      </c>
      <c r="O101" s="37" t="s">
        <v>25</v>
      </c>
      <c r="P101" s="37">
        <v>0</v>
      </c>
      <c r="Q101" s="37">
        <v>0</v>
      </c>
      <c r="R101" s="37" t="s">
        <v>225</v>
      </c>
      <c r="S101" s="37"/>
    </row>
    <row r="102" spans="1:19" x14ac:dyDescent="0.3">
      <c r="A102" s="37">
        <v>112</v>
      </c>
      <c r="B102" s="37" t="s">
        <v>206</v>
      </c>
      <c r="C102" s="37" t="s">
        <v>224</v>
      </c>
      <c r="D102" s="37" t="s">
        <v>139</v>
      </c>
      <c r="E102" s="37" t="s">
        <v>22</v>
      </c>
      <c r="F102" s="42">
        <v>45291</v>
      </c>
      <c r="G102" s="37">
        <v>2023</v>
      </c>
      <c r="H102" s="37" t="s">
        <v>27</v>
      </c>
      <c r="I102" s="39" t="s">
        <v>32</v>
      </c>
      <c r="J102" s="53">
        <v>80</v>
      </c>
      <c r="K102" s="53">
        <v>89.603847284377991</v>
      </c>
      <c r="L102" s="55">
        <f t="shared" si="14"/>
        <v>1.1200480910547248</v>
      </c>
      <c r="M102" s="24">
        <f t="shared" si="15"/>
        <v>1.1200480910547248</v>
      </c>
      <c r="N102" s="37" t="s">
        <v>25</v>
      </c>
      <c r="O102" s="37" t="s">
        <v>25</v>
      </c>
      <c r="P102" s="37">
        <v>0</v>
      </c>
      <c r="Q102" s="37">
        <v>0</v>
      </c>
      <c r="R102" s="37" t="s">
        <v>3495</v>
      </c>
      <c r="S102" s="37"/>
    </row>
    <row r="103" spans="1:19" x14ac:dyDescent="0.3">
      <c r="A103" s="37">
        <v>112</v>
      </c>
      <c r="B103" s="37" t="s">
        <v>206</v>
      </c>
      <c r="C103" s="37" t="s">
        <v>224</v>
      </c>
      <c r="D103" s="37" t="s">
        <v>139</v>
      </c>
      <c r="E103" s="37" t="s">
        <v>22</v>
      </c>
      <c r="F103" s="42">
        <v>45657</v>
      </c>
      <c r="G103" s="37">
        <v>2024</v>
      </c>
      <c r="H103" s="37" t="s">
        <v>27</v>
      </c>
      <c r="I103" s="39" t="s">
        <v>36</v>
      </c>
      <c r="J103" s="37">
        <v>80</v>
      </c>
      <c r="K103" s="53">
        <v>90</v>
      </c>
      <c r="L103" s="24">
        <f t="shared" si="14"/>
        <v>1.125</v>
      </c>
      <c r="M103" s="24">
        <f t="shared" si="15"/>
        <v>1.125</v>
      </c>
      <c r="N103" s="37" t="s">
        <v>25</v>
      </c>
      <c r="O103" s="37" t="s">
        <v>25</v>
      </c>
      <c r="P103" s="37">
        <v>0</v>
      </c>
      <c r="Q103" s="37">
        <v>0</v>
      </c>
      <c r="R103" s="37" t="s">
        <v>3496</v>
      </c>
      <c r="S103" s="37"/>
    </row>
    <row r="104" spans="1:19" x14ac:dyDescent="0.3">
      <c r="A104" s="37">
        <v>113</v>
      </c>
      <c r="B104" s="37" t="s">
        <v>206</v>
      </c>
      <c r="C104" s="37" t="s">
        <v>228</v>
      </c>
      <c r="D104" s="37" t="s">
        <v>139</v>
      </c>
      <c r="E104" s="37" t="s">
        <v>22</v>
      </c>
      <c r="F104" s="42">
        <v>44865</v>
      </c>
      <c r="G104" s="37">
        <v>2022</v>
      </c>
      <c r="H104" s="37" t="s">
        <v>89</v>
      </c>
      <c r="I104" s="39" t="s">
        <v>28</v>
      </c>
      <c r="J104" s="37">
        <v>80</v>
      </c>
      <c r="K104" s="37">
        <v>78</v>
      </c>
      <c r="L104" s="55">
        <f t="shared" si="14"/>
        <v>0.97499999999999998</v>
      </c>
      <c r="M104" s="24">
        <f t="shared" si="15"/>
        <v>0.97499999999999998</v>
      </c>
      <c r="N104" s="37" t="s">
        <v>25</v>
      </c>
      <c r="O104" s="37" t="s">
        <v>25</v>
      </c>
      <c r="P104" s="37">
        <v>0</v>
      </c>
      <c r="Q104" s="37">
        <v>0</v>
      </c>
      <c r="R104" s="37" t="s">
        <v>229</v>
      </c>
      <c r="S104" s="37"/>
    </row>
    <row r="105" spans="1:19" x14ac:dyDescent="0.3">
      <c r="A105" s="37">
        <v>113</v>
      </c>
      <c r="B105" s="37" t="s">
        <v>206</v>
      </c>
      <c r="C105" s="37" t="s">
        <v>228</v>
      </c>
      <c r="D105" s="37" t="s">
        <v>139</v>
      </c>
      <c r="E105" s="37" t="s">
        <v>22</v>
      </c>
      <c r="F105" s="42">
        <v>45230</v>
      </c>
      <c r="G105" s="37">
        <v>2023</v>
      </c>
      <c r="H105" s="37" t="s">
        <v>89</v>
      </c>
      <c r="I105" s="39" t="s">
        <v>32</v>
      </c>
      <c r="J105" s="37">
        <v>80</v>
      </c>
      <c r="K105" s="53">
        <v>88</v>
      </c>
      <c r="L105" s="55">
        <f t="shared" si="14"/>
        <v>1.1000000000000001</v>
      </c>
      <c r="M105" s="24">
        <f t="shared" si="15"/>
        <v>1.1000000000000001</v>
      </c>
      <c r="N105" s="37" t="s">
        <v>25</v>
      </c>
      <c r="O105" s="37" t="s">
        <v>25</v>
      </c>
      <c r="P105" s="37">
        <v>0</v>
      </c>
      <c r="Q105" s="37">
        <v>0</v>
      </c>
      <c r="R105" s="37" t="s">
        <v>230</v>
      </c>
      <c r="S105" s="37"/>
    </row>
    <row r="106" spans="1:19" x14ac:dyDescent="0.3">
      <c r="A106" s="37">
        <v>113</v>
      </c>
      <c r="B106" s="37" t="s">
        <v>206</v>
      </c>
      <c r="C106" s="37" t="s">
        <v>228</v>
      </c>
      <c r="D106" s="37" t="s">
        <v>139</v>
      </c>
      <c r="E106" s="37" t="s">
        <v>22</v>
      </c>
      <c r="F106" s="42">
        <v>45596</v>
      </c>
      <c r="G106" s="37">
        <v>2024</v>
      </c>
      <c r="H106" s="37" t="s">
        <v>89</v>
      </c>
      <c r="I106" s="39" t="s">
        <v>36</v>
      </c>
      <c r="J106" s="37">
        <v>80</v>
      </c>
      <c r="K106" s="37">
        <v>88</v>
      </c>
      <c r="L106" s="24">
        <f t="shared" si="14"/>
        <v>1.1000000000000001</v>
      </c>
      <c r="M106" s="24">
        <f t="shared" si="15"/>
        <v>1.1000000000000001</v>
      </c>
      <c r="N106" s="37" t="s">
        <v>25</v>
      </c>
      <c r="O106" s="37" t="s">
        <v>25</v>
      </c>
      <c r="P106" s="37">
        <v>0</v>
      </c>
      <c r="Q106" s="37">
        <v>0</v>
      </c>
      <c r="R106" s="37" t="s">
        <v>231</v>
      </c>
      <c r="S106" s="37"/>
    </row>
    <row r="107" spans="1:19" x14ac:dyDescent="0.3">
      <c r="A107" s="37">
        <v>114</v>
      </c>
      <c r="B107" s="37" t="s">
        <v>206</v>
      </c>
      <c r="C107" s="37" t="s">
        <v>94</v>
      </c>
      <c r="D107" s="37" t="s">
        <v>139</v>
      </c>
      <c r="E107" s="37" t="s">
        <v>22</v>
      </c>
      <c r="F107" s="42">
        <v>44865</v>
      </c>
      <c r="G107" s="37">
        <v>2022</v>
      </c>
      <c r="H107" s="37" t="s">
        <v>89</v>
      </c>
      <c r="I107" s="39" t="s">
        <v>28</v>
      </c>
      <c r="J107" s="37">
        <v>80</v>
      </c>
      <c r="K107" s="37">
        <v>82</v>
      </c>
      <c r="L107" s="55">
        <f t="shared" si="14"/>
        <v>1.0249999999999999</v>
      </c>
      <c r="M107" s="24">
        <f t="shared" si="15"/>
        <v>1.0249999999999999</v>
      </c>
      <c r="N107" s="37" t="s">
        <v>25</v>
      </c>
      <c r="O107" s="37" t="s">
        <v>25</v>
      </c>
      <c r="P107" s="37">
        <v>0</v>
      </c>
      <c r="Q107" s="37">
        <v>0</v>
      </c>
      <c r="R107" s="37" t="s">
        <v>232</v>
      </c>
      <c r="S107" s="37"/>
    </row>
    <row r="108" spans="1:19" x14ac:dyDescent="0.3">
      <c r="A108" s="37">
        <v>114</v>
      </c>
      <c r="B108" s="37" t="s">
        <v>206</v>
      </c>
      <c r="C108" s="37" t="s">
        <v>94</v>
      </c>
      <c r="D108" s="37" t="s">
        <v>139</v>
      </c>
      <c r="E108" s="37" t="s">
        <v>22</v>
      </c>
      <c r="F108" s="42">
        <v>45230</v>
      </c>
      <c r="G108" s="37">
        <v>2023</v>
      </c>
      <c r="H108" s="37" t="s">
        <v>89</v>
      </c>
      <c r="I108" s="39" t="s">
        <v>32</v>
      </c>
      <c r="J108" s="37">
        <v>80</v>
      </c>
      <c r="K108" s="37">
        <v>86</v>
      </c>
      <c r="L108" s="55">
        <f t="shared" si="14"/>
        <v>1.075</v>
      </c>
      <c r="M108" s="24">
        <f t="shared" si="15"/>
        <v>1.075</v>
      </c>
      <c r="N108" s="37" t="s">
        <v>25</v>
      </c>
      <c r="O108" s="37" t="s">
        <v>25</v>
      </c>
      <c r="P108" s="37">
        <v>0</v>
      </c>
      <c r="Q108" s="37">
        <v>0</v>
      </c>
      <c r="R108" s="37" t="s">
        <v>233</v>
      </c>
      <c r="S108" s="37"/>
    </row>
    <row r="109" spans="1:19" x14ac:dyDescent="0.3">
      <c r="A109" s="37">
        <v>114</v>
      </c>
      <c r="B109" s="37" t="s">
        <v>206</v>
      </c>
      <c r="C109" s="37" t="s">
        <v>94</v>
      </c>
      <c r="D109" s="37" t="s">
        <v>139</v>
      </c>
      <c r="E109" s="37" t="s">
        <v>22</v>
      </c>
      <c r="F109" s="42">
        <v>45596</v>
      </c>
      <c r="G109" s="37">
        <v>2024</v>
      </c>
      <c r="H109" s="37" t="s">
        <v>89</v>
      </c>
      <c r="I109" s="39" t="s">
        <v>36</v>
      </c>
      <c r="J109" s="37">
        <v>80</v>
      </c>
      <c r="K109" s="37">
        <v>81</v>
      </c>
      <c r="L109" s="24">
        <f t="shared" si="14"/>
        <v>1.0125</v>
      </c>
      <c r="M109" s="24">
        <f t="shared" si="15"/>
        <v>1.0125</v>
      </c>
      <c r="N109" s="37" t="s">
        <v>25</v>
      </c>
      <c r="O109" s="37" t="s">
        <v>25</v>
      </c>
      <c r="P109" s="37">
        <v>0</v>
      </c>
      <c r="Q109" s="37">
        <v>0</v>
      </c>
      <c r="R109" s="37" t="s">
        <v>234</v>
      </c>
      <c r="S109" s="37"/>
    </row>
    <row r="110" spans="1:19" x14ac:dyDescent="0.3">
      <c r="A110" s="41">
        <v>115</v>
      </c>
      <c r="B110" s="37" t="s">
        <v>206</v>
      </c>
      <c r="C110" s="37" t="s">
        <v>138</v>
      </c>
      <c r="D110" s="37" t="s">
        <v>139</v>
      </c>
      <c r="E110" s="37" t="s">
        <v>22</v>
      </c>
      <c r="F110" s="42">
        <v>45291</v>
      </c>
      <c r="G110" s="37">
        <v>2023</v>
      </c>
      <c r="H110" s="37" t="s">
        <v>27</v>
      </c>
      <c r="I110" s="39" t="s">
        <v>32</v>
      </c>
      <c r="J110" s="37">
        <v>80</v>
      </c>
      <c r="K110" s="37">
        <v>90.789405483854196</v>
      </c>
      <c r="L110" s="55">
        <f t="shared" si="14"/>
        <v>1.1348675685481775</v>
      </c>
      <c r="M110" s="24">
        <f t="shared" si="15"/>
        <v>1.1348675685481775</v>
      </c>
      <c r="N110" s="37" t="s">
        <v>25</v>
      </c>
      <c r="O110" s="37" t="s">
        <v>25</v>
      </c>
      <c r="P110" s="37">
        <v>0</v>
      </c>
      <c r="Q110" s="37">
        <v>0</v>
      </c>
      <c r="R110" s="37" t="s">
        <v>238</v>
      </c>
      <c r="S110" s="37"/>
    </row>
    <row r="111" spans="1:19" x14ac:dyDescent="0.3">
      <c r="A111" s="37">
        <v>115</v>
      </c>
      <c r="B111" s="37" t="s">
        <v>206</v>
      </c>
      <c r="C111" s="37" t="s">
        <v>138</v>
      </c>
      <c r="D111" s="37" t="s">
        <v>139</v>
      </c>
      <c r="E111" s="37" t="s">
        <v>22</v>
      </c>
      <c r="F111" s="42">
        <v>45657</v>
      </c>
      <c r="G111" s="37">
        <v>2024</v>
      </c>
      <c r="H111" s="37" t="s">
        <v>27</v>
      </c>
      <c r="I111" s="39" t="s">
        <v>36</v>
      </c>
      <c r="J111" s="37"/>
      <c r="K111" s="37"/>
      <c r="L111" s="24"/>
      <c r="M111" s="24"/>
      <c r="N111" s="37"/>
      <c r="O111" s="37"/>
      <c r="P111" s="37">
        <v>0</v>
      </c>
      <c r="Q111" s="37">
        <v>0</v>
      </c>
      <c r="R111" s="37" t="s">
        <v>3497</v>
      </c>
      <c r="S111" s="37"/>
    </row>
    <row r="112" spans="1:19" x14ac:dyDescent="0.3">
      <c r="A112" s="37">
        <v>116</v>
      </c>
      <c r="B112" s="37" t="s">
        <v>206</v>
      </c>
      <c r="C112" s="37" t="s">
        <v>120</v>
      </c>
      <c r="D112" s="37" t="s">
        <v>121</v>
      </c>
      <c r="E112" s="37" t="s">
        <v>22</v>
      </c>
      <c r="F112" s="42">
        <v>45107</v>
      </c>
      <c r="G112" s="40">
        <v>2023</v>
      </c>
      <c r="H112" s="39" t="s">
        <v>23</v>
      </c>
      <c r="I112" s="39" t="s">
        <v>30</v>
      </c>
      <c r="J112" s="37">
        <v>80</v>
      </c>
      <c r="K112" s="37">
        <v>84</v>
      </c>
      <c r="L112" s="55">
        <f t="shared" ref="L112:L133" si="16">IFERROR(IF(OR(J112=0,K112=""),"",IF(E112="Positivo",MIN(MAX(K112/J112,0),1.3),MIN(MAX(J112/K112,0),1.3))),"")</f>
        <v>1.05</v>
      </c>
      <c r="M112" s="24">
        <f t="shared" ref="M112:M133" si="17">IFERROR(IF(OR(J112=0,K112=""),"",IF(E112="Positivo",MAX(K112/J112,0),MAX(J112/K112,0))),"")</f>
        <v>1.05</v>
      </c>
      <c r="N112" s="37" t="s">
        <v>25</v>
      </c>
      <c r="O112" s="37" t="s">
        <v>25</v>
      </c>
      <c r="P112" s="37">
        <v>0</v>
      </c>
      <c r="Q112" s="37">
        <v>0</v>
      </c>
      <c r="R112" s="37" t="s">
        <v>241</v>
      </c>
      <c r="S112" s="37"/>
    </row>
    <row r="113" spans="1:19" x14ac:dyDescent="0.3">
      <c r="A113" s="41">
        <v>116</v>
      </c>
      <c r="B113" s="37" t="s">
        <v>206</v>
      </c>
      <c r="C113" s="37" t="s">
        <v>120</v>
      </c>
      <c r="D113" s="37" t="s">
        <v>121</v>
      </c>
      <c r="E113" s="37" t="s">
        <v>22</v>
      </c>
      <c r="F113" s="42">
        <v>45291</v>
      </c>
      <c r="G113" s="37">
        <v>2023</v>
      </c>
      <c r="H113" s="37" t="s">
        <v>27</v>
      </c>
      <c r="I113" s="39" t="s">
        <v>32</v>
      </c>
      <c r="J113" s="37">
        <v>80</v>
      </c>
      <c r="K113" s="37">
        <v>88</v>
      </c>
      <c r="L113" s="55">
        <f t="shared" si="16"/>
        <v>1.1000000000000001</v>
      </c>
      <c r="M113" s="24">
        <f t="shared" si="17"/>
        <v>1.1000000000000001</v>
      </c>
      <c r="N113" s="37" t="s">
        <v>25</v>
      </c>
      <c r="O113" s="37" t="s">
        <v>25</v>
      </c>
      <c r="P113" s="37">
        <v>0</v>
      </c>
      <c r="Q113" s="37">
        <v>0</v>
      </c>
      <c r="R113" s="37" t="s">
        <v>244</v>
      </c>
      <c r="S113" s="37"/>
    </row>
    <row r="114" spans="1:19" x14ac:dyDescent="0.3">
      <c r="A114" s="37">
        <v>116</v>
      </c>
      <c r="B114" s="37" t="s">
        <v>206</v>
      </c>
      <c r="C114" s="37" t="s">
        <v>120</v>
      </c>
      <c r="D114" s="37" t="s">
        <v>121</v>
      </c>
      <c r="E114" s="37" t="s">
        <v>22</v>
      </c>
      <c r="F114" s="42">
        <v>45473</v>
      </c>
      <c r="G114" s="37">
        <v>2024</v>
      </c>
      <c r="H114" s="37" t="s">
        <v>23</v>
      </c>
      <c r="I114" s="39" t="s">
        <v>34</v>
      </c>
      <c r="J114" s="37">
        <v>80</v>
      </c>
      <c r="K114" s="37">
        <v>0</v>
      </c>
      <c r="L114" s="24">
        <f t="shared" si="16"/>
        <v>0</v>
      </c>
      <c r="M114" s="24">
        <f t="shared" si="17"/>
        <v>0</v>
      </c>
      <c r="N114" s="37" t="s">
        <v>613</v>
      </c>
      <c r="O114" s="37" t="s">
        <v>613</v>
      </c>
      <c r="P114" s="37">
        <v>0</v>
      </c>
      <c r="Q114" s="37">
        <v>0</v>
      </c>
      <c r="R114" s="37" t="s">
        <v>247</v>
      </c>
      <c r="S114" s="37"/>
    </row>
    <row r="115" spans="1:19" x14ac:dyDescent="0.3">
      <c r="A115" s="37">
        <v>116</v>
      </c>
      <c r="B115" s="37" t="s">
        <v>206</v>
      </c>
      <c r="C115" s="37" t="s">
        <v>120</v>
      </c>
      <c r="D115" s="37" t="s">
        <v>121</v>
      </c>
      <c r="E115" s="37" t="s">
        <v>22</v>
      </c>
      <c r="F115" s="42">
        <v>45657</v>
      </c>
      <c r="G115" s="37">
        <v>2024</v>
      </c>
      <c r="H115" s="37" t="s">
        <v>27</v>
      </c>
      <c r="I115" s="39" t="s">
        <v>36</v>
      </c>
      <c r="J115" s="37">
        <v>80</v>
      </c>
      <c r="K115" s="37">
        <v>88</v>
      </c>
      <c r="L115" s="24">
        <f t="shared" si="16"/>
        <v>1.1000000000000001</v>
      </c>
      <c r="M115" s="24">
        <f t="shared" si="17"/>
        <v>1.1000000000000001</v>
      </c>
      <c r="N115" s="37" t="s">
        <v>25</v>
      </c>
      <c r="O115" s="37" t="s">
        <v>25</v>
      </c>
      <c r="P115" s="37">
        <v>0</v>
      </c>
      <c r="Q115" s="37">
        <v>0</v>
      </c>
      <c r="R115" s="37" t="s">
        <v>250</v>
      </c>
      <c r="S115" s="37"/>
    </row>
    <row r="116" spans="1:19" x14ac:dyDescent="0.3">
      <c r="A116" s="37">
        <v>117</v>
      </c>
      <c r="B116" s="37" t="s">
        <v>206</v>
      </c>
      <c r="C116" s="37" t="s">
        <v>251</v>
      </c>
      <c r="D116" s="37" t="s">
        <v>139</v>
      </c>
      <c r="E116" s="37" t="s">
        <v>22</v>
      </c>
      <c r="F116" s="42">
        <v>44865</v>
      </c>
      <c r="G116" s="37">
        <v>2022</v>
      </c>
      <c r="H116" s="37" t="s">
        <v>89</v>
      </c>
      <c r="I116" s="39" t="s">
        <v>28</v>
      </c>
      <c r="J116" s="37">
        <v>80</v>
      </c>
      <c r="K116" s="37">
        <v>93</v>
      </c>
      <c r="L116" s="55">
        <f t="shared" si="16"/>
        <v>1.1625000000000001</v>
      </c>
      <c r="M116" s="24">
        <f t="shared" si="17"/>
        <v>1.1625000000000001</v>
      </c>
      <c r="N116" s="37" t="s">
        <v>25</v>
      </c>
      <c r="O116" s="37" t="s">
        <v>25</v>
      </c>
      <c r="P116" s="37">
        <v>0</v>
      </c>
      <c r="Q116" s="37">
        <v>0</v>
      </c>
      <c r="R116" s="37" t="s">
        <v>252</v>
      </c>
      <c r="S116" s="37"/>
    </row>
    <row r="117" spans="1:19" x14ac:dyDescent="0.3">
      <c r="A117" s="37">
        <v>117</v>
      </c>
      <c r="B117" s="37" t="s">
        <v>206</v>
      </c>
      <c r="C117" s="37" t="s">
        <v>251</v>
      </c>
      <c r="D117" s="37" t="s">
        <v>139</v>
      </c>
      <c r="E117" s="37" t="s">
        <v>22</v>
      </c>
      <c r="F117" s="42">
        <v>45230</v>
      </c>
      <c r="G117" s="37">
        <v>2023</v>
      </c>
      <c r="H117" s="37" t="s">
        <v>89</v>
      </c>
      <c r="I117" s="39" t="s">
        <v>32</v>
      </c>
      <c r="J117" s="37">
        <v>80</v>
      </c>
      <c r="K117" s="37">
        <v>90</v>
      </c>
      <c r="L117" s="55">
        <f t="shared" si="16"/>
        <v>1.125</v>
      </c>
      <c r="M117" s="24">
        <f t="shared" si="17"/>
        <v>1.125</v>
      </c>
      <c r="N117" s="37" t="s">
        <v>25</v>
      </c>
      <c r="O117" s="37" t="s">
        <v>25</v>
      </c>
      <c r="P117" s="37">
        <v>0</v>
      </c>
      <c r="Q117" s="37">
        <v>0</v>
      </c>
      <c r="R117" s="37" t="s">
        <v>253</v>
      </c>
      <c r="S117" s="37"/>
    </row>
    <row r="118" spans="1:19" x14ac:dyDescent="0.3">
      <c r="A118" s="37">
        <v>117</v>
      </c>
      <c r="B118" s="37" t="s">
        <v>206</v>
      </c>
      <c r="C118" s="37" t="s">
        <v>251</v>
      </c>
      <c r="D118" s="37" t="s">
        <v>139</v>
      </c>
      <c r="E118" s="37" t="s">
        <v>22</v>
      </c>
      <c r="F118" s="42">
        <v>45657</v>
      </c>
      <c r="G118" s="37">
        <v>2024</v>
      </c>
      <c r="H118" s="37" t="s">
        <v>27</v>
      </c>
      <c r="I118" s="39" t="s">
        <v>36</v>
      </c>
      <c r="J118" s="37">
        <v>80</v>
      </c>
      <c r="K118" s="37">
        <v>89</v>
      </c>
      <c r="L118" s="24">
        <f t="shared" si="16"/>
        <v>1.1125</v>
      </c>
      <c r="M118" s="24">
        <f t="shared" si="17"/>
        <v>1.1125</v>
      </c>
      <c r="N118" s="37" t="s">
        <v>25</v>
      </c>
      <c r="O118" s="37" t="s">
        <v>25</v>
      </c>
      <c r="P118" s="37">
        <v>0</v>
      </c>
      <c r="Q118" s="37">
        <v>0</v>
      </c>
      <c r="R118" s="37" t="s">
        <v>3498</v>
      </c>
      <c r="S118" s="37"/>
    </row>
    <row r="119" spans="1:19" x14ac:dyDescent="0.3">
      <c r="A119" s="37">
        <v>118</v>
      </c>
      <c r="B119" s="37" t="s">
        <v>206</v>
      </c>
      <c r="C119" s="37" t="s">
        <v>255</v>
      </c>
      <c r="D119" s="37" t="s">
        <v>139</v>
      </c>
      <c r="E119" s="37" t="s">
        <v>22</v>
      </c>
      <c r="F119" s="42">
        <v>44865</v>
      </c>
      <c r="G119" s="37">
        <v>2022</v>
      </c>
      <c r="H119" s="37" t="s">
        <v>89</v>
      </c>
      <c r="I119" s="39" t="s">
        <v>28</v>
      </c>
      <c r="J119" s="37">
        <v>80</v>
      </c>
      <c r="K119" s="37">
        <v>88</v>
      </c>
      <c r="L119" s="55">
        <f t="shared" si="16"/>
        <v>1.1000000000000001</v>
      </c>
      <c r="M119" s="24">
        <f t="shared" si="17"/>
        <v>1.1000000000000001</v>
      </c>
      <c r="N119" s="37" t="s">
        <v>25</v>
      </c>
      <c r="O119" s="37" t="s">
        <v>25</v>
      </c>
      <c r="P119" s="37">
        <v>0</v>
      </c>
      <c r="Q119" s="37">
        <v>0</v>
      </c>
      <c r="R119" s="37" t="s">
        <v>256</v>
      </c>
      <c r="S119" s="37"/>
    </row>
    <row r="120" spans="1:19" x14ac:dyDescent="0.3">
      <c r="A120" s="37">
        <v>118</v>
      </c>
      <c r="B120" s="37" t="s">
        <v>206</v>
      </c>
      <c r="C120" s="37" t="s">
        <v>255</v>
      </c>
      <c r="D120" s="37" t="s">
        <v>139</v>
      </c>
      <c r="E120" s="37" t="s">
        <v>22</v>
      </c>
      <c r="F120" s="42">
        <v>45291</v>
      </c>
      <c r="G120" s="37">
        <v>2023</v>
      </c>
      <c r="H120" s="37" t="s">
        <v>27</v>
      </c>
      <c r="I120" s="39" t="s">
        <v>32</v>
      </c>
      <c r="J120" s="37">
        <v>80</v>
      </c>
      <c r="K120" s="37">
        <v>94.138576779026195</v>
      </c>
      <c r="L120" s="55">
        <f t="shared" si="16"/>
        <v>1.1767322097378274</v>
      </c>
      <c r="M120" s="24">
        <f t="shared" si="17"/>
        <v>1.1767322097378274</v>
      </c>
      <c r="N120" s="37" t="s">
        <v>25</v>
      </c>
      <c r="O120" s="37" t="s">
        <v>25</v>
      </c>
      <c r="P120" s="37">
        <v>0</v>
      </c>
      <c r="Q120" s="37">
        <v>0</v>
      </c>
      <c r="R120" s="37" t="s">
        <v>260</v>
      </c>
      <c r="S120" s="37"/>
    </row>
    <row r="121" spans="1:19" x14ac:dyDescent="0.3">
      <c r="A121" s="37">
        <v>118</v>
      </c>
      <c r="B121" s="37" t="s">
        <v>257</v>
      </c>
      <c r="C121" s="37" t="s">
        <v>258</v>
      </c>
      <c r="D121" s="37" t="s">
        <v>139</v>
      </c>
      <c r="E121" s="37" t="s">
        <v>22</v>
      </c>
      <c r="F121" s="42">
        <v>45657</v>
      </c>
      <c r="G121" s="37">
        <v>2024</v>
      </c>
      <c r="H121" s="37" t="s">
        <v>27</v>
      </c>
      <c r="I121" s="39" t="s">
        <v>36</v>
      </c>
      <c r="J121" s="37">
        <v>80</v>
      </c>
      <c r="K121" s="37">
        <v>86</v>
      </c>
      <c r="L121" s="24">
        <f t="shared" si="16"/>
        <v>1.075</v>
      </c>
      <c r="M121" s="24">
        <f t="shared" si="17"/>
        <v>1.075</v>
      </c>
      <c r="N121" s="37" t="s">
        <v>25</v>
      </c>
      <c r="O121" s="37" t="s">
        <v>25</v>
      </c>
      <c r="P121" s="37">
        <v>0</v>
      </c>
      <c r="Q121" s="37">
        <v>0</v>
      </c>
      <c r="R121" s="37" t="s">
        <v>262</v>
      </c>
      <c r="S121" s="37"/>
    </row>
    <row r="122" spans="1:19" x14ac:dyDescent="0.3">
      <c r="A122" s="37">
        <v>121</v>
      </c>
      <c r="B122" s="37" t="s">
        <v>263</v>
      </c>
      <c r="C122" s="37" t="s">
        <v>55</v>
      </c>
      <c r="D122" s="37" t="s">
        <v>73</v>
      </c>
      <c r="E122" s="37" t="s">
        <v>56</v>
      </c>
      <c r="F122" s="42">
        <v>44742</v>
      </c>
      <c r="G122" s="40">
        <v>2022</v>
      </c>
      <c r="H122" s="39" t="s">
        <v>23</v>
      </c>
      <c r="I122" s="39" t="s">
        <v>24</v>
      </c>
      <c r="J122" s="37">
        <v>100</v>
      </c>
      <c r="K122" s="56">
        <v>100.01207569838</v>
      </c>
      <c r="L122" s="24">
        <f t="shared" si="16"/>
        <v>0.99987925759668839</v>
      </c>
      <c r="M122" s="24">
        <f t="shared" si="17"/>
        <v>0.99987925759668839</v>
      </c>
      <c r="N122" s="56" t="s">
        <v>264</v>
      </c>
      <c r="O122" s="56" t="s">
        <v>264</v>
      </c>
      <c r="P122" s="37">
        <v>0</v>
      </c>
      <c r="Q122" s="37">
        <v>0</v>
      </c>
      <c r="R122" s="37" t="s">
        <v>270</v>
      </c>
      <c r="S122" s="37"/>
    </row>
    <row r="123" spans="1:19" x14ac:dyDescent="0.3">
      <c r="A123" s="37">
        <v>121</v>
      </c>
      <c r="B123" s="37" t="s">
        <v>263</v>
      </c>
      <c r="C123" s="37" t="s">
        <v>55</v>
      </c>
      <c r="D123" s="37" t="s">
        <v>73</v>
      </c>
      <c r="E123" s="37" t="s">
        <v>56</v>
      </c>
      <c r="F123" s="42">
        <v>44926</v>
      </c>
      <c r="G123" s="40">
        <v>2022</v>
      </c>
      <c r="H123" s="39" t="s">
        <v>27</v>
      </c>
      <c r="I123" s="39" t="s">
        <v>28</v>
      </c>
      <c r="J123" s="37">
        <v>100</v>
      </c>
      <c r="K123" s="56">
        <v>99.868284606334001</v>
      </c>
      <c r="L123" s="24">
        <f t="shared" si="16"/>
        <v>1.0013188911192898</v>
      </c>
      <c r="M123" s="24">
        <f t="shared" si="17"/>
        <v>1.0013188911192898</v>
      </c>
      <c r="N123" s="56" t="s">
        <v>264</v>
      </c>
      <c r="O123" s="56" t="s">
        <v>264</v>
      </c>
      <c r="P123" s="37">
        <v>0</v>
      </c>
      <c r="Q123" s="37">
        <v>0</v>
      </c>
      <c r="R123" s="37" t="s">
        <v>276</v>
      </c>
      <c r="S123" s="37"/>
    </row>
    <row r="124" spans="1:19" x14ac:dyDescent="0.3">
      <c r="A124" s="37">
        <v>121</v>
      </c>
      <c r="B124" s="37" t="s">
        <v>263</v>
      </c>
      <c r="C124" s="37" t="s">
        <v>55</v>
      </c>
      <c r="D124" s="37" t="s">
        <v>73</v>
      </c>
      <c r="E124" s="37" t="s">
        <v>56</v>
      </c>
      <c r="F124" s="42">
        <v>45107</v>
      </c>
      <c r="G124" s="40">
        <v>2023</v>
      </c>
      <c r="H124" s="39" t="s">
        <v>23</v>
      </c>
      <c r="I124" s="39" t="s">
        <v>30</v>
      </c>
      <c r="J124" s="37">
        <v>100</v>
      </c>
      <c r="K124" s="56">
        <v>102.42831146953</v>
      </c>
      <c r="L124" s="24">
        <f t="shared" si="16"/>
        <v>0.97629257541502701</v>
      </c>
      <c r="M124" s="24">
        <f t="shared" si="17"/>
        <v>0.97629257541502701</v>
      </c>
      <c r="N124" s="56" t="s">
        <v>264</v>
      </c>
      <c r="O124" s="56" t="s">
        <v>264</v>
      </c>
      <c r="P124" s="37">
        <v>0</v>
      </c>
      <c r="Q124" s="37">
        <v>0</v>
      </c>
      <c r="R124" s="37" t="s">
        <v>282</v>
      </c>
      <c r="S124" s="37"/>
    </row>
    <row r="125" spans="1:19" x14ac:dyDescent="0.3">
      <c r="A125" s="41">
        <v>121</v>
      </c>
      <c r="B125" s="37" t="s">
        <v>263</v>
      </c>
      <c r="C125" s="37" t="s">
        <v>55</v>
      </c>
      <c r="D125" s="37" t="s">
        <v>73</v>
      </c>
      <c r="E125" s="37" t="s">
        <v>56</v>
      </c>
      <c r="F125" s="42">
        <v>45291</v>
      </c>
      <c r="G125" s="37">
        <v>2023</v>
      </c>
      <c r="H125" s="37" t="s">
        <v>27</v>
      </c>
      <c r="I125" s="39" t="s">
        <v>32</v>
      </c>
      <c r="J125" s="37">
        <v>100</v>
      </c>
      <c r="K125" s="56">
        <v>111.3</v>
      </c>
      <c r="L125" s="24">
        <f t="shared" si="16"/>
        <v>0.89847259658580414</v>
      </c>
      <c r="M125" s="24">
        <f t="shared" si="17"/>
        <v>0.89847259658580414</v>
      </c>
      <c r="N125" s="56" t="s">
        <v>264</v>
      </c>
      <c r="O125" s="56" t="s">
        <v>264</v>
      </c>
      <c r="P125" s="37">
        <v>0</v>
      </c>
      <c r="Q125" s="37">
        <v>0</v>
      </c>
      <c r="R125" s="37" t="s">
        <v>288</v>
      </c>
      <c r="S125" s="37"/>
    </row>
    <row r="126" spans="1:19" x14ac:dyDescent="0.3">
      <c r="A126" s="37">
        <v>121</v>
      </c>
      <c r="B126" s="37" t="s">
        <v>263</v>
      </c>
      <c r="C126" s="37" t="s">
        <v>55</v>
      </c>
      <c r="D126" s="37" t="s">
        <v>73</v>
      </c>
      <c r="E126" s="37" t="s">
        <v>56</v>
      </c>
      <c r="F126" s="42">
        <v>45473</v>
      </c>
      <c r="G126" s="37">
        <v>2024</v>
      </c>
      <c r="H126" s="37" t="s">
        <v>23</v>
      </c>
      <c r="I126" s="39" t="s">
        <v>34</v>
      </c>
      <c r="J126" s="37">
        <v>100</v>
      </c>
      <c r="K126" s="56">
        <v>101.89</v>
      </c>
      <c r="L126" s="24">
        <f t="shared" si="16"/>
        <v>0.98145058396309748</v>
      </c>
      <c r="M126" s="24">
        <f t="shared" si="17"/>
        <v>0.98145058396309748</v>
      </c>
      <c r="N126" s="56" t="s">
        <v>264</v>
      </c>
      <c r="O126" s="56" t="s">
        <v>264</v>
      </c>
      <c r="P126" s="37">
        <v>0</v>
      </c>
      <c r="Q126" s="37">
        <v>0</v>
      </c>
      <c r="R126" s="37" t="s">
        <v>294</v>
      </c>
      <c r="S126" s="37"/>
    </row>
    <row r="127" spans="1:19" x14ac:dyDescent="0.3">
      <c r="A127" s="37">
        <v>121</v>
      </c>
      <c r="B127" s="37" t="s">
        <v>263</v>
      </c>
      <c r="C127" s="37" t="s">
        <v>55</v>
      </c>
      <c r="D127" s="37" t="s">
        <v>73</v>
      </c>
      <c r="E127" s="37" t="s">
        <v>56</v>
      </c>
      <c r="F127" s="42">
        <v>45657</v>
      </c>
      <c r="G127" s="37">
        <v>2024</v>
      </c>
      <c r="H127" s="37" t="s">
        <v>27</v>
      </c>
      <c r="I127" s="39" t="s">
        <v>36</v>
      </c>
      <c r="J127" s="37">
        <v>100</v>
      </c>
      <c r="K127" s="56">
        <v>100.17</v>
      </c>
      <c r="L127" s="24">
        <f t="shared" si="16"/>
        <v>0.99830288509533793</v>
      </c>
      <c r="M127" s="24">
        <f t="shared" si="17"/>
        <v>0.99830288509533793</v>
      </c>
      <c r="N127" s="56" t="s">
        <v>264</v>
      </c>
      <c r="O127" s="56" t="s">
        <v>264</v>
      </c>
      <c r="P127" s="37">
        <v>0</v>
      </c>
      <c r="Q127" s="37">
        <v>0</v>
      </c>
      <c r="R127" s="37" t="s">
        <v>300</v>
      </c>
      <c r="S127" s="37"/>
    </row>
    <row r="128" spans="1:19" x14ac:dyDescent="0.3">
      <c r="A128" s="37">
        <v>122</v>
      </c>
      <c r="B128" s="37" t="s">
        <v>301</v>
      </c>
      <c r="C128" s="37" t="s">
        <v>258</v>
      </c>
      <c r="D128" s="37" t="s">
        <v>121</v>
      </c>
      <c r="E128" s="37" t="s">
        <v>22</v>
      </c>
      <c r="F128" s="42">
        <v>44742</v>
      </c>
      <c r="G128" s="37">
        <v>2022</v>
      </c>
      <c r="H128" s="37" t="s">
        <v>23</v>
      </c>
      <c r="I128" s="37" t="s">
        <v>24</v>
      </c>
      <c r="J128" s="37">
        <v>12.33333333333333</v>
      </c>
      <c r="K128" s="37">
        <v>8</v>
      </c>
      <c r="L128" s="24">
        <f t="shared" si="16"/>
        <v>0.6486486486486488</v>
      </c>
      <c r="M128" s="24">
        <f t="shared" si="17"/>
        <v>0.6486486486486488</v>
      </c>
      <c r="N128" s="37" t="s">
        <v>25</v>
      </c>
      <c r="O128" s="37" t="s">
        <v>25</v>
      </c>
      <c r="P128" s="37">
        <v>0</v>
      </c>
      <c r="Q128" s="37">
        <v>0</v>
      </c>
      <c r="R128" s="37" t="s">
        <v>304</v>
      </c>
      <c r="S128" s="37"/>
    </row>
    <row r="129" spans="1:19" x14ac:dyDescent="0.3">
      <c r="A129" s="37">
        <v>122</v>
      </c>
      <c r="B129" s="37" t="s">
        <v>301</v>
      </c>
      <c r="C129" s="37" t="s">
        <v>258</v>
      </c>
      <c r="D129" s="37" t="s">
        <v>121</v>
      </c>
      <c r="E129" s="37" t="s">
        <v>22</v>
      </c>
      <c r="F129" s="42">
        <v>44926</v>
      </c>
      <c r="G129" s="37">
        <v>2022</v>
      </c>
      <c r="H129" s="37" t="s">
        <v>27</v>
      </c>
      <c r="I129" s="37" t="s">
        <v>28</v>
      </c>
      <c r="J129" s="37">
        <v>17.166666666666671</v>
      </c>
      <c r="K129" s="37">
        <v>17</v>
      </c>
      <c r="L129" s="24">
        <f t="shared" si="16"/>
        <v>0.99029126213592211</v>
      </c>
      <c r="M129" s="24">
        <f t="shared" si="17"/>
        <v>0.99029126213592211</v>
      </c>
      <c r="N129" s="37" t="s">
        <v>25</v>
      </c>
      <c r="O129" s="37" t="s">
        <v>25</v>
      </c>
      <c r="P129" s="37">
        <v>0</v>
      </c>
      <c r="Q129" s="37">
        <v>0</v>
      </c>
      <c r="R129" s="37" t="s">
        <v>310</v>
      </c>
      <c r="S129" s="37"/>
    </row>
    <row r="130" spans="1:19" x14ac:dyDescent="0.3">
      <c r="A130" s="41">
        <v>122</v>
      </c>
      <c r="B130" s="37" t="s">
        <v>301</v>
      </c>
      <c r="C130" s="37" t="s">
        <v>258</v>
      </c>
      <c r="D130" s="37" t="s">
        <v>121</v>
      </c>
      <c r="E130" s="37" t="s">
        <v>22</v>
      </c>
      <c r="F130" s="42">
        <v>45107</v>
      </c>
      <c r="G130" s="37">
        <v>2023</v>
      </c>
      <c r="H130" s="37" t="s">
        <v>23</v>
      </c>
      <c r="I130" s="39" t="s">
        <v>30</v>
      </c>
      <c r="J130" s="37">
        <v>6.333333333333333</v>
      </c>
      <c r="K130" s="37">
        <v>5.666666666666667</v>
      </c>
      <c r="L130" s="55">
        <f t="shared" si="16"/>
        <v>0.89473684210526327</v>
      </c>
      <c r="M130" s="24">
        <f t="shared" si="17"/>
        <v>0.89473684210526327</v>
      </c>
      <c r="N130" s="37" t="s">
        <v>25</v>
      </c>
      <c r="O130" s="37" t="s">
        <v>25</v>
      </c>
      <c r="P130" s="37">
        <v>0</v>
      </c>
      <c r="Q130" s="37">
        <v>0</v>
      </c>
      <c r="R130" s="37" t="s">
        <v>316</v>
      </c>
      <c r="S130" s="37"/>
    </row>
    <row r="131" spans="1:19" x14ac:dyDescent="0.3">
      <c r="A131" s="37">
        <v>122</v>
      </c>
      <c r="B131" s="37" t="s">
        <v>301</v>
      </c>
      <c r="C131" s="37" t="s">
        <v>258</v>
      </c>
      <c r="D131" s="37" t="s">
        <v>121</v>
      </c>
      <c r="E131" s="37" t="s">
        <v>22</v>
      </c>
      <c r="F131" s="42">
        <v>45291</v>
      </c>
      <c r="G131" s="40">
        <v>2023</v>
      </c>
      <c r="H131" s="39" t="s">
        <v>27</v>
      </c>
      <c r="I131" s="39" t="s">
        <v>32</v>
      </c>
      <c r="J131" s="37">
        <v>13.16666666666667</v>
      </c>
      <c r="K131" s="37">
        <v>11.66666666666667</v>
      </c>
      <c r="L131" s="55">
        <f t="shared" si="16"/>
        <v>0.88607594936708867</v>
      </c>
      <c r="M131" s="24">
        <f t="shared" si="17"/>
        <v>0.88607594936708867</v>
      </c>
      <c r="N131" s="37" t="s">
        <v>25</v>
      </c>
      <c r="O131" s="37" t="s">
        <v>25</v>
      </c>
      <c r="P131" s="37">
        <v>0</v>
      </c>
      <c r="Q131" s="37">
        <v>0</v>
      </c>
      <c r="R131" s="37" t="s">
        <v>322</v>
      </c>
      <c r="S131" s="37"/>
    </row>
    <row r="132" spans="1:19" x14ac:dyDescent="0.3">
      <c r="A132" s="37">
        <v>122</v>
      </c>
      <c r="B132" s="37" t="s">
        <v>301</v>
      </c>
      <c r="C132" s="37" t="s">
        <v>258</v>
      </c>
      <c r="D132" s="37" t="s">
        <v>121</v>
      </c>
      <c r="E132" s="37" t="s">
        <v>22</v>
      </c>
      <c r="F132" s="42">
        <v>45473</v>
      </c>
      <c r="G132" s="37">
        <v>2024</v>
      </c>
      <c r="H132" s="37" t="s">
        <v>23</v>
      </c>
      <c r="I132" s="39" t="s">
        <v>34</v>
      </c>
      <c r="J132" s="37">
        <v>27.166666666666671</v>
      </c>
      <c r="K132" s="37">
        <v>26.166666666666671</v>
      </c>
      <c r="L132" s="24">
        <f t="shared" si="16"/>
        <v>0.96319018404907975</v>
      </c>
      <c r="M132" s="24">
        <f t="shared" si="17"/>
        <v>0.96319018404907975</v>
      </c>
      <c r="N132" s="37" t="s">
        <v>25</v>
      </c>
      <c r="O132" s="37" t="s">
        <v>25</v>
      </c>
      <c r="P132" s="37">
        <v>0</v>
      </c>
      <c r="Q132" s="37">
        <v>0</v>
      </c>
      <c r="R132" s="37" t="s">
        <v>328</v>
      </c>
      <c r="S132" s="37"/>
    </row>
    <row r="133" spans="1:19" x14ac:dyDescent="0.3">
      <c r="A133" s="37">
        <v>122</v>
      </c>
      <c r="B133" s="37" t="s">
        <v>301</v>
      </c>
      <c r="C133" s="37" t="s">
        <v>258</v>
      </c>
      <c r="D133" s="37" t="s">
        <v>121</v>
      </c>
      <c r="E133" s="37" t="s">
        <v>22</v>
      </c>
      <c r="F133" s="42">
        <v>45657</v>
      </c>
      <c r="G133" s="37">
        <v>2024</v>
      </c>
      <c r="H133" s="37" t="s">
        <v>27</v>
      </c>
      <c r="I133" s="39" t="s">
        <v>36</v>
      </c>
      <c r="J133" s="37">
        <v>15.83333333333333</v>
      </c>
      <c r="K133" s="37">
        <v>14.16666666666667</v>
      </c>
      <c r="L133" s="24">
        <f t="shared" si="16"/>
        <v>0.8947368421052635</v>
      </c>
      <c r="M133" s="24">
        <f t="shared" si="17"/>
        <v>0.8947368421052635</v>
      </c>
      <c r="N133" s="37" t="s">
        <v>25</v>
      </c>
      <c r="O133" s="37" t="s">
        <v>25</v>
      </c>
      <c r="P133" s="37">
        <v>0</v>
      </c>
      <c r="Q133" s="37">
        <v>0</v>
      </c>
      <c r="R133" s="37" t="s">
        <v>334</v>
      </c>
      <c r="S133" s="37"/>
    </row>
    <row r="134" spans="1:19" x14ac:dyDescent="0.3">
      <c r="A134" s="41">
        <v>124</v>
      </c>
      <c r="B134" s="37" t="s">
        <v>335</v>
      </c>
      <c r="C134" s="37" t="s">
        <v>138</v>
      </c>
      <c r="D134" s="37" t="s">
        <v>73</v>
      </c>
      <c r="E134" s="37" t="s">
        <v>56</v>
      </c>
      <c r="F134" s="42">
        <v>44742</v>
      </c>
      <c r="G134" s="37">
        <v>2022</v>
      </c>
      <c r="H134" s="37" t="s">
        <v>23</v>
      </c>
      <c r="I134" s="39" t="s">
        <v>24</v>
      </c>
      <c r="J134" s="37">
        <v>1.6</v>
      </c>
      <c r="K134" s="43">
        <v>2.0540499152152829E-2</v>
      </c>
      <c r="L134" s="24">
        <f t="shared" ref="L134:L157" si="18">IFERROR(IF(OR(J134=0,K134=""),"",IF(E134="Positivo",MIN(MAX(K134/J134,0),1),MIN(MAX(J134/K134,0),1))),"")</f>
        <v>1</v>
      </c>
      <c r="M134" s="24">
        <f t="shared" ref="M134:M157" si="19">IFERROR(IF(OR(J134=0,K134=""),"",IF(E134="Positivo",MIN(MAX(K134/J134,0),1),MIN(MAX(J134/K134,0),1))),"")</f>
        <v>1</v>
      </c>
      <c r="N134" s="37" t="s">
        <v>197</v>
      </c>
      <c r="O134" s="37" t="s">
        <v>197</v>
      </c>
      <c r="P134" s="37">
        <v>1</v>
      </c>
      <c r="Q134" s="37">
        <v>2</v>
      </c>
      <c r="R134" s="37" t="s">
        <v>341</v>
      </c>
      <c r="S134" s="37"/>
    </row>
    <row r="135" spans="1:19" x14ac:dyDescent="0.3">
      <c r="A135" s="41">
        <v>124</v>
      </c>
      <c r="B135" s="37" t="s">
        <v>335</v>
      </c>
      <c r="C135" s="37" t="s">
        <v>138</v>
      </c>
      <c r="D135" s="37" t="s">
        <v>73</v>
      </c>
      <c r="E135" s="37" t="s">
        <v>56</v>
      </c>
      <c r="F135" s="42">
        <v>44926</v>
      </c>
      <c r="G135" s="37">
        <v>2022</v>
      </c>
      <c r="H135" s="37" t="s">
        <v>27</v>
      </c>
      <c r="I135" s="39" t="s">
        <v>28</v>
      </c>
      <c r="J135" s="37">
        <v>1.6</v>
      </c>
      <c r="K135" s="37">
        <v>4.0292467024699158E-2</v>
      </c>
      <c r="L135" s="24">
        <f t="shared" si="18"/>
        <v>1</v>
      </c>
      <c r="M135" s="24">
        <f t="shared" si="19"/>
        <v>1</v>
      </c>
      <c r="N135" s="37" t="s">
        <v>197</v>
      </c>
      <c r="O135" s="37" t="s">
        <v>197</v>
      </c>
      <c r="P135" s="37">
        <v>1</v>
      </c>
      <c r="Q135" s="37">
        <v>2</v>
      </c>
      <c r="R135" s="37" t="s">
        <v>347</v>
      </c>
      <c r="S135" s="37"/>
    </row>
    <row r="136" spans="1:19" x14ac:dyDescent="0.3">
      <c r="A136" s="41">
        <v>124</v>
      </c>
      <c r="B136" s="37" t="s">
        <v>335</v>
      </c>
      <c r="C136" s="37" t="s">
        <v>138</v>
      </c>
      <c r="D136" s="37" t="s">
        <v>73</v>
      </c>
      <c r="E136" s="37" t="s">
        <v>56</v>
      </c>
      <c r="F136" s="42">
        <v>45107</v>
      </c>
      <c r="G136" s="37">
        <v>2023</v>
      </c>
      <c r="H136" s="37" t="s">
        <v>23</v>
      </c>
      <c r="I136" s="39" t="s">
        <v>30</v>
      </c>
      <c r="J136" s="37">
        <v>1.6</v>
      </c>
      <c r="K136" s="43">
        <v>2.59049039304475E-2</v>
      </c>
      <c r="L136" s="24">
        <f t="shared" si="18"/>
        <v>1</v>
      </c>
      <c r="M136" s="24">
        <f t="shared" si="19"/>
        <v>1</v>
      </c>
      <c r="N136" s="37" t="s">
        <v>197</v>
      </c>
      <c r="O136" s="37" t="s">
        <v>197</v>
      </c>
      <c r="P136" s="37">
        <v>1</v>
      </c>
      <c r="Q136" s="37">
        <v>2</v>
      </c>
      <c r="R136" s="37" t="s">
        <v>353</v>
      </c>
      <c r="S136" s="37"/>
    </row>
    <row r="137" spans="1:19" x14ac:dyDescent="0.3">
      <c r="A137" s="41">
        <v>124</v>
      </c>
      <c r="B137" s="37" t="s">
        <v>335</v>
      </c>
      <c r="C137" s="37" t="s">
        <v>138</v>
      </c>
      <c r="D137" s="37" t="s">
        <v>73</v>
      </c>
      <c r="E137" s="37" t="s">
        <v>56</v>
      </c>
      <c r="F137" s="42">
        <v>45291</v>
      </c>
      <c r="G137" s="37">
        <v>2023</v>
      </c>
      <c r="H137" s="37" t="s">
        <v>27</v>
      </c>
      <c r="I137" s="39" t="s">
        <v>32</v>
      </c>
      <c r="J137" s="37">
        <v>1.6</v>
      </c>
      <c r="K137" s="37">
        <v>3.0911949685534668E-2</v>
      </c>
      <c r="L137" s="24">
        <f t="shared" si="18"/>
        <v>1</v>
      </c>
      <c r="M137" s="24">
        <f t="shared" si="19"/>
        <v>1</v>
      </c>
      <c r="N137" s="37" t="s">
        <v>197</v>
      </c>
      <c r="O137" s="37" t="s">
        <v>197</v>
      </c>
      <c r="P137" s="37">
        <v>1</v>
      </c>
      <c r="Q137" s="37">
        <v>2</v>
      </c>
      <c r="R137" s="37" t="s">
        <v>359</v>
      </c>
      <c r="S137" s="37"/>
    </row>
    <row r="138" spans="1:19" x14ac:dyDescent="0.3">
      <c r="A138" s="37">
        <v>124</v>
      </c>
      <c r="B138" s="37" t="s">
        <v>335</v>
      </c>
      <c r="C138" s="37" t="s">
        <v>138</v>
      </c>
      <c r="D138" s="37" t="s">
        <v>73</v>
      </c>
      <c r="E138" s="37" t="s">
        <v>56</v>
      </c>
      <c r="F138" s="42">
        <v>45473</v>
      </c>
      <c r="G138" s="37">
        <v>2024</v>
      </c>
      <c r="H138" s="37" t="s">
        <v>23</v>
      </c>
      <c r="I138" s="39" t="s">
        <v>34</v>
      </c>
      <c r="J138" s="37">
        <v>0.2</v>
      </c>
      <c r="K138" s="37">
        <v>6.9705841349504997E-3</v>
      </c>
      <c r="L138" s="24">
        <f t="shared" si="18"/>
        <v>1</v>
      </c>
      <c r="M138" s="24">
        <f t="shared" si="19"/>
        <v>1</v>
      </c>
      <c r="N138" s="37" t="s">
        <v>197</v>
      </c>
      <c r="O138" s="37" t="s">
        <v>197</v>
      </c>
      <c r="P138" s="37">
        <v>1</v>
      </c>
      <c r="Q138" s="37">
        <v>3</v>
      </c>
      <c r="R138" s="37" t="s">
        <v>365</v>
      </c>
      <c r="S138" s="37"/>
    </row>
    <row r="139" spans="1:19" x14ac:dyDescent="0.3">
      <c r="A139" s="37">
        <v>124</v>
      </c>
      <c r="B139" s="37" t="s">
        <v>335</v>
      </c>
      <c r="C139" s="37" t="s">
        <v>138</v>
      </c>
      <c r="D139" s="37" t="s">
        <v>73</v>
      </c>
      <c r="E139" s="37" t="s">
        <v>56</v>
      </c>
      <c r="F139" s="42">
        <v>45657</v>
      </c>
      <c r="G139" s="37">
        <v>2024</v>
      </c>
      <c r="H139" s="37" t="s">
        <v>27</v>
      </c>
      <c r="I139" s="39" t="s">
        <v>36</v>
      </c>
      <c r="J139" s="37">
        <v>0.2</v>
      </c>
      <c r="K139" s="37">
        <v>1.9025875190258751E-2</v>
      </c>
      <c r="L139" s="24">
        <f t="shared" si="18"/>
        <v>1</v>
      </c>
      <c r="M139" s="24">
        <f t="shared" si="19"/>
        <v>1</v>
      </c>
      <c r="N139" s="37" t="s">
        <v>197</v>
      </c>
      <c r="O139" s="37" t="s">
        <v>197</v>
      </c>
      <c r="P139" s="37">
        <v>1</v>
      </c>
      <c r="Q139" s="37">
        <v>2</v>
      </c>
      <c r="R139" s="37" t="s">
        <v>371</v>
      </c>
      <c r="S139" s="37"/>
    </row>
    <row r="140" spans="1:19" x14ac:dyDescent="0.3">
      <c r="A140" s="41">
        <v>125</v>
      </c>
      <c r="B140" s="37" t="s">
        <v>372</v>
      </c>
      <c r="C140" s="37" t="s">
        <v>138</v>
      </c>
      <c r="D140" s="37" t="s">
        <v>73</v>
      </c>
      <c r="E140" s="37" t="s">
        <v>56</v>
      </c>
      <c r="F140" s="42">
        <v>44742</v>
      </c>
      <c r="G140" s="37">
        <v>2022</v>
      </c>
      <c r="H140" s="37" t="s">
        <v>23</v>
      </c>
      <c r="I140" s="39" t="s">
        <v>24</v>
      </c>
      <c r="J140" s="37">
        <v>4.7</v>
      </c>
      <c r="K140" s="37">
        <v>7.9408761775206671E-2</v>
      </c>
      <c r="L140" s="24">
        <f t="shared" si="18"/>
        <v>1</v>
      </c>
      <c r="M140" s="24">
        <f t="shared" si="19"/>
        <v>1</v>
      </c>
      <c r="N140" s="37" t="s">
        <v>197</v>
      </c>
      <c r="O140" s="37" t="s">
        <v>197</v>
      </c>
      <c r="P140" s="37">
        <v>1</v>
      </c>
      <c r="Q140" s="37">
        <v>2</v>
      </c>
      <c r="R140" s="37" t="s">
        <v>378</v>
      </c>
      <c r="S140" s="37"/>
    </row>
    <row r="141" spans="1:19" x14ac:dyDescent="0.3">
      <c r="A141" s="41">
        <v>125</v>
      </c>
      <c r="B141" s="37" t="s">
        <v>372</v>
      </c>
      <c r="C141" s="37" t="s">
        <v>138</v>
      </c>
      <c r="D141" s="37" t="s">
        <v>73</v>
      </c>
      <c r="E141" s="37" t="s">
        <v>56</v>
      </c>
      <c r="F141" s="42">
        <v>44926</v>
      </c>
      <c r="G141" s="37">
        <v>2022</v>
      </c>
      <c r="H141" s="37" t="s">
        <v>27</v>
      </c>
      <c r="I141" s="39" t="s">
        <v>28</v>
      </c>
      <c r="J141" s="37">
        <v>4.7</v>
      </c>
      <c r="K141" s="37">
        <v>7.941803125652E-2</v>
      </c>
      <c r="L141" s="24">
        <f t="shared" si="18"/>
        <v>1</v>
      </c>
      <c r="M141" s="24">
        <f t="shared" si="19"/>
        <v>1</v>
      </c>
      <c r="N141" s="37" t="s">
        <v>197</v>
      </c>
      <c r="O141" s="37" t="s">
        <v>197</v>
      </c>
      <c r="P141" s="37">
        <v>1</v>
      </c>
      <c r="Q141" s="37">
        <v>2</v>
      </c>
      <c r="R141" s="37" t="s">
        <v>384</v>
      </c>
      <c r="S141" s="37"/>
    </row>
    <row r="142" spans="1:19" x14ac:dyDescent="0.3">
      <c r="A142" s="41">
        <v>125</v>
      </c>
      <c r="B142" s="37" t="s">
        <v>372</v>
      </c>
      <c r="C142" s="37" t="s">
        <v>138</v>
      </c>
      <c r="D142" s="37" t="s">
        <v>73</v>
      </c>
      <c r="E142" s="37" t="s">
        <v>56</v>
      </c>
      <c r="F142" s="42">
        <v>45107</v>
      </c>
      <c r="G142" s="37">
        <v>2023</v>
      </c>
      <c r="H142" s="37" t="s">
        <v>23</v>
      </c>
      <c r="I142" s="39" t="s">
        <v>30</v>
      </c>
      <c r="J142" s="37">
        <v>4.7</v>
      </c>
      <c r="K142" s="37">
        <v>2.1741020958345E-2</v>
      </c>
      <c r="L142" s="24">
        <f t="shared" si="18"/>
        <v>1</v>
      </c>
      <c r="M142" s="24">
        <f t="shared" si="19"/>
        <v>1</v>
      </c>
      <c r="N142" s="37" t="s">
        <v>197</v>
      </c>
      <c r="O142" s="37" t="s">
        <v>197</v>
      </c>
      <c r="P142" s="37">
        <v>1</v>
      </c>
      <c r="Q142" s="37">
        <v>2</v>
      </c>
      <c r="R142" s="37" t="s">
        <v>390</v>
      </c>
      <c r="S142" s="37"/>
    </row>
    <row r="143" spans="1:19" x14ac:dyDescent="0.3">
      <c r="A143" s="41">
        <v>125</v>
      </c>
      <c r="B143" s="37" t="s">
        <v>372</v>
      </c>
      <c r="C143" s="37" t="s">
        <v>138</v>
      </c>
      <c r="D143" s="37" t="s">
        <v>73</v>
      </c>
      <c r="E143" s="37" t="s">
        <v>56</v>
      </c>
      <c r="F143" s="42">
        <v>45291</v>
      </c>
      <c r="G143" s="37">
        <v>2023</v>
      </c>
      <c r="H143" s="37" t="s">
        <v>27</v>
      </c>
      <c r="I143" s="39" t="s">
        <v>32</v>
      </c>
      <c r="J143" s="37">
        <v>4.7</v>
      </c>
      <c r="K143" s="37">
        <v>0.32943396226415</v>
      </c>
      <c r="L143" s="24">
        <f t="shared" si="18"/>
        <v>1</v>
      </c>
      <c r="M143" s="24">
        <f t="shared" si="19"/>
        <v>1</v>
      </c>
      <c r="N143" s="37" t="s">
        <v>197</v>
      </c>
      <c r="O143" s="37" t="s">
        <v>197</v>
      </c>
      <c r="P143" s="37">
        <v>1</v>
      </c>
      <c r="Q143" s="37">
        <v>2</v>
      </c>
      <c r="R143" s="37" t="s">
        <v>396</v>
      </c>
      <c r="S143" s="37"/>
    </row>
    <row r="144" spans="1:19" x14ac:dyDescent="0.3">
      <c r="A144" s="37">
        <v>125</v>
      </c>
      <c r="B144" s="37" t="s">
        <v>372</v>
      </c>
      <c r="C144" s="37" t="s">
        <v>138</v>
      </c>
      <c r="D144" s="37" t="s">
        <v>73</v>
      </c>
      <c r="E144" s="37" t="s">
        <v>56</v>
      </c>
      <c r="F144" s="42">
        <v>45473</v>
      </c>
      <c r="G144" s="37">
        <v>2024</v>
      </c>
      <c r="H144" s="37" t="s">
        <v>23</v>
      </c>
      <c r="I144" s="39" t="s">
        <v>34</v>
      </c>
      <c r="J144" s="37">
        <v>1.9</v>
      </c>
      <c r="K144" s="37">
        <v>3.4852920674752548E-2</v>
      </c>
      <c r="L144" s="24">
        <f t="shared" si="18"/>
        <v>1</v>
      </c>
      <c r="M144" s="24">
        <f t="shared" si="19"/>
        <v>1</v>
      </c>
      <c r="N144" s="37" t="s">
        <v>197</v>
      </c>
      <c r="O144" s="37" t="s">
        <v>197</v>
      </c>
      <c r="P144" s="37">
        <v>1</v>
      </c>
      <c r="Q144" s="37">
        <v>2</v>
      </c>
      <c r="R144" s="37" t="s">
        <v>402</v>
      </c>
      <c r="S144" s="37"/>
    </row>
    <row r="145" spans="1:19" x14ac:dyDescent="0.3">
      <c r="A145" s="37">
        <v>125</v>
      </c>
      <c r="B145" s="37" t="s">
        <v>372</v>
      </c>
      <c r="C145" s="37" t="s">
        <v>138</v>
      </c>
      <c r="D145" s="37" t="s">
        <v>73</v>
      </c>
      <c r="E145" s="37" t="s">
        <v>56</v>
      </c>
      <c r="F145" s="42">
        <v>45657</v>
      </c>
      <c r="G145" s="37">
        <v>2024</v>
      </c>
      <c r="H145" s="37" t="s">
        <v>27</v>
      </c>
      <c r="I145" s="39" t="s">
        <v>36</v>
      </c>
      <c r="J145" s="37">
        <v>1.9</v>
      </c>
      <c r="K145" s="37">
        <v>0.15220700152207001</v>
      </c>
      <c r="L145" s="24">
        <f t="shared" si="18"/>
        <v>1</v>
      </c>
      <c r="M145" s="24">
        <f t="shared" si="19"/>
        <v>1</v>
      </c>
      <c r="N145" s="37" t="s">
        <v>197</v>
      </c>
      <c r="O145" s="37" t="s">
        <v>197</v>
      </c>
      <c r="P145" s="37">
        <v>1</v>
      </c>
      <c r="Q145" s="37">
        <v>2</v>
      </c>
      <c r="R145" s="37" t="s">
        <v>408</v>
      </c>
      <c r="S145" s="37"/>
    </row>
    <row r="146" spans="1:19" x14ac:dyDescent="0.3">
      <c r="A146" s="41">
        <v>126</v>
      </c>
      <c r="B146" s="37" t="s">
        <v>409</v>
      </c>
      <c r="C146" s="37" t="s">
        <v>138</v>
      </c>
      <c r="D146" s="37" t="s">
        <v>139</v>
      </c>
      <c r="E146" s="37" t="s">
        <v>56</v>
      </c>
      <c r="F146" s="42">
        <v>44926</v>
      </c>
      <c r="G146" s="37">
        <v>2022</v>
      </c>
      <c r="H146" s="37" t="s">
        <v>27</v>
      </c>
      <c r="I146" s="39" t="s">
        <v>28</v>
      </c>
      <c r="J146" s="37">
        <v>2</v>
      </c>
      <c r="K146" s="37">
        <v>0.12391573729864</v>
      </c>
      <c r="L146" s="24">
        <f t="shared" si="18"/>
        <v>1</v>
      </c>
      <c r="M146" s="24">
        <f t="shared" si="19"/>
        <v>1</v>
      </c>
      <c r="N146" s="37" t="s">
        <v>197</v>
      </c>
      <c r="O146" s="37" t="s">
        <v>197</v>
      </c>
      <c r="P146" s="37">
        <v>0</v>
      </c>
      <c r="Q146" s="37">
        <v>2</v>
      </c>
      <c r="R146" s="37" t="s">
        <v>410</v>
      </c>
      <c r="S146" s="37"/>
    </row>
    <row r="147" spans="1:19" x14ac:dyDescent="0.3">
      <c r="A147" s="41">
        <v>126</v>
      </c>
      <c r="B147" s="37" t="s">
        <v>409</v>
      </c>
      <c r="C147" s="37" t="s">
        <v>138</v>
      </c>
      <c r="D147" s="37" t="s">
        <v>139</v>
      </c>
      <c r="E147" s="37" t="s">
        <v>56</v>
      </c>
      <c r="F147" s="42">
        <v>45291</v>
      </c>
      <c r="G147" s="37">
        <v>2023</v>
      </c>
      <c r="H147" s="37" t="s">
        <v>27</v>
      </c>
      <c r="I147" s="39" t="s">
        <v>32</v>
      </c>
      <c r="J147" s="37">
        <v>2</v>
      </c>
      <c r="K147" s="37">
        <v>0.12</v>
      </c>
      <c r="L147" s="24">
        <f t="shared" si="18"/>
        <v>1</v>
      </c>
      <c r="M147" s="24">
        <f t="shared" si="19"/>
        <v>1</v>
      </c>
      <c r="N147" s="37" t="s">
        <v>197</v>
      </c>
      <c r="O147" s="37" t="s">
        <v>197</v>
      </c>
      <c r="P147" s="37">
        <v>0</v>
      </c>
      <c r="Q147" s="37">
        <v>2</v>
      </c>
      <c r="R147" s="37" t="s">
        <v>411</v>
      </c>
      <c r="S147" s="37"/>
    </row>
    <row r="148" spans="1:19" x14ac:dyDescent="0.3">
      <c r="A148" s="37">
        <v>126</v>
      </c>
      <c r="B148" s="37" t="s">
        <v>409</v>
      </c>
      <c r="C148" s="37" t="s">
        <v>138</v>
      </c>
      <c r="D148" s="37" t="s">
        <v>139</v>
      </c>
      <c r="E148" s="37" t="s">
        <v>56</v>
      </c>
      <c r="F148" s="42">
        <v>45657</v>
      </c>
      <c r="G148" s="37">
        <v>2024</v>
      </c>
      <c r="H148" s="37" t="s">
        <v>27</v>
      </c>
      <c r="I148" s="39" t="s">
        <v>36</v>
      </c>
      <c r="J148" s="37">
        <v>2</v>
      </c>
      <c r="K148" s="37">
        <v>0.1</v>
      </c>
      <c r="L148" s="24">
        <f t="shared" si="18"/>
        <v>1</v>
      </c>
      <c r="M148" s="24">
        <f t="shared" si="19"/>
        <v>1</v>
      </c>
      <c r="N148" s="37" t="s">
        <v>197</v>
      </c>
      <c r="O148" s="37" t="s">
        <v>197</v>
      </c>
      <c r="P148" s="37">
        <v>0</v>
      </c>
      <c r="Q148" s="37">
        <v>1</v>
      </c>
      <c r="R148" s="37" t="s">
        <v>412</v>
      </c>
      <c r="S148" s="37"/>
    </row>
    <row r="149" spans="1:19" x14ac:dyDescent="0.3">
      <c r="A149" s="41">
        <v>127</v>
      </c>
      <c r="B149" s="37" t="s">
        <v>413</v>
      </c>
      <c r="C149" s="37" t="s">
        <v>138</v>
      </c>
      <c r="D149" s="37" t="s">
        <v>139</v>
      </c>
      <c r="E149" s="37" t="s">
        <v>56</v>
      </c>
      <c r="F149" s="42">
        <v>44926</v>
      </c>
      <c r="G149" s="37">
        <v>2022</v>
      </c>
      <c r="H149" s="37" t="s">
        <v>27</v>
      </c>
      <c r="I149" s="39" t="s">
        <v>28</v>
      </c>
      <c r="J149" s="37">
        <v>0</v>
      </c>
      <c r="K149" s="40">
        <v>0</v>
      </c>
      <c r="L149" s="24" t="str">
        <f t="shared" si="18"/>
        <v/>
      </c>
      <c r="M149" s="24" t="str">
        <f t="shared" si="19"/>
        <v/>
      </c>
      <c r="N149" s="37" t="s">
        <v>203</v>
      </c>
      <c r="O149" s="37" t="s">
        <v>203</v>
      </c>
      <c r="P149" s="37">
        <v>0</v>
      </c>
      <c r="Q149" s="37">
        <v>0</v>
      </c>
      <c r="R149" s="37" t="s">
        <v>414</v>
      </c>
      <c r="S149" s="37"/>
    </row>
    <row r="150" spans="1:19" x14ac:dyDescent="0.3">
      <c r="A150" s="41">
        <v>127</v>
      </c>
      <c r="B150" s="37" t="s">
        <v>413</v>
      </c>
      <c r="C150" s="37" t="s">
        <v>138</v>
      </c>
      <c r="D150" s="37" t="s">
        <v>139</v>
      </c>
      <c r="E150" s="37" t="s">
        <v>56</v>
      </c>
      <c r="F150" s="42">
        <v>45291</v>
      </c>
      <c r="G150" s="37">
        <v>2023</v>
      </c>
      <c r="H150" s="37" t="s">
        <v>27</v>
      </c>
      <c r="I150" s="39" t="s">
        <v>32</v>
      </c>
      <c r="J150" s="37">
        <v>0</v>
      </c>
      <c r="K150" s="40">
        <v>0</v>
      </c>
      <c r="L150" s="24" t="str">
        <f t="shared" si="18"/>
        <v/>
      </c>
      <c r="M150" s="24" t="str">
        <f t="shared" si="19"/>
        <v/>
      </c>
      <c r="N150" s="37" t="s">
        <v>203</v>
      </c>
      <c r="O150" s="37" t="s">
        <v>203</v>
      </c>
      <c r="P150" s="37">
        <v>0</v>
      </c>
      <c r="Q150" s="37">
        <v>0</v>
      </c>
      <c r="R150" s="37" t="s">
        <v>415</v>
      </c>
      <c r="S150" s="37"/>
    </row>
    <row r="151" spans="1:19" x14ac:dyDescent="0.3">
      <c r="A151" s="37">
        <v>127</v>
      </c>
      <c r="B151" s="37" t="s">
        <v>413</v>
      </c>
      <c r="C151" s="37" t="s">
        <v>138</v>
      </c>
      <c r="D151" s="37" t="s">
        <v>139</v>
      </c>
      <c r="E151" s="37" t="s">
        <v>56</v>
      </c>
      <c r="F151" s="42">
        <v>45657</v>
      </c>
      <c r="G151" s="37">
        <v>2024</v>
      </c>
      <c r="H151" s="37" t="s">
        <v>27</v>
      </c>
      <c r="I151" s="39" t="s">
        <v>36</v>
      </c>
      <c r="J151" s="37">
        <v>0</v>
      </c>
      <c r="K151" s="40">
        <v>0</v>
      </c>
      <c r="L151" s="24" t="str">
        <f t="shared" si="18"/>
        <v/>
      </c>
      <c r="M151" s="24" t="str">
        <f t="shared" si="19"/>
        <v/>
      </c>
      <c r="N151" s="37" t="s">
        <v>203</v>
      </c>
      <c r="O151" s="37" t="s">
        <v>203</v>
      </c>
      <c r="P151" s="37">
        <v>0</v>
      </c>
      <c r="Q151" s="37">
        <v>0</v>
      </c>
      <c r="R151" s="37" t="s">
        <v>416</v>
      </c>
      <c r="S151" s="37"/>
    </row>
    <row r="152" spans="1:19" x14ac:dyDescent="0.3">
      <c r="A152" s="37">
        <v>128</v>
      </c>
      <c r="B152" s="37" t="s">
        <v>417</v>
      </c>
      <c r="C152" s="37" t="s">
        <v>138</v>
      </c>
      <c r="D152" s="37" t="s">
        <v>73</v>
      </c>
      <c r="E152" s="37" t="s">
        <v>56</v>
      </c>
      <c r="F152" s="42">
        <v>44742</v>
      </c>
      <c r="G152" s="37">
        <v>2022</v>
      </c>
      <c r="H152" s="37" t="s">
        <v>23</v>
      </c>
      <c r="I152" s="39" t="s">
        <v>24</v>
      </c>
      <c r="J152" s="37">
        <v>1</v>
      </c>
      <c r="K152" s="37">
        <v>0.71734362082174163</v>
      </c>
      <c r="L152" s="24">
        <f t="shared" si="18"/>
        <v>1</v>
      </c>
      <c r="M152" s="24">
        <f t="shared" si="19"/>
        <v>1</v>
      </c>
      <c r="N152" s="37" t="s">
        <v>203</v>
      </c>
      <c r="O152" s="37" t="s">
        <v>197</v>
      </c>
      <c r="P152" s="37">
        <v>0</v>
      </c>
      <c r="Q152" s="37">
        <v>2</v>
      </c>
      <c r="R152" s="37" t="s">
        <v>423</v>
      </c>
      <c r="S152" s="37"/>
    </row>
    <row r="153" spans="1:19" x14ac:dyDescent="0.3">
      <c r="A153" s="41">
        <v>128</v>
      </c>
      <c r="B153" s="37" t="s">
        <v>417</v>
      </c>
      <c r="C153" s="37" t="s">
        <v>138</v>
      </c>
      <c r="D153" s="37" t="s">
        <v>73</v>
      </c>
      <c r="E153" s="37" t="s">
        <v>56</v>
      </c>
      <c r="F153" s="42">
        <v>44926</v>
      </c>
      <c r="G153" s="37">
        <v>2022</v>
      </c>
      <c r="H153" s="37" t="s">
        <v>27</v>
      </c>
      <c r="I153" s="39" t="s">
        <v>28</v>
      </c>
      <c r="J153" s="37">
        <v>1</v>
      </c>
      <c r="K153" s="37">
        <v>0.85232903362622336</v>
      </c>
      <c r="L153" s="24">
        <f t="shared" si="18"/>
        <v>1</v>
      </c>
      <c r="M153" s="24">
        <f t="shared" si="19"/>
        <v>1</v>
      </c>
      <c r="N153" s="37" t="s">
        <v>203</v>
      </c>
      <c r="O153" s="37" t="s">
        <v>197</v>
      </c>
      <c r="P153" s="37">
        <v>0</v>
      </c>
      <c r="Q153" s="37">
        <v>2</v>
      </c>
      <c r="R153" s="37" t="s">
        <v>429</v>
      </c>
      <c r="S153" s="37"/>
    </row>
    <row r="154" spans="1:19" x14ac:dyDescent="0.3">
      <c r="A154" s="37">
        <v>128</v>
      </c>
      <c r="B154" s="37" t="s">
        <v>417</v>
      </c>
      <c r="C154" s="37" t="s">
        <v>138</v>
      </c>
      <c r="D154" s="37" t="s">
        <v>73</v>
      </c>
      <c r="E154" s="37" t="s">
        <v>56</v>
      </c>
      <c r="F154" s="42">
        <v>45107</v>
      </c>
      <c r="G154" s="37">
        <v>2023</v>
      </c>
      <c r="H154" s="37" t="s">
        <v>23</v>
      </c>
      <c r="I154" s="39" t="s">
        <v>30</v>
      </c>
      <c r="J154" s="37">
        <v>1</v>
      </c>
      <c r="K154" s="37">
        <v>0.94498408928035493</v>
      </c>
      <c r="L154" s="24">
        <f t="shared" si="18"/>
        <v>1</v>
      </c>
      <c r="M154" s="24">
        <f t="shared" si="19"/>
        <v>1</v>
      </c>
      <c r="N154" s="37" t="s">
        <v>203</v>
      </c>
      <c r="O154" s="37" t="s">
        <v>197</v>
      </c>
      <c r="P154" s="37">
        <v>0</v>
      </c>
      <c r="Q154" s="37">
        <v>2</v>
      </c>
      <c r="R154" s="37" t="s">
        <v>435</v>
      </c>
      <c r="S154" s="37"/>
    </row>
    <row r="155" spans="1:19" x14ac:dyDescent="0.3">
      <c r="A155" s="41">
        <v>128</v>
      </c>
      <c r="B155" s="37" t="s">
        <v>417</v>
      </c>
      <c r="C155" s="37" t="s">
        <v>138</v>
      </c>
      <c r="D155" s="37" t="s">
        <v>73</v>
      </c>
      <c r="E155" s="37" t="s">
        <v>56</v>
      </c>
      <c r="F155" s="42">
        <v>45291</v>
      </c>
      <c r="G155" s="37">
        <v>2023</v>
      </c>
      <c r="H155" s="37" t="s">
        <v>27</v>
      </c>
      <c r="I155" s="39" t="s">
        <v>32</v>
      </c>
      <c r="J155" s="37">
        <v>1</v>
      </c>
      <c r="K155" s="37">
        <v>0.74913339248743327</v>
      </c>
      <c r="L155" s="24">
        <f t="shared" si="18"/>
        <v>1</v>
      </c>
      <c r="M155" s="24">
        <f t="shared" si="19"/>
        <v>1</v>
      </c>
      <c r="N155" s="37" t="s">
        <v>203</v>
      </c>
      <c r="O155" s="37" t="s">
        <v>197</v>
      </c>
      <c r="P155" s="37">
        <v>0</v>
      </c>
      <c r="Q155" s="37">
        <v>2</v>
      </c>
      <c r="R155" s="37" t="s">
        <v>441</v>
      </c>
      <c r="S155" s="37"/>
    </row>
    <row r="156" spans="1:19" x14ac:dyDescent="0.3">
      <c r="A156" s="37">
        <v>128</v>
      </c>
      <c r="B156" s="37" t="s">
        <v>417</v>
      </c>
      <c r="C156" s="37" t="s">
        <v>138</v>
      </c>
      <c r="D156" s="37" t="s">
        <v>73</v>
      </c>
      <c r="E156" s="37" t="s">
        <v>56</v>
      </c>
      <c r="F156" s="42">
        <v>45473</v>
      </c>
      <c r="G156" s="37">
        <v>2024</v>
      </c>
      <c r="H156" s="37" t="s">
        <v>23</v>
      </c>
      <c r="I156" s="39" t="s">
        <v>34</v>
      </c>
      <c r="J156" s="37">
        <v>1</v>
      </c>
      <c r="K156" s="37">
        <v>0.66066340908709043</v>
      </c>
      <c r="L156" s="24">
        <f t="shared" si="18"/>
        <v>1</v>
      </c>
      <c r="M156" s="24">
        <f t="shared" si="19"/>
        <v>1</v>
      </c>
      <c r="N156" s="37" t="s">
        <v>203</v>
      </c>
      <c r="O156" s="37" t="s">
        <v>197</v>
      </c>
      <c r="P156" s="37">
        <v>0</v>
      </c>
      <c r="Q156" s="37">
        <v>2</v>
      </c>
      <c r="R156" s="37" t="s">
        <v>447</v>
      </c>
      <c r="S156" s="37"/>
    </row>
    <row r="157" spans="1:19" x14ac:dyDescent="0.3">
      <c r="A157" s="37">
        <v>128</v>
      </c>
      <c r="B157" s="37" t="s">
        <v>417</v>
      </c>
      <c r="C157" s="37" t="s">
        <v>138</v>
      </c>
      <c r="D157" s="37" t="s">
        <v>73</v>
      </c>
      <c r="E157" s="37" t="s">
        <v>56</v>
      </c>
      <c r="F157" s="42">
        <v>45657</v>
      </c>
      <c r="G157" s="37">
        <v>2024</v>
      </c>
      <c r="H157" s="37" t="s">
        <v>27</v>
      </c>
      <c r="I157" s="39" t="s">
        <v>36</v>
      </c>
      <c r="J157" s="37">
        <v>1</v>
      </c>
      <c r="K157" s="37">
        <v>0.701289310309125</v>
      </c>
      <c r="L157" s="24">
        <f t="shared" si="18"/>
        <v>1</v>
      </c>
      <c r="M157" s="24">
        <f t="shared" si="19"/>
        <v>1</v>
      </c>
      <c r="N157" s="37" t="s">
        <v>203</v>
      </c>
      <c r="O157" s="37" t="s">
        <v>197</v>
      </c>
      <c r="P157" s="37">
        <v>0</v>
      </c>
      <c r="Q157" s="37">
        <v>2</v>
      </c>
      <c r="R157" s="37" t="s">
        <v>453</v>
      </c>
      <c r="S157" s="37"/>
    </row>
    <row r="158" spans="1:19" x14ac:dyDescent="0.3">
      <c r="A158" s="37">
        <v>133</v>
      </c>
      <c r="B158" s="37" t="s">
        <v>206</v>
      </c>
      <c r="C158" s="37" t="s">
        <v>454</v>
      </c>
      <c r="D158" s="37" t="s">
        <v>139</v>
      </c>
      <c r="E158" s="37" t="s">
        <v>22</v>
      </c>
      <c r="F158" s="42">
        <v>44865</v>
      </c>
      <c r="G158" s="37">
        <v>2022</v>
      </c>
      <c r="H158" s="37" t="s">
        <v>89</v>
      </c>
      <c r="I158" s="39" t="s">
        <v>28</v>
      </c>
      <c r="J158" s="37">
        <v>80</v>
      </c>
      <c r="K158" s="37">
        <v>90</v>
      </c>
      <c r="L158" s="55">
        <f t="shared" ref="L158:L184" si="20">IFERROR(IF(OR(J158=0,K158=""),"",IF(E158="Positivo",MIN(MAX(K158/J158,0),1.3),MIN(MAX(J158/K158,0),1.3))),"")</f>
        <v>1.125</v>
      </c>
      <c r="M158" s="24">
        <f t="shared" ref="M158:M184" si="21">IFERROR(IF(OR(J158=0,K158=""),"",IF(E158="Positivo",MAX(K158/J158,0),MAX(J158/K158,0))),"")</f>
        <v>1.125</v>
      </c>
      <c r="N158" s="37" t="s">
        <v>25</v>
      </c>
      <c r="O158" s="37" t="s">
        <v>25</v>
      </c>
      <c r="P158" s="37">
        <v>0</v>
      </c>
      <c r="Q158" s="37">
        <v>0</v>
      </c>
      <c r="R158" s="37" t="s">
        <v>455</v>
      </c>
      <c r="S158" s="37"/>
    </row>
    <row r="159" spans="1:19" x14ac:dyDescent="0.3">
      <c r="A159" s="37">
        <v>133</v>
      </c>
      <c r="B159" s="37" t="s">
        <v>206</v>
      </c>
      <c r="C159" s="37" t="s">
        <v>454</v>
      </c>
      <c r="D159" s="37" t="s">
        <v>139</v>
      </c>
      <c r="E159" s="37" t="s">
        <v>22</v>
      </c>
      <c r="F159" s="42">
        <v>45291</v>
      </c>
      <c r="G159" s="37">
        <v>2023</v>
      </c>
      <c r="H159" s="37" t="s">
        <v>27</v>
      </c>
      <c r="I159" s="39" t="s">
        <v>32</v>
      </c>
      <c r="J159" s="37">
        <v>80</v>
      </c>
      <c r="K159" s="37">
        <v>92.789115646258509</v>
      </c>
      <c r="L159" s="55">
        <f t="shared" si="20"/>
        <v>1.1598639455782314</v>
      </c>
      <c r="M159" s="24">
        <f t="shared" si="21"/>
        <v>1.1598639455782314</v>
      </c>
      <c r="N159" s="37" t="s">
        <v>25</v>
      </c>
      <c r="O159" s="37" t="s">
        <v>25</v>
      </c>
      <c r="P159" s="37">
        <v>0</v>
      </c>
      <c r="Q159" s="37">
        <v>0</v>
      </c>
      <c r="R159" s="37" t="s">
        <v>457</v>
      </c>
      <c r="S159" s="37"/>
    </row>
    <row r="160" spans="1:19" x14ac:dyDescent="0.3">
      <c r="A160" s="37">
        <v>133</v>
      </c>
      <c r="B160" s="37" t="s">
        <v>206</v>
      </c>
      <c r="C160" s="37" t="s">
        <v>454</v>
      </c>
      <c r="D160" s="37" t="s">
        <v>139</v>
      </c>
      <c r="E160" s="37" t="s">
        <v>22</v>
      </c>
      <c r="F160" s="42">
        <v>45657</v>
      </c>
      <c r="G160" s="37">
        <v>2024</v>
      </c>
      <c r="H160" s="37" t="s">
        <v>27</v>
      </c>
      <c r="I160" s="39" t="s">
        <v>36</v>
      </c>
      <c r="J160" s="37">
        <v>80</v>
      </c>
      <c r="K160" s="37">
        <v>91</v>
      </c>
      <c r="L160" s="24">
        <f t="shared" si="20"/>
        <v>1.1375</v>
      </c>
      <c r="M160" s="24">
        <f t="shared" si="21"/>
        <v>1.1375</v>
      </c>
      <c r="N160" s="37" t="s">
        <v>25</v>
      </c>
      <c r="O160" s="37" t="s">
        <v>25</v>
      </c>
      <c r="P160" s="37">
        <v>0</v>
      </c>
      <c r="Q160" s="37">
        <v>0</v>
      </c>
      <c r="R160" s="37" t="s">
        <v>459</v>
      </c>
      <c r="S160" s="37"/>
    </row>
    <row r="161" spans="1:19" x14ac:dyDescent="0.3">
      <c r="A161" s="45">
        <v>136</v>
      </c>
      <c r="B161" s="37" t="s">
        <v>460</v>
      </c>
      <c r="C161" s="37" t="s">
        <v>461</v>
      </c>
      <c r="D161" s="37" t="s">
        <v>21</v>
      </c>
      <c r="E161" s="37" t="s">
        <v>22</v>
      </c>
      <c r="F161" s="42">
        <v>45107</v>
      </c>
      <c r="G161" s="37">
        <v>2023</v>
      </c>
      <c r="H161" s="37" t="s">
        <v>23</v>
      </c>
      <c r="I161" s="39" t="s">
        <v>30</v>
      </c>
      <c r="J161" s="37">
        <v>90</v>
      </c>
      <c r="K161" s="37">
        <v>105.56</v>
      </c>
      <c r="L161" s="24">
        <f t="shared" si="20"/>
        <v>1.1728888888888889</v>
      </c>
      <c r="M161" s="24">
        <f t="shared" si="21"/>
        <v>1.1728888888888889</v>
      </c>
      <c r="N161" s="37" t="s">
        <v>25</v>
      </c>
      <c r="O161" s="37" t="s">
        <v>25</v>
      </c>
      <c r="P161" s="37">
        <v>0</v>
      </c>
      <c r="Q161" s="37">
        <v>0</v>
      </c>
      <c r="R161" s="37" t="s">
        <v>462</v>
      </c>
      <c r="S161" s="37"/>
    </row>
    <row r="162" spans="1:19" x14ac:dyDescent="0.3">
      <c r="A162" s="41">
        <v>136</v>
      </c>
      <c r="B162" s="37" t="s">
        <v>460</v>
      </c>
      <c r="C162" s="37" t="s">
        <v>461</v>
      </c>
      <c r="D162" s="37" t="s">
        <v>21</v>
      </c>
      <c r="E162" s="37" t="s">
        <v>22</v>
      </c>
      <c r="F162" s="42">
        <v>45291</v>
      </c>
      <c r="G162" s="37">
        <v>2023</v>
      </c>
      <c r="H162" s="37" t="s">
        <v>27</v>
      </c>
      <c r="I162" s="39" t="s">
        <v>32</v>
      </c>
      <c r="J162" s="37">
        <v>90</v>
      </c>
      <c r="K162" s="37">
        <v>94.44</v>
      </c>
      <c r="L162" s="24">
        <f t="shared" si="20"/>
        <v>1.0493333333333332</v>
      </c>
      <c r="M162" s="24">
        <f t="shared" si="21"/>
        <v>1.0493333333333332</v>
      </c>
      <c r="N162" s="37" t="s">
        <v>25</v>
      </c>
      <c r="O162" s="37" t="s">
        <v>25</v>
      </c>
      <c r="P162" s="37">
        <v>0</v>
      </c>
      <c r="Q162" s="37">
        <v>0</v>
      </c>
      <c r="R162" s="37" t="s">
        <v>463</v>
      </c>
      <c r="S162" s="37"/>
    </row>
    <row r="163" spans="1:19" x14ac:dyDescent="0.3">
      <c r="A163" s="41">
        <v>137</v>
      </c>
      <c r="B163" s="37" t="s">
        <v>464</v>
      </c>
      <c r="C163" s="37" t="s">
        <v>461</v>
      </c>
      <c r="D163" s="37" t="s">
        <v>39</v>
      </c>
      <c r="E163" s="37" t="s">
        <v>22</v>
      </c>
      <c r="F163" s="42">
        <v>45107</v>
      </c>
      <c r="G163" s="37">
        <v>2023</v>
      </c>
      <c r="H163" s="37" t="s">
        <v>23</v>
      </c>
      <c r="I163" s="39" t="s">
        <v>30</v>
      </c>
      <c r="J163" s="37">
        <v>212</v>
      </c>
      <c r="K163" s="37">
        <v>213</v>
      </c>
      <c r="L163" s="55">
        <f t="shared" si="20"/>
        <v>1.0047169811320755</v>
      </c>
      <c r="M163" s="24">
        <f t="shared" si="21"/>
        <v>1.0047169811320755</v>
      </c>
      <c r="N163" s="37"/>
      <c r="O163" s="37"/>
      <c r="P163" s="37">
        <v>0</v>
      </c>
      <c r="Q163" s="37">
        <v>0</v>
      </c>
      <c r="R163" s="37" t="s">
        <v>466</v>
      </c>
      <c r="S163" s="37"/>
    </row>
    <row r="164" spans="1:19" x14ac:dyDescent="0.3">
      <c r="A164" s="41">
        <v>137</v>
      </c>
      <c r="B164" s="37" t="s">
        <v>464</v>
      </c>
      <c r="C164" s="37" t="s">
        <v>461</v>
      </c>
      <c r="D164" s="37" t="s">
        <v>39</v>
      </c>
      <c r="E164" s="37" t="s">
        <v>22</v>
      </c>
      <c r="F164" s="42">
        <v>45291</v>
      </c>
      <c r="G164" s="37">
        <v>2023</v>
      </c>
      <c r="H164" s="37" t="s">
        <v>27</v>
      </c>
      <c r="I164" s="39" t="s">
        <v>32</v>
      </c>
      <c r="J164" s="37">
        <v>235</v>
      </c>
      <c r="K164" s="37">
        <v>3</v>
      </c>
      <c r="L164" s="55">
        <f t="shared" si="20"/>
        <v>1.276595744680851E-2</v>
      </c>
      <c r="M164" s="24">
        <f t="shared" si="21"/>
        <v>1.276595744680851E-2</v>
      </c>
      <c r="N164" s="37"/>
      <c r="O164" s="37"/>
      <c r="P164" s="37">
        <v>0</v>
      </c>
      <c r="Q164" s="37">
        <v>0</v>
      </c>
      <c r="R164" s="37" t="s">
        <v>468</v>
      </c>
      <c r="S164" s="37"/>
    </row>
    <row r="165" spans="1:19" x14ac:dyDescent="0.3">
      <c r="A165" s="37">
        <v>139</v>
      </c>
      <c r="B165" s="37" t="s">
        <v>469</v>
      </c>
      <c r="C165" s="37" t="s">
        <v>461</v>
      </c>
      <c r="D165" s="37" t="s">
        <v>73</v>
      </c>
      <c r="E165" s="37" t="s">
        <v>56</v>
      </c>
      <c r="F165" s="42">
        <v>45107</v>
      </c>
      <c r="G165" s="37">
        <v>2023</v>
      </c>
      <c r="H165" s="37" t="s">
        <v>23</v>
      </c>
      <c r="I165" s="39" t="s">
        <v>30</v>
      </c>
      <c r="J165" s="59">
        <v>570.08299999999997</v>
      </c>
      <c r="K165" s="59">
        <v>410.077</v>
      </c>
      <c r="L165" s="24">
        <f t="shared" si="20"/>
        <v>1.3</v>
      </c>
      <c r="M165" s="24">
        <f t="shared" si="21"/>
        <v>1.3901852578905911</v>
      </c>
      <c r="N165" s="37" t="s">
        <v>264</v>
      </c>
      <c r="O165" s="37" t="s">
        <v>264</v>
      </c>
      <c r="P165" s="37">
        <v>0</v>
      </c>
      <c r="Q165" s="37">
        <v>0</v>
      </c>
      <c r="R165" s="37" t="s">
        <v>475</v>
      </c>
      <c r="S165" s="37"/>
    </row>
    <row r="166" spans="1:19" x14ac:dyDescent="0.3">
      <c r="A166" s="37">
        <v>139</v>
      </c>
      <c r="B166" s="37" t="s">
        <v>469</v>
      </c>
      <c r="C166" s="37" t="s">
        <v>461</v>
      </c>
      <c r="D166" s="37" t="s">
        <v>73</v>
      </c>
      <c r="E166" s="37" t="s">
        <v>56</v>
      </c>
      <c r="F166" s="42">
        <v>45291</v>
      </c>
      <c r="G166" s="37">
        <v>2023</v>
      </c>
      <c r="H166" s="37" t="s">
        <v>27</v>
      </c>
      <c r="I166" s="39" t="s">
        <v>32</v>
      </c>
      <c r="J166" s="59">
        <v>981.98199999999997</v>
      </c>
      <c r="K166" s="59">
        <v>964.28399999999999</v>
      </c>
      <c r="L166" s="24">
        <f t="shared" si="20"/>
        <v>1.0183535141099509</v>
      </c>
      <c r="M166" s="24">
        <f t="shared" si="21"/>
        <v>1.0183535141099509</v>
      </c>
      <c r="N166" s="37" t="s">
        <v>264</v>
      </c>
      <c r="O166" s="37" t="s">
        <v>264</v>
      </c>
      <c r="P166" s="37">
        <v>0</v>
      </c>
      <c r="Q166" s="37">
        <v>0</v>
      </c>
      <c r="R166" s="37" t="s">
        <v>481</v>
      </c>
      <c r="S166" s="37"/>
    </row>
    <row r="167" spans="1:19" x14ac:dyDescent="0.3">
      <c r="A167" s="37">
        <v>139</v>
      </c>
      <c r="B167" s="37" t="s">
        <v>469</v>
      </c>
      <c r="C167" s="37" t="s">
        <v>461</v>
      </c>
      <c r="D167" s="37" t="s">
        <v>73</v>
      </c>
      <c r="E167" s="37" t="s">
        <v>56</v>
      </c>
      <c r="F167" s="42">
        <v>45473</v>
      </c>
      <c r="G167" s="37">
        <v>2024</v>
      </c>
      <c r="H167" s="37" t="s">
        <v>23</v>
      </c>
      <c r="I167" s="39" t="s">
        <v>34</v>
      </c>
      <c r="J167" s="61">
        <v>624.02159300000005</v>
      </c>
      <c r="K167" s="61">
        <v>470.81177500000001</v>
      </c>
      <c r="L167" s="24">
        <f t="shared" si="20"/>
        <v>1.3</v>
      </c>
      <c r="M167" s="24">
        <f t="shared" si="21"/>
        <v>1.3254162833969054</v>
      </c>
      <c r="N167" s="37" t="s">
        <v>264</v>
      </c>
      <c r="O167" s="37" t="s">
        <v>264</v>
      </c>
      <c r="P167" s="37">
        <v>0</v>
      </c>
      <c r="Q167" s="37">
        <v>0</v>
      </c>
      <c r="R167" s="37" t="s">
        <v>487</v>
      </c>
      <c r="S167" s="37"/>
    </row>
    <row r="168" spans="1:19" x14ac:dyDescent="0.3">
      <c r="A168" s="37">
        <v>139</v>
      </c>
      <c r="B168" s="37" t="s">
        <v>469</v>
      </c>
      <c r="C168" s="37" t="s">
        <v>461</v>
      </c>
      <c r="D168" s="37" t="s">
        <v>73</v>
      </c>
      <c r="E168" s="37" t="s">
        <v>56</v>
      </c>
      <c r="F168" s="42">
        <v>45657</v>
      </c>
      <c r="G168" s="37">
        <v>2024</v>
      </c>
      <c r="H168" s="37" t="s">
        <v>27</v>
      </c>
      <c r="I168" s="39" t="s">
        <v>36</v>
      </c>
      <c r="J168" s="56">
        <v>1338.6143959999999</v>
      </c>
      <c r="K168" s="56">
        <v>1214.7518809999999</v>
      </c>
      <c r="L168" s="24">
        <f t="shared" si="20"/>
        <v>1.1019652794429384</v>
      </c>
      <c r="M168" s="24">
        <f t="shared" si="21"/>
        <v>1.1019652794429384</v>
      </c>
      <c r="N168" s="37" t="s">
        <v>264</v>
      </c>
      <c r="O168" s="37" t="s">
        <v>264</v>
      </c>
      <c r="P168" s="37">
        <v>0</v>
      </c>
      <c r="Q168" s="37">
        <v>0</v>
      </c>
      <c r="R168" s="37" t="s">
        <v>493</v>
      </c>
      <c r="S168" s="37"/>
    </row>
    <row r="169" spans="1:19" x14ac:dyDescent="0.3">
      <c r="A169" s="37">
        <v>143</v>
      </c>
      <c r="B169" s="37" t="s">
        <v>494</v>
      </c>
      <c r="C169" s="37" t="s">
        <v>190</v>
      </c>
      <c r="D169" s="37" t="s">
        <v>21</v>
      </c>
      <c r="E169" s="37" t="s">
        <v>22</v>
      </c>
      <c r="F169" s="42">
        <v>44742</v>
      </c>
      <c r="G169" s="37">
        <v>2022</v>
      </c>
      <c r="H169" s="37" t="s">
        <v>23</v>
      </c>
      <c r="I169" s="37" t="s">
        <v>24</v>
      </c>
      <c r="J169" s="37">
        <v>100</v>
      </c>
      <c r="K169" s="37">
        <v>147</v>
      </c>
      <c r="L169" s="24">
        <f t="shared" si="20"/>
        <v>1.3</v>
      </c>
      <c r="M169" s="24">
        <f t="shared" si="21"/>
        <v>1.47</v>
      </c>
      <c r="N169" s="37" t="s">
        <v>495</v>
      </c>
      <c r="O169" s="37"/>
      <c r="P169" s="37">
        <v>0</v>
      </c>
      <c r="Q169" s="37">
        <v>0</v>
      </c>
      <c r="R169" s="37" t="s">
        <v>496</v>
      </c>
      <c r="S169" s="37"/>
    </row>
    <row r="170" spans="1:19" x14ac:dyDescent="0.3">
      <c r="A170" s="37">
        <v>143</v>
      </c>
      <c r="B170" s="37" t="s">
        <v>494</v>
      </c>
      <c r="C170" s="37" t="s">
        <v>190</v>
      </c>
      <c r="D170" s="37" t="s">
        <v>21</v>
      </c>
      <c r="E170" s="37" t="s">
        <v>22</v>
      </c>
      <c r="F170" s="42">
        <v>44926</v>
      </c>
      <c r="G170" s="37">
        <v>2022</v>
      </c>
      <c r="H170" s="37" t="s">
        <v>27</v>
      </c>
      <c r="I170" s="37" t="s">
        <v>28</v>
      </c>
      <c r="J170" s="37">
        <v>100</v>
      </c>
      <c r="K170" s="37">
        <v>158</v>
      </c>
      <c r="L170" s="24">
        <f t="shared" si="20"/>
        <v>1.3</v>
      </c>
      <c r="M170" s="24">
        <f t="shared" si="21"/>
        <v>1.58</v>
      </c>
      <c r="N170" s="37" t="s">
        <v>495</v>
      </c>
      <c r="O170" s="37"/>
      <c r="P170" s="37">
        <v>0</v>
      </c>
      <c r="Q170" s="37">
        <v>0</v>
      </c>
      <c r="R170" s="37" t="s">
        <v>497</v>
      </c>
      <c r="S170" s="37"/>
    </row>
    <row r="171" spans="1:19" x14ac:dyDescent="0.3">
      <c r="A171" s="45">
        <v>143</v>
      </c>
      <c r="B171" s="37" t="s">
        <v>498</v>
      </c>
      <c r="C171" s="37" t="s">
        <v>190</v>
      </c>
      <c r="D171" s="37" t="s">
        <v>21</v>
      </c>
      <c r="E171" s="37" t="s">
        <v>22</v>
      </c>
      <c r="F171" s="42">
        <v>45107</v>
      </c>
      <c r="G171" s="37">
        <v>2023</v>
      </c>
      <c r="H171" s="37" t="s">
        <v>23</v>
      </c>
      <c r="I171" s="39" t="s">
        <v>30</v>
      </c>
      <c r="J171" s="37">
        <v>100</v>
      </c>
      <c r="K171" s="37">
        <v>146</v>
      </c>
      <c r="L171" s="55">
        <f t="shared" si="20"/>
        <v>1.3</v>
      </c>
      <c r="M171" s="24">
        <f t="shared" si="21"/>
        <v>1.46</v>
      </c>
      <c r="N171" s="37" t="s">
        <v>495</v>
      </c>
      <c r="O171" s="37"/>
      <c r="P171" s="37">
        <v>0</v>
      </c>
      <c r="Q171" s="37">
        <v>0</v>
      </c>
      <c r="R171" s="37" t="s">
        <v>499</v>
      </c>
      <c r="S171" s="37"/>
    </row>
    <row r="172" spans="1:19" x14ac:dyDescent="0.3">
      <c r="A172" s="41">
        <v>143</v>
      </c>
      <c r="B172" s="37" t="s">
        <v>498</v>
      </c>
      <c r="C172" s="37" t="s">
        <v>190</v>
      </c>
      <c r="D172" s="37" t="s">
        <v>21</v>
      </c>
      <c r="E172" s="37" t="s">
        <v>22</v>
      </c>
      <c r="F172" s="42">
        <v>45291</v>
      </c>
      <c r="G172" s="37">
        <v>2023</v>
      </c>
      <c r="H172" s="37" t="s">
        <v>27</v>
      </c>
      <c r="I172" s="39" t="s">
        <v>32</v>
      </c>
      <c r="J172" s="37">
        <v>100</v>
      </c>
      <c r="K172" s="37">
        <v>146</v>
      </c>
      <c r="L172" s="55">
        <f t="shared" si="20"/>
        <v>1.3</v>
      </c>
      <c r="M172" s="24">
        <f t="shared" si="21"/>
        <v>1.46</v>
      </c>
      <c r="N172" s="37" t="s">
        <v>495</v>
      </c>
      <c r="O172" s="37"/>
      <c r="P172" s="37">
        <v>0</v>
      </c>
      <c r="Q172" s="37">
        <v>0</v>
      </c>
      <c r="R172" s="37" t="s">
        <v>500</v>
      </c>
      <c r="S172" s="37"/>
    </row>
    <row r="173" spans="1:19" x14ac:dyDescent="0.3">
      <c r="A173" s="37">
        <v>143</v>
      </c>
      <c r="B173" s="37" t="s">
        <v>498</v>
      </c>
      <c r="C173" s="37" t="s">
        <v>190</v>
      </c>
      <c r="D173" s="37" t="s">
        <v>21</v>
      </c>
      <c r="E173" s="37" t="s">
        <v>22</v>
      </c>
      <c r="F173" s="42">
        <v>45473</v>
      </c>
      <c r="G173" s="37">
        <v>2024</v>
      </c>
      <c r="H173" s="37" t="s">
        <v>23</v>
      </c>
      <c r="I173" s="39" t="s">
        <v>34</v>
      </c>
      <c r="J173" s="37">
        <v>100</v>
      </c>
      <c r="K173" s="37">
        <v>112</v>
      </c>
      <c r="L173" s="24">
        <f t="shared" si="20"/>
        <v>1.1200000000000001</v>
      </c>
      <c r="M173" s="24">
        <f t="shared" si="21"/>
        <v>1.1200000000000001</v>
      </c>
      <c r="N173" s="37" t="s">
        <v>495</v>
      </c>
      <c r="O173" s="37"/>
      <c r="P173" s="37">
        <v>0</v>
      </c>
      <c r="Q173" s="37">
        <v>0</v>
      </c>
      <c r="R173" s="37" t="s">
        <v>501</v>
      </c>
      <c r="S173" s="37"/>
    </row>
    <row r="174" spans="1:19" x14ac:dyDescent="0.3">
      <c r="A174" s="37">
        <v>143</v>
      </c>
      <c r="B174" s="37" t="s">
        <v>498</v>
      </c>
      <c r="C174" s="37" t="s">
        <v>190</v>
      </c>
      <c r="D174" s="37" t="s">
        <v>21</v>
      </c>
      <c r="E174" s="37" t="s">
        <v>22</v>
      </c>
      <c r="F174" s="42">
        <v>45657</v>
      </c>
      <c r="G174" s="37">
        <v>2024</v>
      </c>
      <c r="H174" s="37" t="s">
        <v>27</v>
      </c>
      <c r="I174" s="39" t="s">
        <v>36</v>
      </c>
      <c r="J174" s="37">
        <v>100</v>
      </c>
      <c r="K174" s="37">
        <v>135</v>
      </c>
      <c r="L174" s="24">
        <f t="shared" si="20"/>
        <v>1.3</v>
      </c>
      <c r="M174" s="24">
        <f t="shared" si="21"/>
        <v>1.35</v>
      </c>
      <c r="N174" s="37" t="s">
        <v>495</v>
      </c>
      <c r="O174" s="37"/>
      <c r="P174" s="37">
        <v>0</v>
      </c>
      <c r="Q174" s="37">
        <v>0</v>
      </c>
      <c r="R174" s="37" t="s">
        <v>502</v>
      </c>
      <c r="S174" s="37"/>
    </row>
    <row r="175" spans="1:19" x14ac:dyDescent="0.3">
      <c r="A175" s="37">
        <v>144</v>
      </c>
      <c r="B175" s="37" t="s">
        <v>503</v>
      </c>
      <c r="C175" s="37" t="s">
        <v>190</v>
      </c>
      <c r="D175" s="37" t="s">
        <v>21</v>
      </c>
      <c r="E175" s="37" t="s">
        <v>22</v>
      </c>
      <c r="F175" s="42">
        <v>44742</v>
      </c>
      <c r="G175" s="37">
        <v>2022</v>
      </c>
      <c r="H175" s="37" t="s">
        <v>23</v>
      </c>
      <c r="I175" s="37" t="s">
        <v>24</v>
      </c>
      <c r="J175" s="37">
        <v>3</v>
      </c>
      <c r="K175" s="37">
        <v>3.2169811320755</v>
      </c>
      <c r="L175" s="24">
        <f t="shared" si="20"/>
        <v>1.0723270440251667</v>
      </c>
      <c r="M175" s="24">
        <f t="shared" si="21"/>
        <v>1.0723270440251667</v>
      </c>
      <c r="N175" s="37" t="s">
        <v>203</v>
      </c>
      <c r="O175" s="37" t="s">
        <v>197</v>
      </c>
      <c r="P175" s="37">
        <v>2</v>
      </c>
      <c r="Q175" s="37">
        <v>2</v>
      </c>
      <c r="R175" s="37" t="s">
        <v>504</v>
      </c>
      <c r="S175" s="37"/>
    </row>
    <row r="176" spans="1:19" x14ac:dyDescent="0.3">
      <c r="A176" s="37">
        <v>144</v>
      </c>
      <c r="B176" s="37" t="s">
        <v>503</v>
      </c>
      <c r="C176" s="37" t="s">
        <v>190</v>
      </c>
      <c r="D176" s="37" t="s">
        <v>21</v>
      </c>
      <c r="E176" s="37" t="s">
        <v>22</v>
      </c>
      <c r="F176" s="42">
        <v>44926</v>
      </c>
      <c r="G176" s="37">
        <v>2022</v>
      </c>
      <c r="H176" s="37" t="s">
        <v>27</v>
      </c>
      <c r="I176" s="37" t="s">
        <v>28</v>
      </c>
      <c r="J176" s="37">
        <v>3</v>
      </c>
      <c r="K176" s="37">
        <v>3.55</v>
      </c>
      <c r="L176" s="24">
        <f t="shared" si="20"/>
        <v>1.1833333333333333</v>
      </c>
      <c r="M176" s="24">
        <f t="shared" si="21"/>
        <v>1.1833333333333333</v>
      </c>
      <c r="N176" s="37" t="s">
        <v>203</v>
      </c>
      <c r="O176" s="37" t="s">
        <v>197</v>
      </c>
      <c r="P176" s="37">
        <v>2</v>
      </c>
      <c r="Q176" s="37">
        <v>2</v>
      </c>
      <c r="R176" s="37" t="s">
        <v>505</v>
      </c>
      <c r="S176" s="37"/>
    </row>
    <row r="177" spans="1:19" x14ac:dyDescent="0.3">
      <c r="A177" s="41">
        <v>144</v>
      </c>
      <c r="B177" s="37" t="s">
        <v>503</v>
      </c>
      <c r="C177" s="37" t="s">
        <v>190</v>
      </c>
      <c r="D177" s="37" t="s">
        <v>139</v>
      </c>
      <c r="E177" s="37" t="s">
        <v>22</v>
      </c>
      <c r="F177" s="42">
        <v>45291</v>
      </c>
      <c r="G177" s="37">
        <v>2023</v>
      </c>
      <c r="H177" s="37" t="s">
        <v>27</v>
      </c>
      <c r="I177" s="39" t="s">
        <v>32</v>
      </c>
      <c r="J177" s="37">
        <v>3</v>
      </c>
      <c r="K177" s="37">
        <v>4.83</v>
      </c>
      <c r="L177" s="55">
        <f t="shared" si="20"/>
        <v>1.3</v>
      </c>
      <c r="M177" s="24">
        <f t="shared" si="21"/>
        <v>1.61</v>
      </c>
      <c r="N177" s="37"/>
      <c r="O177" s="37"/>
      <c r="P177" s="37">
        <v>2</v>
      </c>
      <c r="Q177" s="37">
        <v>2</v>
      </c>
      <c r="R177" s="37" t="s">
        <v>506</v>
      </c>
      <c r="S177" s="37"/>
    </row>
    <row r="178" spans="1:19" x14ac:dyDescent="0.3">
      <c r="A178" s="37">
        <v>144</v>
      </c>
      <c r="B178" s="37" t="s">
        <v>503</v>
      </c>
      <c r="C178" s="37" t="s">
        <v>190</v>
      </c>
      <c r="D178" s="37" t="s">
        <v>139</v>
      </c>
      <c r="E178" s="37" t="s">
        <v>22</v>
      </c>
      <c r="F178" s="42">
        <v>45657</v>
      </c>
      <c r="G178" s="37">
        <v>2024</v>
      </c>
      <c r="H178" s="37" t="s">
        <v>27</v>
      </c>
      <c r="I178" s="70" t="s">
        <v>36</v>
      </c>
      <c r="J178" s="37">
        <v>3</v>
      </c>
      <c r="K178" s="37">
        <v>4.5999999999999996</v>
      </c>
      <c r="L178" s="24">
        <f t="shared" si="20"/>
        <v>1.3</v>
      </c>
      <c r="M178" s="24">
        <f t="shared" si="21"/>
        <v>1.5333333333333332</v>
      </c>
      <c r="N178" s="37"/>
      <c r="O178" s="37"/>
      <c r="P178" s="37">
        <v>0</v>
      </c>
      <c r="Q178" s="37">
        <v>0</v>
      </c>
      <c r="R178" s="37" t="s">
        <v>507</v>
      </c>
      <c r="S178" s="37"/>
    </row>
    <row r="179" spans="1:19" x14ac:dyDescent="0.3">
      <c r="A179" s="37">
        <v>145</v>
      </c>
      <c r="B179" s="37" t="s">
        <v>508</v>
      </c>
      <c r="C179" s="37" t="s">
        <v>509</v>
      </c>
      <c r="D179" s="37" t="s">
        <v>21</v>
      </c>
      <c r="E179" s="37" t="s">
        <v>22</v>
      </c>
      <c r="F179" s="42">
        <v>44742</v>
      </c>
      <c r="G179" s="37">
        <v>2022</v>
      </c>
      <c r="H179" s="37" t="s">
        <v>23</v>
      </c>
      <c r="I179" s="75" t="s">
        <v>24</v>
      </c>
      <c r="J179" s="37">
        <v>1</v>
      </c>
      <c r="K179" s="37">
        <v>2.1186440677966001</v>
      </c>
      <c r="L179" s="24">
        <f t="shared" si="20"/>
        <v>1.3</v>
      </c>
      <c r="M179" s="24">
        <f t="shared" si="21"/>
        <v>2.1186440677966001</v>
      </c>
      <c r="N179" s="37" t="s">
        <v>203</v>
      </c>
      <c r="O179" s="37" t="s">
        <v>197</v>
      </c>
      <c r="P179" s="37">
        <v>0</v>
      </c>
      <c r="Q179" s="37">
        <v>2</v>
      </c>
      <c r="R179" s="37" t="s">
        <v>510</v>
      </c>
      <c r="S179" s="37"/>
    </row>
    <row r="180" spans="1:19" x14ac:dyDescent="0.3">
      <c r="A180" s="37">
        <v>145</v>
      </c>
      <c r="B180" s="37" t="s">
        <v>508</v>
      </c>
      <c r="C180" s="37" t="s">
        <v>509</v>
      </c>
      <c r="D180" s="37" t="s">
        <v>21</v>
      </c>
      <c r="E180" s="37" t="s">
        <v>22</v>
      </c>
      <c r="F180" s="42">
        <v>44926</v>
      </c>
      <c r="G180" s="37">
        <v>2022</v>
      </c>
      <c r="H180" s="37" t="s">
        <v>27</v>
      </c>
      <c r="I180" s="37" t="s">
        <v>28</v>
      </c>
      <c r="J180" s="37">
        <v>1</v>
      </c>
      <c r="K180" s="37">
        <v>2.1186440677966001</v>
      </c>
      <c r="L180" s="24">
        <f t="shared" si="20"/>
        <v>1.3</v>
      </c>
      <c r="M180" s="24">
        <f t="shared" si="21"/>
        <v>2.1186440677966001</v>
      </c>
      <c r="N180" s="37" t="s">
        <v>203</v>
      </c>
      <c r="O180" s="37" t="s">
        <v>197</v>
      </c>
      <c r="P180" s="37">
        <v>0</v>
      </c>
      <c r="Q180" s="37">
        <v>2</v>
      </c>
      <c r="R180" s="37" t="s">
        <v>511</v>
      </c>
      <c r="S180" s="37"/>
    </row>
    <row r="181" spans="1:19" x14ac:dyDescent="0.3">
      <c r="A181" s="37">
        <v>145</v>
      </c>
      <c r="B181" s="37" t="s">
        <v>508</v>
      </c>
      <c r="C181" s="37" t="s">
        <v>509</v>
      </c>
      <c r="D181" s="37" t="s">
        <v>21</v>
      </c>
      <c r="E181" s="37" t="s">
        <v>22</v>
      </c>
      <c r="F181" s="42">
        <v>45107</v>
      </c>
      <c r="G181" s="37">
        <v>2023</v>
      </c>
      <c r="H181" s="37" t="s">
        <v>23</v>
      </c>
      <c r="I181" s="39" t="s">
        <v>30</v>
      </c>
      <c r="J181" s="37">
        <v>1</v>
      </c>
      <c r="K181" s="37">
        <v>2</v>
      </c>
      <c r="L181" s="24">
        <f t="shared" si="20"/>
        <v>1.3</v>
      </c>
      <c r="M181" s="24">
        <f t="shared" si="21"/>
        <v>2</v>
      </c>
      <c r="N181" s="37" t="s">
        <v>203</v>
      </c>
      <c r="O181" s="37" t="s">
        <v>203</v>
      </c>
      <c r="P181" s="37">
        <v>0</v>
      </c>
      <c r="Q181" s="37">
        <v>0</v>
      </c>
      <c r="R181" s="37" t="s">
        <v>512</v>
      </c>
      <c r="S181" s="37"/>
    </row>
    <row r="182" spans="1:19" x14ac:dyDescent="0.3">
      <c r="A182" s="37">
        <v>145</v>
      </c>
      <c r="B182" s="37" t="s">
        <v>508</v>
      </c>
      <c r="C182" s="37" t="s">
        <v>509</v>
      </c>
      <c r="D182" s="37" t="s">
        <v>21</v>
      </c>
      <c r="E182" s="37" t="s">
        <v>22</v>
      </c>
      <c r="F182" s="42">
        <v>45291</v>
      </c>
      <c r="G182" s="37">
        <v>2023</v>
      </c>
      <c r="H182" s="37" t="s">
        <v>27</v>
      </c>
      <c r="I182" s="39" t="s">
        <v>32</v>
      </c>
      <c r="J182" s="37">
        <v>1</v>
      </c>
      <c r="K182" s="37">
        <v>2</v>
      </c>
      <c r="L182" s="24">
        <f t="shared" si="20"/>
        <v>1.3</v>
      </c>
      <c r="M182" s="24">
        <f t="shared" si="21"/>
        <v>2</v>
      </c>
      <c r="N182" s="37" t="s">
        <v>203</v>
      </c>
      <c r="O182" s="37" t="s">
        <v>203</v>
      </c>
      <c r="P182" s="37">
        <v>0</v>
      </c>
      <c r="Q182" s="37">
        <v>0</v>
      </c>
      <c r="R182" s="37" t="s">
        <v>513</v>
      </c>
      <c r="S182" s="37"/>
    </row>
    <row r="183" spans="1:19" x14ac:dyDescent="0.3">
      <c r="A183" s="37">
        <v>145</v>
      </c>
      <c r="B183" s="37" t="s">
        <v>508</v>
      </c>
      <c r="C183" s="37" t="s">
        <v>509</v>
      </c>
      <c r="D183" s="37" t="s">
        <v>21</v>
      </c>
      <c r="E183" s="37" t="s">
        <v>22</v>
      </c>
      <c r="F183" s="42">
        <v>45473</v>
      </c>
      <c r="G183" s="37">
        <v>2024</v>
      </c>
      <c r="H183" s="37" t="s">
        <v>23</v>
      </c>
      <c r="I183" s="39" t="s">
        <v>34</v>
      </c>
      <c r="J183" s="37">
        <v>1</v>
      </c>
      <c r="K183" s="37">
        <v>1.97</v>
      </c>
      <c r="L183" s="24">
        <f t="shared" si="20"/>
        <v>1.3</v>
      </c>
      <c r="M183" s="24">
        <f t="shared" si="21"/>
        <v>1.97</v>
      </c>
      <c r="N183" s="37" t="s">
        <v>203</v>
      </c>
      <c r="O183" s="37" t="s">
        <v>197</v>
      </c>
      <c r="P183" s="37">
        <v>0</v>
      </c>
      <c r="Q183" s="37">
        <v>2</v>
      </c>
      <c r="R183" s="37" t="s">
        <v>514</v>
      </c>
      <c r="S183" s="37"/>
    </row>
    <row r="184" spans="1:19" x14ac:dyDescent="0.3">
      <c r="A184" s="37">
        <v>145</v>
      </c>
      <c r="B184" s="37" t="s">
        <v>508</v>
      </c>
      <c r="C184" s="37" t="s">
        <v>509</v>
      </c>
      <c r="D184" s="37" t="s">
        <v>21</v>
      </c>
      <c r="E184" s="37" t="s">
        <v>22</v>
      </c>
      <c r="F184" s="42">
        <v>45657</v>
      </c>
      <c r="G184" s="37">
        <v>2024</v>
      </c>
      <c r="H184" s="37" t="s">
        <v>27</v>
      </c>
      <c r="I184" s="39" t="s">
        <v>36</v>
      </c>
      <c r="J184" s="37">
        <v>1</v>
      </c>
      <c r="K184" s="37">
        <v>1.94</v>
      </c>
      <c r="L184" s="24">
        <f t="shared" si="20"/>
        <v>1.3</v>
      </c>
      <c r="M184" s="24">
        <f t="shared" si="21"/>
        <v>1.94</v>
      </c>
      <c r="N184" s="37" t="s">
        <v>203</v>
      </c>
      <c r="O184" s="37" t="s">
        <v>197</v>
      </c>
      <c r="P184" s="37">
        <v>0</v>
      </c>
      <c r="Q184" s="37">
        <v>2</v>
      </c>
      <c r="R184" s="37" t="s">
        <v>515</v>
      </c>
      <c r="S184" s="37"/>
    </row>
    <row r="185" spans="1:19" x14ac:dyDescent="0.3">
      <c r="A185" s="37">
        <v>146</v>
      </c>
      <c r="B185" s="37" t="s">
        <v>516</v>
      </c>
      <c r="C185" s="37" t="s">
        <v>190</v>
      </c>
      <c r="D185" s="37" t="s">
        <v>21</v>
      </c>
      <c r="E185" s="37" t="s">
        <v>22</v>
      </c>
      <c r="F185" s="42">
        <v>44742</v>
      </c>
      <c r="G185" s="37">
        <v>2022</v>
      </c>
      <c r="H185" s="37" t="s">
        <v>23</v>
      </c>
      <c r="I185" s="37" t="s">
        <v>24</v>
      </c>
      <c r="J185" s="37">
        <v>230</v>
      </c>
      <c r="K185" s="37">
        <v>231</v>
      </c>
      <c r="L185" s="24">
        <f t="shared" ref="L185:L201" si="22">IFERROR(IF(OR(J185=0,K185=""),"",IF(E185="Positivo",MIN(MAX(K185/J185,0),1.3),MIN(MAX(J185/K185,0),1.3))),"")</f>
        <v>1.0043478260869565</v>
      </c>
      <c r="M185" s="24">
        <f t="shared" ref="M185:M201" si="23">IFERROR(IF(OR(J185=0,K185=""),"",IF(E185="Positivo",MAX(K185/J185,0),MAX(J185/K185,0))),"")</f>
        <v>1.0043478260869565</v>
      </c>
      <c r="N185" s="37" t="s">
        <v>203</v>
      </c>
      <c r="O185" s="37" t="s">
        <v>203</v>
      </c>
      <c r="P185" s="37">
        <v>0</v>
      </c>
      <c r="Q185" s="37">
        <v>0</v>
      </c>
      <c r="R185" s="37" t="s">
        <v>517</v>
      </c>
      <c r="S185" s="37"/>
    </row>
    <row r="186" spans="1:19" x14ac:dyDescent="0.3">
      <c r="A186" s="37">
        <v>146</v>
      </c>
      <c r="B186" s="37" t="s">
        <v>516</v>
      </c>
      <c r="C186" s="37" t="s">
        <v>190</v>
      </c>
      <c r="D186" s="37" t="s">
        <v>21</v>
      </c>
      <c r="E186" s="37" t="s">
        <v>22</v>
      </c>
      <c r="F186" s="42">
        <v>44926</v>
      </c>
      <c r="G186" s="37">
        <v>2022</v>
      </c>
      <c r="H186" s="37" t="s">
        <v>27</v>
      </c>
      <c r="I186" s="37" t="s">
        <v>28</v>
      </c>
      <c r="J186" s="37">
        <v>230</v>
      </c>
      <c r="K186" s="37">
        <v>280</v>
      </c>
      <c r="L186" s="24">
        <f t="shared" si="22"/>
        <v>1.2173913043478262</v>
      </c>
      <c r="M186" s="24">
        <f t="shared" si="23"/>
        <v>1.2173913043478262</v>
      </c>
      <c r="N186" s="37" t="s">
        <v>203</v>
      </c>
      <c r="O186" s="37" t="s">
        <v>203</v>
      </c>
      <c r="P186" s="37">
        <v>0</v>
      </c>
      <c r="Q186" s="37">
        <v>0</v>
      </c>
      <c r="R186" s="37" t="s">
        <v>518</v>
      </c>
      <c r="S186" s="37"/>
    </row>
    <row r="187" spans="1:19" x14ac:dyDescent="0.3">
      <c r="A187" s="45">
        <v>146</v>
      </c>
      <c r="B187" s="37" t="s">
        <v>516</v>
      </c>
      <c r="C187" s="37" t="s">
        <v>190</v>
      </c>
      <c r="D187" s="37" t="s">
        <v>21</v>
      </c>
      <c r="E187" s="37" t="s">
        <v>22</v>
      </c>
      <c r="F187" s="42">
        <v>45107</v>
      </c>
      <c r="G187" s="37">
        <v>2023</v>
      </c>
      <c r="H187" s="37" t="s">
        <v>23</v>
      </c>
      <c r="I187" s="39" t="s">
        <v>30</v>
      </c>
      <c r="J187" s="37">
        <v>230</v>
      </c>
      <c r="K187" s="37">
        <v>278</v>
      </c>
      <c r="L187" s="55">
        <f t="shared" si="22"/>
        <v>1.2086956521739129</v>
      </c>
      <c r="M187" s="24">
        <f t="shared" si="23"/>
        <v>1.2086956521739129</v>
      </c>
      <c r="N187" s="37" t="s">
        <v>203</v>
      </c>
      <c r="O187" s="37" t="s">
        <v>203</v>
      </c>
      <c r="P187" s="37">
        <v>0</v>
      </c>
      <c r="Q187" s="37">
        <v>0</v>
      </c>
      <c r="R187" s="37" t="s">
        <v>519</v>
      </c>
      <c r="S187" s="37"/>
    </row>
    <row r="188" spans="1:19" x14ac:dyDescent="0.3">
      <c r="A188" s="41">
        <v>146</v>
      </c>
      <c r="B188" s="37" t="s">
        <v>516</v>
      </c>
      <c r="C188" s="37" t="s">
        <v>190</v>
      </c>
      <c r="D188" s="37" t="s">
        <v>21</v>
      </c>
      <c r="E188" s="37" t="s">
        <v>22</v>
      </c>
      <c r="F188" s="42">
        <v>45291</v>
      </c>
      <c r="G188" s="37">
        <v>2023</v>
      </c>
      <c r="H188" s="37" t="s">
        <v>27</v>
      </c>
      <c r="I188" s="39" t="s">
        <v>32</v>
      </c>
      <c r="J188" s="37">
        <v>230</v>
      </c>
      <c r="K188" s="37">
        <v>342</v>
      </c>
      <c r="L188" s="55">
        <f t="shared" si="22"/>
        <v>1.3</v>
      </c>
      <c r="M188" s="24">
        <f t="shared" si="23"/>
        <v>1.4869565217391305</v>
      </c>
      <c r="N188" s="37" t="s">
        <v>203</v>
      </c>
      <c r="O188" s="37" t="s">
        <v>203</v>
      </c>
      <c r="P188" s="37">
        <v>0</v>
      </c>
      <c r="Q188" s="37">
        <v>0</v>
      </c>
      <c r="R188" s="37" t="s">
        <v>520</v>
      </c>
      <c r="S188" s="37"/>
    </row>
    <row r="189" spans="1:19" x14ac:dyDescent="0.3">
      <c r="A189" s="37">
        <v>146</v>
      </c>
      <c r="B189" s="37" t="s">
        <v>516</v>
      </c>
      <c r="C189" s="37" t="s">
        <v>190</v>
      </c>
      <c r="D189" s="37" t="s">
        <v>21</v>
      </c>
      <c r="E189" s="37" t="s">
        <v>22</v>
      </c>
      <c r="F189" s="42">
        <v>45473</v>
      </c>
      <c r="G189" s="37">
        <v>2024</v>
      </c>
      <c r="H189" s="37" t="s">
        <v>23</v>
      </c>
      <c r="I189" s="39" t="s">
        <v>34</v>
      </c>
      <c r="J189" s="37">
        <v>294</v>
      </c>
      <c r="K189" s="37">
        <v>334</v>
      </c>
      <c r="L189" s="24">
        <f t="shared" si="22"/>
        <v>1.1360544217687074</v>
      </c>
      <c r="M189" s="24">
        <f t="shared" si="23"/>
        <v>1.1360544217687074</v>
      </c>
      <c r="N189" s="37" t="s">
        <v>203</v>
      </c>
      <c r="O189" s="37" t="s">
        <v>203</v>
      </c>
      <c r="P189" s="37">
        <v>0</v>
      </c>
      <c r="Q189" s="37">
        <v>0</v>
      </c>
      <c r="R189" s="37" t="s">
        <v>521</v>
      </c>
      <c r="S189" s="37"/>
    </row>
    <row r="190" spans="1:19" x14ac:dyDescent="0.3">
      <c r="A190" s="37">
        <v>146</v>
      </c>
      <c r="B190" s="37" t="s">
        <v>516</v>
      </c>
      <c r="C190" s="37" t="s">
        <v>190</v>
      </c>
      <c r="D190" s="37" t="s">
        <v>21</v>
      </c>
      <c r="E190" s="37" t="s">
        <v>22</v>
      </c>
      <c r="F190" s="42">
        <v>45657</v>
      </c>
      <c r="G190" s="37">
        <v>2024</v>
      </c>
      <c r="H190" s="37" t="s">
        <v>27</v>
      </c>
      <c r="I190" s="39" t="s">
        <v>36</v>
      </c>
      <c r="J190" s="37">
        <v>294</v>
      </c>
      <c r="K190" s="37">
        <v>343</v>
      </c>
      <c r="L190" s="24">
        <f t="shared" si="22"/>
        <v>1.1666666666666667</v>
      </c>
      <c r="M190" s="24">
        <f t="shared" si="23"/>
        <v>1.1666666666666667</v>
      </c>
      <c r="N190" s="37" t="s">
        <v>203</v>
      </c>
      <c r="O190" s="37" t="s">
        <v>203</v>
      </c>
      <c r="P190" s="37">
        <v>0</v>
      </c>
      <c r="Q190" s="37">
        <v>0</v>
      </c>
      <c r="R190" s="37" t="s">
        <v>522</v>
      </c>
      <c r="S190" s="37"/>
    </row>
    <row r="191" spans="1:19" x14ac:dyDescent="0.3">
      <c r="A191" s="37">
        <v>147</v>
      </c>
      <c r="B191" s="37" t="s">
        <v>523</v>
      </c>
      <c r="C191" s="37" t="s">
        <v>190</v>
      </c>
      <c r="D191" s="37" t="s">
        <v>139</v>
      </c>
      <c r="E191" s="37" t="s">
        <v>22</v>
      </c>
      <c r="F191" s="42">
        <v>44926</v>
      </c>
      <c r="G191" s="37">
        <v>2022</v>
      </c>
      <c r="H191" s="37" t="s">
        <v>27</v>
      </c>
      <c r="I191" s="37" t="s">
        <v>28</v>
      </c>
      <c r="J191" s="37">
        <v>16</v>
      </c>
      <c r="K191" s="37">
        <v>11</v>
      </c>
      <c r="L191" s="24">
        <f t="shared" si="22"/>
        <v>0.6875</v>
      </c>
      <c r="M191" s="24">
        <f t="shared" si="23"/>
        <v>0.6875</v>
      </c>
      <c r="N191" s="37" t="s">
        <v>203</v>
      </c>
      <c r="O191" s="37" t="s">
        <v>203</v>
      </c>
      <c r="P191" s="37">
        <v>0</v>
      </c>
      <c r="Q191" s="37">
        <v>0</v>
      </c>
      <c r="R191" s="37" t="s">
        <v>524</v>
      </c>
      <c r="S191" s="37"/>
    </row>
    <row r="192" spans="1:19" x14ac:dyDescent="0.3">
      <c r="A192" s="41">
        <v>147</v>
      </c>
      <c r="B192" s="37" t="s">
        <v>523</v>
      </c>
      <c r="C192" s="37" t="s">
        <v>190</v>
      </c>
      <c r="D192" s="37" t="s">
        <v>139</v>
      </c>
      <c r="E192" s="37" t="s">
        <v>22</v>
      </c>
      <c r="F192" s="42">
        <v>45291</v>
      </c>
      <c r="G192" s="37">
        <v>2023</v>
      </c>
      <c r="H192" s="37" t="s">
        <v>27</v>
      </c>
      <c r="I192" s="39" t="s">
        <v>32</v>
      </c>
      <c r="J192" s="37">
        <v>16</v>
      </c>
      <c r="K192" s="37">
        <v>12</v>
      </c>
      <c r="L192" s="55">
        <f t="shared" si="22"/>
        <v>0.75</v>
      </c>
      <c r="M192" s="24">
        <f t="shared" si="23"/>
        <v>0.75</v>
      </c>
      <c r="N192" s="37"/>
      <c r="O192" s="37"/>
      <c r="P192" s="37">
        <v>0</v>
      </c>
      <c r="Q192" s="37">
        <v>0</v>
      </c>
      <c r="R192" s="37" t="s">
        <v>525</v>
      </c>
      <c r="S192" s="37"/>
    </row>
    <row r="193" spans="1:19" x14ac:dyDescent="0.3">
      <c r="A193" s="37">
        <v>147</v>
      </c>
      <c r="B193" s="37" t="s">
        <v>523</v>
      </c>
      <c r="C193" s="37" t="s">
        <v>190</v>
      </c>
      <c r="D193" s="37" t="s">
        <v>139</v>
      </c>
      <c r="E193" s="37" t="s">
        <v>22</v>
      </c>
      <c r="F193" s="42">
        <v>45657</v>
      </c>
      <c r="G193" s="37">
        <v>2024</v>
      </c>
      <c r="H193" s="37" t="s">
        <v>27</v>
      </c>
      <c r="I193" s="39" t="s">
        <v>36</v>
      </c>
      <c r="J193" s="37">
        <v>17</v>
      </c>
      <c r="K193" s="37">
        <v>0</v>
      </c>
      <c r="L193" s="24">
        <f t="shared" si="22"/>
        <v>0</v>
      </c>
      <c r="M193" s="24">
        <f t="shared" si="23"/>
        <v>0</v>
      </c>
      <c r="N193" s="37"/>
      <c r="O193" s="37"/>
      <c r="P193" s="37">
        <v>0</v>
      </c>
      <c r="Q193" s="37">
        <v>0</v>
      </c>
      <c r="R193" s="37" t="s">
        <v>526</v>
      </c>
      <c r="S193" s="37"/>
    </row>
    <row r="194" spans="1:19" x14ac:dyDescent="0.3">
      <c r="A194" s="37">
        <v>148</v>
      </c>
      <c r="B194" s="37" t="s">
        <v>527</v>
      </c>
      <c r="C194" s="37" t="s">
        <v>509</v>
      </c>
      <c r="D194" s="37" t="s">
        <v>21</v>
      </c>
      <c r="E194" s="37" t="s">
        <v>22</v>
      </c>
      <c r="F194" s="42">
        <v>44742</v>
      </c>
      <c r="G194" s="37">
        <v>2022</v>
      </c>
      <c r="H194" s="37" t="s">
        <v>23</v>
      </c>
      <c r="I194" s="37" t="s">
        <v>24</v>
      </c>
      <c r="J194" s="37">
        <v>2</v>
      </c>
      <c r="K194" s="37">
        <v>1.56749025217</v>
      </c>
      <c r="L194" s="24">
        <f t="shared" si="22"/>
        <v>0.78374512608500002</v>
      </c>
      <c r="M194" s="24">
        <f t="shared" si="23"/>
        <v>0.78374512608500002</v>
      </c>
      <c r="N194" s="37" t="s">
        <v>25</v>
      </c>
      <c r="O194" s="37" t="s">
        <v>25</v>
      </c>
      <c r="P194" s="37">
        <v>0</v>
      </c>
      <c r="Q194" s="37">
        <v>1</v>
      </c>
      <c r="R194" s="37" t="s">
        <v>528</v>
      </c>
      <c r="S194" s="37"/>
    </row>
    <row r="195" spans="1:19" x14ac:dyDescent="0.3">
      <c r="A195" s="37">
        <v>148</v>
      </c>
      <c r="B195" s="37" t="s">
        <v>527</v>
      </c>
      <c r="C195" s="37" t="s">
        <v>509</v>
      </c>
      <c r="D195" s="37" t="s">
        <v>21</v>
      </c>
      <c r="E195" s="37" t="s">
        <v>22</v>
      </c>
      <c r="F195" s="42">
        <v>44926</v>
      </c>
      <c r="G195" s="37">
        <v>2022</v>
      </c>
      <c r="H195" s="37" t="s">
        <v>27</v>
      </c>
      <c r="I195" s="37" t="s">
        <v>28</v>
      </c>
      <c r="J195" s="37">
        <v>2</v>
      </c>
      <c r="K195" s="37">
        <v>3.0897703549061002</v>
      </c>
      <c r="L195" s="24">
        <f t="shared" si="22"/>
        <v>1.3</v>
      </c>
      <c r="M195" s="24">
        <f t="shared" si="23"/>
        <v>1.5448851774530501</v>
      </c>
      <c r="N195" s="37" t="s">
        <v>25</v>
      </c>
      <c r="O195" s="37" t="s">
        <v>25</v>
      </c>
      <c r="P195" s="37">
        <v>0</v>
      </c>
      <c r="Q195" s="37">
        <v>1</v>
      </c>
      <c r="R195" s="37" t="s">
        <v>530</v>
      </c>
      <c r="S195" s="37"/>
    </row>
    <row r="196" spans="1:19" x14ac:dyDescent="0.3">
      <c r="A196" s="37">
        <v>148</v>
      </c>
      <c r="B196" s="37" t="s">
        <v>527</v>
      </c>
      <c r="C196" s="37" t="s">
        <v>509</v>
      </c>
      <c r="D196" s="37" t="s">
        <v>21</v>
      </c>
      <c r="E196" s="37" t="s">
        <v>22</v>
      </c>
      <c r="F196" s="38">
        <v>45107</v>
      </c>
      <c r="G196" s="40">
        <v>2023</v>
      </c>
      <c r="H196" s="39" t="s">
        <v>23</v>
      </c>
      <c r="I196" s="39" t="s">
        <v>30</v>
      </c>
      <c r="J196" s="37">
        <v>2.5</v>
      </c>
      <c r="K196" s="37">
        <v>4.1100000000000003</v>
      </c>
      <c r="L196" s="24">
        <f t="shared" si="22"/>
        <v>1.3</v>
      </c>
      <c r="M196" s="24">
        <f t="shared" si="23"/>
        <v>1.6440000000000001</v>
      </c>
      <c r="N196" s="37" t="s">
        <v>25</v>
      </c>
      <c r="O196" s="37" t="s">
        <v>25</v>
      </c>
      <c r="P196" s="37">
        <v>1</v>
      </c>
      <c r="Q196" s="37">
        <v>1</v>
      </c>
      <c r="R196" s="37" t="s">
        <v>531</v>
      </c>
      <c r="S196" s="37"/>
    </row>
    <row r="197" spans="1:19" x14ac:dyDescent="0.3">
      <c r="A197" s="37">
        <v>148</v>
      </c>
      <c r="B197" s="37" t="s">
        <v>527</v>
      </c>
      <c r="C197" s="37" t="s">
        <v>509</v>
      </c>
      <c r="D197" s="37" t="s">
        <v>21</v>
      </c>
      <c r="E197" s="37" t="s">
        <v>22</v>
      </c>
      <c r="F197" s="38">
        <v>45291</v>
      </c>
      <c r="G197" s="40">
        <v>2023</v>
      </c>
      <c r="H197" s="39" t="s">
        <v>27</v>
      </c>
      <c r="I197" s="39" t="s">
        <v>32</v>
      </c>
      <c r="J197" s="37">
        <v>5</v>
      </c>
      <c r="K197" s="37">
        <v>5.71</v>
      </c>
      <c r="L197" s="24">
        <f t="shared" si="22"/>
        <v>1.1419999999999999</v>
      </c>
      <c r="M197" s="24">
        <f t="shared" si="23"/>
        <v>1.1419999999999999</v>
      </c>
      <c r="N197" s="37" t="s">
        <v>25</v>
      </c>
      <c r="O197" s="37" t="s">
        <v>25</v>
      </c>
      <c r="P197" s="37">
        <v>0</v>
      </c>
      <c r="Q197" s="37">
        <v>1</v>
      </c>
      <c r="R197" s="37" t="s">
        <v>532</v>
      </c>
      <c r="S197" s="37"/>
    </row>
    <row r="198" spans="1:19" x14ac:dyDescent="0.3">
      <c r="A198" s="37">
        <v>148</v>
      </c>
      <c r="B198" s="37" t="s">
        <v>527</v>
      </c>
      <c r="C198" s="37" t="s">
        <v>509</v>
      </c>
      <c r="D198" s="37" t="s">
        <v>21</v>
      </c>
      <c r="E198" s="37" t="s">
        <v>22</v>
      </c>
      <c r="F198" s="42">
        <v>45473</v>
      </c>
      <c r="G198" s="37">
        <v>2024</v>
      </c>
      <c r="H198" s="37" t="s">
        <v>23</v>
      </c>
      <c r="I198" s="39" t="s">
        <v>34</v>
      </c>
      <c r="J198" s="37">
        <v>5</v>
      </c>
      <c r="K198" s="37">
        <v>4.3</v>
      </c>
      <c r="L198" s="24">
        <f t="shared" si="22"/>
        <v>0.86</v>
      </c>
      <c r="M198" s="24">
        <f t="shared" si="23"/>
        <v>0.86</v>
      </c>
      <c r="N198" s="37" t="s">
        <v>25</v>
      </c>
      <c r="O198" s="37" t="s">
        <v>25</v>
      </c>
      <c r="P198" s="37">
        <v>0</v>
      </c>
      <c r="Q198" s="37">
        <v>1</v>
      </c>
      <c r="R198" s="37" t="s">
        <v>533</v>
      </c>
      <c r="S198" s="37"/>
    </row>
    <row r="199" spans="1:19" x14ac:dyDescent="0.3">
      <c r="A199" s="37">
        <v>148</v>
      </c>
      <c r="B199" s="37" t="s">
        <v>527</v>
      </c>
      <c r="C199" s="37" t="s">
        <v>509</v>
      </c>
      <c r="D199" s="37" t="s">
        <v>21</v>
      </c>
      <c r="E199" s="37" t="s">
        <v>22</v>
      </c>
      <c r="F199" s="42">
        <v>45657</v>
      </c>
      <c r="G199" s="37">
        <v>2024</v>
      </c>
      <c r="H199" s="37" t="s">
        <v>27</v>
      </c>
      <c r="I199" s="39" t="s">
        <v>36</v>
      </c>
      <c r="J199" s="37">
        <v>5</v>
      </c>
      <c r="K199" s="37">
        <v>6.3</v>
      </c>
      <c r="L199" s="24">
        <f t="shared" si="22"/>
        <v>1.26</v>
      </c>
      <c r="M199" s="24">
        <f t="shared" si="23"/>
        <v>1.26</v>
      </c>
      <c r="N199" s="37" t="s">
        <v>25</v>
      </c>
      <c r="O199" s="37" t="s">
        <v>25</v>
      </c>
      <c r="P199" s="37">
        <v>0</v>
      </c>
      <c r="Q199" s="37">
        <v>1</v>
      </c>
      <c r="R199" s="37" t="s">
        <v>534</v>
      </c>
      <c r="S199" s="37"/>
    </row>
    <row r="200" spans="1:19" x14ac:dyDescent="0.3">
      <c r="A200" s="37">
        <v>150</v>
      </c>
      <c r="B200" s="37" t="s">
        <v>206</v>
      </c>
      <c r="C200" s="37" t="s">
        <v>535</v>
      </c>
      <c r="D200" s="37" t="s">
        <v>139</v>
      </c>
      <c r="E200" s="37" t="s">
        <v>22</v>
      </c>
      <c r="F200" s="42">
        <v>44865</v>
      </c>
      <c r="G200" s="37">
        <v>2022</v>
      </c>
      <c r="H200" s="37" t="s">
        <v>89</v>
      </c>
      <c r="I200" s="39" t="s">
        <v>28</v>
      </c>
      <c r="J200" s="37">
        <v>80</v>
      </c>
      <c r="K200" s="37">
        <v>80</v>
      </c>
      <c r="L200" s="55">
        <f t="shared" si="22"/>
        <v>1</v>
      </c>
      <c r="M200" s="24">
        <f t="shared" si="23"/>
        <v>1</v>
      </c>
      <c r="N200" s="37" t="s">
        <v>25</v>
      </c>
      <c r="O200" s="37" t="s">
        <v>25</v>
      </c>
      <c r="P200" s="37">
        <v>0</v>
      </c>
      <c r="Q200" s="37">
        <v>0</v>
      </c>
      <c r="R200" s="37" t="s">
        <v>536</v>
      </c>
      <c r="S200" s="37"/>
    </row>
    <row r="201" spans="1:19" x14ac:dyDescent="0.3">
      <c r="A201" s="37">
        <v>150</v>
      </c>
      <c r="B201" s="37" t="s">
        <v>206</v>
      </c>
      <c r="C201" s="37" t="s">
        <v>535</v>
      </c>
      <c r="D201" s="37" t="s">
        <v>139</v>
      </c>
      <c r="E201" s="37" t="s">
        <v>22</v>
      </c>
      <c r="F201" s="42">
        <v>45291</v>
      </c>
      <c r="G201" s="37">
        <v>2023</v>
      </c>
      <c r="H201" s="37" t="s">
        <v>27</v>
      </c>
      <c r="I201" s="39" t="s">
        <v>32</v>
      </c>
      <c r="J201" s="37">
        <v>80</v>
      </c>
      <c r="K201" s="37">
        <v>84.343500708111094</v>
      </c>
      <c r="L201" s="55">
        <f t="shared" si="22"/>
        <v>1.0542937588513888</v>
      </c>
      <c r="M201" s="24">
        <f t="shared" si="23"/>
        <v>1.0542937588513888</v>
      </c>
      <c r="N201" s="37" t="s">
        <v>25</v>
      </c>
      <c r="O201" s="37" t="s">
        <v>25</v>
      </c>
      <c r="P201" s="37">
        <v>0</v>
      </c>
      <c r="Q201" s="37">
        <v>0</v>
      </c>
      <c r="R201" s="37" t="s">
        <v>539</v>
      </c>
      <c r="S201" s="37"/>
    </row>
    <row r="202" spans="1:19" x14ac:dyDescent="0.3">
      <c r="A202" s="37">
        <v>150</v>
      </c>
      <c r="B202" s="37" t="s">
        <v>206</v>
      </c>
      <c r="C202" s="37" t="s">
        <v>190</v>
      </c>
      <c r="D202" s="37" t="s">
        <v>139</v>
      </c>
      <c r="E202" s="37" t="s">
        <v>22</v>
      </c>
      <c r="F202" s="42">
        <v>45657</v>
      </c>
      <c r="G202" s="37">
        <v>2024</v>
      </c>
      <c r="H202" s="37" t="s">
        <v>27</v>
      </c>
      <c r="I202" s="39" t="s">
        <v>36</v>
      </c>
      <c r="J202" s="37"/>
      <c r="K202" s="37"/>
      <c r="L202" s="24"/>
      <c r="M202" s="24"/>
      <c r="N202" s="37"/>
      <c r="O202" s="37"/>
      <c r="P202" s="37">
        <v>0</v>
      </c>
      <c r="Q202" s="37">
        <v>0</v>
      </c>
      <c r="R202" s="37" t="s">
        <v>3499</v>
      </c>
      <c r="S202" s="37"/>
    </row>
    <row r="203" spans="1:19" x14ac:dyDescent="0.3">
      <c r="A203" s="41">
        <v>151</v>
      </c>
      <c r="B203" s="37" t="s">
        <v>206</v>
      </c>
      <c r="C203" s="37" t="s">
        <v>461</v>
      </c>
      <c r="D203" s="37" t="s">
        <v>139</v>
      </c>
      <c r="E203" s="37" t="s">
        <v>22</v>
      </c>
      <c r="F203" s="42">
        <v>45291</v>
      </c>
      <c r="G203" s="37">
        <v>2023</v>
      </c>
      <c r="H203" s="37" t="s">
        <v>27</v>
      </c>
      <c r="I203" s="39" t="s">
        <v>32</v>
      </c>
      <c r="J203" s="37"/>
      <c r="K203" s="37"/>
      <c r="L203" s="55"/>
      <c r="M203" s="24"/>
      <c r="N203" s="37"/>
      <c r="O203" s="37"/>
      <c r="P203" s="37">
        <v>0</v>
      </c>
      <c r="Q203" s="37">
        <v>0</v>
      </c>
      <c r="R203" s="37" t="s">
        <v>3500</v>
      </c>
      <c r="S203" s="37"/>
    </row>
    <row r="204" spans="1:19" x14ac:dyDescent="0.3">
      <c r="A204" s="37">
        <v>151</v>
      </c>
      <c r="B204" s="37" t="s">
        <v>206</v>
      </c>
      <c r="C204" s="37" t="s">
        <v>461</v>
      </c>
      <c r="D204" s="37" t="s">
        <v>139</v>
      </c>
      <c r="E204" s="37" t="s">
        <v>22</v>
      </c>
      <c r="F204" s="42">
        <v>45657</v>
      </c>
      <c r="G204" s="37">
        <v>2024</v>
      </c>
      <c r="H204" s="37" t="s">
        <v>27</v>
      </c>
      <c r="I204" s="39" t="s">
        <v>36</v>
      </c>
      <c r="J204" s="37"/>
      <c r="K204" s="37"/>
      <c r="L204" s="24"/>
      <c r="M204" s="24"/>
      <c r="N204" s="37"/>
      <c r="O204" s="37"/>
      <c r="P204" s="37">
        <v>0</v>
      </c>
      <c r="Q204" s="37">
        <v>0</v>
      </c>
      <c r="R204" s="37" t="s">
        <v>3501</v>
      </c>
      <c r="S204" s="37"/>
    </row>
    <row r="205" spans="1:19" x14ac:dyDescent="0.3">
      <c r="A205" s="41">
        <v>157</v>
      </c>
      <c r="B205" s="37" t="s">
        <v>545</v>
      </c>
      <c r="C205" s="37" t="s">
        <v>546</v>
      </c>
      <c r="D205" s="37" t="s">
        <v>139</v>
      </c>
      <c r="E205" s="37" t="s">
        <v>22</v>
      </c>
      <c r="F205" s="42">
        <v>45107</v>
      </c>
      <c r="G205" s="37">
        <v>2023</v>
      </c>
      <c r="H205" s="37" t="s">
        <v>23</v>
      </c>
      <c r="I205" s="39" t="s">
        <v>30</v>
      </c>
      <c r="J205" s="37"/>
      <c r="K205" s="37"/>
      <c r="L205" s="71"/>
      <c r="M205" s="24"/>
      <c r="N205" s="37"/>
      <c r="O205" s="37"/>
      <c r="P205" s="37">
        <v>0</v>
      </c>
      <c r="Q205" s="37">
        <v>0</v>
      </c>
      <c r="R205" s="37" t="s">
        <v>547</v>
      </c>
      <c r="S205" s="37"/>
    </row>
    <row r="206" spans="1:19" x14ac:dyDescent="0.3">
      <c r="A206" s="41">
        <v>157</v>
      </c>
      <c r="B206" s="37" t="s">
        <v>545</v>
      </c>
      <c r="C206" s="37" t="s">
        <v>546</v>
      </c>
      <c r="D206" s="37" t="s">
        <v>139</v>
      </c>
      <c r="E206" s="37" t="s">
        <v>22</v>
      </c>
      <c r="F206" s="42">
        <v>45291</v>
      </c>
      <c r="G206" s="37">
        <v>2023</v>
      </c>
      <c r="H206" s="37" t="s">
        <v>27</v>
      </c>
      <c r="I206" s="39" t="s">
        <v>32</v>
      </c>
      <c r="J206" s="37">
        <v>3</v>
      </c>
      <c r="K206" s="37">
        <v>7</v>
      </c>
      <c r="L206" s="55">
        <f t="shared" ref="L206:L227" si="24">IFERROR(IF(OR(J206=0,K206=""),"",IF(E206="Positivo",MIN(MAX(K206/J206,0),1.3),MIN(MAX(J206/K206,0),1.3))),"")</f>
        <v>1.3</v>
      </c>
      <c r="M206" s="24">
        <f t="shared" ref="M206:M227" si="25">IFERROR(IF(OR(J206=0,K206=""),"",IF(E206="Positivo",MAX(K206/J206,0),MAX(J206/K206,0))),"")</f>
        <v>2.3333333333333335</v>
      </c>
      <c r="N206" s="37"/>
      <c r="O206" s="37"/>
      <c r="P206" s="37">
        <v>0</v>
      </c>
      <c r="Q206" s="37">
        <v>0</v>
      </c>
      <c r="R206" s="37" t="s">
        <v>548</v>
      </c>
      <c r="S206" s="37"/>
    </row>
    <row r="207" spans="1:19" x14ac:dyDescent="0.3">
      <c r="A207" s="37">
        <v>157</v>
      </c>
      <c r="B207" s="37" t="s">
        <v>545</v>
      </c>
      <c r="C207" s="37" t="s">
        <v>546</v>
      </c>
      <c r="D207" s="37" t="s">
        <v>139</v>
      </c>
      <c r="E207" s="37" t="s">
        <v>22</v>
      </c>
      <c r="F207" s="42">
        <v>45657</v>
      </c>
      <c r="G207" s="37">
        <v>2024</v>
      </c>
      <c r="H207" s="37" t="s">
        <v>27</v>
      </c>
      <c r="I207" s="39" t="s">
        <v>36</v>
      </c>
      <c r="J207" s="37">
        <v>100</v>
      </c>
      <c r="K207" s="37">
        <v>125</v>
      </c>
      <c r="L207" s="24">
        <f t="shared" si="24"/>
        <v>1.25</v>
      </c>
      <c r="M207" s="24">
        <f t="shared" si="25"/>
        <v>1.25</v>
      </c>
      <c r="N207" s="37"/>
      <c r="O207" s="37"/>
      <c r="P207" s="37">
        <v>0</v>
      </c>
      <c r="Q207" s="37">
        <v>0</v>
      </c>
      <c r="R207" s="37" t="s">
        <v>549</v>
      </c>
      <c r="S207" s="37"/>
    </row>
    <row r="208" spans="1:19" x14ac:dyDescent="0.3">
      <c r="A208" s="37">
        <v>159</v>
      </c>
      <c r="B208" s="37" t="s">
        <v>206</v>
      </c>
      <c r="C208" s="37" t="s">
        <v>546</v>
      </c>
      <c r="D208" s="37" t="s">
        <v>139</v>
      </c>
      <c r="E208" s="37" t="s">
        <v>22</v>
      </c>
      <c r="F208" s="42">
        <v>44742</v>
      </c>
      <c r="G208" s="37">
        <v>2022</v>
      </c>
      <c r="H208" s="37" t="s">
        <v>23</v>
      </c>
      <c r="I208" s="37" t="s">
        <v>24</v>
      </c>
      <c r="J208" s="37">
        <v>80</v>
      </c>
      <c r="K208" s="37">
        <v>0</v>
      </c>
      <c r="L208" s="24">
        <f t="shared" si="24"/>
        <v>0</v>
      </c>
      <c r="M208" s="24">
        <f t="shared" si="25"/>
        <v>0</v>
      </c>
      <c r="N208" s="37" t="s">
        <v>25</v>
      </c>
      <c r="O208" s="37" t="s">
        <v>25</v>
      </c>
      <c r="P208" s="37">
        <v>0</v>
      </c>
      <c r="Q208" s="37">
        <v>0</v>
      </c>
      <c r="R208" s="37" t="s">
        <v>550</v>
      </c>
      <c r="S208" s="37"/>
    </row>
    <row r="209" spans="1:19" x14ac:dyDescent="0.3">
      <c r="A209" s="37">
        <v>159</v>
      </c>
      <c r="B209" s="37" t="s">
        <v>206</v>
      </c>
      <c r="C209" s="37" t="s">
        <v>546</v>
      </c>
      <c r="D209" s="37" t="s">
        <v>139</v>
      </c>
      <c r="E209" s="37" t="s">
        <v>22</v>
      </c>
      <c r="F209" s="42">
        <v>44926</v>
      </c>
      <c r="G209" s="37">
        <v>2022</v>
      </c>
      <c r="H209" s="37" t="s">
        <v>27</v>
      </c>
      <c r="I209" s="37" t="s">
        <v>28</v>
      </c>
      <c r="J209" s="37">
        <v>80</v>
      </c>
      <c r="K209" s="37">
        <v>70</v>
      </c>
      <c r="L209" s="24">
        <f t="shared" si="24"/>
        <v>0.875</v>
      </c>
      <c r="M209" s="24">
        <f t="shared" si="25"/>
        <v>0.875</v>
      </c>
      <c r="N209" s="37" t="s">
        <v>25</v>
      </c>
      <c r="O209" s="37" t="s">
        <v>25</v>
      </c>
      <c r="P209" s="37">
        <v>0</v>
      </c>
      <c r="Q209" s="37">
        <v>0</v>
      </c>
      <c r="R209" s="37" t="s">
        <v>551</v>
      </c>
      <c r="S209" s="37"/>
    </row>
    <row r="210" spans="1:19" x14ac:dyDescent="0.3">
      <c r="A210" s="45">
        <v>159</v>
      </c>
      <c r="B210" s="37" t="s">
        <v>206</v>
      </c>
      <c r="C210" s="37" t="s">
        <v>546</v>
      </c>
      <c r="D210" s="37" t="s">
        <v>21</v>
      </c>
      <c r="E210" s="37" t="s">
        <v>22</v>
      </c>
      <c r="F210" s="42">
        <v>45107</v>
      </c>
      <c r="G210" s="37">
        <v>2023</v>
      </c>
      <c r="H210" s="37" t="s">
        <v>23</v>
      </c>
      <c r="I210" s="39" t="s">
        <v>30</v>
      </c>
      <c r="J210" s="37">
        <v>80</v>
      </c>
      <c r="K210" s="37">
        <v>96</v>
      </c>
      <c r="L210" s="55">
        <f t="shared" si="24"/>
        <v>1.2</v>
      </c>
      <c r="M210" s="24">
        <f t="shared" si="25"/>
        <v>1.2</v>
      </c>
      <c r="N210" s="37" t="s">
        <v>25</v>
      </c>
      <c r="O210" s="37" t="s">
        <v>25</v>
      </c>
      <c r="P210" s="37">
        <v>0</v>
      </c>
      <c r="Q210" s="37">
        <v>0</v>
      </c>
      <c r="R210" s="37" t="s">
        <v>552</v>
      </c>
      <c r="S210" s="37"/>
    </row>
    <row r="211" spans="1:19" x14ac:dyDescent="0.3">
      <c r="A211" s="41">
        <v>159</v>
      </c>
      <c r="B211" s="37" t="s">
        <v>206</v>
      </c>
      <c r="C211" s="37" t="s">
        <v>546</v>
      </c>
      <c r="D211" s="37" t="s">
        <v>21</v>
      </c>
      <c r="E211" s="37" t="s">
        <v>22</v>
      </c>
      <c r="F211" s="42">
        <v>45291</v>
      </c>
      <c r="G211" s="37">
        <v>2023</v>
      </c>
      <c r="H211" s="37" t="s">
        <v>27</v>
      </c>
      <c r="I211" s="39" t="s">
        <v>32</v>
      </c>
      <c r="J211" s="37">
        <v>80</v>
      </c>
      <c r="K211" s="37">
        <v>100</v>
      </c>
      <c r="L211" s="55">
        <f t="shared" si="24"/>
        <v>1.25</v>
      </c>
      <c r="M211" s="24">
        <f t="shared" si="25"/>
        <v>1.25</v>
      </c>
      <c r="N211" s="37" t="s">
        <v>25</v>
      </c>
      <c r="O211" s="37" t="s">
        <v>25</v>
      </c>
      <c r="P211" s="37">
        <v>0</v>
      </c>
      <c r="Q211" s="37">
        <v>0</v>
      </c>
      <c r="R211" s="37" t="s">
        <v>553</v>
      </c>
      <c r="S211" s="37"/>
    </row>
    <row r="212" spans="1:19" x14ac:dyDescent="0.3">
      <c r="A212" s="37">
        <v>159</v>
      </c>
      <c r="B212" s="37" t="s">
        <v>206</v>
      </c>
      <c r="C212" s="37" t="s">
        <v>546</v>
      </c>
      <c r="D212" s="37" t="s">
        <v>21</v>
      </c>
      <c r="E212" s="37" t="s">
        <v>22</v>
      </c>
      <c r="F212" s="42">
        <v>45473</v>
      </c>
      <c r="G212" s="37">
        <v>2024</v>
      </c>
      <c r="H212" s="37" t="s">
        <v>23</v>
      </c>
      <c r="I212" s="39" t="s">
        <v>34</v>
      </c>
      <c r="J212" s="37">
        <v>80</v>
      </c>
      <c r="K212" s="37">
        <v>95</v>
      </c>
      <c r="L212" s="24">
        <f t="shared" si="24"/>
        <v>1.1875</v>
      </c>
      <c r="M212" s="24">
        <f t="shared" si="25"/>
        <v>1.1875</v>
      </c>
      <c r="N212" s="37" t="s">
        <v>25</v>
      </c>
      <c r="O212" s="37" t="s">
        <v>25</v>
      </c>
      <c r="P212" s="37">
        <v>0</v>
      </c>
      <c r="Q212" s="37">
        <v>0</v>
      </c>
      <c r="R212" s="37" t="s">
        <v>554</v>
      </c>
      <c r="S212" s="37"/>
    </row>
    <row r="213" spans="1:19" x14ac:dyDescent="0.3">
      <c r="A213" s="37">
        <v>159</v>
      </c>
      <c r="B213" s="37" t="s">
        <v>206</v>
      </c>
      <c r="C213" s="37" t="s">
        <v>546</v>
      </c>
      <c r="D213" s="37" t="s">
        <v>21</v>
      </c>
      <c r="E213" s="37" t="s">
        <v>22</v>
      </c>
      <c r="F213" s="42">
        <v>45657</v>
      </c>
      <c r="G213" s="37">
        <v>2024</v>
      </c>
      <c r="H213" s="37" t="s">
        <v>27</v>
      </c>
      <c r="I213" s="39" t="s">
        <v>36</v>
      </c>
      <c r="J213" s="37">
        <v>80</v>
      </c>
      <c r="K213" s="37">
        <v>97.8</v>
      </c>
      <c r="L213" s="24">
        <f t="shared" si="24"/>
        <v>1.2224999999999999</v>
      </c>
      <c r="M213" s="24">
        <f t="shared" si="25"/>
        <v>1.2224999999999999</v>
      </c>
      <c r="N213" s="37" t="s">
        <v>25</v>
      </c>
      <c r="O213" s="37" t="s">
        <v>25</v>
      </c>
      <c r="P213" s="37">
        <v>0</v>
      </c>
      <c r="Q213" s="37">
        <v>0</v>
      </c>
      <c r="R213" s="37" t="s">
        <v>555</v>
      </c>
      <c r="S213" s="37"/>
    </row>
    <row r="214" spans="1:19" x14ac:dyDescent="0.3">
      <c r="A214" s="37">
        <v>167</v>
      </c>
      <c r="B214" s="37" t="s">
        <v>556</v>
      </c>
      <c r="C214" s="37" t="s">
        <v>55</v>
      </c>
      <c r="D214" s="37" t="s">
        <v>21</v>
      </c>
      <c r="E214" s="37" t="s">
        <v>22</v>
      </c>
      <c r="F214" s="42">
        <v>44742</v>
      </c>
      <c r="G214" s="37">
        <v>2022</v>
      </c>
      <c r="H214" s="37" t="s">
        <v>23</v>
      </c>
      <c r="I214" s="37" t="s">
        <v>24</v>
      </c>
      <c r="J214" s="37">
        <v>80</v>
      </c>
      <c r="K214" s="37">
        <v>48.82</v>
      </c>
      <c r="L214" s="24">
        <f t="shared" si="24"/>
        <v>0.61024999999999996</v>
      </c>
      <c r="M214" s="24">
        <f t="shared" si="25"/>
        <v>0.61024999999999996</v>
      </c>
      <c r="N214" s="37" t="s">
        <v>25</v>
      </c>
      <c r="O214" s="37" t="s">
        <v>25</v>
      </c>
      <c r="P214" s="37">
        <v>0</v>
      </c>
      <c r="Q214" s="37">
        <v>1</v>
      </c>
      <c r="R214" s="37" t="s">
        <v>558</v>
      </c>
      <c r="S214" s="37"/>
    </row>
    <row r="215" spans="1:19" x14ac:dyDescent="0.3">
      <c r="A215" s="37">
        <v>167</v>
      </c>
      <c r="B215" s="37" t="s">
        <v>556</v>
      </c>
      <c r="C215" s="37" t="s">
        <v>55</v>
      </c>
      <c r="D215" s="37" t="s">
        <v>21</v>
      </c>
      <c r="E215" s="37" t="s">
        <v>22</v>
      </c>
      <c r="F215" s="42">
        <v>44926</v>
      </c>
      <c r="G215" s="37">
        <v>2022</v>
      </c>
      <c r="H215" s="37" t="s">
        <v>27</v>
      </c>
      <c r="I215" s="37" t="s">
        <v>28</v>
      </c>
      <c r="J215" s="37">
        <v>80</v>
      </c>
      <c r="K215" s="37">
        <v>96.55</v>
      </c>
      <c r="L215" s="24">
        <f t="shared" si="24"/>
        <v>1.2068749999999999</v>
      </c>
      <c r="M215" s="24">
        <f t="shared" si="25"/>
        <v>1.2068749999999999</v>
      </c>
      <c r="N215" s="37" t="s">
        <v>25</v>
      </c>
      <c r="O215" s="37" t="s">
        <v>25</v>
      </c>
      <c r="P215" s="37">
        <v>0</v>
      </c>
      <c r="Q215" s="37">
        <v>1</v>
      </c>
      <c r="R215" s="37" t="s">
        <v>559</v>
      </c>
      <c r="S215" s="37"/>
    </row>
    <row r="216" spans="1:19" x14ac:dyDescent="0.3">
      <c r="A216" s="45">
        <v>167</v>
      </c>
      <c r="B216" s="37" t="s">
        <v>556</v>
      </c>
      <c r="C216" s="37" t="s">
        <v>55</v>
      </c>
      <c r="D216" s="37" t="s">
        <v>21</v>
      </c>
      <c r="E216" s="37" t="s">
        <v>22</v>
      </c>
      <c r="F216" s="42">
        <v>45107</v>
      </c>
      <c r="G216" s="37">
        <v>2023</v>
      </c>
      <c r="H216" s="37" t="s">
        <v>23</v>
      </c>
      <c r="I216" s="39" t="s">
        <v>30</v>
      </c>
      <c r="J216" s="37">
        <v>80</v>
      </c>
      <c r="K216" s="37">
        <v>97.7</v>
      </c>
      <c r="L216" s="24">
        <f t="shared" si="24"/>
        <v>1.2212499999999999</v>
      </c>
      <c r="M216" s="24">
        <f t="shared" si="25"/>
        <v>1.2212499999999999</v>
      </c>
      <c r="N216" s="37" t="s">
        <v>25</v>
      </c>
      <c r="O216" s="37" t="s">
        <v>25</v>
      </c>
      <c r="P216" s="37">
        <v>1</v>
      </c>
      <c r="Q216" s="37">
        <v>1</v>
      </c>
      <c r="R216" s="37" t="s">
        <v>560</v>
      </c>
      <c r="S216" s="37"/>
    </row>
    <row r="217" spans="1:19" x14ac:dyDescent="0.3">
      <c r="A217" s="41">
        <v>167</v>
      </c>
      <c r="B217" s="37" t="s">
        <v>556</v>
      </c>
      <c r="C217" s="37" t="s">
        <v>55</v>
      </c>
      <c r="D217" s="37" t="s">
        <v>21</v>
      </c>
      <c r="E217" s="37" t="s">
        <v>22</v>
      </c>
      <c r="F217" s="42">
        <v>45291</v>
      </c>
      <c r="G217" s="37">
        <v>2023</v>
      </c>
      <c r="H217" s="37" t="s">
        <v>27</v>
      </c>
      <c r="I217" s="70" t="s">
        <v>32</v>
      </c>
      <c r="J217" s="37">
        <v>80</v>
      </c>
      <c r="K217" s="37">
        <v>96.15</v>
      </c>
      <c r="L217" s="24">
        <f t="shared" si="24"/>
        <v>1.201875</v>
      </c>
      <c r="M217" s="24">
        <f t="shared" si="25"/>
        <v>1.201875</v>
      </c>
      <c r="N217" s="37" t="s">
        <v>25</v>
      </c>
      <c r="O217" s="37" t="s">
        <v>25</v>
      </c>
      <c r="P217" s="37">
        <v>1</v>
      </c>
      <c r="Q217" s="37">
        <v>1</v>
      </c>
      <c r="R217" s="37" t="s">
        <v>561</v>
      </c>
      <c r="S217" s="37"/>
    </row>
    <row r="218" spans="1:19" x14ac:dyDescent="0.3">
      <c r="A218" s="37">
        <v>167</v>
      </c>
      <c r="B218" s="37" t="s">
        <v>556</v>
      </c>
      <c r="C218" s="37" t="s">
        <v>55</v>
      </c>
      <c r="D218" s="37" t="s">
        <v>21</v>
      </c>
      <c r="E218" s="37" t="s">
        <v>22</v>
      </c>
      <c r="F218" s="42">
        <v>45473</v>
      </c>
      <c r="G218" s="37">
        <v>2024</v>
      </c>
      <c r="H218" s="37" t="s">
        <v>23</v>
      </c>
      <c r="I218" s="39" t="s">
        <v>34</v>
      </c>
      <c r="J218" s="37">
        <v>85</v>
      </c>
      <c r="K218" s="37">
        <v>96.86</v>
      </c>
      <c r="L218" s="24">
        <f t="shared" si="24"/>
        <v>1.1395294117647059</v>
      </c>
      <c r="M218" s="24">
        <f t="shared" si="25"/>
        <v>1.1395294117647059</v>
      </c>
      <c r="N218" s="37" t="s">
        <v>25</v>
      </c>
      <c r="O218" s="37" t="s">
        <v>25</v>
      </c>
      <c r="P218" s="37">
        <v>0</v>
      </c>
      <c r="Q218" s="37">
        <v>0</v>
      </c>
      <c r="R218" s="37" t="s">
        <v>562</v>
      </c>
      <c r="S218" s="37"/>
    </row>
    <row r="219" spans="1:19" x14ac:dyDescent="0.3">
      <c r="A219" s="37">
        <v>167</v>
      </c>
      <c r="B219" s="37" t="s">
        <v>556</v>
      </c>
      <c r="C219" s="37" t="s">
        <v>55</v>
      </c>
      <c r="D219" s="37" t="s">
        <v>21</v>
      </c>
      <c r="E219" s="37" t="s">
        <v>22</v>
      </c>
      <c r="F219" s="42">
        <v>45657</v>
      </c>
      <c r="G219" s="37">
        <v>2024</v>
      </c>
      <c r="H219" s="37" t="s">
        <v>27</v>
      </c>
      <c r="I219" s="39" t="s">
        <v>36</v>
      </c>
      <c r="J219" s="37">
        <v>85</v>
      </c>
      <c r="K219" s="37">
        <v>96.8</v>
      </c>
      <c r="L219" s="24">
        <f t="shared" si="24"/>
        <v>1.1388235294117646</v>
      </c>
      <c r="M219" s="24">
        <f t="shared" si="25"/>
        <v>1.1388235294117646</v>
      </c>
      <c r="N219" s="37" t="s">
        <v>25</v>
      </c>
      <c r="O219" s="37" t="s">
        <v>25</v>
      </c>
      <c r="P219" s="37">
        <v>0</v>
      </c>
      <c r="Q219" s="37">
        <v>0</v>
      </c>
      <c r="R219" s="37" t="s">
        <v>563</v>
      </c>
      <c r="S219" s="37"/>
    </row>
    <row r="220" spans="1:19" x14ac:dyDescent="0.3">
      <c r="A220" s="41">
        <v>172</v>
      </c>
      <c r="B220" s="37" t="s">
        <v>564</v>
      </c>
      <c r="C220" s="37" t="s">
        <v>258</v>
      </c>
      <c r="D220" s="37" t="s">
        <v>73</v>
      </c>
      <c r="E220" s="37" t="s">
        <v>22</v>
      </c>
      <c r="F220" s="42">
        <v>44742</v>
      </c>
      <c r="G220" s="37">
        <v>2022</v>
      </c>
      <c r="H220" s="37" t="s">
        <v>23</v>
      </c>
      <c r="I220" s="39" t="s">
        <v>24</v>
      </c>
      <c r="J220" s="37">
        <v>3.5</v>
      </c>
      <c r="K220" s="37">
        <v>3.333333333333333</v>
      </c>
      <c r="L220" s="55">
        <f t="shared" si="24"/>
        <v>0.95238095238095233</v>
      </c>
      <c r="M220" s="24">
        <f t="shared" si="25"/>
        <v>0.95238095238095233</v>
      </c>
      <c r="N220" s="37" t="s">
        <v>25</v>
      </c>
      <c r="O220" s="37" t="s">
        <v>25</v>
      </c>
      <c r="P220" s="37">
        <v>0</v>
      </c>
      <c r="Q220" s="37">
        <v>0</v>
      </c>
      <c r="R220" s="37" t="s">
        <v>570</v>
      </c>
      <c r="S220" s="37"/>
    </row>
    <row r="221" spans="1:19" x14ac:dyDescent="0.3">
      <c r="A221" s="41">
        <v>172</v>
      </c>
      <c r="B221" s="37" t="s">
        <v>564</v>
      </c>
      <c r="C221" s="37" t="s">
        <v>258</v>
      </c>
      <c r="D221" s="37" t="s">
        <v>73</v>
      </c>
      <c r="E221" s="37" t="s">
        <v>22</v>
      </c>
      <c r="F221" s="42">
        <v>44926</v>
      </c>
      <c r="G221" s="37">
        <v>2022</v>
      </c>
      <c r="H221" s="37" t="s">
        <v>27</v>
      </c>
      <c r="I221" s="39" t="s">
        <v>28</v>
      </c>
      <c r="J221" s="37">
        <v>50.166666666666657</v>
      </c>
      <c r="K221" s="37">
        <v>49.5</v>
      </c>
      <c r="L221" s="55">
        <f t="shared" si="24"/>
        <v>0.98671096345514964</v>
      </c>
      <c r="M221" s="24">
        <f t="shared" si="25"/>
        <v>0.98671096345514964</v>
      </c>
      <c r="N221" s="37" t="s">
        <v>25</v>
      </c>
      <c r="O221" s="37" t="s">
        <v>25</v>
      </c>
      <c r="P221" s="37">
        <v>0</v>
      </c>
      <c r="Q221" s="37">
        <v>0</v>
      </c>
      <c r="R221" s="37" t="s">
        <v>576</v>
      </c>
      <c r="S221" s="37"/>
    </row>
    <row r="222" spans="1:19" x14ac:dyDescent="0.3">
      <c r="A222" s="41">
        <v>172</v>
      </c>
      <c r="B222" s="37" t="s">
        <v>564</v>
      </c>
      <c r="C222" s="37" t="s">
        <v>258</v>
      </c>
      <c r="D222" s="37" t="s">
        <v>73</v>
      </c>
      <c r="E222" s="37" t="s">
        <v>22</v>
      </c>
      <c r="F222" s="42">
        <v>45107</v>
      </c>
      <c r="G222" s="37">
        <v>2023</v>
      </c>
      <c r="H222" s="37" t="s">
        <v>23</v>
      </c>
      <c r="I222" s="39" t="s">
        <v>30</v>
      </c>
      <c r="J222" s="37">
        <v>10.199999999999999</v>
      </c>
      <c r="K222" s="37">
        <v>9.4</v>
      </c>
      <c r="L222" s="55">
        <f t="shared" si="24"/>
        <v>0.92156862745098045</v>
      </c>
      <c r="M222" s="24">
        <f t="shared" si="25"/>
        <v>0.92156862745098045</v>
      </c>
      <c r="N222" s="37" t="s">
        <v>25</v>
      </c>
      <c r="O222" s="37" t="s">
        <v>25</v>
      </c>
      <c r="P222" s="37">
        <v>0</v>
      </c>
      <c r="Q222" s="37">
        <v>0</v>
      </c>
      <c r="R222" s="37" t="s">
        <v>581</v>
      </c>
      <c r="S222" s="37"/>
    </row>
    <row r="223" spans="1:19" x14ac:dyDescent="0.3">
      <c r="A223" s="41">
        <v>172</v>
      </c>
      <c r="B223" s="37" t="s">
        <v>564</v>
      </c>
      <c r="C223" s="37" t="s">
        <v>258</v>
      </c>
      <c r="D223" s="37" t="s">
        <v>73</v>
      </c>
      <c r="E223" s="37" t="s">
        <v>22</v>
      </c>
      <c r="F223" s="42">
        <v>45291</v>
      </c>
      <c r="G223" s="37">
        <v>2023</v>
      </c>
      <c r="H223" s="37" t="s">
        <v>27</v>
      </c>
      <c r="I223" s="39" t="s">
        <v>32</v>
      </c>
      <c r="J223" s="37">
        <v>35.833333333333343</v>
      </c>
      <c r="K223" s="37">
        <v>34.5</v>
      </c>
      <c r="L223" s="55">
        <f t="shared" si="24"/>
        <v>0.96279069767441838</v>
      </c>
      <c r="M223" s="24">
        <f t="shared" si="25"/>
        <v>0.96279069767441838</v>
      </c>
      <c r="N223" s="37" t="s">
        <v>25</v>
      </c>
      <c r="O223" s="37" t="s">
        <v>25</v>
      </c>
      <c r="P223" s="37">
        <v>0</v>
      </c>
      <c r="Q223" s="37">
        <v>0</v>
      </c>
      <c r="R223" s="37" t="s">
        <v>587</v>
      </c>
      <c r="S223" s="37"/>
    </row>
    <row r="224" spans="1:19" x14ac:dyDescent="0.3">
      <c r="A224" s="37">
        <v>172</v>
      </c>
      <c r="B224" s="37" t="s">
        <v>564</v>
      </c>
      <c r="C224" s="37" t="s">
        <v>258</v>
      </c>
      <c r="D224" s="37" t="s">
        <v>73</v>
      </c>
      <c r="E224" s="37" t="s">
        <v>22</v>
      </c>
      <c r="F224" s="42">
        <v>45473</v>
      </c>
      <c r="G224" s="37">
        <v>2024</v>
      </c>
      <c r="H224" s="37" t="s">
        <v>23</v>
      </c>
      <c r="I224" s="39" t="s">
        <v>34</v>
      </c>
      <c r="J224" s="37">
        <v>6.333333333333333</v>
      </c>
      <c r="K224" s="37">
        <v>5.5</v>
      </c>
      <c r="L224" s="24">
        <f t="shared" si="24"/>
        <v>0.86842105263157898</v>
      </c>
      <c r="M224" s="24">
        <f t="shared" si="25"/>
        <v>0.86842105263157898</v>
      </c>
      <c r="N224" s="37"/>
      <c r="O224" s="37"/>
      <c r="P224" s="37">
        <v>0</v>
      </c>
      <c r="Q224" s="37">
        <v>0</v>
      </c>
      <c r="R224" s="37" t="s">
        <v>593</v>
      </c>
      <c r="S224" s="37"/>
    </row>
    <row r="225" spans="1:19" x14ac:dyDescent="0.3">
      <c r="A225" s="37">
        <v>172</v>
      </c>
      <c r="B225" s="37" t="s">
        <v>564</v>
      </c>
      <c r="C225" s="37" t="s">
        <v>258</v>
      </c>
      <c r="D225" s="37" t="s">
        <v>73</v>
      </c>
      <c r="E225" s="37" t="s">
        <v>22</v>
      </c>
      <c r="F225" s="42">
        <v>45657</v>
      </c>
      <c r="G225" s="37">
        <v>2024</v>
      </c>
      <c r="H225" s="37" t="s">
        <v>27</v>
      </c>
      <c r="I225" s="39" t="s">
        <v>36</v>
      </c>
      <c r="J225" s="37">
        <v>31.833333333333329</v>
      </c>
      <c r="K225" s="37">
        <v>30.333333333333329</v>
      </c>
      <c r="L225" s="24">
        <f t="shared" si="24"/>
        <v>0.95287958115183247</v>
      </c>
      <c r="M225" s="24">
        <f t="shared" si="25"/>
        <v>0.95287958115183247</v>
      </c>
      <c r="N225" s="37"/>
      <c r="O225" s="37"/>
      <c r="P225" s="37">
        <v>0</v>
      </c>
      <c r="Q225" s="37">
        <v>0</v>
      </c>
      <c r="R225" s="37" t="s">
        <v>599</v>
      </c>
      <c r="S225" s="37"/>
    </row>
    <row r="226" spans="1:19" x14ac:dyDescent="0.3">
      <c r="A226" s="45">
        <v>174</v>
      </c>
      <c r="B226" s="37" t="s">
        <v>600</v>
      </c>
      <c r="C226" s="37" t="s">
        <v>258</v>
      </c>
      <c r="D226" s="37" t="s">
        <v>21</v>
      </c>
      <c r="E226" s="37" t="s">
        <v>22</v>
      </c>
      <c r="F226" s="42">
        <v>45107</v>
      </c>
      <c r="G226" s="37">
        <v>2023</v>
      </c>
      <c r="H226" s="37" t="s">
        <v>23</v>
      </c>
      <c r="I226" s="39" t="s">
        <v>30</v>
      </c>
      <c r="J226" s="37">
        <v>95</v>
      </c>
      <c r="K226" s="37">
        <v>100</v>
      </c>
      <c r="L226" s="55">
        <f t="shared" si="24"/>
        <v>1.0526315789473684</v>
      </c>
      <c r="M226" s="24">
        <f t="shared" si="25"/>
        <v>1.0526315789473684</v>
      </c>
      <c r="N226" s="37" t="s">
        <v>25</v>
      </c>
      <c r="O226" s="37" t="s">
        <v>25</v>
      </c>
      <c r="P226" s="37">
        <v>0</v>
      </c>
      <c r="Q226" s="37">
        <v>0</v>
      </c>
      <c r="R226" s="37" t="s">
        <v>601</v>
      </c>
      <c r="S226" s="37"/>
    </row>
    <row r="227" spans="1:19" x14ac:dyDescent="0.3">
      <c r="A227" s="41">
        <v>174</v>
      </c>
      <c r="B227" s="37" t="s">
        <v>600</v>
      </c>
      <c r="C227" s="37" t="s">
        <v>258</v>
      </c>
      <c r="D227" s="37" t="s">
        <v>21</v>
      </c>
      <c r="E227" s="37" t="s">
        <v>22</v>
      </c>
      <c r="F227" s="42">
        <v>45291</v>
      </c>
      <c r="G227" s="37">
        <v>2023</v>
      </c>
      <c r="H227" s="37" t="s">
        <v>27</v>
      </c>
      <c r="I227" s="39" t="s">
        <v>32</v>
      </c>
      <c r="J227" s="37">
        <v>95</v>
      </c>
      <c r="K227" s="37">
        <v>100</v>
      </c>
      <c r="L227" s="55">
        <f t="shared" si="24"/>
        <v>1.0526315789473684</v>
      </c>
      <c r="M227" s="24">
        <f t="shared" si="25"/>
        <v>1.0526315789473684</v>
      </c>
      <c r="N227" s="37" t="s">
        <v>25</v>
      </c>
      <c r="O227" s="37" t="s">
        <v>25</v>
      </c>
      <c r="P227" s="37">
        <v>0</v>
      </c>
      <c r="Q227" s="37">
        <v>0</v>
      </c>
      <c r="R227" s="37" t="s">
        <v>602</v>
      </c>
      <c r="S227" s="37"/>
    </row>
    <row r="228" spans="1:19" x14ac:dyDescent="0.3">
      <c r="A228" s="37">
        <v>174</v>
      </c>
      <c r="B228" s="37" t="s">
        <v>600</v>
      </c>
      <c r="C228" s="37" t="s">
        <v>258</v>
      </c>
      <c r="D228" s="37" t="s">
        <v>21</v>
      </c>
      <c r="E228" s="37" t="s">
        <v>22</v>
      </c>
      <c r="F228" s="42">
        <v>45473</v>
      </c>
      <c r="G228" s="37">
        <v>2024</v>
      </c>
      <c r="H228" s="37" t="s">
        <v>23</v>
      </c>
      <c r="I228" s="39" t="s">
        <v>34</v>
      </c>
      <c r="J228" s="37"/>
      <c r="K228" s="37"/>
      <c r="L228" s="24"/>
      <c r="M228" s="24"/>
      <c r="N228" s="37"/>
      <c r="O228" s="37"/>
      <c r="P228" s="37">
        <v>0</v>
      </c>
      <c r="Q228" s="37">
        <v>0</v>
      </c>
      <c r="R228" s="37" t="s">
        <v>3502</v>
      </c>
      <c r="S228" s="37"/>
    </row>
    <row r="229" spans="1:19" x14ac:dyDescent="0.3">
      <c r="A229" s="37">
        <v>174</v>
      </c>
      <c r="B229" s="37" t="s">
        <v>600</v>
      </c>
      <c r="C229" s="37" t="s">
        <v>258</v>
      </c>
      <c r="D229" s="37" t="s">
        <v>21</v>
      </c>
      <c r="E229" s="37" t="s">
        <v>22</v>
      </c>
      <c r="F229" s="42">
        <v>45657</v>
      </c>
      <c r="G229" s="37">
        <v>2024</v>
      </c>
      <c r="H229" s="37" t="s">
        <v>27</v>
      </c>
      <c r="I229" s="39" t="s">
        <v>36</v>
      </c>
      <c r="J229" s="37">
        <v>95</v>
      </c>
      <c r="K229" s="37"/>
      <c r="L229" s="24"/>
      <c r="M229" s="24"/>
      <c r="N229" s="37" t="s">
        <v>203</v>
      </c>
      <c r="O229" s="37" t="s">
        <v>613</v>
      </c>
      <c r="P229" s="37">
        <v>0</v>
      </c>
      <c r="Q229" s="37">
        <v>0</v>
      </c>
      <c r="R229" s="37" t="s">
        <v>3503</v>
      </c>
      <c r="S229" s="37"/>
    </row>
    <row r="230" spans="1:19" x14ac:dyDescent="0.3">
      <c r="A230" s="41">
        <v>176</v>
      </c>
      <c r="B230" s="37" t="s">
        <v>603</v>
      </c>
      <c r="C230" s="37" t="s">
        <v>258</v>
      </c>
      <c r="D230" s="37" t="s">
        <v>73</v>
      </c>
      <c r="E230" s="37" t="s">
        <v>22</v>
      </c>
      <c r="F230" s="42">
        <v>45107</v>
      </c>
      <c r="G230" s="37">
        <v>2023</v>
      </c>
      <c r="H230" s="37" t="s">
        <v>23</v>
      </c>
      <c r="I230" s="39" t="s">
        <v>30</v>
      </c>
      <c r="J230" s="37">
        <v>80</v>
      </c>
      <c r="K230" s="37">
        <v>83.32</v>
      </c>
      <c r="L230" s="55">
        <f t="shared" ref="L230:L256" si="26">IFERROR(IF(OR(J230=0,K230=""),"",IF(E230="Positivo",MIN(MAX(K230/J230,0),1.3),MIN(MAX(J230/K230,0),1.3))),"")</f>
        <v>1.0414999999999999</v>
      </c>
      <c r="M230" s="24">
        <f t="shared" ref="M230:M256" si="27">IFERROR(IF(OR(J230=0,K230=""),"",IF(E230="Positivo",MAX(K230/J230,0),MAX(J230/K230,0))),"")</f>
        <v>1.0414999999999999</v>
      </c>
      <c r="N230" s="37" t="s">
        <v>25</v>
      </c>
      <c r="O230" s="37" t="s">
        <v>25</v>
      </c>
      <c r="P230" s="37">
        <v>0</v>
      </c>
      <c r="Q230" s="37">
        <v>0</v>
      </c>
      <c r="R230" s="37" t="s">
        <v>606</v>
      </c>
      <c r="S230" s="37"/>
    </row>
    <row r="231" spans="1:19" x14ac:dyDescent="0.3">
      <c r="A231" s="41">
        <v>176</v>
      </c>
      <c r="B231" s="37" t="s">
        <v>603</v>
      </c>
      <c r="C231" s="37" t="s">
        <v>258</v>
      </c>
      <c r="D231" s="37" t="s">
        <v>73</v>
      </c>
      <c r="E231" s="37" t="s">
        <v>22</v>
      </c>
      <c r="F231" s="42">
        <v>45291</v>
      </c>
      <c r="G231" s="37">
        <v>2023</v>
      </c>
      <c r="H231" s="37" t="s">
        <v>27</v>
      </c>
      <c r="I231" s="39" t="s">
        <v>32</v>
      </c>
      <c r="J231" s="37">
        <v>80</v>
      </c>
      <c r="K231" s="37">
        <v>80.400000000000006</v>
      </c>
      <c r="L231" s="55">
        <f t="shared" si="26"/>
        <v>1.0050000000000001</v>
      </c>
      <c r="M231" s="24">
        <f t="shared" si="27"/>
        <v>1.0050000000000001</v>
      </c>
      <c r="N231" s="37" t="s">
        <v>25</v>
      </c>
      <c r="O231" s="37" t="s">
        <v>25</v>
      </c>
      <c r="P231" s="37">
        <v>0</v>
      </c>
      <c r="Q231" s="37">
        <v>0</v>
      </c>
      <c r="R231" s="37" t="s">
        <v>612</v>
      </c>
      <c r="S231" s="37"/>
    </row>
    <row r="232" spans="1:19" x14ac:dyDescent="0.3">
      <c r="A232" s="37">
        <v>176</v>
      </c>
      <c r="B232" s="37" t="s">
        <v>603</v>
      </c>
      <c r="C232" s="37" t="s">
        <v>258</v>
      </c>
      <c r="D232" s="37" t="s">
        <v>73</v>
      </c>
      <c r="E232" s="37" t="s">
        <v>22</v>
      </c>
      <c r="F232" s="42">
        <v>45473</v>
      </c>
      <c r="G232" s="37">
        <v>2024</v>
      </c>
      <c r="H232" s="37" t="s">
        <v>23</v>
      </c>
      <c r="I232" s="39" t="s">
        <v>34</v>
      </c>
      <c r="J232" s="37">
        <v>85</v>
      </c>
      <c r="K232" s="37">
        <v>92.5</v>
      </c>
      <c r="L232" s="24">
        <f t="shared" si="26"/>
        <v>1.088235294117647</v>
      </c>
      <c r="M232" s="24">
        <f t="shared" si="27"/>
        <v>1.088235294117647</v>
      </c>
      <c r="N232" s="37"/>
      <c r="O232" s="37"/>
      <c r="P232" s="37">
        <v>0</v>
      </c>
      <c r="Q232" s="37">
        <v>0</v>
      </c>
      <c r="R232" s="37" t="s">
        <v>620</v>
      </c>
      <c r="S232" s="37"/>
    </row>
    <row r="233" spans="1:19" x14ac:dyDescent="0.3">
      <c r="A233" s="37">
        <v>176</v>
      </c>
      <c r="B233" s="37" t="s">
        <v>603</v>
      </c>
      <c r="C233" s="37" t="s">
        <v>258</v>
      </c>
      <c r="D233" s="37" t="s">
        <v>73</v>
      </c>
      <c r="E233" s="37" t="s">
        <v>22</v>
      </c>
      <c r="F233" s="42">
        <v>45657</v>
      </c>
      <c r="G233" s="37">
        <v>2024</v>
      </c>
      <c r="H233" s="37" t="s">
        <v>27</v>
      </c>
      <c r="I233" s="39" t="s">
        <v>36</v>
      </c>
      <c r="J233" s="37">
        <v>85</v>
      </c>
      <c r="K233" s="37">
        <v>89.08</v>
      </c>
      <c r="L233" s="24">
        <f t="shared" si="26"/>
        <v>1.048</v>
      </c>
      <c r="M233" s="24">
        <f t="shared" si="27"/>
        <v>1.048</v>
      </c>
      <c r="N233" s="37"/>
      <c r="O233" s="37"/>
      <c r="P233" s="37">
        <v>0</v>
      </c>
      <c r="Q233" s="37">
        <v>0</v>
      </c>
      <c r="R233" s="37" t="s">
        <v>3504</v>
      </c>
      <c r="S233" s="37"/>
    </row>
    <row r="234" spans="1:19" x14ac:dyDescent="0.3">
      <c r="A234" s="37">
        <v>193</v>
      </c>
      <c r="B234" s="37" t="s">
        <v>624</v>
      </c>
      <c r="C234" s="37" t="s">
        <v>625</v>
      </c>
      <c r="D234" s="37" t="s">
        <v>21</v>
      </c>
      <c r="E234" s="37" t="s">
        <v>22</v>
      </c>
      <c r="F234" s="38">
        <v>44742</v>
      </c>
      <c r="G234" s="40">
        <v>2022</v>
      </c>
      <c r="H234" s="39" t="s">
        <v>23</v>
      </c>
      <c r="I234" s="39" t="s">
        <v>24</v>
      </c>
      <c r="J234" s="37">
        <v>76</v>
      </c>
      <c r="K234" s="37">
        <v>91.8</v>
      </c>
      <c r="L234" s="24">
        <f t="shared" si="26"/>
        <v>1.2078947368421051</v>
      </c>
      <c r="M234" s="24">
        <f t="shared" si="27"/>
        <v>1.2078947368421051</v>
      </c>
      <c r="N234" s="37" t="s">
        <v>25</v>
      </c>
      <c r="O234" s="37" t="s">
        <v>25</v>
      </c>
      <c r="P234" s="37">
        <v>1</v>
      </c>
      <c r="Q234" s="37">
        <v>1</v>
      </c>
      <c r="R234" s="37" t="s">
        <v>626</v>
      </c>
      <c r="S234" s="37"/>
    </row>
    <row r="235" spans="1:19" x14ac:dyDescent="0.3">
      <c r="A235" s="37">
        <v>193</v>
      </c>
      <c r="B235" s="37" t="s">
        <v>624</v>
      </c>
      <c r="C235" s="37" t="s">
        <v>625</v>
      </c>
      <c r="D235" s="37" t="s">
        <v>21</v>
      </c>
      <c r="E235" s="37" t="s">
        <v>22</v>
      </c>
      <c r="F235" s="38">
        <v>44926</v>
      </c>
      <c r="G235" s="40">
        <v>2022</v>
      </c>
      <c r="H235" s="39" t="s">
        <v>27</v>
      </c>
      <c r="I235" s="39" t="s">
        <v>28</v>
      </c>
      <c r="J235" s="37">
        <v>76</v>
      </c>
      <c r="K235" s="37">
        <v>92.4</v>
      </c>
      <c r="L235" s="24">
        <f t="shared" si="26"/>
        <v>1.2157894736842105</v>
      </c>
      <c r="M235" s="24">
        <f t="shared" si="27"/>
        <v>1.2157894736842105</v>
      </c>
      <c r="N235" s="37" t="s">
        <v>25</v>
      </c>
      <c r="O235" s="37" t="s">
        <v>25</v>
      </c>
      <c r="P235" s="37">
        <v>1</v>
      </c>
      <c r="Q235" s="37">
        <v>1</v>
      </c>
      <c r="R235" s="37" t="s">
        <v>627</v>
      </c>
      <c r="S235" s="37"/>
    </row>
    <row r="236" spans="1:19" x14ac:dyDescent="0.3">
      <c r="A236" s="37">
        <v>193</v>
      </c>
      <c r="B236" s="37" t="s">
        <v>624</v>
      </c>
      <c r="C236" s="37" t="s">
        <v>625</v>
      </c>
      <c r="D236" s="37" t="s">
        <v>21</v>
      </c>
      <c r="E236" s="37" t="s">
        <v>22</v>
      </c>
      <c r="F236" s="38">
        <v>45107</v>
      </c>
      <c r="G236" s="40">
        <v>2023</v>
      </c>
      <c r="H236" s="39" t="s">
        <v>23</v>
      </c>
      <c r="I236" s="39" t="s">
        <v>30</v>
      </c>
      <c r="J236" s="37">
        <v>92</v>
      </c>
      <c r="K236" s="37">
        <v>91.899679829242004</v>
      </c>
      <c r="L236" s="24">
        <f t="shared" si="26"/>
        <v>0.99890956336132608</v>
      </c>
      <c r="M236" s="24">
        <f t="shared" si="27"/>
        <v>0.99890956336132608</v>
      </c>
      <c r="N236" s="37" t="s">
        <v>25</v>
      </c>
      <c r="O236" s="37" t="s">
        <v>25</v>
      </c>
      <c r="P236" s="37">
        <v>1</v>
      </c>
      <c r="Q236" s="37">
        <v>1</v>
      </c>
      <c r="R236" s="37" t="s">
        <v>628</v>
      </c>
      <c r="S236" s="37"/>
    </row>
    <row r="237" spans="1:19" x14ac:dyDescent="0.3">
      <c r="A237" s="37">
        <v>193</v>
      </c>
      <c r="B237" s="37" t="s">
        <v>624</v>
      </c>
      <c r="C237" s="37" t="s">
        <v>625</v>
      </c>
      <c r="D237" s="37" t="s">
        <v>21</v>
      </c>
      <c r="E237" s="37" t="s">
        <v>22</v>
      </c>
      <c r="F237" s="42">
        <v>45291</v>
      </c>
      <c r="G237" s="37">
        <v>2023</v>
      </c>
      <c r="H237" s="37" t="s">
        <v>27</v>
      </c>
      <c r="I237" s="39" t="s">
        <v>32</v>
      </c>
      <c r="J237" s="37">
        <v>92</v>
      </c>
      <c r="K237" s="37">
        <v>91.3</v>
      </c>
      <c r="L237" s="24">
        <f t="shared" si="26"/>
        <v>0.99239130434782608</v>
      </c>
      <c r="M237" s="24">
        <f t="shared" si="27"/>
        <v>0.99239130434782608</v>
      </c>
      <c r="N237" s="37" t="s">
        <v>25</v>
      </c>
      <c r="O237" s="37" t="s">
        <v>25</v>
      </c>
      <c r="P237" s="37">
        <v>1</v>
      </c>
      <c r="Q237" s="37">
        <v>1</v>
      </c>
      <c r="R237" s="37" t="s">
        <v>629</v>
      </c>
      <c r="S237" s="37"/>
    </row>
    <row r="238" spans="1:19" x14ac:dyDescent="0.3">
      <c r="A238" s="37">
        <v>193</v>
      </c>
      <c r="B238" s="37" t="s">
        <v>624</v>
      </c>
      <c r="C238" s="37" t="s">
        <v>625</v>
      </c>
      <c r="D238" s="37" t="s">
        <v>21</v>
      </c>
      <c r="E238" s="37" t="s">
        <v>22</v>
      </c>
      <c r="F238" s="42">
        <v>45473</v>
      </c>
      <c r="G238" s="37">
        <v>2024</v>
      </c>
      <c r="H238" s="37" t="s">
        <v>23</v>
      </c>
      <c r="I238" s="39" t="s">
        <v>34</v>
      </c>
      <c r="J238" s="37">
        <v>90</v>
      </c>
      <c r="K238" s="37">
        <v>91.700230762025598</v>
      </c>
      <c r="L238" s="24">
        <f t="shared" si="26"/>
        <v>1.0188914529113955</v>
      </c>
      <c r="M238" s="24">
        <f t="shared" si="27"/>
        <v>1.0188914529113955</v>
      </c>
      <c r="N238" s="37" t="s">
        <v>25</v>
      </c>
      <c r="O238" s="37" t="s">
        <v>25</v>
      </c>
      <c r="P238" s="37">
        <v>1</v>
      </c>
      <c r="Q238" s="37">
        <v>1</v>
      </c>
      <c r="R238" s="37" t="s">
        <v>630</v>
      </c>
      <c r="S238" s="37"/>
    </row>
    <row r="239" spans="1:19" x14ac:dyDescent="0.3">
      <c r="A239" s="37">
        <v>193</v>
      </c>
      <c r="B239" s="37" t="s">
        <v>624</v>
      </c>
      <c r="C239" s="37" t="s">
        <v>625</v>
      </c>
      <c r="D239" s="37" t="s">
        <v>21</v>
      </c>
      <c r="E239" s="37" t="s">
        <v>22</v>
      </c>
      <c r="F239" s="42">
        <v>45657</v>
      </c>
      <c r="G239" s="37">
        <v>2024</v>
      </c>
      <c r="H239" s="37" t="s">
        <v>27</v>
      </c>
      <c r="I239" s="39" t="s">
        <v>36</v>
      </c>
      <c r="J239" s="37">
        <v>90</v>
      </c>
      <c r="K239" s="37">
        <v>93.5</v>
      </c>
      <c r="L239" s="24">
        <f t="shared" si="26"/>
        <v>1.038888888888889</v>
      </c>
      <c r="M239" s="24">
        <f t="shared" si="27"/>
        <v>1.038888888888889</v>
      </c>
      <c r="N239" s="37"/>
      <c r="O239" s="37"/>
      <c r="P239" s="37">
        <v>0</v>
      </c>
      <c r="Q239" s="37">
        <v>0</v>
      </c>
      <c r="R239" s="37" t="s">
        <v>631</v>
      </c>
      <c r="S239" s="37"/>
    </row>
    <row r="240" spans="1:19" x14ac:dyDescent="0.3">
      <c r="A240" s="37">
        <v>194</v>
      </c>
      <c r="B240" s="37" t="s">
        <v>633</v>
      </c>
      <c r="C240" s="37" t="s">
        <v>625</v>
      </c>
      <c r="D240" s="37" t="s">
        <v>21</v>
      </c>
      <c r="E240" s="37" t="s">
        <v>22</v>
      </c>
      <c r="F240" s="38">
        <v>44742</v>
      </c>
      <c r="G240" s="40">
        <v>2022</v>
      </c>
      <c r="H240" s="39" t="s">
        <v>23</v>
      </c>
      <c r="I240" s="39" t="s">
        <v>24</v>
      </c>
      <c r="J240" s="37">
        <v>73</v>
      </c>
      <c r="K240" s="37">
        <v>83.26</v>
      </c>
      <c r="L240" s="24">
        <f t="shared" si="26"/>
        <v>1.1405479452054794</v>
      </c>
      <c r="M240" s="24">
        <f t="shared" si="27"/>
        <v>1.1405479452054794</v>
      </c>
      <c r="N240" s="37" t="s">
        <v>25</v>
      </c>
      <c r="O240" s="37" t="s">
        <v>25</v>
      </c>
      <c r="P240" s="37">
        <v>0</v>
      </c>
      <c r="Q240" s="37">
        <v>0</v>
      </c>
      <c r="R240" s="37" t="s">
        <v>634</v>
      </c>
      <c r="S240" s="37"/>
    </row>
    <row r="241" spans="1:19" x14ac:dyDescent="0.3">
      <c r="A241" s="37">
        <v>194</v>
      </c>
      <c r="B241" s="37" t="s">
        <v>633</v>
      </c>
      <c r="C241" s="37" t="s">
        <v>625</v>
      </c>
      <c r="D241" s="37" t="s">
        <v>21</v>
      </c>
      <c r="E241" s="37" t="s">
        <v>22</v>
      </c>
      <c r="F241" s="38">
        <v>44926</v>
      </c>
      <c r="G241" s="40">
        <v>2022</v>
      </c>
      <c r="H241" s="39" t="s">
        <v>27</v>
      </c>
      <c r="I241" s="39" t="s">
        <v>28</v>
      </c>
      <c r="J241" s="37">
        <v>73</v>
      </c>
      <c r="K241" s="37">
        <v>83.11</v>
      </c>
      <c r="L241" s="24">
        <f t="shared" si="26"/>
        <v>1.1384931506849314</v>
      </c>
      <c r="M241" s="24">
        <f t="shared" si="27"/>
        <v>1.1384931506849314</v>
      </c>
      <c r="N241" s="37" t="s">
        <v>25</v>
      </c>
      <c r="O241" s="37" t="s">
        <v>25</v>
      </c>
      <c r="P241" s="37">
        <v>0</v>
      </c>
      <c r="Q241" s="37">
        <v>0</v>
      </c>
      <c r="R241" s="37" t="s">
        <v>635</v>
      </c>
      <c r="S241" s="37"/>
    </row>
    <row r="242" spans="1:19" x14ac:dyDescent="0.3">
      <c r="A242" s="37">
        <v>194</v>
      </c>
      <c r="B242" s="37" t="s">
        <v>633</v>
      </c>
      <c r="C242" s="37" t="s">
        <v>625</v>
      </c>
      <c r="D242" s="37" t="s">
        <v>21</v>
      </c>
      <c r="E242" s="37" t="s">
        <v>22</v>
      </c>
      <c r="F242" s="38">
        <v>45107</v>
      </c>
      <c r="G242" s="40">
        <v>2023</v>
      </c>
      <c r="H242" s="39" t="s">
        <v>23</v>
      </c>
      <c r="I242" s="39" t="s">
        <v>30</v>
      </c>
      <c r="J242" s="37">
        <v>80</v>
      </c>
      <c r="K242" s="37">
        <v>79.180000000000007</v>
      </c>
      <c r="L242" s="24">
        <f t="shared" si="26"/>
        <v>0.98975000000000013</v>
      </c>
      <c r="M242" s="24">
        <f t="shared" si="27"/>
        <v>0.98975000000000013</v>
      </c>
      <c r="N242" s="37" t="s">
        <v>25</v>
      </c>
      <c r="O242" s="37" t="s">
        <v>25</v>
      </c>
      <c r="P242" s="37">
        <v>0</v>
      </c>
      <c r="Q242" s="37">
        <v>0</v>
      </c>
      <c r="R242" s="37" t="s">
        <v>636</v>
      </c>
      <c r="S242" s="37"/>
    </row>
    <row r="243" spans="1:19" x14ac:dyDescent="0.3">
      <c r="A243" s="41">
        <v>194</v>
      </c>
      <c r="B243" s="37" t="s">
        <v>633</v>
      </c>
      <c r="C243" s="37" t="s">
        <v>625</v>
      </c>
      <c r="D243" s="37" t="s">
        <v>21</v>
      </c>
      <c r="E243" s="37" t="s">
        <v>22</v>
      </c>
      <c r="F243" s="42">
        <v>45291</v>
      </c>
      <c r="G243" s="37">
        <v>2023</v>
      </c>
      <c r="H243" s="37" t="s">
        <v>27</v>
      </c>
      <c r="I243" s="39" t="s">
        <v>32</v>
      </c>
      <c r="J243" s="37">
        <v>80</v>
      </c>
      <c r="K243" s="37">
        <v>81.91</v>
      </c>
      <c r="L243" s="24">
        <f t="shared" si="26"/>
        <v>1.0238749999999999</v>
      </c>
      <c r="M243" s="24">
        <f t="shared" si="27"/>
        <v>1.0238749999999999</v>
      </c>
      <c r="N243" s="37" t="s">
        <v>25</v>
      </c>
      <c r="O243" s="37" t="s">
        <v>25</v>
      </c>
      <c r="P243" s="37">
        <v>0</v>
      </c>
      <c r="Q243" s="37">
        <v>0</v>
      </c>
      <c r="R243" s="37" t="s">
        <v>637</v>
      </c>
      <c r="S243" s="37"/>
    </row>
    <row r="244" spans="1:19" x14ac:dyDescent="0.3">
      <c r="A244" s="37">
        <v>194</v>
      </c>
      <c r="B244" s="37" t="s">
        <v>633</v>
      </c>
      <c r="C244" s="37" t="s">
        <v>625</v>
      </c>
      <c r="D244" s="37" t="s">
        <v>21</v>
      </c>
      <c r="E244" s="37" t="s">
        <v>22</v>
      </c>
      <c r="F244" s="42">
        <v>45473</v>
      </c>
      <c r="G244" s="37">
        <v>2024</v>
      </c>
      <c r="H244" s="37" t="s">
        <v>23</v>
      </c>
      <c r="I244" s="39" t="s">
        <v>34</v>
      </c>
      <c r="J244" s="37">
        <v>81</v>
      </c>
      <c r="K244" s="37">
        <v>83.01</v>
      </c>
      <c r="L244" s="24">
        <f t="shared" si="26"/>
        <v>1.0248148148148148</v>
      </c>
      <c r="M244" s="24">
        <f t="shared" si="27"/>
        <v>1.0248148148148148</v>
      </c>
      <c r="N244" s="37" t="s">
        <v>25</v>
      </c>
      <c r="O244" s="37" t="s">
        <v>25</v>
      </c>
      <c r="P244" s="37">
        <v>0</v>
      </c>
      <c r="Q244" s="37">
        <v>0</v>
      </c>
      <c r="R244" s="37" t="s">
        <v>638</v>
      </c>
      <c r="S244" s="37"/>
    </row>
    <row r="245" spans="1:19" x14ac:dyDescent="0.3">
      <c r="A245" s="37">
        <v>194</v>
      </c>
      <c r="B245" s="37" t="s">
        <v>633</v>
      </c>
      <c r="C245" s="37" t="s">
        <v>625</v>
      </c>
      <c r="D245" s="37" t="s">
        <v>21</v>
      </c>
      <c r="E245" s="37" t="s">
        <v>22</v>
      </c>
      <c r="F245" s="42">
        <v>45657</v>
      </c>
      <c r="G245" s="40">
        <v>2024</v>
      </c>
      <c r="H245" s="39" t="s">
        <v>27</v>
      </c>
      <c r="I245" s="39" t="s">
        <v>36</v>
      </c>
      <c r="J245" s="37">
        <v>80</v>
      </c>
      <c r="K245" s="37">
        <v>89</v>
      </c>
      <c r="L245" s="24">
        <f t="shared" si="26"/>
        <v>1.1125</v>
      </c>
      <c r="M245" s="24">
        <f t="shared" si="27"/>
        <v>1.1125</v>
      </c>
      <c r="N245" s="37" t="s">
        <v>25</v>
      </c>
      <c r="O245" s="37" t="s">
        <v>25</v>
      </c>
      <c r="P245" s="37">
        <v>0</v>
      </c>
      <c r="Q245" s="37">
        <v>0</v>
      </c>
      <c r="R245" s="37" t="s">
        <v>639</v>
      </c>
      <c r="S245" s="37"/>
    </row>
    <row r="246" spans="1:19" x14ac:dyDescent="0.3">
      <c r="A246" s="37">
        <v>196</v>
      </c>
      <c r="B246" s="37" t="s">
        <v>645</v>
      </c>
      <c r="C246" s="37" t="s">
        <v>625</v>
      </c>
      <c r="D246" s="37" t="s">
        <v>21</v>
      </c>
      <c r="E246" s="37" t="s">
        <v>56</v>
      </c>
      <c r="F246" s="38">
        <v>45107</v>
      </c>
      <c r="G246" s="40">
        <v>2023</v>
      </c>
      <c r="H246" s="39" t="s">
        <v>23</v>
      </c>
      <c r="I246" s="39" t="s">
        <v>30</v>
      </c>
      <c r="J246" s="37">
        <v>37</v>
      </c>
      <c r="K246" s="37">
        <v>34.409999999999997</v>
      </c>
      <c r="L246" s="24">
        <f t="shared" si="26"/>
        <v>1.0752688172043012</v>
      </c>
      <c r="M246" s="24">
        <f t="shared" si="27"/>
        <v>1.0752688172043012</v>
      </c>
      <c r="N246" s="37" t="s">
        <v>25</v>
      </c>
      <c r="O246" s="37" t="s">
        <v>25</v>
      </c>
      <c r="P246" s="37">
        <v>0</v>
      </c>
      <c r="Q246" s="37">
        <v>0</v>
      </c>
      <c r="R246" s="37" t="s">
        <v>646</v>
      </c>
      <c r="S246" s="37"/>
    </row>
    <row r="247" spans="1:19" x14ac:dyDescent="0.3">
      <c r="A247" s="41">
        <v>196</v>
      </c>
      <c r="B247" s="37" t="s">
        <v>645</v>
      </c>
      <c r="C247" s="37" t="s">
        <v>625</v>
      </c>
      <c r="D247" s="37" t="s">
        <v>21</v>
      </c>
      <c r="E247" s="37" t="s">
        <v>56</v>
      </c>
      <c r="F247" s="42">
        <v>45291</v>
      </c>
      <c r="G247" s="37">
        <v>2023</v>
      </c>
      <c r="H247" s="37" t="s">
        <v>27</v>
      </c>
      <c r="I247" s="39" t="s">
        <v>32</v>
      </c>
      <c r="J247" s="37">
        <v>37</v>
      </c>
      <c r="K247" s="37">
        <v>26.62</v>
      </c>
      <c r="L247" s="24">
        <f t="shared" si="26"/>
        <v>1.3</v>
      </c>
      <c r="M247" s="24">
        <f t="shared" si="27"/>
        <v>1.3899323816679188</v>
      </c>
      <c r="N247" s="37" t="s">
        <v>25</v>
      </c>
      <c r="O247" s="37" t="s">
        <v>25</v>
      </c>
      <c r="P247" s="37">
        <v>0</v>
      </c>
      <c r="Q247" s="37">
        <v>0</v>
      </c>
      <c r="R247" s="37" t="s">
        <v>647</v>
      </c>
      <c r="S247" s="37"/>
    </row>
    <row r="248" spans="1:19" x14ac:dyDescent="0.3">
      <c r="A248" s="37">
        <v>197</v>
      </c>
      <c r="B248" s="37" t="s">
        <v>648</v>
      </c>
      <c r="C248" s="37" t="s">
        <v>224</v>
      </c>
      <c r="D248" s="37" t="s">
        <v>39</v>
      </c>
      <c r="E248" s="37" t="s">
        <v>22</v>
      </c>
      <c r="F248" s="42">
        <v>44926</v>
      </c>
      <c r="G248" s="37">
        <v>2022</v>
      </c>
      <c r="H248" s="37" t="s">
        <v>27</v>
      </c>
      <c r="I248" s="37" t="s">
        <v>28</v>
      </c>
      <c r="J248" s="37">
        <v>43.5</v>
      </c>
      <c r="K248" s="37">
        <v>43.5</v>
      </c>
      <c r="L248" s="24">
        <f t="shared" si="26"/>
        <v>1</v>
      </c>
      <c r="M248" s="24">
        <f t="shared" si="27"/>
        <v>1</v>
      </c>
      <c r="N248" s="37" t="s">
        <v>25</v>
      </c>
      <c r="O248" s="37" t="s">
        <v>25</v>
      </c>
      <c r="P248" s="37">
        <v>0</v>
      </c>
      <c r="Q248" s="37">
        <v>0</v>
      </c>
      <c r="R248" s="37" t="s">
        <v>652</v>
      </c>
      <c r="S248" s="37"/>
    </row>
    <row r="249" spans="1:19" x14ac:dyDescent="0.3">
      <c r="A249" s="41">
        <v>197</v>
      </c>
      <c r="B249" s="37" t="s">
        <v>648</v>
      </c>
      <c r="C249" s="37" t="s">
        <v>224</v>
      </c>
      <c r="D249" s="37" t="s">
        <v>39</v>
      </c>
      <c r="E249" s="37" t="s">
        <v>22</v>
      </c>
      <c r="F249" s="42">
        <v>45107</v>
      </c>
      <c r="G249" s="37">
        <v>2023</v>
      </c>
      <c r="H249" s="37" t="s">
        <v>23</v>
      </c>
      <c r="I249" s="39" t="s">
        <v>30</v>
      </c>
      <c r="J249" s="37">
        <v>36.5</v>
      </c>
      <c r="K249" s="37">
        <v>36.5</v>
      </c>
      <c r="L249" s="24">
        <f t="shared" si="26"/>
        <v>1</v>
      </c>
      <c r="M249" s="24">
        <f t="shared" si="27"/>
        <v>1</v>
      </c>
      <c r="N249" s="37" t="s">
        <v>25</v>
      </c>
      <c r="O249" s="37" t="s">
        <v>25</v>
      </c>
      <c r="P249" s="37">
        <v>0</v>
      </c>
      <c r="Q249" s="37">
        <v>0</v>
      </c>
      <c r="R249" s="37" t="s">
        <v>654</v>
      </c>
      <c r="S249" s="37"/>
    </row>
    <row r="250" spans="1:19" x14ac:dyDescent="0.3">
      <c r="A250" s="41">
        <v>197</v>
      </c>
      <c r="B250" s="37" t="s">
        <v>648</v>
      </c>
      <c r="C250" s="37" t="s">
        <v>224</v>
      </c>
      <c r="D250" s="37" t="s">
        <v>39</v>
      </c>
      <c r="E250" s="37" t="s">
        <v>22</v>
      </c>
      <c r="F250" s="42">
        <v>45291</v>
      </c>
      <c r="G250" s="37">
        <v>2023</v>
      </c>
      <c r="H250" s="37" t="s">
        <v>27</v>
      </c>
      <c r="I250" s="39" t="s">
        <v>32</v>
      </c>
      <c r="J250" s="37">
        <v>44</v>
      </c>
      <c r="K250" s="37">
        <v>44</v>
      </c>
      <c r="L250" s="24">
        <f t="shared" si="26"/>
        <v>1</v>
      </c>
      <c r="M250" s="24">
        <f t="shared" si="27"/>
        <v>1</v>
      </c>
      <c r="N250" s="37" t="s">
        <v>25</v>
      </c>
      <c r="O250" s="37" t="s">
        <v>25</v>
      </c>
      <c r="P250" s="37">
        <v>0</v>
      </c>
      <c r="Q250" s="37">
        <v>0</v>
      </c>
      <c r="R250" s="37" t="s">
        <v>656</v>
      </c>
      <c r="S250" s="37"/>
    </row>
    <row r="251" spans="1:19" x14ac:dyDescent="0.3">
      <c r="A251" s="37">
        <v>197</v>
      </c>
      <c r="B251" s="37" t="s">
        <v>648</v>
      </c>
      <c r="C251" s="37" t="s">
        <v>224</v>
      </c>
      <c r="D251" s="37" t="s">
        <v>39</v>
      </c>
      <c r="E251" s="37" t="s">
        <v>22</v>
      </c>
      <c r="F251" s="42">
        <v>45473</v>
      </c>
      <c r="G251" s="37">
        <v>2024</v>
      </c>
      <c r="H251" s="37" t="s">
        <v>23</v>
      </c>
      <c r="I251" s="39" t="s">
        <v>34</v>
      </c>
      <c r="J251" s="37">
        <v>35.5</v>
      </c>
      <c r="K251" s="37">
        <v>35.5</v>
      </c>
      <c r="L251" s="24">
        <f t="shared" si="26"/>
        <v>1</v>
      </c>
      <c r="M251" s="24">
        <f t="shared" si="27"/>
        <v>1</v>
      </c>
      <c r="N251" s="37" t="s">
        <v>25</v>
      </c>
      <c r="O251" s="37" t="s">
        <v>25</v>
      </c>
      <c r="P251" s="37">
        <v>0</v>
      </c>
      <c r="Q251" s="37">
        <v>0</v>
      </c>
      <c r="R251" s="37" t="s">
        <v>658</v>
      </c>
      <c r="S251" s="37"/>
    </row>
    <row r="252" spans="1:19" x14ac:dyDescent="0.3">
      <c r="A252" s="37">
        <v>197</v>
      </c>
      <c r="B252" s="37" t="s">
        <v>648</v>
      </c>
      <c r="C252" s="37" t="s">
        <v>224</v>
      </c>
      <c r="D252" s="37" t="s">
        <v>39</v>
      </c>
      <c r="E252" s="37" t="s">
        <v>22</v>
      </c>
      <c r="F252" s="42">
        <v>45657</v>
      </c>
      <c r="G252" s="37">
        <v>2024</v>
      </c>
      <c r="H252" s="37" t="s">
        <v>27</v>
      </c>
      <c r="I252" s="39" t="s">
        <v>36</v>
      </c>
      <c r="J252" s="37">
        <v>42</v>
      </c>
      <c r="K252" s="37">
        <v>42</v>
      </c>
      <c r="L252" s="24">
        <f t="shared" si="26"/>
        <v>1</v>
      </c>
      <c r="M252" s="24">
        <f t="shared" si="27"/>
        <v>1</v>
      </c>
      <c r="N252" s="37" t="s">
        <v>25</v>
      </c>
      <c r="O252" s="37" t="s">
        <v>25</v>
      </c>
      <c r="P252" s="37">
        <v>0</v>
      </c>
      <c r="Q252" s="37">
        <v>0</v>
      </c>
      <c r="R252" s="37" t="s">
        <v>660</v>
      </c>
      <c r="S252" s="37"/>
    </row>
    <row r="253" spans="1:19" x14ac:dyDescent="0.3">
      <c r="A253" s="45">
        <v>199</v>
      </c>
      <c r="B253" s="37" t="s">
        <v>661</v>
      </c>
      <c r="C253" s="37" t="s">
        <v>55</v>
      </c>
      <c r="D253" s="37" t="s">
        <v>21</v>
      </c>
      <c r="E253" s="37" t="s">
        <v>22</v>
      </c>
      <c r="F253" s="42">
        <v>45107</v>
      </c>
      <c r="G253" s="37">
        <v>2023</v>
      </c>
      <c r="H253" s="37" t="s">
        <v>23</v>
      </c>
      <c r="I253" s="39" t="s">
        <v>30</v>
      </c>
      <c r="J253" s="37">
        <v>95</v>
      </c>
      <c r="K253" s="37">
        <v>87.666666666666998</v>
      </c>
      <c r="L253" s="55">
        <f t="shared" si="26"/>
        <v>0.92280701754386318</v>
      </c>
      <c r="M253" s="24">
        <f t="shared" si="27"/>
        <v>0.92280701754386318</v>
      </c>
      <c r="N253" s="37" t="s">
        <v>25</v>
      </c>
      <c r="O253" s="37" t="s">
        <v>25</v>
      </c>
      <c r="P253" s="37">
        <v>0</v>
      </c>
      <c r="Q253" s="37">
        <v>0</v>
      </c>
      <c r="R253" s="37" t="s">
        <v>664</v>
      </c>
      <c r="S253" s="37"/>
    </row>
    <row r="254" spans="1:19" x14ac:dyDescent="0.3">
      <c r="A254" s="41">
        <v>199</v>
      </c>
      <c r="B254" s="37" t="s">
        <v>661</v>
      </c>
      <c r="C254" s="37" t="s">
        <v>55</v>
      </c>
      <c r="D254" s="37" t="s">
        <v>21</v>
      </c>
      <c r="E254" s="37" t="s">
        <v>22</v>
      </c>
      <c r="F254" s="42">
        <v>45291</v>
      </c>
      <c r="G254" s="37">
        <v>2023</v>
      </c>
      <c r="H254" s="37" t="s">
        <v>27</v>
      </c>
      <c r="I254" s="39" t="s">
        <v>32</v>
      </c>
      <c r="J254" s="37">
        <v>95</v>
      </c>
      <c r="K254" s="37">
        <v>87.67</v>
      </c>
      <c r="L254" s="55">
        <f t="shared" si="26"/>
        <v>0.92284210526315791</v>
      </c>
      <c r="M254" s="24">
        <f t="shared" si="27"/>
        <v>0.92284210526315791</v>
      </c>
      <c r="N254" s="37" t="s">
        <v>25</v>
      </c>
      <c r="O254" s="37" t="s">
        <v>25</v>
      </c>
      <c r="P254" s="37">
        <v>0</v>
      </c>
      <c r="Q254" s="37">
        <v>0</v>
      </c>
      <c r="R254" s="37" t="s">
        <v>665</v>
      </c>
      <c r="S254" s="37"/>
    </row>
    <row r="255" spans="1:19" x14ac:dyDescent="0.3">
      <c r="A255" s="37">
        <v>199</v>
      </c>
      <c r="B255" s="37" t="s">
        <v>661</v>
      </c>
      <c r="C255" s="37" t="s">
        <v>55</v>
      </c>
      <c r="D255" s="37" t="s">
        <v>21</v>
      </c>
      <c r="E255" s="37" t="s">
        <v>22</v>
      </c>
      <c r="F255" s="42">
        <v>45473</v>
      </c>
      <c r="G255" s="37">
        <v>2024</v>
      </c>
      <c r="H255" s="37" t="s">
        <v>23</v>
      </c>
      <c r="I255" s="39" t="s">
        <v>34</v>
      </c>
      <c r="J255" s="37">
        <v>70</v>
      </c>
      <c r="K255" s="37">
        <v>92.19</v>
      </c>
      <c r="L255" s="24">
        <f t="shared" si="26"/>
        <v>1.3</v>
      </c>
      <c r="M255" s="24">
        <f t="shared" si="27"/>
        <v>1.3169999999999999</v>
      </c>
      <c r="N255" s="37"/>
      <c r="O255" s="37"/>
      <c r="P255" s="37">
        <v>0</v>
      </c>
      <c r="Q255" s="37">
        <v>0</v>
      </c>
      <c r="R255" s="37" t="s">
        <v>666</v>
      </c>
      <c r="S255" s="37"/>
    </row>
    <row r="256" spans="1:19" x14ac:dyDescent="0.3">
      <c r="A256" s="37">
        <v>199</v>
      </c>
      <c r="B256" s="37" t="s">
        <v>661</v>
      </c>
      <c r="C256" s="37" t="s">
        <v>55</v>
      </c>
      <c r="D256" s="37" t="s">
        <v>21</v>
      </c>
      <c r="E256" s="37" t="s">
        <v>22</v>
      </c>
      <c r="F256" s="42">
        <v>45657</v>
      </c>
      <c r="G256" s="37">
        <v>2024</v>
      </c>
      <c r="H256" s="37" t="s">
        <v>27</v>
      </c>
      <c r="I256" s="39" t="s">
        <v>36</v>
      </c>
      <c r="J256" s="37">
        <v>70</v>
      </c>
      <c r="K256" s="37">
        <v>92.81</v>
      </c>
      <c r="L256" s="24">
        <f t="shared" si="26"/>
        <v>1.3</v>
      </c>
      <c r="M256" s="24">
        <f t="shared" si="27"/>
        <v>1.3258571428571428</v>
      </c>
      <c r="N256" s="37"/>
      <c r="O256" s="37"/>
      <c r="P256" s="37">
        <v>0</v>
      </c>
      <c r="Q256" s="37">
        <v>0</v>
      </c>
      <c r="R256" s="37" t="s">
        <v>667</v>
      </c>
      <c r="S256" s="37"/>
    </row>
    <row r="257" spans="1:19" x14ac:dyDescent="0.3">
      <c r="A257" s="37">
        <v>200</v>
      </c>
      <c r="B257" s="37" t="s">
        <v>668</v>
      </c>
      <c r="C257" s="37" t="s">
        <v>55</v>
      </c>
      <c r="D257" s="37" t="s">
        <v>139</v>
      </c>
      <c r="E257" s="37" t="s">
        <v>22</v>
      </c>
      <c r="F257" s="42">
        <v>44926</v>
      </c>
      <c r="G257" s="37">
        <v>2022</v>
      </c>
      <c r="H257" s="37" t="s">
        <v>27</v>
      </c>
      <c r="I257" s="37" t="s">
        <v>28</v>
      </c>
      <c r="J257" s="37">
        <v>70</v>
      </c>
      <c r="K257" s="37"/>
      <c r="L257" s="24"/>
      <c r="M257" s="24"/>
      <c r="N257" s="37" t="s">
        <v>25</v>
      </c>
      <c r="O257" s="37" t="s">
        <v>223</v>
      </c>
      <c r="P257" s="37">
        <v>0</v>
      </c>
      <c r="Q257" s="37">
        <v>1</v>
      </c>
      <c r="R257" s="37" t="s">
        <v>669</v>
      </c>
      <c r="S257" s="37" t="s">
        <v>223</v>
      </c>
    </row>
    <row r="258" spans="1:19" x14ac:dyDescent="0.3">
      <c r="A258" s="41">
        <v>200</v>
      </c>
      <c r="B258" s="37" t="s">
        <v>668</v>
      </c>
      <c r="C258" s="37" t="s">
        <v>55</v>
      </c>
      <c r="D258" s="37" t="s">
        <v>139</v>
      </c>
      <c r="E258" s="37" t="s">
        <v>22</v>
      </c>
      <c r="F258" s="42">
        <v>45291</v>
      </c>
      <c r="G258" s="37">
        <v>2023</v>
      </c>
      <c r="H258" s="37" t="s">
        <v>27</v>
      </c>
      <c r="I258" s="39" t="s">
        <v>32</v>
      </c>
      <c r="J258" s="37">
        <v>70</v>
      </c>
      <c r="K258" s="37">
        <v>90</v>
      </c>
      <c r="L258" s="24">
        <f t="shared" ref="L258:L261" si="28">IFERROR(IF(OR(J258=0,K258=""),"",IF(E258="Positivo",MIN(MAX(K258/J258,0),1.3),MIN(MAX(J258/K258,0),1.3))),"")</f>
        <v>1.2857142857142858</v>
      </c>
      <c r="M258" s="24">
        <f t="shared" ref="M258:M261" si="29">IFERROR(IF(OR(J258=0,K258=""),"",IF(E258="Positivo",MAX(K258/J258,0),MAX(J258/K258,0))),"")</f>
        <v>1.2857142857142858</v>
      </c>
      <c r="N258" s="37" t="s">
        <v>3505</v>
      </c>
      <c r="O258" s="37" t="s">
        <v>25</v>
      </c>
      <c r="P258" s="37">
        <v>0</v>
      </c>
      <c r="Q258" s="37">
        <v>0</v>
      </c>
      <c r="R258" s="37" t="s">
        <v>671</v>
      </c>
      <c r="S258" s="37"/>
    </row>
    <row r="259" spans="1:19" x14ac:dyDescent="0.3">
      <c r="A259" s="37">
        <v>200</v>
      </c>
      <c r="B259" s="37" t="s">
        <v>668</v>
      </c>
      <c r="C259" s="37" t="s">
        <v>55</v>
      </c>
      <c r="D259" s="37" t="s">
        <v>139</v>
      </c>
      <c r="E259" s="37" t="s">
        <v>22</v>
      </c>
      <c r="F259" s="42">
        <v>45657</v>
      </c>
      <c r="G259" s="37">
        <v>2024</v>
      </c>
      <c r="H259" s="37" t="s">
        <v>27</v>
      </c>
      <c r="I259" s="39" t="s">
        <v>36</v>
      </c>
      <c r="J259" s="37">
        <v>80</v>
      </c>
      <c r="K259" s="37">
        <v>87.4</v>
      </c>
      <c r="L259" s="24">
        <f t="shared" si="28"/>
        <v>1.0925</v>
      </c>
      <c r="M259" s="24">
        <f t="shared" si="29"/>
        <v>1.0925</v>
      </c>
      <c r="N259" s="37"/>
      <c r="O259" s="37"/>
      <c r="P259" s="37">
        <v>0</v>
      </c>
      <c r="Q259" s="37">
        <v>0</v>
      </c>
      <c r="R259" s="37" t="s">
        <v>672</v>
      </c>
      <c r="S259" s="37"/>
    </row>
    <row r="260" spans="1:19" x14ac:dyDescent="0.3">
      <c r="A260" s="37">
        <v>202</v>
      </c>
      <c r="B260" s="37" t="s">
        <v>673</v>
      </c>
      <c r="C260" s="37" t="s">
        <v>55</v>
      </c>
      <c r="D260" s="37" t="s">
        <v>139</v>
      </c>
      <c r="E260" s="37" t="s">
        <v>22</v>
      </c>
      <c r="F260" s="42">
        <v>45291</v>
      </c>
      <c r="G260" s="40">
        <v>2023</v>
      </c>
      <c r="H260" s="39" t="s">
        <v>27</v>
      </c>
      <c r="I260" s="39" t="s">
        <v>32</v>
      </c>
      <c r="J260" s="37">
        <v>66</v>
      </c>
      <c r="K260" s="37">
        <v>64.7</v>
      </c>
      <c r="L260" s="24">
        <f t="shared" si="28"/>
        <v>0.98030303030303034</v>
      </c>
      <c r="M260" s="24">
        <f t="shared" si="29"/>
        <v>0.98030303030303034</v>
      </c>
      <c r="N260" s="37"/>
      <c r="O260" s="37"/>
      <c r="P260" s="37">
        <v>1</v>
      </c>
      <c r="Q260" s="37">
        <v>1</v>
      </c>
      <c r="R260" s="37" t="s">
        <v>674</v>
      </c>
      <c r="S260" s="37"/>
    </row>
    <row r="261" spans="1:19" x14ac:dyDescent="0.3">
      <c r="A261" s="37">
        <v>202</v>
      </c>
      <c r="B261" s="37" t="s">
        <v>673</v>
      </c>
      <c r="C261" s="37" t="s">
        <v>55</v>
      </c>
      <c r="D261" s="37" t="s">
        <v>139</v>
      </c>
      <c r="E261" s="37" t="s">
        <v>22</v>
      </c>
      <c r="F261" s="42">
        <v>45657</v>
      </c>
      <c r="G261" s="37">
        <v>2024</v>
      </c>
      <c r="H261" s="37" t="s">
        <v>27</v>
      </c>
      <c r="I261" s="39" t="s">
        <v>36</v>
      </c>
      <c r="J261" s="37">
        <v>0</v>
      </c>
      <c r="K261" s="37">
        <v>0</v>
      </c>
      <c r="L261" s="24" t="str">
        <f t="shared" si="28"/>
        <v/>
      </c>
      <c r="M261" s="24" t="str">
        <f t="shared" si="29"/>
        <v/>
      </c>
      <c r="N261" s="37" t="s">
        <v>203</v>
      </c>
      <c r="O261" s="37" t="s">
        <v>613</v>
      </c>
      <c r="P261" s="37">
        <v>0</v>
      </c>
      <c r="Q261" s="37">
        <v>0</v>
      </c>
      <c r="R261" s="37" t="s">
        <v>675</v>
      </c>
      <c r="S261" s="37"/>
    </row>
    <row r="262" spans="1:19" x14ac:dyDescent="0.3">
      <c r="A262" s="37">
        <v>203</v>
      </c>
      <c r="B262" s="37" t="s">
        <v>676</v>
      </c>
      <c r="C262" s="37" t="s">
        <v>210</v>
      </c>
      <c r="D262" s="37" t="s">
        <v>21</v>
      </c>
      <c r="E262" s="37" t="s">
        <v>22</v>
      </c>
      <c r="F262" s="38">
        <v>44742</v>
      </c>
      <c r="G262" s="40">
        <v>2022</v>
      </c>
      <c r="H262" s="39" t="s">
        <v>23</v>
      </c>
      <c r="I262" s="39" t="s">
        <v>24</v>
      </c>
      <c r="J262" s="59">
        <v>113672</v>
      </c>
      <c r="K262" s="59">
        <v>119144</v>
      </c>
      <c r="L262" s="24">
        <f t="shared" ref="L262:L285" si="30">IFERROR(IF(OR(J262=0,K262=""),"",IF(E262="Positivo",MIN(MAX(K262/J262,0),1.3),MIN(MAX(J262/K262,0),1.3))),"")</f>
        <v>1.0481385037652193</v>
      </c>
      <c r="M262" s="24">
        <f t="shared" ref="M262:M285" si="31">IFERROR(IF(OR(J262=0,K262=""),"",IF(E262="Positivo",MAX(K262/J262,0),MAX(J262/K262,0))),"")</f>
        <v>1.0481385037652193</v>
      </c>
      <c r="N262" s="37" t="s">
        <v>264</v>
      </c>
      <c r="O262" s="37" t="s">
        <v>264</v>
      </c>
      <c r="P262" s="37">
        <v>0</v>
      </c>
      <c r="Q262" s="37">
        <v>0</v>
      </c>
      <c r="R262" s="37" t="s">
        <v>677</v>
      </c>
      <c r="S262" s="37"/>
    </row>
    <row r="263" spans="1:19" x14ac:dyDescent="0.3">
      <c r="A263" s="37">
        <v>203</v>
      </c>
      <c r="B263" s="37" t="s">
        <v>676</v>
      </c>
      <c r="C263" s="37" t="s">
        <v>210</v>
      </c>
      <c r="D263" s="37" t="s">
        <v>21</v>
      </c>
      <c r="E263" s="37" t="s">
        <v>22</v>
      </c>
      <c r="F263" s="38">
        <v>44926</v>
      </c>
      <c r="G263" s="40">
        <v>2022</v>
      </c>
      <c r="H263" s="39" t="s">
        <v>27</v>
      </c>
      <c r="I263" s="39" t="s">
        <v>28</v>
      </c>
      <c r="J263" s="59">
        <v>110768</v>
      </c>
      <c r="K263" s="59">
        <v>121738</v>
      </c>
      <c r="L263" s="24">
        <f t="shared" si="30"/>
        <v>1.0990358226202512</v>
      </c>
      <c r="M263" s="24">
        <f t="shared" si="31"/>
        <v>1.0990358226202512</v>
      </c>
      <c r="N263" s="37" t="s">
        <v>264</v>
      </c>
      <c r="O263" s="37" t="s">
        <v>264</v>
      </c>
      <c r="P263" s="37">
        <v>0</v>
      </c>
      <c r="Q263" s="37">
        <v>0</v>
      </c>
      <c r="R263" s="37" t="s">
        <v>678</v>
      </c>
      <c r="S263" s="37"/>
    </row>
    <row r="264" spans="1:19" x14ac:dyDescent="0.3">
      <c r="A264" s="37">
        <v>203</v>
      </c>
      <c r="B264" s="37" t="s">
        <v>676</v>
      </c>
      <c r="C264" s="37" t="s">
        <v>210</v>
      </c>
      <c r="D264" s="37" t="s">
        <v>21</v>
      </c>
      <c r="E264" s="37" t="s">
        <v>22</v>
      </c>
      <c r="F264" s="38">
        <v>45107</v>
      </c>
      <c r="G264" s="40">
        <v>2023</v>
      </c>
      <c r="H264" s="39" t="s">
        <v>23</v>
      </c>
      <c r="I264" s="39" t="s">
        <v>30</v>
      </c>
      <c r="J264" s="37">
        <v>95</v>
      </c>
      <c r="K264" s="59">
        <v>104.63235542785</v>
      </c>
      <c r="L264" s="24">
        <f t="shared" si="30"/>
        <v>1.1013932150300001</v>
      </c>
      <c r="M264" s="24">
        <f t="shared" si="31"/>
        <v>1.1013932150300001</v>
      </c>
      <c r="N264" s="37" t="s">
        <v>264</v>
      </c>
      <c r="O264" s="37" t="s">
        <v>264</v>
      </c>
      <c r="P264" s="37">
        <v>0</v>
      </c>
      <c r="Q264" s="37">
        <v>0</v>
      </c>
      <c r="R264" s="37" t="s">
        <v>679</v>
      </c>
      <c r="S264" s="37"/>
    </row>
    <row r="265" spans="1:19" x14ac:dyDescent="0.3">
      <c r="A265" s="41">
        <v>203</v>
      </c>
      <c r="B265" s="37" t="s">
        <v>676</v>
      </c>
      <c r="C265" s="37" t="s">
        <v>210</v>
      </c>
      <c r="D265" s="37" t="s">
        <v>21</v>
      </c>
      <c r="E265" s="37" t="s">
        <v>22</v>
      </c>
      <c r="F265" s="42">
        <v>45291</v>
      </c>
      <c r="G265" s="37">
        <v>2023</v>
      </c>
      <c r="H265" s="37" t="s">
        <v>27</v>
      </c>
      <c r="I265" s="39" t="s">
        <v>32</v>
      </c>
      <c r="J265" s="37">
        <v>95</v>
      </c>
      <c r="K265" s="59">
        <v>103.36740380481</v>
      </c>
      <c r="L265" s="24">
        <f t="shared" si="30"/>
        <v>1.0880779347874736</v>
      </c>
      <c r="M265" s="24">
        <f t="shared" si="31"/>
        <v>1.0880779347874736</v>
      </c>
      <c r="N265" s="37" t="s">
        <v>264</v>
      </c>
      <c r="O265" s="37" t="s">
        <v>264</v>
      </c>
      <c r="P265" s="37">
        <v>0</v>
      </c>
      <c r="Q265" s="37">
        <v>0</v>
      </c>
      <c r="R265" s="37" t="s">
        <v>680</v>
      </c>
      <c r="S265" s="37"/>
    </row>
    <row r="266" spans="1:19" x14ac:dyDescent="0.3">
      <c r="A266" s="37">
        <v>203</v>
      </c>
      <c r="B266" s="37" t="s">
        <v>676</v>
      </c>
      <c r="C266" s="37" t="s">
        <v>210</v>
      </c>
      <c r="D266" s="37" t="s">
        <v>21</v>
      </c>
      <c r="E266" s="37" t="s">
        <v>22</v>
      </c>
      <c r="F266" s="42">
        <v>45473</v>
      </c>
      <c r="G266" s="37">
        <v>2024</v>
      </c>
      <c r="H266" s="37" t="s">
        <v>23</v>
      </c>
      <c r="I266" s="39" t="s">
        <v>34</v>
      </c>
      <c r="J266" s="66">
        <v>95</v>
      </c>
      <c r="K266" s="43">
        <v>102.01</v>
      </c>
      <c r="L266" s="24">
        <f t="shared" si="30"/>
        <v>1.0737894736842106</v>
      </c>
      <c r="M266" s="24">
        <f t="shared" si="31"/>
        <v>1.0737894736842106</v>
      </c>
      <c r="N266" s="37" t="s">
        <v>264</v>
      </c>
      <c r="O266" s="37" t="s">
        <v>264</v>
      </c>
      <c r="P266" s="37">
        <v>0</v>
      </c>
      <c r="Q266" s="37">
        <v>0</v>
      </c>
      <c r="R266" s="37" t="s">
        <v>681</v>
      </c>
      <c r="S266" s="37"/>
    </row>
    <row r="267" spans="1:19" x14ac:dyDescent="0.3">
      <c r="A267" s="41">
        <v>203</v>
      </c>
      <c r="B267" s="37" t="s">
        <v>676</v>
      </c>
      <c r="C267" s="37" t="s">
        <v>210</v>
      </c>
      <c r="D267" s="37" t="s">
        <v>21</v>
      </c>
      <c r="E267" s="37" t="s">
        <v>22</v>
      </c>
      <c r="F267" s="42">
        <v>45657</v>
      </c>
      <c r="G267" s="37">
        <v>2024</v>
      </c>
      <c r="H267" s="37" t="s">
        <v>27</v>
      </c>
      <c r="I267" s="39" t="s">
        <v>36</v>
      </c>
      <c r="J267" s="37">
        <v>95</v>
      </c>
      <c r="K267" s="59">
        <v>102.84</v>
      </c>
      <c r="L267" s="24">
        <f t="shared" si="30"/>
        <v>1.0825263157894738</v>
      </c>
      <c r="M267" s="24">
        <f t="shared" si="31"/>
        <v>1.0825263157894738</v>
      </c>
      <c r="N267" s="37" t="s">
        <v>264</v>
      </c>
      <c r="O267" s="37" t="s">
        <v>264</v>
      </c>
      <c r="P267" s="37">
        <v>0</v>
      </c>
      <c r="Q267" s="37">
        <v>0</v>
      </c>
      <c r="R267" s="37" t="s">
        <v>682</v>
      </c>
      <c r="S267" s="37"/>
    </row>
    <row r="268" spans="1:19" x14ac:dyDescent="0.3">
      <c r="A268" s="37">
        <v>204</v>
      </c>
      <c r="B268" s="37" t="s">
        <v>685</v>
      </c>
      <c r="C268" s="37" t="s">
        <v>210</v>
      </c>
      <c r="D268" s="37" t="s">
        <v>21</v>
      </c>
      <c r="E268" s="37" t="s">
        <v>22</v>
      </c>
      <c r="F268" s="38">
        <v>44742</v>
      </c>
      <c r="G268" s="40">
        <v>2022</v>
      </c>
      <c r="H268" s="39" t="s">
        <v>23</v>
      </c>
      <c r="I268" s="39" t="s">
        <v>24</v>
      </c>
      <c r="J268" s="60">
        <v>58804</v>
      </c>
      <c r="K268" s="60">
        <v>37101</v>
      </c>
      <c r="L268" s="24">
        <f t="shared" si="30"/>
        <v>0.63092646758723891</v>
      </c>
      <c r="M268" s="24">
        <f t="shared" si="31"/>
        <v>0.63092646758723891</v>
      </c>
      <c r="N268" s="37" t="s">
        <v>264</v>
      </c>
      <c r="O268" s="37" t="s">
        <v>264</v>
      </c>
      <c r="P268" s="37">
        <v>0</v>
      </c>
      <c r="Q268" s="37">
        <v>0</v>
      </c>
      <c r="R268" s="37" t="s">
        <v>686</v>
      </c>
      <c r="S268" s="37"/>
    </row>
    <row r="269" spans="1:19" x14ac:dyDescent="0.3">
      <c r="A269" s="37">
        <v>204</v>
      </c>
      <c r="B269" s="37" t="s">
        <v>685</v>
      </c>
      <c r="C269" s="37" t="s">
        <v>210</v>
      </c>
      <c r="D269" s="37" t="s">
        <v>21</v>
      </c>
      <c r="E269" s="37" t="s">
        <v>22</v>
      </c>
      <c r="F269" s="38">
        <v>44925</v>
      </c>
      <c r="G269" s="40">
        <v>2022</v>
      </c>
      <c r="H269" s="39" t="s">
        <v>27</v>
      </c>
      <c r="I269" s="39" t="s">
        <v>28</v>
      </c>
      <c r="J269" s="60">
        <v>82987</v>
      </c>
      <c r="K269" s="56">
        <v>18386</v>
      </c>
      <c r="L269" s="24">
        <f t="shared" si="30"/>
        <v>0.22155277332594261</v>
      </c>
      <c r="M269" s="24">
        <f t="shared" si="31"/>
        <v>0.22155277332594261</v>
      </c>
      <c r="N269" s="37" t="s">
        <v>264</v>
      </c>
      <c r="O269" s="37" t="s">
        <v>264</v>
      </c>
      <c r="P269" s="37">
        <v>0</v>
      </c>
      <c r="Q269" s="37">
        <v>0</v>
      </c>
      <c r="R269" s="37" t="s">
        <v>687</v>
      </c>
      <c r="S269" s="37"/>
    </row>
    <row r="270" spans="1:19" x14ac:dyDescent="0.3">
      <c r="A270" s="37">
        <v>204</v>
      </c>
      <c r="B270" s="37" t="s">
        <v>685</v>
      </c>
      <c r="C270" s="37" t="s">
        <v>210</v>
      </c>
      <c r="D270" s="37" t="s">
        <v>21</v>
      </c>
      <c r="E270" s="37" t="s">
        <v>22</v>
      </c>
      <c r="F270" s="38">
        <v>45107</v>
      </c>
      <c r="G270" s="40">
        <v>2023</v>
      </c>
      <c r="H270" s="39" t="s">
        <v>23</v>
      </c>
      <c r="I270" s="39" t="s">
        <v>30</v>
      </c>
      <c r="J270" s="37">
        <v>8772795634</v>
      </c>
      <c r="K270" s="60">
        <v>17085606216</v>
      </c>
      <c r="L270" s="24">
        <f t="shared" si="30"/>
        <v>1.3</v>
      </c>
      <c r="M270" s="24">
        <f t="shared" si="31"/>
        <v>1.9475668793403469</v>
      </c>
      <c r="N270" s="37" t="s">
        <v>264</v>
      </c>
      <c r="O270" s="37" t="s">
        <v>264</v>
      </c>
      <c r="P270" s="37">
        <v>0</v>
      </c>
      <c r="Q270" s="37">
        <v>0</v>
      </c>
      <c r="R270" s="37" t="s">
        <v>688</v>
      </c>
      <c r="S270" s="37"/>
    </row>
    <row r="271" spans="1:19" x14ac:dyDescent="0.3">
      <c r="A271" s="41">
        <v>204</v>
      </c>
      <c r="B271" s="37" t="s">
        <v>685</v>
      </c>
      <c r="C271" s="37" t="s">
        <v>210</v>
      </c>
      <c r="D271" s="37" t="s">
        <v>21</v>
      </c>
      <c r="E271" s="37" t="s">
        <v>22</v>
      </c>
      <c r="F271" s="42">
        <v>45291</v>
      </c>
      <c r="G271" s="37">
        <v>2023</v>
      </c>
      <c r="H271" s="37" t="s">
        <v>27</v>
      </c>
      <c r="I271" s="39" t="s">
        <v>32</v>
      </c>
      <c r="J271" s="37">
        <v>86849199430</v>
      </c>
      <c r="K271" s="56">
        <v>141016762899</v>
      </c>
      <c r="L271" s="24">
        <f t="shared" si="30"/>
        <v>1.3</v>
      </c>
      <c r="M271" s="24">
        <f t="shared" si="31"/>
        <v>1.6236967505113133</v>
      </c>
      <c r="N271" s="37" t="s">
        <v>264</v>
      </c>
      <c r="O271" s="37" t="s">
        <v>264</v>
      </c>
      <c r="P271" s="37">
        <v>0</v>
      </c>
      <c r="Q271" s="37">
        <v>0</v>
      </c>
      <c r="R271" s="37" t="s">
        <v>689</v>
      </c>
      <c r="S271" s="37"/>
    </row>
    <row r="272" spans="1:19" x14ac:dyDescent="0.3">
      <c r="A272" s="37">
        <v>204</v>
      </c>
      <c r="B272" s="37" t="s">
        <v>685</v>
      </c>
      <c r="C272" s="37" t="s">
        <v>210</v>
      </c>
      <c r="D272" s="37" t="s">
        <v>21</v>
      </c>
      <c r="E272" s="37" t="s">
        <v>22</v>
      </c>
      <c r="F272" s="42">
        <v>45473</v>
      </c>
      <c r="G272" s="37">
        <v>2024</v>
      </c>
      <c r="H272" s="37" t="s">
        <v>23</v>
      </c>
      <c r="I272" s="39" t="s">
        <v>34</v>
      </c>
      <c r="J272" s="37">
        <v>20714519158</v>
      </c>
      <c r="K272" s="43">
        <v>27665037063</v>
      </c>
      <c r="L272" s="24">
        <f t="shared" si="30"/>
        <v>1.3</v>
      </c>
      <c r="M272" s="24">
        <f t="shared" si="31"/>
        <v>1.335538462273004</v>
      </c>
      <c r="N272" s="37" t="s">
        <v>264</v>
      </c>
      <c r="O272" s="37" t="s">
        <v>264</v>
      </c>
      <c r="P272" s="37">
        <v>0</v>
      </c>
      <c r="Q272" s="37">
        <v>0</v>
      </c>
      <c r="R272" s="37" t="s">
        <v>690</v>
      </c>
      <c r="S272" s="37"/>
    </row>
    <row r="273" spans="1:19" x14ac:dyDescent="0.3">
      <c r="A273" s="37">
        <v>204</v>
      </c>
      <c r="B273" s="37" t="s">
        <v>685</v>
      </c>
      <c r="C273" s="37" t="s">
        <v>210</v>
      </c>
      <c r="D273" s="37" t="s">
        <v>21</v>
      </c>
      <c r="E273" s="37" t="s">
        <v>22</v>
      </c>
      <c r="F273" s="42">
        <v>45657</v>
      </c>
      <c r="G273" s="37">
        <v>2024</v>
      </c>
      <c r="H273" s="37" t="s">
        <v>27</v>
      </c>
      <c r="I273" s="39" t="s">
        <v>36</v>
      </c>
      <c r="J273" s="37">
        <v>122440821151</v>
      </c>
      <c r="K273" s="43">
        <v>176962748824</v>
      </c>
      <c r="L273" s="24">
        <f t="shared" si="30"/>
        <v>1.3</v>
      </c>
      <c r="M273" s="24">
        <f t="shared" si="31"/>
        <v>1.4452920779235945</v>
      </c>
      <c r="N273" s="37" t="s">
        <v>264</v>
      </c>
      <c r="O273" s="37" t="s">
        <v>264</v>
      </c>
      <c r="P273" s="37">
        <v>0</v>
      </c>
      <c r="Q273" s="37">
        <v>0</v>
      </c>
      <c r="R273" s="37" t="s">
        <v>691</v>
      </c>
      <c r="S273" s="37"/>
    </row>
    <row r="274" spans="1:19" x14ac:dyDescent="0.3">
      <c r="A274" s="37">
        <v>205</v>
      </c>
      <c r="B274" s="37" t="s">
        <v>692</v>
      </c>
      <c r="C274" s="37" t="s">
        <v>210</v>
      </c>
      <c r="D274" s="37" t="s">
        <v>21</v>
      </c>
      <c r="E274" s="37" t="s">
        <v>22</v>
      </c>
      <c r="F274" s="38">
        <v>44925</v>
      </c>
      <c r="G274" s="40">
        <v>2022</v>
      </c>
      <c r="H274" s="39" t="s">
        <v>27</v>
      </c>
      <c r="I274" s="39" t="s">
        <v>28</v>
      </c>
      <c r="J274" s="56">
        <v>2605</v>
      </c>
      <c r="K274" s="56">
        <v>2605</v>
      </c>
      <c r="L274" s="24">
        <f t="shared" si="30"/>
        <v>1</v>
      </c>
      <c r="M274" s="24">
        <f t="shared" si="31"/>
        <v>1</v>
      </c>
      <c r="N274" s="37" t="s">
        <v>264</v>
      </c>
      <c r="O274" s="37" t="s">
        <v>264</v>
      </c>
      <c r="P274" s="37">
        <v>0</v>
      </c>
      <c r="Q274" s="37">
        <v>0</v>
      </c>
      <c r="R274" s="37" t="s">
        <v>3506</v>
      </c>
      <c r="S274" s="37"/>
    </row>
    <row r="275" spans="1:19" x14ac:dyDescent="0.3">
      <c r="A275" s="37">
        <v>205</v>
      </c>
      <c r="B275" s="37" t="s">
        <v>692</v>
      </c>
      <c r="C275" s="37" t="s">
        <v>210</v>
      </c>
      <c r="D275" s="37" t="s">
        <v>21</v>
      </c>
      <c r="E275" s="37" t="s">
        <v>22</v>
      </c>
      <c r="F275" s="38">
        <v>45107</v>
      </c>
      <c r="G275" s="40">
        <v>2023</v>
      </c>
      <c r="H275" s="39" t="s">
        <v>23</v>
      </c>
      <c r="I275" s="39" t="s">
        <v>30</v>
      </c>
      <c r="J275" s="37">
        <v>2622553994</v>
      </c>
      <c r="K275" s="60">
        <v>4338419908</v>
      </c>
      <c r="L275" s="24">
        <f t="shared" si="30"/>
        <v>1.3</v>
      </c>
      <c r="M275" s="24">
        <f t="shared" si="31"/>
        <v>1.6542728645151394</v>
      </c>
      <c r="N275" s="37" t="s">
        <v>264</v>
      </c>
      <c r="O275" s="37" t="s">
        <v>264</v>
      </c>
      <c r="P275" s="37">
        <v>0</v>
      </c>
      <c r="Q275" s="37">
        <v>0</v>
      </c>
      <c r="R275" s="37" t="s">
        <v>694</v>
      </c>
      <c r="S275" s="37"/>
    </row>
    <row r="276" spans="1:19" x14ac:dyDescent="0.3">
      <c r="A276" s="41">
        <v>205</v>
      </c>
      <c r="B276" s="37" t="s">
        <v>692</v>
      </c>
      <c r="C276" s="37" t="s">
        <v>210</v>
      </c>
      <c r="D276" s="37" t="s">
        <v>21</v>
      </c>
      <c r="E276" s="37" t="s">
        <v>22</v>
      </c>
      <c r="F276" s="42">
        <v>45291</v>
      </c>
      <c r="G276" s="37">
        <v>2023</v>
      </c>
      <c r="H276" s="37" t="s">
        <v>27</v>
      </c>
      <c r="I276" s="39" t="s">
        <v>32</v>
      </c>
      <c r="J276" s="37">
        <v>2041786671</v>
      </c>
      <c r="K276" s="56">
        <v>8708376270</v>
      </c>
      <c r="L276" s="24">
        <f t="shared" si="30"/>
        <v>1.3</v>
      </c>
      <c r="M276" s="24">
        <f t="shared" si="31"/>
        <v>4.2650764615555667</v>
      </c>
      <c r="N276" s="37" t="s">
        <v>264</v>
      </c>
      <c r="O276" s="37" t="s">
        <v>264</v>
      </c>
      <c r="P276" s="37">
        <v>0</v>
      </c>
      <c r="Q276" s="37">
        <v>0</v>
      </c>
      <c r="R276" s="37" t="s">
        <v>695</v>
      </c>
      <c r="S276" s="37"/>
    </row>
    <row r="277" spans="1:19" x14ac:dyDescent="0.3">
      <c r="A277" s="37">
        <v>205</v>
      </c>
      <c r="B277" s="37" t="s">
        <v>692</v>
      </c>
      <c r="C277" s="37" t="s">
        <v>210</v>
      </c>
      <c r="D277" s="37" t="s">
        <v>21</v>
      </c>
      <c r="E277" s="37" t="s">
        <v>22</v>
      </c>
      <c r="F277" s="42">
        <v>45473</v>
      </c>
      <c r="G277" s="37">
        <v>2024</v>
      </c>
      <c r="H277" s="37" t="s">
        <v>23</v>
      </c>
      <c r="I277" s="39" t="s">
        <v>34</v>
      </c>
      <c r="J277" s="37">
        <v>2039237043</v>
      </c>
      <c r="K277" s="56">
        <v>4385721681</v>
      </c>
      <c r="L277" s="24">
        <f t="shared" si="30"/>
        <v>1.3</v>
      </c>
      <c r="M277" s="24">
        <f t="shared" si="31"/>
        <v>2.1506679157553927</v>
      </c>
      <c r="N277" s="37" t="s">
        <v>264</v>
      </c>
      <c r="O277" s="37" t="s">
        <v>264</v>
      </c>
      <c r="P277" s="37">
        <v>0</v>
      </c>
      <c r="Q277" s="37">
        <v>0</v>
      </c>
      <c r="R277" s="37" t="s">
        <v>696</v>
      </c>
      <c r="S277" s="37"/>
    </row>
    <row r="278" spans="1:19" x14ac:dyDescent="0.3">
      <c r="A278" s="37">
        <v>205</v>
      </c>
      <c r="B278" s="37" t="s">
        <v>692</v>
      </c>
      <c r="C278" s="37" t="s">
        <v>210</v>
      </c>
      <c r="D278" s="37" t="s">
        <v>21</v>
      </c>
      <c r="E278" s="37" t="s">
        <v>22</v>
      </c>
      <c r="F278" s="42">
        <v>45657</v>
      </c>
      <c r="G278" s="37">
        <v>2024</v>
      </c>
      <c r="H278" s="37" t="s">
        <v>27</v>
      </c>
      <c r="I278" s="39" t="s">
        <v>36</v>
      </c>
      <c r="J278" s="37">
        <v>2783219654</v>
      </c>
      <c r="K278" s="43">
        <v>5141102865</v>
      </c>
      <c r="L278" s="24">
        <f t="shared" si="30"/>
        <v>1.3</v>
      </c>
      <c r="M278" s="24">
        <f t="shared" si="31"/>
        <v>1.8471782698182972</v>
      </c>
      <c r="N278" s="37" t="s">
        <v>264</v>
      </c>
      <c r="O278" s="37" t="s">
        <v>264</v>
      </c>
      <c r="P278" s="37">
        <v>0</v>
      </c>
      <c r="Q278" s="37">
        <v>0</v>
      </c>
      <c r="R278" s="37" t="s">
        <v>697</v>
      </c>
      <c r="S278" s="37"/>
    </row>
    <row r="279" spans="1:19" x14ac:dyDescent="0.3">
      <c r="A279" s="37">
        <v>206</v>
      </c>
      <c r="B279" s="37" t="s">
        <v>698</v>
      </c>
      <c r="C279" s="37" t="s">
        <v>210</v>
      </c>
      <c r="D279" s="37" t="s">
        <v>21</v>
      </c>
      <c r="E279" s="37" t="s">
        <v>22</v>
      </c>
      <c r="F279" s="38">
        <v>45107</v>
      </c>
      <c r="G279" s="40">
        <v>2023</v>
      </c>
      <c r="H279" s="39" t="s">
        <v>23</v>
      </c>
      <c r="I279" s="39" t="s">
        <v>30</v>
      </c>
      <c r="J279" s="37">
        <v>1</v>
      </c>
      <c r="K279" s="60">
        <v>1.2336951835584</v>
      </c>
      <c r="L279" s="24">
        <f t="shared" si="30"/>
        <v>1.2336951835584</v>
      </c>
      <c r="M279" s="24">
        <f t="shared" si="31"/>
        <v>1.2336951835584</v>
      </c>
      <c r="N279" s="37" t="s">
        <v>264</v>
      </c>
      <c r="O279" s="37" t="s">
        <v>264</v>
      </c>
      <c r="P279" s="37">
        <v>0</v>
      </c>
      <c r="Q279" s="37">
        <v>0</v>
      </c>
      <c r="R279" s="37" t="s">
        <v>699</v>
      </c>
      <c r="S279" s="37"/>
    </row>
    <row r="280" spans="1:19" x14ac:dyDescent="0.3">
      <c r="A280" s="41">
        <v>206</v>
      </c>
      <c r="B280" s="37" t="s">
        <v>698</v>
      </c>
      <c r="C280" s="37" t="s">
        <v>210</v>
      </c>
      <c r="D280" s="37" t="s">
        <v>21</v>
      </c>
      <c r="E280" s="37" t="s">
        <v>22</v>
      </c>
      <c r="F280" s="42">
        <v>45291</v>
      </c>
      <c r="G280" s="37">
        <v>2023</v>
      </c>
      <c r="H280" s="37" t="s">
        <v>27</v>
      </c>
      <c r="I280" s="39" t="s">
        <v>32</v>
      </c>
      <c r="J280" s="37">
        <v>1</v>
      </c>
      <c r="K280" s="59">
        <v>4.6067902891217338</v>
      </c>
      <c r="L280" s="24">
        <f t="shared" si="30"/>
        <v>1.3</v>
      </c>
      <c r="M280" s="24">
        <f t="shared" si="31"/>
        <v>4.6067902891217338</v>
      </c>
      <c r="N280" s="37" t="s">
        <v>264</v>
      </c>
      <c r="O280" s="37" t="s">
        <v>264</v>
      </c>
      <c r="P280" s="37">
        <v>0</v>
      </c>
      <c r="Q280" s="37">
        <v>0</v>
      </c>
      <c r="R280" s="37" t="s">
        <v>700</v>
      </c>
      <c r="S280" s="37"/>
    </row>
    <row r="281" spans="1:19" x14ac:dyDescent="0.3">
      <c r="A281" s="41">
        <v>206</v>
      </c>
      <c r="B281" s="37" t="s">
        <v>698</v>
      </c>
      <c r="C281" s="37" t="s">
        <v>210</v>
      </c>
      <c r="D281" s="37" t="s">
        <v>21</v>
      </c>
      <c r="E281" s="37" t="s">
        <v>22</v>
      </c>
      <c r="F281" s="42">
        <v>45657</v>
      </c>
      <c r="G281" s="37">
        <v>2024</v>
      </c>
      <c r="H281" s="37" t="s">
        <v>27</v>
      </c>
      <c r="I281" s="39" t="s">
        <v>36</v>
      </c>
      <c r="J281" s="37">
        <v>1</v>
      </c>
      <c r="K281" s="37">
        <v>1.37</v>
      </c>
      <c r="L281" s="24">
        <f t="shared" si="30"/>
        <v>1.3</v>
      </c>
      <c r="M281" s="24">
        <f t="shared" si="31"/>
        <v>1.37</v>
      </c>
      <c r="N281" s="37" t="s">
        <v>264</v>
      </c>
      <c r="O281" s="37" t="s">
        <v>264</v>
      </c>
      <c r="P281" s="37">
        <v>0</v>
      </c>
      <c r="Q281" s="37">
        <v>0</v>
      </c>
      <c r="R281" s="37" t="s">
        <v>701</v>
      </c>
      <c r="S281" s="37"/>
    </row>
    <row r="282" spans="1:19" x14ac:dyDescent="0.3">
      <c r="A282" s="37">
        <v>207</v>
      </c>
      <c r="B282" s="37" t="s">
        <v>702</v>
      </c>
      <c r="C282" s="37" t="s">
        <v>210</v>
      </c>
      <c r="D282" s="37" t="s">
        <v>21</v>
      </c>
      <c r="E282" s="37" t="s">
        <v>56</v>
      </c>
      <c r="F282" s="38">
        <v>45107</v>
      </c>
      <c r="G282" s="40">
        <v>2023</v>
      </c>
      <c r="H282" s="39" t="s">
        <v>23</v>
      </c>
      <c r="I282" s="39" t="s">
        <v>30</v>
      </c>
      <c r="J282" s="37">
        <v>114640779682</v>
      </c>
      <c r="K282" s="60">
        <v>116015126638</v>
      </c>
      <c r="L282" s="24">
        <f t="shared" si="30"/>
        <v>0.98815372619220287</v>
      </c>
      <c r="M282" s="24">
        <f t="shared" si="31"/>
        <v>0.98815372619220287</v>
      </c>
      <c r="N282" s="37" t="s">
        <v>264</v>
      </c>
      <c r="O282" s="37" t="s">
        <v>264</v>
      </c>
      <c r="P282" s="37">
        <v>0</v>
      </c>
      <c r="Q282" s="37">
        <v>0</v>
      </c>
      <c r="R282" s="37" t="s">
        <v>703</v>
      </c>
      <c r="S282" s="37"/>
    </row>
    <row r="283" spans="1:19" x14ac:dyDescent="0.3">
      <c r="A283" s="41">
        <v>207</v>
      </c>
      <c r="B283" s="37" t="s">
        <v>702</v>
      </c>
      <c r="C283" s="37" t="s">
        <v>210</v>
      </c>
      <c r="D283" s="37" t="s">
        <v>21</v>
      </c>
      <c r="E283" s="37" t="s">
        <v>56</v>
      </c>
      <c r="F283" s="42">
        <v>45291</v>
      </c>
      <c r="G283" s="37">
        <v>2023</v>
      </c>
      <c r="H283" s="37" t="s">
        <v>27</v>
      </c>
      <c r="I283" s="39" t="s">
        <v>32</v>
      </c>
      <c r="J283" s="37">
        <v>238770966572</v>
      </c>
      <c r="K283" s="56">
        <v>247359733075</v>
      </c>
      <c r="L283" s="24">
        <f t="shared" si="30"/>
        <v>0.96527823507799526</v>
      </c>
      <c r="M283" s="24">
        <f t="shared" si="31"/>
        <v>0.96527823507799526</v>
      </c>
      <c r="N283" s="37" t="s">
        <v>264</v>
      </c>
      <c r="O283" s="37" t="s">
        <v>264</v>
      </c>
      <c r="P283" s="37">
        <v>0</v>
      </c>
      <c r="Q283" s="37">
        <v>0</v>
      </c>
      <c r="R283" s="37" t="s">
        <v>704</v>
      </c>
      <c r="S283" s="37"/>
    </row>
    <row r="284" spans="1:19" x14ac:dyDescent="0.3">
      <c r="A284" s="37">
        <v>207</v>
      </c>
      <c r="B284" s="37" t="s">
        <v>702</v>
      </c>
      <c r="C284" s="37" t="s">
        <v>210</v>
      </c>
      <c r="D284" s="37" t="s">
        <v>21</v>
      </c>
      <c r="E284" s="37" t="s">
        <v>56</v>
      </c>
      <c r="F284" s="42">
        <v>45473</v>
      </c>
      <c r="G284" s="37">
        <v>2024</v>
      </c>
      <c r="H284" s="37" t="s">
        <v>23</v>
      </c>
      <c r="I284" s="39" t="s">
        <v>34</v>
      </c>
      <c r="J284" s="37">
        <v>128735296794</v>
      </c>
      <c r="K284" s="60">
        <v>131039322300</v>
      </c>
      <c r="L284" s="24">
        <f t="shared" si="30"/>
        <v>0.98241729684220136</v>
      </c>
      <c r="M284" s="24">
        <f t="shared" si="31"/>
        <v>0.98241729684220136</v>
      </c>
      <c r="N284" s="37" t="s">
        <v>264</v>
      </c>
      <c r="O284" s="37" t="s">
        <v>264</v>
      </c>
      <c r="P284" s="37">
        <v>0</v>
      </c>
      <c r="Q284" s="37">
        <v>0</v>
      </c>
      <c r="R284" s="37" t="s">
        <v>705</v>
      </c>
      <c r="S284" s="37"/>
    </row>
    <row r="285" spans="1:19" x14ac:dyDescent="0.3">
      <c r="A285" s="37">
        <v>207</v>
      </c>
      <c r="B285" s="37" t="s">
        <v>702</v>
      </c>
      <c r="C285" s="37" t="s">
        <v>210</v>
      </c>
      <c r="D285" s="37" t="s">
        <v>21</v>
      </c>
      <c r="E285" s="37" t="s">
        <v>56</v>
      </c>
      <c r="F285" s="42">
        <v>45657</v>
      </c>
      <c r="G285" s="37">
        <v>2024</v>
      </c>
      <c r="H285" s="37" t="s">
        <v>27</v>
      </c>
      <c r="I285" s="39" t="s">
        <v>36</v>
      </c>
      <c r="J285" s="37">
        <v>262628344390</v>
      </c>
      <c r="K285" s="60">
        <v>268399199817</v>
      </c>
      <c r="L285" s="24">
        <f t="shared" si="30"/>
        <v>0.97849898423343029</v>
      </c>
      <c r="M285" s="24">
        <f t="shared" si="31"/>
        <v>0.97849898423343029</v>
      </c>
      <c r="N285" s="37" t="s">
        <v>264</v>
      </c>
      <c r="O285" s="37" t="s">
        <v>264</v>
      </c>
      <c r="P285" s="37">
        <v>0</v>
      </c>
      <c r="Q285" s="37">
        <v>0</v>
      </c>
      <c r="R285" s="37" t="s">
        <v>706</v>
      </c>
      <c r="S285" s="37"/>
    </row>
    <row r="286" spans="1:19" x14ac:dyDescent="0.3">
      <c r="A286" s="37">
        <v>208</v>
      </c>
      <c r="B286" s="37" t="s">
        <v>707</v>
      </c>
      <c r="C286" s="37" t="s">
        <v>251</v>
      </c>
      <c r="D286" s="37" t="s">
        <v>73</v>
      </c>
      <c r="E286" s="37" t="s">
        <v>56</v>
      </c>
      <c r="F286" s="42">
        <v>44742</v>
      </c>
      <c r="G286" s="37">
        <v>2022</v>
      </c>
      <c r="H286" s="37" t="s">
        <v>23</v>
      </c>
      <c r="I286" s="37" t="s">
        <v>24</v>
      </c>
      <c r="J286" s="37">
        <v>1700</v>
      </c>
      <c r="K286" s="37">
        <v>0</v>
      </c>
      <c r="L286" s="24" t="str">
        <f t="shared" ref="L286:L291" si="32">IFERROR(IF(OR(J286=0,K286=""),"",IF(E286="Positivo",MIN(MAX(K286/J286,0),1),MIN(MAX(J286/K286,0),1))),"")</f>
        <v/>
      </c>
      <c r="M286" s="24" t="str">
        <f t="shared" ref="M286:M291" si="33">IFERROR(IF(OR(J286=0,K286=""),"",IF(E286="Positivo",MIN(MAX(K286/J286,0),1),MIN(MAX(J286/K286,0),1))),"")</f>
        <v/>
      </c>
      <c r="N286" s="37" t="s">
        <v>708</v>
      </c>
      <c r="O286" s="37" t="s">
        <v>708</v>
      </c>
      <c r="P286" s="37">
        <v>0</v>
      </c>
      <c r="Q286" s="37">
        <v>0</v>
      </c>
      <c r="R286" s="37" t="s">
        <v>714</v>
      </c>
      <c r="S286" s="37"/>
    </row>
    <row r="287" spans="1:19" x14ac:dyDescent="0.3">
      <c r="A287" s="37">
        <v>208</v>
      </c>
      <c r="B287" s="37" t="s">
        <v>707</v>
      </c>
      <c r="C287" s="37" t="s">
        <v>251</v>
      </c>
      <c r="D287" s="37" t="s">
        <v>73</v>
      </c>
      <c r="E287" s="37" t="s">
        <v>56</v>
      </c>
      <c r="F287" s="42">
        <v>44926</v>
      </c>
      <c r="G287" s="37">
        <v>2022</v>
      </c>
      <c r="H287" s="37" t="s">
        <v>27</v>
      </c>
      <c r="I287" s="37" t="s">
        <v>28</v>
      </c>
      <c r="J287" s="37">
        <v>1700</v>
      </c>
      <c r="K287" s="37">
        <v>0</v>
      </c>
      <c r="L287" s="24" t="str">
        <f t="shared" si="32"/>
        <v/>
      </c>
      <c r="M287" s="24" t="str">
        <f t="shared" si="33"/>
        <v/>
      </c>
      <c r="N287" s="37" t="s">
        <v>708</v>
      </c>
      <c r="O287" s="37" t="s">
        <v>708</v>
      </c>
      <c r="P287" s="37">
        <v>0</v>
      </c>
      <c r="Q287" s="37">
        <v>0</v>
      </c>
      <c r="R287" s="37" t="s">
        <v>720</v>
      </c>
      <c r="S287" s="37"/>
    </row>
    <row r="288" spans="1:19" x14ac:dyDescent="0.3">
      <c r="A288" s="41">
        <v>208</v>
      </c>
      <c r="B288" s="37" t="s">
        <v>707</v>
      </c>
      <c r="C288" s="37" t="s">
        <v>251</v>
      </c>
      <c r="D288" s="37" t="s">
        <v>73</v>
      </c>
      <c r="E288" s="37" t="s">
        <v>56</v>
      </c>
      <c r="F288" s="42">
        <v>45107</v>
      </c>
      <c r="G288" s="37">
        <v>2023</v>
      </c>
      <c r="H288" s="37" t="s">
        <v>23</v>
      </c>
      <c r="I288" s="39" t="s">
        <v>30</v>
      </c>
      <c r="J288" s="37">
        <v>1700</v>
      </c>
      <c r="K288" s="37">
        <v>1093.2166666666669</v>
      </c>
      <c r="L288" s="24">
        <f t="shared" si="32"/>
        <v>1</v>
      </c>
      <c r="M288" s="24">
        <f t="shared" si="33"/>
        <v>1</v>
      </c>
      <c r="N288" s="37" t="s">
        <v>3505</v>
      </c>
      <c r="O288" s="37" t="s">
        <v>203</v>
      </c>
      <c r="P288" s="37">
        <v>0</v>
      </c>
      <c r="Q288" s="37">
        <v>0</v>
      </c>
      <c r="R288" s="37" t="s">
        <v>726</v>
      </c>
      <c r="S288" s="37"/>
    </row>
    <row r="289" spans="1:19" x14ac:dyDescent="0.3">
      <c r="A289" s="41">
        <v>208</v>
      </c>
      <c r="B289" s="37" t="s">
        <v>707</v>
      </c>
      <c r="C289" s="37" t="s">
        <v>251</v>
      </c>
      <c r="D289" s="37" t="s">
        <v>73</v>
      </c>
      <c r="E289" s="37" t="s">
        <v>56</v>
      </c>
      <c r="F289" s="42">
        <v>45291</v>
      </c>
      <c r="G289" s="37">
        <v>2023</v>
      </c>
      <c r="H289" s="37" t="s">
        <v>27</v>
      </c>
      <c r="I289" s="70" t="s">
        <v>32</v>
      </c>
      <c r="J289" s="37">
        <v>1700</v>
      </c>
      <c r="K289" s="37">
        <v>1363.4</v>
      </c>
      <c r="L289" s="24">
        <f t="shared" si="32"/>
        <v>1</v>
      </c>
      <c r="M289" s="24">
        <f t="shared" si="33"/>
        <v>1</v>
      </c>
      <c r="N289" s="37" t="s">
        <v>3505</v>
      </c>
      <c r="O289" s="37" t="s">
        <v>203</v>
      </c>
      <c r="P289" s="37">
        <v>0</v>
      </c>
      <c r="Q289" s="37">
        <v>0</v>
      </c>
      <c r="R289" s="37" t="s">
        <v>732</v>
      </c>
      <c r="S289" s="37"/>
    </row>
    <row r="290" spans="1:19" x14ac:dyDescent="0.3">
      <c r="A290" s="37">
        <v>208</v>
      </c>
      <c r="B290" s="37" t="s">
        <v>707</v>
      </c>
      <c r="C290" s="37" t="s">
        <v>251</v>
      </c>
      <c r="D290" s="37" t="s">
        <v>73</v>
      </c>
      <c r="E290" s="37" t="s">
        <v>56</v>
      </c>
      <c r="F290" s="42">
        <v>45473</v>
      </c>
      <c r="G290" s="37">
        <v>2024</v>
      </c>
      <c r="H290" s="37" t="s">
        <v>23</v>
      </c>
      <c r="I290" s="39" t="s">
        <v>34</v>
      </c>
      <c r="J290" s="37">
        <v>1700</v>
      </c>
      <c r="K290" s="37">
        <v>1407</v>
      </c>
      <c r="L290" s="24">
        <f t="shared" si="32"/>
        <v>1</v>
      </c>
      <c r="M290" s="24">
        <f t="shared" si="33"/>
        <v>1</v>
      </c>
      <c r="N290" s="37" t="s">
        <v>708</v>
      </c>
      <c r="O290" s="37" t="s">
        <v>708</v>
      </c>
      <c r="P290" s="37">
        <v>0</v>
      </c>
      <c r="Q290" s="37">
        <v>0</v>
      </c>
      <c r="R290" s="37" t="s">
        <v>738</v>
      </c>
      <c r="S290" s="37"/>
    </row>
    <row r="291" spans="1:19" x14ac:dyDescent="0.3">
      <c r="A291" s="37">
        <v>208</v>
      </c>
      <c r="B291" s="37" t="s">
        <v>707</v>
      </c>
      <c r="C291" s="37" t="s">
        <v>251</v>
      </c>
      <c r="D291" s="37" t="s">
        <v>73</v>
      </c>
      <c r="E291" s="37" t="s">
        <v>56</v>
      </c>
      <c r="F291" s="42">
        <v>45657</v>
      </c>
      <c r="G291" s="37">
        <v>2024</v>
      </c>
      <c r="H291" s="37" t="s">
        <v>27</v>
      </c>
      <c r="I291" s="39" t="s">
        <v>36</v>
      </c>
      <c r="J291" s="37">
        <v>1700</v>
      </c>
      <c r="K291" s="37">
        <v>1205.416666666667</v>
      </c>
      <c r="L291" s="24">
        <f t="shared" si="32"/>
        <v>1</v>
      </c>
      <c r="M291" s="24">
        <f t="shared" si="33"/>
        <v>1</v>
      </c>
      <c r="N291" s="37" t="s">
        <v>708</v>
      </c>
      <c r="O291" s="37" t="s">
        <v>708</v>
      </c>
      <c r="P291" s="37">
        <v>0</v>
      </c>
      <c r="Q291" s="37">
        <v>0</v>
      </c>
      <c r="R291" s="37" t="s">
        <v>744</v>
      </c>
      <c r="S291" s="37"/>
    </row>
    <row r="292" spans="1:19" x14ac:dyDescent="0.3">
      <c r="A292" s="41">
        <v>210</v>
      </c>
      <c r="B292" s="37" t="s">
        <v>3507</v>
      </c>
      <c r="C292" s="37" t="s">
        <v>251</v>
      </c>
      <c r="D292" s="37" t="s">
        <v>139</v>
      </c>
      <c r="E292" s="37" t="s">
        <v>22</v>
      </c>
      <c r="F292" s="42">
        <v>45291</v>
      </c>
      <c r="G292" s="37">
        <v>2023</v>
      </c>
      <c r="H292" s="37" t="s">
        <v>27</v>
      </c>
      <c r="I292" s="39" t="s">
        <v>32</v>
      </c>
      <c r="J292" s="37"/>
      <c r="K292" s="37">
        <v>0</v>
      </c>
      <c r="L292" s="55"/>
      <c r="M292" s="24"/>
      <c r="N292" s="37"/>
      <c r="O292" s="37"/>
      <c r="P292" s="37">
        <v>0</v>
      </c>
      <c r="Q292" s="37">
        <v>0</v>
      </c>
      <c r="R292" s="37" t="s">
        <v>3508</v>
      </c>
      <c r="S292" s="37"/>
    </row>
    <row r="293" spans="1:19" x14ac:dyDescent="0.3">
      <c r="A293" s="37">
        <v>213</v>
      </c>
      <c r="B293" s="37" t="s">
        <v>757</v>
      </c>
      <c r="C293" s="37" t="s">
        <v>251</v>
      </c>
      <c r="D293" s="37" t="s">
        <v>39</v>
      </c>
      <c r="E293" s="37" t="s">
        <v>22</v>
      </c>
      <c r="F293" s="42">
        <v>44742</v>
      </c>
      <c r="G293" s="37">
        <v>2022</v>
      </c>
      <c r="H293" s="37" t="s">
        <v>23</v>
      </c>
      <c r="I293" s="37" t="s">
        <v>24</v>
      </c>
      <c r="J293" s="37">
        <v>90</v>
      </c>
      <c r="K293" s="37">
        <v>0</v>
      </c>
      <c r="L293" s="24">
        <f t="shared" ref="L293:L328" si="34">IFERROR(IF(OR(J293=0,K293=""),"",IF(E293="Positivo",MIN(MAX(K293/J293,0),1.3),MIN(MAX(J293/K293,0),1.3))),"")</f>
        <v>0</v>
      </c>
      <c r="M293" s="24">
        <f t="shared" ref="M293:M328" si="35">IFERROR(IF(OR(J293=0,K293=""),"",IF(E293="Positivo",MAX(K293/J293,0),MAX(J293/K293,0))),"")</f>
        <v>0</v>
      </c>
      <c r="N293" s="37" t="s">
        <v>25</v>
      </c>
      <c r="O293" s="37" t="s">
        <v>25</v>
      </c>
      <c r="P293" s="37">
        <v>0</v>
      </c>
      <c r="Q293" s="37">
        <v>0</v>
      </c>
      <c r="R293" s="37" t="s">
        <v>759</v>
      </c>
      <c r="S293" s="37"/>
    </row>
    <row r="294" spans="1:19" x14ac:dyDescent="0.3">
      <c r="A294" s="37">
        <v>213</v>
      </c>
      <c r="B294" s="37" t="s">
        <v>757</v>
      </c>
      <c r="C294" s="37" t="s">
        <v>251</v>
      </c>
      <c r="D294" s="37" t="s">
        <v>39</v>
      </c>
      <c r="E294" s="37" t="s">
        <v>22</v>
      </c>
      <c r="F294" s="42">
        <v>44926</v>
      </c>
      <c r="G294" s="37">
        <v>2022</v>
      </c>
      <c r="H294" s="37" t="s">
        <v>27</v>
      </c>
      <c r="I294" s="37" t="s">
        <v>28</v>
      </c>
      <c r="J294" s="37">
        <v>90</v>
      </c>
      <c r="K294" s="37">
        <v>0</v>
      </c>
      <c r="L294" s="24">
        <f t="shared" si="34"/>
        <v>0</v>
      </c>
      <c r="M294" s="24">
        <f t="shared" si="35"/>
        <v>0</v>
      </c>
      <c r="N294" s="37" t="s">
        <v>25</v>
      </c>
      <c r="O294" s="37" t="s">
        <v>25</v>
      </c>
      <c r="P294" s="37">
        <v>0</v>
      </c>
      <c r="Q294" s="37">
        <v>0</v>
      </c>
      <c r="R294" s="37" t="s">
        <v>761</v>
      </c>
      <c r="S294" s="37"/>
    </row>
    <row r="295" spans="1:19" x14ac:dyDescent="0.3">
      <c r="A295" s="72">
        <v>213</v>
      </c>
      <c r="B295" s="37" t="s">
        <v>757</v>
      </c>
      <c r="C295" s="37" t="s">
        <v>251</v>
      </c>
      <c r="D295" s="37" t="s">
        <v>39</v>
      </c>
      <c r="E295" s="37" t="s">
        <v>22</v>
      </c>
      <c r="F295" s="42">
        <v>45016</v>
      </c>
      <c r="G295" s="37">
        <v>2023</v>
      </c>
      <c r="H295" s="37" t="s">
        <v>40</v>
      </c>
      <c r="I295" s="39" t="s">
        <v>30</v>
      </c>
      <c r="J295" s="37">
        <v>90</v>
      </c>
      <c r="K295" s="37">
        <v>100</v>
      </c>
      <c r="L295" s="55">
        <f t="shared" si="34"/>
        <v>1.1111111111111112</v>
      </c>
      <c r="M295" s="24">
        <f t="shared" si="35"/>
        <v>1.1111111111111112</v>
      </c>
      <c r="N295" s="37"/>
      <c r="O295" s="37"/>
      <c r="P295" s="37">
        <v>1</v>
      </c>
      <c r="Q295" s="37">
        <v>1</v>
      </c>
      <c r="R295" s="37" t="s">
        <v>762</v>
      </c>
      <c r="S295" s="37"/>
    </row>
    <row r="296" spans="1:19" x14ac:dyDescent="0.3">
      <c r="A296" s="41">
        <v>213</v>
      </c>
      <c r="B296" s="37" t="s">
        <v>757</v>
      </c>
      <c r="C296" s="37" t="s">
        <v>251</v>
      </c>
      <c r="D296" s="37" t="s">
        <v>39</v>
      </c>
      <c r="E296" s="37" t="s">
        <v>22</v>
      </c>
      <c r="F296" s="42">
        <v>45107</v>
      </c>
      <c r="G296" s="37">
        <v>2023</v>
      </c>
      <c r="H296" s="37" t="s">
        <v>23</v>
      </c>
      <c r="I296" s="39" t="s">
        <v>30</v>
      </c>
      <c r="J296" s="37">
        <v>90</v>
      </c>
      <c r="K296" s="37">
        <v>93.33</v>
      </c>
      <c r="L296" s="55">
        <f t="shared" si="34"/>
        <v>1.0369999999999999</v>
      </c>
      <c r="M296" s="24">
        <f t="shared" si="35"/>
        <v>1.0369999999999999</v>
      </c>
      <c r="N296" s="37"/>
      <c r="O296" s="37"/>
      <c r="P296" s="37">
        <v>1</v>
      </c>
      <c r="Q296" s="37">
        <v>1</v>
      </c>
      <c r="R296" s="37" t="s">
        <v>763</v>
      </c>
      <c r="S296" s="37"/>
    </row>
    <row r="297" spans="1:19" x14ac:dyDescent="0.3">
      <c r="A297" s="37">
        <v>213</v>
      </c>
      <c r="B297" s="37" t="s">
        <v>757</v>
      </c>
      <c r="C297" s="37" t="s">
        <v>251</v>
      </c>
      <c r="D297" s="37" t="s">
        <v>39</v>
      </c>
      <c r="E297" s="37" t="s">
        <v>22</v>
      </c>
      <c r="F297" s="42">
        <v>45199</v>
      </c>
      <c r="G297" s="40">
        <v>2023</v>
      </c>
      <c r="H297" s="39" t="s">
        <v>43</v>
      </c>
      <c r="I297" s="39" t="s">
        <v>32</v>
      </c>
      <c r="J297" s="37">
        <v>90</v>
      </c>
      <c r="K297" s="37">
        <v>86.4</v>
      </c>
      <c r="L297" s="55">
        <f t="shared" si="34"/>
        <v>0.96000000000000008</v>
      </c>
      <c r="M297" s="24">
        <f t="shared" si="35"/>
        <v>0.96000000000000008</v>
      </c>
      <c r="N297" s="37"/>
      <c r="O297" s="37"/>
      <c r="P297" s="37">
        <v>1</v>
      </c>
      <c r="Q297" s="37">
        <v>1</v>
      </c>
      <c r="R297" s="37" t="s">
        <v>764</v>
      </c>
      <c r="S297" s="37"/>
    </row>
    <row r="298" spans="1:19" x14ac:dyDescent="0.3">
      <c r="A298" s="41">
        <v>213</v>
      </c>
      <c r="B298" s="37" t="s">
        <v>757</v>
      </c>
      <c r="C298" s="37" t="s">
        <v>251</v>
      </c>
      <c r="D298" s="37" t="s">
        <v>39</v>
      </c>
      <c r="E298" s="37" t="s">
        <v>22</v>
      </c>
      <c r="F298" s="42">
        <v>45291</v>
      </c>
      <c r="G298" s="37">
        <v>2023</v>
      </c>
      <c r="H298" s="37" t="s">
        <v>27</v>
      </c>
      <c r="I298" s="39" t="s">
        <v>32</v>
      </c>
      <c r="J298" s="37">
        <v>90</v>
      </c>
      <c r="K298" s="37">
        <v>100</v>
      </c>
      <c r="L298" s="55">
        <f t="shared" si="34"/>
        <v>1.1111111111111112</v>
      </c>
      <c r="M298" s="24">
        <f t="shared" si="35"/>
        <v>1.1111111111111112</v>
      </c>
      <c r="N298" s="37"/>
      <c r="O298" s="37"/>
      <c r="P298" s="37">
        <v>1</v>
      </c>
      <c r="Q298" s="37">
        <v>1</v>
      </c>
      <c r="R298" s="37" t="s">
        <v>765</v>
      </c>
      <c r="S298" s="37"/>
    </row>
    <row r="299" spans="1:19" x14ac:dyDescent="0.3">
      <c r="A299" s="37">
        <v>213</v>
      </c>
      <c r="B299" s="37" t="s">
        <v>757</v>
      </c>
      <c r="C299" s="37" t="s">
        <v>251</v>
      </c>
      <c r="D299" s="37" t="s">
        <v>39</v>
      </c>
      <c r="E299" s="37" t="s">
        <v>22</v>
      </c>
      <c r="F299" s="42">
        <v>45473</v>
      </c>
      <c r="G299" s="37">
        <v>2024</v>
      </c>
      <c r="H299" s="37" t="s">
        <v>23</v>
      </c>
      <c r="I299" s="70" t="s">
        <v>34</v>
      </c>
      <c r="J299" s="37">
        <v>90</v>
      </c>
      <c r="K299" s="37">
        <v>100</v>
      </c>
      <c r="L299" s="24">
        <f t="shared" si="34"/>
        <v>1.1111111111111112</v>
      </c>
      <c r="M299" s="24">
        <f t="shared" si="35"/>
        <v>1.1111111111111112</v>
      </c>
      <c r="N299" s="37"/>
      <c r="O299" s="37"/>
      <c r="P299" s="37">
        <v>0</v>
      </c>
      <c r="Q299" s="37">
        <v>0</v>
      </c>
      <c r="R299" s="37" t="s">
        <v>767</v>
      </c>
      <c r="S299" s="37"/>
    </row>
    <row r="300" spans="1:19" x14ac:dyDescent="0.3">
      <c r="A300" s="37">
        <v>213</v>
      </c>
      <c r="B300" s="37" t="s">
        <v>757</v>
      </c>
      <c r="C300" s="37" t="s">
        <v>251</v>
      </c>
      <c r="D300" s="37" t="s">
        <v>39</v>
      </c>
      <c r="E300" s="37" t="s">
        <v>22</v>
      </c>
      <c r="F300" s="42">
        <v>45657</v>
      </c>
      <c r="G300" s="37">
        <v>2024</v>
      </c>
      <c r="H300" s="37" t="s">
        <v>27</v>
      </c>
      <c r="I300" s="39" t="s">
        <v>36</v>
      </c>
      <c r="J300" s="37">
        <v>90</v>
      </c>
      <c r="K300" s="37">
        <v>100</v>
      </c>
      <c r="L300" s="24">
        <f t="shared" si="34"/>
        <v>1.1111111111111112</v>
      </c>
      <c r="M300" s="24">
        <f t="shared" si="35"/>
        <v>1.1111111111111112</v>
      </c>
      <c r="N300" s="37"/>
      <c r="O300" s="37"/>
      <c r="P300" s="37">
        <v>0</v>
      </c>
      <c r="Q300" s="37">
        <v>0</v>
      </c>
      <c r="R300" s="37" t="s">
        <v>769</v>
      </c>
      <c r="S300" s="37"/>
    </row>
    <row r="301" spans="1:19" x14ac:dyDescent="0.3">
      <c r="A301" s="37">
        <v>214</v>
      </c>
      <c r="B301" s="37" t="s">
        <v>774</v>
      </c>
      <c r="C301" s="37" t="s">
        <v>251</v>
      </c>
      <c r="D301" s="37" t="s">
        <v>21</v>
      </c>
      <c r="E301" s="37" t="s">
        <v>56</v>
      </c>
      <c r="F301" s="42">
        <v>44742</v>
      </c>
      <c r="G301" s="37">
        <v>2022</v>
      </c>
      <c r="H301" s="37" t="s">
        <v>23</v>
      </c>
      <c r="I301" s="37" t="s">
        <v>24</v>
      </c>
      <c r="J301" s="37">
        <v>45000</v>
      </c>
      <c r="K301" s="37">
        <v>0</v>
      </c>
      <c r="L301" s="24" t="str">
        <f t="shared" si="34"/>
        <v/>
      </c>
      <c r="M301" s="24" t="str">
        <f t="shared" si="35"/>
        <v/>
      </c>
      <c r="N301" s="37" t="s">
        <v>775</v>
      </c>
      <c r="O301" s="37" t="s">
        <v>775</v>
      </c>
      <c r="P301" s="37">
        <v>0</v>
      </c>
      <c r="Q301" s="37">
        <v>0</v>
      </c>
      <c r="R301" s="37" t="s">
        <v>781</v>
      </c>
      <c r="S301" s="37"/>
    </row>
    <row r="302" spans="1:19" x14ac:dyDescent="0.3">
      <c r="A302" s="37">
        <v>214</v>
      </c>
      <c r="B302" s="37" t="s">
        <v>774</v>
      </c>
      <c r="C302" s="37" t="s">
        <v>251</v>
      </c>
      <c r="D302" s="37" t="s">
        <v>21</v>
      </c>
      <c r="E302" s="37" t="s">
        <v>56</v>
      </c>
      <c r="F302" s="42">
        <v>44926</v>
      </c>
      <c r="G302" s="37">
        <v>2022</v>
      </c>
      <c r="H302" s="37" t="s">
        <v>27</v>
      </c>
      <c r="I302" s="37" t="s">
        <v>28</v>
      </c>
      <c r="J302" s="37">
        <v>45000</v>
      </c>
      <c r="K302" s="37">
        <v>0</v>
      </c>
      <c r="L302" s="24" t="str">
        <f t="shared" si="34"/>
        <v/>
      </c>
      <c r="M302" s="24" t="str">
        <f t="shared" si="35"/>
        <v/>
      </c>
      <c r="N302" s="37" t="s">
        <v>775</v>
      </c>
      <c r="O302" s="37" t="s">
        <v>775</v>
      </c>
      <c r="P302" s="37">
        <v>0</v>
      </c>
      <c r="Q302" s="37">
        <v>0</v>
      </c>
      <c r="R302" s="37" t="s">
        <v>787</v>
      </c>
      <c r="S302" s="37"/>
    </row>
    <row r="303" spans="1:19" x14ac:dyDescent="0.3">
      <c r="A303" s="41">
        <v>214</v>
      </c>
      <c r="B303" s="37" t="s">
        <v>774</v>
      </c>
      <c r="C303" s="37" t="s">
        <v>251</v>
      </c>
      <c r="D303" s="37" t="s">
        <v>73</v>
      </c>
      <c r="E303" s="37" t="s">
        <v>56</v>
      </c>
      <c r="F303" s="42">
        <v>45107</v>
      </c>
      <c r="G303" s="37">
        <v>2023</v>
      </c>
      <c r="H303" s="37" t="s">
        <v>23</v>
      </c>
      <c r="I303" s="39" t="s">
        <v>30</v>
      </c>
      <c r="J303" s="37">
        <v>45000</v>
      </c>
      <c r="K303" s="60">
        <v>13653.25</v>
      </c>
      <c r="L303" s="24">
        <f t="shared" si="34"/>
        <v>1.3</v>
      </c>
      <c r="M303" s="24">
        <f t="shared" si="35"/>
        <v>3.2959185541903944</v>
      </c>
      <c r="N303" s="37" t="s">
        <v>3505</v>
      </c>
      <c r="O303" s="37" t="s">
        <v>775</v>
      </c>
      <c r="P303" s="37">
        <v>0</v>
      </c>
      <c r="Q303" s="37">
        <v>0</v>
      </c>
      <c r="R303" s="37" t="s">
        <v>793</v>
      </c>
      <c r="S303" s="37"/>
    </row>
    <row r="304" spans="1:19" x14ac:dyDescent="0.3">
      <c r="A304" s="41">
        <v>214</v>
      </c>
      <c r="B304" s="37" t="s">
        <v>774</v>
      </c>
      <c r="C304" s="37" t="s">
        <v>251</v>
      </c>
      <c r="D304" s="37" t="s">
        <v>73</v>
      </c>
      <c r="E304" s="37" t="s">
        <v>56</v>
      </c>
      <c r="F304" s="42">
        <v>45291</v>
      </c>
      <c r="G304" s="37">
        <v>2023</v>
      </c>
      <c r="H304" s="37" t="s">
        <v>27</v>
      </c>
      <c r="I304" s="39" t="s">
        <v>32</v>
      </c>
      <c r="J304" s="37">
        <v>45000</v>
      </c>
      <c r="K304" s="37">
        <v>31003.05</v>
      </c>
      <c r="L304" s="24">
        <f t="shared" si="34"/>
        <v>1.3</v>
      </c>
      <c r="M304" s="24">
        <f t="shared" si="35"/>
        <v>1.4514700972968788</v>
      </c>
      <c r="N304" s="37" t="s">
        <v>3505</v>
      </c>
      <c r="O304" s="37" t="s">
        <v>775</v>
      </c>
      <c r="P304" s="37">
        <v>0</v>
      </c>
      <c r="Q304" s="37">
        <v>0</v>
      </c>
      <c r="R304" s="37" t="s">
        <v>799</v>
      </c>
      <c r="S304" s="37"/>
    </row>
    <row r="305" spans="1:19" x14ac:dyDescent="0.3">
      <c r="A305" s="37">
        <v>214</v>
      </c>
      <c r="B305" s="37" t="s">
        <v>774</v>
      </c>
      <c r="C305" s="37" t="s">
        <v>251</v>
      </c>
      <c r="D305" s="37" t="s">
        <v>73</v>
      </c>
      <c r="E305" s="37" t="s">
        <v>56</v>
      </c>
      <c r="F305" s="42">
        <v>45473</v>
      </c>
      <c r="G305" s="37">
        <v>2024</v>
      </c>
      <c r="H305" s="37" t="s">
        <v>23</v>
      </c>
      <c r="I305" s="39" t="s">
        <v>34</v>
      </c>
      <c r="J305" s="37">
        <v>45000</v>
      </c>
      <c r="K305" s="37">
        <v>32812.910000000003</v>
      </c>
      <c r="L305" s="24">
        <f t="shared" si="34"/>
        <v>1.3</v>
      </c>
      <c r="M305" s="24">
        <f t="shared" si="35"/>
        <v>1.3714114353161604</v>
      </c>
      <c r="N305" s="37" t="s">
        <v>775</v>
      </c>
      <c r="O305" s="37" t="s">
        <v>775</v>
      </c>
      <c r="P305" s="37">
        <v>0</v>
      </c>
      <c r="Q305" s="37">
        <v>0</v>
      </c>
      <c r="R305" s="37" t="s">
        <v>805</v>
      </c>
      <c r="S305" s="37"/>
    </row>
    <row r="306" spans="1:19" x14ac:dyDescent="0.3">
      <c r="A306" s="37">
        <v>214</v>
      </c>
      <c r="B306" s="37" t="s">
        <v>774</v>
      </c>
      <c r="C306" s="37" t="s">
        <v>251</v>
      </c>
      <c r="D306" s="37" t="s">
        <v>73</v>
      </c>
      <c r="E306" s="37" t="s">
        <v>56</v>
      </c>
      <c r="F306" s="42">
        <v>45657</v>
      </c>
      <c r="G306" s="37">
        <v>2024</v>
      </c>
      <c r="H306" s="37" t="s">
        <v>27</v>
      </c>
      <c r="I306" s="39" t="s">
        <v>36</v>
      </c>
      <c r="J306" s="37">
        <v>45000</v>
      </c>
      <c r="K306" s="37">
        <v>0</v>
      </c>
      <c r="L306" s="24" t="str">
        <f t="shared" si="34"/>
        <v/>
      </c>
      <c r="M306" s="24" t="str">
        <f t="shared" si="35"/>
        <v/>
      </c>
      <c r="N306" s="37" t="s">
        <v>775</v>
      </c>
      <c r="O306" s="37" t="s">
        <v>775</v>
      </c>
      <c r="P306" s="37">
        <v>0</v>
      </c>
      <c r="Q306" s="37">
        <v>0</v>
      </c>
      <c r="R306" s="37" t="s">
        <v>811</v>
      </c>
      <c r="S306" s="37"/>
    </row>
    <row r="307" spans="1:19" x14ac:dyDescent="0.3">
      <c r="A307" s="37">
        <v>215</v>
      </c>
      <c r="B307" s="37" t="s">
        <v>824</v>
      </c>
      <c r="C307" s="37" t="s">
        <v>251</v>
      </c>
      <c r="D307" s="37" t="s">
        <v>73</v>
      </c>
      <c r="E307" s="37" t="s">
        <v>22</v>
      </c>
      <c r="F307" s="42">
        <v>44926</v>
      </c>
      <c r="G307" s="37">
        <v>2022</v>
      </c>
      <c r="H307" s="37" t="s">
        <v>27</v>
      </c>
      <c r="I307" s="37" t="s">
        <v>28</v>
      </c>
      <c r="J307" s="53">
        <v>1</v>
      </c>
      <c r="K307" s="53">
        <v>-23.628691983122</v>
      </c>
      <c r="L307" s="24">
        <f t="shared" si="34"/>
        <v>0</v>
      </c>
      <c r="M307" s="24">
        <f t="shared" si="35"/>
        <v>0</v>
      </c>
      <c r="N307" s="37" t="s">
        <v>25</v>
      </c>
      <c r="O307" s="37" t="s">
        <v>25</v>
      </c>
      <c r="P307" s="37">
        <v>2</v>
      </c>
      <c r="Q307" s="37">
        <v>2</v>
      </c>
      <c r="R307" s="37" t="s">
        <v>828</v>
      </c>
      <c r="S307" s="37"/>
    </row>
    <row r="308" spans="1:19" x14ac:dyDescent="0.3">
      <c r="A308" s="45">
        <v>215</v>
      </c>
      <c r="B308" s="37" t="s">
        <v>824</v>
      </c>
      <c r="C308" s="37" t="s">
        <v>251</v>
      </c>
      <c r="D308" s="37" t="s">
        <v>21</v>
      </c>
      <c r="E308" s="37" t="s">
        <v>22</v>
      </c>
      <c r="F308" s="42">
        <v>45107</v>
      </c>
      <c r="G308" s="37">
        <v>2023</v>
      </c>
      <c r="H308" s="37" t="s">
        <v>23</v>
      </c>
      <c r="I308" s="39" t="s">
        <v>30</v>
      </c>
      <c r="J308" s="37">
        <v>1</v>
      </c>
      <c r="K308" s="37">
        <v>-47.67</v>
      </c>
      <c r="L308" s="55">
        <f t="shared" si="34"/>
        <v>0</v>
      </c>
      <c r="M308" s="24">
        <f t="shared" si="35"/>
        <v>0</v>
      </c>
      <c r="N308" s="37"/>
      <c r="O308" s="37"/>
      <c r="P308" s="37">
        <v>2</v>
      </c>
      <c r="Q308" s="37">
        <v>2</v>
      </c>
      <c r="R308" s="37" t="s">
        <v>829</v>
      </c>
      <c r="S308" s="37"/>
    </row>
    <row r="309" spans="1:19" x14ac:dyDescent="0.3">
      <c r="A309" s="41">
        <v>215</v>
      </c>
      <c r="B309" s="37" t="s">
        <v>824</v>
      </c>
      <c r="C309" s="37" t="s">
        <v>251</v>
      </c>
      <c r="D309" s="37" t="s">
        <v>21</v>
      </c>
      <c r="E309" s="37" t="s">
        <v>22</v>
      </c>
      <c r="F309" s="42">
        <v>45291</v>
      </c>
      <c r="G309" s="37">
        <v>2023</v>
      </c>
      <c r="H309" s="37" t="s">
        <v>27</v>
      </c>
      <c r="I309" s="39" t="s">
        <v>32</v>
      </c>
      <c r="J309" s="37">
        <v>1</v>
      </c>
      <c r="K309" s="37">
        <v>-124.72</v>
      </c>
      <c r="L309" s="55">
        <f t="shared" si="34"/>
        <v>0</v>
      </c>
      <c r="M309" s="24">
        <f t="shared" si="35"/>
        <v>0</v>
      </c>
      <c r="N309" s="37"/>
      <c r="O309" s="37"/>
      <c r="P309" s="37">
        <v>2</v>
      </c>
      <c r="Q309" s="37">
        <v>2</v>
      </c>
      <c r="R309" s="37" t="s">
        <v>830</v>
      </c>
      <c r="S309" s="37"/>
    </row>
    <row r="310" spans="1:19" x14ac:dyDescent="0.3">
      <c r="A310" s="37">
        <v>215</v>
      </c>
      <c r="B310" s="37" t="s">
        <v>824</v>
      </c>
      <c r="C310" s="37" t="s">
        <v>251</v>
      </c>
      <c r="D310" s="37" t="s">
        <v>21</v>
      </c>
      <c r="E310" s="37" t="s">
        <v>22</v>
      </c>
      <c r="F310" s="42">
        <v>45473</v>
      </c>
      <c r="G310" s="37">
        <v>2024</v>
      </c>
      <c r="H310" s="37" t="s">
        <v>23</v>
      </c>
      <c r="I310" s="39" t="s">
        <v>34</v>
      </c>
      <c r="J310" s="37">
        <v>1</v>
      </c>
      <c r="K310" s="37">
        <v>8</v>
      </c>
      <c r="L310" s="24">
        <f t="shared" si="34"/>
        <v>1.3</v>
      </c>
      <c r="M310" s="24">
        <f t="shared" si="35"/>
        <v>8</v>
      </c>
      <c r="N310" s="37"/>
      <c r="O310" s="37"/>
      <c r="P310" s="37">
        <v>0</v>
      </c>
      <c r="Q310" s="37">
        <v>0</v>
      </c>
      <c r="R310" s="37" t="s">
        <v>831</v>
      </c>
      <c r="S310" s="37"/>
    </row>
    <row r="311" spans="1:19" x14ac:dyDescent="0.3">
      <c r="A311" s="37">
        <v>215</v>
      </c>
      <c r="B311" s="37" t="s">
        <v>824</v>
      </c>
      <c r="C311" s="37" t="s">
        <v>251</v>
      </c>
      <c r="D311" s="37" t="s">
        <v>21</v>
      </c>
      <c r="E311" s="37" t="s">
        <v>22</v>
      </c>
      <c r="F311" s="42">
        <v>45657</v>
      </c>
      <c r="G311" s="37">
        <v>2024</v>
      </c>
      <c r="H311" s="37" t="s">
        <v>27</v>
      </c>
      <c r="I311" s="39" t="s">
        <v>36</v>
      </c>
      <c r="J311" s="37">
        <v>1</v>
      </c>
      <c r="K311" s="37">
        <v>-45.65</v>
      </c>
      <c r="L311" s="24">
        <f t="shared" si="34"/>
        <v>0</v>
      </c>
      <c r="M311" s="24">
        <f t="shared" si="35"/>
        <v>0</v>
      </c>
      <c r="N311" s="37"/>
      <c r="O311" s="37"/>
      <c r="P311" s="37">
        <v>0</v>
      </c>
      <c r="Q311" s="37">
        <v>0</v>
      </c>
      <c r="R311" s="37" t="s">
        <v>832</v>
      </c>
      <c r="S311" s="37"/>
    </row>
    <row r="312" spans="1:19" x14ac:dyDescent="0.3">
      <c r="A312" s="37">
        <v>216</v>
      </c>
      <c r="B312" s="37" t="s">
        <v>835</v>
      </c>
      <c r="C312" s="37" t="s">
        <v>251</v>
      </c>
      <c r="D312" s="37" t="s">
        <v>139</v>
      </c>
      <c r="E312" s="37" t="s">
        <v>22</v>
      </c>
      <c r="F312" s="42">
        <v>44926</v>
      </c>
      <c r="G312" s="37">
        <v>2022</v>
      </c>
      <c r="H312" s="37" t="s">
        <v>27</v>
      </c>
      <c r="I312" s="37" t="s">
        <v>28</v>
      </c>
      <c r="J312" s="37">
        <v>100</v>
      </c>
      <c r="K312" s="37">
        <v>0</v>
      </c>
      <c r="L312" s="24">
        <f t="shared" si="34"/>
        <v>0</v>
      </c>
      <c r="M312" s="24">
        <f t="shared" si="35"/>
        <v>0</v>
      </c>
      <c r="N312" s="37" t="s">
        <v>25</v>
      </c>
      <c r="O312" s="37" t="s">
        <v>25</v>
      </c>
      <c r="P312" s="37">
        <v>0</v>
      </c>
      <c r="Q312" s="37">
        <v>0</v>
      </c>
      <c r="R312" s="37" t="s">
        <v>836</v>
      </c>
      <c r="S312" s="37"/>
    </row>
    <row r="313" spans="1:19" x14ac:dyDescent="0.3">
      <c r="A313" s="41">
        <v>216</v>
      </c>
      <c r="B313" s="37" t="s">
        <v>835</v>
      </c>
      <c r="C313" s="37" t="s">
        <v>251</v>
      </c>
      <c r="D313" s="37" t="s">
        <v>139</v>
      </c>
      <c r="E313" s="37" t="s">
        <v>22</v>
      </c>
      <c r="F313" s="42">
        <v>45291</v>
      </c>
      <c r="G313" s="37">
        <v>2023</v>
      </c>
      <c r="H313" s="37" t="s">
        <v>27</v>
      </c>
      <c r="I313" s="39" t="s">
        <v>32</v>
      </c>
      <c r="J313" s="37">
        <v>100</v>
      </c>
      <c r="K313" s="37">
        <v>100</v>
      </c>
      <c r="L313" s="55">
        <f t="shared" si="34"/>
        <v>1</v>
      </c>
      <c r="M313" s="24">
        <f t="shared" si="35"/>
        <v>1</v>
      </c>
      <c r="N313" s="37"/>
      <c r="O313" s="37"/>
      <c r="P313" s="37">
        <v>0</v>
      </c>
      <c r="Q313" s="37">
        <v>0</v>
      </c>
      <c r="R313" s="37" t="s">
        <v>837</v>
      </c>
      <c r="S313" s="37"/>
    </row>
    <row r="314" spans="1:19" x14ac:dyDescent="0.3">
      <c r="A314" s="37">
        <v>216</v>
      </c>
      <c r="B314" s="37" t="s">
        <v>835</v>
      </c>
      <c r="C314" s="37" t="s">
        <v>251</v>
      </c>
      <c r="D314" s="37" t="s">
        <v>139</v>
      </c>
      <c r="E314" s="37" t="s">
        <v>22</v>
      </c>
      <c r="F314" s="42">
        <v>45657</v>
      </c>
      <c r="G314" s="37">
        <v>2024</v>
      </c>
      <c r="H314" s="37" t="s">
        <v>27</v>
      </c>
      <c r="I314" s="39" t="s">
        <v>36</v>
      </c>
      <c r="J314" s="37">
        <v>100</v>
      </c>
      <c r="K314" s="37">
        <v>100</v>
      </c>
      <c r="L314" s="24">
        <f t="shared" si="34"/>
        <v>1</v>
      </c>
      <c r="M314" s="24">
        <f t="shared" si="35"/>
        <v>1</v>
      </c>
      <c r="N314" s="37"/>
      <c r="O314" s="37"/>
      <c r="P314" s="37">
        <v>0</v>
      </c>
      <c r="Q314" s="37">
        <v>0</v>
      </c>
      <c r="R314" s="37" t="s">
        <v>838</v>
      </c>
      <c r="S314" s="37"/>
    </row>
    <row r="315" spans="1:19" x14ac:dyDescent="0.3">
      <c r="A315" s="41">
        <v>217</v>
      </c>
      <c r="B315" s="37" t="s">
        <v>840</v>
      </c>
      <c r="C315" s="37" t="s">
        <v>251</v>
      </c>
      <c r="D315" s="37" t="s">
        <v>73</v>
      </c>
      <c r="E315" s="37" t="s">
        <v>22</v>
      </c>
      <c r="F315" s="42">
        <v>44957</v>
      </c>
      <c r="G315" s="37">
        <v>2023</v>
      </c>
      <c r="H315" s="37" t="s">
        <v>74</v>
      </c>
      <c r="I315" s="39" t="s">
        <v>30</v>
      </c>
      <c r="J315" s="37">
        <v>120</v>
      </c>
      <c r="K315" s="60">
        <v>322.245187157396</v>
      </c>
      <c r="L315" s="55">
        <f t="shared" si="34"/>
        <v>1.3</v>
      </c>
      <c r="M315" s="24">
        <f t="shared" si="35"/>
        <v>2.6853765596449666</v>
      </c>
      <c r="N315" s="37"/>
      <c r="O315" s="37"/>
      <c r="P315" s="37">
        <v>0</v>
      </c>
      <c r="Q315" s="37">
        <v>0</v>
      </c>
      <c r="R315" s="37" t="s">
        <v>852</v>
      </c>
      <c r="S315" s="37"/>
    </row>
    <row r="316" spans="1:19" x14ac:dyDescent="0.3">
      <c r="A316" s="41">
        <v>217</v>
      </c>
      <c r="B316" s="37" t="s">
        <v>840</v>
      </c>
      <c r="C316" s="37" t="s">
        <v>251</v>
      </c>
      <c r="D316" s="37" t="s">
        <v>73</v>
      </c>
      <c r="E316" s="37" t="s">
        <v>22</v>
      </c>
      <c r="F316" s="42">
        <v>44985</v>
      </c>
      <c r="G316" s="37">
        <v>2023</v>
      </c>
      <c r="H316" s="37" t="s">
        <v>76</v>
      </c>
      <c r="I316" s="39" t="s">
        <v>30</v>
      </c>
      <c r="J316" s="37">
        <v>120</v>
      </c>
      <c r="K316" s="60">
        <v>322.245187157396</v>
      </c>
      <c r="L316" s="55">
        <f t="shared" si="34"/>
        <v>1.3</v>
      </c>
      <c r="M316" s="24">
        <f t="shared" si="35"/>
        <v>2.6853765596449666</v>
      </c>
      <c r="N316" s="37"/>
      <c r="O316" s="37"/>
      <c r="P316" s="37">
        <v>0</v>
      </c>
      <c r="Q316" s="37">
        <v>0</v>
      </c>
      <c r="R316" s="37" t="s">
        <v>853</v>
      </c>
      <c r="S316" s="37"/>
    </row>
    <row r="317" spans="1:19" x14ac:dyDescent="0.3">
      <c r="A317" s="41">
        <v>217</v>
      </c>
      <c r="B317" s="37" t="s">
        <v>840</v>
      </c>
      <c r="C317" s="37" t="s">
        <v>251</v>
      </c>
      <c r="D317" s="37" t="s">
        <v>73</v>
      </c>
      <c r="E317" s="37" t="s">
        <v>22</v>
      </c>
      <c r="F317" s="42">
        <v>45016</v>
      </c>
      <c r="G317" s="37">
        <v>2023</v>
      </c>
      <c r="H317" s="37" t="s">
        <v>40</v>
      </c>
      <c r="I317" s="39" t="s">
        <v>30</v>
      </c>
      <c r="J317" s="37">
        <v>120</v>
      </c>
      <c r="K317" s="60">
        <v>322.245187157396</v>
      </c>
      <c r="L317" s="55">
        <f t="shared" si="34"/>
        <v>1.3</v>
      </c>
      <c r="M317" s="24">
        <f t="shared" si="35"/>
        <v>2.6853765596449666</v>
      </c>
      <c r="N317" s="37"/>
      <c r="O317" s="37"/>
      <c r="P317" s="37">
        <v>0</v>
      </c>
      <c r="Q317" s="37">
        <v>0</v>
      </c>
      <c r="R317" s="37" t="s">
        <v>854</v>
      </c>
      <c r="S317" s="37"/>
    </row>
    <row r="318" spans="1:19" x14ac:dyDescent="0.3">
      <c r="A318" s="41">
        <v>217</v>
      </c>
      <c r="B318" s="37" t="s">
        <v>840</v>
      </c>
      <c r="C318" s="37" t="s">
        <v>251</v>
      </c>
      <c r="D318" s="37" t="s">
        <v>73</v>
      </c>
      <c r="E318" s="37" t="s">
        <v>22</v>
      </c>
      <c r="F318" s="42">
        <v>45046</v>
      </c>
      <c r="G318" s="37">
        <v>2023</v>
      </c>
      <c r="H318" s="37" t="s">
        <v>79</v>
      </c>
      <c r="I318" s="39" t="s">
        <v>30</v>
      </c>
      <c r="J318" s="37">
        <v>120</v>
      </c>
      <c r="K318" s="60">
        <v>322.245187157396</v>
      </c>
      <c r="L318" s="55">
        <f t="shared" si="34"/>
        <v>1.3</v>
      </c>
      <c r="M318" s="24">
        <f t="shared" si="35"/>
        <v>2.6853765596449666</v>
      </c>
      <c r="N318" s="37"/>
      <c r="O318" s="37"/>
      <c r="P318" s="37">
        <v>0</v>
      </c>
      <c r="Q318" s="37">
        <v>0</v>
      </c>
      <c r="R318" s="37" t="s">
        <v>855</v>
      </c>
      <c r="S318" s="37"/>
    </row>
    <row r="319" spans="1:19" x14ac:dyDescent="0.3">
      <c r="A319" s="41">
        <v>217</v>
      </c>
      <c r="B319" s="37" t="s">
        <v>840</v>
      </c>
      <c r="C319" s="37" t="s">
        <v>251</v>
      </c>
      <c r="D319" s="37" t="s">
        <v>73</v>
      </c>
      <c r="E319" s="37" t="s">
        <v>22</v>
      </c>
      <c r="F319" s="42">
        <v>45077</v>
      </c>
      <c r="G319" s="37">
        <v>2023</v>
      </c>
      <c r="H319" s="37" t="s">
        <v>81</v>
      </c>
      <c r="I319" s="39" t="s">
        <v>30</v>
      </c>
      <c r="J319" s="37">
        <v>120</v>
      </c>
      <c r="K319" s="60">
        <v>322.245187157396</v>
      </c>
      <c r="L319" s="55">
        <f t="shared" si="34"/>
        <v>1.3</v>
      </c>
      <c r="M319" s="24">
        <f t="shared" si="35"/>
        <v>2.6853765596449666</v>
      </c>
      <c r="N319" s="37"/>
      <c r="O319" s="37"/>
      <c r="P319" s="37">
        <v>0</v>
      </c>
      <c r="Q319" s="37">
        <v>0</v>
      </c>
      <c r="R319" s="37" t="s">
        <v>856</v>
      </c>
      <c r="S319" s="37"/>
    </row>
    <row r="320" spans="1:19" x14ac:dyDescent="0.3">
      <c r="A320" s="41">
        <v>217</v>
      </c>
      <c r="B320" s="37" t="s">
        <v>840</v>
      </c>
      <c r="C320" s="37" t="s">
        <v>251</v>
      </c>
      <c r="D320" s="37" t="s">
        <v>73</v>
      </c>
      <c r="E320" s="37" t="s">
        <v>22</v>
      </c>
      <c r="F320" s="42">
        <v>45107</v>
      </c>
      <c r="G320" s="37">
        <v>2023</v>
      </c>
      <c r="H320" s="37" t="s">
        <v>23</v>
      </c>
      <c r="I320" s="39" t="s">
        <v>30</v>
      </c>
      <c r="J320" s="37">
        <v>120</v>
      </c>
      <c r="K320" s="60">
        <v>322.245187157396</v>
      </c>
      <c r="L320" s="55">
        <f t="shared" si="34"/>
        <v>1.3</v>
      </c>
      <c r="M320" s="24">
        <f t="shared" si="35"/>
        <v>2.6853765596449666</v>
      </c>
      <c r="N320" s="37"/>
      <c r="O320" s="37"/>
      <c r="P320" s="37">
        <v>0</v>
      </c>
      <c r="Q320" s="37">
        <v>0</v>
      </c>
      <c r="R320" s="37" t="s">
        <v>857</v>
      </c>
      <c r="S320" s="37"/>
    </row>
    <row r="321" spans="1:19" x14ac:dyDescent="0.3">
      <c r="A321" s="37">
        <v>217</v>
      </c>
      <c r="B321" s="37" t="s">
        <v>840</v>
      </c>
      <c r="C321" s="37" t="s">
        <v>251</v>
      </c>
      <c r="D321" s="37" t="s">
        <v>73</v>
      </c>
      <c r="E321" s="37" t="s">
        <v>22</v>
      </c>
      <c r="F321" s="42">
        <v>45138</v>
      </c>
      <c r="G321" s="40">
        <v>2023</v>
      </c>
      <c r="H321" s="39" t="s">
        <v>84</v>
      </c>
      <c r="I321" s="39" t="s">
        <v>32</v>
      </c>
      <c r="J321" s="37">
        <v>120</v>
      </c>
      <c r="K321" s="60">
        <v>130.78381556986929</v>
      </c>
      <c r="L321" s="55">
        <f t="shared" si="34"/>
        <v>1.0898651297489108</v>
      </c>
      <c r="M321" s="24">
        <f t="shared" si="35"/>
        <v>1.0898651297489108</v>
      </c>
      <c r="N321" s="37"/>
      <c r="O321" s="37"/>
      <c r="P321" s="37">
        <v>0</v>
      </c>
      <c r="Q321" s="37">
        <v>0</v>
      </c>
      <c r="R321" s="37" t="s">
        <v>858</v>
      </c>
      <c r="S321" s="37"/>
    </row>
    <row r="322" spans="1:19" x14ac:dyDescent="0.3">
      <c r="A322" s="37">
        <v>217</v>
      </c>
      <c r="B322" s="37" t="s">
        <v>840</v>
      </c>
      <c r="C322" s="37" t="s">
        <v>251</v>
      </c>
      <c r="D322" s="37" t="s">
        <v>73</v>
      </c>
      <c r="E322" s="37" t="s">
        <v>22</v>
      </c>
      <c r="F322" s="42">
        <v>45169</v>
      </c>
      <c r="G322" s="40">
        <v>2023</v>
      </c>
      <c r="H322" s="39" t="s">
        <v>86</v>
      </c>
      <c r="I322" s="39" t="s">
        <v>32</v>
      </c>
      <c r="J322" s="37">
        <v>120</v>
      </c>
      <c r="K322" s="60">
        <v>130.78381556986929</v>
      </c>
      <c r="L322" s="55">
        <f t="shared" si="34"/>
        <v>1.0898651297489108</v>
      </c>
      <c r="M322" s="24">
        <f t="shared" si="35"/>
        <v>1.0898651297489108</v>
      </c>
      <c r="N322" s="37"/>
      <c r="O322" s="37"/>
      <c r="P322" s="37">
        <v>0</v>
      </c>
      <c r="Q322" s="37">
        <v>0</v>
      </c>
      <c r="R322" s="37" t="s">
        <v>859</v>
      </c>
      <c r="S322" s="37"/>
    </row>
    <row r="323" spans="1:19" x14ac:dyDescent="0.3">
      <c r="A323" s="37">
        <v>217</v>
      </c>
      <c r="B323" s="37" t="s">
        <v>840</v>
      </c>
      <c r="C323" s="37" t="s">
        <v>251</v>
      </c>
      <c r="D323" s="37" t="s">
        <v>73</v>
      </c>
      <c r="E323" s="37" t="s">
        <v>22</v>
      </c>
      <c r="F323" s="42">
        <v>45199</v>
      </c>
      <c r="G323" s="40">
        <v>2023</v>
      </c>
      <c r="H323" s="39" t="s">
        <v>43</v>
      </c>
      <c r="I323" s="39" t="s">
        <v>32</v>
      </c>
      <c r="J323" s="37">
        <v>120</v>
      </c>
      <c r="K323" s="60">
        <v>130.78381556986929</v>
      </c>
      <c r="L323" s="55">
        <f t="shared" si="34"/>
        <v>1.0898651297489108</v>
      </c>
      <c r="M323" s="24">
        <f t="shared" si="35"/>
        <v>1.0898651297489108</v>
      </c>
      <c r="N323" s="37"/>
      <c r="O323" s="37"/>
      <c r="P323" s="37">
        <v>0</v>
      </c>
      <c r="Q323" s="37">
        <v>0</v>
      </c>
      <c r="R323" s="37" t="s">
        <v>860</v>
      </c>
      <c r="S323" s="37"/>
    </row>
    <row r="324" spans="1:19" x14ac:dyDescent="0.3">
      <c r="A324" s="41">
        <v>217</v>
      </c>
      <c r="B324" s="37" t="s">
        <v>840</v>
      </c>
      <c r="C324" s="37" t="s">
        <v>251</v>
      </c>
      <c r="D324" s="37" t="s">
        <v>73</v>
      </c>
      <c r="E324" s="37" t="s">
        <v>22</v>
      </c>
      <c r="F324" s="42">
        <v>45230</v>
      </c>
      <c r="G324" s="37">
        <v>2023</v>
      </c>
      <c r="H324" s="37" t="s">
        <v>89</v>
      </c>
      <c r="I324" s="39" t="s">
        <v>32</v>
      </c>
      <c r="J324" s="37">
        <v>120</v>
      </c>
      <c r="K324" s="37">
        <v>130.78381556986929</v>
      </c>
      <c r="L324" s="55">
        <f t="shared" si="34"/>
        <v>1.0898651297489108</v>
      </c>
      <c r="M324" s="24">
        <f t="shared" si="35"/>
        <v>1.0898651297489108</v>
      </c>
      <c r="N324" s="37"/>
      <c r="O324" s="37"/>
      <c r="P324" s="37">
        <v>0</v>
      </c>
      <c r="Q324" s="37">
        <v>0</v>
      </c>
      <c r="R324" s="37" t="s">
        <v>861</v>
      </c>
      <c r="S324" s="37"/>
    </row>
    <row r="325" spans="1:19" x14ac:dyDescent="0.3">
      <c r="A325" s="41">
        <v>217</v>
      </c>
      <c r="B325" s="37" t="s">
        <v>840</v>
      </c>
      <c r="C325" s="37" t="s">
        <v>251</v>
      </c>
      <c r="D325" s="37" t="s">
        <v>73</v>
      </c>
      <c r="E325" s="37" t="s">
        <v>22</v>
      </c>
      <c r="F325" s="42">
        <v>45260</v>
      </c>
      <c r="G325" s="37">
        <v>2023</v>
      </c>
      <c r="H325" s="37" t="s">
        <v>91</v>
      </c>
      <c r="I325" s="39" t="s">
        <v>32</v>
      </c>
      <c r="J325" s="37">
        <v>120</v>
      </c>
      <c r="K325" s="37">
        <v>130.78381556986929</v>
      </c>
      <c r="L325" s="55">
        <f t="shared" si="34"/>
        <v>1.0898651297489108</v>
      </c>
      <c r="M325" s="24">
        <f t="shared" si="35"/>
        <v>1.0898651297489108</v>
      </c>
      <c r="N325" s="37"/>
      <c r="O325" s="37"/>
      <c r="P325" s="37">
        <v>0</v>
      </c>
      <c r="Q325" s="37">
        <v>0</v>
      </c>
      <c r="R325" s="37" t="s">
        <v>862</v>
      </c>
      <c r="S325" s="37"/>
    </row>
    <row r="326" spans="1:19" x14ac:dyDescent="0.3">
      <c r="A326" s="41">
        <v>217</v>
      </c>
      <c r="B326" s="37" t="s">
        <v>840</v>
      </c>
      <c r="C326" s="37" t="s">
        <v>251</v>
      </c>
      <c r="D326" s="37" t="s">
        <v>73</v>
      </c>
      <c r="E326" s="37" t="s">
        <v>22</v>
      </c>
      <c r="F326" s="42">
        <v>45291</v>
      </c>
      <c r="G326" s="37">
        <v>2023</v>
      </c>
      <c r="H326" s="37" t="s">
        <v>27</v>
      </c>
      <c r="I326" s="39" t="s">
        <v>32</v>
      </c>
      <c r="J326" s="37">
        <v>120</v>
      </c>
      <c r="K326" s="37">
        <v>130.78381556986929</v>
      </c>
      <c r="L326" s="55">
        <f t="shared" si="34"/>
        <v>1.0898651297489108</v>
      </c>
      <c r="M326" s="24">
        <f t="shared" si="35"/>
        <v>1.0898651297489108</v>
      </c>
      <c r="N326" s="37"/>
      <c r="O326" s="37"/>
      <c r="P326" s="37">
        <v>0</v>
      </c>
      <c r="Q326" s="37">
        <v>0</v>
      </c>
      <c r="R326" s="37" t="s">
        <v>863</v>
      </c>
      <c r="S326" s="37"/>
    </row>
    <row r="327" spans="1:19" x14ac:dyDescent="0.3">
      <c r="A327" s="37">
        <v>217</v>
      </c>
      <c r="B327" s="37" t="s">
        <v>840</v>
      </c>
      <c r="C327" s="37" t="s">
        <v>251</v>
      </c>
      <c r="D327" s="37" t="s">
        <v>73</v>
      </c>
      <c r="E327" s="37" t="s">
        <v>22</v>
      </c>
      <c r="F327" s="42">
        <v>45473</v>
      </c>
      <c r="G327" s="37">
        <v>2024</v>
      </c>
      <c r="H327" s="37" t="s">
        <v>23</v>
      </c>
      <c r="I327" s="39" t="s">
        <v>34</v>
      </c>
      <c r="J327" s="37">
        <v>120</v>
      </c>
      <c r="K327" s="37">
        <v>154.91</v>
      </c>
      <c r="L327" s="24">
        <f t="shared" si="34"/>
        <v>1.2909166666666667</v>
      </c>
      <c r="M327" s="24">
        <f t="shared" si="35"/>
        <v>1.2909166666666667</v>
      </c>
      <c r="N327" s="37"/>
      <c r="O327" s="37"/>
      <c r="P327" s="37">
        <v>0</v>
      </c>
      <c r="Q327" s="37">
        <v>0</v>
      </c>
      <c r="R327" s="37" t="s">
        <v>869</v>
      </c>
      <c r="S327" s="37"/>
    </row>
    <row r="328" spans="1:19" x14ac:dyDescent="0.3">
      <c r="A328" s="37">
        <v>217</v>
      </c>
      <c r="B328" s="37" t="s">
        <v>840</v>
      </c>
      <c r="C328" s="37" t="s">
        <v>251</v>
      </c>
      <c r="D328" s="37" t="s">
        <v>73</v>
      </c>
      <c r="E328" s="37" t="s">
        <v>22</v>
      </c>
      <c r="F328" s="42">
        <v>45657</v>
      </c>
      <c r="G328" s="37">
        <v>2024</v>
      </c>
      <c r="H328" s="37" t="s">
        <v>27</v>
      </c>
      <c r="I328" s="39" t="s">
        <v>36</v>
      </c>
      <c r="J328" s="37">
        <v>120</v>
      </c>
      <c r="K328" s="37">
        <v>148.9927505108846</v>
      </c>
      <c r="L328" s="24">
        <f t="shared" si="34"/>
        <v>1.2416062542573718</v>
      </c>
      <c r="M328" s="24">
        <f t="shared" si="35"/>
        <v>1.2416062542573718</v>
      </c>
      <c r="N328" s="37"/>
      <c r="O328" s="37"/>
      <c r="P328" s="37">
        <v>0</v>
      </c>
      <c r="Q328" s="37">
        <v>0</v>
      </c>
      <c r="R328" s="37" t="s">
        <v>875</v>
      </c>
      <c r="S328" s="37"/>
    </row>
    <row r="329" spans="1:19" x14ac:dyDescent="0.3">
      <c r="A329" s="37">
        <v>218</v>
      </c>
      <c r="B329" s="37" t="s">
        <v>888</v>
      </c>
      <c r="C329" s="37" t="s">
        <v>251</v>
      </c>
      <c r="D329" s="37" t="s">
        <v>73</v>
      </c>
      <c r="E329" s="37" t="s">
        <v>56</v>
      </c>
      <c r="F329" s="42">
        <v>44742</v>
      </c>
      <c r="G329" s="37">
        <v>2022</v>
      </c>
      <c r="H329" s="37" t="s">
        <v>23</v>
      </c>
      <c r="I329" s="37" t="s">
        <v>24</v>
      </c>
      <c r="J329" s="37">
        <v>1032000</v>
      </c>
      <c r="K329" s="37">
        <v>0</v>
      </c>
      <c r="L329" s="24" t="str">
        <f t="shared" ref="L329:L344" si="36">IFERROR(IF(OR(J329=0,K329=""),"",IF(E329="Positivo",MIN(MAX(K329/J329,0),1),MIN(MAX(J329/K329,0),1))),"")</f>
        <v/>
      </c>
      <c r="M329" s="24" t="str">
        <f t="shared" ref="M329:M344" si="37">IFERROR(IF(OR(J329=0,K329=""),"",IF(E329="Positivo",MIN(MAX(K329/J329,0),1),MIN(MAX(J329/K329,0),1))),"")</f>
        <v/>
      </c>
      <c r="N329" s="37" t="s">
        <v>889</v>
      </c>
      <c r="O329" s="37" t="s">
        <v>889</v>
      </c>
      <c r="P329" s="37">
        <v>0</v>
      </c>
      <c r="Q329" s="37">
        <v>0</v>
      </c>
      <c r="R329" s="37" t="s">
        <v>895</v>
      </c>
      <c r="S329" s="37"/>
    </row>
    <row r="330" spans="1:19" x14ac:dyDescent="0.3">
      <c r="A330" s="37">
        <v>218</v>
      </c>
      <c r="B330" s="37" t="s">
        <v>888</v>
      </c>
      <c r="C330" s="37" t="s">
        <v>251</v>
      </c>
      <c r="D330" s="37" t="s">
        <v>73</v>
      </c>
      <c r="E330" s="37" t="s">
        <v>56</v>
      </c>
      <c r="F330" s="42">
        <v>44926</v>
      </c>
      <c r="G330" s="37">
        <v>2022</v>
      </c>
      <c r="H330" s="37" t="s">
        <v>27</v>
      </c>
      <c r="I330" s="37" t="s">
        <v>28</v>
      </c>
      <c r="J330" s="37">
        <v>1032000</v>
      </c>
      <c r="K330" s="37">
        <v>0</v>
      </c>
      <c r="L330" s="24" t="str">
        <f t="shared" si="36"/>
        <v/>
      </c>
      <c r="M330" s="24" t="str">
        <f t="shared" si="37"/>
        <v/>
      </c>
      <c r="N330" s="37" t="s">
        <v>889</v>
      </c>
      <c r="O330" s="37" t="s">
        <v>889</v>
      </c>
      <c r="P330" s="37">
        <v>0</v>
      </c>
      <c r="Q330" s="37">
        <v>0</v>
      </c>
      <c r="R330" s="37" t="s">
        <v>901</v>
      </c>
      <c r="S330" s="37"/>
    </row>
    <row r="331" spans="1:19" x14ac:dyDescent="0.3">
      <c r="A331" s="41">
        <v>218</v>
      </c>
      <c r="B331" s="37" t="s">
        <v>888</v>
      </c>
      <c r="C331" s="37" t="s">
        <v>251</v>
      </c>
      <c r="D331" s="37" t="s">
        <v>73</v>
      </c>
      <c r="E331" s="37" t="s">
        <v>56</v>
      </c>
      <c r="F331" s="42">
        <v>44957</v>
      </c>
      <c r="G331" s="37">
        <v>2023</v>
      </c>
      <c r="H331" s="37" t="s">
        <v>74</v>
      </c>
      <c r="I331" s="39" t="s">
        <v>30</v>
      </c>
      <c r="J331" s="37">
        <v>1032000</v>
      </c>
      <c r="K331" s="37">
        <v>809046.41</v>
      </c>
      <c r="L331" s="24">
        <f t="shared" si="36"/>
        <v>1</v>
      </c>
      <c r="M331" s="24">
        <f t="shared" si="37"/>
        <v>1</v>
      </c>
      <c r="N331" s="37" t="s">
        <v>889</v>
      </c>
      <c r="O331" s="37" t="s">
        <v>889</v>
      </c>
      <c r="P331" s="37">
        <v>0</v>
      </c>
      <c r="Q331" s="37">
        <v>0</v>
      </c>
      <c r="R331" s="37" t="s">
        <v>902</v>
      </c>
      <c r="S331" s="37"/>
    </row>
    <row r="332" spans="1:19" x14ac:dyDescent="0.3">
      <c r="A332" s="41">
        <v>218</v>
      </c>
      <c r="B332" s="37" t="s">
        <v>888</v>
      </c>
      <c r="C332" s="37" t="s">
        <v>251</v>
      </c>
      <c r="D332" s="37" t="s">
        <v>73</v>
      </c>
      <c r="E332" s="37" t="s">
        <v>56</v>
      </c>
      <c r="F332" s="42">
        <v>44985</v>
      </c>
      <c r="G332" s="37">
        <v>2023</v>
      </c>
      <c r="H332" s="37" t="s">
        <v>76</v>
      </c>
      <c r="I332" s="39" t="s">
        <v>30</v>
      </c>
      <c r="J332" s="37">
        <v>1032000</v>
      </c>
      <c r="K332" s="68">
        <v>809046.41</v>
      </c>
      <c r="L332" s="24">
        <f t="shared" si="36"/>
        <v>1</v>
      </c>
      <c r="M332" s="24">
        <f t="shared" si="37"/>
        <v>1</v>
      </c>
      <c r="N332" s="37" t="s">
        <v>889</v>
      </c>
      <c r="O332" s="37" t="s">
        <v>889</v>
      </c>
      <c r="P332" s="37">
        <v>0</v>
      </c>
      <c r="Q332" s="37">
        <v>0</v>
      </c>
      <c r="R332" s="37" t="s">
        <v>903</v>
      </c>
      <c r="S332" s="37"/>
    </row>
    <row r="333" spans="1:19" x14ac:dyDescent="0.3">
      <c r="A333" s="41">
        <v>218</v>
      </c>
      <c r="B333" s="37" t="s">
        <v>888</v>
      </c>
      <c r="C333" s="37" t="s">
        <v>251</v>
      </c>
      <c r="D333" s="37" t="s">
        <v>73</v>
      </c>
      <c r="E333" s="37" t="s">
        <v>56</v>
      </c>
      <c r="F333" s="42">
        <v>45016</v>
      </c>
      <c r="G333" s="37">
        <v>2023</v>
      </c>
      <c r="H333" s="37" t="s">
        <v>40</v>
      </c>
      <c r="I333" s="39" t="s">
        <v>30</v>
      </c>
      <c r="J333" s="37">
        <v>1032000</v>
      </c>
      <c r="K333" s="40">
        <v>809046.41</v>
      </c>
      <c r="L333" s="24">
        <f t="shared" si="36"/>
        <v>1</v>
      </c>
      <c r="M333" s="24">
        <f t="shared" si="37"/>
        <v>1</v>
      </c>
      <c r="N333" s="37" t="s">
        <v>889</v>
      </c>
      <c r="O333" s="37" t="s">
        <v>889</v>
      </c>
      <c r="P333" s="37">
        <v>0</v>
      </c>
      <c r="Q333" s="37">
        <v>0</v>
      </c>
      <c r="R333" s="37" t="s">
        <v>904</v>
      </c>
      <c r="S333" s="37"/>
    </row>
    <row r="334" spans="1:19" x14ac:dyDescent="0.3">
      <c r="A334" s="41">
        <v>218</v>
      </c>
      <c r="B334" s="37" t="s">
        <v>888</v>
      </c>
      <c r="C334" s="37" t="s">
        <v>251</v>
      </c>
      <c r="D334" s="37" t="s">
        <v>73</v>
      </c>
      <c r="E334" s="37" t="s">
        <v>56</v>
      </c>
      <c r="F334" s="42">
        <v>45046</v>
      </c>
      <c r="G334" s="37">
        <v>2023</v>
      </c>
      <c r="H334" s="37" t="s">
        <v>79</v>
      </c>
      <c r="I334" s="39" t="s">
        <v>30</v>
      </c>
      <c r="J334" s="37">
        <v>1032000</v>
      </c>
      <c r="K334" s="37">
        <v>809046.41</v>
      </c>
      <c r="L334" s="24">
        <f t="shared" si="36"/>
        <v>1</v>
      </c>
      <c r="M334" s="24">
        <f t="shared" si="37"/>
        <v>1</v>
      </c>
      <c r="N334" s="37" t="s">
        <v>889</v>
      </c>
      <c r="O334" s="37" t="s">
        <v>889</v>
      </c>
      <c r="P334" s="37">
        <v>0</v>
      </c>
      <c r="Q334" s="37">
        <v>0</v>
      </c>
      <c r="R334" s="37" t="s">
        <v>905</v>
      </c>
      <c r="S334" s="37"/>
    </row>
    <row r="335" spans="1:19" x14ac:dyDescent="0.3">
      <c r="A335" s="41">
        <v>218</v>
      </c>
      <c r="B335" s="37" t="s">
        <v>888</v>
      </c>
      <c r="C335" s="37" t="s">
        <v>251</v>
      </c>
      <c r="D335" s="37" t="s">
        <v>73</v>
      </c>
      <c r="E335" s="37" t="s">
        <v>56</v>
      </c>
      <c r="F335" s="42">
        <v>45077</v>
      </c>
      <c r="G335" s="37">
        <v>2023</v>
      </c>
      <c r="H335" s="37" t="s">
        <v>81</v>
      </c>
      <c r="I335" s="39" t="s">
        <v>30</v>
      </c>
      <c r="J335" s="37">
        <v>1032000</v>
      </c>
      <c r="K335" s="37">
        <v>809046.41</v>
      </c>
      <c r="L335" s="24">
        <f t="shared" si="36"/>
        <v>1</v>
      </c>
      <c r="M335" s="24">
        <f t="shared" si="37"/>
        <v>1</v>
      </c>
      <c r="N335" s="37" t="s">
        <v>889</v>
      </c>
      <c r="O335" s="37" t="s">
        <v>889</v>
      </c>
      <c r="P335" s="37">
        <v>0</v>
      </c>
      <c r="Q335" s="37">
        <v>0</v>
      </c>
      <c r="R335" s="37" t="s">
        <v>906</v>
      </c>
      <c r="S335" s="37"/>
    </row>
    <row r="336" spans="1:19" x14ac:dyDescent="0.3">
      <c r="A336" s="41">
        <v>218</v>
      </c>
      <c r="B336" s="37" t="s">
        <v>888</v>
      </c>
      <c r="C336" s="37" t="s">
        <v>251</v>
      </c>
      <c r="D336" s="37" t="s">
        <v>73</v>
      </c>
      <c r="E336" s="37" t="s">
        <v>56</v>
      </c>
      <c r="F336" s="42">
        <v>45107</v>
      </c>
      <c r="G336" s="37">
        <v>2023</v>
      </c>
      <c r="H336" s="37" t="s">
        <v>23</v>
      </c>
      <c r="I336" s="39" t="s">
        <v>30</v>
      </c>
      <c r="J336" s="53">
        <v>1032000</v>
      </c>
      <c r="K336" s="53">
        <v>809046.41</v>
      </c>
      <c r="L336" s="24">
        <f t="shared" si="36"/>
        <v>1</v>
      </c>
      <c r="M336" s="24">
        <f t="shared" si="37"/>
        <v>1</v>
      </c>
      <c r="N336" s="37" t="s">
        <v>889</v>
      </c>
      <c r="O336" s="37" t="s">
        <v>889</v>
      </c>
      <c r="P336" s="37">
        <v>0</v>
      </c>
      <c r="Q336" s="37">
        <v>0</v>
      </c>
      <c r="R336" s="37" t="s">
        <v>907</v>
      </c>
      <c r="S336" s="37"/>
    </row>
    <row r="337" spans="1:19" x14ac:dyDescent="0.3">
      <c r="A337" s="37">
        <v>218</v>
      </c>
      <c r="B337" s="37" t="s">
        <v>888</v>
      </c>
      <c r="C337" s="37" t="s">
        <v>251</v>
      </c>
      <c r="D337" s="37" t="s">
        <v>73</v>
      </c>
      <c r="E337" s="37" t="s">
        <v>56</v>
      </c>
      <c r="F337" s="42">
        <v>45138</v>
      </c>
      <c r="G337" s="40">
        <v>2023</v>
      </c>
      <c r="H337" s="39" t="s">
        <v>84</v>
      </c>
      <c r="I337" s="39" t="s">
        <v>32</v>
      </c>
      <c r="J337" s="53">
        <v>1032000</v>
      </c>
      <c r="K337" s="53">
        <v>795652.82</v>
      </c>
      <c r="L337" s="24">
        <f t="shared" si="36"/>
        <v>1</v>
      </c>
      <c r="M337" s="24">
        <f t="shared" si="37"/>
        <v>1</v>
      </c>
      <c r="N337" s="37" t="s">
        <v>889</v>
      </c>
      <c r="O337" s="37" t="s">
        <v>889</v>
      </c>
      <c r="P337" s="37">
        <v>0</v>
      </c>
      <c r="Q337" s="37">
        <v>0</v>
      </c>
      <c r="R337" s="37" t="s">
        <v>908</v>
      </c>
      <c r="S337" s="37"/>
    </row>
    <row r="338" spans="1:19" x14ac:dyDescent="0.3">
      <c r="A338" s="37">
        <v>218</v>
      </c>
      <c r="B338" s="37" t="s">
        <v>888</v>
      </c>
      <c r="C338" s="37" t="s">
        <v>251</v>
      </c>
      <c r="D338" s="37" t="s">
        <v>73</v>
      </c>
      <c r="E338" s="37" t="s">
        <v>56</v>
      </c>
      <c r="F338" s="42">
        <v>45169</v>
      </c>
      <c r="G338" s="40">
        <v>2023</v>
      </c>
      <c r="H338" s="39" t="s">
        <v>86</v>
      </c>
      <c r="I338" s="39" t="s">
        <v>32</v>
      </c>
      <c r="J338" s="37">
        <v>1032000</v>
      </c>
      <c r="K338" s="37">
        <v>795652.82</v>
      </c>
      <c r="L338" s="24">
        <f t="shared" si="36"/>
        <v>1</v>
      </c>
      <c r="M338" s="24">
        <f t="shared" si="37"/>
        <v>1</v>
      </c>
      <c r="N338" s="37" t="s">
        <v>889</v>
      </c>
      <c r="O338" s="37" t="s">
        <v>889</v>
      </c>
      <c r="P338" s="37">
        <v>0</v>
      </c>
      <c r="Q338" s="37">
        <v>0</v>
      </c>
      <c r="R338" s="37" t="s">
        <v>909</v>
      </c>
      <c r="S338" s="37"/>
    </row>
    <row r="339" spans="1:19" x14ac:dyDescent="0.3">
      <c r="A339" s="37">
        <v>218</v>
      </c>
      <c r="B339" s="37" t="s">
        <v>888</v>
      </c>
      <c r="C339" s="37" t="s">
        <v>251</v>
      </c>
      <c r="D339" s="37" t="s">
        <v>73</v>
      </c>
      <c r="E339" s="37" t="s">
        <v>56</v>
      </c>
      <c r="F339" s="42">
        <v>45199</v>
      </c>
      <c r="G339" s="40">
        <v>2023</v>
      </c>
      <c r="H339" s="39" t="s">
        <v>43</v>
      </c>
      <c r="I339" s="39" t="s">
        <v>32</v>
      </c>
      <c r="J339" s="37">
        <v>1032000</v>
      </c>
      <c r="K339" s="73">
        <v>795652.82</v>
      </c>
      <c r="L339" s="24">
        <f t="shared" si="36"/>
        <v>1</v>
      </c>
      <c r="M339" s="24">
        <f t="shared" si="37"/>
        <v>1</v>
      </c>
      <c r="N339" s="37" t="s">
        <v>889</v>
      </c>
      <c r="O339" s="37" t="s">
        <v>889</v>
      </c>
      <c r="P339" s="37">
        <v>0</v>
      </c>
      <c r="Q339" s="37">
        <v>0</v>
      </c>
      <c r="R339" s="37" t="s">
        <v>910</v>
      </c>
      <c r="S339" s="37"/>
    </row>
    <row r="340" spans="1:19" x14ac:dyDescent="0.3">
      <c r="A340" s="41">
        <v>218</v>
      </c>
      <c r="B340" s="37" t="s">
        <v>888</v>
      </c>
      <c r="C340" s="37" t="s">
        <v>251</v>
      </c>
      <c r="D340" s="37" t="s">
        <v>73</v>
      </c>
      <c r="E340" s="37" t="s">
        <v>56</v>
      </c>
      <c r="F340" s="42">
        <v>45230</v>
      </c>
      <c r="G340" s="37">
        <v>2023</v>
      </c>
      <c r="H340" s="37" t="s">
        <v>89</v>
      </c>
      <c r="I340" s="39" t="s">
        <v>32</v>
      </c>
      <c r="J340" s="37">
        <v>1032000</v>
      </c>
      <c r="K340" s="37">
        <v>795652.82</v>
      </c>
      <c r="L340" s="24">
        <f t="shared" si="36"/>
        <v>1</v>
      </c>
      <c r="M340" s="24">
        <f t="shared" si="37"/>
        <v>1</v>
      </c>
      <c r="N340" s="37" t="s">
        <v>889</v>
      </c>
      <c r="O340" s="37" t="s">
        <v>889</v>
      </c>
      <c r="P340" s="37">
        <v>0</v>
      </c>
      <c r="Q340" s="37">
        <v>0</v>
      </c>
      <c r="R340" s="37" t="s">
        <v>911</v>
      </c>
      <c r="S340" s="37"/>
    </row>
    <row r="341" spans="1:19" x14ac:dyDescent="0.3">
      <c r="A341" s="41">
        <v>218</v>
      </c>
      <c r="B341" s="37" t="s">
        <v>888</v>
      </c>
      <c r="C341" s="37" t="s">
        <v>251</v>
      </c>
      <c r="D341" s="37" t="s">
        <v>73</v>
      </c>
      <c r="E341" s="37" t="s">
        <v>56</v>
      </c>
      <c r="F341" s="42">
        <v>45260</v>
      </c>
      <c r="G341" s="37">
        <v>2023</v>
      </c>
      <c r="H341" s="37" t="s">
        <v>91</v>
      </c>
      <c r="I341" s="39" t="s">
        <v>32</v>
      </c>
      <c r="J341" s="37">
        <v>1032000</v>
      </c>
      <c r="K341" s="37">
        <v>795652.82</v>
      </c>
      <c r="L341" s="24">
        <f t="shared" si="36"/>
        <v>1</v>
      </c>
      <c r="M341" s="24">
        <f t="shared" si="37"/>
        <v>1</v>
      </c>
      <c r="N341" s="37" t="s">
        <v>889</v>
      </c>
      <c r="O341" s="37" t="s">
        <v>889</v>
      </c>
      <c r="P341" s="37">
        <v>0</v>
      </c>
      <c r="Q341" s="37">
        <v>0</v>
      </c>
      <c r="R341" s="37" t="s">
        <v>912</v>
      </c>
      <c r="S341" s="37"/>
    </row>
    <row r="342" spans="1:19" x14ac:dyDescent="0.3">
      <c r="A342" s="41">
        <v>218</v>
      </c>
      <c r="B342" s="37" t="s">
        <v>888</v>
      </c>
      <c r="C342" s="37" t="s">
        <v>251</v>
      </c>
      <c r="D342" s="37" t="s">
        <v>73</v>
      </c>
      <c r="E342" s="37" t="s">
        <v>56</v>
      </c>
      <c r="F342" s="42">
        <v>45291</v>
      </c>
      <c r="G342" s="37">
        <v>2023</v>
      </c>
      <c r="H342" s="37" t="s">
        <v>27</v>
      </c>
      <c r="I342" s="39" t="s">
        <v>32</v>
      </c>
      <c r="J342" s="37">
        <v>1032000</v>
      </c>
      <c r="K342" s="37">
        <v>795652.82</v>
      </c>
      <c r="L342" s="24">
        <f t="shared" si="36"/>
        <v>1</v>
      </c>
      <c r="M342" s="24">
        <f t="shared" si="37"/>
        <v>1</v>
      </c>
      <c r="N342" s="37" t="s">
        <v>889</v>
      </c>
      <c r="O342" s="37" t="s">
        <v>889</v>
      </c>
      <c r="P342" s="37">
        <v>0</v>
      </c>
      <c r="Q342" s="37">
        <v>0</v>
      </c>
      <c r="R342" s="37" t="s">
        <v>913</v>
      </c>
      <c r="S342" s="37"/>
    </row>
    <row r="343" spans="1:19" x14ac:dyDescent="0.3">
      <c r="A343" s="37">
        <v>218</v>
      </c>
      <c r="B343" s="37" t="s">
        <v>888</v>
      </c>
      <c r="C343" s="37" t="s">
        <v>251</v>
      </c>
      <c r="D343" s="37" t="s">
        <v>73</v>
      </c>
      <c r="E343" s="37" t="s">
        <v>56</v>
      </c>
      <c r="F343" s="42">
        <v>45473</v>
      </c>
      <c r="G343" s="37">
        <v>2024</v>
      </c>
      <c r="H343" s="37" t="s">
        <v>23</v>
      </c>
      <c r="I343" s="39" t="s">
        <v>34</v>
      </c>
      <c r="J343" s="37">
        <v>1032000</v>
      </c>
      <c r="K343" s="37">
        <v>874910.97</v>
      </c>
      <c r="L343" s="24">
        <f t="shared" si="36"/>
        <v>1</v>
      </c>
      <c r="M343" s="24">
        <f t="shared" si="37"/>
        <v>1</v>
      </c>
      <c r="N343" s="37"/>
      <c r="O343" s="37"/>
      <c r="P343" s="37">
        <v>0</v>
      </c>
      <c r="Q343" s="37">
        <v>0</v>
      </c>
      <c r="R343" s="37" t="s">
        <v>919</v>
      </c>
      <c r="S343" s="37"/>
    </row>
    <row r="344" spans="1:19" x14ac:dyDescent="0.3">
      <c r="A344" s="37">
        <v>218</v>
      </c>
      <c r="B344" s="37" t="s">
        <v>888</v>
      </c>
      <c r="C344" s="37" t="s">
        <v>251</v>
      </c>
      <c r="D344" s="37" t="s">
        <v>73</v>
      </c>
      <c r="E344" s="37" t="s">
        <v>56</v>
      </c>
      <c r="F344" s="42">
        <v>45657</v>
      </c>
      <c r="G344" s="37">
        <v>2024</v>
      </c>
      <c r="H344" s="37" t="s">
        <v>27</v>
      </c>
      <c r="I344" s="70" t="s">
        <v>36</v>
      </c>
      <c r="J344" s="37">
        <v>1032000</v>
      </c>
      <c r="K344" s="37">
        <v>849391.85</v>
      </c>
      <c r="L344" s="24">
        <f t="shared" si="36"/>
        <v>1</v>
      </c>
      <c r="M344" s="24">
        <f t="shared" si="37"/>
        <v>1</v>
      </c>
      <c r="N344" s="37"/>
      <c r="O344" s="37"/>
      <c r="P344" s="37">
        <v>0</v>
      </c>
      <c r="Q344" s="37">
        <v>0</v>
      </c>
      <c r="R344" s="37" t="s">
        <v>925</v>
      </c>
      <c r="S344" s="37"/>
    </row>
    <row r="345" spans="1:19" x14ac:dyDescent="0.3">
      <c r="A345" s="37">
        <v>219</v>
      </c>
      <c r="B345" s="37" t="s">
        <v>938</v>
      </c>
      <c r="C345" s="37" t="s">
        <v>251</v>
      </c>
      <c r="D345" s="37" t="s">
        <v>73</v>
      </c>
      <c r="E345" s="37" t="s">
        <v>22</v>
      </c>
      <c r="F345" s="42">
        <v>44742</v>
      </c>
      <c r="G345" s="37">
        <v>2022</v>
      </c>
      <c r="H345" s="37" t="s">
        <v>23</v>
      </c>
      <c r="I345" s="75" t="s">
        <v>24</v>
      </c>
      <c r="J345" s="53">
        <v>1</v>
      </c>
      <c r="K345" s="53">
        <v>16.685183396325002</v>
      </c>
      <c r="L345" s="24">
        <f t="shared" ref="L345:L368" si="38">IFERROR(IF(OR(J345=0,K345=""),"",IF(E345="Positivo",MIN(MAX(K345/J345,0),1.3),MIN(MAX(J345/K345,0),1.3))),"")</f>
        <v>1.3</v>
      </c>
      <c r="M345" s="24">
        <f t="shared" ref="M345:M368" si="39">IFERROR(IF(OR(J345=0,K345=""),"",IF(E345="Positivo",MAX(K345/J345,0),MAX(J345/K345,0))),"")</f>
        <v>16.685183396325002</v>
      </c>
      <c r="N345" s="37" t="s">
        <v>25</v>
      </c>
      <c r="O345" s="37" t="s">
        <v>25</v>
      </c>
      <c r="P345" s="37">
        <v>0</v>
      </c>
      <c r="Q345" s="37">
        <v>0</v>
      </c>
      <c r="R345" s="37" t="s">
        <v>939</v>
      </c>
      <c r="S345" s="37"/>
    </row>
    <row r="346" spans="1:19" x14ac:dyDescent="0.3">
      <c r="A346" s="37">
        <v>219</v>
      </c>
      <c r="B346" s="37" t="s">
        <v>938</v>
      </c>
      <c r="C346" s="37" t="s">
        <v>251</v>
      </c>
      <c r="D346" s="37" t="s">
        <v>73</v>
      </c>
      <c r="E346" s="37" t="s">
        <v>22</v>
      </c>
      <c r="F346" s="42">
        <v>44926</v>
      </c>
      <c r="G346" s="37">
        <v>2022</v>
      </c>
      <c r="H346" s="37" t="s">
        <v>27</v>
      </c>
      <c r="I346" s="37" t="s">
        <v>28</v>
      </c>
      <c r="J346" s="37">
        <v>1</v>
      </c>
      <c r="K346" s="37">
        <v>-68.789622683372002</v>
      </c>
      <c r="L346" s="24">
        <f t="shared" si="38"/>
        <v>0</v>
      </c>
      <c r="M346" s="24">
        <f t="shared" si="39"/>
        <v>0</v>
      </c>
      <c r="N346" s="37" t="s">
        <v>25</v>
      </c>
      <c r="O346" s="37" t="s">
        <v>25</v>
      </c>
      <c r="P346" s="37">
        <v>0</v>
      </c>
      <c r="Q346" s="37">
        <v>0</v>
      </c>
      <c r="R346" s="37" t="s">
        <v>940</v>
      </c>
      <c r="S346" s="37"/>
    </row>
    <row r="347" spans="1:19" x14ac:dyDescent="0.3">
      <c r="A347" s="45">
        <v>219</v>
      </c>
      <c r="B347" s="37" t="s">
        <v>938</v>
      </c>
      <c r="C347" s="37" t="s">
        <v>251</v>
      </c>
      <c r="D347" s="37" t="s">
        <v>21</v>
      </c>
      <c r="E347" s="37" t="s">
        <v>22</v>
      </c>
      <c r="F347" s="42">
        <v>45107</v>
      </c>
      <c r="G347" s="37">
        <v>2023</v>
      </c>
      <c r="H347" s="37" t="s">
        <v>23</v>
      </c>
      <c r="I347" s="39" t="s">
        <v>30</v>
      </c>
      <c r="J347" s="37">
        <v>1</v>
      </c>
      <c r="K347" s="37">
        <v>21.147036826274292</v>
      </c>
      <c r="L347" s="55">
        <f t="shared" si="38"/>
        <v>1.3</v>
      </c>
      <c r="M347" s="24">
        <f t="shared" si="39"/>
        <v>21.147036826274292</v>
      </c>
      <c r="N347" s="37"/>
      <c r="O347" s="37"/>
      <c r="P347" s="37">
        <v>0</v>
      </c>
      <c r="Q347" s="37">
        <v>0</v>
      </c>
      <c r="R347" s="37" t="s">
        <v>941</v>
      </c>
      <c r="S347" s="37"/>
    </row>
    <row r="348" spans="1:19" x14ac:dyDescent="0.3">
      <c r="A348" s="41">
        <v>219</v>
      </c>
      <c r="B348" s="37" t="s">
        <v>938</v>
      </c>
      <c r="C348" s="37" t="s">
        <v>251</v>
      </c>
      <c r="D348" s="37" t="s">
        <v>21</v>
      </c>
      <c r="E348" s="37" t="s">
        <v>22</v>
      </c>
      <c r="F348" s="42">
        <v>45291</v>
      </c>
      <c r="G348" s="37">
        <v>2023</v>
      </c>
      <c r="H348" s="37" t="s">
        <v>27</v>
      </c>
      <c r="I348" s="39" t="s">
        <v>32</v>
      </c>
      <c r="J348" s="37">
        <v>1</v>
      </c>
      <c r="K348" s="37">
        <v>-5.89</v>
      </c>
      <c r="L348" s="55">
        <f t="shared" si="38"/>
        <v>0</v>
      </c>
      <c r="M348" s="24">
        <f t="shared" si="39"/>
        <v>0</v>
      </c>
      <c r="N348" s="37"/>
      <c r="O348" s="37"/>
      <c r="P348" s="37">
        <v>0</v>
      </c>
      <c r="Q348" s="37">
        <v>0</v>
      </c>
      <c r="R348" s="37" t="s">
        <v>942</v>
      </c>
      <c r="S348" s="37"/>
    </row>
    <row r="349" spans="1:19" x14ac:dyDescent="0.3">
      <c r="A349" s="37">
        <v>219</v>
      </c>
      <c r="B349" s="37" t="s">
        <v>938</v>
      </c>
      <c r="C349" s="37" t="s">
        <v>251</v>
      </c>
      <c r="D349" s="37" t="s">
        <v>21</v>
      </c>
      <c r="E349" s="37" t="s">
        <v>22</v>
      </c>
      <c r="F349" s="42">
        <v>45473</v>
      </c>
      <c r="G349" s="37">
        <v>2024</v>
      </c>
      <c r="H349" s="37" t="s">
        <v>23</v>
      </c>
      <c r="I349" s="39" t="s">
        <v>34</v>
      </c>
      <c r="J349" s="37">
        <v>1</v>
      </c>
      <c r="K349" s="37">
        <v>11.94</v>
      </c>
      <c r="L349" s="24">
        <f t="shared" si="38"/>
        <v>1.3</v>
      </c>
      <c r="M349" s="24">
        <f t="shared" si="39"/>
        <v>11.94</v>
      </c>
      <c r="N349" s="37"/>
      <c r="O349" s="37"/>
      <c r="P349" s="37">
        <v>0</v>
      </c>
      <c r="Q349" s="37">
        <v>0</v>
      </c>
      <c r="R349" s="37" t="s">
        <v>943</v>
      </c>
      <c r="S349" s="37"/>
    </row>
    <row r="350" spans="1:19" x14ac:dyDescent="0.3">
      <c r="A350" s="37">
        <v>219</v>
      </c>
      <c r="B350" s="37" t="s">
        <v>938</v>
      </c>
      <c r="C350" s="37" t="s">
        <v>251</v>
      </c>
      <c r="D350" s="37" t="s">
        <v>21</v>
      </c>
      <c r="E350" s="37" t="s">
        <v>22</v>
      </c>
      <c r="F350" s="42">
        <v>45657</v>
      </c>
      <c r="G350" s="37">
        <v>2024</v>
      </c>
      <c r="H350" s="37" t="s">
        <v>27</v>
      </c>
      <c r="I350" s="39" t="s">
        <v>36</v>
      </c>
      <c r="J350" s="53">
        <v>1</v>
      </c>
      <c r="K350" s="53">
        <v>-12.53</v>
      </c>
      <c r="L350" s="24">
        <f t="shared" si="38"/>
        <v>0</v>
      </c>
      <c r="M350" s="24">
        <f t="shared" si="39"/>
        <v>0</v>
      </c>
      <c r="N350" s="37"/>
      <c r="O350" s="37"/>
      <c r="P350" s="37">
        <v>0</v>
      </c>
      <c r="Q350" s="37">
        <v>0</v>
      </c>
      <c r="R350" s="37" t="s">
        <v>944</v>
      </c>
      <c r="S350" s="37"/>
    </row>
    <row r="351" spans="1:19" x14ac:dyDescent="0.3">
      <c r="A351" s="37">
        <v>220</v>
      </c>
      <c r="B351" s="37" t="s">
        <v>947</v>
      </c>
      <c r="C351" s="37" t="s">
        <v>251</v>
      </c>
      <c r="D351" s="37" t="s">
        <v>21</v>
      </c>
      <c r="E351" s="37" t="s">
        <v>22</v>
      </c>
      <c r="F351" s="42">
        <v>44742</v>
      </c>
      <c r="G351" s="37">
        <v>2022</v>
      </c>
      <c r="H351" s="37" t="s">
        <v>23</v>
      </c>
      <c r="I351" s="37" t="s">
        <v>24</v>
      </c>
      <c r="J351" s="37">
        <v>1</v>
      </c>
      <c r="K351" s="37">
        <v>-88.603565901063007</v>
      </c>
      <c r="L351" s="24">
        <f t="shared" si="38"/>
        <v>0</v>
      </c>
      <c r="M351" s="24">
        <f t="shared" si="39"/>
        <v>0</v>
      </c>
      <c r="N351" s="37" t="s">
        <v>25</v>
      </c>
      <c r="O351" s="37" t="s">
        <v>25</v>
      </c>
      <c r="P351" s="37">
        <v>0</v>
      </c>
      <c r="Q351" s="37">
        <v>0</v>
      </c>
      <c r="R351" s="37" t="s">
        <v>948</v>
      </c>
      <c r="S351" s="37"/>
    </row>
    <row r="352" spans="1:19" x14ac:dyDescent="0.3">
      <c r="A352" s="37">
        <v>220</v>
      </c>
      <c r="B352" s="37" t="s">
        <v>947</v>
      </c>
      <c r="C352" s="37" t="s">
        <v>251</v>
      </c>
      <c r="D352" s="37" t="s">
        <v>21</v>
      </c>
      <c r="E352" s="37" t="s">
        <v>22</v>
      </c>
      <c r="F352" s="42">
        <v>44926</v>
      </c>
      <c r="G352" s="37">
        <v>2022</v>
      </c>
      <c r="H352" s="37" t="s">
        <v>27</v>
      </c>
      <c r="I352" s="37" t="s">
        <v>28</v>
      </c>
      <c r="J352" s="37">
        <v>1</v>
      </c>
      <c r="K352" s="37">
        <v>-85.889409840455002</v>
      </c>
      <c r="L352" s="24">
        <f t="shared" si="38"/>
        <v>0</v>
      </c>
      <c r="M352" s="24">
        <f t="shared" si="39"/>
        <v>0</v>
      </c>
      <c r="N352" s="37" t="s">
        <v>25</v>
      </c>
      <c r="O352" s="37" t="s">
        <v>25</v>
      </c>
      <c r="P352" s="37">
        <v>0</v>
      </c>
      <c r="Q352" s="37">
        <v>0</v>
      </c>
      <c r="R352" s="37" t="s">
        <v>949</v>
      </c>
      <c r="S352" s="37"/>
    </row>
    <row r="353" spans="1:19" x14ac:dyDescent="0.3">
      <c r="A353" s="45">
        <v>220</v>
      </c>
      <c r="B353" s="37" t="s">
        <v>947</v>
      </c>
      <c r="C353" s="37" t="s">
        <v>251</v>
      </c>
      <c r="D353" s="37" t="s">
        <v>21</v>
      </c>
      <c r="E353" s="37" t="s">
        <v>22</v>
      </c>
      <c r="F353" s="42">
        <v>45107</v>
      </c>
      <c r="G353" s="37">
        <v>2023</v>
      </c>
      <c r="H353" s="37" t="s">
        <v>23</v>
      </c>
      <c r="I353" s="39" t="s">
        <v>30</v>
      </c>
      <c r="J353" s="37">
        <v>1</v>
      </c>
      <c r="K353" s="37">
        <v>40.678407793435213</v>
      </c>
      <c r="L353" s="55">
        <f t="shared" si="38"/>
        <v>1.3</v>
      </c>
      <c r="M353" s="24">
        <f t="shared" si="39"/>
        <v>40.678407793435213</v>
      </c>
      <c r="N353" s="37"/>
      <c r="O353" s="37"/>
      <c r="P353" s="37">
        <v>0</v>
      </c>
      <c r="Q353" s="37">
        <v>0</v>
      </c>
      <c r="R353" s="37" t="s">
        <v>950</v>
      </c>
      <c r="S353" s="37"/>
    </row>
    <row r="354" spans="1:19" x14ac:dyDescent="0.3">
      <c r="A354" s="41">
        <v>220</v>
      </c>
      <c r="B354" s="37" t="s">
        <v>947</v>
      </c>
      <c r="C354" s="37" t="s">
        <v>251</v>
      </c>
      <c r="D354" s="37" t="s">
        <v>21</v>
      </c>
      <c r="E354" s="37" t="s">
        <v>22</v>
      </c>
      <c r="F354" s="42">
        <v>45291</v>
      </c>
      <c r="G354" s="37">
        <v>2023</v>
      </c>
      <c r="H354" s="37" t="s">
        <v>27</v>
      </c>
      <c r="I354" s="39" t="s">
        <v>32</v>
      </c>
      <c r="J354" s="37">
        <v>1</v>
      </c>
      <c r="K354" s="37">
        <v>-38.58</v>
      </c>
      <c r="L354" s="55">
        <f t="shared" si="38"/>
        <v>0</v>
      </c>
      <c r="M354" s="24">
        <f t="shared" si="39"/>
        <v>0</v>
      </c>
      <c r="N354" s="37"/>
      <c r="O354" s="37"/>
      <c r="P354" s="37">
        <v>0</v>
      </c>
      <c r="Q354" s="37">
        <v>0</v>
      </c>
      <c r="R354" s="37" t="s">
        <v>951</v>
      </c>
      <c r="S354" s="37"/>
    </row>
    <row r="355" spans="1:19" x14ac:dyDescent="0.3">
      <c r="A355" s="37">
        <v>220</v>
      </c>
      <c r="B355" s="37" t="s">
        <v>947</v>
      </c>
      <c r="C355" s="37" t="s">
        <v>251</v>
      </c>
      <c r="D355" s="37" t="s">
        <v>21</v>
      </c>
      <c r="E355" s="37" t="s">
        <v>22</v>
      </c>
      <c r="F355" s="42">
        <v>45473</v>
      </c>
      <c r="G355" s="37">
        <v>2024</v>
      </c>
      <c r="H355" s="37" t="s">
        <v>23</v>
      </c>
      <c r="I355" s="39" t="s">
        <v>34</v>
      </c>
      <c r="J355" s="37">
        <v>1</v>
      </c>
      <c r="K355" s="37">
        <v>3.58</v>
      </c>
      <c r="L355" s="24">
        <f t="shared" si="38"/>
        <v>1.3</v>
      </c>
      <c r="M355" s="24">
        <f t="shared" si="39"/>
        <v>3.58</v>
      </c>
      <c r="N355" s="37"/>
      <c r="O355" s="37"/>
      <c r="P355" s="37">
        <v>0</v>
      </c>
      <c r="Q355" s="37">
        <v>0</v>
      </c>
      <c r="R355" s="37" t="s">
        <v>952</v>
      </c>
      <c r="S355" s="37"/>
    </row>
    <row r="356" spans="1:19" x14ac:dyDescent="0.3">
      <c r="A356" s="37">
        <v>220</v>
      </c>
      <c r="B356" s="37" t="s">
        <v>947</v>
      </c>
      <c r="C356" s="37" t="s">
        <v>251</v>
      </c>
      <c r="D356" s="37" t="s">
        <v>21</v>
      </c>
      <c r="E356" s="37" t="s">
        <v>22</v>
      </c>
      <c r="F356" s="42">
        <v>45657</v>
      </c>
      <c r="G356" s="37">
        <v>2024</v>
      </c>
      <c r="H356" s="37" t="s">
        <v>27</v>
      </c>
      <c r="I356" s="39" t="s">
        <v>36</v>
      </c>
      <c r="J356" s="37">
        <v>1</v>
      </c>
      <c r="K356" s="37">
        <v>13.05</v>
      </c>
      <c r="L356" s="24">
        <f t="shared" si="38"/>
        <v>1.3</v>
      </c>
      <c r="M356" s="24">
        <f t="shared" si="39"/>
        <v>13.05</v>
      </c>
      <c r="N356" s="37"/>
      <c r="O356" s="37"/>
      <c r="P356" s="37">
        <v>0</v>
      </c>
      <c r="Q356" s="37">
        <v>0</v>
      </c>
      <c r="R356" s="37" t="s">
        <v>953</v>
      </c>
      <c r="S356" s="37"/>
    </row>
    <row r="357" spans="1:19" x14ac:dyDescent="0.3">
      <c r="A357" s="37">
        <v>221</v>
      </c>
      <c r="B357" s="37" t="s">
        <v>956</v>
      </c>
      <c r="C357" s="37" t="s">
        <v>251</v>
      </c>
      <c r="D357" s="37" t="s">
        <v>139</v>
      </c>
      <c r="E357" s="37" t="s">
        <v>22</v>
      </c>
      <c r="F357" s="42">
        <v>44926</v>
      </c>
      <c r="G357" s="37">
        <v>2022</v>
      </c>
      <c r="H357" s="37" t="s">
        <v>27</v>
      </c>
      <c r="I357" s="37" t="s">
        <v>28</v>
      </c>
      <c r="J357" s="37">
        <v>100</v>
      </c>
      <c r="K357" s="37">
        <v>0</v>
      </c>
      <c r="L357" s="24">
        <f t="shared" si="38"/>
        <v>0</v>
      </c>
      <c r="M357" s="24">
        <f t="shared" si="39"/>
        <v>0</v>
      </c>
      <c r="N357" s="37" t="s">
        <v>25</v>
      </c>
      <c r="O357" s="37" t="s">
        <v>25</v>
      </c>
      <c r="P357" s="37">
        <v>0</v>
      </c>
      <c r="Q357" s="37">
        <v>0</v>
      </c>
      <c r="R357" s="37" t="s">
        <v>957</v>
      </c>
      <c r="S357" s="37"/>
    </row>
    <row r="358" spans="1:19" x14ac:dyDescent="0.3">
      <c r="A358" s="41">
        <v>221</v>
      </c>
      <c r="B358" s="37" t="s">
        <v>956</v>
      </c>
      <c r="C358" s="37" t="s">
        <v>251</v>
      </c>
      <c r="D358" s="37" t="s">
        <v>139</v>
      </c>
      <c r="E358" s="37" t="s">
        <v>22</v>
      </c>
      <c r="F358" s="42">
        <v>45291</v>
      </c>
      <c r="G358" s="37">
        <v>2023</v>
      </c>
      <c r="H358" s="37" t="s">
        <v>27</v>
      </c>
      <c r="I358" s="70" t="s">
        <v>32</v>
      </c>
      <c r="J358" s="37">
        <v>100</v>
      </c>
      <c r="K358" s="37">
        <v>100</v>
      </c>
      <c r="L358" s="55">
        <f t="shared" si="38"/>
        <v>1</v>
      </c>
      <c r="M358" s="24">
        <f t="shared" si="39"/>
        <v>1</v>
      </c>
      <c r="N358" s="37"/>
      <c r="O358" s="37"/>
      <c r="P358" s="37">
        <v>0</v>
      </c>
      <c r="Q358" s="37">
        <v>0</v>
      </c>
      <c r="R358" s="37" t="s">
        <v>958</v>
      </c>
      <c r="S358" s="37"/>
    </row>
    <row r="359" spans="1:19" x14ac:dyDescent="0.3">
      <c r="A359" s="37">
        <v>221</v>
      </c>
      <c r="B359" s="37" t="s">
        <v>956</v>
      </c>
      <c r="C359" s="37" t="s">
        <v>251</v>
      </c>
      <c r="D359" s="37" t="s">
        <v>139</v>
      </c>
      <c r="E359" s="37" t="s">
        <v>22</v>
      </c>
      <c r="F359" s="42">
        <v>45657</v>
      </c>
      <c r="G359" s="37">
        <v>2024</v>
      </c>
      <c r="H359" s="37" t="s">
        <v>27</v>
      </c>
      <c r="I359" s="39" t="s">
        <v>36</v>
      </c>
      <c r="J359" s="37">
        <v>100</v>
      </c>
      <c r="K359" s="37">
        <v>33.33</v>
      </c>
      <c r="L359" s="24">
        <f t="shared" si="38"/>
        <v>0.33329999999999999</v>
      </c>
      <c r="M359" s="24">
        <f t="shared" si="39"/>
        <v>0.33329999999999999</v>
      </c>
      <c r="N359" s="37"/>
      <c r="O359" s="37"/>
      <c r="P359" s="37">
        <v>0</v>
      </c>
      <c r="Q359" s="37">
        <v>0</v>
      </c>
      <c r="R359" s="37" t="s">
        <v>959</v>
      </c>
      <c r="S359" s="37"/>
    </row>
    <row r="360" spans="1:19" x14ac:dyDescent="0.3">
      <c r="A360" s="41">
        <v>222</v>
      </c>
      <c r="B360" s="37" t="s">
        <v>961</v>
      </c>
      <c r="C360" s="37" t="s">
        <v>251</v>
      </c>
      <c r="D360" s="37" t="s">
        <v>139</v>
      </c>
      <c r="E360" s="37" t="s">
        <v>22</v>
      </c>
      <c r="F360" s="42">
        <v>44926</v>
      </c>
      <c r="G360" s="40">
        <v>2022</v>
      </c>
      <c r="H360" s="39" t="s">
        <v>27</v>
      </c>
      <c r="I360" s="39" t="s">
        <v>28</v>
      </c>
      <c r="J360" s="37">
        <v>90</v>
      </c>
      <c r="K360" s="53">
        <v>93.75</v>
      </c>
      <c r="L360" s="24">
        <f t="shared" si="38"/>
        <v>1.0416666666666667</v>
      </c>
      <c r="M360" s="24">
        <f t="shared" si="39"/>
        <v>1.0416666666666667</v>
      </c>
      <c r="N360" s="37"/>
      <c r="O360" s="37"/>
      <c r="P360" s="37">
        <v>0</v>
      </c>
      <c r="Q360" s="37">
        <v>0</v>
      </c>
      <c r="R360" s="37" t="s">
        <v>962</v>
      </c>
      <c r="S360" s="37"/>
    </row>
    <row r="361" spans="1:19" x14ac:dyDescent="0.3">
      <c r="A361" s="41">
        <v>222</v>
      </c>
      <c r="B361" s="37" t="s">
        <v>961</v>
      </c>
      <c r="C361" s="37" t="s">
        <v>251</v>
      </c>
      <c r="D361" s="37" t="s">
        <v>139</v>
      </c>
      <c r="E361" s="37" t="s">
        <v>22</v>
      </c>
      <c r="F361" s="42">
        <v>45291</v>
      </c>
      <c r="G361" s="37">
        <v>2023</v>
      </c>
      <c r="H361" s="37" t="s">
        <v>27</v>
      </c>
      <c r="I361" s="39" t="s">
        <v>32</v>
      </c>
      <c r="J361" s="53">
        <v>90</v>
      </c>
      <c r="K361" s="53">
        <v>68.75</v>
      </c>
      <c r="L361" s="55">
        <f t="shared" si="38"/>
        <v>0.76388888888888884</v>
      </c>
      <c r="M361" s="24">
        <f t="shared" si="39"/>
        <v>0.76388888888888884</v>
      </c>
      <c r="N361" s="37"/>
      <c r="O361" s="37"/>
      <c r="P361" s="37">
        <v>0</v>
      </c>
      <c r="Q361" s="37">
        <v>0</v>
      </c>
      <c r="R361" s="37" t="s">
        <v>963</v>
      </c>
      <c r="S361" s="37"/>
    </row>
    <row r="362" spans="1:19" x14ac:dyDescent="0.3">
      <c r="A362" s="37">
        <v>222</v>
      </c>
      <c r="B362" s="37" t="s">
        <v>961</v>
      </c>
      <c r="C362" s="37" t="s">
        <v>251</v>
      </c>
      <c r="D362" s="37" t="s">
        <v>139</v>
      </c>
      <c r="E362" s="37" t="s">
        <v>22</v>
      </c>
      <c r="F362" s="42">
        <v>45657</v>
      </c>
      <c r="G362" s="37">
        <v>2024</v>
      </c>
      <c r="H362" s="37" t="s">
        <v>27</v>
      </c>
      <c r="I362" s="39" t="s">
        <v>36</v>
      </c>
      <c r="J362" s="53">
        <v>90</v>
      </c>
      <c r="K362" s="53">
        <v>68.75</v>
      </c>
      <c r="L362" s="24">
        <f t="shared" si="38"/>
        <v>0.76388888888888884</v>
      </c>
      <c r="M362" s="24">
        <f t="shared" si="39"/>
        <v>0.76388888888888884</v>
      </c>
      <c r="N362" s="37"/>
      <c r="O362" s="37"/>
      <c r="P362" s="37">
        <v>0</v>
      </c>
      <c r="Q362" s="37">
        <v>0</v>
      </c>
      <c r="R362" s="37" t="s">
        <v>964</v>
      </c>
      <c r="S362" s="37"/>
    </row>
    <row r="363" spans="1:19" x14ac:dyDescent="0.3">
      <c r="A363" s="37">
        <v>223</v>
      </c>
      <c r="B363" s="37" t="s">
        <v>966</v>
      </c>
      <c r="C363" s="37" t="s">
        <v>251</v>
      </c>
      <c r="D363" s="37" t="s">
        <v>139</v>
      </c>
      <c r="E363" s="37" t="s">
        <v>22</v>
      </c>
      <c r="F363" s="42">
        <v>44926</v>
      </c>
      <c r="G363" s="37">
        <v>2022</v>
      </c>
      <c r="H363" s="37" t="s">
        <v>27</v>
      </c>
      <c r="I363" s="37" t="s">
        <v>28</v>
      </c>
      <c r="J363" s="37">
        <v>100</v>
      </c>
      <c r="K363" s="37">
        <v>0</v>
      </c>
      <c r="L363" s="24">
        <f t="shared" si="38"/>
        <v>0</v>
      </c>
      <c r="M363" s="24">
        <f t="shared" si="39"/>
        <v>0</v>
      </c>
      <c r="N363" s="37" t="s">
        <v>25</v>
      </c>
      <c r="O363" s="37" t="s">
        <v>25</v>
      </c>
      <c r="P363" s="37">
        <v>0</v>
      </c>
      <c r="Q363" s="37">
        <v>0</v>
      </c>
      <c r="R363" s="37" t="s">
        <v>967</v>
      </c>
      <c r="S363" s="37"/>
    </row>
    <row r="364" spans="1:19" x14ac:dyDescent="0.3">
      <c r="A364" s="41">
        <v>223</v>
      </c>
      <c r="B364" s="37" t="s">
        <v>966</v>
      </c>
      <c r="C364" s="37" t="s">
        <v>251</v>
      </c>
      <c r="D364" s="37" t="s">
        <v>139</v>
      </c>
      <c r="E364" s="37" t="s">
        <v>22</v>
      </c>
      <c r="F364" s="42">
        <v>45291</v>
      </c>
      <c r="G364" s="37">
        <v>2023</v>
      </c>
      <c r="H364" s="37" t="s">
        <v>27</v>
      </c>
      <c r="I364" s="39" t="s">
        <v>32</v>
      </c>
      <c r="J364" s="37">
        <v>100</v>
      </c>
      <c r="K364" s="37">
        <v>100</v>
      </c>
      <c r="L364" s="55">
        <f t="shared" si="38"/>
        <v>1</v>
      </c>
      <c r="M364" s="24">
        <f t="shared" si="39"/>
        <v>1</v>
      </c>
      <c r="N364" s="37"/>
      <c r="O364" s="37"/>
      <c r="P364" s="37">
        <v>0</v>
      </c>
      <c r="Q364" s="37">
        <v>0</v>
      </c>
      <c r="R364" s="37" t="s">
        <v>968</v>
      </c>
      <c r="S364" s="37"/>
    </row>
    <row r="365" spans="1:19" x14ac:dyDescent="0.3">
      <c r="A365" s="37">
        <v>223</v>
      </c>
      <c r="B365" s="37" t="s">
        <v>966</v>
      </c>
      <c r="C365" s="37" t="s">
        <v>251</v>
      </c>
      <c r="D365" s="37" t="s">
        <v>139</v>
      </c>
      <c r="E365" s="37" t="s">
        <v>22</v>
      </c>
      <c r="F365" s="42">
        <v>45657</v>
      </c>
      <c r="G365" s="37">
        <v>2024</v>
      </c>
      <c r="H365" s="37" t="s">
        <v>27</v>
      </c>
      <c r="I365" s="39" t="s">
        <v>36</v>
      </c>
      <c r="J365" s="37">
        <v>100</v>
      </c>
      <c r="K365" s="37">
        <v>94.12</v>
      </c>
      <c r="L365" s="24">
        <f t="shared" si="38"/>
        <v>0.94120000000000004</v>
      </c>
      <c r="M365" s="24">
        <f t="shared" si="39"/>
        <v>0.94120000000000004</v>
      </c>
      <c r="N365" s="37"/>
      <c r="O365" s="37"/>
      <c r="P365" s="37">
        <v>0</v>
      </c>
      <c r="Q365" s="37">
        <v>0</v>
      </c>
      <c r="R365" s="37" t="s">
        <v>969</v>
      </c>
      <c r="S365" s="37"/>
    </row>
    <row r="366" spans="1:19" x14ac:dyDescent="0.3">
      <c r="A366" s="37">
        <v>224</v>
      </c>
      <c r="B366" s="37" t="s">
        <v>971</v>
      </c>
      <c r="C366" s="37" t="s">
        <v>251</v>
      </c>
      <c r="D366" s="37" t="s">
        <v>139</v>
      </c>
      <c r="E366" s="37" t="s">
        <v>22</v>
      </c>
      <c r="F366" s="42">
        <v>44926</v>
      </c>
      <c r="G366" s="37">
        <v>2022</v>
      </c>
      <c r="H366" s="37" t="s">
        <v>27</v>
      </c>
      <c r="I366" s="37" t="s">
        <v>28</v>
      </c>
      <c r="J366" s="37">
        <v>100</v>
      </c>
      <c r="K366" s="37">
        <v>71.428571428571431</v>
      </c>
      <c r="L366" s="24">
        <f t="shared" si="38"/>
        <v>0.7142857142857143</v>
      </c>
      <c r="M366" s="24">
        <f t="shared" si="39"/>
        <v>0.7142857142857143</v>
      </c>
      <c r="N366" s="37" t="s">
        <v>25</v>
      </c>
      <c r="O366" s="37" t="s">
        <v>25</v>
      </c>
      <c r="P366" s="37">
        <v>0</v>
      </c>
      <c r="Q366" s="37">
        <v>0</v>
      </c>
      <c r="R366" s="37" t="s">
        <v>972</v>
      </c>
      <c r="S366" s="37"/>
    </row>
    <row r="367" spans="1:19" x14ac:dyDescent="0.3">
      <c r="A367" s="41">
        <v>224</v>
      </c>
      <c r="B367" s="37" t="s">
        <v>971</v>
      </c>
      <c r="C367" s="37" t="s">
        <v>251</v>
      </c>
      <c r="D367" s="37" t="s">
        <v>139</v>
      </c>
      <c r="E367" s="37" t="s">
        <v>22</v>
      </c>
      <c r="F367" s="42">
        <v>45291</v>
      </c>
      <c r="G367" s="37">
        <v>2023</v>
      </c>
      <c r="H367" s="37" t="s">
        <v>27</v>
      </c>
      <c r="I367" s="39" t="s">
        <v>32</v>
      </c>
      <c r="J367" s="37">
        <v>100</v>
      </c>
      <c r="K367" s="37">
        <v>40</v>
      </c>
      <c r="L367" s="55">
        <f t="shared" si="38"/>
        <v>0.4</v>
      </c>
      <c r="M367" s="24">
        <f t="shared" si="39"/>
        <v>0.4</v>
      </c>
      <c r="N367" s="37"/>
      <c r="O367" s="37"/>
      <c r="P367" s="37">
        <v>0</v>
      </c>
      <c r="Q367" s="37">
        <v>0</v>
      </c>
      <c r="R367" s="37" t="s">
        <v>973</v>
      </c>
      <c r="S367" s="37"/>
    </row>
    <row r="368" spans="1:19" x14ac:dyDescent="0.3">
      <c r="A368" s="37">
        <v>224</v>
      </c>
      <c r="B368" s="37" t="s">
        <v>971</v>
      </c>
      <c r="C368" s="37" t="s">
        <v>251</v>
      </c>
      <c r="D368" s="37" t="s">
        <v>139</v>
      </c>
      <c r="E368" s="37" t="s">
        <v>22</v>
      </c>
      <c r="F368" s="42">
        <v>45657</v>
      </c>
      <c r="G368" s="37">
        <v>2024</v>
      </c>
      <c r="H368" s="37" t="s">
        <v>27</v>
      </c>
      <c r="I368" s="39" t="s">
        <v>36</v>
      </c>
      <c r="J368" s="37">
        <v>100</v>
      </c>
      <c r="K368" s="37">
        <v>100</v>
      </c>
      <c r="L368" s="24">
        <f t="shared" si="38"/>
        <v>1</v>
      </c>
      <c r="M368" s="24">
        <f t="shared" si="39"/>
        <v>1</v>
      </c>
      <c r="N368" s="37"/>
      <c r="O368" s="37"/>
      <c r="P368" s="37">
        <v>0</v>
      </c>
      <c r="Q368" s="37">
        <v>0</v>
      </c>
      <c r="R368" s="37" t="s">
        <v>974</v>
      </c>
      <c r="S368" s="37"/>
    </row>
    <row r="369" spans="1:19" x14ac:dyDescent="0.3">
      <c r="A369" s="37">
        <v>225</v>
      </c>
      <c r="B369" s="37" t="s">
        <v>976</v>
      </c>
      <c r="C369" s="37" t="s">
        <v>251</v>
      </c>
      <c r="D369" s="37" t="s">
        <v>39</v>
      </c>
      <c r="E369" s="37" t="s">
        <v>22</v>
      </c>
      <c r="F369" s="42">
        <v>44742</v>
      </c>
      <c r="G369" s="37">
        <v>2022</v>
      </c>
      <c r="H369" s="37" t="s">
        <v>23</v>
      </c>
      <c r="I369" s="37" t="s">
        <v>24</v>
      </c>
      <c r="J369" s="37">
        <v>1</v>
      </c>
      <c r="K369" s="37">
        <v>0</v>
      </c>
      <c r="L369" s="24">
        <f t="shared" ref="L369:L387" si="40">IFERROR(IF(OR(J369=0,K369=""),"",IF(E369="Positivo",MIN(MAX(K369/J369,0),1.3),MIN(MAX(J369/K369,0),1.3))),"")</f>
        <v>0</v>
      </c>
      <c r="M369" s="24">
        <f t="shared" ref="M369:M387" si="41">IFERROR(IF(OR(J369=0,K369=""),"",IF(E369="Positivo",MAX(K369/J369,0),MAX(J369/K369,0))),"")</f>
        <v>0</v>
      </c>
      <c r="N369" s="37" t="s">
        <v>25</v>
      </c>
      <c r="O369" s="37" t="s">
        <v>25</v>
      </c>
      <c r="P369" s="37">
        <v>0</v>
      </c>
      <c r="Q369" s="37">
        <v>0</v>
      </c>
      <c r="R369" s="37" t="s">
        <v>982</v>
      </c>
      <c r="S369" s="37"/>
    </row>
    <row r="370" spans="1:19" x14ac:dyDescent="0.3">
      <c r="A370" s="37">
        <v>225</v>
      </c>
      <c r="B370" s="37" t="s">
        <v>976</v>
      </c>
      <c r="C370" s="37" t="s">
        <v>251</v>
      </c>
      <c r="D370" s="37" t="s">
        <v>39</v>
      </c>
      <c r="E370" s="37" t="s">
        <v>22</v>
      </c>
      <c r="F370" s="42">
        <v>44926</v>
      </c>
      <c r="G370" s="37">
        <v>2022</v>
      </c>
      <c r="H370" s="37" t="s">
        <v>27</v>
      </c>
      <c r="I370" s="37" t="s">
        <v>28</v>
      </c>
      <c r="J370" s="37">
        <v>1</v>
      </c>
      <c r="K370" s="37">
        <v>0</v>
      </c>
      <c r="L370" s="24">
        <f t="shared" si="40"/>
        <v>0</v>
      </c>
      <c r="M370" s="24">
        <f t="shared" si="41"/>
        <v>0</v>
      </c>
      <c r="N370" s="37" t="s">
        <v>25</v>
      </c>
      <c r="O370" s="37" t="s">
        <v>25</v>
      </c>
      <c r="P370" s="37">
        <v>0</v>
      </c>
      <c r="Q370" s="37">
        <v>0</v>
      </c>
      <c r="R370" s="37" t="s">
        <v>988</v>
      </c>
      <c r="S370" s="37"/>
    </row>
    <row r="371" spans="1:19" x14ac:dyDescent="0.3">
      <c r="A371" s="41">
        <v>225</v>
      </c>
      <c r="B371" s="37" t="s">
        <v>976</v>
      </c>
      <c r="C371" s="37" t="s">
        <v>251</v>
      </c>
      <c r="D371" s="37" t="s">
        <v>73</v>
      </c>
      <c r="E371" s="37" t="s">
        <v>22</v>
      </c>
      <c r="F371" s="42">
        <v>44957</v>
      </c>
      <c r="G371" s="37">
        <v>2023</v>
      </c>
      <c r="H371" s="37" t="s">
        <v>74</v>
      </c>
      <c r="I371" s="39" t="s">
        <v>30</v>
      </c>
      <c r="J371" s="37">
        <v>1</v>
      </c>
      <c r="K371" s="37">
        <v>21</v>
      </c>
      <c r="L371" s="55">
        <f t="shared" si="40"/>
        <v>1.3</v>
      </c>
      <c r="M371" s="24">
        <f t="shared" si="41"/>
        <v>21</v>
      </c>
      <c r="N371" s="37"/>
      <c r="O371" s="37"/>
      <c r="P371" s="37">
        <v>0</v>
      </c>
      <c r="Q371" s="37">
        <v>0</v>
      </c>
      <c r="R371" s="37" t="s">
        <v>989</v>
      </c>
      <c r="S371" s="37"/>
    </row>
    <row r="372" spans="1:19" x14ac:dyDescent="0.3">
      <c r="A372" s="41">
        <v>225</v>
      </c>
      <c r="B372" s="37" t="s">
        <v>976</v>
      </c>
      <c r="C372" s="37" t="s">
        <v>251</v>
      </c>
      <c r="D372" s="37" t="s">
        <v>73</v>
      </c>
      <c r="E372" s="37" t="s">
        <v>22</v>
      </c>
      <c r="F372" s="42">
        <v>44985</v>
      </c>
      <c r="G372" s="37">
        <v>2023</v>
      </c>
      <c r="H372" s="37" t="s">
        <v>76</v>
      </c>
      <c r="I372" s="39" t="s">
        <v>30</v>
      </c>
      <c r="J372" s="37">
        <v>1</v>
      </c>
      <c r="K372" s="37">
        <v>21</v>
      </c>
      <c r="L372" s="55">
        <f t="shared" si="40"/>
        <v>1.3</v>
      </c>
      <c r="M372" s="24">
        <f t="shared" si="41"/>
        <v>21</v>
      </c>
      <c r="N372" s="37"/>
      <c r="O372" s="37"/>
      <c r="P372" s="37">
        <v>0</v>
      </c>
      <c r="Q372" s="37">
        <v>0</v>
      </c>
      <c r="R372" s="37" t="s">
        <v>990</v>
      </c>
      <c r="S372" s="37"/>
    </row>
    <row r="373" spans="1:19" x14ac:dyDescent="0.3">
      <c r="A373" s="41">
        <v>225</v>
      </c>
      <c r="B373" s="37" t="s">
        <v>976</v>
      </c>
      <c r="C373" s="37" t="s">
        <v>251</v>
      </c>
      <c r="D373" s="37" t="s">
        <v>73</v>
      </c>
      <c r="E373" s="37" t="s">
        <v>22</v>
      </c>
      <c r="F373" s="42">
        <v>45016</v>
      </c>
      <c r="G373" s="37">
        <v>2023</v>
      </c>
      <c r="H373" s="37" t="s">
        <v>40</v>
      </c>
      <c r="I373" s="39" t="s">
        <v>30</v>
      </c>
      <c r="J373" s="37">
        <v>1</v>
      </c>
      <c r="K373" s="37">
        <v>21</v>
      </c>
      <c r="L373" s="55">
        <f t="shared" si="40"/>
        <v>1.3</v>
      </c>
      <c r="M373" s="24">
        <f t="shared" si="41"/>
        <v>21</v>
      </c>
      <c r="N373" s="37"/>
      <c r="O373" s="37"/>
      <c r="P373" s="37">
        <v>0</v>
      </c>
      <c r="Q373" s="37">
        <v>0</v>
      </c>
      <c r="R373" s="37" t="s">
        <v>991</v>
      </c>
      <c r="S373" s="37"/>
    </row>
    <row r="374" spans="1:19" x14ac:dyDescent="0.3">
      <c r="A374" s="41">
        <v>225</v>
      </c>
      <c r="B374" s="37" t="s">
        <v>976</v>
      </c>
      <c r="C374" s="37" t="s">
        <v>251</v>
      </c>
      <c r="D374" s="37" t="s">
        <v>73</v>
      </c>
      <c r="E374" s="37" t="s">
        <v>22</v>
      </c>
      <c r="F374" s="42">
        <v>45046</v>
      </c>
      <c r="G374" s="37">
        <v>2023</v>
      </c>
      <c r="H374" s="37" t="s">
        <v>79</v>
      </c>
      <c r="I374" s="39" t="s">
        <v>30</v>
      </c>
      <c r="J374" s="37">
        <v>1</v>
      </c>
      <c r="K374" s="37">
        <v>21</v>
      </c>
      <c r="L374" s="55">
        <f t="shared" si="40"/>
        <v>1.3</v>
      </c>
      <c r="M374" s="24">
        <f t="shared" si="41"/>
        <v>21</v>
      </c>
      <c r="N374" s="37"/>
      <c r="O374" s="37"/>
      <c r="P374" s="37">
        <v>0</v>
      </c>
      <c r="Q374" s="37">
        <v>0</v>
      </c>
      <c r="R374" s="37" t="s">
        <v>992</v>
      </c>
      <c r="S374" s="37"/>
    </row>
    <row r="375" spans="1:19" x14ac:dyDescent="0.3">
      <c r="A375" s="41">
        <v>225</v>
      </c>
      <c r="B375" s="37" t="s">
        <v>976</v>
      </c>
      <c r="C375" s="37" t="s">
        <v>251</v>
      </c>
      <c r="D375" s="37" t="s">
        <v>73</v>
      </c>
      <c r="E375" s="37" t="s">
        <v>22</v>
      </c>
      <c r="F375" s="42">
        <v>45077</v>
      </c>
      <c r="G375" s="37">
        <v>2023</v>
      </c>
      <c r="H375" s="37" t="s">
        <v>81</v>
      </c>
      <c r="I375" s="39" t="s">
        <v>30</v>
      </c>
      <c r="J375" s="37">
        <v>1</v>
      </c>
      <c r="K375" s="37">
        <v>21</v>
      </c>
      <c r="L375" s="55">
        <f t="shared" si="40"/>
        <v>1.3</v>
      </c>
      <c r="M375" s="24">
        <f t="shared" si="41"/>
        <v>21</v>
      </c>
      <c r="N375" s="37"/>
      <c r="O375" s="37"/>
      <c r="P375" s="37">
        <v>0</v>
      </c>
      <c r="Q375" s="37">
        <v>0</v>
      </c>
      <c r="R375" s="37" t="s">
        <v>993</v>
      </c>
      <c r="S375" s="37"/>
    </row>
    <row r="376" spans="1:19" x14ac:dyDescent="0.3">
      <c r="A376" s="41">
        <v>225</v>
      </c>
      <c r="B376" s="37" t="s">
        <v>976</v>
      </c>
      <c r="C376" s="37" t="s">
        <v>251</v>
      </c>
      <c r="D376" s="37" t="s">
        <v>73</v>
      </c>
      <c r="E376" s="37" t="s">
        <v>22</v>
      </c>
      <c r="F376" s="42">
        <v>45107</v>
      </c>
      <c r="G376" s="37">
        <v>2023</v>
      </c>
      <c r="H376" s="37" t="s">
        <v>23</v>
      </c>
      <c r="I376" s="39" t="s">
        <v>30</v>
      </c>
      <c r="J376" s="37">
        <v>1</v>
      </c>
      <c r="K376" s="37">
        <v>21</v>
      </c>
      <c r="L376" s="55">
        <f t="shared" si="40"/>
        <v>1.3</v>
      </c>
      <c r="M376" s="24">
        <f t="shared" si="41"/>
        <v>21</v>
      </c>
      <c r="N376" s="37"/>
      <c r="O376" s="37"/>
      <c r="P376" s="37">
        <v>0</v>
      </c>
      <c r="Q376" s="37">
        <v>0</v>
      </c>
      <c r="R376" s="37" t="s">
        <v>994</v>
      </c>
      <c r="S376" s="37"/>
    </row>
    <row r="377" spans="1:19" x14ac:dyDescent="0.3">
      <c r="A377" s="37">
        <v>225</v>
      </c>
      <c r="B377" s="37" t="s">
        <v>976</v>
      </c>
      <c r="C377" s="37" t="s">
        <v>251</v>
      </c>
      <c r="D377" s="37" t="s">
        <v>73</v>
      </c>
      <c r="E377" s="37" t="s">
        <v>22</v>
      </c>
      <c r="F377" s="42">
        <v>45138</v>
      </c>
      <c r="G377" s="40">
        <v>2023</v>
      </c>
      <c r="H377" s="39" t="s">
        <v>84</v>
      </c>
      <c r="I377" s="39" t="s">
        <v>32</v>
      </c>
      <c r="J377" s="37">
        <v>1</v>
      </c>
      <c r="K377" s="37">
        <v>19.833333333333329</v>
      </c>
      <c r="L377" s="55">
        <f t="shared" si="40"/>
        <v>1.3</v>
      </c>
      <c r="M377" s="24">
        <f t="shared" si="41"/>
        <v>19.833333333333329</v>
      </c>
      <c r="N377" s="37"/>
      <c r="O377" s="37"/>
      <c r="P377" s="37">
        <v>0</v>
      </c>
      <c r="Q377" s="37">
        <v>0</v>
      </c>
      <c r="R377" s="37" t="s">
        <v>995</v>
      </c>
      <c r="S377" s="37"/>
    </row>
    <row r="378" spans="1:19" x14ac:dyDescent="0.3">
      <c r="A378" s="37">
        <v>225</v>
      </c>
      <c r="B378" s="37" t="s">
        <v>976</v>
      </c>
      <c r="C378" s="37" t="s">
        <v>251</v>
      </c>
      <c r="D378" s="37" t="s">
        <v>73</v>
      </c>
      <c r="E378" s="37" t="s">
        <v>22</v>
      </c>
      <c r="F378" s="42">
        <v>45169</v>
      </c>
      <c r="G378" s="40">
        <v>2023</v>
      </c>
      <c r="H378" s="39" t="s">
        <v>86</v>
      </c>
      <c r="I378" s="39" t="s">
        <v>32</v>
      </c>
      <c r="J378" s="37">
        <v>1</v>
      </c>
      <c r="K378" s="37">
        <v>19.833333333333329</v>
      </c>
      <c r="L378" s="55">
        <f t="shared" si="40"/>
        <v>1.3</v>
      </c>
      <c r="M378" s="24">
        <f t="shared" si="41"/>
        <v>19.833333333333329</v>
      </c>
      <c r="N378" s="37"/>
      <c r="O378" s="37"/>
      <c r="P378" s="37">
        <v>0</v>
      </c>
      <c r="Q378" s="37">
        <v>0</v>
      </c>
      <c r="R378" s="37" t="s">
        <v>996</v>
      </c>
      <c r="S378" s="37"/>
    </row>
    <row r="379" spans="1:19" x14ac:dyDescent="0.3">
      <c r="A379" s="37">
        <v>225</v>
      </c>
      <c r="B379" s="37" t="s">
        <v>976</v>
      </c>
      <c r="C379" s="37" t="s">
        <v>251</v>
      </c>
      <c r="D379" s="37" t="s">
        <v>73</v>
      </c>
      <c r="E379" s="37" t="s">
        <v>22</v>
      </c>
      <c r="F379" s="42">
        <v>45199</v>
      </c>
      <c r="G379" s="40">
        <v>2023</v>
      </c>
      <c r="H379" s="39" t="s">
        <v>43</v>
      </c>
      <c r="I379" s="39" t="s">
        <v>32</v>
      </c>
      <c r="J379" s="37">
        <v>1</v>
      </c>
      <c r="K379" s="37">
        <v>19.833333333333329</v>
      </c>
      <c r="L379" s="55">
        <f t="shared" si="40"/>
        <v>1.3</v>
      </c>
      <c r="M379" s="24">
        <f t="shared" si="41"/>
        <v>19.833333333333329</v>
      </c>
      <c r="N379" s="37"/>
      <c r="O379" s="37"/>
      <c r="P379" s="37">
        <v>0</v>
      </c>
      <c r="Q379" s="37">
        <v>0</v>
      </c>
      <c r="R379" s="37" t="s">
        <v>997</v>
      </c>
      <c r="S379" s="37"/>
    </row>
    <row r="380" spans="1:19" x14ac:dyDescent="0.3">
      <c r="A380" s="41">
        <v>225</v>
      </c>
      <c r="B380" s="37" t="s">
        <v>976</v>
      </c>
      <c r="C380" s="37" t="s">
        <v>251</v>
      </c>
      <c r="D380" s="37" t="s">
        <v>73</v>
      </c>
      <c r="E380" s="37" t="s">
        <v>22</v>
      </c>
      <c r="F380" s="42">
        <v>45230</v>
      </c>
      <c r="G380" s="37">
        <v>2023</v>
      </c>
      <c r="H380" s="37" t="s">
        <v>89</v>
      </c>
      <c r="I380" s="39" t="s">
        <v>32</v>
      </c>
      <c r="J380" s="37">
        <v>1</v>
      </c>
      <c r="K380" s="37">
        <v>19.833333333333329</v>
      </c>
      <c r="L380" s="55">
        <f t="shared" si="40"/>
        <v>1.3</v>
      </c>
      <c r="M380" s="24">
        <f t="shared" si="41"/>
        <v>19.833333333333329</v>
      </c>
      <c r="N380" s="37"/>
      <c r="O380" s="37"/>
      <c r="P380" s="37">
        <v>0</v>
      </c>
      <c r="Q380" s="37">
        <v>0</v>
      </c>
      <c r="R380" s="37" t="s">
        <v>998</v>
      </c>
      <c r="S380" s="37"/>
    </row>
    <row r="381" spans="1:19" x14ac:dyDescent="0.3">
      <c r="A381" s="41">
        <v>225</v>
      </c>
      <c r="B381" s="37" t="s">
        <v>976</v>
      </c>
      <c r="C381" s="37" t="s">
        <v>251</v>
      </c>
      <c r="D381" s="37" t="s">
        <v>73</v>
      </c>
      <c r="E381" s="37" t="s">
        <v>22</v>
      </c>
      <c r="F381" s="42">
        <v>45260</v>
      </c>
      <c r="G381" s="37">
        <v>2023</v>
      </c>
      <c r="H381" s="37" t="s">
        <v>91</v>
      </c>
      <c r="I381" s="70" t="s">
        <v>32</v>
      </c>
      <c r="J381" s="37">
        <v>1</v>
      </c>
      <c r="K381" s="37">
        <v>19.833333333333329</v>
      </c>
      <c r="L381" s="55">
        <f t="shared" si="40"/>
        <v>1.3</v>
      </c>
      <c r="M381" s="24">
        <f t="shared" si="41"/>
        <v>19.833333333333329</v>
      </c>
      <c r="N381" s="37"/>
      <c r="O381" s="37"/>
      <c r="P381" s="37">
        <v>0</v>
      </c>
      <c r="Q381" s="37">
        <v>0</v>
      </c>
      <c r="R381" s="37" t="s">
        <v>999</v>
      </c>
      <c r="S381" s="37"/>
    </row>
    <row r="382" spans="1:19" x14ac:dyDescent="0.3">
      <c r="A382" s="41">
        <v>225</v>
      </c>
      <c r="B382" s="37" t="s">
        <v>976</v>
      </c>
      <c r="C382" s="37" t="s">
        <v>251</v>
      </c>
      <c r="D382" s="37" t="s">
        <v>73</v>
      </c>
      <c r="E382" s="37" t="s">
        <v>22</v>
      </c>
      <c r="F382" s="42">
        <v>45291</v>
      </c>
      <c r="G382" s="37">
        <v>2023</v>
      </c>
      <c r="H382" s="37" t="s">
        <v>27</v>
      </c>
      <c r="I382" s="39" t="s">
        <v>32</v>
      </c>
      <c r="J382" s="37">
        <v>1</v>
      </c>
      <c r="K382" s="37">
        <v>19.833333333333329</v>
      </c>
      <c r="L382" s="55">
        <f t="shared" si="40"/>
        <v>1.3</v>
      </c>
      <c r="M382" s="24">
        <f t="shared" si="41"/>
        <v>19.833333333333329</v>
      </c>
      <c r="N382" s="37"/>
      <c r="O382" s="37"/>
      <c r="P382" s="37">
        <v>0</v>
      </c>
      <c r="Q382" s="37">
        <v>0</v>
      </c>
      <c r="R382" s="37" t="s">
        <v>1000</v>
      </c>
      <c r="S382" s="37"/>
    </row>
    <row r="383" spans="1:19" x14ac:dyDescent="0.3">
      <c r="A383" s="37">
        <v>225</v>
      </c>
      <c r="B383" s="37" t="s">
        <v>976</v>
      </c>
      <c r="C383" s="37" t="s">
        <v>251</v>
      </c>
      <c r="D383" s="37" t="s">
        <v>73</v>
      </c>
      <c r="E383" s="37" t="s">
        <v>22</v>
      </c>
      <c r="F383" s="42">
        <v>45473</v>
      </c>
      <c r="G383" s="37">
        <v>2024</v>
      </c>
      <c r="H383" s="37" t="s">
        <v>23</v>
      </c>
      <c r="I383" s="39" t="s">
        <v>34</v>
      </c>
      <c r="J383" s="37">
        <v>1</v>
      </c>
      <c r="K383" s="37">
        <v>20.5</v>
      </c>
      <c r="L383" s="24">
        <f t="shared" si="40"/>
        <v>1.3</v>
      </c>
      <c r="M383" s="24">
        <f t="shared" si="41"/>
        <v>20.5</v>
      </c>
      <c r="N383" s="37"/>
      <c r="O383" s="37"/>
      <c r="P383" s="37">
        <v>0</v>
      </c>
      <c r="Q383" s="37">
        <v>0</v>
      </c>
      <c r="R383" s="37" t="s">
        <v>1006</v>
      </c>
      <c r="S383" s="37"/>
    </row>
    <row r="384" spans="1:19" x14ac:dyDescent="0.3">
      <c r="A384" s="37">
        <v>225</v>
      </c>
      <c r="B384" s="37" t="s">
        <v>976</v>
      </c>
      <c r="C384" s="37" t="s">
        <v>251</v>
      </c>
      <c r="D384" s="37" t="s">
        <v>73</v>
      </c>
      <c r="E384" s="37" t="s">
        <v>22</v>
      </c>
      <c r="F384" s="42">
        <v>45657</v>
      </c>
      <c r="G384" s="37">
        <v>2024</v>
      </c>
      <c r="H384" s="37" t="s">
        <v>27</v>
      </c>
      <c r="I384" s="39" t="s">
        <v>36</v>
      </c>
      <c r="J384" s="37">
        <v>1</v>
      </c>
      <c r="K384" s="37">
        <v>20.5</v>
      </c>
      <c r="L384" s="24">
        <f t="shared" si="40"/>
        <v>1.3</v>
      </c>
      <c r="M384" s="24">
        <f t="shared" si="41"/>
        <v>20.5</v>
      </c>
      <c r="N384" s="37"/>
      <c r="O384" s="37"/>
      <c r="P384" s="37">
        <v>0</v>
      </c>
      <c r="Q384" s="37">
        <v>0</v>
      </c>
      <c r="R384" s="37" t="s">
        <v>1012</v>
      </c>
      <c r="S384" s="37"/>
    </row>
    <row r="385" spans="1:19" x14ac:dyDescent="0.3">
      <c r="A385" s="41">
        <v>226</v>
      </c>
      <c r="B385" s="37" t="s">
        <v>1025</v>
      </c>
      <c r="C385" s="37" t="s">
        <v>251</v>
      </c>
      <c r="D385" s="37" t="s">
        <v>139</v>
      </c>
      <c r="E385" s="37" t="s">
        <v>22</v>
      </c>
      <c r="F385" s="42">
        <v>44926</v>
      </c>
      <c r="G385" s="40">
        <v>2022</v>
      </c>
      <c r="H385" s="39" t="s">
        <v>27</v>
      </c>
      <c r="I385" s="39" t="s">
        <v>28</v>
      </c>
      <c r="J385" s="37">
        <v>2</v>
      </c>
      <c r="K385" s="37">
        <v>476.4899959564209</v>
      </c>
      <c r="L385" s="24">
        <f t="shared" si="40"/>
        <v>1.3</v>
      </c>
      <c r="M385" s="24">
        <f t="shared" si="41"/>
        <v>238.24499797821045</v>
      </c>
      <c r="N385" s="37" t="s">
        <v>1034</v>
      </c>
      <c r="O385" s="37" t="s">
        <v>1034</v>
      </c>
      <c r="P385" s="37">
        <v>0</v>
      </c>
      <c r="Q385" s="37">
        <v>0</v>
      </c>
      <c r="R385" s="37" t="s">
        <v>1026</v>
      </c>
      <c r="S385" s="37"/>
    </row>
    <row r="386" spans="1:19" x14ac:dyDescent="0.3">
      <c r="A386" s="41">
        <v>226</v>
      </c>
      <c r="B386" s="37" t="s">
        <v>1025</v>
      </c>
      <c r="C386" s="37" t="s">
        <v>251</v>
      </c>
      <c r="D386" s="37" t="s">
        <v>139</v>
      </c>
      <c r="E386" s="37" t="s">
        <v>22</v>
      </c>
      <c r="F386" s="42">
        <v>45291</v>
      </c>
      <c r="G386" s="37">
        <v>2023</v>
      </c>
      <c r="H386" s="37" t="s">
        <v>27</v>
      </c>
      <c r="I386" s="39" t="s">
        <v>32</v>
      </c>
      <c r="J386" s="37">
        <v>2</v>
      </c>
      <c r="K386" s="37">
        <v>622.69000000000005</v>
      </c>
      <c r="L386" s="55">
        <f t="shared" si="40"/>
        <v>1.3</v>
      </c>
      <c r="M386" s="24">
        <f t="shared" si="41"/>
        <v>311.34500000000003</v>
      </c>
      <c r="N386" s="37"/>
      <c r="O386" s="37"/>
      <c r="P386" s="37">
        <v>0</v>
      </c>
      <c r="Q386" s="37">
        <v>0</v>
      </c>
      <c r="R386" s="37" t="s">
        <v>1027</v>
      </c>
      <c r="S386" s="37"/>
    </row>
    <row r="387" spans="1:19" x14ac:dyDescent="0.3">
      <c r="A387" s="37">
        <v>226</v>
      </c>
      <c r="B387" s="37" t="s">
        <v>1025</v>
      </c>
      <c r="C387" s="37" t="s">
        <v>251</v>
      </c>
      <c r="D387" s="37" t="s">
        <v>139</v>
      </c>
      <c r="E387" s="37" t="s">
        <v>22</v>
      </c>
      <c r="F387" s="42">
        <v>45657</v>
      </c>
      <c r="G387" s="37">
        <v>2024</v>
      </c>
      <c r="H387" s="37" t="s">
        <v>27</v>
      </c>
      <c r="I387" s="39" t="s">
        <v>36</v>
      </c>
      <c r="J387" s="37">
        <v>2</v>
      </c>
      <c r="K387" s="37">
        <v>3531.11</v>
      </c>
      <c r="L387" s="24">
        <f t="shared" si="40"/>
        <v>1.3</v>
      </c>
      <c r="M387" s="24">
        <f t="shared" si="41"/>
        <v>1765.5550000000001</v>
      </c>
      <c r="N387" s="37"/>
      <c r="O387" s="37"/>
      <c r="P387" s="37">
        <v>0</v>
      </c>
      <c r="Q387" s="37">
        <v>0</v>
      </c>
      <c r="R387" s="37" t="s">
        <v>1028</v>
      </c>
      <c r="S387" s="37"/>
    </row>
    <row r="388" spans="1:19" x14ac:dyDescent="0.3">
      <c r="A388" s="37">
        <v>227</v>
      </c>
      <c r="B388" s="37" t="s">
        <v>1029</v>
      </c>
      <c r="C388" s="37" t="s">
        <v>251</v>
      </c>
      <c r="D388" s="37" t="s">
        <v>139</v>
      </c>
      <c r="E388" s="37" t="s">
        <v>56</v>
      </c>
      <c r="F388" s="42">
        <v>44926</v>
      </c>
      <c r="G388" s="37">
        <v>2022</v>
      </c>
      <c r="H388" s="37" t="s">
        <v>27</v>
      </c>
      <c r="I388" s="37" t="s">
        <v>28</v>
      </c>
      <c r="J388" s="37">
        <v>0.3</v>
      </c>
      <c r="K388" s="37">
        <v>0.01</v>
      </c>
      <c r="L388" s="24">
        <f t="shared" ref="L388:L412" si="42">IFERROR(IF(OR(J388=0,K388=""),"",IF(E388="Positivo",MIN(MAX(K388/J388,0),1.3),MIN(MAX(J388/K388,0),1.3))),"")</f>
        <v>1.3</v>
      </c>
      <c r="M388" s="24">
        <f t="shared" ref="M388:M412" si="43">IFERROR(IF(OR(J388=0,K388=""),"",IF(E388="Positivo",MAX(K388/J388,0),MAX(J388/K388,0))),"")</f>
        <v>30</v>
      </c>
      <c r="N388" s="37" t="s">
        <v>25</v>
      </c>
      <c r="O388" s="37" t="s">
        <v>25</v>
      </c>
      <c r="P388" s="37">
        <v>0</v>
      </c>
      <c r="Q388" s="37">
        <v>0</v>
      </c>
      <c r="R388" s="37" t="s">
        <v>1030</v>
      </c>
      <c r="S388" s="37"/>
    </row>
    <row r="389" spans="1:19" x14ac:dyDescent="0.3">
      <c r="A389" s="41">
        <v>227</v>
      </c>
      <c r="B389" s="37" t="s">
        <v>1029</v>
      </c>
      <c r="C389" s="37" t="s">
        <v>251</v>
      </c>
      <c r="D389" s="37" t="s">
        <v>139</v>
      </c>
      <c r="E389" s="37" t="s">
        <v>56</v>
      </c>
      <c r="F389" s="42">
        <v>45291</v>
      </c>
      <c r="G389" s="37">
        <v>2023</v>
      </c>
      <c r="H389" s="37" t="s">
        <v>27</v>
      </c>
      <c r="I389" s="39" t="s">
        <v>32</v>
      </c>
      <c r="J389" s="37">
        <v>0.3</v>
      </c>
      <c r="K389" s="37">
        <v>0.01</v>
      </c>
      <c r="L389" s="24">
        <f t="shared" si="42"/>
        <v>1.3</v>
      </c>
      <c r="M389" s="24">
        <f t="shared" si="43"/>
        <v>30</v>
      </c>
      <c r="N389" s="37"/>
      <c r="O389" s="37"/>
      <c r="P389" s="37">
        <v>0</v>
      </c>
      <c r="Q389" s="37">
        <v>0</v>
      </c>
      <c r="R389" s="37" t="s">
        <v>1031</v>
      </c>
      <c r="S389" s="37"/>
    </row>
    <row r="390" spans="1:19" x14ac:dyDescent="0.3">
      <c r="A390" s="37">
        <v>227</v>
      </c>
      <c r="B390" s="37" t="s">
        <v>1029</v>
      </c>
      <c r="C390" s="37" t="s">
        <v>251</v>
      </c>
      <c r="D390" s="37" t="s">
        <v>139</v>
      </c>
      <c r="E390" s="37" t="s">
        <v>56</v>
      </c>
      <c r="F390" s="42">
        <v>45657</v>
      </c>
      <c r="G390" s="37">
        <v>2024</v>
      </c>
      <c r="H390" s="37" t="s">
        <v>27</v>
      </c>
      <c r="I390" s="39" t="s">
        <v>36</v>
      </c>
      <c r="J390" s="37">
        <v>0.3</v>
      </c>
      <c r="K390" s="37">
        <v>3531.11</v>
      </c>
      <c r="L390" s="24">
        <f t="shared" si="42"/>
        <v>8.495912050318455E-5</v>
      </c>
      <c r="M390" s="24">
        <f t="shared" si="43"/>
        <v>8.495912050318455E-5</v>
      </c>
      <c r="N390" s="37"/>
      <c r="O390" s="37"/>
      <c r="P390" s="37">
        <v>0</v>
      </c>
      <c r="Q390" s="37">
        <v>0</v>
      </c>
      <c r="R390" s="37" t="s">
        <v>1032</v>
      </c>
      <c r="S390" s="37"/>
    </row>
    <row r="391" spans="1:19" x14ac:dyDescent="0.3">
      <c r="A391" s="41">
        <v>228</v>
      </c>
      <c r="B391" s="37" t="s">
        <v>1033</v>
      </c>
      <c r="C391" s="37" t="s">
        <v>251</v>
      </c>
      <c r="D391" s="37" t="s">
        <v>139</v>
      </c>
      <c r="E391" s="37" t="s">
        <v>22</v>
      </c>
      <c r="F391" s="42">
        <v>44926</v>
      </c>
      <c r="G391" s="37">
        <v>2022</v>
      </c>
      <c r="H391" s="37" t="s">
        <v>27</v>
      </c>
      <c r="I391" s="39" t="s">
        <v>28</v>
      </c>
      <c r="J391" s="37">
        <v>100</v>
      </c>
      <c r="K391" s="37">
        <v>100.10703267644649</v>
      </c>
      <c r="L391" s="24">
        <f t="shared" si="42"/>
        <v>1.0010703267644649</v>
      </c>
      <c r="M391" s="24">
        <f t="shared" si="43"/>
        <v>1.0010703267644649</v>
      </c>
      <c r="N391" s="37"/>
      <c r="O391" s="37"/>
      <c r="P391" s="37">
        <v>1</v>
      </c>
      <c r="Q391" s="37">
        <v>1</v>
      </c>
      <c r="R391" s="37" t="s">
        <v>1035</v>
      </c>
      <c r="S391" s="37"/>
    </row>
    <row r="392" spans="1:19" x14ac:dyDescent="0.3">
      <c r="A392" s="37">
        <v>228</v>
      </c>
      <c r="B392" s="37" t="s">
        <v>1033</v>
      </c>
      <c r="C392" s="37" t="s">
        <v>251</v>
      </c>
      <c r="D392" s="37" t="s">
        <v>139</v>
      </c>
      <c r="E392" s="37" t="s">
        <v>22</v>
      </c>
      <c r="F392" s="42">
        <v>45291</v>
      </c>
      <c r="G392" s="37">
        <v>2023</v>
      </c>
      <c r="H392" s="37" t="s">
        <v>27</v>
      </c>
      <c r="I392" s="37" t="s">
        <v>32</v>
      </c>
      <c r="J392" s="37">
        <v>100</v>
      </c>
      <c r="K392" s="37">
        <v>100</v>
      </c>
      <c r="L392" s="24">
        <f t="shared" si="42"/>
        <v>1</v>
      </c>
      <c r="M392" s="24">
        <f t="shared" si="43"/>
        <v>1</v>
      </c>
      <c r="N392" s="37" t="s">
        <v>1034</v>
      </c>
      <c r="O392" s="37" t="s">
        <v>1034</v>
      </c>
      <c r="P392" s="37">
        <v>1</v>
      </c>
      <c r="Q392" s="37">
        <v>1</v>
      </c>
      <c r="R392" s="37" t="s">
        <v>1036</v>
      </c>
      <c r="S392" s="37"/>
    </row>
    <row r="393" spans="1:19" x14ac:dyDescent="0.3">
      <c r="A393" s="37">
        <v>228</v>
      </c>
      <c r="B393" s="37" t="s">
        <v>1033</v>
      </c>
      <c r="C393" s="37" t="s">
        <v>251</v>
      </c>
      <c r="D393" s="37" t="s">
        <v>139</v>
      </c>
      <c r="E393" s="37" t="s">
        <v>22</v>
      </c>
      <c r="F393" s="42">
        <v>45657</v>
      </c>
      <c r="G393" s="37">
        <v>2024</v>
      </c>
      <c r="H393" s="37" t="s">
        <v>27</v>
      </c>
      <c r="I393" s="39" t="s">
        <v>36</v>
      </c>
      <c r="J393" s="37">
        <v>100</v>
      </c>
      <c r="K393" s="37">
        <v>3531.11</v>
      </c>
      <c r="L393" s="24">
        <f t="shared" si="42"/>
        <v>1.3</v>
      </c>
      <c r="M393" s="24">
        <f t="shared" si="43"/>
        <v>35.311100000000003</v>
      </c>
      <c r="N393" s="37"/>
      <c r="O393" s="37"/>
      <c r="P393" s="37">
        <v>0</v>
      </c>
      <c r="Q393" s="37">
        <v>0</v>
      </c>
      <c r="R393" s="37" t="s">
        <v>1037</v>
      </c>
      <c r="S393" s="37"/>
    </row>
    <row r="394" spans="1:19" x14ac:dyDescent="0.3">
      <c r="A394" s="45">
        <v>230</v>
      </c>
      <c r="B394" s="37" t="s">
        <v>1038</v>
      </c>
      <c r="C394" s="37" t="s">
        <v>251</v>
      </c>
      <c r="D394" s="37" t="s">
        <v>21</v>
      </c>
      <c r="E394" s="37" t="s">
        <v>22</v>
      </c>
      <c r="F394" s="42">
        <v>45107</v>
      </c>
      <c r="G394" s="37">
        <v>2023</v>
      </c>
      <c r="H394" s="37" t="s">
        <v>23</v>
      </c>
      <c r="I394" s="39" t="s">
        <v>30</v>
      </c>
      <c r="J394" s="37">
        <v>90</v>
      </c>
      <c r="K394" s="37">
        <v>100</v>
      </c>
      <c r="L394" s="55">
        <f t="shared" si="42"/>
        <v>1.1111111111111112</v>
      </c>
      <c r="M394" s="24">
        <f t="shared" si="43"/>
        <v>1.1111111111111112</v>
      </c>
      <c r="N394" s="37"/>
      <c r="O394" s="37"/>
      <c r="P394" s="37">
        <v>0</v>
      </c>
      <c r="Q394" s="37">
        <v>0</v>
      </c>
      <c r="R394" s="37" t="s">
        <v>1039</v>
      </c>
      <c r="S394" s="37"/>
    </row>
    <row r="395" spans="1:19" x14ac:dyDescent="0.3">
      <c r="A395" s="41">
        <v>230</v>
      </c>
      <c r="B395" s="37" t="s">
        <v>1038</v>
      </c>
      <c r="C395" s="37" t="s">
        <v>251</v>
      </c>
      <c r="D395" s="37" t="s">
        <v>21</v>
      </c>
      <c r="E395" s="37" t="s">
        <v>22</v>
      </c>
      <c r="F395" s="42">
        <v>45291</v>
      </c>
      <c r="G395" s="37">
        <v>2023</v>
      </c>
      <c r="H395" s="37" t="s">
        <v>27</v>
      </c>
      <c r="I395" s="39" t="s">
        <v>32</v>
      </c>
      <c r="J395" s="37">
        <v>90</v>
      </c>
      <c r="K395" s="37">
        <v>100</v>
      </c>
      <c r="L395" s="55">
        <f t="shared" si="42"/>
        <v>1.1111111111111112</v>
      </c>
      <c r="M395" s="24">
        <f t="shared" si="43"/>
        <v>1.1111111111111112</v>
      </c>
      <c r="N395" s="37"/>
      <c r="O395" s="37"/>
      <c r="P395" s="37">
        <v>0</v>
      </c>
      <c r="Q395" s="37">
        <v>0</v>
      </c>
      <c r="R395" s="37" t="s">
        <v>1040</v>
      </c>
      <c r="S395" s="37"/>
    </row>
    <row r="396" spans="1:19" x14ac:dyDescent="0.3">
      <c r="A396" s="37">
        <v>230</v>
      </c>
      <c r="B396" s="37" t="s">
        <v>1038</v>
      </c>
      <c r="C396" s="37" t="s">
        <v>251</v>
      </c>
      <c r="D396" s="37" t="s">
        <v>21</v>
      </c>
      <c r="E396" s="37" t="s">
        <v>22</v>
      </c>
      <c r="F396" s="42">
        <v>45473</v>
      </c>
      <c r="G396" s="37">
        <v>2024</v>
      </c>
      <c r="H396" s="37" t="s">
        <v>23</v>
      </c>
      <c r="I396" s="39" t="s">
        <v>34</v>
      </c>
      <c r="J396" s="37">
        <v>90</v>
      </c>
      <c r="K396" s="37">
        <v>100</v>
      </c>
      <c r="L396" s="24">
        <f t="shared" si="42"/>
        <v>1.1111111111111112</v>
      </c>
      <c r="M396" s="24">
        <f t="shared" si="43"/>
        <v>1.1111111111111112</v>
      </c>
      <c r="N396" s="37"/>
      <c r="O396" s="37"/>
      <c r="P396" s="37">
        <v>0</v>
      </c>
      <c r="Q396" s="37">
        <v>0</v>
      </c>
      <c r="R396" s="37" t="s">
        <v>1041</v>
      </c>
      <c r="S396" s="37"/>
    </row>
    <row r="397" spans="1:19" x14ac:dyDescent="0.3">
      <c r="A397" s="37">
        <v>230</v>
      </c>
      <c r="B397" s="37" t="s">
        <v>1038</v>
      </c>
      <c r="C397" s="37" t="s">
        <v>251</v>
      </c>
      <c r="D397" s="37" t="s">
        <v>21</v>
      </c>
      <c r="E397" s="37" t="s">
        <v>22</v>
      </c>
      <c r="F397" s="42">
        <v>45657</v>
      </c>
      <c r="G397" s="37">
        <v>2024</v>
      </c>
      <c r="H397" s="37" t="s">
        <v>27</v>
      </c>
      <c r="I397" s="39" t="s">
        <v>36</v>
      </c>
      <c r="J397" s="37">
        <v>90</v>
      </c>
      <c r="K397" s="37">
        <v>100</v>
      </c>
      <c r="L397" s="24">
        <f t="shared" si="42"/>
        <v>1.1111111111111112</v>
      </c>
      <c r="M397" s="24">
        <f t="shared" si="43"/>
        <v>1.1111111111111112</v>
      </c>
      <c r="N397" s="37"/>
      <c r="O397" s="37"/>
      <c r="P397" s="37">
        <v>0</v>
      </c>
      <c r="Q397" s="37">
        <v>0</v>
      </c>
      <c r="R397" s="37" t="s">
        <v>1042</v>
      </c>
      <c r="S397" s="37"/>
    </row>
    <row r="398" spans="1:19" x14ac:dyDescent="0.3">
      <c r="A398" s="45">
        <v>231</v>
      </c>
      <c r="B398" s="37" t="s">
        <v>1043</v>
      </c>
      <c r="C398" s="37" t="s">
        <v>251</v>
      </c>
      <c r="D398" s="37" t="s">
        <v>21</v>
      </c>
      <c r="E398" s="37" t="s">
        <v>22</v>
      </c>
      <c r="F398" s="42">
        <v>45107</v>
      </c>
      <c r="G398" s="37">
        <v>2023</v>
      </c>
      <c r="H398" s="37" t="s">
        <v>23</v>
      </c>
      <c r="I398" s="39" t="s">
        <v>30</v>
      </c>
      <c r="J398" s="37">
        <v>2516</v>
      </c>
      <c r="K398" s="37">
        <v>1021</v>
      </c>
      <c r="L398" s="55">
        <f t="shared" si="42"/>
        <v>0.40580286168521462</v>
      </c>
      <c r="M398" s="24">
        <f t="shared" si="43"/>
        <v>0.40580286168521462</v>
      </c>
      <c r="N398" s="37"/>
      <c r="O398" s="37"/>
      <c r="P398" s="37">
        <v>0</v>
      </c>
      <c r="Q398" s="37">
        <v>0</v>
      </c>
      <c r="R398" s="37" t="s">
        <v>1044</v>
      </c>
      <c r="S398" s="37"/>
    </row>
    <row r="399" spans="1:19" x14ac:dyDescent="0.3">
      <c r="A399" s="41">
        <v>231</v>
      </c>
      <c r="B399" s="37" t="s">
        <v>1043</v>
      </c>
      <c r="C399" s="37" t="s">
        <v>251</v>
      </c>
      <c r="D399" s="37" t="s">
        <v>21</v>
      </c>
      <c r="E399" s="37" t="s">
        <v>22</v>
      </c>
      <c r="F399" s="42">
        <v>45291</v>
      </c>
      <c r="G399" s="37">
        <v>2023</v>
      </c>
      <c r="H399" s="37" t="s">
        <v>27</v>
      </c>
      <c r="I399" s="39" t="s">
        <v>32</v>
      </c>
      <c r="J399" s="37">
        <v>450</v>
      </c>
      <c r="K399" s="37">
        <v>434</v>
      </c>
      <c r="L399" s="55">
        <f t="shared" si="42"/>
        <v>0.96444444444444444</v>
      </c>
      <c r="M399" s="24">
        <f t="shared" si="43"/>
        <v>0.96444444444444444</v>
      </c>
      <c r="N399" s="37"/>
      <c r="O399" s="37"/>
      <c r="P399" s="37">
        <v>0</v>
      </c>
      <c r="Q399" s="37">
        <v>0</v>
      </c>
      <c r="R399" s="37" t="s">
        <v>1045</v>
      </c>
      <c r="S399" s="37"/>
    </row>
    <row r="400" spans="1:19" x14ac:dyDescent="0.3">
      <c r="A400" s="37">
        <v>231</v>
      </c>
      <c r="B400" s="37" t="s">
        <v>1043</v>
      </c>
      <c r="C400" s="37" t="s">
        <v>251</v>
      </c>
      <c r="D400" s="37" t="s">
        <v>21</v>
      </c>
      <c r="E400" s="37" t="s">
        <v>22</v>
      </c>
      <c r="F400" s="42">
        <v>45473</v>
      </c>
      <c r="G400" s="37">
        <v>2024</v>
      </c>
      <c r="H400" s="37" t="s">
        <v>23</v>
      </c>
      <c r="I400" s="39" t="s">
        <v>34</v>
      </c>
      <c r="J400" s="37">
        <v>1016</v>
      </c>
      <c r="K400" s="37">
        <v>983</v>
      </c>
      <c r="L400" s="24">
        <f t="shared" si="42"/>
        <v>0.96751968503937003</v>
      </c>
      <c r="M400" s="24">
        <f t="shared" si="43"/>
        <v>0.96751968503937003</v>
      </c>
      <c r="N400" s="37"/>
      <c r="O400" s="37"/>
      <c r="P400" s="37">
        <v>0</v>
      </c>
      <c r="Q400" s="37">
        <v>0</v>
      </c>
      <c r="R400" s="37" t="s">
        <v>1046</v>
      </c>
      <c r="S400" s="37"/>
    </row>
    <row r="401" spans="1:19" x14ac:dyDescent="0.3">
      <c r="A401" s="37">
        <v>231</v>
      </c>
      <c r="B401" s="37" t="s">
        <v>1043</v>
      </c>
      <c r="C401" s="37" t="s">
        <v>251</v>
      </c>
      <c r="D401" s="37" t="s">
        <v>21</v>
      </c>
      <c r="E401" s="37" t="s">
        <v>22</v>
      </c>
      <c r="F401" s="42">
        <v>45657</v>
      </c>
      <c r="G401" s="37">
        <v>2024</v>
      </c>
      <c r="H401" s="37" t="s">
        <v>27</v>
      </c>
      <c r="I401" s="39" t="s">
        <v>36</v>
      </c>
      <c r="J401" s="37">
        <v>1528</v>
      </c>
      <c r="K401" s="37">
        <v>1592</v>
      </c>
      <c r="L401" s="24">
        <f t="shared" si="42"/>
        <v>1.0418848167539267</v>
      </c>
      <c r="M401" s="24">
        <f t="shared" si="43"/>
        <v>1.0418848167539267</v>
      </c>
      <c r="N401" s="37"/>
      <c r="O401" s="37"/>
      <c r="P401" s="37">
        <v>0</v>
      </c>
      <c r="Q401" s="37">
        <v>0</v>
      </c>
      <c r="R401" s="37" t="s">
        <v>1047</v>
      </c>
      <c r="S401" s="37"/>
    </row>
    <row r="402" spans="1:19" x14ac:dyDescent="0.3">
      <c r="A402" s="45">
        <v>232</v>
      </c>
      <c r="B402" s="37" t="s">
        <v>1048</v>
      </c>
      <c r="C402" s="37" t="s">
        <v>251</v>
      </c>
      <c r="D402" s="37" t="s">
        <v>21</v>
      </c>
      <c r="E402" s="37" t="s">
        <v>22</v>
      </c>
      <c r="F402" s="42">
        <v>45107</v>
      </c>
      <c r="G402" s="37">
        <v>2023</v>
      </c>
      <c r="H402" s="37" t="s">
        <v>23</v>
      </c>
      <c r="I402" s="39" t="s">
        <v>30</v>
      </c>
      <c r="J402" s="37">
        <v>21</v>
      </c>
      <c r="K402" s="37">
        <v>21</v>
      </c>
      <c r="L402" s="55">
        <f t="shared" si="42"/>
        <v>1</v>
      </c>
      <c r="M402" s="24">
        <f t="shared" si="43"/>
        <v>1</v>
      </c>
      <c r="N402" s="37"/>
      <c r="O402" s="37"/>
      <c r="P402" s="37">
        <v>0</v>
      </c>
      <c r="Q402" s="37">
        <v>0</v>
      </c>
      <c r="R402" s="37" t="s">
        <v>1049</v>
      </c>
      <c r="S402" s="37"/>
    </row>
    <row r="403" spans="1:19" x14ac:dyDescent="0.3">
      <c r="A403" s="41">
        <v>232</v>
      </c>
      <c r="B403" s="37" t="s">
        <v>1048</v>
      </c>
      <c r="C403" s="37" t="s">
        <v>251</v>
      </c>
      <c r="D403" s="37" t="s">
        <v>21</v>
      </c>
      <c r="E403" s="37" t="s">
        <v>22</v>
      </c>
      <c r="F403" s="42">
        <v>45291</v>
      </c>
      <c r="G403" s="37">
        <v>2023</v>
      </c>
      <c r="H403" s="37" t="s">
        <v>27</v>
      </c>
      <c r="I403" s="39" t="s">
        <v>32</v>
      </c>
      <c r="J403" s="37">
        <v>23</v>
      </c>
      <c r="K403" s="37">
        <v>21</v>
      </c>
      <c r="L403" s="55">
        <f t="shared" si="42"/>
        <v>0.91304347826086951</v>
      </c>
      <c r="M403" s="24">
        <f t="shared" si="43"/>
        <v>0.91304347826086951</v>
      </c>
      <c r="N403" s="37"/>
      <c r="O403" s="37"/>
      <c r="P403" s="37">
        <v>0</v>
      </c>
      <c r="Q403" s="37">
        <v>0</v>
      </c>
      <c r="R403" s="37" t="s">
        <v>1050</v>
      </c>
      <c r="S403" s="37"/>
    </row>
    <row r="404" spans="1:19" x14ac:dyDescent="0.3">
      <c r="A404" s="37">
        <v>232</v>
      </c>
      <c r="B404" s="37" t="s">
        <v>1048</v>
      </c>
      <c r="C404" s="37" t="s">
        <v>251</v>
      </c>
      <c r="D404" s="37" t="s">
        <v>21</v>
      </c>
      <c r="E404" s="37" t="s">
        <v>22</v>
      </c>
      <c r="F404" s="42">
        <v>45473</v>
      </c>
      <c r="G404" s="37">
        <v>2024</v>
      </c>
      <c r="H404" s="37" t="s">
        <v>23</v>
      </c>
      <c r="I404" s="39" t="s">
        <v>34</v>
      </c>
      <c r="J404" s="37">
        <v>22</v>
      </c>
      <c r="K404" s="37">
        <v>21</v>
      </c>
      <c r="L404" s="24">
        <f t="shared" si="42"/>
        <v>0.95454545454545459</v>
      </c>
      <c r="M404" s="24">
        <f t="shared" si="43"/>
        <v>0.95454545454545459</v>
      </c>
      <c r="N404" s="37"/>
      <c r="O404" s="37"/>
      <c r="P404" s="37">
        <v>0</v>
      </c>
      <c r="Q404" s="37">
        <v>0</v>
      </c>
      <c r="R404" s="37" t="s">
        <v>1051</v>
      </c>
      <c r="S404" s="37"/>
    </row>
    <row r="405" spans="1:19" x14ac:dyDescent="0.3">
      <c r="A405" s="37">
        <v>232</v>
      </c>
      <c r="B405" s="37" t="s">
        <v>1048</v>
      </c>
      <c r="C405" s="37" t="s">
        <v>251</v>
      </c>
      <c r="D405" s="37" t="s">
        <v>21</v>
      </c>
      <c r="E405" s="37" t="s">
        <v>22</v>
      </c>
      <c r="F405" s="42">
        <v>45657</v>
      </c>
      <c r="G405" s="37">
        <v>2024</v>
      </c>
      <c r="H405" s="37" t="s">
        <v>27</v>
      </c>
      <c r="I405" s="39" t="s">
        <v>36</v>
      </c>
      <c r="J405" s="37">
        <v>14</v>
      </c>
      <c r="K405" s="37">
        <v>14</v>
      </c>
      <c r="L405" s="24">
        <f t="shared" si="42"/>
        <v>1</v>
      </c>
      <c r="M405" s="24">
        <f t="shared" si="43"/>
        <v>1</v>
      </c>
      <c r="N405" s="37"/>
      <c r="O405" s="37"/>
      <c r="P405" s="37">
        <v>0</v>
      </c>
      <c r="Q405" s="37">
        <v>0</v>
      </c>
      <c r="R405" s="37" t="s">
        <v>1052</v>
      </c>
      <c r="S405" s="37"/>
    </row>
    <row r="406" spans="1:19" x14ac:dyDescent="0.3">
      <c r="A406" s="72">
        <v>233</v>
      </c>
      <c r="B406" s="37" t="s">
        <v>1053</v>
      </c>
      <c r="C406" s="37" t="s">
        <v>251</v>
      </c>
      <c r="D406" s="37" t="s">
        <v>39</v>
      </c>
      <c r="E406" s="37" t="s">
        <v>22</v>
      </c>
      <c r="F406" s="42">
        <v>45016</v>
      </c>
      <c r="G406" s="37">
        <v>2023</v>
      </c>
      <c r="H406" s="37" t="s">
        <v>40</v>
      </c>
      <c r="I406" s="39" t="s">
        <v>30</v>
      </c>
      <c r="J406" s="37">
        <v>20</v>
      </c>
      <c r="K406" s="37">
        <v>45.986824344552367</v>
      </c>
      <c r="L406" s="55">
        <f t="shared" si="42"/>
        <v>1.3</v>
      </c>
      <c r="M406" s="24">
        <f t="shared" si="43"/>
        <v>2.2993412172276182</v>
      </c>
      <c r="N406" s="37"/>
      <c r="O406" s="37"/>
      <c r="P406" s="37">
        <v>0</v>
      </c>
      <c r="Q406" s="37">
        <v>0</v>
      </c>
      <c r="R406" s="37" t="s">
        <v>1054</v>
      </c>
      <c r="S406" s="37"/>
    </row>
    <row r="407" spans="1:19" x14ac:dyDescent="0.3">
      <c r="A407" s="41">
        <v>233</v>
      </c>
      <c r="B407" s="37" t="s">
        <v>1053</v>
      </c>
      <c r="C407" s="37" t="s">
        <v>251</v>
      </c>
      <c r="D407" s="37" t="s">
        <v>39</v>
      </c>
      <c r="E407" s="37" t="s">
        <v>22</v>
      </c>
      <c r="F407" s="42">
        <v>45107</v>
      </c>
      <c r="G407" s="37">
        <v>2023</v>
      </c>
      <c r="H407" s="37" t="s">
        <v>23</v>
      </c>
      <c r="I407" s="39" t="s">
        <v>30</v>
      </c>
      <c r="J407" s="37">
        <v>20</v>
      </c>
      <c r="K407" s="37">
        <v>45.986824344552367</v>
      </c>
      <c r="L407" s="55">
        <f t="shared" si="42"/>
        <v>1.3</v>
      </c>
      <c r="M407" s="24">
        <f t="shared" si="43"/>
        <v>2.2993412172276182</v>
      </c>
      <c r="N407" s="37"/>
      <c r="O407" s="37"/>
      <c r="P407" s="37">
        <v>0</v>
      </c>
      <c r="Q407" s="37">
        <v>0</v>
      </c>
      <c r="R407" s="37" t="s">
        <v>1055</v>
      </c>
      <c r="S407" s="37"/>
    </row>
    <row r="408" spans="1:19" x14ac:dyDescent="0.3">
      <c r="A408" s="45">
        <v>233</v>
      </c>
      <c r="B408" s="37" t="s">
        <v>1053</v>
      </c>
      <c r="C408" s="37" t="s">
        <v>251</v>
      </c>
      <c r="D408" s="37" t="s">
        <v>39</v>
      </c>
      <c r="E408" s="37" t="s">
        <v>22</v>
      </c>
      <c r="F408" s="42">
        <v>45199</v>
      </c>
      <c r="G408" s="37">
        <v>2023</v>
      </c>
      <c r="H408" s="37" t="s">
        <v>43</v>
      </c>
      <c r="I408" s="39" t="s">
        <v>32</v>
      </c>
      <c r="J408" s="37">
        <v>20</v>
      </c>
      <c r="K408" s="37">
        <v>18.519327315828772</v>
      </c>
      <c r="L408" s="55">
        <f t="shared" si="42"/>
        <v>0.92596636579143854</v>
      </c>
      <c r="M408" s="24">
        <f t="shared" si="43"/>
        <v>0.92596636579143854</v>
      </c>
      <c r="N408" s="37"/>
      <c r="O408" s="37"/>
      <c r="P408" s="37">
        <v>0</v>
      </c>
      <c r="Q408" s="37">
        <v>0</v>
      </c>
      <c r="R408" s="37" t="s">
        <v>1056</v>
      </c>
      <c r="S408" s="37"/>
    </row>
    <row r="409" spans="1:19" x14ac:dyDescent="0.3">
      <c r="A409" s="41">
        <v>233</v>
      </c>
      <c r="B409" s="37" t="s">
        <v>1053</v>
      </c>
      <c r="C409" s="37" t="s">
        <v>251</v>
      </c>
      <c r="D409" s="37" t="s">
        <v>39</v>
      </c>
      <c r="E409" s="37" t="s">
        <v>22</v>
      </c>
      <c r="F409" s="42">
        <v>45291</v>
      </c>
      <c r="G409" s="37">
        <v>2023</v>
      </c>
      <c r="H409" s="37" t="s">
        <v>27</v>
      </c>
      <c r="I409" s="39" t="s">
        <v>32</v>
      </c>
      <c r="J409" s="37">
        <v>20</v>
      </c>
      <c r="K409" s="37">
        <v>18.519327315828772</v>
      </c>
      <c r="L409" s="55">
        <f t="shared" si="42"/>
        <v>0.92596636579143854</v>
      </c>
      <c r="M409" s="24">
        <f t="shared" si="43"/>
        <v>0.92596636579143854</v>
      </c>
      <c r="N409" s="37"/>
      <c r="O409" s="37"/>
      <c r="P409" s="37">
        <v>0</v>
      </c>
      <c r="Q409" s="37">
        <v>0</v>
      </c>
      <c r="R409" s="37" t="s">
        <v>1057</v>
      </c>
      <c r="S409" s="37"/>
    </row>
    <row r="410" spans="1:19" x14ac:dyDescent="0.3">
      <c r="A410" s="37">
        <v>233</v>
      </c>
      <c r="B410" s="37" t="s">
        <v>1053</v>
      </c>
      <c r="C410" s="37" t="s">
        <v>251</v>
      </c>
      <c r="D410" s="37" t="s">
        <v>39</v>
      </c>
      <c r="E410" s="37" t="s">
        <v>22</v>
      </c>
      <c r="F410" s="42">
        <v>45473</v>
      </c>
      <c r="G410" s="37">
        <v>2024</v>
      </c>
      <c r="H410" s="37" t="s">
        <v>23</v>
      </c>
      <c r="I410" s="39" t="s">
        <v>34</v>
      </c>
      <c r="J410" s="37">
        <v>20</v>
      </c>
      <c r="K410" s="37">
        <v>33.458615753956252</v>
      </c>
      <c r="L410" s="24">
        <f t="shared" si="42"/>
        <v>1.3</v>
      </c>
      <c r="M410" s="24">
        <f t="shared" si="43"/>
        <v>1.6729307876978126</v>
      </c>
      <c r="N410" s="37"/>
      <c r="O410" s="37"/>
      <c r="P410" s="37">
        <v>0</v>
      </c>
      <c r="Q410" s="37">
        <v>0</v>
      </c>
      <c r="R410" s="37" t="s">
        <v>1059</v>
      </c>
      <c r="S410" s="37"/>
    </row>
    <row r="411" spans="1:19" x14ac:dyDescent="0.3">
      <c r="A411" s="37">
        <v>233</v>
      </c>
      <c r="B411" s="37" t="s">
        <v>1053</v>
      </c>
      <c r="C411" s="37" t="s">
        <v>251</v>
      </c>
      <c r="D411" s="37" t="s">
        <v>39</v>
      </c>
      <c r="E411" s="37" t="s">
        <v>22</v>
      </c>
      <c r="F411" s="42">
        <v>45657</v>
      </c>
      <c r="G411" s="37">
        <v>2024</v>
      </c>
      <c r="H411" s="37" t="s">
        <v>27</v>
      </c>
      <c r="I411" s="39" t="s">
        <v>36</v>
      </c>
      <c r="J411" s="37">
        <v>20</v>
      </c>
      <c r="K411" s="37">
        <v>31.821236559139791</v>
      </c>
      <c r="L411" s="24">
        <f t="shared" si="42"/>
        <v>1.3</v>
      </c>
      <c r="M411" s="24">
        <f t="shared" si="43"/>
        <v>1.5910618279569895</v>
      </c>
      <c r="N411" s="37"/>
      <c r="O411" s="37"/>
      <c r="P411" s="37">
        <v>0</v>
      </c>
      <c r="Q411" s="37">
        <v>0</v>
      </c>
      <c r="R411" s="37" t="s">
        <v>1061</v>
      </c>
      <c r="S411" s="37"/>
    </row>
    <row r="412" spans="1:19" x14ac:dyDescent="0.3">
      <c r="A412" s="72">
        <v>234</v>
      </c>
      <c r="B412" s="37" t="s">
        <v>1062</v>
      </c>
      <c r="C412" s="37" t="s">
        <v>251</v>
      </c>
      <c r="D412" s="37" t="s">
        <v>39</v>
      </c>
      <c r="E412" s="37" t="s">
        <v>22</v>
      </c>
      <c r="F412" s="42">
        <v>45016</v>
      </c>
      <c r="G412" s="37">
        <v>2023</v>
      </c>
      <c r="H412" s="37" t="s">
        <v>40</v>
      </c>
      <c r="I412" s="39" t="s">
        <v>30</v>
      </c>
      <c r="J412" s="37">
        <v>4000</v>
      </c>
      <c r="K412" s="37">
        <v>5267.875</v>
      </c>
      <c r="L412" s="55">
        <f t="shared" si="42"/>
        <v>1.3</v>
      </c>
      <c r="M412" s="24">
        <f t="shared" si="43"/>
        <v>1.31696875</v>
      </c>
      <c r="N412" s="37"/>
      <c r="O412" s="37"/>
      <c r="P412" s="37">
        <v>0</v>
      </c>
      <c r="Q412" s="37">
        <v>0</v>
      </c>
      <c r="R412" s="37" t="s">
        <v>1063</v>
      </c>
      <c r="S412" s="37"/>
    </row>
    <row r="413" spans="1:19" x14ac:dyDescent="0.3">
      <c r="A413" s="41">
        <v>234</v>
      </c>
      <c r="B413" s="37" t="s">
        <v>1062</v>
      </c>
      <c r="C413" s="37" t="s">
        <v>251</v>
      </c>
      <c r="D413" s="37" t="s">
        <v>39</v>
      </c>
      <c r="E413" s="37" t="s">
        <v>22</v>
      </c>
      <c r="F413" s="42">
        <v>45107</v>
      </c>
      <c r="G413" s="37">
        <v>2023</v>
      </c>
      <c r="H413" s="37" t="s">
        <v>23</v>
      </c>
      <c r="I413" s="39" t="s">
        <v>30</v>
      </c>
      <c r="J413" s="37">
        <v>4000</v>
      </c>
      <c r="K413" s="37">
        <v>5267.875</v>
      </c>
      <c r="L413" s="55">
        <f t="shared" ref="L413:L427" si="44">IFERROR(IF(OR(J413=0,K413=""),"",IF(E413="Positivo",MIN(MAX(K413/J413,0),1.3),MIN(MAX(J413/K413,0),1.3))),"")</f>
        <v>1.3</v>
      </c>
      <c r="M413" s="24">
        <f t="shared" ref="M413:M427" si="45">IFERROR(IF(OR(J413=0,K413=""),"",IF(E413="Positivo",MAX(K413/J413,0),MAX(J413/K413,0))),"")</f>
        <v>1.31696875</v>
      </c>
      <c r="N413" s="37"/>
      <c r="O413" s="37"/>
      <c r="P413" s="37">
        <v>0</v>
      </c>
      <c r="Q413" s="37">
        <v>0</v>
      </c>
      <c r="R413" s="37" t="s">
        <v>1064</v>
      </c>
      <c r="S413" s="37"/>
    </row>
    <row r="414" spans="1:19" x14ac:dyDescent="0.3">
      <c r="A414" s="45">
        <v>234</v>
      </c>
      <c r="B414" s="37" t="s">
        <v>1062</v>
      </c>
      <c r="C414" s="37" t="s">
        <v>251</v>
      </c>
      <c r="D414" s="37" t="s">
        <v>39</v>
      </c>
      <c r="E414" s="37" t="s">
        <v>22</v>
      </c>
      <c r="F414" s="42">
        <v>45199</v>
      </c>
      <c r="G414" s="37">
        <v>2023</v>
      </c>
      <c r="H414" s="37" t="s">
        <v>43</v>
      </c>
      <c r="I414" s="39" t="s">
        <v>32</v>
      </c>
      <c r="J414" s="37">
        <v>4000</v>
      </c>
      <c r="K414" s="37">
        <v>8303.625</v>
      </c>
      <c r="L414" s="55">
        <f t="shared" si="44"/>
        <v>1.3</v>
      </c>
      <c r="M414" s="24">
        <f t="shared" si="45"/>
        <v>2.0759062500000001</v>
      </c>
      <c r="N414" s="37"/>
      <c r="O414" s="37"/>
      <c r="P414" s="37">
        <v>0</v>
      </c>
      <c r="Q414" s="37">
        <v>0</v>
      </c>
      <c r="R414" s="37" t="s">
        <v>1065</v>
      </c>
      <c r="S414" s="37"/>
    </row>
    <row r="415" spans="1:19" x14ac:dyDescent="0.3">
      <c r="A415" s="41">
        <v>234</v>
      </c>
      <c r="B415" s="37" t="s">
        <v>1062</v>
      </c>
      <c r="C415" s="37" t="s">
        <v>251</v>
      </c>
      <c r="D415" s="37" t="s">
        <v>39</v>
      </c>
      <c r="E415" s="37" t="s">
        <v>22</v>
      </c>
      <c r="F415" s="42">
        <v>45291</v>
      </c>
      <c r="G415" s="37">
        <v>2023</v>
      </c>
      <c r="H415" s="37" t="s">
        <v>27</v>
      </c>
      <c r="I415" s="39" t="s">
        <v>32</v>
      </c>
      <c r="J415" s="37">
        <v>4000</v>
      </c>
      <c r="K415" s="37">
        <v>8303.625</v>
      </c>
      <c r="L415" s="55">
        <f t="shared" si="44"/>
        <v>1.3</v>
      </c>
      <c r="M415" s="24">
        <f t="shared" si="45"/>
        <v>2.0759062500000001</v>
      </c>
      <c r="N415" s="37"/>
      <c r="O415" s="37"/>
      <c r="P415" s="37">
        <v>0</v>
      </c>
      <c r="Q415" s="37">
        <v>0</v>
      </c>
      <c r="R415" s="37" t="s">
        <v>1066</v>
      </c>
      <c r="S415" s="37"/>
    </row>
    <row r="416" spans="1:19" x14ac:dyDescent="0.3">
      <c r="A416" s="37">
        <v>234</v>
      </c>
      <c r="B416" s="37" t="s">
        <v>1062</v>
      </c>
      <c r="C416" s="37" t="s">
        <v>251</v>
      </c>
      <c r="D416" s="37" t="s">
        <v>39</v>
      </c>
      <c r="E416" s="37" t="s">
        <v>22</v>
      </c>
      <c r="F416" s="42">
        <v>45473</v>
      </c>
      <c r="G416" s="37">
        <v>2024</v>
      </c>
      <c r="H416" s="37" t="s">
        <v>23</v>
      </c>
      <c r="I416" s="39" t="s">
        <v>34</v>
      </c>
      <c r="J416" s="37">
        <v>4000</v>
      </c>
      <c r="K416" s="37">
        <v>4343.7916666666661</v>
      </c>
      <c r="L416" s="24">
        <f t="shared" si="44"/>
        <v>1.0859479166666666</v>
      </c>
      <c r="M416" s="24">
        <f t="shared" si="45"/>
        <v>1.0859479166666666</v>
      </c>
      <c r="N416" s="37"/>
      <c r="O416" s="37"/>
      <c r="P416" s="37">
        <v>0</v>
      </c>
      <c r="Q416" s="37">
        <v>0</v>
      </c>
      <c r="R416" s="37" t="s">
        <v>1068</v>
      </c>
      <c r="S416" s="37"/>
    </row>
    <row r="417" spans="1:19" x14ac:dyDescent="0.3">
      <c r="A417" s="37">
        <v>234</v>
      </c>
      <c r="B417" s="37" t="s">
        <v>1062</v>
      </c>
      <c r="C417" s="37" t="s">
        <v>251</v>
      </c>
      <c r="D417" s="37" t="s">
        <v>39</v>
      </c>
      <c r="E417" s="37" t="s">
        <v>22</v>
      </c>
      <c r="F417" s="42">
        <v>45657</v>
      </c>
      <c r="G417" s="37">
        <v>2024</v>
      </c>
      <c r="H417" s="37" t="s">
        <v>27</v>
      </c>
      <c r="I417" s="39" t="s">
        <v>36</v>
      </c>
      <c r="J417" s="37">
        <v>4000</v>
      </c>
      <c r="K417" s="37">
        <v>4218</v>
      </c>
      <c r="L417" s="24">
        <f t="shared" si="44"/>
        <v>1.0545</v>
      </c>
      <c r="M417" s="24">
        <f t="shared" si="45"/>
        <v>1.0545</v>
      </c>
      <c r="N417" s="37"/>
      <c r="O417" s="37"/>
      <c r="P417" s="37">
        <v>0</v>
      </c>
      <c r="Q417" s="37">
        <v>0</v>
      </c>
      <c r="R417" s="37" t="s">
        <v>1070</v>
      </c>
      <c r="S417" s="37"/>
    </row>
    <row r="418" spans="1:19" x14ac:dyDescent="0.3">
      <c r="A418" s="41">
        <v>235</v>
      </c>
      <c r="B418" s="37" t="s">
        <v>1071</v>
      </c>
      <c r="C418" s="37" t="s">
        <v>251</v>
      </c>
      <c r="D418" s="37" t="s">
        <v>139</v>
      </c>
      <c r="E418" s="37" t="s">
        <v>22</v>
      </c>
      <c r="F418" s="42">
        <v>45291</v>
      </c>
      <c r="G418" s="37">
        <v>2023</v>
      </c>
      <c r="H418" s="37" t="s">
        <v>27</v>
      </c>
      <c r="I418" s="39" t="s">
        <v>32</v>
      </c>
      <c r="J418" s="37">
        <v>605</v>
      </c>
      <c r="K418" s="37">
        <v>494</v>
      </c>
      <c r="L418" s="55">
        <f t="shared" si="44"/>
        <v>0.8165289256198347</v>
      </c>
      <c r="M418" s="24">
        <f t="shared" si="45"/>
        <v>0.8165289256198347</v>
      </c>
      <c r="N418" s="37"/>
      <c r="O418" s="37"/>
      <c r="P418" s="37">
        <v>0</v>
      </c>
      <c r="Q418" s="37">
        <v>0</v>
      </c>
      <c r="R418" s="37" t="s">
        <v>1072</v>
      </c>
      <c r="S418" s="37"/>
    </row>
    <row r="419" spans="1:19" x14ac:dyDescent="0.3">
      <c r="A419" s="37">
        <v>235</v>
      </c>
      <c r="B419" s="37" t="s">
        <v>1071</v>
      </c>
      <c r="C419" s="37" t="s">
        <v>251</v>
      </c>
      <c r="D419" s="37" t="s">
        <v>139</v>
      </c>
      <c r="E419" s="37" t="s">
        <v>22</v>
      </c>
      <c r="F419" s="42">
        <v>45657</v>
      </c>
      <c r="G419" s="37">
        <v>2024</v>
      </c>
      <c r="H419" s="37" t="s">
        <v>27</v>
      </c>
      <c r="I419" s="39" t="s">
        <v>36</v>
      </c>
      <c r="J419" s="37">
        <v>626</v>
      </c>
      <c r="K419" s="37">
        <v>576</v>
      </c>
      <c r="L419" s="24">
        <f t="shared" si="44"/>
        <v>0.92012779552715651</v>
      </c>
      <c r="M419" s="24">
        <f t="shared" si="45"/>
        <v>0.92012779552715651</v>
      </c>
      <c r="N419" s="37"/>
      <c r="O419" s="37"/>
      <c r="P419" s="37">
        <v>0</v>
      </c>
      <c r="Q419" s="37">
        <v>0</v>
      </c>
      <c r="R419" s="37" t="s">
        <v>1073</v>
      </c>
      <c r="S419" s="37"/>
    </row>
    <row r="420" spans="1:19" x14ac:dyDescent="0.3">
      <c r="A420" s="41">
        <v>236</v>
      </c>
      <c r="B420" s="37" t="s">
        <v>1074</v>
      </c>
      <c r="C420" s="37" t="s">
        <v>251</v>
      </c>
      <c r="D420" s="37" t="s">
        <v>139</v>
      </c>
      <c r="E420" s="37" t="s">
        <v>56</v>
      </c>
      <c r="F420" s="42">
        <v>45291</v>
      </c>
      <c r="G420" s="37">
        <v>2023</v>
      </c>
      <c r="H420" s="37" t="s">
        <v>27</v>
      </c>
      <c r="I420" s="39" t="s">
        <v>32</v>
      </c>
      <c r="J420" s="37">
        <v>0</v>
      </c>
      <c r="K420" s="37">
        <v>0</v>
      </c>
      <c r="L420" s="24" t="str">
        <f t="shared" si="44"/>
        <v/>
      </c>
      <c r="M420" s="24" t="str">
        <f t="shared" si="45"/>
        <v/>
      </c>
      <c r="N420" s="37"/>
      <c r="O420" s="37"/>
      <c r="P420" s="37">
        <v>0</v>
      </c>
      <c r="Q420" s="37">
        <v>0</v>
      </c>
      <c r="R420" s="37" t="s">
        <v>1075</v>
      </c>
      <c r="S420" s="37"/>
    </row>
    <row r="421" spans="1:19" x14ac:dyDescent="0.3">
      <c r="A421" s="37">
        <v>236</v>
      </c>
      <c r="B421" s="37" t="s">
        <v>1074</v>
      </c>
      <c r="C421" s="37" t="s">
        <v>251</v>
      </c>
      <c r="D421" s="37" t="s">
        <v>139</v>
      </c>
      <c r="E421" s="37" t="s">
        <v>56</v>
      </c>
      <c r="F421" s="42">
        <v>45657</v>
      </c>
      <c r="G421" s="37">
        <v>2024</v>
      </c>
      <c r="H421" s="37" t="s">
        <v>27</v>
      </c>
      <c r="I421" s="39" t="s">
        <v>36</v>
      </c>
      <c r="J421" s="37">
        <v>0</v>
      </c>
      <c r="K421" s="37">
        <v>0</v>
      </c>
      <c r="L421" s="24" t="str">
        <f t="shared" si="44"/>
        <v/>
      </c>
      <c r="M421" s="24" t="str">
        <f t="shared" si="45"/>
        <v/>
      </c>
      <c r="N421" s="37"/>
      <c r="O421" s="37"/>
      <c r="P421" s="37">
        <v>0</v>
      </c>
      <c r="Q421" s="37">
        <v>0</v>
      </c>
      <c r="R421" s="37" t="s">
        <v>1076</v>
      </c>
      <c r="S421" s="37"/>
    </row>
    <row r="422" spans="1:19" x14ac:dyDescent="0.3">
      <c r="A422" s="72">
        <v>238</v>
      </c>
      <c r="B422" s="37" t="s">
        <v>1077</v>
      </c>
      <c r="C422" s="37" t="s">
        <v>251</v>
      </c>
      <c r="D422" s="37" t="s">
        <v>39</v>
      </c>
      <c r="E422" s="37" t="s">
        <v>22</v>
      </c>
      <c r="F422" s="42">
        <v>45016</v>
      </c>
      <c r="G422" s="37">
        <v>2023</v>
      </c>
      <c r="H422" s="37" t="s">
        <v>40</v>
      </c>
      <c r="I422" s="39" t="s">
        <v>30</v>
      </c>
      <c r="J422" s="37">
        <v>90</v>
      </c>
      <c r="K422" s="37">
        <v>95.436507936507951</v>
      </c>
      <c r="L422" s="55">
        <f t="shared" si="44"/>
        <v>1.0604056437389773</v>
      </c>
      <c r="M422" s="24">
        <f t="shared" si="45"/>
        <v>1.0604056437389773</v>
      </c>
      <c r="N422" s="37"/>
      <c r="O422" s="37"/>
      <c r="P422" s="37">
        <v>0</v>
      </c>
      <c r="Q422" s="37">
        <v>0</v>
      </c>
      <c r="R422" s="37" t="s">
        <v>1083</v>
      </c>
      <c r="S422" s="37"/>
    </row>
    <row r="423" spans="1:19" x14ac:dyDescent="0.3">
      <c r="A423" s="41">
        <v>238</v>
      </c>
      <c r="B423" s="37" t="s">
        <v>1077</v>
      </c>
      <c r="C423" s="37" t="s">
        <v>251</v>
      </c>
      <c r="D423" s="37" t="s">
        <v>39</v>
      </c>
      <c r="E423" s="37" t="s">
        <v>22</v>
      </c>
      <c r="F423" s="42">
        <v>45107</v>
      </c>
      <c r="G423" s="37">
        <v>2023</v>
      </c>
      <c r="H423" s="37" t="s">
        <v>23</v>
      </c>
      <c r="I423" s="39" t="s">
        <v>30</v>
      </c>
      <c r="J423" s="37">
        <v>90</v>
      </c>
      <c r="K423" s="37">
        <v>95.436507936507951</v>
      </c>
      <c r="L423" s="55">
        <f t="shared" si="44"/>
        <v>1.0604056437389773</v>
      </c>
      <c r="M423" s="24">
        <f t="shared" si="45"/>
        <v>1.0604056437389773</v>
      </c>
      <c r="N423" s="37"/>
      <c r="O423" s="37"/>
      <c r="P423" s="37">
        <v>0</v>
      </c>
      <c r="Q423" s="37">
        <v>0</v>
      </c>
      <c r="R423" s="37" t="s">
        <v>1084</v>
      </c>
      <c r="S423" s="37"/>
    </row>
    <row r="424" spans="1:19" x14ac:dyDescent="0.3">
      <c r="A424" s="45">
        <v>238</v>
      </c>
      <c r="B424" s="37" t="s">
        <v>1077</v>
      </c>
      <c r="C424" s="37" t="s">
        <v>251</v>
      </c>
      <c r="D424" s="37" t="s">
        <v>39</v>
      </c>
      <c r="E424" s="37" t="s">
        <v>22</v>
      </c>
      <c r="F424" s="42">
        <v>45199</v>
      </c>
      <c r="G424" s="37">
        <v>2023</v>
      </c>
      <c r="H424" s="37" t="s">
        <v>43</v>
      </c>
      <c r="I424" s="39" t="s">
        <v>32</v>
      </c>
      <c r="J424" s="37">
        <v>90</v>
      </c>
      <c r="K424" s="37">
        <v>79.60526315789474</v>
      </c>
      <c r="L424" s="55">
        <f t="shared" si="44"/>
        <v>0.88450292397660824</v>
      </c>
      <c r="M424" s="24">
        <f t="shared" si="45"/>
        <v>0.88450292397660824</v>
      </c>
      <c r="N424" s="37"/>
      <c r="O424" s="37"/>
      <c r="P424" s="37">
        <v>0</v>
      </c>
      <c r="Q424" s="37">
        <v>0</v>
      </c>
      <c r="R424" s="37" t="s">
        <v>1085</v>
      </c>
      <c r="S424" s="37"/>
    </row>
    <row r="425" spans="1:19" x14ac:dyDescent="0.3">
      <c r="A425" s="41">
        <v>238</v>
      </c>
      <c r="B425" s="37" t="s">
        <v>1077</v>
      </c>
      <c r="C425" s="37" t="s">
        <v>251</v>
      </c>
      <c r="D425" s="37" t="s">
        <v>39</v>
      </c>
      <c r="E425" s="37" t="s">
        <v>22</v>
      </c>
      <c r="F425" s="42">
        <v>45291</v>
      </c>
      <c r="G425" s="37">
        <v>2023</v>
      </c>
      <c r="H425" s="37" t="s">
        <v>27</v>
      </c>
      <c r="I425" s="39" t="s">
        <v>32</v>
      </c>
      <c r="J425" s="37">
        <v>90</v>
      </c>
      <c r="K425" s="37">
        <v>79.60526315789474</v>
      </c>
      <c r="L425" s="55">
        <f t="shared" si="44"/>
        <v>0.88450292397660824</v>
      </c>
      <c r="M425" s="24">
        <f t="shared" si="45"/>
        <v>0.88450292397660824</v>
      </c>
      <c r="N425" s="37"/>
      <c r="O425" s="37"/>
      <c r="P425" s="37">
        <v>0</v>
      </c>
      <c r="Q425" s="37">
        <v>0</v>
      </c>
      <c r="R425" s="37" t="s">
        <v>1086</v>
      </c>
      <c r="S425" s="37"/>
    </row>
    <row r="426" spans="1:19" x14ac:dyDescent="0.3">
      <c r="A426" s="37">
        <v>238</v>
      </c>
      <c r="B426" s="37" t="s">
        <v>1077</v>
      </c>
      <c r="C426" s="37" t="s">
        <v>251</v>
      </c>
      <c r="D426" s="37" t="s">
        <v>39</v>
      </c>
      <c r="E426" s="37" t="s">
        <v>22</v>
      </c>
      <c r="F426" s="42">
        <v>45473</v>
      </c>
      <c r="G426" s="37">
        <v>2024</v>
      </c>
      <c r="H426" s="37" t="s">
        <v>23</v>
      </c>
      <c r="I426" s="39" t="s">
        <v>34</v>
      </c>
      <c r="J426" s="37">
        <v>90</v>
      </c>
      <c r="K426" s="37">
        <v>77.157738095238102</v>
      </c>
      <c r="L426" s="24">
        <f t="shared" si="44"/>
        <v>0.85730820105820116</v>
      </c>
      <c r="M426" s="24">
        <f t="shared" si="45"/>
        <v>0.85730820105820116</v>
      </c>
      <c r="N426" s="37"/>
      <c r="O426" s="37"/>
      <c r="P426" s="37">
        <v>0</v>
      </c>
      <c r="Q426" s="37">
        <v>0</v>
      </c>
      <c r="R426" s="37" t="s">
        <v>1088</v>
      </c>
      <c r="S426" s="37"/>
    </row>
    <row r="427" spans="1:19" x14ac:dyDescent="0.3">
      <c r="A427" s="37">
        <v>238</v>
      </c>
      <c r="B427" s="37" t="s">
        <v>1077</v>
      </c>
      <c r="C427" s="37" t="s">
        <v>251</v>
      </c>
      <c r="D427" s="37" t="s">
        <v>39</v>
      </c>
      <c r="E427" s="37" t="s">
        <v>22</v>
      </c>
      <c r="F427" s="42">
        <v>45657</v>
      </c>
      <c r="G427" s="37">
        <v>2024</v>
      </c>
      <c r="H427" s="37" t="s">
        <v>27</v>
      </c>
      <c r="I427" s="39" t="s">
        <v>36</v>
      </c>
      <c r="J427" s="53">
        <v>90</v>
      </c>
      <c r="K427" s="53">
        <v>82.10526315789474</v>
      </c>
      <c r="L427" s="24">
        <f t="shared" si="44"/>
        <v>0.91228070175438603</v>
      </c>
      <c r="M427" s="24">
        <f t="shared" si="45"/>
        <v>0.91228070175438603</v>
      </c>
      <c r="N427" s="37"/>
      <c r="O427" s="37"/>
      <c r="P427" s="37">
        <v>0</v>
      </c>
      <c r="Q427" s="37">
        <v>0</v>
      </c>
      <c r="R427" s="37" t="s">
        <v>1090</v>
      </c>
      <c r="S427" s="37"/>
    </row>
    <row r="428" spans="1:19" x14ac:dyDescent="0.3">
      <c r="A428" s="37">
        <v>239</v>
      </c>
      <c r="B428" s="37" t="s">
        <v>1095</v>
      </c>
      <c r="C428" s="37" t="s">
        <v>1096</v>
      </c>
      <c r="D428" s="37" t="s">
        <v>73</v>
      </c>
      <c r="E428" s="37" t="s">
        <v>22</v>
      </c>
      <c r="F428" s="42">
        <v>44742</v>
      </c>
      <c r="G428" s="37">
        <v>2022</v>
      </c>
      <c r="H428" s="37" t="s">
        <v>23</v>
      </c>
      <c r="I428" s="37" t="s">
        <v>24</v>
      </c>
      <c r="J428" s="37"/>
      <c r="K428" s="37">
        <v>0</v>
      </c>
      <c r="L428" s="24"/>
      <c r="M428" s="24"/>
      <c r="N428" s="37" t="s">
        <v>495</v>
      </c>
      <c r="O428" s="37" t="s">
        <v>203</v>
      </c>
      <c r="P428" s="37">
        <v>0</v>
      </c>
      <c r="Q428" s="37">
        <v>0</v>
      </c>
      <c r="R428" s="37" t="s">
        <v>1102</v>
      </c>
      <c r="S428" s="37"/>
    </row>
    <row r="429" spans="1:19" x14ac:dyDescent="0.3">
      <c r="A429" s="37">
        <v>239</v>
      </c>
      <c r="B429" s="37" t="s">
        <v>1095</v>
      </c>
      <c r="C429" s="37" t="s">
        <v>1096</v>
      </c>
      <c r="D429" s="37" t="s">
        <v>73</v>
      </c>
      <c r="E429" s="37" t="s">
        <v>22</v>
      </c>
      <c r="F429" s="42">
        <v>44926</v>
      </c>
      <c r="G429" s="37">
        <v>2022</v>
      </c>
      <c r="H429" s="37" t="s">
        <v>27</v>
      </c>
      <c r="I429" s="37" t="s">
        <v>28</v>
      </c>
      <c r="J429" s="37"/>
      <c r="K429" s="37">
        <v>0</v>
      </c>
      <c r="L429" s="24"/>
      <c r="M429" s="24"/>
      <c r="N429" s="37" t="s">
        <v>495</v>
      </c>
      <c r="O429" s="37" t="s">
        <v>203</v>
      </c>
      <c r="P429" s="37">
        <v>0</v>
      </c>
      <c r="Q429" s="37">
        <v>0</v>
      </c>
      <c r="R429" s="37" t="s">
        <v>1108</v>
      </c>
      <c r="S429" s="37"/>
    </row>
    <row r="430" spans="1:19" x14ac:dyDescent="0.3">
      <c r="A430" s="41">
        <v>239</v>
      </c>
      <c r="B430" s="37" t="s">
        <v>1109</v>
      </c>
      <c r="C430" s="37" t="s">
        <v>1096</v>
      </c>
      <c r="D430" s="37" t="s">
        <v>73</v>
      </c>
      <c r="E430" s="37" t="s">
        <v>22</v>
      </c>
      <c r="F430" s="42">
        <v>45107</v>
      </c>
      <c r="G430" s="37">
        <v>2023</v>
      </c>
      <c r="H430" s="37" t="s">
        <v>23</v>
      </c>
      <c r="I430" s="39" t="s">
        <v>30</v>
      </c>
      <c r="J430" s="37"/>
      <c r="K430" s="37">
        <v>19</v>
      </c>
      <c r="L430" s="71"/>
      <c r="M430" s="24"/>
      <c r="N430" s="37" t="s">
        <v>495</v>
      </c>
      <c r="O430" s="37"/>
      <c r="P430" s="37">
        <v>0</v>
      </c>
      <c r="Q430" s="37">
        <v>0</v>
      </c>
      <c r="R430" s="37" t="s">
        <v>1115</v>
      </c>
      <c r="S430" s="37"/>
    </row>
    <row r="431" spans="1:19" x14ac:dyDescent="0.3">
      <c r="A431" s="41">
        <v>239</v>
      </c>
      <c r="B431" s="37" t="s">
        <v>1109</v>
      </c>
      <c r="C431" s="37" t="s">
        <v>1096</v>
      </c>
      <c r="D431" s="37" t="s">
        <v>73</v>
      </c>
      <c r="E431" s="37" t="s">
        <v>22</v>
      </c>
      <c r="F431" s="42">
        <v>45291</v>
      </c>
      <c r="G431" s="37">
        <v>2023</v>
      </c>
      <c r="H431" s="37" t="s">
        <v>27</v>
      </c>
      <c r="I431" s="39" t="s">
        <v>32</v>
      </c>
      <c r="J431" s="37"/>
      <c r="K431" s="37">
        <v>0</v>
      </c>
      <c r="L431" s="71"/>
      <c r="M431" s="24"/>
      <c r="N431" s="37" t="s">
        <v>495</v>
      </c>
      <c r="O431" s="37"/>
      <c r="P431" s="37">
        <v>0</v>
      </c>
      <c r="Q431" s="37">
        <v>0</v>
      </c>
      <c r="R431" s="37" t="s">
        <v>1121</v>
      </c>
      <c r="S431" s="37"/>
    </row>
    <row r="432" spans="1:19" x14ac:dyDescent="0.3">
      <c r="A432" s="37">
        <v>239</v>
      </c>
      <c r="B432" s="37" t="s">
        <v>1109</v>
      </c>
      <c r="C432" s="37" t="s">
        <v>1096</v>
      </c>
      <c r="D432" s="37" t="s">
        <v>73</v>
      </c>
      <c r="E432" s="37" t="s">
        <v>22</v>
      </c>
      <c r="F432" s="42">
        <v>45473</v>
      </c>
      <c r="G432" s="37">
        <v>2024</v>
      </c>
      <c r="H432" s="37" t="s">
        <v>23</v>
      </c>
      <c r="I432" s="39" t="s">
        <v>34</v>
      </c>
      <c r="J432" s="37"/>
      <c r="K432" s="37">
        <v>29</v>
      </c>
      <c r="L432" s="24"/>
      <c r="M432" s="24"/>
      <c r="N432" s="37" t="s">
        <v>495</v>
      </c>
      <c r="O432" s="37"/>
      <c r="P432" s="37">
        <v>0</v>
      </c>
      <c r="Q432" s="37">
        <v>0</v>
      </c>
      <c r="R432" s="37" t="s">
        <v>1127</v>
      </c>
      <c r="S432" s="37"/>
    </row>
    <row r="433" spans="1:19" x14ac:dyDescent="0.3">
      <c r="A433" s="37">
        <v>239</v>
      </c>
      <c r="B433" s="37" t="s">
        <v>1109</v>
      </c>
      <c r="C433" s="37" t="s">
        <v>1096</v>
      </c>
      <c r="D433" s="37" t="s">
        <v>73</v>
      </c>
      <c r="E433" s="37" t="s">
        <v>22</v>
      </c>
      <c r="F433" s="42">
        <v>45657</v>
      </c>
      <c r="G433" s="37">
        <v>2024</v>
      </c>
      <c r="H433" s="37" t="s">
        <v>27</v>
      </c>
      <c r="I433" s="39" t="s">
        <v>36</v>
      </c>
      <c r="J433" s="37"/>
      <c r="K433" s="37">
        <v>0</v>
      </c>
      <c r="L433" s="24"/>
      <c r="M433" s="24"/>
      <c r="N433" s="37" t="s">
        <v>495</v>
      </c>
      <c r="O433" s="37"/>
      <c r="P433" s="37">
        <v>0</v>
      </c>
      <c r="Q433" s="37">
        <v>0</v>
      </c>
      <c r="R433" s="37" t="s">
        <v>1133</v>
      </c>
      <c r="S433" s="37"/>
    </row>
    <row r="434" spans="1:19" x14ac:dyDescent="0.3">
      <c r="A434" s="41">
        <v>240</v>
      </c>
      <c r="B434" s="37" t="s">
        <v>1144</v>
      </c>
      <c r="C434" s="37" t="s">
        <v>1096</v>
      </c>
      <c r="D434" s="37" t="s">
        <v>39</v>
      </c>
      <c r="E434" s="37" t="s">
        <v>22</v>
      </c>
      <c r="F434" s="42">
        <v>45107</v>
      </c>
      <c r="G434" s="37">
        <v>2023</v>
      </c>
      <c r="H434" s="37" t="s">
        <v>23</v>
      </c>
      <c r="I434" s="39" t="s">
        <v>30</v>
      </c>
      <c r="J434" s="37">
        <v>5</v>
      </c>
      <c r="K434" s="37">
        <v>2.5</v>
      </c>
      <c r="L434" s="55">
        <f t="shared" ref="L434:L457" si="46">IFERROR(IF(OR(J434=0,K434=""),"",IF(E434="Positivo",MIN(MAX(K434/J434,0),1.3),MIN(MAX(J434/K434,0),1.3))),"")</f>
        <v>0.5</v>
      </c>
      <c r="M434" s="24">
        <f t="shared" ref="M434:M457" si="47">IFERROR(IF(OR(J434=0,K434=""),"",IF(E434="Positivo",MAX(K434/J434,0),MAX(J434/K434,0))),"")</f>
        <v>0.5</v>
      </c>
      <c r="N434" s="37" t="s">
        <v>25</v>
      </c>
      <c r="O434" s="37" t="s">
        <v>25</v>
      </c>
      <c r="P434" s="37">
        <v>0</v>
      </c>
      <c r="Q434" s="37">
        <v>0</v>
      </c>
      <c r="R434" s="37" t="s">
        <v>1146</v>
      </c>
      <c r="S434" s="37"/>
    </row>
    <row r="435" spans="1:19" x14ac:dyDescent="0.3">
      <c r="A435" s="41">
        <v>240</v>
      </c>
      <c r="B435" s="37" t="s">
        <v>1144</v>
      </c>
      <c r="C435" s="37" t="s">
        <v>1096</v>
      </c>
      <c r="D435" s="37" t="s">
        <v>39</v>
      </c>
      <c r="E435" s="37" t="s">
        <v>22</v>
      </c>
      <c r="F435" s="42">
        <v>45291</v>
      </c>
      <c r="G435" s="37">
        <v>2023</v>
      </c>
      <c r="H435" s="37" t="s">
        <v>27</v>
      </c>
      <c r="I435" s="39" t="s">
        <v>32</v>
      </c>
      <c r="J435" s="37">
        <v>5</v>
      </c>
      <c r="K435" s="37">
        <v>4</v>
      </c>
      <c r="L435" s="55">
        <f t="shared" si="46"/>
        <v>0.8</v>
      </c>
      <c r="M435" s="24">
        <f t="shared" si="47"/>
        <v>0.8</v>
      </c>
      <c r="N435" s="37" t="s">
        <v>25</v>
      </c>
      <c r="O435" s="37" t="s">
        <v>25</v>
      </c>
      <c r="P435" s="37">
        <v>0</v>
      </c>
      <c r="Q435" s="37">
        <v>0</v>
      </c>
      <c r="R435" s="37" t="s">
        <v>1148</v>
      </c>
      <c r="S435" s="37"/>
    </row>
    <row r="436" spans="1:19" x14ac:dyDescent="0.3">
      <c r="A436" s="37">
        <v>240</v>
      </c>
      <c r="B436" s="37" t="s">
        <v>1144</v>
      </c>
      <c r="C436" s="37" t="s">
        <v>1096</v>
      </c>
      <c r="D436" s="37" t="s">
        <v>39</v>
      </c>
      <c r="E436" s="37" t="s">
        <v>22</v>
      </c>
      <c r="F436" s="42">
        <v>45473</v>
      </c>
      <c r="G436" s="37">
        <v>2024</v>
      </c>
      <c r="H436" s="37" t="s">
        <v>23</v>
      </c>
      <c r="I436" s="39" t="s">
        <v>34</v>
      </c>
      <c r="J436" s="37">
        <v>11.5</v>
      </c>
      <c r="K436" s="37">
        <v>11</v>
      </c>
      <c r="L436" s="24">
        <f t="shared" si="46"/>
        <v>0.95652173913043481</v>
      </c>
      <c r="M436" s="24">
        <f t="shared" si="47"/>
        <v>0.95652173913043481</v>
      </c>
      <c r="N436" s="37" t="s">
        <v>25</v>
      </c>
      <c r="O436" s="37" t="s">
        <v>25</v>
      </c>
      <c r="P436" s="37">
        <v>0</v>
      </c>
      <c r="Q436" s="37">
        <v>0</v>
      </c>
      <c r="R436" s="37" t="s">
        <v>1150</v>
      </c>
      <c r="S436" s="37"/>
    </row>
    <row r="437" spans="1:19" x14ac:dyDescent="0.3">
      <c r="A437" s="37">
        <v>240</v>
      </c>
      <c r="B437" s="37" t="s">
        <v>1144</v>
      </c>
      <c r="C437" s="37" t="s">
        <v>1096</v>
      </c>
      <c r="D437" s="37" t="s">
        <v>39</v>
      </c>
      <c r="E437" s="37" t="s">
        <v>22</v>
      </c>
      <c r="F437" s="42">
        <v>45657</v>
      </c>
      <c r="G437" s="37">
        <v>2024</v>
      </c>
      <c r="H437" s="37" t="s">
        <v>27</v>
      </c>
      <c r="I437" s="39" t="s">
        <v>36</v>
      </c>
      <c r="J437" s="37">
        <v>18</v>
      </c>
      <c r="K437" s="37">
        <v>18</v>
      </c>
      <c r="L437" s="24">
        <f t="shared" si="46"/>
        <v>1</v>
      </c>
      <c r="M437" s="24">
        <f t="shared" si="47"/>
        <v>1</v>
      </c>
      <c r="N437" s="37" t="s">
        <v>25</v>
      </c>
      <c r="O437" s="37" t="s">
        <v>25</v>
      </c>
      <c r="P437" s="37">
        <v>0</v>
      </c>
      <c r="Q437" s="37">
        <v>0</v>
      </c>
      <c r="R437" s="37" t="s">
        <v>1152</v>
      </c>
      <c r="S437" s="37"/>
    </row>
    <row r="438" spans="1:19" x14ac:dyDescent="0.3">
      <c r="A438" s="41">
        <v>241</v>
      </c>
      <c r="B438" s="37" t="s">
        <v>1153</v>
      </c>
      <c r="C438" s="37" t="s">
        <v>1096</v>
      </c>
      <c r="D438" s="37" t="s">
        <v>73</v>
      </c>
      <c r="E438" s="37" t="s">
        <v>22</v>
      </c>
      <c r="F438" s="42">
        <v>45107</v>
      </c>
      <c r="G438" s="37">
        <v>2023</v>
      </c>
      <c r="H438" s="37" t="s">
        <v>23</v>
      </c>
      <c r="I438" s="39" t="s">
        <v>30</v>
      </c>
      <c r="J438" s="37">
        <v>8.6666666666666661</v>
      </c>
      <c r="K438" s="37">
        <v>8</v>
      </c>
      <c r="L438" s="55">
        <f t="shared" si="46"/>
        <v>0.92307692307692313</v>
      </c>
      <c r="M438" s="24">
        <f t="shared" si="47"/>
        <v>0.92307692307692313</v>
      </c>
      <c r="N438" s="37"/>
      <c r="O438" s="37"/>
      <c r="P438" s="37">
        <v>0</v>
      </c>
      <c r="Q438" s="37">
        <v>0</v>
      </c>
      <c r="R438" s="37" t="s">
        <v>1159</v>
      </c>
      <c r="S438" s="37"/>
    </row>
    <row r="439" spans="1:19" x14ac:dyDescent="0.3">
      <c r="A439" s="41">
        <v>241</v>
      </c>
      <c r="B439" s="37" t="s">
        <v>1153</v>
      </c>
      <c r="C439" s="37" t="s">
        <v>1096</v>
      </c>
      <c r="D439" s="37" t="s">
        <v>73</v>
      </c>
      <c r="E439" s="37" t="s">
        <v>22</v>
      </c>
      <c r="F439" s="42">
        <v>45291</v>
      </c>
      <c r="G439" s="37">
        <v>2023</v>
      </c>
      <c r="H439" s="37" t="s">
        <v>27</v>
      </c>
      <c r="I439" s="39" t="s">
        <v>32</v>
      </c>
      <c r="J439" s="37">
        <v>10</v>
      </c>
      <c r="K439" s="37">
        <v>9.1666666666666661</v>
      </c>
      <c r="L439" s="55">
        <f t="shared" si="46"/>
        <v>0.91666666666666663</v>
      </c>
      <c r="M439" s="24">
        <f t="shared" si="47"/>
        <v>0.91666666666666663</v>
      </c>
      <c r="N439" s="37"/>
      <c r="O439" s="37"/>
      <c r="P439" s="37">
        <v>0</v>
      </c>
      <c r="Q439" s="37">
        <v>0</v>
      </c>
      <c r="R439" s="37" t="s">
        <v>1165</v>
      </c>
      <c r="S439" s="37"/>
    </row>
    <row r="440" spans="1:19" x14ac:dyDescent="0.3">
      <c r="A440" s="37">
        <v>241</v>
      </c>
      <c r="B440" s="37" t="s">
        <v>1153</v>
      </c>
      <c r="C440" s="37" t="s">
        <v>1096</v>
      </c>
      <c r="D440" s="37" t="s">
        <v>73</v>
      </c>
      <c r="E440" s="37" t="s">
        <v>22</v>
      </c>
      <c r="F440" s="42">
        <v>45473</v>
      </c>
      <c r="G440" s="37">
        <v>2024</v>
      </c>
      <c r="H440" s="37" t="s">
        <v>23</v>
      </c>
      <c r="I440" s="39" t="s">
        <v>34</v>
      </c>
      <c r="J440" s="37">
        <v>12.16666666666667</v>
      </c>
      <c r="K440" s="37">
        <v>10.83333333333333</v>
      </c>
      <c r="L440" s="24">
        <f t="shared" si="46"/>
        <v>0.89041095890410915</v>
      </c>
      <c r="M440" s="24">
        <f t="shared" si="47"/>
        <v>0.89041095890410915</v>
      </c>
      <c r="N440" s="37"/>
      <c r="O440" s="37"/>
      <c r="P440" s="37">
        <v>0</v>
      </c>
      <c r="Q440" s="37">
        <v>0</v>
      </c>
      <c r="R440" s="37" t="s">
        <v>1171</v>
      </c>
      <c r="S440" s="37"/>
    </row>
    <row r="441" spans="1:19" x14ac:dyDescent="0.3">
      <c r="A441" s="37">
        <v>241</v>
      </c>
      <c r="B441" s="37" t="s">
        <v>1153</v>
      </c>
      <c r="C441" s="37" t="s">
        <v>1096</v>
      </c>
      <c r="D441" s="37" t="s">
        <v>73</v>
      </c>
      <c r="E441" s="37" t="s">
        <v>22</v>
      </c>
      <c r="F441" s="42">
        <v>45657</v>
      </c>
      <c r="G441" s="37">
        <v>2024</v>
      </c>
      <c r="H441" s="37" t="s">
        <v>27</v>
      </c>
      <c r="I441" s="39" t="s">
        <v>36</v>
      </c>
      <c r="J441" s="37">
        <v>11</v>
      </c>
      <c r="K441" s="37">
        <v>9.5</v>
      </c>
      <c r="L441" s="24">
        <f t="shared" si="46"/>
        <v>0.86363636363636365</v>
      </c>
      <c r="M441" s="24">
        <f t="shared" si="47"/>
        <v>0.86363636363636365</v>
      </c>
      <c r="N441" s="37"/>
      <c r="O441" s="37"/>
      <c r="P441" s="37">
        <v>0</v>
      </c>
      <c r="Q441" s="37">
        <v>0</v>
      </c>
      <c r="R441" s="37" t="s">
        <v>1177</v>
      </c>
      <c r="S441" s="37"/>
    </row>
    <row r="442" spans="1:19" x14ac:dyDescent="0.3">
      <c r="A442" s="36">
        <v>242</v>
      </c>
      <c r="B442" s="37" t="s">
        <v>3509</v>
      </c>
      <c r="C442" s="37" t="s">
        <v>1096</v>
      </c>
      <c r="D442" s="37" t="s">
        <v>73</v>
      </c>
      <c r="E442" s="37" t="s">
        <v>22</v>
      </c>
      <c r="F442" s="42">
        <v>45107</v>
      </c>
      <c r="G442" s="37">
        <v>2023</v>
      </c>
      <c r="H442" s="37" t="s">
        <v>23</v>
      </c>
      <c r="I442" s="39" t="s">
        <v>30</v>
      </c>
      <c r="J442" s="37">
        <v>90</v>
      </c>
      <c r="K442" s="60">
        <v>97.68</v>
      </c>
      <c r="L442" s="55">
        <f t="shared" si="46"/>
        <v>1.0853333333333335</v>
      </c>
      <c r="M442" s="24">
        <f t="shared" si="47"/>
        <v>1.0853333333333335</v>
      </c>
      <c r="N442" s="37" t="s">
        <v>25</v>
      </c>
      <c r="O442" s="37" t="s">
        <v>25</v>
      </c>
      <c r="P442" s="37">
        <v>0</v>
      </c>
      <c r="Q442" s="37">
        <v>0</v>
      </c>
      <c r="R442" s="37" t="s">
        <v>1184</v>
      </c>
      <c r="S442" s="37"/>
    </row>
    <row r="443" spans="1:19" x14ac:dyDescent="0.3">
      <c r="A443" s="41">
        <v>242</v>
      </c>
      <c r="B443" s="37" t="s">
        <v>3509</v>
      </c>
      <c r="C443" s="37" t="s">
        <v>1096</v>
      </c>
      <c r="D443" s="37" t="s">
        <v>73</v>
      </c>
      <c r="E443" s="37" t="s">
        <v>22</v>
      </c>
      <c r="F443" s="42">
        <v>45291</v>
      </c>
      <c r="G443" s="37">
        <v>2023</v>
      </c>
      <c r="H443" s="37" t="s">
        <v>27</v>
      </c>
      <c r="I443" s="39" t="s">
        <v>32</v>
      </c>
      <c r="J443" s="37">
        <v>90</v>
      </c>
      <c r="K443" s="37">
        <v>95.44</v>
      </c>
      <c r="L443" s="55">
        <f t="shared" si="46"/>
        <v>1.0604444444444445</v>
      </c>
      <c r="M443" s="24">
        <f t="shared" si="47"/>
        <v>1.0604444444444445</v>
      </c>
      <c r="N443" s="37" t="s">
        <v>25</v>
      </c>
      <c r="O443" s="37" t="s">
        <v>25</v>
      </c>
      <c r="P443" s="37">
        <v>0</v>
      </c>
      <c r="Q443" s="37">
        <v>0</v>
      </c>
      <c r="R443" s="37" t="s">
        <v>1190</v>
      </c>
      <c r="S443" s="37"/>
    </row>
    <row r="444" spans="1:19" x14ac:dyDescent="0.3">
      <c r="A444" s="36">
        <v>243</v>
      </c>
      <c r="B444" s="37" t="s">
        <v>1191</v>
      </c>
      <c r="C444" s="37" t="s">
        <v>1096</v>
      </c>
      <c r="D444" s="37" t="s">
        <v>73</v>
      </c>
      <c r="E444" s="37" t="s">
        <v>56</v>
      </c>
      <c r="F444" s="42">
        <v>44957</v>
      </c>
      <c r="G444" s="37">
        <v>2023</v>
      </c>
      <c r="H444" s="37" t="s">
        <v>74</v>
      </c>
      <c r="I444" s="39" t="s">
        <v>30</v>
      </c>
      <c r="J444" s="37">
        <v>0</v>
      </c>
      <c r="K444" s="37">
        <v>0</v>
      </c>
      <c r="L444" s="24" t="str">
        <f t="shared" si="46"/>
        <v/>
      </c>
      <c r="M444" s="24" t="str">
        <f t="shared" si="47"/>
        <v/>
      </c>
      <c r="N444" s="37" t="s">
        <v>25</v>
      </c>
      <c r="O444" s="37" t="s">
        <v>25</v>
      </c>
      <c r="P444" s="37">
        <v>0</v>
      </c>
      <c r="Q444" s="37">
        <v>0</v>
      </c>
      <c r="R444" s="37" t="s">
        <v>1192</v>
      </c>
      <c r="S444" s="37"/>
    </row>
    <row r="445" spans="1:19" x14ac:dyDescent="0.3">
      <c r="A445" s="36">
        <v>243</v>
      </c>
      <c r="B445" s="37" t="s">
        <v>1191</v>
      </c>
      <c r="C445" s="37" t="s">
        <v>1096</v>
      </c>
      <c r="D445" s="37" t="s">
        <v>73</v>
      </c>
      <c r="E445" s="37" t="s">
        <v>56</v>
      </c>
      <c r="F445" s="38">
        <v>44985</v>
      </c>
      <c r="G445" s="37">
        <v>2023</v>
      </c>
      <c r="H445" s="37" t="s">
        <v>76</v>
      </c>
      <c r="I445" s="39" t="s">
        <v>30</v>
      </c>
      <c r="J445" s="37">
        <v>0</v>
      </c>
      <c r="K445" s="37">
        <v>0</v>
      </c>
      <c r="L445" s="24" t="str">
        <f t="shared" si="46"/>
        <v/>
      </c>
      <c r="M445" s="24" t="str">
        <f t="shared" si="47"/>
        <v/>
      </c>
      <c r="N445" s="37" t="s">
        <v>25</v>
      </c>
      <c r="O445" s="37" t="s">
        <v>25</v>
      </c>
      <c r="P445" s="37">
        <v>0</v>
      </c>
      <c r="Q445" s="37">
        <v>0</v>
      </c>
      <c r="R445" s="37" t="s">
        <v>1193</v>
      </c>
      <c r="S445" s="37"/>
    </row>
    <row r="446" spans="1:19" x14ac:dyDescent="0.3">
      <c r="A446" s="36">
        <v>243</v>
      </c>
      <c r="B446" s="37" t="s">
        <v>1191</v>
      </c>
      <c r="C446" s="37" t="s">
        <v>1096</v>
      </c>
      <c r="D446" s="37" t="s">
        <v>73</v>
      </c>
      <c r="E446" s="37" t="s">
        <v>56</v>
      </c>
      <c r="F446" s="42">
        <v>45016</v>
      </c>
      <c r="G446" s="37">
        <v>2023</v>
      </c>
      <c r="H446" s="37" t="s">
        <v>40</v>
      </c>
      <c r="I446" s="39" t="s">
        <v>30</v>
      </c>
      <c r="J446" s="37">
        <v>0</v>
      </c>
      <c r="K446" s="37">
        <v>0</v>
      </c>
      <c r="L446" s="24" t="str">
        <f t="shared" si="46"/>
        <v/>
      </c>
      <c r="M446" s="24" t="str">
        <f t="shared" si="47"/>
        <v/>
      </c>
      <c r="N446" s="37" t="s">
        <v>25</v>
      </c>
      <c r="O446" s="37" t="s">
        <v>25</v>
      </c>
      <c r="P446" s="37">
        <v>0</v>
      </c>
      <c r="Q446" s="37">
        <v>0</v>
      </c>
      <c r="R446" s="37" t="s">
        <v>1194</v>
      </c>
      <c r="S446" s="37"/>
    </row>
    <row r="447" spans="1:19" x14ac:dyDescent="0.3">
      <c r="A447" s="36">
        <v>243</v>
      </c>
      <c r="B447" s="37" t="s">
        <v>1191</v>
      </c>
      <c r="C447" s="37" t="s">
        <v>1096</v>
      </c>
      <c r="D447" s="37" t="s">
        <v>73</v>
      </c>
      <c r="E447" s="37" t="s">
        <v>56</v>
      </c>
      <c r="F447" s="42">
        <v>45046</v>
      </c>
      <c r="G447" s="37">
        <v>2023</v>
      </c>
      <c r="H447" s="37" t="s">
        <v>79</v>
      </c>
      <c r="I447" s="39" t="s">
        <v>30</v>
      </c>
      <c r="J447" s="37">
        <v>0</v>
      </c>
      <c r="K447" s="37">
        <v>0</v>
      </c>
      <c r="L447" s="24" t="str">
        <f t="shared" si="46"/>
        <v/>
      </c>
      <c r="M447" s="24" t="str">
        <f t="shared" si="47"/>
        <v/>
      </c>
      <c r="N447" s="37" t="s">
        <v>25</v>
      </c>
      <c r="O447" s="37" t="s">
        <v>25</v>
      </c>
      <c r="P447" s="37">
        <v>0</v>
      </c>
      <c r="Q447" s="37">
        <v>0</v>
      </c>
      <c r="R447" s="37" t="s">
        <v>1195</v>
      </c>
      <c r="S447" s="37"/>
    </row>
    <row r="448" spans="1:19" x14ac:dyDescent="0.3">
      <c r="A448" s="36">
        <v>243</v>
      </c>
      <c r="B448" s="37" t="s">
        <v>1191</v>
      </c>
      <c r="C448" s="37" t="s">
        <v>1096</v>
      </c>
      <c r="D448" s="37" t="s">
        <v>73</v>
      </c>
      <c r="E448" s="37" t="s">
        <v>56</v>
      </c>
      <c r="F448" s="42">
        <v>45077</v>
      </c>
      <c r="G448" s="37">
        <v>2023</v>
      </c>
      <c r="H448" s="37" t="s">
        <v>81</v>
      </c>
      <c r="I448" s="39" t="s">
        <v>30</v>
      </c>
      <c r="J448" s="37">
        <v>0</v>
      </c>
      <c r="K448" s="37">
        <v>0</v>
      </c>
      <c r="L448" s="24" t="str">
        <f t="shared" si="46"/>
        <v/>
      </c>
      <c r="M448" s="24" t="str">
        <f t="shared" si="47"/>
        <v/>
      </c>
      <c r="N448" s="37" t="s">
        <v>25</v>
      </c>
      <c r="O448" s="37" t="s">
        <v>25</v>
      </c>
      <c r="P448" s="37">
        <v>0</v>
      </c>
      <c r="Q448" s="37">
        <v>0</v>
      </c>
      <c r="R448" s="37" t="s">
        <v>1196</v>
      </c>
      <c r="S448" s="37"/>
    </row>
    <row r="449" spans="1:19" x14ac:dyDescent="0.3">
      <c r="A449" s="36">
        <v>243</v>
      </c>
      <c r="B449" s="37" t="s">
        <v>1191</v>
      </c>
      <c r="C449" s="37" t="s">
        <v>1096</v>
      </c>
      <c r="D449" s="37" t="s">
        <v>73</v>
      </c>
      <c r="E449" s="37" t="s">
        <v>56</v>
      </c>
      <c r="F449" s="42">
        <v>45107</v>
      </c>
      <c r="G449" s="37">
        <v>2023</v>
      </c>
      <c r="H449" s="37" t="s">
        <v>23</v>
      </c>
      <c r="I449" s="39" t="s">
        <v>30</v>
      </c>
      <c r="J449" s="37">
        <v>0</v>
      </c>
      <c r="K449" s="37">
        <v>8.3333333333333304</v>
      </c>
      <c r="L449" s="24" t="str">
        <f t="shared" si="46"/>
        <v/>
      </c>
      <c r="M449" s="24" t="str">
        <f t="shared" si="47"/>
        <v/>
      </c>
      <c r="N449" s="37" t="s">
        <v>25</v>
      </c>
      <c r="O449" s="37" t="s">
        <v>25</v>
      </c>
      <c r="P449" s="37">
        <v>0</v>
      </c>
      <c r="Q449" s="37">
        <v>0</v>
      </c>
      <c r="R449" s="37" t="s">
        <v>1197</v>
      </c>
      <c r="S449" s="37"/>
    </row>
    <row r="450" spans="1:19" x14ac:dyDescent="0.3">
      <c r="A450" s="37">
        <v>243</v>
      </c>
      <c r="B450" s="37" t="s">
        <v>1191</v>
      </c>
      <c r="C450" s="37" t="s">
        <v>1096</v>
      </c>
      <c r="D450" s="37" t="s">
        <v>73</v>
      </c>
      <c r="E450" s="37" t="s">
        <v>56</v>
      </c>
      <c r="F450" s="42">
        <v>45138</v>
      </c>
      <c r="G450" s="40">
        <v>2023</v>
      </c>
      <c r="H450" s="39" t="s">
        <v>84</v>
      </c>
      <c r="I450" s="39" t="s">
        <v>32</v>
      </c>
      <c r="J450" s="37">
        <v>0</v>
      </c>
      <c r="K450" s="73">
        <v>16.666666666666998</v>
      </c>
      <c r="L450" s="24" t="str">
        <f t="shared" si="46"/>
        <v/>
      </c>
      <c r="M450" s="24" t="str">
        <f t="shared" si="47"/>
        <v/>
      </c>
      <c r="N450" s="37" t="s">
        <v>25</v>
      </c>
      <c r="O450" s="37" t="s">
        <v>25</v>
      </c>
      <c r="P450" s="37">
        <v>0</v>
      </c>
      <c r="Q450" s="37">
        <v>0</v>
      </c>
      <c r="R450" s="37" t="s">
        <v>1198</v>
      </c>
      <c r="S450" s="37"/>
    </row>
    <row r="451" spans="1:19" x14ac:dyDescent="0.3">
      <c r="A451" s="37">
        <v>243</v>
      </c>
      <c r="B451" s="37" t="s">
        <v>1191</v>
      </c>
      <c r="C451" s="37" t="s">
        <v>1096</v>
      </c>
      <c r="D451" s="37" t="s">
        <v>73</v>
      </c>
      <c r="E451" s="37" t="s">
        <v>56</v>
      </c>
      <c r="F451" s="42">
        <v>45169</v>
      </c>
      <c r="G451" s="40">
        <v>2023</v>
      </c>
      <c r="H451" s="39" t="s">
        <v>86</v>
      </c>
      <c r="I451" s="39" t="s">
        <v>32</v>
      </c>
      <c r="J451" s="37">
        <v>0</v>
      </c>
      <c r="K451" s="73">
        <v>9.09</v>
      </c>
      <c r="L451" s="24" t="str">
        <f t="shared" si="46"/>
        <v/>
      </c>
      <c r="M451" s="24" t="str">
        <f t="shared" si="47"/>
        <v/>
      </c>
      <c r="N451" s="37" t="s">
        <v>25</v>
      </c>
      <c r="O451" s="37" t="s">
        <v>25</v>
      </c>
      <c r="P451" s="37">
        <v>0</v>
      </c>
      <c r="Q451" s="37">
        <v>0</v>
      </c>
      <c r="R451" s="37" t="s">
        <v>1199</v>
      </c>
      <c r="S451" s="37"/>
    </row>
    <row r="452" spans="1:19" x14ac:dyDescent="0.3">
      <c r="A452" s="37">
        <v>243</v>
      </c>
      <c r="B452" s="37" t="s">
        <v>1191</v>
      </c>
      <c r="C452" s="37" t="s">
        <v>1096</v>
      </c>
      <c r="D452" s="37" t="s">
        <v>73</v>
      </c>
      <c r="E452" s="37" t="s">
        <v>56</v>
      </c>
      <c r="F452" s="42">
        <v>45199</v>
      </c>
      <c r="G452" s="40">
        <v>2023</v>
      </c>
      <c r="H452" s="39" t="s">
        <v>43</v>
      </c>
      <c r="I452" s="39" t="s">
        <v>32</v>
      </c>
      <c r="J452" s="37">
        <v>0</v>
      </c>
      <c r="K452" s="73">
        <v>0</v>
      </c>
      <c r="L452" s="24" t="str">
        <f t="shared" si="46"/>
        <v/>
      </c>
      <c r="M452" s="24" t="str">
        <f t="shared" si="47"/>
        <v/>
      </c>
      <c r="N452" s="37" t="s">
        <v>25</v>
      </c>
      <c r="O452" s="37" t="s">
        <v>25</v>
      </c>
      <c r="P452" s="37">
        <v>0</v>
      </c>
      <c r="Q452" s="37">
        <v>0</v>
      </c>
      <c r="R452" s="37" t="s">
        <v>1200</v>
      </c>
      <c r="S452" s="37"/>
    </row>
    <row r="453" spans="1:19" x14ac:dyDescent="0.3">
      <c r="A453" s="41">
        <v>243</v>
      </c>
      <c r="B453" s="37" t="s">
        <v>1191</v>
      </c>
      <c r="C453" s="37" t="s">
        <v>1096</v>
      </c>
      <c r="D453" s="37" t="s">
        <v>73</v>
      </c>
      <c r="E453" s="37" t="s">
        <v>56</v>
      </c>
      <c r="F453" s="42">
        <v>45230</v>
      </c>
      <c r="G453" s="37">
        <v>2023</v>
      </c>
      <c r="H453" s="37" t="s">
        <v>89</v>
      </c>
      <c r="I453" s="39" t="s">
        <v>32</v>
      </c>
      <c r="J453" s="37">
        <v>0</v>
      </c>
      <c r="K453" s="37">
        <v>11.11</v>
      </c>
      <c r="L453" s="24" t="str">
        <f t="shared" si="46"/>
        <v/>
      </c>
      <c r="M453" s="24" t="str">
        <f t="shared" si="47"/>
        <v/>
      </c>
      <c r="N453" s="37" t="s">
        <v>25</v>
      </c>
      <c r="O453" s="37" t="s">
        <v>25</v>
      </c>
      <c r="P453" s="37">
        <v>0</v>
      </c>
      <c r="Q453" s="37">
        <v>0</v>
      </c>
      <c r="R453" s="37" t="s">
        <v>1201</v>
      </c>
      <c r="S453" s="37"/>
    </row>
    <row r="454" spans="1:19" x14ac:dyDescent="0.3">
      <c r="A454" s="41">
        <v>243</v>
      </c>
      <c r="B454" s="37" t="s">
        <v>1191</v>
      </c>
      <c r="C454" s="37" t="s">
        <v>1096</v>
      </c>
      <c r="D454" s="37" t="s">
        <v>73</v>
      </c>
      <c r="E454" s="37" t="s">
        <v>56</v>
      </c>
      <c r="F454" s="42">
        <v>45260</v>
      </c>
      <c r="G454" s="37">
        <v>2023</v>
      </c>
      <c r="H454" s="37" t="s">
        <v>91</v>
      </c>
      <c r="I454" s="39" t="s">
        <v>32</v>
      </c>
      <c r="J454" s="37">
        <v>0</v>
      </c>
      <c r="K454" s="37">
        <v>0</v>
      </c>
      <c r="L454" s="24" t="str">
        <f t="shared" si="46"/>
        <v/>
      </c>
      <c r="M454" s="24" t="str">
        <f t="shared" si="47"/>
        <v/>
      </c>
      <c r="N454" s="37" t="s">
        <v>25</v>
      </c>
      <c r="O454" s="37" t="s">
        <v>25</v>
      </c>
      <c r="P454" s="37">
        <v>0</v>
      </c>
      <c r="Q454" s="37">
        <v>0</v>
      </c>
      <c r="R454" s="37" t="s">
        <v>1202</v>
      </c>
      <c r="S454" s="37"/>
    </row>
    <row r="455" spans="1:19" x14ac:dyDescent="0.3">
      <c r="A455" s="41">
        <v>243</v>
      </c>
      <c r="B455" s="37" t="s">
        <v>1191</v>
      </c>
      <c r="C455" s="37" t="s">
        <v>1096</v>
      </c>
      <c r="D455" s="37" t="s">
        <v>73</v>
      </c>
      <c r="E455" s="37" t="s">
        <v>56</v>
      </c>
      <c r="F455" s="42">
        <v>45291</v>
      </c>
      <c r="G455" s="37">
        <v>2023</v>
      </c>
      <c r="H455" s="37" t="s">
        <v>27</v>
      </c>
      <c r="I455" s="39" t="s">
        <v>32</v>
      </c>
      <c r="J455" s="37">
        <v>0</v>
      </c>
      <c r="K455" s="37">
        <v>14.29</v>
      </c>
      <c r="L455" s="24" t="str">
        <f t="shared" si="46"/>
        <v/>
      </c>
      <c r="M455" s="24" t="str">
        <f t="shared" si="47"/>
        <v/>
      </c>
      <c r="N455" s="37" t="s">
        <v>25</v>
      </c>
      <c r="O455" s="37" t="s">
        <v>25</v>
      </c>
      <c r="P455" s="37">
        <v>0</v>
      </c>
      <c r="Q455" s="37">
        <v>0</v>
      </c>
      <c r="R455" s="37" t="s">
        <v>1203</v>
      </c>
      <c r="S455" s="37"/>
    </row>
    <row r="456" spans="1:19" x14ac:dyDescent="0.3">
      <c r="A456" s="41">
        <v>244</v>
      </c>
      <c r="B456" s="37" t="s">
        <v>1204</v>
      </c>
      <c r="C456" s="37" t="s">
        <v>251</v>
      </c>
      <c r="D456" s="37" t="s">
        <v>139</v>
      </c>
      <c r="E456" s="37" t="s">
        <v>56</v>
      </c>
      <c r="F456" s="42">
        <v>45291</v>
      </c>
      <c r="G456" s="37">
        <v>2023</v>
      </c>
      <c r="H456" s="37" t="s">
        <v>27</v>
      </c>
      <c r="I456" s="39" t="s">
        <v>32</v>
      </c>
      <c r="J456" s="37">
        <v>25</v>
      </c>
      <c r="K456" s="37">
        <v>24</v>
      </c>
      <c r="L456" s="24">
        <f t="shared" si="46"/>
        <v>1.0416666666666667</v>
      </c>
      <c r="M456" s="24">
        <f t="shared" si="47"/>
        <v>1.0416666666666667</v>
      </c>
      <c r="N456" s="37"/>
      <c r="O456" s="37"/>
      <c r="P456" s="37">
        <v>0</v>
      </c>
      <c r="Q456" s="37">
        <v>0</v>
      </c>
      <c r="R456" s="37" t="s">
        <v>1205</v>
      </c>
      <c r="S456" s="37"/>
    </row>
    <row r="457" spans="1:19" x14ac:dyDescent="0.3">
      <c r="A457" s="37">
        <v>244</v>
      </c>
      <c r="B457" s="37" t="s">
        <v>1204</v>
      </c>
      <c r="C457" s="37" t="s">
        <v>251</v>
      </c>
      <c r="D457" s="37" t="s">
        <v>139</v>
      </c>
      <c r="E457" s="37" t="s">
        <v>56</v>
      </c>
      <c r="F457" s="42">
        <v>45657</v>
      </c>
      <c r="G457" s="37">
        <v>2024</v>
      </c>
      <c r="H457" s="37" t="s">
        <v>27</v>
      </c>
      <c r="I457" s="39" t="s">
        <v>36</v>
      </c>
      <c r="J457" s="37">
        <v>25</v>
      </c>
      <c r="K457" s="37">
        <v>25</v>
      </c>
      <c r="L457" s="24">
        <f t="shared" si="46"/>
        <v>1</v>
      </c>
      <c r="M457" s="24">
        <f t="shared" si="47"/>
        <v>1</v>
      </c>
      <c r="N457" s="37"/>
      <c r="O457" s="37"/>
      <c r="P457" s="37">
        <v>0</v>
      </c>
      <c r="Q457" s="37">
        <v>0</v>
      </c>
      <c r="R457" s="37" t="s">
        <v>1206</v>
      </c>
      <c r="S457" s="37"/>
    </row>
    <row r="458" spans="1:19" x14ac:dyDescent="0.3">
      <c r="A458" s="37">
        <v>245</v>
      </c>
      <c r="B458" s="37" t="s">
        <v>1207</v>
      </c>
      <c r="C458" s="37" t="s">
        <v>1208</v>
      </c>
      <c r="D458" s="37" t="s">
        <v>21</v>
      </c>
      <c r="E458" s="37" t="s">
        <v>22</v>
      </c>
      <c r="F458" s="38">
        <v>45107</v>
      </c>
      <c r="G458" s="40">
        <v>2023</v>
      </c>
      <c r="H458" s="39" t="s">
        <v>23</v>
      </c>
      <c r="I458" s="39" t="s">
        <v>30</v>
      </c>
      <c r="J458" s="37">
        <v>87</v>
      </c>
      <c r="K458" s="37">
        <v>85.12</v>
      </c>
      <c r="L458" s="24">
        <f t="shared" ref="L458:L479" si="48">IFERROR(IF(OR(J458=0,K458=""),"",IF(E458="Positivo",MIN(MAX(K458/J458,0),1.3),MIN(MAX(J458/K458,0),1.3))),"")</f>
        <v>0.97839080459770122</v>
      </c>
      <c r="M458" s="24">
        <f t="shared" ref="M458:M479" si="49">IFERROR(IF(OR(J458=0,K458=""),"",IF(E458="Positivo",MAX(K458/J458,0),MAX(J458/K458,0))),"")</f>
        <v>0.97839080459770122</v>
      </c>
      <c r="N458" s="37" t="s">
        <v>25</v>
      </c>
      <c r="O458" s="37" t="s">
        <v>25</v>
      </c>
      <c r="P458" s="37">
        <v>0</v>
      </c>
      <c r="Q458" s="37">
        <v>0</v>
      </c>
      <c r="R458" s="37" t="s">
        <v>1209</v>
      </c>
      <c r="S458" s="37"/>
    </row>
    <row r="459" spans="1:19" x14ac:dyDescent="0.3">
      <c r="A459" s="41">
        <v>245</v>
      </c>
      <c r="B459" s="37" t="s">
        <v>1207</v>
      </c>
      <c r="C459" s="37" t="s">
        <v>1208</v>
      </c>
      <c r="D459" s="37" t="s">
        <v>21</v>
      </c>
      <c r="E459" s="37" t="s">
        <v>22</v>
      </c>
      <c r="F459" s="42">
        <v>45291</v>
      </c>
      <c r="G459" s="37">
        <v>2023</v>
      </c>
      <c r="H459" s="37" t="s">
        <v>27</v>
      </c>
      <c r="I459" s="39" t="s">
        <v>32</v>
      </c>
      <c r="J459" s="37">
        <v>87</v>
      </c>
      <c r="K459" s="37">
        <v>85.38</v>
      </c>
      <c r="L459" s="24">
        <f t="shared" si="48"/>
        <v>0.9813793103448275</v>
      </c>
      <c r="M459" s="24">
        <f t="shared" si="49"/>
        <v>0.9813793103448275</v>
      </c>
      <c r="N459" s="37" t="s">
        <v>25</v>
      </c>
      <c r="O459" s="37" t="s">
        <v>25</v>
      </c>
      <c r="P459" s="37">
        <v>0</v>
      </c>
      <c r="Q459" s="37">
        <v>0</v>
      </c>
      <c r="R459" s="37" t="s">
        <v>1210</v>
      </c>
      <c r="S459" s="37"/>
    </row>
    <row r="460" spans="1:19" x14ac:dyDescent="0.3">
      <c r="A460" s="37">
        <v>245</v>
      </c>
      <c r="B460" s="37" t="s">
        <v>1207</v>
      </c>
      <c r="C460" s="37" t="s">
        <v>1208</v>
      </c>
      <c r="D460" s="37" t="s">
        <v>21</v>
      </c>
      <c r="E460" s="37" t="s">
        <v>22</v>
      </c>
      <c r="F460" s="42">
        <v>45473</v>
      </c>
      <c r="G460" s="37">
        <v>2024</v>
      </c>
      <c r="H460" s="37" t="s">
        <v>23</v>
      </c>
      <c r="I460" s="39" t="s">
        <v>34</v>
      </c>
      <c r="J460" s="37">
        <v>85</v>
      </c>
      <c r="K460" s="37">
        <v>85.13</v>
      </c>
      <c r="L460" s="24">
        <f t="shared" si="48"/>
        <v>1.0015294117647058</v>
      </c>
      <c r="M460" s="24">
        <f t="shared" si="49"/>
        <v>1.0015294117647058</v>
      </c>
      <c r="N460" s="37" t="s">
        <v>25</v>
      </c>
      <c r="O460" s="37" t="s">
        <v>25</v>
      </c>
      <c r="P460" s="37">
        <v>0</v>
      </c>
      <c r="Q460" s="37">
        <v>0</v>
      </c>
      <c r="R460" s="37" t="s">
        <v>1211</v>
      </c>
      <c r="S460" s="37"/>
    </row>
    <row r="461" spans="1:19" x14ac:dyDescent="0.3">
      <c r="A461" s="37">
        <v>245</v>
      </c>
      <c r="B461" s="37" t="s">
        <v>1207</v>
      </c>
      <c r="C461" s="37" t="s">
        <v>1208</v>
      </c>
      <c r="D461" s="37" t="s">
        <v>21</v>
      </c>
      <c r="E461" s="37" t="s">
        <v>22</v>
      </c>
      <c r="F461" s="42">
        <v>45657</v>
      </c>
      <c r="G461" s="37">
        <v>2024</v>
      </c>
      <c r="H461" s="37" t="s">
        <v>27</v>
      </c>
      <c r="I461" s="39" t="s">
        <v>36</v>
      </c>
      <c r="J461" s="37">
        <v>85</v>
      </c>
      <c r="K461" s="37">
        <v>85.19</v>
      </c>
      <c r="L461" s="24">
        <f t="shared" si="48"/>
        <v>1.0022352941176471</v>
      </c>
      <c r="M461" s="24">
        <f t="shared" si="49"/>
        <v>1.0022352941176471</v>
      </c>
      <c r="N461" s="37" t="s">
        <v>25</v>
      </c>
      <c r="O461" s="37" t="s">
        <v>25</v>
      </c>
      <c r="P461" s="37">
        <v>0</v>
      </c>
      <c r="Q461" s="37">
        <v>0</v>
      </c>
      <c r="R461" s="37" t="s">
        <v>1212</v>
      </c>
      <c r="S461" s="37"/>
    </row>
    <row r="462" spans="1:19" x14ac:dyDescent="0.3">
      <c r="A462" s="41">
        <v>246</v>
      </c>
      <c r="B462" s="37" t="s">
        <v>1214</v>
      </c>
      <c r="C462" s="37" t="s">
        <v>1215</v>
      </c>
      <c r="D462" s="37" t="s">
        <v>21</v>
      </c>
      <c r="E462" s="37" t="s">
        <v>22</v>
      </c>
      <c r="F462" s="42">
        <v>45291</v>
      </c>
      <c r="G462" s="37">
        <v>2023</v>
      </c>
      <c r="H462" s="37" t="s">
        <v>27</v>
      </c>
      <c r="I462" s="39" t="s">
        <v>32</v>
      </c>
      <c r="J462" s="37">
        <v>85</v>
      </c>
      <c r="K462" s="37">
        <v>61.4</v>
      </c>
      <c r="L462" s="55">
        <f t="shared" si="48"/>
        <v>0.72235294117647053</v>
      </c>
      <c r="M462" s="24">
        <f t="shared" si="49"/>
        <v>0.72235294117647053</v>
      </c>
      <c r="N462" s="37" t="s">
        <v>25</v>
      </c>
      <c r="O462" s="37" t="s">
        <v>25</v>
      </c>
      <c r="P462" s="37">
        <v>0</v>
      </c>
      <c r="Q462" s="37">
        <v>0</v>
      </c>
      <c r="R462" s="37" t="s">
        <v>1216</v>
      </c>
      <c r="S462" s="37"/>
    </row>
    <row r="463" spans="1:19" x14ac:dyDescent="0.3">
      <c r="A463" s="37">
        <v>246</v>
      </c>
      <c r="B463" s="37" t="s">
        <v>1217</v>
      </c>
      <c r="C463" s="37" t="s">
        <v>1215</v>
      </c>
      <c r="D463" s="37" t="s">
        <v>21</v>
      </c>
      <c r="E463" s="37" t="s">
        <v>22</v>
      </c>
      <c r="F463" s="42">
        <v>45473</v>
      </c>
      <c r="G463" s="37">
        <v>2024</v>
      </c>
      <c r="H463" s="37" t="s">
        <v>23</v>
      </c>
      <c r="I463" s="39" t="s">
        <v>34</v>
      </c>
      <c r="J463" s="37">
        <v>67.5</v>
      </c>
      <c r="K463" s="37">
        <v>92.5</v>
      </c>
      <c r="L463" s="24">
        <f t="shared" si="48"/>
        <v>1.3</v>
      </c>
      <c r="M463" s="24">
        <f t="shared" si="49"/>
        <v>1.3703703703703705</v>
      </c>
      <c r="N463" s="37" t="s">
        <v>25</v>
      </c>
      <c r="O463" s="37" t="s">
        <v>25</v>
      </c>
      <c r="P463" s="37">
        <v>0</v>
      </c>
      <c r="Q463" s="37">
        <v>0</v>
      </c>
      <c r="R463" s="37" t="s">
        <v>1218</v>
      </c>
      <c r="S463" s="37"/>
    </row>
    <row r="464" spans="1:19" x14ac:dyDescent="0.3">
      <c r="A464" s="37">
        <v>246</v>
      </c>
      <c r="B464" s="37" t="s">
        <v>1217</v>
      </c>
      <c r="C464" s="37" t="s">
        <v>1215</v>
      </c>
      <c r="D464" s="37" t="s">
        <v>21</v>
      </c>
      <c r="E464" s="37" t="s">
        <v>22</v>
      </c>
      <c r="F464" s="42">
        <v>45657</v>
      </c>
      <c r="G464" s="37">
        <v>2024</v>
      </c>
      <c r="H464" s="37" t="s">
        <v>27</v>
      </c>
      <c r="I464" s="39" t="s">
        <v>36</v>
      </c>
      <c r="J464" s="37">
        <v>67.5</v>
      </c>
      <c r="K464" s="37">
        <v>94.4</v>
      </c>
      <c r="L464" s="24">
        <f t="shared" si="48"/>
        <v>1.3</v>
      </c>
      <c r="M464" s="24">
        <f t="shared" si="49"/>
        <v>1.3985185185185185</v>
      </c>
      <c r="N464" s="37" t="s">
        <v>25</v>
      </c>
      <c r="O464" s="37" t="s">
        <v>25</v>
      </c>
      <c r="P464" s="37">
        <v>0</v>
      </c>
      <c r="Q464" s="37">
        <v>0</v>
      </c>
      <c r="R464" s="37" t="s">
        <v>1219</v>
      </c>
      <c r="S464" s="37"/>
    </row>
    <row r="465" spans="1:19" x14ac:dyDescent="0.3">
      <c r="A465" s="41">
        <v>247</v>
      </c>
      <c r="B465" s="37" t="s">
        <v>1220</v>
      </c>
      <c r="C465" s="37" t="s">
        <v>1215</v>
      </c>
      <c r="D465" s="37" t="s">
        <v>73</v>
      </c>
      <c r="E465" s="37" t="s">
        <v>22</v>
      </c>
      <c r="F465" s="42">
        <v>45107</v>
      </c>
      <c r="G465" s="37">
        <v>2023</v>
      </c>
      <c r="H465" s="37" t="s">
        <v>23</v>
      </c>
      <c r="I465" s="39" t="s">
        <v>30</v>
      </c>
      <c r="J465" s="37">
        <v>0</v>
      </c>
      <c r="K465" s="73">
        <v>70.540000000000006</v>
      </c>
      <c r="L465" s="55" t="str">
        <f t="shared" si="48"/>
        <v/>
      </c>
      <c r="M465" s="24" t="str">
        <f t="shared" si="49"/>
        <v/>
      </c>
      <c r="N465" s="37"/>
      <c r="O465" s="37"/>
      <c r="P465" s="37">
        <v>1</v>
      </c>
      <c r="Q465" s="37">
        <v>1</v>
      </c>
      <c r="R465" s="37" t="s">
        <v>1226</v>
      </c>
      <c r="S465" s="37"/>
    </row>
    <row r="466" spans="1:19" x14ac:dyDescent="0.3">
      <c r="A466" s="41">
        <v>247</v>
      </c>
      <c r="B466" s="37" t="s">
        <v>1220</v>
      </c>
      <c r="C466" s="37" t="s">
        <v>1215</v>
      </c>
      <c r="D466" s="37" t="s">
        <v>73</v>
      </c>
      <c r="E466" s="37" t="s">
        <v>22</v>
      </c>
      <c r="F466" s="42">
        <v>45291</v>
      </c>
      <c r="G466" s="37">
        <v>2023</v>
      </c>
      <c r="H466" s="37" t="s">
        <v>27</v>
      </c>
      <c r="I466" s="39" t="s">
        <v>32</v>
      </c>
      <c r="J466" s="37">
        <v>0</v>
      </c>
      <c r="K466" s="37">
        <v>69.08</v>
      </c>
      <c r="L466" s="55" t="str">
        <f t="shared" si="48"/>
        <v/>
      </c>
      <c r="M466" s="24" t="str">
        <f t="shared" si="49"/>
        <v/>
      </c>
      <c r="N466" s="37"/>
      <c r="O466" s="37"/>
      <c r="P466" s="37">
        <v>1</v>
      </c>
      <c r="Q466" s="37">
        <v>1</v>
      </c>
      <c r="R466" s="37" t="s">
        <v>1232</v>
      </c>
      <c r="S466" s="37"/>
    </row>
    <row r="467" spans="1:19" x14ac:dyDescent="0.3">
      <c r="A467" s="37">
        <v>248</v>
      </c>
      <c r="B467" s="37" t="s">
        <v>1233</v>
      </c>
      <c r="C467" s="37" t="s">
        <v>1234</v>
      </c>
      <c r="D467" s="37" t="s">
        <v>21</v>
      </c>
      <c r="E467" s="37" t="s">
        <v>22</v>
      </c>
      <c r="F467" s="38">
        <v>45107</v>
      </c>
      <c r="G467" s="40">
        <v>2023</v>
      </c>
      <c r="H467" s="39" t="s">
        <v>23</v>
      </c>
      <c r="I467" s="39" t="s">
        <v>30</v>
      </c>
      <c r="J467" s="37">
        <v>27</v>
      </c>
      <c r="K467" s="37">
        <v>27</v>
      </c>
      <c r="L467" s="24">
        <f t="shared" si="48"/>
        <v>1</v>
      </c>
      <c r="M467" s="24">
        <f t="shared" si="49"/>
        <v>1</v>
      </c>
      <c r="N467" s="37"/>
      <c r="O467" s="37"/>
      <c r="P467" s="37">
        <v>0</v>
      </c>
      <c r="Q467" s="37">
        <v>0</v>
      </c>
      <c r="R467" s="37" t="s">
        <v>1235</v>
      </c>
      <c r="S467" s="37"/>
    </row>
    <row r="468" spans="1:19" x14ac:dyDescent="0.3">
      <c r="A468" s="41">
        <v>248</v>
      </c>
      <c r="B468" s="37" t="s">
        <v>1233</v>
      </c>
      <c r="C468" s="37" t="s">
        <v>1234</v>
      </c>
      <c r="D468" s="37" t="s">
        <v>21</v>
      </c>
      <c r="E468" s="37" t="s">
        <v>22</v>
      </c>
      <c r="F468" s="42">
        <v>45291</v>
      </c>
      <c r="G468" s="37">
        <v>2023</v>
      </c>
      <c r="H468" s="37" t="s">
        <v>27</v>
      </c>
      <c r="I468" s="39" t="s">
        <v>32</v>
      </c>
      <c r="J468" s="37">
        <v>17</v>
      </c>
      <c r="K468" s="37">
        <v>17</v>
      </c>
      <c r="L468" s="24">
        <f t="shared" si="48"/>
        <v>1</v>
      </c>
      <c r="M468" s="24">
        <f t="shared" si="49"/>
        <v>1</v>
      </c>
      <c r="N468" s="37"/>
      <c r="O468" s="37"/>
      <c r="P468" s="37">
        <v>0</v>
      </c>
      <c r="Q468" s="37">
        <v>0</v>
      </c>
      <c r="R468" s="37" t="s">
        <v>1236</v>
      </c>
      <c r="S468" s="37"/>
    </row>
    <row r="469" spans="1:19" x14ac:dyDescent="0.3">
      <c r="A469" s="37">
        <v>249</v>
      </c>
      <c r="B469" s="37" t="s">
        <v>1237</v>
      </c>
      <c r="C469" s="37" t="s">
        <v>1234</v>
      </c>
      <c r="D469" s="37" t="s">
        <v>21</v>
      </c>
      <c r="E469" s="37" t="s">
        <v>22</v>
      </c>
      <c r="F469" s="38">
        <v>45107</v>
      </c>
      <c r="G469" s="40">
        <v>2023</v>
      </c>
      <c r="H469" s="39" t="s">
        <v>23</v>
      </c>
      <c r="I469" s="39" t="s">
        <v>30</v>
      </c>
      <c r="J469" s="37">
        <v>72</v>
      </c>
      <c r="K469" s="37">
        <v>72</v>
      </c>
      <c r="L469" s="24">
        <f t="shared" si="48"/>
        <v>1</v>
      </c>
      <c r="M469" s="24">
        <f t="shared" si="49"/>
        <v>1</v>
      </c>
      <c r="N469" s="37"/>
      <c r="O469" s="37"/>
      <c r="P469" s="37">
        <v>0</v>
      </c>
      <c r="Q469" s="37">
        <v>0</v>
      </c>
      <c r="R469" s="37" t="s">
        <v>1238</v>
      </c>
      <c r="S469" s="37"/>
    </row>
    <row r="470" spans="1:19" x14ac:dyDescent="0.3">
      <c r="A470" s="41">
        <v>249</v>
      </c>
      <c r="B470" s="37" t="s">
        <v>1237</v>
      </c>
      <c r="C470" s="37" t="s">
        <v>1234</v>
      </c>
      <c r="D470" s="37" t="s">
        <v>21</v>
      </c>
      <c r="E470" s="37" t="s">
        <v>22</v>
      </c>
      <c r="F470" s="42">
        <v>45291</v>
      </c>
      <c r="G470" s="37">
        <v>2023</v>
      </c>
      <c r="H470" s="37" t="s">
        <v>27</v>
      </c>
      <c r="I470" s="39" t="s">
        <v>32</v>
      </c>
      <c r="J470" s="37">
        <v>26</v>
      </c>
      <c r="K470" s="37">
        <v>26</v>
      </c>
      <c r="L470" s="24">
        <f t="shared" si="48"/>
        <v>1</v>
      </c>
      <c r="M470" s="24">
        <f t="shared" si="49"/>
        <v>1</v>
      </c>
      <c r="N470" s="37"/>
      <c r="O470" s="37"/>
      <c r="P470" s="37">
        <v>0</v>
      </c>
      <c r="Q470" s="37">
        <v>0</v>
      </c>
      <c r="R470" s="37" t="s">
        <v>1239</v>
      </c>
      <c r="S470" s="37"/>
    </row>
    <row r="471" spans="1:19" x14ac:dyDescent="0.3">
      <c r="A471" s="41">
        <v>251</v>
      </c>
      <c r="B471" s="37" t="s">
        <v>1240</v>
      </c>
      <c r="C471" s="37" t="s">
        <v>1241</v>
      </c>
      <c r="D471" s="37" t="s">
        <v>39</v>
      </c>
      <c r="E471" s="37" t="s">
        <v>22</v>
      </c>
      <c r="F471" s="42">
        <v>45107</v>
      </c>
      <c r="G471" s="37">
        <v>2023</v>
      </c>
      <c r="H471" s="37" t="s">
        <v>23</v>
      </c>
      <c r="I471" s="39" t="s">
        <v>30</v>
      </c>
      <c r="J471" s="37">
        <v>49</v>
      </c>
      <c r="K471" s="37">
        <v>46</v>
      </c>
      <c r="L471" s="55">
        <f t="shared" si="48"/>
        <v>0.93877551020408168</v>
      </c>
      <c r="M471" s="24">
        <f t="shared" si="49"/>
        <v>0.93877551020408168</v>
      </c>
      <c r="N471" s="37" t="s">
        <v>25</v>
      </c>
      <c r="O471" s="37" t="s">
        <v>25</v>
      </c>
      <c r="P471" s="37">
        <v>0</v>
      </c>
      <c r="Q471" s="37">
        <v>0</v>
      </c>
      <c r="R471" s="37" t="s">
        <v>1242</v>
      </c>
      <c r="S471" s="37"/>
    </row>
    <row r="472" spans="1:19" x14ac:dyDescent="0.3">
      <c r="A472" s="41">
        <v>251</v>
      </c>
      <c r="B472" s="37" t="s">
        <v>1240</v>
      </c>
      <c r="C472" s="37" t="s">
        <v>1241</v>
      </c>
      <c r="D472" s="37" t="s">
        <v>39</v>
      </c>
      <c r="E472" s="37" t="s">
        <v>22</v>
      </c>
      <c r="F472" s="42">
        <v>45291</v>
      </c>
      <c r="G472" s="37">
        <v>2023</v>
      </c>
      <c r="H472" s="37" t="s">
        <v>27</v>
      </c>
      <c r="I472" s="39" t="s">
        <v>32</v>
      </c>
      <c r="J472" s="37">
        <v>51</v>
      </c>
      <c r="K472" s="37">
        <v>51</v>
      </c>
      <c r="L472" s="55">
        <f t="shared" si="48"/>
        <v>1</v>
      </c>
      <c r="M472" s="24">
        <f t="shared" si="49"/>
        <v>1</v>
      </c>
      <c r="N472" s="37" t="s">
        <v>25</v>
      </c>
      <c r="O472" s="37" t="s">
        <v>25</v>
      </c>
      <c r="P472" s="37">
        <v>0</v>
      </c>
      <c r="Q472" s="37">
        <v>0</v>
      </c>
      <c r="R472" s="37" t="s">
        <v>1244</v>
      </c>
      <c r="S472" s="37"/>
    </row>
    <row r="473" spans="1:19" x14ac:dyDescent="0.3">
      <c r="A473" s="41">
        <v>251</v>
      </c>
      <c r="B473" s="37" t="s">
        <v>1240</v>
      </c>
      <c r="C473" s="37" t="s">
        <v>1241</v>
      </c>
      <c r="D473" s="37" t="s">
        <v>39</v>
      </c>
      <c r="E473" s="37" t="s">
        <v>22</v>
      </c>
      <c r="F473" s="42">
        <v>45473</v>
      </c>
      <c r="G473" s="37">
        <v>2024</v>
      </c>
      <c r="H473" s="37" t="s">
        <v>23</v>
      </c>
      <c r="I473" s="39" t="s">
        <v>34</v>
      </c>
      <c r="J473" s="37">
        <v>53</v>
      </c>
      <c r="K473" s="37">
        <v>49</v>
      </c>
      <c r="L473" s="24">
        <f t="shared" si="48"/>
        <v>0.92452830188679247</v>
      </c>
      <c r="M473" s="24">
        <f t="shared" si="49"/>
        <v>0.92452830188679247</v>
      </c>
      <c r="N473" s="37" t="s">
        <v>25</v>
      </c>
      <c r="O473" s="37" t="s">
        <v>25</v>
      </c>
      <c r="P473" s="37">
        <v>0</v>
      </c>
      <c r="Q473" s="37">
        <v>0</v>
      </c>
      <c r="R473" s="37" t="s">
        <v>1247</v>
      </c>
      <c r="S473" s="37"/>
    </row>
    <row r="474" spans="1:19" x14ac:dyDescent="0.3">
      <c r="A474" s="37">
        <v>251</v>
      </c>
      <c r="B474" s="37" t="s">
        <v>1240</v>
      </c>
      <c r="C474" s="37" t="s">
        <v>1241</v>
      </c>
      <c r="D474" s="37" t="s">
        <v>39</v>
      </c>
      <c r="E474" s="37" t="s">
        <v>22</v>
      </c>
      <c r="F474" s="42">
        <v>45657</v>
      </c>
      <c r="G474" s="37">
        <v>2024</v>
      </c>
      <c r="H474" s="37" t="s">
        <v>27</v>
      </c>
      <c r="I474" s="39" t="s">
        <v>36</v>
      </c>
      <c r="J474" s="37">
        <v>53</v>
      </c>
      <c r="K474" s="53">
        <v>51</v>
      </c>
      <c r="L474" s="24">
        <f t="shared" si="48"/>
        <v>0.96226415094339623</v>
      </c>
      <c r="M474" s="24">
        <f t="shared" si="49"/>
        <v>0.96226415094339623</v>
      </c>
      <c r="N474" s="37" t="s">
        <v>25</v>
      </c>
      <c r="O474" s="37" t="s">
        <v>25</v>
      </c>
      <c r="P474" s="37">
        <v>0</v>
      </c>
      <c r="Q474" s="37">
        <v>0</v>
      </c>
      <c r="R474" s="37" t="s">
        <v>1249</v>
      </c>
      <c r="S474" s="37"/>
    </row>
    <row r="475" spans="1:19" x14ac:dyDescent="0.3">
      <c r="A475" s="45">
        <v>252</v>
      </c>
      <c r="B475" s="37" t="s">
        <v>1250</v>
      </c>
      <c r="C475" s="37" t="s">
        <v>1208</v>
      </c>
      <c r="D475" s="37" t="s">
        <v>21</v>
      </c>
      <c r="E475" s="37" t="s">
        <v>22</v>
      </c>
      <c r="F475" s="42">
        <v>45107</v>
      </c>
      <c r="G475" s="37">
        <v>2023</v>
      </c>
      <c r="H475" s="37" t="s">
        <v>23</v>
      </c>
      <c r="I475" s="39" t="s">
        <v>30</v>
      </c>
      <c r="J475" s="37">
        <v>68</v>
      </c>
      <c r="K475" s="37">
        <v>67.19</v>
      </c>
      <c r="L475" s="74">
        <f t="shared" si="48"/>
        <v>0.9880882352941176</v>
      </c>
      <c r="M475" s="65">
        <f t="shared" si="49"/>
        <v>0.9880882352941176</v>
      </c>
      <c r="N475" s="37" t="s">
        <v>25</v>
      </c>
      <c r="O475" s="37" t="s">
        <v>25</v>
      </c>
      <c r="P475" s="37">
        <v>2</v>
      </c>
      <c r="Q475" s="37">
        <v>2</v>
      </c>
      <c r="R475" s="37" t="s">
        <v>1251</v>
      </c>
      <c r="S475" s="37"/>
    </row>
    <row r="476" spans="1:19" x14ac:dyDescent="0.3">
      <c r="A476" s="41">
        <v>252</v>
      </c>
      <c r="B476" s="37" t="s">
        <v>1250</v>
      </c>
      <c r="C476" s="37" t="s">
        <v>1208</v>
      </c>
      <c r="D476" s="37" t="s">
        <v>21</v>
      </c>
      <c r="E476" s="37" t="s">
        <v>22</v>
      </c>
      <c r="F476" s="42">
        <v>45291</v>
      </c>
      <c r="G476" s="37">
        <v>2023</v>
      </c>
      <c r="H476" s="37" t="s">
        <v>27</v>
      </c>
      <c r="I476" s="39" t="s">
        <v>32</v>
      </c>
      <c r="J476" s="37">
        <v>68</v>
      </c>
      <c r="K476" s="37">
        <v>74.739999999999995</v>
      </c>
      <c r="L476" s="74">
        <f t="shared" si="48"/>
        <v>1.0991176470588235</v>
      </c>
      <c r="M476" s="65">
        <f t="shared" si="49"/>
        <v>1.0991176470588235</v>
      </c>
      <c r="N476" s="37" t="s">
        <v>25</v>
      </c>
      <c r="O476" s="37" t="s">
        <v>25</v>
      </c>
      <c r="P476" s="37">
        <v>2</v>
      </c>
      <c r="Q476" s="37">
        <v>2</v>
      </c>
      <c r="R476" s="37" t="s">
        <v>1252</v>
      </c>
      <c r="S476" s="37"/>
    </row>
    <row r="477" spans="1:19" x14ac:dyDescent="0.3">
      <c r="A477" s="37">
        <v>252</v>
      </c>
      <c r="B477" s="37" t="s">
        <v>1250</v>
      </c>
      <c r="C477" s="37" t="s">
        <v>1208</v>
      </c>
      <c r="D477" s="37" t="s">
        <v>21</v>
      </c>
      <c r="E477" s="37" t="s">
        <v>22</v>
      </c>
      <c r="F477" s="42">
        <v>45473</v>
      </c>
      <c r="G477" s="37">
        <v>2024</v>
      </c>
      <c r="H477" s="37" t="s">
        <v>23</v>
      </c>
      <c r="I477" s="39" t="s">
        <v>34</v>
      </c>
      <c r="J477" s="37">
        <v>68.5</v>
      </c>
      <c r="K477" s="37">
        <v>71.56</v>
      </c>
      <c r="L477" s="65">
        <f t="shared" si="48"/>
        <v>1.0446715328467153</v>
      </c>
      <c r="M477" s="65">
        <f t="shared" si="49"/>
        <v>1.0446715328467153</v>
      </c>
      <c r="N477" s="37" t="s">
        <v>25</v>
      </c>
      <c r="O477" s="37" t="s">
        <v>25</v>
      </c>
      <c r="P477" s="37">
        <v>0</v>
      </c>
      <c r="Q477" s="37">
        <v>0</v>
      </c>
      <c r="R477" s="37" t="s">
        <v>1253</v>
      </c>
      <c r="S477" s="37"/>
    </row>
    <row r="478" spans="1:19" x14ac:dyDescent="0.3">
      <c r="A478" s="37">
        <v>252</v>
      </c>
      <c r="B478" s="37" t="s">
        <v>1250</v>
      </c>
      <c r="C478" s="37" t="s">
        <v>1208</v>
      </c>
      <c r="D478" s="37" t="s">
        <v>21</v>
      </c>
      <c r="E478" s="37" t="s">
        <v>22</v>
      </c>
      <c r="F478" s="42">
        <v>45657</v>
      </c>
      <c r="G478" s="37">
        <v>2024</v>
      </c>
      <c r="H478" s="37" t="s">
        <v>27</v>
      </c>
      <c r="I478" s="39" t="s">
        <v>36</v>
      </c>
      <c r="J478" s="37">
        <v>72.900000000000006</v>
      </c>
      <c r="K478" s="37">
        <v>72.53</v>
      </c>
      <c r="L478" s="65">
        <f t="shared" si="48"/>
        <v>0.99492455418381343</v>
      </c>
      <c r="M478" s="65">
        <f t="shared" si="49"/>
        <v>0.99492455418381343</v>
      </c>
      <c r="N478" s="37" t="s">
        <v>25</v>
      </c>
      <c r="O478" s="37" t="s">
        <v>25</v>
      </c>
      <c r="P478" s="37">
        <v>0</v>
      </c>
      <c r="Q478" s="37">
        <v>0</v>
      </c>
      <c r="R478" s="37" t="s">
        <v>1254</v>
      </c>
      <c r="S478" s="37"/>
    </row>
    <row r="479" spans="1:19" x14ac:dyDescent="0.3">
      <c r="A479" s="37">
        <v>253</v>
      </c>
      <c r="B479" s="37" t="s">
        <v>1256</v>
      </c>
      <c r="C479" s="37" t="s">
        <v>120</v>
      </c>
      <c r="D479" s="37" t="s">
        <v>121</v>
      </c>
      <c r="E479" s="37" t="s">
        <v>56</v>
      </c>
      <c r="F479" s="42">
        <v>45046</v>
      </c>
      <c r="G479" s="40">
        <v>2023</v>
      </c>
      <c r="H479" s="39" t="s">
        <v>79</v>
      </c>
      <c r="I479" s="39" t="s">
        <v>30</v>
      </c>
      <c r="J479" s="37">
        <v>8</v>
      </c>
      <c r="K479" s="37">
        <v>8</v>
      </c>
      <c r="L479" s="65">
        <f t="shared" si="48"/>
        <v>1</v>
      </c>
      <c r="M479" s="65">
        <f t="shared" si="49"/>
        <v>1</v>
      </c>
      <c r="N479" s="37" t="s">
        <v>57</v>
      </c>
      <c r="O479" s="37" t="s">
        <v>57</v>
      </c>
      <c r="P479" s="37">
        <v>0</v>
      </c>
      <c r="Q479" s="37">
        <v>0</v>
      </c>
      <c r="R479" s="37" t="s">
        <v>1257</v>
      </c>
      <c r="S479" s="37"/>
    </row>
    <row r="480" spans="1:19" x14ac:dyDescent="0.3">
      <c r="A480" s="41">
        <v>253</v>
      </c>
      <c r="B480" s="37" t="s">
        <v>1256</v>
      </c>
      <c r="C480" s="37" t="s">
        <v>120</v>
      </c>
      <c r="D480" s="37" t="s">
        <v>121</v>
      </c>
      <c r="E480" s="37" t="s">
        <v>56</v>
      </c>
      <c r="F480" s="42">
        <v>45107</v>
      </c>
      <c r="G480" s="37">
        <v>2023</v>
      </c>
      <c r="H480" s="37" t="s">
        <v>23</v>
      </c>
      <c r="I480" s="39" t="s">
        <v>30</v>
      </c>
      <c r="J480" s="37">
        <v>8</v>
      </c>
      <c r="K480" s="37">
        <v>4.5</v>
      </c>
      <c r="L480" s="65">
        <f t="shared" ref="L480:L489" si="50">IFERROR(IF(OR(J480=0,K480=""),"",IF(E480="Positivo",MIN(MAX(K480/J480,0),1.3),MIN(MAX(J480/K480,0),1.3))),"")</f>
        <v>1.3</v>
      </c>
      <c r="M480" s="65">
        <f t="shared" ref="M480:M489" si="51">IFERROR(IF(OR(J480=0,K480=""),"",IF(E480="Positivo",MAX(K480/J480,0),MAX(J480/K480,0))),"")</f>
        <v>1.7777777777777777</v>
      </c>
      <c r="N480" s="37" t="s">
        <v>57</v>
      </c>
      <c r="O480" s="37" t="s">
        <v>57</v>
      </c>
      <c r="P480" s="37">
        <v>0</v>
      </c>
      <c r="Q480" s="37">
        <v>0</v>
      </c>
      <c r="R480" s="37" t="s">
        <v>1258</v>
      </c>
      <c r="S480" s="37"/>
    </row>
    <row r="481" spans="1:19" x14ac:dyDescent="0.3">
      <c r="A481" s="41">
        <v>253</v>
      </c>
      <c r="B481" s="37" t="s">
        <v>1256</v>
      </c>
      <c r="C481" s="37" t="s">
        <v>120</v>
      </c>
      <c r="D481" s="37" t="s">
        <v>121</v>
      </c>
      <c r="E481" s="37" t="s">
        <v>56</v>
      </c>
      <c r="F481" s="42">
        <v>45169</v>
      </c>
      <c r="G481" s="37">
        <v>2023</v>
      </c>
      <c r="H481" s="37" t="s">
        <v>86</v>
      </c>
      <c r="I481" s="39" t="s">
        <v>32</v>
      </c>
      <c r="J481" s="37">
        <v>8</v>
      </c>
      <c r="K481" s="37">
        <v>4.5</v>
      </c>
      <c r="L481" s="65">
        <f t="shared" si="50"/>
        <v>1.3</v>
      </c>
      <c r="M481" s="65">
        <f t="shared" si="51"/>
        <v>1.7777777777777777</v>
      </c>
      <c r="N481" s="37" t="s">
        <v>57</v>
      </c>
      <c r="O481" s="37" t="s">
        <v>57</v>
      </c>
      <c r="P481" s="37">
        <v>0</v>
      </c>
      <c r="Q481" s="37">
        <v>0</v>
      </c>
      <c r="R481" s="37" t="s">
        <v>1259</v>
      </c>
      <c r="S481" s="37"/>
    </row>
    <row r="482" spans="1:19" x14ac:dyDescent="0.3">
      <c r="A482" s="41">
        <v>253</v>
      </c>
      <c r="B482" s="37" t="s">
        <v>1256</v>
      </c>
      <c r="C482" s="37" t="s">
        <v>120</v>
      </c>
      <c r="D482" s="37" t="s">
        <v>121</v>
      </c>
      <c r="E482" s="37" t="s">
        <v>56</v>
      </c>
      <c r="F482" s="42">
        <v>45230</v>
      </c>
      <c r="G482" s="37">
        <v>2023</v>
      </c>
      <c r="H482" s="37" t="s">
        <v>89</v>
      </c>
      <c r="I482" s="39" t="s">
        <v>32</v>
      </c>
      <c r="J482" s="37">
        <v>8</v>
      </c>
      <c r="K482" s="37">
        <v>5.8</v>
      </c>
      <c r="L482" s="65">
        <f t="shared" si="50"/>
        <v>1.3</v>
      </c>
      <c r="M482" s="65">
        <f t="shared" si="51"/>
        <v>1.3793103448275863</v>
      </c>
      <c r="N482" s="37" t="s">
        <v>57</v>
      </c>
      <c r="O482" s="37" t="s">
        <v>57</v>
      </c>
      <c r="P482" s="37">
        <v>0</v>
      </c>
      <c r="Q482" s="37">
        <v>0</v>
      </c>
      <c r="R482" s="37" t="s">
        <v>1260</v>
      </c>
      <c r="S482" s="37"/>
    </row>
    <row r="483" spans="1:19" x14ac:dyDescent="0.3">
      <c r="A483" s="41">
        <v>253</v>
      </c>
      <c r="B483" s="37" t="s">
        <v>1256</v>
      </c>
      <c r="C483" s="37" t="s">
        <v>120</v>
      </c>
      <c r="D483" s="37" t="s">
        <v>121</v>
      </c>
      <c r="E483" s="37" t="s">
        <v>56</v>
      </c>
      <c r="F483" s="42">
        <v>45291</v>
      </c>
      <c r="G483" s="37">
        <v>2023</v>
      </c>
      <c r="H483" s="37" t="s">
        <v>27</v>
      </c>
      <c r="I483" s="39" t="s">
        <v>32</v>
      </c>
      <c r="J483" s="37">
        <v>8</v>
      </c>
      <c r="K483" s="37">
        <v>5</v>
      </c>
      <c r="L483" s="65">
        <f t="shared" si="50"/>
        <v>1.3</v>
      </c>
      <c r="M483" s="65">
        <f t="shared" si="51"/>
        <v>1.6</v>
      </c>
      <c r="N483" s="37" t="s">
        <v>57</v>
      </c>
      <c r="O483" s="37" t="s">
        <v>57</v>
      </c>
      <c r="P483" s="37">
        <v>0</v>
      </c>
      <c r="Q483" s="37">
        <v>0</v>
      </c>
      <c r="R483" s="37" t="s">
        <v>1261</v>
      </c>
      <c r="S483" s="37"/>
    </row>
    <row r="484" spans="1:19" x14ac:dyDescent="0.3">
      <c r="A484" s="41">
        <v>254</v>
      </c>
      <c r="B484" s="37" t="s">
        <v>1262</v>
      </c>
      <c r="C484" s="37" t="s">
        <v>1263</v>
      </c>
      <c r="D484" s="37" t="s">
        <v>39</v>
      </c>
      <c r="E484" s="37" t="s">
        <v>22</v>
      </c>
      <c r="F484" s="42">
        <v>45107</v>
      </c>
      <c r="G484" s="37">
        <v>2023</v>
      </c>
      <c r="H484" s="37" t="s">
        <v>23</v>
      </c>
      <c r="I484" s="39" t="s">
        <v>30</v>
      </c>
      <c r="J484" s="37">
        <v>55</v>
      </c>
      <c r="K484" s="37">
        <v>55</v>
      </c>
      <c r="L484" s="74">
        <f t="shared" si="50"/>
        <v>1</v>
      </c>
      <c r="M484" s="65">
        <f t="shared" si="51"/>
        <v>1</v>
      </c>
      <c r="N484" s="37" t="s">
        <v>25</v>
      </c>
      <c r="O484" s="37" t="s">
        <v>25</v>
      </c>
      <c r="P484" s="37">
        <v>0</v>
      </c>
      <c r="Q484" s="37">
        <v>0</v>
      </c>
      <c r="R484" s="37" t="s">
        <v>1266</v>
      </c>
      <c r="S484" s="37"/>
    </row>
    <row r="485" spans="1:19" x14ac:dyDescent="0.3">
      <c r="A485" s="41">
        <v>254</v>
      </c>
      <c r="B485" s="37" t="s">
        <v>1262</v>
      </c>
      <c r="C485" s="37" t="s">
        <v>1263</v>
      </c>
      <c r="D485" s="37" t="s">
        <v>39</v>
      </c>
      <c r="E485" s="37" t="s">
        <v>22</v>
      </c>
      <c r="F485" s="42">
        <v>45291</v>
      </c>
      <c r="G485" s="37">
        <v>2023</v>
      </c>
      <c r="H485" s="37" t="s">
        <v>27</v>
      </c>
      <c r="I485" s="39" t="s">
        <v>32</v>
      </c>
      <c r="J485" s="37">
        <v>55</v>
      </c>
      <c r="K485" s="37">
        <v>55</v>
      </c>
      <c r="L485" s="74">
        <f t="shared" si="50"/>
        <v>1</v>
      </c>
      <c r="M485" s="65">
        <f t="shared" si="51"/>
        <v>1</v>
      </c>
      <c r="N485" s="37" t="s">
        <v>25</v>
      </c>
      <c r="O485" s="37" t="s">
        <v>25</v>
      </c>
      <c r="P485" s="37">
        <v>0</v>
      </c>
      <c r="Q485" s="37">
        <v>0</v>
      </c>
      <c r="R485" s="37" t="s">
        <v>1268</v>
      </c>
      <c r="S485" s="37"/>
    </row>
    <row r="486" spans="1:19" x14ac:dyDescent="0.3">
      <c r="A486" s="37">
        <v>254</v>
      </c>
      <c r="B486" s="37" t="s">
        <v>1262</v>
      </c>
      <c r="C486" s="37" t="s">
        <v>1263</v>
      </c>
      <c r="D486" s="37" t="s">
        <v>39</v>
      </c>
      <c r="E486" s="37" t="s">
        <v>22</v>
      </c>
      <c r="F486" s="42">
        <v>45473</v>
      </c>
      <c r="G486" s="37">
        <v>2024</v>
      </c>
      <c r="H486" s="37" t="s">
        <v>23</v>
      </c>
      <c r="I486" s="39" t="s">
        <v>34</v>
      </c>
      <c r="J486" s="37">
        <v>73</v>
      </c>
      <c r="K486" s="37">
        <v>73</v>
      </c>
      <c r="L486" s="65">
        <f t="shared" si="50"/>
        <v>1</v>
      </c>
      <c r="M486" s="65">
        <f t="shared" si="51"/>
        <v>1</v>
      </c>
      <c r="N486" s="37" t="s">
        <v>25</v>
      </c>
      <c r="O486" s="37" t="s">
        <v>25</v>
      </c>
      <c r="P486" s="37">
        <v>0</v>
      </c>
      <c r="Q486" s="37">
        <v>0</v>
      </c>
      <c r="R486" s="37" t="s">
        <v>1270</v>
      </c>
      <c r="S486" s="37"/>
    </row>
    <row r="487" spans="1:19" x14ac:dyDescent="0.3">
      <c r="A487" s="37">
        <v>254</v>
      </c>
      <c r="B487" s="37" t="s">
        <v>1262</v>
      </c>
      <c r="C487" s="37" t="s">
        <v>1263</v>
      </c>
      <c r="D487" s="37" t="s">
        <v>39</v>
      </c>
      <c r="E487" s="37" t="s">
        <v>22</v>
      </c>
      <c r="F487" s="42">
        <v>45657</v>
      </c>
      <c r="G487" s="37">
        <v>2024</v>
      </c>
      <c r="H487" s="37" t="s">
        <v>27</v>
      </c>
      <c r="I487" s="39" t="s">
        <v>36</v>
      </c>
      <c r="J487" s="37">
        <v>73</v>
      </c>
      <c r="K487" s="37">
        <v>73</v>
      </c>
      <c r="L487" s="65">
        <f t="shared" si="50"/>
        <v>1</v>
      </c>
      <c r="M487" s="65">
        <f t="shared" si="51"/>
        <v>1</v>
      </c>
      <c r="N487" s="37" t="s">
        <v>25</v>
      </c>
      <c r="O487" s="37" t="s">
        <v>25</v>
      </c>
      <c r="P487" s="37">
        <v>0</v>
      </c>
      <c r="Q487" s="37">
        <v>0</v>
      </c>
      <c r="R487" s="37" t="s">
        <v>1272</v>
      </c>
      <c r="S487" s="37"/>
    </row>
    <row r="488" spans="1:19" x14ac:dyDescent="0.3">
      <c r="A488" s="41">
        <v>255</v>
      </c>
      <c r="B488" s="37" t="s">
        <v>1273</v>
      </c>
      <c r="C488" s="37" t="s">
        <v>546</v>
      </c>
      <c r="D488" s="37" t="s">
        <v>139</v>
      </c>
      <c r="E488" s="37" t="s">
        <v>22</v>
      </c>
      <c r="F488" s="42">
        <v>45291</v>
      </c>
      <c r="G488" s="37">
        <v>2023</v>
      </c>
      <c r="H488" s="37" t="s">
        <v>27</v>
      </c>
      <c r="I488" s="39" t="s">
        <v>32</v>
      </c>
      <c r="J488" s="37">
        <v>100</v>
      </c>
      <c r="K488" s="37">
        <v>18</v>
      </c>
      <c r="L488" s="74">
        <f t="shared" si="50"/>
        <v>0.18</v>
      </c>
      <c r="M488" s="65">
        <f t="shared" si="51"/>
        <v>0.18</v>
      </c>
      <c r="N488" s="37"/>
      <c r="O488" s="37"/>
      <c r="P488" s="37">
        <v>0</v>
      </c>
      <c r="Q488" s="37">
        <v>0</v>
      </c>
      <c r="R488" s="37" t="s">
        <v>1274</v>
      </c>
      <c r="S488" s="37"/>
    </row>
    <row r="489" spans="1:19" x14ac:dyDescent="0.3">
      <c r="A489" s="37">
        <v>255</v>
      </c>
      <c r="B489" s="37" t="s">
        <v>1273</v>
      </c>
      <c r="C489" s="37" t="s">
        <v>546</v>
      </c>
      <c r="D489" s="37" t="s">
        <v>139</v>
      </c>
      <c r="E489" s="37" t="s">
        <v>22</v>
      </c>
      <c r="F489" s="42">
        <v>45657</v>
      </c>
      <c r="G489" s="37">
        <v>2024</v>
      </c>
      <c r="H489" s="37" t="s">
        <v>27</v>
      </c>
      <c r="I489" s="39" t="s">
        <v>36</v>
      </c>
      <c r="J489" s="37">
        <v>100</v>
      </c>
      <c r="K489" s="37">
        <v>15</v>
      </c>
      <c r="L489" s="65">
        <f t="shared" si="50"/>
        <v>0.15</v>
      </c>
      <c r="M489" s="65">
        <f t="shared" si="51"/>
        <v>0.15</v>
      </c>
      <c r="N489" s="37"/>
      <c r="O489" s="37"/>
      <c r="P489" s="37">
        <v>0</v>
      </c>
      <c r="Q489" s="37">
        <v>0</v>
      </c>
      <c r="R489" s="37" t="s">
        <v>1275</v>
      </c>
      <c r="S489" s="37"/>
    </row>
    <row r="490" spans="1:19" x14ac:dyDescent="0.3">
      <c r="A490" s="45">
        <v>256</v>
      </c>
      <c r="B490" s="37" t="s">
        <v>1277</v>
      </c>
      <c r="C490" s="37" t="s">
        <v>546</v>
      </c>
      <c r="D490" s="37" t="s">
        <v>21</v>
      </c>
      <c r="E490" s="37" t="s">
        <v>22</v>
      </c>
      <c r="F490" s="42">
        <v>45107</v>
      </c>
      <c r="G490" s="37">
        <v>2023</v>
      </c>
      <c r="H490" s="37" t="s">
        <v>23</v>
      </c>
      <c r="I490" s="39" t="s">
        <v>30</v>
      </c>
      <c r="J490" s="37">
        <v>17</v>
      </c>
      <c r="K490" s="37">
        <v>21</v>
      </c>
      <c r="L490" s="74">
        <f t="shared" ref="L490:L512" si="52">IFERROR(IF(OR(J490=0,K490=""),"",IF(E490="Positivo",MIN(MAX(K490/J490,0),1.3),MIN(MAX(J490/K490,0),1.3))),"")</f>
        <v>1.2352941176470589</v>
      </c>
      <c r="M490" s="65">
        <f t="shared" ref="M490:M512" si="53">IFERROR(IF(OR(J490=0,K490=""),"",IF(E490="Positivo",MAX(K490/J490,0),MAX(J490/K490,0))),"")</f>
        <v>1.2352941176470589</v>
      </c>
      <c r="N490" s="37" t="s">
        <v>203</v>
      </c>
      <c r="O490" s="37" t="s">
        <v>203</v>
      </c>
      <c r="P490" s="37">
        <v>0</v>
      </c>
      <c r="Q490" s="37">
        <v>0</v>
      </c>
      <c r="R490" s="37" t="s">
        <v>1278</v>
      </c>
      <c r="S490" s="37"/>
    </row>
    <row r="491" spans="1:19" x14ac:dyDescent="0.3">
      <c r="A491" s="41">
        <v>256</v>
      </c>
      <c r="B491" s="37" t="s">
        <v>1277</v>
      </c>
      <c r="C491" s="37" t="s">
        <v>546</v>
      </c>
      <c r="D491" s="37" t="s">
        <v>21</v>
      </c>
      <c r="E491" s="37" t="s">
        <v>22</v>
      </c>
      <c r="F491" s="42">
        <v>45291</v>
      </c>
      <c r="G491" s="37">
        <v>2023</v>
      </c>
      <c r="H491" s="37" t="s">
        <v>27</v>
      </c>
      <c r="I491" s="39" t="s">
        <v>32</v>
      </c>
      <c r="J491" s="37">
        <v>17</v>
      </c>
      <c r="K491" s="37">
        <v>21</v>
      </c>
      <c r="L491" s="74">
        <f t="shared" si="52"/>
        <v>1.2352941176470589</v>
      </c>
      <c r="M491" s="65">
        <f t="shared" si="53"/>
        <v>1.2352941176470589</v>
      </c>
      <c r="N491" s="37" t="s">
        <v>203</v>
      </c>
      <c r="O491" s="37" t="s">
        <v>203</v>
      </c>
      <c r="P491" s="37">
        <v>0</v>
      </c>
      <c r="Q491" s="37">
        <v>0</v>
      </c>
      <c r="R491" s="37" t="s">
        <v>1279</v>
      </c>
      <c r="S491" s="37"/>
    </row>
    <row r="492" spans="1:19" x14ac:dyDescent="0.3">
      <c r="A492" s="37">
        <v>256</v>
      </c>
      <c r="B492" s="37" t="s">
        <v>1277</v>
      </c>
      <c r="C492" s="37" t="s">
        <v>546</v>
      </c>
      <c r="D492" s="37" t="s">
        <v>21</v>
      </c>
      <c r="E492" s="37" t="s">
        <v>22</v>
      </c>
      <c r="F492" s="42">
        <v>45473</v>
      </c>
      <c r="G492" s="37">
        <v>2024</v>
      </c>
      <c r="H492" s="37" t="s">
        <v>23</v>
      </c>
      <c r="I492" s="39" t="s">
        <v>34</v>
      </c>
      <c r="J492" s="37">
        <v>17</v>
      </c>
      <c r="K492" s="37">
        <v>20</v>
      </c>
      <c r="L492" s="65">
        <f t="shared" si="52"/>
        <v>1.1764705882352942</v>
      </c>
      <c r="M492" s="65">
        <f t="shared" si="53"/>
        <v>1.1764705882352942</v>
      </c>
      <c r="N492" s="37" t="s">
        <v>203</v>
      </c>
      <c r="O492" s="37" t="s">
        <v>203</v>
      </c>
      <c r="P492" s="37">
        <v>0</v>
      </c>
      <c r="Q492" s="37">
        <v>0</v>
      </c>
      <c r="R492" s="37" t="s">
        <v>1280</v>
      </c>
      <c r="S492" s="37"/>
    </row>
    <row r="493" spans="1:19" x14ac:dyDescent="0.3">
      <c r="A493" s="37">
        <v>256</v>
      </c>
      <c r="B493" s="37" t="s">
        <v>1277</v>
      </c>
      <c r="C493" s="37" t="s">
        <v>546</v>
      </c>
      <c r="D493" s="37" t="s">
        <v>21</v>
      </c>
      <c r="E493" s="37" t="s">
        <v>22</v>
      </c>
      <c r="F493" s="42">
        <v>45657</v>
      </c>
      <c r="G493" s="37">
        <v>2024</v>
      </c>
      <c r="H493" s="37" t="s">
        <v>27</v>
      </c>
      <c r="I493" s="39" t="s">
        <v>36</v>
      </c>
      <c r="J493" s="37">
        <v>17</v>
      </c>
      <c r="K493" s="43">
        <v>26</v>
      </c>
      <c r="L493" s="65">
        <f t="shared" si="52"/>
        <v>1.3</v>
      </c>
      <c r="M493" s="65">
        <f t="shared" si="53"/>
        <v>1.5294117647058822</v>
      </c>
      <c r="N493" s="37" t="s">
        <v>203</v>
      </c>
      <c r="O493" s="37" t="s">
        <v>203</v>
      </c>
      <c r="P493" s="37">
        <v>0</v>
      </c>
      <c r="Q493" s="37">
        <v>0</v>
      </c>
      <c r="R493" s="37" t="s">
        <v>1281</v>
      </c>
      <c r="S493" s="37"/>
    </row>
    <row r="494" spans="1:19" x14ac:dyDescent="0.3">
      <c r="A494" s="45">
        <v>257</v>
      </c>
      <c r="B494" s="37" t="s">
        <v>1282</v>
      </c>
      <c r="C494" s="37" t="s">
        <v>546</v>
      </c>
      <c r="D494" s="37" t="s">
        <v>21</v>
      </c>
      <c r="E494" s="37" t="s">
        <v>22</v>
      </c>
      <c r="F494" s="42">
        <v>45107</v>
      </c>
      <c r="G494" s="37">
        <v>2023</v>
      </c>
      <c r="H494" s="37" t="s">
        <v>23</v>
      </c>
      <c r="I494" s="39" t="s">
        <v>30</v>
      </c>
      <c r="J494" s="37">
        <v>18</v>
      </c>
      <c r="K494" s="37">
        <v>15</v>
      </c>
      <c r="L494" s="74">
        <f t="shared" si="52"/>
        <v>0.83333333333333337</v>
      </c>
      <c r="M494" s="65">
        <f t="shared" si="53"/>
        <v>0.83333333333333337</v>
      </c>
      <c r="N494" s="37"/>
      <c r="O494" s="37"/>
      <c r="P494" s="37">
        <v>0</v>
      </c>
      <c r="Q494" s="37">
        <v>0</v>
      </c>
      <c r="R494" s="37" t="s">
        <v>1283</v>
      </c>
      <c r="S494" s="37"/>
    </row>
    <row r="495" spans="1:19" x14ac:dyDescent="0.3">
      <c r="A495" s="41">
        <v>257</v>
      </c>
      <c r="B495" s="37" t="s">
        <v>1282</v>
      </c>
      <c r="C495" s="37" t="s">
        <v>546</v>
      </c>
      <c r="D495" s="37" t="s">
        <v>21</v>
      </c>
      <c r="E495" s="37" t="s">
        <v>22</v>
      </c>
      <c r="F495" s="42">
        <v>45291</v>
      </c>
      <c r="G495" s="37">
        <v>2023</v>
      </c>
      <c r="H495" s="37" t="s">
        <v>27</v>
      </c>
      <c r="I495" s="39" t="s">
        <v>32</v>
      </c>
      <c r="J495" s="37">
        <v>24</v>
      </c>
      <c r="K495" s="37">
        <v>24</v>
      </c>
      <c r="L495" s="74">
        <f t="shared" si="52"/>
        <v>1</v>
      </c>
      <c r="M495" s="65">
        <f t="shared" si="53"/>
        <v>1</v>
      </c>
      <c r="N495" s="37"/>
      <c r="O495" s="37"/>
      <c r="P495" s="37">
        <v>0</v>
      </c>
      <c r="Q495" s="37">
        <v>0</v>
      </c>
      <c r="R495" s="37" t="s">
        <v>1284</v>
      </c>
      <c r="S495" s="37"/>
    </row>
    <row r="496" spans="1:19" x14ac:dyDescent="0.3">
      <c r="A496" s="41">
        <v>259</v>
      </c>
      <c r="B496" s="37" t="s">
        <v>1285</v>
      </c>
      <c r="C496" s="37" t="s">
        <v>1241</v>
      </c>
      <c r="D496" s="37" t="s">
        <v>39</v>
      </c>
      <c r="E496" s="37" t="s">
        <v>22</v>
      </c>
      <c r="F496" s="42">
        <v>45107</v>
      </c>
      <c r="G496" s="37">
        <v>2023</v>
      </c>
      <c r="H496" s="37" t="s">
        <v>23</v>
      </c>
      <c r="I496" s="39" t="s">
        <v>30</v>
      </c>
      <c r="J496" s="37">
        <v>100</v>
      </c>
      <c r="K496" s="37">
        <v>60.526315789473998</v>
      </c>
      <c r="L496" s="74">
        <f t="shared" si="52"/>
        <v>0.60526315789473994</v>
      </c>
      <c r="M496" s="65">
        <f t="shared" si="53"/>
        <v>0.60526315789473994</v>
      </c>
      <c r="N496" s="37" t="s">
        <v>25</v>
      </c>
      <c r="O496" s="37" t="s">
        <v>25</v>
      </c>
      <c r="P496" s="37">
        <v>0</v>
      </c>
      <c r="Q496" s="37">
        <v>0</v>
      </c>
      <c r="R496" s="37" t="s">
        <v>1286</v>
      </c>
      <c r="S496" s="37"/>
    </row>
    <row r="497" spans="1:19" x14ac:dyDescent="0.3">
      <c r="A497" s="45">
        <v>259</v>
      </c>
      <c r="B497" s="37" t="s">
        <v>1285</v>
      </c>
      <c r="C497" s="37" t="s">
        <v>1241</v>
      </c>
      <c r="D497" s="37" t="s">
        <v>39</v>
      </c>
      <c r="E497" s="37" t="s">
        <v>22</v>
      </c>
      <c r="F497" s="42">
        <v>45199</v>
      </c>
      <c r="G497" s="37">
        <v>2023</v>
      </c>
      <c r="H497" s="37" t="s">
        <v>43</v>
      </c>
      <c r="I497" s="39" t="s">
        <v>32</v>
      </c>
      <c r="J497" s="37">
        <v>100</v>
      </c>
      <c r="K497" s="37">
        <v>68.75</v>
      </c>
      <c r="L497" s="74">
        <f t="shared" si="52"/>
        <v>0.6875</v>
      </c>
      <c r="M497" s="65">
        <f t="shared" si="53"/>
        <v>0.6875</v>
      </c>
      <c r="N497" s="37" t="s">
        <v>25</v>
      </c>
      <c r="O497" s="37" t="s">
        <v>25</v>
      </c>
      <c r="P497" s="37">
        <v>0</v>
      </c>
      <c r="Q497" s="37">
        <v>0</v>
      </c>
      <c r="R497" s="37" t="s">
        <v>1287</v>
      </c>
      <c r="S497" s="37"/>
    </row>
    <row r="498" spans="1:19" x14ac:dyDescent="0.3">
      <c r="A498" s="41">
        <v>259</v>
      </c>
      <c r="B498" s="37" t="s">
        <v>1285</v>
      </c>
      <c r="C498" s="37" t="s">
        <v>1241</v>
      </c>
      <c r="D498" s="37" t="s">
        <v>39</v>
      </c>
      <c r="E498" s="37" t="s">
        <v>22</v>
      </c>
      <c r="F498" s="42">
        <v>45291</v>
      </c>
      <c r="G498" s="37">
        <v>2023</v>
      </c>
      <c r="H498" s="37" t="s">
        <v>27</v>
      </c>
      <c r="I498" s="39" t="s">
        <v>32</v>
      </c>
      <c r="J498" s="37">
        <v>100</v>
      </c>
      <c r="K498" s="37">
        <v>70</v>
      </c>
      <c r="L498" s="74">
        <f t="shared" si="52"/>
        <v>0.7</v>
      </c>
      <c r="M498" s="65">
        <f t="shared" si="53"/>
        <v>0.7</v>
      </c>
      <c r="N498" s="37" t="s">
        <v>25</v>
      </c>
      <c r="O498" s="37" t="s">
        <v>25</v>
      </c>
      <c r="P498" s="37">
        <v>0</v>
      </c>
      <c r="Q498" s="37">
        <v>0</v>
      </c>
      <c r="R498" s="37" t="s">
        <v>3510</v>
      </c>
      <c r="S498" s="37"/>
    </row>
    <row r="499" spans="1:19" x14ac:dyDescent="0.3">
      <c r="A499" s="37">
        <v>259</v>
      </c>
      <c r="B499" s="37" t="s">
        <v>1285</v>
      </c>
      <c r="C499" s="37" t="s">
        <v>1241</v>
      </c>
      <c r="D499" s="37" t="s">
        <v>39</v>
      </c>
      <c r="E499" s="37" t="s">
        <v>22</v>
      </c>
      <c r="F499" s="42">
        <v>45473</v>
      </c>
      <c r="G499" s="37">
        <v>2024</v>
      </c>
      <c r="H499" s="37" t="s">
        <v>23</v>
      </c>
      <c r="I499" s="39" t="s">
        <v>34</v>
      </c>
      <c r="J499" s="37">
        <v>90</v>
      </c>
      <c r="K499" s="37">
        <v>34.69</v>
      </c>
      <c r="L499" s="65">
        <f t="shared" si="52"/>
        <v>0.38544444444444442</v>
      </c>
      <c r="M499" s="65">
        <f t="shared" si="53"/>
        <v>0.38544444444444442</v>
      </c>
      <c r="N499" s="37"/>
      <c r="O499" s="37"/>
      <c r="P499" s="37">
        <v>0</v>
      </c>
      <c r="Q499" s="37">
        <v>0</v>
      </c>
      <c r="R499" s="37" t="s">
        <v>1288</v>
      </c>
      <c r="S499" s="37"/>
    </row>
    <row r="500" spans="1:19" x14ac:dyDescent="0.3">
      <c r="A500" s="37">
        <v>259</v>
      </c>
      <c r="B500" s="37" t="s">
        <v>1285</v>
      </c>
      <c r="C500" s="37" t="s">
        <v>1241</v>
      </c>
      <c r="D500" s="37" t="s">
        <v>39</v>
      </c>
      <c r="E500" s="37" t="s">
        <v>22</v>
      </c>
      <c r="F500" s="42">
        <v>45657</v>
      </c>
      <c r="G500" s="37">
        <v>2024</v>
      </c>
      <c r="H500" s="37" t="s">
        <v>27</v>
      </c>
      <c r="I500" s="39" t="s">
        <v>36</v>
      </c>
      <c r="J500" s="37">
        <v>90</v>
      </c>
      <c r="K500" s="37">
        <v>78.430000000000007</v>
      </c>
      <c r="L500" s="65">
        <f t="shared" si="52"/>
        <v>0.87144444444444447</v>
      </c>
      <c r="M500" s="65">
        <f t="shared" si="53"/>
        <v>0.87144444444444447</v>
      </c>
      <c r="N500" s="37"/>
      <c r="O500" s="37"/>
      <c r="P500" s="37">
        <v>0</v>
      </c>
      <c r="Q500" s="37">
        <v>0</v>
      </c>
      <c r="R500" s="37" t="s">
        <v>1290</v>
      </c>
      <c r="S500" s="37"/>
    </row>
    <row r="501" spans="1:19" x14ac:dyDescent="0.3">
      <c r="A501" s="45">
        <v>260</v>
      </c>
      <c r="B501" s="37" t="s">
        <v>1291</v>
      </c>
      <c r="C501" s="37" t="s">
        <v>1292</v>
      </c>
      <c r="D501" s="37" t="s">
        <v>21</v>
      </c>
      <c r="E501" s="37" t="s">
        <v>56</v>
      </c>
      <c r="F501" s="42">
        <v>45107</v>
      </c>
      <c r="G501" s="37">
        <v>2023</v>
      </c>
      <c r="H501" s="37" t="s">
        <v>23</v>
      </c>
      <c r="I501" s="39" t="s">
        <v>30</v>
      </c>
      <c r="J501" s="37">
        <v>3</v>
      </c>
      <c r="K501" s="37">
        <v>2.8</v>
      </c>
      <c r="L501" s="65">
        <f t="shared" si="52"/>
        <v>1.0714285714285714</v>
      </c>
      <c r="M501" s="65">
        <f t="shared" si="53"/>
        <v>1.0714285714285714</v>
      </c>
      <c r="N501" s="37" t="s">
        <v>197</v>
      </c>
      <c r="O501" s="37" t="s">
        <v>197</v>
      </c>
      <c r="P501" s="37">
        <v>0</v>
      </c>
      <c r="Q501" s="37">
        <v>1</v>
      </c>
      <c r="R501" s="37" t="s">
        <v>1293</v>
      </c>
      <c r="S501" s="37"/>
    </row>
    <row r="502" spans="1:19" x14ac:dyDescent="0.3">
      <c r="A502" s="41">
        <v>260</v>
      </c>
      <c r="B502" s="37" t="s">
        <v>1291</v>
      </c>
      <c r="C502" s="37" t="s">
        <v>1292</v>
      </c>
      <c r="D502" s="37" t="s">
        <v>21</v>
      </c>
      <c r="E502" s="37" t="s">
        <v>56</v>
      </c>
      <c r="F502" s="42">
        <v>45291</v>
      </c>
      <c r="G502" s="37">
        <v>2023</v>
      </c>
      <c r="H502" s="37" t="s">
        <v>27</v>
      </c>
      <c r="I502" s="39" t="s">
        <v>32</v>
      </c>
      <c r="J502" s="37">
        <v>3</v>
      </c>
      <c r="K502" s="37">
        <v>2.9</v>
      </c>
      <c r="L502" s="65">
        <f t="shared" si="52"/>
        <v>1.0344827586206897</v>
      </c>
      <c r="M502" s="65">
        <f t="shared" si="53"/>
        <v>1.0344827586206897</v>
      </c>
      <c r="N502" s="37" t="s">
        <v>197</v>
      </c>
      <c r="O502" s="37" t="s">
        <v>197</v>
      </c>
      <c r="P502" s="37">
        <v>0</v>
      </c>
      <c r="Q502" s="37">
        <v>1</v>
      </c>
      <c r="R502" s="37" t="s">
        <v>1294</v>
      </c>
      <c r="S502" s="37"/>
    </row>
    <row r="503" spans="1:19" x14ac:dyDescent="0.3">
      <c r="A503" s="37">
        <v>260</v>
      </c>
      <c r="B503" s="37" t="s">
        <v>1291</v>
      </c>
      <c r="C503" s="37" t="s">
        <v>1292</v>
      </c>
      <c r="D503" s="37" t="s">
        <v>21</v>
      </c>
      <c r="E503" s="37" t="s">
        <v>56</v>
      </c>
      <c r="F503" s="42">
        <v>45473</v>
      </c>
      <c r="G503" s="37">
        <v>2024</v>
      </c>
      <c r="H503" s="37" t="s">
        <v>23</v>
      </c>
      <c r="I503" s="39" t="s">
        <v>34</v>
      </c>
      <c r="J503" s="37">
        <v>2.8</v>
      </c>
      <c r="K503" s="37">
        <v>2.5099999999999998</v>
      </c>
      <c r="L503" s="65">
        <f t="shared" si="52"/>
        <v>1.1155378486055778</v>
      </c>
      <c r="M503" s="65">
        <f t="shared" si="53"/>
        <v>1.1155378486055778</v>
      </c>
      <c r="N503" s="37" t="s">
        <v>197</v>
      </c>
      <c r="O503" s="37" t="s">
        <v>197</v>
      </c>
      <c r="P503" s="37">
        <v>1</v>
      </c>
      <c r="Q503" s="37">
        <v>1</v>
      </c>
      <c r="R503" s="37" t="s">
        <v>1295</v>
      </c>
      <c r="S503" s="37"/>
    </row>
    <row r="504" spans="1:19" x14ac:dyDescent="0.3">
      <c r="A504" s="37">
        <v>260</v>
      </c>
      <c r="B504" s="37" t="s">
        <v>1291</v>
      </c>
      <c r="C504" s="37" t="s">
        <v>1292</v>
      </c>
      <c r="D504" s="37" t="s">
        <v>21</v>
      </c>
      <c r="E504" s="37" t="s">
        <v>56</v>
      </c>
      <c r="F504" s="42">
        <v>45657</v>
      </c>
      <c r="G504" s="37">
        <v>2024</v>
      </c>
      <c r="H504" s="37" t="s">
        <v>27</v>
      </c>
      <c r="I504" s="39" t="s">
        <v>36</v>
      </c>
      <c r="J504" s="37">
        <v>2.8</v>
      </c>
      <c r="K504" s="37">
        <v>2.1</v>
      </c>
      <c r="L504" s="65">
        <f t="shared" si="52"/>
        <v>1.3</v>
      </c>
      <c r="M504" s="65">
        <f t="shared" si="53"/>
        <v>1.3333333333333333</v>
      </c>
      <c r="N504" s="37" t="s">
        <v>197</v>
      </c>
      <c r="O504" s="37" t="s">
        <v>197</v>
      </c>
      <c r="P504" s="37">
        <v>1</v>
      </c>
      <c r="Q504" s="37">
        <v>1</v>
      </c>
      <c r="R504" s="37" t="s">
        <v>1296</v>
      </c>
      <c r="S504" s="37"/>
    </row>
    <row r="505" spans="1:19" x14ac:dyDescent="0.3">
      <c r="A505" s="45">
        <v>261</v>
      </c>
      <c r="B505" s="37" t="s">
        <v>1297</v>
      </c>
      <c r="C505" s="37" t="s">
        <v>625</v>
      </c>
      <c r="D505" s="37" t="s">
        <v>21</v>
      </c>
      <c r="E505" s="37" t="s">
        <v>56</v>
      </c>
      <c r="F505" s="42">
        <v>45107</v>
      </c>
      <c r="G505" s="37">
        <v>2023</v>
      </c>
      <c r="H505" s="37" t="s">
        <v>23</v>
      </c>
      <c r="I505" s="39" t="s">
        <v>30</v>
      </c>
      <c r="J505" s="37">
        <v>3</v>
      </c>
      <c r="K505" s="37">
        <v>1.98</v>
      </c>
      <c r="L505" s="65">
        <f t="shared" si="52"/>
        <v>1.3</v>
      </c>
      <c r="M505" s="65">
        <f t="shared" si="53"/>
        <v>1.5151515151515151</v>
      </c>
      <c r="N505" s="37" t="s">
        <v>203</v>
      </c>
      <c r="O505" s="37" t="s">
        <v>197</v>
      </c>
      <c r="P505" s="37">
        <v>0</v>
      </c>
      <c r="Q505" s="37">
        <v>1</v>
      </c>
      <c r="R505" s="37" t="s">
        <v>1298</v>
      </c>
      <c r="S505" s="37"/>
    </row>
    <row r="506" spans="1:19" x14ac:dyDescent="0.3">
      <c r="A506" s="41">
        <v>261</v>
      </c>
      <c r="B506" s="37" t="s">
        <v>1297</v>
      </c>
      <c r="C506" s="37" t="s">
        <v>625</v>
      </c>
      <c r="D506" s="37" t="s">
        <v>21</v>
      </c>
      <c r="E506" s="37" t="s">
        <v>56</v>
      </c>
      <c r="F506" s="42">
        <v>45291</v>
      </c>
      <c r="G506" s="37">
        <v>2023</v>
      </c>
      <c r="H506" s="37" t="s">
        <v>27</v>
      </c>
      <c r="I506" s="39" t="s">
        <v>32</v>
      </c>
      <c r="J506" s="37">
        <v>3</v>
      </c>
      <c r="K506" s="37">
        <v>2.06</v>
      </c>
      <c r="L506" s="65">
        <f t="shared" si="52"/>
        <v>1.3</v>
      </c>
      <c r="M506" s="65">
        <f t="shared" si="53"/>
        <v>1.4563106796116505</v>
      </c>
      <c r="N506" s="37" t="s">
        <v>203</v>
      </c>
      <c r="O506" s="37" t="s">
        <v>197</v>
      </c>
      <c r="P506" s="37">
        <v>0</v>
      </c>
      <c r="Q506" s="37">
        <v>1</v>
      </c>
      <c r="R506" s="37" t="s">
        <v>1299</v>
      </c>
      <c r="S506" s="37"/>
    </row>
    <row r="507" spans="1:19" x14ac:dyDescent="0.3">
      <c r="A507" s="37">
        <v>261</v>
      </c>
      <c r="B507" s="37" t="s">
        <v>1297</v>
      </c>
      <c r="C507" s="37" t="s">
        <v>625</v>
      </c>
      <c r="D507" s="37" t="s">
        <v>21</v>
      </c>
      <c r="E507" s="37" t="s">
        <v>56</v>
      </c>
      <c r="F507" s="42">
        <v>45473</v>
      </c>
      <c r="G507" s="37">
        <v>2024</v>
      </c>
      <c r="H507" s="37" t="s">
        <v>23</v>
      </c>
      <c r="I507" s="39" t="s">
        <v>34</v>
      </c>
      <c r="J507" s="37">
        <v>3</v>
      </c>
      <c r="K507" s="37">
        <v>2.2000000000000002</v>
      </c>
      <c r="L507" s="65">
        <f t="shared" si="52"/>
        <v>1.3</v>
      </c>
      <c r="M507" s="65">
        <f t="shared" si="53"/>
        <v>1.3636363636363635</v>
      </c>
      <c r="N507" s="37" t="s">
        <v>203</v>
      </c>
      <c r="O507" s="37" t="s">
        <v>197</v>
      </c>
      <c r="P507" s="37">
        <v>0</v>
      </c>
      <c r="Q507" s="37">
        <v>1</v>
      </c>
      <c r="R507" s="37" t="s">
        <v>1300</v>
      </c>
      <c r="S507" s="37"/>
    </row>
    <row r="508" spans="1:19" x14ac:dyDescent="0.3">
      <c r="A508" s="37">
        <v>261</v>
      </c>
      <c r="B508" s="37" t="s">
        <v>1297</v>
      </c>
      <c r="C508" s="37" t="s">
        <v>625</v>
      </c>
      <c r="D508" s="37" t="s">
        <v>21</v>
      </c>
      <c r="E508" s="37" t="s">
        <v>56</v>
      </c>
      <c r="F508" s="42">
        <v>45657</v>
      </c>
      <c r="G508" s="37">
        <v>2024</v>
      </c>
      <c r="H508" s="37" t="s">
        <v>27</v>
      </c>
      <c r="I508" s="39" t="s">
        <v>36</v>
      </c>
      <c r="J508" s="37">
        <v>3</v>
      </c>
      <c r="K508" s="37">
        <v>2.2000000000000002</v>
      </c>
      <c r="L508" s="65">
        <f t="shared" si="52"/>
        <v>1.3</v>
      </c>
      <c r="M508" s="65">
        <f t="shared" si="53"/>
        <v>1.3636363636363635</v>
      </c>
      <c r="N508" s="37" t="s">
        <v>203</v>
      </c>
      <c r="O508" s="37" t="s">
        <v>197</v>
      </c>
      <c r="P508" s="37">
        <v>0</v>
      </c>
      <c r="Q508" s="37">
        <v>1</v>
      </c>
      <c r="R508" s="37" t="s">
        <v>1301</v>
      </c>
      <c r="S508" s="37"/>
    </row>
    <row r="509" spans="1:19" x14ac:dyDescent="0.3">
      <c r="A509" s="45">
        <v>262</v>
      </c>
      <c r="B509" s="37" t="s">
        <v>1302</v>
      </c>
      <c r="C509" s="37" t="s">
        <v>1303</v>
      </c>
      <c r="D509" s="37" t="s">
        <v>21</v>
      </c>
      <c r="E509" s="37" t="s">
        <v>56</v>
      </c>
      <c r="F509" s="42">
        <v>45107</v>
      </c>
      <c r="G509" s="37">
        <v>2023</v>
      </c>
      <c r="H509" s="37" t="s">
        <v>23</v>
      </c>
      <c r="I509" s="39" t="s">
        <v>30</v>
      </c>
      <c r="J509" s="37">
        <v>20</v>
      </c>
      <c r="K509" s="37">
        <v>0</v>
      </c>
      <c r="L509" s="65" t="str">
        <f t="shared" si="52"/>
        <v/>
      </c>
      <c r="M509" s="65" t="str">
        <f t="shared" si="53"/>
        <v/>
      </c>
      <c r="N509" s="37" t="s">
        <v>25</v>
      </c>
      <c r="O509" s="37" t="s">
        <v>25</v>
      </c>
      <c r="P509" s="37">
        <v>0</v>
      </c>
      <c r="Q509" s="37">
        <v>0</v>
      </c>
      <c r="R509" s="37" t="s">
        <v>1304</v>
      </c>
      <c r="S509" s="37"/>
    </row>
    <row r="510" spans="1:19" x14ac:dyDescent="0.3">
      <c r="A510" s="41">
        <v>262</v>
      </c>
      <c r="B510" s="37" t="s">
        <v>1302</v>
      </c>
      <c r="C510" s="37" t="s">
        <v>1303</v>
      </c>
      <c r="D510" s="37" t="s">
        <v>21</v>
      </c>
      <c r="E510" s="37" t="s">
        <v>56</v>
      </c>
      <c r="F510" s="42">
        <v>45291</v>
      </c>
      <c r="G510" s="37">
        <v>2023</v>
      </c>
      <c r="H510" s="37" t="s">
        <v>27</v>
      </c>
      <c r="I510" s="39" t="s">
        <v>32</v>
      </c>
      <c r="J510" s="37">
        <v>20</v>
      </c>
      <c r="K510" s="37">
        <v>11.11</v>
      </c>
      <c r="L510" s="65">
        <f t="shared" si="52"/>
        <v>1.3</v>
      </c>
      <c r="M510" s="65">
        <f t="shared" si="53"/>
        <v>1.8001800180018002</v>
      </c>
      <c r="N510" s="37" t="s">
        <v>25</v>
      </c>
      <c r="O510" s="37" t="s">
        <v>25</v>
      </c>
      <c r="P510" s="37">
        <v>0</v>
      </c>
      <c r="Q510" s="37">
        <v>0</v>
      </c>
      <c r="R510" s="37" t="s">
        <v>1305</v>
      </c>
      <c r="S510" s="37"/>
    </row>
    <row r="511" spans="1:19" x14ac:dyDescent="0.3">
      <c r="A511" s="37">
        <v>262</v>
      </c>
      <c r="B511" s="37" t="s">
        <v>1306</v>
      </c>
      <c r="C511" s="37" t="s">
        <v>1303</v>
      </c>
      <c r="D511" s="37" t="s">
        <v>21</v>
      </c>
      <c r="E511" s="37" t="s">
        <v>56</v>
      </c>
      <c r="F511" s="42">
        <v>45473</v>
      </c>
      <c r="G511" s="37">
        <v>2024</v>
      </c>
      <c r="H511" s="37" t="s">
        <v>23</v>
      </c>
      <c r="I511" s="39" t="s">
        <v>34</v>
      </c>
      <c r="J511" s="37">
        <v>20</v>
      </c>
      <c r="K511" s="37">
        <v>0</v>
      </c>
      <c r="L511" s="65" t="str">
        <f t="shared" si="52"/>
        <v/>
      </c>
      <c r="M511" s="65" t="str">
        <f t="shared" si="53"/>
        <v/>
      </c>
      <c r="N511" s="37" t="s">
        <v>25</v>
      </c>
      <c r="O511" s="37" t="s">
        <v>25</v>
      </c>
      <c r="P511" s="37">
        <v>0</v>
      </c>
      <c r="Q511" s="37">
        <v>0</v>
      </c>
      <c r="R511" s="37" t="s">
        <v>1307</v>
      </c>
      <c r="S511" s="37"/>
    </row>
    <row r="512" spans="1:19" x14ac:dyDescent="0.3">
      <c r="A512" s="37">
        <v>262</v>
      </c>
      <c r="B512" s="37" t="s">
        <v>1306</v>
      </c>
      <c r="C512" s="37" t="s">
        <v>1303</v>
      </c>
      <c r="D512" s="37" t="s">
        <v>21</v>
      </c>
      <c r="E512" s="37" t="s">
        <v>56</v>
      </c>
      <c r="F512" s="42">
        <v>45657</v>
      </c>
      <c r="G512" s="37">
        <v>2024</v>
      </c>
      <c r="H512" s="37" t="s">
        <v>27</v>
      </c>
      <c r="I512" s="39" t="s">
        <v>36</v>
      </c>
      <c r="J512" s="37">
        <v>20</v>
      </c>
      <c r="K512" s="37">
        <v>0</v>
      </c>
      <c r="L512" s="65" t="str">
        <f t="shared" si="52"/>
        <v/>
      </c>
      <c r="M512" s="65" t="str">
        <f t="shared" si="53"/>
        <v/>
      </c>
      <c r="N512" s="37" t="s">
        <v>25</v>
      </c>
      <c r="O512" s="37" t="s">
        <v>25</v>
      </c>
      <c r="P512" s="37">
        <v>0</v>
      </c>
      <c r="Q512" s="37">
        <v>0</v>
      </c>
      <c r="R512" s="37" t="s">
        <v>1308</v>
      </c>
      <c r="S512" s="37"/>
    </row>
    <row r="513" spans="1:19" x14ac:dyDescent="0.3">
      <c r="A513" s="41">
        <v>263</v>
      </c>
      <c r="B513" s="37" t="s">
        <v>1309</v>
      </c>
      <c r="C513" s="37" t="s">
        <v>1303</v>
      </c>
      <c r="D513" s="37" t="s">
        <v>39</v>
      </c>
      <c r="E513" s="37" t="s">
        <v>22</v>
      </c>
      <c r="F513" s="42">
        <v>45107</v>
      </c>
      <c r="G513" s="37">
        <v>2023</v>
      </c>
      <c r="H513" s="37" t="s">
        <v>23</v>
      </c>
      <c r="I513" s="39" t="s">
        <v>30</v>
      </c>
      <c r="J513" s="37">
        <v>100</v>
      </c>
      <c r="K513" s="37">
        <v>100</v>
      </c>
      <c r="L513" s="74">
        <f t="shared" ref="L513:L528" si="54">IFERROR(IF(OR(J513=0,K513=""),"",IF(E513="Positivo",MIN(MAX(K513/J513,0),1.3),MIN(MAX(J513/K513,0),1.3))),"")</f>
        <v>1</v>
      </c>
      <c r="M513" s="65">
        <f t="shared" ref="M513:M528" si="55">IFERROR(IF(OR(J513=0,K513=""),"",IF(E513="Positivo",MAX(K513/J513,0),MAX(J513/K513,0))),"")</f>
        <v>1</v>
      </c>
      <c r="N513" s="37" t="s">
        <v>25</v>
      </c>
      <c r="O513" s="37" t="s">
        <v>25</v>
      </c>
      <c r="P513" s="37">
        <v>0</v>
      </c>
      <c r="Q513" s="37">
        <v>0</v>
      </c>
      <c r="R513" s="37" t="s">
        <v>1311</v>
      </c>
      <c r="S513" s="37"/>
    </row>
    <row r="514" spans="1:19" x14ac:dyDescent="0.3">
      <c r="A514" s="41">
        <v>263</v>
      </c>
      <c r="B514" s="37" t="s">
        <v>1309</v>
      </c>
      <c r="C514" s="37" t="s">
        <v>1303</v>
      </c>
      <c r="D514" s="37" t="s">
        <v>39</v>
      </c>
      <c r="E514" s="37" t="s">
        <v>22</v>
      </c>
      <c r="F514" s="42">
        <v>45291</v>
      </c>
      <c r="G514" s="37">
        <v>2023</v>
      </c>
      <c r="H514" s="37" t="s">
        <v>27</v>
      </c>
      <c r="I514" s="39" t="s">
        <v>32</v>
      </c>
      <c r="J514" s="37">
        <v>100</v>
      </c>
      <c r="K514" s="37">
        <v>100</v>
      </c>
      <c r="L514" s="74">
        <f t="shared" si="54"/>
        <v>1</v>
      </c>
      <c r="M514" s="65">
        <f t="shared" si="55"/>
        <v>1</v>
      </c>
      <c r="N514" s="37" t="s">
        <v>25</v>
      </c>
      <c r="O514" s="37" t="s">
        <v>25</v>
      </c>
      <c r="P514" s="37">
        <v>0</v>
      </c>
      <c r="Q514" s="37">
        <v>0</v>
      </c>
      <c r="R514" s="37" t="s">
        <v>1313</v>
      </c>
      <c r="S514" s="37"/>
    </row>
    <row r="515" spans="1:19" x14ac:dyDescent="0.3">
      <c r="A515" s="37">
        <v>263</v>
      </c>
      <c r="B515" s="37" t="s">
        <v>1309</v>
      </c>
      <c r="C515" s="37" t="s">
        <v>1303</v>
      </c>
      <c r="D515" s="37" t="s">
        <v>39</v>
      </c>
      <c r="E515" s="37" t="s">
        <v>22</v>
      </c>
      <c r="F515" s="42">
        <v>45473</v>
      </c>
      <c r="G515" s="37">
        <v>2024</v>
      </c>
      <c r="H515" s="37" t="s">
        <v>23</v>
      </c>
      <c r="I515" s="39" t="s">
        <v>34</v>
      </c>
      <c r="J515" s="37">
        <v>100</v>
      </c>
      <c r="K515" s="37">
        <v>100</v>
      </c>
      <c r="L515" s="65">
        <f t="shared" si="54"/>
        <v>1</v>
      </c>
      <c r="M515" s="65">
        <f t="shared" si="55"/>
        <v>1</v>
      </c>
      <c r="N515" s="37" t="s">
        <v>25</v>
      </c>
      <c r="O515" s="37" t="s">
        <v>25</v>
      </c>
      <c r="P515" s="37">
        <v>0</v>
      </c>
      <c r="Q515" s="37">
        <v>0</v>
      </c>
      <c r="R515" s="37" t="s">
        <v>1315</v>
      </c>
      <c r="S515" s="37"/>
    </row>
    <row r="516" spans="1:19" x14ac:dyDescent="0.3">
      <c r="A516" s="37">
        <v>263</v>
      </c>
      <c r="B516" s="37" t="s">
        <v>1309</v>
      </c>
      <c r="C516" s="37" t="s">
        <v>1303</v>
      </c>
      <c r="D516" s="37" t="s">
        <v>39</v>
      </c>
      <c r="E516" s="37" t="s">
        <v>22</v>
      </c>
      <c r="F516" s="42">
        <v>45657</v>
      </c>
      <c r="G516" s="37">
        <v>2024</v>
      </c>
      <c r="H516" s="37" t="s">
        <v>27</v>
      </c>
      <c r="I516" s="39" t="s">
        <v>36</v>
      </c>
      <c r="J516" s="37">
        <v>100</v>
      </c>
      <c r="K516" s="37">
        <v>100</v>
      </c>
      <c r="L516" s="65">
        <f t="shared" si="54"/>
        <v>1</v>
      </c>
      <c r="M516" s="65">
        <f t="shared" si="55"/>
        <v>1</v>
      </c>
      <c r="N516" s="37" t="s">
        <v>25</v>
      </c>
      <c r="O516" s="37" t="s">
        <v>25</v>
      </c>
      <c r="P516" s="37">
        <v>0</v>
      </c>
      <c r="Q516" s="37">
        <v>0</v>
      </c>
      <c r="R516" s="37" t="s">
        <v>1317</v>
      </c>
      <c r="S516" s="37"/>
    </row>
    <row r="517" spans="1:19" x14ac:dyDescent="0.3">
      <c r="A517" s="45">
        <v>264</v>
      </c>
      <c r="B517" s="37" t="s">
        <v>1318</v>
      </c>
      <c r="C517" s="37" t="s">
        <v>1303</v>
      </c>
      <c r="D517" s="37" t="s">
        <v>21</v>
      </c>
      <c r="E517" s="37" t="s">
        <v>22</v>
      </c>
      <c r="F517" s="42">
        <v>45107</v>
      </c>
      <c r="G517" s="37">
        <v>2023</v>
      </c>
      <c r="H517" s="37" t="s">
        <v>23</v>
      </c>
      <c r="I517" s="39" t="s">
        <v>30</v>
      </c>
      <c r="J517" s="37">
        <v>100</v>
      </c>
      <c r="K517" s="37">
        <v>100</v>
      </c>
      <c r="L517" s="74">
        <f t="shared" si="54"/>
        <v>1</v>
      </c>
      <c r="M517" s="65">
        <f t="shared" si="55"/>
        <v>1</v>
      </c>
      <c r="N517" s="37" t="s">
        <v>25</v>
      </c>
      <c r="O517" s="37" t="s">
        <v>25</v>
      </c>
      <c r="P517" s="37">
        <v>0</v>
      </c>
      <c r="Q517" s="37">
        <v>0</v>
      </c>
      <c r="R517" s="37" t="s">
        <v>1319</v>
      </c>
      <c r="S517" s="37"/>
    </row>
    <row r="518" spans="1:19" x14ac:dyDescent="0.3">
      <c r="A518" s="41">
        <v>264</v>
      </c>
      <c r="B518" s="37" t="s">
        <v>1318</v>
      </c>
      <c r="C518" s="37" t="s">
        <v>1303</v>
      </c>
      <c r="D518" s="37" t="s">
        <v>21</v>
      </c>
      <c r="E518" s="37" t="s">
        <v>22</v>
      </c>
      <c r="F518" s="42">
        <v>45291</v>
      </c>
      <c r="G518" s="37">
        <v>2023</v>
      </c>
      <c r="H518" s="37" t="s">
        <v>27</v>
      </c>
      <c r="I518" s="39" t="s">
        <v>32</v>
      </c>
      <c r="J518" s="37">
        <v>100</v>
      </c>
      <c r="K518" s="37">
        <v>100</v>
      </c>
      <c r="L518" s="74">
        <f t="shared" si="54"/>
        <v>1</v>
      </c>
      <c r="M518" s="65">
        <f t="shared" si="55"/>
        <v>1</v>
      </c>
      <c r="N518" s="37" t="s">
        <v>25</v>
      </c>
      <c r="O518" s="37" t="s">
        <v>25</v>
      </c>
      <c r="P518" s="37">
        <v>0</v>
      </c>
      <c r="Q518" s="37">
        <v>0</v>
      </c>
      <c r="R518" s="37" t="s">
        <v>1320</v>
      </c>
      <c r="S518" s="37"/>
    </row>
    <row r="519" spans="1:19" x14ac:dyDescent="0.3">
      <c r="A519" s="37">
        <v>264</v>
      </c>
      <c r="B519" s="37" t="s">
        <v>1321</v>
      </c>
      <c r="C519" s="37" t="s">
        <v>1303</v>
      </c>
      <c r="D519" s="37" t="s">
        <v>21</v>
      </c>
      <c r="E519" s="37" t="s">
        <v>22</v>
      </c>
      <c r="F519" s="42">
        <v>45473</v>
      </c>
      <c r="G519" s="37">
        <v>2024</v>
      </c>
      <c r="H519" s="37" t="s">
        <v>23</v>
      </c>
      <c r="I519" s="39" t="s">
        <v>34</v>
      </c>
      <c r="J519" s="37">
        <v>100</v>
      </c>
      <c r="K519" s="37">
        <v>100</v>
      </c>
      <c r="L519" s="65">
        <f t="shared" si="54"/>
        <v>1</v>
      </c>
      <c r="M519" s="65">
        <f t="shared" si="55"/>
        <v>1</v>
      </c>
      <c r="N519" s="37"/>
      <c r="O519" s="37"/>
      <c r="P519" s="37">
        <v>0</v>
      </c>
      <c r="Q519" s="37">
        <v>0</v>
      </c>
      <c r="R519" s="37" t="s">
        <v>1322</v>
      </c>
      <c r="S519" s="37"/>
    </row>
    <row r="520" spans="1:19" x14ac:dyDescent="0.3">
      <c r="A520" s="37">
        <v>264</v>
      </c>
      <c r="B520" s="37" t="s">
        <v>1321</v>
      </c>
      <c r="C520" s="37" t="s">
        <v>1303</v>
      </c>
      <c r="D520" s="37" t="s">
        <v>21</v>
      </c>
      <c r="E520" s="37" t="s">
        <v>22</v>
      </c>
      <c r="F520" s="42">
        <v>45657</v>
      </c>
      <c r="G520" s="37">
        <v>2024</v>
      </c>
      <c r="H520" s="37" t="s">
        <v>27</v>
      </c>
      <c r="I520" s="39" t="s">
        <v>36</v>
      </c>
      <c r="J520" s="37">
        <v>100</v>
      </c>
      <c r="K520" s="37">
        <v>100</v>
      </c>
      <c r="L520" s="65">
        <f t="shared" si="54"/>
        <v>1</v>
      </c>
      <c r="M520" s="65">
        <f t="shared" si="55"/>
        <v>1</v>
      </c>
      <c r="N520" s="37"/>
      <c r="O520" s="37"/>
      <c r="P520" s="37">
        <v>0</v>
      </c>
      <c r="Q520" s="37">
        <v>0</v>
      </c>
      <c r="R520" s="37" t="s">
        <v>1323</v>
      </c>
      <c r="S520" s="37"/>
    </row>
    <row r="521" spans="1:19" x14ac:dyDescent="0.3">
      <c r="A521" s="45">
        <v>265</v>
      </c>
      <c r="B521" s="37" t="s">
        <v>1324</v>
      </c>
      <c r="C521" s="37" t="s">
        <v>1303</v>
      </c>
      <c r="D521" s="37" t="s">
        <v>21</v>
      </c>
      <c r="E521" s="37" t="s">
        <v>22</v>
      </c>
      <c r="F521" s="42">
        <v>45107</v>
      </c>
      <c r="G521" s="37">
        <v>2023</v>
      </c>
      <c r="H521" s="37" t="s">
        <v>23</v>
      </c>
      <c r="I521" s="39" t="s">
        <v>30</v>
      </c>
      <c r="J521" s="37">
        <v>100</v>
      </c>
      <c r="K521" s="37">
        <v>80</v>
      </c>
      <c r="L521" s="74">
        <f t="shared" si="54"/>
        <v>0.8</v>
      </c>
      <c r="M521" s="65">
        <f t="shared" si="55"/>
        <v>0.8</v>
      </c>
      <c r="N521" s="37" t="s">
        <v>25</v>
      </c>
      <c r="O521" s="37" t="s">
        <v>25</v>
      </c>
      <c r="P521" s="37">
        <v>0</v>
      </c>
      <c r="Q521" s="37">
        <v>0</v>
      </c>
      <c r="R521" s="37" t="s">
        <v>1325</v>
      </c>
      <c r="S521" s="37"/>
    </row>
    <row r="522" spans="1:19" x14ac:dyDescent="0.3">
      <c r="A522" s="41">
        <v>265</v>
      </c>
      <c r="B522" s="37" t="s">
        <v>1324</v>
      </c>
      <c r="C522" s="37" t="s">
        <v>1303</v>
      </c>
      <c r="D522" s="37" t="s">
        <v>21</v>
      </c>
      <c r="E522" s="37" t="s">
        <v>22</v>
      </c>
      <c r="F522" s="42">
        <v>45291</v>
      </c>
      <c r="G522" s="37">
        <v>2023</v>
      </c>
      <c r="H522" s="37" t="s">
        <v>27</v>
      </c>
      <c r="I522" s="39" t="s">
        <v>32</v>
      </c>
      <c r="J522" s="37">
        <v>100</v>
      </c>
      <c r="K522" s="37">
        <v>97.13</v>
      </c>
      <c r="L522" s="74">
        <f t="shared" si="54"/>
        <v>0.97129999999999994</v>
      </c>
      <c r="M522" s="65">
        <f t="shared" si="55"/>
        <v>0.97129999999999994</v>
      </c>
      <c r="N522" s="37" t="s">
        <v>25</v>
      </c>
      <c r="O522" s="37" t="s">
        <v>25</v>
      </c>
      <c r="P522" s="37">
        <v>0</v>
      </c>
      <c r="Q522" s="37">
        <v>0</v>
      </c>
      <c r="R522" s="37" t="s">
        <v>1326</v>
      </c>
      <c r="S522" s="37"/>
    </row>
    <row r="523" spans="1:19" x14ac:dyDescent="0.3">
      <c r="A523" s="37">
        <v>265</v>
      </c>
      <c r="B523" s="37" t="s">
        <v>1327</v>
      </c>
      <c r="C523" s="37" t="s">
        <v>1303</v>
      </c>
      <c r="D523" s="37" t="s">
        <v>21</v>
      </c>
      <c r="E523" s="37" t="s">
        <v>22</v>
      </c>
      <c r="F523" s="42">
        <v>45473</v>
      </c>
      <c r="G523" s="37">
        <v>2024</v>
      </c>
      <c r="H523" s="37" t="s">
        <v>23</v>
      </c>
      <c r="I523" s="39" t="s">
        <v>34</v>
      </c>
      <c r="J523" s="37">
        <v>95</v>
      </c>
      <c r="K523" s="37">
        <v>100</v>
      </c>
      <c r="L523" s="65">
        <f t="shared" si="54"/>
        <v>1.0526315789473684</v>
      </c>
      <c r="M523" s="65">
        <f t="shared" si="55"/>
        <v>1.0526315789473684</v>
      </c>
      <c r="N523" s="37" t="s">
        <v>25</v>
      </c>
      <c r="O523" s="37" t="s">
        <v>25</v>
      </c>
      <c r="P523" s="37">
        <v>0</v>
      </c>
      <c r="Q523" s="37">
        <v>0</v>
      </c>
      <c r="R523" s="37" t="s">
        <v>1328</v>
      </c>
      <c r="S523" s="37"/>
    </row>
    <row r="524" spans="1:19" x14ac:dyDescent="0.3">
      <c r="A524" s="37">
        <v>265</v>
      </c>
      <c r="B524" s="37" t="s">
        <v>1327</v>
      </c>
      <c r="C524" s="37" t="s">
        <v>1303</v>
      </c>
      <c r="D524" s="37" t="s">
        <v>21</v>
      </c>
      <c r="E524" s="37" t="s">
        <v>22</v>
      </c>
      <c r="F524" s="42">
        <v>45657</v>
      </c>
      <c r="G524" s="37">
        <v>2024</v>
      </c>
      <c r="H524" s="37" t="s">
        <v>27</v>
      </c>
      <c r="I524" s="39" t="s">
        <v>36</v>
      </c>
      <c r="J524" s="37">
        <v>95</v>
      </c>
      <c r="K524" s="37">
        <v>100</v>
      </c>
      <c r="L524" s="65">
        <f t="shared" si="54"/>
        <v>1.0526315789473684</v>
      </c>
      <c r="M524" s="65">
        <f t="shared" si="55"/>
        <v>1.0526315789473684</v>
      </c>
      <c r="N524" s="37" t="s">
        <v>25</v>
      </c>
      <c r="O524" s="37" t="s">
        <v>25</v>
      </c>
      <c r="P524" s="37">
        <v>0</v>
      </c>
      <c r="Q524" s="37">
        <v>0</v>
      </c>
      <c r="R524" s="37" t="s">
        <v>1329</v>
      </c>
      <c r="S524" s="37"/>
    </row>
    <row r="525" spans="1:19" x14ac:dyDescent="0.3">
      <c r="A525" s="45">
        <v>266</v>
      </c>
      <c r="B525" s="37" t="s">
        <v>1330</v>
      </c>
      <c r="C525" s="37" t="s">
        <v>1303</v>
      </c>
      <c r="D525" s="37" t="s">
        <v>21</v>
      </c>
      <c r="E525" s="37" t="s">
        <v>22</v>
      </c>
      <c r="F525" s="42">
        <v>45107</v>
      </c>
      <c r="G525" s="37">
        <v>2023</v>
      </c>
      <c r="H525" s="37" t="s">
        <v>23</v>
      </c>
      <c r="I525" s="39" t="s">
        <v>30</v>
      </c>
      <c r="J525" s="37">
        <v>95</v>
      </c>
      <c r="K525" s="37">
        <v>89.907038512615998</v>
      </c>
      <c r="L525" s="74">
        <f t="shared" si="54"/>
        <v>0.94638987908016836</v>
      </c>
      <c r="M525" s="65">
        <f t="shared" si="55"/>
        <v>0.94638987908016836</v>
      </c>
      <c r="N525" s="37" t="s">
        <v>25</v>
      </c>
      <c r="O525" s="37" t="s">
        <v>25</v>
      </c>
      <c r="P525" s="37">
        <v>0</v>
      </c>
      <c r="Q525" s="37">
        <v>0</v>
      </c>
      <c r="R525" s="37" t="s">
        <v>1331</v>
      </c>
      <c r="S525" s="37"/>
    </row>
    <row r="526" spans="1:19" x14ac:dyDescent="0.3">
      <c r="A526" s="41">
        <v>266</v>
      </c>
      <c r="B526" s="37" t="s">
        <v>1330</v>
      </c>
      <c r="C526" s="37" t="s">
        <v>1303</v>
      </c>
      <c r="D526" s="37" t="s">
        <v>21</v>
      </c>
      <c r="E526" s="37" t="s">
        <v>22</v>
      </c>
      <c r="F526" s="42">
        <v>45291</v>
      </c>
      <c r="G526" s="37">
        <v>2023</v>
      </c>
      <c r="H526" s="37" t="s">
        <v>27</v>
      </c>
      <c r="I526" s="39" t="s">
        <v>32</v>
      </c>
      <c r="J526" s="37">
        <v>95</v>
      </c>
      <c r="K526" s="37">
        <v>97.07</v>
      </c>
      <c r="L526" s="74">
        <f t="shared" si="54"/>
        <v>1.0217894736842104</v>
      </c>
      <c r="M526" s="65">
        <f t="shared" si="55"/>
        <v>1.0217894736842104</v>
      </c>
      <c r="N526" s="37" t="s">
        <v>25</v>
      </c>
      <c r="O526" s="37" t="s">
        <v>25</v>
      </c>
      <c r="P526" s="37">
        <v>0</v>
      </c>
      <c r="Q526" s="37">
        <v>0</v>
      </c>
      <c r="R526" s="37" t="s">
        <v>1332</v>
      </c>
      <c r="S526" s="37"/>
    </row>
    <row r="527" spans="1:19" x14ac:dyDescent="0.3">
      <c r="A527" s="37">
        <v>266</v>
      </c>
      <c r="B527" s="37" t="s">
        <v>1330</v>
      </c>
      <c r="C527" s="37" t="s">
        <v>1303</v>
      </c>
      <c r="D527" s="37" t="s">
        <v>21</v>
      </c>
      <c r="E527" s="37" t="s">
        <v>22</v>
      </c>
      <c r="F527" s="42">
        <v>45473</v>
      </c>
      <c r="G527" s="37">
        <v>2024</v>
      </c>
      <c r="H527" s="37" t="s">
        <v>23</v>
      </c>
      <c r="I527" s="39" t="s">
        <v>34</v>
      </c>
      <c r="J527" s="37">
        <v>95</v>
      </c>
      <c r="K527" s="37">
        <v>95.02</v>
      </c>
      <c r="L527" s="65">
        <f t="shared" si="54"/>
        <v>1.0002105263157894</v>
      </c>
      <c r="M527" s="65">
        <f t="shared" si="55"/>
        <v>1.0002105263157894</v>
      </c>
      <c r="N527" s="37" t="s">
        <v>25</v>
      </c>
      <c r="O527" s="37" t="s">
        <v>25</v>
      </c>
      <c r="P527" s="37">
        <v>0</v>
      </c>
      <c r="Q527" s="37">
        <v>0</v>
      </c>
      <c r="R527" s="37" t="s">
        <v>1333</v>
      </c>
      <c r="S527" s="37"/>
    </row>
    <row r="528" spans="1:19" x14ac:dyDescent="0.3">
      <c r="A528" s="37">
        <v>266</v>
      </c>
      <c r="B528" s="37" t="s">
        <v>1330</v>
      </c>
      <c r="C528" s="37" t="s">
        <v>1303</v>
      </c>
      <c r="D528" s="37" t="s">
        <v>21</v>
      </c>
      <c r="E528" s="37" t="s">
        <v>22</v>
      </c>
      <c r="F528" s="42">
        <v>45657</v>
      </c>
      <c r="G528" s="37">
        <v>2024</v>
      </c>
      <c r="H528" s="37" t="s">
        <v>27</v>
      </c>
      <c r="I528" s="39" t="s">
        <v>36</v>
      </c>
      <c r="J528" s="37">
        <v>95</v>
      </c>
      <c r="K528" s="37">
        <v>81.93</v>
      </c>
      <c r="L528" s="65">
        <f t="shared" si="54"/>
        <v>0.86242105263157898</v>
      </c>
      <c r="M528" s="65">
        <f t="shared" si="55"/>
        <v>0.86242105263157898</v>
      </c>
      <c r="N528" s="37" t="s">
        <v>25</v>
      </c>
      <c r="O528" s="37" t="s">
        <v>25</v>
      </c>
      <c r="P528" s="37">
        <v>0</v>
      </c>
      <c r="Q528" s="37">
        <v>0</v>
      </c>
      <c r="R528" s="37" t="s">
        <v>1334</v>
      </c>
      <c r="S528" s="37"/>
    </row>
    <row r="529" spans="1:19" x14ac:dyDescent="0.3">
      <c r="A529" s="41">
        <v>267</v>
      </c>
      <c r="B529" s="37" t="s">
        <v>3511</v>
      </c>
      <c r="C529" s="37" t="s">
        <v>1215</v>
      </c>
      <c r="D529" s="37" t="s">
        <v>139</v>
      </c>
      <c r="E529" s="37" t="s">
        <v>22</v>
      </c>
      <c r="F529" s="42">
        <v>45291</v>
      </c>
      <c r="G529" s="37">
        <v>2023</v>
      </c>
      <c r="H529" s="37" t="s">
        <v>27</v>
      </c>
      <c r="I529" s="39" t="s">
        <v>32</v>
      </c>
      <c r="J529" s="37"/>
      <c r="K529" s="37">
        <v>0</v>
      </c>
      <c r="L529" s="74"/>
      <c r="M529" s="65"/>
      <c r="N529" s="37"/>
      <c r="O529" s="37"/>
      <c r="P529" s="37">
        <v>0</v>
      </c>
      <c r="Q529" s="37">
        <v>0</v>
      </c>
      <c r="R529" s="37" t="s">
        <v>3512</v>
      </c>
      <c r="S529" s="37"/>
    </row>
    <row r="530" spans="1:19" x14ac:dyDescent="0.3">
      <c r="A530" s="45">
        <v>268</v>
      </c>
      <c r="B530" s="37" t="s">
        <v>1335</v>
      </c>
      <c r="C530" s="37" t="s">
        <v>1336</v>
      </c>
      <c r="D530" s="37" t="s">
        <v>21</v>
      </c>
      <c r="E530" s="37" t="s">
        <v>22</v>
      </c>
      <c r="F530" s="42">
        <v>45107</v>
      </c>
      <c r="G530" s="37">
        <v>2023</v>
      </c>
      <c r="H530" s="37" t="s">
        <v>23</v>
      </c>
      <c r="I530" s="39" t="s">
        <v>30</v>
      </c>
      <c r="J530" s="37">
        <v>0</v>
      </c>
      <c r="K530" s="37">
        <v>661</v>
      </c>
      <c r="L530" s="74" t="str">
        <f>IFERROR(IF(OR(J530=0,K530=""),"",IF(E530="Positivo",MIN(MAX(K530/J530,0),1.3),MIN(MAX(J530/K530,0),1.3))),"")</f>
        <v/>
      </c>
      <c r="M530" s="65" t="str">
        <f>IFERROR(IF(OR(J530=0,K530=""),"",IF(E530="Positivo",MAX(K530/J530,0),MAX(J530/K530,0))),"")</f>
        <v/>
      </c>
      <c r="N530" s="37"/>
      <c r="O530" s="37"/>
      <c r="P530" s="37">
        <v>0</v>
      </c>
      <c r="Q530" s="37">
        <v>0</v>
      </c>
      <c r="R530" s="37" t="s">
        <v>1337</v>
      </c>
      <c r="S530" s="37"/>
    </row>
    <row r="531" spans="1:19" x14ac:dyDescent="0.3">
      <c r="A531" s="41">
        <v>268</v>
      </c>
      <c r="B531" s="37" t="s">
        <v>1335</v>
      </c>
      <c r="C531" s="37" t="s">
        <v>1336</v>
      </c>
      <c r="D531" s="37" t="s">
        <v>21</v>
      </c>
      <c r="E531" s="37" t="s">
        <v>22</v>
      </c>
      <c r="F531" s="42">
        <v>45291</v>
      </c>
      <c r="G531" s="37">
        <v>2023</v>
      </c>
      <c r="H531" s="37" t="s">
        <v>27</v>
      </c>
      <c r="I531" s="39" t="s">
        <v>32</v>
      </c>
      <c r="J531" s="37">
        <v>0</v>
      </c>
      <c r="K531" s="37">
        <v>727</v>
      </c>
      <c r="L531" s="74" t="str">
        <f>IFERROR(IF(OR(J531=0,K531=""),"",IF(E531="Positivo",MIN(MAX(K531/J531,0),1.3),MIN(MAX(J531/K531,0),1.3))),"")</f>
        <v/>
      </c>
      <c r="M531" s="65" t="str">
        <f>IFERROR(IF(OR(J531=0,K531=""),"",IF(E531="Positivo",MAX(K531/J531,0),MAX(J531/K531,0))),"")</f>
        <v/>
      </c>
      <c r="N531" s="37"/>
      <c r="O531" s="37"/>
      <c r="P531" s="37">
        <v>0</v>
      </c>
      <c r="Q531" s="37">
        <v>0</v>
      </c>
      <c r="R531" s="37" t="s">
        <v>1338</v>
      </c>
      <c r="S531" s="37"/>
    </row>
    <row r="532" spans="1:19" x14ac:dyDescent="0.3">
      <c r="A532" s="37">
        <v>268</v>
      </c>
      <c r="B532" s="37" t="s">
        <v>1335</v>
      </c>
      <c r="C532" s="37" t="s">
        <v>1336</v>
      </c>
      <c r="D532" s="37" t="s">
        <v>21</v>
      </c>
      <c r="E532" s="37" t="s">
        <v>22</v>
      </c>
      <c r="F532" s="42">
        <v>45473</v>
      </c>
      <c r="G532" s="37">
        <v>2024</v>
      </c>
      <c r="H532" s="37" t="s">
        <v>23</v>
      </c>
      <c r="I532" s="39" t="s">
        <v>34</v>
      </c>
      <c r="J532" s="37">
        <v>0</v>
      </c>
      <c r="K532" s="37">
        <v>743</v>
      </c>
      <c r="L532" s="65" t="str">
        <f>IFERROR(IF(OR(J532=0,K532=""),"",IF(E532="Positivo",MIN(MAX(K532/J532,0),1.3),MIN(MAX(J532/K532,0),1.3))),"")</f>
        <v/>
      </c>
      <c r="M532" s="65" t="str">
        <f>IFERROR(IF(OR(J532=0,K532=""),"",IF(E532="Positivo",MAX(K532/J532,0),MAX(J532/K532,0))),"")</f>
        <v/>
      </c>
      <c r="N532" s="37"/>
      <c r="O532" s="37"/>
      <c r="P532" s="37">
        <v>0</v>
      </c>
      <c r="Q532" s="37">
        <v>0</v>
      </c>
      <c r="R532" s="37" t="s">
        <v>1339</v>
      </c>
      <c r="S532" s="37"/>
    </row>
    <row r="533" spans="1:19" x14ac:dyDescent="0.3">
      <c r="A533" s="37">
        <v>268</v>
      </c>
      <c r="B533" s="37" t="s">
        <v>1335</v>
      </c>
      <c r="C533" s="37" t="s">
        <v>1336</v>
      </c>
      <c r="D533" s="37" t="s">
        <v>21</v>
      </c>
      <c r="E533" s="37" t="s">
        <v>22</v>
      </c>
      <c r="F533" s="42">
        <v>45657</v>
      </c>
      <c r="G533" s="37">
        <v>2024</v>
      </c>
      <c r="H533" s="37" t="s">
        <v>27</v>
      </c>
      <c r="I533" s="39" t="s">
        <v>36</v>
      </c>
      <c r="J533" s="37">
        <v>0</v>
      </c>
      <c r="K533" s="37">
        <v>732</v>
      </c>
      <c r="L533" s="65" t="str">
        <f>IFERROR(IF(OR(J533=0,K533=""),"",IF(E533="Positivo",MIN(MAX(K533/J533,0),1.3),MIN(MAX(J533/K533,0),1.3))),"")</f>
        <v/>
      </c>
      <c r="M533" s="65" t="str">
        <f>IFERROR(IF(OR(J533=0,K533=""),"",IF(E533="Positivo",MAX(K533/J533,0),MAX(J533/K533,0))),"")</f>
        <v/>
      </c>
      <c r="N533" s="37"/>
      <c r="O533" s="37"/>
      <c r="P533" s="37">
        <v>0</v>
      </c>
      <c r="Q533" s="37">
        <v>0</v>
      </c>
      <c r="R533" s="37" t="s">
        <v>1340</v>
      </c>
      <c r="S533" s="37"/>
    </row>
    <row r="534" spans="1:19" x14ac:dyDescent="0.3">
      <c r="A534" s="45">
        <v>269</v>
      </c>
      <c r="B534" s="37" t="s">
        <v>1342</v>
      </c>
      <c r="C534" s="37" t="s">
        <v>1336</v>
      </c>
      <c r="D534" s="37" t="s">
        <v>21</v>
      </c>
      <c r="E534" s="37" t="s">
        <v>22</v>
      </c>
      <c r="F534" s="42">
        <v>45107</v>
      </c>
      <c r="G534" s="37">
        <v>2023</v>
      </c>
      <c r="H534" s="37" t="s">
        <v>23</v>
      </c>
      <c r="I534" s="39" t="s">
        <v>30</v>
      </c>
      <c r="J534" s="37">
        <v>0</v>
      </c>
      <c r="K534" s="37">
        <v>0.4</v>
      </c>
      <c r="L534" s="74" t="str">
        <f>IFERROR(IF(OR(J534=0,K534=""),"",IF(E534="Positivo",MIN(MAX(K534/J534,0),1.3),MIN(MAX(J534/K534,0),1.3))),"")</f>
        <v/>
      </c>
      <c r="M534" s="65" t="str">
        <f>IFERROR(IF(OR(J534=0,K534=""),"",IF(E534="Positivo",MAX(K534/J534,0),MAX(J534/K534,0))),"")</f>
        <v/>
      </c>
      <c r="N534" s="37" t="s">
        <v>197</v>
      </c>
      <c r="O534" s="37" t="s">
        <v>197</v>
      </c>
      <c r="P534" s="37">
        <v>2</v>
      </c>
      <c r="Q534" s="37">
        <v>2</v>
      </c>
      <c r="R534" s="37" t="s">
        <v>1343</v>
      </c>
      <c r="S534" s="37"/>
    </row>
    <row r="535" spans="1:19" x14ac:dyDescent="0.3">
      <c r="A535" s="41">
        <v>269</v>
      </c>
      <c r="B535" s="37" t="s">
        <v>1342</v>
      </c>
      <c r="C535" s="37" t="s">
        <v>1336</v>
      </c>
      <c r="D535" s="37" t="s">
        <v>21</v>
      </c>
      <c r="E535" s="37" t="s">
        <v>22</v>
      </c>
      <c r="F535" s="42">
        <v>45291</v>
      </c>
      <c r="G535" s="37">
        <v>2023</v>
      </c>
      <c r="H535" s="37" t="s">
        <v>27</v>
      </c>
      <c r="I535" s="39" t="s">
        <v>32</v>
      </c>
      <c r="J535" s="37">
        <v>0</v>
      </c>
      <c r="K535" s="37">
        <v>1.2769784172661871</v>
      </c>
      <c r="L535" s="74" t="str">
        <f>IFERROR(IF(OR(J535=0,K535=""),"",IF(E535="Positivo",MIN(MAX(K535/J535,0),1.3),MIN(MAX(J535/K535,0),1.3))),"")</f>
        <v/>
      </c>
      <c r="M535" s="65" t="str">
        <f>IFERROR(IF(OR(J535=0,K535=""),"",IF(E535="Positivo",MAX(K535/J535,0),MAX(J535/K535,0))),"")</f>
        <v/>
      </c>
      <c r="N535" s="37" t="s">
        <v>197</v>
      </c>
      <c r="O535" s="37" t="s">
        <v>197</v>
      </c>
      <c r="P535" s="37">
        <v>2</v>
      </c>
      <c r="Q535" s="37">
        <v>2</v>
      </c>
      <c r="R535" s="37" t="s">
        <v>1344</v>
      </c>
      <c r="S535" s="37"/>
    </row>
    <row r="536" spans="1:19" x14ac:dyDescent="0.3">
      <c r="A536" s="37">
        <v>269</v>
      </c>
      <c r="B536" s="37" t="s">
        <v>1342</v>
      </c>
      <c r="C536" s="37" t="s">
        <v>1336</v>
      </c>
      <c r="D536" s="37" t="s">
        <v>21</v>
      </c>
      <c r="E536" s="37" t="s">
        <v>22</v>
      </c>
      <c r="F536" s="42">
        <v>45473</v>
      </c>
      <c r="G536" s="37">
        <v>2024</v>
      </c>
      <c r="H536" s="37" t="s">
        <v>23</v>
      </c>
      <c r="I536" s="39" t="s">
        <v>34</v>
      </c>
      <c r="J536" s="37">
        <v>0</v>
      </c>
      <c r="K536" s="37">
        <v>3</v>
      </c>
      <c r="L536" s="65" t="str">
        <f>IFERROR(IF(OR(J536=0,K536=""),"",IF(E536="Positivo",MIN(MAX(K536/J536,0),1.3),MIN(MAX(J536/K536,0),1.3))),"")</f>
        <v/>
      </c>
      <c r="M536" s="65" t="str">
        <f>IFERROR(IF(OR(J536=0,K536=""),"",IF(E536="Positivo",MAX(K536/J536,0),MAX(J536/K536,0))),"")</f>
        <v/>
      </c>
      <c r="N536" s="37"/>
      <c r="O536" s="37"/>
      <c r="P536" s="37">
        <v>0</v>
      </c>
      <c r="Q536" s="37">
        <v>0</v>
      </c>
      <c r="R536" s="37" t="s">
        <v>1345</v>
      </c>
      <c r="S536" s="37"/>
    </row>
    <row r="537" spans="1:19" x14ac:dyDescent="0.3">
      <c r="A537" s="37">
        <v>269</v>
      </c>
      <c r="B537" s="37" t="s">
        <v>1342</v>
      </c>
      <c r="C537" s="37" t="s">
        <v>1336</v>
      </c>
      <c r="D537" s="37" t="s">
        <v>21</v>
      </c>
      <c r="E537" s="37" t="s">
        <v>22</v>
      </c>
      <c r="F537" s="42">
        <v>45657</v>
      </c>
      <c r="G537" s="37">
        <v>2024</v>
      </c>
      <c r="H537" s="37" t="s">
        <v>27</v>
      </c>
      <c r="I537" s="39" t="s">
        <v>36</v>
      </c>
      <c r="J537" s="37"/>
      <c r="K537" s="37">
        <v>1.28</v>
      </c>
      <c r="L537" s="65"/>
      <c r="M537" s="65"/>
      <c r="N537" s="37"/>
      <c r="O537" s="37"/>
      <c r="P537" s="37">
        <v>0</v>
      </c>
      <c r="Q537" s="37">
        <v>0</v>
      </c>
      <c r="R537" s="37" t="s">
        <v>1346</v>
      </c>
      <c r="S537" s="37"/>
    </row>
    <row r="538" spans="1:19" x14ac:dyDescent="0.3">
      <c r="A538" s="45">
        <v>270</v>
      </c>
      <c r="B538" s="37" t="s">
        <v>1348</v>
      </c>
      <c r="C538" s="37" t="s">
        <v>1336</v>
      </c>
      <c r="D538" s="37" t="s">
        <v>21</v>
      </c>
      <c r="E538" s="37" t="s">
        <v>22</v>
      </c>
      <c r="F538" s="42">
        <v>45107</v>
      </c>
      <c r="G538" s="37">
        <v>2023</v>
      </c>
      <c r="H538" s="37" t="s">
        <v>23</v>
      </c>
      <c r="I538" s="39" t="s">
        <v>30</v>
      </c>
      <c r="J538" s="37">
        <v>0</v>
      </c>
      <c r="K538" s="37">
        <v>6.55</v>
      </c>
      <c r="L538" s="74" t="str">
        <f t="shared" ref="L538:L544" si="56">IFERROR(IF(OR(J538=0,K538=""),"",IF(E538="Positivo",MIN(MAX(K538/J538,0),1.3),MIN(MAX(J538/K538,0),1.3))),"")</f>
        <v/>
      </c>
      <c r="M538" s="65" t="str">
        <f t="shared" ref="M538:M544" si="57">IFERROR(IF(OR(J538=0,K538=""),"",IF(E538="Positivo",MAX(K538/J538,0),MAX(J538/K538,0))),"")</f>
        <v/>
      </c>
      <c r="N538" s="37"/>
      <c r="O538" s="37"/>
      <c r="P538" s="37">
        <v>1</v>
      </c>
      <c r="Q538" s="37">
        <v>1</v>
      </c>
      <c r="R538" s="37" t="s">
        <v>1349</v>
      </c>
      <c r="S538" s="37"/>
    </row>
    <row r="539" spans="1:19" x14ac:dyDescent="0.3">
      <c r="A539" s="41">
        <v>270</v>
      </c>
      <c r="B539" s="37" t="s">
        <v>1348</v>
      </c>
      <c r="C539" s="37" t="s">
        <v>1336</v>
      </c>
      <c r="D539" s="37" t="s">
        <v>21</v>
      </c>
      <c r="E539" s="37" t="s">
        <v>22</v>
      </c>
      <c r="F539" s="42">
        <v>45291</v>
      </c>
      <c r="G539" s="37">
        <v>2023</v>
      </c>
      <c r="H539" s="37" t="s">
        <v>27</v>
      </c>
      <c r="I539" s="39" t="s">
        <v>32</v>
      </c>
      <c r="J539" s="37">
        <v>0</v>
      </c>
      <c r="K539" s="37">
        <v>3.83</v>
      </c>
      <c r="L539" s="74" t="str">
        <f t="shared" si="56"/>
        <v/>
      </c>
      <c r="M539" s="65" t="str">
        <f t="shared" si="57"/>
        <v/>
      </c>
      <c r="N539" s="37"/>
      <c r="O539" s="37"/>
      <c r="P539" s="37">
        <v>1</v>
      </c>
      <c r="Q539" s="37">
        <v>1</v>
      </c>
      <c r="R539" s="37" t="s">
        <v>1350</v>
      </c>
      <c r="S539" s="37"/>
    </row>
    <row r="540" spans="1:19" x14ac:dyDescent="0.3">
      <c r="A540" s="37">
        <v>270</v>
      </c>
      <c r="B540" s="37" t="s">
        <v>1348</v>
      </c>
      <c r="C540" s="37" t="s">
        <v>1336</v>
      </c>
      <c r="D540" s="37" t="s">
        <v>21</v>
      </c>
      <c r="E540" s="37" t="s">
        <v>22</v>
      </c>
      <c r="F540" s="42">
        <v>45473</v>
      </c>
      <c r="G540" s="37">
        <v>2024</v>
      </c>
      <c r="H540" s="37" t="s">
        <v>23</v>
      </c>
      <c r="I540" s="39" t="s">
        <v>34</v>
      </c>
      <c r="J540" s="37">
        <v>0</v>
      </c>
      <c r="K540" s="37">
        <v>4.88</v>
      </c>
      <c r="L540" s="65" t="str">
        <f t="shared" si="56"/>
        <v/>
      </c>
      <c r="M540" s="65" t="str">
        <f t="shared" si="57"/>
        <v/>
      </c>
      <c r="N540" s="37"/>
      <c r="O540" s="37"/>
      <c r="P540" s="37">
        <v>0</v>
      </c>
      <c r="Q540" s="37">
        <v>0</v>
      </c>
      <c r="R540" s="37" t="s">
        <v>1351</v>
      </c>
      <c r="S540" s="37"/>
    </row>
    <row r="541" spans="1:19" x14ac:dyDescent="0.3">
      <c r="A541" s="37">
        <v>270</v>
      </c>
      <c r="B541" s="37" t="s">
        <v>1348</v>
      </c>
      <c r="C541" s="37" t="s">
        <v>1336</v>
      </c>
      <c r="D541" s="37" t="s">
        <v>21</v>
      </c>
      <c r="E541" s="37" t="s">
        <v>22</v>
      </c>
      <c r="F541" s="42">
        <v>45657</v>
      </c>
      <c r="G541" s="37">
        <v>2024</v>
      </c>
      <c r="H541" s="37" t="s">
        <v>27</v>
      </c>
      <c r="I541" s="39" t="s">
        <v>36</v>
      </c>
      <c r="J541" s="37">
        <v>0</v>
      </c>
      <c r="K541" s="37">
        <v>4.57</v>
      </c>
      <c r="L541" s="65" t="str">
        <f t="shared" si="56"/>
        <v/>
      </c>
      <c r="M541" s="65" t="str">
        <f t="shared" si="57"/>
        <v/>
      </c>
      <c r="N541" s="37"/>
      <c r="O541" s="37"/>
      <c r="P541" s="37">
        <v>0</v>
      </c>
      <c r="Q541" s="37">
        <v>0</v>
      </c>
      <c r="R541" s="37" t="s">
        <v>1352</v>
      </c>
      <c r="S541" s="37"/>
    </row>
    <row r="542" spans="1:19" x14ac:dyDescent="0.3">
      <c r="A542" s="45">
        <v>271</v>
      </c>
      <c r="B542" s="37" t="s">
        <v>1354</v>
      </c>
      <c r="C542" s="37" t="s">
        <v>1336</v>
      </c>
      <c r="D542" s="37" t="s">
        <v>21</v>
      </c>
      <c r="E542" s="37" t="s">
        <v>22</v>
      </c>
      <c r="F542" s="42">
        <v>45107</v>
      </c>
      <c r="G542" s="37">
        <v>2023</v>
      </c>
      <c r="H542" s="37" t="s">
        <v>23</v>
      </c>
      <c r="I542" s="39" t="s">
        <v>30</v>
      </c>
      <c r="J542" s="37">
        <v>0</v>
      </c>
      <c r="K542" s="37">
        <v>63.291139240506332</v>
      </c>
      <c r="L542" s="74" t="str">
        <f t="shared" si="56"/>
        <v/>
      </c>
      <c r="M542" s="65" t="str">
        <f t="shared" si="57"/>
        <v/>
      </c>
      <c r="N542" s="37"/>
      <c r="O542" s="37"/>
      <c r="P542" s="37">
        <v>1</v>
      </c>
      <c r="Q542" s="37">
        <v>1</v>
      </c>
      <c r="R542" s="37" t="s">
        <v>1355</v>
      </c>
      <c r="S542" s="37"/>
    </row>
    <row r="543" spans="1:19" x14ac:dyDescent="0.3">
      <c r="A543" s="41">
        <v>271</v>
      </c>
      <c r="B543" s="37" t="s">
        <v>1354</v>
      </c>
      <c r="C543" s="37" t="s">
        <v>1336</v>
      </c>
      <c r="D543" s="37" t="s">
        <v>21</v>
      </c>
      <c r="E543" s="37" t="s">
        <v>22</v>
      </c>
      <c r="F543" s="42">
        <v>45291</v>
      </c>
      <c r="G543" s="37">
        <v>2023</v>
      </c>
      <c r="H543" s="37" t="s">
        <v>27</v>
      </c>
      <c r="I543" s="39" t="s">
        <v>32</v>
      </c>
      <c r="J543" s="37">
        <v>0</v>
      </c>
      <c r="K543" s="37">
        <v>16.172336466434469</v>
      </c>
      <c r="L543" s="74" t="str">
        <f t="shared" si="56"/>
        <v/>
      </c>
      <c r="M543" s="65" t="str">
        <f t="shared" si="57"/>
        <v/>
      </c>
      <c r="N543" s="37"/>
      <c r="O543" s="37"/>
      <c r="P543" s="37">
        <v>1</v>
      </c>
      <c r="Q543" s="37">
        <v>1</v>
      </c>
      <c r="R543" s="37" t="s">
        <v>1356</v>
      </c>
      <c r="S543" s="37"/>
    </row>
    <row r="544" spans="1:19" x14ac:dyDescent="0.3">
      <c r="A544" s="37">
        <v>271</v>
      </c>
      <c r="B544" s="37" t="s">
        <v>1354</v>
      </c>
      <c r="C544" s="37" t="s">
        <v>1336</v>
      </c>
      <c r="D544" s="37" t="s">
        <v>21</v>
      </c>
      <c r="E544" s="37" t="s">
        <v>22</v>
      </c>
      <c r="F544" s="42">
        <v>45473</v>
      </c>
      <c r="G544" s="37">
        <v>2024</v>
      </c>
      <c r="H544" s="37" t="s">
        <v>23</v>
      </c>
      <c r="I544" s="39" t="s">
        <v>34</v>
      </c>
      <c r="J544" s="37">
        <v>0</v>
      </c>
      <c r="K544" s="37">
        <v>19.394716523273772</v>
      </c>
      <c r="L544" s="65" t="str">
        <f t="shared" si="56"/>
        <v/>
      </c>
      <c r="M544" s="65" t="str">
        <f t="shared" si="57"/>
        <v/>
      </c>
      <c r="N544" s="37"/>
      <c r="O544" s="37"/>
      <c r="P544" s="37">
        <v>0</v>
      </c>
      <c r="Q544" s="37">
        <v>0</v>
      </c>
      <c r="R544" s="37" t="s">
        <v>1357</v>
      </c>
      <c r="S544" s="37"/>
    </row>
    <row r="545" spans="1:19" x14ac:dyDescent="0.3">
      <c r="A545" s="37">
        <v>271</v>
      </c>
      <c r="B545" s="37" t="s">
        <v>1354</v>
      </c>
      <c r="C545" s="37" t="s">
        <v>1336</v>
      </c>
      <c r="D545" s="37" t="s">
        <v>21</v>
      </c>
      <c r="E545" s="37" t="s">
        <v>22</v>
      </c>
      <c r="F545" s="42">
        <v>45657</v>
      </c>
      <c r="G545" s="37">
        <v>2024</v>
      </c>
      <c r="H545" s="37" t="s">
        <v>27</v>
      </c>
      <c r="I545" s="39" t="s">
        <v>36</v>
      </c>
      <c r="J545" s="37"/>
      <c r="K545" s="37">
        <v>16.86</v>
      </c>
      <c r="L545" s="65"/>
      <c r="M545" s="65"/>
      <c r="N545" s="37"/>
      <c r="O545" s="37"/>
      <c r="P545" s="37">
        <v>0</v>
      </c>
      <c r="Q545" s="37">
        <v>0</v>
      </c>
      <c r="R545" s="37" t="s">
        <v>1359</v>
      </c>
      <c r="S545" s="37"/>
    </row>
    <row r="546" spans="1:19" x14ac:dyDescent="0.3">
      <c r="A546" s="41">
        <v>272</v>
      </c>
      <c r="B546" s="37" t="s">
        <v>1360</v>
      </c>
      <c r="C546" s="37" t="s">
        <v>138</v>
      </c>
      <c r="D546" s="37" t="s">
        <v>139</v>
      </c>
      <c r="E546" s="37" t="s">
        <v>56</v>
      </c>
      <c r="F546" s="42">
        <v>45291</v>
      </c>
      <c r="G546" s="37">
        <v>2023</v>
      </c>
      <c r="H546" s="37" t="s">
        <v>27</v>
      </c>
      <c r="I546" s="39" t="s">
        <v>32</v>
      </c>
      <c r="J546" s="37">
        <v>0</v>
      </c>
      <c r="K546" s="40">
        <v>0</v>
      </c>
      <c r="L546" s="65" t="str">
        <f>IFERROR(IF(OR(J546=0,K546=""),"",IF(E546="Positivo",MIN(MAX(K546/J546,0),1),MIN(MAX(J546/K546,0),1))),"")</f>
        <v/>
      </c>
      <c r="M546" s="65" t="str">
        <f>IFERROR(IF(OR(J546=0,K546=""),"",IF(E546="Positivo",MIN(MAX(K546/J546,0),1),MIN(MAX(J546/K546,0),1))),"")</f>
        <v/>
      </c>
      <c r="N546" s="37"/>
      <c r="O546" s="37"/>
      <c r="P546" s="37">
        <v>0</v>
      </c>
      <c r="Q546" s="37">
        <v>0</v>
      </c>
      <c r="R546" s="37" t="s">
        <v>1361</v>
      </c>
      <c r="S546" s="37"/>
    </row>
    <row r="547" spans="1:19" x14ac:dyDescent="0.3">
      <c r="A547" s="37">
        <v>272</v>
      </c>
      <c r="B547" s="37" t="s">
        <v>1360</v>
      </c>
      <c r="C547" s="37" t="s">
        <v>138</v>
      </c>
      <c r="D547" s="37" t="s">
        <v>139</v>
      </c>
      <c r="E547" s="37" t="s">
        <v>56</v>
      </c>
      <c r="F547" s="42">
        <v>45657</v>
      </c>
      <c r="G547" s="37">
        <v>2024</v>
      </c>
      <c r="H547" s="37" t="s">
        <v>27</v>
      </c>
      <c r="I547" s="39" t="s">
        <v>36</v>
      </c>
      <c r="J547" s="37">
        <v>0</v>
      </c>
      <c r="K547" s="37">
        <v>0</v>
      </c>
      <c r="L547" s="65" t="str">
        <f>IFERROR(IF(OR(J547=0,K547=""),"",IF(E547="Positivo",MIN(MAX(K547/J547,0),1),MIN(MAX(J547/K547,0),1))),"")</f>
        <v/>
      </c>
      <c r="M547" s="65" t="str">
        <f>IFERROR(IF(OR(J547=0,K547=""),"",IF(E547="Positivo",MIN(MAX(K547/J547,0),1),MIN(MAX(J547/K547,0),1))),"")</f>
        <v/>
      </c>
      <c r="N547" s="37"/>
      <c r="O547" s="37"/>
      <c r="P547" s="37">
        <v>0</v>
      </c>
      <c r="Q547" s="37">
        <v>0</v>
      </c>
      <c r="R547" s="37" t="s">
        <v>1362</v>
      </c>
      <c r="S547" s="37"/>
    </row>
    <row r="548" spans="1:19" x14ac:dyDescent="0.3">
      <c r="A548" s="45">
        <v>273</v>
      </c>
      <c r="B548" s="37" t="s">
        <v>1363</v>
      </c>
      <c r="C548" s="37" t="s">
        <v>1364</v>
      </c>
      <c r="D548" s="37" t="s">
        <v>21</v>
      </c>
      <c r="E548" s="37" t="s">
        <v>22</v>
      </c>
      <c r="F548" s="42">
        <v>45107</v>
      </c>
      <c r="G548" s="37">
        <v>2023</v>
      </c>
      <c r="H548" s="37" t="s">
        <v>23</v>
      </c>
      <c r="I548" s="39" t="s">
        <v>30</v>
      </c>
      <c r="J548" s="37">
        <v>3</v>
      </c>
      <c r="K548" s="37">
        <v>3</v>
      </c>
      <c r="L548" s="74">
        <f t="shared" ref="L548:L566" si="58">IFERROR(IF(OR(J548=0,K548=""),"",IF(E548="Positivo",MIN(MAX(K548/J548,0),1.3),MIN(MAX(J548/K548,0),1.3))),"")</f>
        <v>1</v>
      </c>
      <c r="M548" s="65">
        <f t="shared" ref="M548:M566" si="59">IFERROR(IF(OR(J548=0,K548=""),"",IF(E548="Positivo",MAX(K548/J548,0),MAX(J548/K548,0))),"")</f>
        <v>1</v>
      </c>
      <c r="N548" s="37" t="s">
        <v>203</v>
      </c>
      <c r="O548" s="37" t="s">
        <v>203</v>
      </c>
      <c r="P548" s="37">
        <v>0</v>
      </c>
      <c r="Q548" s="37">
        <v>0</v>
      </c>
      <c r="R548" s="37" t="s">
        <v>1365</v>
      </c>
      <c r="S548" s="37"/>
    </row>
    <row r="549" spans="1:19" x14ac:dyDescent="0.3">
      <c r="A549" s="41">
        <v>273</v>
      </c>
      <c r="B549" s="37" t="s">
        <v>1363</v>
      </c>
      <c r="C549" s="37" t="s">
        <v>1364</v>
      </c>
      <c r="D549" s="37" t="s">
        <v>21</v>
      </c>
      <c r="E549" s="37" t="s">
        <v>22</v>
      </c>
      <c r="F549" s="42">
        <v>45291</v>
      </c>
      <c r="G549" s="37">
        <v>2023</v>
      </c>
      <c r="H549" s="37" t="s">
        <v>27</v>
      </c>
      <c r="I549" s="39" t="s">
        <v>32</v>
      </c>
      <c r="J549" s="37">
        <v>2</v>
      </c>
      <c r="K549" s="37">
        <v>2</v>
      </c>
      <c r="L549" s="74">
        <f t="shared" si="58"/>
        <v>1</v>
      </c>
      <c r="M549" s="65">
        <f t="shared" si="59"/>
        <v>1</v>
      </c>
      <c r="N549" s="37" t="s">
        <v>203</v>
      </c>
      <c r="O549" s="37" t="s">
        <v>203</v>
      </c>
      <c r="P549" s="37">
        <v>0</v>
      </c>
      <c r="Q549" s="37">
        <v>0</v>
      </c>
      <c r="R549" s="37" t="s">
        <v>1366</v>
      </c>
      <c r="S549" s="37"/>
    </row>
    <row r="550" spans="1:19" x14ac:dyDescent="0.3">
      <c r="A550" s="37">
        <v>273</v>
      </c>
      <c r="B550" s="37" t="s">
        <v>1363</v>
      </c>
      <c r="C550" s="37" t="s">
        <v>1364</v>
      </c>
      <c r="D550" s="37" t="s">
        <v>21</v>
      </c>
      <c r="E550" s="37" t="s">
        <v>22</v>
      </c>
      <c r="F550" s="42">
        <v>45473</v>
      </c>
      <c r="G550" s="37">
        <v>2024</v>
      </c>
      <c r="H550" s="37" t="s">
        <v>23</v>
      </c>
      <c r="I550" s="39" t="s">
        <v>34</v>
      </c>
      <c r="J550" s="37">
        <v>3</v>
      </c>
      <c r="K550" s="37">
        <v>3</v>
      </c>
      <c r="L550" s="65">
        <f t="shared" si="58"/>
        <v>1</v>
      </c>
      <c r="M550" s="65">
        <f t="shared" si="59"/>
        <v>1</v>
      </c>
      <c r="N550" s="37" t="s">
        <v>203</v>
      </c>
      <c r="O550" s="37" t="s">
        <v>203</v>
      </c>
      <c r="P550" s="37">
        <v>0</v>
      </c>
      <c r="Q550" s="37">
        <v>0</v>
      </c>
      <c r="R550" s="37" t="s">
        <v>1367</v>
      </c>
      <c r="S550" s="37"/>
    </row>
    <row r="551" spans="1:19" x14ac:dyDescent="0.3">
      <c r="A551" s="37">
        <v>273</v>
      </c>
      <c r="B551" s="37" t="s">
        <v>1363</v>
      </c>
      <c r="C551" s="37" t="s">
        <v>1364</v>
      </c>
      <c r="D551" s="37" t="s">
        <v>21</v>
      </c>
      <c r="E551" s="37" t="s">
        <v>22</v>
      </c>
      <c r="F551" s="42">
        <v>45657</v>
      </c>
      <c r="G551" s="37">
        <v>2024</v>
      </c>
      <c r="H551" s="37" t="s">
        <v>27</v>
      </c>
      <c r="I551" s="39" t="s">
        <v>36</v>
      </c>
      <c r="J551" s="37">
        <v>3</v>
      </c>
      <c r="K551" s="37">
        <v>3</v>
      </c>
      <c r="L551" s="65">
        <f t="shared" si="58"/>
        <v>1</v>
      </c>
      <c r="M551" s="65">
        <f t="shared" si="59"/>
        <v>1</v>
      </c>
      <c r="N551" s="37" t="s">
        <v>203</v>
      </c>
      <c r="O551" s="37" t="s">
        <v>203</v>
      </c>
      <c r="P551" s="37">
        <v>0</v>
      </c>
      <c r="Q551" s="37">
        <v>0</v>
      </c>
      <c r="R551" s="37" t="s">
        <v>1368</v>
      </c>
      <c r="S551" s="37"/>
    </row>
    <row r="552" spans="1:19" x14ac:dyDescent="0.3">
      <c r="A552" s="41">
        <v>275</v>
      </c>
      <c r="B552" s="37" t="s">
        <v>1375</v>
      </c>
      <c r="C552" s="37" t="s">
        <v>1376</v>
      </c>
      <c r="D552" s="37" t="s">
        <v>139</v>
      </c>
      <c r="E552" s="37" t="s">
        <v>22</v>
      </c>
      <c r="F552" s="42">
        <v>45291</v>
      </c>
      <c r="G552" s="37">
        <v>2023</v>
      </c>
      <c r="H552" s="37" t="s">
        <v>27</v>
      </c>
      <c r="I552" s="39" t="s">
        <v>32</v>
      </c>
      <c r="J552" s="37">
        <v>80</v>
      </c>
      <c r="K552" s="37">
        <v>0</v>
      </c>
      <c r="L552" s="74">
        <f t="shared" si="58"/>
        <v>0</v>
      </c>
      <c r="M552" s="65">
        <f t="shared" si="59"/>
        <v>0</v>
      </c>
      <c r="N552" s="37" t="s">
        <v>25</v>
      </c>
      <c r="O552" s="37" t="s">
        <v>25</v>
      </c>
      <c r="P552" s="37">
        <v>0</v>
      </c>
      <c r="Q552" s="37">
        <v>0</v>
      </c>
      <c r="R552" s="37" t="s">
        <v>1377</v>
      </c>
      <c r="S552" s="37"/>
    </row>
    <row r="553" spans="1:19" x14ac:dyDescent="0.3">
      <c r="A553" s="37">
        <v>275</v>
      </c>
      <c r="B553" s="37" t="s">
        <v>1375</v>
      </c>
      <c r="C553" s="37" t="s">
        <v>1376</v>
      </c>
      <c r="D553" s="37" t="s">
        <v>21</v>
      </c>
      <c r="E553" s="37" t="s">
        <v>22</v>
      </c>
      <c r="F553" s="42">
        <v>45473</v>
      </c>
      <c r="G553" s="37">
        <v>2024</v>
      </c>
      <c r="H553" s="37" t="s">
        <v>23</v>
      </c>
      <c r="I553" s="39" t="s">
        <v>34</v>
      </c>
      <c r="J553" s="37">
        <v>80</v>
      </c>
      <c r="K553" s="37">
        <v>103.75</v>
      </c>
      <c r="L553" s="65">
        <f t="shared" si="58"/>
        <v>1.296875</v>
      </c>
      <c r="M553" s="65">
        <f t="shared" si="59"/>
        <v>1.296875</v>
      </c>
      <c r="N553" s="37" t="s">
        <v>25</v>
      </c>
      <c r="O553" s="37" t="s">
        <v>25</v>
      </c>
      <c r="P553" s="37">
        <v>0</v>
      </c>
      <c r="Q553" s="37">
        <v>0</v>
      </c>
      <c r="R553" s="37" t="s">
        <v>1378</v>
      </c>
      <c r="S553" s="37"/>
    </row>
    <row r="554" spans="1:19" x14ac:dyDescent="0.3">
      <c r="A554" s="37">
        <v>275</v>
      </c>
      <c r="B554" s="37" t="s">
        <v>1375</v>
      </c>
      <c r="C554" s="37" t="s">
        <v>1376</v>
      </c>
      <c r="D554" s="37" t="s">
        <v>21</v>
      </c>
      <c r="E554" s="37" t="s">
        <v>22</v>
      </c>
      <c r="F554" s="42">
        <v>45657</v>
      </c>
      <c r="G554" s="37">
        <v>2024</v>
      </c>
      <c r="H554" s="37" t="s">
        <v>27</v>
      </c>
      <c r="I554" s="39" t="s">
        <v>36</v>
      </c>
      <c r="J554" s="37">
        <v>80</v>
      </c>
      <c r="K554" s="37">
        <v>109.58</v>
      </c>
      <c r="L554" s="65">
        <f t="shared" si="58"/>
        <v>1.3</v>
      </c>
      <c r="M554" s="65">
        <f t="shared" si="59"/>
        <v>1.36975</v>
      </c>
      <c r="N554" s="37" t="s">
        <v>25</v>
      </c>
      <c r="O554" s="37" t="s">
        <v>25</v>
      </c>
      <c r="P554" s="37">
        <v>0</v>
      </c>
      <c r="Q554" s="37">
        <v>0</v>
      </c>
      <c r="R554" s="37" t="s">
        <v>1379</v>
      </c>
      <c r="S554" s="37"/>
    </row>
    <row r="555" spans="1:19" x14ac:dyDescent="0.3">
      <c r="A555" s="37">
        <v>276</v>
      </c>
      <c r="B555" s="37" t="s">
        <v>1382</v>
      </c>
      <c r="C555" s="37" t="s">
        <v>1383</v>
      </c>
      <c r="D555" s="37" t="s">
        <v>21</v>
      </c>
      <c r="E555" s="37" t="s">
        <v>56</v>
      </c>
      <c r="F555" s="38">
        <v>45107</v>
      </c>
      <c r="G555" s="40">
        <v>2023</v>
      </c>
      <c r="H555" s="39" t="s">
        <v>23</v>
      </c>
      <c r="I555" s="39" t="s">
        <v>30</v>
      </c>
      <c r="J555" s="37">
        <v>85</v>
      </c>
      <c r="K555" s="37">
        <v>89.99</v>
      </c>
      <c r="L555" s="65">
        <f t="shared" si="58"/>
        <v>0.94454939437715302</v>
      </c>
      <c r="M555" s="65">
        <f t="shared" si="59"/>
        <v>0.94454939437715302</v>
      </c>
      <c r="N555" s="37"/>
      <c r="O555" s="37"/>
      <c r="P555" s="37">
        <v>0</v>
      </c>
      <c r="Q555" s="37">
        <v>1</v>
      </c>
      <c r="R555" s="37" t="s">
        <v>1384</v>
      </c>
      <c r="S555" s="37"/>
    </row>
    <row r="556" spans="1:19" x14ac:dyDescent="0.3">
      <c r="A556" s="41">
        <v>276</v>
      </c>
      <c r="B556" s="37" t="s">
        <v>1382</v>
      </c>
      <c r="C556" s="37" t="s">
        <v>1383</v>
      </c>
      <c r="D556" s="37" t="s">
        <v>21</v>
      </c>
      <c r="E556" s="37" t="s">
        <v>56</v>
      </c>
      <c r="F556" s="42">
        <v>45291</v>
      </c>
      <c r="G556" s="37">
        <v>2023</v>
      </c>
      <c r="H556" s="37" t="s">
        <v>27</v>
      </c>
      <c r="I556" s="39" t="s">
        <v>32</v>
      </c>
      <c r="J556" s="37">
        <v>85</v>
      </c>
      <c r="K556" s="37">
        <v>84.5</v>
      </c>
      <c r="L556" s="65">
        <f t="shared" si="58"/>
        <v>1.0059171597633136</v>
      </c>
      <c r="M556" s="65">
        <f t="shared" si="59"/>
        <v>1.0059171597633136</v>
      </c>
      <c r="N556" s="37"/>
      <c r="O556" s="37"/>
      <c r="P556" s="37">
        <v>0</v>
      </c>
      <c r="Q556" s="37">
        <v>1</v>
      </c>
      <c r="R556" s="37" t="s">
        <v>1385</v>
      </c>
      <c r="S556" s="37"/>
    </row>
    <row r="557" spans="1:19" x14ac:dyDescent="0.3">
      <c r="A557" s="37">
        <v>276</v>
      </c>
      <c r="B557" s="37" t="s">
        <v>1382</v>
      </c>
      <c r="C557" s="37" t="s">
        <v>1383</v>
      </c>
      <c r="D557" s="37" t="s">
        <v>21</v>
      </c>
      <c r="E557" s="37" t="s">
        <v>56</v>
      </c>
      <c r="F557" s="38">
        <v>45473</v>
      </c>
      <c r="G557" s="40">
        <v>2024</v>
      </c>
      <c r="H557" s="39" t="s">
        <v>23</v>
      </c>
      <c r="I557" s="39" t="s">
        <v>34</v>
      </c>
      <c r="J557" s="37">
        <v>75</v>
      </c>
      <c r="K557" s="43">
        <v>83.65</v>
      </c>
      <c r="L557" s="65">
        <f t="shared" si="58"/>
        <v>0.89659294680215174</v>
      </c>
      <c r="M557" s="65">
        <f t="shared" si="59"/>
        <v>0.89659294680215174</v>
      </c>
      <c r="N557" s="37"/>
      <c r="O557" s="37"/>
      <c r="P557" s="37">
        <v>0</v>
      </c>
      <c r="Q557" s="37">
        <v>1</v>
      </c>
      <c r="R557" s="37" t="s">
        <v>1386</v>
      </c>
      <c r="S557" s="37"/>
    </row>
    <row r="558" spans="1:19" x14ac:dyDescent="0.3">
      <c r="A558" s="37">
        <v>276</v>
      </c>
      <c r="B558" s="37" t="s">
        <v>1382</v>
      </c>
      <c r="C558" s="37" t="s">
        <v>1383</v>
      </c>
      <c r="D558" s="37" t="s">
        <v>21</v>
      </c>
      <c r="E558" s="37" t="s">
        <v>56</v>
      </c>
      <c r="F558" s="42">
        <v>45657</v>
      </c>
      <c r="G558" s="37">
        <v>2024</v>
      </c>
      <c r="H558" s="37" t="s">
        <v>27</v>
      </c>
      <c r="I558" s="39" t="s">
        <v>36</v>
      </c>
      <c r="J558" s="37">
        <v>75</v>
      </c>
      <c r="K558" s="37">
        <v>82.68</v>
      </c>
      <c r="L558" s="65">
        <f t="shared" si="58"/>
        <v>0.90711175616835982</v>
      </c>
      <c r="M558" s="65">
        <f t="shared" si="59"/>
        <v>0.90711175616835982</v>
      </c>
      <c r="N558" s="37"/>
      <c r="O558" s="37"/>
      <c r="P558" s="37">
        <v>0</v>
      </c>
      <c r="Q558" s="37">
        <v>1</v>
      </c>
      <c r="R558" s="37" t="s">
        <v>1387</v>
      </c>
      <c r="S558" s="37"/>
    </row>
    <row r="559" spans="1:19" x14ac:dyDescent="0.3">
      <c r="A559" s="45">
        <v>277</v>
      </c>
      <c r="B559" s="37" t="s">
        <v>1388</v>
      </c>
      <c r="C559" s="37" t="s">
        <v>1383</v>
      </c>
      <c r="D559" s="37" t="s">
        <v>21</v>
      </c>
      <c r="E559" s="37" t="s">
        <v>56</v>
      </c>
      <c r="F559" s="42">
        <v>45107</v>
      </c>
      <c r="G559" s="37">
        <v>2023</v>
      </c>
      <c r="H559" s="37" t="s">
        <v>23</v>
      </c>
      <c r="I559" s="39" t="s">
        <v>30</v>
      </c>
      <c r="J559" s="37">
        <v>85</v>
      </c>
      <c r="K559" s="37">
        <v>76.48</v>
      </c>
      <c r="L559" s="65">
        <f t="shared" si="58"/>
        <v>1.1114016736401673</v>
      </c>
      <c r="M559" s="65">
        <f t="shared" si="59"/>
        <v>1.1114016736401673</v>
      </c>
      <c r="N559" s="37"/>
      <c r="O559" s="37"/>
      <c r="P559" s="37">
        <v>0</v>
      </c>
      <c r="Q559" s="37">
        <v>1</v>
      </c>
      <c r="R559" s="37" t="s">
        <v>1389</v>
      </c>
      <c r="S559" s="37"/>
    </row>
    <row r="560" spans="1:19" x14ac:dyDescent="0.3">
      <c r="A560" s="41">
        <v>277</v>
      </c>
      <c r="B560" s="37" t="s">
        <v>1388</v>
      </c>
      <c r="C560" s="37" t="s">
        <v>1383</v>
      </c>
      <c r="D560" s="37" t="s">
        <v>21</v>
      </c>
      <c r="E560" s="37" t="s">
        <v>56</v>
      </c>
      <c r="F560" s="42">
        <v>45291</v>
      </c>
      <c r="G560" s="37">
        <v>2023</v>
      </c>
      <c r="H560" s="37" t="s">
        <v>27</v>
      </c>
      <c r="I560" s="39" t="s">
        <v>32</v>
      </c>
      <c r="J560" s="37">
        <v>85</v>
      </c>
      <c r="K560" s="37">
        <v>73.290000000000006</v>
      </c>
      <c r="L560" s="65">
        <f t="shared" si="58"/>
        <v>1.1597762314094691</v>
      </c>
      <c r="M560" s="65">
        <f t="shared" si="59"/>
        <v>1.1597762314094691</v>
      </c>
      <c r="N560" s="37"/>
      <c r="O560" s="37"/>
      <c r="P560" s="37">
        <v>0</v>
      </c>
      <c r="Q560" s="37">
        <v>1</v>
      </c>
      <c r="R560" s="37" t="s">
        <v>1390</v>
      </c>
      <c r="S560" s="37"/>
    </row>
    <row r="561" spans="1:19" x14ac:dyDescent="0.3">
      <c r="A561" s="41">
        <v>277</v>
      </c>
      <c r="B561" s="37" t="s">
        <v>1388</v>
      </c>
      <c r="C561" s="37" t="s">
        <v>1383</v>
      </c>
      <c r="D561" s="37" t="s">
        <v>21</v>
      </c>
      <c r="E561" s="37" t="s">
        <v>56</v>
      </c>
      <c r="F561" s="38">
        <v>45473</v>
      </c>
      <c r="G561" s="37">
        <v>2024</v>
      </c>
      <c r="H561" s="37" t="s">
        <v>23</v>
      </c>
      <c r="I561" s="39" t="s">
        <v>34</v>
      </c>
      <c r="J561" s="37">
        <v>73</v>
      </c>
      <c r="K561" s="37">
        <v>71.180000000000007</v>
      </c>
      <c r="L561" s="65">
        <f t="shared" si="58"/>
        <v>1.0255689800505758</v>
      </c>
      <c r="M561" s="65">
        <f t="shared" si="59"/>
        <v>1.0255689800505758</v>
      </c>
      <c r="N561" s="37"/>
      <c r="O561" s="37"/>
      <c r="P561" s="37">
        <v>0</v>
      </c>
      <c r="Q561" s="37">
        <v>1</v>
      </c>
      <c r="R561" s="37" t="s">
        <v>1391</v>
      </c>
      <c r="S561" s="37"/>
    </row>
    <row r="562" spans="1:19" x14ac:dyDescent="0.3">
      <c r="A562" s="37">
        <v>277</v>
      </c>
      <c r="B562" s="37" t="s">
        <v>1388</v>
      </c>
      <c r="C562" s="37" t="s">
        <v>1383</v>
      </c>
      <c r="D562" s="37" t="s">
        <v>21</v>
      </c>
      <c r="E562" s="37" t="s">
        <v>56</v>
      </c>
      <c r="F562" s="42">
        <v>45657</v>
      </c>
      <c r="G562" s="37">
        <v>2024</v>
      </c>
      <c r="H562" s="37" t="s">
        <v>27</v>
      </c>
      <c r="I562" s="39" t="s">
        <v>36</v>
      </c>
      <c r="J562" s="37">
        <v>73</v>
      </c>
      <c r="K562" s="37">
        <v>71.239999999999995</v>
      </c>
      <c r="L562" s="65">
        <f t="shared" si="58"/>
        <v>1.0247052217855139</v>
      </c>
      <c r="M562" s="65">
        <f t="shared" si="59"/>
        <v>1.0247052217855139</v>
      </c>
      <c r="N562" s="37"/>
      <c r="O562" s="37"/>
      <c r="P562" s="37">
        <v>0</v>
      </c>
      <c r="Q562" s="37">
        <v>1</v>
      </c>
      <c r="R562" s="37" t="s">
        <v>1392</v>
      </c>
      <c r="S562" s="37"/>
    </row>
    <row r="563" spans="1:19" x14ac:dyDescent="0.3">
      <c r="A563" s="45">
        <v>278</v>
      </c>
      <c r="B563" s="37" t="s">
        <v>1394</v>
      </c>
      <c r="C563" s="37" t="s">
        <v>1383</v>
      </c>
      <c r="D563" s="37" t="s">
        <v>21</v>
      </c>
      <c r="E563" s="37" t="s">
        <v>22</v>
      </c>
      <c r="F563" s="42">
        <v>45107</v>
      </c>
      <c r="G563" s="37">
        <v>2023</v>
      </c>
      <c r="H563" s="37" t="s">
        <v>23</v>
      </c>
      <c r="I563" s="39" t="s">
        <v>30</v>
      </c>
      <c r="J563" s="37">
        <v>0</v>
      </c>
      <c r="K563" s="37">
        <v>0</v>
      </c>
      <c r="L563" s="74" t="str">
        <f t="shared" si="58"/>
        <v/>
      </c>
      <c r="M563" s="65" t="str">
        <f t="shared" si="59"/>
        <v/>
      </c>
      <c r="N563" s="37"/>
      <c r="O563" s="37"/>
      <c r="P563" s="37">
        <v>0</v>
      </c>
      <c r="Q563" s="37">
        <v>0</v>
      </c>
      <c r="R563" s="37" t="s">
        <v>1395</v>
      </c>
      <c r="S563" s="37"/>
    </row>
    <row r="564" spans="1:19" x14ac:dyDescent="0.3">
      <c r="A564" s="41">
        <v>278</v>
      </c>
      <c r="B564" s="37" t="s">
        <v>1394</v>
      </c>
      <c r="C564" s="37" t="s">
        <v>1383</v>
      </c>
      <c r="D564" s="37" t="s">
        <v>21</v>
      </c>
      <c r="E564" s="37" t="s">
        <v>22</v>
      </c>
      <c r="F564" s="42">
        <v>45291</v>
      </c>
      <c r="G564" s="37">
        <v>2023</v>
      </c>
      <c r="H564" s="37" t="s">
        <v>27</v>
      </c>
      <c r="I564" s="39" t="s">
        <v>32</v>
      </c>
      <c r="J564" s="37">
        <v>0</v>
      </c>
      <c r="K564" s="37">
        <v>1017</v>
      </c>
      <c r="L564" s="74" t="str">
        <f t="shared" si="58"/>
        <v/>
      </c>
      <c r="M564" s="65" t="str">
        <f t="shared" si="59"/>
        <v/>
      </c>
      <c r="N564" s="37"/>
      <c r="O564" s="37"/>
      <c r="P564" s="37">
        <v>0</v>
      </c>
      <c r="Q564" s="37">
        <v>0</v>
      </c>
      <c r="R564" s="37" t="s">
        <v>1396</v>
      </c>
      <c r="S564" s="37"/>
    </row>
    <row r="565" spans="1:19" x14ac:dyDescent="0.3">
      <c r="A565" s="37">
        <v>278</v>
      </c>
      <c r="B565" s="37" t="s">
        <v>1394</v>
      </c>
      <c r="C565" s="37" t="s">
        <v>1383</v>
      </c>
      <c r="D565" s="37" t="s">
        <v>21</v>
      </c>
      <c r="E565" s="37" t="s">
        <v>22</v>
      </c>
      <c r="F565" s="42">
        <v>45473</v>
      </c>
      <c r="G565" s="37">
        <v>2024</v>
      </c>
      <c r="H565" s="37" t="s">
        <v>23</v>
      </c>
      <c r="I565" s="39" t="s">
        <v>34</v>
      </c>
      <c r="J565" s="37">
        <v>0</v>
      </c>
      <c r="K565" s="37">
        <v>1080</v>
      </c>
      <c r="L565" s="65" t="str">
        <f t="shared" si="58"/>
        <v/>
      </c>
      <c r="M565" s="65" t="str">
        <f t="shared" si="59"/>
        <v/>
      </c>
      <c r="N565" s="37"/>
      <c r="O565" s="37"/>
      <c r="P565" s="37">
        <v>0</v>
      </c>
      <c r="Q565" s="37">
        <v>0</v>
      </c>
      <c r="R565" s="37" t="s">
        <v>1397</v>
      </c>
      <c r="S565" s="37"/>
    </row>
    <row r="566" spans="1:19" x14ac:dyDescent="0.3">
      <c r="A566" s="37">
        <v>278</v>
      </c>
      <c r="B566" s="37" t="s">
        <v>1394</v>
      </c>
      <c r="C566" s="37" t="s">
        <v>1383</v>
      </c>
      <c r="D566" s="37" t="s">
        <v>21</v>
      </c>
      <c r="E566" s="37" t="s">
        <v>22</v>
      </c>
      <c r="F566" s="42">
        <v>45657</v>
      </c>
      <c r="G566" s="37">
        <v>2024</v>
      </c>
      <c r="H566" s="37" t="s">
        <v>27</v>
      </c>
      <c r="I566" s="39" t="s">
        <v>36</v>
      </c>
      <c r="J566" s="37">
        <v>0</v>
      </c>
      <c r="K566" s="37">
        <v>1018</v>
      </c>
      <c r="L566" s="65" t="str">
        <f t="shared" si="58"/>
        <v/>
      </c>
      <c r="M566" s="65" t="str">
        <f t="shared" si="59"/>
        <v/>
      </c>
      <c r="N566" s="37"/>
      <c r="O566" s="37"/>
      <c r="P566" s="37">
        <v>0</v>
      </c>
      <c r="Q566" s="37">
        <v>0</v>
      </c>
      <c r="R566" s="37" t="s">
        <v>1398</v>
      </c>
      <c r="S566" s="37"/>
    </row>
    <row r="567" spans="1:19" x14ac:dyDescent="0.3">
      <c r="A567" s="45">
        <v>279</v>
      </c>
      <c r="B567" s="37" t="s">
        <v>1402</v>
      </c>
      <c r="C567" s="37" t="s">
        <v>1383</v>
      </c>
      <c r="D567" s="37" t="s">
        <v>21</v>
      </c>
      <c r="E567" s="37" t="s">
        <v>22</v>
      </c>
      <c r="F567" s="42">
        <v>45107</v>
      </c>
      <c r="G567" s="37">
        <v>2023</v>
      </c>
      <c r="H567" s="37" t="s">
        <v>23</v>
      </c>
      <c r="I567" s="39" t="s">
        <v>30</v>
      </c>
      <c r="J567" s="37">
        <v>0</v>
      </c>
      <c r="K567" s="37">
        <v>572</v>
      </c>
      <c r="L567" s="74" t="str">
        <f>IFERROR(IF(OR(J567=0,K567=""),"",IF(E567="Positivo",MIN(MAX(K567/J567,0),1.3),MIN(MAX(J567/K567,0),1.3))),"")</f>
        <v/>
      </c>
      <c r="M567" s="65" t="str">
        <f>IFERROR(IF(OR(J567=0,K567=""),"",IF(E567="Positivo",MAX(K567/J567,0),MAX(J567/K567,0))),"")</f>
        <v/>
      </c>
      <c r="N567" s="37"/>
      <c r="O567" s="37"/>
      <c r="P567" s="37">
        <v>0</v>
      </c>
      <c r="Q567" s="37">
        <v>0</v>
      </c>
      <c r="R567" s="37" t="s">
        <v>1403</v>
      </c>
      <c r="S567" s="37"/>
    </row>
    <row r="568" spans="1:19" x14ac:dyDescent="0.3">
      <c r="A568" s="41">
        <v>279</v>
      </c>
      <c r="B568" s="37" t="s">
        <v>1402</v>
      </c>
      <c r="C568" s="37" t="s">
        <v>1383</v>
      </c>
      <c r="D568" s="37" t="s">
        <v>21</v>
      </c>
      <c r="E568" s="37" t="s">
        <v>22</v>
      </c>
      <c r="F568" s="42">
        <v>45291</v>
      </c>
      <c r="G568" s="37">
        <v>2023</v>
      </c>
      <c r="H568" s="37" t="s">
        <v>27</v>
      </c>
      <c r="I568" s="39" t="s">
        <v>32</v>
      </c>
      <c r="J568" s="37">
        <v>0</v>
      </c>
      <c r="K568" s="37">
        <v>608</v>
      </c>
      <c r="L568" s="74" t="str">
        <f>IFERROR(IF(OR(J568=0,K568=""),"",IF(E568="Positivo",MIN(MAX(K568/J568,0),1.3),MIN(MAX(J568/K568,0),1.3))),"")</f>
        <v/>
      </c>
      <c r="M568" s="65" t="str">
        <f>IFERROR(IF(OR(J568=0,K568=""),"",IF(E568="Positivo",MAX(K568/J568,0),MAX(J568/K568,0))),"")</f>
        <v/>
      </c>
      <c r="N568" s="37"/>
      <c r="O568" s="37"/>
      <c r="P568" s="37">
        <v>0</v>
      </c>
      <c r="Q568" s="37">
        <v>0</v>
      </c>
      <c r="R568" s="37" t="s">
        <v>3513</v>
      </c>
      <c r="S568" s="37"/>
    </row>
    <row r="569" spans="1:19" x14ac:dyDescent="0.3">
      <c r="A569" s="45">
        <v>280</v>
      </c>
      <c r="B569" s="37" t="s">
        <v>1404</v>
      </c>
      <c r="C569" s="37" t="s">
        <v>1383</v>
      </c>
      <c r="D569" s="37" t="s">
        <v>21</v>
      </c>
      <c r="E569" s="37" t="s">
        <v>22</v>
      </c>
      <c r="F569" s="42">
        <v>45107</v>
      </c>
      <c r="G569" s="37">
        <v>2023</v>
      </c>
      <c r="H569" s="37" t="s">
        <v>23</v>
      </c>
      <c r="I569" s="39" t="s">
        <v>30</v>
      </c>
      <c r="J569" s="37">
        <v>0</v>
      </c>
      <c r="K569" s="37">
        <v>203</v>
      </c>
      <c r="L569" s="74" t="str">
        <f>IFERROR(IF(OR(J569=0,K569=""),"",IF(E569="Positivo",MIN(MAX(K569/J569,0),1.3),MIN(MAX(J569/K569,0),1.3))),"")</f>
        <v/>
      </c>
      <c r="M569" s="65" t="str">
        <f>IFERROR(IF(OR(J569=0,K569=""),"",IF(E569="Positivo",MAX(K569/J569,0),MAX(J569/K569,0))),"")</f>
        <v/>
      </c>
      <c r="N569" s="37"/>
      <c r="O569" s="37"/>
      <c r="P569" s="37">
        <v>0</v>
      </c>
      <c r="Q569" s="37">
        <v>0</v>
      </c>
      <c r="R569" s="37" t="s">
        <v>1405</v>
      </c>
      <c r="S569" s="37"/>
    </row>
    <row r="570" spans="1:19" x14ac:dyDescent="0.3">
      <c r="A570" s="41">
        <v>280</v>
      </c>
      <c r="B570" s="37" t="s">
        <v>1404</v>
      </c>
      <c r="C570" s="37" t="s">
        <v>1383</v>
      </c>
      <c r="D570" s="37" t="s">
        <v>21</v>
      </c>
      <c r="E570" s="37" t="s">
        <v>22</v>
      </c>
      <c r="F570" s="42">
        <v>45291</v>
      </c>
      <c r="G570" s="37">
        <v>2023</v>
      </c>
      <c r="H570" s="37" t="s">
        <v>27</v>
      </c>
      <c r="I570" s="39" t="s">
        <v>32</v>
      </c>
      <c r="J570" s="37">
        <v>0</v>
      </c>
      <c r="K570" s="37">
        <v>186</v>
      </c>
      <c r="L570" s="74" t="str">
        <f>IFERROR(IF(OR(J570=0,K570=""),"",IF(E570="Positivo",MIN(MAX(K570/J570,0),1.3),MIN(MAX(J570/K570,0),1.3))),"")</f>
        <v/>
      </c>
      <c r="M570" s="65" t="str">
        <f>IFERROR(IF(OR(J570=0,K570=""),"",IF(E570="Positivo",MAX(K570/J570,0),MAX(J570/K570,0))),"")</f>
        <v/>
      </c>
      <c r="N570" s="37"/>
      <c r="O570" s="37"/>
      <c r="P570" s="37">
        <v>0</v>
      </c>
      <c r="Q570" s="37">
        <v>0</v>
      </c>
      <c r="R570" s="37" t="s">
        <v>1406</v>
      </c>
      <c r="S570" s="37"/>
    </row>
    <row r="571" spans="1:19" x14ac:dyDescent="0.3">
      <c r="A571" s="45">
        <v>281</v>
      </c>
      <c r="B571" s="37" t="s">
        <v>1407</v>
      </c>
      <c r="C571" s="37" t="s">
        <v>1383</v>
      </c>
      <c r="D571" s="37" t="s">
        <v>21</v>
      </c>
      <c r="E571" s="37" t="s">
        <v>22</v>
      </c>
      <c r="F571" s="42">
        <v>45107</v>
      </c>
      <c r="G571" s="37">
        <v>2023</v>
      </c>
      <c r="H571" s="37" t="s">
        <v>23</v>
      </c>
      <c r="I571" s="39" t="s">
        <v>30</v>
      </c>
      <c r="J571" s="37"/>
      <c r="K571" s="37">
        <v>240</v>
      </c>
      <c r="L571" s="67"/>
      <c r="M571" s="65"/>
      <c r="N571" s="37"/>
      <c r="O571" s="37"/>
      <c r="P571" s="37">
        <v>0</v>
      </c>
      <c r="Q571" s="37">
        <v>0</v>
      </c>
      <c r="R571" s="37" t="s">
        <v>1408</v>
      </c>
      <c r="S571" s="37"/>
    </row>
    <row r="572" spans="1:19" x14ac:dyDescent="0.3">
      <c r="A572" s="41">
        <v>281</v>
      </c>
      <c r="B572" s="37" t="s">
        <v>1407</v>
      </c>
      <c r="C572" s="37" t="s">
        <v>1383</v>
      </c>
      <c r="D572" s="37" t="s">
        <v>21</v>
      </c>
      <c r="E572" s="37" t="s">
        <v>22</v>
      </c>
      <c r="F572" s="42">
        <v>45291</v>
      </c>
      <c r="G572" s="37">
        <v>2023</v>
      </c>
      <c r="H572" s="37" t="s">
        <v>27</v>
      </c>
      <c r="I572" s="39" t="s">
        <v>32</v>
      </c>
      <c r="J572" s="37"/>
      <c r="K572" s="37">
        <v>223</v>
      </c>
      <c r="L572" s="67"/>
      <c r="M572" s="65"/>
      <c r="N572" s="37"/>
      <c r="O572" s="37"/>
      <c r="P572" s="37">
        <v>0</v>
      </c>
      <c r="Q572" s="37">
        <v>0</v>
      </c>
      <c r="R572" s="37" t="s">
        <v>1409</v>
      </c>
      <c r="S572" s="37"/>
    </row>
    <row r="573" spans="1:19" x14ac:dyDescent="0.3">
      <c r="A573" s="45">
        <v>282</v>
      </c>
      <c r="B573" s="37" t="s">
        <v>1410</v>
      </c>
      <c r="C573" s="37" t="s">
        <v>1383</v>
      </c>
      <c r="D573" s="37" t="s">
        <v>21</v>
      </c>
      <c r="E573" s="37" t="s">
        <v>22</v>
      </c>
      <c r="F573" s="42">
        <v>45107</v>
      </c>
      <c r="G573" s="37">
        <v>2023</v>
      </c>
      <c r="H573" s="37" t="s">
        <v>23</v>
      </c>
      <c r="I573" s="39" t="s">
        <v>30</v>
      </c>
      <c r="J573" s="37">
        <v>1006</v>
      </c>
      <c r="K573" s="37">
        <v>976</v>
      </c>
      <c r="L573" s="74">
        <f t="shared" ref="L573:L580" si="60">IFERROR(IF(OR(J573=0,K573=""),"",IF(E573="Positivo",MIN(MAX(K573/J573,0),1.3),MIN(MAX(J573/K573,0),1.3))),"")</f>
        <v>0.97017892644135184</v>
      </c>
      <c r="M573" s="65">
        <f t="shared" ref="M573:M580" si="61">IFERROR(IF(OR(J573=0,K573=""),"",IF(E573="Positivo",MAX(K573/J573,0),MAX(J573/K573,0))),"")</f>
        <v>0.97017892644135184</v>
      </c>
      <c r="N573" s="60" t="s">
        <v>25</v>
      </c>
      <c r="O573" s="60" t="s">
        <v>25</v>
      </c>
      <c r="P573" s="37">
        <v>0</v>
      </c>
      <c r="Q573" s="37">
        <v>0</v>
      </c>
      <c r="R573" s="37" t="s">
        <v>1411</v>
      </c>
      <c r="S573" s="37"/>
    </row>
    <row r="574" spans="1:19" x14ac:dyDescent="0.3">
      <c r="A574" s="41">
        <v>282</v>
      </c>
      <c r="B574" s="37" t="s">
        <v>1410</v>
      </c>
      <c r="C574" s="37" t="s">
        <v>1383</v>
      </c>
      <c r="D574" s="37" t="s">
        <v>21</v>
      </c>
      <c r="E574" s="37" t="s">
        <v>22</v>
      </c>
      <c r="F574" s="42">
        <v>45291</v>
      </c>
      <c r="G574" s="37">
        <v>2023</v>
      </c>
      <c r="H574" s="37" t="s">
        <v>27</v>
      </c>
      <c r="I574" s="39" t="s">
        <v>32</v>
      </c>
      <c r="J574" s="37">
        <v>1014</v>
      </c>
      <c r="K574" s="37">
        <v>987</v>
      </c>
      <c r="L574" s="74">
        <f t="shared" si="60"/>
        <v>0.97337278106508873</v>
      </c>
      <c r="M574" s="65">
        <f t="shared" si="61"/>
        <v>0.97337278106508873</v>
      </c>
      <c r="N574" s="60" t="s">
        <v>25</v>
      </c>
      <c r="O574" s="60" t="s">
        <v>25</v>
      </c>
      <c r="P574" s="37">
        <v>0</v>
      </c>
      <c r="Q574" s="37">
        <v>0</v>
      </c>
      <c r="R574" s="37" t="s">
        <v>1412</v>
      </c>
      <c r="S574" s="37"/>
    </row>
    <row r="575" spans="1:19" x14ac:dyDescent="0.3">
      <c r="A575" s="37">
        <v>282</v>
      </c>
      <c r="B575" s="37" t="s">
        <v>1410</v>
      </c>
      <c r="C575" s="37" t="s">
        <v>1383</v>
      </c>
      <c r="D575" s="37" t="s">
        <v>21</v>
      </c>
      <c r="E575" s="37" t="s">
        <v>22</v>
      </c>
      <c r="F575" s="42">
        <v>45473</v>
      </c>
      <c r="G575" s="37">
        <v>2024</v>
      </c>
      <c r="H575" s="37" t="s">
        <v>23</v>
      </c>
      <c r="I575" s="39" t="s">
        <v>34</v>
      </c>
      <c r="J575" s="37">
        <v>1074</v>
      </c>
      <c r="K575" s="37">
        <v>1042</v>
      </c>
      <c r="L575" s="65">
        <f t="shared" si="60"/>
        <v>0.97020484171322163</v>
      </c>
      <c r="M575" s="65">
        <f t="shared" si="61"/>
        <v>0.97020484171322163</v>
      </c>
      <c r="N575" s="60" t="s">
        <v>25</v>
      </c>
      <c r="O575" s="60" t="s">
        <v>25</v>
      </c>
      <c r="P575" s="37">
        <v>0</v>
      </c>
      <c r="Q575" s="37">
        <v>0</v>
      </c>
      <c r="R575" s="37" t="s">
        <v>1413</v>
      </c>
      <c r="S575" s="37"/>
    </row>
    <row r="576" spans="1:19" x14ac:dyDescent="0.3">
      <c r="A576" s="37">
        <v>282</v>
      </c>
      <c r="B576" s="37" t="s">
        <v>1410</v>
      </c>
      <c r="C576" s="37" t="s">
        <v>1383</v>
      </c>
      <c r="D576" s="37" t="s">
        <v>21</v>
      </c>
      <c r="E576" s="37" t="s">
        <v>22</v>
      </c>
      <c r="F576" s="42">
        <v>45657</v>
      </c>
      <c r="G576" s="37">
        <v>2024</v>
      </c>
      <c r="H576" s="37" t="s">
        <v>27</v>
      </c>
      <c r="I576" s="39" t="s">
        <v>36</v>
      </c>
      <c r="J576" s="37">
        <v>1013</v>
      </c>
      <c r="K576" s="37">
        <v>981</v>
      </c>
      <c r="L576" s="65">
        <f t="shared" si="60"/>
        <v>0.9684106614017769</v>
      </c>
      <c r="M576" s="65">
        <f t="shared" si="61"/>
        <v>0.9684106614017769</v>
      </c>
      <c r="N576" s="60" t="s">
        <v>25</v>
      </c>
      <c r="O576" s="60" t="s">
        <v>25</v>
      </c>
      <c r="P576" s="37">
        <v>0</v>
      </c>
      <c r="Q576" s="37">
        <v>0</v>
      </c>
      <c r="R576" s="37" t="s">
        <v>1414</v>
      </c>
      <c r="S576" s="37"/>
    </row>
    <row r="577" spans="1:19" x14ac:dyDescent="0.3">
      <c r="A577" s="45">
        <v>283</v>
      </c>
      <c r="B577" s="37" t="s">
        <v>1415</v>
      </c>
      <c r="C577" s="37" t="s">
        <v>1383</v>
      </c>
      <c r="D577" s="37" t="s">
        <v>21</v>
      </c>
      <c r="E577" s="37" t="s">
        <v>22</v>
      </c>
      <c r="F577" s="42">
        <v>45107</v>
      </c>
      <c r="G577" s="37">
        <v>2023</v>
      </c>
      <c r="H577" s="37" t="s">
        <v>23</v>
      </c>
      <c r="I577" s="39" t="s">
        <v>30</v>
      </c>
      <c r="J577" s="37">
        <v>4.5</v>
      </c>
      <c r="K577" s="37">
        <v>4.5999999999999996</v>
      </c>
      <c r="L577" s="74">
        <f t="shared" si="60"/>
        <v>1.0222222222222221</v>
      </c>
      <c r="M577" s="65">
        <f t="shared" si="61"/>
        <v>1.0222222222222221</v>
      </c>
      <c r="N577" s="37"/>
      <c r="O577" s="37"/>
      <c r="P577" s="37">
        <v>2</v>
      </c>
      <c r="Q577" s="37">
        <v>2</v>
      </c>
      <c r="R577" s="37" t="s">
        <v>1416</v>
      </c>
      <c r="S577" s="37"/>
    </row>
    <row r="578" spans="1:19" x14ac:dyDescent="0.3">
      <c r="A578" s="41">
        <v>283</v>
      </c>
      <c r="B578" s="37" t="s">
        <v>1415</v>
      </c>
      <c r="C578" s="37" t="s">
        <v>1383</v>
      </c>
      <c r="D578" s="37" t="s">
        <v>21</v>
      </c>
      <c r="E578" s="37" t="s">
        <v>22</v>
      </c>
      <c r="F578" s="42">
        <v>45291</v>
      </c>
      <c r="G578" s="37">
        <v>2023</v>
      </c>
      <c r="H578" s="37" t="s">
        <v>27</v>
      </c>
      <c r="I578" s="39" t="s">
        <v>32</v>
      </c>
      <c r="J578" s="37">
        <v>4.5</v>
      </c>
      <c r="K578" s="37">
        <v>4.55</v>
      </c>
      <c r="L578" s="74">
        <f t="shared" si="60"/>
        <v>1.0111111111111111</v>
      </c>
      <c r="M578" s="65">
        <f t="shared" si="61"/>
        <v>1.0111111111111111</v>
      </c>
      <c r="N578" s="37"/>
      <c r="O578" s="37"/>
      <c r="P578" s="37">
        <v>2</v>
      </c>
      <c r="Q578" s="37">
        <v>2</v>
      </c>
      <c r="R578" s="37" t="s">
        <v>1417</v>
      </c>
      <c r="S578" s="37"/>
    </row>
    <row r="579" spans="1:19" x14ac:dyDescent="0.3">
      <c r="A579" s="37">
        <v>283</v>
      </c>
      <c r="B579" s="37" t="s">
        <v>1415</v>
      </c>
      <c r="C579" s="37" t="s">
        <v>1383</v>
      </c>
      <c r="D579" s="37" t="s">
        <v>21</v>
      </c>
      <c r="E579" s="37" t="s">
        <v>22</v>
      </c>
      <c r="F579" s="42">
        <v>45473</v>
      </c>
      <c r="G579" s="37">
        <v>2024</v>
      </c>
      <c r="H579" s="37" t="s">
        <v>23</v>
      </c>
      <c r="I579" s="39" t="s">
        <v>34</v>
      </c>
      <c r="J579" s="37">
        <v>4.5</v>
      </c>
      <c r="K579" s="37">
        <v>4.57</v>
      </c>
      <c r="L579" s="65">
        <f t="shared" si="60"/>
        <v>1.0155555555555555</v>
      </c>
      <c r="M579" s="65">
        <f t="shared" si="61"/>
        <v>1.0155555555555555</v>
      </c>
      <c r="N579" s="37"/>
      <c r="O579" s="37"/>
      <c r="P579" s="37">
        <v>0</v>
      </c>
      <c r="Q579" s="37">
        <v>0</v>
      </c>
      <c r="R579" s="37" t="s">
        <v>1418</v>
      </c>
      <c r="S579" s="37"/>
    </row>
    <row r="580" spans="1:19" x14ac:dyDescent="0.3">
      <c r="A580" s="37">
        <v>283</v>
      </c>
      <c r="B580" s="37" t="s">
        <v>1415</v>
      </c>
      <c r="C580" s="37" t="s">
        <v>1383</v>
      </c>
      <c r="D580" s="37" t="s">
        <v>21</v>
      </c>
      <c r="E580" s="37" t="s">
        <v>22</v>
      </c>
      <c r="F580" s="42">
        <v>45657</v>
      </c>
      <c r="G580" s="37">
        <v>2024</v>
      </c>
      <c r="H580" s="37" t="s">
        <v>27</v>
      </c>
      <c r="I580" s="39" t="s">
        <v>36</v>
      </c>
      <c r="J580" s="37">
        <v>4.5</v>
      </c>
      <c r="K580" s="37">
        <v>4.6399999999999997</v>
      </c>
      <c r="L580" s="65">
        <f t="shared" si="60"/>
        <v>1.0311111111111111</v>
      </c>
      <c r="M580" s="65">
        <f t="shared" si="61"/>
        <v>1.0311111111111111</v>
      </c>
      <c r="N580" s="37"/>
      <c r="O580" s="37"/>
      <c r="P580" s="37">
        <v>0</v>
      </c>
      <c r="Q580" s="37">
        <v>0</v>
      </c>
      <c r="R580" s="37" t="s">
        <v>1419</v>
      </c>
      <c r="S580" s="37"/>
    </row>
    <row r="581" spans="1:19" x14ac:dyDescent="0.3">
      <c r="A581" s="45">
        <v>284</v>
      </c>
      <c r="B581" s="37" t="s">
        <v>1420</v>
      </c>
      <c r="C581" s="37" t="s">
        <v>1383</v>
      </c>
      <c r="D581" s="37" t="s">
        <v>21</v>
      </c>
      <c r="E581" s="37" t="s">
        <v>22</v>
      </c>
      <c r="F581" s="42">
        <v>45107</v>
      </c>
      <c r="G581" s="37">
        <v>2023</v>
      </c>
      <c r="H581" s="37" t="s">
        <v>23</v>
      </c>
      <c r="I581" s="39" t="s">
        <v>30</v>
      </c>
      <c r="J581" s="37"/>
      <c r="K581" s="37">
        <v>15047</v>
      </c>
      <c r="L581" s="67"/>
      <c r="M581" s="65"/>
      <c r="N581" s="37"/>
      <c r="O581" s="37"/>
      <c r="P581" s="37">
        <v>0</v>
      </c>
      <c r="Q581" s="37">
        <v>0</v>
      </c>
      <c r="R581" s="37" t="s">
        <v>1421</v>
      </c>
      <c r="S581" s="37"/>
    </row>
    <row r="582" spans="1:19" x14ac:dyDescent="0.3">
      <c r="A582" s="41">
        <v>284</v>
      </c>
      <c r="B582" s="37" t="s">
        <v>1420</v>
      </c>
      <c r="C582" s="37" t="s">
        <v>1383</v>
      </c>
      <c r="D582" s="37" t="s">
        <v>21</v>
      </c>
      <c r="E582" s="37" t="s">
        <v>22</v>
      </c>
      <c r="F582" s="42">
        <v>45291</v>
      </c>
      <c r="G582" s="37">
        <v>2023</v>
      </c>
      <c r="H582" s="37" t="s">
        <v>27</v>
      </c>
      <c r="I582" s="39" t="s">
        <v>32</v>
      </c>
      <c r="J582" s="37"/>
      <c r="K582" s="37">
        <v>16281</v>
      </c>
      <c r="L582" s="67"/>
      <c r="M582" s="65"/>
      <c r="N582" s="37"/>
      <c r="O582" s="37"/>
      <c r="P582" s="37">
        <v>0</v>
      </c>
      <c r="Q582" s="37">
        <v>0</v>
      </c>
      <c r="R582" s="37" t="s">
        <v>1422</v>
      </c>
      <c r="S582" s="37"/>
    </row>
    <row r="583" spans="1:19" x14ac:dyDescent="0.3">
      <c r="A583" s="45">
        <v>285</v>
      </c>
      <c r="B583" s="37" t="s">
        <v>1423</v>
      </c>
      <c r="C583" s="37" t="s">
        <v>1383</v>
      </c>
      <c r="D583" s="37" t="s">
        <v>21</v>
      </c>
      <c r="E583" s="37" t="s">
        <v>22</v>
      </c>
      <c r="F583" s="42">
        <v>45107</v>
      </c>
      <c r="G583" s="37">
        <v>2023</v>
      </c>
      <c r="H583" s="37" t="s">
        <v>23</v>
      </c>
      <c r="I583" s="39" t="s">
        <v>30</v>
      </c>
      <c r="J583" s="37">
        <v>100</v>
      </c>
      <c r="K583" s="37">
        <v>100</v>
      </c>
      <c r="L583" s="74">
        <f t="shared" ref="L583:L586" si="62">IFERROR(IF(OR(J583=0,K583=""),"",IF(E583="Positivo",MIN(MAX(K583/J583,0),1.3),MIN(MAX(J583/K583,0),1.3))),"")</f>
        <v>1</v>
      </c>
      <c r="M583" s="65">
        <f t="shared" ref="M583:M586" si="63">IFERROR(IF(OR(J583=0,K583=""),"",IF(E583="Positivo",MAX(K583/J583,0),MAX(J583/K583,0))),"")</f>
        <v>1</v>
      </c>
      <c r="N583" s="37" t="s">
        <v>25</v>
      </c>
      <c r="O583" s="37" t="s">
        <v>25</v>
      </c>
      <c r="P583" s="37">
        <v>0</v>
      </c>
      <c r="Q583" s="37">
        <v>0</v>
      </c>
      <c r="R583" s="37" t="s">
        <v>1424</v>
      </c>
      <c r="S583" s="37"/>
    </row>
    <row r="584" spans="1:19" x14ac:dyDescent="0.3">
      <c r="A584" s="41">
        <v>285</v>
      </c>
      <c r="B584" s="37" t="s">
        <v>1423</v>
      </c>
      <c r="C584" s="37" t="s">
        <v>1383</v>
      </c>
      <c r="D584" s="37" t="s">
        <v>21</v>
      </c>
      <c r="E584" s="37" t="s">
        <v>22</v>
      </c>
      <c r="F584" s="42">
        <v>45291</v>
      </c>
      <c r="G584" s="37">
        <v>2023</v>
      </c>
      <c r="H584" s="37" t="s">
        <v>27</v>
      </c>
      <c r="I584" s="39" t="s">
        <v>32</v>
      </c>
      <c r="J584" s="37">
        <v>100</v>
      </c>
      <c r="K584" s="37">
        <v>100</v>
      </c>
      <c r="L584" s="74">
        <f t="shared" si="62"/>
        <v>1</v>
      </c>
      <c r="M584" s="65">
        <f t="shared" si="63"/>
        <v>1</v>
      </c>
      <c r="N584" s="37" t="s">
        <v>25</v>
      </c>
      <c r="O584" s="37" t="s">
        <v>25</v>
      </c>
      <c r="P584" s="37">
        <v>0</v>
      </c>
      <c r="Q584" s="37">
        <v>0</v>
      </c>
      <c r="R584" s="37" t="s">
        <v>1425</v>
      </c>
      <c r="S584" s="37"/>
    </row>
    <row r="585" spans="1:19" x14ac:dyDescent="0.3">
      <c r="A585" s="37">
        <v>285</v>
      </c>
      <c r="B585" s="37" t="s">
        <v>1423</v>
      </c>
      <c r="C585" s="37" t="s">
        <v>1383</v>
      </c>
      <c r="D585" s="37" t="s">
        <v>21</v>
      </c>
      <c r="E585" s="37" t="s">
        <v>22</v>
      </c>
      <c r="F585" s="42">
        <v>45473</v>
      </c>
      <c r="G585" s="37">
        <v>2024</v>
      </c>
      <c r="H585" s="37" t="s">
        <v>23</v>
      </c>
      <c r="I585" s="39" t="s">
        <v>34</v>
      </c>
      <c r="J585" s="37">
        <v>100</v>
      </c>
      <c r="K585" s="37">
        <v>100</v>
      </c>
      <c r="L585" s="65">
        <f t="shared" si="62"/>
        <v>1</v>
      </c>
      <c r="M585" s="65">
        <f t="shared" si="63"/>
        <v>1</v>
      </c>
      <c r="N585" s="37" t="s">
        <v>25</v>
      </c>
      <c r="O585" s="37" t="s">
        <v>25</v>
      </c>
      <c r="P585" s="37">
        <v>0</v>
      </c>
      <c r="Q585" s="37">
        <v>0</v>
      </c>
      <c r="R585" s="37" t="s">
        <v>1426</v>
      </c>
      <c r="S585" s="37"/>
    </row>
    <row r="586" spans="1:19" x14ac:dyDescent="0.3">
      <c r="A586" s="37">
        <v>285</v>
      </c>
      <c r="B586" s="37" t="s">
        <v>1423</v>
      </c>
      <c r="C586" s="37" t="s">
        <v>1383</v>
      </c>
      <c r="D586" s="37" t="s">
        <v>21</v>
      </c>
      <c r="E586" s="37" t="s">
        <v>22</v>
      </c>
      <c r="F586" s="42">
        <v>45657</v>
      </c>
      <c r="G586" s="37">
        <v>2024</v>
      </c>
      <c r="H586" s="37" t="s">
        <v>27</v>
      </c>
      <c r="I586" s="39" t="s">
        <v>36</v>
      </c>
      <c r="J586" s="37">
        <v>100</v>
      </c>
      <c r="K586" s="37">
        <v>100</v>
      </c>
      <c r="L586" s="65">
        <f t="shared" si="62"/>
        <v>1</v>
      </c>
      <c r="M586" s="65">
        <f t="shared" si="63"/>
        <v>1</v>
      </c>
      <c r="N586" s="37" t="s">
        <v>25</v>
      </c>
      <c r="O586" s="37" t="s">
        <v>25</v>
      </c>
      <c r="P586" s="37">
        <v>0</v>
      </c>
      <c r="Q586" s="37">
        <v>0</v>
      </c>
      <c r="R586" s="37" t="s">
        <v>1427</v>
      </c>
      <c r="S586" s="37"/>
    </row>
    <row r="587" spans="1:19" x14ac:dyDescent="0.3">
      <c r="A587" s="45">
        <v>286</v>
      </c>
      <c r="B587" s="37" t="s">
        <v>1428</v>
      </c>
      <c r="C587" s="37" t="s">
        <v>1383</v>
      </c>
      <c r="D587" s="37" t="s">
        <v>21</v>
      </c>
      <c r="E587" s="37" t="s">
        <v>22</v>
      </c>
      <c r="F587" s="42">
        <v>45107</v>
      </c>
      <c r="G587" s="37">
        <v>2023</v>
      </c>
      <c r="H587" s="37" t="s">
        <v>23</v>
      </c>
      <c r="I587" s="39" t="s">
        <v>30</v>
      </c>
      <c r="J587" s="37"/>
      <c r="K587" s="37">
        <v>0</v>
      </c>
      <c r="L587" s="67"/>
      <c r="M587" s="65"/>
      <c r="N587" s="37"/>
      <c r="O587" s="37"/>
      <c r="P587" s="37">
        <v>0</v>
      </c>
      <c r="Q587" s="37">
        <v>0</v>
      </c>
      <c r="R587" s="37" t="s">
        <v>1429</v>
      </c>
      <c r="S587" s="37"/>
    </row>
    <row r="588" spans="1:19" x14ac:dyDescent="0.3">
      <c r="A588" s="41">
        <v>286</v>
      </c>
      <c r="B588" s="37" t="s">
        <v>1428</v>
      </c>
      <c r="C588" s="37" t="s">
        <v>1383</v>
      </c>
      <c r="D588" s="37" t="s">
        <v>21</v>
      </c>
      <c r="E588" s="37" t="s">
        <v>22</v>
      </c>
      <c r="F588" s="42">
        <v>45291</v>
      </c>
      <c r="G588" s="37">
        <v>2023</v>
      </c>
      <c r="H588" s="37" t="s">
        <v>27</v>
      </c>
      <c r="I588" s="39" t="s">
        <v>32</v>
      </c>
      <c r="J588" s="37"/>
      <c r="K588" s="37">
        <v>1017</v>
      </c>
      <c r="L588" s="67"/>
      <c r="M588" s="65"/>
      <c r="N588" s="37"/>
      <c r="O588" s="37"/>
      <c r="P588" s="37">
        <v>0</v>
      </c>
      <c r="Q588" s="37">
        <v>0</v>
      </c>
      <c r="R588" s="37" t="s">
        <v>1430</v>
      </c>
      <c r="S588" s="37"/>
    </row>
    <row r="589" spans="1:19" x14ac:dyDescent="0.3">
      <c r="A589" s="37">
        <v>286</v>
      </c>
      <c r="B589" s="37" t="s">
        <v>1428</v>
      </c>
      <c r="C589" s="37" t="s">
        <v>1383</v>
      </c>
      <c r="D589" s="37" t="s">
        <v>21</v>
      </c>
      <c r="E589" s="37" t="s">
        <v>22</v>
      </c>
      <c r="F589" s="42">
        <v>45473</v>
      </c>
      <c r="G589" s="37">
        <v>2024</v>
      </c>
      <c r="H589" s="37" t="s">
        <v>23</v>
      </c>
      <c r="I589" s="39" t="s">
        <v>34</v>
      </c>
      <c r="J589" s="37">
        <v>0</v>
      </c>
      <c r="K589" s="37">
        <v>1080</v>
      </c>
      <c r="L589" s="65" t="str">
        <f>IFERROR(IF(OR(J589=0,K589=""),"",IF(E589="Positivo",MIN(MAX(K589/J589,0),1.3),MIN(MAX(J589/K589,0),1.3))),"")</f>
        <v/>
      </c>
      <c r="M589" s="65" t="str">
        <f>IFERROR(IF(OR(J589=0,K589=""),"",IF(E589="Positivo",MAX(K589/J589,0),MAX(J589/K589,0))),"")</f>
        <v/>
      </c>
      <c r="N589" s="37"/>
      <c r="O589" s="37"/>
      <c r="P589" s="37">
        <v>0</v>
      </c>
      <c r="Q589" s="37">
        <v>0</v>
      </c>
      <c r="R589" s="37" t="s">
        <v>1431</v>
      </c>
      <c r="S589" s="37"/>
    </row>
    <row r="590" spans="1:19" x14ac:dyDescent="0.3">
      <c r="A590" s="37">
        <v>286</v>
      </c>
      <c r="B590" s="37" t="s">
        <v>1428</v>
      </c>
      <c r="C590" s="37" t="s">
        <v>1383</v>
      </c>
      <c r="D590" s="37" t="s">
        <v>21</v>
      </c>
      <c r="E590" s="37" t="s">
        <v>22</v>
      </c>
      <c r="F590" s="42">
        <v>45657</v>
      </c>
      <c r="G590" s="37">
        <v>2024</v>
      </c>
      <c r="H590" s="37" t="s">
        <v>27</v>
      </c>
      <c r="I590" s="39" t="s">
        <v>36</v>
      </c>
      <c r="J590" s="37">
        <v>0</v>
      </c>
      <c r="K590" s="37">
        <v>1018</v>
      </c>
      <c r="L590" s="65" t="str">
        <f>IFERROR(IF(OR(J590=0,K590=""),"",IF(E590="Positivo",MIN(MAX(K590/J590,0),1.3),MIN(MAX(J590/K590,0),1.3))),"")</f>
        <v/>
      </c>
      <c r="M590" s="65" t="str">
        <f>IFERROR(IF(OR(J590=0,K590=""),"",IF(E590="Positivo",MAX(K590/J590,0),MAX(J590/K590,0))),"")</f>
        <v/>
      </c>
      <c r="N590" s="37"/>
      <c r="O590" s="37"/>
      <c r="P590" s="37">
        <v>0</v>
      </c>
      <c r="Q590" s="37">
        <v>0</v>
      </c>
      <c r="R590" s="37" t="s">
        <v>1432</v>
      </c>
      <c r="S590" s="37"/>
    </row>
    <row r="591" spans="1:19" x14ac:dyDescent="0.3">
      <c r="A591" s="45">
        <v>288</v>
      </c>
      <c r="B591" s="37" t="s">
        <v>1436</v>
      </c>
      <c r="C591" s="37" t="s">
        <v>1383</v>
      </c>
      <c r="D591" s="37" t="s">
        <v>21</v>
      </c>
      <c r="E591" s="37" t="s">
        <v>22</v>
      </c>
      <c r="F591" s="42">
        <v>45107</v>
      </c>
      <c r="G591" s="37">
        <v>2023</v>
      </c>
      <c r="H591" s="37" t="s">
        <v>23</v>
      </c>
      <c r="I591" s="39" t="s">
        <v>30</v>
      </c>
      <c r="J591" s="37">
        <v>16</v>
      </c>
      <c r="K591" s="37">
        <v>18</v>
      </c>
      <c r="L591" s="74">
        <f t="shared" ref="L591:L603" si="64">IFERROR(IF(OR(J591=0,K591=""),"",IF(E591="Positivo",MIN(MAX(K591/J591,0),1.3),MIN(MAX(J591/K591,0),1.3))),"")</f>
        <v>1.125</v>
      </c>
      <c r="M591" s="65">
        <f t="shared" ref="M591:M603" si="65">IFERROR(IF(OR(J591=0,K591=""),"",IF(E591="Positivo",MAX(K591/J591,0),MAX(J591/K591,0))),"")</f>
        <v>1.125</v>
      </c>
      <c r="N591" s="37"/>
      <c r="O591" s="37"/>
      <c r="P591" s="37">
        <v>0</v>
      </c>
      <c r="Q591" s="37">
        <v>0</v>
      </c>
      <c r="R591" s="37" t="s">
        <v>1437</v>
      </c>
      <c r="S591" s="37"/>
    </row>
    <row r="592" spans="1:19" x14ac:dyDescent="0.3">
      <c r="A592" s="41">
        <v>288</v>
      </c>
      <c r="B592" s="37" t="s">
        <v>1436</v>
      </c>
      <c r="C592" s="37" t="s">
        <v>1383</v>
      </c>
      <c r="D592" s="37" t="s">
        <v>21</v>
      </c>
      <c r="E592" s="37" t="s">
        <v>22</v>
      </c>
      <c r="F592" s="42">
        <v>45291</v>
      </c>
      <c r="G592" s="37">
        <v>2023</v>
      </c>
      <c r="H592" s="37" t="s">
        <v>27</v>
      </c>
      <c r="I592" s="39" t="s">
        <v>32</v>
      </c>
      <c r="J592" s="37">
        <v>16</v>
      </c>
      <c r="K592" s="37">
        <v>18</v>
      </c>
      <c r="L592" s="74">
        <f t="shared" si="64"/>
        <v>1.125</v>
      </c>
      <c r="M592" s="65">
        <f t="shared" si="65"/>
        <v>1.125</v>
      </c>
      <c r="N592" s="37"/>
      <c r="O592" s="37"/>
      <c r="P592" s="37">
        <v>0</v>
      </c>
      <c r="Q592" s="37">
        <v>0</v>
      </c>
      <c r="R592" s="37" t="s">
        <v>1438</v>
      </c>
      <c r="S592" s="37"/>
    </row>
    <row r="593" spans="1:19" x14ac:dyDescent="0.3">
      <c r="A593" s="37">
        <v>288</v>
      </c>
      <c r="B593" s="37" t="s">
        <v>1436</v>
      </c>
      <c r="C593" s="37" t="s">
        <v>1383</v>
      </c>
      <c r="D593" s="37" t="s">
        <v>21</v>
      </c>
      <c r="E593" s="37" t="s">
        <v>22</v>
      </c>
      <c r="F593" s="42">
        <v>45473</v>
      </c>
      <c r="G593" s="37">
        <v>2024</v>
      </c>
      <c r="H593" s="37" t="s">
        <v>23</v>
      </c>
      <c r="I593" s="39" t="s">
        <v>34</v>
      </c>
      <c r="J593" s="37">
        <v>14</v>
      </c>
      <c r="K593" s="37">
        <v>26</v>
      </c>
      <c r="L593" s="65">
        <f t="shared" si="64"/>
        <v>1.3</v>
      </c>
      <c r="M593" s="65">
        <f t="shared" si="65"/>
        <v>1.8571428571428572</v>
      </c>
      <c r="N593" s="37"/>
      <c r="O593" s="37"/>
      <c r="P593" s="37">
        <v>0</v>
      </c>
      <c r="Q593" s="37">
        <v>0</v>
      </c>
      <c r="R593" s="37" t="s">
        <v>1439</v>
      </c>
      <c r="S593" s="37"/>
    </row>
    <row r="594" spans="1:19" x14ac:dyDescent="0.3">
      <c r="A594" s="37">
        <v>288</v>
      </c>
      <c r="B594" s="37" t="s">
        <v>1436</v>
      </c>
      <c r="C594" s="37" t="s">
        <v>1383</v>
      </c>
      <c r="D594" s="37" t="s">
        <v>21</v>
      </c>
      <c r="E594" s="37" t="s">
        <v>22</v>
      </c>
      <c r="F594" s="42">
        <v>45657</v>
      </c>
      <c r="G594" s="37">
        <v>2024</v>
      </c>
      <c r="H594" s="37" t="s">
        <v>27</v>
      </c>
      <c r="I594" s="39" t="s">
        <v>36</v>
      </c>
      <c r="J594" s="37">
        <v>0</v>
      </c>
      <c r="K594" s="37">
        <v>0</v>
      </c>
      <c r="L594" s="65" t="str">
        <f t="shared" si="64"/>
        <v/>
      </c>
      <c r="M594" s="65" t="str">
        <f t="shared" si="65"/>
        <v/>
      </c>
      <c r="N594" s="37" t="s">
        <v>203</v>
      </c>
      <c r="O594" s="37" t="s">
        <v>613</v>
      </c>
      <c r="P594" s="37">
        <v>0</v>
      </c>
      <c r="Q594" s="37">
        <v>0</v>
      </c>
      <c r="R594" s="37" t="s">
        <v>1440</v>
      </c>
      <c r="S594" s="37"/>
    </row>
    <row r="595" spans="1:19" x14ac:dyDescent="0.3">
      <c r="A595" s="72">
        <v>289</v>
      </c>
      <c r="B595" s="37" t="s">
        <v>1441</v>
      </c>
      <c r="C595" s="37" t="s">
        <v>258</v>
      </c>
      <c r="D595" s="37" t="s">
        <v>39</v>
      </c>
      <c r="E595" s="37" t="s">
        <v>22</v>
      </c>
      <c r="F595" s="42">
        <v>45016</v>
      </c>
      <c r="G595" s="37">
        <v>2023</v>
      </c>
      <c r="H595" s="37" t="s">
        <v>40</v>
      </c>
      <c r="I595" s="39" t="s">
        <v>30</v>
      </c>
      <c r="J595" s="37">
        <v>95</v>
      </c>
      <c r="K595" s="37">
        <v>0</v>
      </c>
      <c r="L595" s="74">
        <f t="shared" si="64"/>
        <v>0</v>
      </c>
      <c r="M595" s="65">
        <f t="shared" si="65"/>
        <v>0</v>
      </c>
      <c r="N595" s="37" t="s">
        <v>613</v>
      </c>
      <c r="O595" s="37" t="s">
        <v>613</v>
      </c>
      <c r="P595" s="37">
        <v>0</v>
      </c>
      <c r="Q595" s="37">
        <v>0</v>
      </c>
      <c r="R595" s="37" t="s">
        <v>3514</v>
      </c>
      <c r="S595" s="37"/>
    </row>
    <row r="596" spans="1:19" x14ac:dyDescent="0.3">
      <c r="A596" s="41">
        <v>289</v>
      </c>
      <c r="B596" s="37" t="s">
        <v>1441</v>
      </c>
      <c r="C596" s="37" t="s">
        <v>258</v>
      </c>
      <c r="D596" s="37" t="s">
        <v>39</v>
      </c>
      <c r="E596" s="37" t="s">
        <v>22</v>
      </c>
      <c r="F596" s="42">
        <v>45107</v>
      </c>
      <c r="G596" s="37">
        <v>2023</v>
      </c>
      <c r="H596" s="37" t="s">
        <v>23</v>
      </c>
      <c r="I596" s="39" t="s">
        <v>30</v>
      </c>
      <c r="J596" s="37">
        <v>95</v>
      </c>
      <c r="K596" s="37">
        <v>85.714285714286007</v>
      </c>
      <c r="L596" s="74">
        <f t="shared" si="64"/>
        <v>0.90225563909774742</v>
      </c>
      <c r="M596" s="65">
        <f t="shared" si="65"/>
        <v>0.90225563909774742</v>
      </c>
      <c r="N596" s="37" t="s">
        <v>25</v>
      </c>
      <c r="O596" s="37" t="s">
        <v>25</v>
      </c>
      <c r="P596" s="37">
        <v>0</v>
      </c>
      <c r="Q596" s="37">
        <v>0</v>
      </c>
      <c r="R596" s="37" t="s">
        <v>1442</v>
      </c>
      <c r="S596" s="37"/>
    </row>
    <row r="597" spans="1:19" x14ac:dyDescent="0.3">
      <c r="A597" s="45">
        <v>289</v>
      </c>
      <c r="B597" s="37" t="s">
        <v>1441</v>
      </c>
      <c r="C597" s="37" t="s">
        <v>258</v>
      </c>
      <c r="D597" s="37" t="s">
        <v>39</v>
      </c>
      <c r="E597" s="37" t="s">
        <v>22</v>
      </c>
      <c r="F597" s="42">
        <v>45199</v>
      </c>
      <c r="G597" s="37">
        <v>2023</v>
      </c>
      <c r="H597" s="37" t="s">
        <v>43</v>
      </c>
      <c r="I597" s="39" t="s">
        <v>32</v>
      </c>
      <c r="J597" s="37">
        <v>95</v>
      </c>
      <c r="K597" s="37">
        <v>87.5</v>
      </c>
      <c r="L597" s="74">
        <f t="shared" si="64"/>
        <v>0.92105263157894735</v>
      </c>
      <c r="M597" s="65">
        <f t="shared" si="65"/>
        <v>0.92105263157894735</v>
      </c>
      <c r="N597" s="37" t="s">
        <v>25</v>
      </c>
      <c r="O597" s="37" t="s">
        <v>25</v>
      </c>
      <c r="P597" s="37">
        <v>0</v>
      </c>
      <c r="Q597" s="37">
        <v>0</v>
      </c>
      <c r="R597" s="37" t="s">
        <v>1443</v>
      </c>
      <c r="S597" s="37"/>
    </row>
    <row r="598" spans="1:19" x14ac:dyDescent="0.3">
      <c r="A598" s="41">
        <v>289</v>
      </c>
      <c r="B598" s="37" t="s">
        <v>1441</v>
      </c>
      <c r="C598" s="37" t="s">
        <v>258</v>
      </c>
      <c r="D598" s="37" t="s">
        <v>39</v>
      </c>
      <c r="E598" s="37" t="s">
        <v>22</v>
      </c>
      <c r="F598" s="42">
        <v>45291</v>
      </c>
      <c r="G598" s="37">
        <v>2023</v>
      </c>
      <c r="H598" s="37" t="s">
        <v>27</v>
      </c>
      <c r="I598" s="39" t="s">
        <v>32</v>
      </c>
      <c r="J598" s="37">
        <v>95</v>
      </c>
      <c r="K598" s="37">
        <v>87.5</v>
      </c>
      <c r="L598" s="74">
        <f t="shared" si="64"/>
        <v>0.92105263157894735</v>
      </c>
      <c r="M598" s="65">
        <f t="shared" si="65"/>
        <v>0.92105263157894735</v>
      </c>
      <c r="N598" s="37" t="s">
        <v>25</v>
      </c>
      <c r="O598" s="37" t="s">
        <v>25</v>
      </c>
      <c r="P598" s="37">
        <v>0</v>
      </c>
      <c r="Q598" s="37">
        <v>0</v>
      </c>
      <c r="R598" s="37" t="s">
        <v>3515</v>
      </c>
      <c r="S598" s="37"/>
    </row>
    <row r="599" spans="1:19" x14ac:dyDescent="0.3">
      <c r="A599" s="37">
        <v>289</v>
      </c>
      <c r="B599" s="37" t="s">
        <v>1441</v>
      </c>
      <c r="C599" s="37" t="s">
        <v>258</v>
      </c>
      <c r="D599" s="37" t="s">
        <v>39</v>
      </c>
      <c r="E599" s="37" t="s">
        <v>22</v>
      </c>
      <c r="F599" s="42">
        <v>45473</v>
      </c>
      <c r="G599" s="37">
        <v>2024</v>
      </c>
      <c r="H599" s="37" t="s">
        <v>23</v>
      </c>
      <c r="I599" s="39" t="s">
        <v>34</v>
      </c>
      <c r="J599" s="37">
        <v>95</v>
      </c>
      <c r="K599" s="37">
        <v>100</v>
      </c>
      <c r="L599" s="65">
        <f t="shared" si="64"/>
        <v>1.0526315789473684</v>
      </c>
      <c r="M599" s="65">
        <f t="shared" si="65"/>
        <v>1.0526315789473684</v>
      </c>
      <c r="N599" s="37"/>
      <c r="O599" s="37"/>
      <c r="P599" s="37">
        <v>0</v>
      </c>
      <c r="Q599" s="37">
        <v>0</v>
      </c>
      <c r="R599" s="37" t="s">
        <v>1444</v>
      </c>
      <c r="S599" s="37"/>
    </row>
    <row r="600" spans="1:19" x14ac:dyDescent="0.3">
      <c r="A600" s="37">
        <v>289</v>
      </c>
      <c r="B600" s="37" t="s">
        <v>1441</v>
      </c>
      <c r="C600" s="37" t="s">
        <v>258</v>
      </c>
      <c r="D600" s="37" t="s">
        <v>39</v>
      </c>
      <c r="E600" s="37" t="s">
        <v>22</v>
      </c>
      <c r="F600" s="42">
        <v>45657</v>
      </c>
      <c r="G600" s="37">
        <v>2024</v>
      </c>
      <c r="H600" s="37" t="s">
        <v>27</v>
      </c>
      <c r="I600" s="39" t="s">
        <v>36</v>
      </c>
      <c r="J600" s="37">
        <v>95</v>
      </c>
      <c r="K600" s="37">
        <v>100</v>
      </c>
      <c r="L600" s="65">
        <f t="shared" si="64"/>
        <v>1.0526315789473684</v>
      </c>
      <c r="M600" s="65">
        <f t="shared" si="65"/>
        <v>1.0526315789473684</v>
      </c>
      <c r="N600" s="37"/>
      <c r="O600" s="37"/>
      <c r="P600" s="37">
        <v>0</v>
      </c>
      <c r="Q600" s="37">
        <v>0</v>
      </c>
      <c r="R600" s="37" t="s">
        <v>1446</v>
      </c>
      <c r="S600" s="37"/>
    </row>
    <row r="601" spans="1:19" x14ac:dyDescent="0.3">
      <c r="A601" s="37">
        <v>290</v>
      </c>
      <c r="B601" s="37" t="s">
        <v>1447</v>
      </c>
      <c r="C601" s="37" t="s">
        <v>1448</v>
      </c>
      <c r="D601" s="37" t="s">
        <v>121</v>
      </c>
      <c r="E601" s="37" t="s">
        <v>22</v>
      </c>
      <c r="F601" s="42">
        <v>45107</v>
      </c>
      <c r="G601" s="40">
        <v>2023</v>
      </c>
      <c r="H601" s="39" t="s">
        <v>23</v>
      </c>
      <c r="I601" s="39" t="s">
        <v>30</v>
      </c>
      <c r="J601" s="37">
        <v>90</v>
      </c>
      <c r="K601" s="37">
        <v>100</v>
      </c>
      <c r="L601" s="74">
        <f t="shared" si="64"/>
        <v>1.1111111111111112</v>
      </c>
      <c r="M601" s="65">
        <f t="shared" si="65"/>
        <v>1.1111111111111112</v>
      </c>
      <c r="N601" s="37"/>
      <c r="O601" s="37"/>
      <c r="P601" s="37">
        <v>1</v>
      </c>
      <c r="Q601" s="37">
        <v>1</v>
      </c>
      <c r="R601" s="37" t="s">
        <v>1449</v>
      </c>
      <c r="S601" s="37"/>
    </row>
    <row r="602" spans="1:19" x14ac:dyDescent="0.3">
      <c r="A602" s="41">
        <v>290</v>
      </c>
      <c r="B602" s="37" t="s">
        <v>1447</v>
      </c>
      <c r="C602" s="37" t="s">
        <v>1448</v>
      </c>
      <c r="D602" s="37" t="s">
        <v>121</v>
      </c>
      <c r="E602" s="37" t="s">
        <v>22</v>
      </c>
      <c r="F602" s="42">
        <v>45168</v>
      </c>
      <c r="G602" s="37">
        <v>2023</v>
      </c>
      <c r="H602" s="37" t="s">
        <v>86</v>
      </c>
      <c r="I602" s="39" t="s">
        <v>32</v>
      </c>
      <c r="J602" s="37">
        <v>90</v>
      </c>
      <c r="K602" s="37">
        <v>81.819999999999993</v>
      </c>
      <c r="L602" s="74">
        <f t="shared" si="64"/>
        <v>0.90911111111111098</v>
      </c>
      <c r="M602" s="65">
        <f t="shared" si="65"/>
        <v>0.90911111111111098</v>
      </c>
      <c r="N602" s="37"/>
      <c r="O602" s="37"/>
      <c r="P602" s="37">
        <v>1</v>
      </c>
      <c r="Q602" s="37">
        <v>1</v>
      </c>
      <c r="R602" s="37" t="s">
        <v>1450</v>
      </c>
      <c r="S602" s="37"/>
    </row>
    <row r="603" spans="1:19" x14ac:dyDescent="0.3">
      <c r="A603" s="37">
        <v>290</v>
      </c>
      <c r="B603" s="37" t="s">
        <v>1447</v>
      </c>
      <c r="C603" s="37" t="s">
        <v>1448</v>
      </c>
      <c r="D603" s="37" t="s">
        <v>121</v>
      </c>
      <c r="E603" s="37" t="s">
        <v>22</v>
      </c>
      <c r="F603" s="42">
        <v>45230</v>
      </c>
      <c r="G603" s="40">
        <v>2023</v>
      </c>
      <c r="H603" s="39" t="s">
        <v>89</v>
      </c>
      <c r="I603" s="39" t="s">
        <v>32</v>
      </c>
      <c r="J603" s="37">
        <v>90</v>
      </c>
      <c r="K603" s="37">
        <v>90.91</v>
      </c>
      <c r="L603" s="74">
        <f t="shared" si="64"/>
        <v>1.0101111111111112</v>
      </c>
      <c r="M603" s="65">
        <f t="shared" si="65"/>
        <v>1.0101111111111112</v>
      </c>
      <c r="N603" s="37"/>
      <c r="O603" s="37"/>
      <c r="P603" s="37">
        <v>1</v>
      </c>
      <c r="Q603" s="37">
        <v>1</v>
      </c>
      <c r="R603" s="37" t="s">
        <v>1451</v>
      </c>
      <c r="S603" s="37"/>
    </row>
    <row r="604" spans="1:19" x14ac:dyDescent="0.3">
      <c r="A604" s="37">
        <v>290</v>
      </c>
      <c r="B604" s="37" t="s">
        <v>1447</v>
      </c>
      <c r="C604" s="37" t="s">
        <v>1448</v>
      </c>
      <c r="D604" s="37" t="s">
        <v>121</v>
      </c>
      <c r="E604" s="37" t="s">
        <v>22</v>
      </c>
      <c r="F604" s="42">
        <v>45291</v>
      </c>
      <c r="G604" s="40">
        <v>2023</v>
      </c>
      <c r="H604" s="39" t="s">
        <v>27</v>
      </c>
      <c r="I604" s="39" t="s">
        <v>32</v>
      </c>
      <c r="J604" s="37">
        <v>90</v>
      </c>
      <c r="K604" s="37"/>
      <c r="L604" s="67"/>
      <c r="M604" s="65"/>
      <c r="N604" s="37"/>
      <c r="O604" s="37"/>
      <c r="P604" s="37">
        <v>1</v>
      </c>
      <c r="Q604" s="37">
        <v>1</v>
      </c>
      <c r="R604" s="37" t="s">
        <v>1452</v>
      </c>
      <c r="S604" s="37"/>
    </row>
    <row r="605" spans="1:19" x14ac:dyDescent="0.3">
      <c r="A605" s="37">
        <v>290</v>
      </c>
      <c r="B605" s="37" t="s">
        <v>1447</v>
      </c>
      <c r="C605" s="37" t="s">
        <v>1448</v>
      </c>
      <c r="D605" s="37" t="s">
        <v>121</v>
      </c>
      <c r="E605" s="37" t="s">
        <v>22</v>
      </c>
      <c r="F605" s="42">
        <v>45473</v>
      </c>
      <c r="G605" s="37">
        <v>2024</v>
      </c>
      <c r="H605" s="37" t="s">
        <v>23</v>
      </c>
      <c r="I605" s="39" t="s">
        <v>34</v>
      </c>
      <c r="J605" s="37">
        <v>90</v>
      </c>
      <c r="K605" s="37">
        <v>100</v>
      </c>
      <c r="L605" s="65">
        <f t="shared" ref="L605:L626" si="66">IFERROR(IF(OR(J605=0,K605=""),"",IF(E605="Positivo",MIN(MAX(K605/J605,0),1.3),MIN(MAX(J605/K605,0),1.3))),"")</f>
        <v>1.1111111111111112</v>
      </c>
      <c r="M605" s="65">
        <f t="shared" ref="M605:M626" si="67">IFERROR(IF(OR(J605=0,K605=""),"",IF(E605="Positivo",MAX(K605/J605,0),MAX(J605/K605,0))),"")</f>
        <v>1.1111111111111112</v>
      </c>
      <c r="N605" s="37"/>
      <c r="O605" s="37"/>
      <c r="P605" s="37">
        <v>0</v>
      </c>
      <c r="Q605" s="37">
        <v>0</v>
      </c>
      <c r="R605" s="37" t="s">
        <v>1455</v>
      </c>
      <c r="S605" s="37"/>
    </row>
    <row r="606" spans="1:19" x14ac:dyDescent="0.3">
      <c r="A606" s="37">
        <v>290</v>
      </c>
      <c r="B606" s="37" t="s">
        <v>1447</v>
      </c>
      <c r="C606" s="37" t="s">
        <v>1448</v>
      </c>
      <c r="D606" s="37" t="s">
        <v>121</v>
      </c>
      <c r="E606" s="37" t="s">
        <v>22</v>
      </c>
      <c r="F606" s="42">
        <v>45657</v>
      </c>
      <c r="G606" s="37">
        <v>2024</v>
      </c>
      <c r="H606" s="37" t="s">
        <v>27</v>
      </c>
      <c r="I606" s="39" t="s">
        <v>36</v>
      </c>
      <c r="J606" s="37">
        <v>90</v>
      </c>
      <c r="K606" s="37">
        <v>100</v>
      </c>
      <c r="L606" s="65">
        <f t="shared" si="66"/>
        <v>1.1111111111111112</v>
      </c>
      <c r="M606" s="65">
        <f t="shared" si="67"/>
        <v>1.1111111111111112</v>
      </c>
      <c r="N606" s="37"/>
      <c r="O606" s="37"/>
      <c r="P606" s="37">
        <v>0</v>
      </c>
      <c r="Q606" s="37">
        <v>0</v>
      </c>
      <c r="R606" s="37" t="s">
        <v>1458</v>
      </c>
      <c r="S606" s="37"/>
    </row>
    <row r="607" spans="1:19" x14ac:dyDescent="0.3">
      <c r="A607" s="45">
        <v>291</v>
      </c>
      <c r="B607" s="37" t="s">
        <v>1459</v>
      </c>
      <c r="C607" s="37" t="s">
        <v>1460</v>
      </c>
      <c r="D607" s="37" t="s">
        <v>21</v>
      </c>
      <c r="E607" s="37" t="s">
        <v>22</v>
      </c>
      <c r="F607" s="42">
        <v>45107</v>
      </c>
      <c r="G607" s="37">
        <v>2023</v>
      </c>
      <c r="H607" s="37" t="s">
        <v>23</v>
      </c>
      <c r="I607" s="39" t="s">
        <v>30</v>
      </c>
      <c r="J607" s="37">
        <v>100</v>
      </c>
      <c r="K607" s="37">
        <v>100</v>
      </c>
      <c r="L607" s="74">
        <f t="shared" si="66"/>
        <v>1</v>
      </c>
      <c r="M607" s="65">
        <f t="shared" si="67"/>
        <v>1</v>
      </c>
      <c r="N607" s="37" t="s">
        <v>25</v>
      </c>
      <c r="O607" s="37" t="s">
        <v>25</v>
      </c>
      <c r="P607" s="37">
        <v>0</v>
      </c>
      <c r="Q607" s="37">
        <v>0</v>
      </c>
      <c r="R607" s="37" t="s">
        <v>1461</v>
      </c>
      <c r="S607" s="37"/>
    </row>
    <row r="608" spans="1:19" x14ac:dyDescent="0.3">
      <c r="A608" s="41">
        <v>291</v>
      </c>
      <c r="B608" s="37" t="s">
        <v>1459</v>
      </c>
      <c r="C608" s="37" t="s">
        <v>1460</v>
      </c>
      <c r="D608" s="37" t="s">
        <v>21</v>
      </c>
      <c r="E608" s="37" t="s">
        <v>22</v>
      </c>
      <c r="F608" s="42">
        <v>45291</v>
      </c>
      <c r="G608" s="37">
        <v>2023</v>
      </c>
      <c r="H608" s="37" t="s">
        <v>27</v>
      </c>
      <c r="I608" s="39" t="s">
        <v>32</v>
      </c>
      <c r="J608" s="37">
        <v>100</v>
      </c>
      <c r="K608" s="37">
        <v>100</v>
      </c>
      <c r="L608" s="74">
        <f t="shared" si="66"/>
        <v>1</v>
      </c>
      <c r="M608" s="65">
        <f t="shared" si="67"/>
        <v>1</v>
      </c>
      <c r="N608" s="37" t="s">
        <v>25</v>
      </c>
      <c r="O608" s="37" t="s">
        <v>25</v>
      </c>
      <c r="P608" s="37">
        <v>0</v>
      </c>
      <c r="Q608" s="37">
        <v>0</v>
      </c>
      <c r="R608" s="37" t="s">
        <v>1462</v>
      </c>
      <c r="S608" s="37"/>
    </row>
    <row r="609" spans="1:19" x14ac:dyDescent="0.3">
      <c r="A609" s="37">
        <v>291</v>
      </c>
      <c r="B609" s="37" t="s">
        <v>1459</v>
      </c>
      <c r="C609" s="37" t="s">
        <v>1460</v>
      </c>
      <c r="D609" s="37" t="s">
        <v>21</v>
      </c>
      <c r="E609" s="37" t="s">
        <v>22</v>
      </c>
      <c r="F609" s="42">
        <v>45473</v>
      </c>
      <c r="G609" s="37">
        <v>2024</v>
      </c>
      <c r="H609" s="37" t="s">
        <v>23</v>
      </c>
      <c r="I609" s="39" t="s">
        <v>34</v>
      </c>
      <c r="J609" s="37">
        <v>100</v>
      </c>
      <c r="K609" s="37">
        <v>100</v>
      </c>
      <c r="L609" s="65">
        <f t="shared" si="66"/>
        <v>1</v>
      </c>
      <c r="M609" s="65">
        <f t="shared" si="67"/>
        <v>1</v>
      </c>
      <c r="N609" s="37"/>
      <c r="O609" s="37"/>
      <c r="P609" s="37">
        <v>0</v>
      </c>
      <c r="Q609" s="37">
        <v>0</v>
      </c>
      <c r="R609" s="37" t="s">
        <v>1463</v>
      </c>
      <c r="S609" s="37"/>
    </row>
    <row r="610" spans="1:19" x14ac:dyDescent="0.3">
      <c r="A610" s="37">
        <v>291</v>
      </c>
      <c r="B610" s="37" t="s">
        <v>1459</v>
      </c>
      <c r="C610" s="37" t="s">
        <v>1460</v>
      </c>
      <c r="D610" s="37" t="s">
        <v>21</v>
      </c>
      <c r="E610" s="37" t="s">
        <v>22</v>
      </c>
      <c r="F610" s="42">
        <v>45657</v>
      </c>
      <c r="G610" s="37">
        <v>2024</v>
      </c>
      <c r="H610" s="37" t="s">
        <v>27</v>
      </c>
      <c r="I610" s="39" t="s">
        <v>36</v>
      </c>
      <c r="J610" s="37">
        <v>100</v>
      </c>
      <c r="K610" s="37">
        <v>100</v>
      </c>
      <c r="L610" s="65">
        <f t="shared" si="66"/>
        <v>1</v>
      </c>
      <c r="M610" s="65">
        <f t="shared" si="67"/>
        <v>1</v>
      </c>
      <c r="N610" s="37"/>
      <c r="O610" s="37"/>
      <c r="P610" s="37">
        <v>0</v>
      </c>
      <c r="Q610" s="37">
        <v>0</v>
      </c>
      <c r="R610" s="37" t="s">
        <v>1464</v>
      </c>
      <c r="S610" s="37"/>
    </row>
    <row r="611" spans="1:19" x14ac:dyDescent="0.3">
      <c r="A611" s="45">
        <v>292</v>
      </c>
      <c r="B611" s="37" t="s">
        <v>3516</v>
      </c>
      <c r="C611" s="37" t="s">
        <v>1460</v>
      </c>
      <c r="D611" s="37" t="s">
        <v>21</v>
      </c>
      <c r="E611" s="37" t="s">
        <v>22</v>
      </c>
      <c r="F611" s="42">
        <v>45107</v>
      </c>
      <c r="G611" s="37">
        <v>2023</v>
      </c>
      <c r="H611" s="37" t="s">
        <v>23</v>
      </c>
      <c r="I611" s="39" t="s">
        <v>30</v>
      </c>
      <c r="J611" s="37">
        <v>3</v>
      </c>
      <c r="K611" s="37">
        <v>10.990099009901</v>
      </c>
      <c r="L611" s="65">
        <f t="shared" si="66"/>
        <v>1.3</v>
      </c>
      <c r="M611" s="65">
        <f t="shared" si="67"/>
        <v>3.6633663366336666</v>
      </c>
      <c r="N611" s="37" t="s">
        <v>25</v>
      </c>
      <c r="O611" s="37" t="s">
        <v>25</v>
      </c>
      <c r="P611" s="37">
        <v>0</v>
      </c>
      <c r="Q611" s="37">
        <v>0</v>
      </c>
      <c r="R611" s="37" t="s">
        <v>1466</v>
      </c>
      <c r="S611" s="37"/>
    </row>
    <row r="612" spans="1:19" x14ac:dyDescent="0.3">
      <c r="A612" s="41">
        <v>292</v>
      </c>
      <c r="B612" s="37" t="s">
        <v>3516</v>
      </c>
      <c r="C612" s="37" t="s">
        <v>1460</v>
      </c>
      <c r="D612" s="37" t="s">
        <v>21</v>
      </c>
      <c r="E612" s="37" t="s">
        <v>22</v>
      </c>
      <c r="F612" s="42">
        <v>45291</v>
      </c>
      <c r="G612" s="37">
        <v>2023</v>
      </c>
      <c r="H612" s="37" t="s">
        <v>27</v>
      </c>
      <c r="I612" s="39" t="s">
        <v>32</v>
      </c>
      <c r="J612" s="37">
        <v>3</v>
      </c>
      <c r="K612" s="37">
        <v>27.659574468085001</v>
      </c>
      <c r="L612" s="65">
        <f t="shared" si="66"/>
        <v>1.3</v>
      </c>
      <c r="M612" s="65">
        <f t="shared" si="67"/>
        <v>9.2198581560283337</v>
      </c>
      <c r="N612" s="37" t="s">
        <v>25</v>
      </c>
      <c r="O612" s="37" t="s">
        <v>25</v>
      </c>
      <c r="P612" s="37">
        <v>0</v>
      </c>
      <c r="Q612" s="37">
        <v>0</v>
      </c>
      <c r="R612" s="37" t="s">
        <v>1467</v>
      </c>
      <c r="S612" s="37"/>
    </row>
    <row r="613" spans="1:19" x14ac:dyDescent="0.3">
      <c r="A613" s="37">
        <v>292</v>
      </c>
      <c r="B613" s="37" t="s">
        <v>1465</v>
      </c>
      <c r="C613" s="37" t="s">
        <v>1460</v>
      </c>
      <c r="D613" s="37" t="s">
        <v>21</v>
      </c>
      <c r="E613" s="37" t="s">
        <v>22</v>
      </c>
      <c r="F613" s="42">
        <v>45473</v>
      </c>
      <c r="G613" s="37">
        <v>2024</v>
      </c>
      <c r="H613" s="37" t="s">
        <v>23</v>
      </c>
      <c r="I613" s="39" t="s">
        <v>34</v>
      </c>
      <c r="J613" s="37">
        <v>3</v>
      </c>
      <c r="K613" s="37">
        <v>23.313905079100739</v>
      </c>
      <c r="L613" s="65">
        <f t="shared" si="66"/>
        <v>1.3</v>
      </c>
      <c r="M613" s="65">
        <f t="shared" si="67"/>
        <v>7.7713016930335792</v>
      </c>
      <c r="N613" s="37" t="s">
        <v>25</v>
      </c>
      <c r="O613" s="37" t="s">
        <v>25</v>
      </c>
      <c r="P613" s="37">
        <v>0</v>
      </c>
      <c r="Q613" s="37">
        <v>0</v>
      </c>
      <c r="R613" s="37" t="s">
        <v>1468</v>
      </c>
      <c r="S613" s="37"/>
    </row>
    <row r="614" spans="1:19" x14ac:dyDescent="0.3">
      <c r="A614" s="37">
        <v>292</v>
      </c>
      <c r="B614" s="37" t="s">
        <v>1465</v>
      </c>
      <c r="C614" s="37" t="s">
        <v>1460</v>
      </c>
      <c r="D614" s="37" t="s">
        <v>21</v>
      </c>
      <c r="E614" s="37" t="s">
        <v>22</v>
      </c>
      <c r="F614" s="42">
        <v>45657</v>
      </c>
      <c r="G614" s="37">
        <v>2024</v>
      </c>
      <c r="H614" s="37" t="s">
        <v>27</v>
      </c>
      <c r="I614" s="39" t="s">
        <v>36</v>
      </c>
      <c r="J614" s="37">
        <v>3</v>
      </c>
      <c r="K614" s="37">
        <v>14.263862332695989</v>
      </c>
      <c r="L614" s="65">
        <f t="shared" si="66"/>
        <v>1.3</v>
      </c>
      <c r="M614" s="65">
        <f t="shared" si="67"/>
        <v>4.7546207775653295</v>
      </c>
      <c r="N614" s="37" t="s">
        <v>25</v>
      </c>
      <c r="O614" s="37" t="s">
        <v>25</v>
      </c>
      <c r="P614" s="37">
        <v>0</v>
      </c>
      <c r="Q614" s="37">
        <v>0</v>
      </c>
      <c r="R614" s="37" t="s">
        <v>1469</v>
      </c>
      <c r="S614" s="37"/>
    </row>
    <row r="615" spans="1:19" x14ac:dyDescent="0.3">
      <c r="A615" s="45">
        <v>293</v>
      </c>
      <c r="B615" s="37" t="s">
        <v>1472</v>
      </c>
      <c r="C615" s="37" t="s">
        <v>1460</v>
      </c>
      <c r="D615" s="37" t="s">
        <v>21</v>
      </c>
      <c r="E615" s="37" t="s">
        <v>22</v>
      </c>
      <c r="F615" s="42">
        <v>45107</v>
      </c>
      <c r="G615" s="37">
        <v>2023</v>
      </c>
      <c r="H615" s="37" t="s">
        <v>23</v>
      </c>
      <c r="I615" s="39" t="s">
        <v>30</v>
      </c>
      <c r="J615" s="37">
        <v>100</v>
      </c>
      <c r="K615" s="37">
        <v>100</v>
      </c>
      <c r="L615" s="74">
        <f t="shared" si="66"/>
        <v>1</v>
      </c>
      <c r="M615" s="65">
        <f t="shared" si="67"/>
        <v>1</v>
      </c>
      <c r="N615" s="37" t="s">
        <v>25</v>
      </c>
      <c r="O615" s="37" t="s">
        <v>25</v>
      </c>
      <c r="P615" s="37">
        <v>0</v>
      </c>
      <c r="Q615" s="37">
        <v>0</v>
      </c>
      <c r="R615" s="37" t="s">
        <v>1473</v>
      </c>
      <c r="S615" s="37"/>
    </row>
    <row r="616" spans="1:19" x14ac:dyDescent="0.3">
      <c r="A616" s="41">
        <v>293</v>
      </c>
      <c r="B616" s="37" t="s">
        <v>1472</v>
      </c>
      <c r="C616" s="37" t="s">
        <v>1460</v>
      </c>
      <c r="D616" s="37" t="s">
        <v>21</v>
      </c>
      <c r="E616" s="37" t="s">
        <v>22</v>
      </c>
      <c r="F616" s="42">
        <v>45291</v>
      </c>
      <c r="G616" s="37">
        <v>2023</v>
      </c>
      <c r="H616" s="37" t="s">
        <v>27</v>
      </c>
      <c r="I616" s="39" t="s">
        <v>32</v>
      </c>
      <c r="J616" s="37">
        <v>100</v>
      </c>
      <c r="K616" s="37">
        <v>100</v>
      </c>
      <c r="L616" s="74">
        <f t="shared" si="66"/>
        <v>1</v>
      </c>
      <c r="M616" s="65">
        <f t="shared" si="67"/>
        <v>1</v>
      </c>
      <c r="N616" s="37" t="s">
        <v>25</v>
      </c>
      <c r="O616" s="37" t="s">
        <v>25</v>
      </c>
      <c r="P616" s="37">
        <v>0</v>
      </c>
      <c r="Q616" s="37">
        <v>0</v>
      </c>
      <c r="R616" s="37" t="s">
        <v>1474</v>
      </c>
      <c r="S616" s="37"/>
    </row>
    <row r="617" spans="1:19" x14ac:dyDescent="0.3">
      <c r="A617" s="37">
        <v>293</v>
      </c>
      <c r="B617" s="37" t="s">
        <v>1472</v>
      </c>
      <c r="C617" s="37" t="s">
        <v>1460</v>
      </c>
      <c r="D617" s="37" t="s">
        <v>21</v>
      </c>
      <c r="E617" s="37" t="s">
        <v>22</v>
      </c>
      <c r="F617" s="42">
        <v>45473</v>
      </c>
      <c r="G617" s="37">
        <v>2024</v>
      </c>
      <c r="H617" s="37" t="s">
        <v>23</v>
      </c>
      <c r="I617" s="39" t="s">
        <v>34</v>
      </c>
      <c r="J617" s="37">
        <v>100</v>
      </c>
      <c r="K617" s="37">
        <v>100</v>
      </c>
      <c r="L617" s="65">
        <f t="shared" si="66"/>
        <v>1</v>
      </c>
      <c r="M617" s="65">
        <f t="shared" si="67"/>
        <v>1</v>
      </c>
      <c r="N617" s="37"/>
      <c r="O617" s="37"/>
      <c r="P617" s="37">
        <v>0</v>
      </c>
      <c r="Q617" s="37">
        <v>0</v>
      </c>
      <c r="R617" s="37" t="s">
        <v>1475</v>
      </c>
      <c r="S617" s="37"/>
    </row>
    <row r="618" spans="1:19" x14ac:dyDescent="0.3">
      <c r="A618" s="37">
        <v>293</v>
      </c>
      <c r="B618" s="37" t="s">
        <v>1472</v>
      </c>
      <c r="C618" s="37" t="s">
        <v>1460</v>
      </c>
      <c r="D618" s="37" t="s">
        <v>21</v>
      </c>
      <c r="E618" s="37" t="s">
        <v>22</v>
      </c>
      <c r="F618" s="42">
        <v>45657</v>
      </c>
      <c r="G618" s="37">
        <v>2024</v>
      </c>
      <c r="H618" s="37" t="s">
        <v>27</v>
      </c>
      <c r="I618" s="39" t="s">
        <v>36</v>
      </c>
      <c r="J618" s="37">
        <v>100</v>
      </c>
      <c r="K618" s="37">
        <v>100</v>
      </c>
      <c r="L618" s="65">
        <f t="shared" si="66"/>
        <v>1</v>
      </c>
      <c r="M618" s="65">
        <f t="shared" si="67"/>
        <v>1</v>
      </c>
      <c r="N618" s="37"/>
      <c r="O618" s="37"/>
      <c r="P618" s="37">
        <v>0</v>
      </c>
      <c r="Q618" s="37">
        <v>0</v>
      </c>
      <c r="R618" s="37" t="s">
        <v>1476</v>
      </c>
      <c r="S618" s="37"/>
    </row>
    <row r="619" spans="1:19" x14ac:dyDescent="0.3">
      <c r="A619" s="45">
        <v>294</v>
      </c>
      <c r="B619" s="37" t="s">
        <v>1477</v>
      </c>
      <c r="C619" s="37" t="s">
        <v>1460</v>
      </c>
      <c r="D619" s="37" t="s">
        <v>21</v>
      </c>
      <c r="E619" s="37" t="s">
        <v>22</v>
      </c>
      <c r="F619" s="42">
        <v>45107</v>
      </c>
      <c r="G619" s="37">
        <v>2023</v>
      </c>
      <c r="H619" s="37" t="s">
        <v>23</v>
      </c>
      <c r="I619" s="39" t="s">
        <v>30</v>
      </c>
      <c r="J619" s="37">
        <v>3</v>
      </c>
      <c r="K619" s="37">
        <v>30.158730158729998</v>
      </c>
      <c r="L619" s="65">
        <f t="shared" si="66"/>
        <v>1.3</v>
      </c>
      <c r="M619" s="65">
        <f t="shared" si="67"/>
        <v>10.052910052909999</v>
      </c>
      <c r="N619" s="37" t="s">
        <v>25</v>
      </c>
      <c r="O619" s="37" t="s">
        <v>25</v>
      </c>
      <c r="P619" s="37">
        <v>0</v>
      </c>
      <c r="Q619" s="37">
        <v>0</v>
      </c>
      <c r="R619" s="37" t="s">
        <v>1478</v>
      </c>
      <c r="S619" s="37"/>
    </row>
    <row r="620" spans="1:19" x14ac:dyDescent="0.3">
      <c r="A620" s="41">
        <v>294</v>
      </c>
      <c r="B620" s="37" t="s">
        <v>1477</v>
      </c>
      <c r="C620" s="37" t="s">
        <v>1460</v>
      </c>
      <c r="D620" s="37" t="s">
        <v>21</v>
      </c>
      <c r="E620" s="37" t="s">
        <v>22</v>
      </c>
      <c r="F620" s="42">
        <v>45291</v>
      </c>
      <c r="G620" s="37">
        <v>2023</v>
      </c>
      <c r="H620" s="37" t="s">
        <v>27</v>
      </c>
      <c r="I620" s="39" t="s">
        <v>32</v>
      </c>
      <c r="J620" s="37">
        <v>3</v>
      </c>
      <c r="K620" s="37">
        <v>41.986754966886998</v>
      </c>
      <c r="L620" s="65">
        <f t="shared" si="66"/>
        <v>1.3</v>
      </c>
      <c r="M620" s="65">
        <f t="shared" si="67"/>
        <v>13.995584988962333</v>
      </c>
      <c r="N620" s="37" t="s">
        <v>25</v>
      </c>
      <c r="O620" s="37" t="s">
        <v>25</v>
      </c>
      <c r="P620" s="37">
        <v>0</v>
      </c>
      <c r="Q620" s="37">
        <v>0</v>
      </c>
      <c r="R620" s="37" t="s">
        <v>1479</v>
      </c>
      <c r="S620" s="37"/>
    </row>
    <row r="621" spans="1:19" x14ac:dyDescent="0.3">
      <c r="A621" s="37">
        <v>294</v>
      </c>
      <c r="B621" s="37" t="s">
        <v>1481</v>
      </c>
      <c r="C621" s="37" t="s">
        <v>1460</v>
      </c>
      <c r="D621" s="37" t="s">
        <v>21</v>
      </c>
      <c r="E621" s="37" t="s">
        <v>22</v>
      </c>
      <c r="F621" s="42">
        <v>45473</v>
      </c>
      <c r="G621" s="37">
        <v>2024</v>
      </c>
      <c r="H621" s="37" t="s">
        <v>23</v>
      </c>
      <c r="I621" s="39" t="s">
        <v>34</v>
      </c>
      <c r="J621" s="37">
        <v>3</v>
      </c>
      <c r="K621" s="37">
        <v>26.27669452181987</v>
      </c>
      <c r="L621" s="65">
        <f t="shared" si="66"/>
        <v>1.3</v>
      </c>
      <c r="M621" s="65">
        <f t="shared" si="67"/>
        <v>8.7588981739399561</v>
      </c>
      <c r="N621" s="37" t="s">
        <v>25</v>
      </c>
      <c r="O621" s="37" t="s">
        <v>25</v>
      </c>
      <c r="P621" s="37">
        <v>0</v>
      </c>
      <c r="Q621" s="37">
        <v>0</v>
      </c>
      <c r="R621" s="37" t="s">
        <v>1480</v>
      </c>
      <c r="S621" s="37"/>
    </row>
    <row r="622" spans="1:19" x14ac:dyDescent="0.3">
      <c r="A622" s="37">
        <v>294</v>
      </c>
      <c r="B622" s="37" t="s">
        <v>1481</v>
      </c>
      <c r="C622" s="37" t="s">
        <v>1460</v>
      </c>
      <c r="D622" s="37" t="s">
        <v>21</v>
      </c>
      <c r="E622" s="37" t="s">
        <v>22</v>
      </c>
      <c r="F622" s="42">
        <v>45657</v>
      </c>
      <c r="G622" s="37">
        <v>2024</v>
      </c>
      <c r="H622" s="37" t="s">
        <v>27</v>
      </c>
      <c r="I622" s="39" t="s">
        <v>36</v>
      </c>
      <c r="J622" s="37">
        <v>3</v>
      </c>
      <c r="K622" s="37">
        <v>5.5</v>
      </c>
      <c r="L622" s="65">
        <f t="shared" si="66"/>
        <v>1.3</v>
      </c>
      <c r="M622" s="65">
        <f t="shared" si="67"/>
        <v>1.8333333333333333</v>
      </c>
      <c r="N622" s="37" t="s">
        <v>25</v>
      </c>
      <c r="O622" s="37" t="s">
        <v>25</v>
      </c>
      <c r="P622" s="37">
        <v>0</v>
      </c>
      <c r="Q622" s="37">
        <v>0</v>
      </c>
      <c r="R622" s="37" t="s">
        <v>1482</v>
      </c>
      <c r="S622" s="37"/>
    </row>
    <row r="623" spans="1:19" x14ac:dyDescent="0.3">
      <c r="A623" s="45">
        <v>295</v>
      </c>
      <c r="B623" s="37" t="s">
        <v>1485</v>
      </c>
      <c r="C623" s="37" t="s">
        <v>120</v>
      </c>
      <c r="D623" s="37" t="s">
        <v>21</v>
      </c>
      <c r="E623" s="37" t="s">
        <v>22</v>
      </c>
      <c r="F623" s="42">
        <v>45107</v>
      </c>
      <c r="G623" s="37">
        <v>2023</v>
      </c>
      <c r="H623" s="37" t="s">
        <v>23</v>
      </c>
      <c r="I623" s="39" t="s">
        <v>30</v>
      </c>
      <c r="J623" s="37">
        <v>11</v>
      </c>
      <c r="K623" s="37">
        <v>5</v>
      </c>
      <c r="L623" s="74">
        <f t="shared" si="66"/>
        <v>0.45454545454545453</v>
      </c>
      <c r="M623" s="65">
        <f t="shared" si="67"/>
        <v>0.45454545454545453</v>
      </c>
      <c r="N623" s="37"/>
      <c r="O623" s="37"/>
      <c r="P623" s="37">
        <v>0</v>
      </c>
      <c r="Q623" s="37">
        <v>0</v>
      </c>
      <c r="R623" s="37" t="s">
        <v>1486</v>
      </c>
      <c r="S623" s="37"/>
    </row>
    <row r="624" spans="1:19" x14ac:dyDescent="0.3">
      <c r="A624" s="41">
        <v>295</v>
      </c>
      <c r="B624" s="37" t="s">
        <v>1485</v>
      </c>
      <c r="C624" s="37" t="s">
        <v>120</v>
      </c>
      <c r="D624" s="37" t="s">
        <v>21</v>
      </c>
      <c r="E624" s="37" t="s">
        <v>22</v>
      </c>
      <c r="F624" s="42">
        <v>45291</v>
      </c>
      <c r="G624" s="37">
        <v>2023</v>
      </c>
      <c r="H624" s="37" t="s">
        <v>27</v>
      </c>
      <c r="I624" s="39" t="s">
        <v>32</v>
      </c>
      <c r="J624" s="37">
        <v>21</v>
      </c>
      <c r="K624" s="37">
        <v>9</v>
      </c>
      <c r="L624" s="74">
        <f t="shared" si="66"/>
        <v>0.42857142857142855</v>
      </c>
      <c r="M624" s="65">
        <f t="shared" si="67"/>
        <v>0.42857142857142855</v>
      </c>
      <c r="N624" s="37"/>
      <c r="O624" s="37"/>
      <c r="P624" s="37">
        <v>0</v>
      </c>
      <c r="Q624" s="37">
        <v>0</v>
      </c>
      <c r="R624" s="37" t="s">
        <v>1487</v>
      </c>
      <c r="S624" s="37"/>
    </row>
    <row r="625" spans="1:19" x14ac:dyDescent="0.3">
      <c r="A625" s="41">
        <v>296</v>
      </c>
      <c r="B625" s="37" t="s">
        <v>1489</v>
      </c>
      <c r="C625" s="37" t="s">
        <v>1490</v>
      </c>
      <c r="D625" s="37" t="s">
        <v>121</v>
      </c>
      <c r="E625" s="37" t="s">
        <v>22</v>
      </c>
      <c r="F625" s="42">
        <v>45291</v>
      </c>
      <c r="G625" s="37">
        <v>2023</v>
      </c>
      <c r="H625" s="37" t="s">
        <v>27</v>
      </c>
      <c r="I625" s="39" t="s">
        <v>32</v>
      </c>
      <c r="J625" s="37">
        <v>100</v>
      </c>
      <c r="K625" s="37">
        <v>85.45</v>
      </c>
      <c r="L625" s="74">
        <f t="shared" si="66"/>
        <v>0.85450000000000004</v>
      </c>
      <c r="M625" s="65">
        <f t="shared" si="67"/>
        <v>0.85450000000000004</v>
      </c>
      <c r="N625" s="37"/>
      <c r="O625" s="37"/>
      <c r="P625" s="37">
        <v>1</v>
      </c>
      <c r="Q625" s="37">
        <v>1</v>
      </c>
      <c r="R625" s="37" t="s">
        <v>1493</v>
      </c>
      <c r="S625" s="37"/>
    </row>
    <row r="626" spans="1:19" x14ac:dyDescent="0.3">
      <c r="A626" s="37">
        <v>297</v>
      </c>
      <c r="B626" s="37" t="s">
        <v>1494</v>
      </c>
      <c r="C626" s="37" t="s">
        <v>1490</v>
      </c>
      <c r="D626" s="37" t="s">
        <v>121</v>
      </c>
      <c r="E626" s="37" t="s">
        <v>56</v>
      </c>
      <c r="F626" s="42">
        <v>45291</v>
      </c>
      <c r="G626" s="37">
        <v>2023</v>
      </c>
      <c r="H626" s="37" t="s">
        <v>27</v>
      </c>
      <c r="I626" s="39" t="s">
        <v>32</v>
      </c>
      <c r="J626" s="37">
        <v>20</v>
      </c>
      <c r="K626" s="37">
        <v>0.93</v>
      </c>
      <c r="L626" s="65">
        <f t="shared" si="66"/>
        <v>1.3</v>
      </c>
      <c r="M626" s="65">
        <f t="shared" si="67"/>
        <v>21.50537634408602</v>
      </c>
      <c r="N626" s="37"/>
      <c r="O626" s="37"/>
      <c r="P626" s="37">
        <v>1</v>
      </c>
      <c r="Q626" s="37">
        <v>1</v>
      </c>
      <c r="R626" s="37" t="s">
        <v>1497</v>
      </c>
      <c r="S626" s="37"/>
    </row>
    <row r="627" spans="1:19" x14ac:dyDescent="0.3">
      <c r="A627" s="41">
        <v>298</v>
      </c>
      <c r="B627" s="37" t="s">
        <v>1498</v>
      </c>
      <c r="C627" s="37" t="s">
        <v>1490</v>
      </c>
      <c r="D627" s="37" t="s">
        <v>21</v>
      </c>
      <c r="E627" s="37" t="s">
        <v>56</v>
      </c>
      <c r="F627" s="42">
        <v>45291</v>
      </c>
      <c r="G627" s="37">
        <v>2023</v>
      </c>
      <c r="H627" s="37" t="s">
        <v>27</v>
      </c>
      <c r="I627" s="39" t="s">
        <v>32</v>
      </c>
      <c r="J627" s="37"/>
      <c r="K627" s="37">
        <v>1</v>
      </c>
      <c r="L627" s="65"/>
      <c r="M627" s="65"/>
      <c r="N627" s="37" t="s">
        <v>3505</v>
      </c>
      <c r="O627" s="37"/>
      <c r="P627" s="37">
        <v>0</v>
      </c>
      <c r="Q627" s="37">
        <v>0</v>
      </c>
      <c r="R627" s="37" t="s">
        <v>1499</v>
      </c>
      <c r="S627" s="37"/>
    </row>
    <row r="628" spans="1:19" x14ac:dyDescent="0.3">
      <c r="A628" s="72">
        <v>300</v>
      </c>
      <c r="B628" s="37" t="s">
        <v>1500</v>
      </c>
      <c r="C628" s="37" t="s">
        <v>1501</v>
      </c>
      <c r="D628" s="37" t="s">
        <v>39</v>
      </c>
      <c r="E628" s="37" t="s">
        <v>22</v>
      </c>
      <c r="F628" s="42">
        <v>45016</v>
      </c>
      <c r="G628" s="37">
        <v>2023</v>
      </c>
      <c r="H628" s="37" t="s">
        <v>40</v>
      </c>
      <c r="I628" s="39" t="s">
        <v>30</v>
      </c>
      <c r="J628" s="37">
        <v>8</v>
      </c>
      <c r="K628" s="37">
        <v>8</v>
      </c>
      <c r="L628" s="74">
        <f t="shared" ref="L628:L643" si="68">IFERROR(IF(OR(J628=0,K628=""),"",IF(E628="Positivo",MIN(MAX(K628/J628,0),1.3),MIN(MAX(J628/K628,0),1.3))),"")</f>
        <v>1</v>
      </c>
      <c r="M628" s="65">
        <f t="shared" ref="M628:M643" si="69">IFERROR(IF(OR(J628=0,K628=""),"",IF(E628="Positivo",MAX(K628/J628,0),MAX(J628/K628,0))),"")</f>
        <v>1</v>
      </c>
      <c r="N628" s="37" t="s">
        <v>25</v>
      </c>
      <c r="O628" s="37" t="s">
        <v>25</v>
      </c>
      <c r="P628" s="37">
        <v>0</v>
      </c>
      <c r="Q628" s="37">
        <v>0</v>
      </c>
      <c r="R628" s="37" t="s">
        <v>1502</v>
      </c>
      <c r="S628" s="37"/>
    </row>
    <row r="629" spans="1:19" x14ac:dyDescent="0.3">
      <c r="A629" s="41">
        <v>300</v>
      </c>
      <c r="B629" s="37" t="s">
        <v>1500</v>
      </c>
      <c r="C629" s="37" t="s">
        <v>1501</v>
      </c>
      <c r="D629" s="37" t="s">
        <v>39</v>
      </c>
      <c r="E629" s="37" t="s">
        <v>22</v>
      </c>
      <c r="F629" s="42">
        <v>45107</v>
      </c>
      <c r="G629" s="37">
        <v>2023</v>
      </c>
      <c r="H629" s="37" t="s">
        <v>23</v>
      </c>
      <c r="I629" s="39" t="s">
        <v>30</v>
      </c>
      <c r="J629" s="37">
        <v>8</v>
      </c>
      <c r="K629" s="37">
        <v>8</v>
      </c>
      <c r="L629" s="74">
        <f t="shared" si="68"/>
        <v>1</v>
      </c>
      <c r="M629" s="65">
        <f t="shared" si="69"/>
        <v>1</v>
      </c>
      <c r="N629" s="37" t="s">
        <v>25</v>
      </c>
      <c r="O629" s="37" t="s">
        <v>25</v>
      </c>
      <c r="P629" s="37">
        <v>0</v>
      </c>
      <c r="Q629" s="37">
        <v>0</v>
      </c>
      <c r="R629" s="37" t="s">
        <v>1503</v>
      </c>
      <c r="S629" s="37"/>
    </row>
    <row r="630" spans="1:19" x14ac:dyDescent="0.3">
      <c r="A630" s="45">
        <v>300</v>
      </c>
      <c r="B630" s="37" t="s">
        <v>1500</v>
      </c>
      <c r="C630" s="37" t="s">
        <v>1501</v>
      </c>
      <c r="D630" s="37" t="s">
        <v>39</v>
      </c>
      <c r="E630" s="37" t="s">
        <v>22</v>
      </c>
      <c r="F630" s="42">
        <v>45199</v>
      </c>
      <c r="G630" s="37">
        <v>2023</v>
      </c>
      <c r="H630" s="37" t="s">
        <v>43</v>
      </c>
      <c r="I630" s="39" t="s">
        <v>32</v>
      </c>
      <c r="J630" s="37">
        <v>11</v>
      </c>
      <c r="K630" s="37">
        <v>11</v>
      </c>
      <c r="L630" s="74">
        <f t="shared" si="68"/>
        <v>1</v>
      </c>
      <c r="M630" s="65">
        <f t="shared" si="69"/>
        <v>1</v>
      </c>
      <c r="N630" s="37" t="s">
        <v>25</v>
      </c>
      <c r="O630" s="37" t="s">
        <v>25</v>
      </c>
      <c r="P630" s="37">
        <v>0</v>
      </c>
      <c r="Q630" s="37">
        <v>0</v>
      </c>
      <c r="R630" s="37" t="s">
        <v>1504</v>
      </c>
      <c r="S630" s="37"/>
    </row>
    <row r="631" spans="1:19" x14ac:dyDescent="0.3">
      <c r="A631" s="41">
        <v>300</v>
      </c>
      <c r="B631" s="37" t="s">
        <v>1500</v>
      </c>
      <c r="C631" s="37" t="s">
        <v>1501</v>
      </c>
      <c r="D631" s="37" t="s">
        <v>39</v>
      </c>
      <c r="E631" s="37" t="s">
        <v>22</v>
      </c>
      <c r="F631" s="42">
        <v>45291</v>
      </c>
      <c r="G631" s="37">
        <v>2023</v>
      </c>
      <c r="H631" s="37" t="s">
        <v>27</v>
      </c>
      <c r="I631" s="39" t="s">
        <v>32</v>
      </c>
      <c r="J631" s="37">
        <v>11</v>
      </c>
      <c r="K631" s="37">
        <v>11</v>
      </c>
      <c r="L631" s="74">
        <f t="shared" si="68"/>
        <v>1</v>
      </c>
      <c r="M631" s="65">
        <f t="shared" si="69"/>
        <v>1</v>
      </c>
      <c r="N631" s="37" t="s">
        <v>25</v>
      </c>
      <c r="O631" s="37" t="s">
        <v>25</v>
      </c>
      <c r="P631" s="37">
        <v>0</v>
      </c>
      <c r="Q631" s="37">
        <v>0</v>
      </c>
      <c r="R631" s="37" t="s">
        <v>1505</v>
      </c>
      <c r="S631" s="37"/>
    </row>
    <row r="632" spans="1:19" x14ac:dyDescent="0.3">
      <c r="A632" s="37">
        <v>300</v>
      </c>
      <c r="B632" s="37" t="s">
        <v>1500</v>
      </c>
      <c r="C632" s="37" t="s">
        <v>1501</v>
      </c>
      <c r="D632" s="37" t="s">
        <v>39</v>
      </c>
      <c r="E632" s="37" t="s">
        <v>22</v>
      </c>
      <c r="F632" s="42">
        <v>45473</v>
      </c>
      <c r="G632" s="37">
        <v>2024</v>
      </c>
      <c r="H632" s="37" t="s">
        <v>23</v>
      </c>
      <c r="I632" s="39" t="s">
        <v>34</v>
      </c>
      <c r="J632" s="37">
        <v>12</v>
      </c>
      <c r="K632" s="37">
        <v>12</v>
      </c>
      <c r="L632" s="65">
        <f t="shared" si="68"/>
        <v>1</v>
      </c>
      <c r="M632" s="65">
        <f t="shared" si="69"/>
        <v>1</v>
      </c>
      <c r="N632" s="37" t="s">
        <v>25</v>
      </c>
      <c r="O632" s="37" t="s">
        <v>25</v>
      </c>
      <c r="P632" s="37">
        <v>0</v>
      </c>
      <c r="Q632" s="37">
        <v>0</v>
      </c>
      <c r="R632" s="37" t="s">
        <v>1507</v>
      </c>
      <c r="S632" s="37"/>
    </row>
    <row r="633" spans="1:19" x14ac:dyDescent="0.3">
      <c r="A633" s="37">
        <v>300</v>
      </c>
      <c r="B633" s="37" t="s">
        <v>1500</v>
      </c>
      <c r="C633" s="37" t="s">
        <v>1501</v>
      </c>
      <c r="D633" s="37" t="s">
        <v>39</v>
      </c>
      <c r="E633" s="37" t="s">
        <v>22</v>
      </c>
      <c r="F633" s="42">
        <v>45657</v>
      </c>
      <c r="G633" s="37">
        <v>2024</v>
      </c>
      <c r="H633" s="37" t="s">
        <v>27</v>
      </c>
      <c r="I633" s="39" t="s">
        <v>36</v>
      </c>
      <c r="J633" s="37">
        <v>11</v>
      </c>
      <c r="K633" s="37">
        <v>11</v>
      </c>
      <c r="L633" s="65">
        <f t="shared" si="68"/>
        <v>1</v>
      </c>
      <c r="M633" s="65">
        <f t="shared" si="69"/>
        <v>1</v>
      </c>
      <c r="N633" s="37" t="s">
        <v>25</v>
      </c>
      <c r="O633" s="37" t="s">
        <v>25</v>
      </c>
      <c r="P633" s="37">
        <v>0</v>
      </c>
      <c r="Q633" s="37">
        <v>0</v>
      </c>
      <c r="R633" s="37" t="s">
        <v>1509</v>
      </c>
      <c r="S633" s="37"/>
    </row>
    <row r="634" spans="1:19" x14ac:dyDescent="0.3">
      <c r="A634" s="72">
        <v>301</v>
      </c>
      <c r="B634" s="37" t="s">
        <v>1510</v>
      </c>
      <c r="C634" s="37" t="s">
        <v>1501</v>
      </c>
      <c r="D634" s="37" t="s">
        <v>39</v>
      </c>
      <c r="E634" s="37" t="s">
        <v>22</v>
      </c>
      <c r="F634" s="42">
        <v>45016</v>
      </c>
      <c r="G634" s="37">
        <v>2023</v>
      </c>
      <c r="H634" s="37" t="s">
        <v>40</v>
      </c>
      <c r="I634" s="39" t="s">
        <v>30</v>
      </c>
      <c r="J634" s="37">
        <v>4</v>
      </c>
      <c r="K634" s="37">
        <v>4</v>
      </c>
      <c r="L634" s="74">
        <f t="shared" si="68"/>
        <v>1</v>
      </c>
      <c r="M634" s="65">
        <f t="shared" si="69"/>
        <v>1</v>
      </c>
      <c r="N634" s="37" t="s">
        <v>25</v>
      </c>
      <c r="O634" s="37" t="s">
        <v>25</v>
      </c>
      <c r="P634" s="37">
        <v>0</v>
      </c>
      <c r="Q634" s="37">
        <v>0</v>
      </c>
      <c r="R634" s="37" t="s">
        <v>1511</v>
      </c>
      <c r="S634" s="37"/>
    </row>
    <row r="635" spans="1:19" x14ac:dyDescent="0.3">
      <c r="A635" s="41">
        <v>301</v>
      </c>
      <c r="B635" s="37" t="s">
        <v>1510</v>
      </c>
      <c r="C635" s="37" t="s">
        <v>1501</v>
      </c>
      <c r="D635" s="37" t="s">
        <v>39</v>
      </c>
      <c r="E635" s="37" t="s">
        <v>22</v>
      </c>
      <c r="F635" s="42">
        <v>45107</v>
      </c>
      <c r="G635" s="37">
        <v>2023</v>
      </c>
      <c r="H635" s="37" t="s">
        <v>23</v>
      </c>
      <c r="I635" s="39" t="s">
        <v>30</v>
      </c>
      <c r="J635" s="37">
        <v>4</v>
      </c>
      <c r="K635" s="37">
        <v>4</v>
      </c>
      <c r="L635" s="74">
        <f t="shared" si="68"/>
        <v>1</v>
      </c>
      <c r="M635" s="65">
        <f t="shared" si="69"/>
        <v>1</v>
      </c>
      <c r="N635" s="37" t="s">
        <v>25</v>
      </c>
      <c r="O635" s="37" t="s">
        <v>25</v>
      </c>
      <c r="P635" s="37">
        <v>0</v>
      </c>
      <c r="Q635" s="37">
        <v>0</v>
      </c>
      <c r="R635" s="37" t="s">
        <v>1512</v>
      </c>
      <c r="S635" s="37"/>
    </row>
    <row r="636" spans="1:19" x14ac:dyDescent="0.3">
      <c r="A636" s="45">
        <v>301</v>
      </c>
      <c r="B636" s="37" t="s">
        <v>1510</v>
      </c>
      <c r="C636" s="37" t="s">
        <v>1501</v>
      </c>
      <c r="D636" s="37" t="s">
        <v>39</v>
      </c>
      <c r="E636" s="37" t="s">
        <v>22</v>
      </c>
      <c r="F636" s="42">
        <v>45199</v>
      </c>
      <c r="G636" s="37">
        <v>2023</v>
      </c>
      <c r="H636" s="37" t="s">
        <v>43</v>
      </c>
      <c r="I636" s="39" t="s">
        <v>32</v>
      </c>
      <c r="J636" s="37">
        <v>4</v>
      </c>
      <c r="K636" s="37">
        <v>4</v>
      </c>
      <c r="L636" s="74">
        <f t="shared" si="68"/>
        <v>1</v>
      </c>
      <c r="M636" s="65">
        <f t="shared" si="69"/>
        <v>1</v>
      </c>
      <c r="N636" s="37" t="s">
        <v>25</v>
      </c>
      <c r="O636" s="37" t="s">
        <v>25</v>
      </c>
      <c r="P636" s="37">
        <v>0</v>
      </c>
      <c r="Q636" s="37">
        <v>0</v>
      </c>
      <c r="R636" s="37" t="s">
        <v>1513</v>
      </c>
      <c r="S636" s="37"/>
    </row>
    <row r="637" spans="1:19" x14ac:dyDescent="0.3">
      <c r="A637" s="41">
        <v>301</v>
      </c>
      <c r="B637" s="37" t="s">
        <v>1510</v>
      </c>
      <c r="C637" s="37" t="s">
        <v>1501</v>
      </c>
      <c r="D637" s="37" t="s">
        <v>39</v>
      </c>
      <c r="E637" s="37" t="s">
        <v>22</v>
      </c>
      <c r="F637" s="42">
        <v>45291</v>
      </c>
      <c r="G637" s="37">
        <v>2023</v>
      </c>
      <c r="H637" s="37" t="s">
        <v>27</v>
      </c>
      <c r="I637" s="39" t="s">
        <v>32</v>
      </c>
      <c r="J637" s="37">
        <v>4</v>
      </c>
      <c r="K637" s="37">
        <v>4</v>
      </c>
      <c r="L637" s="74">
        <f t="shared" si="68"/>
        <v>1</v>
      </c>
      <c r="M637" s="65">
        <f t="shared" si="69"/>
        <v>1</v>
      </c>
      <c r="N637" s="37" t="s">
        <v>25</v>
      </c>
      <c r="O637" s="37" t="s">
        <v>25</v>
      </c>
      <c r="P637" s="37">
        <v>0</v>
      </c>
      <c r="Q637" s="37">
        <v>0</v>
      </c>
      <c r="R637" s="37" t="s">
        <v>1514</v>
      </c>
      <c r="S637" s="37"/>
    </row>
    <row r="638" spans="1:19" x14ac:dyDescent="0.3">
      <c r="A638" s="37">
        <v>301</v>
      </c>
      <c r="B638" s="37" t="s">
        <v>1510</v>
      </c>
      <c r="C638" s="37" t="s">
        <v>1501</v>
      </c>
      <c r="D638" s="37" t="s">
        <v>39</v>
      </c>
      <c r="E638" s="37" t="s">
        <v>22</v>
      </c>
      <c r="F638" s="42">
        <v>45473</v>
      </c>
      <c r="G638" s="37">
        <v>2024</v>
      </c>
      <c r="H638" s="37" t="s">
        <v>23</v>
      </c>
      <c r="I638" s="39" t="s">
        <v>34</v>
      </c>
      <c r="J638" s="37">
        <v>4</v>
      </c>
      <c r="K638" s="37">
        <v>4</v>
      </c>
      <c r="L638" s="65">
        <f t="shared" si="68"/>
        <v>1</v>
      </c>
      <c r="M638" s="65">
        <f t="shared" si="69"/>
        <v>1</v>
      </c>
      <c r="N638" s="37" t="s">
        <v>25</v>
      </c>
      <c r="O638" s="37" t="s">
        <v>25</v>
      </c>
      <c r="P638" s="37">
        <v>0</v>
      </c>
      <c r="Q638" s="37">
        <v>0</v>
      </c>
      <c r="R638" s="37" t="s">
        <v>1516</v>
      </c>
      <c r="S638" s="37"/>
    </row>
    <row r="639" spans="1:19" x14ac:dyDescent="0.3">
      <c r="A639" s="37">
        <v>301</v>
      </c>
      <c r="B639" s="37" t="s">
        <v>1510</v>
      </c>
      <c r="C639" s="37" t="s">
        <v>1501</v>
      </c>
      <c r="D639" s="37" t="s">
        <v>39</v>
      </c>
      <c r="E639" s="37" t="s">
        <v>22</v>
      </c>
      <c r="F639" s="42">
        <v>45657</v>
      </c>
      <c r="G639" s="37">
        <v>2024</v>
      </c>
      <c r="H639" s="37" t="s">
        <v>27</v>
      </c>
      <c r="I639" s="39" t="s">
        <v>36</v>
      </c>
      <c r="J639" s="37">
        <v>4</v>
      </c>
      <c r="K639" s="37">
        <v>4</v>
      </c>
      <c r="L639" s="65">
        <f t="shared" si="68"/>
        <v>1</v>
      </c>
      <c r="M639" s="65">
        <f t="shared" si="69"/>
        <v>1</v>
      </c>
      <c r="N639" s="37" t="s">
        <v>25</v>
      </c>
      <c r="O639" s="37" t="s">
        <v>25</v>
      </c>
      <c r="P639" s="37">
        <v>0</v>
      </c>
      <c r="Q639" s="37">
        <v>0</v>
      </c>
      <c r="R639" s="37" t="s">
        <v>1518</v>
      </c>
      <c r="S639" s="37"/>
    </row>
    <row r="640" spans="1:19" x14ac:dyDescent="0.3">
      <c r="A640" s="45">
        <v>302</v>
      </c>
      <c r="B640" s="37" t="s">
        <v>1519</v>
      </c>
      <c r="C640" s="37" t="s">
        <v>1336</v>
      </c>
      <c r="D640" s="37" t="s">
        <v>21</v>
      </c>
      <c r="E640" s="37" t="s">
        <v>22</v>
      </c>
      <c r="F640" s="42">
        <v>45107</v>
      </c>
      <c r="G640" s="37">
        <v>2023</v>
      </c>
      <c r="H640" s="37" t="s">
        <v>23</v>
      </c>
      <c r="I640" s="39" t="s">
        <v>30</v>
      </c>
      <c r="J640" s="37">
        <v>0</v>
      </c>
      <c r="K640" s="37">
        <v>0</v>
      </c>
      <c r="L640" s="74" t="str">
        <f t="shared" si="68"/>
        <v/>
      </c>
      <c r="M640" s="65" t="str">
        <f t="shared" si="69"/>
        <v/>
      </c>
      <c r="N640" s="37"/>
      <c r="O640" s="37"/>
      <c r="P640" s="37">
        <v>0</v>
      </c>
      <c r="Q640" s="37">
        <v>0</v>
      </c>
      <c r="R640" s="37" t="s">
        <v>1520</v>
      </c>
      <c r="S640" s="37"/>
    </row>
    <row r="641" spans="1:19" x14ac:dyDescent="0.3">
      <c r="A641" s="41">
        <v>302</v>
      </c>
      <c r="B641" s="37" t="s">
        <v>1519</v>
      </c>
      <c r="C641" s="37" t="s">
        <v>1336</v>
      </c>
      <c r="D641" s="37" t="s">
        <v>21</v>
      </c>
      <c r="E641" s="37" t="s">
        <v>22</v>
      </c>
      <c r="F641" s="42">
        <v>45291</v>
      </c>
      <c r="G641" s="37">
        <v>2023</v>
      </c>
      <c r="H641" s="37" t="s">
        <v>27</v>
      </c>
      <c r="I641" s="39" t="s">
        <v>32</v>
      </c>
      <c r="J641" s="37">
        <v>0</v>
      </c>
      <c r="K641" s="37">
        <v>0</v>
      </c>
      <c r="L641" s="74" t="str">
        <f t="shared" si="68"/>
        <v/>
      </c>
      <c r="M641" s="65" t="str">
        <f t="shared" si="69"/>
        <v/>
      </c>
      <c r="N641" s="37"/>
      <c r="O641" s="37"/>
      <c r="P641" s="37">
        <v>0</v>
      </c>
      <c r="Q641" s="37">
        <v>0</v>
      </c>
      <c r="R641" s="37" t="s">
        <v>1521</v>
      </c>
      <c r="S641" s="37"/>
    </row>
    <row r="642" spans="1:19" x14ac:dyDescent="0.3">
      <c r="A642" s="37">
        <v>302</v>
      </c>
      <c r="B642" s="37" t="s">
        <v>1519</v>
      </c>
      <c r="C642" s="37" t="s">
        <v>1336</v>
      </c>
      <c r="D642" s="37" t="s">
        <v>21</v>
      </c>
      <c r="E642" s="37" t="s">
        <v>22</v>
      </c>
      <c r="F642" s="42">
        <v>45473</v>
      </c>
      <c r="G642" s="37">
        <v>2024</v>
      </c>
      <c r="H642" s="37" t="s">
        <v>23</v>
      </c>
      <c r="I642" s="39" t="s">
        <v>34</v>
      </c>
      <c r="J642" s="37">
        <v>0</v>
      </c>
      <c r="K642" s="37">
        <v>17878</v>
      </c>
      <c r="L642" s="65" t="str">
        <f t="shared" si="68"/>
        <v/>
      </c>
      <c r="M642" s="65" t="str">
        <f t="shared" si="69"/>
        <v/>
      </c>
      <c r="N642" s="37"/>
      <c r="O642" s="37"/>
      <c r="P642" s="37">
        <v>0</v>
      </c>
      <c r="Q642" s="37">
        <v>0</v>
      </c>
      <c r="R642" s="37" t="s">
        <v>1522</v>
      </c>
      <c r="S642" s="37"/>
    </row>
    <row r="643" spans="1:19" x14ac:dyDescent="0.3">
      <c r="A643" s="37">
        <v>302</v>
      </c>
      <c r="B643" s="37" t="s">
        <v>1519</v>
      </c>
      <c r="C643" s="37" t="s">
        <v>1336</v>
      </c>
      <c r="D643" s="37" t="s">
        <v>21</v>
      </c>
      <c r="E643" s="37" t="s">
        <v>22</v>
      </c>
      <c r="F643" s="42">
        <v>45657</v>
      </c>
      <c r="G643" s="37">
        <v>2024</v>
      </c>
      <c r="H643" s="37" t="s">
        <v>27</v>
      </c>
      <c r="I643" s="39" t="s">
        <v>36</v>
      </c>
      <c r="J643" s="37">
        <v>0</v>
      </c>
      <c r="K643" s="37">
        <v>19142</v>
      </c>
      <c r="L643" s="65" t="str">
        <f t="shared" si="68"/>
        <v/>
      </c>
      <c r="M643" s="65" t="str">
        <f t="shared" si="69"/>
        <v/>
      </c>
      <c r="N643" s="37"/>
      <c r="O643" s="37"/>
      <c r="P643" s="37">
        <v>0</v>
      </c>
      <c r="Q643" s="37">
        <v>0</v>
      </c>
      <c r="R643" s="37" t="s">
        <v>1523</v>
      </c>
      <c r="S643" s="37"/>
    </row>
    <row r="644" spans="1:19" x14ac:dyDescent="0.3">
      <c r="A644" s="45">
        <v>303</v>
      </c>
      <c r="B644" s="37" t="s">
        <v>1527</v>
      </c>
      <c r="C644" s="37" t="s">
        <v>1528</v>
      </c>
      <c r="D644" s="37" t="s">
        <v>21</v>
      </c>
      <c r="E644" s="37" t="s">
        <v>22</v>
      </c>
      <c r="F644" s="42">
        <v>45107</v>
      </c>
      <c r="G644" s="37">
        <v>2023</v>
      </c>
      <c r="H644" s="37" t="s">
        <v>23</v>
      </c>
      <c r="I644" s="39" t="s">
        <v>30</v>
      </c>
      <c r="J644" s="37">
        <v>100</v>
      </c>
      <c r="K644" s="37">
        <v>75.757575757576006</v>
      </c>
      <c r="L644" s="74">
        <f t="shared" ref="L644:L667" si="70">IFERROR(IF(OR(J644=0,K644=""),"",IF(E644="Positivo",MIN(MAX(K644/J644,0),1.3),MIN(MAX(J644/K644,0),1.3))),"")</f>
        <v>0.75757575757576001</v>
      </c>
      <c r="M644" s="65">
        <f t="shared" ref="M644:M667" si="71">IFERROR(IF(OR(J644=0,K644=""),"",IF(E644="Positivo",MAX(K644/J644,0),MAX(J644/K644,0))),"")</f>
        <v>0.75757575757576001</v>
      </c>
      <c r="N644" s="37" t="s">
        <v>25</v>
      </c>
      <c r="O644" s="37" t="s">
        <v>25</v>
      </c>
      <c r="P644" s="37">
        <v>0</v>
      </c>
      <c r="Q644" s="37">
        <v>0</v>
      </c>
      <c r="R644" s="37" t="s">
        <v>1529</v>
      </c>
      <c r="S644" s="37"/>
    </row>
    <row r="645" spans="1:19" x14ac:dyDescent="0.3">
      <c r="A645" s="41">
        <v>303</v>
      </c>
      <c r="B645" s="37" t="s">
        <v>1527</v>
      </c>
      <c r="C645" s="37" t="s">
        <v>1528</v>
      </c>
      <c r="D645" s="37" t="s">
        <v>21</v>
      </c>
      <c r="E645" s="37" t="s">
        <v>22</v>
      </c>
      <c r="F645" s="42">
        <v>45291</v>
      </c>
      <c r="G645" s="37">
        <v>2023</v>
      </c>
      <c r="H645" s="37" t="s">
        <v>27</v>
      </c>
      <c r="I645" s="39" t="s">
        <v>32</v>
      </c>
      <c r="J645" s="37">
        <v>100</v>
      </c>
      <c r="K645" s="37">
        <v>79.545454545454547</v>
      </c>
      <c r="L645" s="74">
        <f t="shared" si="70"/>
        <v>0.79545454545454541</v>
      </c>
      <c r="M645" s="65">
        <f t="shared" si="71"/>
        <v>0.79545454545454541</v>
      </c>
      <c r="N645" s="37" t="s">
        <v>25</v>
      </c>
      <c r="O645" s="37" t="s">
        <v>25</v>
      </c>
      <c r="P645" s="37">
        <v>0</v>
      </c>
      <c r="Q645" s="37">
        <v>0</v>
      </c>
      <c r="R645" s="37" t="s">
        <v>1530</v>
      </c>
      <c r="S645" s="37"/>
    </row>
    <row r="646" spans="1:19" x14ac:dyDescent="0.3">
      <c r="A646" s="37">
        <v>303</v>
      </c>
      <c r="B646" s="37" t="s">
        <v>1527</v>
      </c>
      <c r="C646" s="37" t="s">
        <v>1528</v>
      </c>
      <c r="D646" s="37" t="s">
        <v>21</v>
      </c>
      <c r="E646" s="37" t="s">
        <v>22</v>
      </c>
      <c r="F646" s="42">
        <v>45473</v>
      </c>
      <c r="G646" s="37">
        <v>2024</v>
      </c>
      <c r="H646" s="37" t="s">
        <v>23</v>
      </c>
      <c r="I646" s="39" t="s">
        <v>34</v>
      </c>
      <c r="J646" s="37">
        <v>95</v>
      </c>
      <c r="K646" s="37">
        <v>100</v>
      </c>
      <c r="L646" s="65">
        <f t="shared" si="70"/>
        <v>1.0526315789473684</v>
      </c>
      <c r="M646" s="65">
        <f t="shared" si="71"/>
        <v>1.0526315789473684</v>
      </c>
      <c r="N646" s="37" t="s">
        <v>25</v>
      </c>
      <c r="O646" s="37" t="s">
        <v>25</v>
      </c>
      <c r="P646" s="37">
        <v>0</v>
      </c>
      <c r="Q646" s="37">
        <v>0</v>
      </c>
      <c r="R646" s="37" t="s">
        <v>1531</v>
      </c>
      <c r="S646" s="37"/>
    </row>
    <row r="647" spans="1:19" x14ac:dyDescent="0.3">
      <c r="A647" s="37">
        <v>303</v>
      </c>
      <c r="B647" s="37" t="s">
        <v>1527</v>
      </c>
      <c r="C647" s="37" t="s">
        <v>1528</v>
      </c>
      <c r="D647" s="37" t="s">
        <v>21</v>
      </c>
      <c r="E647" s="37" t="s">
        <v>22</v>
      </c>
      <c r="F647" s="42">
        <v>45657</v>
      </c>
      <c r="G647" s="37">
        <v>2024</v>
      </c>
      <c r="H647" s="37" t="s">
        <v>27</v>
      </c>
      <c r="I647" s="39" t="s">
        <v>36</v>
      </c>
      <c r="J647" s="37">
        <v>95</v>
      </c>
      <c r="K647" s="37">
        <v>95.652173913043484</v>
      </c>
      <c r="L647" s="65">
        <f t="shared" si="70"/>
        <v>1.0068649885583525</v>
      </c>
      <c r="M647" s="65">
        <f t="shared" si="71"/>
        <v>1.0068649885583525</v>
      </c>
      <c r="N647" s="37" t="s">
        <v>25</v>
      </c>
      <c r="O647" s="37" t="s">
        <v>25</v>
      </c>
      <c r="P647" s="37">
        <v>0</v>
      </c>
      <c r="Q647" s="37">
        <v>0</v>
      </c>
      <c r="R647" s="37" t="s">
        <v>1532</v>
      </c>
      <c r="S647" s="37"/>
    </row>
    <row r="648" spans="1:19" x14ac:dyDescent="0.3">
      <c r="A648" s="45">
        <v>304</v>
      </c>
      <c r="B648" s="37" t="s">
        <v>1535</v>
      </c>
      <c r="C648" s="37" t="s">
        <v>1528</v>
      </c>
      <c r="D648" s="37" t="s">
        <v>21</v>
      </c>
      <c r="E648" s="37" t="s">
        <v>22</v>
      </c>
      <c r="F648" s="42">
        <v>45107</v>
      </c>
      <c r="G648" s="37">
        <v>2023</v>
      </c>
      <c r="H648" s="37" t="s">
        <v>23</v>
      </c>
      <c r="I648" s="39" t="s">
        <v>30</v>
      </c>
      <c r="J648" s="37">
        <v>1863</v>
      </c>
      <c r="K648" s="37">
        <v>3537</v>
      </c>
      <c r="L648" s="65">
        <f t="shared" si="70"/>
        <v>1.3</v>
      </c>
      <c r="M648" s="65">
        <f t="shared" si="71"/>
        <v>1.8985507246376812</v>
      </c>
      <c r="N648" s="37" t="s">
        <v>203</v>
      </c>
      <c r="O648" s="37" t="s">
        <v>203</v>
      </c>
      <c r="P648" s="37">
        <v>0</v>
      </c>
      <c r="Q648" s="37">
        <v>0</v>
      </c>
      <c r="R648" s="37" t="s">
        <v>1536</v>
      </c>
      <c r="S648" s="37"/>
    </row>
    <row r="649" spans="1:19" x14ac:dyDescent="0.3">
      <c r="A649" s="41">
        <v>304</v>
      </c>
      <c r="B649" s="37" t="s">
        <v>1535</v>
      </c>
      <c r="C649" s="37" t="s">
        <v>1528</v>
      </c>
      <c r="D649" s="37" t="s">
        <v>21</v>
      </c>
      <c r="E649" s="37" t="s">
        <v>22</v>
      </c>
      <c r="F649" s="42">
        <v>45291</v>
      </c>
      <c r="G649" s="37">
        <v>2023</v>
      </c>
      <c r="H649" s="37" t="s">
        <v>27</v>
      </c>
      <c r="I649" s="39" t="s">
        <v>32</v>
      </c>
      <c r="J649" s="37">
        <v>1863</v>
      </c>
      <c r="K649" s="37">
        <v>3285</v>
      </c>
      <c r="L649" s="65">
        <f t="shared" si="70"/>
        <v>1.3</v>
      </c>
      <c r="M649" s="65">
        <f t="shared" si="71"/>
        <v>1.7632850241545894</v>
      </c>
      <c r="N649" s="37" t="s">
        <v>203</v>
      </c>
      <c r="O649" s="37" t="s">
        <v>203</v>
      </c>
      <c r="P649" s="37">
        <v>0</v>
      </c>
      <c r="Q649" s="37">
        <v>0</v>
      </c>
      <c r="R649" s="37" t="s">
        <v>1537</v>
      </c>
      <c r="S649" s="37"/>
    </row>
    <row r="650" spans="1:19" x14ac:dyDescent="0.3">
      <c r="A650" s="37">
        <v>304</v>
      </c>
      <c r="B650" s="37" t="s">
        <v>1535</v>
      </c>
      <c r="C650" s="37" t="s">
        <v>1528</v>
      </c>
      <c r="D650" s="37" t="s">
        <v>21</v>
      </c>
      <c r="E650" s="37" t="s">
        <v>22</v>
      </c>
      <c r="F650" s="42">
        <v>45473</v>
      </c>
      <c r="G650" s="37">
        <v>2024</v>
      </c>
      <c r="H650" s="37" t="s">
        <v>23</v>
      </c>
      <c r="I650" s="39" t="s">
        <v>34</v>
      </c>
      <c r="J650" s="37">
        <v>3400</v>
      </c>
      <c r="K650" s="37">
        <v>3404</v>
      </c>
      <c r="L650" s="65">
        <f t="shared" si="70"/>
        <v>1.0011764705882353</v>
      </c>
      <c r="M650" s="65">
        <f t="shared" si="71"/>
        <v>1.0011764705882353</v>
      </c>
      <c r="N650" s="37" t="s">
        <v>203</v>
      </c>
      <c r="O650" s="37" t="s">
        <v>203</v>
      </c>
      <c r="P650" s="37">
        <v>0</v>
      </c>
      <c r="Q650" s="37">
        <v>0</v>
      </c>
      <c r="R650" s="37" t="s">
        <v>1538</v>
      </c>
      <c r="S650" s="37"/>
    </row>
    <row r="651" spans="1:19" x14ac:dyDescent="0.3">
      <c r="A651" s="37">
        <v>304</v>
      </c>
      <c r="B651" s="37" t="s">
        <v>1535</v>
      </c>
      <c r="C651" s="37" t="s">
        <v>1528</v>
      </c>
      <c r="D651" s="37" t="s">
        <v>21</v>
      </c>
      <c r="E651" s="37" t="s">
        <v>22</v>
      </c>
      <c r="F651" s="42">
        <v>45657</v>
      </c>
      <c r="G651" s="37">
        <v>2024</v>
      </c>
      <c r="H651" s="37" t="s">
        <v>27</v>
      </c>
      <c r="I651" s="39" t="s">
        <v>36</v>
      </c>
      <c r="J651" s="37">
        <v>3400</v>
      </c>
      <c r="K651" s="43">
        <v>2841</v>
      </c>
      <c r="L651" s="65">
        <f t="shared" si="70"/>
        <v>0.83558823529411763</v>
      </c>
      <c r="M651" s="65">
        <f t="shared" si="71"/>
        <v>0.83558823529411763</v>
      </c>
      <c r="N651" s="37" t="s">
        <v>203</v>
      </c>
      <c r="O651" s="37" t="s">
        <v>203</v>
      </c>
      <c r="P651" s="37">
        <v>0</v>
      </c>
      <c r="Q651" s="37">
        <v>0</v>
      </c>
      <c r="R651" s="37" t="s">
        <v>1539</v>
      </c>
      <c r="S651" s="37"/>
    </row>
    <row r="652" spans="1:19" x14ac:dyDescent="0.3">
      <c r="A652" s="41">
        <v>305</v>
      </c>
      <c r="B652" s="37" t="s">
        <v>1540</v>
      </c>
      <c r="C652" s="37" t="s">
        <v>1528</v>
      </c>
      <c r="D652" s="37" t="s">
        <v>139</v>
      </c>
      <c r="E652" s="37" t="s">
        <v>22</v>
      </c>
      <c r="F652" s="42">
        <v>45291</v>
      </c>
      <c r="G652" s="37">
        <v>2023</v>
      </c>
      <c r="H652" s="37" t="s">
        <v>27</v>
      </c>
      <c r="I652" s="39" t="s">
        <v>32</v>
      </c>
      <c r="J652" s="37">
        <v>100</v>
      </c>
      <c r="K652" s="37">
        <v>100</v>
      </c>
      <c r="L652" s="74">
        <f t="shared" si="70"/>
        <v>1</v>
      </c>
      <c r="M652" s="65">
        <f t="shared" si="71"/>
        <v>1</v>
      </c>
      <c r="N652" s="37" t="s">
        <v>25</v>
      </c>
      <c r="O652" s="37" t="s">
        <v>25</v>
      </c>
      <c r="P652" s="37">
        <v>0</v>
      </c>
      <c r="Q652" s="37">
        <v>0</v>
      </c>
      <c r="R652" s="37" t="s">
        <v>1541</v>
      </c>
      <c r="S652" s="37"/>
    </row>
    <row r="653" spans="1:19" x14ac:dyDescent="0.3">
      <c r="A653" s="37">
        <v>305</v>
      </c>
      <c r="B653" s="37" t="s">
        <v>1540</v>
      </c>
      <c r="C653" s="37" t="s">
        <v>1528</v>
      </c>
      <c r="D653" s="37" t="s">
        <v>139</v>
      </c>
      <c r="E653" s="37" t="s">
        <v>22</v>
      </c>
      <c r="F653" s="42">
        <v>45657</v>
      </c>
      <c r="G653" s="37">
        <v>2024</v>
      </c>
      <c r="H653" s="37" t="s">
        <v>27</v>
      </c>
      <c r="I653" s="39" t="s">
        <v>36</v>
      </c>
      <c r="J653" s="37">
        <v>100</v>
      </c>
      <c r="K653" s="37">
        <v>100</v>
      </c>
      <c r="L653" s="65">
        <f t="shared" si="70"/>
        <v>1</v>
      </c>
      <c r="M653" s="65">
        <f t="shared" si="71"/>
        <v>1</v>
      </c>
      <c r="N653" s="37"/>
      <c r="O653" s="37"/>
      <c r="P653" s="37">
        <v>0</v>
      </c>
      <c r="Q653" s="37">
        <v>0</v>
      </c>
      <c r="R653" s="37" t="s">
        <v>1542</v>
      </c>
      <c r="S653" s="37"/>
    </row>
    <row r="654" spans="1:19" x14ac:dyDescent="0.3">
      <c r="A654" s="41">
        <v>306</v>
      </c>
      <c r="B654" s="37" t="s">
        <v>1543</v>
      </c>
      <c r="C654" s="37" t="s">
        <v>1241</v>
      </c>
      <c r="D654" s="37" t="s">
        <v>39</v>
      </c>
      <c r="E654" s="37" t="s">
        <v>22</v>
      </c>
      <c r="F654" s="42">
        <v>45107</v>
      </c>
      <c r="G654" s="37">
        <v>2023</v>
      </c>
      <c r="H654" s="37" t="s">
        <v>23</v>
      </c>
      <c r="I654" s="39" t="s">
        <v>30</v>
      </c>
      <c r="J654" s="37">
        <v>100</v>
      </c>
      <c r="K654" s="37">
        <v>0</v>
      </c>
      <c r="L654" s="74">
        <f t="shared" si="70"/>
        <v>0</v>
      </c>
      <c r="M654" s="65">
        <f t="shared" si="71"/>
        <v>0</v>
      </c>
      <c r="N654" s="37" t="s">
        <v>25</v>
      </c>
      <c r="O654" s="37" t="s">
        <v>25</v>
      </c>
      <c r="P654" s="37">
        <v>0</v>
      </c>
      <c r="Q654" s="37">
        <v>0</v>
      </c>
      <c r="R654" s="37" t="s">
        <v>1545</v>
      </c>
      <c r="S654" s="37"/>
    </row>
    <row r="655" spans="1:19" x14ac:dyDescent="0.3">
      <c r="A655" s="45">
        <v>306</v>
      </c>
      <c r="B655" s="37" t="s">
        <v>1543</v>
      </c>
      <c r="C655" s="37" t="s">
        <v>1241</v>
      </c>
      <c r="D655" s="37" t="s">
        <v>39</v>
      </c>
      <c r="E655" s="37" t="s">
        <v>22</v>
      </c>
      <c r="F655" s="42">
        <v>45199</v>
      </c>
      <c r="G655" s="37">
        <v>2023</v>
      </c>
      <c r="H655" s="37" t="s">
        <v>43</v>
      </c>
      <c r="I655" s="39" t="s">
        <v>32</v>
      </c>
      <c r="J655" s="37">
        <v>100</v>
      </c>
      <c r="K655" s="37">
        <v>313</v>
      </c>
      <c r="L655" s="74">
        <f t="shared" si="70"/>
        <v>1.3</v>
      </c>
      <c r="M655" s="65">
        <f t="shared" si="71"/>
        <v>3.13</v>
      </c>
      <c r="N655" s="37" t="s">
        <v>25</v>
      </c>
      <c r="O655" s="37" t="s">
        <v>25</v>
      </c>
      <c r="P655" s="37">
        <v>0</v>
      </c>
      <c r="Q655" s="37">
        <v>0</v>
      </c>
      <c r="R655" s="37" t="s">
        <v>1546</v>
      </c>
      <c r="S655" s="37"/>
    </row>
    <row r="656" spans="1:19" x14ac:dyDescent="0.3">
      <c r="A656" s="41">
        <v>306</v>
      </c>
      <c r="B656" s="37" t="s">
        <v>1543</v>
      </c>
      <c r="C656" s="37" t="s">
        <v>1241</v>
      </c>
      <c r="D656" s="37" t="s">
        <v>39</v>
      </c>
      <c r="E656" s="37" t="s">
        <v>22</v>
      </c>
      <c r="F656" s="42">
        <v>45291</v>
      </c>
      <c r="G656" s="37">
        <v>2023</v>
      </c>
      <c r="H656" s="37" t="s">
        <v>27</v>
      </c>
      <c r="I656" s="39" t="s">
        <v>32</v>
      </c>
      <c r="J656" s="37">
        <v>100</v>
      </c>
      <c r="K656" s="37">
        <v>313</v>
      </c>
      <c r="L656" s="74">
        <f t="shared" si="70"/>
        <v>1.3</v>
      </c>
      <c r="M656" s="65">
        <f t="shared" si="71"/>
        <v>3.13</v>
      </c>
      <c r="N656" s="37" t="s">
        <v>25</v>
      </c>
      <c r="O656" s="37" t="s">
        <v>25</v>
      </c>
      <c r="P656" s="37">
        <v>0</v>
      </c>
      <c r="Q656" s="37">
        <v>0</v>
      </c>
      <c r="R656" s="37" t="s">
        <v>1547</v>
      </c>
      <c r="S656" s="37"/>
    </row>
    <row r="657" spans="1:19" x14ac:dyDescent="0.3">
      <c r="A657" s="37">
        <v>306</v>
      </c>
      <c r="B657" s="37" t="s">
        <v>1543</v>
      </c>
      <c r="C657" s="37" t="s">
        <v>1241</v>
      </c>
      <c r="D657" s="37" t="s">
        <v>39</v>
      </c>
      <c r="E657" s="37" t="s">
        <v>22</v>
      </c>
      <c r="F657" s="42">
        <v>45473</v>
      </c>
      <c r="G657" s="37">
        <v>2024</v>
      </c>
      <c r="H657" s="37" t="s">
        <v>23</v>
      </c>
      <c r="I657" s="39" t="s">
        <v>34</v>
      </c>
      <c r="J657" s="37">
        <v>100</v>
      </c>
      <c r="K657" s="37">
        <v>300.5</v>
      </c>
      <c r="L657" s="65">
        <f t="shared" si="70"/>
        <v>1.3</v>
      </c>
      <c r="M657" s="65">
        <f t="shared" si="71"/>
        <v>3.0049999999999999</v>
      </c>
      <c r="N657" s="37"/>
      <c r="O657" s="37"/>
      <c r="P657" s="37">
        <v>0</v>
      </c>
      <c r="Q657" s="37">
        <v>0</v>
      </c>
      <c r="R657" s="37" t="s">
        <v>1549</v>
      </c>
      <c r="S657" s="37"/>
    </row>
    <row r="658" spans="1:19" x14ac:dyDescent="0.3">
      <c r="A658" s="37">
        <v>306</v>
      </c>
      <c r="B658" s="37" t="s">
        <v>1543</v>
      </c>
      <c r="C658" s="37" t="s">
        <v>1241</v>
      </c>
      <c r="D658" s="37" t="s">
        <v>39</v>
      </c>
      <c r="E658" s="37" t="s">
        <v>22</v>
      </c>
      <c r="F658" s="42">
        <v>45657</v>
      </c>
      <c r="G658" s="37">
        <v>2024</v>
      </c>
      <c r="H658" s="37" t="s">
        <v>27</v>
      </c>
      <c r="I658" s="39" t="s">
        <v>36</v>
      </c>
      <c r="J658" s="37">
        <v>100</v>
      </c>
      <c r="K658" s="37">
        <v>50.5</v>
      </c>
      <c r="L658" s="65">
        <f t="shared" si="70"/>
        <v>0.505</v>
      </c>
      <c r="M658" s="65">
        <f t="shared" si="71"/>
        <v>0.505</v>
      </c>
      <c r="N658" s="37"/>
      <c r="O658" s="37"/>
      <c r="P658" s="37">
        <v>0</v>
      </c>
      <c r="Q658" s="37">
        <v>0</v>
      </c>
      <c r="R658" s="37" t="s">
        <v>1551</v>
      </c>
      <c r="S658" s="37"/>
    </row>
    <row r="659" spans="1:19" x14ac:dyDescent="0.3">
      <c r="A659" s="45">
        <v>307</v>
      </c>
      <c r="B659" s="37" t="s">
        <v>1555</v>
      </c>
      <c r="C659" s="37" t="s">
        <v>454</v>
      </c>
      <c r="D659" s="37" t="s">
        <v>21</v>
      </c>
      <c r="E659" s="37" t="s">
        <v>22</v>
      </c>
      <c r="F659" s="42">
        <v>45107</v>
      </c>
      <c r="G659" s="37">
        <v>2023</v>
      </c>
      <c r="H659" s="37" t="s">
        <v>23</v>
      </c>
      <c r="I659" s="39" t="s">
        <v>30</v>
      </c>
      <c r="J659" s="37">
        <v>20</v>
      </c>
      <c r="K659" s="37">
        <v>25</v>
      </c>
      <c r="L659" s="74">
        <f t="shared" si="70"/>
        <v>1.25</v>
      </c>
      <c r="M659" s="65">
        <f t="shared" si="71"/>
        <v>1.25</v>
      </c>
      <c r="N659" s="37"/>
      <c r="O659" s="37"/>
      <c r="P659" s="37">
        <v>0</v>
      </c>
      <c r="Q659" s="37">
        <v>0</v>
      </c>
      <c r="R659" s="37" t="s">
        <v>1556</v>
      </c>
      <c r="S659" s="37"/>
    </row>
    <row r="660" spans="1:19" x14ac:dyDescent="0.3">
      <c r="A660" s="41">
        <v>307</v>
      </c>
      <c r="B660" s="37" t="s">
        <v>1555</v>
      </c>
      <c r="C660" s="37" t="s">
        <v>454</v>
      </c>
      <c r="D660" s="37" t="s">
        <v>21</v>
      </c>
      <c r="E660" s="37" t="s">
        <v>22</v>
      </c>
      <c r="F660" s="42">
        <v>45291</v>
      </c>
      <c r="G660" s="37">
        <v>2023</v>
      </c>
      <c r="H660" s="37" t="s">
        <v>27</v>
      </c>
      <c r="I660" s="39" t="s">
        <v>32</v>
      </c>
      <c r="J660" s="37">
        <v>26</v>
      </c>
      <c r="K660" s="37">
        <v>82</v>
      </c>
      <c r="L660" s="74">
        <f t="shared" si="70"/>
        <v>1.3</v>
      </c>
      <c r="M660" s="65">
        <f t="shared" si="71"/>
        <v>3.1538461538461537</v>
      </c>
      <c r="N660" s="37"/>
      <c r="O660" s="37"/>
      <c r="P660" s="37">
        <v>0</v>
      </c>
      <c r="Q660" s="37">
        <v>0</v>
      </c>
      <c r="R660" s="37" t="s">
        <v>1557</v>
      </c>
      <c r="S660" s="37"/>
    </row>
    <row r="661" spans="1:19" x14ac:dyDescent="0.3">
      <c r="A661" s="37">
        <v>307</v>
      </c>
      <c r="B661" s="37" t="s">
        <v>1555</v>
      </c>
      <c r="C661" s="37" t="s">
        <v>454</v>
      </c>
      <c r="D661" s="37" t="s">
        <v>21</v>
      </c>
      <c r="E661" s="37" t="s">
        <v>22</v>
      </c>
      <c r="F661" s="42">
        <v>45473</v>
      </c>
      <c r="G661" s="37">
        <v>2024</v>
      </c>
      <c r="H661" s="37" t="s">
        <v>23</v>
      </c>
      <c r="I661" s="39" t="s">
        <v>34</v>
      </c>
      <c r="J661" s="37">
        <v>100</v>
      </c>
      <c r="K661" s="37">
        <v>112</v>
      </c>
      <c r="L661" s="65">
        <f t="shared" si="70"/>
        <v>1.1200000000000001</v>
      </c>
      <c r="M661" s="65">
        <f t="shared" si="71"/>
        <v>1.1200000000000001</v>
      </c>
      <c r="N661" s="37"/>
      <c r="O661" s="37"/>
      <c r="P661" s="37">
        <v>0</v>
      </c>
      <c r="Q661" s="37">
        <v>0</v>
      </c>
      <c r="R661" s="37" t="s">
        <v>1558</v>
      </c>
      <c r="S661" s="37"/>
    </row>
    <row r="662" spans="1:19" x14ac:dyDescent="0.3">
      <c r="A662" s="37">
        <v>307</v>
      </c>
      <c r="B662" s="37" t="s">
        <v>1555</v>
      </c>
      <c r="C662" s="37" t="s">
        <v>454</v>
      </c>
      <c r="D662" s="37" t="s">
        <v>21</v>
      </c>
      <c r="E662" s="37" t="s">
        <v>22</v>
      </c>
      <c r="F662" s="42">
        <v>45657</v>
      </c>
      <c r="G662" s="37">
        <v>2024</v>
      </c>
      <c r="H662" s="37" t="s">
        <v>27</v>
      </c>
      <c r="I662" s="39" t="s">
        <v>36</v>
      </c>
      <c r="J662" s="37">
        <v>100</v>
      </c>
      <c r="K662" s="37">
        <v>413.33</v>
      </c>
      <c r="L662" s="65">
        <f t="shared" si="70"/>
        <v>1.3</v>
      </c>
      <c r="M662" s="65">
        <f t="shared" si="71"/>
        <v>4.1333000000000002</v>
      </c>
      <c r="N662" s="37"/>
      <c r="O662" s="37"/>
      <c r="P662" s="37">
        <v>0</v>
      </c>
      <c r="Q662" s="37">
        <v>0</v>
      </c>
      <c r="R662" s="37" t="s">
        <v>1559</v>
      </c>
      <c r="S662" s="37"/>
    </row>
    <row r="663" spans="1:19" x14ac:dyDescent="0.3">
      <c r="A663" s="45">
        <v>308</v>
      </c>
      <c r="B663" s="37" t="s">
        <v>1560</v>
      </c>
      <c r="C663" s="37" t="s">
        <v>454</v>
      </c>
      <c r="D663" s="37" t="s">
        <v>21</v>
      </c>
      <c r="E663" s="37" t="s">
        <v>22</v>
      </c>
      <c r="F663" s="42">
        <v>45107</v>
      </c>
      <c r="G663" s="37">
        <v>2023</v>
      </c>
      <c r="H663" s="37" t="s">
        <v>23</v>
      </c>
      <c r="I663" s="39" t="s">
        <v>30</v>
      </c>
      <c r="J663" s="37">
        <v>12</v>
      </c>
      <c r="K663" s="3">
        <v>27</v>
      </c>
      <c r="L663" s="74">
        <f t="shared" si="70"/>
        <v>1.3</v>
      </c>
      <c r="M663" s="65">
        <f t="shared" si="71"/>
        <v>2.25</v>
      </c>
      <c r="N663" s="37"/>
      <c r="O663" s="37"/>
      <c r="P663" s="37">
        <v>0</v>
      </c>
      <c r="Q663" s="37">
        <v>0</v>
      </c>
      <c r="R663" s="37" t="s">
        <v>1561</v>
      </c>
      <c r="S663" s="37"/>
    </row>
    <row r="664" spans="1:19" x14ac:dyDescent="0.3">
      <c r="A664" s="41">
        <v>308</v>
      </c>
      <c r="B664" s="37" t="s">
        <v>1560</v>
      </c>
      <c r="C664" s="37" t="s">
        <v>454</v>
      </c>
      <c r="D664" s="37" t="s">
        <v>21</v>
      </c>
      <c r="E664" s="37" t="s">
        <v>22</v>
      </c>
      <c r="F664" s="42">
        <v>45291</v>
      </c>
      <c r="G664" s="37">
        <v>2023</v>
      </c>
      <c r="H664" s="37" t="s">
        <v>27</v>
      </c>
      <c r="I664" s="39" t="s">
        <v>32</v>
      </c>
      <c r="J664" s="37">
        <v>20</v>
      </c>
      <c r="K664" s="3">
        <v>54</v>
      </c>
      <c r="L664" s="74">
        <f t="shared" si="70"/>
        <v>1.3</v>
      </c>
      <c r="M664" s="65">
        <f t="shared" si="71"/>
        <v>2.7</v>
      </c>
      <c r="N664" s="37"/>
      <c r="O664" s="37"/>
      <c r="P664" s="37">
        <v>0</v>
      </c>
      <c r="Q664" s="37">
        <v>0</v>
      </c>
      <c r="R664" s="37" t="s">
        <v>1562</v>
      </c>
      <c r="S664" s="37"/>
    </row>
    <row r="665" spans="1:19" x14ac:dyDescent="0.3">
      <c r="A665" s="37">
        <v>308</v>
      </c>
      <c r="B665" s="37" t="s">
        <v>1560</v>
      </c>
      <c r="C665" s="37" t="s">
        <v>454</v>
      </c>
      <c r="D665" s="37" t="s">
        <v>21</v>
      </c>
      <c r="E665" s="37" t="s">
        <v>22</v>
      </c>
      <c r="F665" s="42">
        <v>45473</v>
      </c>
      <c r="G665" s="37">
        <v>2024</v>
      </c>
      <c r="H665" s="37" t="s">
        <v>23</v>
      </c>
      <c r="I665" s="39" t="s">
        <v>34</v>
      </c>
      <c r="J665" s="37">
        <v>100</v>
      </c>
      <c r="K665" s="37">
        <v>100</v>
      </c>
      <c r="L665" s="65">
        <f t="shared" si="70"/>
        <v>1</v>
      </c>
      <c r="M665" s="65">
        <f t="shared" si="71"/>
        <v>1</v>
      </c>
      <c r="N665" s="37"/>
      <c r="O665" s="37"/>
      <c r="P665" s="37">
        <v>0</v>
      </c>
      <c r="Q665" s="37">
        <v>0</v>
      </c>
      <c r="R665" s="37" t="s">
        <v>1563</v>
      </c>
      <c r="S665" s="37"/>
    </row>
    <row r="666" spans="1:19" x14ac:dyDescent="0.3">
      <c r="A666" s="37">
        <v>308</v>
      </c>
      <c r="B666" s="37" t="s">
        <v>1560</v>
      </c>
      <c r="C666" s="37" t="s">
        <v>454</v>
      </c>
      <c r="D666" s="37" t="s">
        <v>21</v>
      </c>
      <c r="E666" s="37" t="s">
        <v>22</v>
      </c>
      <c r="F666" s="42">
        <v>45657</v>
      </c>
      <c r="G666" s="37">
        <v>2024</v>
      </c>
      <c r="H666" s="37" t="s">
        <v>27</v>
      </c>
      <c r="I666" s="39" t="s">
        <v>36</v>
      </c>
      <c r="J666" s="37">
        <v>100</v>
      </c>
      <c r="K666" s="37">
        <v>100</v>
      </c>
      <c r="L666" s="65">
        <f t="shared" si="70"/>
        <v>1</v>
      </c>
      <c r="M666" s="65">
        <f t="shared" si="71"/>
        <v>1</v>
      </c>
      <c r="N666" s="37"/>
      <c r="O666" s="37"/>
      <c r="P666" s="37">
        <v>0</v>
      </c>
      <c r="Q666" s="37">
        <v>0</v>
      </c>
      <c r="R666" s="37" t="s">
        <v>1564</v>
      </c>
      <c r="S666" s="37"/>
    </row>
    <row r="667" spans="1:19" x14ac:dyDescent="0.3">
      <c r="A667" s="45">
        <v>309</v>
      </c>
      <c r="B667" s="37" t="s">
        <v>1565</v>
      </c>
      <c r="C667" s="37" t="s">
        <v>454</v>
      </c>
      <c r="D667" s="37" t="s">
        <v>21</v>
      </c>
      <c r="E667" s="37" t="s">
        <v>22</v>
      </c>
      <c r="F667" s="42">
        <v>45107</v>
      </c>
      <c r="G667" s="37">
        <v>2023</v>
      </c>
      <c r="H667" s="37" t="s">
        <v>23</v>
      </c>
      <c r="I667" s="39" t="s">
        <v>30</v>
      </c>
      <c r="J667" s="37">
        <v>19</v>
      </c>
      <c r="K667" s="3">
        <v>27</v>
      </c>
      <c r="L667" s="74">
        <f t="shared" si="70"/>
        <v>1.3</v>
      </c>
      <c r="M667" s="65">
        <f t="shared" si="71"/>
        <v>1.4210526315789473</v>
      </c>
      <c r="N667" s="37"/>
      <c r="O667" s="37"/>
      <c r="P667" s="37">
        <v>0</v>
      </c>
      <c r="Q667" s="37">
        <v>0</v>
      </c>
      <c r="R667" s="37" t="s">
        <v>1566</v>
      </c>
      <c r="S667" s="37"/>
    </row>
    <row r="668" spans="1:19" x14ac:dyDescent="0.3">
      <c r="A668" s="41">
        <v>309</v>
      </c>
      <c r="B668" s="37" t="s">
        <v>1565</v>
      </c>
      <c r="C668" s="37" t="s">
        <v>454</v>
      </c>
      <c r="D668" s="37" t="s">
        <v>21</v>
      </c>
      <c r="E668" s="37" t="s">
        <v>22</v>
      </c>
      <c r="F668" s="42">
        <v>45291</v>
      </c>
      <c r="G668" s="37">
        <v>2023</v>
      </c>
      <c r="H668" s="37" t="s">
        <v>27</v>
      </c>
      <c r="I668" s="39" t="s">
        <v>32</v>
      </c>
      <c r="J668" s="37">
        <v>45</v>
      </c>
      <c r="K668" s="3">
        <v>76</v>
      </c>
      <c r="L668" s="74">
        <f t="shared" ref="L668:L692" si="72">IFERROR(IF(OR(J668=0,K668=""),"",IF(E668="Positivo",MIN(MAX(K668/J668,0),1.3),MIN(MAX(J668/K668,0),1.3))),"")</f>
        <v>1.3</v>
      </c>
      <c r="M668" s="65">
        <f t="shared" ref="M668:M692" si="73">IFERROR(IF(OR(J668=0,K668=""),"",IF(E668="Positivo",MAX(K668/J668,0),MAX(J668/K668,0))),"")</f>
        <v>1.6888888888888889</v>
      </c>
      <c r="N668" s="37"/>
      <c r="O668" s="37"/>
      <c r="P668" s="37">
        <v>0</v>
      </c>
      <c r="Q668" s="37">
        <v>0</v>
      </c>
      <c r="R668" s="37" t="s">
        <v>1567</v>
      </c>
      <c r="S668" s="37"/>
    </row>
    <row r="669" spans="1:19" x14ac:dyDescent="0.3">
      <c r="A669" s="37">
        <v>309</v>
      </c>
      <c r="B669" s="37" t="s">
        <v>1569</v>
      </c>
      <c r="C669" s="37" t="s">
        <v>454</v>
      </c>
      <c r="D669" s="37" t="s">
        <v>21</v>
      </c>
      <c r="E669" s="37" t="s">
        <v>22</v>
      </c>
      <c r="F669" s="42">
        <v>45473</v>
      </c>
      <c r="G669" s="37">
        <v>2024</v>
      </c>
      <c r="H669" s="37" t="s">
        <v>23</v>
      </c>
      <c r="I669" s="39" t="s">
        <v>34</v>
      </c>
      <c r="J669" s="37">
        <v>100</v>
      </c>
      <c r="K669" s="37">
        <v>216</v>
      </c>
      <c r="L669" s="65">
        <f t="shared" si="72"/>
        <v>1.3</v>
      </c>
      <c r="M669" s="65">
        <f t="shared" si="73"/>
        <v>2.16</v>
      </c>
      <c r="N669" s="37"/>
      <c r="O669" s="37"/>
      <c r="P669" s="37">
        <v>0</v>
      </c>
      <c r="Q669" s="37">
        <v>0</v>
      </c>
      <c r="R669" s="37" t="s">
        <v>1568</v>
      </c>
      <c r="S669" s="37"/>
    </row>
    <row r="670" spans="1:19" x14ac:dyDescent="0.3">
      <c r="A670" s="37">
        <v>309</v>
      </c>
      <c r="B670" s="37" t="s">
        <v>1569</v>
      </c>
      <c r="C670" s="37" t="s">
        <v>454</v>
      </c>
      <c r="D670" s="37" t="s">
        <v>21</v>
      </c>
      <c r="E670" s="37" t="s">
        <v>22</v>
      </c>
      <c r="F670" s="42">
        <v>45657</v>
      </c>
      <c r="G670" s="37">
        <v>2024</v>
      </c>
      <c r="H670" s="37" t="s">
        <v>27</v>
      </c>
      <c r="I670" s="39" t="s">
        <v>36</v>
      </c>
      <c r="J670" s="37">
        <v>100</v>
      </c>
      <c r="K670" s="37">
        <v>154.66999999999999</v>
      </c>
      <c r="L670" s="65">
        <f t="shared" si="72"/>
        <v>1.3</v>
      </c>
      <c r="M670" s="65">
        <f t="shared" si="73"/>
        <v>1.5467</v>
      </c>
      <c r="N670" s="37"/>
      <c r="O670" s="37"/>
      <c r="P670" s="37">
        <v>0</v>
      </c>
      <c r="Q670" s="37">
        <v>0</v>
      </c>
      <c r="R670" s="37" t="s">
        <v>1570</v>
      </c>
      <c r="S670" s="37"/>
    </row>
    <row r="671" spans="1:19" x14ac:dyDescent="0.3">
      <c r="A671" s="45">
        <v>310</v>
      </c>
      <c r="B671" s="37" t="s">
        <v>1571</v>
      </c>
      <c r="C671" s="37" t="s">
        <v>454</v>
      </c>
      <c r="D671" s="37" t="s">
        <v>21</v>
      </c>
      <c r="E671" s="37" t="s">
        <v>22</v>
      </c>
      <c r="F671" s="42">
        <v>45107</v>
      </c>
      <c r="G671" s="37">
        <v>2023</v>
      </c>
      <c r="H671" s="37" t="s">
        <v>23</v>
      </c>
      <c r="I671" s="39" t="s">
        <v>30</v>
      </c>
      <c r="J671" s="37">
        <v>14</v>
      </c>
      <c r="K671" s="37">
        <v>48</v>
      </c>
      <c r="L671" s="74">
        <f t="shared" si="72"/>
        <v>1.3</v>
      </c>
      <c r="M671" s="65">
        <f t="shared" si="73"/>
        <v>3.4285714285714284</v>
      </c>
      <c r="N671" s="37"/>
      <c r="O671" s="37"/>
      <c r="P671" s="37">
        <v>0</v>
      </c>
      <c r="Q671" s="37">
        <v>0</v>
      </c>
      <c r="R671" s="37" t="s">
        <v>1572</v>
      </c>
      <c r="S671" s="37"/>
    </row>
    <row r="672" spans="1:19" x14ac:dyDescent="0.3">
      <c r="A672" s="41">
        <v>310</v>
      </c>
      <c r="B672" s="37" t="s">
        <v>1571</v>
      </c>
      <c r="C672" s="37" t="s">
        <v>454</v>
      </c>
      <c r="D672" s="37" t="s">
        <v>21</v>
      </c>
      <c r="E672" s="37" t="s">
        <v>22</v>
      </c>
      <c r="F672" s="42">
        <v>45291</v>
      </c>
      <c r="G672" s="37">
        <v>2023</v>
      </c>
      <c r="H672" s="37" t="s">
        <v>27</v>
      </c>
      <c r="I672" s="39" t="s">
        <v>32</v>
      </c>
      <c r="J672" s="37">
        <v>70</v>
      </c>
      <c r="K672" s="37">
        <v>118</v>
      </c>
      <c r="L672" s="74">
        <f t="shared" si="72"/>
        <v>1.3</v>
      </c>
      <c r="M672" s="65">
        <f t="shared" si="73"/>
        <v>1.6857142857142857</v>
      </c>
      <c r="N672" s="37"/>
      <c r="O672" s="37"/>
      <c r="P672" s="37">
        <v>0</v>
      </c>
      <c r="Q672" s="37">
        <v>0</v>
      </c>
      <c r="R672" s="37" t="s">
        <v>1573</v>
      </c>
      <c r="S672" s="37"/>
    </row>
    <row r="673" spans="1:19" x14ac:dyDescent="0.3">
      <c r="A673" s="37">
        <v>310</v>
      </c>
      <c r="B673" s="37" t="s">
        <v>1571</v>
      </c>
      <c r="C673" s="37" t="s">
        <v>454</v>
      </c>
      <c r="D673" s="37" t="s">
        <v>21</v>
      </c>
      <c r="E673" s="37" t="s">
        <v>22</v>
      </c>
      <c r="F673" s="42">
        <v>45473</v>
      </c>
      <c r="G673" s="37">
        <v>2024</v>
      </c>
      <c r="H673" s="37" t="s">
        <v>23</v>
      </c>
      <c r="I673" s="39" t="s">
        <v>34</v>
      </c>
      <c r="J673" s="37">
        <v>100</v>
      </c>
      <c r="K673" s="37">
        <v>95.56</v>
      </c>
      <c r="L673" s="65">
        <f t="shared" si="72"/>
        <v>0.9556</v>
      </c>
      <c r="M673" s="65">
        <f t="shared" si="73"/>
        <v>0.9556</v>
      </c>
      <c r="N673" s="37"/>
      <c r="O673" s="37"/>
      <c r="P673" s="37">
        <v>0</v>
      </c>
      <c r="Q673" s="37">
        <v>0</v>
      </c>
      <c r="R673" s="37" t="s">
        <v>1574</v>
      </c>
      <c r="S673" s="37"/>
    </row>
    <row r="674" spans="1:19" x14ac:dyDescent="0.3">
      <c r="A674" s="37">
        <v>310</v>
      </c>
      <c r="B674" s="37" t="s">
        <v>1571</v>
      </c>
      <c r="C674" s="37" t="s">
        <v>454</v>
      </c>
      <c r="D674" s="37" t="s">
        <v>21</v>
      </c>
      <c r="E674" s="37" t="s">
        <v>22</v>
      </c>
      <c r="F674" s="42">
        <v>45657</v>
      </c>
      <c r="G674" s="37">
        <v>2024</v>
      </c>
      <c r="H674" s="37" t="s">
        <v>27</v>
      </c>
      <c r="I674" s="39" t="s">
        <v>36</v>
      </c>
      <c r="J674" s="37">
        <v>100</v>
      </c>
      <c r="K674" s="37">
        <v>79.13</v>
      </c>
      <c r="L674" s="65">
        <f t="shared" si="72"/>
        <v>0.7913</v>
      </c>
      <c r="M674" s="65">
        <f t="shared" si="73"/>
        <v>0.7913</v>
      </c>
      <c r="N674" s="37"/>
      <c r="O674" s="37"/>
      <c r="P674" s="37">
        <v>0</v>
      </c>
      <c r="Q674" s="37">
        <v>0</v>
      </c>
      <c r="R674" s="37" t="s">
        <v>1575</v>
      </c>
      <c r="S674" s="37"/>
    </row>
    <row r="675" spans="1:19" x14ac:dyDescent="0.3">
      <c r="A675" s="45">
        <v>311</v>
      </c>
      <c r="B675" s="37" t="s">
        <v>1576</v>
      </c>
      <c r="C675" s="37" t="s">
        <v>454</v>
      </c>
      <c r="D675" s="37" t="s">
        <v>21</v>
      </c>
      <c r="E675" s="37" t="s">
        <v>22</v>
      </c>
      <c r="F675" s="42">
        <v>45107</v>
      </c>
      <c r="G675" s="37">
        <v>2023</v>
      </c>
      <c r="H675" s="37" t="s">
        <v>23</v>
      </c>
      <c r="I675" s="39" t="s">
        <v>30</v>
      </c>
      <c r="J675" s="37">
        <v>22</v>
      </c>
      <c r="K675" s="37">
        <v>85</v>
      </c>
      <c r="L675" s="74">
        <f t="shared" si="72"/>
        <v>1.3</v>
      </c>
      <c r="M675" s="65">
        <f t="shared" si="73"/>
        <v>3.8636363636363638</v>
      </c>
      <c r="N675" s="37"/>
      <c r="O675" s="37"/>
      <c r="P675" s="37">
        <v>0</v>
      </c>
      <c r="Q675" s="37">
        <v>0</v>
      </c>
      <c r="R675" s="37" t="s">
        <v>1577</v>
      </c>
      <c r="S675" s="37"/>
    </row>
    <row r="676" spans="1:19" x14ac:dyDescent="0.3">
      <c r="A676" s="41">
        <v>311</v>
      </c>
      <c r="B676" s="37" t="s">
        <v>1576</v>
      </c>
      <c r="C676" s="37" t="s">
        <v>454</v>
      </c>
      <c r="D676" s="37" t="s">
        <v>21</v>
      </c>
      <c r="E676" s="37" t="s">
        <v>22</v>
      </c>
      <c r="F676" s="42">
        <v>45291</v>
      </c>
      <c r="G676" s="37">
        <v>2023</v>
      </c>
      <c r="H676" s="37" t="s">
        <v>27</v>
      </c>
      <c r="I676" s="39" t="s">
        <v>32</v>
      </c>
      <c r="J676" s="37">
        <v>245</v>
      </c>
      <c r="K676" s="37">
        <v>247</v>
      </c>
      <c r="L676" s="74">
        <f t="shared" si="72"/>
        <v>1.0081632653061225</v>
      </c>
      <c r="M676" s="65">
        <f t="shared" si="73"/>
        <v>1.0081632653061225</v>
      </c>
      <c r="N676" s="37"/>
      <c r="O676" s="37"/>
      <c r="P676" s="37">
        <v>0</v>
      </c>
      <c r="Q676" s="37">
        <v>0</v>
      </c>
      <c r="R676" s="37" t="s">
        <v>1578</v>
      </c>
      <c r="S676" s="37"/>
    </row>
    <row r="677" spans="1:19" x14ac:dyDescent="0.3">
      <c r="A677" s="37">
        <v>311</v>
      </c>
      <c r="B677" s="37" t="s">
        <v>1576</v>
      </c>
      <c r="C677" s="37" t="s">
        <v>454</v>
      </c>
      <c r="D677" s="37" t="s">
        <v>21</v>
      </c>
      <c r="E677" s="37" t="s">
        <v>22</v>
      </c>
      <c r="F677" s="42">
        <v>45473</v>
      </c>
      <c r="G677" s="37">
        <v>2024</v>
      </c>
      <c r="H677" s="37" t="s">
        <v>23</v>
      </c>
      <c r="I677" s="39" t="s">
        <v>34</v>
      </c>
      <c r="J677" s="37">
        <v>100</v>
      </c>
      <c r="K677" s="37">
        <v>117.65</v>
      </c>
      <c r="L677" s="65">
        <f t="shared" si="72"/>
        <v>1.1765000000000001</v>
      </c>
      <c r="M677" s="65">
        <f t="shared" si="73"/>
        <v>1.1765000000000001</v>
      </c>
      <c r="N677" s="37"/>
      <c r="O677" s="37"/>
      <c r="P677" s="37">
        <v>0</v>
      </c>
      <c r="Q677" s="37">
        <v>0</v>
      </c>
      <c r="R677" s="37" t="s">
        <v>1579</v>
      </c>
      <c r="S677" s="37"/>
    </row>
    <row r="678" spans="1:19" x14ac:dyDescent="0.3">
      <c r="A678" s="37">
        <v>311</v>
      </c>
      <c r="B678" s="37" t="s">
        <v>1576</v>
      </c>
      <c r="C678" s="37" t="s">
        <v>454</v>
      </c>
      <c r="D678" s="37" t="s">
        <v>21</v>
      </c>
      <c r="E678" s="37" t="s">
        <v>22</v>
      </c>
      <c r="F678" s="42">
        <v>45657</v>
      </c>
      <c r="G678" s="37">
        <v>2024</v>
      </c>
      <c r="H678" s="37" t="s">
        <v>27</v>
      </c>
      <c r="I678" s="39" t="s">
        <v>36</v>
      </c>
      <c r="J678" s="37">
        <v>100</v>
      </c>
      <c r="K678" s="37">
        <v>67.760000000000005</v>
      </c>
      <c r="L678" s="65">
        <f t="shared" si="72"/>
        <v>0.67760000000000009</v>
      </c>
      <c r="M678" s="65">
        <f t="shared" si="73"/>
        <v>0.67760000000000009</v>
      </c>
      <c r="N678" s="37"/>
      <c r="O678" s="37"/>
      <c r="P678" s="37">
        <v>0</v>
      </c>
      <c r="Q678" s="37">
        <v>0</v>
      </c>
      <c r="R678" s="37" t="s">
        <v>1580</v>
      </c>
      <c r="S678" s="37"/>
    </row>
    <row r="679" spans="1:19" x14ac:dyDescent="0.3">
      <c r="A679" s="45">
        <v>312</v>
      </c>
      <c r="B679" s="37" t="s">
        <v>1581</v>
      </c>
      <c r="C679" s="37" t="s">
        <v>454</v>
      </c>
      <c r="D679" s="37" t="s">
        <v>21</v>
      </c>
      <c r="E679" s="37" t="s">
        <v>22</v>
      </c>
      <c r="F679" s="42">
        <v>45107</v>
      </c>
      <c r="G679" s="37">
        <v>2023</v>
      </c>
      <c r="H679" s="37" t="s">
        <v>23</v>
      </c>
      <c r="I679" s="39" t="s">
        <v>30</v>
      </c>
      <c r="J679" s="37">
        <v>113</v>
      </c>
      <c r="K679" s="37">
        <v>125</v>
      </c>
      <c r="L679" s="74">
        <f t="shared" si="72"/>
        <v>1.1061946902654867</v>
      </c>
      <c r="M679" s="65">
        <f t="shared" si="73"/>
        <v>1.1061946902654867</v>
      </c>
      <c r="N679" s="37"/>
      <c r="O679" s="37"/>
      <c r="P679" s="37">
        <v>0</v>
      </c>
      <c r="Q679" s="37">
        <v>0</v>
      </c>
      <c r="R679" s="37" t="s">
        <v>1582</v>
      </c>
      <c r="S679" s="37"/>
    </row>
    <row r="680" spans="1:19" x14ac:dyDescent="0.3">
      <c r="A680" s="41">
        <v>312</v>
      </c>
      <c r="B680" s="37" t="s">
        <v>1581</v>
      </c>
      <c r="C680" s="37" t="s">
        <v>454</v>
      </c>
      <c r="D680" s="37" t="s">
        <v>21</v>
      </c>
      <c r="E680" s="37" t="s">
        <v>22</v>
      </c>
      <c r="F680" s="42">
        <v>45291</v>
      </c>
      <c r="G680" s="37">
        <v>2023</v>
      </c>
      <c r="H680" s="37" t="s">
        <v>27</v>
      </c>
      <c r="I680" s="39" t="s">
        <v>32</v>
      </c>
      <c r="J680" s="37">
        <v>108</v>
      </c>
      <c r="K680" s="37">
        <v>118</v>
      </c>
      <c r="L680" s="74">
        <f t="shared" si="72"/>
        <v>1.0925925925925926</v>
      </c>
      <c r="M680" s="65">
        <f t="shared" si="73"/>
        <v>1.0925925925925926</v>
      </c>
      <c r="N680" s="37"/>
      <c r="O680" s="37"/>
      <c r="P680" s="37">
        <v>0</v>
      </c>
      <c r="Q680" s="37">
        <v>0</v>
      </c>
      <c r="R680" s="37" t="s">
        <v>1583</v>
      </c>
      <c r="S680" s="37"/>
    </row>
    <row r="681" spans="1:19" x14ac:dyDescent="0.3">
      <c r="A681" s="37">
        <v>312</v>
      </c>
      <c r="B681" s="37" t="s">
        <v>1581</v>
      </c>
      <c r="C681" s="37" t="s">
        <v>454</v>
      </c>
      <c r="D681" s="37" t="s">
        <v>21</v>
      </c>
      <c r="E681" s="37" t="s">
        <v>22</v>
      </c>
      <c r="F681" s="42">
        <v>45473</v>
      </c>
      <c r="G681" s="37">
        <v>2024</v>
      </c>
      <c r="H681" s="37" t="s">
        <v>23</v>
      </c>
      <c r="I681" s="39" t="s">
        <v>34</v>
      </c>
      <c r="J681" s="37">
        <v>100</v>
      </c>
      <c r="K681" s="37">
        <v>126</v>
      </c>
      <c r="L681" s="65">
        <f t="shared" si="72"/>
        <v>1.26</v>
      </c>
      <c r="M681" s="65">
        <f t="shared" si="73"/>
        <v>1.26</v>
      </c>
      <c r="N681" s="37"/>
      <c r="O681" s="37"/>
      <c r="P681" s="37">
        <v>0</v>
      </c>
      <c r="Q681" s="37">
        <v>0</v>
      </c>
      <c r="R681" s="37" t="s">
        <v>1584</v>
      </c>
      <c r="S681" s="37"/>
    </row>
    <row r="682" spans="1:19" x14ac:dyDescent="0.3">
      <c r="A682" s="37">
        <v>312</v>
      </c>
      <c r="B682" s="37" t="s">
        <v>1581</v>
      </c>
      <c r="C682" s="37" t="s">
        <v>454</v>
      </c>
      <c r="D682" s="37" t="s">
        <v>21</v>
      </c>
      <c r="E682" s="37" t="s">
        <v>22</v>
      </c>
      <c r="F682" s="42">
        <v>45657</v>
      </c>
      <c r="G682" s="37">
        <v>2024</v>
      </c>
      <c r="H682" s="37" t="s">
        <v>27</v>
      </c>
      <c r="I682" s="39" t="s">
        <v>36</v>
      </c>
      <c r="J682" s="37">
        <v>100</v>
      </c>
      <c r="K682" s="37">
        <v>137</v>
      </c>
      <c r="L682" s="65">
        <f t="shared" si="72"/>
        <v>1.3</v>
      </c>
      <c r="M682" s="65">
        <f t="shared" si="73"/>
        <v>1.37</v>
      </c>
      <c r="N682" s="37"/>
      <c r="O682" s="37"/>
      <c r="P682" s="37">
        <v>0</v>
      </c>
      <c r="Q682" s="37">
        <v>0</v>
      </c>
      <c r="R682" s="37" t="s">
        <v>1585</v>
      </c>
      <c r="S682" s="37"/>
    </row>
    <row r="683" spans="1:19" x14ac:dyDescent="0.3">
      <c r="A683" s="45">
        <v>313</v>
      </c>
      <c r="B683" s="37" t="s">
        <v>1586</v>
      </c>
      <c r="C683" s="37" t="s">
        <v>454</v>
      </c>
      <c r="D683" s="37" t="s">
        <v>21</v>
      </c>
      <c r="E683" s="37" t="s">
        <v>22</v>
      </c>
      <c r="F683" s="42">
        <v>45107</v>
      </c>
      <c r="G683" s="37">
        <v>2023</v>
      </c>
      <c r="H683" s="37" t="s">
        <v>23</v>
      </c>
      <c r="I683" s="39" t="s">
        <v>30</v>
      </c>
      <c r="J683" s="37">
        <v>13</v>
      </c>
      <c r="K683" s="37">
        <v>13</v>
      </c>
      <c r="L683" s="74">
        <f t="shared" si="72"/>
        <v>1</v>
      </c>
      <c r="M683" s="65">
        <f t="shared" si="73"/>
        <v>1</v>
      </c>
      <c r="N683" s="37"/>
      <c r="O683" s="37"/>
      <c r="P683" s="37">
        <v>0</v>
      </c>
      <c r="Q683" s="37">
        <v>0</v>
      </c>
      <c r="R683" s="37" t="s">
        <v>1587</v>
      </c>
      <c r="S683" s="37"/>
    </row>
    <row r="684" spans="1:19" x14ac:dyDescent="0.3">
      <c r="A684" s="41">
        <v>313</v>
      </c>
      <c r="B684" s="37" t="s">
        <v>1586</v>
      </c>
      <c r="C684" s="37" t="s">
        <v>454</v>
      </c>
      <c r="D684" s="37" t="s">
        <v>21</v>
      </c>
      <c r="E684" s="37" t="s">
        <v>22</v>
      </c>
      <c r="F684" s="42">
        <v>45291</v>
      </c>
      <c r="G684" s="37">
        <v>2023</v>
      </c>
      <c r="H684" s="37" t="s">
        <v>27</v>
      </c>
      <c r="I684" s="39" t="s">
        <v>32</v>
      </c>
      <c r="J684" s="37">
        <v>15</v>
      </c>
      <c r="K684" s="37">
        <v>12</v>
      </c>
      <c r="L684" s="74">
        <f t="shared" si="72"/>
        <v>0.8</v>
      </c>
      <c r="M684" s="65">
        <f t="shared" si="73"/>
        <v>0.8</v>
      </c>
      <c r="N684" s="37"/>
      <c r="O684" s="37"/>
      <c r="P684" s="37">
        <v>0</v>
      </c>
      <c r="Q684" s="37">
        <v>0</v>
      </c>
      <c r="R684" s="37" t="s">
        <v>1588</v>
      </c>
      <c r="S684" s="37"/>
    </row>
    <row r="685" spans="1:19" x14ac:dyDescent="0.3">
      <c r="A685" s="37">
        <v>313</v>
      </c>
      <c r="B685" s="37" t="s">
        <v>1586</v>
      </c>
      <c r="C685" s="37" t="s">
        <v>454</v>
      </c>
      <c r="D685" s="37" t="s">
        <v>21</v>
      </c>
      <c r="E685" s="37" t="s">
        <v>22</v>
      </c>
      <c r="F685" s="42">
        <v>45473</v>
      </c>
      <c r="G685" s="37">
        <v>2024</v>
      </c>
      <c r="H685" s="37" t="s">
        <v>23</v>
      </c>
      <c r="I685" s="39" t="s">
        <v>34</v>
      </c>
      <c r="J685" s="37">
        <v>100</v>
      </c>
      <c r="K685" s="37">
        <v>100</v>
      </c>
      <c r="L685" s="65">
        <f t="shared" si="72"/>
        <v>1</v>
      </c>
      <c r="M685" s="65">
        <f t="shared" si="73"/>
        <v>1</v>
      </c>
      <c r="N685" s="37"/>
      <c r="O685" s="37"/>
      <c r="P685" s="37">
        <v>0</v>
      </c>
      <c r="Q685" s="37">
        <v>0</v>
      </c>
      <c r="R685" s="37" t="s">
        <v>1589</v>
      </c>
      <c r="S685" s="37"/>
    </row>
    <row r="686" spans="1:19" x14ac:dyDescent="0.3">
      <c r="A686" s="37">
        <v>313</v>
      </c>
      <c r="B686" s="37" t="s">
        <v>1586</v>
      </c>
      <c r="C686" s="37" t="s">
        <v>454</v>
      </c>
      <c r="D686" s="37" t="s">
        <v>21</v>
      </c>
      <c r="E686" s="37" t="s">
        <v>22</v>
      </c>
      <c r="F686" s="42">
        <v>45657</v>
      </c>
      <c r="G686" s="37">
        <v>2024</v>
      </c>
      <c r="H686" s="37" t="s">
        <v>27</v>
      </c>
      <c r="I686" s="39" t="s">
        <v>36</v>
      </c>
      <c r="J686" s="37">
        <v>100</v>
      </c>
      <c r="K686" s="37">
        <v>100</v>
      </c>
      <c r="L686" s="65">
        <f t="shared" si="72"/>
        <v>1</v>
      </c>
      <c r="M686" s="65">
        <f t="shared" si="73"/>
        <v>1</v>
      </c>
      <c r="N686" s="37"/>
      <c r="O686" s="37"/>
      <c r="P686" s="37">
        <v>0</v>
      </c>
      <c r="Q686" s="37">
        <v>0</v>
      </c>
      <c r="R686" s="37" t="s">
        <v>1590</v>
      </c>
      <c r="S686" s="37"/>
    </row>
    <row r="687" spans="1:19" x14ac:dyDescent="0.3">
      <c r="A687" s="45">
        <v>314</v>
      </c>
      <c r="B687" s="37" t="s">
        <v>1591</v>
      </c>
      <c r="C687" s="37" t="s">
        <v>454</v>
      </c>
      <c r="D687" s="37" t="s">
        <v>21</v>
      </c>
      <c r="E687" s="37" t="s">
        <v>22</v>
      </c>
      <c r="F687" s="42">
        <v>45107</v>
      </c>
      <c r="G687" s="37">
        <v>2023</v>
      </c>
      <c r="H687" s="37" t="s">
        <v>23</v>
      </c>
      <c r="I687" s="39" t="s">
        <v>30</v>
      </c>
      <c r="J687" s="37">
        <v>9</v>
      </c>
      <c r="K687" s="37">
        <v>13</v>
      </c>
      <c r="L687" s="74">
        <f t="shared" si="72"/>
        <v>1.3</v>
      </c>
      <c r="M687" s="65">
        <f t="shared" si="73"/>
        <v>1.4444444444444444</v>
      </c>
      <c r="N687" s="37"/>
      <c r="O687" s="37"/>
      <c r="P687" s="37">
        <v>0</v>
      </c>
      <c r="Q687" s="37">
        <v>0</v>
      </c>
      <c r="R687" s="37" t="s">
        <v>1592</v>
      </c>
      <c r="S687" s="37"/>
    </row>
    <row r="688" spans="1:19" x14ac:dyDescent="0.3">
      <c r="A688" s="41">
        <v>314</v>
      </c>
      <c r="B688" s="37" t="s">
        <v>1591</v>
      </c>
      <c r="C688" s="37" t="s">
        <v>454</v>
      </c>
      <c r="D688" s="37" t="s">
        <v>21</v>
      </c>
      <c r="E688" s="37" t="s">
        <v>22</v>
      </c>
      <c r="F688" s="42">
        <v>45291</v>
      </c>
      <c r="G688" s="37">
        <v>2023</v>
      </c>
      <c r="H688" s="37" t="s">
        <v>27</v>
      </c>
      <c r="I688" s="39" t="s">
        <v>32</v>
      </c>
      <c r="J688" s="37">
        <v>14</v>
      </c>
      <c r="K688" s="37">
        <v>16</v>
      </c>
      <c r="L688" s="74">
        <f t="shared" si="72"/>
        <v>1.1428571428571428</v>
      </c>
      <c r="M688" s="65">
        <f t="shared" si="73"/>
        <v>1.1428571428571428</v>
      </c>
      <c r="N688" s="37"/>
      <c r="O688" s="37"/>
      <c r="P688" s="37">
        <v>0</v>
      </c>
      <c r="Q688" s="37">
        <v>0</v>
      </c>
      <c r="R688" s="37" t="s">
        <v>1593</v>
      </c>
      <c r="S688" s="37"/>
    </row>
    <row r="689" spans="1:19" x14ac:dyDescent="0.3">
      <c r="A689" s="37">
        <v>314</v>
      </c>
      <c r="B689" s="37" t="s">
        <v>1591</v>
      </c>
      <c r="C689" s="37" t="s">
        <v>454</v>
      </c>
      <c r="D689" s="37" t="s">
        <v>21</v>
      </c>
      <c r="E689" s="37" t="s">
        <v>22</v>
      </c>
      <c r="F689" s="42">
        <v>45473</v>
      </c>
      <c r="G689" s="37">
        <v>2024</v>
      </c>
      <c r="H689" s="37" t="s">
        <v>23</v>
      </c>
      <c r="I689" s="39" t="s">
        <v>34</v>
      </c>
      <c r="J689" s="37">
        <v>100</v>
      </c>
      <c r="K689" s="37">
        <v>140</v>
      </c>
      <c r="L689" s="65">
        <f t="shared" si="72"/>
        <v>1.3</v>
      </c>
      <c r="M689" s="65">
        <f t="shared" si="73"/>
        <v>1.4</v>
      </c>
      <c r="N689" s="37"/>
      <c r="O689" s="37"/>
      <c r="P689" s="37">
        <v>0</v>
      </c>
      <c r="Q689" s="37">
        <v>0</v>
      </c>
      <c r="R689" s="37" t="s">
        <v>1594</v>
      </c>
      <c r="S689" s="37"/>
    </row>
    <row r="690" spans="1:19" x14ac:dyDescent="0.3">
      <c r="A690" s="37">
        <v>314</v>
      </c>
      <c r="B690" s="37" t="s">
        <v>1591</v>
      </c>
      <c r="C690" s="37" t="s">
        <v>454</v>
      </c>
      <c r="D690" s="37" t="s">
        <v>21</v>
      </c>
      <c r="E690" s="37" t="s">
        <v>22</v>
      </c>
      <c r="F690" s="42">
        <v>45657</v>
      </c>
      <c r="G690" s="37">
        <v>2024</v>
      </c>
      <c r="H690" s="37" t="s">
        <v>27</v>
      </c>
      <c r="I690" s="39" t="s">
        <v>36</v>
      </c>
      <c r="J690" s="37">
        <v>100</v>
      </c>
      <c r="K690" s="37">
        <v>145</v>
      </c>
      <c r="L690" s="65">
        <f t="shared" si="72"/>
        <v>1.3</v>
      </c>
      <c r="M690" s="65">
        <f t="shared" si="73"/>
        <v>1.45</v>
      </c>
      <c r="N690" s="37"/>
      <c r="O690" s="37"/>
      <c r="P690" s="37">
        <v>0</v>
      </c>
      <c r="Q690" s="37">
        <v>0</v>
      </c>
      <c r="R690" s="37" t="s">
        <v>1595</v>
      </c>
      <c r="S690" s="37"/>
    </row>
    <row r="691" spans="1:19" x14ac:dyDescent="0.3">
      <c r="A691" s="45">
        <v>315</v>
      </c>
      <c r="B691" s="37" t="s">
        <v>1596</v>
      </c>
      <c r="C691" s="37" t="s">
        <v>454</v>
      </c>
      <c r="D691" s="37" t="s">
        <v>21</v>
      </c>
      <c r="E691" s="37" t="s">
        <v>22</v>
      </c>
      <c r="F691" s="42">
        <v>45107</v>
      </c>
      <c r="G691" s="37">
        <v>2023</v>
      </c>
      <c r="H691" s="37" t="s">
        <v>23</v>
      </c>
      <c r="I691" s="39" t="s">
        <v>30</v>
      </c>
      <c r="J691" s="37">
        <v>5</v>
      </c>
      <c r="K691" s="37">
        <v>7</v>
      </c>
      <c r="L691" s="74">
        <f t="shared" si="72"/>
        <v>1.3</v>
      </c>
      <c r="M691" s="65">
        <f t="shared" si="73"/>
        <v>1.4</v>
      </c>
      <c r="N691" s="37"/>
      <c r="O691" s="37"/>
      <c r="P691" s="37">
        <v>0</v>
      </c>
      <c r="Q691" s="37">
        <v>0</v>
      </c>
      <c r="R691" s="37" t="s">
        <v>1597</v>
      </c>
      <c r="S691" s="37"/>
    </row>
    <row r="692" spans="1:19" x14ac:dyDescent="0.3">
      <c r="A692" s="41">
        <v>315</v>
      </c>
      <c r="B692" s="37" t="s">
        <v>1596</v>
      </c>
      <c r="C692" s="37" t="s">
        <v>454</v>
      </c>
      <c r="D692" s="37" t="s">
        <v>21</v>
      </c>
      <c r="E692" s="37" t="s">
        <v>22</v>
      </c>
      <c r="F692" s="42">
        <v>45291</v>
      </c>
      <c r="G692" s="37">
        <v>2023</v>
      </c>
      <c r="H692" s="37" t="s">
        <v>27</v>
      </c>
      <c r="I692" s="39" t="s">
        <v>32</v>
      </c>
      <c r="J692" s="37">
        <v>0</v>
      </c>
      <c r="K692" s="37">
        <v>0</v>
      </c>
      <c r="L692" s="74" t="str">
        <f t="shared" si="72"/>
        <v/>
      </c>
      <c r="M692" s="65" t="str">
        <f t="shared" si="73"/>
        <v/>
      </c>
      <c r="N692" s="37"/>
      <c r="O692" s="37"/>
      <c r="P692" s="37">
        <v>0</v>
      </c>
      <c r="Q692" s="37">
        <v>0</v>
      </c>
      <c r="R692" s="37" t="s">
        <v>3517</v>
      </c>
      <c r="S692" s="37"/>
    </row>
    <row r="693" spans="1:19" x14ac:dyDescent="0.3">
      <c r="A693" s="37">
        <v>315</v>
      </c>
      <c r="B693" s="37" t="s">
        <v>3518</v>
      </c>
      <c r="C693" s="37" t="s">
        <v>454</v>
      </c>
      <c r="D693" s="37" t="s">
        <v>21</v>
      </c>
      <c r="E693" s="37" t="s">
        <v>22</v>
      </c>
      <c r="F693" s="42">
        <v>45473</v>
      </c>
      <c r="G693" s="37">
        <v>2024</v>
      </c>
      <c r="H693" s="37" t="s">
        <v>23</v>
      </c>
      <c r="I693" s="39" t="s">
        <v>34</v>
      </c>
      <c r="J693" s="37"/>
      <c r="K693" s="37"/>
      <c r="L693" s="65"/>
      <c r="M693" s="65"/>
      <c r="N693" s="37"/>
      <c r="O693" s="37"/>
      <c r="P693" s="37">
        <v>0</v>
      </c>
      <c r="Q693" s="37">
        <v>0</v>
      </c>
      <c r="R693" s="37" t="s">
        <v>3519</v>
      </c>
      <c r="S693" s="37"/>
    </row>
    <row r="694" spans="1:19" x14ac:dyDescent="0.3">
      <c r="A694" s="37">
        <v>315</v>
      </c>
      <c r="B694" s="37" t="s">
        <v>3518</v>
      </c>
      <c r="C694" s="37" t="s">
        <v>454</v>
      </c>
      <c r="D694" s="37" t="s">
        <v>21</v>
      </c>
      <c r="E694" s="37" t="s">
        <v>22</v>
      </c>
      <c r="F694" s="42">
        <v>45657</v>
      </c>
      <c r="G694" s="37">
        <v>2024</v>
      </c>
      <c r="H694" s="37" t="s">
        <v>27</v>
      </c>
      <c r="I694" s="39" t="s">
        <v>36</v>
      </c>
      <c r="J694" s="37"/>
      <c r="K694" s="37"/>
      <c r="L694" s="65"/>
      <c r="M694" s="65"/>
      <c r="N694" s="37"/>
      <c r="O694" s="37"/>
      <c r="P694" s="37">
        <v>0</v>
      </c>
      <c r="Q694" s="37">
        <v>0</v>
      </c>
      <c r="R694" s="37" t="s">
        <v>3520</v>
      </c>
      <c r="S694" s="37"/>
    </row>
    <row r="695" spans="1:19" x14ac:dyDescent="0.3">
      <c r="A695" s="45">
        <v>316</v>
      </c>
      <c r="B695" s="37" t="s">
        <v>1598</v>
      </c>
      <c r="C695" s="37" t="s">
        <v>454</v>
      </c>
      <c r="D695" s="37" t="s">
        <v>21</v>
      </c>
      <c r="E695" s="37" t="s">
        <v>22</v>
      </c>
      <c r="F695" s="42">
        <v>45107</v>
      </c>
      <c r="G695" s="37">
        <v>2023</v>
      </c>
      <c r="H695" s="37" t="s">
        <v>23</v>
      </c>
      <c r="I695" s="39" t="s">
        <v>30</v>
      </c>
      <c r="J695" s="37">
        <v>9</v>
      </c>
      <c r="K695" s="37">
        <v>11</v>
      </c>
      <c r="L695" s="74">
        <f t="shared" ref="L695:L721" si="74">IFERROR(IF(OR(J695=0,K695=""),"",IF(E695="Positivo",MIN(MAX(K695/J695,0),1.3),MIN(MAX(J695/K695,0),1.3))),"")</f>
        <v>1.2222222222222223</v>
      </c>
      <c r="M695" s="65">
        <f t="shared" ref="M695:M721" si="75">IFERROR(IF(OR(J695=0,K695=""),"",IF(E695="Positivo",MAX(K695/J695,0),MAX(J695/K695,0))),"")</f>
        <v>1.2222222222222223</v>
      </c>
      <c r="N695" s="37"/>
      <c r="O695" s="37"/>
      <c r="P695" s="37">
        <v>0</v>
      </c>
      <c r="Q695" s="37">
        <v>0</v>
      </c>
      <c r="R695" s="37" t="s">
        <v>1599</v>
      </c>
      <c r="S695" s="37"/>
    </row>
    <row r="696" spans="1:19" x14ac:dyDescent="0.3">
      <c r="A696" s="41">
        <v>316</v>
      </c>
      <c r="B696" s="37" t="s">
        <v>1598</v>
      </c>
      <c r="C696" s="37" t="s">
        <v>454</v>
      </c>
      <c r="D696" s="37" t="s">
        <v>21</v>
      </c>
      <c r="E696" s="37" t="s">
        <v>22</v>
      </c>
      <c r="F696" s="42">
        <v>45291</v>
      </c>
      <c r="G696" s="37">
        <v>2023</v>
      </c>
      <c r="H696" s="37" t="s">
        <v>27</v>
      </c>
      <c r="I696" s="39" t="s">
        <v>32</v>
      </c>
      <c r="J696" s="37">
        <v>12</v>
      </c>
      <c r="K696" s="37">
        <v>11</v>
      </c>
      <c r="L696" s="74">
        <f t="shared" si="74"/>
        <v>0.91666666666666663</v>
      </c>
      <c r="M696" s="65">
        <f t="shared" si="75"/>
        <v>0.91666666666666663</v>
      </c>
      <c r="N696" s="37"/>
      <c r="O696" s="37"/>
      <c r="P696" s="37">
        <v>0</v>
      </c>
      <c r="Q696" s="37">
        <v>0</v>
      </c>
      <c r="R696" s="37" t="s">
        <v>1600</v>
      </c>
      <c r="S696" s="37"/>
    </row>
    <row r="697" spans="1:19" x14ac:dyDescent="0.3">
      <c r="A697" s="41">
        <v>317</v>
      </c>
      <c r="B697" s="37" t="s">
        <v>1601</v>
      </c>
      <c r="C697" s="37" t="s">
        <v>454</v>
      </c>
      <c r="D697" s="37" t="s">
        <v>139</v>
      </c>
      <c r="E697" s="37" t="s">
        <v>22</v>
      </c>
      <c r="F697" s="42">
        <v>45291</v>
      </c>
      <c r="G697" s="37">
        <v>2023</v>
      </c>
      <c r="H697" s="37" t="s">
        <v>27</v>
      </c>
      <c r="I697" s="39" t="s">
        <v>32</v>
      </c>
      <c r="J697" s="37">
        <v>12</v>
      </c>
      <c r="K697" s="37">
        <v>12</v>
      </c>
      <c r="L697" s="74">
        <f t="shared" si="74"/>
        <v>1</v>
      </c>
      <c r="M697" s="65">
        <f t="shared" si="75"/>
        <v>1</v>
      </c>
      <c r="N697" s="37"/>
      <c r="O697" s="37"/>
      <c r="P697" s="37">
        <v>0</v>
      </c>
      <c r="Q697" s="37">
        <v>0</v>
      </c>
      <c r="R697" s="37" t="s">
        <v>1602</v>
      </c>
      <c r="S697" s="37"/>
    </row>
    <row r="698" spans="1:19" x14ac:dyDescent="0.3">
      <c r="A698" s="37">
        <v>317</v>
      </c>
      <c r="B698" s="37" t="s">
        <v>1601</v>
      </c>
      <c r="C698" s="37" t="s">
        <v>454</v>
      </c>
      <c r="D698" s="37" t="s">
        <v>139</v>
      </c>
      <c r="E698" s="37" t="s">
        <v>22</v>
      </c>
      <c r="F698" s="42">
        <v>45657</v>
      </c>
      <c r="G698" s="37">
        <v>2024</v>
      </c>
      <c r="H698" s="37" t="s">
        <v>27</v>
      </c>
      <c r="I698" s="39" t="s">
        <v>36</v>
      </c>
      <c r="J698" s="37">
        <v>100</v>
      </c>
      <c r="K698" s="37">
        <v>100</v>
      </c>
      <c r="L698" s="65">
        <f t="shared" si="74"/>
        <v>1</v>
      </c>
      <c r="M698" s="65">
        <f t="shared" si="75"/>
        <v>1</v>
      </c>
      <c r="N698" s="37"/>
      <c r="O698" s="37"/>
      <c r="P698" s="37">
        <v>0</v>
      </c>
      <c r="Q698" s="37">
        <v>0</v>
      </c>
      <c r="R698" s="37" t="s">
        <v>1603</v>
      </c>
      <c r="S698" s="37"/>
    </row>
    <row r="699" spans="1:19" x14ac:dyDescent="0.3">
      <c r="A699" s="45">
        <v>318</v>
      </c>
      <c r="B699" s="37" t="s">
        <v>1604</v>
      </c>
      <c r="C699" s="37" t="s">
        <v>454</v>
      </c>
      <c r="D699" s="37" t="s">
        <v>21</v>
      </c>
      <c r="E699" s="37" t="s">
        <v>22</v>
      </c>
      <c r="F699" s="42">
        <v>45107</v>
      </c>
      <c r="G699" s="37">
        <v>2023</v>
      </c>
      <c r="H699" s="37" t="s">
        <v>23</v>
      </c>
      <c r="I699" s="39" t="s">
        <v>30</v>
      </c>
      <c r="J699" s="37">
        <v>107</v>
      </c>
      <c r="K699" s="37">
        <v>92</v>
      </c>
      <c r="L699" s="74">
        <f t="shared" si="74"/>
        <v>0.85981308411214952</v>
      </c>
      <c r="M699" s="65">
        <f t="shared" si="75"/>
        <v>0.85981308411214952</v>
      </c>
      <c r="N699" s="37" t="s">
        <v>25</v>
      </c>
      <c r="O699" s="37" t="s">
        <v>25</v>
      </c>
      <c r="P699" s="37">
        <v>0</v>
      </c>
      <c r="Q699" s="37">
        <v>0</v>
      </c>
      <c r="R699" s="37" t="s">
        <v>1605</v>
      </c>
      <c r="S699" s="37"/>
    </row>
    <row r="700" spans="1:19" x14ac:dyDescent="0.3">
      <c r="A700" s="41">
        <v>318</v>
      </c>
      <c r="B700" s="37" t="s">
        <v>1604</v>
      </c>
      <c r="C700" s="37" t="s">
        <v>454</v>
      </c>
      <c r="D700" s="37" t="s">
        <v>21</v>
      </c>
      <c r="E700" s="37" t="s">
        <v>22</v>
      </c>
      <c r="F700" s="42">
        <v>45291</v>
      </c>
      <c r="G700" s="37">
        <v>2023</v>
      </c>
      <c r="H700" s="37" t="s">
        <v>27</v>
      </c>
      <c r="I700" s="39" t="s">
        <v>32</v>
      </c>
      <c r="J700" s="37">
        <v>132</v>
      </c>
      <c r="K700" s="37">
        <v>120</v>
      </c>
      <c r="L700" s="74">
        <f t="shared" si="74"/>
        <v>0.90909090909090906</v>
      </c>
      <c r="M700" s="65">
        <f t="shared" si="75"/>
        <v>0.90909090909090906</v>
      </c>
      <c r="N700" s="37" t="s">
        <v>25</v>
      </c>
      <c r="O700" s="37" t="s">
        <v>25</v>
      </c>
      <c r="P700" s="37">
        <v>0</v>
      </c>
      <c r="Q700" s="37">
        <v>0</v>
      </c>
      <c r="R700" s="37" t="s">
        <v>1606</v>
      </c>
      <c r="S700" s="37"/>
    </row>
    <row r="701" spans="1:19" x14ac:dyDescent="0.3">
      <c r="A701" s="37">
        <v>318</v>
      </c>
      <c r="B701" s="37" t="s">
        <v>1607</v>
      </c>
      <c r="C701" s="37" t="s">
        <v>454</v>
      </c>
      <c r="D701" s="37" t="s">
        <v>139</v>
      </c>
      <c r="E701" s="37" t="s">
        <v>22</v>
      </c>
      <c r="F701" s="42">
        <v>45657</v>
      </c>
      <c r="G701" s="37">
        <v>2024</v>
      </c>
      <c r="H701" s="37" t="s">
        <v>27</v>
      </c>
      <c r="I701" s="39" t="s">
        <v>36</v>
      </c>
      <c r="J701" s="37">
        <v>144</v>
      </c>
      <c r="K701" s="37">
        <v>130</v>
      </c>
      <c r="L701" s="65">
        <f t="shared" si="74"/>
        <v>0.90277777777777779</v>
      </c>
      <c r="M701" s="65">
        <f t="shared" si="75"/>
        <v>0.90277777777777779</v>
      </c>
      <c r="N701" s="37"/>
      <c r="O701" s="37"/>
      <c r="P701" s="37">
        <v>0</v>
      </c>
      <c r="Q701" s="37">
        <v>0</v>
      </c>
      <c r="R701" s="37" t="s">
        <v>1608</v>
      </c>
      <c r="S701" s="37"/>
    </row>
    <row r="702" spans="1:19" x14ac:dyDescent="0.3">
      <c r="A702" s="45">
        <v>319</v>
      </c>
      <c r="B702" s="37" t="s">
        <v>1609</v>
      </c>
      <c r="C702" s="37" t="s">
        <v>454</v>
      </c>
      <c r="D702" s="37" t="s">
        <v>21</v>
      </c>
      <c r="E702" s="37" t="s">
        <v>22</v>
      </c>
      <c r="F702" s="42">
        <v>45107</v>
      </c>
      <c r="G702" s="37">
        <v>2023</v>
      </c>
      <c r="H702" s="37" t="s">
        <v>23</v>
      </c>
      <c r="I702" s="39" t="s">
        <v>30</v>
      </c>
      <c r="J702" s="37">
        <v>100</v>
      </c>
      <c r="K702" s="37">
        <v>80</v>
      </c>
      <c r="L702" s="74">
        <f t="shared" si="74"/>
        <v>0.8</v>
      </c>
      <c r="M702" s="65">
        <f t="shared" si="75"/>
        <v>0.8</v>
      </c>
      <c r="N702" s="37" t="s">
        <v>25</v>
      </c>
      <c r="O702" s="37" t="s">
        <v>25</v>
      </c>
      <c r="P702" s="37">
        <v>0</v>
      </c>
      <c r="Q702" s="37">
        <v>0</v>
      </c>
      <c r="R702" s="37" t="s">
        <v>1610</v>
      </c>
      <c r="S702" s="37"/>
    </row>
    <row r="703" spans="1:19" x14ac:dyDescent="0.3">
      <c r="A703" s="41">
        <v>319</v>
      </c>
      <c r="B703" s="37" t="s">
        <v>1609</v>
      </c>
      <c r="C703" s="37" t="s">
        <v>454</v>
      </c>
      <c r="D703" s="37" t="s">
        <v>21</v>
      </c>
      <c r="E703" s="37" t="s">
        <v>22</v>
      </c>
      <c r="F703" s="42">
        <v>45291</v>
      </c>
      <c r="G703" s="37">
        <v>2023</v>
      </c>
      <c r="H703" s="37" t="s">
        <v>27</v>
      </c>
      <c r="I703" s="39" t="s">
        <v>32</v>
      </c>
      <c r="J703" s="37">
        <v>100</v>
      </c>
      <c r="K703" s="37">
        <v>100</v>
      </c>
      <c r="L703" s="74">
        <f t="shared" si="74"/>
        <v>1</v>
      </c>
      <c r="M703" s="65">
        <f t="shared" si="75"/>
        <v>1</v>
      </c>
      <c r="N703" s="37" t="s">
        <v>25</v>
      </c>
      <c r="O703" s="37" t="s">
        <v>25</v>
      </c>
      <c r="P703" s="37">
        <v>0</v>
      </c>
      <c r="Q703" s="37">
        <v>0</v>
      </c>
      <c r="R703" s="37" t="s">
        <v>1611</v>
      </c>
      <c r="S703" s="37"/>
    </row>
    <row r="704" spans="1:19" x14ac:dyDescent="0.3">
      <c r="A704" s="37">
        <v>319</v>
      </c>
      <c r="B704" s="37" t="s">
        <v>1609</v>
      </c>
      <c r="C704" s="37" t="s">
        <v>454</v>
      </c>
      <c r="D704" s="37" t="s">
        <v>21</v>
      </c>
      <c r="E704" s="37" t="s">
        <v>22</v>
      </c>
      <c r="F704" s="42">
        <v>45473</v>
      </c>
      <c r="G704" s="37">
        <v>2024</v>
      </c>
      <c r="H704" s="37" t="s">
        <v>23</v>
      </c>
      <c r="I704" s="39" t="s">
        <v>34</v>
      </c>
      <c r="J704" s="37">
        <v>100</v>
      </c>
      <c r="K704" s="37">
        <v>100</v>
      </c>
      <c r="L704" s="65">
        <f t="shared" si="74"/>
        <v>1</v>
      </c>
      <c r="M704" s="65">
        <f t="shared" si="75"/>
        <v>1</v>
      </c>
      <c r="N704" s="37"/>
      <c r="O704" s="37"/>
      <c r="P704" s="37">
        <v>0</v>
      </c>
      <c r="Q704" s="37">
        <v>0</v>
      </c>
      <c r="R704" s="37" t="s">
        <v>1612</v>
      </c>
      <c r="S704" s="37"/>
    </row>
    <row r="705" spans="1:19" x14ac:dyDescent="0.3">
      <c r="A705" s="37">
        <v>319</v>
      </c>
      <c r="B705" s="37" t="s">
        <v>1609</v>
      </c>
      <c r="C705" s="37" t="s">
        <v>454</v>
      </c>
      <c r="D705" s="37" t="s">
        <v>21</v>
      </c>
      <c r="E705" s="37" t="s">
        <v>22</v>
      </c>
      <c r="F705" s="42">
        <v>45657</v>
      </c>
      <c r="G705" s="37">
        <v>2024</v>
      </c>
      <c r="H705" s="37" t="s">
        <v>27</v>
      </c>
      <c r="I705" s="39" t="s">
        <v>36</v>
      </c>
      <c r="J705" s="37">
        <v>100</v>
      </c>
      <c r="K705" s="37">
        <v>100</v>
      </c>
      <c r="L705" s="65">
        <f t="shared" si="74"/>
        <v>1</v>
      </c>
      <c r="M705" s="65">
        <f t="shared" si="75"/>
        <v>1</v>
      </c>
      <c r="N705" s="37"/>
      <c r="O705" s="37"/>
      <c r="P705" s="37">
        <v>0</v>
      </c>
      <c r="Q705" s="37">
        <v>0</v>
      </c>
      <c r="R705" s="37" t="s">
        <v>1613</v>
      </c>
      <c r="S705" s="37"/>
    </row>
    <row r="706" spans="1:19" x14ac:dyDescent="0.3">
      <c r="A706" s="45">
        <v>320</v>
      </c>
      <c r="B706" s="37" t="s">
        <v>1614</v>
      </c>
      <c r="C706" s="37" t="s">
        <v>454</v>
      </c>
      <c r="D706" s="37" t="s">
        <v>21</v>
      </c>
      <c r="E706" s="37" t="s">
        <v>22</v>
      </c>
      <c r="F706" s="42">
        <v>45107</v>
      </c>
      <c r="G706" s="37">
        <v>2023</v>
      </c>
      <c r="H706" s="37" t="s">
        <v>23</v>
      </c>
      <c r="I706" s="39" t="s">
        <v>30</v>
      </c>
      <c r="J706" s="37">
        <v>26</v>
      </c>
      <c r="K706" s="37">
        <v>12</v>
      </c>
      <c r="L706" s="74">
        <f t="shared" si="74"/>
        <v>0.46153846153846156</v>
      </c>
      <c r="M706" s="65">
        <f t="shared" si="75"/>
        <v>0.46153846153846156</v>
      </c>
      <c r="N706" s="37"/>
      <c r="O706" s="37"/>
      <c r="P706" s="37">
        <v>0</v>
      </c>
      <c r="Q706" s="37">
        <v>0</v>
      </c>
      <c r="R706" s="37" t="s">
        <v>1615</v>
      </c>
      <c r="S706" s="37"/>
    </row>
    <row r="707" spans="1:19" x14ac:dyDescent="0.3">
      <c r="A707" s="41">
        <v>320</v>
      </c>
      <c r="B707" s="37" t="s">
        <v>1614</v>
      </c>
      <c r="C707" s="37" t="s">
        <v>454</v>
      </c>
      <c r="D707" s="37" t="s">
        <v>21</v>
      </c>
      <c r="E707" s="37" t="s">
        <v>22</v>
      </c>
      <c r="F707" s="42">
        <v>45291</v>
      </c>
      <c r="G707" s="37">
        <v>2023</v>
      </c>
      <c r="H707" s="37" t="s">
        <v>27</v>
      </c>
      <c r="I707" s="39" t="s">
        <v>32</v>
      </c>
      <c r="J707" s="37">
        <v>15</v>
      </c>
      <c r="K707" s="37">
        <v>17</v>
      </c>
      <c r="L707" s="74">
        <f t="shared" si="74"/>
        <v>1.1333333333333333</v>
      </c>
      <c r="M707" s="65">
        <f t="shared" si="75"/>
        <v>1.1333333333333333</v>
      </c>
      <c r="N707" s="37"/>
      <c r="O707" s="37"/>
      <c r="P707" s="37">
        <v>0</v>
      </c>
      <c r="Q707" s="37">
        <v>0</v>
      </c>
      <c r="R707" s="37" t="s">
        <v>1616</v>
      </c>
      <c r="S707" s="37"/>
    </row>
    <row r="708" spans="1:19" x14ac:dyDescent="0.3">
      <c r="A708" s="37">
        <v>320</v>
      </c>
      <c r="B708" s="37" t="s">
        <v>1617</v>
      </c>
      <c r="C708" s="37" t="s">
        <v>454</v>
      </c>
      <c r="D708" s="37" t="s">
        <v>21</v>
      </c>
      <c r="E708" s="37" t="s">
        <v>22</v>
      </c>
      <c r="F708" s="42">
        <v>45473</v>
      </c>
      <c r="G708" s="37">
        <v>2024</v>
      </c>
      <c r="H708" s="37" t="s">
        <v>23</v>
      </c>
      <c r="I708" s="39" t="s">
        <v>34</v>
      </c>
      <c r="J708" s="37">
        <v>100</v>
      </c>
      <c r="K708" s="37">
        <v>140</v>
      </c>
      <c r="L708" s="65">
        <f t="shared" si="74"/>
        <v>1.3</v>
      </c>
      <c r="M708" s="65">
        <f t="shared" si="75"/>
        <v>1.4</v>
      </c>
      <c r="N708" s="37"/>
      <c r="O708" s="37"/>
      <c r="P708" s="37">
        <v>0</v>
      </c>
      <c r="Q708" s="37">
        <v>0</v>
      </c>
      <c r="R708" s="37" t="s">
        <v>1618</v>
      </c>
      <c r="S708" s="37"/>
    </row>
    <row r="709" spans="1:19" x14ac:dyDescent="0.3">
      <c r="A709" s="37">
        <v>320</v>
      </c>
      <c r="B709" s="37" t="s">
        <v>1617</v>
      </c>
      <c r="C709" s="37" t="s">
        <v>454</v>
      </c>
      <c r="D709" s="37" t="s">
        <v>21</v>
      </c>
      <c r="E709" s="37" t="s">
        <v>22</v>
      </c>
      <c r="F709" s="42">
        <v>45657</v>
      </c>
      <c r="G709" s="37">
        <v>2024</v>
      </c>
      <c r="H709" s="37" t="s">
        <v>27</v>
      </c>
      <c r="I709" s="39" t="s">
        <v>36</v>
      </c>
      <c r="J709" s="37">
        <v>100</v>
      </c>
      <c r="K709" s="37">
        <v>115</v>
      </c>
      <c r="L709" s="65">
        <f t="shared" si="74"/>
        <v>1.1499999999999999</v>
      </c>
      <c r="M709" s="65">
        <f t="shared" si="75"/>
        <v>1.1499999999999999</v>
      </c>
      <c r="N709" s="37"/>
      <c r="O709" s="37"/>
      <c r="P709" s="37">
        <v>0</v>
      </c>
      <c r="Q709" s="37">
        <v>0</v>
      </c>
      <c r="R709" s="37" t="s">
        <v>1619</v>
      </c>
      <c r="S709" s="37"/>
    </row>
    <row r="710" spans="1:19" x14ac:dyDescent="0.3">
      <c r="A710" s="45">
        <v>321</v>
      </c>
      <c r="B710" s="37" t="s">
        <v>1620</v>
      </c>
      <c r="C710" s="37" t="s">
        <v>454</v>
      </c>
      <c r="D710" s="37" t="s">
        <v>21</v>
      </c>
      <c r="E710" s="37" t="s">
        <v>22</v>
      </c>
      <c r="F710" s="42">
        <v>45107</v>
      </c>
      <c r="G710" s="37">
        <v>2023</v>
      </c>
      <c r="H710" s="37" t="s">
        <v>23</v>
      </c>
      <c r="I710" s="39" t="s">
        <v>30</v>
      </c>
      <c r="J710" s="37">
        <v>180</v>
      </c>
      <c r="K710" s="37">
        <v>236</v>
      </c>
      <c r="L710" s="65">
        <f t="shared" si="74"/>
        <v>1.3</v>
      </c>
      <c r="M710" s="65">
        <f t="shared" si="75"/>
        <v>1.3111111111111111</v>
      </c>
      <c r="N710" s="37"/>
      <c r="O710" s="37"/>
      <c r="P710" s="37">
        <v>0</v>
      </c>
      <c r="Q710" s="37">
        <v>0</v>
      </c>
      <c r="R710" s="37" t="s">
        <v>1621</v>
      </c>
      <c r="S710" s="37"/>
    </row>
    <row r="711" spans="1:19" x14ac:dyDescent="0.3">
      <c r="A711" s="41">
        <v>321</v>
      </c>
      <c r="B711" s="37" t="s">
        <v>1620</v>
      </c>
      <c r="C711" s="37" t="s">
        <v>454</v>
      </c>
      <c r="D711" s="37" t="s">
        <v>21</v>
      </c>
      <c r="E711" s="37" t="s">
        <v>22</v>
      </c>
      <c r="F711" s="42">
        <v>45291</v>
      </c>
      <c r="G711" s="37">
        <v>2023</v>
      </c>
      <c r="H711" s="37" t="s">
        <v>27</v>
      </c>
      <c r="I711" s="39" t="s">
        <v>32</v>
      </c>
      <c r="J711" s="37">
        <v>180</v>
      </c>
      <c r="K711" s="37">
        <v>231</v>
      </c>
      <c r="L711" s="74">
        <f t="shared" si="74"/>
        <v>1.2833333333333334</v>
      </c>
      <c r="M711" s="65">
        <f t="shared" si="75"/>
        <v>1.2833333333333334</v>
      </c>
      <c r="N711" s="37"/>
      <c r="O711" s="37"/>
      <c r="P711" s="37">
        <v>0</v>
      </c>
      <c r="Q711" s="37">
        <v>0</v>
      </c>
      <c r="R711" s="37" t="s">
        <v>1622</v>
      </c>
      <c r="S711" s="37"/>
    </row>
    <row r="712" spans="1:19" x14ac:dyDescent="0.3">
      <c r="A712" s="37">
        <v>321</v>
      </c>
      <c r="B712" s="37" t="s">
        <v>1623</v>
      </c>
      <c r="C712" s="37" t="s">
        <v>454</v>
      </c>
      <c r="D712" s="37" t="s">
        <v>21</v>
      </c>
      <c r="E712" s="37" t="s">
        <v>22</v>
      </c>
      <c r="F712" s="42">
        <v>45473</v>
      </c>
      <c r="G712" s="37">
        <v>2024</v>
      </c>
      <c r="H712" s="37" t="s">
        <v>23</v>
      </c>
      <c r="I712" s="39" t="s">
        <v>34</v>
      </c>
      <c r="J712" s="37">
        <v>100</v>
      </c>
      <c r="K712" s="37">
        <v>106.52</v>
      </c>
      <c r="L712" s="65">
        <f t="shared" si="74"/>
        <v>1.0651999999999999</v>
      </c>
      <c r="M712" s="65">
        <f t="shared" si="75"/>
        <v>1.0651999999999999</v>
      </c>
      <c r="N712" s="37"/>
      <c r="O712" s="37"/>
      <c r="P712" s="37">
        <v>0</v>
      </c>
      <c r="Q712" s="37">
        <v>0</v>
      </c>
      <c r="R712" s="37" t="s">
        <v>1624</v>
      </c>
      <c r="S712" s="37"/>
    </row>
    <row r="713" spans="1:19" x14ac:dyDescent="0.3">
      <c r="A713" s="37">
        <v>321</v>
      </c>
      <c r="B713" s="37" t="s">
        <v>1623</v>
      </c>
      <c r="C713" s="37" t="s">
        <v>454</v>
      </c>
      <c r="D713" s="37" t="s">
        <v>21</v>
      </c>
      <c r="E713" s="37" t="s">
        <v>22</v>
      </c>
      <c r="F713" s="42">
        <v>45657</v>
      </c>
      <c r="G713" s="37">
        <v>2024</v>
      </c>
      <c r="H713" s="37" t="s">
        <v>27</v>
      </c>
      <c r="I713" s="39" t="s">
        <v>36</v>
      </c>
      <c r="J713" s="37">
        <v>100</v>
      </c>
      <c r="K713" s="37">
        <v>502.17</v>
      </c>
      <c r="L713" s="65">
        <f t="shared" si="74"/>
        <v>1.3</v>
      </c>
      <c r="M713" s="65">
        <f t="shared" si="75"/>
        <v>5.0217000000000001</v>
      </c>
      <c r="N713" s="37"/>
      <c r="O713" s="37"/>
      <c r="P713" s="37">
        <v>0</v>
      </c>
      <c r="Q713" s="37">
        <v>0</v>
      </c>
      <c r="R713" s="37" t="s">
        <v>1625</v>
      </c>
      <c r="S713" s="37"/>
    </row>
    <row r="714" spans="1:19" x14ac:dyDescent="0.3">
      <c r="A714" s="37">
        <v>323</v>
      </c>
      <c r="B714" s="37" t="s">
        <v>1626</v>
      </c>
      <c r="C714" s="37" t="s">
        <v>1627</v>
      </c>
      <c r="D714" s="37" t="s">
        <v>21</v>
      </c>
      <c r="E714" s="37" t="s">
        <v>22</v>
      </c>
      <c r="F714" s="38">
        <v>45107</v>
      </c>
      <c r="G714" s="40">
        <v>2023</v>
      </c>
      <c r="H714" s="39" t="s">
        <v>23</v>
      </c>
      <c r="I714" s="39" t="s">
        <v>30</v>
      </c>
      <c r="J714" s="37">
        <v>3</v>
      </c>
      <c r="K714" s="37">
        <v>3</v>
      </c>
      <c r="L714" s="65">
        <f t="shared" si="74"/>
        <v>1</v>
      </c>
      <c r="M714" s="65">
        <f t="shared" si="75"/>
        <v>1</v>
      </c>
      <c r="N714" s="37"/>
      <c r="O714" s="37"/>
      <c r="P714" s="37">
        <v>0</v>
      </c>
      <c r="Q714" s="37">
        <v>0</v>
      </c>
      <c r="R714" s="37" t="s">
        <v>1628</v>
      </c>
      <c r="S714" s="37"/>
    </row>
    <row r="715" spans="1:19" x14ac:dyDescent="0.3">
      <c r="A715" s="41">
        <v>323</v>
      </c>
      <c r="B715" s="37" t="s">
        <v>1626</v>
      </c>
      <c r="C715" s="37" t="s">
        <v>1627</v>
      </c>
      <c r="D715" s="37" t="s">
        <v>21</v>
      </c>
      <c r="E715" s="37" t="s">
        <v>22</v>
      </c>
      <c r="F715" s="42">
        <v>45291</v>
      </c>
      <c r="G715" s="37">
        <v>2023</v>
      </c>
      <c r="H715" s="37" t="s">
        <v>27</v>
      </c>
      <c r="I715" s="39" t="s">
        <v>32</v>
      </c>
      <c r="J715" s="37">
        <v>5</v>
      </c>
      <c r="K715" s="37">
        <v>5</v>
      </c>
      <c r="L715" s="65">
        <f t="shared" si="74"/>
        <v>1</v>
      </c>
      <c r="M715" s="65">
        <f t="shared" si="75"/>
        <v>1</v>
      </c>
      <c r="N715" s="37"/>
      <c r="O715" s="37"/>
      <c r="P715" s="37">
        <v>0</v>
      </c>
      <c r="Q715" s="37">
        <v>0</v>
      </c>
      <c r="R715" s="37" t="s">
        <v>1629</v>
      </c>
      <c r="S715" s="37"/>
    </row>
    <row r="716" spans="1:19" x14ac:dyDescent="0.3">
      <c r="A716" s="41">
        <v>323</v>
      </c>
      <c r="B716" s="37" t="s">
        <v>1626</v>
      </c>
      <c r="C716" s="37" t="s">
        <v>1627</v>
      </c>
      <c r="D716" s="37" t="s">
        <v>21</v>
      </c>
      <c r="E716" s="37" t="s">
        <v>22</v>
      </c>
      <c r="F716" s="38">
        <v>45473</v>
      </c>
      <c r="G716" s="37">
        <v>2024</v>
      </c>
      <c r="H716" s="37" t="s">
        <v>23</v>
      </c>
      <c r="I716" s="39" t="s">
        <v>34</v>
      </c>
      <c r="J716" s="37">
        <v>3</v>
      </c>
      <c r="K716" s="37">
        <v>3</v>
      </c>
      <c r="L716" s="65">
        <f t="shared" si="74"/>
        <v>1</v>
      </c>
      <c r="M716" s="65">
        <f t="shared" si="75"/>
        <v>1</v>
      </c>
      <c r="N716" s="37"/>
      <c r="O716" s="37"/>
      <c r="P716" s="37">
        <v>0</v>
      </c>
      <c r="Q716" s="37">
        <v>0</v>
      </c>
      <c r="R716" s="37" t="s">
        <v>1630</v>
      </c>
      <c r="S716" s="37"/>
    </row>
    <row r="717" spans="1:19" x14ac:dyDescent="0.3">
      <c r="A717" s="41">
        <v>323</v>
      </c>
      <c r="B717" s="37" t="s">
        <v>1626</v>
      </c>
      <c r="C717" s="37" t="s">
        <v>1627</v>
      </c>
      <c r="D717" s="37" t="s">
        <v>21</v>
      </c>
      <c r="E717" s="37" t="s">
        <v>22</v>
      </c>
      <c r="F717" s="38">
        <v>45657</v>
      </c>
      <c r="G717" s="37">
        <v>2024</v>
      </c>
      <c r="H717" s="37" t="s">
        <v>27</v>
      </c>
      <c r="I717" s="39" t="s">
        <v>36</v>
      </c>
      <c r="J717" s="37">
        <v>0</v>
      </c>
      <c r="K717" s="37">
        <v>0</v>
      </c>
      <c r="L717" s="65" t="str">
        <f t="shared" si="74"/>
        <v/>
      </c>
      <c r="M717" s="65" t="str">
        <f t="shared" si="75"/>
        <v/>
      </c>
      <c r="N717" s="37"/>
      <c r="O717" s="37"/>
      <c r="P717" s="37">
        <v>0</v>
      </c>
      <c r="Q717" s="37">
        <v>0</v>
      </c>
      <c r="R717" s="37" t="s">
        <v>1631</v>
      </c>
      <c r="S717" s="37"/>
    </row>
    <row r="718" spans="1:19" x14ac:dyDescent="0.3">
      <c r="A718" s="45">
        <v>324</v>
      </c>
      <c r="B718" s="37" t="s">
        <v>1632</v>
      </c>
      <c r="C718" s="37" t="s">
        <v>1627</v>
      </c>
      <c r="D718" s="37" t="s">
        <v>21</v>
      </c>
      <c r="E718" s="37" t="s">
        <v>22</v>
      </c>
      <c r="F718" s="42">
        <v>45107</v>
      </c>
      <c r="G718" s="37">
        <v>2023</v>
      </c>
      <c r="H718" s="37" t="s">
        <v>23</v>
      </c>
      <c r="I718" s="39" t="s">
        <v>30</v>
      </c>
      <c r="J718" s="37">
        <v>0</v>
      </c>
      <c r="K718" s="37">
        <v>0</v>
      </c>
      <c r="L718" s="74" t="str">
        <f t="shared" si="74"/>
        <v/>
      </c>
      <c r="M718" s="65" t="str">
        <f t="shared" si="75"/>
        <v/>
      </c>
      <c r="N718" s="37"/>
      <c r="O718" s="37"/>
      <c r="P718" s="37">
        <v>0</v>
      </c>
      <c r="Q718" s="37">
        <v>0</v>
      </c>
      <c r="R718" s="37" t="s">
        <v>1633</v>
      </c>
      <c r="S718" s="37"/>
    </row>
    <row r="719" spans="1:19" x14ac:dyDescent="0.3">
      <c r="A719" s="41">
        <v>324</v>
      </c>
      <c r="B719" s="37" t="s">
        <v>1632</v>
      </c>
      <c r="C719" s="37" t="s">
        <v>1627</v>
      </c>
      <c r="D719" s="37" t="s">
        <v>21</v>
      </c>
      <c r="E719" s="37" t="s">
        <v>22</v>
      </c>
      <c r="F719" s="42">
        <v>45291</v>
      </c>
      <c r="G719" s="37">
        <v>2023</v>
      </c>
      <c r="H719" s="37" t="s">
        <v>27</v>
      </c>
      <c r="I719" s="39" t="s">
        <v>32</v>
      </c>
      <c r="J719" s="37">
        <v>12</v>
      </c>
      <c r="K719" s="37">
        <v>12</v>
      </c>
      <c r="L719" s="74">
        <f t="shared" si="74"/>
        <v>1</v>
      </c>
      <c r="M719" s="65">
        <f t="shared" si="75"/>
        <v>1</v>
      </c>
      <c r="N719" s="37" t="s">
        <v>203</v>
      </c>
      <c r="O719" s="37" t="s">
        <v>203</v>
      </c>
      <c r="P719" s="37">
        <v>0</v>
      </c>
      <c r="Q719" s="37">
        <v>0</v>
      </c>
      <c r="R719" s="37" t="s">
        <v>1634</v>
      </c>
      <c r="S719" s="37"/>
    </row>
    <row r="720" spans="1:19" x14ac:dyDescent="0.3">
      <c r="A720" s="37">
        <v>324</v>
      </c>
      <c r="B720" s="37" t="s">
        <v>1632</v>
      </c>
      <c r="C720" s="37" t="s">
        <v>1627</v>
      </c>
      <c r="D720" s="37" t="s">
        <v>21</v>
      </c>
      <c r="E720" s="37" t="s">
        <v>22</v>
      </c>
      <c r="F720" s="42">
        <v>45473</v>
      </c>
      <c r="G720" s="37">
        <v>2024</v>
      </c>
      <c r="H720" s="37" t="s">
        <v>23</v>
      </c>
      <c r="I720" s="39" t="s">
        <v>34</v>
      </c>
      <c r="J720" s="37">
        <v>0</v>
      </c>
      <c r="K720" s="37">
        <v>0</v>
      </c>
      <c r="L720" s="65" t="str">
        <f t="shared" si="74"/>
        <v/>
      </c>
      <c r="M720" s="65" t="str">
        <f t="shared" si="75"/>
        <v/>
      </c>
      <c r="N720" s="37"/>
      <c r="O720" s="37"/>
      <c r="P720" s="37">
        <v>0</v>
      </c>
      <c r="Q720" s="37">
        <v>0</v>
      </c>
      <c r="R720" s="37" t="s">
        <v>1635</v>
      </c>
      <c r="S720" s="37"/>
    </row>
    <row r="721" spans="1:19" x14ac:dyDescent="0.3">
      <c r="A721" s="37">
        <v>324</v>
      </c>
      <c r="B721" s="37" t="s">
        <v>1632</v>
      </c>
      <c r="C721" s="37" t="s">
        <v>1627</v>
      </c>
      <c r="D721" s="37" t="s">
        <v>21</v>
      </c>
      <c r="E721" s="37" t="s">
        <v>22</v>
      </c>
      <c r="F721" s="42">
        <v>45657</v>
      </c>
      <c r="G721" s="37">
        <v>2024</v>
      </c>
      <c r="H721" s="37" t="s">
        <v>27</v>
      </c>
      <c r="I721" s="39" t="s">
        <v>36</v>
      </c>
      <c r="J721" s="37">
        <v>6</v>
      </c>
      <c r="K721" s="37">
        <v>6</v>
      </c>
      <c r="L721" s="65">
        <f t="shared" si="74"/>
        <v>1</v>
      </c>
      <c r="M721" s="65">
        <f t="shared" si="75"/>
        <v>1</v>
      </c>
      <c r="N721" s="37" t="s">
        <v>203</v>
      </c>
      <c r="O721" s="37" t="s">
        <v>203</v>
      </c>
      <c r="P721" s="37">
        <v>0</v>
      </c>
      <c r="Q721" s="37">
        <v>0</v>
      </c>
      <c r="R721" s="37" t="s">
        <v>1636</v>
      </c>
      <c r="S721" s="37"/>
    </row>
    <row r="722" spans="1:19" x14ac:dyDescent="0.3">
      <c r="A722" s="37">
        <v>325</v>
      </c>
      <c r="B722" s="37" t="s">
        <v>1637</v>
      </c>
      <c r="C722" s="37" t="s">
        <v>1627</v>
      </c>
      <c r="D722" s="37" t="s">
        <v>21</v>
      </c>
      <c r="E722" s="37" t="s">
        <v>22</v>
      </c>
      <c r="F722" s="38">
        <v>45107</v>
      </c>
      <c r="G722" s="40">
        <v>2023</v>
      </c>
      <c r="H722" s="39" t="s">
        <v>23</v>
      </c>
      <c r="I722" s="39" t="s">
        <v>30</v>
      </c>
      <c r="J722" s="37">
        <v>1</v>
      </c>
      <c r="K722" s="37">
        <v>1</v>
      </c>
      <c r="L722" s="65">
        <f t="shared" ref="L722:L741" si="76">IFERROR(IF(OR(J722=0,K722=""),"",IF(E722="Positivo",MIN(MAX(K722/J722,0),1.3),MIN(MAX(J722/K722,0),1.3))),"")</f>
        <v>1</v>
      </c>
      <c r="M722" s="65">
        <f t="shared" ref="M722:M741" si="77">IFERROR(IF(OR(J722=0,K722=""),"",IF(E722="Positivo",MAX(K722/J722,0),MAX(J722/K722,0))),"")</f>
        <v>1</v>
      </c>
      <c r="N722" s="37" t="s">
        <v>203</v>
      </c>
      <c r="O722" s="37" t="s">
        <v>203</v>
      </c>
      <c r="P722" s="37">
        <v>0</v>
      </c>
      <c r="Q722" s="37">
        <v>0</v>
      </c>
      <c r="R722" s="37" t="s">
        <v>1638</v>
      </c>
      <c r="S722" s="37"/>
    </row>
    <row r="723" spans="1:19" x14ac:dyDescent="0.3">
      <c r="A723" s="41">
        <v>325</v>
      </c>
      <c r="B723" s="37" t="s">
        <v>1637</v>
      </c>
      <c r="C723" s="37" t="s">
        <v>1627</v>
      </c>
      <c r="D723" s="37" t="s">
        <v>21</v>
      </c>
      <c r="E723" s="37" t="s">
        <v>22</v>
      </c>
      <c r="F723" s="42">
        <v>45291</v>
      </c>
      <c r="G723" s="37">
        <v>2023</v>
      </c>
      <c r="H723" s="37" t="s">
        <v>27</v>
      </c>
      <c r="I723" s="39" t="s">
        <v>32</v>
      </c>
      <c r="J723" s="37">
        <v>0</v>
      </c>
      <c r="K723" s="37">
        <v>0</v>
      </c>
      <c r="L723" s="65" t="str">
        <f t="shared" si="76"/>
        <v/>
      </c>
      <c r="M723" s="65" t="str">
        <f t="shared" si="77"/>
        <v/>
      </c>
      <c r="N723" s="37"/>
      <c r="O723" s="37"/>
      <c r="P723" s="37">
        <v>0</v>
      </c>
      <c r="Q723" s="37">
        <v>0</v>
      </c>
      <c r="R723" s="37" t="s">
        <v>1639</v>
      </c>
      <c r="S723" s="37"/>
    </row>
    <row r="724" spans="1:19" x14ac:dyDescent="0.3">
      <c r="A724" s="37">
        <v>325</v>
      </c>
      <c r="B724" s="37" t="s">
        <v>1637</v>
      </c>
      <c r="C724" s="37" t="s">
        <v>1627</v>
      </c>
      <c r="D724" s="37" t="s">
        <v>21</v>
      </c>
      <c r="E724" s="37" t="s">
        <v>22</v>
      </c>
      <c r="F724" s="42">
        <v>45473</v>
      </c>
      <c r="G724" s="37">
        <v>2024</v>
      </c>
      <c r="H724" s="37" t="s">
        <v>23</v>
      </c>
      <c r="I724" s="39" t="s">
        <v>34</v>
      </c>
      <c r="J724" s="37">
        <v>0</v>
      </c>
      <c r="K724" s="43">
        <v>5</v>
      </c>
      <c r="L724" s="65" t="str">
        <f t="shared" si="76"/>
        <v/>
      </c>
      <c r="M724" s="65" t="str">
        <f t="shared" si="77"/>
        <v/>
      </c>
      <c r="N724" s="37" t="s">
        <v>203</v>
      </c>
      <c r="O724" s="37" t="s">
        <v>203</v>
      </c>
      <c r="P724" s="37">
        <v>0</v>
      </c>
      <c r="Q724" s="37">
        <v>0</v>
      </c>
      <c r="R724" s="37" t="s">
        <v>1640</v>
      </c>
      <c r="S724" s="37"/>
    </row>
    <row r="725" spans="1:19" x14ac:dyDescent="0.3">
      <c r="A725" s="37">
        <v>325</v>
      </c>
      <c r="B725" s="37" t="s">
        <v>1637</v>
      </c>
      <c r="C725" s="37" t="s">
        <v>1627</v>
      </c>
      <c r="D725" s="37" t="s">
        <v>21</v>
      </c>
      <c r="E725" s="37" t="s">
        <v>22</v>
      </c>
      <c r="F725" s="42">
        <v>45657</v>
      </c>
      <c r="G725" s="37">
        <v>2024</v>
      </c>
      <c r="H725" s="37" t="s">
        <v>27</v>
      </c>
      <c r="I725" s="39" t="s">
        <v>36</v>
      </c>
      <c r="J725" s="37">
        <v>3</v>
      </c>
      <c r="K725" s="43">
        <v>3</v>
      </c>
      <c r="L725" s="65">
        <f t="shared" si="76"/>
        <v>1</v>
      </c>
      <c r="M725" s="65">
        <f t="shared" si="77"/>
        <v>1</v>
      </c>
      <c r="N725" s="37" t="s">
        <v>203</v>
      </c>
      <c r="O725" s="37" t="s">
        <v>203</v>
      </c>
      <c r="P725" s="37">
        <v>0</v>
      </c>
      <c r="Q725" s="37">
        <v>0</v>
      </c>
      <c r="R725" s="37" t="s">
        <v>1641</v>
      </c>
      <c r="S725" s="37"/>
    </row>
    <row r="726" spans="1:19" x14ac:dyDescent="0.3">
      <c r="A726" s="41">
        <v>326</v>
      </c>
      <c r="B726" s="37" t="s">
        <v>1643</v>
      </c>
      <c r="C726" s="37" t="s">
        <v>1364</v>
      </c>
      <c r="D726" s="37" t="s">
        <v>139</v>
      </c>
      <c r="E726" s="37" t="s">
        <v>22</v>
      </c>
      <c r="F726" s="42">
        <v>45291</v>
      </c>
      <c r="G726" s="37">
        <v>2023</v>
      </c>
      <c r="H726" s="37" t="s">
        <v>27</v>
      </c>
      <c r="I726" s="39" t="s">
        <v>32</v>
      </c>
      <c r="J726" s="37">
        <v>5</v>
      </c>
      <c r="K726" s="37">
        <v>5</v>
      </c>
      <c r="L726" s="74">
        <f t="shared" si="76"/>
        <v>1</v>
      </c>
      <c r="M726" s="65">
        <f t="shared" si="77"/>
        <v>1</v>
      </c>
      <c r="N726" s="37"/>
      <c r="O726" s="37"/>
      <c r="P726" s="37">
        <v>0</v>
      </c>
      <c r="Q726" s="37">
        <v>0</v>
      </c>
      <c r="R726" s="37" t="s">
        <v>1644</v>
      </c>
      <c r="S726" s="37"/>
    </row>
    <row r="727" spans="1:19" x14ac:dyDescent="0.3">
      <c r="A727" s="37">
        <v>326</v>
      </c>
      <c r="B727" s="37" t="s">
        <v>1643</v>
      </c>
      <c r="C727" s="37" t="s">
        <v>1364</v>
      </c>
      <c r="D727" s="37" t="s">
        <v>139</v>
      </c>
      <c r="E727" s="37" t="s">
        <v>22</v>
      </c>
      <c r="F727" s="42">
        <v>45657</v>
      </c>
      <c r="G727" s="37">
        <v>2024</v>
      </c>
      <c r="H727" s="37" t="s">
        <v>27</v>
      </c>
      <c r="I727" s="39" t="s">
        <v>36</v>
      </c>
      <c r="J727" s="37">
        <v>0</v>
      </c>
      <c r="K727" s="37">
        <v>0</v>
      </c>
      <c r="L727" s="65" t="str">
        <f t="shared" si="76"/>
        <v/>
      </c>
      <c r="M727" s="65" t="str">
        <f t="shared" si="77"/>
        <v/>
      </c>
      <c r="N727" s="37" t="s">
        <v>203</v>
      </c>
      <c r="O727" s="37" t="s">
        <v>613</v>
      </c>
      <c r="P727" s="37">
        <v>0</v>
      </c>
      <c r="Q727" s="37">
        <v>0</v>
      </c>
      <c r="R727" s="37" t="s">
        <v>1646</v>
      </c>
      <c r="S727" s="37"/>
    </row>
    <row r="728" spans="1:19" x14ac:dyDescent="0.3">
      <c r="A728" s="45">
        <v>327</v>
      </c>
      <c r="B728" s="37" t="s">
        <v>1647</v>
      </c>
      <c r="C728" s="37" t="s">
        <v>1364</v>
      </c>
      <c r="D728" s="37" t="s">
        <v>21</v>
      </c>
      <c r="E728" s="37" t="s">
        <v>22</v>
      </c>
      <c r="F728" s="42">
        <v>45107</v>
      </c>
      <c r="G728" s="37">
        <v>2023</v>
      </c>
      <c r="H728" s="37" t="s">
        <v>23</v>
      </c>
      <c r="I728" s="39" t="s">
        <v>30</v>
      </c>
      <c r="J728" s="37">
        <v>0</v>
      </c>
      <c r="K728" s="37">
        <v>0</v>
      </c>
      <c r="L728" s="74" t="str">
        <f t="shared" si="76"/>
        <v/>
      </c>
      <c r="M728" s="65" t="str">
        <f t="shared" si="77"/>
        <v/>
      </c>
      <c r="N728" s="37"/>
      <c r="O728" s="37"/>
      <c r="P728" s="37">
        <v>0</v>
      </c>
      <c r="Q728" s="37">
        <v>0</v>
      </c>
      <c r="R728" s="37" t="s">
        <v>1648</v>
      </c>
      <c r="S728" s="37"/>
    </row>
    <row r="729" spans="1:19" x14ac:dyDescent="0.3">
      <c r="A729" s="41">
        <v>327</v>
      </c>
      <c r="B729" s="37" t="s">
        <v>1647</v>
      </c>
      <c r="C729" s="37" t="s">
        <v>1364</v>
      </c>
      <c r="D729" s="37" t="s">
        <v>21</v>
      </c>
      <c r="E729" s="37" t="s">
        <v>22</v>
      </c>
      <c r="F729" s="42">
        <v>45291</v>
      </c>
      <c r="G729" s="37">
        <v>2023</v>
      </c>
      <c r="H729" s="37" t="s">
        <v>27</v>
      </c>
      <c r="I729" s="39" t="s">
        <v>32</v>
      </c>
      <c r="J729" s="37">
        <v>2</v>
      </c>
      <c r="K729" s="37">
        <v>2</v>
      </c>
      <c r="L729" s="74">
        <f t="shared" si="76"/>
        <v>1</v>
      </c>
      <c r="M729" s="65">
        <f t="shared" si="77"/>
        <v>1</v>
      </c>
      <c r="N729" s="37" t="s">
        <v>203</v>
      </c>
      <c r="O729" s="37" t="s">
        <v>203</v>
      </c>
      <c r="P729" s="37">
        <v>0</v>
      </c>
      <c r="Q729" s="37">
        <v>0</v>
      </c>
      <c r="R729" s="37" t="s">
        <v>1649</v>
      </c>
      <c r="S729" s="37"/>
    </row>
    <row r="730" spans="1:19" x14ac:dyDescent="0.3">
      <c r="A730" s="37">
        <v>327</v>
      </c>
      <c r="B730" s="37" t="s">
        <v>1647</v>
      </c>
      <c r="C730" s="37" t="s">
        <v>1364</v>
      </c>
      <c r="D730" s="37" t="s">
        <v>21</v>
      </c>
      <c r="E730" s="37" t="s">
        <v>22</v>
      </c>
      <c r="F730" s="42">
        <v>45473</v>
      </c>
      <c r="G730" s="37">
        <v>2024</v>
      </c>
      <c r="H730" s="37" t="s">
        <v>23</v>
      </c>
      <c r="I730" s="39" t="s">
        <v>34</v>
      </c>
      <c r="J730" s="37">
        <v>0</v>
      </c>
      <c r="K730" s="43">
        <v>0</v>
      </c>
      <c r="L730" s="65" t="str">
        <f t="shared" si="76"/>
        <v/>
      </c>
      <c r="M730" s="65" t="str">
        <f t="shared" si="77"/>
        <v/>
      </c>
      <c r="N730" s="37"/>
      <c r="O730" s="37"/>
      <c r="P730" s="37">
        <v>0</v>
      </c>
      <c r="Q730" s="37">
        <v>0</v>
      </c>
      <c r="R730" s="37" t="s">
        <v>1650</v>
      </c>
      <c r="S730" s="37"/>
    </row>
    <row r="731" spans="1:19" x14ac:dyDescent="0.3">
      <c r="A731" s="37">
        <v>327</v>
      </c>
      <c r="B731" s="37" t="s">
        <v>1647</v>
      </c>
      <c r="C731" s="37" t="s">
        <v>1364</v>
      </c>
      <c r="D731" s="37" t="s">
        <v>21</v>
      </c>
      <c r="E731" s="37" t="s">
        <v>22</v>
      </c>
      <c r="F731" s="42">
        <v>45657</v>
      </c>
      <c r="G731" s="37">
        <v>2024</v>
      </c>
      <c r="H731" s="37" t="s">
        <v>27</v>
      </c>
      <c r="I731" s="39" t="s">
        <v>36</v>
      </c>
      <c r="J731" s="37">
        <v>0</v>
      </c>
      <c r="K731" s="37">
        <v>0</v>
      </c>
      <c r="L731" s="65" t="str">
        <f t="shared" si="76"/>
        <v/>
      </c>
      <c r="M731" s="65" t="str">
        <f t="shared" si="77"/>
        <v/>
      </c>
      <c r="N731" s="37"/>
      <c r="O731" s="37"/>
      <c r="P731" s="37">
        <v>0</v>
      </c>
      <c r="Q731" s="37">
        <v>0</v>
      </c>
      <c r="R731" s="37" t="s">
        <v>1651</v>
      </c>
      <c r="S731" s="37"/>
    </row>
    <row r="732" spans="1:19" x14ac:dyDescent="0.3">
      <c r="A732" s="41">
        <v>328</v>
      </c>
      <c r="B732" s="37" t="s">
        <v>1653</v>
      </c>
      <c r="C732" s="37" t="s">
        <v>1654</v>
      </c>
      <c r="D732" s="37" t="s">
        <v>139</v>
      </c>
      <c r="E732" s="37" t="s">
        <v>22</v>
      </c>
      <c r="F732" s="42">
        <v>45291</v>
      </c>
      <c r="G732" s="37">
        <v>2023</v>
      </c>
      <c r="H732" s="37" t="s">
        <v>27</v>
      </c>
      <c r="I732" s="39" t="s">
        <v>32</v>
      </c>
      <c r="J732" s="37">
        <v>800</v>
      </c>
      <c r="K732" s="37">
        <v>1035</v>
      </c>
      <c r="L732" s="74">
        <f t="shared" si="76"/>
        <v>1.29375</v>
      </c>
      <c r="M732" s="65">
        <f t="shared" si="77"/>
        <v>1.29375</v>
      </c>
      <c r="N732" s="37"/>
      <c r="O732" s="37"/>
      <c r="P732" s="37">
        <v>0</v>
      </c>
      <c r="Q732" s="37">
        <v>0</v>
      </c>
      <c r="R732" s="37" t="s">
        <v>1655</v>
      </c>
      <c r="S732" s="37"/>
    </row>
    <row r="733" spans="1:19" x14ac:dyDescent="0.3">
      <c r="A733" s="37">
        <v>328</v>
      </c>
      <c r="B733" s="37" t="s">
        <v>1653</v>
      </c>
      <c r="C733" s="37" t="s">
        <v>1654</v>
      </c>
      <c r="D733" s="37" t="s">
        <v>139</v>
      </c>
      <c r="E733" s="37" t="s">
        <v>22</v>
      </c>
      <c r="F733" s="42">
        <v>45657</v>
      </c>
      <c r="G733" s="37">
        <v>2024</v>
      </c>
      <c r="H733" s="37" t="s">
        <v>27</v>
      </c>
      <c r="I733" s="39" t="s">
        <v>36</v>
      </c>
      <c r="J733" s="37">
        <v>100</v>
      </c>
      <c r="K733" s="37">
        <v>157</v>
      </c>
      <c r="L733" s="65">
        <f t="shared" si="76"/>
        <v>1.3</v>
      </c>
      <c r="M733" s="65">
        <f t="shared" si="77"/>
        <v>1.57</v>
      </c>
      <c r="N733" s="37"/>
      <c r="O733" s="37"/>
      <c r="P733" s="37">
        <v>0</v>
      </c>
      <c r="Q733" s="37">
        <v>0</v>
      </c>
      <c r="R733" s="37" t="s">
        <v>1656</v>
      </c>
      <c r="S733" s="37"/>
    </row>
    <row r="734" spans="1:19" x14ac:dyDescent="0.3">
      <c r="A734" s="41">
        <v>329</v>
      </c>
      <c r="B734" s="37" t="s">
        <v>1657</v>
      </c>
      <c r="C734" s="37" t="s">
        <v>1654</v>
      </c>
      <c r="D734" s="37" t="s">
        <v>139</v>
      </c>
      <c r="E734" s="37" t="s">
        <v>22</v>
      </c>
      <c r="F734" s="42">
        <v>45291</v>
      </c>
      <c r="G734" s="37">
        <v>2023</v>
      </c>
      <c r="H734" s="37" t="s">
        <v>27</v>
      </c>
      <c r="I734" s="39" t="s">
        <v>32</v>
      </c>
      <c r="J734" s="37">
        <v>3000</v>
      </c>
      <c r="K734" s="37">
        <v>3315</v>
      </c>
      <c r="L734" s="74">
        <f t="shared" si="76"/>
        <v>1.105</v>
      </c>
      <c r="M734" s="65">
        <f t="shared" si="77"/>
        <v>1.105</v>
      </c>
      <c r="N734" s="37"/>
      <c r="O734" s="37"/>
      <c r="P734" s="37">
        <v>0</v>
      </c>
      <c r="Q734" s="37">
        <v>0</v>
      </c>
      <c r="R734" s="37" t="s">
        <v>1658</v>
      </c>
      <c r="S734" s="37"/>
    </row>
    <row r="735" spans="1:19" x14ac:dyDescent="0.3">
      <c r="A735" s="37">
        <v>329</v>
      </c>
      <c r="B735" s="37" t="s">
        <v>1657</v>
      </c>
      <c r="C735" s="37" t="s">
        <v>1654</v>
      </c>
      <c r="D735" s="37" t="s">
        <v>139</v>
      </c>
      <c r="E735" s="37" t="s">
        <v>22</v>
      </c>
      <c r="F735" s="42">
        <v>45657</v>
      </c>
      <c r="G735" s="37">
        <v>2024</v>
      </c>
      <c r="H735" s="37" t="s">
        <v>27</v>
      </c>
      <c r="I735" s="39" t="s">
        <v>36</v>
      </c>
      <c r="J735" s="37">
        <v>100</v>
      </c>
      <c r="K735" s="37">
        <v>106.63</v>
      </c>
      <c r="L735" s="65">
        <f t="shared" si="76"/>
        <v>1.0663</v>
      </c>
      <c r="M735" s="65">
        <f t="shared" si="77"/>
        <v>1.0663</v>
      </c>
      <c r="N735" s="37"/>
      <c r="O735" s="37"/>
      <c r="P735" s="37">
        <v>0</v>
      </c>
      <c r="Q735" s="37">
        <v>0</v>
      </c>
      <c r="R735" s="37" t="s">
        <v>1659</v>
      </c>
      <c r="S735" s="37"/>
    </row>
    <row r="736" spans="1:19" x14ac:dyDescent="0.3">
      <c r="A736" s="41">
        <v>331</v>
      </c>
      <c r="B736" s="37" t="s">
        <v>1660</v>
      </c>
      <c r="C736" s="37" t="s">
        <v>1654</v>
      </c>
      <c r="D736" s="37" t="s">
        <v>139</v>
      </c>
      <c r="E736" s="37" t="s">
        <v>22</v>
      </c>
      <c r="F736" s="42">
        <v>45291</v>
      </c>
      <c r="G736" s="37">
        <v>2023</v>
      </c>
      <c r="H736" s="37" t="s">
        <v>27</v>
      </c>
      <c r="I736" s="39" t="s">
        <v>32</v>
      </c>
      <c r="J736" s="37">
        <v>0</v>
      </c>
      <c r="K736" s="37">
        <v>81</v>
      </c>
      <c r="L736" s="65" t="str">
        <f t="shared" si="76"/>
        <v/>
      </c>
      <c r="M736" s="65" t="str">
        <f t="shared" si="77"/>
        <v/>
      </c>
      <c r="N736" s="37" t="s">
        <v>495</v>
      </c>
      <c r="O736" s="37" t="s">
        <v>25</v>
      </c>
      <c r="P736" s="37">
        <v>0</v>
      </c>
      <c r="Q736" s="37">
        <v>0</v>
      </c>
      <c r="R736" s="37" t="s">
        <v>1661</v>
      </c>
      <c r="S736" s="37"/>
    </row>
    <row r="737" spans="1:19" x14ac:dyDescent="0.3">
      <c r="A737" s="41">
        <v>331</v>
      </c>
      <c r="B737" s="37" t="s">
        <v>1660</v>
      </c>
      <c r="C737" s="37" t="s">
        <v>1654</v>
      </c>
      <c r="D737" s="37" t="s">
        <v>139</v>
      </c>
      <c r="E737" s="37" t="s">
        <v>22</v>
      </c>
      <c r="F737" s="42">
        <v>45657</v>
      </c>
      <c r="G737" s="37">
        <v>2024</v>
      </c>
      <c r="H737" s="37" t="s">
        <v>27</v>
      </c>
      <c r="I737" s="39" t="s">
        <v>36</v>
      </c>
      <c r="J737" s="37">
        <v>0</v>
      </c>
      <c r="K737" s="37">
        <v>82</v>
      </c>
      <c r="L737" s="65" t="str">
        <f t="shared" si="76"/>
        <v/>
      </c>
      <c r="M737" s="65" t="str">
        <f t="shared" si="77"/>
        <v/>
      </c>
      <c r="N737" s="37" t="s">
        <v>495</v>
      </c>
      <c r="O737" s="37" t="s">
        <v>25</v>
      </c>
      <c r="P737" s="37">
        <v>0</v>
      </c>
      <c r="Q737" s="37">
        <v>0</v>
      </c>
      <c r="R737" s="37" t="s">
        <v>1662</v>
      </c>
      <c r="S737" s="37"/>
    </row>
    <row r="738" spans="1:19" x14ac:dyDescent="0.3">
      <c r="A738" s="37">
        <v>332</v>
      </c>
      <c r="B738" s="37" t="s">
        <v>1663</v>
      </c>
      <c r="C738" s="37" t="s">
        <v>55</v>
      </c>
      <c r="D738" s="37" t="s">
        <v>21</v>
      </c>
      <c r="E738" s="37" t="s">
        <v>56</v>
      </c>
      <c r="F738" s="38">
        <v>45107</v>
      </c>
      <c r="G738" s="40">
        <v>2023</v>
      </c>
      <c r="H738" s="39" t="s">
        <v>23</v>
      </c>
      <c r="I738" s="39" t="s">
        <v>30</v>
      </c>
      <c r="J738" s="37">
        <v>1.8</v>
      </c>
      <c r="K738" s="37">
        <v>1.57</v>
      </c>
      <c r="L738" s="65">
        <f t="shared" si="76"/>
        <v>1.1464968152866242</v>
      </c>
      <c r="M738" s="65">
        <f t="shared" si="77"/>
        <v>1.1464968152866242</v>
      </c>
      <c r="N738" s="37" t="s">
        <v>197</v>
      </c>
      <c r="O738" s="37" t="s">
        <v>197</v>
      </c>
      <c r="P738" s="37">
        <v>1</v>
      </c>
      <c r="Q738" s="37">
        <v>2</v>
      </c>
      <c r="R738" s="37" t="s">
        <v>1664</v>
      </c>
      <c r="S738" s="37"/>
    </row>
    <row r="739" spans="1:19" x14ac:dyDescent="0.3">
      <c r="A739" s="41">
        <v>332</v>
      </c>
      <c r="B739" s="37" t="s">
        <v>1663</v>
      </c>
      <c r="C739" s="37" t="s">
        <v>55</v>
      </c>
      <c r="D739" s="37" t="s">
        <v>21</v>
      </c>
      <c r="E739" s="37" t="s">
        <v>56</v>
      </c>
      <c r="F739" s="42">
        <v>45291</v>
      </c>
      <c r="G739" s="37">
        <v>2023</v>
      </c>
      <c r="H739" s="37" t="s">
        <v>27</v>
      </c>
      <c r="I739" s="39" t="s">
        <v>32</v>
      </c>
      <c r="J739" s="37">
        <v>1.8</v>
      </c>
      <c r="K739" s="37">
        <v>1.3</v>
      </c>
      <c r="L739" s="65">
        <f t="shared" si="76"/>
        <v>1.3</v>
      </c>
      <c r="M739" s="65">
        <f t="shared" si="77"/>
        <v>1.3846153846153846</v>
      </c>
      <c r="N739" s="37" t="s">
        <v>197</v>
      </c>
      <c r="O739" s="37" t="s">
        <v>197</v>
      </c>
      <c r="P739" s="37">
        <v>1</v>
      </c>
      <c r="Q739" s="37">
        <v>1</v>
      </c>
      <c r="R739" s="37" t="s">
        <v>1665</v>
      </c>
      <c r="S739" s="37"/>
    </row>
    <row r="740" spans="1:19" x14ac:dyDescent="0.3">
      <c r="A740" s="37">
        <v>332</v>
      </c>
      <c r="B740" s="37" t="s">
        <v>1663</v>
      </c>
      <c r="C740" s="37" t="s">
        <v>55</v>
      </c>
      <c r="D740" s="37" t="s">
        <v>21</v>
      </c>
      <c r="E740" s="37" t="s">
        <v>56</v>
      </c>
      <c r="F740" s="42">
        <v>45473</v>
      </c>
      <c r="G740" s="37">
        <v>2024</v>
      </c>
      <c r="H740" s="37" t="s">
        <v>23</v>
      </c>
      <c r="I740" s="39" t="s">
        <v>34</v>
      </c>
      <c r="J740" s="37">
        <v>1.5</v>
      </c>
      <c r="K740" s="43">
        <v>1.48</v>
      </c>
      <c r="L740" s="65">
        <f t="shared" si="76"/>
        <v>1.0135135135135136</v>
      </c>
      <c r="M740" s="65">
        <f t="shared" si="77"/>
        <v>1.0135135135135136</v>
      </c>
      <c r="N740" s="37" t="s">
        <v>197</v>
      </c>
      <c r="O740" s="37" t="s">
        <v>197</v>
      </c>
      <c r="P740" s="37">
        <v>1</v>
      </c>
      <c r="Q740" s="37">
        <v>2</v>
      </c>
      <c r="R740" s="37" t="s">
        <v>1666</v>
      </c>
      <c r="S740" s="37"/>
    </row>
    <row r="741" spans="1:19" x14ac:dyDescent="0.3">
      <c r="A741" s="37">
        <v>332</v>
      </c>
      <c r="B741" s="37" t="s">
        <v>1663</v>
      </c>
      <c r="C741" s="37" t="s">
        <v>55</v>
      </c>
      <c r="D741" s="37" t="s">
        <v>21</v>
      </c>
      <c r="E741" s="37" t="s">
        <v>56</v>
      </c>
      <c r="F741" s="42">
        <v>45657</v>
      </c>
      <c r="G741" s="37">
        <v>2024</v>
      </c>
      <c r="H741" s="37" t="s">
        <v>27</v>
      </c>
      <c r="I741" s="39" t="s">
        <v>36</v>
      </c>
      <c r="J741" s="37">
        <v>1.8</v>
      </c>
      <c r="K741" s="37">
        <v>0.82</v>
      </c>
      <c r="L741" s="65">
        <f t="shared" si="76"/>
        <v>1.3</v>
      </c>
      <c r="M741" s="65">
        <f t="shared" si="77"/>
        <v>2.1951219512195124</v>
      </c>
      <c r="N741" s="37" t="s">
        <v>197</v>
      </c>
      <c r="O741" s="37" t="s">
        <v>197</v>
      </c>
      <c r="P741" s="37">
        <v>1</v>
      </c>
      <c r="Q741" s="37">
        <v>2</v>
      </c>
      <c r="R741" s="37" t="s">
        <v>1667</v>
      </c>
      <c r="S741" s="37"/>
    </row>
    <row r="742" spans="1:19" x14ac:dyDescent="0.3">
      <c r="A742" s="41">
        <v>334</v>
      </c>
      <c r="B742" s="37" t="s">
        <v>1668</v>
      </c>
      <c r="C742" s="37" t="s">
        <v>55</v>
      </c>
      <c r="D742" s="37" t="s">
        <v>139</v>
      </c>
      <c r="E742" s="37" t="s">
        <v>22</v>
      </c>
      <c r="F742" s="42">
        <v>45291</v>
      </c>
      <c r="G742" s="37">
        <v>2023</v>
      </c>
      <c r="H742" s="37" t="s">
        <v>27</v>
      </c>
      <c r="I742" s="39" t="s">
        <v>32</v>
      </c>
      <c r="J742" s="37">
        <v>88</v>
      </c>
      <c r="K742" s="37">
        <v>88.39</v>
      </c>
      <c r="L742" s="65">
        <f t="shared" ref="L742:L765" si="78">IFERROR(IF(OR(J742=0,K742=""),"",IF(E742="Positivo",MIN(MAX(K742/J742,0),1.3),MIN(MAX(J742/K742,0),1.3))),"")</f>
        <v>1.0044318181818181</v>
      </c>
      <c r="M742" s="65">
        <f t="shared" ref="M742:M765" si="79">IFERROR(IF(OR(J742=0,K742=""),"",IF(E742="Positivo",MAX(K742/J742,0),MAX(J742/K742,0))),"")</f>
        <v>1.0044318181818181</v>
      </c>
      <c r="N742" s="37"/>
      <c r="O742" s="37"/>
      <c r="P742" s="37">
        <v>0</v>
      </c>
      <c r="Q742" s="37">
        <v>0</v>
      </c>
      <c r="R742" s="37" t="s">
        <v>1669</v>
      </c>
      <c r="S742" s="37"/>
    </row>
    <row r="743" spans="1:19" x14ac:dyDescent="0.3">
      <c r="A743" s="37">
        <v>334</v>
      </c>
      <c r="B743" s="37" t="s">
        <v>1668</v>
      </c>
      <c r="C743" s="37" t="s">
        <v>55</v>
      </c>
      <c r="D743" s="37" t="s">
        <v>139</v>
      </c>
      <c r="E743" s="37" t="s">
        <v>22</v>
      </c>
      <c r="F743" s="42">
        <v>45657</v>
      </c>
      <c r="G743" s="37">
        <v>2024</v>
      </c>
      <c r="H743" s="37" t="s">
        <v>27</v>
      </c>
      <c r="I743" s="39" t="s">
        <v>36</v>
      </c>
      <c r="J743" s="37">
        <v>88</v>
      </c>
      <c r="K743" s="37">
        <v>88.84</v>
      </c>
      <c r="L743" s="65">
        <f t="shared" si="78"/>
        <v>1.0095454545454545</v>
      </c>
      <c r="M743" s="65">
        <f t="shared" si="79"/>
        <v>1.0095454545454545</v>
      </c>
      <c r="N743" s="37"/>
      <c r="O743" s="37"/>
      <c r="P743" s="37">
        <v>0</v>
      </c>
      <c r="Q743" s="37">
        <v>0</v>
      </c>
      <c r="R743" s="37" t="s">
        <v>1670</v>
      </c>
      <c r="S743" s="37"/>
    </row>
    <row r="744" spans="1:19" x14ac:dyDescent="0.3">
      <c r="A744" s="41">
        <v>335</v>
      </c>
      <c r="B744" s="37" t="s">
        <v>1671</v>
      </c>
      <c r="C744" s="37" t="s">
        <v>55</v>
      </c>
      <c r="D744" s="37" t="s">
        <v>139</v>
      </c>
      <c r="E744" s="37" t="s">
        <v>22</v>
      </c>
      <c r="F744" s="42">
        <v>45291</v>
      </c>
      <c r="G744" s="37">
        <v>2023</v>
      </c>
      <c r="H744" s="37" t="s">
        <v>27</v>
      </c>
      <c r="I744" s="39" t="s">
        <v>32</v>
      </c>
      <c r="J744" s="37">
        <v>80</v>
      </c>
      <c r="K744" s="37">
        <v>93.85</v>
      </c>
      <c r="L744" s="74">
        <f t="shared" si="78"/>
        <v>1.173125</v>
      </c>
      <c r="M744" s="65">
        <f t="shared" si="79"/>
        <v>1.173125</v>
      </c>
      <c r="N744" s="37" t="s">
        <v>25</v>
      </c>
      <c r="O744" s="37" t="s">
        <v>25</v>
      </c>
      <c r="P744" s="37">
        <v>0</v>
      </c>
      <c r="Q744" s="37">
        <v>0</v>
      </c>
      <c r="R744" s="37" t="s">
        <v>1672</v>
      </c>
      <c r="S744" s="37"/>
    </row>
    <row r="745" spans="1:19" x14ac:dyDescent="0.3">
      <c r="A745" s="37">
        <v>335</v>
      </c>
      <c r="B745" s="37" t="s">
        <v>1671</v>
      </c>
      <c r="C745" s="37" t="s">
        <v>55</v>
      </c>
      <c r="D745" s="37" t="s">
        <v>139</v>
      </c>
      <c r="E745" s="37" t="s">
        <v>22</v>
      </c>
      <c r="F745" s="42">
        <v>45657</v>
      </c>
      <c r="G745" s="37">
        <v>2024</v>
      </c>
      <c r="H745" s="37" t="s">
        <v>27</v>
      </c>
      <c r="I745" s="39" t="s">
        <v>36</v>
      </c>
      <c r="J745" s="37">
        <v>82</v>
      </c>
      <c r="K745" s="37">
        <v>80.95</v>
      </c>
      <c r="L745" s="65">
        <f t="shared" si="78"/>
        <v>0.9871951219512195</v>
      </c>
      <c r="M745" s="65">
        <f t="shared" si="79"/>
        <v>0.9871951219512195</v>
      </c>
      <c r="N745" s="37"/>
      <c r="O745" s="37"/>
      <c r="P745" s="37">
        <v>0</v>
      </c>
      <c r="Q745" s="37">
        <v>0</v>
      </c>
      <c r="R745" s="37" t="s">
        <v>1673</v>
      </c>
      <c r="S745" s="37"/>
    </row>
    <row r="746" spans="1:19" x14ac:dyDescent="0.3">
      <c r="A746" s="41">
        <v>336</v>
      </c>
      <c r="B746" s="37" t="s">
        <v>1674</v>
      </c>
      <c r="C746" s="37" t="s">
        <v>461</v>
      </c>
      <c r="D746" s="37" t="s">
        <v>139</v>
      </c>
      <c r="E746" s="37" t="s">
        <v>56</v>
      </c>
      <c r="F746" s="42">
        <v>45291</v>
      </c>
      <c r="G746" s="37">
        <v>2023</v>
      </c>
      <c r="H746" s="37" t="s">
        <v>27</v>
      </c>
      <c r="I746" s="39" t="s">
        <v>32</v>
      </c>
      <c r="J746" s="37">
        <v>2</v>
      </c>
      <c r="K746" s="37">
        <v>1.742198218602321</v>
      </c>
      <c r="L746" s="65">
        <f t="shared" si="78"/>
        <v>1.1479750000000002</v>
      </c>
      <c r="M746" s="65">
        <f t="shared" si="79"/>
        <v>1.1479750000000002</v>
      </c>
      <c r="N746" s="37"/>
      <c r="O746" s="37"/>
      <c r="P746" s="37">
        <v>0</v>
      </c>
      <c r="Q746" s="37">
        <v>0</v>
      </c>
      <c r="R746" s="37" t="s">
        <v>1675</v>
      </c>
      <c r="S746" s="37"/>
    </row>
    <row r="747" spans="1:19" x14ac:dyDescent="0.3">
      <c r="A747" s="37">
        <v>336</v>
      </c>
      <c r="B747" s="37" t="s">
        <v>1674</v>
      </c>
      <c r="C747" s="37" t="s">
        <v>461</v>
      </c>
      <c r="D747" s="37" t="s">
        <v>139</v>
      </c>
      <c r="E747" s="37" t="s">
        <v>56</v>
      </c>
      <c r="F747" s="42">
        <v>45657</v>
      </c>
      <c r="G747" s="37">
        <v>2024</v>
      </c>
      <c r="H747" s="37" t="s">
        <v>27</v>
      </c>
      <c r="I747" s="39" t="s">
        <v>36</v>
      </c>
      <c r="J747" s="37">
        <v>2</v>
      </c>
      <c r="K747" s="37">
        <v>0.79</v>
      </c>
      <c r="L747" s="65">
        <f t="shared" si="78"/>
        <v>1.3</v>
      </c>
      <c r="M747" s="65">
        <f t="shared" si="79"/>
        <v>2.5316455696202529</v>
      </c>
      <c r="N747" s="37"/>
      <c r="O747" s="37"/>
      <c r="P747" s="37">
        <v>0</v>
      </c>
      <c r="Q747" s="37">
        <v>0</v>
      </c>
      <c r="R747" s="37" t="s">
        <v>1676</v>
      </c>
      <c r="S747" s="37"/>
    </row>
    <row r="748" spans="1:19" x14ac:dyDescent="0.3">
      <c r="A748" s="45">
        <v>337</v>
      </c>
      <c r="B748" s="37" t="s">
        <v>1679</v>
      </c>
      <c r="C748" s="37" t="s">
        <v>1364</v>
      </c>
      <c r="D748" s="37" t="s">
        <v>21</v>
      </c>
      <c r="E748" s="37" t="s">
        <v>22</v>
      </c>
      <c r="F748" s="42">
        <v>45107</v>
      </c>
      <c r="G748" s="37">
        <v>2023</v>
      </c>
      <c r="H748" s="37" t="s">
        <v>23</v>
      </c>
      <c r="I748" s="39" t="s">
        <v>30</v>
      </c>
      <c r="J748" s="37">
        <v>0</v>
      </c>
      <c r="K748" s="37">
        <v>0</v>
      </c>
      <c r="L748" s="74" t="str">
        <f t="shared" si="78"/>
        <v/>
      </c>
      <c r="M748" s="65" t="str">
        <f t="shared" si="79"/>
        <v/>
      </c>
      <c r="N748" s="37"/>
      <c r="O748" s="37"/>
      <c r="P748" s="37">
        <v>0</v>
      </c>
      <c r="Q748" s="37">
        <v>0</v>
      </c>
      <c r="R748" s="37" t="s">
        <v>1678</v>
      </c>
      <c r="S748" s="37"/>
    </row>
    <row r="749" spans="1:19" x14ac:dyDescent="0.3">
      <c r="A749" s="41">
        <v>337</v>
      </c>
      <c r="B749" s="37" t="s">
        <v>1679</v>
      </c>
      <c r="C749" s="37" t="s">
        <v>1364</v>
      </c>
      <c r="D749" s="37" t="s">
        <v>21</v>
      </c>
      <c r="E749" s="37" t="s">
        <v>22</v>
      </c>
      <c r="F749" s="42">
        <v>45291</v>
      </c>
      <c r="G749" s="37">
        <v>2023</v>
      </c>
      <c r="H749" s="37" t="s">
        <v>27</v>
      </c>
      <c r="I749" s="39" t="s">
        <v>32</v>
      </c>
      <c r="J749" s="37">
        <v>3</v>
      </c>
      <c r="K749" s="37">
        <v>3</v>
      </c>
      <c r="L749" s="74">
        <f t="shared" si="78"/>
        <v>1</v>
      </c>
      <c r="M749" s="65">
        <f t="shared" si="79"/>
        <v>1</v>
      </c>
      <c r="N749" s="37" t="s">
        <v>203</v>
      </c>
      <c r="O749" s="37" t="s">
        <v>203</v>
      </c>
      <c r="P749" s="37">
        <v>0</v>
      </c>
      <c r="Q749" s="37">
        <v>0</v>
      </c>
      <c r="R749" s="37" t="s">
        <v>1680</v>
      </c>
      <c r="S749" s="37"/>
    </row>
    <row r="750" spans="1:19" x14ac:dyDescent="0.3">
      <c r="A750" s="37">
        <v>337</v>
      </c>
      <c r="B750" s="37" t="s">
        <v>1679</v>
      </c>
      <c r="C750" s="37" t="s">
        <v>1364</v>
      </c>
      <c r="D750" s="37" t="s">
        <v>21</v>
      </c>
      <c r="E750" s="37" t="s">
        <v>22</v>
      </c>
      <c r="F750" s="42">
        <v>45473</v>
      </c>
      <c r="G750" s="37">
        <v>2024</v>
      </c>
      <c r="H750" s="37" t="s">
        <v>23</v>
      </c>
      <c r="I750" s="39" t="s">
        <v>34</v>
      </c>
      <c r="J750" s="37">
        <v>1</v>
      </c>
      <c r="K750" s="37">
        <v>1</v>
      </c>
      <c r="L750" s="65">
        <f t="shared" si="78"/>
        <v>1</v>
      </c>
      <c r="M750" s="65">
        <f t="shared" si="79"/>
        <v>1</v>
      </c>
      <c r="N750" s="37" t="s">
        <v>203</v>
      </c>
      <c r="O750" s="37" t="s">
        <v>203</v>
      </c>
      <c r="P750" s="37">
        <v>0</v>
      </c>
      <c r="Q750" s="37">
        <v>0</v>
      </c>
      <c r="R750" s="37" t="s">
        <v>1681</v>
      </c>
      <c r="S750" s="37"/>
    </row>
    <row r="751" spans="1:19" x14ac:dyDescent="0.3">
      <c r="A751" s="37">
        <v>337</v>
      </c>
      <c r="B751" s="37" t="s">
        <v>1679</v>
      </c>
      <c r="C751" s="37" t="s">
        <v>1364</v>
      </c>
      <c r="D751" s="37" t="s">
        <v>21</v>
      </c>
      <c r="E751" s="37" t="s">
        <v>22</v>
      </c>
      <c r="F751" s="42">
        <v>45657</v>
      </c>
      <c r="G751" s="37">
        <v>2024</v>
      </c>
      <c r="H751" s="37" t="s">
        <v>27</v>
      </c>
      <c r="I751" s="39" t="s">
        <v>36</v>
      </c>
      <c r="J751" s="37">
        <v>0</v>
      </c>
      <c r="K751" s="37">
        <v>0</v>
      </c>
      <c r="L751" s="65" t="str">
        <f t="shared" si="78"/>
        <v/>
      </c>
      <c r="M751" s="65" t="str">
        <f t="shared" si="79"/>
        <v/>
      </c>
      <c r="N751" s="37"/>
      <c r="O751" s="37"/>
      <c r="P751" s="37">
        <v>0</v>
      </c>
      <c r="Q751" s="37">
        <v>0</v>
      </c>
      <c r="R751" s="37" t="s">
        <v>1682</v>
      </c>
      <c r="S751" s="37"/>
    </row>
    <row r="752" spans="1:19" x14ac:dyDescent="0.3">
      <c r="A752" s="45">
        <v>338</v>
      </c>
      <c r="B752" s="37" t="s">
        <v>1683</v>
      </c>
      <c r="C752" s="37" t="s">
        <v>1364</v>
      </c>
      <c r="D752" s="37" t="s">
        <v>21</v>
      </c>
      <c r="E752" s="37" t="s">
        <v>22</v>
      </c>
      <c r="F752" s="42">
        <v>45107</v>
      </c>
      <c r="G752" s="37">
        <v>2023</v>
      </c>
      <c r="H752" s="37" t="s">
        <v>23</v>
      </c>
      <c r="I752" s="39" t="s">
        <v>30</v>
      </c>
      <c r="J752" s="37">
        <v>5</v>
      </c>
      <c r="K752" s="37">
        <v>5</v>
      </c>
      <c r="L752" s="74">
        <f t="shared" si="78"/>
        <v>1</v>
      </c>
      <c r="M752" s="65">
        <f t="shared" si="79"/>
        <v>1</v>
      </c>
      <c r="N752" s="37" t="s">
        <v>203</v>
      </c>
      <c r="O752" s="37" t="s">
        <v>203</v>
      </c>
      <c r="P752" s="37">
        <v>0</v>
      </c>
      <c r="Q752" s="37">
        <v>0</v>
      </c>
      <c r="R752" s="37" t="s">
        <v>1684</v>
      </c>
      <c r="S752" s="37"/>
    </row>
    <row r="753" spans="1:19" x14ac:dyDescent="0.3">
      <c r="A753" s="41">
        <v>338</v>
      </c>
      <c r="B753" s="37" t="s">
        <v>1683</v>
      </c>
      <c r="C753" s="37" t="s">
        <v>1364</v>
      </c>
      <c r="D753" s="37" t="s">
        <v>21</v>
      </c>
      <c r="E753" s="37" t="s">
        <v>22</v>
      </c>
      <c r="F753" s="42">
        <v>45291</v>
      </c>
      <c r="G753" s="37">
        <v>2023</v>
      </c>
      <c r="H753" s="37" t="s">
        <v>27</v>
      </c>
      <c r="I753" s="39" t="s">
        <v>32</v>
      </c>
      <c r="J753" s="37">
        <v>0</v>
      </c>
      <c r="K753" s="37">
        <v>0</v>
      </c>
      <c r="L753" s="74" t="str">
        <f t="shared" si="78"/>
        <v/>
      </c>
      <c r="M753" s="65" t="str">
        <f t="shared" si="79"/>
        <v/>
      </c>
      <c r="N753" s="37"/>
      <c r="O753" s="37"/>
      <c r="P753" s="37">
        <v>0</v>
      </c>
      <c r="Q753" s="37">
        <v>0</v>
      </c>
      <c r="R753" s="37" t="s">
        <v>1686</v>
      </c>
      <c r="S753" s="37"/>
    </row>
    <row r="754" spans="1:19" x14ac:dyDescent="0.3">
      <c r="A754" s="45">
        <v>338</v>
      </c>
      <c r="B754" s="37" t="s">
        <v>1683</v>
      </c>
      <c r="C754" s="37" t="s">
        <v>1364</v>
      </c>
      <c r="D754" s="37" t="s">
        <v>21</v>
      </c>
      <c r="E754" s="37" t="s">
        <v>22</v>
      </c>
      <c r="F754" s="42">
        <v>45473</v>
      </c>
      <c r="G754" s="37">
        <v>2024</v>
      </c>
      <c r="H754" s="37" t="s">
        <v>23</v>
      </c>
      <c r="I754" s="39" t="s">
        <v>34</v>
      </c>
      <c r="J754" s="37">
        <v>3</v>
      </c>
      <c r="K754" s="37">
        <v>3</v>
      </c>
      <c r="L754" s="74">
        <f t="shared" si="78"/>
        <v>1</v>
      </c>
      <c r="M754" s="65">
        <f t="shared" si="79"/>
        <v>1</v>
      </c>
      <c r="N754" s="37" t="s">
        <v>203</v>
      </c>
      <c r="O754" s="37" t="s">
        <v>203</v>
      </c>
      <c r="P754" s="37">
        <v>0</v>
      </c>
      <c r="Q754" s="37">
        <v>0</v>
      </c>
      <c r="R754" s="37" t="s">
        <v>1688</v>
      </c>
      <c r="S754" s="37"/>
    </row>
    <row r="755" spans="1:19" x14ac:dyDescent="0.3">
      <c r="A755" s="45">
        <v>338</v>
      </c>
      <c r="B755" s="37" t="s">
        <v>1683</v>
      </c>
      <c r="C755" s="37" t="s">
        <v>1364</v>
      </c>
      <c r="D755" s="37" t="s">
        <v>21</v>
      </c>
      <c r="E755" s="37" t="s">
        <v>22</v>
      </c>
      <c r="F755" s="42">
        <v>45657</v>
      </c>
      <c r="G755" s="37">
        <v>2024</v>
      </c>
      <c r="H755" s="37" t="s">
        <v>27</v>
      </c>
      <c r="I755" s="39" t="s">
        <v>36</v>
      </c>
      <c r="J755" s="37">
        <v>0</v>
      </c>
      <c r="K755" s="37">
        <v>0</v>
      </c>
      <c r="L755" s="74" t="str">
        <f t="shared" si="78"/>
        <v/>
      </c>
      <c r="M755" s="65" t="str">
        <f t="shared" si="79"/>
        <v/>
      </c>
      <c r="N755" s="37"/>
      <c r="O755" s="37"/>
      <c r="P755" s="37">
        <v>0</v>
      </c>
      <c r="Q755" s="37">
        <v>0</v>
      </c>
      <c r="R755" s="37" t="s">
        <v>1689</v>
      </c>
      <c r="S755" s="37"/>
    </row>
    <row r="756" spans="1:19" x14ac:dyDescent="0.3">
      <c r="A756" s="41">
        <v>339</v>
      </c>
      <c r="B756" s="37" t="s">
        <v>1690</v>
      </c>
      <c r="C756" s="37" t="s">
        <v>1691</v>
      </c>
      <c r="D756" s="37" t="s">
        <v>139</v>
      </c>
      <c r="E756" s="37" t="s">
        <v>22</v>
      </c>
      <c r="F756" s="42">
        <v>45291</v>
      </c>
      <c r="G756" s="37">
        <v>2023</v>
      </c>
      <c r="H756" s="37" t="s">
        <v>27</v>
      </c>
      <c r="I756" s="39" t="s">
        <v>32</v>
      </c>
      <c r="J756" s="37">
        <v>30</v>
      </c>
      <c r="K756" s="37">
        <v>28.571428571428569</v>
      </c>
      <c r="L756" s="65">
        <f t="shared" si="78"/>
        <v>0.95238095238095233</v>
      </c>
      <c r="M756" s="65">
        <f t="shared" si="79"/>
        <v>0.95238095238095233</v>
      </c>
      <c r="N756" s="37" t="s">
        <v>25</v>
      </c>
      <c r="O756" s="37" t="s">
        <v>25</v>
      </c>
      <c r="P756" s="37">
        <v>0</v>
      </c>
      <c r="Q756" s="37">
        <v>1</v>
      </c>
      <c r="R756" s="37" t="s">
        <v>1692</v>
      </c>
      <c r="S756" s="37"/>
    </row>
    <row r="757" spans="1:19" x14ac:dyDescent="0.3">
      <c r="A757" s="37">
        <v>339</v>
      </c>
      <c r="B757" s="37" t="s">
        <v>1690</v>
      </c>
      <c r="C757" s="37" t="s">
        <v>1691</v>
      </c>
      <c r="D757" s="37" t="s">
        <v>139</v>
      </c>
      <c r="E757" s="37" t="s">
        <v>22</v>
      </c>
      <c r="F757" s="42">
        <v>45657</v>
      </c>
      <c r="G757" s="37">
        <v>2024</v>
      </c>
      <c r="H757" s="37" t="s">
        <v>27</v>
      </c>
      <c r="I757" s="39" t="s">
        <v>36</v>
      </c>
      <c r="J757" s="37">
        <v>30</v>
      </c>
      <c r="K757" s="37">
        <v>30.3</v>
      </c>
      <c r="L757" s="65">
        <f t="shared" si="78"/>
        <v>1.01</v>
      </c>
      <c r="M757" s="65">
        <f t="shared" si="79"/>
        <v>1.01</v>
      </c>
      <c r="N757" s="37" t="s">
        <v>25</v>
      </c>
      <c r="O757" s="37" t="s">
        <v>25</v>
      </c>
      <c r="P757" s="37">
        <v>0</v>
      </c>
      <c r="Q757" s="37">
        <v>1</v>
      </c>
      <c r="R757" s="37" t="s">
        <v>1693</v>
      </c>
      <c r="S757" s="37"/>
    </row>
    <row r="758" spans="1:19" x14ac:dyDescent="0.3">
      <c r="A758" s="41">
        <v>340</v>
      </c>
      <c r="B758" s="37" t="s">
        <v>1694</v>
      </c>
      <c r="C758" s="37" t="s">
        <v>224</v>
      </c>
      <c r="D758" s="37" t="s">
        <v>39</v>
      </c>
      <c r="E758" s="37" t="s">
        <v>22</v>
      </c>
      <c r="F758" s="42">
        <v>45107</v>
      </c>
      <c r="G758" s="37">
        <v>2023</v>
      </c>
      <c r="H758" s="37" t="s">
        <v>23</v>
      </c>
      <c r="I758" s="39" t="s">
        <v>30</v>
      </c>
      <c r="J758" s="37">
        <v>90</v>
      </c>
      <c r="K758" s="37">
        <v>100</v>
      </c>
      <c r="L758" s="65">
        <f t="shared" si="78"/>
        <v>1.1111111111111112</v>
      </c>
      <c r="M758" s="65">
        <f t="shared" si="79"/>
        <v>1.1111111111111112</v>
      </c>
      <c r="N758" s="37" t="s">
        <v>25</v>
      </c>
      <c r="O758" s="37" t="s">
        <v>25</v>
      </c>
      <c r="P758" s="37">
        <v>0</v>
      </c>
      <c r="Q758" s="37">
        <v>0</v>
      </c>
      <c r="R758" s="37" t="s">
        <v>1696</v>
      </c>
      <c r="S758" s="37"/>
    </row>
    <row r="759" spans="1:19" x14ac:dyDescent="0.3">
      <c r="A759" s="41">
        <v>340</v>
      </c>
      <c r="B759" s="37" t="s">
        <v>1694</v>
      </c>
      <c r="C759" s="37" t="s">
        <v>224</v>
      </c>
      <c r="D759" s="37" t="s">
        <v>39</v>
      </c>
      <c r="E759" s="37" t="s">
        <v>22</v>
      </c>
      <c r="F759" s="42">
        <v>45291</v>
      </c>
      <c r="G759" s="37">
        <v>2023</v>
      </c>
      <c r="H759" s="37" t="s">
        <v>27</v>
      </c>
      <c r="I759" s="39" t="s">
        <v>32</v>
      </c>
      <c r="J759" s="37">
        <v>90</v>
      </c>
      <c r="K759" s="37">
        <v>100</v>
      </c>
      <c r="L759" s="65">
        <f t="shared" si="78"/>
        <v>1.1111111111111112</v>
      </c>
      <c r="M759" s="65">
        <f t="shared" si="79"/>
        <v>1.1111111111111112</v>
      </c>
      <c r="N759" s="37" t="s">
        <v>25</v>
      </c>
      <c r="O759" s="37" t="s">
        <v>25</v>
      </c>
      <c r="P759" s="37">
        <v>0</v>
      </c>
      <c r="Q759" s="37">
        <v>0</v>
      </c>
      <c r="R759" s="37" t="s">
        <v>1698</v>
      </c>
      <c r="S759" s="37"/>
    </row>
    <row r="760" spans="1:19" x14ac:dyDescent="0.3">
      <c r="A760" s="37">
        <v>340</v>
      </c>
      <c r="B760" s="37" t="s">
        <v>1694</v>
      </c>
      <c r="C760" s="37" t="s">
        <v>224</v>
      </c>
      <c r="D760" s="37" t="s">
        <v>39</v>
      </c>
      <c r="E760" s="37" t="s">
        <v>22</v>
      </c>
      <c r="F760" s="42">
        <v>45473</v>
      </c>
      <c r="G760" s="37">
        <v>2024</v>
      </c>
      <c r="H760" s="37" t="s">
        <v>23</v>
      </c>
      <c r="I760" s="39" t="s">
        <v>34</v>
      </c>
      <c r="J760" s="37">
        <v>95</v>
      </c>
      <c r="K760" s="37">
        <v>100</v>
      </c>
      <c r="L760" s="65">
        <f t="shared" si="78"/>
        <v>1.0526315789473684</v>
      </c>
      <c r="M760" s="65">
        <f t="shared" si="79"/>
        <v>1.0526315789473684</v>
      </c>
      <c r="N760" s="37" t="s">
        <v>25</v>
      </c>
      <c r="O760" s="37" t="s">
        <v>25</v>
      </c>
      <c r="P760" s="37">
        <v>0</v>
      </c>
      <c r="Q760" s="37">
        <v>0</v>
      </c>
      <c r="R760" s="37" t="s">
        <v>1700</v>
      </c>
      <c r="S760" s="37"/>
    </row>
    <row r="761" spans="1:19" x14ac:dyDescent="0.3">
      <c r="A761" s="37">
        <v>340</v>
      </c>
      <c r="B761" s="37" t="s">
        <v>1694</v>
      </c>
      <c r="C761" s="37" t="s">
        <v>224</v>
      </c>
      <c r="D761" s="37" t="s">
        <v>39</v>
      </c>
      <c r="E761" s="37" t="s">
        <v>22</v>
      </c>
      <c r="F761" s="42">
        <v>45657</v>
      </c>
      <c r="G761" s="37">
        <v>2024</v>
      </c>
      <c r="H761" s="37" t="s">
        <v>27</v>
      </c>
      <c r="I761" s="39" t="s">
        <v>36</v>
      </c>
      <c r="J761" s="37">
        <v>95</v>
      </c>
      <c r="K761" s="37">
        <v>100</v>
      </c>
      <c r="L761" s="65">
        <f t="shared" si="78"/>
        <v>1.0526315789473684</v>
      </c>
      <c r="M761" s="65">
        <f t="shared" si="79"/>
        <v>1.0526315789473684</v>
      </c>
      <c r="N761" s="37" t="s">
        <v>25</v>
      </c>
      <c r="O761" s="37" t="s">
        <v>25</v>
      </c>
      <c r="P761" s="37">
        <v>0</v>
      </c>
      <c r="Q761" s="37">
        <v>0</v>
      </c>
      <c r="R761" s="37" t="s">
        <v>1702</v>
      </c>
      <c r="S761" s="37"/>
    </row>
    <row r="762" spans="1:19" x14ac:dyDescent="0.3">
      <c r="A762" s="45">
        <v>341</v>
      </c>
      <c r="B762" s="37" t="s">
        <v>1703</v>
      </c>
      <c r="C762" s="37" t="s">
        <v>20</v>
      </c>
      <c r="D762" s="37" t="s">
        <v>21</v>
      </c>
      <c r="E762" s="37" t="s">
        <v>22</v>
      </c>
      <c r="F762" s="42">
        <v>45107</v>
      </c>
      <c r="G762" s="37">
        <v>2023</v>
      </c>
      <c r="H762" s="37" t="s">
        <v>23</v>
      </c>
      <c r="I762" s="39" t="s">
        <v>30</v>
      </c>
      <c r="J762" s="60">
        <v>600000000</v>
      </c>
      <c r="K762" s="60">
        <v>743218000</v>
      </c>
      <c r="L762" s="65">
        <f t="shared" si="78"/>
        <v>1.2386966666666666</v>
      </c>
      <c r="M762" s="65">
        <f t="shared" si="79"/>
        <v>1.2386966666666666</v>
      </c>
      <c r="N762" s="37" t="s">
        <v>264</v>
      </c>
      <c r="O762" s="37" t="s">
        <v>264</v>
      </c>
      <c r="P762" s="37">
        <v>0</v>
      </c>
      <c r="Q762" s="37">
        <v>0</v>
      </c>
      <c r="R762" s="37" t="s">
        <v>1704</v>
      </c>
      <c r="S762" s="37"/>
    </row>
    <row r="763" spans="1:19" x14ac:dyDescent="0.3">
      <c r="A763" s="41">
        <v>341</v>
      </c>
      <c r="B763" s="37" t="s">
        <v>1703</v>
      </c>
      <c r="C763" s="37" t="s">
        <v>20</v>
      </c>
      <c r="D763" s="37" t="s">
        <v>21</v>
      </c>
      <c r="E763" s="37" t="s">
        <v>22</v>
      </c>
      <c r="F763" s="42">
        <v>45291</v>
      </c>
      <c r="G763" s="37">
        <v>2023</v>
      </c>
      <c r="H763" s="37" t="s">
        <v>27</v>
      </c>
      <c r="I763" s="39" t="s">
        <v>32</v>
      </c>
      <c r="J763" s="60">
        <v>900000000</v>
      </c>
      <c r="K763" s="60">
        <v>1175172000</v>
      </c>
      <c r="L763" s="65">
        <f t="shared" si="78"/>
        <v>1.3</v>
      </c>
      <c r="M763" s="65">
        <f t="shared" si="79"/>
        <v>1.3057466666666666</v>
      </c>
      <c r="N763" s="37" t="s">
        <v>264</v>
      </c>
      <c r="O763" s="37" t="s">
        <v>264</v>
      </c>
      <c r="P763" s="37">
        <v>0</v>
      </c>
      <c r="Q763" s="37">
        <v>0</v>
      </c>
      <c r="R763" s="37" t="s">
        <v>1705</v>
      </c>
      <c r="S763" s="37"/>
    </row>
    <row r="764" spans="1:19" x14ac:dyDescent="0.3">
      <c r="A764" s="37">
        <v>341</v>
      </c>
      <c r="B764" s="37" t="s">
        <v>1706</v>
      </c>
      <c r="C764" s="37" t="s">
        <v>20</v>
      </c>
      <c r="D764" s="37" t="s">
        <v>21</v>
      </c>
      <c r="E764" s="37" t="s">
        <v>22</v>
      </c>
      <c r="F764" s="42">
        <v>45473</v>
      </c>
      <c r="G764" s="37">
        <v>2024</v>
      </c>
      <c r="H764" s="37" t="s">
        <v>23</v>
      </c>
      <c r="I764" s="39" t="s">
        <v>34</v>
      </c>
      <c r="J764" s="56">
        <v>600000000</v>
      </c>
      <c r="K764" s="56">
        <v>750000000</v>
      </c>
      <c r="L764" s="65">
        <f t="shared" si="78"/>
        <v>1.25</v>
      </c>
      <c r="M764" s="65">
        <f t="shared" si="79"/>
        <v>1.25</v>
      </c>
      <c r="N764" s="37" t="s">
        <v>264</v>
      </c>
      <c r="O764" s="37" t="s">
        <v>264</v>
      </c>
      <c r="P764" s="37">
        <v>0</v>
      </c>
      <c r="Q764" s="37">
        <v>0</v>
      </c>
      <c r="R764" s="37" t="s">
        <v>1707</v>
      </c>
      <c r="S764" s="37"/>
    </row>
    <row r="765" spans="1:19" x14ac:dyDescent="0.3">
      <c r="A765" s="37">
        <v>341</v>
      </c>
      <c r="B765" s="37" t="s">
        <v>1706</v>
      </c>
      <c r="C765" s="37" t="s">
        <v>20</v>
      </c>
      <c r="D765" s="37" t="s">
        <v>21</v>
      </c>
      <c r="E765" s="37" t="s">
        <v>22</v>
      </c>
      <c r="F765" s="42">
        <v>45657</v>
      </c>
      <c r="G765" s="37">
        <v>2024</v>
      </c>
      <c r="H765" s="37" t="s">
        <v>27</v>
      </c>
      <c r="I765" s="39" t="s">
        <v>36</v>
      </c>
      <c r="J765" s="56">
        <v>900000000</v>
      </c>
      <c r="K765" s="56">
        <v>922000000</v>
      </c>
      <c r="L765" s="65">
        <f t="shared" si="78"/>
        <v>1.0244444444444445</v>
      </c>
      <c r="M765" s="65">
        <f t="shared" si="79"/>
        <v>1.0244444444444445</v>
      </c>
      <c r="N765" s="37" t="s">
        <v>264</v>
      </c>
      <c r="O765" s="37" t="s">
        <v>264</v>
      </c>
      <c r="P765" s="37">
        <v>0</v>
      </c>
      <c r="Q765" s="37">
        <v>0</v>
      </c>
      <c r="R765" s="37" t="s">
        <v>1708</v>
      </c>
      <c r="S765" s="37"/>
    </row>
    <row r="766" spans="1:19" x14ac:dyDescent="0.3">
      <c r="A766" s="45">
        <v>344</v>
      </c>
      <c r="B766" s="37" t="s">
        <v>1710</v>
      </c>
      <c r="C766" s="37" t="s">
        <v>55</v>
      </c>
      <c r="D766" s="37" t="s">
        <v>21</v>
      </c>
      <c r="E766" s="37" t="s">
        <v>22</v>
      </c>
      <c r="F766" s="42">
        <v>45107</v>
      </c>
      <c r="G766" s="37">
        <v>2023</v>
      </c>
      <c r="H766" s="37" t="s">
        <v>23</v>
      </c>
      <c r="I766" s="39" t="s">
        <v>30</v>
      </c>
      <c r="J766" s="37">
        <v>133</v>
      </c>
      <c r="K766" s="37">
        <v>130</v>
      </c>
      <c r="L766" s="74">
        <f t="shared" ref="L766:L769" si="80">IFERROR(IF(OR(J766=0,K766=""),"",IF(E766="Positivo",MIN(MAX(K766/J766,0),1.3),MIN(MAX(J766/K766,0),1.3))),"")</f>
        <v>0.97744360902255634</v>
      </c>
      <c r="M766" s="65">
        <f t="shared" ref="M766:M769" si="81">IFERROR(IF(OR(J766=0,K766=""),"",IF(E766="Positivo",MAX(K766/J766,0),MAX(J766/K766,0))),"")</f>
        <v>0.97744360902255634</v>
      </c>
      <c r="N766" s="37" t="s">
        <v>25</v>
      </c>
      <c r="O766" s="37" t="s">
        <v>25</v>
      </c>
      <c r="P766" s="37">
        <v>0</v>
      </c>
      <c r="Q766" s="37">
        <v>0</v>
      </c>
      <c r="R766" s="37" t="s">
        <v>1711</v>
      </c>
      <c r="S766" s="37"/>
    </row>
    <row r="767" spans="1:19" x14ac:dyDescent="0.3">
      <c r="A767" s="41">
        <v>344</v>
      </c>
      <c r="B767" s="37" t="s">
        <v>1710</v>
      </c>
      <c r="C767" s="37" t="s">
        <v>55</v>
      </c>
      <c r="D767" s="37" t="s">
        <v>21</v>
      </c>
      <c r="E767" s="37" t="s">
        <v>22</v>
      </c>
      <c r="F767" s="42">
        <v>45291</v>
      </c>
      <c r="G767" s="37">
        <v>2023</v>
      </c>
      <c r="H767" s="37" t="s">
        <v>27</v>
      </c>
      <c r="I767" s="39" t="s">
        <v>32</v>
      </c>
      <c r="J767" s="37">
        <v>134</v>
      </c>
      <c r="K767" s="37">
        <v>131</v>
      </c>
      <c r="L767" s="74">
        <f t="shared" si="80"/>
        <v>0.97761194029850751</v>
      </c>
      <c r="M767" s="65">
        <f t="shared" si="81"/>
        <v>0.97761194029850751</v>
      </c>
      <c r="N767" s="37" t="s">
        <v>25</v>
      </c>
      <c r="O767" s="37" t="s">
        <v>25</v>
      </c>
      <c r="P767" s="37">
        <v>0</v>
      </c>
      <c r="Q767" s="37">
        <v>0</v>
      </c>
      <c r="R767" s="37" t="s">
        <v>1712</v>
      </c>
      <c r="S767" s="37"/>
    </row>
    <row r="768" spans="1:19" x14ac:dyDescent="0.3">
      <c r="A768" s="37">
        <v>344</v>
      </c>
      <c r="B768" s="37" t="s">
        <v>1710</v>
      </c>
      <c r="C768" s="37" t="s">
        <v>55</v>
      </c>
      <c r="D768" s="37" t="s">
        <v>21</v>
      </c>
      <c r="E768" s="37" t="s">
        <v>22</v>
      </c>
      <c r="F768" s="42">
        <v>45473</v>
      </c>
      <c r="G768" s="37">
        <v>2024</v>
      </c>
      <c r="H768" s="37" t="s">
        <v>23</v>
      </c>
      <c r="I768" s="39" t="s">
        <v>34</v>
      </c>
      <c r="J768" s="37">
        <v>188</v>
      </c>
      <c r="K768" s="37">
        <v>183</v>
      </c>
      <c r="L768" s="65">
        <f t="shared" si="80"/>
        <v>0.97340425531914898</v>
      </c>
      <c r="M768" s="65">
        <f t="shared" si="81"/>
        <v>0.97340425531914898</v>
      </c>
      <c r="N768" s="37" t="s">
        <v>25</v>
      </c>
      <c r="O768" s="37" t="s">
        <v>25</v>
      </c>
      <c r="P768" s="37">
        <v>0</v>
      </c>
      <c r="Q768" s="37">
        <v>0</v>
      </c>
      <c r="R768" s="37" t="s">
        <v>1713</v>
      </c>
      <c r="S768" s="37"/>
    </row>
    <row r="769" spans="1:19" x14ac:dyDescent="0.3">
      <c r="A769" s="37">
        <v>344</v>
      </c>
      <c r="B769" s="37" t="s">
        <v>1710</v>
      </c>
      <c r="C769" s="37" t="s">
        <v>55</v>
      </c>
      <c r="D769" s="37" t="s">
        <v>21</v>
      </c>
      <c r="E769" s="37" t="s">
        <v>22</v>
      </c>
      <c r="F769" s="42">
        <v>45657</v>
      </c>
      <c r="G769" s="37">
        <v>2024</v>
      </c>
      <c r="H769" s="37" t="s">
        <v>27</v>
      </c>
      <c r="I769" s="39" t="s">
        <v>36</v>
      </c>
      <c r="J769" s="37">
        <v>124</v>
      </c>
      <c r="K769" s="37">
        <v>123</v>
      </c>
      <c r="L769" s="65">
        <f t="shared" si="80"/>
        <v>0.99193548387096775</v>
      </c>
      <c r="M769" s="65">
        <f t="shared" si="81"/>
        <v>0.99193548387096775</v>
      </c>
      <c r="N769" s="37" t="s">
        <v>25</v>
      </c>
      <c r="O769" s="37" t="s">
        <v>25</v>
      </c>
      <c r="P769" s="37">
        <v>0</v>
      </c>
      <c r="Q769" s="37">
        <v>0</v>
      </c>
      <c r="R769" s="37" t="s">
        <v>1714</v>
      </c>
      <c r="S769" s="37"/>
    </row>
    <row r="770" spans="1:19" x14ac:dyDescent="0.3">
      <c r="A770" s="41">
        <v>345</v>
      </c>
      <c r="B770" s="37" t="s">
        <v>1715</v>
      </c>
      <c r="C770" s="37" t="s">
        <v>55</v>
      </c>
      <c r="D770" s="37" t="s">
        <v>139</v>
      </c>
      <c r="E770" s="37" t="s">
        <v>22</v>
      </c>
      <c r="F770" s="42">
        <v>45291</v>
      </c>
      <c r="G770" s="37">
        <v>2023</v>
      </c>
      <c r="H770" s="37" t="s">
        <v>27</v>
      </c>
      <c r="I770" s="39" t="s">
        <v>32</v>
      </c>
      <c r="J770" s="37"/>
      <c r="K770" s="37">
        <v>94.85</v>
      </c>
      <c r="L770" s="65"/>
      <c r="M770" s="65"/>
      <c r="N770" s="37" t="s">
        <v>3505</v>
      </c>
      <c r="O770" s="37" t="s">
        <v>25</v>
      </c>
      <c r="P770" s="37">
        <v>0</v>
      </c>
      <c r="Q770" s="37">
        <v>0</v>
      </c>
      <c r="R770" s="37" t="s">
        <v>1716</v>
      </c>
      <c r="S770" s="37"/>
    </row>
    <row r="771" spans="1:19" x14ac:dyDescent="0.3">
      <c r="A771" s="41">
        <v>346</v>
      </c>
      <c r="B771" s="37" t="s">
        <v>1717</v>
      </c>
      <c r="C771" s="37" t="s">
        <v>55</v>
      </c>
      <c r="D771" s="37" t="s">
        <v>139</v>
      </c>
      <c r="E771" s="37" t="s">
        <v>22</v>
      </c>
      <c r="F771" s="42">
        <v>45291</v>
      </c>
      <c r="G771" s="37">
        <v>2023</v>
      </c>
      <c r="H771" s="37" t="s">
        <v>27</v>
      </c>
      <c r="I771" s="39" t="s">
        <v>32</v>
      </c>
      <c r="J771" s="37"/>
      <c r="K771" s="37">
        <v>83.91608391608392</v>
      </c>
      <c r="L771" s="67"/>
      <c r="M771" s="65"/>
      <c r="N771" s="37" t="s">
        <v>3505</v>
      </c>
      <c r="O771" s="37" t="s">
        <v>25</v>
      </c>
      <c r="P771" s="37">
        <v>0</v>
      </c>
      <c r="Q771" s="37">
        <v>0</v>
      </c>
      <c r="R771" s="37" t="s">
        <v>1718</v>
      </c>
      <c r="S771" s="37"/>
    </row>
    <row r="772" spans="1:19" x14ac:dyDescent="0.3">
      <c r="A772" s="37">
        <v>346</v>
      </c>
      <c r="B772" s="37" t="s">
        <v>1717</v>
      </c>
      <c r="C772" s="37" t="s">
        <v>55</v>
      </c>
      <c r="D772" s="37" t="s">
        <v>139</v>
      </c>
      <c r="E772" s="37" t="s">
        <v>22</v>
      </c>
      <c r="F772" s="42">
        <v>45657</v>
      </c>
      <c r="G772" s="37">
        <v>2024</v>
      </c>
      <c r="H772" s="37" t="s">
        <v>27</v>
      </c>
      <c r="I772" s="39" t="s">
        <v>36</v>
      </c>
      <c r="J772" s="37">
        <v>85</v>
      </c>
      <c r="K772" s="37">
        <v>91.88</v>
      </c>
      <c r="L772" s="65">
        <f t="shared" ref="L772:L782" si="82">IFERROR(IF(OR(J772=0,K772=""),"",IF(E772="Positivo",MIN(MAX(K772/J772,0),1.3),MIN(MAX(J772/K772,0),1.3))),"")</f>
        <v>1.0809411764705881</v>
      </c>
      <c r="M772" s="65">
        <f t="shared" ref="M772:M782" si="83">IFERROR(IF(OR(J772=0,K772=""),"",IF(E772="Positivo",MAX(K772/J772,0),MAX(J772/K772,0))),"")</f>
        <v>1.0809411764705881</v>
      </c>
      <c r="N772" s="37"/>
      <c r="O772" s="37"/>
      <c r="P772" s="37">
        <v>0</v>
      </c>
      <c r="Q772" s="37">
        <v>0</v>
      </c>
      <c r="R772" s="37" t="s">
        <v>1719</v>
      </c>
      <c r="S772" s="37"/>
    </row>
    <row r="773" spans="1:19" x14ac:dyDescent="0.3">
      <c r="A773" s="41">
        <v>347</v>
      </c>
      <c r="B773" s="37" t="s">
        <v>1720</v>
      </c>
      <c r="C773" s="37" t="s">
        <v>1721</v>
      </c>
      <c r="D773" s="37" t="s">
        <v>39</v>
      </c>
      <c r="E773" s="37" t="s">
        <v>56</v>
      </c>
      <c r="F773" s="42">
        <v>45107</v>
      </c>
      <c r="G773" s="37">
        <v>2023</v>
      </c>
      <c r="H773" s="37" t="s">
        <v>23</v>
      </c>
      <c r="I773" s="39" t="s">
        <v>30</v>
      </c>
      <c r="J773" s="37">
        <v>0</v>
      </c>
      <c r="K773" s="37">
        <v>6.5</v>
      </c>
      <c r="L773" s="65" t="str">
        <f t="shared" si="82"/>
        <v/>
      </c>
      <c r="M773" s="65" t="str">
        <f t="shared" si="83"/>
        <v/>
      </c>
      <c r="N773" s="37" t="s">
        <v>203</v>
      </c>
      <c r="O773" s="37" t="s">
        <v>203</v>
      </c>
      <c r="P773" s="37">
        <v>0</v>
      </c>
      <c r="Q773" s="37">
        <v>0</v>
      </c>
      <c r="R773" s="37" t="s">
        <v>1723</v>
      </c>
      <c r="S773" s="37"/>
    </row>
    <row r="774" spans="1:19" x14ac:dyDescent="0.3">
      <c r="A774" s="41">
        <v>347</v>
      </c>
      <c r="B774" s="37" t="s">
        <v>1720</v>
      </c>
      <c r="C774" s="37" t="s">
        <v>1721</v>
      </c>
      <c r="D774" s="37" t="s">
        <v>39</v>
      </c>
      <c r="E774" s="37" t="s">
        <v>56</v>
      </c>
      <c r="F774" s="42">
        <v>45291</v>
      </c>
      <c r="G774" s="37">
        <v>2023</v>
      </c>
      <c r="H774" s="37" t="s">
        <v>27</v>
      </c>
      <c r="I774" s="39" t="s">
        <v>32</v>
      </c>
      <c r="J774" s="37">
        <v>0</v>
      </c>
      <c r="K774" s="37">
        <v>7</v>
      </c>
      <c r="L774" s="65" t="str">
        <f t="shared" si="82"/>
        <v/>
      </c>
      <c r="M774" s="65" t="str">
        <f t="shared" si="83"/>
        <v/>
      </c>
      <c r="N774" s="37" t="s">
        <v>203</v>
      </c>
      <c r="O774" s="37" t="s">
        <v>203</v>
      </c>
      <c r="P774" s="37">
        <v>0</v>
      </c>
      <c r="Q774" s="37">
        <v>0</v>
      </c>
      <c r="R774" s="37" t="s">
        <v>1725</v>
      </c>
      <c r="S774" s="37"/>
    </row>
    <row r="775" spans="1:19" x14ac:dyDescent="0.3">
      <c r="A775" s="37">
        <v>347</v>
      </c>
      <c r="B775" s="37" t="s">
        <v>1720</v>
      </c>
      <c r="C775" s="37" t="s">
        <v>1721</v>
      </c>
      <c r="D775" s="37" t="s">
        <v>39</v>
      </c>
      <c r="E775" s="37" t="s">
        <v>56</v>
      </c>
      <c r="F775" s="42">
        <v>45473</v>
      </c>
      <c r="G775" s="37">
        <v>2024</v>
      </c>
      <c r="H775" s="37" t="s">
        <v>23</v>
      </c>
      <c r="I775" s="39" t="s">
        <v>34</v>
      </c>
      <c r="J775" s="37">
        <v>5</v>
      </c>
      <c r="K775" s="37">
        <v>1.5</v>
      </c>
      <c r="L775" s="65">
        <f t="shared" si="82"/>
        <v>1.3</v>
      </c>
      <c r="M775" s="65">
        <f t="shared" si="83"/>
        <v>3.3333333333333335</v>
      </c>
      <c r="N775" s="37" t="s">
        <v>203</v>
      </c>
      <c r="O775" s="37" t="s">
        <v>203</v>
      </c>
      <c r="P775" s="37">
        <v>0</v>
      </c>
      <c r="Q775" s="37">
        <v>0</v>
      </c>
      <c r="R775" s="37" t="s">
        <v>1727</v>
      </c>
      <c r="S775" s="37"/>
    </row>
    <row r="776" spans="1:19" x14ac:dyDescent="0.3">
      <c r="A776" s="37">
        <v>347</v>
      </c>
      <c r="B776" s="37" t="s">
        <v>1720</v>
      </c>
      <c r="C776" s="37" t="s">
        <v>1721</v>
      </c>
      <c r="D776" s="37" t="s">
        <v>39</v>
      </c>
      <c r="E776" s="37" t="s">
        <v>56</v>
      </c>
      <c r="F776" s="42">
        <v>45657</v>
      </c>
      <c r="G776" s="37">
        <v>2024</v>
      </c>
      <c r="H776" s="37" t="s">
        <v>27</v>
      </c>
      <c r="I776" s="39" t="s">
        <v>36</v>
      </c>
      <c r="J776" s="37">
        <v>5</v>
      </c>
      <c r="K776" s="37">
        <v>0</v>
      </c>
      <c r="L776" s="65" t="str">
        <f t="shared" si="82"/>
        <v/>
      </c>
      <c r="M776" s="65" t="str">
        <f t="shared" si="83"/>
        <v/>
      </c>
      <c r="N776" s="37" t="s">
        <v>203</v>
      </c>
      <c r="O776" s="37" t="s">
        <v>203</v>
      </c>
      <c r="P776" s="37">
        <v>0</v>
      </c>
      <c r="Q776" s="37">
        <v>0</v>
      </c>
      <c r="R776" s="37" t="s">
        <v>1729</v>
      </c>
      <c r="S776" s="37"/>
    </row>
    <row r="777" spans="1:19" x14ac:dyDescent="0.3">
      <c r="A777" s="72">
        <v>348</v>
      </c>
      <c r="B777" s="37" t="s">
        <v>1730</v>
      </c>
      <c r="C777" s="37" t="s">
        <v>1721</v>
      </c>
      <c r="D777" s="37" t="s">
        <v>39</v>
      </c>
      <c r="E777" s="37" t="s">
        <v>22</v>
      </c>
      <c r="F777" s="42">
        <v>45016</v>
      </c>
      <c r="G777" s="37">
        <v>2023</v>
      </c>
      <c r="H777" s="37" t="s">
        <v>40</v>
      </c>
      <c r="I777" s="39" t="s">
        <v>30</v>
      </c>
      <c r="J777" s="37">
        <v>99</v>
      </c>
      <c r="K777" s="37">
        <v>99.81769557994599</v>
      </c>
      <c r="L777" s="74">
        <f t="shared" si="82"/>
        <v>1.0082595513125858</v>
      </c>
      <c r="M777" s="65">
        <f t="shared" si="83"/>
        <v>1.0082595513125858</v>
      </c>
      <c r="N777" s="37" t="s">
        <v>25</v>
      </c>
      <c r="O777" s="37" t="s">
        <v>25</v>
      </c>
      <c r="P777" s="37">
        <v>0</v>
      </c>
      <c r="Q777" s="37">
        <v>1</v>
      </c>
      <c r="R777" s="37" t="s">
        <v>1731</v>
      </c>
      <c r="S777" s="37"/>
    </row>
    <row r="778" spans="1:19" x14ac:dyDescent="0.3">
      <c r="A778" s="41">
        <v>348</v>
      </c>
      <c r="B778" s="37" t="s">
        <v>1730</v>
      </c>
      <c r="C778" s="37" t="s">
        <v>1721</v>
      </c>
      <c r="D778" s="37" t="s">
        <v>39</v>
      </c>
      <c r="E778" s="37" t="s">
        <v>22</v>
      </c>
      <c r="F778" s="42">
        <v>45107</v>
      </c>
      <c r="G778" s="37">
        <v>2023</v>
      </c>
      <c r="H778" s="37" t="s">
        <v>23</v>
      </c>
      <c r="I778" s="39" t="s">
        <v>30</v>
      </c>
      <c r="J778" s="37">
        <v>99</v>
      </c>
      <c r="K778" s="37">
        <v>99.81769557994599</v>
      </c>
      <c r="L778" s="74">
        <f t="shared" si="82"/>
        <v>1.0082595513125858</v>
      </c>
      <c r="M778" s="65">
        <f t="shared" si="83"/>
        <v>1.0082595513125858</v>
      </c>
      <c r="N778" s="37" t="s">
        <v>25</v>
      </c>
      <c r="O778" s="37" t="s">
        <v>25</v>
      </c>
      <c r="P778" s="37">
        <v>0</v>
      </c>
      <c r="Q778" s="37">
        <v>1</v>
      </c>
      <c r="R778" s="37" t="s">
        <v>1732</v>
      </c>
      <c r="S778" s="37"/>
    </row>
    <row r="779" spans="1:19" x14ac:dyDescent="0.3">
      <c r="A779" s="45">
        <v>348</v>
      </c>
      <c r="B779" s="37" t="s">
        <v>1730</v>
      </c>
      <c r="C779" s="37" t="s">
        <v>1721</v>
      </c>
      <c r="D779" s="37" t="s">
        <v>39</v>
      </c>
      <c r="E779" s="37" t="s">
        <v>22</v>
      </c>
      <c r="F779" s="42">
        <v>45199</v>
      </c>
      <c r="G779" s="37">
        <v>2023</v>
      </c>
      <c r="H779" s="37" t="s">
        <v>43</v>
      </c>
      <c r="I779" s="39" t="s">
        <v>32</v>
      </c>
      <c r="J779" s="37">
        <v>99</v>
      </c>
      <c r="K779" s="37">
        <v>100</v>
      </c>
      <c r="L779" s="74">
        <f t="shared" si="82"/>
        <v>1.0101010101010102</v>
      </c>
      <c r="M779" s="65">
        <f t="shared" si="83"/>
        <v>1.0101010101010102</v>
      </c>
      <c r="N779" s="37" t="s">
        <v>25</v>
      </c>
      <c r="O779" s="37" t="s">
        <v>25</v>
      </c>
      <c r="P779" s="37">
        <v>0</v>
      </c>
      <c r="Q779" s="37">
        <v>1</v>
      </c>
      <c r="R779" s="37" t="s">
        <v>1733</v>
      </c>
      <c r="S779" s="37"/>
    </row>
    <row r="780" spans="1:19" x14ac:dyDescent="0.3">
      <c r="A780" s="41">
        <v>348</v>
      </c>
      <c r="B780" s="37" t="s">
        <v>1730</v>
      </c>
      <c r="C780" s="37" t="s">
        <v>1721</v>
      </c>
      <c r="D780" s="37" t="s">
        <v>39</v>
      </c>
      <c r="E780" s="37" t="s">
        <v>22</v>
      </c>
      <c r="F780" s="42">
        <v>45291</v>
      </c>
      <c r="G780" s="37">
        <v>2023</v>
      </c>
      <c r="H780" s="37" t="s">
        <v>27</v>
      </c>
      <c r="I780" s="39" t="s">
        <v>32</v>
      </c>
      <c r="J780" s="37">
        <v>99</v>
      </c>
      <c r="K780" s="37">
        <v>100</v>
      </c>
      <c r="L780" s="74">
        <f t="shared" si="82"/>
        <v>1.0101010101010102</v>
      </c>
      <c r="M780" s="65">
        <f t="shared" si="83"/>
        <v>1.0101010101010102</v>
      </c>
      <c r="N780" s="37" t="s">
        <v>25</v>
      </c>
      <c r="O780" s="37" t="s">
        <v>25</v>
      </c>
      <c r="P780" s="37">
        <v>0</v>
      </c>
      <c r="Q780" s="37">
        <v>1</v>
      </c>
      <c r="R780" s="37" t="s">
        <v>1734</v>
      </c>
      <c r="S780" s="37"/>
    </row>
    <row r="781" spans="1:19" x14ac:dyDescent="0.3">
      <c r="A781" s="37">
        <v>348</v>
      </c>
      <c r="B781" s="37" t="s">
        <v>1730</v>
      </c>
      <c r="C781" s="37" t="s">
        <v>1721</v>
      </c>
      <c r="D781" s="37" t="s">
        <v>39</v>
      </c>
      <c r="E781" s="37" t="s">
        <v>22</v>
      </c>
      <c r="F781" s="42">
        <v>45473</v>
      </c>
      <c r="G781" s="37">
        <v>2024</v>
      </c>
      <c r="H781" s="37" t="s">
        <v>23</v>
      </c>
      <c r="I781" s="39" t="s">
        <v>34</v>
      </c>
      <c r="J781" s="37">
        <v>99</v>
      </c>
      <c r="K781" s="37">
        <v>99.925000000000011</v>
      </c>
      <c r="L781" s="65">
        <f t="shared" si="82"/>
        <v>1.0093434343434344</v>
      </c>
      <c r="M781" s="65">
        <f t="shared" si="83"/>
        <v>1.0093434343434344</v>
      </c>
      <c r="N781" s="37" t="s">
        <v>25</v>
      </c>
      <c r="O781" s="37" t="s">
        <v>25</v>
      </c>
      <c r="P781" s="37">
        <v>0</v>
      </c>
      <c r="Q781" s="37">
        <v>0</v>
      </c>
      <c r="R781" s="37" t="s">
        <v>1736</v>
      </c>
      <c r="S781" s="37"/>
    </row>
    <row r="782" spans="1:19" x14ac:dyDescent="0.3">
      <c r="A782" s="37">
        <v>348</v>
      </c>
      <c r="B782" s="37" t="s">
        <v>1730</v>
      </c>
      <c r="C782" s="37" t="s">
        <v>1721</v>
      </c>
      <c r="D782" s="37" t="s">
        <v>39</v>
      </c>
      <c r="E782" s="37" t="s">
        <v>22</v>
      </c>
      <c r="F782" s="42">
        <v>45657</v>
      </c>
      <c r="G782" s="37">
        <v>2024</v>
      </c>
      <c r="H782" s="37" t="s">
        <v>27</v>
      </c>
      <c r="I782" s="39" t="s">
        <v>36</v>
      </c>
      <c r="J782" s="37">
        <v>99</v>
      </c>
      <c r="K782" s="37">
        <v>100</v>
      </c>
      <c r="L782" s="65">
        <f t="shared" si="82"/>
        <v>1.0101010101010102</v>
      </c>
      <c r="M782" s="65">
        <f t="shared" si="83"/>
        <v>1.0101010101010102</v>
      </c>
      <c r="N782" s="37" t="s">
        <v>25</v>
      </c>
      <c r="O782" s="37" t="s">
        <v>25</v>
      </c>
      <c r="P782" s="37">
        <v>0</v>
      </c>
      <c r="Q782" s="37">
        <v>0</v>
      </c>
      <c r="R782" s="37" t="s">
        <v>1738</v>
      </c>
      <c r="S782" s="37"/>
    </row>
    <row r="783" spans="1:19" x14ac:dyDescent="0.3">
      <c r="A783" s="41">
        <v>349</v>
      </c>
      <c r="B783" s="37" t="s">
        <v>3521</v>
      </c>
      <c r="C783" s="37" t="s">
        <v>190</v>
      </c>
      <c r="D783" s="37" t="s">
        <v>139</v>
      </c>
      <c r="E783" s="37" t="s">
        <v>22</v>
      </c>
      <c r="F783" s="42">
        <v>45291</v>
      </c>
      <c r="G783" s="37">
        <v>2023</v>
      </c>
      <c r="H783" s="37" t="s">
        <v>27</v>
      </c>
      <c r="I783" s="39" t="s">
        <v>32</v>
      </c>
      <c r="J783" s="37"/>
      <c r="K783" s="37">
        <v>0</v>
      </c>
      <c r="L783" s="74"/>
      <c r="M783" s="65"/>
      <c r="N783" s="37"/>
      <c r="O783" s="37"/>
      <c r="P783" s="37">
        <v>0</v>
      </c>
      <c r="Q783" s="37">
        <v>0</v>
      </c>
      <c r="R783" s="37" t="s">
        <v>3522</v>
      </c>
      <c r="S783" s="37"/>
    </row>
    <row r="784" spans="1:19" x14ac:dyDescent="0.3">
      <c r="A784" s="41">
        <v>350</v>
      </c>
      <c r="B784" s="37" t="s">
        <v>3523</v>
      </c>
      <c r="C784" s="37" t="s">
        <v>190</v>
      </c>
      <c r="D784" s="37" t="s">
        <v>139</v>
      </c>
      <c r="E784" s="37" t="s">
        <v>22</v>
      </c>
      <c r="F784" s="42">
        <v>45291</v>
      </c>
      <c r="G784" s="37">
        <v>2023</v>
      </c>
      <c r="H784" s="37" t="s">
        <v>27</v>
      </c>
      <c r="I784" s="39" t="s">
        <v>32</v>
      </c>
      <c r="J784" s="37"/>
      <c r="K784" s="37">
        <v>0</v>
      </c>
      <c r="L784" s="74"/>
      <c r="M784" s="65"/>
      <c r="N784" s="37"/>
      <c r="O784" s="37"/>
      <c r="P784" s="37">
        <v>0</v>
      </c>
      <c r="Q784" s="37">
        <v>0</v>
      </c>
      <c r="R784" s="37" t="s">
        <v>3524</v>
      </c>
      <c r="S784" s="37"/>
    </row>
    <row r="785" spans="1:19" x14ac:dyDescent="0.3">
      <c r="A785" s="41">
        <v>351</v>
      </c>
      <c r="B785" s="37" t="s">
        <v>1739</v>
      </c>
      <c r="C785" s="37" t="s">
        <v>1721</v>
      </c>
      <c r="D785" s="37" t="s">
        <v>39</v>
      </c>
      <c r="E785" s="37" t="s">
        <v>56</v>
      </c>
      <c r="F785" s="42">
        <v>45107</v>
      </c>
      <c r="G785" s="37">
        <v>2023</v>
      </c>
      <c r="H785" s="37" t="s">
        <v>23</v>
      </c>
      <c r="I785" s="39" t="s">
        <v>30</v>
      </c>
      <c r="J785" s="37">
        <v>0</v>
      </c>
      <c r="K785" s="37">
        <v>9.8260420414915259</v>
      </c>
      <c r="L785" s="65" t="str">
        <f t="shared" ref="L785:L803" si="84">IFERROR(IF(OR(J785=0,K785=""),"",IF(E785="Positivo",MIN(MAX(K785/J785,0),1.3),MIN(MAX(J785/K785,0),1.3))),"")</f>
        <v/>
      </c>
      <c r="M785" s="65" t="str">
        <f t="shared" ref="M785:M803" si="85">IFERROR(IF(OR(J785=0,K785=""),"",IF(E785="Positivo",MAX(K785/J785,0),MAX(J785/K785,0))),"")</f>
        <v/>
      </c>
      <c r="N785" s="37" t="s">
        <v>203</v>
      </c>
      <c r="O785" s="37" t="s">
        <v>203</v>
      </c>
      <c r="P785" s="37">
        <v>0</v>
      </c>
      <c r="Q785" s="37">
        <v>1</v>
      </c>
      <c r="R785" s="37" t="s">
        <v>1741</v>
      </c>
      <c r="S785" s="37"/>
    </row>
    <row r="786" spans="1:19" x14ac:dyDescent="0.3">
      <c r="A786" s="41">
        <v>351</v>
      </c>
      <c r="B786" s="37" t="s">
        <v>1739</v>
      </c>
      <c r="C786" s="37" t="s">
        <v>1721</v>
      </c>
      <c r="D786" s="37" t="s">
        <v>39</v>
      </c>
      <c r="E786" s="37" t="s">
        <v>56</v>
      </c>
      <c r="F786" s="42">
        <v>45291</v>
      </c>
      <c r="G786" s="37">
        <v>2023</v>
      </c>
      <c r="H786" s="37" t="s">
        <v>27</v>
      </c>
      <c r="I786" s="39" t="s">
        <v>32</v>
      </c>
      <c r="J786" s="37">
        <v>0</v>
      </c>
      <c r="K786" s="37">
        <v>6.921122099497337</v>
      </c>
      <c r="L786" s="65" t="str">
        <f t="shared" si="84"/>
        <v/>
      </c>
      <c r="M786" s="65" t="str">
        <f t="shared" si="85"/>
        <v/>
      </c>
      <c r="N786" s="37" t="s">
        <v>203</v>
      </c>
      <c r="O786" s="37" t="s">
        <v>203</v>
      </c>
      <c r="P786" s="37">
        <v>0</v>
      </c>
      <c r="Q786" s="37">
        <v>1</v>
      </c>
      <c r="R786" s="37" t="s">
        <v>1743</v>
      </c>
      <c r="S786" s="37"/>
    </row>
    <row r="787" spans="1:19" x14ac:dyDescent="0.3">
      <c r="A787" s="37">
        <v>351</v>
      </c>
      <c r="B787" s="37" t="s">
        <v>1739</v>
      </c>
      <c r="C787" s="37" t="s">
        <v>1721</v>
      </c>
      <c r="D787" s="37" t="s">
        <v>39</v>
      </c>
      <c r="E787" s="37" t="s">
        <v>56</v>
      </c>
      <c r="F787" s="42">
        <v>45473</v>
      </c>
      <c r="G787" s="37">
        <v>2024</v>
      </c>
      <c r="H787" s="37" t="s">
        <v>23</v>
      </c>
      <c r="I787" s="39" t="s">
        <v>34</v>
      </c>
      <c r="J787" s="37">
        <v>0</v>
      </c>
      <c r="K787" s="37">
        <v>8.7646009838309578</v>
      </c>
      <c r="L787" s="65" t="str">
        <f t="shared" si="84"/>
        <v/>
      </c>
      <c r="M787" s="65" t="str">
        <f t="shared" si="85"/>
        <v/>
      </c>
      <c r="N787" s="37" t="s">
        <v>203</v>
      </c>
      <c r="O787" s="37" t="s">
        <v>203</v>
      </c>
      <c r="P787" s="37">
        <v>0</v>
      </c>
      <c r="Q787" s="37">
        <v>1</v>
      </c>
      <c r="R787" s="37" t="s">
        <v>1745</v>
      </c>
      <c r="S787" s="37"/>
    </row>
    <row r="788" spans="1:19" x14ac:dyDescent="0.3">
      <c r="A788" s="37">
        <v>351</v>
      </c>
      <c r="B788" s="37" t="s">
        <v>1739</v>
      </c>
      <c r="C788" s="37" t="s">
        <v>1721</v>
      </c>
      <c r="D788" s="37" t="s">
        <v>39</v>
      </c>
      <c r="E788" s="37" t="s">
        <v>56</v>
      </c>
      <c r="F788" s="42">
        <v>45657</v>
      </c>
      <c r="G788" s="37">
        <v>2024</v>
      </c>
      <c r="H788" s="37" t="s">
        <v>27</v>
      </c>
      <c r="I788" s="39" t="s">
        <v>36</v>
      </c>
      <c r="J788" s="37">
        <v>0</v>
      </c>
      <c r="K788" s="37">
        <v>2.338777826654054</v>
      </c>
      <c r="L788" s="65" t="str">
        <f t="shared" si="84"/>
        <v/>
      </c>
      <c r="M788" s="65" t="str">
        <f t="shared" si="85"/>
        <v/>
      </c>
      <c r="N788" s="37" t="s">
        <v>203</v>
      </c>
      <c r="O788" s="37" t="s">
        <v>203</v>
      </c>
      <c r="P788" s="37">
        <v>0</v>
      </c>
      <c r="Q788" s="37">
        <v>1</v>
      </c>
      <c r="R788" s="37" t="s">
        <v>1747</v>
      </c>
      <c r="S788" s="37"/>
    </row>
    <row r="789" spans="1:19" x14ac:dyDescent="0.3">
      <c r="A789" s="41">
        <v>352</v>
      </c>
      <c r="B789" s="37" t="s">
        <v>1748</v>
      </c>
      <c r="C789" s="37" t="s">
        <v>1721</v>
      </c>
      <c r="D789" s="37" t="s">
        <v>39</v>
      </c>
      <c r="E789" s="37" t="s">
        <v>56</v>
      </c>
      <c r="F789" s="42">
        <v>45107</v>
      </c>
      <c r="G789" s="37">
        <v>2023</v>
      </c>
      <c r="H789" s="37" t="s">
        <v>23</v>
      </c>
      <c r="I789" s="39" t="s">
        <v>30</v>
      </c>
      <c r="J789" s="37">
        <v>0</v>
      </c>
      <c r="K789" s="37">
        <v>1.9043399790705452E-2</v>
      </c>
      <c r="L789" s="65" t="str">
        <f t="shared" si="84"/>
        <v/>
      </c>
      <c r="M789" s="65" t="str">
        <f t="shared" si="85"/>
        <v/>
      </c>
      <c r="N789" s="37" t="s">
        <v>25</v>
      </c>
      <c r="O789" s="37" t="s">
        <v>25</v>
      </c>
      <c r="P789" s="37">
        <v>2</v>
      </c>
      <c r="Q789" s="37">
        <v>2</v>
      </c>
      <c r="R789" s="37" t="s">
        <v>1750</v>
      </c>
      <c r="S789" s="37"/>
    </row>
    <row r="790" spans="1:19" x14ac:dyDescent="0.3">
      <c r="A790" s="41">
        <v>352</v>
      </c>
      <c r="B790" s="37" t="s">
        <v>1748</v>
      </c>
      <c r="C790" s="37" t="s">
        <v>1721</v>
      </c>
      <c r="D790" s="37" t="s">
        <v>39</v>
      </c>
      <c r="E790" s="37" t="s">
        <v>56</v>
      </c>
      <c r="F790" s="42">
        <v>45291</v>
      </c>
      <c r="G790" s="37">
        <v>2023</v>
      </c>
      <c r="H790" s="37" t="s">
        <v>27</v>
      </c>
      <c r="I790" s="39" t="s">
        <v>32</v>
      </c>
      <c r="J790" s="37">
        <v>0</v>
      </c>
      <c r="K790" s="37">
        <v>0.15419608078323019</v>
      </c>
      <c r="L790" s="65" t="str">
        <f t="shared" si="84"/>
        <v/>
      </c>
      <c r="M790" s="65" t="str">
        <f t="shared" si="85"/>
        <v/>
      </c>
      <c r="N790" s="37" t="s">
        <v>25</v>
      </c>
      <c r="O790" s="37" t="s">
        <v>25</v>
      </c>
      <c r="P790" s="37">
        <v>2</v>
      </c>
      <c r="Q790" s="37">
        <v>2</v>
      </c>
      <c r="R790" s="37" t="s">
        <v>1752</v>
      </c>
      <c r="S790" s="37"/>
    </row>
    <row r="791" spans="1:19" x14ac:dyDescent="0.3">
      <c r="A791" s="37">
        <v>352</v>
      </c>
      <c r="B791" s="37" t="s">
        <v>1748</v>
      </c>
      <c r="C791" s="37" t="s">
        <v>1721</v>
      </c>
      <c r="D791" s="37" t="s">
        <v>39</v>
      </c>
      <c r="E791" s="37" t="s">
        <v>56</v>
      </c>
      <c r="F791" s="42">
        <v>45473</v>
      </c>
      <c r="G791" s="37">
        <v>2024</v>
      </c>
      <c r="H791" s="37" t="s">
        <v>23</v>
      </c>
      <c r="I791" s="39" t="s">
        <v>34</v>
      </c>
      <c r="J791" s="37">
        <v>0</v>
      </c>
      <c r="K791" s="37">
        <v>8.6601680125227301E-2</v>
      </c>
      <c r="L791" s="65" t="str">
        <f t="shared" si="84"/>
        <v/>
      </c>
      <c r="M791" s="65" t="str">
        <f t="shared" si="85"/>
        <v/>
      </c>
      <c r="N791" s="37" t="s">
        <v>25</v>
      </c>
      <c r="O791" s="37" t="s">
        <v>25</v>
      </c>
      <c r="P791" s="37">
        <v>0</v>
      </c>
      <c r="Q791" s="37">
        <v>0</v>
      </c>
      <c r="R791" s="37" t="s">
        <v>1754</v>
      </c>
      <c r="S791" s="37"/>
    </row>
    <row r="792" spans="1:19" x14ac:dyDescent="0.3">
      <c r="A792" s="37">
        <v>352</v>
      </c>
      <c r="B792" s="37" t="s">
        <v>1748</v>
      </c>
      <c r="C792" s="37" t="s">
        <v>1721</v>
      </c>
      <c r="D792" s="37" t="s">
        <v>39</v>
      </c>
      <c r="E792" s="37" t="s">
        <v>56</v>
      </c>
      <c r="F792" s="42">
        <v>45657</v>
      </c>
      <c r="G792" s="37">
        <v>2024</v>
      </c>
      <c r="H792" s="37" t="s">
        <v>27</v>
      </c>
      <c r="I792" s="39" t="s">
        <v>36</v>
      </c>
      <c r="J792" s="37">
        <v>0</v>
      </c>
      <c r="K792" s="37">
        <v>4.8259287499875E-4</v>
      </c>
      <c r="L792" s="65" t="str">
        <f t="shared" si="84"/>
        <v/>
      </c>
      <c r="M792" s="65" t="str">
        <f t="shared" si="85"/>
        <v/>
      </c>
      <c r="N792" s="37" t="s">
        <v>25</v>
      </c>
      <c r="O792" s="37" t="s">
        <v>25</v>
      </c>
      <c r="P792" s="37">
        <v>0</v>
      </c>
      <c r="Q792" s="37">
        <v>0</v>
      </c>
      <c r="R792" s="37" t="s">
        <v>1756</v>
      </c>
      <c r="S792" s="37"/>
    </row>
    <row r="793" spans="1:19" x14ac:dyDescent="0.3">
      <c r="A793" s="37">
        <v>353</v>
      </c>
      <c r="B793" s="37" t="s">
        <v>1757</v>
      </c>
      <c r="C793" s="37" t="s">
        <v>1758</v>
      </c>
      <c r="D793" s="37" t="s">
        <v>21</v>
      </c>
      <c r="E793" s="37" t="s">
        <v>22</v>
      </c>
      <c r="F793" s="38">
        <v>45107</v>
      </c>
      <c r="G793" s="40">
        <v>2023</v>
      </c>
      <c r="H793" s="39" t="s">
        <v>23</v>
      </c>
      <c r="I793" s="39" t="s">
        <v>30</v>
      </c>
      <c r="J793" s="37">
        <v>25</v>
      </c>
      <c r="K793" s="37">
        <v>40.384615384615401</v>
      </c>
      <c r="L793" s="65">
        <f t="shared" si="84"/>
        <v>1.3</v>
      </c>
      <c r="M793" s="65">
        <f t="shared" si="85"/>
        <v>1.6153846153846161</v>
      </c>
      <c r="N793" s="37"/>
      <c r="O793" s="37"/>
      <c r="P793" s="37">
        <v>1</v>
      </c>
      <c r="Q793" s="37">
        <v>1</v>
      </c>
      <c r="R793" s="37" t="s">
        <v>1759</v>
      </c>
      <c r="S793" s="37"/>
    </row>
    <row r="794" spans="1:19" x14ac:dyDescent="0.3">
      <c r="A794" s="41">
        <v>353</v>
      </c>
      <c r="B794" s="37" t="s">
        <v>1757</v>
      </c>
      <c r="C794" s="37" t="s">
        <v>1758</v>
      </c>
      <c r="D794" s="37" t="s">
        <v>21</v>
      </c>
      <c r="E794" s="37" t="s">
        <v>22</v>
      </c>
      <c r="F794" s="42">
        <v>45291</v>
      </c>
      <c r="G794" s="37">
        <v>2023</v>
      </c>
      <c r="H794" s="37" t="s">
        <v>27</v>
      </c>
      <c r="I794" s="39" t="s">
        <v>32</v>
      </c>
      <c r="J794" s="37">
        <v>35</v>
      </c>
      <c r="K794" s="37">
        <v>40.384615384615401</v>
      </c>
      <c r="L794" s="65">
        <f t="shared" si="84"/>
        <v>1.1538461538461544</v>
      </c>
      <c r="M794" s="65">
        <f t="shared" si="85"/>
        <v>1.1538461538461544</v>
      </c>
      <c r="N794" s="37"/>
      <c r="O794" s="37"/>
      <c r="P794" s="37">
        <v>1</v>
      </c>
      <c r="Q794" s="37">
        <v>1</v>
      </c>
      <c r="R794" s="37" t="s">
        <v>1760</v>
      </c>
      <c r="S794" s="37"/>
    </row>
    <row r="795" spans="1:19" x14ac:dyDescent="0.3">
      <c r="A795" s="45">
        <v>354</v>
      </c>
      <c r="B795" s="37" t="s">
        <v>1761</v>
      </c>
      <c r="C795" s="37" t="s">
        <v>1758</v>
      </c>
      <c r="D795" s="37" t="s">
        <v>21</v>
      </c>
      <c r="E795" s="37" t="s">
        <v>22</v>
      </c>
      <c r="F795" s="42">
        <v>45107</v>
      </c>
      <c r="G795" s="37">
        <v>2023</v>
      </c>
      <c r="H795" s="37" t="s">
        <v>23</v>
      </c>
      <c r="I795" s="39" t="s">
        <v>30</v>
      </c>
      <c r="J795" s="37">
        <v>10</v>
      </c>
      <c r="K795" s="37">
        <v>5.07</v>
      </c>
      <c r="L795" s="74">
        <f t="shared" si="84"/>
        <v>0.50700000000000001</v>
      </c>
      <c r="M795" s="65">
        <f t="shared" si="85"/>
        <v>0.50700000000000001</v>
      </c>
      <c r="N795" s="37"/>
      <c r="O795" s="37"/>
      <c r="P795" s="37">
        <v>1</v>
      </c>
      <c r="Q795" s="37">
        <v>1</v>
      </c>
      <c r="R795" s="37" t="s">
        <v>1762</v>
      </c>
      <c r="S795" s="37"/>
    </row>
    <row r="796" spans="1:19" x14ac:dyDescent="0.3">
      <c r="A796" s="41">
        <v>354</v>
      </c>
      <c r="B796" s="37" t="s">
        <v>1761</v>
      </c>
      <c r="C796" s="37" t="s">
        <v>1758</v>
      </c>
      <c r="D796" s="37" t="s">
        <v>21</v>
      </c>
      <c r="E796" s="37" t="s">
        <v>22</v>
      </c>
      <c r="F796" s="42">
        <v>45291</v>
      </c>
      <c r="G796" s="37">
        <v>2023</v>
      </c>
      <c r="H796" s="37" t="s">
        <v>27</v>
      </c>
      <c r="I796" s="39" t="s">
        <v>32</v>
      </c>
      <c r="J796" s="37">
        <v>10</v>
      </c>
      <c r="K796" s="37">
        <v>31.77</v>
      </c>
      <c r="L796" s="74">
        <f t="shared" si="84"/>
        <v>1.3</v>
      </c>
      <c r="M796" s="65">
        <f t="shared" si="85"/>
        <v>3.177</v>
      </c>
      <c r="N796" s="37"/>
      <c r="O796" s="37"/>
      <c r="P796" s="37">
        <v>1</v>
      </c>
      <c r="Q796" s="37">
        <v>1</v>
      </c>
      <c r="R796" s="37" t="s">
        <v>1763</v>
      </c>
      <c r="S796" s="37"/>
    </row>
    <row r="797" spans="1:19" x14ac:dyDescent="0.3">
      <c r="A797" s="37">
        <v>355</v>
      </c>
      <c r="B797" s="37" t="s">
        <v>1764</v>
      </c>
      <c r="C797" s="37" t="s">
        <v>1765</v>
      </c>
      <c r="D797" s="37" t="s">
        <v>139</v>
      </c>
      <c r="E797" s="37" t="s">
        <v>22</v>
      </c>
      <c r="F797" s="42">
        <v>45107</v>
      </c>
      <c r="G797" s="37">
        <v>2023</v>
      </c>
      <c r="H797" s="37" t="s">
        <v>23</v>
      </c>
      <c r="I797" s="37" t="s">
        <v>30</v>
      </c>
      <c r="J797" s="37">
        <v>1</v>
      </c>
      <c r="K797" s="37">
        <v>0.31754780991781001</v>
      </c>
      <c r="L797" s="65">
        <f t="shared" si="84"/>
        <v>0.31754780991781001</v>
      </c>
      <c r="M797" s="65">
        <f t="shared" si="85"/>
        <v>0.31754780991781001</v>
      </c>
      <c r="N797" s="37" t="s">
        <v>203</v>
      </c>
      <c r="O797" s="37" t="s">
        <v>197</v>
      </c>
      <c r="P797" s="37">
        <v>1</v>
      </c>
      <c r="Q797" s="37">
        <v>1</v>
      </c>
      <c r="R797" s="37" t="s">
        <v>1766</v>
      </c>
      <c r="S797" s="37"/>
    </row>
    <row r="798" spans="1:19" x14ac:dyDescent="0.3">
      <c r="A798" s="41">
        <v>355</v>
      </c>
      <c r="B798" s="37" t="s">
        <v>1764</v>
      </c>
      <c r="C798" s="37" t="s">
        <v>1765</v>
      </c>
      <c r="D798" s="37" t="s">
        <v>139</v>
      </c>
      <c r="E798" s="37" t="s">
        <v>22</v>
      </c>
      <c r="F798" s="42">
        <v>45291</v>
      </c>
      <c r="G798" s="37">
        <v>2023</v>
      </c>
      <c r="H798" s="37" t="s">
        <v>27</v>
      </c>
      <c r="I798" s="39" t="s">
        <v>32</v>
      </c>
      <c r="J798" s="37">
        <v>1</v>
      </c>
      <c r="K798" s="37">
        <v>1.64916004403234</v>
      </c>
      <c r="L798" s="74">
        <f t="shared" si="84"/>
        <v>1.3</v>
      </c>
      <c r="M798" s="65">
        <f t="shared" si="85"/>
        <v>1.64916004403234</v>
      </c>
      <c r="N798" s="37"/>
      <c r="O798" s="37"/>
      <c r="P798" s="37">
        <v>1</v>
      </c>
      <c r="Q798" s="37">
        <v>1</v>
      </c>
      <c r="R798" s="37" t="s">
        <v>1767</v>
      </c>
      <c r="S798" s="37"/>
    </row>
    <row r="799" spans="1:19" x14ac:dyDescent="0.3">
      <c r="A799" s="37">
        <v>355</v>
      </c>
      <c r="B799" s="37" t="s">
        <v>1764</v>
      </c>
      <c r="C799" s="37" t="s">
        <v>1765</v>
      </c>
      <c r="D799" s="37" t="s">
        <v>139</v>
      </c>
      <c r="E799" s="37" t="s">
        <v>22</v>
      </c>
      <c r="F799" s="42">
        <v>45657</v>
      </c>
      <c r="G799" s="37">
        <v>2024</v>
      </c>
      <c r="H799" s="37" t="s">
        <v>27</v>
      </c>
      <c r="I799" s="39" t="s">
        <v>36</v>
      </c>
      <c r="J799" s="37">
        <v>1.7</v>
      </c>
      <c r="K799" s="37">
        <v>1.69</v>
      </c>
      <c r="L799" s="65">
        <f t="shared" si="84"/>
        <v>0.99411764705882355</v>
      </c>
      <c r="M799" s="65">
        <f t="shared" si="85"/>
        <v>0.99411764705882355</v>
      </c>
      <c r="N799" s="37"/>
      <c r="O799" s="37"/>
      <c r="P799" s="37">
        <v>0</v>
      </c>
      <c r="Q799" s="37">
        <v>0</v>
      </c>
      <c r="R799" s="37" t="s">
        <v>1768</v>
      </c>
      <c r="S799" s="37"/>
    </row>
    <row r="800" spans="1:19" x14ac:dyDescent="0.3">
      <c r="A800" s="45">
        <v>356</v>
      </c>
      <c r="B800" s="37" t="s">
        <v>1769</v>
      </c>
      <c r="C800" s="37" t="s">
        <v>1765</v>
      </c>
      <c r="D800" s="37" t="s">
        <v>21</v>
      </c>
      <c r="E800" s="37" t="s">
        <v>56</v>
      </c>
      <c r="F800" s="42">
        <v>45107</v>
      </c>
      <c r="G800" s="37">
        <v>2023</v>
      </c>
      <c r="H800" s="37" t="s">
        <v>23</v>
      </c>
      <c r="I800" s="39" t="s">
        <v>30</v>
      </c>
      <c r="J800" s="37">
        <v>60</v>
      </c>
      <c r="K800" s="37">
        <v>49.213961407602</v>
      </c>
      <c r="L800" s="65">
        <f t="shared" si="84"/>
        <v>1.219166234212796</v>
      </c>
      <c r="M800" s="65">
        <f t="shared" si="85"/>
        <v>1.219166234212796</v>
      </c>
      <c r="N800" s="37" t="s">
        <v>25</v>
      </c>
      <c r="O800" s="37" t="s">
        <v>25</v>
      </c>
      <c r="P800" s="37">
        <v>1</v>
      </c>
      <c r="Q800" s="37">
        <v>1</v>
      </c>
      <c r="R800" s="37" t="s">
        <v>1770</v>
      </c>
      <c r="S800" s="37"/>
    </row>
    <row r="801" spans="1:19" x14ac:dyDescent="0.3">
      <c r="A801" s="41">
        <v>356</v>
      </c>
      <c r="B801" s="37" t="s">
        <v>1769</v>
      </c>
      <c r="C801" s="37" t="s">
        <v>1765</v>
      </c>
      <c r="D801" s="37" t="s">
        <v>21</v>
      </c>
      <c r="E801" s="37" t="s">
        <v>56</v>
      </c>
      <c r="F801" s="42">
        <v>45291</v>
      </c>
      <c r="G801" s="37">
        <v>2023</v>
      </c>
      <c r="H801" s="37" t="s">
        <v>27</v>
      </c>
      <c r="I801" s="39" t="s">
        <v>32</v>
      </c>
      <c r="J801" s="37">
        <v>60</v>
      </c>
      <c r="K801" s="37">
        <v>61.54</v>
      </c>
      <c r="L801" s="65">
        <f t="shared" si="84"/>
        <v>0.9749756256093598</v>
      </c>
      <c r="M801" s="65">
        <f t="shared" si="85"/>
        <v>0.9749756256093598</v>
      </c>
      <c r="N801" s="37" t="s">
        <v>25</v>
      </c>
      <c r="O801" s="37" t="s">
        <v>25</v>
      </c>
      <c r="P801" s="37">
        <v>1</v>
      </c>
      <c r="Q801" s="37">
        <v>1</v>
      </c>
      <c r="R801" s="37" t="s">
        <v>1771</v>
      </c>
      <c r="S801" s="37"/>
    </row>
    <row r="802" spans="1:19" x14ac:dyDescent="0.3">
      <c r="A802" s="37">
        <v>356</v>
      </c>
      <c r="B802" s="37" t="s">
        <v>1769</v>
      </c>
      <c r="C802" s="37" t="s">
        <v>1765</v>
      </c>
      <c r="D802" s="37" t="s">
        <v>21</v>
      </c>
      <c r="E802" s="37" t="s">
        <v>56</v>
      </c>
      <c r="F802" s="42">
        <v>45473</v>
      </c>
      <c r="G802" s="37">
        <v>2024</v>
      </c>
      <c r="H802" s="37" t="s">
        <v>23</v>
      </c>
      <c r="I802" s="39" t="s">
        <v>34</v>
      </c>
      <c r="J802" s="37">
        <v>60</v>
      </c>
      <c r="K802" s="37">
        <v>54.08</v>
      </c>
      <c r="L802" s="65">
        <f t="shared" si="84"/>
        <v>1.1094674556213018</v>
      </c>
      <c r="M802" s="65">
        <f t="shared" si="85"/>
        <v>1.1094674556213018</v>
      </c>
      <c r="N802" s="37" t="s">
        <v>25</v>
      </c>
      <c r="O802" s="37" t="s">
        <v>25</v>
      </c>
      <c r="P802" s="37">
        <v>0</v>
      </c>
      <c r="Q802" s="37">
        <v>0</v>
      </c>
      <c r="R802" s="37" t="s">
        <v>1772</v>
      </c>
      <c r="S802" s="37"/>
    </row>
    <row r="803" spans="1:19" x14ac:dyDescent="0.3">
      <c r="A803" s="37">
        <v>356</v>
      </c>
      <c r="B803" s="37" t="s">
        <v>1769</v>
      </c>
      <c r="C803" s="37" t="s">
        <v>1765</v>
      </c>
      <c r="D803" s="37" t="s">
        <v>21</v>
      </c>
      <c r="E803" s="37" t="s">
        <v>56</v>
      </c>
      <c r="F803" s="42">
        <v>45657</v>
      </c>
      <c r="G803" s="37">
        <v>2024</v>
      </c>
      <c r="H803" s="37" t="s">
        <v>27</v>
      </c>
      <c r="I803" s="39" t="s">
        <v>36</v>
      </c>
      <c r="J803" s="37">
        <v>60</v>
      </c>
      <c r="K803" s="43">
        <v>65.55</v>
      </c>
      <c r="L803" s="65">
        <f t="shared" si="84"/>
        <v>0.91533180778032042</v>
      </c>
      <c r="M803" s="65">
        <f t="shared" si="85"/>
        <v>0.91533180778032042</v>
      </c>
      <c r="N803" s="37" t="s">
        <v>25</v>
      </c>
      <c r="O803" s="37" t="s">
        <v>25</v>
      </c>
      <c r="P803" s="37">
        <v>0</v>
      </c>
      <c r="Q803" s="37">
        <v>0</v>
      </c>
      <c r="R803" s="37" t="s">
        <v>1773</v>
      </c>
      <c r="S803" s="37"/>
    </row>
    <row r="804" spans="1:19" x14ac:dyDescent="0.3">
      <c r="A804" s="45">
        <v>357</v>
      </c>
      <c r="B804" s="37" t="s">
        <v>1774</v>
      </c>
      <c r="C804" s="37" t="s">
        <v>1765</v>
      </c>
      <c r="D804" s="37" t="s">
        <v>21</v>
      </c>
      <c r="E804" s="37" t="s">
        <v>22</v>
      </c>
      <c r="F804" s="42">
        <v>45107</v>
      </c>
      <c r="G804" s="37">
        <v>2023</v>
      </c>
      <c r="H804" s="37" t="s">
        <v>23</v>
      </c>
      <c r="I804" s="39" t="s">
        <v>30</v>
      </c>
      <c r="J804" s="37"/>
      <c r="K804" s="37">
        <v>3.0055354363175999</v>
      </c>
      <c r="L804" s="67"/>
      <c r="M804" s="65"/>
      <c r="N804" s="37" t="s">
        <v>495</v>
      </c>
      <c r="O804" s="37"/>
      <c r="P804" s="37">
        <v>0</v>
      </c>
      <c r="Q804" s="37">
        <v>2</v>
      </c>
      <c r="R804" s="37" t="s">
        <v>1775</v>
      </c>
      <c r="S804" s="37"/>
    </row>
    <row r="805" spans="1:19" x14ac:dyDescent="0.3">
      <c r="A805" s="41">
        <v>357</v>
      </c>
      <c r="B805" s="37" t="s">
        <v>1774</v>
      </c>
      <c r="C805" s="37" t="s">
        <v>1765</v>
      </c>
      <c r="D805" s="37" t="s">
        <v>21</v>
      </c>
      <c r="E805" s="37" t="s">
        <v>22</v>
      </c>
      <c r="F805" s="42">
        <v>45291</v>
      </c>
      <c r="G805" s="37">
        <v>2023</v>
      </c>
      <c r="H805" s="37" t="s">
        <v>27</v>
      </c>
      <c r="I805" s="39" t="s">
        <v>32</v>
      </c>
      <c r="J805" s="37"/>
      <c r="K805" s="37">
        <v>4.45</v>
      </c>
      <c r="L805" s="67"/>
      <c r="M805" s="65"/>
      <c r="N805" s="37" t="s">
        <v>495</v>
      </c>
      <c r="O805" s="37"/>
      <c r="P805" s="37">
        <v>0</v>
      </c>
      <c r="Q805" s="37">
        <v>2</v>
      </c>
      <c r="R805" s="37" t="s">
        <v>1776</v>
      </c>
      <c r="S805" s="37"/>
    </row>
    <row r="806" spans="1:19" x14ac:dyDescent="0.3">
      <c r="A806" s="37">
        <v>357</v>
      </c>
      <c r="B806" s="37" t="s">
        <v>1774</v>
      </c>
      <c r="C806" s="37" t="s">
        <v>1765</v>
      </c>
      <c r="D806" s="37" t="s">
        <v>21</v>
      </c>
      <c r="E806" s="37" t="s">
        <v>22</v>
      </c>
      <c r="F806" s="42">
        <v>45473</v>
      </c>
      <c r="G806" s="37">
        <v>2024</v>
      </c>
      <c r="H806" s="37" t="s">
        <v>23</v>
      </c>
      <c r="I806" s="39" t="s">
        <v>34</v>
      </c>
      <c r="J806" s="37"/>
      <c r="K806" s="37">
        <v>3.87</v>
      </c>
      <c r="L806" s="65"/>
      <c r="M806" s="65"/>
      <c r="N806" s="37" t="s">
        <v>495</v>
      </c>
      <c r="O806" s="37"/>
      <c r="P806" s="37">
        <v>0</v>
      </c>
      <c r="Q806" s="37">
        <v>2</v>
      </c>
      <c r="R806" s="37" t="s">
        <v>1777</v>
      </c>
      <c r="S806" s="37"/>
    </row>
    <row r="807" spans="1:19" x14ac:dyDescent="0.3">
      <c r="A807" s="37">
        <v>357</v>
      </c>
      <c r="B807" s="37" t="s">
        <v>1774</v>
      </c>
      <c r="C807" s="37" t="s">
        <v>1765</v>
      </c>
      <c r="D807" s="37" t="s">
        <v>21</v>
      </c>
      <c r="E807" s="37" t="s">
        <v>22</v>
      </c>
      <c r="F807" s="42">
        <v>45657</v>
      </c>
      <c r="G807" s="37">
        <v>2024</v>
      </c>
      <c r="H807" s="37" t="s">
        <v>27</v>
      </c>
      <c r="I807" s="39" t="s">
        <v>36</v>
      </c>
      <c r="J807" s="37"/>
      <c r="K807" s="37">
        <v>0.51</v>
      </c>
      <c r="L807" s="65"/>
      <c r="M807" s="65"/>
      <c r="N807" s="37" t="s">
        <v>495</v>
      </c>
      <c r="O807" s="37"/>
      <c r="P807" s="37">
        <v>0</v>
      </c>
      <c r="Q807" s="37">
        <v>2</v>
      </c>
      <c r="R807" s="37" t="s">
        <v>1778</v>
      </c>
      <c r="S807" s="37"/>
    </row>
    <row r="808" spans="1:19" x14ac:dyDescent="0.3">
      <c r="A808" s="45">
        <v>358</v>
      </c>
      <c r="B808" s="37" t="s">
        <v>1780</v>
      </c>
      <c r="C808" s="37" t="s">
        <v>1781</v>
      </c>
      <c r="D808" s="37" t="s">
        <v>21</v>
      </c>
      <c r="E808" s="37" t="s">
        <v>22</v>
      </c>
      <c r="F808" s="42">
        <v>45107</v>
      </c>
      <c r="G808" s="37">
        <v>2023</v>
      </c>
      <c r="H808" s="37" t="s">
        <v>23</v>
      </c>
      <c r="I808" s="39" t="s">
        <v>30</v>
      </c>
      <c r="J808" s="37">
        <v>87</v>
      </c>
      <c r="K808" s="37">
        <v>86.984536082473994</v>
      </c>
      <c r="L808" s="74">
        <f t="shared" ref="L808:L811" si="86">IFERROR(IF(OR(J808=0,K808=""),"",IF(E808="Positivo",MIN(MAX(K808/J808,0),1.3),MIN(MAX(J808/K808,0),1.3))),"")</f>
        <v>0.99982225382154011</v>
      </c>
      <c r="M808" s="65">
        <f t="shared" ref="M808:M811" si="87">IFERROR(IF(OR(J808=0,K808=""),"",IF(E808="Positivo",MAX(K808/J808,0),MAX(J808/K808,0))),"")</f>
        <v>0.99982225382154011</v>
      </c>
      <c r="N808" s="37" t="s">
        <v>25</v>
      </c>
      <c r="O808" s="37" t="s">
        <v>25</v>
      </c>
      <c r="P808" s="37">
        <v>0</v>
      </c>
      <c r="Q808" s="37">
        <v>0</v>
      </c>
      <c r="R808" s="37" t="s">
        <v>1782</v>
      </c>
      <c r="S808" s="37"/>
    </row>
    <row r="809" spans="1:19" x14ac:dyDescent="0.3">
      <c r="A809" s="41">
        <v>358</v>
      </c>
      <c r="B809" s="37" t="s">
        <v>1780</v>
      </c>
      <c r="C809" s="37" t="s">
        <v>1781</v>
      </c>
      <c r="D809" s="37" t="s">
        <v>21</v>
      </c>
      <c r="E809" s="37" t="s">
        <v>22</v>
      </c>
      <c r="F809" s="42">
        <v>45291</v>
      </c>
      <c r="G809" s="37">
        <v>2023</v>
      </c>
      <c r="H809" s="37" t="s">
        <v>27</v>
      </c>
      <c r="I809" s="39" t="s">
        <v>32</v>
      </c>
      <c r="J809" s="37">
        <v>87</v>
      </c>
      <c r="K809" s="37">
        <v>95</v>
      </c>
      <c r="L809" s="74">
        <f t="shared" si="86"/>
        <v>1.0919540229885059</v>
      </c>
      <c r="M809" s="65">
        <f t="shared" si="87"/>
        <v>1.0919540229885059</v>
      </c>
      <c r="N809" s="37" t="s">
        <v>25</v>
      </c>
      <c r="O809" s="37" t="s">
        <v>25</v>
      </c>
      <c r="P809" s="37">
        <v>0</v>
      </c>
      <c r="Q809" s="37">
        <v>0</v>
      </c>
      <c r="R809" s="37" t="s">
        <v>1783</v>
      </c>
      <c r="S809" s="37"/>
    </row>
    <row r="810" spans="1:19" x14ac:dyDescent="0.3">
      <c r="A810" s="37">
        <v>358</v>
      </c>
      <c r="B810" s="37" t="s">
        <v>1780</v>
      </c>
      <c r="C810" s="37" t="s">
        <v>1781</v>
      </c>
      <c r="D810" s="37" t="s">
        <v>21</v>
      </c>
      <c r="E810" s="37" t="s">
        <v>22</v>
      </c>
      <c r="F810" s="42">
        <v>45473</v>
      </c>
      <c r="G810" s="37">
        <v>2024</v>
      </c>
      <c r="H810" s="37" t="s">
        <v>23</v>
      </c>
      <c r="I810" s="39" t="s">
        <v>34</v>
      </c>
      <c r="J810" s="37">
        <v>87</v>
      </c>
      <c r="K810" s="37">
        <v>97.99</v>
      </c>
      <c r="L810" s="65">
        <f t="shared" si="86"/>
        <v>1.1263218390804597</v>
      </c>
      <c r="M810" s="65">
        <f t="shared" si="87"/>
        <v>1.1263218390804597</v>
      </c>
      <c r="N810" s="37" t="s">
        <v>25</v>
      </c>
      <c r="O810" s="37" t="s">
        <v>25</v>
      </c>
      <c r="P810" s="37">
        <v>0</v>
      </c>
      <c r="Q810" s="37">
        <v>0</v>
      </c>
      <c r="R810" s="37" t="s">
        <v>1784</v>
      </c>
      <c r="S810" s="37"/>
    </row>
    <row r="811" spans="1:19" x14ac:dyDescent="0.3">
      <c r="A811" s="37">
        <v>358</v>
      </c>
      <c r="B811" s="37" t="s">
        <v>1780</v>
      </c>
      <c r="C811" s="37" t="s">
        <v>1781</v>
      </c>
      <c r="D811" s="37" t="s">
        <v>21</v>
      </c>
      <c r="E811" s="37" t="s">
        <v>22</v>
      </c>
      <c r="F811" s="42">
        <v>45657</v>
      </c>
      <c r="G811" s="37">
        <v>2024</v>
      </c>
      <c r="H811" s="37" t="s">
        <v>27</v>
      </c>
      <c r="I811" s="39" t="s">
        <v>36</v>
      </c>
      <c r="J811" s="37">
        <v>87</v>
      </c>
      <c r="K811" s="37">
        <v>100</v>
      </c>
      <c r="L811" s="65">
        <f t="shared" si="86"/>
        <v>1.1494252873563218</v>
      </c>
      <c r="M811" s="65">
        <f t="shared" si="87"/>
        <v>1.1494252873563218</v>
      </c>
      <c r="N811" s="37" t="s">
        <v>25</v>
      </c>
      <c r="O811" s="37" t="s">
        <v>25</v>
      </c>
      <c r="P811" s="37">
        <v>0</v>
      </c>
      <c r="Q811" s="37">
        <v>0</v>
      </c>
      <c r="R811" s="37" t="s">
        <v>1785</v>
      </c>
      <c r="S811" s="37"/>
    </row>
    <row r="812" spans="1:19" x14ac:dyDescent="0.3">
      <c r="A812" s="41">
        <v>359</v>
      </c>
      <c r="B812" s="37" t="s">
        <v>3525</v>
      </c>
      <c r="C812" s="37" t="s">
        <v>1376</v>
      </c>
      <c r="D812" s="37" t="s">
        <v>139</v>
      </c>
      <c r="E812" s="37" t="s">
        <v>22</v>
      </c>
      <c r="F812" s="42">
        <v>45291</v>
      </c>
      <c r="G812" s="37">
        <v>2023</v>
      </c>
      <c r="H812" s="37" t="s">
        <v>27</v>
      </c>
      <c r="I812" s="39" t="s">
        <v>32</v>
      </c>
      <c r="J812" s="37"/>
      <c r="K812" s="37">
        <v>0</v>
      </c>
      <c r="L812" s="74"/>
      <c r="M812" s="65"/>
      <c r="N812" s="37"/>
      <c r="O812" s="37"/>
      <c r="P812" s="37">
        <v>0</v>
      </c>
      <c r="Q812" s="37">
        <v>0</v>
      </c>
      <c r="R812" s="37" t="s">
        <v>3526</v>
      </c>
      <c r="S812" s="37"/>
    </row>
    <row r="813" spans="1:19" x14ac:dyDescent="0.3">
      <c r="A813" s="37">
        <v>359</v>
      </c>
      <c r="B813" s="37" t="s">
        <v>1787</v>
      </c>
      <c r="C813" s="37" t="s">
        <v>1376</v>
      </c>
      <c r="D813" s="37" t="s">
        <v>21</v>
      </c>
      <c r="E813" s="37" t="s">
        <v>22</v>
      </c>
      <c r="F813" s="42">
        <v>45473</v>
      </c>
      <c r="G813" s="37">
        <v>2024</v>
      </c>
      <c r="H813" s="37" t="s">
        <v>23</v>
      </c>
      <c r="I813" s="37" t="s">
        <v>34</v>
      </c>
      <c r="J813" s="37">
        <v>1</v>
      </c>
      <c r="K813" s="37">
        <v>0</v>
      </c>
      <c r="L813" s="65">
        <f t="shared" ref="L813:L817" si="88">IFERROR(IF(OR(J813=0,K813=""),"",IF(E813="Positivo",MIN(MAX(K813/J813,0),1.3),MIN(MAX(J813/K813,0),1.3))),"")</f>
        <v>0</v>
      </c>
      <c r="M813" s="65">
        <f t="shared" ref="M813:M817" si="89">IFERROR(IF(OR(J813=0,K813=""),"",IF(E813="Positivo",MAX(K813/J813,0),MAX(J813/K813,0))),"")</f>
        <v>0</v>
      </c>
      <c r="N813" s="37" t="s">
        <v>25</v>
      </c>
      <c r="O813" s="37" t="s">
        <v>25</v>
      </c>
      <c r="P813" s="37">
        <v>0</v>
      </c>
      <c r="Q813" s="37">
        <v>0</v>
      </c>
      <c r="R813" s="37" t="s">
        <v>1788</v>
      </c>
      <c r="S813" s="37"/>
    </row>
    <row r="814" spans="1:19" x14ac:dyDescent="0.3">
      <c r="A814" s="37">
        <v>359</v>
      </c>
      <c r="B814" s="37" t="s">
        <v>1789</v>
      </c>
      <c r="C814" s="37" t="s">
        <v>1376</v>
      </c>
      <c r="D814" s="37" t="s">
        <v>21</v>
      </c>
      <c r="E814" s="37" t="s">
        <v>22</v>
      </c>
      <c r="F814" s="42">
        <v>45657</v>
      </c>
      <c r="G814" s="37">
        <v>2024</v>
      </c>
      <c r="H814" s="37" t="s">
        <v>27</v>
      </c>
      <c r="I814" s="39" t="s">
        <v>36</v>
      </c>
      <c r="J814" s="37">
        <v>80</v>
      </c>
      <c r="K814" s="37">
        <v>86</v>
      </c>
      <c r="L814" s="65">
        <f t="shared" si="88"/>
        <v>1.075</v>
      </c>
      <c r="M814" s="65">
        <f t="shared" si="89"/>
        <v>1.075</v>
      </c>
      <c r="N814" s="37" t="s">
        <v>25</v>
      </c>
      <c r="O814" s="37" t="s">
        <v>25</v>
      </c>
      <c r="P814" s="37">
        <v>0</v>
      </c>
      <c r="Q814" s="37">
        <v>0</v>
      </c>
      <c r="R814" s="37" t="s">
        <v>1790</v>
      </c>
      <c r="S814" s="37"/>
    </row>
    <row r="815" spans="1:19" x14ac:dyDescent="0.3">
      <c r="A815" s="45">
        <v>360</v>
      </c>
      <c r="B815" s="37" t="s">
        <v>1791</v>
      </c>
      <c r="C815" s="37" t="s">
        <v>1376</v>
      </c>
      <c r="D815" s="37" t="s">
        <v>21</v>
      </c>
      <c r="E815" s="37" t="s">
        <v>22</v>
      </c>
      <c r="F815" s="42">
        <v>45107</v>
      </c>
      <c r="G815" s="37">
        <v>2023</v>
      </c>
      <c r="H815" s="37" t="s">
        <v>23</v>
      </c>
      <c r="I815" s="39" t="s">
        <v>30</v>
      </c>
      <c r="J815" s="37">
        <v>0</v>
      </c>
      <c r="K815" s="37">
        <v>0</v>
      </c>
      <c r="L815" s="65" t="str">
        <f t="shared" si="88"/>
        <v/>
      </c>
      <c r="M815" s="65" t="str">
        <f t="shared" si="89"/>
        <v/>
      </c>
      <c r="N815" s="37"/>
      <c r="O815" s="37"/>
      <c r="P815" s="37">
        <v>0</v>
      </c>
      <c r="Q815" s="37">
        <v>0</v>
      </c>
      <c r="R815" s="37" t="s">
        <v>1793</v>
      </c>
      <c r="S815" s="37"/>
    </row>
    <row r="816" spans="1:19" x14ac:dyDescent="0.3">
      <c r="A816" s="41">
        <v>360</v>
      </c>
      <c r="B816" s="37" t="s">
        <v>1791</v>
      </c>
      <c r="C816" s="37" t="s">
        <v>1376</v>
      </c>
      <c r="D816" s="37" t="s">
        <v>21</v>
      </c>
      <c r="E816" s="37" t="s">
        <v>22</v>
      </c>
      <c r="F816" s="42">
        <v>45291</v>
      </c>
      <c r="G816" s="37">
        <v>2023</v>
      </c>
      <c r="H816" s="37" t="s">
        <v>27</v>
      </c>
      <c r="I816" s="39" t="s">
        <v>32</v>
      </c>
      <c r="J816" s="37">
        <v>0</v>
      </c>
      <c r="K816" s="37">
        <v>0</v>
      </c>
      <c r="L816" s="65" t="str">
        <f t="shared" si="88"/>
        <v/>
      </c>
      <c r="M816" s="65" t="str">
        <f t="shared" si="89"/>
        <v/>
      </c>
      <c r="N816" s="37"/>
      <c r="O816" s="37"/>
      <c r="P816" s="37">
        <v>0</v>
      </c>
      <c r="Q816" s="37">
        <v>0</v>
      </c>
      <c r="R816" s="37" t="s">
        <v>1794</v>
      </c>
      <c r="S816" s="37"/>
    </row>
    <row r="817" spans="1:19" x14ac:dyDescent="0.3">
      <c r="A817" s="41">
        <v>361</v>
      </c>
      <c r="B817" s="37" t="s">
        <v>3527</v>
      </c>
      <c r="C817" s="37" t="s">
        <v>1796</v>
      </c>
      <c r="D817" s="37" t="s">
        <v>139</v>
      </c>
      <c r="E817" s="37" t="s">
        <v>22</v>
      </c>
      <c r="F817" s="42">
        <v>45291</v>
      </c>
      <c r="G817" s="37">
        <v>2023</v>
      </c>
      <c r="H817" s="37" t="s">
        <v>27</v>
      </c>
      <c r="I817" s="39" t="s">
        <v>32</v>
      </c>
      <c r="J817" s="37">
        <v>4.5</v>
      </c>
      <c r="K817" s="37">
        <v>4.5599999999999996</v>
      </c>
      <c r="L817" s="65">
        <f t="shared" si="88"/>
        <v>1.0133333333333332</v>
      </c>
      <c r="M817" s="65">
        <f t="shared" si="89"/>
        <v>1.0133333333333332</v>
      </c>
      <c r="N817" s="37"/>
      <c r="O817" s="37"/>
      <c r="P817" s="37">
        <v>2</v>
      </c>
      <c r="Q817" s="37">
        <v>2</v>
      </c>
      <c r="R817" s="37" t="s">
        <v>1797</v>
      </c>
      <c r="S817" s="37"/>
    </row>
    <row r="818" spans="1:19" x14ac:dyDescent="0.3">
      <c r="A818" s="37">
        <v>361</v>
      </c>
      <c r="B818" s="37" t="s">
        <v>3527</v>
      </c>
      <c r="C818" s="37" t="s">
        <v>1796</v>
      </c>
      <c r="D818" s="37" t="s">
        <v>139</v>
      </c>
      <c r="E818" s="37" t="s">
        <v>22</v>
      </c>
      <c r="F818" s="42">
        <v>45657</v>
      </c>
      <c r="G818" s="37">
        <v>2024</v>
      </c>
      <c r="H818" s="37" t="s">
        <v>27</v>
      </c>
      <c r="I818" s="39" t="s">
        <v>36</v>
      </c>
      <c r="J818" s="37">
        <v>0</v>
      </c>
      <c r="K818" s="37"/>
      <c r="L818" s="65"/>
      <c r="M818" s="65"/>
      <c r="N818" s="37" t="s">
        <v>203</v>
      </c>
      <c r="O818" s="37" t="s">
        <v>613</v>
      </c>
      <c r="P818" s="37">
        <v>0</v>
      </c>
      <c r="Q818" s="37">
        <v>0</v>
      </c>
      <c r="R818" s="37" t="s">
        <v>1799</v>
      </c>
      <c r="S818" s="37"/>
    </row>
    <row r="819" spans="1:19" x14ac:dyDescent="0.3">
      <c r="A819" s="41">
        <v>362</v>
      </c>
      <c r="B819" s="37" t="s">
        <v>1800</v>
      </c>
      <c r="C819" s="37" t="s">
        <v>3528</v>
      </c>
      <c r="D819" s="37" t="s">
        <v>21</v>
      </c>
      <c r="E819" s="37" t="s">
        <v>22</v>
      </c>
      <c r="F819" s="42">
        <v>45291</v>
      </c>
      <c r="G819" s="37">
        <v>2023</v>
      </c>
      <c r="H819" s="37" t="s">
        <v>27</v>
      </c>
      <c r="I819" s="39" t="s">
        <v>32</v>
      </c>
      <c r="J819" s="37">
        <v>100</v>
      </c>
      <c r="K819" s="37">
        <v>99.156641448591998</v>
      </c>
      <c r="L819" s="74">
        <f t="shared" ref="L819:L838" si="90">IFERROR(IF(OR(J819=0,K819=""),"",IF(E819="Positivo",MIN(MAX(K819/J819,0),1.3),MIN(MAX(J819/K819,0),1.3))),"")</f>
        <v>0.99156641448591998</v>
      </c>
      <c r="M819" s="65">
        <f t="shared" ref="M819:M838" si="91">IFERROR(IF(OR(J819=0,K819=""),"",IF(E819="Positivo",MAX(K819/J819,0),MAX(J819/K819,0))),"")</f>
        <v>0.99156641448591998</v>
      </c>
      <c r="N819" s="37" t="s">
        <v>25</v>
      </c>
      <c r="O819" s="37" t="s">
        <v>25</v>
      </c>
      <c r="P819" s="37">
        <v>0</v>
      </c>
      <c r="Q819" s="37">
        <v>0</v>
      </c>
      <c r="R819" s="37" t="s">
        <v>1803</v>
      </c>
      <c r="S819" s="37"/>
    </row>
    <row r="820" spans="1:19" x14ac:dyDescent="0.3">
      <c r="A820" s="37">
        <v>362</v>
      </c>
      <c r="B820" s="37" t="s">
        <v>1800</v>
      </c>
      <c r="C820" s="37" t="s">
        <v>1801</v>
      </c>
      <c r="D820" s="37" t="s">
        <v>21</v>
      </c>
      <c r="E820" s="37" t="s">
        <v>22</v>
      </c>
      <c r="F820" s="42">
        <v>45473</v>
      </c>
      <c r="G820" s="37">
        <v>2024</v>
      </c>
      <c r="H820" s="37" t="s">
        <v>23</v>
      </c>
      <c r="I820" s="39" t="s">
        <v>34</v>
      </c>
      <c r="J820" s="37">
        <v>98</v>
      </c>
      <c r="K820" s="37">
        <v>99.584323040380056</v>
      </c>
      <c r="L820" s="65">
        <f t="shared" si="90"/>
        <v>1.0161665616365312</v>
      </c>
      <c r="M820" s="65">
        <f t="shared" si="91"/>
        <v>1.0161665616365312</v>
      </c>
      <c r="N820" s="37" t="s">
        <v>25</v>
      </c>
      <c r="O820" s="37" t="s">
        <v>25</v>
      </c>
      <c r="P820" s="37">
        <v>0</v>
      </c>
      <c r="Q820" s="37">
        <v>0</v>
      </c>
      <c r="R820" s="37" t="s">
        <v>1804</v>
      </c>
      <c r="S820" s="37"/>
    </row>
    <row r="821" spans="1:19" x14ac:dyDescent="0.3">
      <c r="A821" s="37">
        <v>362</v>
      </c>
      <c r="B821" s="37" t="s">
        <v>1800</v>
      </c>
      <c r="C821" s="37" t="s">
        <v>1801</v>
      </c>
      <c r="D821" s="37" t="s">
        <v>21</v>
      </c>
      <c r="E821" s="37" t="s">
        <v>22</v>
      </c>
      <c r="F821" s="42">
        <v>45657</v>
      </c>
      <c r="G821" s="37">
        <v>2024</v>
      </c>
      <c r="H821" s="37" t="s">
        <v>27</v>
      </c>
      <c r="I821" s="39" t="s">
        <v>36</v>
      </c>
      <c r="J821" s="37">
        <v>98</v>
      </c>
      <c r="K821" s="37">
        <v>99.49</v>
      </c>
      <c r="L821" s="65">
        <f t="shared" si="90"/>
        <v>1.0152040816326531</v>
      </c>
      <c r="M821" s="65">
        <f t="shared" si="91"/>
        <v>1.0152040816326531</v>
      </c>
      <c r="N821" s="37" t="s">
        <v>25</v>
      </c>
      <c r="O821" s="37" t="s">
        <v>25</v>
      </c>
      <c r="P821" s="37">
        <v>0</v>
      </c>
      <c r="Q821" s="37">
        <v>0</v>
      </c>
      <c r="R821" s="37" t="s">
        <v>1805</v>
      </c>
      <c r="S821" s="37"/>
    </row>
    <row r="822" spans="1:19" x14ac:dyDescent="0.3">
      <c r="A822" s="45">
        <v>363</v>
      </c>
      <c r="B822" s="37" t="s">
        <v>1808</v>
      </c>
      <c r="C822" s="37" t="s">
        <v>3529</v>
      </c>
      <c r="D822" s="37" t="s">
        <v>21</v>
      </c>
      <c r="E822" s="37" t="s">
        <v>22</v>
      </c>
      <c r="F822" s="42">
        <v>45107</v>
      </c>
      <c r="G822" s="37">
        <v>2023</v>
      </c>
      <c r="H822" s="37" t="s">
        <v>23</v>
      </c>
      <c r="I822" s="39" t="s">
        <v>30</v>
      </c>
      <c r="J822" s="37">
        <v>0</v>
      </c>
      <c r="K822" s="37">
        <v>0</v>
      </c>
      <c r="L822" s="74" t="str">
        <f t="shared" si="90"/>
        <v/>
      </c>
      <c r="M822" s="65" t="str">
        <f t="shared" si="91"/>
        <v/>
      </c>
      <c r="N822" s="37"/>
      <c r="O822" s="37"/>
      <c r="P822" s="37">
        <v>0</v>
      </c>
      <c r="Q822" s="37">
        <v>0</v>
      </c>
      <c r="R822" s="37" t="s">
        <v>3530</v>
      </c>
      <c r="S822" s="37"/>
    </row>
    <row r="823" spans="1:19" x14ac:dyDescent="0.3">
      <c r="A823" s="41">
        <v>363</v>
      </c>
      <c r="B823" s="37" t="s">
        <v>1808</v>
      </c>
      <c r="C823" s="37" t="s">
        <v>3529</v>
      </c>
      <c r="D823" s="37" t="s">
        <v>21</v>
      </c>
      <c r="E823" s="37" t="s">
        <v>22</v>
      </c>
      <c r="F823" s="42">
        <v>45291</v>
      </c>
      <c r="G823" s="37">
        <v>2023</v>
      </c>
      <c r="H823" s="37" t="s">
        <v>27</v>
      </c>
      <c r="I823" s="39" t="s">
        <v>32</v>
      </c>
      <c r="J823" s="37">
        <v>100</v>
      </c>
      <c r="K823" s="37">
        <v>100</v>
      </c>
      <c r="L823" s="74">
        <f t="shared" si="90"/>
        <v>1</v>
      </c>
      <c r="M823" s="65">
        <f t="shared" si="91"/>
        <v>1</v>
      </c>
      <c r="N823" s="37"/>
      <c r="O823" s="37"/>
      <c r="P823" s="37">
        <v>0</v>
      </c>
      <c r="Q823" s="37">
        <v>0</v>
      </c>
      <c r="R823" s="37" t="s">
        <v>1809</v>
      </c>
      <c r="S823" s="37"/>
    </row>
    <row r="824" spans="1:19" x14ac:dyDescent="0.3">
      <c r="A824" s="37">
        <v>363</v>
      </c>
      <c r="B824" s="37" t="s">
        <v>1808</v>
      </c>
      <c r="C824" s="37" t="s">
        <v>1801</v>
      </c>
      <c r="D824" s="37" t="s">
        <v>21</v>
      </c>
      <c r="E824" s="37" t="s">
        <v>22</v>
      </c>
      <c r="F824" s="42">
        <v>45473</v>
      </c>
      <c r="G824" s="37">
        <v>2024</v>
      </c>
      <c r="H824" s="37" t="s">
        <v>23</v>
      </c>
      <c r="I824" s="39" t="s">
        <v>34</v>
      </c>
      <c r="J824" s="37">
        <v>100</v>
      </c>
      <c r="K824" s="37">
        <v>100</v>
      </c>
      <c r="L824" s="65">
        <f t="shared" si="90"/>
        <v>1</v>
      </c>
      <c r="M824" s="65">
        <f t="shared" si="91"/>
        <v>1</v>
      </c>
      <c r="N824" s="37"/>
      <c r="O824" s="37"/>
      <c r="P824" s="37">
        <v>0</v>
      </c>
      <c r="Q824" s="37">
        <v>0</v>
      </c>
      <c r="R824" s="37" t="s">
        <v>1810</v>
      </c>
      <c r="S824" s="37"/>
    </row>
    <row r="825" spans="1:19" x14ac:dyDescent="0.3">
      <c r="A825" s="37">
        <v>363</v>
      </c>
      <c r="B825" s="37" t="s">
        <v>1808</v>
      </c>
      <c r="C825" s="37" t="s">
        <v>1801</v>
      </c>
      <c r="D825" s="37" t="s">
        <v>21</v>
      </c>
      <c r="E825" s="37" t="s">
        <v>22</v>
      </c>
      <c r="F825" s="42">
        <v>45657</v>
      </c>
      <c r="G825" s="37">
        <v>2024</v>
      </c>
      <c r="H825" s="37" t="s">
        <v>27</v>
      </c>
      <c r="I825" s="39" t="s">
        <v>36</v>
      </c>
      <c r="J825" s="37">
        <v>100</v>
      </c>
      <c r="K825" s="37">
        <v>100</v>
      </c>
      <c r="L825" s="65">
        <f t="shared" si="90"/>
        <v>1</v>
      </c>
      <c r="M825" s="65">
        <f t="shared" si="91"/>
        <v>1</v>
      </c>
      <c r="N825" s="37"/>
      <c r="O825" s="37"/>
      <c r="P825" s="37">
        <v>0</v>
      </c>
      <c r="Q825" s="37">
        <v>0</v>
      </c>
      <c r="R825" s="37" t="s">
        <v>1811</v>
      </c>
      <c r="S825" s="37"/>
    </row>
    <row r="826" spans="1:19" x14ac:dyDescent="0.3">
      <c r="A826" s="37">
        <v>364</v>
      </c>
      <c r="B826" s="37" t="s">
        <v>1812</v>
      </c>
      <c r="C826" s="37" t="s">
        <v>1796</v>
      </c>
      <c r="D826" s="37" t="s">
        <v>21</v>
      </c>
      <c r="E826" s="37" t="s">
        <v>56</v>
      </c>
      <c r="F826" s="38">
        <v>45107</v>
      </c>
      <c r="G826" s="40">
        <v>2023</v>
      </c>
      <c r="H826" s="39" t="s">
        <v>23</v>
      </c>
      <c r="I826" s="39" t="s">
        <v>30</v>
      </c>
      <c r="J826" s="37">
        <v>0</v>
      </c>
      <c r="K826" s="37">
        <v>30244</v>
      </c>
      <c r="L826" s="65" t="str">
        <f t="shared" si="90"/>
        <v/>
      </c>
      <c r="M826" s="65" t="str">
        <f t="shared" si="91"/>
        <v/>
      </c>
      <c r="N826" s="37" t="s">
        <v>3505</v>
      </c>
      <c r="O826" s="37" t="s">
        <v>203</v>
      </c>
      <c r="P826" s="37">
        <v>0</v>
      </c>
      <c r="Q826" s="37">
        <v>0</v>
      </c>
      <c r="R826" s="37" t="s">
        <v>1813</v>
      </c>
      <c r="S826" s="37"/>
    </row>
    <row r="827" spans="1:19" x14ac:dyDescent="0.3">
      <c r="A827" s="41">
        <v>364</v>
      </c>
      <c r="B827" s="37" t="s">
        <v>1812</v>
      </c>
      <c r="C827" s="37" t="s">
        <v>1796</v>
      </c>
      <c r="D827" s="37" t="s">
        <v>21</v>
      </c>
      <c r="E827" s="37" t="s">
        <v>56</v>
      </c>
      <c r="F827" s="42">
        <v>45291</v>
      </c>
      <c r="G827" s="37">
        <v>2023</v>
      </c>
      <c r="H827" s="37" t="s">
        <v>27</v>
      </c>
      <c r="I827" s="39" t="s">
        <v>32</v>
      </c>
      <c r="J827" s="37">
        <v>0</v>
      </c>
      <c r="K827" s="37">
        <v>78451</v>
      </c>
      <c r="L827" s="65" t="str">
        <f t="shared" si="90"/>
        <v/>
      </c>
      <c r="M827" s="65" t="str">
        <f t="shared" si="91"/>
        <v/>
      </c>
      <c r="N827" s="37" t="s">
        <v>3505</v>
      </c>
      <c r="O827" s="37" t="s">
        <v>203</v>
      </c>
      <c r="P827" s="37">
        <v>0</v>
      </c>
      <c r="Q827" s="37">
        <v>0</v>
      </c>
      <c r="R827" s="37" t="s">
        <v>1814</v>
      </c>
      <c r="S827" s="37"/>
    </row>
    <row r="828" spans="1:19" x14ac:dyDescent="0.3">
      <c r="A828" s="37">
        <v>364</v>
      </c>
      <c r="B828" s="37" t="s">
        <v>1812</v>
      </c>
      <c r="C828" s="37" t="s">
        <v>1796</v>
      </c>
      <c r="D828" s="37" t="s">
        <v>21</v>
      </c>
      <c r="E828" s="37" t="s">
        <v>22</v>
      </c>
      <c r="F828" s="42">
        <v>45473</v>
      </c>
      <c r="G828" s="37">
        <v>2024</v>
      </c>
      <c r="H828" s="37" t="s">
        <v>23</v>
      </c>
      <c r="I828" s="39" t="s">
        <v>34</v>
      </c>
      <c r="J828" s="43">
        <v>31694</v>
      </c>
      <c r="K828" s="43">
        <v>42069</v>
      </c>
      <c r="L828" s="65">
        <f t="shared" si="90"/>
        <v>1.3</v>
      </c>
      <c r="M828" s="65">
        <f t="shared" si="91"/>
        <v>1.3273490250520603</v>
      </c>
      <c r="N828" s="37" t="s">
        <v>203</v>
      </c>
      <c r="O828" s="37" t="s">
        <v>203</v>
      </c>
      <c r="P828" s="37">
        <v>0</v>
      </c>
      <c r="Q828" s="37">
        <v>0</v>
      </c>
      <c r="R828" s="37" t="s">
        <v>1815</v>
      </c>
      <c r="S828" s="37"/>
    </row>
    <row r="829" spans="1:19" x14ac:dyDescent="0.3">
      <c r="A829" s="37">
        <v>364</v>
      </c>
      <c r="B829" s="37" t="s">
        <v>1812</v>
      </c>
      <c r="C829" s="37" t="s">
        <v>1796</v>
      </c>
      <c r="D829" s="37" t="s">
        <v>21</v>
      </c>
      <c r="E829" s="37" t="s">
        <v>22</v>
      </c>
      <c r="F829" s="42">
        <v>45657</v>
      </c>
      <c r="G829" s="37">
        <v>2024</v>
      </c>
      <c r="H829" s="37" t="s">
        <v>27</v>
      </c>
      <c r="I829" s="39" t="s">
        <v>36</v>
      </c>
      <c r="J829" s="43">
        <v>47541</v>
      </c>
      <c r="K829" s="43">
        <v>46635</v>
      </c>
      <c r="L829" s="65">
        <f t="shared" si="90"/>
        <v>0.98094276519214996</v>
      </c>
      <c r="M829" s="65">
        <f t="shared" si="91"/>
        <v>0.98094276519214996</v>
      </c>
      <c r="N829" s="37" t="s">
        <v>203</v>
      </c>
      <c r="O829" s="37" t="s">
        <v>203</v>
      </c>
      <c r="P829" s="37">
        <v>0</v>
      </c>
      <c r="Q829" s="37">
        <v>0</v>
      </c>
      <c r="R829" s="37" t="s">
        <v>1816</v>
      </c>
      <c r="S829" s="37"/>
    </row>
    <row r="830" spans="1:19" x14ac:dyDescent="0.3">
      <c r="A830" s="41">
        <v>365</v>
      </c>
      <c r="B830" s="37" t="s">
        <v>1817</v>
      </c>
      <c r="C830" s="37" t="s">
        <v>3528</v>
      </c>
      <c r="D830" s="37" t="s">
        <v>21</v>
      </c>
      <c r="E830" s="37" t="s">
        <v>22</v>
      </c>
      <c r="F830" s="42">
        <v>45291</v>
      </c>
      <c r="G830" s="37">
        <v>2023</v>
      </c>
      <c r="H830" s="37" t="s">
        <v>27</v>
      </c>
      <c r="I830" s="39" t="s">
        <v>32</v>
      </c>
      <c r="J830" s="37">
        <v>100</v>
      </c>
      <c r="K830" s="37">
        <v>100</v>
      </c>
      <c r="L830" s="74">
        <f t="shared" si="90"/>
        <v>1</v>
      </c>
      <c r="M830" s="65">
        <f t="shared" si="91"/>
        <v>1</v>
      </c>
      <c r="N830" s="37" t="s">
        <v>25</v>
      </c>
      <c r="O830" s="37" t="s">
        <v>25</v>
      </c>
      <c r="P830" s="37">
        <v>0</v>
      </c>
      <c r="Q830" s="37">
        <v>0</v>
      </c>
      <c r="R830" s="37" t="s">
        <v>1818</v>
      </c>
      <c r="S830" s="37"/>
    </row>
    <row r="831" spans="1:19" x14ac:dyDescent="0.3">
      <c r="A831" s="41">
        <v>366</v>
      </c>
      <c r="B831" s="37" t="s">
        <v>1819</v>
      </c>
      <c r="C831" s="37" t="s">
        <v>3528</v>
      </c>
      <c r="D831" s="37" t="s">
        <v>139</v>
      </c>
      <c r="E831" s="37" t="s">
        <v>22</v>
      </c>
      <c r="F831" s="42">
        <v>45291</v>
      </c>
      <c r="G831" s="37">
        <v>2023</v>
      </c>
      <c r="H831" s="37" t="s">
        <v>27</v>
      </c>
      <c r="I831" s="39" t="s">
        <v>32</v>
      </c>
      <c r="J831" s="37">
        <v>100</v>
      </c>
      <c r="K831" s="37">
        <v>100</v>
      </c>
      <c r="L831" s="74">
        <f t="shared" si="90"/>
        <v>1</v>
      </c>
      <c r="M831" s="65">
        <f t="shared" si="91"/>
        <v>1</v>
      </c>
      <c r="N831" s="37"/>
      <c r="O831" s="37"/>
      <c r="P831" s="37">
        <v>0</v>
      </c>
      <c r="Q831" s="37">
        <v>0</v>
      </c>
      <c r="R831" s="37" t="s">
        <v>1820</v>
      </c>
      <c r="S831" s="37"/>
    </row>
    <row r="832" spans="1:19" x14ac:dyDescent="0.3">
      <c r="A832" s="37">
        <v>366</v>
      </c>
      <c r="B832" s="37" t="s">
        <v>1819</v>
      </c>
      <c r="C832" s="37" t="s">
        <v>1801</v>
      </c>
      <c r="D832" s="37" t="s">
        <v>139</v>
      </c>
      <c r="E832" s="37" t="s">
        <v>22</v>
      </c>
      <c r="F832" s="42">
        <v>45657</v>
      </c>
      <c r="G832" s="37">
        <v>2024</v>
      </c>
      <c r="H832" s="37" t="s">
        <v>27</v>
      </c>
      <c r="I832" s="39" t="s">
        <v>36</v>
      </c>
      <c r="J832" s="37">
        <v>100</v>
      </c>
      <c r="K832" s="37">
        <v>100</v>
      </c>
      <c r="L832" s="65">
        <f t="shared" si="90"/>
        <v>1</v>
      </c>
      <c r="M832" s="65">
        <f t="shared" si="91"/>
        <v>1</v>
      </c>
      <c r="N832" s="37"/>
      <c r="O832" s="37"/>
      <c r="P832" s="37">
        <v>0</v>
      </c>
      <c r="Q832" s="37">
        <v>0</v>
      </c>
      <c r="R832" s="37" t="s">
        <v>1821</v>
      </c>
      <c r="S832" s="37"/>
    </row>
    <row r="833" spans="1:19" x14ac:dyDescent="0.3">
      <c r="A833" s="41">
        <v>367</v>
      </c>
      <c r="B833" s="37" t="s">
        <v>1824</v>
      </c>
      <c r="C833" s="37" t="s">
        <v>1796</v>
      </c>
      <c r="D833" s="37" t="s">
        <v>139</v>
      </c>
      <c r="E833" s="37" t="s">
        <v>22</v>
      </c>
      <c r="F833" s="42">
        <v>45291</v>
      </c>
      <c r="G833" s="37">
        <v>2023</v>
      </c>
      <c r="H833" s="37" t="s">
        <v>27</v>
      </c>
      <c r="I833" s="39" t="s">
        <v>32</v>
      </c>
      <c r="J833" s="37">
        <v>5</v>
      </c>
      <c r="K833" s="37">
        <v>6.2497567052045619</v>
      </c>
      <c r="L833" s="74">
        <f t="shared" si="90"/>
        <v>1.2499513410409124</v>
      </c>
      <c r="M833" s="65">
        <f t="shared" si="91"/>
        <v>1.2499513410409124</v>
      </c>
      <c r="N833" s="37" t="s">
        <v>25</v>
      </c>
      <c r="O833" s="37" t="s">
        <v>25</v>
      </c>
      <c r="P833" s="37">
        <v>2</v>
      </c>
      <c r="Q833" s="37">
        <v>2</v>
      </c>
      <c r="R833" s="37" t="s">
        <v>1823</v>
      </c>
      <c r="S833" s="37"/>
    </row>
    <row r="834" spans="1:19" x14ac:dyDescent="0.3">
      <c r="A834" s="41">
        <v>367</v>
      </c>
      <c r="B834" s="37" t="s">
        <v>1824</v>
      </c>
      <c r="C834" s="37" t="s">
        <v>1796</v>
      </c>
      <c r="D834" s="37" t="s">
        <v>139</v>
      </c>
      <c r="E834" s="37" t="s">
        <v>22</v>
      </c>
      <c r="F834" s="42">
        <v>45657</v>
      </c>
      <c r="G834" s="37">
        <v>2024</v>
      </c>
      <c r="H834" s="37" t="s">
        <v>27</v>
      </c>
      <c r="I834" s="39" t="s">
        <v>36</v>
      </c>
      <c r="J834" s="37">
        <v>5</v>
      </c>
      <c r="K834" s="37">
        <v>4.96</v>
      </c>
      <c r="L834" s="74">
        <f t="shared" si="90"/>
        <v>0.99199999999999999</v>
      </c>
      <c r="M834" s="65">
        <f t="shared" si="91"/>
        <v>0.99199999999999999</v>
      </c>
      <c r="N834" s="37" t="s">
        <v>25</v>
      </c>
      <c r="O834" s="37" t="s">
        <v>25</v>
      </c>
      <c r="P834" s="37">
        <v>2</v>
      </c>
      <c r="Q834" s="37">
        <v>2</v>
      </c>
      <c r="R834" s="37" t="s">
        <v>1825</v>
      </c>
      <c r="S834" s="37"/>
    </row>
    <row r="835" spans="1:19" x14ac:dyDescent="0.3">
      <c r="A835" s="41">
        <v>368</v>
      </c>
      <c r="B835" s="37" t="s">
        <v>1826</v>
      </c>
      <c r="C835" s="37" t="s">
        <v>1827</v>
      </c>
      <c r="D835" s="37" t="s">
        <v>39</v>
      </c>
      <c r="E835" s="37" t="s">
        <v>22</v>
      </c>
      <c r="F835" s="42">
        <v>45291</v>
      </c>
      <c r="G835" s="37">
        <v>2023</v>
      </c>
      <c r="H835" s="37" t="s">
        <v>27</v>
      </c>
      <c r="I835" s="39" t="s">
        <v>32</v>
      </c>
      <c r="J835" s="37">
        <v>90</v>
      </c>
      <c r="K835" s="37">
        <v>94.5</v>
      </c>
      <c r="L835" s="74">
        <f t="shared" si="90"/>
        <v>1.05</v>
      </c>
      <c r="M835" s="65">
        <f t="shared" si="91"/>
        <v>1.05</v>
      </c>
      <c r="N835" s="37" t="s">
        <v>25</v>
      </c>
      <c r="O835" s="37" t="s">
        <v>25</v>
      </c>
      <c r="P835" s="37">
        <v>0</v>
      </c>
      <c r="Q835" s="37">
        <v>0</v>
      </c>
      <c r="R835" s="37" t="s">
        <v>1829</v>
      </c>
      <c r="S835" s="37"/>
    </row>
    <row r="836" spans="1:19" x14ac:dyDescent="0.3">
      <c r="A836" s="37">
        <v>368</v>
      </c>
      <c r="B836" s="37" t="s">
        <v>1826</v>
      </c>
      <c r="C836" s="37" t="s">
        <v>1827</v>
      </c>
      <c r="D836" s="37" t="s">
        <v>39</v>
      </c>
      <c r="E836" s="37" t="s">
        <v>22</v>
      </c>
      <c r="F836" s="42">
        <v>45473</v>
      </c>
      <c r="G836" s="37">
        <v>2024</v>
      </c>
      <c r="H836" s="37" t="s">
        <v>23</v>
      </c>
      <c r="I836" s="39" t="s">
        <v>34</v>
      </c>
      <c r="J836" s="37">
        <v>90</v>
      </c>
      <c r="K836" s="37">
        <v>94.5</v>
      </c>
      <c r="L836" s="65">
        <f t="shared" si="90"/>
        <v>1.05</v>
      </c>
      <c r="M836" s="65">
        <f t="shared" si="91"/>
        <v>1.05</v>
      </c>
      <c r="N836" s="37" t="s">
        <v>25</v>
      </c>
      <c r="O836" s="37" t="s">
        <v>25</v>
      </c>
      <c r="P836" s="37">
        <v>0</v>
      </c>
      <c r="Q836" s="37">
        <v>0</v>
      </c>
      <c r="R836" s="37" t="s">
        <v>1831</v>
      </c>
      <c r="S836" s="37"/>
    </row>
    <row r="837" spans="1:19" x14ac:dyDescent="0.3">
      <c r="A837" s="37">
        <v>368</v>
      </c>
      <c r="B837" s="37" t="s">
        <v>1826</v>
      </c>
      <c r="C837" s="37" t="s">
        <v>1827</v>
      </c>
      <c r="D837" s="37" t="s">
        <v>39</v>
      </c>
      <c r="E837" s="37" t="s">
        <v>22</v>
      </c>
      <c r="F837" s="42">
        <v>45657</v>
      </c>
      <c r="G837" s="37">
        <v>2024</v>
      </c>
      <c r="H837" s="37" t="s">
        <v>27</v>
      </c>
      <c r="I837" s="39" t="s">
        <v>36</v>
      </c>
      <c r="J837" s="37">
        <v>90</v>
      </c>
      <c r="K837" s="37">
        <v>94</v>
      </c>
      <c r="L837" s="65">
        <f t="shared" si="90"/>
        <v>1.0444444444444445</v>
      </c>
      <c r="M837" s="65">
        <f t="shared" si="91"/>
        <v>1.0444444444444445</v>
      </c>
      <c r="N837" s="37" t="s">
        <v>25</v>
      </c>
      <c r="O837" s="37" t="s">
        <v>25</v>
      </c>
      <c r="P837" s="37">
        <v>0</v>
      </c>
      <c r="Q837" s="37">
        <v>0</v>
      </c>
      <c r="R837" s="37" t="s">
        <v>1833</v>
      </c>
      <c r="S837" s="37"/>
    </row>
    <row r="838" spans="1:19" x14ac:dyDescent="0.3">
      <c r="A838" s="37">
        <v>369</v>
      </c>
      <c r="B838" s="37" t="s">
        <v>1835</v>
      </c>
      <c r="C838" s="37" t="s">
        <v>1796</v>
      </c>
      <c r="D838" s="37" t="s">
        <v>21</v>
      </c>
      <c r="E838" s="37" t="s">
        <v>22</v>
      </c>
      <c r="F838" s="38">
        <v>45107</v>
      </c>
      <c r="G838" s="40">
        <v>2023</v>
      </c>
      <c r="H838" s="39" t="s">
        <v>23</v>
      </c>
      <c r="I838" s="39" t="s">
        <v>30</v>
      </c>
      <c r="J838" s="37">
        <v>0</v>
      </c>
      <c r="K838" s="37">
        <v>78</v>
      </c>
      <c r="L838" s="65" t="str">
        <f t="shared" si="90"/>
        <v/>
      </c>
      <c r="M838" s="65" t="str">
        <f t="shared" si="91"/>
        <v/>
      </c>
      <c r="N838" s="37" t="s">
        <v>670</v>
      </c>
      <c r="O838" s="37" t="s">
        <v>203</v>
      </c>
      <c r="P838" s="37">
        <v>0</v>
      </c>
      <c r="Q838" s="37">
        <v>0</v>
      </c>
      <c r="R838" s="37" t="s">
        <v>1836</v>
      </c>
      <c r="S838" s="37"/>
    </row>
    <row r="839" spans="1:19" x14ac:dyDescent="0.3">
      <c r="A839" s="41">
        <v>369</v>
      </c>
      <c r="B839" s="37" t="s">
        <v>1835</v>
      </c>
      <c r="C839" s="37" t="s">
        <v>1796</v>
      </c>
      <c r="D839" s="37" t="s">
        <v>21</v>
      </c>
      <c r="E839" s="37" t="s">
        <v>22</v>
      </c>
      <c r="F839" s="42">
        <v>45291</v>
      </c>
      <c r="G839" s="37">
        <v>2023</v>
      </c>
      <c r="H839" s="37" t="s">
        <v>27</v>
      </c>
      <c r="I839" s="39" t="s">
        <v>32</v>
      </c>
      <c r="J839" s="37">
        <v>0</v>
      </c>
      <c r="K839" s="37">
        <v>96</v>
      </c>
      <c r="L839" s="65" t="str">
        <f t="shared" ref="L839:L851" si="92">IFERROR(IF(OR(J839=0,K839=""),"",IF(E839="Positivo",MIN(MAX(K839/J839,0),1.3),MIN(MAX(J839/K839,0),1.3))),"")</f>
        <v/>
      </c>
      <c r="M839" s="65" t="str">
        <f t="shared" ref="M839:M851" si="93">IFERROR(IF(OR(J839=0,K839=""),"",IF(E839="Positivo",MAX(K839/J839,0),MAX(J839/K839,0))),"")</f>
        <v/>
      </c>
      <c r="N839" s="37" t="s">
        <v>670</v>
      </c>
      <c r="O839" s="37" t="s">
        <v>203</v>
      </c>
      <c r="P839" s="37">
        <v>0</v>
      </c>
      <c r="Q839" s="37">
        <v>0</v>
      </c>
      <c r="R839" s="37" t="s">
        <v>1837</v>
      </c>
      <c r="S839" s="37"/>
    </row>
    <row r="840" spans="1:19" x14ac:dyDescent="0.3">
      <c r="A840" s="37">
        <v>369</v>
      </c>
      <c r="B840" s="37" t="s">
        <v>1835</v>
      </c>
      <c r="C840" s="37" t="s">
        <v>1796</v>
      </c>
      <c r="D840" s="37" t="s">
        <v>21</v>
      </c>
      <c r="E840" s="37" t="s">
        <v>22</v>
      </c>
      <c r="F840" s="38">
        <v>45473</v>
      </c>
      <c r="G840" s="40">
        <v>2024</v>
      </c>
      <c r="H840" s="39" t="s">
        <v>23</v>
      </c>
      <c r="I840" s="39" t="s">
        <v>34</v>
      </c>
      <c r="J840" s="37">
        <v>100</v>
      </c>
      <c r="K840" s="37">
        <v>76.25</v>
      </c>
      <c r="L840" s="65">
        <f t="shared" si="92"/>
        <v>0.76249999999999996</v>
      </c>
      <c r="M840" s="65">
        <f t="shared" si="93"/>
        <v>0.76249999999999996</v>
      </c>
      <c r="N840" s="37" t="s">
        <v>203</v>
      </c>
      <c r="O840" s="37" t="s">
        <v>203</v>
      </c>
      <c r="P840" s="37">
        <v>0</v>
      </c>
      <c r="Q840" s="37">
        <v>0</v>
      </c>
      <c r="R840" s="37" t="s">
        <v>1838</v>
      </c>
      <c r="S840" s="37"/>
    </row>
    <row r="841" spans="1:19" x14ac:dyDescent="0.3">
      <c r="A841" s="37">
        <v>369</v>
      </c>
      <c r="B841" s="37" t="s">
        <v>1835</v>
      </c>
      <c r="C841" s="37" t="s">
        <v>1796</v>
      </c>
      <c r="D841" s="37" t="s">
        <v>21</v>
      </c>
      <c r="E841" s="37" t="s">
        <v>22</v>
      </c>
      <c r="F841" s="42">
        <v>45657</v>
      </c>
      <c r="G841" s="40">
        <v>2024</v>
      </c>
      <c r="H841" s="39" t="s">
        <v>27</v>
      </c>
      <c r="I841" s="39" t="s">
        <v>36</v>
      </c>
      <c r="J841" s="37">
        <v>100</v>
      </c>
      <c r="K841" s="37">
        <v>71.3</v>
      </c>
      <c r="L841" s="65">
        <f t="shared" si="92"/>
        <v>0.71299999999999997</v>
      </c>
      <c r="M841" s="65">
        <f t="shared" si="93"/>
        <v>0.71299999999999997</v>
      </c>
      <c r="N841" s="37" t="s">
        <v>203</v>
      </c>
      <c r="O841" s="37" t="s">
        <v>203</v>
      </c>
      <c r="P841" s="37">
        <v>0</v>
      </c>
      <c r="Q841" s="37">
        <v>0</v>
      </c>
      <c r="R841" s="37" t="s">
        <v>1839</v>
      </c>
      <c r="S841" s="37"/>
    </row>
    <row r="842" spans="1:19" x14ac:dyDescent="0.3">
      <c r="A842" s="45">
        <v>370</v>
      </c>
      <c r="B842" s="37" t="s">
        <v>1842</v>
      </c>
      <c r="C842" s="37" t="s">
        <v>1796</v>
      </c>
      <c r="D842" s="37" t="s">
        <v>21</v>
      </c>
      <c r="E842" s="37" t="s">
        <v>22</v>
      </c>
      <c r="F842" s="42">
        <v>45107</v>
      </c>
      <c r="G842" s="37">
        <v>2023</v>
      </c>
      <c r="H842" s="37" t="s">
        <v>23</v>
      </c>
      <c r="I842" s="39" t="s">
        <v>30</v>
      </c>
      <c r="J842" s="37">
        <v>0</v>
      </c>
      <c r="K842" s="37">
        <v>0</v>
      </c>
      <c r="L842" s="74" t="str">
        <f t="shared" si="92"/>
        <v/>
      </c>
      <c r="M842" s="65" t="str">
        <f t="shared" si="93"/>
        <v/>
      </c>
      <c r="N842" s="37"/>
      <c r="O842" s="37"/>
      <c r="P842" s="37">
        <v>0</v>
      </c>
      <c r="Q842" s="37">
        <v>0</v>
      </c>
      <c r="R842" s="37" t="s">
        <v>1843</v>
      </c>
      <c r="S842" s="37"/>
    </row>
    <row r="843" spans="1:19" x14ac:dyDescent="0.3">
      <c r="A843" s="41">
        <v>370</v>
      </c>
      <c r="B843" s="37" t="s">
        <v>1842</v>
      </c>
      <c r="C843" s="37" t="s">
        <v>1796</v>
      </c>
      <c r="D843" s="37" t="s">
        <v>21</v>
      </c>
      <c r="E843" s="37" t="s">
        <v>22</v>
      </c>
      <c r="F843" s="42">
        <v>45291</v>
      </c>
      <c r="G843" s="37">
        <v>2023</v>
      </c>
      <c r="H843" s="37" t="s">
        <v>27</v>
      </c>
      <c r="I843" s="39" t="s">
        <v>32</v>
      </c>
      <c r="J843" s="37">
        <v>0</v>
      </c>
      <c r="K843" s="37">
        <v>0</v>
      </c>
      <c r="L843" s="74" t="str">
        <f t="shared" si="92"/>
        <v/>
      </c>
      <c r="M843" s="65" t="str">
        <f t="shared" si="93"/>
        <v/>
      </c>
      <c r="N843" s="37"/>
      <c r="O843" s="37"/>
      <c r="P843" s="37">
        <v>0</v>
      </c>
      <c r="Q843" s="37">
        <v>0</v>
      </c>
      <c r="R843" s="37" t="s">
        <v>3531</v>
      </c>
      <c r="S843" s="37"/>
    </row>
    <row r="844" spans="1:19" x14ac:dyDescent="0.3">
      <c r="A844" s="45">
        <v>371</v>
      </c>
      <c r="B844" s="37" t="s">
        <v>1844</v>
      </c>
      <c r="C844" s="37" t="s">
        <v>1796</v>
      </c>
      <c r="D844" s="37" t="s">
        <v>21</v>
      </c>
      <c r="E844" s="37" t="s">
        <v>22</v>
      </c>
      <c r="F844" s="42">
        <v>45107</v>
      </c>
      <c r="G844" s="37">
        <v>2023</v>
      </c>
      <c r="H844" s="37" t="s">
        <v>23</v>
      </c>
      <c r="I844" s="39" t="s">
        <v>30</v>
      </c>
      <c r="J844" s="56">
        <v>2750000000</v>
      </c>
      <c r="K844" s="56">
        <v>4331325417</v>
      </c>
      <c r="L844" s="74">
        <f t="shared" si="92"/>
        <v>1.3</v>
      </c>
      <c r="M844" s="65">
        <f t="shared" si="93"/>
        <v>1.5750274243636364</v>
      </c>
      <c r="N844" s="37" t="s">
        <v>264</v>
      </c>
      <c r="O844" s="37" t="s">
        <v>264</v>
      </c>
      <c r="P844" s="37">
        <v>0</v>
      </c>
      <c r="Q844" s="37">
        <v>0</v>
      </c>
      <c r="R844" s="37" t="s">
        <v>1845</v>
      </c>
      <c r="S844" s="37"/>
    </row>
    <row r="845" spans="1:19" x14ac:dyDescent="0.3">
      <c r="A845" s="41">
        <v>371</v>
      </c>
      <c r="B845" s="37" t="s">
        <v>1844</v>
      </c>
      <c r="C845" s="37" t="s">
        <v>1796</v>
      </c>
      <c r="D845" s="37" t="s">
        <v>21</v>
      </c>
      <c r="E845" s="37" t="s">
        <v>22</v>
      </c>
      <c r="F845" s="42">
        <v>45291</v>
      </c>
      <c r="G845" s="37">
        <v>2023</v>
      </c>
      <c r="H845" s="37" t="s">
        <v>27</v>
      </c>
      <c r="I845" s="39" t="s">
        <v>32</v>
      </c>
      <c r="J845" s="37">
        <v>5500000000</v>
      </c>
      <c r="K845" s="56">
        <v>9518852142</v>
      </c>
      <c r="L845" s="74">
        <f t="shared" si="92"/>
        <v>1.3</v>
      </c>
      <c r="M845" s="65">
        <f t="shared" si="93"/>
        <v>1.7307003894545454</v>
      </c>
      <c r="N845" s="37" t="s">
        <v>264</v>
      </c>
      <c r="O845" s="37" t="s">
        <v>264</v>
      </c>
      <c r="P845" s="37">
        <v>0</v>
      </c>
      <c r="Q845" s="37">
        <v>0</v>
      </c>
      <c r="R845" s="37" t="s">
        <v>1846</v>
      </c>
      <c r="S845" s="37"/>
    </row>
    <row r="846" spans="1:19" x14ac:dyDescent="0.3">
      <c r="A846" s="37">
        <v>371</v>
      </c>
      <c r="B846" s="37" t="s">
        <v>1844</v>
      </c>
      <c r="C846" s="37" t="s">
        <v>1796</v>
      </c>
      <c r="D846" s="37" t="s">
        <v>21</v>
      </c>
      <c r="E846" s="37" t="s">
        <v>22</v>
      </c>
      <c r="F846" s="42">
        <v>45473</v>
      </c>
      <c r="G846" s="37">
        <v>2024</v>
      </c>
      <c r="H846" s="37" t="s">
        <v>23</v>
      </c>
      <c r="I846" s="39" t="s">
        <v>34</v>
      </c>
      <c r="J846" s="60">
        <v>620023081</v>
      </c>
      <c r="K846" s="60">
        <v>928306953</v>
      </c>
      <c r="L846" s="65">
        <f t="shared" si="92"/>
        <v>1.3</v>
      </c>
      <c r="M846" s="65">
        <f t="shared" si="93"/>
        <v>1.4972135416358798</v>
      </c>
      <c r="N846" s="37" t="s">
        <v>264</v>
      </c>
      <c r="O846" s="37" t="s">
        <v>264</v>
      </c>
      <c r="P846" s="37">
        <v>0</v>
      </c>
      <c r="Q846" s="37">
        <v>0</v>
      </c>
      <c r="R846" s="37" t="s">
        <v>1847</v>
      </c>
      <c r="S846" s="37"/>
    </row>
    <row r="847" spans="1:19" x14ac:dyDescent="0.3">
      <c r="A847" s="37">
        <v>371</v>
      </c>
      <c r="B847" s="37" t="s">
        <v>1844</v>
      </c>
      <c r="C847" s="37" t="s">
        <v>1796</v>
      </c>
      <c r="D847" s="37" t="s">
        <v>21</v>
      </c>
      <c r="E847" s="37" t="s">
        <v>22</v>
      </c>
      <c r="F847" s="42">
        <v>45657</v>
      </c>
      <c r="G847" s="37">
        <v>2024</v>
      </c>
      <c r="H847" s="37" t="s">
        <v>27</v>
      </c>
      <c r="I847" s="39" t="s">
        <v>36</v>
      </c>
      <c r="J847" s="37">
        <v>1151471437</v>
      </c>
      <c r="K847" s="37">
        <v>1116821067</v>
      </c>
      <c r="L847" s="65">
        <f t="shared" si="92"/>
        <v>0.96990774683019776</v>
      </c>
      <c r="M847" s="65">
        <f t="shared" si="93"/>
        <v>0.96990774683019776</v>
      </c>
      <c r="N847" s="37" t="s">
        <v>264</v>
      </c>
      <c r="O847" s="37" t="s">
        <v>264</v>
      </c>
      <c r="P847" s="37">
        <v>0</v>
      </c>
      <c r="Q847" s="37">
        <v>0</v>
      </c>
      <c r="R847" s="37" t="s">
        <v>1848</v>
      </c>
      <c r="S847" s="37"/>
    </row>
    <row r="848" spans="1:19" x14ac:dyDescent="0.3">
      <c r="A848" s="45">
        <v>372</v>
      </c>
      <c r="B848" s="37" t="s">
        <v>1849</v>
      </c>
      <c r="C848" s="37" t="s">
        <v>1827</v>
      </c>
      <c r="D848" s="37" t="s">
        <v>39</v>
      </c>
      <c r="E848" s="37" t="s">
        <v>22</v>
      </c>
      <c r="F848" s="42">
        <v>45199</v>
      </c>
      <c r="G848" s="37">
        <v>2023</v>
      </c>
      <c r="H848" s="37" t="s">
        <v>43</v>
      </c>
      <c r="I848" s="39" t="s">
        <v>32</v>
      </c>
      <c r="J848" s="37">
        <v>87</v>
      </c>
      <c r="K848" s="37">
        <v>95.5</v>
      </c>
      <c r="L848" s="74">
        <f t="shared" si="92"/>
        <v>1.0977011494252873</v>
      </c>
      <c r="M848" s="65">
        <f t="shared" si="93"/>
        <v>1.0977011494252873</v>
      </c>
      <c r="N848" s="37" t="s">
        <v>25</v>
      </c>
      <c r="O848" s="37" t="s">
        <v>25</v>
      </c>
      <c r="P848" s="37">
        <v>0</v>
      </c>
      <c r="Q848" s="37">
        <v>0</v>
      </c>
      <c r="R848" s="37" t="s">
        <v>1850</v>
      </c>
      <c r="S848" s="37"/>
    </row>
    <row r="849" spans="1:19" x14ac:dyDescent="0.3">
      <c r="A849" s="41">
        <v>372</v>
      </c>
      <c r="B849" s="37" t="s">
        <v>1849</v>
      </c>
      <c r="C849" s="37" t="s">
        <v>1827</v>
      </c>
      <c r="D849" s="37" t="s">
        <v>39</v>
      </c>
      <c r="E849" s="37" t="s">
        <v>22</v>
      </c>
      <c r="F849" s="42">
        <v>45291</v>
      </c>
      <c r="G849" s="37">
        <v>2023</v>
      </c>
      <c r="H849" s="37" t="s">
        <v>27</v>
      </c>
      <c r="I849" s="39" t="s">
        <v>32</v>
      </c>
      <c r="J849" s="37">
        <v>87</v>
      </c>
      <c r="K849" s="37">
        <v>95.5</v>
      </c>
      <c r="L849" s="74">
        <f t="shared" si="92"/>
        <v>1.0977011494252873</v>
      </c>
      <c r="M849" s="65">
        <f t="shared" si="93"/>
        <v>1.0977011494252873</v>
      </c>
      <c r="N849" s="37" t="s">
        <v>25</v>
      </c>
      <c r="O849" s="37" t="s">
        <v>25</v>
      </c>
      <c r="P849" s="37">
        <v>0</v>
      </c>
      <c r="Q849" s="37">
        <v>0</v>
      </c>
      <c r="R849" s="37" t="s">
        <v>1851</v>
      </c>
      <c r="S849" s="37"/>
    </row>
    <row r="850" spans="1:19" x14ac:dyDescent="0.3">
      <c r="A850" s="37">
        <v>372</v>
      </c>
      <c r="B850" s="37" t="s">
        <v>1849</v>
      </c>
      <c r="C850" s="37" t="s">
        <v>1827</v>
      </c>
      <c r="D850" s="37" t="s">
        <v>39</v>
      </c>
      <c r="E850" s="37" t="s">
        <v>22</v>
      </c>
      <c r="F850" s="42">
        <v>45473</v>
      </c>
      <c r="G850" s="37">
        <v>2024</v>
      </c>
      <c r="H850" s="37" t="s">
        <v>23</v>
      </c>
      <c r="I850" s="39" t="s">
        <v>34</v>
      </c>
      <c r="J850" s="37">
        <v>87</v>
      </c>
      <c r="K850" s="37">
        <v>91.5</v>
      </c>
      <c r="L850" s="65">
        <f t="shared" si="92"/>
        <v>1.0517241379310345</v>
      </c>
      <c r="M850" s="65">
        <f t="shared" si="93"/>
        <v>1.0517241379310345</v>
      </c>
      <c r="N850" s="37" t="s">
        <v>25</v>
      </c>
      <c r="O850" s="37" t="s">
        <v>25</v>
      </c>
      <c r="P850" s="37">
        <v>0</v>
      </c>
      <c r="Q850" s="37">
        <v>0</v>
      </c>
      <c r="R850" s="37" t="s">
        <v>1853</v>
      </c>
      <c r="S850" s="37"/>
    </row>
    <row r="851" spans="1:19" x14ac:dyDescent="0.3">
      <c r="A851" s="37">
        <v>372</v>
      </c>
      <c r="B851" s="37" t="s">
        <v>1849</v>
      </c>
      <c r="C851" s="37" t="s">
        <v>1827</v>
      </c>
      <c r="D851" s="37" t="s">
        <v>39</v>
      </c>
      <c r="E851" s="37" t="s">
        <v>22</v>
      </c>
      <c r="F851" s="42">
        <v>45657</v>
      </c>
      <c r="G851" s="37">
        <v>2024</v>
      </c>
      <c r="H851" s="37" t="s">
        <v>27</v>
      </c>
      <c r="I851" s="39" t="s">
        <v>36</v>
      </c>
      <c r="J851" s="37">
        <v>87</v>
      </c>
      <c r="K851" s="37">
        <v>92</v>
      </c>
      <c r="L851" s="65">
        <f t="shared" si="92"/>
        <v>1.0574712643678161</v>
      </c>
      <c r="M851" s="65">
        <f t="shared" si="93"/>
        <v>1.0574712643678161</v>
      </c>
      <c r="N851" s="37" t="s">
        <v>25</v>
      </c>
      <c r="O851" s="37" t="s">
        <v>25</v>
      </c>
      <c r="P851" s="37">
        <v>0</v>
      </c>
      <c r="Q851" s="37">
        <v>0</v>
      </c>
      <c r="R851" s="37" t="s">
        <v>1855</v>
      </c>
      <c r="S851" s="37"/>
    </row>
    <row r="852" spans="1:19" x14ac:dyDescent="0.3">
      <c r="A852" s="72">
        <v>373</v>
      </c>
      <c r="B852" s="37" t="s">
        <v>1856</v>
      </c>
      <c r="C852" s="37" t="s">
        <v>1263</v>
      </c>
      <c r="D852" s="37" t="s">
        <v>39</v>
      </c>
      <c r="E852" s="37" t="s">
        <v>22</v>
      </c>
      <c r="F852" s="42">
        <v>45016</v>
      </c>
      <c r="G852" s="37">
        <v>2023</v>
      </c>
      <c r="H852" s="37" t="s">
        <v>40</v>
      </c>
      <c r="I852" s="39" t="s">
        <v>30</v>
      </c>
      <c r="J852" s="37">
        <v>100</v>
      </c>
      <c r="K852" s="37">
        <v>53.585833333335003</v>
      </c>
      <c r="L852" s="74">
        <f t="shared" ref="L852:L857" si="94">IFERROR(IF(OR(J852=0,K852=""),"",IF(E852="Positivo",MIN(MAX(K852/J852,0),1),MIN(MAX(J852/K852,0),1))),"")</f>
        <v>0.53585833333334998</v>
      </c>
      <c r="M852" s="65">
        <f t="shared" ref="M852:M857" si="95">IFERROR(IF(OR(J852=0,K852=""),"",IF(E852="Positivo",MIN(MAX(K852/J852,0),1),MIN(MAX(J852/K852,0),1))),"")</f>
        <v>0.53585833333334998</v>
      </c>
      <c r="N852" s="37" t="s">
        <v>25</v>
      </c>
      <c r="O852" s="37" t="s">
        <v>25</v>
      </c>
      <c r="P852" s="37">
        <v>0</v>
      </c>
      <c r="Q852" s="37">
        <v>0</v>
      </c>
      <c r="R852" s="37" t="s">
        <v>1857</v>
      </c>
      <c r="S852" s="37"/>
    </row>
    <row r="853" spans="1:19" x14ac:dyDescent="0.3">
      <c r="A853" s="41">
        <v>373</v>
      </c>
      <c r="B853" s="37" t="s">
        <v>1856</v>
      </c>
      <c r="C853" s="37" t="s">
        <v>1263</v>
      </c>
      <c r="D853" s="37" t="s">
        <v>39</v>
      </c>
      <c r="E853" s="37" t="s">
        <v>22</v>
      </c>
      <c r="F853" s="42">
        <v>45107</v>
      </c>
      <c r="G853" s="37">
        <v>2023</v>
      </c>
      <c r="H853" s="37" t="s">
        <v>23</v>
      </c>
      <c r="I853" s="39" t="s">
        <v>30</v>
      </c>
      <c r="J853" s="37">
        <v>100</v>
      </c>
      <c r="K853" s="37">
        <v>53.585833333335003</v>
      </c>
      <c r="L853" s="74">
        <f t="shared" si="94"/>
        <v>0.53585833333334998</v>
      </c>
      <c r="M853" s="65">
        <f t="shared" si="95"/>
        <v>0.53585833333334998</v>
      </c>
      <c r="N853" s="37" t="s">
        <v>25</v>
      </c>
      <c r="O853" s="37" t="s">
        <v>25</v>
      </c>
      <c r="P853" s="37">
        <v>0</v>
      </c>
      <c r="Q853" s="37">
        <v>0</v>
      </c>
      <c r="R853" s="37" t="s">
        <v>1858</v>
      </c>
      <c r="S853" s="37"/>
    </row>
    <row r="854" spans="1:19" x14ac:dyDescent="0.3">
      <c r="A854" s="45">
        <v>373</v>
      </c>
      <c r="B854" s="37" t="s">
        <v>1856</v>
      </c>
      <c r="C854" s="37" t="s">
        <v>1263</v>
      </c>
      <c r="D854" s="37" t="s">
        <v>39</v>
      </c>
      <c r="E854" s="37" t="s">
        <v>22</v>
      </c>
      <c r="F854" s="42">
        <v>45199</v>
      </c>
      <c r="G854" s="37">
        <v>2023</v>
      </c>
      <c r="H854" s="37" t="s">
        <v>43</v>
      </c>
      <c r="I854" s="39" t="s">
        <v>32</v>
      </c>
      <c r="J854" s="37">
        <v>100</v>
      </c>
      <c r="K854" s="37">
        <v>94.337500000000006</v>
      </c>
      <c r="L854" s="74">
        <f t="shared" si="94"/>
        <v>0.94337500000000007</v>
      </c>
      <c r="M854" s="65">
        <f t="shared" si="95"/>
        <v>0.94337500000000007</v>
      </c>
      <c r="N854" s="37" t="s">
        <v>25</v>
      </c>
      <c r="O854" s="37" t="s">
        <v>25</v>
      </c>
      <c r="P854" s="37">
        <v>0</v>
      </c>
      <c r="Q854" s="37">
        <v>0</v>
      </c>
      <c r="R854" s="37" t="s">
        <v>1859</v>
      </c>
      <c r="S854" s="37"/>
    </row>
    <row r="855" spans="1:19" x14ac:dyDescent="0.3">
      <c r="A855" s="41">
        <v>373</v>
      </c>
      <c r="B855" s="37" t="s">
        <v>1856</v>
      </c>
      <c r="C855" s="37" t="s">
        <v>1263</v>
      </c>
      <c r="D855" s="37" t="s">
        <v>39</v>
      </c>
      <c r="E855" s="37" t="s">
        <v>22</v>
      </c>
      <c r="F855" s="42">
        <v>45291</v>
      </c>
      <c r="G855" s="37">
        <v>2023</v>
      </c>
      <c r="H855" s="37" t="s">
        <v>27</v>
      </c>
      <c r="I855" s="39" t="s">
        <v>32</v>
      </c>
      <c r="J855" s="37">
        <v>100</v>
      </c>
      <c r="K855" s="37">
        <v>94.337500000000006</v>
      </c>
      <c r="L855" s="74">
        <f t="shared" si="94"/>
        <v>0.94337500000000007</v>
      </c>
      <c r="M855" s="65">
        <f t="shared" si="95"/>
        <v>0.94337500000000007</v>
      </c>
      <c r="N855" s="37" t="s">
        <v>25</v>
      </c>
      <c r="O855" s="37" t="s">
        <v>25</v>
      </c>
      <c r="P855" s="37">
        <v>0</v>
      </c>
      <c r="Q855" s="37">
        <v>0</v>
      </c>
      <c r="R855" s="37" t="s">
        <v>1860</v>
      </c>
      <c r="S855" s="37"/>
    </row>
    <row r="856" spans="1:19" x14ac:dyDescent="0.3">
      <c r="A856" s="37">
        <v>373</v>
      </c>
      <c r="B856" s="37" t="s">
        <v>1856</v>
      </c>
      <c r="C856" s="37" t="s">
        <v>1263</v>
      </c>
      <c r="D856" s="37" t="s">
        <v>39</v>
      </c>
      <c r="E856" s="37" t="s">
        <v>22</v>
      </c>
      <c r="F856" s="42">
        <v>45473</v>
      </c>
      <c r="G856" s="37">
        <v>2024</v>
      </c>
      <c r="H856" s="37" t="s">
        <v>23</v>
      </c>
      <c r="I856" s="39" t="s">
        <v>34</v>
      </c>
      <c r="J856" s="37">
        <v>100</v>
      </c>
      <c r="K856" s="37">
        <v>97.91</v>
      </c>
      <c r="L856" s="65">
        <f t="shared" si="94"/>
        <v>0.97909999999999997</v>
      </c>
      <c r="M856" s="65">
        <f t="shared" si="95"/>
        <v>0.97909999999999997</v>
      </c>
      <c r="N856" s="37"/>
      <c r="O856" s="37"/>
      <c r="P856" s="37">
        <v>0</v>
      </c>
      <c r="Q856" s="37">
        <v>0</v>
      </c>
      <c r="R856" s="37" t="s">
        <v>1862</v>
      </c>
      <c r="S856" s="37"/>
    </row>
    <row r="857" spans="1:19" x14ac:dyDescent="0.3">
      <c r="A857" s="37">
        <v>373</v>
      </c>
      <c r="B857" s="37" t="s">
        <v>1856</v>
      </c>
      <c r="C857" s="37" t="s">
        <v>1263</v>
      </c>
      <c r="D857" s="37" t="s">
        <v>39</v>
      </c>
      <c r="E857" s="37" t="s">
        <v>22</v>
      </c>
      <c r="F857" s="42">
        <v>45657</v>
      </c>
      <c r="G857" s="37">
        <v>2024</v>
      </c>
      <c r="H857" s="37" t="s">
        <v>27</v>
      </c>
      <c r="I857" s="39" t="s">
        <v>36</v>
      </c>
      <c r="J857" s="37">
        <v>100</v>
      </c>
      <c r="K857" s="37">
        <v>99.14</v>
      </c>
      <c r="L857" s="65">
        <f t="shared" si="94"/>
        <v>0.99140000000000006</v>
      </c>
      <c r="M857" s="65">
        <f t="shared" si="95"/>
        <v>0.99140000000000006</v>
      </c>
      <c r="N857" s="37"/>
      <c r="O857" s="37"/>
      <c r="P857" s="37">
        <v>0</v>
      </c>
      <c r="Q857" s="37">
        <v>0</v>
      </c>
      <c r="R857" s="37" t="s">
        <v>1864</v>
      </c>
      <c r="S857" s="37"/>
    </row>
    <row r="858" spans="1:19" x14ac:dyDescent="0.3">
      <c r="A858" s="41">
        <v>374</v>
      </c>
      <c r="B858" s="37" t="s">
        <v>1869</v>
      </c>
      <c r="C858" s="37" t="s">
        <v>3529</v>
      </c>
      <c r="D858" s="37" t="s">
        <v>21</v>
      </c>
      <c r="E858" s="37" t="s">
        <v>22</v>
      </c>
      <c r="F858" s="42">
        <v>45291</v>
      </c>
      <c r="G858" s="37">
        <v>2023</v>
      </c>
      <c r="H858" s="37" t="s">
        <v>27</v>
      </c>
      <c r="I858" s="39" t="s">
        <v>32</v>
      </c>
      <c r="J858" s="37">
        <v>100</v>
      </c>
      <c r="K858" s="37">
        <v>100</v>
      </c>
      <c r="L858" s="74">
        <f t="shared" ref="L858:L880" si="96">IFERROR(IF(OR(J858=0,K858=""),"",IF(E858="Positivo",MIN(MAX(K858/J858,0),1.3),MIN(MAX(J858/K858,0),1.3))),"")</f>
        <v>1</v>
      </c>
      <c r="M858" s="65">
        <f t="shared" ref="M858:M880" si="97">IFERROR(IF(OR(J858=0,K858=""),"",IF(E858="Positivo",MAX(K858/J858,0),MAX(J858/K858,0))),"")</f>
        <v>1</v>
      </c>
      <c r="N858" s="37"/>
      <c r="O858" s="37"/>
      <c r="P858" s="37">
        <v>0</v>
      </c>
      <c r="Q858" s="37">
        <v>0</v>
      </c>
      <c r="R858" s="37" t="s">
        <v>1870</v>
      </c>
      <c r="S858" s="37"/>
    </row>
    <row r="859" spans="1:19" x14ac:dyDescent="0.3">
      <c r="A859" s="37">
        <v>375</v>
      </c>
      <c r="B859" s="37" t="s">
        <v>1871</v>
      </c>
      <c r="C859" s="37" t="s">
        <v>1801</v>
      </c>
      <c r="D859" s="37" t="s">
        <v>21</v>
      </c>
      <c r="E859" s="37" t="s">
        <v>22</v>
      </c>
      <c r="F859" s="42">
        <v>45107</v>
      </c>
      <c r="G859" s="37">
        <v>2023</v>
      </c>
      <c r="H859" s="37" t="s">
        <v>23</v>
      </c>
      <c r="I859" s="37" t="s">
        <v>30</v>
      </c>
      <c r="J859" s="37">
        <v>100</v>
      </c>
      <c r="K859" s="37">
        <v>0</v>
      </c>
      <c r="L859" s="65">
        <f t="shared" si="96"/>
        <v>0</v>
      </c>
      <c r="M859" s="65">
        <f t="shared" si="97"/>
        <v>0</v>
      </c>
      <c r="N859" s="37" t="s">
        <v>25</v>
      </c>
      <c r="O859" s="37" t="s">
        <v>25</v>
      </c>
      <c r="P859" s="37">
        <v>0</v>
      </c>
      <c r="Q859" s="37">
        <v>0</v>
      </c>
      <c r="R859" s="37" t="s">
        <v>1872</v>
      </c>
      <c r="S859" s="37"/>
    </row>
    <row r="860" spans="1:19" x14ac:dyDescent="0.3">
      <c r="A860" s="41">
        <v>375</v>
      </c>
      <c r="B860" s="37" t="s">
        <v>1871</v>
      </c>
      <c r="C860" s="37" t="s">
        <v>3528</v>
      </c>
      <c r="D860" s="37" t="s">
        <v>21</v>
      </c>
      <c r="E860" s="37" t="s">
        <v>22</v>
      </c>
      <c r="F860" s="42">
        <v>45291</v>
      </c>
      <c r="G860" s="37">
        <v>2023</v>
      </c>
      <c r="H860" s="37" t="s">
        <v>27</v>
      </c>
      <c r="I860" s="39" t="s">
        <v>32</v>
      </c>
      <c r="J860" s="37">
        <v>100</v>
      </c>
      <c r="K860" s="37">
        <v>100</v>
      </c>
      <c r="L860" s="74">
        <f t="shared" si="96"/>
        <v>1</v>
      </c>
      <c r="M860" s="65">
        <f t="shared" si="97"/>
        <v>1</v>
      </c>
      <c r="N860" s="37" t="s">
        <v>25</v>
      </c>
      <c r="O860" s="37" t="s">
        <v>25</v>
      </c>
      <c r="P860" s="37">
        <v>0</v>
      </c>
      <c r="Q860" s="37">
        <v>0</v>
      </c>
      <c r="R860" s="37" t="s">
        <v>1873</v>
      </c>
      <c r="S860" s="37"/>
    </row>
    <row r="861" spans="1:19" x14ac:dyDescent="0.3">
      <c r="A861" s="37">
        <v>375</v>
      </c>
      <c r="B861" s="37" t="s">
        <v>1871</v>
      </c>
      <c r="C861" s="37" t="s">
        <v>1801</v>
      </c>
      <c r="D861" s="37" t="s">
        <v>21</v>
      </c>
      <c r="E861" s="37" t="s">
        <v>22</v>
      </c>
      <c r="F861" s="42">
        <v>45473</v>
      </c>
      <c r="G861" s="37">
        <v>2024</v>
      </c>
      <c r="H861" s="37" t="s">
        <v>23</v>
      </c>
      <c r="I861" s="39" t="s">
        <v>34</v>
      </c>
      <c r="J861" s="37">
        <v>100</v>
      </c>
      <c r="K861" s="37">
        <v>100</v>
      </c>
      <c r="L861" s="65">
        <f t="shared" si="96"/>
        <v>1</v>
      </c>
      <c r="M861" s="65">
        <f t="shared" si="97"/>
        <v>1</v>
      </c>
      <c r="N861" s="37" t="s">
        <v>25</v>
      </c>
      <c r="O861" s="37" t="s">
        <v>25</v>
      </c>
      <c r="P861" s="37">
        <v>0</v>
      </c>
      <c r="Q861" s="37">
        <v>0</v>
      </c>
      <c r="R861" s="37" t="s">
        <v>1874</v>
      </c>
      <c r="S861" s="37"/>
    </row>
    <row r="862" spans="1:19" x14ac:dyDescent="0.3">
      <c r="A862" s="37">
        <v>375</v>
      </c>
      <c r="B862" s="37" t="s">
        <v>1871</v>
      </c>
      <c r="C862" s="37" t="s">
        <v>1801</v>
      </c>
      <c r="D862" s="37" t="s">
        <v>21</v>
      </c>
      <c r="E862" s="37" t="s">
        <v>22</v>
      </c>
      <c r="F862" s="42">
        <v>45657</v>
      </c>
      <c r="G862" s="37">
        <v>2024</v>
      </c>
      <c r="H862" s="37" t="s">
        <v>27</v>
      </c>
      <c r="I862" s="39" t="s">
        <v>36</v>
      </c>
      <c r="J862" s="37">
        <v>100</v>
      </c>
      <c r="K862" s="37">
        <v>100</v>
      </c>
      <c r="L862" s="65">
        <f t="shared" si="96"/>
        <v>1</v>
      </c>
      <c r="M862" s="65">
        <f t="shared" si="97"/>
        <v>1</v>
      </c>
      <c r="N862" s="37" t="s">
        <v>25</v>
      </c>
      <c r="O862" s="37" t="s">
        <v>25</v>
      </c>
      <c r="P862" s="37">
        <v>0</v>
      </c>
      <c r="Q862" s="37">
        <v>0</v>
      </c>
      <c r="R862" s="37" t="s">
        <v>1875</v>
      </c>
      <c r="S862" s="37"/>
    </row>
    <row r="863" spans="1:19" x14ac:dyDescent="0.3">
      <c r="A863" s="37">
        <v>376</v>
      </c>
      <c r="B863" s="37" t="s">
        <v>1878</v>
      </c>
      <c r="C863" s="37" t="s">
        <v>210</v>
      </c>
      <c r="D863" s="37" t="s">
        <v>21</v>
      </c>
      <c r="E863" s="37" t="s">
        <v>22</v>
      </c>
      <c r="F863" s="38">
        <v>45107</v>
      </c>
      <c r="G863" s="40">
        <v>2023</v>
      </c>
      <c r="H863" s="39" t="s">
        <v>23</v>
      </c>
      <c r="I863" s="39" t="s">
        <v>30</v>
      </c>
      <c r="J863" s="37">
        <v>8796241270</v>
      </c>
      <c r="K863" s="60">
        <v>13169941458</v>
      </c>
      <c r="L863" s="65">
        <f t="shared" si="96"/>
        <v>1.3</v>
      </c>
      <c r="M863" s="65">
        <f t="shared" si="97"/>
        <v>1.4972237633950212</v>
      </c>
      <c r="N863" s="37" t="s">
        <v>264</v>
      </c>
      <c r="O863" s="37" t="s">
        <v>264</v>
      </c>
      <c r="P863" s="37">
        <v>0</v>
      </c>
      <c r="Q863" s="37">
        <v>0</v>
      </c>
      <c r="R863" s="37" t="s">
        <v>1879</v>
      </c>
      <c r="S863" s="37"/>
    </row>
    <row r="864" spans="1:19" x14ac:dyDescent="0.3">
      <c r="A864" s="41">
        <v>376</v>
      </c>
      <c r="B864" s="37" t="s">
        <v>1878</v>
      </c>
      <c r="C864" s="37" t="s">
        <v>210</v>
      </c>
      <c r="D864" s="37" t="s">
        <v>21</v>
      </c>
      <c r="E864" s="37" t="s">
        <v>22</v>
      </c>
      <c r="F864" s="42">
        <v>45291</v>
      </c>
      <c r="G864" s="37">
        <v>2023</v>
      </c>
      <c r="H864" s="37" t="s">
        <v>27</v>
      </c>
      <c r="I864" s="39" t="s">
        <v>32</v>
      </c>
      <c r="J864" s="37">
        <v>26073472703</v>
      </c>
      <c r="K864" s="60">
        <v>26403087926</v>
      </c>
      <c r="L864" s="65">
        <f t="shared" si="96"/>
        <v>1.0126417844970101</v>
      </c>
      <c r="M864" s="65">
        <f t="shared" si="97"/>
        <v>1.0126417844970101</v>
      </c>
      <c r="N864" s="37" t="s">
        <v>264</v>
      </c>
      <c r="O864" s="37" t="s">
        <v>264</v>
      </c>
      <c r="P864" s="37">
        <v>0</v>
      </c>
      <c r="Q864" s="37">
        <v>0</v>
      </c>
      <c r="R864" s="37" t="s">
        <v>1880</v>
      </c>
      <c r="S864" s="37"/>
    </row>
    <row r="865" spans="1:19" x14ac:dyDescent="0.3">
      <c r="A865" s="37">
        <v>376</v>
      </c>
      <c r="B865" s="37" t="s">
        <v>1878</v>
      </c>
      <c r="C865" s="37" t="s">
        <v>210</v>
      </c>
      <c r="D865" s="37" t="s">
        <v>21</v>
      </c>
      <c r="E865" s="37" t="s">
        <v>22</v>
      </c>
      <c r="F865" s="42">
        <v>45473</v>
      </c>
      <c r="G865" s="37">
        <v>2024</v>
      </c>
      <c r="H865" s="37" t="s">
        <v>23</v>
      </c>
      <c r="I865" s="39" t="s">
        <v>34</v>
      </c>
      <c r="J865" s="37">
        <v>14136961539</v>
      </c>
      <c r="K865" s="60">
        <v>14702219810</v>
      </c>
      <c r="L865" s="65">
        <f t="shared" si="96"/>
        <v>1.039984424477679</v>
      </c>
      <c r="M865" s="65">
        <f t="shared" si="97"/>
        <v>1.039984424477679</v>
      </c>
      <c r="N865" s="37" t="s">
        <v>264</v>
      </c>
      <c r="O865" s="37" t="s">
        <v>264</v>
      </c>
      <c r="P865" s="37">
        <v>0</v>
      </c>
      <c r="Q865" s="37">
        <v>0</v>
      </c>
      <c r="R865" s="37" t="s">
        <v>1881</v>
      </c>
      <c r="S865" s="37"/>
    </row>
    <row r="866" spans="1:19" x14ac:dyDescent="0.3">
      <c r="A866" s="37">
        <v>376</v>
      </c>
      <c r="B866" s="37" t="s">
        <v>1878</v>
      </c>
      <c r="C866" s="37" t="s">
        <v>210</v>
      </c>
      <c r="D866" s="37" t="s">
        <v>21</v>
      </c>
      <c r="E866" s="37" t="s">
        <v>22</v>
      </c>
      <c r="F866" s="42">
        <v>45657</v>
      </c>
      <c r="G866" s="37">
        <v>2024</v>
      </c>
      <c r="H866" s="37" t="s">
        <v>27</v>
      </c>
      <c r="I866" s="39" t="s">
        <v>36</v>
      </c>
      <c r="J866" s="37">
        <v>27010108281</v>
      </c>
      <c r="K866" s="60">
        <v>29467922112</v>
      </c>
      <c r="L866" s="65">
        <f t="shared" si="96"/>
        <v>1.090996074707665</v>
      </c>
      <c r="M866" s="65">
        <f t="shared" si="97"/>
        <v>1.090996074707665</v>
      </c>
      <c r="N866" s="37" t="s">
        <v>264</v>
      </c>
      <c r="O866" s="37" t="s">
        <v>264</v>
      </c>
      <c r="P866" s="37">
        <v>0</v>
      </c>
      <c r="Q866" s="37">
        <v>0</v>
      </c>
      <c r="R866" s="37" t="s">
        <v>1883</v>
      </c>
      <c r="S866" s="37"/>
    </row>
    <row r="867" spans="1:19" x14ac:dyDescent="0.3">
      <c r="A867" s="37">
        <v>377</v>
      </c>
      <c r="B867" s="37" t="s">
        <v>1884</v>
      </c>
      <c r="C867" s="37" t="s">
        <v>210</v>
      </c>
      <c r="D867" s="37" t="s">
        <v>21</v>
      </c>
      <c r="E867" s="37" t="s">
        <v>56</v>
      </c>
      <c r="F867" s="38">
        <v>45107</v>
      </c>
      <c r="G867" s="40">
        <v>2023</v>
      </c>
      <c r="H867" s="39" t="s">
        <v>23</v>
      </c>
      <c r="I867" s="39" t="s">
        <v>30</v>
      </c>
      <c r="J867" s="37">
        <v>7200908222</v>
      </c>
      <c r="K867" s="59">
        <v>1606868149</v>
      </c>
      <c r="L867" s="65">
        <f t="shared" si="96"/>
        <v>1.3</v>
      </c>
      <c r="M867" s="65">
        <f t="shared" si="97"/>
        <v>4.4813311076464677</v>
      </c>
      <c r="N867" s="37" t="s">
        <v>264</v>
      </c>
      <c r="O867" s="37" t="s">
        <v>264</v>
      </c>
      <c r="P867" s="37">
        <v>0</v>
      </c>
      <c r="Q867" s="37">
        <v>0</v>
      </c>
      <c r="R867" s="37" t="s">
        <v>1885</v>
      </c>
      <c r="S867" s="37"/>
    </row>
    <row r="868" spans="1:19" x14ac:dyDescent="0.3">
      <c r="A868" s="41">
        <v>377</v>
      </c>
      <c r="B868" s="37" t="s">
        <v>1884</v>
      </c>
      <c r="C868" s="37" t="s">
        <v>210</v>
      </c>
      <c r="D868" s="37" t="s">
        <v>21</v>
      </c>
      <c r="E868" s="37" t="s">
        <v>56</v>
      </c>
      <c r="F868" s="42">
        <v>45291</v>
      </c>
      <c r="G868" s="37">
        <v>2023</v>
      </c>
      <c r="H868" s="37" t="s">
        <v>27</v>
      </c>
      <c r="I868" s="39" t="s">
        <v>32</v>
      </c>
      <c r="J868" s="37">
        <v>12518005307</v>
      </c>
      <c r="K868" s="56">
        <v>7607138419</v>
      </c>
      <c r="L868" s="65">
        <f t="shared" si="96"/>
        <v>1.3</v>
      </c>
      <c r="M868" s="65">
        <f t="shared" si="97"/>
        <v>1.6455603431290737</v>
      </c>
      <c r="N868" s="37" t="s">
        <v>264</v>
      </c>
      <c r="O868" s="37" t="s">
        <v>264</v>
      </c>
      <c r="P868" s="37">
        <v>0</v>
      </c>
      <c r="Q868" s="37">
        <v>0</v>
      </c>
      <c r="R868" s="37" t="s">
        <v>1886</v>
      </c>
      <c r="S868" s="37"/>
    </row>
    <row r="869" spans="1:19" x14ac:dyDescent="0.3">
      <c r="A869" s="37">
        <v>377</v>
      </c>
      <c r="B869" s="37" t="s">
        <v>1884</v>
      </c>
      <c r="C869" s="37" t="s">
        <v>210</v>
      </c>
      <c r="D869" s="37" t="s">
        <v>21</v>
      </c>
      <c r="E869" s="37" t="s">
        <v>56</v>
      </c>
      <c r="F869" s="42">
        <v>45473</v>
      </c>
      <c r="G869" s="37">
        <v>2024</v>
      </c>
      <c r="H869" s="37" t="s">
        <v>23</v>
      </c>
      <c r="I869" s="39" t="s">
        <v>34</v>
      </c>
      <c r="J869" s="37">
        <v>4468402401</v>
      </c>
      <c r="K869" s="60">
        <v>2155477505</v>
      </c>
      <c r="L869" s="65">
        <f t="shared" si="96"/>
        <v>1.3</v>
      </c>
      <c r="M869" s="65">
        <f t="shared" si="97"/>
        <v>2.0730452489690911</v>
      </c>
      <c r="N869" s="37" t="s">
        <v>264</v>
      </c>
      <c r="O869" s="37" t="s">
        <v>264</v>
      </c>
      <c r="P869" s="37">
        <v>0</v>
      </c>
      <c r="Q869" s="37">
        <v>0</v>
      </c>
      <c r="R869" s="37" t="s">
        <v>1887</v>
      </c>
      <c r="S869" s="37"/>
    </row>
    <row r="870" spans="1:19" x14ac:dyDescent="0.3">
      <c r="A870" s="37">
        <v>377</v>
      </c>
      <c r="B870" s="37" t="s">
        <v>1884</v>
      </c>
      <c r="C870" s="37" t="s">
        <v>210</v>
      </c>
      <c r="D870" s="37" t="s">
        <v>21</v>
      </c>
      <c r="E870" s="37" t="s">
        <v>56</v>
      </c>
      <c r="F870" s="42">
        <v>45657</v>
      </c>
      <c r="G870" s="37">
        <v>2024</v>
      </c>
      <c r="H870" s="37" t="s">
        <v>27</v>
      </c>
      <c r="I870" s="39" t="s">
        <v>36</v>
      </c>
      <c r="J870" s="37">
        <v>9557195011</v>
      </c>
      <c r="K870" s="60">
        <v>11947626618</v>
      </c>
      <c r="L870" s="65">
        <f t="shared" si="96"/>
        <v>0.79992414531948675</v>
      </c>
      <c r="M870" s="65">
        <f t="shared" si="97"/>
        <v>0.79992414531948675</v>
      </c>
      <c r="N870" s="37" t="s">
        <v>264</v>
      </c>
      <c r="O870" s="37" t="s">
        <v>264</v>
      </c>
      <c r="P870" s="37">
        <v>0</v>
      </c>
      <c r="Q870" s="37">
        <v>0</v>
      </c>
      <c r="R870" s="37" t="s">
        <v>1888</v>
      </c>
      <c r="S870" s="37"/>
    </row>
    <row r="871" spans="1:19" x14ac:dyDescent="0.3">
      <c r="A871" s="41">
        <v>378</v>
      </c>
      <c r="B871" s="37" t="s">
        <v>1889</v>
      </c>
      <c r="C871" s="37" t="s">
        <v>72</v>
      </c>
      <c r="D871" s="37" t="s">
        <v>73</v>
      </c>
      <c r="E871" s="37" t="s">
        <v>22</v>
      </c>
      <c r="F871" s="42">
        <v>45107</v>
      </c>
      <c r="G871" s="37">
        <v>2023</v>
      </c>
      <c r="H871" s="37" t="s">
        <v>23</v>
      </c>
      <c r="I871" s="39" t="s">
        <v>30</v>
      </c>
      <c r="J871" s="37">
        <v>92</v>
      </c>
      <c r="K871" s="37">
        <v>93.83</v>
      </c>
      <c r="L871" s="74">
        <f t="shared" si="96"/>
        <v>1.0198913043478262</v>
      </c>
      <c r="M871" s="65">
        <f t="shared" si="97"/>
        <v>1.0198913043478262</v>
      </c>
      <c r="N871" s="37" t="s">
        <v>25</v>
      </c>
      <c r="O871" s="37" t="s">
        <v>25</v>
      </c>
      <c r="P871" s="37">
        <v>0</v>
      </c>
      <c r="Q871" s="37">
        <v>0</v>
      </c>
      <c r="R871" s="37" t="s">
        <v>1895</v>
      </c>
      <c r="S871" s="37"/>
    </row>
    <row r="872" spans="1:19" x14ac:dyDescent="0.3">
      <c r="A872" s="41">
        <v>378</v>
      </c>
      <c r="B872" s="37" t="s">
        <v>1889</v>
      </c>
      <c r="C872" s="37" t="s">
        <v>72</v>
      </c>
      <c r="D872" s="37" t="s">
        <v>73</v>
      </c>
      <c r="E872" s="37" t="s">
        <v>22</v>
      </c>
      <c r="F872" s="42">
        <v>45291</v>
      </c>
      <c r="G872" s="37">
        <v>2023</v>
      </c>
      <c r="H872" s="37" t="s">
        <v>27</v>
      </c>
      <c r="I872" s="39" t="s">
        <v>32</v>
      </c>
      <c r="J872" s="37">
        <v>92</v>
      </c>
      <c r="K872" s="37">
        <v>97.3</v>
      </c>
      <c r="L872" s="74">
        <f t="shared" si="96"/>
        <v>1.057608695652174</v>
      </c>
      <c r="M872" s="65">
        <f t="shared" si="97"/>
        <v>1.057608695652174</v>
      </c>
      <c r="N872" s="37" t="s">
        <v>25</v>
      </c>
      <c r="O872" s="37" t="s">
        <v>25</v>
      </c>
      <c r="P872" s="37">
        <v>0</v>
      </c>
      <c r="Q872" s="37">
        <v>0</v>
      </c>
      <c r="R872" s="37" t="s">
        <v>1901</v>
      </c>
      <c r="S872" s="37"/>
    </row>
    <row r="873" spans="1:19" x14ac:dyDescent="0.3">
      <c r="A873" s="37">
        <v>378</v>
      </c>
      <c r="B873" s="37" t="s">
        <v>1889</v>
      </c>
      <c r="C873" s="37" t="s">
        <v>72</v>
      </c>
      <c r="D873" s="37" t="s">
        <v>73</v>
      </c>
      <c r="E873" s="37" t="s">
        <v>22</v>
      </c>
      <c r="F873" s="42">
        <v>45473</v>
      </c>
      <c r="G873" s="37">
        <v>2024</v>
      </c>
      <c r="H873" s="37" t="s">
        <v>23</v>
      </c>
      <c r="I873" s="39" t="s">
        <v>34</v>
      </c>
      <c r="J873" s="37">
        <v>92</v>
      </c>
      <c r="K873" s="37">
        <v>98.5</v>
      </c>
      <c r="L873" s="65">
        <f t="shared" si="96"/>
        <v>1.0706521739130435</v>
      </c>
      <c r="M873" s="65">
        <f t="shared" si="97"/>
        <v>1.0706521739130435</v>
      </c>
      <c r="N873" s="37"/>
      <c r="O873" s="37"/>
      <c r="P873" s="37">
        <v>0</v>
      </c>
      <c r="Q873" s="37">
        <v>0</v>
      </c>
      <c r="R873" s="37" t="s">
        <v>1907</v>
      </c>
      <c r="S873" s="37"/>
    </row>
    <row r="874" spans="1:19" x14ac:dyDescent="0.3">
      <c r="A874" s="37">
        <v>378</v>
      </c>
      <c r="B874" s="37" t="s">
        <v>1889</v>
      </c>
      <c r="C874" s="37" t="s">
        <v>72</v>
      </c>
      <c r="D874" s="37" t="s">
        <v>73</v>
      </c>
      <c r="E874" s="37" t="s">
        <v>22</v>
      </c>
      <c r="F874" s="42">
        <v>45657</v>
      </c>
      <c r="G874" s="37">
        <v>2024</v>
      </c>
      <c r="H874" s="37" t="s">
        <v>27</v>
      </c>
      <c r="I874" s="39" t="s">
        <v>36</v>
      </c>
      <c r="J874" s="37">
        <v>0</v>
      </c>
      <c r="K874" s="37">
        <v>0</v>
      </c>
      <c r="L874" s="65" t="str">
        <f t="shared" si="96"/>
        <v/>
      </c>
      <c r="M874" s="65" t="str">
        <f t="shared" si="97"/>
        <v/>
      </c>
      <c r="N874" s="37"/>
      <c r="O874" s="37"/>
      <c r="P874" s="37">
        <v>0</v>
      </c>
      <c r="Q874" s="37">
        <v>0</v>
      </c>
      <c r="R874" s="37" t="s">
        <v>1913</v>
      </c>
      <c r="S874" s="37"/>
    </row>
    <row r="875" spans="1:19" x14ac:dyDescent="0.3">
      <c r="A875" s="37">
        <v>379</v>
      </c>
      <c r="B875" s="37" t="s">
        <v>1914</v>
      </c>
      <c r="C875" s="37" t="s">
        <v>1915</v>
      </c>
      <c r="D875" s="37" t="s">
        <v>21</v>
      </c>
      <c r="E875" s="37" t="s">
        <v>22</v>
      </c>
      <c r="F875" s="38">
        <v>45107</v>
      </c>
      <c r="G875" s="40">
        <v>2023</v>
      </c>
      <c r="H875" s="39" t="s">
        <v>23</v>
      </c>
      <c r="I875" s="39" t="s">
        <v>30</v>
      </c>
      <c r="J875" s="68">
        <v>12130</v>
      </c>
      <c r="K875" s="68">
        <v>12461</v>
      </c>
      <c r="L875" s="65">
        <f t="shared" si="96"/>
        <v>1.027287716405606</v>
      </c>
      <c r="M875" s="65">
        <f t="shared" si="97"/>
        <v>1.027287716405606</v>
      </c>
      <c r="N875" s="37" t="s">
        <v>203</v>
      </c>
      <c r="O875" s="37" t="s">
        <v>203</v>
      </c>
      <c r="P875" s="37">
        <v>0</v>
      </c>
      <c r="Q875" s="37">
        <v>0</v>
      </c>
      <c r="R875" s="37" t="s">
        <v>1916</v>
      </c>
      <c r="S875" s="37"/>
    </row>
    <row r="876" spans="1:19" x14ac:dyDescent="0.3">
      <c r="A876" s="41">
        <v>379</v>
      </c>
      <c r="B876" s="37" t="s">
        <v>1914</v>
      </c>
      <c r="C876" s="37" t="s">
        <v>1915</v>
      </c>
      <c r="D876" s="37" t="s">
        <v>21</v>
      </c>
      <c r="E876" s="37" t="s">
        <v>22</v>
      </c>
      <c r="F876" s="42">
        <v>45291</v>
      </c>
      <c r="G876" s="37">
        <v>2023</v>
      </c>
      <c r="H876" s="37" t="s">
        <v>27</v>
      </c>
      <c r="I876" s="39" t="s">
        <v>32</v>
      </c>
      <c r="J876" s="56">
        <v>9876</v>
      </c>
      <c r="K876" s="56">
        <v>10730</v>
      </c>
      <c r="L876" s="65">
        <f t="shared" si="96"/>
        <v>1.0864722559740785</v>
      </c>
      <c r="M876" s="65">
        <f t="shared" si="97"/>
        <v>1.0864722559740785</v>
      </c>
      <c r="N876" s="37" t="s">
        <v>203</v>
      </c>
      <c r="O876" s="37" t="s">
        <v>203</v>
      </c>
      <c r="P876" s="37">
        <v>0</v>
      </c>
      <c r="Q876" s="37">
        <v>0</v>
      </c>
      <c r="R876" s="37" t="s">
        <v>1917</v>
      </c>
      <c r="S876" s="37"/>
    </row>
    <row r="877" spans="1:19" x14ac:dyDescent="0.3">
      <c r="A877" s="37">
        <v>379</v>
      </c>
      <c r="B877" s="37" t="s">
        <v>1914</v>
      </c>
      <c r="C877" s="37" t="s">
        <v>1915</v>
      </c>
      <c r="D877" s="37" t="s">
        <v>21</v>
      </c>
      <c r="E877" s="37" t="s">
        <v>22</v>
      </c>
      <c r="F877" s="42">
        <v>45473</v>
      </c>
      <c r="G877" s="37">
        <v>2024</v>
      </c>
      <c r="H877" s="37" t="s">
        <v>23</v>
      </c>
      <c r="I877" s="39" t="s">
        <v>34</v>
      </c>
      <c r="J877" s="56">
        <v>13590</v>
      </c>
      <c r="K877" s="56">
        <v>13035</v>
      </c>
      <c r="L877" s="65">
        <f t="shared" si="96"/>
        <v>0.95916114790286977</v>
      </c>
      <c r="M877" s="65">
        <f t="shared" si="97"/>
        <v>0.95916114790286977</v>
      </c>
      <c r="N877" s="37" t="s">
        <v>203</v>
      </c>
      <c r="O877" s="37" t="s">
        <v>203</v>
      </c>
      <c r="P877" s="37">
        <v>0</v>
      </c>
      <c r="Q877" s="37">
        <v>0</v>
      </c>
      <c r="R877" s="37" t="s">
        <v>1918</v>
      </c>
      <c r="S877" s="37"/>
    </row>
    <row r="878" spans="1:19" x14ac:dyDescent="0.3">
      <c r="A878" s="37">
        <v>379</v>
      </c>
      <c r="B878" s="37" t="s">
        <v>1914</v>
      </c>
      <c r="C878" s="37" t="s">
        <v>1915</v>
      </c>
      <c r="D878" s="37" t="s">
        <v>21</v>
      </c>
      <c r="E878" s="37" t="s">
        <v>22</v>
      </c>
      <c r="F878" s="42">
        <v>45657</v>
      </c>
      <c r="G878" s="37">
        <v>2024</v>
      </c>
      <c r="H878" s="37" t="s">
        <v>27</v>
      </c>
      <c r="I878" s="39" t="s">
        <v>36</v>
      </c>
      <c r="J878" s="56">
        <v>10675</v>
      </c>
      <c r="K878" s="56">
        <v>10601</v>
      </c>
      <c r="L878" s="65">
        <f t="shared" si="96"/>
        <v>0.9930679156908665</v>
      </c>
      <c r="M878" s="65">
        <f t="shared" si="97"/>
        <v>0.9930679156908665</v>
      </c>
      <c r="N878" s="37" t="s">
        <v>203</v>
      </c>
      <c r="O878" s="37" t="s">
        <v>203</v>
      </c>
      <c r="P878" s="37">
        <v>0</v>
      </c>
      <c r="Q878" s="37">
        <v>0</v>
      </c>
      <c r="R878" s="37" t="s">
        <v>1919</v>
      </c>
      <c r="S878" s="37"/>
    </row>
    <row r="879" spans="1:19" x14ac:dyDescent="0.3">
      <c r="A879" s="45">
        <v>380</v>
      </c>
      <c r="B879" s="37" t="s">
        <v>1920</v>
      </c>
      <c r="C879" s="37" t="s">
        <v>1915</v>
      </c>
      <c r="D879" s="37" t="s">
        <v>21</v>
      </c>
      <c r="E879" s="37" t="s">
        <v>22</v>
      </c>
      <c r="F879" s="42">
        <v>45107</v>
      </c>
      <c r="G879" s="37">
        <v>2023</v>
      </c>
      <c r="H879" s="37" t="s">
        <v>23</v>
      </c>
      <c r="I879" s="39" t="s">
        <v>30</v>
      </c>
      <c r="J879" s="56">
        <v>24659.314309000001</v>
      </c>
      <c r="K879" s="56">
        <v>25754.085545999998</v>
      </c>
      <c r="L879" s="74">
        <f t="shared" si="96"/>
        <v>1.0443958507232471</v>
      </c>
      <c r="M879" s="65">
        <f t="shared" si="97"/>
        <v>1.0443958507232471</v>
      </c>
      <c r="N879" s="37" t="s">
        <v>264</v>
      </c>
      <c r="O879" s="37" t="s">
        <v>264</v>
      </c>
      <c r="P879" s="37">
        <v>0</v>
      </c>
      <c r="Q879" s="37">
        <v>0</v>
      </c>
      <c r="R879" s="37" t="s">
        <v>1921</v>
      </c>
      <c r="S879" s="37"/>
    </row>
    <row r="880" spans="1:19" x14ac:dyDescent="0.3">
      <c r="A880" s="41">
        <v>380</v>
      </c>
      <c r="B880" s="37" t="s">
        <v>1920</v>
      </c>
      <c r="C880" s="37" t="s">
        <v>1915</v>
      </c>
      <c r="D880" s="37" t="s">
        <v>21</v>
      </c>
      <c r="E880" s="37" t="s">
        <v>22</v>
      </c>
      <c r="F880" s="42">
        <v>45291</v>
      </c>
      <c r="G880" s="37">
        <v>2023</v>
      </c>
      <c r="H880" s="37" t="s">
        <v>27</v>
      </c>
      <c r="I880" s="39" t="s">
        <v>32</v>
      </c>
      <c r="J880" s="56">
        <v>24724.802793999999</v>
      </c>
      <c r="K880" s="68">
        <v>25340.546505999999</v>
      </c>
      <c r="L880" s="74">
        <f t="shared" si="96"/>
        <v>1.0249038876924601</v>
      </c>
      <c r="M880" s="65">
        <f t="shared" si="97"/>
        <v>1.0249038876924601</v>
      </c>
      <c r="N880" s="37" t="s">
        <v>264</v>
      </c>
      <c r="O880" s="37" t="s">
        <v>264</v>
      </c>
      <c r="P880" s="37">
        <v>0</v>
      </c>
      <c r="Q880" s="37">
        <v>0</v>
      </c>
      <c r="R880" s="37" t="s">
        <v>1922</v>
      </c>
      <c r="S880" s="37"/>
    </row>
    <row r="881" spans="1:19" x14ac:dyDescent="0.3">
      <c r="A881" s="41">
        <v>380</v>
      </c>
      <c r="B881" s="37" t="s">
        <v>1920</v>
      </c>
      <c r="C881" s="37" t="s">
        <v>1915</v>
      </c>
      <c r="D881" s="37" t="s">
        <v>21</v>
      </c>
      <c r="E881" s="37" t="s">
        <v>22</v>
      </c>
      <c r="F881" s="42">
        <v>45473</v>
      </c>
      <c r="G881" s="37">
        <v>2024</v>
      </c>
      <c r="H881" s="37" t="s">
        <v>23</v>
      </c>
      <c r="I881" s="39" t="s">
        <v>34</v>
      </c>
      <c r="J881" s="59">
        <v>29596.26987</v>
      </c>
      <c r="K881" s="59">
        <v>28449.632913000001</v>
      </c>
      <c r="L881" s="74">
        <f t="shared" ref="L881:L900" si="98">IFERROR(IF(OR(J881=0,K881=""),"",IF(E881="Positivo",MIN(MAX(K881/J881,0),1.3),MIN(MAX(J881/K881,0),1.3))),"")</f>
        <v>0.96125738270273453</v>
      </c>
      <c r="M881" s="65">
        <f t="shared" ref="M881:M900" si="99">IFERROR(IF(OR(J881=0,K881=""),"",IF(E881="Positivo",MAX(K881/J881,0),MAX(J881/K881,0))),"")</f>
        <v>0.96125738270273453</v>
      </c>
      <c r="N881" s="37" t="s">
        <v>264</v>
      </c>
      <c r="O881" s="37" t="s">
        <v>264</v>
      </c>
      <c r="P881" s="37">
        <v>0</v>
      </c>
      <c r="Q881" s="37">
        <v>0</v>
      </c>
      <c r="R881" s="37" t="s">
        <v>1923</v>
      </c>
      <c r="S881" s="37"/>
    </row>
    <row r="882" spans="1:19" x14ac:dyDescent="0.3">
      <c r="A882" s="37">
        <v>380</v>
      </c>
      <c r="B882" s="37" t="s">
        <v>1920</v>
      </c>
      <c r="C882" s="37" t="s">
        <v>1915</v>
      </c>
      <c r="D882" s="37" t="s">
        <v>21</v>
      </c>
      <c r="E882" s="37" t="s">
        <v>22</v>
      </c>
      <c r="F882" s="42">
        <v>45657</v>
      </c>
      <c r="G882" s="37">
        <v>2024</v>
      </c>
      <c r="H882" s="37" t="s">
        <v>27</v>
      </c>
      <c r="I882" s="39" t="s">
        <v>36</v>
      </c>
      <c r="J882" s="37">
        <v>100</v>
      </c>
      <c r="K882" s="37">
        <v>78.92</v>
      </c>
      <c r="L882" s="65">
        <f t="shared" si="98"/>
        <v>0.78920000000000001</v>
      </c>
      <c r="M882" s="65">
        <f t="shared" si="99"/>
        <v>0.78920000000000001</v>
      </c>
      <c r="N882" s="37"/>
      <c r="O882" s="37"/>
      <c r="P882" s="37">
        <v>0</v>
      </c>
      <c r="Q882" s="37">
        <v>0</v>
      </c>
      <c r="R882" s="37" t="s">
        <v>1924</v>
      </c>
      <c r="S882" s="37"/>
    </row>
    <row r="883" spans="1:19" x14ac:dyDescent="0.3">
      <c r="A883" s="41">
        <v>381</v>
      </c>
      <c r="B883" s="37" t="s">
        <v>1925</v>
      </c>
      <c r="C883" s="37" t="s">
        <v>1915</v>
      </c>
      <c r="D883" s="37" t="s">
        <v>21</v>
      </c>
      <c r="E883" s="37" t="s">
        <v>22</v>
      </c>
      <c r="F883" s="42">
        <v>45107</v>
      </c>
      <c r="G883" s="37">
        <v>2023</v>
      </c>
      <c r="H883" s="37" t="s">
        <v>23</v>
      </c>
      <c r="I883" s="39" t="s">
        <v>30</v>
      </c>
      <c r="J883" s="37">
        <v>1428</v>
      </c>
      <c r="K883" s="37">
        <v>1489</v>
      </c>
      <c r="L883" s="74">
        <f t="shared" si="98"/>
        <v>1.042717086834734</v>
      </c>
      <c r="M883" s="65">
        <f t="shared" si="99"/>
        <v>1.042717086834734</v>
      </c>
      <c r="N883" s="37" t="s">
        <v>203</v>
      </c>
      <c r="O883" s="37" t="s">
        <v>203</v>
      </c>
      <c r="P883" s="37">
        <v>0</v>
      </c>
      <c r="Q883" s="37">
        <v>0</v>
      </c>
      <c r="R883" s="37" t="s">
        <v>1926</v>
      </c>
      <c r="S883" s="37"/>
    </row>
    <row r="884" spans="1:19" x14ac:dyDescent="0.3">
      <c r="A884" s="41">
        <v>381</v>
      </c>
      <c r="B884" s="37" t="s">
        <v>1925</v>
      </c>
      <c r="C884" s="37" t="s">
        <v>1915</v>
      </c>
      <c r="D884" s="37" t="s">
        <v>21</v>
      </c>
      <c r="E884" s="37" t="s">
        <v>22</v>
      </c>
      <c r="F884" s="42">
        <v>45291</v>
      </c>
      <c r="G884" s="37">
        <v>2023</v>
      </c>
      <c r="H884" s="37" t="s">
        <v>27</v>
      </c>
      <c r="I884" s="39" t="s">
        <v>32</v>
      </c>
      <c r="J884" s="37">
        <v>1168</v>
      </c>
      <c r="K884" s="37">
        <v>1328</v>
      </c>
      <c r="L884" s="74">
        <f t="shared" si="98"/>
        <v>1.1369863013698631</v>
      </c>
      <c r="M884" s="65">
        <f t="shared" si="99"/>
        <v>1.1369863013698631</v>
      </c>
      <c r="N884" s="37" t="s">
        <v>203</v>
      </c>
      <c r="O884" s="37" t="s">
        <v>203</v>
      </c>
      <c r="P884" s="37">
        <v>0</v>
      </c>
      <c r="Q884" s="37">
        <v>0</v>
      </c>
      <c r="R884" s="37" t="s">
        <v>1927</v>
      </c>
      <c r="S884" s="37"/>
    </row>
    <row r="885" spans="1:19" x14ac:dyDescent="0.3">
      <c r="A885" s="41">
        <v>381</v>
      </c>
      <c r="B885" s="37" t="s">
        <v>1925</v>
      </c>
      <c r="C885" s="37" t="s">
        <v>1915</v>
      </c>
      <c r="D885" s="37" t="s">
        <v>21</v>
      </c>
      <c r="E885" s="37" t="s">
        <v>22</v>
      </c>
      <c r="F885" s="42">
        <v>45473</v>
      </c>
      <c r="G885" s="37">
        <v>2024</v>
      </c>
      <c r="H885" s="37" t="s">
        <v>23</v>
      </c>
      <c r="I885" s="39" t="s">
        <v>34</v>
      </c>
      <c r="J885" s="37">
        <v>1482</v>
      </c>
      <c r="K885" s="37">
        <v>1560</v>
      </c>
      <c r="L885" s="74">
        <f t="shared" si="98"/>
        <v>1.0526315789473684</v>
      </c>
      <c r="M885" s="65">
        <f t="shared" si="99"/>
        <v>1.0526315789473684</v>
      </c>
      <c r="N885" s="37" t="s">
        <v>203</v>
      </c>
      <c r="O885" s="37" t="s">
        <v>203</v>
      </c>
      <c r="P885" s="37">
        <v>0</v>
      </c>
      <c r="Q885" s="37">
        <v>0</v>
      </c>
      <c r="R885" s="37" t="s">
        <v>1928</v>
      </c>
      <c r="S885" s="37"/>
    </row>
    <row r="886" spans="1:19" x14ac:dyDescent="0.3">
      <c r="A886" s="37">
        <v>381</v>
      </c>
      <c r="B886" s="37" t="s">
        <v>1925</v>
      </c>
      <c r="C886" s="37" t="s">
        <v>1915</v>
      </c>
      <c r="D886" s="37" t="s">
        <v>21</v>
      </c>
      <c r="E886" s="37" t="s">
        <v>22</v>
      </c>
      <c r="F886" s="42">
        <v>45657</v>
      </c>
      <c r="G886" s="37">
        <v>2024</v>
      </c>
      <c r="H886" s="37" t="s">
        <v>27</v>
      </c>
      <c r="I886" s="39" t="s">
        <v>36</v>
      </c>
      <c r="J886" s="37">
        <v>1101</v>
      </c>
      <c r="K886" s="37">
        <v>982</v>
      </c>
      <c r="L886" s="74">
        <f t="shared" si="98"/>
        <v>0.89191643960036326</v>
      </c>
      <c r="M886" s="65">
        <f t="shared" si="99"/>
        <v>0.89191643960036326</v>
      </c>
      <c r="N886" s="37" t="s">
        <v>203</v>
      </c>
      <c r="O886" s="37" t="s">
        <v>203</v>
      </c>
      <c r="P886" s="37">
        <v>0</v>
      </c>
      <c r="Q886" s="37">
        <v>0</v>
      </c>
      <c r="R886" s="37" t="s">
        <v>1929</v>
      </c>
      <c r="S886" s="37"/>
    </row>
    <row r="887" spans="1:19" x14ac:dyDescent="0.3">
      <c r="A887" s="41">
        <v>382</v>
      </c>
      <c r="B887" s="37" t="s">
        <v>1930</v>
      </c>
      <c r="C887" s="37" t="s">
        <v>1915</v>
      </c>
      <c r="D887" s="37" t="s">
        <v>21</v>
      </c>
      <c r="E887" s="37" t="s">
        <v>22</v>
      </c>
      <c r="F887" s="42">
        <v>45107</v>
      </c>
      <c r="G887" s="37">
        <v>2023</v>
      </c>
      <c r="H887" s="37" t="s">
        <v>23</v>
      </c>
      <c r="I887" s="39" t="s">
        <v>30</v>
      </c>
      <c r="J887" s="37">
        <v>9117</v>
      </c>
      <c r="K887" s="37">
        <v>9231</v>
      </c>
      <c r="L887" s="74">
        <f t="shared" si="98"/>
        <v>1.01250411319513</v>
      </c>
      <c r="M887" s="65">
        <f t="shared" si="99"/>
        <v>1.01250411319513</v>
      </c>
      <c r="N887" s="37" t="s">
        <v>203</v>
      </c>
      <c r="O887" s="37" t="s">
        <v>203</v>
      </c>
      <c r="P887" s="37">
        <v>0</v>
      </c>
      <c r="Q887" s="37">
        <v>0</v>
      </c>
      <c r="R887" s="37" t="s">
        <v>1931</v>
      </c>
      <c r="S887" s="37"/>
    </row>
    <row r="888" spans="1:19" x14ac:dyDescent="0.3">
      <c r="A888" s="41">
        <v>382</v>
      </c>
      <c r="B888" s="37" t="s">
        <v>1930</v>
      </c>
      <c r="C888" s="37" t="s">
        <v>1915</v>
      </c>
      <c r="D888" s="37" t="s">
        <v>21</v>
      </c>
      <c r="E888" s="37" t="s">
        <v>22</v>
      </c>
      <c r="F888" s="42">
        <v>45291</v>
      </c>
      <c r="G888" s="37">
        <v>2023</v>
      </c>
      <c r="H888" s="37" t="s">
        <v>27</v>
      </c>
      <c r="I888" s="39" t="s">
        <v>32</v>
      </c>
      <c r="J888" s="37">
        <v>7616</v>
      </c>
      <c r="K888" s="37">
        <v>7845</v>
      </c>
      <c r="L888" s="74">
        <f t="shared" si="98"/>
        <v>1.0300682773109244</v>
      </c>
      <c r="M888" s="65">
        <f t="shared" si="99"/>
        <v>1.0300682773109244</v>
      </c>
      <c r="N888" s="37" t="s">
        <v>203</v>
      </c>
      <c r="O888" s="37" t="s">
        <v>203</v>
      </c>
      <c r="P888" s="37">
        <v>0</v>
      </c>
      <c r="Q888" s="37">
        <v>0</v>
      </c>
      <c r="R888" s="37" t="s">
        <v>1932</v>
      </c>
      <c r="S888" s="37"/>
    </row>
    <row r="889" spans="1:19" x14ac:dyDescent="0.3">
      <c r="A889" s="41">
        <v>382</v>
      </c>
      <c r="B889" s="37" t="s">
        <v>1930</v>
      </c>
      <c r="C889" s="37" t="s">
        <v>1915</v>
      </c>
      <c r="D889" s="37" t="s">
        <v>21</v>
      </c>
      <c r="E889" s="37" t="s">
        <v>22</v>
      </c>
      <c r="F889" s="42">
        <v>45473</v>
      </c>
      <c r="G889" s="37">
        <v>2024</v>
      </c>
      <c r="H889" s="37" t="s">
        <v>23</v>
      </c>
      <c r="I889" s="39" t="s">
        <v>34</v>
      </c>
      <c r="J889" s="37">
        <v>10220</v>
      </c>
      <c r="K889" s="37">
        <v>9576</v>
      </c>
      <c r="L889" s="74">
        <f t="shared" si="98"/>
        <v>0.93698630136986305</v>
      </c>
      <c r="M889" s="65">
        <f t="shared" si="99"/>
        <v>0.93698630136986305</v>
      </c>
      <c r="N889" s="37" t="s">
        <v>203</v>
      </c>
      <c r="O889" s="37" t="s">
        <v>203</v>
      </c>
      <c r="P889" s="37">
        <v>0</v>
      </c>
      <c r="Q889" s="37">
        <v>0</v>
      </c>
      <c r="R889" s="37" t="s">
        <v>1933</v>
      </c>
      <c r="S889" s="37"/>
    </row>
    <row r="890" spans="1:19" x14ac:dyDescent="0.3">
      <c r="A890" s="37">
        <v>382</v>
      </c>
      <c r="B890" s="37" t="s">
        <v>1930</v>
      </c>
      <c r="C890" s="37" t="s">
        <v>1915</v>
      </c>
      <c r="D890" s="37" t="s">
        <v>21</v>
      </c>
      <c r="E890" s="37" t="s">
        <v>22</v>
      </c>
      <c r="F890" s="42">
        <v>45657</v>
      </c>
      <c r="G890" s="37">
        <v>2024</v>
      </c>
      <c r="H890" s="37" t="s">
        <v>27</v>
      </c>
      <c r="I890" s="39" t="s">
        <v>36</v>
      </c>
      <c r="J890" s="37">
        <v>8220</v>
      </c>
      <c r="K890" s="37">
        <v>8066</v>
      </c>
      <c r="L890" s="74">
        <f t="shared" si="98"/>
        <v>0.98126520681265206</v>
      </c>
      <c r="M890" s="65">
        <f t="shared" si="99"/>
        <v>0.98126520681265206</v>
      </c>
      <c r="N890" s="37" t="s">
        <v>203</v>
      </c>
      <c r="O890" s="37" t="s">
        <v>203</v>
      </c>
      <c r="P890" s="37">
        <v>0</v>
      </c>
      <c r="Q890" s="37">
        <v>0</v>
      </c>
      <c r="R890" s="37" t="s">
        <v>1934</v>
      </c>
      <c r="S890" s="37"/>
    </row>
    <row r="891" spans="1:19" x14ac:dyDescent="0.3">
      <c r="A891" s="41">
        <v>383</v>
      </c>
      <c r="B891" s="37" t="s">
        <v>1935</v>
      </c>
      <c r="C891" s="37" t="s">
        <v>1915</v>
      </c>
      <c r="D891" s="37" t="s">
        <v>21</v>
      </c>
      <c r="E891" s="37" t="s">
        <v>22</v>
      </c>
      <c r="F891" s="42">
        <v>45107</v>
      </c>
      <c r="G891" s="37">
        <v>2023</v>
      </c>
      <c r="H891" s="37" t="s">
        <v>23</v>
      </c>
      <c r="I891" s="39" t="s">
        <v>30</v>
      </c>
      <c r="J891" s="37">
        <v>1279</v>
      </c>
      <c r="K891" s="37">
        <v>1399</v>
      </c>
      <c r="L891" s="74">
        <f t="shared" si="98"/>
        <v>1.0938232994526975</v>
      </c>
      <c r="M891" s="65">
        <f t="shared" si="99"/>
        <v>1.0938232994526975</v>
      </c>
      <c r="N891" s="37" t="s">
        <v>203</v>
      </c>
      <c r="O891" s="37" t="s">
        <v>203</v>
      </c>
      <c r="P891" s="37">
        <v>0</v>
      </c>
      <c r="Q891" s="37">
        <v>0</v>
      </c>
      <c r="R891" s="37" t="s">
        <v>1936</v>
      </c>
      <c r="S891" s="37"/>
    </row>
    <row r="892" spans="1:19" x14ac:dyDescent="0.3">
      <c r="A892" s="41">
        <v>383</v>
      </c>
      <c r="B892" s="37" t="s">
        <v>1935</v>
      </c>
      <c r="C892" s="37" t="s">
        <v>1915</v>
      </c>
      <c r="D892" s="37" t="s">
        <v>21</v>
      </c>
      <c r="E892" s="37" t="s">
        <v>22</v>
      </c>
      <c r="F892" s="42">
        <v>45291</v>
      </c>
      <c r="G892" s="37">
        <v>2023</v>
      </c>
      <c r="H892" s="37" t="s">
        <v>27</v>
      </c>
      <c r="I892" s="39" t="s">
        <v>32</v>
      </c>
      <c r="J892" s="37">
        <v>896</v>
      </c>
      <c r="K892" s="37">
        <v>1332</v>
      </c>
      <c r="L892" s="74">
        <f t="shared" si="98"/>
        <v>1.3</v>
      </c>
      <c r="M892" s="65">
        <f t="shared" si="99"/>
        <v>1.4866071428571428</v>
      </c>
      <c r="N892" s="37" t="s">
        <v>203</v>
      </c>
      <c r="O892" s="37" t="s">
        <v>203</v>
      </c>
      <c r="P892" s="37">
        <v>0</v>
      </c>
      <c r="Q892" s="37">
        <v>0</v>
      </c>
      <c r="R892" s="37" t="s">
        <v>1937</v>
      </c>
      <c r="S892" s="37"/>
    </row>
    <row r="893" spans="1:19" x14ac:dyDescent="0.3">
      <c r="A893" s="37">
        <v>383</v>
      </c>
      <c r="B893" s="37" t="s">
        <v>1935</v>
      </c>
      <c r="C893" s="37" t="s">
        <v>1915</v>
      </c>
      <c r="D893" s="37" t="s">
        <v>21</v>
      </c>
      <c r="E893" s="37" t="s">
        <v>22</v>
      </c>
      <c r="F893" s="42">
        <v>45473</v>
      </c>
      <c r="G893" s="37">
        <v>2024</v>
      </c>
      <c r="H893" s="37" t="s">
        <v>23</v>
      </c>
      <c r="I893" s="39" t="s">
        <v>34</v>
      </c>
      <c r="J893" s="3">
        <v>1525</v>
      </c>
      <c r="K893" s="43">
        <v>1528</v>
      </c>
      <c r="L893" s="65">
        <f t="shared" si="98"/>
        <v>1.0019672131147541</v>
      </c>
      <c r="M893" s="65">
        <f t="shared" si="99"/>
        <v>1.0019672131147541</v>
      </c>
      <c r="N893" s="37" t="s">
        <v>203</v>
      </c>
      <c r="O893" s="37" t="s">
        <v>203</v>
      </c>
      <c r="P893" s="37">
        <v>0</v>
      </c>
      <c r="Q893" s="37">
        <v>0</v>
      </c>
      <c r="R893" s="37" t="s">
        <v>1938</v>
      </c>
      <c r="S893" s="37"/>
    </row>
    <row r="894" spans="1:19" x14ac:dyDescent="0.3">
      <c r="A894" s="37">
        <v>383</v>
      </c>
      <c r="B894" s="37" t="s">
        <v>1935</v>
      </c>
      <c r="C894" s="37" t="s">
        <v>1915</v>
      </c>
      <c r="D894" s="37" t="s">
        <v>21</v>
      </c>
      <c r="E894" s="37" t="s">
        <v>22</v>
      </c>
      <c r="F894" s="42">
        <v>45657</v>
      </c>
      <c r="G894" s="37">
        <v>2024</v>
      </c>
      <c r="H894" s="37" t="s">
        <v>27</v>
      </c>
      <c r="I894" s="39" t="s">
        <v>36</v>
      </c>
      <c r="J894" s="3">
        <v>1106</v>
      </c>
      <c r="K894" s="56">
        <v>1335</v>
      </c>
      <c r="L894" s="65">
        <f t="shared" si="98"/>
        <v>1.2070524412296564</v>
      </c>
      <c r="M894" s="65">
        <f t="shared" si="99"/>
        <v>1.2070524412296564</v>
      </c>
      <c r="N894" s="37" t="s">
        <v>203</v>
      </c>
      <c r="O894" s="37" t="s">
        <v>203</v>
      </c>
      <c r="P894" s="37">
        <v>0</v>
      </c>
      <c r="Q894" s="37">
        <v>0</v>
      </c>
      <c r="R894" s="37" t="s">
        <v>1939</v>
      </c>
      <c r="S894" s="37"/>
    </row>
    <row r="895" spans="1:19" x14ac:dyDescent="0.3">
      <c r="A895" s="41">
        <v>384</v>
      </c>
      <c r="B895" s="37" t="s">
        <v>1940</v>
      </c>
      <c r="C895" s="37" t="s">
        <v>1915</v>
      </c>
      <c r="D895" s="37" t="s">
        <v>21</v>
      </c>
      <c r="E895" s="37" t="s">
        <v>22</v>
      </c>
      <c r="F895" s="42">
        <v>45107</v>
      </c>
      <c r="G895" s="37">
        <v>2023</v>
      </c>
      <c r="H895" s="37" t="s">
        <v>23</v>
      </c>
      <c r="I895" s="39" t="s">
        <v>30</v>
      </c>
      <c r="J895" s="37">
        <v>306</v>
      </c>
      <c r="K895" s="56">
        <v>342</v>
      </c>
      <c r="L895" s="65">
        <f t="shared" si="98"/>
        <v>1.1176470588235294</v>
      </c>
      <c r="M895" s="65">
        <f t="shared" si="99"/>
        <v>1.1176470588235294</v>
      </c>
      <c r="N895" s="37" t="s">
        <v>203</v>
      </c>
      <c r="O895" s="37" t="s">
        <v>203</v>
      </c>
      <c r="P895" s="37">
        <v>0</v>
      </c>
      <c r="Q895" s="37">
        <v>0</v>
      </c>
      <c r="R895" s="37" t="s">
        <v>1941</v>
      </c>
      <c r="S895" s="37"/>
    </row>
    <row r="896" spans="1:19" x14ac:dyDescent="0.3">
      <c r="A896" s="41">
        <v>384</v>
      </c>
      <c r="B896" s="37" t="s">
        <v>1940</v>
      </c>
      <c r="C896" s="37" t="s">
        <v>1915</v>
      </c>
      <c r="D896" s="37" t="s">
        <v>21</v>
      </c>
      <c r="E896" s="37" t="s">
        <v>22</v>
      </c>
      <c r="F896" s="42">
        <v>45291</v>
      </c>
      <c r="G896" s="37">
        <v>2023</v>
      </c>
      <c r="H896" s="37" t="s">
        <v>27</v>
      </c>
      <c r="I896" s="39" t="s">
        <v>32</v>
      </c>
      <c r="J896" s="37">
        <v>195</v>
      </c>
      <c r="K896" s="56">
        <v>225</v>
      </c>
      <c r="L896" s="65">
        <f t="shared" si="98"/>
        <v>1.1538461538461537</v>
      </c>
      <c r="M896" s="65">
        <f t="shared" si="99"/>
        <v>1.1538461538461537</v>
      </c>
      <c r="N896" s="37" t="s">
        <v>203</v>
      </c>
      <c r="O896" s="37" t="s">
        <v>203</v>
      </c>
      <c r="P896" s="37">
        <v>0</v>
      </c>
      <c r="Q896" s="37">
        <v>0</v>
      </c>
      <c r="R896" s="37" t="s">
        <v>1942</v>
      </c>
      <c r="S896" s="37"/>
    </row>
    <row r="897" spans="1:19" x14ac:dyDescent="0.3">
      <c r="A897" s="41">
        <v>384</v>
      </c>
      <c r="B897" s="37" t="s">
        <v>1940</v>
      </c>
      <c r="C897" s="37" t="s">
        <v>1915</v>
      </c>
      <c r="D897" s="37" t="s">
        <v>21</v>
      </c>
      <c r="E897" s="37" t="s">
        <v>22</v>
      </c>
      <c r="F897" s="42">
        <v>45473</v>
      </c>
      <c r="G897" s="37">
        <v>2024</v>
      </c>
      <c r="H897" s="37" t="s">
        <v>23</v>
      </c>
      <c r="I897" s="39" t="s">
        <v>34</v>
      </c>
      <c r="J897" s="37">
        <v>363</v>
      </c>
      <c r="K897" s="56">
        <v>371</v>
      </c>
      <c r="L897" s="65">
        <f t="shared" si="98"/>
        <v>1.0220385674931129</v>
      </c>
      <c r="M897" s="65">
        <f t="shared" si="99"/>
        <v>1.0220385674931129</v>
      </c>
      <c r="N897" s="37" t="s">
        <v>203</v>
      </c>
      <c r="O897" s="37" t="s">
        <v>203</v>
      </c>
      <c r="P897" s="37">
        <v>0</v>
      </c>
      <c r="Q897" s="37">
        <v>0</v>
      </c>
      <c r="R897" s="37" t="s">
        <v>1943</v>
      </c>
      <c r="S897" s="37"/>
    </row>
    <row r="898" spans="1:19" x14ac:dyDescent="0.3">
      <c r="A898" s="37">
        <v>384</v>
      </c>
      <c r="B898" s="37" t="s">
        <v>1940</v>
      </c>
      <c r="C898" s="37" t="s">
        <v>1915</v>
      </c>
      <c r="D898" s="37" t="s">
        <v>21</v>
      </c>
      <c r="E898" s="37" t="s">
        <v>22</v>
      </c>
      <c r="F898" s="42">
        <v>45657</v>
      </c>
      <c r="G898" s="37">
        <v>2024</v>
      </c>
      <c r="H898" s="37" t="s">
        <v>27</v>
      </c>
      <c r="I898" s="39" t="s">
        <v>36</v>
      </c>
      <c r="J898" s="37">
        <v>248</v>
      </c>
      <c r="K898" s="43">
        <v>218</v>
      </c>
      <c r="L898" s="65">
        <f t="shared" si="98"/>
        <v>0.87903225806451613</v>
      </c>
      <c r="M898" s="65">
        <f t="shared" si="99"/>
        <v>0.87903225806451613</v>
      </c>
      <c r="N898" s="37" t="s">
        <v>203</v>
      </c>
      <c r="O898" s="37" t="s">
        <v>203</v>
      </c>
      <c r="P898" s="37">
        <v>0</v>
      </c>
      <c r="Q898" s="37">
        <v>0</v>
      </c>
      <c r="R898" s="37" t="s">
        <v>1944</v>
      </c>
      <c r="S898" s="37"/>
    </row>
    <row r="899" spans="1:19" x14ac:dyDescent="0.3">
      <c r="A899" s="37">
        <v>385</v>
      </c>
      <c r="B899" s="37" t="s">
        <v>1945</v>
      </c>
      <c r="C899" s="37" t="s">
        <v>1946</v>
      </c>
      <c r="D899" s="37" t="s">
        <v>21</v>
      </c>
      <c r="E899" s="37" t="s">
        <v>22</v>
      </c>
      <c r="F899" s="38">
        <v>45107</v>
      </c>
      <c r="G899" s="40">
        <v>2023</v>
      </c>
      <c r="H899" s="39" t="s">
        <v>23</v>
      </c>
      <c r="I899" s="39" t="s">
        <v>30</v>
      </c>
      <c r="J899" s="37">
        <v>5315206000</v>
      </c>
      <c r="K899" s="60">
        <v>5473857759</v>
      </c>
      <c r="L899" s="65">
        <f t="shared" si="98"/>
        <v>1.0298486566654237</v>
      </c>
      <c r="M899" s="65">
        <f t="shared" si="99"/>
        <v>1.0298486566654237</v>
      </c>
      <c r="N899" s="37" t="s">
        <v>264</v>
      </c>
      <c r="O899" s="37" t="s">
        <v>264</v>
      </c>
      <c r="P899" s="37">
        <v>0</v>
      </c>
      <c r="Q899" s="37">
        <v>0</v>
      </c>
      <c r="R899" s="37" t="s">
        <v>1947</v>
      </c>
      <c r="S899" s="37"/>
    </row>
    <row r="900" spans="1:19" x14ac:dyDescent="0.3">
      <c r="A900" s="41">
        <v>385</v>
      </c>
      <c r="B900" s="37" t="s">
        <v>1945</v>
      </c>
      <c r="C900" s="37" t="s">
        <v>1946</v>
      </c>
      <c r="D900" s="37" t="s">
        <v>21</v>
      </c>
      <c r="E900" s="37" t="s">
        <v>22</v>
      </c>
      <c r="F900" s="42">
        <v>45291</v>
      </c>
      <c r="G900" s="37">
        <v>2023</v>
      </c>
      <c r="H900" s="37" t="s">
        <v>27</v>
      </c>
      <c r="I900" s="39" t="s">
        <v>32</v>
      </c>
      <c r="J900" s="37">
        <v>14097721000</v>
      </c>
      <c r="K900" s="37">
        <v>17612977930</v>
      </c>
      <c r="L900" s="65">
        <f t="shared" si="98"/>
        <v>1.2493493047564213</v>
      </c>
      <c r="M900" s="65">
        <f t="shared" si="99"/>
        <v>1.2493493047564213</v>
      </c>
      <c r="N900" s="37" t="s">
        <v>264</v>
      </c>
      <c r="O900" s="37" t="s">
        <v>264</v>
      </c>
      <c r="P900" s="37">
        <v>0</v>
      </c>
      <c r="Q900" s="37">
        <v>0</v>
      </c>
      <c r="R900" s="37" t="s">
        <v>1948</v>
      </c>
      <c r="S900" s="37"/>
    </row>
    <row r="901" spans="1:19" x14ac:dyDescent="0.3">
      <c r="A901" s="37">
        <v>385</v>
      </c>
      <c r="B901" s="37" t="s">
        <v>1945</v>
      </c>
      <c r="C901" s="37" t="s">
        <v>1946</v>
      </c>
      <c r="D901" s="37" t="s">
        <v>21</v>
      </c>
      <c r="E901" s="37" t="s">
        <v>22</v>
      </c>
      <c r="F901" s="42">
        <v>45473</v>
      </c>
      <c r="G901" s="37">
        <v>2024</v>
      </c>
      <c r="H901" s="37" t="s">
        <v>23</v>
      </c>
      <c r="I901" s="39" t="s">
        <v>34</v>
      </c>
      <c r="J901" s="37">
        <v>5441458845</v>
      </c>
      <c r="K901" s="37">
        <v>6182862063</v>
      </c>
      <c r="L901" s="65">
        <f t="shared" ref="L901:L907" si="100">IFERROR(IF(OR(J901=0,K901=""),"",IF(E901="Positivo",MIN(MAX(K901/J901,0),1.3),MIN(MAX(J901/K901,0),1.3))),"")</f>
        <v>1.1362508178631645</v>
      </c>
      <c r="M901" s="65">
        <f t="shared" ref="M901:M907" si="101">IFERROR(IF(OR(J901=0,K901=""),"",IF(E901="Positivo",MAX(K901/J901,0),MAX(J901/K901,0))),"")</f>
        <v>1.1362508178631645</v>
      </c>
      <c r="N901" s="37" t="s">
        <v>264</v>
      </c>
      <c r="O901" s="37" t="s">
        <v>264</v>
      </c>
      <c r="P901" s="37">
        <v>0</v>
      </c>
      <c r="Q901" s="37">
        <v>0</v>
      </c>
      <c r="R901" s="37" t="s">
        <v>1949</v>
      </c>
      <c r="S901" s="37"/>
    </row>
    <row r="902" spans="1:19" x14ac:dyDescent="0.3">
      <c r="A902" s="37">
        <v>385</v>
      </c>
      <c r="B902" s="37" t="s">
        <v>1945</v>
      </c>
      <c r="C902" s="37" t="s">
        <v>1946</v>
      </c>
      <c r="D902" s="37" t="s">
        <v>21</v>
      </c>
      <c r="E902" s="37" t="s">
        <v>22</v>
      </c>
      <c r="F902" s="42">
        <v>45657</v>
      </c>
      <c r="G902" s="37">
        <v>2024</v>
      </c>
      <c r="H902" s="37" t="s">
        <v>27</v>
      </c>
      <c r="I902" s="39" t="s">
        <v>36</v>
      </c>
      <c r="J902" s="37">
        <v>15507493100</v>
      </c>
      <c r="K902" s="59">
        <v>13733393754</v>
      </c>
      <c r="L902" s="65">
        <f t="shared" si="100"/>
        <v>0.88559728290319217</v>
      </c>
      <c r="M902" s="65">
        <f t="shared" si="101"/>
        <v>0.88559728290319217</v>
      </c>
      <c r="N902" s="37" t="s">
        <v>264</v>
      </c>
      <c r="O902" s="37" t="s">
        <v>264</v>
      </c>
      <c r="P902" s="37">
        <v>0</v>
      </c>
      <c r="Q902" s="37">
        <v>0</v>
      </c>
      <c r="R902" s="37" t="s">
        <v>1950</v>
      </c>
      <c r="S902" s="37"/>
    </row>
    <row r="903" spans="1:19" x14ac:dyDescent="0.3">
      <c r="A903" s="45">
        <v>386</v>
      </c>
      <c r="B903" s="37" t="s">
        <v>1951</v>
      </c>
      <c r="C903" s="37" t="s">
        <v>1946</v>
      </c>
      <c r="D903" s="37" t="s">
        <v>21</v>
      </c>
      <c r="E903" s="37" t="s">
        <v>22</v>
      </c>
      <c r="F903" s="42">
        <v>45107</v>
      </c>
      <c r="G903" s="37">
        <v>2023</v>
      </c>
      <c r="H903" s="37" t="s">
        <v>23</v>
      </c>
      <c r="I903" s="39" t="s">
        <v>30</v>
      </c>
      <c r="J903" s="37">
        <v>100</v>
      </c>
      <c r="K903" s="56">
        <v>102.98486566654</v>
      </c>
      <c r="L903" s="65">
        <f t="shared" si="100"/>
        <v>1.0298486566653999</v>
      </c>
      <c r="M903" s="65">
        <f t="shared" si="101"/>
        <v>1.0298486566653999</v>
      </c>
      <c r="N903" s="37" t="s">
        <v>264</v>
      </c>
      <c r="O903" s="37" t="s">
        <v>264</v>
      </c>
      <c r="P903" s="37">
        <v>0</v>
      </c>
      <c r="Q903" s="37">
        <v>0</v>
      </c>
      <c r="R903" s="37" t="s">
        <v>1952</v>
      </c>
      <c r="S903" s="37"/>
    </row>
    <row r="904" spans="1:19" x14ac:dyDescent="0.3">
      <c r="A904" s="41">
        <v>386</v>
      </c>
      <c r="B904" s="37" t="s">
        <v>1951</v>
      </c>
      <c r="C904" s="37" t="s">
        <v>1946</v>
      </c>
      <c r="D904" s="37" t="s">
        <v>21</v>
      </c>
      <c r="E904" s="37" t="s">
        <v>22</v>
      </c>
      <c r="F904" s="42">
        <v>45291</v>
      </c>
      <c r="G904" s="37">
        <v>2023</v>
      </c>
      <c r="H904" s="37" t="s">
        <v>27</v>
      </c>
      <c r="I904" s="39" t="s">
        <v>32</v>
      </c>
      <c r="J904" s="37">
        <v>100</v>
      </c>
      <c r="K904" s="56">
        <v>138.22</v>
      </c>
      <c r="L904" s="65">
        <f t="shared" si="100"/>
        <v>1.3</v>
      </c>
      <c r="M904" s="65">
        <f t="shared" si="101"/>
        <v>1.3822000000000001</v>
      </c>
      <c r="N904" s="37" t="s">
        <v>264</v>
      </c>
      <c r="O904" s="37" t="s">
        <v>264</v>
      </c>
      <c r="P904" s="37">
        <v>0</v>
      </c>
      <c r="Q904" s="37">
        <v>0</v>
      </c>
      <c r="R904" s="37" t="s">
        <v>1953</v>
      </c>
      <c r="S904" s="37"/>
    </row>
    <row r="905" spans="1:19" x14ac:dyDescent="0.3">
      <c r="A905" s="37">
        <v>386</v>
      </c>
      <c r="B905" s="37" t="s">
        <v>1951</v>
      </c>
      <c r="C905" s="37" t="s">
        <v>1946</v>
      </c>
      <c r="D905" s="37" t="s">
        <v>21</v>
      </c>
      <c r="E905" s="37" t="s">
        <v>22</v>
      </c>
      <c r="F905" s="42">
        <v>45473</v>
      </c>
      <c r="G905" s="37">
        <v>2024</v>
      </c>
      <c r="H905" s="37" t="s">
        <v>23</v>
      </c>
      <c r="I905" s="39" t="s">
        <v>34</v>
      </c>
      <c r="J905" s="37">
        <v>100</v>
      </c>
      <c r="K905" s="56">
        <v>113.63</v>
      </c>
      <c r="L905" s="65">
        <f t="shared" si="100"/>
        <v>1.1362999999999999</v>
      </c>
      <c r="M905" s="65">
        <f t="shared" si="101"/>
        <v>1.1362999999999999</v>
      </c>
      <c r="N905" s="37" t="s">
        <v>264</v>
      </c>
      <c r="O905" s="37" t="s">
        <v>264</v>
      </c>
      <c r="P905" s="37">
        <v>0</v>
      </c>
      <c r="Q905" s="37">
        <v>0</v>
      </c>
      <c r="R905" s="37" t="s">
        <v>1954</v>
      </c>
      <c r="S905" s="37"/>
    </row>
    <row r="906" spans="1:19" x14ac:dyDescent="0.3">
      <c r="A906" s="37">
        <v>386</v>
      </c>
      <c r="B906" s="37" t="s">
        <v>1951</v>
      </c>
      <c r="C906" s="37" t="s">
        <v>1946</v>
      </c>
      <c r="D906" s="37" t="s">
        <v>21</v>
      </c>
      <c r="E906" s="37" t="s">
        <v>22</v>
      </c>
      <c r="F906" s="42">
        <v>45657</v>
      </c>
      <c r="G906" s="37">
        <v>2024</v>
      </c>
      <c r="H906" s="37" t="s">
        <v>27</v>
      </c>
      <c r="I906" s="39" t="s">
        <v>36</v>
      </c>
      <c r="J906" s="37">
        <v>100</v>
      </c>
      <c r="K906" s="56">
        <v>75.010000000000005</v>
      </c>
      <c r="L906" s="65">
        <f t="shared" si="100"/>
        <v>0.7501000000000001</v>
      </c>
      <c r="M906" s="65">
        <f t="shared" si="101"/>
        <v>0.7501000000000001</v>
      </c>
      <c r="N906" s="37" t="s">
        <v>264</v>
      </c>
      <c r="O906" s="37" t="s">
        <v>264</v>
      </c>
      <c r="P906" s="37">
        <v>0</v>
      </c>
      <c r="Q906" s="37">
        <v>0</v>
      </c>
      <c r="R906" s="37" t="s">
        <v>1955</v>
      </c>
      <c r="S906" s="37"/>
    </row>
    <row r="907" spans="1:19" x14ac:dyDescent="0.3">
      <c r="A907" s="45">
        <v>387</v>
      </c>
      <c r="B907" s="37" t="s">
        <v>1958</v>
      </c>
      <c r="C907" s="37" t="s">
        <v>1234</v>
      </c>
      <c r="D907" s="37" t="s">
        <v>21</v>
      </c>
      <c r="E907" s="37" t="s">
        <v>22</v>
      </c>
      <c r="F907" s="42">
        <v>45107</v>
      </c>
      <c r="G907" s="37">
        <v>2023</v>
      </c>
      <c r="H907" s="37" t="s">
        <v>23</v>
      </c>
      <c r="I907" s="39" t="s">
        <v>30</v>
      </c>
      <c r="J907" s="37">
        <v>38</v>
      </c>
      <c r="K907" s="37">
        <v>38</v>
      </c>
      <c r="L907" s="74">
        <f t="shared" si="100"/>
        <v>1</v>
      </c>
      <c r="M907" s="65">
        <f t="shared" si="101"/>
        <v>1</v>
      </c>
      <c r="N907" s="37"/>
      <c r="O907" s="37"/>
      <c r="P907" s="37">
        <v>0</v>
      </c>
      <c r="Q907" s="37">
        <v>0</v>
      </c>
      <c r="R907" s="37" t="s">
        <v>1959</v>
      </c>
      <c r="S907" s="37"/>
    </row>
    <row r="908" spans="1:19" x14ac:dyDescent="0.3">
      <c r="A908" s="41">
        <v>387</v>
      </c>
      <c r="B908" s="37" t="s">
        <v>1958</v>
      </c>
      <c r="C908" s="37" t="s">
        <v>1234</v>
      </c>
      <c r="D908" s="37" t="s">
        <v>21</v>
      </c>
      <c r="E908" s="37" t="s">
        <v>22</v>
      </c>
      <c r="F908" s="42">
        <v>45291</v>
      </c>
      <c r="G908" s="37">
        <v>2023</v>
      </c>
      <c r="H908" s="37" t="s">
        <v>27</v>
      </c>
      <c r="I908" s="39" t="s">
        <v>32</v>
      </c>
      <c r="J908" s="37"/>
      <c r="K908" s="37"/>
      <c r="L908" s="67"/>
      <c r="M908" s="65"/>
      <c r="N908" s="37"/>
      <c r="O908" s="37"/>
      <c r="P908" s="37">
        <v>0</v>
      </c>
      <c r="Q908" s="37">
        <v>0</v>
      </c>
      <c r="R908" s="37" t="s">
        <v>1960</v>
      </c>
      <c r="S908" s="37"/>
    </row>
    <row r="909" spans="1:19" x14ac:dyDescent="0.3">
      <c r="A909" s="45">
        <v>388</v>
      </c>
      <c r="B909" s="37" t="s">
        <v>1961</v>
      </c>
      <c r="C909" s="37" t="s">
        <v>1234</v>
      </c>
      <c r="D909" s="37" t="s">
        <v>21</v>
      </c>
      <c r="E909" s="37" t="s">
        <v>22</v>
      </c>
      <c r="F909" s="42">
        <v>45107</v>
      </c>
      <c r="G909" s="37">
        <v>2023</v>
      </c>
      <c r="H909" s="37" t="s">
        <v>23</v>
      </c>
      <c r="I909" s="39" t="s">
        <v>30</v>
      </c>
      <c r="J909" s="37">
        <v>77</v>
      </c>
      <c r="K909" s="37">
        <v>77</v>
      </c>
      <c r="L909" s="74">
        <f t="shared" ref="L909:L914" si="102">IFERROR(IF(OR(J909=0,K909=""),"",IF(E909="Positivo",MIN(MAX(K909/J909,0),1.3),MIN(MAX(J909/K909,0),1.3))),"")</f>
        <v>1</v>
      </c>
      <c r="M909" s="65">
        <f t="shared" ref="M909:M914" si="103">IFERROR(IF(OR(J909=0,K909=""),"",IF(E909="Positivo",MAX(K909/J909,0),MAX(J909/K909,0))),"")</f>
        <v>1</v>
      </c>
      <c r="N909" s="37"/>
      <c r="O909" s="37"/>
      <c r="P909" s="37">
        <v>0</v>
      </c>
      <c r="Q909" s="37">
        <v>0</v>
      </c>
      <c r="R909" s="37" t="s">
        <v>1962</v>
      </c>
      <c r="S909" s="37"/>
    </row>
    <row r="910" spans="1:19" x14ac:dyDescent="0.3">
      <c r="A910" s="41">
        <v>388</v>
      </c>
      <c r="B910" s="37" t="s">
        <v>1961</v>
      </c>
      <c r="C910" s="37" t="s">
        <v>1234</v>
      </c>
      <c r="D910" s="37" t="s">
        <v>21</v>
      </c>
      <c r="E910" s="37" t="s">
        <v>22</v>
      </c>
      <c r="F910" s="42">
        <v>45291</v>
      </c>
      <c r="G910" s="37">
        <v>2023</v>
      </c>
      <c r="H910" s="37" t="s">
        <v>27</v>
      </c>
      <c r="I910" s="39" t="s">
        <v>32</v>
      </c>
      <c r="J910" s="37">
        <v>16</v>
      </c>
      <c r="K910" s="37">
        <v>16</v>
      </c>
      <c r="L910" s="74">
        <f t="shared" si="102"/>
        <v>1</v>
      </c>
      <c r="M910" s="65">
        <f t="shared" si="103"/>
        <v>1</v>
      </c>
      <c r="N910" s="37"/>
      <c r="O910" s="37"/>
      <c r="P910" s="37">
        <v>0</v>
      </c>
      <c r="Q910" s="37">
        <v>0</v>
      </c>
      <c r="R910" s="37" t="s">
        <v>1963</v>
      </c>
      <c r="S910" s="37"/>
    </row>
    <row r="911" spans="1:19" x14ac:dyDescent="0.3">
      <c r="A911" s="45">
        <v>389</v>
      </c>
      <c r="B911" s="37" t="s">
        <v>1964</v>
      </c>
      <c r="C911" s="37" t="s">
        <v>1208</v>
      </c>
      <c r="D911" s="37" t="s">
        <v>21</v>
      </c>
      <c r="E911" s="37" t="s">
        <v>22</v>
      </c>
      <c r="F911" s="42">
        <v>45107</v>
      </c>
      <c r="G911" s="37">
        <v>2023</v>
      </c>
      <c r="H911" s="37" t="s">
        <v>23</v>
      </c>
      <c r="I911" s="39" t="s">
        <v>30</v>
      </c>
      <c r="J911" s="37">
        <v>91</v>
      </c>
      <c r="K911" s="37">
        <v>0</v>
      </c>
      <c r="L911" s="74">
        <f t="shared" si="102"/>
        <v>0</v>
      </c>
      <c r="M911" s="65">
        <f t="shared" si="103"/>
        <v>0</v>
      </c>
      <c r="N911" s="37" t="s">
        <v>25</v>
      </c>
      <c r="O911" s="37" t="s">
        <v>25</v>
      </c>
      <c r="P911" s="37">
        <v>0</v>
      </c>
      <c r="Q911" s="37">
        <v>0</v>
      </c>
      <c r="R911" s="37" t="s">
        <v>1965</v>
      </c>
      <c r="S911" s="37"/>
    </row>
    <row r="912" spans="1:19" x14ac:dyDescent="0.3">
      <c r="A912" s="41">
        <v>389</v>
      </c>
      <c r="B912" s="37" t="s">
        <v>1964</v>
      </c>
      <c r="C912" s="37" t="s">
        <v>1208</v>
      </c>
      <c r="D912" s="37" t="s">
        <v>21</v>
      </c>
      <c r="E912" s="37" t="s">
        <v>22</v>
      </c>
      <c r="F912" s="42">
        <v>45291</v>
      </c>
      <c r="G912" s="37">
        <v>2023</v>
      </c>
      <c r="H912" s="37" t="s">
        <v>27</v>
      </c>
      <c r="I912" s="39" t="s">
        <v>32</v>
      </c>
      <c r="J912" s="37">
        <v>91</v>
      </c>
      <c r="K912" s="37">
        <v>0</v>
      </c>
      <c r="L912" s="74">
        <f t="shared" si="102"/>
        <v>0</v>
      </c>
      <c r="M912" s="65">
        <f t="shared" si="103"/>
        <v>0</v>
      </c>
      <c r="N912" s="37" t="s">
        <v>25</v>
      </c>
      <c r="O912" s="37" t="s">
        <v>25</v>
      </c>
      <c r="P912" s="37">
        <v>0</v>
      </c>
      <c r="Q912" s="37">
        <v>0</v>
      </c>
      <c r="R912" s="37" t="s">
        <v>1966</v>
      </c>
      <c r="S912" s="37"/>
    </row>
    <row r="913" spans="1:19" x14ac:dyDescent="0.3">
      <c r="A913" s="37">
        <v>389</v>
      </c>
      <c r="B913" s="37" t="s">
        <v>1964</v>
      </c>
      <c r="C913" s="37" t="s">
        <v>1208</v>
      </c>
      <c r="D913" s="37" t="s">
        <v>21</v>
      </c>
      <c r="E913" s="37" t="s">
        <v>22</v>
      </c>
      <c r="F913" s="42">
        <v>45473</v>
      </c>
      <c r="G913" s="37">
        <v>2024</v>
      </c>
      <c r="H913" s="37" t="s">
        <v>23</v>
      </c>
      <c r="I913" s="39" t="s">
        <v>34</v>
      </c>
      <c r="J913" s="37">
        <v>85</v>
      </c>
      <c r="K913" s="37">
        <v>84.433333333333323</v>
      </c>
      <c r="L913" s="65">
        <f t="shared" si="102"/>
        <v>0.99333333333333318</v>
      </c>
      <c r="M913" s="65">
        <f t="shared" si="103"/>
        <v>0.99333333333333318</v>
      </c>
      <c r="N913" s="37"/>
      <c r="O913" s="37"/>
      <c r="P913" s="37">
        <v>0</v>
      </c>
      <c r="Q913" s="37">
        <v>0</v>
      </c>
      <c r="R913" s="37" t="s">
        <v>1967</v>
      </c>
      <c r="S913" s="37"/>
    </row>
    <row r="914" spans="1:19" x14ac:dyDescent="0.3">
      <c r="A914" s="37">
        <v>389</v>
      </c>
      <c r="B914" s="37" t="s">
        <v>1964</v>
      </c>
      <c r="C914" s="37" t="s">
        <v>1208</v>
      </c>
      <c r="D914" s="37" t="s">
        <v>21</v>
      </c>
      <c r="E914" s="37" t="s">
        <v>22</v>
      </c>
      <c r="F914" s="42">
        <v>45657</v>
      </c>
      <c r="G914" s="37">
        <v>2024</v>
      </c>
      <c r="H914" s="37" t="s">
        <v>27</v>
      </c>
      <c r="I914" s="39" t="s">
        <v>36</v>
      </c>
      <c r="J914" s="37">
        <v>85</v>
      </c>
      <c r="K914" s="37">
        <v>0</v>
      </c>
      <c r="L914" s="65">
        <f t="shared" si="102"/>
        <v>0</v>
      </c>
      <c r="M914" s="65">
        <f t="shared" si="103"/>
        <v>0</v>
      </c>
      <c r="N914" s="37"/>
      <c r="O914" s="37"/>
      <c r="P914" s="37">
        <v>0</v>
      </c>
      <c r="Q914" s="37">
        <v>0</v>
      </c>
      <c r="R914" s="37" t="s">
        <v>1968</v>
      </c>
      <c r="S914" s="37"/>
    </row>
    <row r="915" spans="1:19" x14ac:dyDescent="0.3">
      <c r="A915" s="72">
        <v>390</v>
      </c>
      <c r="B915" s="37" t="s">
        <v>1970</v>
      </c>
      <c r="C915" s="37" t="s">
        <v>1263</v>
      </c>
      <c r="D915" s="37" t="s">
        <v>39</v>
      </c>
      <c r="E915" s="37" t="s">
        <v>22</v>
      </c>
      <c r="F915" s="42">
        <v>45016</v>
      </c>
      <c r="G915" s="37">
        <v>2023</v>
      </c>
      <c r="H915" s="37" t="s">
        <v>40</v>
      </c>
      <c r="I915" s="39" t="s">
        <v>30</v>
      </c>
      <c r="J915" s="37">
        <v>100</v>
      </c>
      <c r="K915" s="37">
        <v>0</v>
      </c>
      <c r="L915" s="74">
        <f t="shared" ref="L915:L920" si="104">IFERROR(IF(OR(J915=0,K915=""),"",IF(E915="Positivo",MIN(MAX(K915/J915,0),1),MIN(MAX(J915/K915,0),1))),"")</f>
        <v>0</v>
      </c>
      <c r="M915" s="65">
        <f t="shared" ref="M915:M920" si="105">IFERROR(IF(OR(J915=0,K915=""),"",IF(E915="Positivo",MIN(MAX(K915/J915,0),1),MIN(MAX(J915/K915,0),1))),"")</f>
        <v>0</v>
      </c>
      <c r="N915" s="37"/>
      <c r="O915" s="37"/>
      <c r="P915" s="37">
        <v>0</v>
      </c>
      <c r="Q915" s="37">
        <v>0</v>
      </c>
      <c r="R915" s="37" t="s">
        <v>1971</v>
      </c>
      <c r="S915" s="37"/>
    </row>
    <row r="916" spans="1:19" x14ac:dyDescent="0.3">
      <c r="A916" s="41">
        <v>390</v>
      </c>
      <c r="B916" s="37" t="s">
        <v>1970</v>
      </c>
      <c r="C916" s="37" t="s">
        <v>1263</v>
      </c>
      <c r="D916" s="37" t="s">
        <v>39</v>
      </c>
      <c r="E916" s="37" t="s">
        <v>22</v>
      </c>
      <c r="F916" s="42">
        <v>45107</v>
      </c>
      <c r="G916" s="37">
        <v>2023</v>
      </c>
      <c r="H916" s="37" t="s">
        <v>23</v>
      </c>
      <c r="I916" s="39" t="s">
        <v>30</v>
      </c>
      <c r="J916" s="37">
        <v>100</v>
      </c>
      <c r="K916" s="37">
        <v>110.38416666667</v>
      </c>
      <c r="L916" s="74">
        <f t="shared" si="104"/>
        <v>1</v>
      </c>
      <c r="M916" s="65">
        <f t="shared" si="105"/>
        <v>1</v>
      </c>
      <c r="N916" s="37"/>
      <c r="O916" s="37"/>
      <c r="P916" s="37">
        <v>0</v>
      </c>
      <c r="Q916" s="37">
        <v>0</v>
      </c>
      <c r="R916" s="37" t="s">
        <v>1972</v>
      </c>
      <c r="S916" s="37"/>
    </row>
    <row r="917" spans="1:19" x14ac:dyDescent="0.3">
      <c r="A917" s="45">
        <v>390</v>
      </c>
      <c r="B917" s="37" t="s">
        <v>1970</v>
      </c>
      <c r="C917" s="37" t="s">
        <v>1263</v>
      </c>
      <c r="D917" s="37" t="s">
        <v>39</v>
      </c>
      <c r="E917" s="37" t="s">
        <v>22</v>
      </c>
      <c r="F917" s="42">
        <v>45199</v>
      </c>
      <c r="G917" s="37">
        <v>2023</v>
      </c>
      <c r="H917" s="37" t="s">
        <v>43</v>
      </c>
      <c r="I917" s="39" t="s">
        <v>32</v>
      </c>
      <c r="J917" s="37">
        <v>100</v>
      </c>
      <c r="K917" s="37">
        <v>95.344166666666993</v>
      </c>
      <c r="L917" s="74">
        <f t="shared" si="104"/>
        <v>0.95344166666666996</v>
      </c>
      <c r="M917" s="65">
        <f t="shared" si="105"/>
        <v>0.95344166666666996</v>
      </c>
      <c r="N917" s="37"/>
      <c r="O917" s="37"/>
      <c r="P917" s="37">
        <v>0</v>
      </c>
      <c r="Q917" s="37">
        <v>0</v>
      </c>
      <c r="R917" s="37" t="s">
        <v>1973</v>
      </c>
      <c r="S917" s="37"/>
    </row>
    <row r="918" spans="1:19" x14ac:dyDescent="0.3">
      <c r="A918" s="41">
        <v>390</v>
      </c>
      <c r="B918" s="37" t="s">
        <v>1970</v>
      </c>
      <c r="C918" s="37" t="s">
        <v>1263</v>
      </c>
      <c r="D918" s="37" t="s">
        <v>39</v>
      </c>
      <c r="E918" s="37" t="s">
        <v>22</v>
      </c>
      <c r="F918" s="42">
        <v>45291</v>
      </c>
      <c r="G918" s="37">
        <v>2023</v>
      </c>
      <c r="H918" s="37" t="s">
        <v>27</v>
      </c>
      <c r="I918" s="39" t="s">
        <v>32</v>
      </c>
      <c r="J918" s="37">
        <v>100</v>
      </c>
      <c r="K918" s="37">
        <v>99.249166666666994</v>
      </c>
      <c r="L918" s="74">
        <f t="shared" si="104"/>
        <v>0.99249166666666999</v>
      </c>
      <c r="M918" s="65">
        <f t="shared" si="105"/>
        <v>0.99249166666666999</v>
      </c>
      <c r="N918" s="37"/>
      <c r="O918" s="37"/>
      <c r="P918" s="37">
        <v>0</v>
      </c>
      <c r="Q918" s="37">
        <v>0</v>
      </c>
      <c r="R918" s="37" t="s">
        <v>1974</v>
      </c>
      <c r="S918" s="37"/>
    </row>
    <row r="919" spans="1:19" x14ac:dyDescent="0.3">
      <c r="A919" s="37">
        <v>390</v>
      </c>
      <c r="B919" s="37" t="s">
        <v>1970</v>
      </c>
      <c r="C919" s="37" t="s">
        <v>1263</v>
      </c>
      <c r="D919" s="37" t="s">
        <v>39</v>
      </c>
      <c r="E919" s="37" t="s">
        <v>22</v>
      </c>
      <c r="F919" s="42">
        <v>45473</v>
      </c>
      <c r="G919" s="37">
        <v>2024</v>
      </c>
      <c r="H919" s="37" t="s">
        <v>23</v>
      </c>
      <c r="I919" s="39" t="s">
        <v>34</v>
      </c>
      <c r="J919" s="37">
        <v>100</v>
      </c>
      <c r="K919" s="37">
        <v>110.59</v>
      </c>
      <c r="L919" s="65">
        <f t="shared" si="104"/>
        <v>1</v>
      </c>
      <c r="M919" s="65">
        <f t="shared" si="105"/>
        <v>1</v>
      </c>
      <c r="N919" s="37"/>
      <c r="O919" s="37"/>
      <c r="P919" s="37">
        <v>0</v>
      </c>
      <c r="Q919" s="37">
        <v>0</v>
      </c>
      <c r="R919" s="37" t="s">
        <v>1976</v>
      </c>
      <c r="S919" s="37"/>
    </row>
    <row r="920" spans="1:19" x14ac:dyDescent="0.3">
      <c r="A920" s="37">
        <v>390</v>
      </c>
      <c r="B920" s="37" t="s">
        <v>1970</v>
      </c>
      <c r="C920" s="37" t="s">
        <v>1263</v>
      </c>
      <c r="D920" s="37" t="s">
        <v>39</v>
      </c>
      <c r="E920" s="37" t="s">
        <v>22</v>
      </c>
      <c r="F920" s="42">
        <v>45657</v>
      </c>
      <c r="G920" s="37">
        <v>2024</v>
      </c>
      <c r="H920" s="37" t="s">
        <v>27</v>
      </c>
      <c r="I920" s="39" t="s">
        <v>36</v>
      </c>
      <c r="J920" s="37">
        <v>100</v>
      </c>
      <c r="K920" s="37">
        <v>99.92</v>
      </c>
      <c r="L920" s="65">
        <f t="shared" si="104"/>
        <v>0.99919999999999998</v>
      </c>
      <c r="M920" s="65">
        <f t="shared" si="105"/>
        <v>0.99919999999999998</v>
      </c>
      <c r="N920" s="37"/>
      <c r="O920" s="37"/>
      <c r="P920" s="37">
        <v>0</v>
      </c>
      <c r="Q920" s="37">
        <v>0</v>
      </c>
      <c r="R920" s="37" t="s">
        <v>1978</v>
      </c>
      <c r="S920" s="37"/>
    </row>
    <row r="921" spans="1:19" x14ac:dyDescent="0.3">
      <c r="A921" s="45">
        <v>391</v>
      </c>
      <c r="B921" s="37" t="s">
        <v>1983</v>
      </c>
      <c r="C921" s="37" t="s">
        <v>1984</v>
      </c>
      <c r="D921" s="37" t="s">
        <v>21</v>
      </c>
      <c r="E921" s="37" t="s">
        <v>22</v>
      </c>
      <c r="F921" s="42">
        <v>45107</v>
      </c>
      <c r="G921" s="37">
        <v>2023</v>
      </c>
      <c r="H921" s="37" t="s">
        <v>23</v>
      </c>
      <c r="I921" s="39" t="s">
        <v>30</v>
      </c>
      <c r="J921" s="37">
        <v>100</v>
      </c>
      <c r="K921" s="37">
        <v>100</v>
      </c>
      <c r="L921" s="74">
        <f t="shared" ref="L921:L930" si="106">IFERROR(IF(OR(J921=0,K921=""),"",IF(E921="Positivo",MIN(MAX(K921/J921,0),1.3),MIN(MAX(J921/K921,0),1.3))),"")</f>
        <v>1</v>
      </c>
      <c r="M921" s="65">
        <f t="shared" ref="M921:M930" si="107">IFERROR(IF(OR(J921=0,K921=""),"",IF(E921="Positivo",MAX(K921/J921,0),MAX(J921/K921,0))),"")</f>
        <v>1</v>
      </c>
      <c r="N921" s="37" t="s">
        <v>25</v>
      </c>
      <c r="O921" s="37" t="s">
        <v>25</v>
      </c>
      <c r="P921" s="37">
        <v>0</v>
      </c>
      <c r="Q921" s="37">
        <v>0</v>
      </c>
      <c r="R921" s="37" t="s">
        <v>1985</v>
      </c>
      <c r="S921" s="37"/>
    </row>
    <row r="922" spans="1:19" x14ac:dyDescent="0.3">
      <c r="A922" s="41">
        <v>391</v>
      </c>
      <c r="B922" s="37" t="s">
        <v>1983</v>
      </c>
      <c r="C922" s="37" t="s">
        <v>1984</v>
      </c>
      <c r="D922" s="37" t="s">
        <v>21</v>
      </c>
      <c r="E922" s="37" t="s">
        <v>22</v>
      </c>
      <c r="F922" s="42">
        <v>45291</v>
      </c>
      <c r="G922" s="37">
        <v>2023</v>
      </c>
      <c r="H922" s="37" t="s">
        <v>27</v>
      </c>
      <c r="I922" s="39" t="s">
        <v>32</v>
      </c>
      <c r="J922" s="37">
        <v>100</v>
      </c>
      <c r="K922" s="37">
        <v>100</v>
      </c>
      <c r="L922" s="74">
        <f t="shared" si="106"/>
        <v>1</v>
      </c>
      <c r="M922" s="65">
        <f t="shared" si="107"/>
        <v>1</v>
      </c>
      <c r="N922" s="37" t="s">
        <v>25</v>
      </c>
      <c r="O922" s="37" t="s">
        <v>25</v>
      </c>
      <c r="P922" s="37">
        <v>0</v>
      </c>
      <c r="Q922" s="37">
        <v>0</v>
      </c>
      <c r="R922" s="37" t="s">
        <v>1986</v>
      </c>
      <c r="S922" s="37"/>
    </row>
    <row r="923" spans="1:19" x14ac:dyDescent="0.3">
      <c r="A923" s="37">
        <v>391</v>
      </c>
      <c r="B923" s="37" t="s">
        <v>1983</v>
      </c>
      <c r="C923" s="37" t="s">
        <v>1984</v>
      </c>
      <c r="D923" s="37" t="s">
        <v>21</v>
      </c>
      <c r="E923" s="37" t="s">
        <v>22</v>
      </c>
      <c r="F923" s="42">
        <v>45473</v>
      </c>
      <c r="G923" s="37">
        <v>2024</v>
      </c>
      <c r="H923" s="37" t="s">
        <v>23</v>
      </c>
      <c r="I923" s="39" t="s">
        <v>34</v>
      </c>
      <c r="J923" s="37">
        <v>96</v>
      </c>
      <c r="K923" s="37">
        <v>100</v>
      </c>
      <c r="L923" s="65">
        <f t="shared" si="106"/>
        <v>1.0416666666666667</v>
      </c>
      <c r="M923" s="65">
        <f t="shared" si="107"/>
        <v>1.0416666666666667</v>
      </c>
      <c r="N923" s="37"/>
      <c r="O923" s="37"/>
      <c r="P923" s="37">
        <v>0</v>
      </c>
      <c r="Q923" s="37">
        <v>0</v>
      </c>
      <c r="R923" s="37" t="s">
        <v>1987</v>
      </c>
      <c r="S923" s="37"/>
    </row>
    <row r="924" spans="1:19" x14ac:dyDescent="0.3">
      <c r="A924" s="37">
        <v>391</v>
      </c>
      <c r="B924" s="37" t="s">
        <v>1983</v>
      </c>
      <c r="C924" s="37" t="s">
        <v>1984</v>
      </c>
      <c r="D924" s="37" t="s">
        <v>21</v>
      </c>
      <c r="E924" s="37" t="s">
        <v>22</v>
      </c>
      <c r="F924" s="42">
        <v>45657</v>
      </c>
      <c r="G924" s="37">
        <v>2024</v>
      </c>
      <c r="H924" s="37" t="s">
        <v>27</v>
      </c>
      <c r="I924" s="39" t="s">
        <v>36</v>
      </c>
      <c r="J924" s="37">
        <v>96</v>
      </c>
      <c r="K924" s="37">
        <v>100</v>
      </c>
      <c r="L924" s="65">
        <f t="shared" si="106"/>
        <v>1.0416666666666667</v>
      </c>
      <c r="M924" s="65">
        <f t="shared" si="107"/>
        <v>1.0416666666666667</v>
      </c>
      <c r="N924" s="37"/>
      <c r="O924" s="37"/>
      <c r="P924" s="37">
        <v>0</v>
      </c>
      <c r="Q924" s="37">
        <v>0</v>
      </c>
      <c r="R924" s="37" t="s">
        <v>1988</v>
      </c>
      <c r="S924" s="37"/>
    </row>
    <row r="925" spans="1:19" x14ac:dyDescent="0.3">
      <c r="A925" s="45">
        <v>392</v>
      </c>
      <c r="B925" s="37" t="s">
        <v>1989</v>
      </c>
      <c r="C925" s="37" t="s">
        <v>1984</v>
      </c>
      <c r="D925" s="37" t="s">
        <v>21</v>
      </c>
      <c r="E925" s="37" t="s">
        <v>22</v>
      </c>
      <c r="F925" s="42">
        <v>45107</v>
      </c>
      <c r="G925" s="37">
        <v>2023</v>
      </c>
      <c r="H925" s="37" t="s">
        <v>23</v>
      </c>
      <c r="I925" s="39" t="s">
        <v>30</v>
      </c>
      <c r="J925" s="68">
        <v>310000000</v>
      </c>
      <c r="K925" s="68">
        <v>341285148</v>
      </c>
      <c r="L925" s="74">
        <f t="shared" si="106"/>
        <v>1.1009198322580644</v>
      </c>
      <c r="M925" s="65">
        <f t="shared" si="107"/>
        <v>1.1009198322580644</v>
      </c>
      <c r="N925" s="37"/>
      <c r="O925" s="37"/>
      <c r="P925" s="37">
        <v>0</v>
      </c>
      <c r="Q925" s="37">
        <v>0</v>
      </c>
      <c r="R925" s="37" t="s">
        <v>1990</v>
      </c>
      <c r="S925" s="37"/>
    </row>
    <row r="926" spans="1:19" x14ac:dyDescent="0.3">
      <c r="A926" s="41">
        <v>392</v>
      </c>
      <c r="B926" s="37" t="s">
        <v>1989</v>
      </c>
      <c r="C926" s="37" t="s">
        <v>1984</v>
      </c>
      <c r="D926" s="37" t="s">
        <v>21</v>
      </c>
      <c r="E926" s="37" t="s">
        <v>22</v>
      </c>
      <c r="F926" s="42">
        <v>45291</v>
      </c>
      <c r="G926" s="37">
        <v>2023</v>
      </c>
      <c r="H926" s="37" t="s">
        <v>27</v>
      </c>
      <c r="I926" s="39" t="s">
        <v>32</v>
      </c>
      <c r="J926" s="37">
        <v>730000000</v>
      </c>
      <c r="K926" s="68">
        <v>1075863089</v>
      </c>
      <c r="L926" s="74">
        <f t="shared" si="106"/>
        <v>1.3</v>
      </c>
      <c r="M926" s="65">
        <f t="shared" si="107"/>
        <v>1.4737850534246575</v>
      </c>
      <c r="N926" s="37"/>
      <c r="O926" s="37"/>
      <c r="P926" s="37">
        <v>0</v>
      </c>
      <c r="Q926" s="37">
        <v>0</v>
      </c>
      <c r="R926" s="37" t="s">
        <v>1991</v>
      </c>
      <c r="S926" s="37"/>
    </row>
    <row r="927" spans="1:19" x14ac:dyDescent="0.3">
      <c r="A927" s="37">
        <v>392</v>
      </c>
      <c r="B927" s="37" t="s">
        <v>1989</v>
      </c>
      <c r="C927" s="37" t="s">
        <v>1984</v>
      </c>
      <c r="D927" s="37" t="s">
        <v>21</v>
      </c>
      <c r="E927" s="37" t="s">
        <v>22</v>
      </c>
      <c r="F927" s="42">
        <v>45473</v>
      </c>
      <c r="G927" s="37">
        <v>2024</v>
      </c>
      <c r="H927" s="37" t="s">
        <v>23</v>
      </c>
      <c r="I927" s="39" t="s">
        <v>34</v>
      </c>
      <c r="J927" s="37">
        <v>341000000</v>
      </c>
      <c r="K927" s="37">
        <v>334552287</v>
      </c>
      <c r="L927" s="65">
        <f t="shared" si="106"/>
        <v>0.98109175073313781</v>
      </c>
      <c r="M927" s="65">
        <f t="shared" si="107"/>
        <v>0.98109175073313781</v>
      </c>
      <c r="N927" s="37"/>
      <c r="O927" s="37"/>
      <c r="P927" s="37">
        <v>0</v>
      </c>
      <c r="Q927" s="37">
        <v>0</v>
      </c>
      <c r="R927" s="37" t="s">
        <v>1992</v>
      </c>
      <c r="S927" s="37"/>
    </row>
    <row r="928" spans="1:19" x14ac:dyDescent="0.3">
      <c r="A928" s="37">
        <v>392</v>
      </c>
      <c r="B928" s="37" t="s">
        <v>1989</v>
      </c>
      <c r="C928" s="37" t="s">
        <v>1984</v>
      </c>
      <c r="D928" s="37" t="s">
        <v>21</v>
      </c>
      <c r="E928" s="37" t="s">
        <v>22</v>
      </c>
      <c r="F928" s="42">
        <v>45657</v>
      </c>
      <c r="G928" s="37">
        <v>2024</v>
      </c>
      <c r="H928" s="37" t="s">
        <v>27</v>
      </c>
      <c r="I928" s="39" t="s">
        <v>36</v>
      </c>
      <c r="J928" s="37">
        <v>803000000</v>
      </c>
      <c r="K928" s="37">
        <v>1166018880</v>
      </c>
      <c r="L928" s="65">
        <f t="shared" si="106"/>
        <v>1.3</v>
      </c>
      <c r="M928" s="65">
        <f t="shared" si="107"/>
        <v>1.4520783063511831</v>
      </c>
      <c r="N928" s="37"/>
      <c r="O928" s="37"/>
      <c r="P928" s="37">
        <v>0</v>
      </c>
      <c r="Q928" s="37">
        <v>0</v>
      </c>
      <c r="R928" s="37" t="s">
        <v>1993</v>
      </c>
      <c r="S928" s="37"/>
    </row>
    <row r="929" spans="1:19" x14ac:dyDescent="0.3">
      <c r="A929" s="41">
        <v>393</v>
      </c>
      <c r="B929" s="37" t="s">
        <v>1994</v>
      </c>
      <c r="C929" s="37" t="s">
        <v>1984</v>
      </c>
      <c r="D929" s="37" t="s">
        <v>139</v>
      </c>
      <c r="E929" s="37" t="s">
        <v>22</v>
      </c>
      <c r="F929" s="42">
        <v>45291</v>
      </c>
      <c r="G929" s="37">
        <v>2023</v>
      </c>
      <c r="H929" s="37" t="s">
        <v>27</v>
      </c>
      <c r="I929" s="39" t="s">
        <v>32</v>
      </c>
      <c r="J929" s="37">
        <v>15</v>
      </c>
      <c r="K929" s="37">
        <v>15.45</v>
      </c>
      <c r="L929" s="74">
        <f t="shared" si="106"/>
        <v>1.03</v>
      </c>
      <c r="M929" s="65">
        <f t="shared" si="107"/>
        <v>1.03</v>
      </c>
      <c r="N929" s="37"/>
      <c r="O929" s="37"/>
      <c r="P929" s="37">
        <v>1</v>
      </c>
      <c r="Q929" s="37">
        <v>1</v>
      </c>
      <c r="R929" s="37" t="s">
        <v>1995</v>
      </c>
      <c r="S929" s="37"/>
    </row>
    <row r="930" spans="1:19" x14ac:dyDescent="0.3">
      <c r="A930" s="37">
        <v>393</v>
      </c>
      <c r="B930" s="37" t="s">
        <v>1994</v>
      </c>
      <c r="C930" s="37" t="s">
        <v>1984</v>
      </c>
      <c r="D930" s="37" t="s">
        <v>139</v>
      </c>
      <c r="E930" s="37" t="s">
        <v>56</v>
      </c>
      <c r="F930" s="42">
        <v>45657</v>
      </c>
      <c r="G930" s="37">
        <v>2024</v>
      </c>
      <c r="H930" s="37" t="s">
        <v>27</v>
      </c>
      <c r="I930" s="39" t="s">
        <v>36</v>
      </c>
      <c r="J930" s="37">
        <v>15</v>
      </c>
      <c r="K930" s="37">
        <v>13</v>
      </c>
      <c r="L930" s="65">
        <f t="shared" si="106"/>
        <v>1.1538461538461537</v>
      </c>
      <c r="M930" s="65">
        <f t="shared" si="107"/>
        <v>1.1538461538461537</v>
      </c>
      <c r="N930" s="37"/>
      <c r="O930" s="37"/>
      <c r="P930" s="37">
        <v>0</v>
      </c>
      <c r="Q930" s="37">
        <v>0</v>
      </c>
      <c r="R930" s="37" t="s">
        <v>1996</v>
      </c>
      <c r="S930" s="37"/>
    </row>
    <row r="931" spans="1:19" x14ac:dyDescent="0.3">
      <c r="A931" s="45">
        <v>394</v>
      </c>
      <c r="B931" s="37" t="s">
        <v>1997</v>
      </c>
      <c r="C931" s="37" t="s">
        <v>1998</v>
      </c>
      <c r="D931" s="37" t="s">
        <v>21</v>
      </c>
      <c r="E931" s="37" t="s">
        <v>22</v>
      </c>
      <c r="F931" s="42">
        <v>45107</v>
      </c>
      <c r="G931" s="37">
        <v>2023</v>
      </c>
      <c r="H931" s="37" t="s">
        <v>23</v>
      </c>
      <c r="I931" s="39" t="s">
        <v>30</v>
      </c>
      <c r="J931" s="37">
        <v>87.5</v>
      </c>
      <c r="K931" s="37">
        <v>241</v>
      </c>
      <c r="L931" s="65">
        <f t="shared" ref="L931:L952" si="108">IFERROR(IF(OR(J931=0,K931=""),"",IF(E931="Positivo",MIN(MAX(K931/J931,0),1.3),MIN(MAX(J931/K931,0),1.3))),"")</f>
        <v>1.3</v>
      </c>
      <c r="M931" s="65">
        <f t="shared" ref="M931:M952" si="109">IFERROR(IF(OR(J931=0,K931=""),"",IF(E931="Positivo",MAX(K931/J931,0),MAX(J931/K931,0))),"")</f>
        <v>2.7542857142857144</v>
      </c>
      <c r="N931" s="37" t="s">
        <v>203</v>
      </c>
      <c r="O931" s="37" t="s">
        <v>203</v>
      </c>
      <c r="P931" s="37">
        <v>0</v>
      </c>
      <c r="Q931" s="37">
        <v>0</v>
      </c>
      <c r="R931" s="37" t="s">
        <v>2000</v>
      </c>
      <c r="S931" s="37"/>
    </row>
    <row r="932" spans="1:19" x14ac:dyDescent="0.3">
      <c r="A932" s="41">
        <v>394</v>
      </c>
      <c r="B932" s="37" t="s">
        <v>1997</v>
      </c>
      <c r="C932" s="37" t="s">
        <v>1998</v>
      </c>
      <c r="D932" s="37" t="s">
        <v>21</v>
      </c>
      <c r="E932" s="37" t="s">
        <v>22</v>
      </c>
      <c r="F932" s="42">
        <v>45291</v>
      </c>
      <c r="G932" s="37">
        <v>2023</v>
      </c>
      <c r="H932" s="37" t="s">
        <v>27</v>
      </c>
      <c r="I932" s="39" t="s">
        <v>32</v>
      </c>
      <c r="J932" s="37">
        <v>87.5</v>
      </c>
      <c r="K932" s="37">
        <v>306</v>
      </c>
      <c r="L932" s="65">
        <f t="shared" si="108"/>
        <v>1.3</v>
      </c>
      <c r="M932" s="65">
        <f t="shared" si="109"/>
        <v>3.4971428571428573</v>
      </c>
      <c r="N932" s="37" t="s">
        <v>203</v>
      </c>
      <c r="O932" s="37" t="s">
        <v>203</v>
      </c>
      <c r="P932" s="37">
        <v>0</v>
      </c>
      <c r="Q932" s="37">
        <v>0</v>
      </c>
      <c r="R932" s="37" t="s">
        <v>2002</v>
      </c>
      <c r="S932" s="37"/>
    </row>
    <row r="933" spans="1:19" x14ac:dyDescent="0.3">
      <c r="A933" s="37">
        <v>394</v>
      </c>
      <c r="B933" s="37" t="s">
        <v>1997</v>
      </c>
      <c r="C933" s="37" t="s">
        <v>1998</v>
      </c>
      <c r="D933" s="37" t="s">
        <v>21</v>
      </c>
      <c r="E933" s="37" t="s">
        <v>22</v>
      </c>
      <c r="F933" s="42">
        <v>45473</v>
      </c>
      <c r="G933" s="37">
        <v>2024</v>
      </c>
      <c r="H933" s="37" t="s">
        <v>23</v>
      </c>
      <c r="I933" s="39" t="s">
        <v>34</v>
      </c>
      <c r="J933" s="37">
        <v>250</v>
      </c>
      <c r="K933" s="37">
        <v>296.5</v>
      </c>
      <c r="L933" s="65">
        <f t="shared" si="108"/>
        <v>1.1859999999999999</v>
      </c>
      <c r="M933" s="65">
        <f t="shared" si="109"/>
        <v>1.1859999999999999</v>
      </c>
      <c r="N933" s="37" t="s">
        <v>203</v>
      </c>
      <c r="O933" s="37" t="s">
        <v>203</v>
      </c>
      <c r="P933" s="37">
        <v>0</v>
      </c>
      <c r="Q933" s="37">
        <v>0</v>
      </c>
      <c r="R933" s="37" t="s">
        <v>2004</v>
      </c>
      <c r="S933" s="37"/>
    </row>
    <row r="934" spans="1:19" x14ac:dyDescent="0.3">
      <c r="A934" s="37">
        <v>394</v>
      </c>
      <c r="B934" s="37" t="s">
        <v>1997</v>
      </c>
      <c r="C934" s="37" t="s">
        <v>1998</v>
      </c>
      <c r="D934" s="37" t="s">
        <v>21</v>
      </c>
      <c r="E934" s="37" t="s">
        <v>22</v>
      </c>
      <c r="F934" s="42">
        <v>45657</v>
      </c>
      <c r="G934" s="37">
        <v>2024</v>
      </c>
      <c r="H934" s="37" t="s">
        <v>27</v>
      </c>
      <c r="I934" s="39" t="s">
        <v>36</v>
      </c>
      <c r="J934" s="37">
        <v>250</v>
      </c>
      <c r="K934" s="43">
        <v>480</v>
      </c>
      <c r="L934" s="65">
        <f t="shared" si="108"/>
        <v>1.3</v>
      </c>
      <c r="M934" s="65">
        <f t="shared" si="109"/>
        <v>1.92</v>
      </c>
      <c r="N934" s="37" t="s">
        <v>203</v>
      </c>
      <c r="O934" s="37" t="s">
        <v>203</v>
      </c>
      <c r="P934" s="37">
        <v>0</v>
      </c>
      <c r="Q934" s="37">
        <v>0</v>
      </c>
      <c r="R934" s="37" t="s">
        <v>2006</v>
      </c>
      <c r="S934" s="37"/>
    </row>
    <row r="935" spans="1:19" x14ac:dyDescent="0.3">
      <c r="A935" s="45">
        <v>395</v>
      </c>
      <c r="B935" s="37" t="s">
        <v>2009</v>
      </c>
      <c r="C935" s="37" t="s">
        <v>1998</v>
      </c>
      <c r="D935" s="37" t="s">
        <v>21</v>
      </c>
      <c r="E935" s="37" t="s">
        <v>22</v>
      </c>
      <c r="F935" s="42">
        <v>45107</v>
      </c>
      <c r="G935" s="37">
        <v>2023</v>
      </c>
      <c r="H935" s="37" t="s">
        <v>23</v>
      </c>
      <c r="I935" s="39" t="s">
        <v>30</v>
      </c>
      <c r="J935" s="37">
        <v>8.5</v>
      </c>
      <c r="K935" s="37">
        <v>25</v>
      </c>
      <c r="L935" s="65">
        <f t="shared" si="108"/>
        <v>1.3</v>
      </c>
      <c r="M935" s="65">
        <f t="shared" si="109"/>
        <v>2.9411764705882355</v>
      </c>
      <c r="N935" s="37" t="s">
        <v>203</v>
      </c>
      <c r="O935" s="37" t="s">
        <v>203</v>
      </c>
      <c r="P935" s="37">
        <v>0</v>
      </c>
      <c r="Q935" s="37">
        <v>0</v>
      </c>
      <c r="R935" s="37" t="s">
        <v>2010</v>
      </c>
      <c r="S935" s="37"/>
    </row>
    <row r="936" spans="1:19" x14ac:dyDescent="0.3">
      <c r="A936" s="41">
        <v>395</v>
      </c>
      <c r="B936" s="37" t="s">
        <v>2009</v>
      </c>
      <c r="C936" s="37" t="s">
        <v>1998</v>
      </c>
      <c r="D936" s="37" t="s">
        <v>21</v>
      </c>
      <c r="E936" s="37" t="s">
        <v>22</v>
      </c>
      <c r="F936" s="42">
        <v>45291</v>
      </c>
      <c r="G936" s="37">
        <v>2023</v>
      </c>
      <c r="H936" s="37" t="s">
        <v>27</v>
      </c>
      <c r="I936" s="39" t="s">
        <v>32</v>
      </c>
      <c r="J936" s="37">
        <v>18</v>
      </c>
      <c r="K936" s="37">
        <v>48</v>
      </c>
      <c r="L936" s="65">
        <f t="shared" si="108"/>
        <v>1.3</v>
      </c>
      <c r="M936" s="65">
        <f t="shared" si="109"/>
        <v>2.6666666666666665</v>
      </c>
      <c r="N936" s="37" t="s">
        <v>203</v>
      </c>
      <c r="O936" s="37" t="s">
        <v>203</v>
      </c>
      <c r="P936" s="37">
        <v>0</v>
      </c>
      <c r="Q936" s="37">
        <v>0</v>
      </c>
      <c r="R936" s="37" t="s">
        <v>2011</v>
      </c>
      <c r="S936" s="37"/>
    </row>
    <row r="937" spans="1:19" x14ac:dyDescent="0.3">
      <c r="A937" s="37">
        <v>395</v>
      </c>
      <c r="B937" s="37" t="s">
        <v>2007</v>
      </c>
      <c r="C937" s="37" t="s">
        <v>1998</v>
      </c>
      <c r="D937" s="37" t="s">
        <v>21</v>
      </c>
      <c r="E937" s="37" t="s">
        <v>22</v>
      </c>
      <c r="F937" s="42">
        <v>45473</v>
      </c>
      <c r="G937" s="37">
        <v>2024</v>
      </c>
      <c r="H937" s="37" t="s">
        <v>23</v>
      </c>
      <c r="I937" s="39" t="s">
        <v>34</v>
      </c>
      <c r="J937" s="37">
        <v>45</v>
      </c>
      <c r="K937" s="37">
        <v>49.5</v>
      </c>
      <c r="L937" s="65">
        <f t="shared" si="108"/>
        <v>1.1000000000000001</v>
      </c>
      <c r="M937" s="65">
        <f t="shared" si="109"/>
        <v>1.1000000000000001</v>
      </c>
      <c r="N937" s="37" t="s">
        <v>203</v>
      </c>
      <c r="O937" s="37" t="s">
        <v>203</v>
      </c>
      <c r="P937" s="37">
        <v>0</v>
      </c>
      <c r="Q937" s="37">
        <v>0</v>
      </c>
      <c r="R937" s="37" t="s">
        <v>2013</v>
      </c>
      <c r="S937" s="37"/>
    </row>
    <row r="938" spans="1:19" x14ac:dyDescent="0.3">
      <c r="A938" s="37">
        <v>395</v>
      </c>
      <c r="B938" s="37" t="s">
        <v>2007</v>
      </c>
      <c r="C938" s="37" t="s">
        <v>1998</v>
      </c>
      <c r="D938" s="37" t="s">
        <v>21</v>
      </c>
      <c r="E938" s="37" t="s">
        <v>22</v>
      </c>
      <c r="F938" s="42">
        <v>45657</v>
      </c>
      <c r="G938" s="37">
        <v>2024</v>
      </c>
      <c r="H938" s="37" t="s">
        <v>27</v>
      </c>
      <c r="I938" s="39" t="s">
        <v>36</v>
      </c>
      <c r="J938" s="37">
        <v>45</v>
      </c>
      <c r="K938" s="40">
        <v>67</v>
      </c>
      <c r="L938" s="65">
        <f t="shared" si="108"/>
        <v>1.3</v>
      </c>
      <c r="M938" s="65">
        <f t="shared" si="109"/>
        <v>1.4888888888888889</v>
      </c>
      <c r="N938" s="37" t="s">
        <v>203</v>
      </c>
      <c r="O938" s="37" t="s">
        <v>203</v>
      </c>
      <c r="P938" s="37">
        <v>0</v>
      </c>
      <c r="Q938" s="37">
        <v>0</v>
      </c>
      <c r="R938" s="37" t="s">
        <v>2015</v>
      </c>
      <c r="S938" s="37"/>
    </row>
    <row r="939" spans="1:19" x14ac:dyDescent="0.3">
      <c r="A939" s="41">
        <v>396</v>
      </c>
      <c r="B939" s="37" t="s">
        <v>2016</v>
      </c>
      <c r="C939" s="37" t="s">
        <v>1984</v>
      </c>
      <c r="D939" s="37" t="s">
        <v>21</v>
      </c>
      <c r="E939" s="37" t="s">
        <v>22</v>
      </c>
      <c r="F939" s="42">
        <v>45107</v>
      </c>
      <c r="G939" s="37">
        <v>2023</v>
      </c>
      <c r="H939" s="37" t="s">
        <v>23</v>
      </c>
      <c r="I939" s="39" t="s">
        <v>30</v>
      </c>
      <c r="J939" s="37">
        <v>80</v>
      </c>
      <c r="K939" s="61">
        <v>91.07</v>
      </c>
      <c r="L939" s="74">
        <f t="shared" si="108"/>
        <v>1.1383749999999999</v>
      </c>
      <c r="M939" s="65">
        <f t="shared" si="109"/>
        <v>1.1383749999999999</v>
      </c>
      <c r="N939" s="37" t="s">
        <v>25</v>
      </c>
      <c r="O939" s="37" t="s">
        <v>25</v>
      </c>
      <c r="P939" s="37">
        <v>0</v>
      </c>
      <c r="Q939" s="37">
        <v>1</v>
      </c>
      <c r="R939" s="37" t="s">
        <v>3532</v>
      </c>
      <c r="S939" s="37"/>
    </row>
    <row r="940" spans="1:19" x14ac:dyDescent="0.3">
      <c r="A940" s="41">
        <v>396</v>
      </c>
      <c r="B940" s="37" t="s">
        <v>2016</v>
      </c>
      <c r="C940" s="37" t="s">
        <v>1984</v>
      </c>
      <c r="D940" s="37" t="s">
        <v>21</v>
      </c>
      <c r="E940" s="37" t="s">
        <v>22</v>
      </c>
      <c r="F940" s="42">
        <v>45291</v>
      </c>
      <c r="G940" s="37">
        <v>2023</v>
      </c>
      <c r="H940" s="37" t="s">
        <v>27</v>
      </c>
      <c r="I940" s="39" t="s">
        <v>32</v>
      </c>
      <c r="J940" s="37">
        <v>80</v>
      </c>
      <c r="K940" s="61">
        <v>92.96</v>
      </c>
      <c r="L940" s="74">
        <f t="shared" si="108"/>
        <v>1.1619999999999999</v>
      </c>
      <c r="M940" s="65">
        <f t="shared" si="109"/>
        <v>1.1619999999999999</v>
      </c>
      <c r="N940" s="37" t="s">
        <v>25</v>
      </c>
      <c r="O940" s="37" t="s">
        <v>25</v>
      </c>
      <c r="P940" s="37">
        <v>0</v>
      </c>
      <c r="Q940" s="37">
        <v>1</v>
      </c>
      <c r="R940" s="37" t="s">
        <v>2017</v>
      </c>
      <c r="S940" s="37"/>
    </row>
    <row r="941" spans="1:19" x14ac:dyDescent="0.3">
      <c r="A941" s="41">
        <v>396</v>
      </c>
      <c r="B941" s="37" t="s">
        <v>2016</v>
      </c>
      <c r="C941" s="37" t="s">
        <v>1984</v>
      </c>
      <c r="D941" s="37" t="s">
        <v>21</v>
      </c>
      <c r="E941" s="37" t="s">
        <v>22</v>
      </c>
      <c r="F941" s="42">
        <v>45473</v>
      </c>
      <c r="G941" s="37">
        <v>2024</v>
      </c>
      <c r="H941" s="37" t="s">
        <v>23</v>
      </c>
      <c r="I941" s="39" t="s">
        <v>34</v>
      </c>
      <c r="J941" s="37">
        <v>80</v>
      </c>
      <c r="K941" s="37">
        <v>88.08</v>
      </c>
      <c r="L941" s="74">
        <f t="shared" si="108"/>
        <v>1.101</v>
      </c>
      <c r="M941" s="65">
        <f t="shared" si="109"/>
        <v>1.101</v>
      </c>
      <c r="N941" s="37" t="s">
        <v>25</v>
      </c>
      <c r="O941" s="37" t="s">
        <v>25</v>
      </c>
      <c r="P941" s="37">
        <v>0</v>
      </c>
      <c r="Q941" s="37">
        <v>1</v>
      </c>
      <c r="R941" s="37" t="s">
        <v>2019</v>
      </c>
      <c r="S941" s="37"/>
    </row>
    <row r="942" spans="1:19" x14ac:dyDescent="0.3">
      <c r="A942" s="41">
        <v>396</v>
      </c>
      <c r="B942" s="37" t="s">
        <v>2016</v>
      </c>
      <c r="C942" s="37" t="s">
        <v>1984</v>
      </c>
      <c r="D942" s="37" t="s">
        <v>21</v>
      </c>
      <c r="E942" s="37" t="s">
        <v>22</v>
      </c>
      <c r="F942" s="42">
        <v>45657</v>
      </c>
      <c r="G942" s="37">
        <v>2024</v>
      </c>
      <c r="H942" s="37" t="s">
        <v>27</v>
      </c>
      <c r="I942" s="39" t="s">
        <v>36</v>
      </c>
      <c r="J942" s="37">
        <v>80</v>
      </c>
      <c r="K942" s="43">
        <v>94.88</v>
      </c>
      <c r="L942" s="74">
        <f t="shared" si="108"/>
        <v>1.1859999999999999</v>
      </c>
      <c r="M942" s="65">
        <f t="shared" si="109"/>
        <v>1.1859999999999999</v>
      </c>
      <c r="N942" s="37" t="s">
        <v>25</v>
      </c>
      <c r="O942" s="37" t="s">
        <v>25</v>
      </c>
      <c r="P942" s="37">
        <v>0</v>
      </c>
      <c r="Q942" s="37">
        <v>1</v>
      </c>
      <c r="R942" s="37" t="s">
        <v>3533</v>
      </c>
      <c r="S942" s="37"/>
    </row>
    <row r="943" spans="1:19" x14ac:dyDescent="0.3">
      <c r="A943" s="45">
        <v>397</v>
      </c>
      <c r="B943" s="37" t="s">
        <v>2025</v>
      </c>
      <c r="C943" s="37" t="s">
        <v>2018</v>
      </c>
      <c r="D943" s="37" t="s">
        <v>21</v>
      </c>
      <c r="E943" s="37" t="s">
        <v>22</v>
      </c>
      <c r="F943" s="42">
        <v>45107</v>
      </c>
      <c r="G943" s="37">
        <v>2023</v>
      </c>
      <c r="H943" s="37" t="s">
        <v>23</v>
      </c>
      <c r="I943" s="39" t="s">
        <v>30</v>
      </c>
      <c r="J943" s="37">
        <v>224</v>
      </c>
      <c r="K943" s="37">
        <v>204</v>
      </c>
      <c r="L943" s="74">
        <f t="shared" si="108"/>
        <v>0.9107142857142857</v>
      </c>
      <c r="M943" s="65">
        <f t="shared" si="109"/>
        <v>0.9107142857142857</v>
      </c>
      <c r="N943" s="37" t="s">
        <v>25</v>
      </c>
      <c r="O943" s="37" t="s">
        <v>25</v>
      </c>
      <c r="P943" s="37">
        <v>1</v>
      </c>
      <c r="Q943" s="37">
        <v>1</v>
      </c>
      <c r="R943" s="37" t="s">
        <v>2021</v>
      </c>
      <c r="S943" s="37"/>
    </row>
    <row r="944" spans="1:19" x14ac:dyDescent="0.3">
      <c r="A944" s="41">
        <v>397</v>
      </c>
      <c r="B944" s="37" t="s">
        <v>2025</v>
      </c>
      <c r="C944" s="37" t="s">
        <v>2018</v>
      </c>
      <c r="D944" s="37" t="s">
        <v>21</v>
      </c>
      <c r="E944" s="37" t="s">
        <v>22</v>
      </c>
      <c r="F944" s="42">
        <v>45291</v>
      </c>
      <c r="G944" s="37">
        <v>2023</v>
      </c>
      <c r="H944" s="37" t="s">
        <v>27</v>
      </c>
      <c r="I944" s="39" t="s">
        <v>32</v>
      </c>
      <c r="J944" s="37">
        <v>284</v>
      </c>
      <c r="K944" s="37">
        <v>264</v>
      </c>
      <c r="L944" s="74">
        <f t="shared" si="108"/>
        <v>0.92957746478873238</v>
      </c>
      <c r="M944" s="65">
        <f t="shared" si="109"/>
        <v>0.92957746478873238</v>
      </c>
      <c r="N944" s="37" t="s">
        <v>25</v>
      </c>
      <c r="O944" s="37" t="s">
        <v>25</v>
      </c>
      <c r="P944" s="37">
        <v>1</v>
      </c>
      <c r="Q944" s="37">
        <v>1</v>
      </c>
      <c r="R944" s="37" t="s">
        <v>2022</v>
      </c>
      <c r="S944" s="37"/>
    </row>
    <row r="945" spans="1:19" x14ac:dyDescent="0.3">
      <c r="A945" s="37">
        <v>397</v>
      </c>
      <c r="B945" s="37" t="s">
        <v>2025</v>
      </c>
      <c r="C945" s="37" t="s">
        <v>2018</v>
      </c>
      <c r="D945" s="37" t="s">
        <v>21</v>
      </c>
      <c r="E945" s="37" t="s">
        <v>22</v>
      </c>
      <c r="F945" s="42">
        <v>45473</v>
      </c>
      <c r="G945" s="37">
        <v>2024</v>
      </c>
      <c r="H945" s="37" t="s">
        <v>23</v>
      </c>
      <c r="I945" s="39" t="s">
        <v>34</v>
      </c>
      <c r="J945" s="37">
        <v>344</v>
      </c>
      <c r="K945" s="37">
        <v>303</v>
      </c>
      <c r="L945" s="65">
        <f t="shared" si="108"/>
        <v>0.8808139534883721</v>
      </c>
      <c r="M945" s="65">
        <f t="shared" si="109"/>
        <v>0.8808139534883721</v>
      </c>
      <c r="N945" s="37" t="s">
        <v>25</v>
      </c>
      <c r="O945" s="37" t="s">
        <v>25</v>
      </c>
      <c r="P945" s="37">
        <v>0</v>
      </c>
      <c r="Q945" s="37">
        <v>0</v>
      </c>
      <c r="R945" s="37" t="s">
        <v>2023</v>
      </c>
      <c r="S945" s="37"/>
    </row>
    <row r="946" spans="1:19" x14ac:dyDescent="0.3">
      <c r="A946" s="37">
        <v>397</v>
      </c>
      <c r="B946" s="37" t="s">
        <v>2025</v>
      </c>
      <c r="C946" s="37" t="s">
        <v>2018</v>
      </c>
      <c r="D946" s="37" t="s">
        <v>21</v>
      </c>
      <c r="E946" s="37" t="s">
        <v>22</v>
      </c>
      <c r="F946" s="42">
        <v>45657</v>
      </c>
      <c r="G946" s="37">
        <v>2024</v>
      </c>
      <c r="H946" s="37" t="s">
        <v>27</v>
      </c>
      <c r="I946" s="39" t="s">
        <v>36</v>
      </c>
      <c r="J946" s="37">
        <v>430</v>
      </c>
      <c r="K946" s="37">
        <v>408</v>
      </c>
      <c r="L946" s="65">
        <f t="shared" si="108"/>
        <v>0.94883720930232562</v>
      </c>
      <c r="M946" s="65">
        <f t="shared" si="109"/>
        <v>0.94883720930232562</v>
      </c>
      <c r="N946" s="37" t="s">
        <v>25</v>
      </c>
      <c r="O946" s="37" t="s">
        <v>25</v>
      </c>
      <c r="P946" s="37">
        <v>0</v>
      </c>
      <c r="Q946" s="37">
        <v>0</v>
      </c>
      <c r="R946" s="37" t="s">
        <v>2024</v>
      </c>
      <c r="S946" s="37"/>
    </row>
    <row r="947" spans="1:19" x14ac:dyDescent="0.3">
      <c r="A947" s="45">
        <v>398</v>
      </c>
      <c r="B947" s="37" t="s">
        <v>2026</v>
      </c>
      <c r="C947" s="37" t="s">
        <v>2027</v>
      </c>
      <c r="D947" s="37" t="s">
        <v>21</v>
      </c>
      <c r="E947" s="37" t="s">
        <v>22</v>
      </c>
      <c r="F947" s="42">
        <v>45107</v>
      </c>
      <c r="G947" s="37">
        <v>2023</v>
      </c>
      <c r="H947" s="37" t="s">
        <v>23</v>
      </c>
      <c r="I947" s="39" t="s">
        <v>30</v>
      </c>
      <c r="J947" s="37">
        <v>1000</v>
      </c>
      <c r="K947" s="37">
        <v>2568</v>
      </c>
      <c r="L947" s="65">
        <f t="shared" si="108"/>
        <v>1.3</v>
      </c>
      <c r="M947" s="65">
        <f t="shared" si="109"/>
        <v>2.5680000000000001</v>
      </c>
      <c r="N947" s="37" t="s">
        <v>203</v>
      </c>
      <c r="O947" s="37" t="s">
        <v>203</v>
      </c>
      <c r="P947" s="37">
        <v>0</v>
      </c>
      <c r="Q947" s="37">
        <v>0</v>
      </c>
      <c r="R947" s="37" t="s">
        <v>2028</v>
      </c>
      <c r="S947" s="37"/>
    </row>
    <row r="948" spans="1:19" x14ac:dyDescent="0.3">
      <c r="A948" s="41">
        <v>398</v>
      </c>
      <c r="B948" s="37" t="s">
        <v>2026</v>
      </c>
      <c r="C948" s="37" t="s">
        <v>2027</v>
      </c>
      <c r="D948" s="37" t="s">
        <v>21</v>
      </c>
      <c r="E948" s="37" t="s">
        <v>22</v>
      </c>
      <c r="F948" s="42">
        <v>45291</v>
      </c>
      <c r="G948" s="37">
        <v>2023</v>
      </c>
      <c r="H948" s="37" t="s">
        <v>27</v>
      </c>
      <c r="I948" s="39" t="s">
        <v>32</v>
      </c>
      <c r="J948" s="37">
        <v>1000</v>
      </c>
      <c r="K948" s="37">
        <v>2344</v>
      </c>
      <c r="L948" s="65">
        <f t="shared" si="108"/>
        <v>1.3</v>
      </c>
      <c r="M948" s="65">
        <f t="shared" si="109"/>
        <v>2.3439999999999999</v>
      </c>
      <c r="N948" s="37" t="s">
        <v>203</v>
      </c>
      <c r="O948" s="37" t="s">
        <v>203</v>
      </c>
      <c r="P948" s="37">
        <v>0</v>
      </c>
      <c r="Q948" s="37">
        <v>0</v>
      </c>
      <c r="R948" s="37" t="s">
        <v>2029</v>
      </c>
      <c r="S948" s="37"/>
    </row>
    <row r="949" spans="1:19" x14ac:dyDescent="0.3">
      <c r="A949" s="37">
        <v>398</v>
      </c>
      <c r="B949" s="37" t="s">
        <v>2026</v>
      </c>
      <c r="C949" s="37" t="s">
        <v>2027</v>
      </c>
      <c r="D949" s="37" t="s">
        <v>21</v>
      </c>
      <c r="E949" s="37" t="s">
        <v>22</v>
      </c>
      <c r="F949" s="42">
        <v>45473</v>
      </c>
      <c r="G949" s="37">
        <v>2024</v>
      </c>
      <c r="H949" s="37" t="s">
        <v>23</v>
      </c>
      <c r="I949" s="39" t="s">
        <v>34</v>
      </c>
      <c r="J949" s="37">
        <v>1250</v>
      </c>
      <c r="K949" s="37">
        <v>3478</v>
      </c>
      <c r="L949" s="65">
        <f t="shared" si="108"/>
        <v>1.3</v>
      </c>
      <c r="M949" s="65">
        <f t="shared" si="109"/>
        <v>2.7824</v>
      </c>
      <c r="N949" s="37" t="s">
        <v>203</v>
      </c>
      <c r="O949" s="37" t="s">
        <v>203</v>
      </c>
      <c r="P949" s="37">
        <v>0</v>
      </c>
      <c r="Q949" s="37">
        <v>0</v>
      </c>
      <c r="R949" s="37" t="s">
        <v>2030</v>
      </c>
      <c r="S949" s="37"/>
    </row>
    <row r="950" spans="1:19" x14ac:dyDescent="0.3">
      <c r="A950" s="37">
        <v>398</v>
      </c>
      <c r="B950" s="37" t="s">
        <v>2026</v>
      </c>
      <c r="C950" s="37" t="s">
        <v>2027</v>
      </c>
      <c r="D950" s="37" t="s">
        <v>21</v>
      </c>
      <c r="E950" s="37" t="s">
        <v>22</v>
      </c>
      <c r="F950" s="42">
        <v>45657</v>
      </c>
      <c r="G950" s="37">
        <v>2024</v>
      </c>
      <c r="H950" s="37" t="s">
        <v>27</v>
      </c>
      <c r="I950" s="39" t="s">
        <v>36</v>
      </c>
      <c r="J950" s="37">
        <v>1250</v>
      </c>
      <c r="K950" s="43">
        <v>2000</v>
      </c>
      <c r="L950" s="65">
        <f t="shared" si="108"/>
        <v>1.3</v>
      </c>
      <c r="M950" s="65">
        <f t="shared" si="109"/>
        <v>1.6</v>
      </c>
      <c r="N950" s="37" t="s">
        <v>203</v>
      </c>
      <c r="O950" s="37" t="s">
        <v>203</v>
      </c>
      <c r="P950" s="37">
        <v>0</v>
      </c>
      <c r="Q950" s="37">
        <v>0</v>
      </c>
      <c r="R950" s="37" t="s">
        <v>2031</v>
      </c>
      <c r="S950" s="37"/>
    </row>
    <row r="951" spans="1:19" x14ac:dyDescent="0.3">
      <c r="A951" s="37">
        <v>399</v>
      </c>
      <c r="B951" s="37" t="s">
        <v>2032</v>
      </c>
      <c r="C951" s="37" t="s">
        <v>2027</v>
      </c>
      <c r="D951" s="37" t="s">
        <v>21</v>
      </c>
      <c r="E951" s="37" t="s">
        <v>22</v>
      </c>
      <c r="F951" s="38">
        <v>45107</v>
      </c>
      <c r="G951" s="40">
        <v>2023</v>
      </c>
      <c r="H951" s="39" t="s">
        <v>23</v>
      </c>
      <c r="I951" s="39" t="s">
        <v>30</v>
      </c>
      <c r="J951" s="37">
        <v>500</v>
      </c>
      <c r="K951" s="37">
        <v>589</v>
      </c>
      <c r="L951" s="65">
        <f t="shared" si="108"/>
        <v>1.1779999999999999</v>
      </c>
      <c r="M951" s="65">
        <f t="shared" si="109"/>
        <v>1.1779999999999999</v>
      </c>
      <c r="N951" s="37" t="s">
        <v>203</v>
      </c>
      <c r="O951" s="37" t="s">
        <v>203</v>
      </c>
      <c r="P951" s="37">
        <v>0</v>
      </c>
      <c r="Q951" s="37">
        <v>0</v>
      </c>
      <c r="R951" s="37" t="s">
        <v>2033</v>
      </c>
      <c r="S951" s="37"/>
    </row>
    <row r="952" spans="1:19" x14ac:dyDescent="0.3">
      <c r="A952" s="41">
        <v>399</v>
      </c>
      <c r="B952" s="37" t="s">
        <v>2032</v>
      </c>
      <c r="C952" s="37" t="s">
        <v>2027</v>
      </c>
      <c r="D952" s="37" t="s">
        <v>21</v>
      </c>
      <c r="E952" s="37" t="s">
        <v>22</v>
      </c>
      <c r="F952" s="42">
        <v>45291</v>
      </c>
      <c r="G952" s="37">
        <v>2023</v>
      </c>
      <c r="H952" s="37" t="s">
        <v>27</v>
      </c>
      <c r="I952" s="39" t="s">
        <v>32</v>
      </c>
      <c r="J952" s="37">
        <v>500</v>
      </c>
      <c r="K952" s="37">
        <v>745</v>
      </c>
      <c r="L952" s="65">
        <f t="shared" si="108"/>
        <v>1.3</v>
      </c>
      <c r="M952" s="65">
        <f t="shared" si="109"/>
        <v>1.49</v>
      </c>
      <c r="N952" s="37" t="s">
        <v>203</v>
      </c>
      <c r="O952" s="37" t="s">
        <v>203</v>
      </c>
      <c r="P952" s="37">
        <v>0</v>
      </c>
      <c r="Q952" s="37">
        <v>0</v>
      </c>
      <c r="R952" s="37" t="s">
        <v>2034</v>
      </c>
      <c r="S952" s="37"/>
    </row>
    <row r="953" spans="1:19" x14ac:dyDescent="0.3">
      <c r="A953" s="37">
        <v>399</v>
      </c>
      <c r="B953" s="37" t="s">
        <v>2035</v>
      </c>
      <c r="C953" s="37" t="s">
        <v>2027</v>
      </c>
      <c r="D953" s="37" t="s">
        <v>21</v>
      </c>
      <c r="E953" s="37" t="s">
        <v>22</v>
      </c>
      <c r="F953" s="42">
        <v>45473</v>
      </c>
      <c r="G953" s="37">
        <v>2024</v>
      </c>
      <c r="H953" s="37" t="s">
        <v>23</v>
      </c>
      <c r="I953" s="39" t="s">
        <v>34</v>
      </c>
      <c r="J953" s="37">
        <v>625</v>
      </c>
      <c r="K953" s="37">
        <v>696</v>
      </c>
      <c r="L953" s="65">
        <f t="shared" ref="L953:L962" si="110">IFERROR(IF(OR(J953=0,K953=""),"",IF(E953="Positivo",MIN(MAX(K953/J953,0),1.3),MIN(MAX(J953/K953,0),1.3))),"")</f>
        <v>1.1135999999999999</v>
      </c>
      <c r="M953" s="65">
        <f t="shared" ref="M953:M962" si="111">IFERROR(IF(OR(J953=0,K953=""),"",IF(E953="Positivo",MAX(K953/J953,0),MAX(J953/K953,0))),"")</f>
        <v>1.1135999999999999</v>
      </c>
      <c r="N953" s="37" t="s">
        <v>203</v>
      </c>
      <c r="O953" s="37" t="s">
        <v>203</v>
      </c>
      <c r="P953" s="37">
        <v>0</v>
      </c>
      <c r="Q953" s="37">
        <v>0</v>
      </c>
      <c r="R953" s="37" t="s">
        <v>2036</v>
      </c>
      <c r="S953" s="37"/>
    </row>
    <row r="954" spans="1:19" x14ac:dyDescent="0.3">
      <c r="A954" s="37">
        <v>399</v>
      </c>
      <c r="B954" s="37" t="s">
        <v>2035</v>
      </c>
      <c r="C954" s="37" t="s">
        <v>2027</v>
      </c>
      <c r="D954" s="37" t="s">
        <v>21</v>
      </c>
      <c r="E954" s="37" t="s">
        <v>22</v>
      </c>
      <c r="F954" s="42">
        <v>45657</v>
      </c>
      <c r="G954" s="37">
        <v>2024</v>
      </c>
      <c r="H954" s="37" t="s">
        <v>27</v>
      </c>
      <c r="I954" s="39" t="s">
        <v>36</v>
      </c>
      <c r="J954" s="37">
        <v>625</v>
      </c>
      <c r="K954" s="37">
        <v>696</v>
      </c>
      <c r="L954" s="65">
        <f t="shared" si="110"/>
        <v>1.1135999999999999</v>
      </c>
      <c r="M954" s="65">
        <f t="shared" si="111"/>
        <v>1.1135999999999999</v>
      </c>
      <c r="N954" s="37" t="s">
        <v>203</v>
      </c>
      <c r="O954" s="37" t="s">
        <v>203</v>
      </c>
      <c r="P954" s="37">
        <v>0</v>
      </c>
      <c r="Q954" s="37">
        <v>0</v>
      </c>
      <c r="R954" s="37" t="s">
        <v>2037</v>
      </c>
      <c r="S954" s="37"/>
    </row>
    <row r="955" spans="1:19" x14ac:dyDescent="0.3">
      <c r="A955" s="45">
        <v>400</v>
      </c>
      <c r="B955" s="37" t="s">
        <v>2038</v>
      </c>
      <c r="C955" s="37" t="s">
        <v>2027</v>
      </c>
      <c r="D955" s="37" t="s">
        <v>21</v>
      </c>
      <c r="E955" s="37" t="s">
        <v>22</v>
      </c>
      <c r="F955" s="42">
        <v>45107</v>
      </c>
      <c r="G955" s="37">
        <v>2023</v>
      </c>
      <c r="H955" s="37" t="s">
        <v>23</v>
      </c>
      <c r="I955" s="39" t="s">
        <v>30</v>
      </c>
      <c r="J955" s="37">
        <v>35</v>
      </c>
      <c r="K955" s="37">
        <v>77</v>
      </c>
      <c r="L955" s="65">
        <f t="shared" si="110"/>
        <v>1.3</v>
      </c>
      <c r="M955" s="65">
        <f t="shared" si="111"/>
        <v>2.2000000000000002</v>
      </c>
      <c r="N955" s="37" t="s">
        <v>203</v>
      </c>
      <c r="O955" s="37" t="s">
        <v>203</v>
      </c>
      <c r="P955" s="37">
        <v>0</v>
      </c>
      <c r="Q955" s="37">
        <v>0</v>
      </c>
      <c r="R955" s="37" t="s">
        <v>2039</v>
      </c>
      <c r="S955" s="37"/>
    </row>
    <row r="956" spans="1:19" x14ac:dyDescent="0.3">
      <c r="A956" s="41">
        <v>400</v>
      </c>
      <c r="B956" s="37" t="s">
        <v>2038</v>
      </c>
      <c r="C956" s="37" t="s">
        <v>2027</v>
      </c>
      <c r="D956" s="37" t="s">
        <v>21</v>
      </c>
      <c r="E956" s="37" t="s">
        <v>22</v>
      </c>
      <c r="F956" s="42">
        <v>45291</v>
      </c>
      <c r="G956" s="37">
        <v>2023</v>
      </c>
      <c r="H956" s="37" t="s">
        <v>27</v>
      </c>
      <c r="I956" s="39" t="s">
        <v>32</v>
      </c>
      <c r="J956" s="37">
        <v>35</v>
      </c>
      <c r="K956" s="37">
        <v>99</v>
      </c>
      <c r="L956" s="65">
        <f t="shared" si="110"/>
        <v>1.3</v>
      </c>
      <c r="M956" s="65">
        <f t="shared" si="111"/>
        <v>2.8285714285714287</v>
      </c>
      <c r="N956" s="37" t="s">
        <v>203</v>
      </c>
      <c r="O956" s="37" t="s">
        <v>203</v>
      </c>
      <c r="P956" s="37">
        <v>0</v>
      </c>
      <c r="Q956" s="37">
        <v>0</v>
      </c>
      <c r="R956" s="37" t="s">
        <v>2040</v>
      </c>
      <c r="S956" s="37"/>
    </row>
    <row r="957" spans="1:19" x14ac:dyDescent="0.3">
      <c r="A957" s="37">
        <v>400</v>
      </c>
      <c r="B957" s="37" t="s">
        <v>2038</v>
      </c>
      <c r="C957" s="37" t="s">
        <v>2027</v>
      </c>
      <c r="D957" s="37" t="s">
        <v>21</v>
      </c>
      <c r="E957" s="37" t="s">
        <v>22</v>
      </c>
      <c r="F957" s="42">
        <v>45473</v>
      </c>
      <c r="G957" s="37">
        <v>2024</v>
      </c>
      <c r="H957" s="37" t="s">
        <v>23</v>
      </c>
      <c r="I957" s="39" t="s">
        <v>34</v>
      </c>
      <c r="J957" s="37">
        <v>44</v>
      </c>
      <c r="K957" s="37">
        <v>119</v>
      </c>
      <c r="L957" s="65">
        <f t="shared" si="110"/>
        <v>1.3</v>
      </c>
      <c r="M957" s="65">
        <f t="shared" si="111"/>
        <v>2.7045454545454546</v>
      </c>
      <c r="N957" s="37" t="s">
        <v>203</v>
      </c>
      <c r="O957" s="37" t="s">
        <v>203</v>
      </c>
      <c r="P957" s="37">
        <v>0</v>
      </c>
      <c r="Q957" s="37">
        <v>0</v>
      </c>
      <c r="R957" s="37" t="s">
        <v>2041</v>
      </c>
      <c r="S957" s="37"/>
    </row>
    <row r="958" spans="1:19" x14ac:dyDescent="0.3">
      <c r="A958" s="37">
        <v>400</v>
      </c>
      <c r="B958" s="37" t="s">
        <v>2038</v>
      </c>
      <c r="C958" s="37" t="s">
        <v>2027</v>
      </c>
      <c r="D958" s="37" t="s">
        <v>21</v>
      </c>
      <c r="E958" s="37" t="s">
        <v>22</v>
      </c>
      <c r="F958" s="42">
        <v>45657</v>
      </c>
      <c r="G958" s="37">
        <v>2024</v>
      </c>
      <c r="H958" s="37" t="s">
        <v>27</v>
      </c>
      <c r="I958" s="39" t="s">
        <v>36</v>
      </c>
      <c r="J958" s="37">
        <v>44</v>
      </c>
      <c r="K958" s="43">
        <v>175</v>
      </c>
      <c r="L958" s="65">
        <f t="shared" si="110"/>
        <v>1.3</v>
      </c>
      <c r="M958" s="65">
        <f t="shared" si="111"/>
        <v>3.9772727272727271</v>
      </c>
      <c r="N958" s="37" t="s">
        <v>203</v>
      </c>
      <c r="O958" s="37" t="s">
        <v>203</v>
      </c>
      <c r="P958" s="37">
        <v>0</v>
      </c>
      <c r="Q958" s="37">
        <v>0</v>
      </c>
      <c r="R958" s="37" t="s">
        <v>2042</v>
      </c>
      <c r="S958" s="37"/>
    </row>
    <row r="959" spans="1:19" x14ac:dyDescent="0.3">
      <c r="A959" s="45">
        <v>401</v>
      </c>
      <c r="B959" s="37" t="s">
        <v>2043</v>
      </c>
      <c r="C959" s="37" t="s">
        <v>2044</v>
      </c>
      <c r="D959" s="37" t="s">
        <v>21</v>
      </c>
      <c r="E959" s="37" t="s">
        <v>22</v>
      </c>
      <c r="F959" s="42">
        <v>45107</v>
      </c>
      <c r="G959" s="37">
        <v>2023</v>
      </c>
      <c r="H959" s="37" t="s">
        <v>23</v>
      </c>
      <c r="I959" s="39" t="s">
        <v>30</v>
      </c>
      <c r="J959" s="37">
        <v>8</v>
      </c>
      <c r="K959" s="37">
        <v>7</v>
      </c>
      <c r="L959" s="65">
        <f t="shared" si="110"/>
        <v>0.875</v>
      </c>
      <c r="M959" s="65">
        <f t="shared" si="111"/>
        <v>0.875</v>
      </c>
      <c r="N959" s="37" t="s">
        <v>203</v>
      </c>
      <c r="O959" s="37" t="s">
        <v>203</v>
      </c>
      <c r="P959" s="37">
        <v>0</v>
      </c>
      <c r="Q959" s="37">
        <v>0</v>
      </c>
      <c r="R959" s="37" t="s">
        <v>2045</v>
      </c>
      <c r="S959" s="37"/>
    </row>
    <row r="960" spans="1:19" x14ac:dyDescent="0.3">
      <c r="A960" s="41">
        <v>401</v>
      </c>
      <c r="B960" s="37" t="s">
        <v>2043</v>
      </c>
      <c r="C960" s="37" t="s">
        <v>2044</v>
      </c>
      <c r="D960" s="37" t="s">
        <v>21</v>
      </c>
      <c r="E960" s="37" t="s">
        <v>22</v>
      </c>
      <c r="F960" s="42">
        <v>45291</v>
      </c>
      <c r="G960" s="37">
        <v>2023</v>
      </c>
      <c r="H960" s="37" t="s">
        <v>27</v>
      </c>
      <c r="I960" s="39" t="s">
        <v>32</v>
      </c>
      <c r="J960" s="37">
        <v>8</v>
      </c>
      <c r="K960" s="37">
        <v>10</v>
      </c>
      <c r="L960" s="65">
        <f t="shared" si="110"/>
        <v>1.25</v>
      </c>
      <c r="M960" s="65">
        <f t="shared" si="111"/>
        <v>1.25</v>
      </c>
      <c r="N960" s="37" t="s">
        <v>203</v>
      </c>
      <c r="O960" s="37" t="s">
        <v>203</v>
      </c>
      <c r="P960" s="37">
        <v>0</v>
      </c>
      <c r="Q960" s="37">
        <v>0</v>
      </c>
      <c r="R960" s="37" t="s">
        <v>2046</v>
      </c>
      <c r="S960" s="37"/>
    </row>
    <row r="961" spans="1:19" x14ac:dyDescent="0.3">
      <c r="A961" s="37">
        <v>401</v>
      </c>
      <c r="B961" s="37" t="s">
        <v>2043</v>
      </c>
      <c r="C961" s="37" t="s">
        <v>2044</v>
      </c>
      <c r="D961" s="37" t="s">
        <v>21</v>
      </c>
      <c r="E961" s="37" t="s">
        <v>22</v>
      </c>
      <c r="F961" s="42">
        <v>45473</v>
      </c>
      <c r="G961" s="37">
        <v>2024</v>
      </c>
      <c r="H961" s="37" t="s">
        <v>23</v>
      </c>
      <c r="I961" s="39" t="s">
        <v>34</v>
      </c>
      <c r="J961" s="37">
        <v>8</v>
      </c>
      <c r="K961" s="37">
        <v>9</v>
      </c>
      <c r="L961" s="65">
        <f t="shared" si="110"/>
        <v>1.125</v>
      </c>
      <c r="M961" s="65">
        <f t="shared" si="111"/>
        <v>1.125</v>
      </c>
      <c r="N961" s="37" t="s">
        <v>203</v>
      </c>
      <c r="O961" s="37" t="s">
        <v>203</v>
      </c>
      <c r="P961" s="37">
        <v>0</v>
      </c>
      <c r="Q961" s="37">
        <v>0</v>
      </c>
      <c r="R961" s="37" t="s">
        <v>2047</v>
      </c>
      <c r="S961" s="37"/>
    </row>
    <row r="962" spans="1:19" x14ac:dyDescent="0.3">
      <c r="A962" s="37">
        <v>401</v>
      </c>
      <c r="B962" s="37" t="s">
        <v>2043</v>
      </c>
      <c r="C962" s="37" t="s">
        <v>2044</v>
      </c>
      <c r="D962" s="37" t="s">
        <v>21</v>
      </c>
      <c r="E962" s="37" t="s">
        <v>22</v>
      </c>
      <c r="F962" s="42">
        <v>45657</v>
      </c>
      <c r="G962" s="37">
        <v>2024</v>
      </c>
      <c r="H962" s="37" t="s">
        <v>27</v>
      </c>
      <c r="I962" s="39" t="s">
        <v>36</v>
      </c>
      <c r="J962" s="37">
        <v>8</v>
      </c>
      <c r="K962" s="37">
        <v>8</v>
      </c>
      <c r="L962" s="65">
        <f t="shared" si="110"/>
        <v>1</v>
      </c>
      <c r="M962" s="65">
        <f t="shared" si="111"/>
        <v>1</v>
      </c>
      <c r="N962" s="37" t="s">
        <v>203</v>
      </c>
      <c r="O962" s="37" t="s">
        <v>203</v>
      </c>
      <c r="P962" s="37">
        <v>0</v>
      </c>
      <c r="Q962" s="37">
        <v>0</v>
      </c>
      <c r="R962" s="37" t="s">
        <v>2048</v>
      </c>
      <c r="S962" s="37"/>
    </row>
    <row r="963" spans="1:19" x14ac:dyDescent="0.3">
      <c r="A963" s="41">
        <v>402</v>
      </c>
      <c r="B963" s="37" t="s">
        <v>2049</v>
      </c>
      <c r="C963" s="37" t="s">
        <v>2044</v>
      </c>
      <c r="D963" s="37" t="s">
        <v>139</v>
      </c>
      <c r="E963" s="37" t="s">
        <v>22</v>
      </c>
      <c r="F963" s="42">
        <v>45291</v>
      </c>
      <c r="G963" s="37">
        <v>2023</v>
      </c>
      <c r="H963" s="37" t="s">
        <v>27</v>
      </c>
      <c r="I963" s="39" t="s">
        <v>32</v>
      </c>
      <c r="J963" s="37"/>
      <c r="K963" s="37">
        <v>21000</v>
      </c>
      <c r="L963" s="74"/>
      <c r="M963" s="65"/>
      <c r="N963" s="37"/>
      <c r="O963" s="37"/>
      <c r="P963" s="37">
        <v>0</v>
      </c>
      <c r="Q963" s="37">
        <v>0</v>
      </c>
      <c r="R963" s="37" t="s">
        <v>2050</v>
      </c>
      <c r="S963" s="37"/>
    </row>
    <row r="964" spans="1:19" x14ac:dyDescent="0.3">
      <c r="A964" s="37">
        <v>402</v>
      </c>
      <c r="B964" s="37" t="s">
        <v>2049</v>
      </c>
      <c r="C964" s="37" t="s">
        <v>2044</v>
      </c>
      <c r="D964" s="37" t="s">
        <v>139</v>
      </c>
      <c r="E964" s="37" t="s">
        <v>22</v>
      </c>
      <c r="F964" s="42">
        <v>45657</v>
      </c>
      <c r="G964" s="37">
        <v>2024</v>
      </c>
      <c r="H964" s="37" t="s">
        <v>27</v>
      </c>
      <c r="I964" s="39" t="s">
        <v>36</v>
      </c>
      <c r="J964" s="37">
        <v>3</v>
      </c>
      <c r="K964" s="37">
        <v>4.76</v>
      </c>
      <c r="L964" s="65">
        <f>IFERROR(IF(OR(J964=0,K964=""),"",IF(E964="Positivo",MIN(MAX(K964/J964,0),1.3),MIN(MAX(J964/K964,0),1.3))),"")</f>
        <v>1.3</v>
      </c>
      <c r="M964" s="65">
        <f>IFERROR(IF(OR(J964=0,K964=""),"",IF(E964="Positivo",MAX(K964/J964,0),MAX(J964/K964,0))),"")</f>
        <v>1.5866666666666667</v>
      </c>
      <c r="N964" s="37"/>
      <c r="O964" s="37"/>
      <c r="P964" s="37">
        <v>0</v>
      </c>
      <c r="Q964" s="37">
        <v>0</v>
      </c>
      <c r="R964" s="37" t="s">
        <v>2051</v>
      </c>
      <c r="S964" s="37"/>
    </row>
    <row r="965" spans="1:19" x14ac:dyDescent="0.3">
      <c r="A965" s="45">
        <v>403</v>
      </c>
      <c r="B965" s="37" t="s">
        <v>2052</v>
      </c>
      <c r="C965" s="37" t="s">
        <v>2044</v>
      </c>
      <c r="D965" s="37" t="s">
        <v>21</v>
      </c>
      <c r="E965" s="37" t="s">
        <v>22</v>
      </c>
      <c r="F965" s="42">
        <v>45107</v>
      </c>
      <c r="G965" s="37">
        <v>2023</v>
      </c>
      <c r="H965" s="37" t="s">
        <v>23</v>
      </c>
      <c r="I965" s="39" t="s">
        <v>30</v>
      </c>
      <c r="J965" s="37"/>
      <c r="K965" s="37">
        <v>14370</v>
      </c>
      <c r="L965" s="67"/>
      <c r="M965" s="65"/>
      <c r="N965" s="37" t="s">
        <v>495</v>
      </c>
      <c r="O965" s="37"/>
      <c r="P965" s="37">
        <v>0</v>
      </c>
      <c r="Q965" s="37">
        <v>0</v>
      </c>
      <c r="R965" s="37" t="s">
        <v>2053</v>
      </c>
      <c r="S965" s="37"/>
    </row>
    <row r="966" spans="1:19" x14ac:dyDescent="0.3">
      <c r="A966" s="41">
        <v>403</v>
      </c>
      <c r="B966" s="37" t="s">
        <v>2052</v>
      </c>
      <c r="C966" s="37" t="s">
        <v>2044</v>
      </c>
      <c r="D966" s="37" t="s">
        <v>21</v>
      </c>
      <c r="E966" s="37" t="s">
        <v>22</v>
      </c>
      <c r="F966" s="42">
        <v>45291</v>
      </c>
      <c r="G966" s="37">
        <v>2023</v>
      </c>
      <c r="H966" s="37" t="s">
        <v>27</v>
      </c>
      <c r="I966" s="39" t="s">
        <v>32</v>
      </c>
      <c r="J966" s="37"/>
      <c r="K966" s="37">
        <v>28639</v>
      </c>
      <c r="L966" s="67"/>
      <c r="M966" s="65"/>
      <c r="N966" s="37" t="s">
        <v>495</v>
      </c>
      <c r="O966" s="37"/>
      <c r="P966" s="37">
        <v>0</v>
      </c>
      <c r="Q966" s="37">
        <v>0</v>
      </c>
      <c r="R966" s="37" t="s">
        <v>2054</v>
      </c>
      <c r="S966" s="37"/>
    </row>
    <row r="967" spans="1:19" x14ac:dyDescent="0.3">
      <c r="A967" s="37">
        <v>403</v>
      </c>
      <c r="B967" s="37" t="s">
        <v>2052</v>
      </c>
      <c r="C967" s="37" t="s">
        <v>2044</v>
      </c>
      <c r="D967" s="37" t="s">
        <v>21</v>
      </c>
      <c r="E967" s="37" t="s">
        <v>22</v>
      </c>
      <c r="F967" s="42">
        <v>45473</v>
      </c>
      <c r="G967" s="37">
        <v>2024</v>
      </c>
      <c r="H967" s="37" t="s">
        <v>23</v>
      </c>
      <c r="I967" s="39" t="s">
        <v>34</v>
      </c>
      <c r="J967" s="37"/>
      <c r="K967" s="37">
        <v>14923</v>
      </c>
      <c r="L967" s="65"/>
      <c r="M967" s="65"/>
      <c r="N967" s="37" t="s">
        <v>495</v>
      </c>
      <c r="O967" s="37"/>
      <c r="P967" s="37">
        <v>0</v>
      </c>
      <c r="Q967" s="37">
        <v>0</v>
      </c>
      <c r="R967" s="37" t="s">
        <v>2055</v>
      </c>
      <c r="S967" s="37"/>
    </row>
    <row r="968" spans="1:19" x14ac:dyDescent="0.3">
      <c r="A968" s="37">
        <v>403</v>
      </c>
      <c r="B968" s="37" t="s">
        <v>2052</v>
      </c>
      <c r="C968" s="37" t="s">
        <v>2044</v>
      </c>
      <c r="D968" s="37" t="s">
        <v>21</v>
      </c>
      <c r="E968" s="37" t="s">
        <v>22</v>
      </c>
      <c r="F968" s="42">
        <v>45657</v>
      </c>
      <c r="G968" s="37">
        <v>2024</v>
      </c>
      <c r="H968" s="37" t="s">
        <v>27</v>
      </c>
      <c r="I968" s="39" t="s">
        <v>36</v>
      </c>
      <c r="J968" s="37"/>
      <c r="K968" s="37">
        <v>14495</v>
      </c>
      <c r="L968" s="65"/>
      <c r="M968" s="65"/>
      <c r="N968" s="37" t="s">
        <v>495</v>
      </c>
      <c r="O968" s="37"/>
      <c r="P968" s="37">
        <v>0</v>
      </c>
      <c r="Q968" s="37">
        <v>0</v>
      </c>
      <c r="R968" s="37" t="s">
        <v>2056</v>
      </c>
      <c r="S968" s="37"/>
    </row>
    <row r="969" spans="1:19" x14ac:dyDescent="0.3">
      <c r="A969" s="45">
        <v>404</v>
      </c>
      <c r="B969" s="37" t="s">
        <v>2058</v>
      </c>
      <c r="C969" s="37" t="s">
        <v>2044</v>
      </c>
      <c r="D969" s="37" t="s">
        <v>21</v>
      </c>
      <c r="E969" s="37" t="s">
        <v>56</v>
      </c>
      <c r="F969" s="42">
        <v>45107</v>
      </c>
      <c r="G969" s="37">
        <v>2023</v>
      </c>
      <c r="H969" s="37" t="s">
        <v>23</v>
      </c>
      <c r="I969" s="39" t="s">
        <v>30</v>
      </c>
      <c r="J969" s="37">
        <v>20</v>
      </c>
      <c r="K969" s="37">
        <v>2</v>
      </c>
      <c r="L969" s="65">
        <f t="shared" ref="L969:L978" si="112">IFERROR(IF(OR(J969=0,K969=""),"",IF(E969="Positivo",MIN(MAX(K969/J969,0),1.3),MIN(MAX(J969/K969,0),1.3))),"")</f>
        <v>1.3</v>
      </c>
      <c r="M969" s="65">
        <f t="shared" ref="M969:M978" si="113">IFERROR(IF(OR(J969=0,K969=""),"",IF(E969="Positivo",MAX(K969/J969,0),MAX(J969/K969,0))),"")</f>
        <v>10</v>
      </c>
      <c r="N969" s="37" t="s">
        <v>25</v>
      </c>
      <c r="O969" s="37" t="s">
        <v>25</v>
      </c>
      <c r="P969" s="37">
        <v>0</v>
      </c>
      <c r="Q969" s="37">
        <v>0</v>
      </c>
      <c r="R969" s="37" t="s">
        <v>2059</v>
      </c>
      <c r="S969" s="37"/>
    </row>
    <row r="970" spans="1:19" x14ac:dyDescent="0.3">
      <c r="A970" s="41">
        <v>404</v>
      </c>
      <c r="B970" s="37" t="s">
        <v>2058</v>
      </c>
      <c r="C970" s="37" t="s">
        <v>2044</v>
      </c>
      <c r="D970" s="37" t="s">
        <v>21</v>
      </c>
      <c r="E970" s="37" t="s">
        <v>56</v>
      </c>
      <c r="F970" s="42">
        <v>45291</v>
      </c>
      <c r="G970" s="37">
        <v>2023</v>
      </c>
      <c r="H970" s="37" t="s">
        <v>27</v>
      </c>
      <c r="I970" s="39" t="s">
        <v>32</v>
      </c>
      <c r="J970" s="37">
        <v>20</v>
      </c>
      <c r="K970" s="37">
        <v>1.31</v>
      </c>
      <c r="L970" s="65">
        <f t="shared" si="112"/>
        <v>1.3</v>
      </c>
      <c r="M970" s="65">
        <f t="shared" si="113"/>
        <v>15.267175572519083</v>
      </c>
      <c r="N970" s="37" t="s">
        <v>25</v>
      </c>
      <c r="O970" s="37" t="s">
        <v>25</v>
      </c>
      <c r="P970" s="37">
        <v>0</v>
      </c>
      <c r="Q970" s="37">
        <v>0</v>
      </c>
      <c r="R970" s="37" t="s">
        <v>2060</v>
      </c>
      <c r="S970" s="37"/>
    </row>
    <row r="971" spans="1:19" x14ac:dyDescent="0.3">
      <c r="A971" s="37">
        <v>404</v>
      </c>
      <c r="B971" s="37" t="s">
        <v>2058</v>
      </c>
      <c r="C971" s="37" t="s">
        <v>2044</v>
      </c>
      <c r="D971" s="37" t="s">
        <v>21</v>
      </c>
      <c r="E971" s="37" t="s">
        <v>56</v>
      </c>
      <c r="F971" s="42">
        <v>45473</v>
      </c>
      <c r="G971" s="37">
        <v>2024</v>
      </c>
      <c r="H971" s="37" t="s">
        <v>23</v>
      </c>
      <c r="I971" s="39" t="s">
        <v>34</v>
      </c>
      <c r="J971" s="37">
        <v>10</v>
      </c>
      <c r="K971" s="37">
        <v>5.85</v>
      </c>
      <c r="L971" s="65">
        <f t="shared" si="112"/>
        <v>1.3</v>
      </c>
      <c r="M971" s="65">
        <f t="shared" si="113"/>
        <v>1.7094017094017095</v>
      </c>
      <c r="N971" s="37"/>
      <c r="O971" s="37"/>
      <c r="P971" s="37">
        <v>0</v>
      </c>
      <c r="Q971" s="37">
        <v>0</v>
      </c>
      <c r="R971" s="37" t="s">
        <v>2061</v>
      </c>
      <c r="S971" s="37"/>
    </row>
    <row r="972" spans="1:19" x14ac:dyDescent="0.3">
      <c r="A972" s="37">
        <v>404</v>
      </c>
      <c r="B972" s="37" t="s">
        <v>2058</v>
      </c>
      <c r="C972" s="37" t="s">
        <v>2044</v>
      </c>
      <c r="D972" s="37" t="s">
        <v>21</v>
      </c>
      <c r="E972" s="37" t="s">
        <v>56</v>
      </c>
      <c r="F972" s="42">
        <v>45657</v>
      </c>
      <c r="G972" s="37">
        <v>2024</v>
      </c>
      <c r="H972" s="37" t="s">
        <v>27</v>
      </c>
      <c r="I972" s="39" t="s">
        <v>36</v>
      </c>
      <c r="J972" s="37">
        <v>10</v>
      </c>
      <c r="K972" s="37">
        <v>6.02</v>
      </c>
      <c r="L972" s="65">
        <f t="shared" si="112"/>
        <v>1.3</v>
      </c>
      <c r="M972" s="65">
        <f t="shared" si="113"/>
        <v>1.6611295681063125</v>
      </c>
      <c r="N972" s="37"/>
      <c r="O972" s="37"/>
      <c r="P972" s="37">
        <v>0</v>
      </c>
      <c r="Q972" s="37">
        <v>0</v>
      </c>
      <c r="R972" s="37" t="s">
        <v>2062</v>
      </c>
      <c r="S972" s="37"/>
    </row>
    <row r="973" spans="1:19" x14ac:dyDescent="0.3">
      <c r="A973" s="45">
        <v>405</v>
      </c>
      <c r="B973" s="37" t="s">
        <v>2066</v>
      </c>
      <c r="C973" s="37" t="s">
        <v>2044</v>
      </c>
      <c r="D973" s="37" t="s">
        <v>21</v>
      </c>
      <c r="E973" s="37" t="s">
        <v>22</v>
      </c>
      <c r="F973" s="42">
        <v>45107</v>
      </c>
      <c r="G973" s="37">
        <v>2023</v>
      </c>
      <c r="H973" s="37" t="s">
        <v>23</v>
      </c>
      <c r="I973" s="39" t="s">
        <v>30</v>
      </c>
      <c r="J973" s="37">
        <v>25</v>
      </c>
      <c r="K973" s="37">
        <v>30</v>
      </c>
      <c r="L973" s="74">
        <f t="shared" si="112"/>
        <v>1.2</v>
      </c>
      <c r="M973" s="65">
        <f t="shared" si="113"/>
        <v>1.2</v>
      </c>
      <c r="N973" s="37" t="s">
        <v>25</v>
      </c>
      <c r="O973" s="37" t="s">
        <v>25</v>
      </c>
      <c r="P973" s="37">
        <v>0</v>
      </c>
      <c r="Q973" s="37">
        <v>0</v>
      </c>
      <c r="R973" s="37" t="s">
        <v>2064</v>
      </c>
      <c r="S973" s="37"/>
    </row>
    <row r="974" spans="1:19" x14ac:dyDescent="0.3">
      <c r="A974" s="41">
        <v>405</v>
      </c>
      <c r="B974" s="37" t="s">
        <v>2066</v>
      </c>
      <c r="C974" s="37" t="s">
        <v>2044</v>
      </c>
      <c r="D974" s="37" t="s">
        <v>21</v>
      </c>
      <c r="E974" s="37" t="s">
        <v>22</v>
      </c>
      <c r="F974" s="42">
        <v>45291</v>
      </c>
      <c r="G974" s="37">
        <v>2023</v>
      </c>
      <c r="H974" s="37" t="s">
        <v>27</v>
      </c>
      <c r="I974" s="39" t="s">
        <v>32</v>
      </c>
      <c r="J974" s="37">
        <v>50</v>
      </c>
      <c r="K974" s="37">
        <v>62</v>
      </c>
      <c r="L974" s="74">
        <f t="shared" si="112"/>
        <v>1.24</v>
      </c>
      <c r="M974" s="65">
        <f t="shared" si="113"/>
        <v>1.24</v>
      </c>
      <c r="N974" s="37" t="s">
        <v>25</v>
      </c>
      <c r="O974" s="37" t="s">
        <v>25</v>
      </c>
      <c r="P974" s="37">
        <v>0</v>
      </c>
      <c r="Q974" s="37">
        <v>0</v>
      </c>
      <c r="R974" s="37" t="s">
        <v>2065</v>
      </c>
      <c r="S974" s="37"/>
    </row>
    <row r="975" spans="1:19" x14ac:dyDescent="0.3">
      <c r="A975" s="37">
        <v>405</v>
      </c>
      <c r="B975" s="37" t="s">
        <v>2066</v>
      </c>
      <c r="C975" s="37" t="s">
        <v>2044</v>
      </c>
      <c r="D975" s="37" t="s">
        <v>21</v>
      </c>
      <c r="E975" s="37" t="s">
        <v>22</v>
      </c>
      <c r="F975" s="42">
        <v>45473</v>
      </c>
      <c r="G975" s="37">
        <v>2024</v>
      </c>
      <c r="H975" s="37" t="s">
        <v>23</v>
      </c>
      <c r="I975" s="39" t="s">
        <v>34</v>
      </c>
      <c r="J975" s="37">
        <v>100</v>
      </c>
      <c r="K975" s="37">
        <v>97.39</v>
      </c>
      <c r="L975" s="65">
        <f t="shared" si="112"/>
        <v>0.97389999999999999</v>
      </c>
      <c r="M975" s="65">
        <f t="shared" si="113"/>
        <v>0.97389999999999999</v>
      </c>
      <c r="N975" s="37"/>
      <c r="O975" s="37"/>
      <c r="P975" s="37">
        <v>0</v>
      </c>
      <c r="Q975" s="37">
        <v>0</v>
      </c>
      <c r="R975" s="37" t="s">
        <v>2067</v>
      </c>
      <c r="S975" s="37"/>
    </row>
    <row r="976" spans="1:19" x14ac:dyDescent="0.3">
      <c r="A976" s="37">
        <v>405</v>
      </c>
      <c r="B976" s="37" t="s">
        <v>2066</v>
      </c>
      <c r="C976" s="37" t="s">
        <v>2044</v>
      </c>
      <c r="D976" s="37" t="s">
        <v>21</v>
      </c>
      <c r="E976" s="37" t="s">
        <v>22</v>
      </c>
      <c r="F976" s="42">
        <v>45657</v>
      </c>
      <c r="G976" s="37">
        <v>2024</v>
      </c>
      <c r="H976" s="37" t="s">
        <v>27</v>
      </c>
      <c r="I976" s="39" t="s">
        <v>36</v>
      </c>
      <c r="J976" s="37">
        <v>100</v>
      </c>
      <c r="K976" s="37">
        <v>98</v>
      </c>
      <c r="L976" s="65">
        <f t="shared" si="112"/>
        <v>0.98</v>
      </c>
      <c r="M976" s="65">
        <f t="shared" si="113"/>
        <v>0.98</v>
      </c>
      <c r="N976" s="37"/>
      <c r="O976" s="37"/>
      <c r="P976" s="37">
        <v>0</v>
      </c>
      <c r="Q976" s="37">
        <v>0</v>
      </c>
      <c r="R976" s="37" t="s">
        <v>2068</v>
      </c>
      <c r="S976" s="37"/>
    </row>
    <row r="977" spans="1:19" x14ac:dyDescent="0.3">
      <c r="A977" s="41">
        <v>406</v>
      </c>
      <c r="B977" s="37" t="s">
        <v>2069</v>
      </c>
      <c r="C977" s="37" t="s">
        <v>1627</v>
      </c>
      <c r="D977" s="37" t="s">
        <v>21</v>
      </c>
      <c r="E977" s="37" t="s">
        <v>22</v>
      </c>
      <c r="F977" s="42">
        <v>45291</v>
      </c>
      <c r="G977" s="37">
        <v>2023</v>
      </c>
      <c r="H977" s="37" t="s">
        <v>27</v>
      </c>
      <c r="I977" s="39" t="s">
        <v>32</v>
      </c>
      <c r="J977" s="37">
        <v>5</v>
      </c>
      <c r="K977" s="37">
        <v>5</v>
      </c>
      <c r="L977" s="74">
        <f t="shared" si="112"/>
        <v>1</v>
      </c>
      <c r="M977" s="65">
        <f t="shared" si="113"/>
        <v>1</v>
      </c>
      <c r="N977" s="37"/>
      <c r="O977" s="37"/>
      <c r="P977" s="37">
        <v>0</v>
      </c>
      <c r="Q977" s="37">
        <v>0</v>
      </c>
      <c r="R977" s="37" t="s">
        <v>2070</v>
      </c>
      <c r="S977" s="37"/>
    </row>
    <row r="978" spans="1:19" x14ac:dyDescent="0.3">
      <c r="A978" s="37">
        <v>406</v>
      </c>
      <c r="B978" s="37" t="s">
        <v>2069</v>
      </c>
      <c r="C978" s="37" t="s">
        <v>1364</v>
      </c>
      <c r="D978" s="37" t="s">
        <v>21</v>
      </c>
      <c r="E978" s="37" t="s">
        <v>22</v>
      </c>
      <c r="F978" s="42">
        <v>45473</v>
      </c>
      <c r="G978" s="37">
        <v>2024</v>
      </c>
      <c r="H978" s="37" t="s">
        <v>23</v>
      </c>
      <c r="I978" s="39" t="s">
        <v>34</v>
      </c>
      <c r="J978" s="37">
        <v>0</v>
      </c>
      <c r="K978" s="37">
        <v>3</v>
      </c>
      <c r="L978" s="65" t="str">
        <f t="shared" si="112"/>
        <v/>
      </c>
      <c r="M978" s="65" t="str">
        <f t="shared" si="113"/>
        <v/>
      </c>
      <c r="N978" s="37"/>
      <c r="O978" s="37"/>
      <c r="P978" s="37">
        <v>0</v>
      </c>
      <c r="Q978" s="37">
        <v>0</v>
      </c>
      <c r="R978" s="37" t="s">
        <v>2071</v>
      </c>
      <c r="S978" s="37"/>
    </row>
    <row r="979" spans="1:19" x14ac:dyDescent="0.3">
      <c r="A979" s="37">
        <v>406</v>
      </c>
      <c r="B979" s="37" t="s">
        <v>2069</v>
      </c>
      <c r="C979" s="37" t="s">
        <v>1364</v>
      </c>
      <c r="D979" s="37" t="s">
        <v>21</v>
      </c>
      <c r="E979" s="37" t="s">
        <v>22</v>
      </c>
      <c r="F979" s="42">
        <v>45657</v>
      </c>
      <c r="G979" s="37">
        <v>2024</v>
      </c>
      <c r="H979" s="37" t="s">
        <v>27</v>
      </c>
      <c r="I979" s="39" t="s">
        <v>36</v>
      </c>
      <c r="J979" s="37">
        <v>0</v>
      </c>
      <c r="K979" s="37"/>
      <c r="L979" s="65"/>
      <c r="M979" s="65"/>
      <c r="N979" s="37" t="s">
        <v>203</v>
      </c>
      <c r="O979" s="37" t="s">
        <v>613</v>
      </c>
      <c r="P979" s="37">
        <v>0</v>
      </c>
      <c r="Q979" s="37">
        <v>0</v>
      </c>
      <c r="R979" s="37" t="s">
        <v>3534</v>
      </c>
      <c r="S979" s="37"/>
    </row>
    <row r="980" spans="1:19" x14ac:dyDescent="0.3">
      <c r="A980" s="41">
        <v>407</v>
      </c>
      <c r="B980" s="37" t="s">
        <v>2072</v>
      </c>
      <c r="C980" s="37" t="s">
        <v>1627</v>
      </c>
      <c r="D980" s="37" t="s">
        <v>21</v>
      </c>
      <c r="E980" s="37" t="s">
        <v>22</v>
      </c>
      <c r="F980" s="42">
        <v>45291</v>
      </c>
      <c r="G980" s="37">
        <v>2023</v>
      </c>
      <c r="H980" s="37" t="s">
        <v>27</v>
      </c>
      <c r="I980" s="39" t="s">
        <v>32</v>
      </c>
      <c r="J980" s="37">
        <v>3</v>
      </c>
      <c r="K980" s="37">
        <v>3</v>
      </c>
      <c r="L980" s="74">
        <f>IFERROR(IF(OR(J980=0,K980=""),"",IF(E980="Positivo",MIN(MAX(K980/J980,0),1.3),MIN(MAX(J980/K980,0),1.3))),"")</f>
        <v>1</v>
      </c>
      <c r="M980" s="65">
        <f>IFERROR(IF(OR(J980=0,K980=""),"",IF(E980="Positivo",MAX(K980/J980,0),MAX(J980/K980,0))),"")</f>
        <v>1</v>
      </c>
      <c r="N980" s="37"/>
      <c r="O980" s="37"/>
      <c r="P980" s="37">
        <v>0</v>
      </c>
      <c r="Q980" s="37">
        <v>0</v>
      </c>
      <c r="R980" s="37" t="s">
        <v>2073</v>
      </c>
      <c r="S980" s="37"/>
    </row>
    <row r="981" spans="1:19" x14ac:dyDescent="0.3">
      <c r="A981" s="37">
        <v>407</v>
      </c>
      <c r="B981" s="37" t="s">
        <v>2072</v>
      </c>
      <c r="C981" s="37" t="s">
        <v>1364</v>
      </c>
      <c r="D981" s="37" t="s">
        <v>21</v>
      </c>
      <c r="E981" s="37" t="s">
        <v>22</v>
      </c>
      <c r="F981" s="42">
        <v>45473</v>
      </c>
      <c r="G981" s="37">
        <v>2024</v>
      </c>
      <c r="H981" s="37" t="s">
        <v>23</v>
      </c>
      <c r="I981" s="39" t="s">
        <v>34</v>
      </c>
      <c r="J981" s="37"/>
      <c r="K981" s="37"/>
      <c r="L981" s="65"/>
      <c r="M981" s="65"/>
      <c r="N981" s="37"/>
      <c r="O981" s="37"/>
      <c r="P981" s="37">
        <v>0</v>
      </c>
      <c r="Q981" s="37">
        <v>0</v>
      </c>
      <c r="R981" s="37" t="s">
        <v>3535</v>
      </c>
      <c r="S981" s="37"/>
    </row>
    <row r="982" spans="1:19" x14ac:dyDescent="0.3">
      <c r="A982" s="37">
        <v>407</v>
      </c>
      <c r="B982" s="37" t="s">
        <v>2072</v>
      </c>
      <c r="C982" s="37" t="s">
        <v>1364</v>
      </c>
      <c r="D982" s="37" t="s">
        <v>21</v>
      </c>
      <c r="E982" s="37" t="s">
        <v>22</v>
      </c>
      <c r="F982" s="42">
        <v>45657</v>
      </c>
      <c r="G982" s="37">
        <v>2024</v>
      </c>
      <c r="H982" s="37" t="s">
        <v>27</v>
      </c>
      <c r="I982" s="39" t="s">
        <v>36</v>
      </c>
      <c r="J982" s="37">
        <v>100</v>
      </c>
      <c r="K982" s="37"/>
      <c r="L982" s="65"/>
      <c r="M982" s="65"/>
      <c r="N982" s="37" t="s">
        <v>203</v>
      </c>
      <c r="O982" s="37" t="s">
        <v>613</v>
      </c>
      <c r="P982" s="37">
        <v>0</v>
      </c>
      <c r="Q982" s="37">
        <v>0</v>
      </c>
      <c r="R982" s="37" t="s">
        <v>3536</v>
      </c>
      <c r="S982" s="37"/>
    </row>
    <row r="983" spans="1:19" x14ac:dyDescent="0.3">
      <c r="A983" s="41">
        <v>408</v>
      </c>
      <c r="B983" s="37" t="s">
        <v>2074</v>
      </c>
      <c r="C983" s="37" t="s">
        <v>1627</v>
      </c>
      <c r="D983" s="37" t="s">
        <v>21</v>
      </c>
      <c r="E983" s="37" t="s">
        <v>22</v>
      </c>
      <c r="F983" s="42">
        <v>45291</v>
      </c>
      <c r="G983" s="37">
        <v>2023</v>
      </c>
      <c r="H983" s="37" t="s">
        <v>27</v>
      </c>
      <c r="I983" s="39" t="s">
        <v>32</v>
      </c>
      <c r="J983" s="37">
        <v>100</v>
      </c>
      <c r="K983" s="37">
        <v>100</v>
      </c>
      <c r="L983" s="74">
        <f>IFERROR(IF(OR(J983=0,K983=""),"",IF(E983="Positivo",MIN(MAX(K983/J983,0),1.3),MIN(MAX(J983/K983,0),1.3))),"")</f>
        <v>1</v>
      </c>
      <c r="M983" s="65">
        <f>IFERROR(IF(OR(J983=0,K983=""),"",IF(E983="Positivo",MAX(K983/J983,0),MAX(J983/K983,0))),"")</f>
        <v>1</v>
      </c>
      <c r="N983" s="37"/>
      <c r="O983" s="37"/>
      <c r="P983" s="37">
        <v>0</v>
      </c>
      <c r="Q983" s="37">
        <v>0</v>
      </c>
      <c r="R983" s="37" t="s">
        <v>2076</v>
      </c>
      <c r="S983" s="37"/>
    </row>
    <row r="984" spans="1:19" x14ac:dyDescent="0.3">
      <c r="A984" s="37">
        <v>408</v>
      </c>
      <c r="B984" s="37" t="s">
        <v>2074</v>
      </c>
      <c r="C984" s="37" t="s">
        <v>1627</v>
      </c>
      <c r="D984" s="37" t="s">
        <v>21</v>
      </c>
      <c r="E984" s="37" t="s">
        <v>22</v>
      </c>
      <c r="F984" s="42">
        <v>45473</v>
      </c>
      <c r="G984" s="37">
        <v>2024</v>
      </c>
      <c r="H984" s="37" t="s">
        <v>23</v>
      </c>
      <c r="I984" s="39" t="s">
        <v>34</v>
      </c>
      <c r="J984" s="37">
        <v>100</v>
      </c>
      <c r="K984" s="37"/>
      <c r="L984" s="65"/>
      <c r="M984" s="65"/>
      <c r="N984" s="37"/>
      <c r="O984" s="37"/>
      <c r="P984" s="37">
        <v>0</v>
      </c>
      <c r="Q984" s="37">
        <v>0</v>
      </c>
      <c r="R984" s="37" t="s">
        <v>2077</v>
      </c>
      <c r="S984" s="37"/>
    </row>
    <row r="985" spans="1:19" x14ac:dyDescent="0.3">
      <c r="A985" s="37">
        <v>408</v>
      </c>
      <c r="B985" s="37" t="s">
        <v>2074</v>
      </c>
      <c r="C985" s="37" t="s">
        <v>1627</v>
      </c>
      <c r="D985" s="37" t="s">
        <v>21</v>
      </c>
      <c r="E985" s="37" t="s">
        <v>22</v>
      </c>
      <c r="F985" s="42">
        <v>45657</v>
      </c>
      <c r="G985" s="37">
        <v>2024</v>
      </c>
      <c r="H985" s="37" t="s">
        <v>27</v>
      </c>
      <c r="I985" s="39" t="s">
        <v>36</v>
      </c>
      <c r="J985" s="37">
        <v>100</v>
      </c>
      <c r="K985" s="37">
        <v>100</v>
      </c>
      <c r="L985" s="65">
        <f t="shared" ref="L985:L990" si="114">IFERROR(IF(OR(J985=0,K985=""),"",IF(E985="Positivo",MIN(MAX(K985/J985,0),1.3),MIN(MAX(J985/K985,0),1.3))),"")</f>
        <v>1</v>
      </c>
      <c r="M985" s="65">
        <f t="shared" ref="M985:M990" si="115">IFERROR(IF(OR(J985=0,K985=""),"",IF(E985="Positivo",MAX(K985/J985,0),MAX(J985/K985,0))),"")</f>
        <v>1</v>
      </c>
      <c r="N985" s="37"/>
      <c r="O985" s="37"/>
      <c r="P985" s="37">
        <v>0</v>
      </c>
      <c r="Q985" s="37">
        <v>0</v>
      </c>
      <c r="R985" s="37" t="s">
        <v>2078</v>
      </c>
      <c r="S985" s="37"/>
    </row>
    <row r="986" spans="1:19" x14ac:dyDescent="0.3">
      <c r="A986" s="41">
        <v>409</v>
      </c>
      <c r="B986" s="37" t="s">
        <v>2081</v>
      </c>
      <c r="C986" s="37" t="s">
        <v>1303</v>
      </c>
      <c r="D986" s="37" t="s">
        <v>39</v>
      </c>
      <c r="E986" s="37" t="s">
        <v>22</v>
      </c>
      <c r="F986" s="42">
        <v>45107</v>
      </c>
      <c r="G986" s="37">
        <v>2023</v>
      </c>
      <c r="H986" s="37" t="s">
        <v>23</v>
      </c>
      <c r="I986" s="39" t="s">
        <v>30</v>
      </c>
      <c r="J986" s="37">
        <v>80</v>
      </c>
      <c r="K986" s="37">
        <v>103.71885459278499</v>
      </c>
      <c r="L986" s="74">
        <f t="shared" si="114"/>
        <v>1.2964856824098123</v>
      </c>
      <c r="M986" s="65">
        <f t="shared" si="115"/>
        <v>1.2964856824098123</v>
      </c>
      <c r="N986" s="37" t="s">
        <v>25</v>
      </c>
      <c r="O986" s="37" t="s">
        <v>25</v>
      </c>
      <c r="P986" s="37">
        <v>0</v>
      </c>
      <c r="Q986" s="37">
        <v>0</v>
      </c>
      <c r="R986" s="37" t="s">
        <v>2083</v>
      </c>
      <c r="S986" s="37"/>
    </row>
    <row r="987" spans="1:19" x14ac:dyDescent="0.3">
      <c r="A987" s="41">
        <v>409</v>
      </c>
      <c r="B987" s="37" t="s">
        <v>2081</v>
      </c>
      <c r="C987" s="37" t="s">
        <v>1303</v>
      </c>
      <c r="D987" s="37" t="s">
        <v>39</v>
      </c>
      <c r="E987" s="37" t="s">
        <v>22</v>
      </c>
      <c r="F987" s="42">
        <v>45291</v>
      </c>
      <c r="G987" s="37">
        <v>2023</v>
      </c>
      <c r="H987" s="37" t="s">
        <v>27</v>
      </c>
      <c r="I987" s="39" t="s">
        <v>32</v>
      </c>
      <c r="J987" s="37">
        <v>160</v>
      </c>
      <c r="K987" s="37">
        <v>203.71885459278539</v>
      </c>
      <c r="L987" s="74">
        <f t="shared" si="114"/>
        <v>1.2732428412049086</v>
      </c>
      <c r="M987" s="65">
        <f t="shared" si="115"/>
        <v>1.2732428412049086</v>
      </c>
      <c r="N987" s="37" t="s">
        <v>25</v>
      </c>
      <c r="O987" s="37" t="s">
        <v>25</v>
      </c>
      <c r="P987" s="37">
        <v>0</v>
      </c>
      <c r="Q987" s="37">
        <v>0</v>
      </c>
      <c r="R987" s="37" t="s">
        <v>2085</v>
      </c>
      <c r="S987" s="37"/>
    </row>
    <row r="988" spans="1:19" x14ac:dyDescent="0.3">
      <c r="A988" s="37">
        <v>409</v>
      </c>
      <c r="B988" s="37" t="s">
        <v>2081</v>
      </c>
      <c r="C988" s="37" t="s">
        <v>1303</v>
      </c>
      <c r="D988" s="37" t="s">
        <v>39</v>
      </c>
      <c r="E988" s="37" t="s">
        <v>22</v>
      </c>
      <c r="F988" s="42">
        <v>45473</v>
      </c>
      <c r="G988" s="37">
        <v>2024</v>
      </c>
      <c r="H988" s="37" t="s">
        <v>23</v>
      </c>
      <c r="I988" s="39" t="s">
        <v>34</v>
      </c>
      <c r="J988" s="37">
        <v>190</v>
      </c>
      <c r="K988" s="37">
        <v>196.51883947156031</v>
      </c>
      <c r="L988" s="65">
        <f t="shared" si="114"/>
        <v>1.0343096814292647</v>
      </c>
      <c r="M988" s="65">
        <f t="shared" si="115"/>
        <v>1.0343096814292647</v>
      </c>
      <c r="N988" s="37"/>
      <c r="O988" s="37"/>
      <c r="P988" s="37">
        <v>0</v>
      </c>
      <c r="Q988" s="37">
        <v>0</v>
      </c>
      <c r="R988" s="37" t="s">
        <v>2087</v>
      </c>
      <c r="S988" s="37"/>
    </row>
    <row r="989" spans="1:19" x14ac:dyDescent="0.3">
      <c r="A989" s="37">
        <v>409</v>
      </c>
      <c r="B989" s="37" t="s">
        <v>2081</v>
      </c>
      <c r="C989" s="37" t="s">
        <v>1303</v>
      </c>
      <c r="D989" s="37" t="s">
        <v>39</v>
      </c>
      <c r="E989" s="37" t="s">
        <v>22</v>
      </c>
      <c r="F989" s="42">
        <v>45657</v>
      </c>
      <c r="G989" s="37">
        <v>2024</v>
      </c>
      <c r="H989" s="37" t="s">
        <v>27</v>
      </c>
      <c r="I989" s="39" t="s">
        <v>36</v>
      </c>
      <c r="J989" s="37">
        <v>190</v>
      </c>
      <c r="K989" s="37">
        <v>193.57962905038281</v>
      </c>
      <c r="L989" s="65">
        <f t="shared" si="114"/>
        <v>1.0188401528967517</v>
      </c>
      <c r="M989" s="65">
        <f t="shared" si="115"/>
        <v>1.0188401528967517</v>
      </c>
      <c r="N989" s="37"/>
      <c r="O989" s="37"/>
      <c r="P989" s="37">
        <v>0</v>
      </c>
      <c r="Q989" s="37">
        <v>0</v>
      </c>
      <c r="R989" s="37" t="s">
        <v>2089</v>
      </c>
      <c r="S989" s="37"/>
    </row>
    <row r="990" spans="1:19" x14ac:dyDescent="0.3">
      <c r="A990" s="41">
        <v>410</v>
      </c>
      <c r="B990" s="37" t="s">
        <v>2091</v>
      </c>
      <c r="C990" s="37" t="s">
        <v>1303</v>
      </c>
      <c r="D990" s="37" t="s">
        <v>39</v>
      </c>
      <c r="E990" s="37" t="s">
        <v>22</v>
      </c>
      <c r="F990" s="42">
        <v>45291</v>
      </c>
      <c r="G990" s="37">
        <v>2023</v>
      </c>
      <c r="H990" s="37" t="s">
        <v>27</v>
      </c>
      <c r="I990" s="39" t="s">
        <v>32</v>
      </c>
      <c r="J990" s="37">
        <v>90</v>
      </c>
      <c r="K990" s="37">
        <v>100</v>
      </c>
      <c r="L990" s="74">
        <f t="shared" si="114"/>
        <v>1.1111111111111112</v>
      </c>
      <c r="M990" s="65">
        <f t="shared" si="115"/>
        <v>1.1111111111111112</v>
      </c>
      <c r="N990" s="37" t="s">
        <v>25</v>
      </c>
      <c r="O990" s="37" t="s">
        <v>25</v>
      </c>
      <c r="P990" s="37">
        <v>0</v>
      </c>
      <c r="Q990" s="37">
        <v>0</v>
      </c>
      <c r="R990" s="37" t="s">
        <v>3537</v>
      </c>
      <c r="S990" s="37"/>
    </row>
    <row r="991" spans="1:19" x14ac:dyDescent="0.3">
      <c r="A991" s="45">
        <v>411</v>
      </c>
      <c r="B991" s="37" t="s">
        <v>2093</v>
      </c>
      <c r="C991" s="37" t="s">
        <v>1998</v>
      </c>
      <c r="D991" s="37" t="s">
        <v>21</v>
      </c>
      <c r="E991" s="37" t="s">
        <v>22</v>
      </c>
      <c r="F991" s="42">
        <v>45107</v>
      </c>
      <c r="G991" s="37">
        <v>2023</v>
      </c>
      <c r="H991" s="37" t="s">
        <v>23</v>
      </c>
      <c r="I991" s="39" t="s">
        <v>30</v>
      </c>
      <c r="J991" s="37"/>
      <c r="K991" s="37"/>
      <c r="L991" s="67"/>
      <c r="M991" s="65"/>
      <c r="N991" s="37"/>
      <c r="O991" s="37"/>
      <c r="P991" s="37">
        <v>0</v>
      </c>
      <c r="Q991" s="37">
        <v>0</v>
      </c>
      <c r="R991" s="37" t="s">
        <v>3538</v>
      </c>
      <c r="S991" s="37"/>
    </row>
    <row r="992" spans="1:19" x14ac:dyDescent="0.3">
      <c r="A992" s="41">
        <v>411</v>
      </c>
      <c r="B992" s="37" t="s">
        <v>2093</v>
      </c>
      <c r="C992" s="37" t="s">
        <v>1998</v>
      </c>
      <c r="D992" s="37" t="s">
        <v>21</v>
      </c>
      <c r="E992" s="37" t="s">
        <v>22</v>
      </c>
      <c r="F992" s="42">
        <v>45291</v>
      </c>
      <c r="G992" s="37">
        <v>2023</v>
      </c>
      <c r="H992" s="37" t="s">
        <v>27</v>
      </c>
      <c r="I992" s="39" t="s">
        <v>32</v>
      </c>
      <c r="J992" s="37">
        <v>100</v>
      </c>
      <c r="K992" s="37">
        <v>100</v>
      </c>
      <c r="L992" s="74">
        <f t="shared" ref="L992:L996" si="116">IFERROR(IF(OR(J992=0,K992=""),"",IF(E992="Positivo",MIN(MAX(K992/J992,0),1.3),MIN(MAX(J992/K992,0),1.3))),"")</f>
        <v>1</v>
      </c>
      <c r="M992" s="65">
        <f t="shared" ref="M992:M996" si="117">IFERROR(IF(OR(J992=0,K992=""),"",IF(E992="Positivo",MAX(K992/J992,0),MAX(J992/K992,0))),"")</f>
        <v>1</v>
      </c>
      <c r="N992" s="37" t="s">
        <v>25</v>
      </c>
      <c r="O992" s="37" t="s">
        <v>25</v>
      </c>
      <c r="P992" s="37">
        <v>0</v>
      </c>
      <c r="Q992" s="37">
        <v>0</v>
      </c>
      <c r="R992" s="37" t="s">
        <v>2094</v>
      </c>
      <c r="S992" s="37"/>
    </row>
    <row r="993" spans="1:19" x14ac:dyDescent="0.3">
      <c r="A993" s="41">
        <v>412</v>
      </c>
      <c r="B993" s="37" t="s">
        <v>2095</v>
      </c>
      <c r="C993" s="37" t="s">
        <v>1998</v>
      </c>
      <c r="D993" s="37" t="s">
        <v>139</v>
      </c>
      <c r="E993" s="37" t="s">
        <v>22</v>
      </c>
      <c r="F993" s="42">
        <v>45291</v>
      </c>
      <c r="G993" s="37">
        <v>2023</v>
      </c>
      <c r="H993" s="37" t="s">
        <v>27</v>
      </c>
      <c r="I993" s="39" t="s">
        <v>32</v>
      </c>
      <c r="J993" s="37">
        <v>100</v>
      </c>
      <c r="K993" s="37">
        <v>100</v>
      </c>
      <c r="L993" s="74">
        <f t="shared" si="116"/>
        <v>1</v>
      </c>
      <c r="M993" s="65">
        <f t="shared" si="117"/>
        <v>1</v>
      </c>
      <c r="N993" s="37" t="s">
        <v>25</v>
      </c>
      <c r="O993" s="37" t="s">
        <v>25</v>
      </c>
      <c r="P993" s="37">
        <v>0</v>
      </c>
      <c r="Q993" s="37">
        <v>0</v>
      </c>
      <c r="R993" s="37" t="s">
        <v>2096</v>
      </c>
      <c r="S993" s="37"/>
    </row>
    <row r="994" spans="1:19" x14ac:dyDescent="0.3">
      <c r="A994" s="37">
        <v>412</v>
      </c>
      <c r="B994" s="37" t="s">
        <v>2097</v>
      </c>
      <c r="C994" s="37" t="s">
        <v>1998</v>
      </c>
      <c r="D994" s="37" t="s">
        <v>139</v>
      </c>
      <c r="E994" s="37" t="s">
        <v>22</v>
      </c>
      <c r="F994" s="42">
        <v>45657</v>
      </c>
      <c r="G994" s="37">
        <v>2024</v>
      </c>
      <c r="H994" s="37" t="s">
        <v>27</v>
      </c>
      <c r="I994" s="39" t="s">
        <v>36</v>
      </c>
      <c r="J994" s="37">
        <v>100</v>
      </c>
      <c r="K994" s="37">
        <v>100</v>
      </c>
      <c r="L994" s="65">
        <f t="shared" si="116"/>
        <v>1</v>
      </c>
      <c r="M994" s="65">
        <f t="shared" si="117"/>
        <v>1</v>
      </c>
      <c r="N994" s="37"/>
      <c r="O994" s="37"/>
      <c r="P994" s="37">
        <v>0</v>
      </c>
      <c r="Q994" s="37">
        <v>0</v>
      </c>
      <c r="R994" s="37" t="s">
        <v>2098</v>
      </c>
      <c r="S994" s="37"/>
    </row>
    <row r="995" spans="1:19" x14ac:dyDescent="0.3">
      <c r="A995" s="41">
        <v>413</v>
      </c>
      <c r="B995" s="37" t="s">
        <v>2099</v>
      </c>
      <c r="C995" s="37" t="s">
        <v>1998</v>
      </c>
      <c r="D995" s="37" t="s">
        <v>139</v>
      </c>
      <c r="E995" s="37" t="s">
        <v>22</v>
      </c>
      <c r="F995" s="42">
        <v>45291</v>
      </c>
      <c r="G995" s="37">
        <v>2023</v>
      </c>
      <c r="H995" s="37" t="s">
        <v>27</v>
      </c>
      <c r="I995" s="39" t="s">
        <v>32</v>
      </c>
      <c r="J995" s="37">
        <v>2</v>
      </c>
      <c r="K995" s="37">
        <v>2</v>
      </c>
      <c r="L995" s="74">
        <f t="shared" si="116"/>
        <v>1</v>
      </c>
      <c r="M995" s="65">
        <f t="shared" si="117"/>
        <v>1</v>
      </c>
      <c r="N995" s="37" t="s">
        <v>3505</v>
      </c>
      <c r="O995" s="37"/>
      <c r="P995" s="37">
        <v>0</v>
      </c>
      <c r="Q995" s="37">
        <v>0</v>
      </c>
      <c r="R995" s="37" t="s">
        <v>2100</v>
      </c>
      <c r="S995" s="37"/>
    </row>
    <row r="996" spans="1:19" x14ac:dyDescent="0.3">
      <c r="A996" s="37">
        <v>413</v>
      </c>
      <c r="B996" s="37" t="s">
        <v>2101</v>
      </c>
      <c r="C996" s="37" t="s">
        <v>1998</v>
      </c>
      <c r="D996" s="37" t="s">
        <v>139</v>
      </c>
      <c r="E996" s="37" t="s">
        <v>22</v>
      </c>
      <c r="F996" s="42">
        <v>45657</v>
      </c>
      <c r="G996" s="37">
        <v>2024</v>
      </c>
      <c r="H996" s="37" t="s">
        <v>27</v>
      </c>
      <c r="I996" s="39" t="s">
        <v>36</v>
      </c>
      <c r="J996" s="37">
        <v>3</v>
      </c>
      <c r="K996" s="37">
        <v>3</v>
      </c>
      <c r="L996" s="65">
        <f t="shared" si="116"/>
        <v>1</v>
      </c>
      <c r="M996" s="65">
        <f t="shared" si="117"/>
        <v>1</v>
      </c>
      <c r="N996" s="37"/>
      <c r="O996" s="37"/>
      <c r="P996" s="37">
        <v>0</v>
      </c>
      <c r="Q996" s="37">
        <v>0</v>
      </c>
      <c r="R996" s="37" t="s">
        <v>2102</v>
      </c>
      <c r="S996" s="37"/>
    </row>
    <row r="997" spans="1:19" x14ac:dyDescent="0.3">
      <c r="A997" s="72">
        <v>414</v>
      </c>
      <c r="B997" s="37" t="s">
        <v>2103</v>
      </c>
      <c r="C997" s="37" t="s">
        <v>1263</v>
      </c>
      <c r="D997" s="37" t="s">
        <v>39</v>
      </c>
      <c r="E997" s="37" t="s">
        <v>22</v>
      </c>
      <c r="F997" s="42">
        <v>45016</v>
      </c>
      <c r="G997" s="37">
        <v>2023</v>
      </c>
      <c r="H997" s="37" t="s">
        <v>40</v>
      </c>
      <c r="I997" s="39" t="s">
        <v>30</v>
      </c>
      <c r="J997" s="37">
        <v>100</v>
      </c>
      <c r="K997" s="37">
        <v>0</v>
      </c>
      <c r="L997" s="74">
        <f t="shared" ref="L997:L1026" si="118">IFERROR(IF(OR(J997=0,K997=""),"",IF(E997="Positivo",MIN(MAX(K997/J997,0),1),MIN(MAX(J997/K997,0),1))),"")</f>
        <v>0</v>
      </c>
      <c r="M997" s="65">
        <f t="shared" ref="M997:M1026" si="119">IFERROR(IF(OR(J997=0,K997=""),"",IF(E997="Positivo",MIN(MAX(K997/J997,0),1),MIN(MAX(J997/K997,0),1))),"")</f>
        <v>0</v>
      </c>
      <c r="N997" s="37"/>
      <c r="O997" s="37"/>
      <c r="P997" s="37">
        <v>0</v>
      </c>
      <c r="Q997" s="37">
        <v>0</v>
      </c>
      <c r="R997" s="37" t="s">
        <v>2104</v>
      </c>
      <c r="S997" s="37"/>
    </row>
    <row r="998" spans="1:19" x14ac:dyDescent="0.3">
      <c r="A998" s="41">
        <v>414</v>
      </c>
      <c r="B998" s="37" t="s">
        <v>2103</v>
      </c>
      <c r="C998" s="37" t="s">
        <v>1263</v>
      </c>
      <c r="D998" s="37" t="s">
        <v>39</v>
      </c>
      <c r="E998" s="37" t="s">
        <v>22</v>
      </c>
      <c r="F998" s="42">
        <v>45107</v>
      </c>
      <c r="G998" s="37">
        <v>2023</v>
      </c>
      <c r="H998" s="37" t="s">
        <v>23</v>
      </c>
      <c r="I998" s="39" t="s">
        <v>30</v>
      </c>
      <c r="J998" s="37">
        <v>100</v>
      </c>
      <c r="K998" s="37">
        <v>110.01</v>
      </c>
      <c r="L998" s="74">
        <f t="shared" si="118"/>
        <v>1</v>
      </c>
      <c r="M998" s="65">
        <f t="shared" si="119"/>
        <v>1</v>
      </c>
      <c r="N998" s="37"/>
      <c r="O998" s="37"/>
      <c r="P998" s="37">
        <v>0</v>
      </c>
      <c r="Q998" s="37">
        <v>0</v>
      </c>
      <c r="R998" s="37" t="s">
        <v>2105</v>
      </c>
      <c r="S998" s="37"/>
    </row>
    <row r="999" spans="1:19" x14ac:dyDescent="0.3">
      <c r="A999" s="45">
        <v>414</v>
      </c>
      <c r="B999" s="37" t="s">
        <v>2103</v>
      </c>
      <c r="C999" s="37" t="s">
        <v>1263</v>
      </c>
      <c r="D999" s="37" t="s">
        <v>39</v>
      </c>
      <c r="E999" s="37" t="s">
        <v>22</v>
      </c>
      <c r="F999" s="42">
        <v>45199</v>
      </c>
      <c r="G999" s="37">
        <v>2023</v>
      </c>
      <c r="H999" s="37" t="s">
        <v>43</v>
      </c>
      <c r="I999" s="39" t="s">
        <v>32</v>
      </c>
      <c r="J999" s="37">
        <v>100</v>
      </c>
      <c r="K999" s="37">
        <v>93.54</v>
      </c>
      <c r="L999" s="74">
        <f t="shared" si="118"/>
        <v>0.93540000000000001</v>
      </c>
      <c r="M999" s="65">
        <f t="shared" si="119"/>
        <v>0.93540000000000001</v>
      </c>
      <c r="N999" s="37"/>
      <c r="O999" s="37"/>
      <c r="P999" s="37">
        <v>0</v>
      </c>
      <c r="Q999" s="37">
        <v>0</v>
      </c>
      <c r="R999" s="37" t="s">
        <v>2106</v>
      </c>
      <c r="S999" s="37"/>
    </row>
    <row r="1000" spans="1:19" x14ac:dyDescent="0.3">
      <c r="A1000" s="41">
        <v>414</v>
      </c>
      <c r="B1000" s="37" t="s">
        <v>2103</v>
      </c>
      <c r="C1000" s="37" t="s">
        <v>1263</v>
      </c>
      <c r="D1000" s="37" t="s">
        <v>39</v>
      </c>
      <c r="E1000" s="37" t="s">
        <v>22</v>
      </c>
      <c r="F1000" s="42">
        <v>45291</v>
      </c>
      <c r="G1000" s="37">
        <v>2023</v>
      </c>
      <c r="H1000" s="37" t="s">
        <v>27</v>
      </c>
      <c r="I1000" s="39" t="s">
        <v>32</v>
      </c>
      <c r="J1000" s="37">
        <v>100</v>
      </c>
      <c r="K1000" s="37">
        <v>96.28</v>
      </c>
      <c r="L1000" s="74">
        <f t="shared" si="118"/>
        <v>0.96279999999999999</v>
      </c>
      <c r="M1000" s="65">
        <f t="shared" si="119"/>
        <v>0.96279999999999999</v>
      </c>
      <c r="N1000" s="37"/>
      <c r="O1000" s="37"/>
      <c r="P1000" s="37">
        <v>0</v>
      </c>
      <c r="Q1000" s="37">
        <v>0</v>
      </c>
      <c r="R1000" s="37" t="s">
        <v>2107</v>
      </c>
      <c r="S1000" s="37"/>
    </row>
    <row r="1001" spans="1:19" x14ac:dyDescent="0.3">
      <c r="A1001" s="37">
        <v>414</v>
      </c>
      <c r="B1001" s="37" t="s">
        <v>2103</v>
      </c>
      <c r="C1001" s="37" t="s">
        <v>1263</v>
      </c>
      <c r="D1001" s="37" t="s">
        <v>39</v>
      </c>
      <c r="E1001" s="37" t="s">
        <v>22</v>
      </c>
      <c r="F1001" s="42">
        <v>45473</v>
      </c>
      <c r="G1001" s="37">
        <v>2024</v>
      </c>
      <c r="H1001" s="37" t="s">
        <v>23</v>
      </c>
      <c r="I1001" s="39" t="s">
        <v>34</v>
      </c>
      <c r="J1001" s="37">
        <v>100</v>
      </c>
      <c r="K1001" s="37">
        <v>100.06</v>
      </c>
      <c r="L1001" s="65">
        <f t="shared" si="118"/>
        <v>1</v>
      </c>
      <c r="M1001" s="65">
        <f t="shared" si="119"/>
        <v>1</v>
      </c>
      <c r="N1001" s="37"/>
      <c r="O1001" s="37"/>
      <c r="P1001" s="37">
        <v>0</v>
      </c>
      <c r="Q1001" s="37">
        <v>0</v>
      </c>
      <c r="R1001" s="37" t="s">
        <v>2109</v>
      </c>
      <c r="S1001" s="37"/>
    </row>
    <row r="1002" spans="1:19" x14ac:dyDescent="0.3">
      <c r="A1002" s="37">
        <v>414</v>
      </c>
      <c r="B1002" s="37" t="s">
        <v>2103</v>
      </c>
      <c r="C1002" s="37" t="s">
        <v>1263</v>
      </c>
      <c r="D1002" s="37" t="s">
        <v>39</v>
      </c>
      <c r="E1002" s="37" t="s">
        <v>22</v>
      </c>
      <c r="F1002" s="42">
        <v>45657</v>
      </c>
      <c r="G1002" s="37">
        <v>2024</v>
      </c>
      <c r="H1002" s="37" t="s">
        <v>27</v>
      </c>
      <c r="I1002" s="39" t="s">
        <v>36</v>
      </c>
      <c r="J1002" s="37">
        <v>100</v>
      </c>
      <c r="K1002" s="37">
        <v>98.78</v>
      </c>
      <c r="L1002" s="65">
        <f t="shared" si="118"/>
        <v>0.98780000000000001</v>
      </c>
      <c r="M1002" s="65">
        <f t="shared" si="119"/>
        <v>0.98780000000000001</v>
      </c>
      <c r="N1002" s="37"/>
      <c r="O1002" s="37"/>
      <c r="P1002" s="37">
        <v>0</v>
      </c>
      <c r="Q1002" s="37">
        <v>0</v>
      </c>
      <c r="R1002" s="37" t="s">
        <v>2111</v>
      </c>
      <c r="S1002" s="37"/>
    </row>
    <row r="1003" spans="1:19" x14ac:dyDescent="0.3">
      <c r="A1003" s="72">
        <v>415</v>
      </c>
      <c r="B1003" s="37" t="s">
        <v>2116</v>
      </c>
      <c r="C1003" s="37" t="s">
        <v>1263</v>
      </c>
      <c r="D1003" s="37" t="s">
        <v>39</v>
      </c>
      <c r="E1003" s="37" t="s">
        <v>22</v>
      </c>
      <c r="F1003" s="42">
        <v>45016</v>
      </c>
      <c r="G1003" s="37">
        <v>2023</v>
      </c>
      <c r="H1003" s="37" t="s">
        <v>40</v>
      </c>
      <c r="I1003" s="39" t="s">
        <v>30</v>
      </c>
      <c r="J1003" s="37">
        <v>100</v>
      </c>
      <c r="K1003" s="37">
        <v>0</v>
      </c>
      <c r="L1003" s="74">
        <f t="shared" si="118"/>
        <v>0</v>
      </c>
      <c r="M1003" s="65">
        <f t="shared" si="119"/>
        <v>0</v>
      </c>
      <c r="N1003" s="37"/>
      <c r="O1003" s="37"/>
      <c r="P1003" s="37">
        <v>0</v>
      </c>
      <c r="Q1003" s="37">
        <v>0</v>
      </c>
      <c r="R1003" s="37" t="s">
        <v>2117</v>
      </c>
      <c r="S1003" s="37"/>
    </row>
    <row r="1004" spans="1:19" x14ac:dyDescent="0.3">
      <c r="A1004" s="41">
        <v>415</v>
      </c>
      <c r="B1004" s="37" t="s">
        <v>2116</v>
      </c>
      <c r="C1004" s="37" t="s">
        <v>1263</v>
      </c>
      <c r="D1004" s="37" t="s">
        <v>39</v>
      </c>
      <c r="E1004" s="37" t="s">
        <v>22</v>
      </c>
      <c r="F1004" s="42">
        <v>45107</v>
      </c>
      <c r="G1004" s="37">
        <v>2023</v>
      </c>
      <c r="H1004" s="37" t="s">
        <v>23</v>
      </c>
      <c r="I1004" s="39" t="s">
        <v>30</v>
      </c>
      <c r="J1004" s="37">
        <v>100</v>
      </c>
      <c r="K1004" s="37">
        <v>94.04</v>
      </c>
      <c r="L1004" s="74">
        <f t="shared" si="118"/>
        <v>0.94040000000000001</v>
      </c>
      <c r="M1004" s="65">
        <f t="shared" si="119"/>
        <v>0.94040000000000001</v>
      </c>
      <c r="N1004" s="37"/>
      <c r="O1004" s="37"/>
      <c r="P1004" s="37">
        <v>0</v>
      </c>
      <c r="Q1004" s="37">
        <v>0</v>
      </c>
      <c r="R1004" s="37" t="s">
        <v>2118</v>
      </c>
      <c r="S1004" s="37"/>
    </row>
    <row r="1005" spans="1:19" x14ac:dyDescent="0.3">
      <c r="A1005" s="45">
        <v>415</v>
      </c>
      <c r="B1005" s="37" t="s">
        <v>2116</v>
      </c>
      <c r="C1005" s="37" t="s">
        <v>1263</v>
      </c>
      <c r="D1005" s="37" t="s">
        <v>39</v>
      </c>
      <c r="E1005" s="37" t="s">
        <v>22</v>
      </c>
      <c r="F1005" s="42">
        <v>45199</v>
      </c>
      <c r="G1005" s="37">
        <v>2023</v>
      </c>
      <c r="H1005" s="37" t="s">
        <v>43</v>
      </c>
      <c r="I1005" s="39" t="s">
        <v>32</v>
      </c>
      <c r="J1005" s="37">
        <v>100</v>
      </c>
      <c r="K1005" s="37">
        <v>93.94</v>
      </c>
      <c r="L1005" s="74">
        <f t="shared" si="118"/>
        <v>0.93940000000000001</v>
      </c>
      <c r="M1005" s="65">
        <f t="shared" si="119"/>
        <v>0.93940000000000001</v>
      </c>
      <c r="N1005" s="37"/>
      <c r="O1005" s="37"/>
      <c r="P1005" s="37">
        <v>0</v>
      </c>
      <c r="Q1005" s="37">
        <v>0</v>
      </c>
      <c r="R1005" s="37" t="s">
        <v>2119</v>
      </c>
      <c r="S1005" s="37"/>
    </row>
    <row r="1006" spans="1:19" x14ac:dyDescent="0.3">
      <c r="A1006" s="41">
        <v>415</v>
      </c>
      <c r="B1006" s="37" t="s">
        <v>2116</v>
      </c>
      <c r="C1006" s="37" t="s">
        <v>1263</v>
      </c>
      <c r="D1006" s="37" t="s">
        <v>39</v>
      </c>
      <c r="E1006" s="37" t="s">
        <v>22</v>
      </c>
      <c r="F1006" s="42">
        <v>45291</v>
      </c>
      <c r="G1006" s="37">
        <v>2023</v>
      </c>
      <c r="H1006" s="37" t="s">
        <v>27</v>
      </c>
      <c r="I1006" s="39" t="s">
        <v>32</v>
      </c>
      <c r="J1006" s="37">
        <v>100</v>
      </c>
      <c r="K1006" s="37">
        <v>96</v>
      </c>
      <c r="L1006" s="74">
        <f t="shared" si="118"/>
        <v>0.96</v>
      </c>
      <c r="M1006" s="65">
        <f t="shared" si="119"/>
        <v>0.96</v>
      </c>
      <c r="N1006" s="37"/>
      <c r="O1006" s="37"/>
      <c r="P1006" s="37">
        <v>0</v>
      </c>
      <c r="Q1006" s="37">
        <v>0</v>
      </c>
      <c r="R1006" s="37" t="s">
        <v>2120</v>
      </c>
      <c r="S1006" s="37"/>
    </row>
    <row r="1007" spans="1:19" x14ac:dyDescent="0.3">
      <c r="A1007" s="37">
        <v>415</v>
      </c>
      <c r="B1007" s="37" t="s">
        <v>2116</v>
      </c>
      <c r="C1007" s="37" t="s">
        <v>1263</v>
      </c>
      <c r="D1007" s="37" t="s">
        <v>39</v>
      </c>
      <c r="E1007" s="37" t="s">
        <v>22</v>
      </c>
      <c r="F1007" s="42">
        <v>45473</v>
      </c>
      <c r="G1007" s="37">
        <v>2024</v>
      </c>
      <c r="H1007" s="37" t="s">
        <v>23</v>
      </c>
      <c r="I1007" s="39" t="s">
        <v>34</v>
      </c>
      <c r="J1007" s="37">
        <v>100</v>
      </c>
      <c r="K1007" s="37">
        <v>93.04</v>
      </c>
      <c r="L1007" s="65">
        <f t="shared" si="118"/>
        <v>0.93040000000000012</v>
      </c>
      <c r="M1007" s="65">
        <f t="shared" si="119"/>
        <v>0.93040000000000012</v>
      </c>
      <c r="N1007" s="37"/>
      <c r="O1007" s="37"/>
      <c r="P1007" s="37">
        <v>0</v>
      </c>
      <c r="Q1007" s="37">
        <v>0</v>
      </c>
      <c r="R1007" s="37" t="s">
        <v>2122</v>
      </c>
      <c r="S1007" s="37"/>
    </row>
    <row r="1008" spans="1:19" x14ac:dyDescent="0.3">
      <c r="A1008" s="37">
        <v>415</v>
      </c>
      <c r="B1008" s="37" t="s">
        <v>2116</v>
      </c>
      <c r="C1008" s="37" t="s">
        <v>1263</v>
      </c>
      <c r="D1008" s="37" t="s">
        <v>39</v>
      </c>
      <c r="E1008" s="37" t="s">
        <v>22</v>
      </c>
      <c r="F1008" s="42">
        <v>45657</v>
      </c>
      <c r="G1008" s="37">
        <v>2024</v>
      </c>
      <c r="H1008" s="37" t="s">
        <v>27</v>
      </c>
      <c r="I1008" s="39" t="s">
        <v>36</v>
      </c>
      <c r="J1008" s="37">
        <v>100</v>
      </c>
      <c r="K1008" s="37">
        <v>98.36</v>
      </c>
      <c r="L1008" s="65">
        <f t="shared" si="118"/>
        <v>0.98360000000000003</v>
      </c>
      <c r="M1008" s="65">
        <f t="shared" si="119"/>
        <v>0.98360000000000003</v>
      </c>
      <c r="N1008" s="37"/>
      <c r="O1008" s="37"/>
      <c r="P1008" s="37">
        <v>0</v>
      </c>
      <c r="Q1008" s="37">
        <v>0</v>
      </c>
      <c r="R1008" s="37" t="s">
        <v>2124</v>
      </c>
      <c r="S1008" s="37"/>
    </row>
    <row r="1009" spans="1:19" x14ac:dyDescent="0.3">
      <c r="A1009" s="72">
        <v>416</v>
      </c>
      <c r="B1009" s="37" t="s">
        <v>2129</v>
      </c>
      <c r="C1009" s="37" t="s">
        <v>1263</v>
      </c>
      <c r="D1009" s="37" t="s">
        <v>39</v>
      </c>
      <c r="E1009" s="37" t="s">
        <v>22</v>
      </c>
      <c r="F1009" s="42">
        <v>45016</v>
      </c>
      <c r="G1009" s="37">
        <v>2023</v>
      </c>
      <c r="H1009" s="37" t="s">
        <v>40</v>
      </c>
      <c r="I1009" s="39" t="s">
        <v>30</v>
      </c>
      <c r="J1009" s="37">
        <v>100</v>
      </c>
      <c r="K1009" s="37">
        <v>0</v>
      </c>
      <c r="L1009" s="74">
        <f t="shared" si="118"/>
        <v>0</v>
      </c>
      <c r="M1009" s="65">
        <f t="shared" si="119"/>
        <v>0</v>
      </c>
      <c r="N1009" s="37"/>
      <c r="O1009" s="37"/>
      <c r="P1009" s="37">
        <v>0</v>
      </c>
      <c r="Q1009" s="37">
        <v>0</v>
      </c>
      <c r="R1009" s="37" t="s">
        <v>2130</v>
      </c>
      <c r="S1009" s="37"/>
    </row>
    <row r="1010" spans="1:19" x14ac:dyDescent="0.3">
      <c r="A1010" s="41">
        <v>416</v>
      </c>
      <c r="B1010" s="37" t="s">
        <v>2129</v>
      </c>
      <c r="C1010" s="37" t="s">
        <v>1263</v>
      </c>
      <c r="D1010" s="37" t="s">
        <v>39</v>
      </c>
      <c r="E1010" s="37" t="s">
        <v>22</v>
      </c>
      <c r="F1010" s="42">
        <v>45107</v>
      </c>
      <c r="G1010" s="37">
        <v>2023</v>
      </c>
      <c r="H1010" s="37" t="s">
        <v>23</v>
      </c>
      <c r="I1010" s="39" t="s">
        <v>30</v>
      </c>
      <c r="J1010" s="37">
        <v>100</v>
      </c>
      <c r="K1010" s="37">
        <v>95.74</v>
      </c>
      <c r="L1010" s="74">
        <f t="shared" si="118"/>
        <v>0.95739999999999992</v>
      </c>
      <c r="M1010" s="65">
        <f t="shared" si="119"/>
        <v>0.95739999999999992</v>
      </c>
      <c r="N1010" s="37"/>
      <c r="O1010" s="37"/>
      <c r="P1010" s="37">
        <v>0</v>
      </c>
      <c r="Q1010" s="37">
        <v>0</v>
      </c>
      <c r="R1010" s="37" t="s">
        <v>2131</v>
      </c>
      <c r="S1010" s="37"/>
    </row>
    <row r="1011" spans="1:19" x14ac:dyDescent="0.3">
      <c r="A1011" s="45">
        <v>416</v>
      </c>
      <c r="B1011" s="37" t="s">
        <v>2129</v>
      </c>
      <c r="C1011" s="37" t="s">
        <v>1263</v>
      </c>
      <c r="D1011" s="37" t="s">
        <v>39</v>
      </c>
      <c r="E1011" s="37" t="s">
        <v>22</v>
      </c>
      <c r="F1011" s="42">
        <v>45199</v>
      </c>
      <c r="G1011" s="37">
        <v>2023</v>
      </c>
      <c r="H1011" s="37" t="s">
        <v>43</v>
      </c>
      <c r="I1011" s="39" t="s">
        <v>32</v>
      </c>
      <c r="J1011" s="37">
        <v>100</v>
      </c>
      <c r="K1011" s="37">
        <v>87.94</v>
      </c>
      <c r="L1011" s="74">
        <f t="shared" si="118"/>
        <v>0.87939999999999996</v>
      </c>
      <c r="M1011" s="65">
        <f t="shared" si="119"/>
        <v>0.87939999999999996</v>
      </c>
      <c r="N1011" s="37"/>
      <c r="O1011" s="37"/>
      <c r="P1011" s="37">
        <v>0</v>
      </c>
      <c r="Q1011" s="37">
        <v>0</v>
      </c>
      <c r="R1011" s="37" t="s">
        <v>2132</v>
      </c>
      <c r="S1011" s="37"/>
    </row>
    <row r="1012" spans="1:19" x14ac:dyDescent="0.3">
      <c r="A1012" s="41">
        <v>416</v>
      </c>
      <c r="B1012" s="37" t="s">
        <v>2129</v>
      </c>
      <c r="C1012" s="37" t="s">
        <v>1263</v>
      </c>
      <c r="D1012" s="37" t="s">
        <v>39</v>
      </c>
      <c r="E1012" s="37" t="s">
        <v>22</v>
      </c>
      <c r="F1012" s="42">
        <v>45291</v>
      </c>
      <c r="G1012" s="37">
        <v>2023</v>
      </c>
      <c r="H1012" s="37" t="s">
        <v>27</v>
      </c>
      <c r="I1012" s="39" t="s">
        <v>32</v>
      </c>
      <c r="J1012" s="37">
        <v>100</v>
      </c>
      <c r="K1012" s="37">
        <v>98</v>
      </c>
      <c r="L1012" s="74">
        <f t="shared" si="118"/>
        <v>0.98</v>
      </c>
      <c r="M1012" s="65">
        <f t="shared" si="119"/>
        <v>0.98</v>
      </c>
      <c r="N1012" s="37"/>
      <c r="O1012" s="37"/>
      <c r="P1012" s="37">
        <v>0</v>
      </c>
      <c r="Q1012" s="37">
        <v>0</v>
      </c>
      <c r="R1012" s="37" t="s">
        <v>2133</v>
      </c>
      <c r="S1012" s="37"/>
    </row>
    <row r="1013" spans="1:19" x14ac:dyDescent="0.3">
      <c r="A1013" s="37">
        <v>416</v>
      </c>
      <c r="B1013" s="37" t="s">
        <v>2129</v>
      </c>
      <c r="C1013" s="37" t="s">
        <v>1263</v>
      </c>
      <c r="D1013" s="37" t="s">
        <v>39</v>
      </c>
      <c r="E1013" s="37" t="s">
        <v>22</v>
      </c>
      <c r="F1013" s="42">
        <v>45473</v>
      </c>
      <c r="G1013" s="37">
        <v>2024</v>
      </c>
      <c r="H1013" s="37" t="s">
        <v>23</v>
      </c>
      <c r="I1013" s="39" t="s">
        <v>34</v>
      </c>
      <c r="J1013" s="37">
        <v>100</v>
      </c>
      <c r="K1013" s="37">
        <v>117.1</v>
      </c>
      <c r="L1013" s="65">
        <f t="shared" si="118"/>
        <v>1</v>
      </c>
      <c r="M1013" s="65">
        <f t="shared" si="119"/>
        <v>1</v>
      </c>
      <c r="N1013" s="37"/>
      <c r="O1013" s="37"/>
      <c r="P1013" s="37">
        <v>0</v>
      </c>
      <c r="Q1013" s="37">
        <v>0</v>
      </c>
      <c r="R1013" s="37" t="s">
        <v>2135</v>
      </c>
      <c r="S1013" s="37"/>
    </row>
    <row r="1014" spans="1:19" x14ac:dyDescent="0.3">
      <c r="A1014" s="37">
        <v>416</v>
      </c>
      <c r="B1014" s="37" t="s">
        <v>2129</v>
      </c>
      <c r="C1014" s="37" t="s">
        <v>1263</v>
      </c>
      <c r="D1014" s="37" t="s">
        <v>39</v>
      </c>
      <c r="E1014" s="37" t="s">
        <v>22</v>
      </c>
      <c r="F1014" s="42">
        <v>45657</v>
      </c>
      <c r="G1014" s="37">
        <v>2024</v>
      </c>
      <c r="H1014" s="37" t="s">
        <v>27</v>
      </c>
      <c r="I1014" s="39" t="s">
        <v>36</v>
      </c>
      <c r="J1014" s="37">
        <v>100</v>
      </c>
      <c r="K1014" s="37">
        <v>100</v>
      </c>
      <c r="L1014" s="65">
        <f t="shared" si="118"/>
        <v>1</v>
      </c>
      <c r="M1014" s="65">
        <f t="shared" si="119"/>
        <v>1</v>
      </c>
      <c r="N1014" s="37"/>
      <c r="O1014" s="37"/>
      <c r="P1014" s="37">
        <v>0</v>
      </c>
      <c r="Q1014" s="37">
        <v>0</v>
      </c>
      <c r="R1014" s="37" t="s">
        <v>2137</v>
      </c>
      <c r="S1014" s="37"/>
    </row>
    <row r="1015" spans="1:19" x14ac:dyDescent="0.3">
      <c r="A1015" s="72">
        <v>417</v>
      </c>
      <c r="B1015" s="37" t="s">
        <v>2142</v>
      </c>
      <c r="C1015" s="37" t="s">
        <v>1263</v>
      </c>
      <c r="D1015" s="37" t="s">
        <v>39</v>
      </c>
      <c r="E1015" s="37" t="s">
        <v>22</v>
      </c>
      <c r="F1015" s="42">
        <v>45016</v>
      </c>
      <c r="G1015" s="37">
        <v>2023</v>
      </c>
      <c r="H1015" s="37" t="s">
        <v>40</v>
      </c>
      <c r="I1015" s="39" t="s">
        <v>30</v>
      </c>
      <c r="J1015" s="37">
        <v>100</v>
      </c>
      <c r="K1015" s="37">
        <v>0</v>
      </c>
      <c r="L1015" s="74">
        <f t="shared" si="118"/>
        <v>0</v>
      </c>
      <c r="M1015" s="65">
        <f t="shared" si="119"/>
        <v>0</v>
      </c>
      <c r="N1015" s="37"/>
      <c r="O1015" s="37"/>
      <c r="P1015" s="37">
        <v>0</v>
      </c>
      <c r="Q1015" s="37">
        <v>0</v>
      </c>
      <c r="R1015" s="37" t="s">
        <v>2143</v>
      </c>
      <c r="S1015" s="37"/>
    </row>
    <row r="1016" spans="1:19" x14ac:dyDescent="0.3">
      <c r="A1016" s="41">
        <v>417</v>
      </c>
      <c r="B1016" s="37" t="s">
        <v>2142</v>
      </c>
      <c r="C1016" s="37" t="s">
        <v>1263</v>
      </c>
      <c r="D1016" s="37" t="s">
        <v>39</v>
      </c>
      <c r="E1016" s="37" t="s">
        <v>22</v>
      </c>
      <c r="F1016" s="42">
        <v>45107</v>
      </c>
      <c r="G1016" s="37">
        <v>2023</v>
      </c>
      <c r="H1016" s="37" t="s">
        <v>23</v>
      </c>
      <c r="I1016" s="39" t="s">
        <v>30</v>
      </c>
      <c r="J1016" s="37">
        <v>100</v>
      </c>
      <c r="K1016" s="37">
        <v>110.66833333333</v>
      </c>
      <c r="L1016" s="74">
        <f t="shared" si="118"/>
        <v>1</v>
      </c>
      <c r="M1016" s="65">
        <f t="shared" si="119"/>
        <v>1</v>
      </c>
      <c r="N1016" s="37"/>
      <c r="O1016" s="37"/>
      <c r="P1016" s="37">
        <v>0</v>
      </c>
      <c r="Q1016" s="37">
        <v>0</v>
      </c>
      <c r="R1016" s="37" t="s">
        <v>2144</v>
      </c>
      <c r="S1016" s="37"/>
    </row>
    <row r="1017" spans="1:19" x14ac:dyDescent="0.3">
      <c r="A1017" s="45">
        <v>417</v>
      </c>
      <c r="B1017" s="37" t="s">
        <v>2142</v>
      </c>
      <c r="C1017" s="37" t="s">
        <v>1263</v>
      </c>
      <c r="D1017" s="37" t="s">
        <v>39</v>
      </c>
      <c r="E1017" s="37" t="s">
        <v>22</v>
      </c>
      <c r="F1017" s="42">
        <v>45199</v>
      </c>
      <c r="G1017" s="37">
        <v>2023</v>
      </c>
      <c r="H1017" s="37" t="s">
        <v>43</v>
      </c>
      <c r="I1017" s="39" t="s">
        <v>32</v>
      </c>
      <c r="J1017" s="37">
        <v>100</v>
      </c>
      <c r="K1017" s="37">
        <v>93.756666666667002</v>
      </c>
      <c r="L1017" s="74">
        <f t="shared" si="118"/>
        <v>0.93756666666666999</v>
      </c>
      <c r="M1017" s="65">
        <f t="shared" si="119"/>
        <v>0.93756666666666999</v>
      </c>
      <c r="N1017" s="37"/>
      <c r="O1017" s="37"/>
      <c r="P1017" s="37">
        <v>0</v>
      </c>
      <c r="Q1017" s="37">
        <v>0</v>
      </c>
      <c r="R1017" s="37" t="s">
        <v>2145</v>
      </c>
      <c r="S1017" s="37"/>
    </row>
    <row r="1018" spans="1:19" x14ac:dyDescent="0.3">
      <c r="A1018" s="41">
        <v>417</v>
      </c>
      <c r="B1018" s="37" t="s">
        <v>2142</v>
      </c>
      <c r="C1018" s="37" t="s">
        <v>1263</v>
      </c>
      <c r="D1018" s="37" t="s">
        <v>39</v>
      </c>
      <c r="E1018" s="37" t="s">
        <v>22</v>
      </c>
      <c r="F1018" s="42">
        <v>45291</v>
      </c>
      <c r="G1018" s="37">
        <v>2023</v>
      </c>
      <c r="H1018" s="37" t="s">
        <v>27</v>
      </c>
      <c r="I1018" s="39" t="s">
        <v>32</v>
      </c>
      <c r="J1018" s="37">
        <v>100</v>
      </c>
      <c r="K1018" s="37">
        <v>94.39</v>
      </c>
      <c r="L1018" s="74">
        <f t="shared" si="118"/>
        <v>0.94389999999999996</v>
      </c>
      <c r="M1018" s="65">
        <f t="shared" si="119"/>
        <v>0.94389999999999996</v>
      </c>
      <c r="N1018" s="37"/>
      <c r="O1018" s="37"/>
      <c r="P1018" s="37">
        <v>0</v>
      </c>
      <c r="Q1018" s="37">
        <v>0</v>
      </c>
      <c r="R1018" s="37" t="s">
        <v>2146</v>
      </c>
      <c r="S1018" s="37"/>
    </row>
    <row r="1019" spans="1:19" x14ac:dyDescent="0.3">
      <c r="A1019" s="37">
        <v>417</v>
      </c>
      <c r="B1019" s="37" t="s">
        <v>2142</v>
      </c>
      <c r="C1019" s="37" t="s">
        <v>1263</v>
      </c>
      <c r="D1019" s="37" t="s">
        <v>39</v>
      </c>
      <c r="E1019" s="37" t="s">
        <v>22</v>
      </c>
      <c r="F1019" s="42">
        <v>45473</v>
      </c>
      <c r="G1019" s="37">
        <v>2024</v>
      </c>
      <c r="H1019" s="37" t="s">
        <v>23</v>
      </c>
      <c r="I1019" s="39" t="s">
        <v>34</v>
      </c>
      <c r="J1019" s="37">
        <v>100</v>
      </c>
      <c r="K1019" s="37">
        <v>112.12</v>
      </c>
      <c r="L1019" s="65">
        <f t="shared" si="118"/>
        <v>1</v>
      </c>
      <c r="M1019" s="65">
        <f t="shared" si="119"/>
        <v>1</v>
      </c>
      <c r="N1019" s="37"/>
      <c r="O1019" s="37"/>
      <c r="P1019" s="37">
        <v>0</v>
      </c>
      <c r="Q1019" s="37">
        <v>0</v>
      </c>
      <c r="R1019" s="37" t="s">
        <v>2148</v>
      </c>
      <c r="S1019" s="37"/>
    </row>
    <row r="1020" spans="1:19" x14ac:dyDescent="0.3">
      <c r="A1020" s="37">
        <v>417</v>
      </c>
      <c r="B1020" s="37" t="s">
        <v>2142</v>
      </c>
      <c r="C1020" s="37" t="s">
        <v>1263</v>
      </c>
      <c r="D1020" s="37" t="s">
        <v>39</v>
      </c>
      <c r="E1020" s="37" t="s">
        <v>22</v>
      </c>
      <c r="F1020" s="42">
        <v>45657</v>
      </c>
      <c r="G1020" s="37">
        <v>2024</v>
      </c>
      <c r="H1020" s="37" t="s">
        <v>27</v>
      </c>
      <c r="I1020" s="39" t="s">
        <v>36</v>
      </c>
      <c r="J1020" s="37">
        <v>100</v>
      </c>
      <c r="K1020" s="37">
        <v>98.83</v>
      </c>
      <c r="L1020" s="65">
        <f t="shared" si="118"/>
        <v>0.98829999999999996</v>
      </c>
      <c r="M1020" s="65">
        <f t="shared" si="119"/>
        <v>0.98829999999999996</v>
      </c>
      <c r="N1020" s="37"/>
      <c r="O1020" s="37"/>
      <c r="P1020" s="37">
        <v>0</v>
      </c>
      <c r="Q1020" s="37">
        <v>0</v>
      </c>
      <c r="R1020" s="37" t="s">
        <v>2150</v>
      </c>
      <c r="S1020" s="37"/>
    </row>
    <row r="1021" spans="1:19" x14ac:dyDescent="0.3">
      <c r="A1021" s="72">
        <v>418</v>
      </c>
      <c r="B1021" s="37" t="s">
        <v>2155</v>
      </c>
      <c r="C1021" s="37" t="s">
        <v>1263</v>
      </c>
      <c r="D1021" s="37" t="s">
        <v>39</v>
      </c>
      <c r="E1021" s="37" t="s">
        <v>22</v>
      </c>
      <c r="F1021" s="42">
        <v>45016</v>
      </c>
      <c r="G1021" s="37">
        <v>2023</v>
      </c>
      <c r="H1021" s="37" t="s">
        <v>40</v>
      </c>
      <c r="I1021" s="39" t="s">
        <v>30</v>
      </c>
      <c r="J1021" s="37">
        <v>100</v>
      </c>
      <c r="K1021" s="37">
        <v>0</v>
      </c>
      <c r="L1021" s="74">
        <f t="shared" si="118"/>
        <v>0</v>
      </c>
      <c r="M1021" s="65">
        <f t="shared" si="119"/>
        <v>0</v>
      </c>
      <c r="N1021" s="37"/>
      <c r="O1021" s="37"/>
      <c r="P1021" s="37">
        <v>0</v>
      </c>
      <c r="Q1021" s="37">
        <v>0</v>
      </c>
      <c r="R1021" s="37" t="s">
        <v>2156</v>
      </c>
      <c r="S1021" s="37"/>
    </row>
    <row r="1022" spans="1:19" x14ac:dyDescent="0.3">
      <c r="A1022" s="41">
        <v>418</v>
      </c>
      <c r="B1022" s="37" t="s">
        <v>2155</v>
      </c>
      <c r="C1022" s="37" t="s">
        <v>1263</v>
      </c>
      <c r="D1022" s="37" t="s">
        <v>39</v>
      </c>
      <c r="E1022" s="37" t="s">
        <v>22</v>
      </c>
      <c r="F1022" s="42">
        <v>45107</v>
      </c>
      <c r="G1022" s="37">
        <v>2023</v>
      </c>
      <c r="H1022" s="37" t="s">
        <v>23</v>
      </c>
      <c r="I1022" s="39" t="s">
        <v>30</v>
      </c>
      <c r="J1022" s="37">
        <v>100</v>
      </c>
      <c r="K1022" s="37">
        <v>104.35666666666999</v>
      </c>
      <c r="L1022" s="74">
        <f t="shared" si="118"/>
        <v>1</v>
      </c>
      <c r="M1022" s="65">
        <f t="shared" si="119"/>
        <v>1</v>
      </c>
      <c r="N1022" s="37"/>
      <c r="O1022" s="37"/>
      <c r="P1022" s="37">
        <v>0</v>
      </c>
      <c r="Q1022" s="37">
        <v>0</v>
      </c>
      <c r="R1022" s="37" t="s">
        <v>2157</v>
      </c>
      <c r="S1022" s="37"/>
    </row>
    <row r="1023" spans="1:19" x14ac:dyDescent="0.3">
      <c r="A1023" s="45">
        <v>418</v>
      </c>
      <c r="B1023" s="37" t="s">
        <v>2155</v>
      </c>
      <c r="C1023" s="37" t="s">
        <v>1263</v>
      </c>
      <c r="D1023" s="37" t="s">
        <v>39</v>
      </c>
      <c r="E1023" s="37" t="s">
        <v>22</v>
      </c>
      <c r="F1023" s="42">
        <v>45199</v>
      </c>
      <c r="G1023" s="37">
        <v>2023</v>
      </c>
      <c r="H1023" s="37" t="s">
        <v>43</v>
      </c>
      <c r="I1023" s="39" t="s">
        <v>32</v>
      </c>
      <c r="J1023" s="37">
        <v>100</v>
      </c>
      <c r="K1023" s="37">
        <v>85.611111111111001</v>
      </c>
      <c r="L1023" s="74">
        <f t="shared" si="118"/>
        <v>0.85611111111111005</v>
      </c>
      <c r="M1023" s="65">
        <f t="shared" si="119"/>
        <v>0.85611111111111005</v>
      </c>
      <c r="N1023" s="37"/>
      <c r="O1023" s="37"/>
      <c r="P1023" s="37">
        <v>0</v>
      </c>
      <c r="Q1023" s="37">
        <v>0</v>
      </c>
      <c r="R1023" s="37" t="s">
        <v>2158</v>
      </c>
      <c r="S1023" s="37"/>
    </row>
    <row r="1024" spans="1:19" x14ac:dyDescent="0.3">
      <c r="A1024" s="41">
        <v>418</v>
      </c>
      <c r="B1024" s="37" t="s">
        <v>2155</v>
      </c>
      <c r="C1024" s="37" t="s">
        <v>1263</v>
      </c>
      <c r="D1024" s="37" t="s">
        <v>39</v>
      </c>
      <c r="E1024" s="37" t="s">
        <v>22</v>
      </c>
      <c r="F1024" s="42">
        <v>45291</v>
      </c>
      <c r="G1024" s="37">
        <v>2023</v>
      </c>
      <c r="H1024" s="37" t="s">
        <v>27</v>
      </c>
      <c r="I1024" s="39" t="s">
        <v>32</v>
      </c>
      <c r="J1024" s="37">
        <v>100</v>
      </c>
      <c r="K1024" s="37">
        <v>95.802222222221999</v>
      </c>
      <c r="L1024" s="74">
        <f t="shared" si="118"/>
        <v>0.95802222222222</v>
      </c>
      <c r="M1024" s="65">
        <f t="shared" si="119"/>
        <v>0.95802222222222</v>
      </c>
      <c r="N1024" s="37"/>
      <c r="O1024" s="37"/>
      <c r="P1024" s="37">
        <v>0</v>
      </c>
      <c r="Q1024" s="37">
        <v>0</v>
      </c>
      <c r="R1024" s="37" t="s">
        <v>2159</v>
      </c>
      <c r="S1024" s="37"/>
    </row>
    <row r="1025" spans="1:19" x14ac:dyDescent="0.3">
      <c r="A1025" s="37">
        <v>418</v>
      </c>
      <c r="B1025" s="37" t="s">
        <v>2155</v>
      </c>
      <c r="C1025" s="37" t="s">
        <v>1263</v>
      </c>
      <c r="D1025" s="37" t="s">
        <v>39</v>
      </c>
      <c r="E1025" s="37" t="s">
        <v>22</v>
      </c>
      <c r="F1025" s="42">
        <v>45473</v>
      </c>
      <c r="G1025" s="37">
        <v>2024</v>
      </c>
      <c r="H1025" s="37" t="s">
        <v>23</v>
      </c>
      <c r="I1025" s="39" t="s">
        <v>34</v>
      </c>
      <c r="J1025" s="37">
        <v>100</v>
      </c>
      <c r="K1025" s="37">
        <v>100.79</v>
      </c>
      <c r="L1025" s="65">
        <f t="shared" si="118"/>
        <v>1</v>
      </c>
      <c r="M1025" s="65">
        <f t="shared" si="119"/>
        <v>1</v>
      </c>
      <c r="N1025" s="37"/>
      <c r="O1025" s="37"/>
      <c r="P1025" s="37">
        <v>0</v>
      </c>
      <c r="Q1025" s="37">
        <v>0</v>
      </c>
      <c r="R1025" s="37" t="s">
        <v>2161</v>
      </c>
      <c r="S1025" s="37"/>
    </row>
    <row r="1026" spans="1:19" x14ac:dyDescent="0.3">
      <c r="A1026" s="37">
        <v>418</v>
      </c>
      <c r="B1026" s="37" t="s">
        <v>2155</v>
      </c>
      <c r="C1026" s="37" t="s">
        <v>1263</v>
      </c>
      <c r="D1026" s="37" t="s">
        <v>39</v>
      </c>
      <c r="E1026" s="37" t="s">
        <v>22</v>
      </c>
      <c r="F1026" s="42">
        <v>45657</v>
      </c>
      <c r="G1026" s="37">
        <v>2024</v>
      </c>
      <c r="H1026" s="37" t="s">
        <v>27</v>
      </c>
      <c r="I1026" s="39" t="s">
        <v>36</v>
      </c>
      <c r="J1026" s="37">
        <v>100</v>
      </c>
      <c r="K1026" s="37">
        <v>97.78</v>
      </c>
      <c r="L1026" s="65">
        <f t="shared" si="118"/>
        <v>0.9778</v>
      </c>
      <c r="M1026" s="65">
        <f t="shared" si="119"/>
        <v>0.9778</v>
      </c>
      <c r="N1026" s="37"/>
      <c r="O1026" s="37"/>
      <c r="P1026" s="37">
        <v>0</v>
      </c>
      <c r="Q1026" s="37">
        <v>0</v>
      </c>
      <c r="R1026" s="37" t="s">
        <v>2163</v>
      </c>
      <c r="S1026" s="37"/>
    </row>
    <row r="1027" spans="1:19" x14ac:dyDescent="0.3">
      <c r="A1027" s="72">
        <v>419</v>
      </c>
      <c r="B1027" s="37" t="s">
        <v>2168</v>
      </c>
      <c r="C1027" s="37" t="s">
        <v>1263</v>
      </c>
      <c r="D1027" s="37" t="s">
        <v>39</v>
      </c>
      <c r="E1027" s="37" t="s">
        <v>22</v>
      </c>
      <c r="F1027" s="42">
        <v>45016</v>
      </c>
      <c r="G1027" s="37">
        <v>2023</v>
      </c>
      <c r="H1027" s="37" t="s">
        <v>40</v>
      </c>
      <c r="I1027" s="39" t="s">
        <v>30</v>
      </c>
      <c r="J1027" s="37"/>
      <c r="K1027" s="37"/>
      <c r="L1027" s="74"/>
      <c r="M1027" s="65"/>
      <c r="N1027" s="37" t="s">
        <v>25</v>
      </c>
      <c r="O1027" s="37" t="s">
        <v>25</v>
      </c>
      <c r="P1027" s="37">
        <v>0</v>
      </c>
      <c r="Q1027" s="37">
        <v>0</v>
      </c>
      <c r="R1027" s="37" t="s">
        <v>3539</v>
      </c>
      <c r="S1027" s="37"/>
    </row>
    <row r="1028" spans="1:19" x14ac:dyDescent="0.3">
      <c r="A1028" s="41">
        <v>419</v>
      </c>
      <c r="B1028" s="37" t="s">
        <v>2168</v>
      </c>
      <c r="C1028" s="37" t="s">
        <v>1263</v>
      </c>
      <c r="D1028" s="37" t="s">
        <v>39</v>
      </c>
      <c r="E1028" s="37" t="s">
        <v>22</v>
      </c>
      <c r="F1028" s="42">
        <v>45107</v>
      </c>
      <c r="G1028" s="37">
        <v>2023</v>
      </c>
      <c r="H1028" s="37" t="s">
        <v>23</v>
      </c>
      <c r="I1028" s="39" t="s">
        <v>30</v>
      </c>
      <c r="J1028" s="37">
        <v>100</v>
      </c>
      <c r="K1028" s="37">
        <v>108.3</v>
      </c>
      <c r="L1028" s="74">
        <f>IFERROR(IF(OR(J1028=0,K1028=""),"",IF(E1028="Positivo",MIN(MAX(K1028/J1028,0),1.3),MIN(MAX(J1028/K1028,0),1.3))),"")</f>
        <v>1.083</v>
      </c>
      <c r="M1028" s="65">
        <f>IFERROR(IF(OR(J1028=0,K1028=""),"",IF(E1028="Positivo",MAX(K1028/J1028,0),MAX(J1028/K1028,0))),"")</f>
        <v>1.083</v>
      </c>
      <c r="N1028" s="37" t="s">
        <v>25</v>
      </c>
      <c r="O1028" s="37" t="s">
        <v>25</v>
      </c>
      <c r="P1028" s="37">
        <v>0</v>
      </c>
      <c r="Q1028" s="37">
        <v>0</v>
      </c>
      <c r="R1028" s="37" t="s">
        <v>2169</v>
      </c>
      <c r="S1028" s="37"/>
    </row>
    <row r="1029" spans="1:19" x14ac:dyDescent="0.3">
      <c r="A1029" s="45">
        <v>419</v>
      </c>
      <c r="B1029" s="37" t="s">
        <v>2168</v>
      </c>
      <c r="C1029" s="37" t="s">
        <v>1263</v>
      </c>
      <c r="D1029" s="37" t="s">
        <v>39</v>
      </c>
      <c r="E1029" s="37" t="s">
        <v>22</v>
      </c>
      <c r="F1029" s="42">
        <v>45199</v>
      </c>
      <c r="G1029" s="37">
        <v>2023</v>
      </c>
      <c r="H1029" s="37" t="s">
        <v>43</v>
      </c>
      <c r="I1029" s="39" t="s">
        <v>32</v>
      </c>
      <c r="J1029" s="37">
        <v>100</v>
      </c>
      <c r="K1029" s="37">
        <v>88.35</v>
      </c>
      <c r="L1029" s="74">
        <f>IFERROR(IF(OR(J1029=0,K1029=""),"",IF(E1029="Positivo",MIN(MAX(K1029/J1029,0),1.3),MIN(MAX(J1029/K1029,0),1.3))),"")</f>
        <v>0.88349999999999995</v>
      </c>
      <c r="M1029" s="65">
        <f>IFERROR(IF(OR(J1029=0,K1029=""),"",IF(E1029="Positivo",MAX(K1029/J1029,0),MAX(J1029/K1029,0))),"")</f>
        <v>0.88349999999999995</v>
      </c>
      <c r="N1029" s="37" t="s">
        <v>25</v>
      </c>
      <c r="O1029" s="37" t="s">
        <v>25</v>
      </c>
      <c r="P1029" s="37">
        <v>0</v>
      </c>
      <c r="Q1029" s="37">
        <v>0</v>
      </c>
      <c r="R1029" s="37" t="s">
        <v>2170</v>
      </c>
      <c r="S1029" s="37"/>
    </row>
    <row r="1030" spans="1:19" x14ac:dyDescent="0.3">
      <c r="A1030" s="41">
        <v>419</v>
      </c>
      <c r="B1030" s="37" t="s">
        <v>2168</v>
      </c>
      <c r="C1030" s="37" t="s">
        <v>1263</v>
      </c>
      <c r="D1030" s="37" t="s">
        <v>39</v>
      </c>
      <c r="E1030" s="37" t="s">
        <v>22</v>
      </c>
      <c r="F1030" s="42">
        <v>45291</v>
      </c>
      <c r="G1030" s="37">
        <v>2023</v>
      </c>
      <c r="H1030" s="37" t="s">
        <v>27</v>
      </c>
      <c r="I1030" s="39" t="s">
        <v>32</v>
      </c>
      <c r="J1030" s="37">
        <v>100</v>
      </c>
      <c r="K1030" s="37">
        <v>93.56</v>
      </c>
      <c r="L1030" s="74">
        <f>IFERROR(IF(OR(J1030=0,K1030=""),"",IF(E1030="Positivo",MIN(MAX(K1030/J1030,0),1.3),MIN(MAX(J1030/K1030,0),1.3))),"")</f>
        <v>0.93559999999999999</v>
      </c>
      <c r="M1030" s="65">
        <f>IFERROR(IF(OR(J1030=0,K1030=""),"",IF(E1030="Positivo",MAX(K1030/J1030,0),MAX(J1030/K1030,0))),"")</f>
        <v>0.93559999999999999</v>
      </c>
      <c r="N1030" s="37" t="s">
        <v>25</v>
      </c>
      <c r="O1030" s="37" t="s">
        <v>25</v>
      </c>
      <c r="P1030" s="37">
        <v>0</v>
      </c>
      <c r="Q1030" s="37">
        <v>0</v>
      </c>
      <c r="R1030" s="37" t="s">
        <v>2171</v>
      </c>
      <c r="S1030" s="37"/>
    </row>
    <row r="1031" spans="1:19" x14ac:dyDescent="0.3">
      <c r="A1031" s="72">
        <v>420</v>
      </c>
      <c r="B1031" s="37" t="s">
        <v>2172</v>
      </c>
      <c r="C1031" s="37" t="s">
        <v>1263</v>
      </c>
      <c r="D1031" s="37" t="s">
        <v>39</v>
      </c>
      <c r="E1031" s="37" t="s">
        <v>22</v>
      </c>
      <c r="F1031" s="42">
        <v>45016</v>
      </c>
      <c r="G1031" s="37">
        <v>2023</v>
      </c>
      <c r="H1031" s="37" t="s">
        <v>40</v>
      </c>
      <c r="I1031" s="39" t="s">
        <v>30</v>
      </c>
      <c r="J1031" s="37">
        <v>100</v>
      </c>
      <c r="K1031" s="37">
        <v>0</v>
      </c>
      <c r="L1031" s="74">
        <f t="shared" ref="L1031:L1036" si="120">IFERROR(IF(OR(J1031=0,K1031=""),"",IF(E1031="Positivo",MIN(MAX(K1031/J1031,0),1),MIN(MAX(J1031/K1031,0),1))),"")</f>
        <v>0</v>
      </c>
      <c r="M1031" s="65">
        <f t="shared" ref="M1031:M1036" si="121">IFERROR(IF(OR(J1031=0,K1031=""),"",IF(E1031="Positivo",MIN(MAX(K1031/J1031,0),1),MIN(MAX(J1031/K1031,0),1))),"")</f>
        <v>0</v>
      </c>
      <c r="N1031" s="37" t="s">
        <v>25</v>
      </c>
      <c r="O1031" s="37" t="s">
        <v>25</v>
      </c>
      <c r="P1031" s="37">
        <v>0</v>
      </c>
      <c r="Q1031" s="37">
        <v>0</v>
      </c>
      <c r="R1031" s="37" t="s">
        <v>2173</v>
      </c>
      <c r="S1031" s="37"/>
    </row>
    <row r="1032" spans="1:19" x14ac:dyDescent="0.3">
      <c r="A1032" s="41">
        <v>420</v>
      </c>
      <c r="B1032" s="37" t="s">
        <v>2172</v>
      </c>
      <c r="C1032" s="37" t="s">
        <v>1263</v>
      </c>
      <c r="D1032" s="37" t="s">
        <v>39</v>
      </c>
      <c r="E1032" s="37" t="s">
        <v>22</v>
      </c>
      <c r="F1032" s="42">
        <v>45107</v>
      </c>
      <c r="G1032" s="37">
        <v>2023</v>
      </c>
      <c r="H1032" s="37" t="s">
        <v>23</v>
      </c>
      <c r="I1032" s="39" t="s">
        <v>30</v>
      </c>
      <c r="J1032" s="37">
        <v>100</v>
      </c>
      <c r="K1032" s="37">
        <v>106.53</v>
      </c>
      <c r="L1032" s="74">
        <f t="shared" si="120"/>
        <v>1</v>
      </c>
      <c r="M1032" s="65">
        <f t="shared" si="121"/>
        <v>1</v>
      </c>
      <c r="N1032" s="37" t="s">
        <v>25</v>
      </c>
      <c r="O1032" s="37" t="s">
        <v>25</v>
      </c>
      <c r="P1032" s="37">
        <v>0</v>
      </c>
      <c r="Q1032" s="37">
        <v>0</v>
      </c>
      <c r="R1032" s="37" t="s">
        <v>2174</v>
      </c>
      <c r="S1032" s="37"/>
    </row>
    <row r="1033" spans="1:19" x14ac:dyDescent="0.3">
      <c r="A1033" s="45">
        <v>420</v>
      </c>
      <c r="B1033" s="37" t="s">
        <v>2172</v>
      </c>
      <c r="C1033" s="37" t="s">
        <v>1263</v>
      </c>
      <c r="D1033" s="37" t="s">
        <v>39</v>
      </c>
      <c r="E1033" s="37" t="s">
        <v>22</v>
      </c>
      <c r="F1033" s="42">
        <v>45199</v>
      </c>
      <c r="G1033" s="37">
        <v>2023</v>
      </c>
      <c r="H1033" s="37" t="s">
        <v>43</v>
      </c>
      <c r="I1033" s="39" t="s">
        <v>32</v>
      </c>
      <c r="J1033" s="37">
        <v>100</v>
      </c>
      <c r="K1033" s="37">
        <v>94.69</v>
      </c>
      <c r="L1033" s="74">
        <f t="shared" si="120"/>
        <v>0.94689999999999996</v>
      </c>
      <c r="M1033" s="65">
        <f t="shared" si="121"/>
        <v>0.94689999999999996</v>
      </c>
      <c r="N1033" s="37" t="s">
        <v>25</v>
      </c>
      <c r="O1033" s="37" t="s">
        <v>25</v>
      </c>
      <c r="P1033" s="37">
        <v>0</v>
      </c>
      <c r="Q1033" s="37">
        <v>0</v>
      </c>
      <c r="R1033" s="37" t="s">
        <v>2175</v>
      </c>
      <c r="S1033" s="37"/>
    </row>
    <row r="1034" spans="1:19" x14ac:dyDescent="0.3">
      <c r="A1034" s="41">
        <v>420</v>
      </c>
      <c r="B1034" s="37" t="s">
        <v>2172</v>
      </c>
      <c r="C1034" s="37" t="s">
        <v>1263</v>
      </c>
      <c r="D1034" s="37" t="s">
        <v>39</v>
      </c>
      <c r="E1034" s="37" t="s">
        <v>22</v>
      </c>
      <c r="F1034" s="42">
        <v>45291</v>
      </c>
      <c r="G1034" s="37">
        <v>2023</v>
      </c>
      <c r="H1034" s="37" t="s">
        <v>27</v>
      </c>
      <c r="I1034" s="39" t="s">
        <v>32</v>
      </c>
      <c r="J1034" s="37">
        <v>100</v>
      </c>
      <c r="K1034" s="37">
        <v>100</v>
      </c>
      <c r="L1034" s="74">
        <f t="shared" si="120"/>
        <v>1</v>
      </c>
      <c r="M1034" s="65">
        <f t="shared" si="121"/>
        <v>1</v>
      </c>
      <c r="N1034" s="37" t="s">
        <v>25</v>
      </c>
      <c r="O1034" s="37" t="s">
        <v>25</v>
      </c>
      <c r="P1034" s="37">
        <v>0</v>
      </c>
      <c r="Q1034" s="37">
        <v>0</v>
      </c>
      <c r="R1034" s="37" t="s">
        <v>2176</v>
      </c>
      <c r="S1034" s="37"/>
    </row>
    <row r="1035" spans="1:19" x14ac:dyDescent="0.3">
      <c r="A1035" s="37">
        <v>420</v>
      </c>
      <c r="B1035" s="37" t="s">
        <v>2172</v>
      </c>
      <c r="C1035" s="37" t="s">
        <v>1263</v>
      </c>
      <c r="D1035" s="37" t="s">
        <v>39</v>
      </c>
      <c r="E1035" s="37" t="s">
        <v>22</v>
      </c>
      <c r="F1035" s="42">
        <v>45473</v>
      </c>
      <c r="G1035" s="37">
        <v>2024</v>
      </c>
      <c r="H1035" s="37" t="s">
        <v>23</v>
      </c>
      <c r="I1035" s="39" t="s">
        <v>34</v>
      </c>
      <c r="J1035" s="37">
        <v>100</v>
      </c>
      <c r="K1035" s="37">
        <v>89.33</v>
      </c>
      <c r="L1035" s="65">
        <f t="shared" si="120"/>
        <v>0.89329999999999998</v>
      </c>
      <c r="M1035" s="65">
        <f t="shared" si="121"/>
        <v>0.89329999999999998</v>
      </c>
      <c r="N1035" s="37"/>
      <c r="O1035" s="37"/>
      <c r="P1035" s="37">
        <v>0</v>
      </c>
      <c r="Q1035" s="37">
        <v>0</v>
      </c>
      <c r="R1035" s="37" t="s">
        <v>2178</v>
      </c>
      <c r="S1035" s="37"/>
    </row>
    <row r="1036" spans="1:19" x14ac:dyDescent="0.3">
      <c r="A1036" s="37">
        <v>420</v>
      </c>
      <c r="B1036" s="37" t="s">
        <v>2172</v>
      </c>
      <c r="C1036" s="37" t="s">
        <v>1263</v>
      </c>
      <c r="D1036" s="37" t="s">
        <v>39</v>
      </c>
      <c r="E1036" s="37" t="s">
        <v>22</v>
      </c>
      <c r="F1036" s="42">
        <v>45657</v>
      </c>
      <c r="G1036" s="37">
        <v>2024</v>
      </c>
      <c r="H1036" s="37" t="s">
        <v>27</v>
      </c>
      <c r="I1036" s="39" t="s">
        <v>36</v>
      </c>
      <c r="J1036" s="37">
        <v>100</v>
      </c>
      <c r="K1036" s="37">
        <v>96.67</v>
      </c>
      <c r="L1036" s="65">
        <f t="shared" si="120"/>
        <v>0.9667</v>
      </c>
      <c r="M1036" s="65">
        <f t="shared" si="121"/>
        <v>0.9667</v>
      </c>
      <c r="N1036" s="37"/>
      <c r="O1036" s="37"/>
      <c r="P1036" s="37">
        <v>0</v>
      </c>
      <c r="Q1036" s="37">
        <v>0</v>
      </c>
      <c r="R1036" s="37" t="s">
        <v>2180</v>
      </c>
      <c r="S1036" s="37"/>
    </row>
    <row r="1037" spans="1:19" x14ac:dyDescent="0.3">
      <c r="A1037" s="45">
        <v>421</v>
      </c>
      <c r="B1037" s="37" t="s">
        <v>2185</v>
      </c>
      <c r="C1037" s="37" t="s">
        <v>2186</v>
      </c>
      <c r="D1037" s="37" t="s">
        <v>21</v>
      </c>
      <c r="E1037" s="37" t="s">
        <v>22</v>
      </c>
      <c r="F1037" s="42">
        <v>45107</v>
      </c>
      <c r="G1037" s="37">
        <v>2023</v>
      </c>
      <c r="H1037" s="37" t="s">
        <v>23</v>
      </c>
      <c r="I1037" s="39" t="s">
        <v>30</v>
      </c>
      <c r="J1037" s="37">
        <v>104072</v>
      </c>
      <c r="K1037" s="37">
        <v>140002</v>
      </c>
      <c r="L1037" s="65">
        <f t="shared" ref="L1037:L1061" si="122">IFERROR(IF(OR(J1037=0,K1037=""),"",IF(E1037="Positivo",MIN(MAX(K1037/J1037,0),1.3),MIN(MAX(J1037/K1037,0),1.3))),"")</f>
        <v>1.3</v>
      </c>
      <c r="M1037" s="65">
        <f t="shared" ref="M1037:M1061" si="123">IFERROR(IF(OR(J1037=0,K1037=""),"",IF(E1037="Positivo",MAX(K1037/J1037,0),MAX(J1037/K1037,0))),"")</f>
        <v>1.3452417557075871</v>
      </c>
      <c r="N1037" s="37"/>
      <c r="O1037" s="37"/>
      <c r="P1037" s="37">
        <v>0</v>
      </c>
      <c r="Q1037" s="37">
        <v>0</v>
      </c>
      <c r="R1037" s="37" t="s">
        <v>2187</v>
      </c>
      <c r="S1037" s="37"/>
    </row>
    <row r="1038" spans="1:19" x14ac:dyDescent="0.3">
      <c r="A1038" s="41">
        <v>421</v>
      </c>
      <c r="B1038" s="37" t="s">
        <v>2185</v>
      </c>
      <c r="C1038" s="37" t="s">
        <v>2186</v>
      </c>
      <c r="D1038" s="37" t="s">
        <v>21</v>
      </c>
      <c r="E1038" s="37" t="s">
        <v>22</v>
      </c>
      <c r="F1038" s="42">
        <v>45291</v>
      </c>
      <c r="G1038" s="37">
        <v>2023</v>
      </c>
      <c r="H1038" s="37" t="s">
        <v>27</v>
      </c>
      <c r="I1038" s="39" t="s">
        <v>32</v>
      </c>
      <c r="J1038" s="37">
        <v>97200</v>
      </c>
      <c r="K1038" s="37">
        <v>136199</v>
      </c>
      <c r="L1038" s="65">
        <f t="shared" si="122"/>
        <v>1.3</v>
      </c>
      <c r="M1038" s="65">
        <f t="shared" si="123"/>
        <v>1.4012242798353909</v>
      </c>
      <c r="N1038" s="37"/>
      <c r="O1038" s="37"/>
      <c r="P1038" s="37">
        <v>0</v>
      </c>
      <c r="Q1038" s="37">
        <v>0</v>
      </c>
      <c r="R1038" s="37" t="s">
        <v>2188</v>
      </c>
      <c r="S1038" s="37"/>
    </row>
    <row r="1039" spans="1:19" x14ac:dyDescent="0.3">
      <c r="A1039" s="41">
        <v>421</v>
      </c>
      <c r="B1039" s="37" t="s">
        <v>2185</v>
      </c>
      <c r="C1039" s="37" t="s">
        <v>2186</v>
      </c>
      <c r="D1039" s="37" t="s">
        <v>21</v>
      </c>
      <c r="E1039" s="37" t="s">
        <v>22</v>
      </c>
      <c r="F1039" s="42">
        <v>45473</v>
      </c>
      <c r="G1039" s="37">
        <v>2024</v>
      </c>
      <c r="H1039" s="37" t="s">
        <v>23</v>
      </c>
      <c r="I1039" s="39" t="s">
        <v>34</v>
      </c>
      <c r="J1039" s="37">
        <v>147043</v>
      </c>
      <c r="K1039" s="37">
        <v>177740</v>
      </c>
      <c r="L1039" s="65">
        <f t="shared" si="122"/>
        <v>1.2087620627979572</v>
      </c>
      <c r="M1039" s="65">
        <f t="shared" si="123"/>
        <v>1.2087620627979572</v>
      </c>
      <c r="N1039" s="37"/>
      <c r="O1039" s="37"/>
      <c r="P1039" s="37">
        <v>0</v>
      </c>
      <c r="Q1039" s="37">
        <v>0</v>
      </c>
      <c r="R1039" s="37" t="s">
        <v>2189</v>
      </c>
      <c r="S1039" s="37"/>
    </row>
    <row r="1040" spans="1:19" x14ac:dyDescent="0.3">
      <c r="A1040" s="37">
        <v>421</v>
      </c>
      <c r="B1040" s="37" t="s">
        <v>2185</v>
      </c>
      <c r="C1040" s="37" t="s">
        <v>2186</v>
      </c>
      <c r="D1040" s="37" t="s">
        <v>21</v>
      </c>
      <c r="E1040" s="37" t="s">
        <v>22</v>
      </c>
      <c r="F1040" s="42">
        <v>45657</v>
      </c>
      <c r="G1040" s="37">
        <v>2024</v>
      </c>
      <c r="H1040" s="37" t="s">
        <v>27</v>
      </c>
      <c r="I1040" s="39" t="s">
        <v>36</v>
      </c>
      <c r="J1040" s="37">
        <v>100</v>
      </c>
      <c r="K1040" s="37">
        <v>121.44</v>
      </c>
      <c r="L1040" s="65">
        <f t="shared" si="122"/>
        <v>1.2143999999999999</v>
      </c>
      <c r="M1040" s="65">
        <f t="shared" si="123"/>
        <v>1.2143999999999999</v>
      </c>
      <c r="N1040" s="37"/>
      <c r="O1040" s="37"/>
      <c r="P1040" s="37">
        <v>0</v>
      </c>
      <c r="Q1040" s="37">
        <v>0</v>
      </c>
      <c r="R1040" s="37" t="s">
        <v>2190</v>
      </c>
      <c r="S1040" s="37"/>
    </row>
    <row r="1041" spans="1:19" x14ac:dyDescent="0.3">
      <c r="A1041" s="45">
        <v>422</v>
      </c>
      <c r="B1041" s="37" t="s">
        <v>2191</v>
      </c>
      <c r="C1041" s="37" t="s">
        <v>2186</v>
      </c>
      <c r="D1041" s="37" t="s">
        <v>21</v>
      </c>
      <c r="E1041" s="37" t="s">
        <v>22</v>
      </c>
      <c r="F1041" s="42">
        <v>45107</v>
      </c>
      <c r="G1041" s="37">
        <v>2023</v>
      </c>
      <c r="H1041" s="37" t="s">
        <v>23</v>
      </c>
      <c r="I1041" s="39" t="s">
        <v>30</v>
      </c>
      <c r="J1041" s="60">
        <v>11.7</v>
      </c>
      <c r="K1041" s="60">
        <v>11.973211368834001</v>
      </c>
      <c r="L1041" s="74">
        <f t="shared" si="122"/>
        <v>1.0233513990456411</v>
      </c>
      <c r="M1041" s="65">
        <f t="shared" si="123"/>
        <v>1.0233513990456411</v>
      </c>
      <c r="N1041" s="37" t="s">
        <v>25</v>
      </c>
      <c r="O1041" s="37" t="s">
        <v>25</v>
      </c>
      <c r="P1041" s="37">
        <v>2</v>
      </c>
      <c r="Q1041" s="37">
        <v>2</v>
      </c>
      <c r="R1041" s="37" t="s">
        <v>2192</v>
      </c>
      <c r="S1041" s="37"/>
    </row>
    <row r="1042" spans="1:19" x14ac:dyDescent="0.3">
      <c r="A1042" s="41">
        <v>422</v>
      </c>
      <c r="B1042" s="37" t="s">
        <v>2191</v>
      </c>
      <c r="C1042" s="37" t="s">
        <v>2186</v>
      </c>
      <c r="D1042" s="37" t="s">
        <v>21</v>
      </c>
      <c r="E1042" s="37" t="s">
        <v>22</v>
      </c>
      <c r="F1042" s="42">
        <v>45291</v>
      </c>
      <c r="G1042" s="37">
        <v>2023</v>
      </c>
      <c r="H1042" s="37" t="s">
        <v>27</v>
      </c>
      <c r="I1042" s="39" t="s">
        <v>32</v>
      </c>
      <c r="J1042" s="37">
        <v>10.5</v>
      </c>
      <c r="K1042" s="37">
        <v>11.04</v>
      </c>
      <c r="L1042" s="74">
        <f t="shared" si="122"/>
        <v>1.0514285714285714</v>
      </c>
      <c r="M1042" s="65">
        <f t="shared" si="123"/>
        <v>1.0514285714285714</v>
      </c>
      <c r="N1042" s="37" t="s">
        <v>25</v>
      </c>
      <c r="O1042" s="37" t="s">
        <v>25</v>
      </c>
      <c r="P1042" s="37">
        <v>2</v>
      </c>
      <c r="Q1042" s="37">
        <v>2</v>
      </c>
      <c r="R1042" s="37" t="s">
        <v>2193</v>
      </c>
      <c r="S1042" s="37"/>
    </row>
    <row r="1043" spans="1:19" x14ac:dyDescent="0.3">
      <c r="A1043" s="37">
        <v>422</v>
      </c>
      <c r="B1043" s="37" t="s">
        <v>2191</v>
      </c>
      <c r="C1043" s="37" t="s">
        <v>2186</v>
      </c>
      <c r="D1043" s="37" t="s">
        <v>21</v>
      </c>
      <c r="E1043" s="37" t="s">
        <v>22</v>
      </c>
      <c r="F1043" s="42">
        <v>45473</v>
      </c>
      <c r="G1043" s="37">
        <v>2024</v>
      </c>
      <c r="H1043" s="37" t="s">
        <v>23</v>
      </c>
      <c r="I1043" s="39" t="s">
        <v>34</v>
      </c>
      <c r="J1043" s="37">
        <v>9.25</v>
      </c>
      <c r="K1043" s="37">
        <v>8.86</v>
      </c>
      <c r="L1043" s="65">
        <f t="shared" si="122"/>
        <v>0.95783783783783782</v>
      </c>
      <c r="M1043" s="65">
        <f t="shared" si="123"/>
        <v>0.95783783783783782</v>
      </c>
      <c r="N1043" s="37"/>
      <c r="O1043" s="37"/>
      <c r="P1043" s="37">
        <v>0</v>
      </c>
      <c r="Q1043" s="37">
        <v>0</v>
      </c>
      <c r="R1043" s="37" t="s">
        <v>2194</v>
      </c>
      <c r="S1043" s="37"/>
    </row>
    <row r="1044" spans="1:19" x14ac:dyDescent="0.3">
      <c r="A1044" s="37">
        <v>422</v>
      </c>
      <c r="B1044" s="37" t="s">
        <v>2191</v>
      </c>
      <c r="C1044" s="37" t="s">
        <v>2186</v>
      </c>
      <c r="D1044" s="37" t="s">
        <v>21</v>
      </c>
      <c r="E1044" s="37" t="s">
        <v>22</v>
      </c>
      <c r="F1044" s="42">
        <v>45657</v>
      </c>
      <c r="G1044" s="37">
        <v>2024</v>
      </c>
      <c r="H1044" s="37" t="s">
        <v>27</v>
      </c>
      <c r="I1044" s="39" t="s">
        <v>36</v>
      </c>
      <c r="J1044" s="37">
        <v>8.01</v>
      </c>
      <c r="K1044" s="37">
        <v>7.91</v>
      </c>
      <c r="L1044" s="65">
        <f t="shared" si="122"/>
        <v>0.98751560549313366</v>
      </c>
      <c r="M1044" s="65">
        <f t="shared" si="123"/>
        <v>0.98751560549313366</v>
      </c>
      <c r="N1044" s="37"/>
      <c r="O1044" s="37"/>
      <c r="P1044" s="37">
        <v>0</v>
      </c>
      <c r="Q1044" s="37">
        <v>0</v>
      </c>
      <c r="R1044" s="37" t="s">
        <v>2195</v>
      </c>
      <c r="S1044" s="37"/>
    </row>
    <row r="1045" spans="1:19" x14ac:dyDescent="0.3">
      <c r="A1045" s="41">
        <v>423</v>
      </c>
      <c r="B1045" s="37" t="s">
        <v>2196</v>
      </c>
      <c r="C1045" s="37" t="s">
        <v>2186</v>
      </c>
      <c r="D1045" s="37" t="s">
        <v>139</v>
      </c>
      <c r="E1045" s="37" t="s">
        <v>22</v>
      </c>
      <c r="F1045" s="42">
        <v>45291</v>
      </c>
      <c r="G1045" s="37">
        <v>2023</v>
      </c>
      <c r="H1045" s="37" t="s">
        <v>27</v>
      </c>
      <c r="I1045" s="39" t="s">
        <v>32</v>
      </c>
      <c r="J1045" s="37">
        <v>8.4</v>
      </c>
      <c r="K1045" s="37">
        <v>7.9</v>
      </c>
      <c r="L1045" s="65">
        <f t="shared" si="122"/>
        <v>0.94047619047619047</v>
      </c>
      <c r="M1045" s="65">
        <f t="shared" si="123"/>
        <v>0.94047619047619047</v>
      </c>
      <c r="N1045" s="37" t="s">
        <v>197</v>
      </c>
      <c r="O1045" s="37" t="s">
        <v>197</v>
      </c>
      <c r="P1045" s="37">
        <v>1</v>
      </c>
      <c r="Q1045" s="37">
        <v>1</v>
      </c>
      <c r="R1045" s="37" t="s">
        <v>2197</v>
      </c>
      <c r="S1045" s="37"/>
    </row>
    <row r="1046" spans="1:19" x14ac:dyDescent="0.3">
      <c r="A1046" s="37">
        <v>423</v>
      </c>
      <c r="B1046" s="37" t="s">
        <v>2196</v>
      </c>
      <c r="C1046" s="37" t="s">
        <v>2186</v>
      </c>
      <c r="D1046" s="37" t="s">
        <v>139</v>
      </c>
      <c r="E1046" s="37" t="s">
        <v>22</v>
      </c>
      <c r="F1046" s="42">
        <v>45657</v>
      </c>
      <c r="G1046" s="37">
        <v>2024</v>
      </c>
      <c r="H1046" s="37" t="s">
        <v>27</v>
      </c>
      <c r="I1046" s="39" t="s">
        <v>36</v>
      </c>
      <c r="J1046" s="37">
        <v>8.3000000000000007</v>
      </c>
      <c r="K1046" s="37">
        <v>12.3</v>
      </c>
      <c r="L1046" s="65">
        <f t="shared" si="122"/>
        <v>1.3</v>
      </c>
      <c r="M1046" s="65">
        <f t="shared" si="123"/>
        <v>1.4819277108433735</v>
      </c>
      <c r="N1046" s="37" t="s">
        <v>197</v>
      </c>
      <c r="O1046" s="37" t="s">
        <v>197</v>
      </c>
      <c r="P1046" s="37">
        <v>1</v>
      </c>
      <c r="Q1046" s="37">
        <v>1</v>
      </c>
      <c r="R1046" s="37" t="s">
        <v>2198</v>
      </c>
      <c r="S1046" s="37"/>
    </row>
    <row r="1047" spans="1:19" x14ac:dyDescent="0.3">
      <c r="A1047" s="41">
        <v>424</v>
      </c>
      <c r="B1047" s="37" t="s">
        <v>2199</v>
      </c>
      <c r="C1047" s="37" t="s">
        <v>2186</v>
      </c>
      <c r="D1047" s="37" t="s">
        <v>139</v>
      </c>
      <c r="E1047" s="37" t="s">
        <v>22</v>
      </c>
      <c r="F1047" s="42">
        <v>45291</v>
      </c>
      <c r="G1047" s="37">
        <v>2023</v>
      </c>
      <c r="H1047" s="37" t="s">
        <v>27</v>
      </c>
      <c r="I1047" s="39" t="s">
        <v>32</v>
      </c>
      <c r="J1047" s="37">
        <v>6</v>
      </c>
      <c r="K1047" s="37">
        <v>6</v>
      </c>
      <c r="L1047" s="65">
        <f t="shared" si="122"/>
        <v>1</v>
      </c>
      <c r="M1047" s="65">
        <f t="shared" si="123"/>
        <v>1</v>
      </c>
      <c r="N1047" s="37" t="s">
        <v>203</v>
      </c>
      <c r="O1047" s="37" t="s">
        <v>203</v>
      </c>
      <c r="P1047" s="37">
        <v>0</v>
      </c>
      <c r="Q1047" s="37">
        <v>0</v>
      </c>
      <c r="R1047" s="37" t="s">
        <v>2200</v>
      </c>
      <c r="S1047" s="37"/>
    </row>
    <row r="1048" spans="1:19" x14ac:dyDescent="0.3">
      <c r="A1048" s="37">
        <v>424</v>
      </c>
      <c r="B1048" s="37" t="s">
        <v>2199</v>
      </c>
      <c r="C1048" s="37" t="s">
        <v>2186</v>
      </c>
      <c r="D1048" s="37" t="s">
        <v>139</v>
      </c>
      <c r="E1048" s="37" t="s">
        <v>22</v>
      </c>
      <c r="F1048" s="42">
        <v>45657</v>
      </c>
      <c r="G1048" s="37">
        <v>2024</v>
      </c>
      <c r="H1048" s="37" t="s">
        <v>27</v>
      </c>
      <c r="I1048" s="39" t="s">
        <v>36</v>
      </c>
      <c r="J1048" s="37">
        <v>7</v>
      </c>
      <c r="K1048" s="37">
        <v>9</v>
      </c>
      <c r="L1048" s="65">
        <f t="shared" si="122"/>
        <v>1.2857142857142858</v>
      </c>
      <c r="M1048" s="65">
        <f t="shared" si="123"/>
        <v>1.2857142857142858</v>
      </c>
      <c r="N1048" s="37" t="s">
        <v>203</v>
      </c>
      <c r="O1048" s="37" t="s">
        <v>203</v>
      </c>
      <c r="P1048" s="37">
        <v>0</v>
      </c>
      <c r="Q1048" s="37">
        <v>0</v>
      </c>
      <c r="R1048" s="37" t="s">
        <v>2201</v>
      </c>
      <c r="S1048" s="37"/>
    </row>
    <row r="1049" spans="1:19" x14ac:dyDescent="0.3">
      <c r="A1049" s="41">
        <v>425</v>
      </c>
      <c r="B1049" s="37" t="s">
        <v>2203</v>
      </c>
      <c r="C1049" s="37" t="s">
        <v>1946</v>
      </c>
      <c r="D1049" s="37" t="s">
        <v>139</v>
      </c>
      <c r="E1049" s="37" t="s">
        <v>22</v>
      </c>
      <c r="F1049" s="42">
        <v>45291</v>
      </c>
      <c r="G1049" s="37">
        <v>2023</v>
      </c>
      <c r="H1049" s="37" t="s">
        <v>27</v>
      </c>
      <c r="I1049" s="39" t="s">
        <v>32</v>
      </c>
      <c r="J1049" s="37">
        <v>5500</v>
      </c>
      <c r="K1049" s="37">
        <v>5785</v>
      </c>
      <c r="L1049" s="74">
        <f t="shared" si="122"/>
        <v>1.0518181818181818</v>
      </c>
      <c r="M1049" s="65">
        <f t="shared" si="123"/>
        <v>1.0518181818181818</v>
      </c>
      <c r="N1049" s="37"/>
      <c r="O1049" s="37"/>
      <c r="P1049" s="37">
        <v>0</v>
      </c>
      <c r="Q1049" s="37">
        <v>0</v>
      </c>
      <c r="R1049" s="37" t="s">
        <v>2204</v>
      </c>
      <c r="S1049" s="37"/>
    </row>
    <row r="1050" spans="1:19" x14ac:dyDescent="0.3">
      <c r="A1050" s="37">
        <v>425</v>
      </c>
      <c r="B1050" s="37" t="s">
        <v>2203</v>
      </c>
      <c r="C1050" s="37" t="s">
        <v>1946</v>
      </c>
      <c r="D1050" s="37" t="s">
        <v>21</v>
      </c>
      <c r="E1050" s="37" t="s">
        <v>22</v>
      </c>
      <c r="F1050" s="42">
        <v>45473</v>
      </c>
      <c r="G1050" s="37">
        <v>2024</v>
      </c>
      <c r="H1050" s="37" t="s">
        <v>23</v>
      </c>
      <c r="I1050" s="39" t="s">
        <v>34</v>
      </c>
      <c r="J1050" s="37">
        <v>100</v>
      </c>
      <c r="K1050" s="37">
        <v>60.69</v>
      </c>
      <c r="L1050" s="65">
        <f t="shared" si="122"/>
        <v>0.6069</v>
      </c>
      <c r="M1050" s="65">
        <f t="shared" si="123"/>
        <v>0.6069</v>
      </c>
      <c r="N1050" s="37"/>
      <c r="O1050" s="37"/>
      <c r="P1050" s="37">
        <v>0</v>
      </c>
      <c r="Q1050" s="37">
        <v>0</v>
      </c>
      <c r="R1050" s="37" t="s">
        <v>2205</v>
      </c>
      <c r="S1050" s="37"/>
    </row>
    <row r="1051" spans="1:19" x14ac:dyDescent="0.3">
      <c r="A1051" s="37">
        <v>425</v>
      </c>
      <c r="B1051" s="37" t="s">
        <v>2203</v>
      </c>
      <c r="C1051" s="37" t="s">
        <v>1946</v>
      </c>
      <c r="D1051" s="37" t="s">
        <v>21</v>
      </c>
      <c r="E1051" s="37" t="s">
        <v>22</v>
      </c>
      <c r="F1051" s="42">
        <v>45657</v>
      </c>
      <c r="G1051" s="37">
        <v>2024</v>
      </c>
      <c r="H1051" s="37" t="s">
        <v>27</v>
      </c>
      <c r="I1051" s="39" t="s">
        <v>36</v>
      </c>
      <c r="J1051" s="37">
        <v>100</v>
      </c>
      <c r="K1051" s="37">
        <v>164.69</v>
      </c>
      <c r="L1051" s="65">
        <f t="shared" si="122"/>
        <v>1.3</v>
      </c>
      <c r="M1051" s="65">
        <f t="shared" si="123"/>
        <v>1.6469</v>
      </c>
      <c r="N1051" s="37"/>
      <c r="O1051" s="37"/>
      <c r="P1051" s="37">
        <v>0</v>
      </c>
      <c r="Q1051" s="37">
        <v>0</v>
      </c>
      <c r="R1051" s="37" t="s">
        <v>2206</v>
      </c>
      <c r="S1051" s="37"/>
    </row>
    <row r="1052" spans="1:19" x14ac:dyDescent="0.3">
      <c r="A1052" s="45">
        <v>426</v>
      </c>
      <c r="B1052" s="37" t="s">
        <v>2207</v>
      </c>
      <c r="C1052" s="37" t="s">
        <v>207</v>
      </c>
      <c r="D1052" s="37" t="s">
        <v>21</v>
      </c>
      <c r="E1052" s="37" t="s">
        <v>22</v>
      </c>
      <c r="F1052" s="42">
        <v>45107</v>
      </c>
      <c r="G1052" s="37">
        <v>2023</v>
      </c>
      <c r="H1052" s="37" t="s">
        <v>23</v>
      </c>
      <c r="I1052" s="39" t="s">
        <v>30</v>
      </c>
      <c r="J1052" s="37">
        <v>484</v>
      </c>
      <c r="K1052" s="37">
        <v>421</v>
      </c>
      <c r="L1052" s="74">
        <f t="shared" si="122"/>
        <v>0.8698347107438017</v>
      </c>
      <c r="M1052" s="65">
        <f t="shared" si="123"/>
        <v>0.8698347107438017</v>
      </c>
      <c r="N1052" s="37" t="s">
        <v>670</v>
      </c>
      <c r="O1052" s="37" t="s">
        <v>25</v>
      </c>
      <c r="P1052" s="37">
        <v>0</v>
      </c>
      <c r="Q1052" s="37">
        <v>0</v>
      </c>
      <c r="R1052" s="37" t="s">
        <v>2208</v>
      </c>
      <c r="S1052" s="37"/>
    </row>
    <row r="1053" spans="1:19" x14ac:dyDescent="0.3">
      <c r="A1053" s="41">
        <v>426</v>
      </c>
      <c r="B1053" s="37" t="s">
        <v>2207</v>
      </c>
      <c r="C1053" s="37" t="s">
        <v>207</v>
      </c>
      <c r="D1053" s="37" t="s">
        <v>21</v>
      </c>
      <c r="E1053" s="37" t="s">
        <v>22</v>
      </c>
      <c r="F1053" s="42">
        <v>45291</v>
      </c>
      <c r="G1053" s="37">
        <v>2023</v>
      </c>
      <c r="H1053" s="37" t="s">
        <v>27</v>
      </c>
      <c r="I1053" s="39" t="s">
        <v>32</v>
      </c>
      <c r="J1053" s="37">
        <v>494</v>
      </c>
      <c r="K1053" s="37">
        <v>456</v>
      </c>
      <c r="L1053" s="74">
        <f t="shared" si="122"/>
        <v>0.92307692307692313</v>
      </c>
      <c r="M1053" s="65">
        <f t="shared" si="123"/>
        <v>0.92307692307692313</v>
      </c>
      <c r="N1053" s="37" t="s">
        <v>670</v>
      </c>
      <c r="O1053" s="37" t="s">
        <v>25</v>
      </c>
      <c r="P1053" s="37">
        <v>0</v>
      </c>
      <c r="Q1053" s="37">
        <v>0</v>
      </c>
      <c r="R1053" s="37" t="s">
        <v>2209</v>
      </c>
      <c r="S1053" s="37"/>
    </row>
    <row r="1054" spans="1:19" x14ac:dyDescent="0.3">
      <c r="A1054" s="37">
        <v>426</v>
      </c>
      <c r="B1054" s="37" t="s">
        <v>2207</v>
      </c>
      <c r="C1054" s="37" t="s">
        <v>207</v>
      </c>
      <c r="D1054" s="37" t="s">
        <v>21</v>
      </c>
      <c r="E1054" s="37" t="s">
        <v>22</v>
      </c>
      <c r="F1054" s="42">
        <v>45473</v>
      </c>
      <c r="G1054" s="37">
        <v>2024</v>
      </c>
      <c r="H1054" s="37" t="s">
        <v>23</v>
      </c>
      <c r="I1054" s="39" t="s">
        <v>34</v>
      </c>
      <c r="J1054" s="37">
        <v>964</v>
      </c>
      <c r="K1054" s="37">
        <v>581</v>
      </c>
      <c r="L1054" s="65">
        <f t="shared" si="122"/>
        <v>0.60269709543568462</v>
      </c>
      <c r="M1054" s="65">
        <f t="shared" si="123"/>
        <v>0.60269709543568462</v>
      </c>
      <c r="N1054" s="37"/>
      <c r="O1054" s="37"/>
      <c r="P1054" s="37">
        <v>0</v>
      </c>
      <c r="Q1054" s="37">
        <v>0</v>
      </c>
      <c r="R1054" s="37" t="s">
        <v>2210</v>
      </c>
      <c r="S1054" s="37"/>
    </row>
    <row r="1055" spans="1:19" x14ac:dyDescent="0.3">
      <c r="A1055" s="37">
        <v>426</v>
      </c>
      <c r="B1055" s="37" t="s">
        <v>2207</v>
      </c>
      <c r="C1055" s="37" t="s">
        <v>207</v>
      </c>
      <c r="D1055" s="37" t="s">
        <v>21</v>
      </c>
      <c r="E1055" s="37" t="s">
        <v>22</v>
      </c>
      <c r="F1055" s="42">
        <v>45657</v>
      </c>
      <c r="G1055" s="37">
        <v>2024</v>
      </c>
      <c r="H1055" s="37" t="s">
        <v>27</v>
      </c>
      <c r="I1055" s="39" t="s">
        <v>36</v>
      </c>
      <c r="J1055" s="37">
        <v>1333</v>
      </c>
      <c r="K1055" s="37">
        <v>1156</v>
      </c>
      <c r="L1055" s="65">
        <f t="shared" si="122"/>
        <v>0.8672168042010503</v>
      </c>
      <c r="M1055" s="65">
        <f t="shared" si="123"/>
        <v>0.8672168042010503</v>
      </c>
      <c r="N1055" s="37"/>
      <c r="O1055" s="37"/>
      <c r="P1055" s="37">
        <v>0</v>
      </c>
      <c r="Q1055" s="37">
        <v>0</v>
      </c>
      <c r="R1055" s="37" t="s">
        <v>2211</v>
      </c>
      <c r="S1055" s="37"/>
    </row>
    <row r="1056" spans="1:19" x14ac:dyDescent="0.3">
      <c r="A1056" s="45">
        <v>427</v>
      </c>
      <c r="B1056" s="37" t="s">
        <v>2212</v>
      </c>
      <c r="C1056" s="37" t="s">
        <v>251</v>
      </c>
      <c r="D1056" s="37" t="s">
        <v>21</v>
      </c>
      <c r="E1056" s="37" t="s">
        <v>56</v>
      </c>
      <c r="F1056" s="42">
        <v>45107</v>
      </c>
      <c r="G1056" s="37">
        <v>2023</v>
      </c>
      <c r="H1056" s="37" t="s">
        <v>23</v>
      </c>
      <c r="I1056" s="39" t="s">
        <v>30</v>
      </c>
      <c r="J1056" s="37">
        <v>0.2</v>
      </c>
      <c r="K1056" s="37">
        <v>0.13666666666666999</v>
      </c>
      <c r="L1056" s="65">
        <f t="shared" si="122"/>
        <v>1.3</v>
      </c>
      <c r="M1056" s="65">
        <f t="shared" si="123"/>
        <v>1.4634146341463059</v>
      </c>
      <c r="N1056" s="37" t="s">
        <v>197</v>
      </c>
      <c r="O1056" s="37" t="s">
        <v>197</v>
      </c>
      <c r="P1056" s="37">
        <v>2</v>
      </c>
      <c r="Q1056" s="37">
        <v>2</v>
      </c>
      <c r="R1056" s="37" t="s">
        <v>2213</v>
      </c>
      <c r="S1056" s="37"/>
    </row>
    <row r="1057" spans="1:19" x14ac:dyDescent="0.3">
      <c r="A1057" s="41">
        <v>427</v>
      </c>
      <c r="B1057" s="37" t="s">
        <v>2212</v>
      </c>
      <c r="C1057" s="37" t="s">
        <v>251</v>
      </c>
      <c r="D1057" s="37" t="s">
        <v>21</v>
      </c>
      <c r="E1057" s="37" t="s">
        <v>56</v>
      </c>
      <c r="F1057" s="42">
        <v>45291</v>
      </c>
      <c r="G1057" s="37">
        <v>2023</v>
      </c>
      <c r="H1057" s="37" t="s">
        <v>27</v>
      </c>
      <c r="I1057" s="39" t="s">
        <v>32</v>
      </c>
      <c r="J1057" s="37">
        <v>0.2</v>
      </c>
      <c r="K1057" s="37">
        <v>0.2</v>
      </c>
      <c r="L1057" s="65">
        <f t="shared" si="122"/>
        <v>1</v>
      </c>
      <c r="M1057" s="65">
        <f t="shared" si="123"/>
        <v>1</v>
      </c>
      <c r="N1057" s="37" t="s">
        <v>197</v>
      </c>
      <c r="O1057" s="37" t="s">
        <v>197</v>
      </c>
      <c r="P1057" s="37">
        <v>2</v>
      </c>
      <c r="Q1057" s="37">
        <v>2</v>
      </c>
      <c r="R1057" s="37" t="s">
        <v>2214</v>
      </c>
      <c r="S1057" s="37"/>
    </row>
    <row r="1058" spans="1:19" x14ac:dyDescent="0.3">
      <c r="A1058" s="37">
        <v>427</v>
      </c>
      <c r="B1058" s="37" t="s">
        <v>2212</v>
      </c>
      <c r="C1058" s="37" t="s">
        <v>251</v>
      </c>
      <c r="D1058" s="37" t="s">
        <v>21</v>
      </c>
      <c r="E1058" s="37" t="s">
        <v>56</v>
      </c>
      <c r="F1058" s="42">
        <v>45473</v>
      </c>
      <c r="G1058" s="37">
        <v>2024</v>
      </c>
      <c r="H1058" s="37" t="s">
        <v>23</v>
      </c>
      <c r="I1058" s="39" t="s">
        <v>34</v>
      </c>
      <c r="J1058" s="37">
        <v>0.2</v>
      </c>
      <c r="K1058" s="37">
        <v>0.17</v>
      </c>
      <c r="L1058" s="65">
        <f t="shared" si="122"/>
        <v>1.1764705882352942</v>
      </c>
      <c r="M1058" s="65">
        <f t="shared" si="123"/>
        <v>1.1764705882352942</v>
      </c>
      <c r="N1058" s="37"/>
      <c r="O1058" s="37"/>
      <c r="P1058" s="37">
        <v>0</v>
      </c>
      <c r="Q1058" s="37">
        <v>0</v>
      </c>
      <c r="R1058" s="37" t="s">
        <v>2215</v>
      </c>
      <c r="S1058" s="37"/>
    </row>
    <row r="1059" spans="1:19" x14ac:dyDescent="0.3">
      <c r="A1059" s="37">
        <v>427</v>
      </c>
      <c r="B1059" s="37" t="s">
        <v>2212</v>
      </c>
      <c r="C1059" s="37" t="s">
        <v>251</v>
      </c>
      <c r="D1059" s="37" t="s">
        <v>21</v>
      </c>
      <c r="E1059" s="37" t="s">
        <v>56</v>
      </c>
      <c r="F1059" s="42">
        <v>45657</v>
      </c>
      <c r="G1059" s="37">
        <v>2024</v>
      </c>
      <c r="H1059" s="37" t="s">
        <v>27</v>
      </c>
      <c r="I1059" s="39" t="s">
        <v>36</v>
      </c>
      <c r="J1059" s="37">
        <v>0.2</v>
      </c>
      <c r="K1059" s="37">
        <v>0.17</v>
      </c>
      <c r="L1059" s="65">
        <f t="shared" si="122"/>
        <v>1.1764705882352942</v>
      </c>
      <c r="M1059" s="65">
        <f t="shared" si="123"/>
        <v>1.1764705882352942</v>
      </c>
      <c r="N1059" s="37"/>
      <c r="O1059" s="37"/>
      <c r="P1059" s="37">
        <v>0</v>
      </c>
      <c r="Q1059" s="37">
        <v>0</v>
      </c>
      <c r="R1059" s="37" t="s">
        <v>2216</v>
      </c>
      <c r="S1059" s="37"/>
    </row>
    <row r="1060" spans="1:19" x14ac:dyDescent="0.3">
      <c r="A1060" s="45">
        <v>428</v>
      </c>
      <c r="B1060" s="37" t="s">
        <v>2219</v>
      </c>
      <c r="C1060" s="37" t="s">
        <v>251</v>
      </c>
      <c r="D1060" s="37" t="s">
        <v>21</v>
      </c>
      <c r="E1060" s="37" t="s">
        <v>56</v>
      </c>
      <c r="F1060" s="42">
        <v>45107</v>
      </c>
      <c r="G1060" s="37">
        <v>2023</v>
      </c>
      <c r="H1060" s="37" t="s">
        <v>23</v>
      </c>
      <c r="I1060" s="39" t="s">
        <v>30</v>
      </c>
      <c r="J1060" s="37">
        <v>1</v>
      </c>
      <c r="K1060" s="37">
        <v>17.59</v>
      </c>
      <c r="L1060" s="65">
        <f t="shared" si="122"/>
        <v>5.6850483229107449E-2</v>
      </c>
      <c r="M1060" s="65">
        <f t="shared" si="123"/>
        <v>5.6850483229107449E-2</v>
      </c>
      <c r="N1060" s="37"/>
      <c r="O1060" s="37"/>
      <c r="P1060" s="37">
        <v>0</v>
      </c>
      <c r="Q1060" s="37">
        <v>0</v>
      </c>
      <c r="R1060" s="37" t="s">
        <v>2220</v>
      </c>
      <c r="S1060" s="37"/>
    </row>
    <row r="1061" spans="1:19" x14ac:dyDescent="0.3">
      <c r="A1061" s="41">
        <v>428</v>
      </c>
      <c r="B1061" s="37" t="s">
        <v>2219</v>
      </c>
      <c r="C1061" s="37" t="s">
        <v>251</v>
      </c>
      <c r="D1061" s="37" t="s">
        <v>21</v>
      </c>
      <c r="E1061" s="37" t="s">
        <v>56</v>
      </c>
      <c r="F1061" s="42">
        <v>45291</v>
      </c>
      <c r="G1061" s="37">
        <v>2023</v>
      </c>
      <c r="H1061" s="37" t="s">
        <v>27</v>
      </c>
      <c r="I1061" s="39" t="s">
        <v>32</v>
      </c>
      <c r="J1061" s="37">
        <v>1</v>
      </c>
      <c r="K1061" s="37">
        <v>18.63</v>
      </c>
      <c r="L1061" s="65">
        <f t="shared" si="122"/>
        <v>5.3676865271068172E-2</v>
      </c>
      <c r="M1061" s="65">
        <f t="shared" si="123"/>
        <v>5.3676865271068172E-2</v>
      </c>
      <c r="N1061" s="37"/>
      <c r="O1061" s="37"/>
      <c r="P1061" s="37">
        <v>0</v>
      </c>
      <c r="Q1061" s="37">
        <v>0</v>
      </c>
      <c r="R1061" s="37" t="s">
        <v>2221</v>
      </c>
      <c r="S1061" s="37"/>
    </row>
    <row r="1062" spans="1:19" x14ac:dyDescent="0.3">
      <c r="A1062" s="37">
        <v>428</v>
      </c>
      <c r="B1062" s="37" t="s">
        <v>2219</v>
      </c>
      <c r="C1062" s="37" t="s">
        <v>251</v>
      </c>
      <c r="D1062" s="37" t="s">
        <v>21</v>
      </c>
      <c r="E1062" s="37" t="s">
        <v>56</v>
      </c>
      <c r="F1062" s="42">
        <v>45473</v>
      </c>
      <c r="G1062" s="37">
        <v>2024</v>
      </c>
      <c r="H1062" s="37" t="s">
        <v>23</v>
      </c>
      <c r="I1062" s="39" t="s">
        <v>34</v>
      </c>
      <c r="J1062" s="37">
        <v>1</v>
      </c>
      <c r="K1062" s="37">
        <v>16.579999999999998</v>
      </c>
      <c r="L1062" s="65">
        <f t="shared" ref="L1062:L1081" si="124">IFERROR(IF(OR(J1062=0,K1062=""),"",IF(E1062="Positivo",MIN(MAX(K1062/J1062,0),1.3),MIN(MAX(J1062/K1062,0),1.3))),"")</f>
        <v>6.0313630880579019E-2</v>
      </c>
      <c r="M1062" s="65">
        <f t="shared" ref="M1062:M1081" si="125">IFERROR(IF(OR(J1062=0,K1062=""),"",IF(E1062="Positivo",MAX(K1062/J1062,0),MAX(J1062/K1062,0))),"")</f>
        <v>6.0313630880579019E-2</v>
      </c>
      <c r="N1062" s="37"/>
      <c r="O1062" s="37"/>
      <c r="P1062" s="37">
        <v>0</v>
      </c>
      <c r="Q1062" s="37">
        <v>0</v>
      </c>
      <c r="R1062" s="37" t="s">
        <v>2222</v>
      </c>
      <c r="S1062" s="37"/>
    </row>
    <row r="1063" spans="1:19" x14ac:dyDescent="0.3">
      <c r="A1063" s="37">
        <v>428</v>
      </c>
      <c r="B1063" s="37" t="s">
        <v>2219</v>
      </c>
      <c r="C1063" s="37" t="s">
        <v>251</v>
      </c>
      <c r="D1063" s="37" t="s">
        <v>21</v>
      </c>
      <c r="E1063" s="37" t="s">
        <v>56</v>
      </c>
      <c r="F1063" s="42">
        <v>45657</v>
      </c>
      <c r="G1063" s="37">
        <v>2024</v>
      </c>
      <c r="H1063" s="37" t="s">
        <v>27</v>
      </c>
      <c r="I1063" s="39" t="s">
        <v>36</v>
      </c>
      <c r="J1063" s="37">
        <v>1</v>
      </c>
      <c r="K1063" s="37">
        <v>18.53</v>
      </c>
      <c r="L1063" s="65">
        <f t="shared" si="124"/>
        <v>5.3966540744738258E-2</v>
      </c>
      <c r="M1063" s="65">
        <f t="shared" si="125"/>
        <v>5.3966540744738258E-2</v>
      </c>
      <c r="N1063" s="37"/>
      <c r="O1063" s="37"/>
      <c r="P1063" s="37">
        <v>0</v>
      </c>
      <c r="Q1063" s="37">
        <v>0</v>
      </c>
      <c r="R1063" s="37" t="s">
        <v>2223</v>
      </c>
      <c r="S1063" s="37"/>
    </row>
    <row r="1064" spans="1:19" x14ac:dyDescent="0.3">
      <c r="A1064" s="45">
        <v>429</v>
      </c>
      <c r="B1064" s="37" t="s">
        <v>2226</v>
      </c>
      <c r="C1064" s="37" t="s">
        <v>251</v>
      </c>
      <c r="D1064" s="37" t="s">
        <v>21</v>
      </c>
      <c r="E1064" s="37" t="s">
        <v>56</v>
      </c>
      <c r="F1064" s="42">
        <v>45107</v>
      </c>
      <c r="G1064" s="37">
        <v>2023</v>
      </c>
      <c r="H1064" s="37" t="s">
        <v>23</v>
      </c>
      <c r="I1064" s="39" t="s">
        <v>30</v>
      </c>
      <c r="J1064" s="37">
        <v>0.76</v>
      </c>
      <c r="K1064" s="37">
        <v>0.3</v>
      </c>
      <c r="L1064" s="65">
        <f t="shared" si="124"/>
        <v>1.3</v>
      </c>
      <c r="M1064" s="65">
        <f t="shared" si="125"/>
        <v>2.5333333333333337</v>
      </c>
      <c r="N1064" s="37" t="s">
        <v>197</v>
      </c>
      <c r="O1064" s="37" t="s">
        <v>197</v>
      </c>
      <c r="P1064" s="37">
        <v>1</v>
      </c>
      <c r="Q1064" s="37">
        <v>1</v>
      </c>
      <c r="R1064" s="37" t="s">
        <v>2227</v>
      </c>
      <c r="S1064" s="37"/>
    </row>
    <row r="1065" spans="1:19" x14ac:dyDescent="0.3">
      <c r="A1065" s="41">
        <v>429</v>
      </c>
      <c r="B1065" s="37" t="s">
        <v>2226</v>
      </c>
      <c r="C1065" s="37" t="s">
        <v>251</v>
      </c>
      <c r="D1065" s="37" t="s">
        <v>21</v>
      </c>
      <c r="E1065" s="37" t="s">
        <v>56</v>
      </c>
      <c r="F1065" s="42">
        <v>45291</v>
      </c>
      <c r="G1065" s="37">
        <v>2023</v>
      </c>
      <c r="H1065" s="37" t="s">
        <v>27</v>
      </c>
      <c r="I1065" s="39" t="s">
        <v>32</v>
      </c>
      <c r="J1065" s="37">
        <v>0.76</v>
      </c>
      <c r="K1065" s="37">
        <v>0.76</v>
      </c>
      <c r="L1065" s="65">
        <f t="shared" si="124"/>
        <v>1</v>
      </c>
      <c r="M1065" s="65">
        <f t="shared" si="125"/>
        <v>1</v>
      </c>
      <c r="N1065" s="37" t="s">
        <v>197</v>
      </c>
      <c r="O1065" s="37" t="s">
        <v>197</v>
      </c>
      <c r="P1065" s="37">
        <v>1</v>
      </c>
      <c r="Q1065" s="37">
        <v>1</v>
      </c>
      <c r="R1065" s="37" t="s">
        <v>2228</v>
      </c>
      <c r="S1065" s="37"/>
    </row>
    <row r="1066" spans="1:19" x14ac:dyDescent="0.3">
      <c r="A1066" s="37">
        <v>429</v>
      </c>
      <c r="B1066" s="37" t="s">
        <v>2226</v>
      </c>
      <c r="C1066" s="37" t="s">
        <v>251</v>
      </c>
      <c r="D1066" s="37" t="s">
        <v>21</v>
      </c>
      <c r="E1066" s="37" t="s">
        <v>56</v>
      </c>
      <c r="F1066" s="42">
        <v>45473</v>
      </c>
      <c r="G1066" s="37">
        <v>2024</v>
      </c>
      <c r="H1066" s="37" t="s">
        <v>23</v>
      </c>
      <c r="I1066" s="39" t="s">
        <v>34</v>
      </c>
      <c r="J1066" s="37">
        <v>0.76</v>
      </c>
      <c r="K1066" s="37">
        <v>0.66</v>
      </c>
      <c r="L1066" s="65">
        <f t="shared" si="124"/>
        <v>1.1515151515151514</v>
      </c>
      <c r="M1066" s="65">
        <f t="shared" si="125"/>
        <v>1.1515151515151514</v>
      </c>
      <c r="N1066" s="37"/>
      <c r="O1066" s="37"/>
      <c r="P1066" s="37">
        <v>0</v>
      </c>
      <c r="Q1066" s="37">
        <v>0</v>
      </c>
      <c r="R1066" s="37" t="s">
        <v>2229</v>
      </c>
      <c r="S1066" s="37"/>
    </row>
    <row r="1067" spans="1:19" x14ac:dyDescent="0.3">
      <c r="A1067" s="37">
        <v>429</v>
      </c>
      <c r="B1067" s="37" t="s">
        <v>2226</v>
      </c>
      <c r="C1067" s="37" t="s">
        <v>251</v>
      </c>
      <c r="D1067" s="37" t="s">
        <v>21</v>
      </c>
      <c r="E1067" s="37" t="s">
        <v>56</v>
      </c>
      <c r="F1067" s="42">
        <v>45657</v>
      </c>
      <c r="G1067" s="37">
        <v>2024</v>
      </c>
      <c r="H1067" s="37" t="s">
        <v>27</v>
      </c>
      <c r="I1067" s="39" t="s">
        <v>36</v>
      </c>
      <c r="J1067" s="37">
        <v>0.76</v>
      </c>
      <c r="K1067" s="37">
        <v>0.67</v>
      </c>
      <c r="L1067" s="65">
        <f t="shared" si="124"/>
        <v>1.1343283582089552</v>
      </c>
      <c r="M1067" s="65">
        <f t="shared" si="125"/>
        <v>1.1343283582089552</v>
      </c>
      <c r="N1067" s="37"/>
      <c r="O1067" s="37"/>
      <c r="P1067" s="37">
        <v>0</v>
      </c>
      <c r="Q1067" s="37">
        <v>0</v>
      </c>
      <c r="R1067" s="37" t="s">
        <v>2230</v>
      </c>
      <c r="S1067" s="37"/>
    </row>
    <row r="1068" spans="1:19" x14ac:dyDescent="0.3">
      <c r="A1068" s="41">
        <v>430</v>
      </c>
      <c r="B1068" s="37" t="s">
        <v>2233</v>
      </c>
      <c r="C1068" s="37" t="s">
        <v>210</v>
      </c>
      <c r="D1068" s="37" t="s">
        <v>21</v>
      </c>
      <c r="E1068" s="37" t="s">
        <v>22</v>
      </c>
      <c r="F1068" s="42">
        <v>45107</v>
      </c>
      <c r="G1068" s="37">
        <v>2023</v>
      </c>
      <c r="H1068" s="37" t="s">
        <v>23</v>
      </c>
      <c r="I1068" s="39" t="s">
        <v>30</v>
      </c>
      <c r="J1068" s="37">
        <v>95</v>
      </c>
      <c r="K1068" s="59">
        <v>104.59563552424</v>
      </c>
      <c r="L1068" s="74">
        <f t="shared" si="124"/>
        <v>1.101006689728842</v>
      </c>
      <c r="M1068" s="65">
        <f t="shared" si="125"/>
        <v>1.101006689728842</v>
      </c>
      <c r="N1068" s="37" t="s">
        <v>264</v>
      </c>
      <c r="O1068" s="37" t="s">
        <v>264</v>
      </c>
      <c r="P1068" s="37">
        <v>0</v>
      </c>
      <c r="Q1068" s="37">
        <v>0</v>
      </c>
      <c r="R1068" s="37" t="s">
        <v>2234</v>
      </c>
      <c r="S1068" s="37"/>
    </row>
    <row r="1069" spans="1:19" x14ac:dyDescent="0.3">
      <c r="A1069" s="41">
        <v>430</v>
      </c>
      <c r="B1069" s="37" t="s">
        <v>2233</v>
      </c>
      <c r="C1069" s="37" t="s">
        <v>210</v>
      </c>
      <c r="D1069" s="37" t="s">
        <v>21</v>
      </c>
      <c r="E1069" s="37" t="s">
        <v>22</v>
      </c>
      <c r="F1069" s="42">
        <v>45291</v>
      </c>
      <c r="G1069" s="37">
        <v>2023</v>
      </c>
      <c r="H1069" s="37" t="s">
        <v>27</v>
      </c>
      <c r="I1069" s="39" t="s">
        <v>32</v>
      </c>
      <c r="J1069" s="37">
        <v>95</v>
      </c>
      <c r="K1069" s="59">
        <v>101.39526345983001</v>
      </c>
      <c r="L1069" s="74">
        <f t="shared" si="124"/>
        <v>1.0673185627350528</v>
      </c>
      <c r="M1069" s="65">
        <f t="shared" si="125"/>
        <v>1.0673185627350528</v>
      </c>
      <c r="N1069" s="37" t="s">
        <v>264</v>
      </c>
      <c r="O1069" s="37" t="s">
        <v>264</v>
      </c>
      <c r="P1069" s="37">
        <v>0</v>
      </c>
      <c r="Q1069" s="37">
        <v>0</v>
      </c>
      <c r="R1069" s="37" t="s">
        <v>2235</v>
      </c>
      <c r="S1069" s="37"/>
    </row>
    <row r="1070" spans="1:19" x14ac:dyDescent="0.3">
      <c r="A1070" s="41">
        <v>430</v>
      </c>
      <c r="B1070" s="37" t="s">
        <v>2233</v>
      </c>
      <c r="C1070" s="37" t="s">
        <v>210</v>
      </c>
      <c r="D1070" s="37" t="s">
        <v>21</v>
      </c>
      <c r="E1070" s="37" t="s">
        <v>22</v>
      </c>
      <c r="F1070" s="42">
        <v>45473</v>
      </c>
      <c r="G1070" s="37">
        <v>2024</v>
      </c>
      <c r="H1070" s="37" t="s">
        <v>23</v>
      </c>
      <c r="I1070" s="39" t="s">
        <v>34</v>
      </c>
      <c r="J1070" s="37">
        <v>95</v>
      </c>
      <c r="K1070" s="59">
        <v>101.88</v>
      </c>
      <c r="L1070" s="74">
        <f t="shared" si="124"/>
        <v>1.0724210526315789</v>
      </c>
      <c r="M1070" s="65">
        <f t="shared" si="125"/>
        <v>1.0724210526315789</v>
      </c>
      <c r="N1070" s="37" t="s">
        <v>264</v>
      </c>
      <c r="O1070" s="37" t="s">
        <v>264</v>
      </c>
      <c r="P1070" s="37">
        <v>0</v>
      </c>
      <c r="Q1070" s="37">
        <v>0</v>
      </c>
      <c r="R1070" s="37" t="s">
        <v>2236</v>
      </c>
      <c r="S1070" s="37"/>
    </row>
    <row r="1071" spans="1:19" x14ac:dyDescent="0.3">
      <c r="A1071" s="37">
        <v>430</v>
      </c>
      <c r="B1071" s="37" t="s">
        <v>2233</v>
      </c>
      <c r="C1071" s="37" t="s">
        <v>210</v>
      </c>
      <c r="D1071" s="37" t="s">
        <v>21</v>
      </c>
      <c r="E1071" s="37" t="s">
        <v>22</v>
      </c>
      <c r="F1071" s="42">
        <v>45657</v>
      </c>
      <c r="G1071" s="37">
        <v>2024</v>
      </c>
      <c r="H1071" s="37" t="s">
        <v>27</v>
      </c>
      <c r="I1071" s="39" t="s">
        <v>36</v>
      </c>
      <c r="J1071" s="37">
        <v>95</v>
      </c>
      <c r="K1071" s="37">
        <v>102.9374919710379</v>
      </c>
      <c r="L1071" s="65">
        <f t="shared" si="124"/>
        <v>1.0835525470635567</v>
      </c>
      <c r="M1071" s="65">
        <f t="shared" si="125"/>
        <v>1.0835525470635567</v>
      </c>
      <c r="N1071" s="37"/>
      <c r="O1071" s="37"/>
      <c r="P1071" s="37">
        <v>0</v>
      </c>
      <c r="Q1071" s="37">
        <v>0</v>
      </c>
      <c r="R1071" s="37" t="s">
        <v>2237</v>
      </c>
      <c r="S1071" s="37"/>
    </row>
    <row r="1072" spans="1:19" x14ac:dyDescent="0.3">
      <c r="A1072" s="37">
        <v>431</v>
      </c>
      <c r="B1072" s="37" t="s">
        <v>2240</v>
      </c>
      <c r="C1072" s="37" t="s">
        <v>138</v>
      </c>
      <c r="D1072" s="37" t="s">
        <v>39</v>
      </c>
      <c r="E1072" s="37" t="s">
        <v>22</v>
      </c>
      <c r="F1072" s="42">
        <v>45199</v>
      </c>
      <c r="G1072" s="40">
        <v>2023</v>
      </c>
      <c r="H1072" s="39" t="s">
        <v>43</v>
      </c>
      <c r="I1072" s="39" t="s">
        <v>32</v>
      </c>
      <c r="J1072" s="37">
        <v>44.5</v>
      </c>
      <c r="K1072" s="37">
        <v>44.5</v>
      </c>
      <c r="L1072" s="74">
        <f t="shared" si="124"/>
        <v>1</v>
      </c>
      <c r="M1072" s="65">
        <f t="shared" si="125"/>
        <v>1</v>
      </c>
      <c r="N1072" s="37" t="s">
        <v>25</v>
      </c>
      <c r="O1072" s="37" t="s">
        <v>25</v>
      </c>
      <c r="P1072" s="37">
        <v>0</v>
      </c>
      <c r="Q1072" s="37">
        <v>0</v>
      </c>
      <c r="R1072" s="37" t="s">
        <v>2241</v>
      </c>
      <c r="S1072" s="37"/>
    </row>
    <row r="1073" spans="1:19" x14ac:dyDescent="0.3">
      <c r="A1073" s="41">
        <v>431</v>
      </c>
      <c r="B1073" s="37" t="s">
        <v>2240</v>
      </c>
      <c r="C1073" s="37" t="s">
        <v>138</v>
      </c>
      <c r="D1073" s="37" t="s">
        <v>39</v>
      </c>
      <c r="E1073" s="37" t="s">
        <v>22</v>
      </c>
      <c r="F1073" s="42">
        <v>45291</v>
      </c>
      <c r="G1073" s="37">
        <v>2023</v>
      </c>
      <c r="H1073" s="37" t="s">
        <v>27</v>
      </c>
      <c r="I1073" s="39" t="s">
        <v>32</v>
      </c>
      <c r="J1073" s="37">
        <v>44.5</v>
      </c>
      <c r="K1073" s="37">
        <v>44.5</v>
      </c>
      <c r="L1073" s="74">
        <f t="shared" si="124"/>
        <v>1</v>
      </c>
      <c r="M1073" s="65">
        <f t="shared" si="125"/>
        <v>1</v>
      </c>
      <c r="N1073" s="37" t="s">
        <v>25</v>
      </c>
      <c r="O1073" s="37" t="s">
        <v>25</v>
      </c>
      <c r="P1073" s="37">
        <v>0</v>
      </c>
      <c r="Q1073" s="37">
        <v>0</v>
      </c>
      <c r="R1073" s="37" t="s">
        <v>2242</v>
      </c>
      <c r="S1073" s="37"/>
    </row>
    <row r="1074" spans="1:19" x14ac:dyDescent="0.3">
      <c r="A1074" s="37">
        <v>431</v>
      </c>
      <c r="B1074" s="37" t="s">
        <v>2240</v>
      </c>
      <c r="C1074" s="37" t="s">
        <v>138</v>
      </c>
      <c r="D1074" s="37" t="s">
        <v>39</v>
      </c>
      <c r="E1074" s="37" t="s">
        <v>22</v>
      </c>
      <c r="F1074" s="42">
        <v>45473</v>
      </c>
      <c r="G1074" s="37">
        <v>2024</v>
      </c>
      <c r="H1074" s="37" t="s">
        <v>23</v>
      </c>
      <c r="I1074" s="39" t="s">
        <v>34</v>
      </c>
      <c r="J1074" s="37">
        <v>32.5</v>
      </c>
      <c r="K1074" s="37">
        <v>32.5</v>
      </c>
      <c r="L1074" s="65">
        <f t="shared" si="124"/>
        <v>1</v>
      </c>
      <c r="M1074" s="65">
        <f t="shared" si="125"/>
        <v>1</v>
      </c>
      <c r="N1074" s="37"/>
      <c r="O1074" s="37"/>
      <c r="P1074" s="37">
        <v>0</v>
      </c>
      <c r="Q1074" s="37">
        <v>0</v>
      </c>
      <c r="R1074" s="37" t="s">
        <v>2244</v>
      </c>
      <c r="S1074" s="37"/>
    </row>
    <row r="1075" spans="1:19" x14ac:dyDescent="0.3">
      <c r="A1075" s="37">
        <v>431</v>
      </c>
      <c r="B1075" s="37" t="s">
        <v>2240</v>
      </c>
      <c r="C1075" s="37" t="s">
        <v>138</v>
      </c>
      <c r="D1075" s="37" t="s">
        <v>39</v>
      </c>
      <c r="E1075" s="37" t="s">
        <v>22</v>
      </c>
      <c r="F1075" s="42">
        <v>45657</v>
      </c>
      <c r="G1075" s="37">
        <v>2024</v>
      </c>
      <c r="H1075" s="37" t="s">
        <v>27</v>
      </c>
      <c r="I1075" s="39" t="s">
        <v>36</v>
      </c>
      <c r="J1075" s="37">
        <v>24.5</v>
      </c>
      <c r="K1075" s="37">
        <v>24.5</v>
      </c>
      <c r="L1075" s="65">
        <f t="shared" si="124"/>
        <v>1</v>
      </c>
      <c r="M1075" s="65">
        <f t="shared" si="125"/>
        <v>1</v>
      </c>
      <c r="N1075" s="37"/>
      <c r="O1075" s="37"/>
      <c r="P1075" s="37">
        <v>0</v>
      </c>
      <c r="Q1075" s="37">
        <v>0</v>
      </c>
      <c r="R1075" s="37" t="s">
        <v>2246</v>
      </c>
      <c r="S1075" s="37"/>
    </row>
    <row r="1076" spans="1:19" x14ac:dyDescent="0.3">
      <c r="A1076" s="41">
        <v>432</v>
      </c>
      <c r="B1076" s="37" t="s">
        <v>2247</v>
      </c>
      <c r="C1076" s="37" t="s">
        <v>138</v>
      </c>
      <c r="D1076" s="37" t="s">
        <v>39</v>
      </c>
      <c r="E1076" s="37" t="s">
        <v>22</v>
      </c>
      <c r="F1076" s="42">
        <v>45291</v>
      </c>
      <c r="G1076" s="37">
        <v>2023</v>
      </c>
      <c r="H1076" s="37" t="s">
        <v>27</v>
      </c>
      <c r="I1076" s="39" t="s">
        <v>32</v>
      </c>
      <c r="J1076" s="37">
        <v>90</v>
      </c>
      <c r="K1076" s="37">
        <v>99.382777777778003</v>
      </c>
      <c r="L1076" s="74">
        <f t="shared" si="124"/>
        <v>1.1042530864197555</v>
      </c>
      <c r="M1076" s="65">
        <f t="shared" si="125"/>
        <v>1.1042530864197555</v>
      </c>
      <c r="N1076" s="37" t="s">
        <v>25</v>
      </c>
      <c r="O1076" s="37" t="s">
        <v>25</v>
      </c>
      <c r="P1076" s="37">
        <v>0</v>
      </c>
      <c r="Q1076" s="37">
        <v>0</v>
      </c>
      <c r="R1076" s="37" t="s">
        <v>2251</v>
      </c>
      <c r="S1076" s="37"/>
    </row>
    <row r="1077" spans="1:19" x14ac:dyDescent="0.3">
      <c r="A1077" s="37">
        <v>432</v>
      </c>
      <c r="B1077" s="37" t="s">
        <v>2247</v>
      </c>
      <c r="C1077" s="37" t="s">
        <v>138</v>
      </c>
      <c r="D1077" s="37" t="s">
        <v>39</v>
      </c>
      <c r="E1077" s="37" t="s">
        <v>22</v>
      </c>
      <c r="F1077" s="42">
        <v>45473</v>
      </c>
      <c r="G1077" s="37">
        <v>2024</v>
      </c>
      <c r="H1077" s="37" t="s">
        <v>23</v>
      </c>
      <c r="I1077" s="39" t="s">
        <v>34</v>
      </c>
      <c r="J1077" s="37">
        <v>90</v>
      </c>
      <c r="K1077" s="37">
        <v>100</v>
      </c>
      <c r="L1077" s="65">
        <f t="shared" si="124"/>
        <v>1.1111111111111112</v>
      </c>
      <c r="M1077" s="65">
        <f t="shared" si="125"/>
        <v>1.1111111111111112</v>
      </c>
      <c r="N1077" s="37"/>
      <c r="O1077" s="37"/>
      <c r="P1077" s="37">
        <v>0</v>
      </c>
      <c r="Q1077" s="37">
        <v>0</v>
      </c>
      <c r="R1077" s="37" t="s">
        <v>2253</v>
      </c>
      <c r="S1077" s="37"/>
    </row>
    <row r="1078" spans="1:19" x14ac:dyDescent="0.3">
      <c r="A1078" s="37">
        <v>432</v>
      </c>
      <c r="B1078" s="37" t="s">
        <v>2247</v>
      </c>
      <c r="C1078" s="37" t="s">
        <v>138</v>
      </c>
      <c r="D1078" s="37" t="s">
        <v>39</v>
      </c>
      <c r="E1078" s="37" t="s">
        <v>22</v>
      </c>
      <c r="F1078" s="42">
        <v>45657</v>
      </c>
      <c r="G1078" s="37">
        <v>2024</v>
      </c>
      <c r="H1078" s="37" t="s">
        <v>27</v>
      </c>
      <c r="I1078" s="39" t="s">
        <v>36</v>
      </c>
      <c r="J1078" s="37">
        <v>90</v>
      </c>
      <c r="K1078" s="37">
        <v>50</v>
      </c>
      <c r="L1078" s="65">
        <f t="shared" si="124"/>
        <v>0.55555555555555558</v>
      </c>
      <c r="M1078" s="65">
        <f t="shared" si="125"/>
        <v>0.55555555555555558</v>
      </c>
      <c r="N1078" s="37"/>
      <c r="O1078" s="37"/>
      <c r="P1078" s="37">
        <v>0</v>
      </c>
      <c r="Q1078" s="37">
        <v>0</v>
      </c>
      <c r="R1078" s="37" t="s">
        <v>2255</v>
      </c>
      <c r="S1078" s="37"/>
    </row>
    <row r="1079" spans="1:19" x14ac:dyDescent="0.3">
      <c r="A1079" s="45">
        <v>433</v>
      </c>
      <c r="B1079" s="37" t="s">
        <v>2260</v>
      </c>
      <c r="C1079" s="37" t="s">
        <v>251</v>
      </c>
      <c r="D1079" s="37" t="s">
        <v>21</v>
      </c>
      <c r="E1079" s="37" t="s">
        <v>56</v>
      </c>
      <c r="F1079" s="42">
        <v>45107</v>
      </c>
      <c r="G1079" s="37">
        <v>2023</v>
      </c>
      <c r="H1079" s="37" t="s">
        <v>23</v>
      </c>
      <c r="I1079" s="39" t="s">
        <v>30</v>
      </c>
      <c r="J1079" s="37">
        <v>0.05</v>
      </c>
      <c r="K1079" s="37">
        <v>0.02</v>
      </c>
      <c r="L1079" s="65">
        <f t="shared" si="124"/>
        <v>1.3</v>
      </c>
      <c r="M1079" s="65">
        <f t="shared" si="125"/>
        <v>2.5</v>
      </c>
      <c r="N1079" s="37" t="s">
        <v>197</v>
      </c>
      <c r="O1079" s="37" t="s">
        <v>197</v>
      </c>
      <c r="P1079" s="37">
        <v>2</v>
      </c>
      <c r="Q1079" s="37">
        <v>2</v>
      </c>
      <c r="R1079" s="37" t="s">
        <v>2261</v>
      </c>
      <c r="S1079" s="37"/>
    </row>
    <row r="1080" spans="1:19" x14ac:dyDescent="0.3">
      <c r="A1080" s="41">
        <v>433</v>
      </c>
      <c r="B1080" s="37" t="s">
        <v>2260</v>
      </c>
      <c r="C1080" s="37" t="s">
        <v>251</v>
      </c>
      <c r="D1080" s="37" t="s">
        <v>21</v>
      </c>
      <c r="E1080" s="37" t="s">
        <v>56</v>
      </c>
      <c r="F1080" s="42">
        <v>45291</v>
      </c>
      <c r="G1080" s="37">
        <v>2023</v>
      </c>
      <c r="H1080" s="37" t="s">
        <v>27</v>
      </c>
      <c r="I1080" s="39" t="s">
        <v>32</v>
      </c>
      <c r="J1080" s="37">
        <v>0.05</v>
      </c>
      <c r="K1080" s="37">
        <v>0.05</v>
      </c>
      <c r="L1080" s="65">
        <f t="shared" si="124"/>
        <v>1</v>
      </c>
      <c r="M1080" s="65">
        <f t="shared" si="125"/>
        <v>1</v>
      </c>
      <c r="N1080" s="37" t="s">
        <v>197</v>
      </c>
      <c r="O1080" s="37" t="s">
        <v>197</v>
      </c>
      <c r="P1080" s="37">
        <v>2</v>
      </c>
      <c r="Q1080" s="37">
        <v>2</v>
      </c>
      <c r="R1080" s="37" t="s">
        <v>2262</v>
      </c>
      <c r="S1080" s="37"/>
    </row>
    <row r="1081" spans="1:19" x14ac:dyDescent="0.3">
      <c r="A1081" s="37">
        <v>433</v>
      </c>
      <c r="B1081" s="37" t="s">
        <v>2260</v>
      </c>
      <c r="C1081" s="37" t="s">
        <v>251</v>
      </c>
      <c r="D1081" s="37" t="s">
        <v>21</v>
      </c>
      <c r="E1081" s="37" t="s">
        <v>56</v>
      </c>
      <c r="F1081" s="42">
        <v>45473</v>
      </c>
      <c r="G1081" s="37">
        <v>2024</v>
      </c>
      <c r="H1081" s="37" t="s">
        <v>23</v>
      </c>
      <c r="I1081" s="39" t="s">
        <v>34</v>
      </c>
      <c r="J1081" s="37">
        <v>0.05</v>
      </c>
      <c r="K1081" s="37">
        <v>7.0000000000000007E-2</v>
      </c>
      <c r="L1081" s="65">
        <f t="shared" si="124"/>
        <v>0.7142857142857143</v>
      </c>
      <c r="M1081" s="65">
        <f t="shared" si="125"/>
        <v>0.7142857142857143</v>
      </c>
      <c r="N1081" s="37"/>
      <c r="O1081" s="37"/>
      <c r="P1081" s="37">
        <v>0</v>
      </c>
      <c r="Q1081" s="37">
        <v>0</v>
      </c>
      <c r="R1081" s="37" t="s">
        <v>2263</v>
      </c>
      <c r="S1081" s="37"/>
    </row>
    <row r="1082" spans="1:19" x14ac:dyDescent="0.3">
      <c r="A1082" s="37">
        <v>433</v>
      </c>
      <c r="B1082" s="37" t="s">
        <v>2260</v>
      </c>
      <c r="C1082" s="37" t="s">
        <v>251</v>
      </c>
      <c r="D1082" s="37" t="s">
        <v>21</v>
      </c>
      <c r="E1082" s="37" t="s">
        <v>56</v>
      </c>
      <c r="F1082" s="42">
        <v>45657</v>
      </c>
      <c r="G1082" s="37">
        <v>2024</v>
      </c>
      <c r="H1082" s="37" t="s">
        <v>27</v>
      </c>
      <c r="I1082" s="39" t="s">
        <v>36</v>
      </c>
      <c r="J1082" s="37">
        <v>0.05</v>
      </c>
      <c r="K1082" s="37">
        <v>0.14000000000000001</v>
      </c>
      <c r="L1082" s="65">
        <f t="shared" ref="L1082:L1102" si="126">IFERROR(IF(OR(J1082=0,K1082=""),"",IF(E1082="Positivo",MIN(MAX(K1082/J1082,0),1.3),MIN(MAX(J1082/K1082,0),1.3))),"")</f>
        <v>0.35714285714285715</v>
      </c>
      <c r="M1082" s="65">
        <f t="shared" ref="M1082:M1102" si="127">IFERROR(IF(OR(J1082=0,K1082=""),"",IF(E1082="Positivo",MAX(K1082/J1082,0),MAX(J1082/K1082,0))),"")</f>
        <v>0.35714285714285715</v>
      </c>
      <c r="N1082" s="37"/>
      <c r="O1082" s="37"/>
      <c r="P1082" s="37">
        <v>0</v>
      </c>
      <c r="Q1082" s="37">
        <v>0</v>
      </c>
      <c r="R1082" s="37" t="s">
        <v>2264</v>
      </c>
      <c r="S1082" s="37"/>
    </row>
    <row r="1083" spans="1:19" x14ac:dyDescent="0.3">
      <c r="A1083" s="37">
        <v>434</v>
      </c>
      <c r="B1083" s="37" t="s">
        <v>2267</v>
      </c>
      <c r="C1083" s="37" t="s">
        <v>251</v>
      </c>
      <c r="D1083" s="37" t="s">
        <v>73</v>
      </c>
      <c r="E1083" s="37" t="s">
        <v>56</v>
      </c>
      <c r="F1083" s="42">
        <v>45107</v>
      </c>
      <c r="G1083" s="37">
        <v>2023</v>
      </c>
      <c r="H1083" s="37" t="s">
        <v>23</v>
      </c>
      <c r="I1083" s="37" t="s">
        <v>30</v>
      </c>
      <c r="J1083" s="37">
        <v>1200</v>
      </c>
      <c r="K1083" s="37">
        <v>18.5</v>
      </c>
      <c r="L1083" s="65">
        <f t="shared" si="126"/>
        <v>1.3</v>
      </c>
      <c r="M1083" s="65">
        <f t="shared" si="127"/>
        <v>64.86486486486487</v>
      </c>
      <c r="N1083" s="37" t="s">
        <v>775</v>
      </c>
      <c r="O1083" s="37" t="s">
        <v>775</v>
      </c>
      <c r="P1083" s="37">
        <v>0</v>
      </c>
      <c r="Q1083" s="37">
        <v>0</v>
      </c>
      <c r="R1083" s="37" t="s">
        <v>2273</v>
      </c>
      <c r="S1083" s="37"/>
    </row>
    <row r="1084" spans="1:19" x14ac:dyDescent="0.3">
      <c r="A1084" s="41">
        <v>434</v>
      </c>
      <c r="B1084" s="37" t="s">
        <v>3540</v>
      </c>
      <c r="C1084" s="37" t="s">
        <v>251</v>
      </c>
      <c r="D1084" s="37" t="s">
        <v>73</v>
      </c>
      <c r="E1084" s="37" t="s">
        <v>56</v>
      </c>
      <c r="F1084" s="42">
        <v>45199</v>
      </c>
      <c r="G1084" s="37">
        <v>2023</v>
      </c>
      <c r="H1084" s="37" t="s">
        <v>43</v>
      </c>
      <c r="I1084" s="39" t="s">
        <v>32</v>
      </c>
      <c r="J1084" s="37">
        <v>1200</v>
      </c>
      <c r="K1084" s="37">
        <v>2275.63</v>
      </c>
      <c r="L1084" s="65">
        <f t="shared" si="126"/>
        <v>0.52732649859599312</v>
      </c>
      <c r="M1084" s="65">
        <f t="shared" si="127"/>
        <v>0.52732649859599312</v>
      </c>
      <c r="N1084" s="37"/>
      <c r="O1084" s="37"/>
      <c r="P1084" s="37">
        <v>1</v>
      </c>
      <c r="Q1084" s="37">
        <v>1</v>
      </c>
      <c r="R1084" s="37" t="s">
        <v>2276</v>
      </c>
      <c r="S1084" s="37"/>
    </row>
    <row r="1085" spans="1:19" x14ac:dyDescent="0.3">
      <c r="A1085" s="41">
        <v>434</v>
      </c>
      <c r="B1085" s="37" t="s">
        <v>3540</v>
      </c>
      <c r="C1085" s="37" t="s">
        <v>251</v>
      </c>
      <c r="D1085" s="37" t="s">
        <v>73</v>
      </c>
      <c r="E1085" s="37" t="s">
        <v>56</v>
      </c>
      <c r="F1085" s="42">
        <v>45230</v>
      </c>
      <c r="G1085" s="37">
        <v>2023</v>
      </c>
      <c r="H1085" s="37" t="s">
        <v>89</v>
      </c>
      <c r="I1085" s="39" t="s">
        <v>32</v>
      </c>
      <c r="J1085" s="37">
        <v>1200</v>
      </c>
      <c r="K1085" s="37">
        <v>2275.63</v>
      </c>
      <c r="L1085" s="65">
        <f t="shared" si="126"/>
        <v>0.52732649859599312</v>
      </c>
      <c r="M1085" s="65">
        <f t="shared" si="127"/>
        <v>0.52732649859599312</v>
      </c>
      <c r="N1085" s="37"/>
      <c r="O1085" s="37"/>
      <c r="P1085" s="37">
        <v>1</v>
      </c>
      <c r="Q1085" s="37">
        <v>1</v>
      </c>
      <c r="R1085" s="37" t="s">
        <v>2277</v>
      </c>
      <c r="S1085" s="37"/>
    </row>
    <row r="1086" spans="1:19" x14ac:dyDescent="0.3">
      <c r="A1086" s="41">
        <v>434</v>
      </c>
      <c r="B1086" s="37" t="s">
        <v>3540</v>
      </c>
      <c r="C1086" s="37" t="s">
        <v>251</v>
      </c>
      <c r="D1086" s="37" t="s">
        <v>73</v>
      </c>
      <c r="E1086" s="37" t="s">
        <v>56</v>
      </c>
      <c r="F1086" s="42">
        <v>45260</v>
      </c>
      <c r="G1086" s="37">
        <v>2023</v>
      </c>
      <c r="H1086" s="37" t="s">
        <v>91</v>
      </c>
      <c r="I1086" s="39" t="s">
        <v>32</v>
      </c>
      <c r="J1086" s="37">
        <v>1200</v>
      </c>
      <c r="K1086" s="37">
        <v>2275.63</v>
      </c>
      <c r="L1086" s="65">
        <f t="shared" si="126"/>
        <v>0.52732649859599312</v>
      </c>
      <c r="M1086" s="65">
        <f t="shared" si="127"/>
        <v>0.52732649859599312</v>
      </c>
      <c r="N1086" s="37"/>
      <c r="O1086" s="37"/>
      <c r="P1086" s="37">
        <v>1</v>
      </c>
      <c r="Q1086" s="37">
        <v>1</v>
      </c>
      <c r="R1086" s="37" t="s">
        <v>2278</v>
      </c>
      <c r="S1086" s="37"/>
    </row>
    <row r="1087" spans="1:19" x14ac:dyDescent="0.3">
      <c r="A1087" s="41">
        <v>434</v>
      </c>
      <c r="B1087" s="37" t="s">
        <v>3540</v>
      </c>
      <c r="C1087" s="37" t="s">
        <v>251</v>
      </c>
      <c r="D1087" s="37" t="s">
        <v>73</v>
      </c>
      <c r="E1087" s="37" t="s">
        <v>56</v>
      </c>
      <c r="F1087" s="42">
        <v>45291</v>
      </c>
      <c r="G1087" s="37">
        <v>2023</v>
      </c>
      <c r="H1087" s="37" t="s">
        <v>27</v>
      </c>
      <c r="I1087" s="39" t="s">
        <v>32</v>
      </c>
      <c r="J1087" s="37">
        <v>1200</v>
      </c>
      <c r="K1087" s="37">
        <v>2275.63</v>
      </c>
      <c r="L1087" s="65">
        <f t="shared" si="126"/>
        <v>0.52732649859599312</v>
      </c>
      <c r="M1087" s="65">
        <f t="shared" si="127"/>
        <v>0.52732649859599312</v>
      </c>
      <c r="N1087" s="37"/>
      <c r="O1087" s="37"/>
      <c r="P1087" s="37">
        <v>1</v>
      </c>
      <c r="Q1087" s="37">
        <v>1</v>
      </c>
      <c r="R1087" s="37" t="s">
        <v>2279</v>
      </c>
      <c r="S1087" s="37"/>
    </row>
    <row r="1088" spans="1:19" x14ac:dyDescent="0.3">
      <c r="A1088" s="37">
        <v>434</v>
      </c>
      <c r="B1088" s="37" t="s">
        <v>2267</v>
      </c>
      <c r="C1088" s="37" t="s">
        <v>251</v>
      </c>
      <c r="D1088" s="37" t="s">
        <v>73</v>
      </c>
      <c r="E1088" s="37" t="s">
        <v>56</v>
      </c>
      <c r="F1088" s="42">
        <v>45473</v>
      </c>
      <c r="G1088" s="37">
        <v>2024</v>
      </c>
      <c r="H1088" s="37" t="s">
        <v>23</v>
      </c>
      <c r="I1088" s="39" t="s">
        <v>34</v>
      </c>
      <c r="J1088" s="37">
        <v>1200</v>
      </c>
      <c r="K1088" s="37">
        <v>3489.51</v>
      </c>
      <c r="L1088" s="65">
        <f t="shared" si="126"/>
        <v>0.34388782379187904</v>
      </c>
      <c r="M1088" s="65">
        <f t="shared" si="127"/>
        <v>0.34388782379187904</v>
      </c>
      <c r="N1088" s="37"/>
      <c r="O1088" s="37"/>
      <c r="P1088" s="37">
        <v>0</v>
      </c>
      <c r="Q1088" s="37">
        <v>0</v>
      </c>
      <c r="R1088" s="37" t="s">
        <v>2285</v>
      </c>
      <c r="S1088" s="37"/>
    </row>
    <row r="1089" spans="1:19" x14ac:dyDescent="0.3">
      <c r="A1089" s="37">
        <v>434</v>
      </c>
      <c r="B1089" s="37" t="s">
        <v>2267</v>
      </c>
      <c r="C1089" s="37" t="s">
        <v>251</v>
      </c>
      <c r="D1089" s="37" t="s">
        <v>73</v>
      </c>
      <c r="E1089" s="37" t="s">
        <v>56</v>
      </c>
      <c r="F1089" s="42">
        <v>45657</v>
      </c>
      <c r="G1089" s="37">
        <v>2024</v>
      </c>
      <c r="H1089" s="37" t="s">
        <v>27</v>
      </c>
      <c r="I1089" s="39" t="s">
        <v>36</v>
      </c>
      <c r="J1089" s="37">
        <v>1200</v>
      </c>
      <c r="K1089" s="37">
        <v>1937.73</v>
      </c>
      <c r="L1089" s="65">
        <f t="shared" si="126"/>
        <v>0.6192813240234708</v>
      </c>
      <c r="M1089" s="65">
        <f t="shared" si="127"/>
        <v>0.6192813240234708</v>
      </c>
      <c r="N1089" s="37"/>
      <c r="O1089" s="37"/>
      <c r="P1089" s="37">
        <v>0</v>
      </c>
      <c r="Q1089" s="37">
        <v>0</v>
      </c>
      <c r="R1089" s="37" t="s">
        <v>2291</v>
      </c>
      <c r="S1089" s="37"/>
    </row>
    <row r="1090" spans="1:19" x14ac:dyDescent="0.3">
      <c r="A1090" s="45">
        <v>435</v>
      </c>
      <c r="B1090" s="37" t="s">
        <v>2304</v>
      </c>
      <c r="C1090" s="37" t="s">
        <v>251</v>
      </c>
      <c r="D1090" s="37" t="s">
        <v>21</v>
      </c>
      <c r="E1090" s="37" t="s">
        <v>22</v>
      </c>
      <c r="F1090" s="42">
        <v>45107</v>
      </c>
      <c r="G1090" s="37">
        <v>2023</v>
      </c>
      <c r="H1090" s="37" t="s">
        <v>23</v>
      </c>
      <c r="I1090" s="39" t="s">
        <v>30</v>
      </c>
      <c r="J1090" s="37">
        <v>100</v>
      </c>
      <c r="K1090" s="37">
        <v>0.43352601156068998</v>
      </c>
      <c r="L1090" s="74">
        <f t="shared" si="126"/>
        <v>4.3352601156068996E-3</v>
      </c>
      <c r="M1090" s="65">
        <f t="shared" si="127"/>
        <v>4.3352601156068996E-3</v>
      </c>
      <c r="N1090" s="37" t="s">
        <v>197</v>
      </c>
      <c r="O1090" s="37" t="s">
        <v>197</v>
      </c>
      <c r="P1090" s="37">
        <v>2</v>
      </c>
      <c r="Q1090" s="37">
        <v>2</v>
      </c>
      <c r="R1090" s="37" t="s">
        <v>2305</v>
      </c>
      <c r="S1090" s="37"/>
    </row>
    <row r="1091" spans="1:19" x14ac:dyDescent="0.3">
      <c r="A1091" s="41">
        <v>435</v>
      </c>
      <c r="B1091" s="37" t="s">
        <v>2304</v>
      </c>
      <c r="C1091" s="37" t="s">
        <v>251</v>
      </c>
      <c r="D1091" s="37" t="s">
        <v>21</v>
      </c>
      <c r="E1091" s="37" t="s">
        <v>22</v>
      </c>
      <c r="F1091" s="42">
        <v>45291</v>
      </c>
      <c r="G1091" s="37">
        <v>2023</v>
      </c>
      <c r="H1091" s="37" t="s">
        <v>27</v>
      </c>
      <c r="I1091" s="39" t="s">
        <v>32</v>
      </c>
      <c r="J1091" s="37">
        <v>100</v>
      </c>
      <c r="K1091" s="37">
        <v>-111.57</v>
      </c>
      <c r="L1091" s="74">
        <f t="shared" si="126"/>
        <v>0</v>
      </c>
      <c r="M1091" s="65">
        <f t="shared" si="127"/>
        <v>0</v>
      </c>
      <c r="N1091" s="37" t="s">
        <v>197</v>
      </c>
      <c r="O1091" s="37" t="s">
        <v>197</v>
      </c>
      <c r="P1091" s="37">
        <v>2</v>
      </c>
      <c r="Q1091" s="37">
        <v>2</v>
      </c>
      <c r="R1091" s="37" t="s">
        <v>2306</v>
      </c>
      <c r="S1091" s="37"/>
    </row>
    <row r="1092" spans="1:19" x14ac:dyDescent="0.3">
      <c r="A1092" s="37">
        <v>435</v>
      </c>
      <c r="B1092" s="37" t="s">
        <v>2304</v>
      </c>
      <c r="C1092" s="37" t="s">
        <v>251</v>
      </c>
      <c r="D1092" s="37" t="s">
        <v>21</v>
      </c>
      <c r="E1092" s="37" t="s">
        <v>22</v>
      </c>
      <c r="F1092" s="42">
        <v>45473</v>
      </c>
      <c r="G1092" s="37">
        <v>2024</v>
      </c>
      <c r="H1092" s="37" t="s">
        <v>23</v>
      </c>
      <c r="I1092" s="39" t="s">
        <v>34</v>
      </c>
      <c r="J1092" s="37">
        <v>100</v>
      </c>
      <c r="K1092" s="37">
        <v>-20.67</v>
      </c>
      <c r="L1092" s="65">
        <f t="shared" si="126"/>
        <v>0</v>
      </c>
      <c r="M1092" s="65">
        <f t="shared" si="127"/>
        <v>0</v>
      </c>
      <c r="N1092" s="37"/>
      <c r="O1092" s="37"/>
      <c r="P1092" s="37">
        <v>0</v>
      </c>
      <c r="Q1092" s="37">
        <v>0</v>
      </c>
      <c r="R1092" s="37" t="s">
        <v>2307</v>
      </c>
      <c r="S1092" s="37"/>
    </row>
    <row r="1093" spans="1:19" x14ac:dyDescent="0.3">
      <c r="A1093" s="37">
        <v>435</v>
      </c>
      <c r="B1093" s="37" t="s">
        <v>2304</v>
      </c>
      <c r="C1093" s="37" t="s">
        <v>251</v>
      </c>
      <c r="D1093" s="37" t="s">
        <v>21</v>
      </c>
      <c r="E1093" s="37" t="s">
        <v>22</v>
      </c>
      <c r="F1093" s="42">
        <v>45657</v>
      </c>
      <c r="G1093" s="37">
        <v>2024</v>
      </c>
      <c r="H1093" s="37" t="s">
        <v>27</v>
      </c>
      <c r="I1093" s="39" t="s">
        <v>36</v>
      </c>
      <c r="J1093" s="37">
        <v>100</v>
      </c>
      <c r="K1093" s="37">
        <v>71.09</v>
      </c>
      <c r="L1093" s="65">
        <f t="shared" si="126"/>
        <v>0.71090000000000009</v>
      </c>
      <c r="M1093" s="65">
        <f t="shared" si="127"/>
        <v>0.71090000000000009</v>
      </c>
      <c r="N1093" s="37"/>
      <c r="O1093" s="37"/>
      <c r="P1093" s="37">
        <v>0</v>
      </c>
      <c r="Q1093" s="37">
        <v>0</v>
      </c>
      <c r="R1093" s="37" t="s">
        <v>2308</v>
      </c>
      <c r="S1093" s="37"/>
    </row>
    <row r="1094" spans="1:19" x14ac:dyDescent="0.3">
      <c r="A1094" s="41">
        <v>436</v>
      </c>
      <c r="B1094" s="37" t="s">
        <v>2311</v>
      </c>
      <c r="C1094" s="37" t="s">
        <v>258</v>
      </c>
      <c r="D1094" s="37" t="s">
        <v>73</v>
      </c>
      <c r="E1094" s="37" t="s">
        <v>56</v>
      </c>
      <c r="F1094" s="42">
        <v>45291</v>
      </c>
      <c r="G1094" s="37">
        <v>2023</v>
      </c>
      <c r="H1094" s="37" t="s">
        <v>27</v>
      </c>
      <c r="I1094" s="39" t="s">
        <v>32</v>
      </c>
      <c r="J1094" s="37">
        <v>21</v>
      </c>
      <c r="K1094" s="37">
        <v>11.06833333333333</v>
      </c>
      <c r="L1094" s="65">
        <f t="shared" si="126"/>
        <v>1.3</v>
      </c>
      <c r="M1094" s="65">
        <f t="shared" si="127"/>
        <v>1.8973046227977721</v>
      </c>
      <c r="N1094" s="37" t="s">
        <v>57</v>
      </c>
      <c r="O1094" s="37" t="s">
        <v>57</v>
      </c>
      <c r="P1094" s="37">
        <v>1</v>
      </c>
      <c r="Q1094" s="37">
        <v>1</v>
      </c>
      <c r="R1094" s="37" t="s">
        <v>2323</v>
      </c>
      <c r="S1094" s="37"/>
    </row>
    <row r="1095" spans="1:19" x14ac:dyDescent="0.3">
      <c r="A1095" s="37">
        <v>436</v>
      </c>
      <c r="B1095" s="37" t="s">
        <v>2311</v>
      </c>
      <c r="C1095" s="37" t="s">
        <v>258</v>
      </c>
      <c r="D1095" s="37" t="s">
        <v>73</v>
      </c>
      <c r="E1095" s="37" t="s">
        <v>56</v>
      </c>
      <c r="F1095" s="42">
        <v>45473</v>
      </c>
      <c r="G1095" s="37">
        <v>2024</v>
      </c>
      <c r="H1095" s="37" t="s">
        <v>23</v>
      </c>
      <c r="I1095" s="39" t="s">
        <v>34</v>
      </c>
      <c r="J1095" s="37">
        <v>14</v>
      </c>
      <c r="K1095" s="37">
        <v>11.56666666666667</v>
      </c>
      <c r="L1095" s="65">
        <f t="shared" si="126"/>
        <v>1.2103746397694521</v>
      </c>
      <c r="M1095" s="65">
        <f t="shared" si="127"/>
        <v>1.2103746397694521</v>
      </c>
      <c r="N1095" s="37"/>
      <c r="O1095" s="37"/>
      <c r="P1095" s="37">
        <v>0</v>
      </c>
      <c r="Q1095" s="37">
        <v>0</v>
      </c>
      <c r="R1095" s="37" t="s">
        <v>2329</v>
      </c>
      <c r="S1095" s="37"/>
    </row>
    <row r="1096" spans="1:19" x14ac:dyDescent="0.3">
      <c r="A1096" s="37">
        <v>436</v>
      </c>
      <c r="B1096" s="37" t="s">
        <v>2311</v>
      </c>
      <c r="C1096" s="37" t="s">
        <v>258</v>
      </c>
      <c r="D1096" s="37" t="s">
        <v>73</v>
      </c>
      <c r="E1096" s="37" t="s">
        <v>56</v>
      </c>
      <c r="F1096" s="42">
        <v>45657</v>
      </c>
      <c r="G1096" s="37">
        <v>2024</v>
      </c>
      <c r="H1096" s="37" t="s">
        <v>27</v>
      </c>
      <c r="I1096" s="39" t="s">
        <v>36</v>
      </c>
      <c r="J1096" s="37">
        <v>14</v>
      </c>
      <c r="K1096" s="37">
        <v>10.561666666666669</v>
      </c>
      <c r="L1096" s="65">
        <f t="shared" si="126"/>
        <v>1.3</v>
      </c>
      <c r="M1096" s="65">
        <f t="shared" si="127"/>
        <v>1.3255483667350478</v>
      </c>
      <c r="N1096" s="37"/>
      <c r="O1096" s="37"/>
      <c r="P1096" s="37">
        <v>0</v>
      </c>
      <c r="Q1096" s="37">
        <v>0</v>
      </c>
      <c r="R1096" s="37" t="s">
        <v>2335</v>
      </c>
      <c r="S1096" s="37"/>
    </row>
    <row r="1097" spans="1:19" x14ac:dyDescent="0.3">
      <c r="A1097" s="41">
        <v>437</v>
      </c>
      <c r="B1097" s="37" t="s">
        <v>2349</v>
      </c>
      <c r="C1097" s="37" t="s">
        <v>1490</v>
      </c>
      <c r="D1097" s="37" t="s">
        <v>139</v>
      </c>
      <c r="E1097" s="37" t="s">
        <v>22</v>
      </c>
      <c r="F1097" s="42">
        <v>45291</v>
      </c>
      <c r="G1097" s="37">
        <v>2023</v>
      </c>
      <c r="H1097" s="37" t="s">
        <v>27</v>
      </c>
      <c r="I1097" s="39" t="s">
        <v>32</v>
      </c>
      <c r="J1097" s="37">
        <v>80</v>
      </c>
      <c r="K1097" s="37">
        <v>96</v>
      </c>
      <c r="L1097" s="74">
        <f t="shared" si="126"/>
        <v>1.2</v>
      </c>
      <c r="M1097" s="65">
        <f t="shared" si="127"/>
        <v>1.2</v>
      </c>
      <c r="N1097" s="37" t="s">
        <v>25</v>
      </c>
      <c r="O1097" s="37" t="s">
        <v>25</v>
      </c>
      <c r="P1097" s="37">
        <v>0</v>
      </c>
      <c r="Q1097" s="37">
        <v>0</v>
      </c>
      <c r="R1097" s="37" t="s">
        <v>2350</v>
      </c>
      <c r="S1097" s="37"/>
    </row>
    <row r="1098" spans="1:19" x14ac:dyDescent="0.3">
      <c r="A1098" s="37">
        <v>437</v>
      </c>
      <c r="B1098" s="37" t="s">
        <v>2349</v>
      </c>
      <c r="C1098" s="37" t="s">
        <v>1490</v>
      </c>
      <c r="D1098" s="37" t="s">
        <v>139</v>
      </c>
      <c r="E1098" s="37" t="s">
        <v>22</v>
      </c>
      <c r="F1098" s="42">
        <v>45657</v>
      </c>
      <c r="G1098" s="37">
        <v>2024</v>
      </c>
      <c r="H1098" s="37" t="s">
        <v>27</v>
      </c>
      <c r="I1098" s="39" t="s">
        <v>36</v>
      </c>
      <c r="J1098" s="37">
        <v>80</v>
      </c>
      <c r="K1098" s="37">
        <v>84</v>
      </c>
      <c r="L1098" s="65">
        <f t="shared" si="126"/>
        <v>1.05</v>
      </c>
      <c r="M1098" s="65">
        <f t="shared" si="127"/>
        <v>1.05</v>
      </c>
      <c r="N1098" s="37"/>
      <c r="O1098" s="37"/>
      <c r="P1098" s="37">
        <v>0</v>
      </c>
      <c r="Q1098" s="37">
        <v>0</v>
      </c>
      <c r="R1098" s="37" t="s">
        <v>2351</v>
      </c>
      <c r="S1098" s="37"/>
    </row>
    <row r="1099" spans="1:19" x14ac:dyDescent="0.3">
      <c r="A1099" s="41">
        <v>438</v>
      </c>
      <c r="B1099" s="37" t="s">
        <v>2352</v>
      </c>
      <c r="C1099" s="37" t="s">
        <v>3529</v>
      </c>
      <c r="D1099" s="37" t="s">
        <v>21</v>
      </c>
      <c r="E1099" s="37" t="s">
        <v>22</v>
      </c>
      <c r="F1099" s="42">
        <v>45291</v>
      </c>
      <c r="G1099" s="37">
        <v>2023</v>
      </c>
      <c r="H1099" s="37" t="s">
        <v>27</v>
      </c>
      <c r="I1099" s="39" t="s">
        <v>32</v>
      </c>
      <c r="J1099" s="37">
        <v>100</v>
      </c>
      <c r="K1099" s="37">
        <v>100</v>
      </c>
      <c r="L1099" s="74">
        <f t="shared" si="126"/>
        <v>1</v>
      </c>
      <c r="M1099" s="65">
        <f t="shared" si="127"/>
        <v>1</v>
      </c>
      <c r="N1099" s="37"/>
      <c r="O1099" s="37"/>
      <c r="P1099" s="37">
        <v>0</v>
      </c>
      <c r="Q1099" s="37">
        <v>0</v>
      </c>
      <c r="R1099" s="37" t="s">
        <v>2353</v>
      </c>
      <c r="S1099" s="37"/>
    </row>
    <row r="1100" spans="1:19" x14ac:dyDescent="0.3">
      <c r="A1100" s="41">
        <v>439</v>
      </c>
      <c r="B1100" s="37" t="s">
        <v>2354</v>
      </c>
      <c r="C1100" s="37" t="s">
        <v>3529</v>
      </c>
      <c r="D1100" s="37" t="s">
        <v>21</v>
      </c>
      <c r="E1100" s="37" t="s">
        <v>22</v>
      </c>
      <c r="F1100" s="42">
        <v>45291</v>
      </c>
      <c r="G1100" s="37">
        <v>2023</v>
      </c>
      <c r="H1100" s="37" t="s">
        <v>27</v>
      </c>
      <c r="I1100" s="39" t="s">
        <v>32</v>
      </c>
      <c r="J1100" s="37">
        <v>100</v>
      </c>
      <c r="K1100" s="37">
        <v>100</v>
      </c>
      <c r="L1100" s="74">
        <f t="shared" si="126"/>
        <v>1</v>
      </c>
      <c r="M1100" s="65">
        <f t="shared" si="127"/>
        <v>1</v>
      </c>
      <c r="N1100" s="37"/>
      <c r="O1100" s="37"/>
      <c r="P1100" s="37">
        <v>0</v>
      </c>
      <c r="Q1100" s="37">
        <v>0</v>
      </c>
      <c r="R1100" s="37" t="s">
        <v>2356</v>
      </c>
      <c r="S1100" s="37"/>
    </row>
    <row r="1101" spans="1:19" x14ac:dyDescent="0.3">
      <c r="A1101" s="37">
        <v>439</v>
      </c>
      <c r="B1101" s="37" t="s">
        <v>2354</v>
      </c>
      <c r="C1101" s="37" t="s">
        <v>1801</v>
      </c>
      <c r="D1101" s="37" t="s">
        <v>21</v>
      </c>
      <c r="E1101" s="37" t="s">
        <v>22</v>
      </c>
      <c r="F1101" s="42">
        <v>45473</v>
      </c>
      <c r="G1101" s="37">
        <v>2024</v>
      </c>
      <c r="H1101" s="37" t="s">
        <v>23</v>
      </c>
      <c r="I1101" s="39" t="s">
        <v>34</v>
      </c>
      <c r="J1101" s="37">
        <v>100</v>
      </c>
      <c r="K1101" s="37">
        <v>100</v>
      </c>
      <c r="L1101" s="65">
        <f t="shared" si="126"/>
        <v>1</v>
      </c>
      <c r="M1101" s="65">
        <f t="shared" si="127"/>
        <v>1</v>
      </c>
      <c r="N1101" s="37"/>
      <c r="O1101" s="37"/>
      <c r="P1101" s="37">
        <v>0</v>
      </c>
      <c r="Q1101" s="37">
        <v>0</v>
      </c>
      <c r="R1101" s="37" t="s">
        <v>2357</v>
      </c>
      <c r="S1101" s="37"/>
    </row>
    <row r="1102" spans="1:19" x14ac:dyDescent="0.3">
      <c r="A1102" s="37">
        <v>439</v>
      </c>
      <c r="B1102" s="37" t="s">
        <v>2354</v>
      </c>
      <c r="C1102" s="37" t="s">
        <v>1801</v>
      </c>
      <c r="D1102" s="37" t="s">
        <v>21</v>
      </c>
      <c r="E1102" s="37" t="s">
        <v>22</v>
      </c>
      <c r="F1102" s="42">
        <v>45657</v>
      </c>
      <c r="G1102" s="37">
        <v>2024</v>
      </c>
      <c r="H1102" s="37" t="s">
        <v>27</v>
      </c>
      <c r="I1102" s="39" t="s">
        <v>36</v>
      </c>
      <c r="J1102" s="37">
        <v>100</v>
      </c>
      <c r="K1102" s="37">
        <v>100</v>
      </c>
      <c r="L1102" s="65">
        <f t="shared" si="126"/>
        <v>1</v>
      </c>
      <c r="M1102" s="65">
        <f t="shared" si="127"/>
        <v>1</v>
      </c>
      <c r="N1102" s="37"/>
      <c r="O1102" s="37"/>
      <c r="P1102" s="37">
        <v>0</v>
      </c>
      <c r="Q1102" s="37">
        <v>0</v>
      </c>
      <c r="R1102" s="37" t="s">
        <v>2358</v>
      </c>
      <c r="S1102" s="37"/>
    </row>
    <row r="1103" spans="1:19" x14ac:dyDescent="0.3">
      <c r="A1103" s="41">
        <v>440</v>
      </c>
      <c r="B1103" s="37" t="s">
        <v>2361</v>
      </c>
      <c r="C1103" s="37" t="s">
        <v>3529</v>
      </c>
      <c r="D1103" s="37" t="s">
        <v>21</v>
      </c>
      <c r="E1103" s="37" t="s">
        <v>22</v>
      </c>
      <c r="F1103" s="42">
        <v>45291</v>
      </c>
      <c r="G1103" s="37">
        <v>2023</v>
      </c>
      <c r="H1103" s="37" t="s">
        <v>27</v>
      </c>
      <c r="I1103" s="39" t="s">
        <v>32</v>
      </c>
      <c r="J1103" s="37">
        <v>98</v>
      </c>
      <c r="K1103" s="37">
        <v>97.746062537526996</v>
      </c>
      <c r="L1103" s="74">
        <f t="shared" ref="L1103:L1111" si="128">IFERROR(IF(OR(J1103=0,K1103=""),"",IF(E1103="Positivo",MIN(MAX(K1103/J1103,0),1.3),MIN(MAX(J1103/K1103,0),1.3))),"")</f>
        <v>0.99740880140333665</v>
      </c>
      <c r="M1103" s="65">
        <f t="shared" ref="M1103:M1111" si="129">IFERROR(IF(OR(J1103=0,K1103=""),"",IF(E1103="Positivo",MAX(K1103/J1103,0),MAX(J1103/K1103,0))),"")</f>
        <v>0.99740880140333665</v>
      </c>
      <c r="N1103" s="37"/>
      <c r="O1103" s="37"/>
      <c r="P1103" s="37">
        <v>1</v>
      </c>
      <c r="Q1103" s="37">
        <v>1</v>
      </c>
      <c r="R1103" s="37" t="s">
        <v>2363</v>
      </c>
      <c r="S1103" s="37"/>
    </row>
    <row r="1104" spans="1:19" x14ac:dyDescent="0.3">
      <c r="A1104" s="37">
        <v>440</v>
      </c>
      <c r="B1104" s="37" t="s">
        <v>2361</v>
      </c>
      <c r="C1104" s="37" t="s">
        <v>1801</v>
      </c>
      <c r="D1104" s="37" t="s">
        <v>21</v>
      </c>
      <c r="E1104" s="37" t="s">
        <v>22</v>
      </c>
      <c r="F1104" s="42">
        <v>45473</v>
      </c>
      <c r="G1104" s="37">
        <v>2024</v>
      </c>
      <c r="H1104" s="37" t="s">
        <v>23</v>
      </c>
      <c r="I1104" s="39" t="s">
        <v>34</v>
      </c>
      <c r="J1104" s="37">
        <v>98</v>
      </c>
      <c r="K1104" s="37">
        <v>99.73</v>
      </c>
      <c r="L1104" s="65">
        <f t="shared" si="128"/>
        <v>1.0176530612244898</v>
      </c>
      <c r="M1104" s="65">
        <f t="shared" si="129"/>
        <v>1.0176530612244898</v>
      </c>
      <c r="N1104" s="37"/>
      <c r="O1104" s="37"/>
      <c r="P1104" s="37">
        <v>0</v>
      </c>
      <c r="Q1104" s="37">
        <v>0</v>
      </c>
      <c r="R1104" s="37" t="s">
        <v>2364</v>
      </c>
      <c r="S1104" s="37"/>
    </row>
    <row r="1105" spans="1:19" x14ac:dyDescent="0.3">
      <c r="A1105" s="37">
        <v>440</v>
      </c>
      <c r="B1105" s="37" t="s">
        <v>2361</v>
      </c>
      <c r="C1105" s="37" t="s">
        <v>1801</v>
      </c>
      <c r="D1105" s="37" t="s">
        <v>21</v>
      </c>
      <c r="E1105" s="37" t="s">
        <v>22</v>
      </c>
      <c r="F1105" s="42">
        <v>45657</v>
      </c>
      <c r="G1105" s="37">
        <v>2024</v>
      </c>
      <c r="H1105" s="37" t="s">
        <v>27</v>
      </c>
      <c r="I1105" s="39" t="s">
        <v>36</v>
      </c>
      <c r="J1105" s="37">
        <v>98</v>
      </c>
      <c r="K1105" s="37">
        <v>99.24</v>
      </c>
      <c r="L1105" s="65">
        <f t="shared" si="128"/>
        <v>1.0126530612244897</v>
      </c>
      <c r="M1105" s="65">
        <f t="shared" si="129"/>
        <v>1.0126530612244897</v>
      </c>
      <c r="N1105" s="37"/>
      <c r="O1105" s="37"/>
      <c r="P1105" s="37">
        <v>0</v>
      </c>
      <c r="Q1105" s="37">
        <v>0</v>
      </c>
      <c r="R1105" s="37" t="s">
        <v>2365</v>
      </c>
      <c r="S1105" s="37"/>
    </row>
    <row r="1106" spans="1:19" x14ac:dyDescent="0.3">
      <c r="A1106" s="37">
        <v>441</v>
      </c>
      <c r="B1106" s="37" t="s">
        <v>2368</v>
      </c>
      <c r="C1106" s="37" t="s">
        <v>1096</v>
      </c>
      <c r="D1106" s="37" t="s">
        <v>73</v>
      </c>
      <c r="E1106" s="37" t="s">
        <v>22</v>
      </c>
      <c r="F1106" s="42">
        <v>45473</v>
      </c>
      <c r="G1106" s="37">
        <v>2024</v>
      </c>
      <c r="H1106" s="37" t="s">
        <v>23</v>
      </c>
      <c r="I1106" s="39" t="s">
        <v>34</v>
      </c>
      <c r="J1106" s="37">
        <v>90</v>
      </c>
      <c r="K1106" s="37">
        <v>97.31</v>
      </c>
      <c r="L1106" s="65">
        <f t="shared" si="128"/>
        <v>1.0812222222222223</v>
      </c>
      <c r="M1106" s="65">
        <f t="shared" si="129"/>
        <v>1.0812222222222223</v>
      </c>
      <c r="N1106" s="37"/>
      <c r="O1106" s="37"/>
      <c r="P1106" s="37">
        <v>0</v>
      </c>
      <c r="Q1106" s="37">
        <v>0</v>
      </c>
      <c r="R1106" s="37" t="s">
        <v>2374</v>
      </c>
      <c r="S1106" s="37"/>
    </row>
    <row r="1107" spans="1:19" x14ac:dyDescent="0.3">
      <c r="A1107" s="37">
        <v>441</v>
      </c>
      <c r="B1107" s="37" t="s">
        <v>2368</v>
      </c>
      <c r="C1107" s="37" t="s">
        <v>1096</v>
      </c>
      <c r="D1107" s="37" t="s">
        <v>73</v>
      </c>
      <c r="E1107" s="37" t="s">
        <v>22</v>
      </c>
      <c r="F1107" s="42">
        <v>45657</v>
      </c>
      <c r="G1107" s="37">
        <v>2024</v>
      </c>
      <c r="H1107" s="37" t="s">
        <v>27</v>
      </c>
      <c r="I1107" s="39" t="s">
        <v>36</v>
      </c>
      <c r="J1107" s="37">
        <v>90</v>
      </c>
      <c r="K1107" s="37">
        <v>99.919935948759004</v>
      </c>
      <c r="L1107" s="65">
        <f t="shared" si="128"/>
        <v>1.1102215105417668</v>
      </c>
      <c r="M1107" s="65">
        <f t="shared" si="129"/>
        <v>1.1102215105417668</v>
      </c>
      <c r="N1107" s="37"/>
      <c r="O1107" s="37"/>
      <c r="P1107" s="37">
        <v>0</v>
      </c>
      <c r="Q1107" s="37">
        <v>0</v>
      </c>
      <c r="R1107" s="37" t="s">
        <v>2380</v>
      </c>
      <c r="S1107" s="37"/>
    </row>
    <row r="1108" spans="1:19" x14ac:dyDescent="0.3">
      <c r="A1108" s="37">
        <v>442</v>
      </c>
      <c r="B1108" s="37" t="s">
        <v>2381</v>
      </c>
      <c r="C1108" s="37" t="s">
        <v>454</v>
      </c>
      <c r="D1108" s="37" t="s">
        <v>21</v>
      </c>
      <c r="E1108" s="37" t="s">
        <v>22</v>
      </c>
      <c r="F1108" s="42">
        <v>45473</v>
      </c>
      <c r="G1108" s="37">
        <v>2024</v>
      </c>
      <c r="H1108" s="37" t="s">
        <v>23</v>
      </c>
      <c r="I1108" s="39" t="s">
        <v>34</v>
      </c>
      <c r="J1108" s="37">
        <v>100</v>
      </c>
      <c r="K1108" s="37">
        <v>80</v>
      </c>
      <c r="L1108" s="65">
        <f t="shared" si="128"/>
        <v>0.8</v>
      </c>
      <c r="M1108" s="65">
        <f t="shared" si="129"/>
        <v>0.8</v>
      </c>
      <c r="N1108" s="37"/>
      <c r="O1108" s="37"/>
      <c r="P1108" s="37">
        <v>0</v>
      </c>
      <c r="Q1108" s="37">
        <v>0</v>
      </c>
      <c r="R1108" s="37" t="s">
        <v>2382</v>
      </c>
      <c r="S1108" s="37"/>
    </row>
    <row r="1109" spans="1:19" x14ac:dyDescent="0.3">
      <c r="A1109" s="37">
        <v>442</v>
      </c>
      <c r="B1109" s="37" t="s">
        <v>2381</v>
      </c>
      <c r="C1109" s="37" t="s">
        <v>454</v>
      </c>
      <c r="D1109" s="37" t="s">
        <v>21</v>
      </c>
      <c r="E1109" s="37" t="s">
        <v>22</v>
      </c>
      <c r="F1109" s="42">
        <v>45657</v>
      </c>
      <c r="G1109" s="37">
        <v>2024</v>
      </c>
      <c r="H1109" s="37" t="s">
        <v>27</v>
      </c>
      <c r="I1109" s="39" t="s">
        <v>36</v>
      </c>
      <c r="J1109" s="37">
        <v>100</v>
      </c>
      <c r="K1109" s="37">
        <v>145</v>
      </c>
      <c r="L1109" s="65">
        <f t="shared" si="128"/>
        <v>1.3</v>
      </c>
      <c r="M1109" s="65">
        <f t="shared" si="129"/>
        <v>1.45</v>
      </c>
      <c r="N1109" s="37"/>
      <c r="O1109" s="37"/>
      <c r="P1109" s="37">
        <v>0</v>
      </c>
      <c r="Q1109" s="37">
        <v>0</v>
      </c>
      <c r="R1109" s="37" t="s">
        <v>2383</v>
      </c>
      <c r="S1109" s="37"/>
    </row>
    <row r="1110" spans="1:19" x14ac:dyDescent="0.3">
      <c r="A1110" s="37">
        <v>443</v>
      </c>
      <c r="B1110" s="37" t="s">
        <v>2384</v>
      </c>
      <c r="C1110" s="37" t="s">
        <v>454</v>
      </c>
      <c r="D1110" s="37" t="s">
        <v>21</v>
      </c>
      <c r="E1110" s="37" t="s">
        <v>22</v>
      </c>
      <c r="F1110" s="42">
        <v>45473</v>
      </c>
      <c r="G1110" s="37">
        <v>2024</v>
      </c>
      <c r="H1110" s="37" t="s">
        <v>23</v>
      </c>
      <c r="I1110" s="39" t="s">
        <v>34</v>
      </c>
      <c r="J1110" s="37">
        <v>100</v>
      </c>
      <c r="K1110" s="37">
        <v>114.33</v>
      </c>
      <c r="L1110" s="65">
        <f t="shared" si="128"/>
        <v>1.1433</v>
      </c>
      <c r="M1110" s="65">
        <f t="shared" si="129"/>
        <v>1.1433</v>
      </c>
      <c r="N1110" s="37"/>
      <c r="O1110" s="37"/>
      <c r="P1110" s="37">
        <v>0</v>
      </c>
      <c r="Q1110" s="37">
        <v>0</v>
      </c>
      <c r="R1110" s="37" t="s">
        <v>2385</v>
      </c>
      <c r="S1110" s="37"/>
    </row>
    <row r="1111" spans="1:19" x14ac:dyDescent="0.3">
      <c r="A1111" s="37">
        <v>443</v>
      </c>
      <c r="B1111" s="37" t="s">
        <v>2384</v>
      </c>
      <c r="C1111" s="37" t="s">
        <v>454</v>
      </c>
      <c r="D1111" s="37" t="s">
        <v>21</v>
      </c>
      <c r="E1111" s="37" t="s">
        <v>22</v>
      </c>
      <c r="F1111" s="42">
        <v>45657</v>
      </c>
      <c r="G1111" s="37">
        <v>2024</v>
      </c>
      <c r="H1111" s="37" t="s">
        <v>27</v>
      </c>
      <c r="I1111" s="39" t="s">
        <v>36</v>
      </c>
      <c r="J1111" s="37">
        <v>100</v>
      </c>
      <c r="K1111" s="37">
        <v>209</v>
      </c>
      <c r="L1111" s="65">
        <f t="shared" si="128"/>
        <v>1.3</v>
      </c>
      <c r="M1111" s="65">
        <f t="shared" si="129"/>
        <v>2.09</v>
      </c>
      <c r="N1111" s="37"/>
      <c r="O1111" s="37"/>
      <c r="P1111" s="37">
        <v>0</v>
      </c>
      <c r="Q1111" s="37">
        <v>0</v>
      </c>
      <c r="R1111" s="37" t="s">
        <v>2386</v>
      </c>
      <c r="S1111" s="37"/>
    </row>
    <row r="1112" spans="1:19" x14ac:dyDescent="0.3">
      <c r="A1112" s="37">
        <v>444</v>
      </c>
      <c r="B1112" s="37" t="s">
        <v>2387</v>
      </c>
      <c r="C1112" s="37" t="s">
        <v>1215</v>
      </c>
      <c r="D1112" s="37" t="s">
        <v>21</v>
      </c>
      <c r="E1112" s="37" t="s">
        <v>22</v>
      </c>
      <c r="F1112" s="42">
        <v>45473</v>
      </c>
      <c r="G1112" s="37">
        <v>2024</v>
      </c>
      <c r="H1112" s="37" t="s">
        <v>23</v>
      </c>
      <c r="I1112" s="39" t="s">
        <v>34</v>
      </c>
      <c r="J1112" s="37"/>
      <c r="K1112" s="37"/>
      <c r="L1112" s="65"/>
      <c r="M1112" s="65"/>
      <c r="N1112" s="37"/>
      <c r="O1112" s="37"/>
      <c r="P1112" s="37">
        <v>0</v>
      </c>
      <c r="Q1112" s="37">
        <v>0</v>
      </c>
      <c r="R1112" s="37" t="s">
        <v>3541</v>
      </c>
      <c r="S1112" s="37"/>
    </row>
    <row r="1113" spans="1:19" x14ac:dyDescent="0.3">
      <c r="A1113" s="37">
        <v>444</v>
      </c>
      <c r="B1113" s="37" t="s">
        <v>2387</v>
      </c>
      <c r="C1113" s="37" t="s">
        <v>1215</v>
      </c>
      <c r="D1113" s="37" t="s">
        <v>21</v>
      </c>
      <c r="E1113" s="37" t="s">
        <v>22</v>
      </c>
      <c r="F1113" s="42">
        <v>45657</v>
      </c>
      <c r="G1113" s="37">
        <v>2024</v>
      </c>
      <c r="H1113" s="37" t="s">
        <v>27</v>
      </c>
      <c r="I1113" s="39" t="s">
        <v>36</v>
      </c>
      <c r="J1113" s="37">
        <v>0</v>
      </c>
      <c r="K1113" s="37">
        <v>2.1</v>
      </c>
      <c r="L1113" s="65" t="str">
        <f t="shared" ref="L1113:L1127" si="130">IFERROR(IF(OR(J1113=0,K1113=""),"",IF(E1113="Positivo",MIN(MAX(K1113/J1113,0),1.3),MIN(MAX(J1113/K1113,0),1.3))),"")</f>
        <v/>
      </c>
      <c r="M1113" s="65" t="str">
        <f t="shared" ref="M1113:M1127" si="131">IFERROR(IF(OR(J1113=0,K1113=""),"",IF(E1113="Positivo",MAX(K1113/J1113,0),MAX(J1113/K1113,0))),"")</f>
        <v/>
      </c>
      <c r="N1113" s="37"/>
      <c r="O1113" s="37"/>
      <c r="P1113" s="37">
        <v>0</v>
      </c>
      <c r="Q1113" s="37">
        <v>0</v>
      </c>
      <c r="R1113" s="37" t="s">
        <v>2388</v>
      </c>
      <c r="S1113" s="37"/>
    </row>
    <row r="1114" spans="1:19" x14ac:dyDescent="0.3">
      <c r="A1114" s="37">
        <v>445</v>
      </c>
      <c r="B1114" s="37" t="s">
        <v>2389</v>
      </c>
      <c r="C1114" s="37" t="s">
        <v>1215</v>
      </c>
      <c r="D1114" s="37" t="s">
        <v>21</v>
      </c>
      <c r="E1114" s="37" t="s">
        <v>22</v>
      </c>
      <c r="F1114" s="42">
        <v>45473</v>
      </c>
      <c r="G1114" s="37">
        <v>2024</v>
      </c>
      <c r="H1114" s="37" t="s">
        <v>23</v>
      </c>
      <c r="I1114" s="39" t="s">
        <v>34</v>
      </c>
      <c r="J1114" s="37">
        <v>67.5</v>
      </c>
      <c r="K1114" s="37">
        <v>55.2</v>
      </c>
      <c r="L1114" s="65">
        <f t="shared" si="130"/>
        <v>0.81777777777777783</v>
      </c>
      <c r="M1114" s="65">
        <f t="shared" si="131"/>
        <v>0.81777777777777783</v>
      </c>
      <c r="N1114" s="37"/>
      <c r="O1114" s="37"/>
      <c r="P1114" s="37">
        <v>0</v>
      </c>
      <c r="Q1114" s="37">
        <v>0</v>
      </c>
      <c r="R1114" s="37" t="s">
        <v>2390</v>
      </c>
      <c r="S1114" s="37"/>
    </row>
    <row r="1115" spans="1:19" x14ac:dyDescent="0.3">
      <c r="A1115" s="37">
        <v>445</v>
      </c>
      <c r="B1115" s="37" t="s">
        <v>2389</v>
      </c>
      <c r="C1115" s="37" t="s">
        <v>1215</v>
      </c>
      <c r="D1115" s="37" t="s">
        <v>21</v>
      </c>
      <c r="E1115" s="37" t="s">
        <v>22</v>
      </c>
      <c r="F1115" s="42">
        <v>45657</v>
      </c>
      <c r="G1115" s="37">
        <v>2024</v>
      </c>
      <c r="H1115" s="37" t="s">
        <v>27</v>
      </c>
      <c r="I1115" s="39" t="s">
        <v>36</v>
      </c>
      <c r="J1115" s="37">
        <v>67.5</v>
      </c>
      <c r="K1115" s="37">
        <v>86.5</v>
      </c>
      <c r="L1115" s="65">
        <f t="shared" si="130"/>
        <v>1.2814814814814814</v>
      </c>
      <c r="M1115" s="65">
        <f t="shared" si="131"/>
        <v>1.2814814814814814</v>
      </c>
      <c r="N1115" s="37"/>
      <c r="O1115" s="37"/>
      <c r="P1115" s="37">
        <v>0</v>
      </c>
      <c r="Q1115" s="37">
        <v>0</v>
      </c>
      <c r="R1115" s="37" t="s">
        <v>2391</v>
      </c>
      <c r="S1115" s="37"/>
    </row>
    <row r="1116" spans="1:19" x14ac:dyDescent="0.3">
      <c r="A1116" s="37">
        <v>447</v>
      </c>
      <c r="B1116" s="37" t="s">
        <v>1481</v>
      </c>
      <c r="C1116" s="37" t="s">
        <v>461</v>
      </c>
      <c r="D1116" s="37" t="s">
        <v>21</v>
      </c>
      <c r="E1116" s="37" t="s">
        <v>22</v>
      </c>
      <c r="F1116" s="42">
        <v>45473</v>
      </c>
      <c r="G1116" s="37">
        <v>2024</v>
      </c>
      <c r="H1116" s="37" t="s">
        <v>23</v>
      </c>
      <c r="I1116" s="39" t="s">
        <v>34</v>
      </c>
      <c r="J1116" s="37">
        <v>15</v>
      </c>
      <c r="K1116" s="37">
        <v>31.04</v>
      </c>
      <c r="L1116" s="65">
        <f t="shared" si="130"/>
        <v>1.3</v>
      </c>
      <c r="M1116" s="65">
        <f t="shared" si="131"/>
        <v>2.0693333333333332</v>
      </c>
      <c r="N1116" s="37"/>
      <c r="O1116" s="37"/>
      <c r="P1116" s="37">
        <v>0</v>
      </c>
      <c r="Q1116" s="37">
        <v>0</v>
      </c>
      <c r="R1116" s="37" t="s">
        <v>2392</v>
      </c>
      <c r="S1116" s="37"/>
    </row>
    <row r="1117" spans="1:19" x14ac:dyDescent="0.3">
      <c r="A1117" s="37">
        <v>447</v>
      </c>
      <c r="B1117" s="37" t="s">
        <v>1481</v>
      </c>
      <c r="C1117" s="37" t="s">
        <v>461</v>
      </c>
      <c r="D1117" s="37" t="s">
        <v>21</v>
      </c>
      <c r="E1117" s="37" t="s">
        <v>22</v>
      </c>
      <c r="F1117" s="42">
        <v>45657</v>
      </c>
      <c r="G1117" s="37">
        <v>2024</v>
      </c>
      <c r="H1117" s="37" t="s">
        <v>27</v>
      </c>
      <c r="I1117" s="39" t="s">
        <v>36</v>
      </c>
      <c r="J1117" s="37">
        <v>15</v>
      </c>
      <c r="K1117" s="37">
        <v>16.16</v>
      </c>
      <c r="L1117" s="65">
        <f t="shared" si="130"/>
        <v>1.0773333333333333</v>
      </c>
      <c r="M1117" s="65">
        <f t="shared" si="131"/>
        <v>1.0773333333333333</v>
      </c>
      <c r="N1117" s="37"/>
      <c r="O1117" s="37"/>
      <c r="P1117" s="37">
        <v>0</v>
      </c>
      <c r="Q1117" s="37">
        <v>0</v>
      </c>
      <c r="R1117" s="37" t="s">
        <v>2393</v>
      </c>
      <c r="S1117" s="37"/>
    </row>
    <row r="1118" spans="1:19" x14ac:dyDescent="0.3">
      <c r="A1118" s="37">
        <v>448</v>
      </c>
      <c r="B1118" s="37" t="s">
        <v>2394</v>
      </c>
      <c r="C1118" s="37" t="s">
        <v>461</v>
      </c>
      <c r="D1118" s="37" t="s">
        <v>21</v>
      </c>
      <c r="E1118" s="37" t="s">
        <v>22</v>
      </c>
      <c r="F1118" s="42">
        <v>45473</v>
      </c>
      <c r="G1118" s="37">
        <v>2024</v>
      </c>
      <c r="H1118" s="37" t="s">
        <v>23</v>
      </c>
      <c r="I1118" s="39" t="s">
        <v>34</v>
      </c>
      <c r="J1118" s="37">
        <v>9</v>
      </c>
      <c r="K1118" s="37">
        <v>18.93</v>
      </c>
      <c r="L1118" s="65">
        <f t="shared" si="130"/>
        <v>1.3</v>
      </c>
      <c r="M1118" s="65">
        <f t="shared" si="131"/>
        <v>2.1033333333333335</v>
      </c>
      <c r="N1118" s="37"/>
      <c r="O1118" s="37"/>
      <c r="P1118" s="37">
        <v>0</v>
      </c>
      <c r="Q1118" s="37">
        <v>0</v>
      </c>
      <c r="R1118" s="37" t="s">
        <v>2395</v>
      </c>
      <c r="S1118" s="37"/>
    </row>
    <row r="1119" spans="1:19" x14ac:dyDescent="0.3">
      <c r="A1119" s="37">
        <v>448</v>
      </c>
      <c r="B1119" s="37" t="s">
        <v>2394</v>
      </c>
      <c r="C1119" s="37" t="s">
        <v>461</v>
      </c>
      <c r="D1119" s="37" t="s">
        <v>21</v>
      </c>
      <c r="E1119" s="37" t="s">
        <v>22</v>
      </c>
      <c r="F1119" s="42">
        <v>45657</v>
      </c>
      <c r="G1119" s="37">
        <v>2024</v>
      </c>
      <c r="H1119" s="37" t="s">
        <v>27</v>
      </c>
      <c r="I1119" s="39" t="s">
        <v>36</v>
      </c>
      <c r="J1119" s="37">
        <v>9</v>
      </c>
      <c r="K1119" s="37">
        <v>9.32</v>
      </c>
      <c r="L1119" s="65">
        <f t="shared" si="130"/>
        <v>1.0355555555555556</v>
      </c>
      <c r="M1119" s="65">
        <f t="shared" si="131"/>
        <v>1.0355555555555556</v>
      </c>
      <c r="N1119" s="37"/>
      <c r="O1119" s="37"/>
      <c r="P1119" s="37">
        <v>0</v>
      </c>
      <c r="Q1119" s="37">
        <v>0</v>
      </c>
      <c r="R1119" s="37" t="s">
        <v>2396</v>
      </c>
      <c r="S1119" s="37"/>
    </row>
    <row r="1120" spans="1:19" x14ac:dyDescent="0.3">
      <c r="A1120" s="37">
        <v>449</v>
      </c>
      <c r="B1120" s="37" t="s">
        <v>2397</v>
      </c>
      <c r="C1120" s="37" t="s">
        <v>1490</v>
      </c>
      <c r="D1120" s="37" t="s">
        <v>39</v>
      </c>
      <c r="E1120" s="37" t="s">
        <v>22</v>
      </c>
      <c r="F1120" s="42">
        <v>45473</v>
      </c>
      <c r="G1120" s="37">
        <v>2024</v>
      </c>
      <c r="H1120" s="37" t="s">
        <v>23</v>
      </c>
      <c r="I1120" s="39" t="s">
        <v>34</v>
      </c>
      <c r="J1120" s="37">
        <v>40</v>
      </c>
      <c r="K1120" s="37">
        <v>53.85</v>
      </c>
      <c r="L1120" s="65">
        <f t="shared" si="130"/>
        <v>1.3</v>
      </c>
      <c r="M1120" s="65">
        <f t="shared" si="131"/>
        <v>1.3462499999999999</v>
      </c>
      <c r="N1120" s="37"/>
      <c r="O1120" s="37"/>
      <c r="P1120" s="37">
        <v>0</v>
      </c>
      <c r="Q1120" s="37">
        <v>0</v>
      </c>
      <c r="R1120" s="37" t="s">
        <v>3542</v>
      </c>
      <c r="S1120" s="37"/>
    </row>
    <row r="1121" spans="1:19" x14ac:dyDescent="0.3">
      <c r="A1121" s="37">
        <v>449</v>
      </c>
      <c r="B1121" s="37" t="s">
        <v>2397</v>
      </c>
      <c r="C1121" s="37" t="s">
        <v>1490</v>
      </c>
      <c r="D1121" s="37" t="s">
        <v>39</v>
      </c>
      <c r="E1121" s="37" t="s">
        <v>22</v>
      </c>
      <c r="F1121" s="42">
        <v>45657</v>
      </c>
      <c r="G1121" s="37">
        <v>2024</v>
      </c>
      <c r="H1121" s="37" t="s">
        <v>27</v>
      </c>
      <c r="I1121" s="39" t="s">
        <v>36</v>
      </c>
      <c r="J1121" s="37">
        <v>100</v>
      </c>
      <c r="K1121" s="37">
        <v>100</v>
      </c>
      <c r="L1121" s="65">
        <f t="shared" si="130"/>
        <v>1</v>
      </c>
      <c r="M1121" s="65">
        <f t="shared" si="131"/>
        <v>1</v>
      </c>
      <c r="N1121" s="37"/>
      <c r="O1121" s="37"/>
      <c r="P1121" s="37">
        <v>0</v>
      </c>
      <c r="Q1121" s="37">
        <v>0</v>
      </c>
      <c r="R1121" s="37" t="s">
        <v>2400</v>
      </c>
      <c r="S1121" s="37"/>
    </row>
    <row r="1122" spans="1:19" x14ac:dyDescent="0.3">
      <c r="A1122" s="37">
        <v>451</v>
      </c>
      <c r="B1122" s="37" t="s">
        <v>2401</v>
      </c>
      <c r="C1122" s="37" t="s">
        <v>1998</v>
      </c>
      <c r="D1122" s="37" t="s">
        <v>21</v>
      </c>
      <c r="E1122" s="37" t="s">
        <v>22</v>
      </c>
      <c r="F1122" s="42">
        <v>45473</v>
      </c>
      <c r="G1122" s="37">
        <v>2024</v>
      </c>
      <c r="H1122" s="37" t="s">
        <v>23</v>
      </c>
      <c r="I1122" s="39" t="s">
        <v>34</v>
      </c>
      <c r="J1122" s="37">
        <v>0</v>
      </c>
      <c r="K1122" s="37">
        <v>34.9</v>
      </c>
      <c r="L1122" s="65" t="str">
        <f t="shared" si="130"/>
        <v/>
      </c>
      <c r="M1122" s="65" t="str">
        <f t="shared" si="131"/>
        <v/>
      </c>
      <c r="N1122" s="37"/>
      <c r="O1122" s="37"/>
      <c r="P1122" s="37">
        <v>0</v>
      </c>
      <c r="Q1122" s="37">
        <v>0</v>
      </c>
      <c r="R1122" s="37" t="s">
        <v>2402</v>
      </c>
      <c r="S1122" s="37"/>
    </row>
    <row r="1123" spans="1:19" x14ac:dyDescent="0.3">
      <c r="A1123" s="37">
        <v>451</v>
      </c>
      <c r="B1123" s="37" t="s">
        <v>2401</v>
      </c>
      <c r="C1123" s="37" t="s">
        <v>1998</v>
      </c>
      <c r="D1123" s="37" t="s">
        <v>21</v>
      </c>
      <c r="E1123" s="37" t="s">
        <v>22</v>
      </c>
      <c r="F1123" s="42">
        <v>45657</v>
      </c>
      <c r="G1123" s="37">
        <v>2024</v>
      </c>
      <c r="H1123" s="37" t="s">
        <v>27</v>
      </c>
      <c r="I1123" s="39" t="s">
        <v>36</v>
      </c>
      <c r="J1123" s="37">
        <v>0</v>
      </c>
      <c r="K1123" s="37">
        <v>42.7</v>
      </c>
      <c r="L1123" s="65" t="str">
        <f t="shared" si="130"/>
        <v/>
      </c>
      <c r="M1123" s="65" t="str">
        <f t="shared" si="131"/>
        <v/>
      </c>
      <c r="N1123" s="37"/>
      <c r="O1123" s="37"/>
      <c r="P1123" s="37">
        <v>0</v>
      </c>
      <c r="Q1123" s="37">
        <v>0</v>
      </c>
      <c r="R1123" s="37" t="s">
        <v>2403</v>
      </c>
      <c r="S1123" s="37"/>
    </row>
    <row r="1124" spans="1:19" x14ac:dyDescent="0.3">
      <c r="A1124" s="37">
        <v>452</v>
      </c>
      <c r="B1124" s="37" t="s">
        <v>2405</v>
      </c>
      <c r="C1124" s="37" t="s">
        <v>1998</v>
      </c>
      <c r="D1124" s="37" t="s">
        <v>21</v>
      </c>
      <c r="E1124" s="37" t="s">
        <v>22</v>
      </c>
      <c r="F1124" s="42">
        <v>45473</v>
      </c>
      <c r="G1124" s="37">
        <v>2024</v>
      </c>
      <c r="H1124" s="37" t="s">
        <v>23</v>
      </c>
      <c r="I1124" s="39" t="s">
        <v>34</v>
      </c>
      <c r="J1124" s="37">
        <v>42</v>
      </c>
      <c r="K1124" s="37">
        <v>42</v>
      </c>
      <c r="L1124" s="65">
        <f t="shared" si="130"/>
        <v>1</v>
      </c>
      <c r="M1124" s="65">
        <f t="shared" si="131"/>
        <v>1</v>
      </c>
      <c r="N1124" s="37"/>
      <c r="O1124" s="37"/>
      <c r="P1124" s="37">
        <v>0</v>
      </c>
      <c r="Q1124" s="37">
        <v>0</v>
      </c>
      <c r="R1124" s="37" t="s">
        <v>2406</v>
      </c>
      <c r="S1124" s="37"/>
    </row>
    <row r="1125" spans="1:19" x14ac:dyDescent="0.3">
      <c r="A1125" s="37">
        <v>452</v>
      </c>
      <c r="B1125" s="37" t="s">
        <v>2405</v>
      </c>
      <c r="C1125" s="37" t="s">
        <v>1998</v>
      </c>
      <c r="D1125" s="37" t="s">
        <v>21</v>
      </c>
      <c r="E1125" s="37" t="s">
        <v>22</v>
      </c>
      <c r="F1125" s="42">
        <v>45657</v>
      </c>
      <c r="G1125" s="37">
        <v>2024</v>
      </c>
      <c r="H1125" s="37" t="s">
        <v>27</v>
      </c>
      <c r="I1125" s="39" t="s">
        <v>36</v>
      </c>
      <c r="J1125" s="37">
        <v>50</v>
      </c>
      <c r="K1125" s="37">
        <v>80</v>
      </c>
      <c r="L1125" s="65">
        <f t="shared" si="130"/>
        <v>1.3</v>
      </c>
      <c r="M1125" s="65">
        <f t="shared" si="131"/>
        <v>1.6</v>
      </c>
      <c r="N1125" s="37"/>
      <c r="O1125" s="37"/>
      <c r="P1125" s="37">
        <v>0</v>
      </c>
      <c r="Q1125" s="37">
        <v>0</v>
      </c>
      <c r="R1125" s="37" t="s">
        <v>2407</v>
      </c>
      <c r="S1125" s="37"/>
    </row>
    <row r="1126" spans="1:19" x14ac:dyDescent="0.3">
      <c r="A1126" s="37">
        <v>453</v>
      </c>
      <c r="B1126" s="37" t="s">
        <v>2408</v>
      </c>
      <c r="C1126" s="37" t="s">
        <v>2018</v>
      </c>
      <c r="D1126" s="37" t="s">
        <v>39</v>
      </c>
      <c r="E1126" s="37" t="s">
        <v>22</v>
      </c>
      <c r="F1126" s="42">
        <v>45473</v>
      </c>
      <c r="G1126" s="37">
        <v>2024</v>
      </c>
      <c r="H1126" s="37" t="s">
        <v>23</v>
      </c>
      <c r="I1126" s="39" t="s">
        <v>34</v>
      </c>
      <c r="J1126" s="37">
        <v>50</v>
      </c>
      <c r="K1126" s="37">
        <v>48</v>
      </c>
      <c r="L1126" s="65">
        <f t="shared" si="130"/>
        <v>0.96</v>
      </c>
      <c r="M1126" s="65">
        <f t="shared" si="131"/>
        <v>0.96</v>
      </c>
      <c r="N1126" s="37"/>
      <c r="O1126" s="37"/>
      <c r="P1126" s="37">
        <v>0</v>
      </c>
      <c r="Q1126" s="37">
        <v>0</v>
      </c>
      <c r="R1126" s="37" t="s">
        <v>2410</v>
      </c>
      <c r="S1126" s="37"/>
    </row>
    <row r="1127" spans="1:19" x14ac:dyDescent="0.3">
      <c r="A1127" s="37">
        <v>453</v>
      </c>
      <c r="B1127" s="37" t="s">
        <v>2408</v>
      </c>
      <c r="C1127" s="37" t="s">
        <v>2018</v>
      </c>
      <c r="D1127" s="37" t="s">
        <v>39</v>
      </c>
      <c r="E1127" s="37" t="s">
        <v>22</v>
      </c>
      <c r="F1127" s="42">
        <v>45657</v>
      </c>
      <c r="G1127" s="37">
        <v>2024</v>
      </c>
      <c r="H1127" s="37" t="s">
        <v>27</v>
      </c>
      <c r="I1127" s="39" t="s">
        <v>36</v>
      </c>
      <c r="J1127" s="37">
        <v>50</v>
      </c>
      <c r="K1127" s="37">
        <v>112</v>
      </c>
      <c r="L1127" s="65">
        <f t="shared" si="130"/>
        <v>1.3</v>
      </c>
      <c r="M1127" s="65">
        <f t="shared" si="131"/>
        <v>2.2400000000000002</v>
      </c>
      <c r="N1127" s="37"/>
      <c r="O1127" s="37"/>
      <c r="P1127" s="37">
        <v>0</v>
      </c>
      <c r="Q1127" s="37">
        <v>0</v>
      </c>
      <c r="R1127" s="37" t="s">
        <v>2412</v>
      </c>
      <c r="S1127" s="37"/>
    </row>
    <row r="1128" spans="1:19" x14ac:dyDescent="0.3">
      <c r="A1128" s="37">
        <v>454</v>
      </c>
      <c r="B1128" s="37" t="s">
        <v>2413</v>
      </c>
      <c r="C1128" s="37" t="s">
        <v>2018</v>
      </c>
      <c r="D1128" s="37" t="s">
        <v>39</v>
      </c>
      <c r="E1128" s="37" t="s">
        <v>22</v>
      </c>
      <c r="F1128" s="42">
        <v>45473</v>
      </c>
      <c r="G1128" s="37">
        <v>2024</v>
      </c>
      <c r="H1128" s="37" t="s">
        <v>23</v>
      </c>
      <c r="I1128" s="39" t="s">
        <v>34</v>
      </c>
      <c r="J1128" s="37"/>
      <c r="K1128" s="37"/>
      <c r="L1128" s="65"/>
      <c r="M1128" s="65"/>
      <c r="N1128" s="37"/>
      <c r="O1128" s="37"/>
      <c r="P1128" s="37">
        <v>0</v>
      </c>
      <c r="Q1128" s="37">
        <v>0</v>
      </c>
      <c r="R1128" s="37" t="s">
        <v>3543</v>
      </c>
      <c r="S1128" s="37"/>
    </row>
    <row r="1129" spans="1:19" x14ac:dyDescent="0.3">
      <c r="A1129" s="37">
        <v>454</v>
      </c>
      <c r="B1129" s="37" t="s">
        <v>2413</v>
      </c>
      <c r="C1129" s="37" t="s">
        <v>2018</v>
      </c>
      <c r="D1129" s="37" t="s">
        <v>39</v>
      </c>
      <c r="E1129" s="37" t="s">
        <v>22</v>
      </c>
      <c r="F1129" s="42">
        <v>45657</v>
      </c>
      <c r="G1129" s="37">
        <v>2024</v>
      </c>
      <c r="H1129" s="37" t="s">
        <v>27</v>
      </c>
      <c r="I1129" s="39" t="s">
        <v>36</v>
      </c>
      <c r="J1129" s="37">
        <v>0</v>
      </c>
      <c r="K1129" s="37">
        <v>88</v>
      </c>
      <c r="L1129" s="65" t="str">
        <f>IFERROR(IF(OR(J1129=0,K1129=""),"",IF(E1129="Positivo",MIN(MAX(K1129/J1129,0),1.3),MIN(MAX(J1129/K1129,0),1.3))),"")</f>
        <v/>
      </c>
      <c r="M1129" s="65" t="str">
        <f>IFERROR(IF(OR(J1129=0,K1129=""),"",IF(E1129="Positivo",MAX(K1129/J1129,0),MAX(J1129/K1129,0))),"")</f>
        <v/>
      </c>
      <c r="N1129" s="37"/>
      <c r="O1129" s="37"/>
      <c r="P1129" s="37">
        <v>0</v>
      </c>
      <c r="Q1129" s="37">
        <v>0</v>
      </c>
      <c r="R1129" s="37" t="s">
        <v>2415</v>
      </c>
      <c r="S1129" s="37"/>
    </row>
    <row r="1130" spans="1:19" x14ac:dyDescent="0.3">
      <c r="A1130" s="37">
        <v>455</v>
      </c>
      <c r="B1130" s="37" t="s">
        <v>2416</v>
      </c>
      <c r="C1130" s="37" t="s">
        <v>2018</v>
      </c>
      <c r="D1130" s="37" t="s">
        <v>39</v>
      </c>
      <c r="E1130" s="37" t="s">
        <v>22</v>
      </c>
      <c r="F1130" s="42">
        <v>45473</v>
      </c>
      <c r="G1130" s="37">
        <v>2024</v>
      </c>
      <c r="H1130" s="37" t="s">
        <v>23</v>
      </c>
      <c r="I1130" s="39" t="s">
        <v>34</v>
      </c>
      <c r="J1130" s="37"/>
      <c r="K1130" s="37"/>
      <c r="L1130" s="65"/>
      <c r="M1130" s="65"/>
      <c r="N1130" s="37"/>
      <c r="O1130" s="37"/>
      <c r="P1130" s="37">
        <v>0</v>
      </c>
      <c r="Q1130" s="37">
        <v>0</v>
      </c>
      <c r="R1130" s="37" t="s">
        <v>3544</v>
      </c>
      <c r="S1130" s="37"/>
    </row>
    <row r="1131" spans="1:19" x14ac:dyDescent="0.3">
      <c r="A1131" s="37">
        <v>455</v>
      </c>
      <c r="B1131" s="37" t="s">
        <v>2416</v>
      </c>
      <c r="C1131" s="37" t="s">
        <v>2018</v>
      </c>
      <c r="D1131" s="37" t="s">
        <v>39</v>
      </c>
      <c r="E1131" s="37" t="s">
        <v>22</v>
      </c>
      <c r="F1131" s="42">
        <v>45657</v>
      </c>
      <c r="G1131" s="37">
        <v>2024</v>
      </c>
      <c r="H1131" s="37" t="s">
        <v>27</v>
      </c>
      <c r="I1131" s="39" t="s">
        <v>36</v>
      </c>
      <c r="J1131" s="37">
        <v>12.5</v>
      </c>
      <c r="K1131" s="37">
        <v>12.5</v>
      </c>
      <c r="L1131" s="65">
        <f t="shared" ref="L1131:L1136" si="132">IFERROR(IF(OR(J1131=0,K1131=""),"",IF(E1131="Positivo",MIN(MAX(K1131/J1131,0),1.3),MIN(MAX(J1131/K1131,0),1.3))),"")</f>
        <v>1</v>
      </c>
      <c r="M1131" s="65">
        <f t="shared" ref="M1131:M1136" si="133">IFERROR(IF(OR(J1131=0,K1131=""),"",IF(E1131="Positivo",MAX(K1131/J1131,0),MAX(J1131/K1131,0))),"")</f>
        <v>1</v>
      </c>
      <c r="N1131" s="37"/>
      <c r="O1131" s="37"/>
      <c r="P1131" s="37">
        <v>0</v>
      </c>
      <c r="Q1131" s="37">
        <v>0</v>
      </c>
      <c r="R1131" s="37" t="s">
        <v>2418</v>
      </c>
      <c r="S1131" s="37"/>
    </row>
    <row r="1132" spans="1:19" x14ac:dyDescent="0.3">
      <c r="A1132" s="37">
        <v>456</v>
      </c>
      <c r="B1132" s="37" t="s">
        <v>2419</v>
      </c>
      <c r="C1132" s="37" t="s">
        <v>207</v>
      </c>
      <c r="D1132" s="37" t="s">
        <v>21</v>
      </c>
      <c r="E1132" s="37" t="s">
        <v>22</v>
      </c>
      <c r="F1132" s="42">
        <v>45473</v>
      </c>
      <c r="G1132" s="37">
        <v>2024</v>
      </c>
      <c r="H1132" s="37" t="s">
        <v>23</v>
      </c>
      <c r="I1132" s="39" t="s">
        <v>34</v>
      </c>
      <c r="J1132" s="37">
        <v>100</v>
      </c>
      <c r="K1132" s="37">
        <v>100</v>
      </c>
      <c r="L1132" s="65">
        <f t="shared" si="132"/>
        <v>1</v>
      </c>
      <c r="M1132" s="65">
        <f t="shared" si="133"/>
        <v>1</v>
      </c>
      <c r="N1132" s="37"/>
      <c r="O1132" s="37"/>
      <c r="P1132" s="37">
        <v>0</v>
      </c>
      <c r="Q1132" s="37">
        <v>0</v>
      </c>
      <c r="R1132" s="37" t="s">
        <v>2420</v>
      </c>
      <c r="S1132" s="37"/>
    </row>
    <row r="1133" spans="1:19" x14ac:dyDescent="0.3">
      <c r="A1133" s="37">
        <v>456</v>
      </c>
      <c r="B1133" s="37" t="s">
        <v>2419</v>
      </c>
      <c r="C1133" s="37" t="s">
        <v>207</v>
      </c>
      <c r="D1133" s="37" t="s">
        <v>21</v>
      </c>
      <c r="E1133" s="37" t="s">
        <v>22</v>
      </c>
      <c r="F1133" s="42">
        <v>45657</v>
      </c>
      <c r="G1133" s="37">
        <v>2024</v>
      </c>
      <c r="H1133" s="37" t="s">
        <v>27</v>
      </c>
      <c r="I1133" s="39" t="s">
        <v>36</v>
      </c>
      <c r="J1133" s="37">
        <v>100</v>
      </c>
      <c r="K1133" s="37">
        <v>94.69</v>
      </c>
      <c r="L1133" s="65">
        <f t="shared" si="132"/>
        <v>0.94689999999999996</v>
      </c>
      <c r="M1133" s="65">
        <f t="shared" si="133"/>
        <v>0.94689999999999996</v>
      </c>
      <c r="N1133" s="37"/>
      <c r="O1133" s="37"/>
      <c r="P1133" s="37">
        <v>0</v>
      </c>
      <c r="Q1133" s="37">
        <v>0</v>
      </c>
      <c r="R1133" s="37" t="s">
        <v>2421</v>
      </c>
      <c r="S1133" s="37"/>
    </row>
    <row r="1134" spans="1:19" x14ac:dyDescent="0.3">
      <c r="A1134" s="37">
        <v>457</v>
      </c>
      <c r="B1134" s="37" t="s">
        <v>2426</v>
      </c>
      <c r="C1134" s="37" t="s">
        <v>207</v>
      </c>
      <c r="D1134" s="37" t="s">
        <v>21</v>
      </c>
      <c r="E1134" s="37" t="s">
        <v>22</v>
      </c>
      <c r="F1134" s="42">
        <v>45473</v>
      </c>
      <c r="G1134" s="37">
        <v>2024</v>
      </c>
      <c r="H1134" s="37" t="s">
        <v>23</v>
      </c>
      <c r="I1134" s="39" t="s">
        <v>34</v>
      </c>
      <c r="J1134" s="37">
        <v>100</v>
      </c>
      <c r="K1134" s="37">
        <v>90</v>
      </c>
      <c r="L1134" s="65">
        <f t="shared" si="132"/>
        <v>0.9</v>
      </c>
      <c r="M1134" s="65">
        <f t="shared" si="133"/>
        <v>0.9</v>
      </c>
      <c r="N1134" s="37"/>
      <c r="O1134" s="37"/>
      <c r="P1134" s="37">
        <v>0</v>
      </c>
      <c r="Q1134" s="37">
        <v>0</v>
      </c>
      <c r="R1134" s="37" t="s">
        <v>2427</v>
      </c>
      <c r="S1134" s="37"/>
    </row>
    <row r="1135" spans="1:19" x14ac:dyDescent="0.3">
      <c r="A1135" s="37">
        <v>457</v>
      </c>
      <c r="B1135" s="37" t="s">
        <v>2426</v>
      </c>
      <c r="C1135" s="37" t="s">
        <v>207</v>
      </c>
      <c r="D1135" s="37" t="s">
        <v>21</v>
      </c>
      <c r="E1135" s="37" t="s">
        <v>22</v>
      </c>
      <c r="F1135" s="42">
        <v>45657</v>
      </c>
      <c r="G1135" s="37">
        <v>2024</v>
      </c>
      <c r="H1135" s="37" t="s">
        <v>27</v>
      </c>
      <c r="I1135" s="39" t="s">
        <v>36</v>
      </c>
      <c r="J1135" s="37">
        <v>100</v>
      </c>
      <c r="K1135" s="37">
        <v>70</v>
      </c>
      <c r="L1135" s="65">
        <f t="shared" si="132"/>
        <v>0.7</v>
      </c>
      <c r="M1135" s="65">
        <f t="shared" si="133"/>
        <v>0.7</v>
      </c>
      <c r="N1135" s="37"/>
      <c r="O1135" s="37"/>
      <c r="P1135" s="37">
        <v>0</v>
      </c>
      <c r="Q1135" s="37">
        <v>0</v>
      </c>
      <c r="R1135" s="37" t="s">
        <v>2428</v>
      </c>
      <c r="S1135" s="37"/>
    </row>
    <row r="1136" spans="1:19" x14ac:dyDescent="0.3">
      <c r="A1136" s="37">
        <v>459</v>
      </c>
      <c r="B1136" s="37" t="s">
        <v>2433</v>
      </c>
      <c r="C1136" s="37" t="s">
        <v>1998</v>
      </c>
      <c r="D1136" s="37" t="s">
        <v>39</v>
      </c>
      <c r="E1136" s="37" t="s">
        <v>22</v>
      </c>
      <c r="F1136" s="42">
        <v>45473</v>
      </c>
      <c r="G1136" s="37">
        <v>2024</v>
      </c>
      <c r="H1136" s="37" t="s">
        <v>23</v>
      </c>
      <c r="I1136" s="39" t="s">
        <v>34</v>
      </c>
      <c r="J1136" s="37">
        <v>100</v>
      </c>
      <c r="K1136" s="37">
        <v>130.43</v>
      </c>
      <c r="L1136" s="65">
        <f t="shared" si="132"/>
        <v>1.3</v>
      </c>
      <c r="M1136" s="65">
        <f t="shared" si="133"/>
        <v>1.3043</v>
      </c>
      <c r="N1136" s="37"/>
      <c r="O1136" s="37"/>
      <c r="P1136" s="37">
        <v>0</v>
      </c>
      <c r="Q1136" s="37">
        <v>0</v>
      </c>
      <c r="R1136" s="37" t="s">
        <v>2434</v>
      </c>
      <c r="S1136" s="37"/>
    </row>
    <row r="1137" spans="1:19" x14ac:dyDescent="0.3">
      <c r="A1137" s="37">
        <v>459</v>
      </c>
      <c r="B1137" s="37" t="s">
        <v>2433</v>
      </c>
      <c r="C1137" s="37" t="s">
        <v>1998</v>
      </c>
      <c r="D1137" s="37" t="s">
        <v>39</v>
      </c>
      <c r="E1137" s="37" t="s">
        <v>22</v>
      </c>
      <c r="F1137" s="42">
        <v>45657</v>
      </c>
      <c r="G1137" s="37">
        <v>2024</v>
      </c>
      <c r="H1137" s="37" t="s">
        <v>27</v>
      </c>
      <c r="I1137" s="39" t="s">
        <v>36</v>
      </c>
      <c r="J1137" s="37">
        <v>100</v>
      </c>
      <c r="K1137" s="37"/>
      <c r="L1137" s="65"/>
      <c r="M1137" s="65"/>
      <c r="N1137" s="37" t="s">
        <v>203</v>
      </c>
      <c r="O1137" s="37" t="s">
        <v>613</v>
      </c>
      <c r="P1137" s="37">
        <v>0</v>
      </c>
      <c r="Q1137" s="37">
        <v>0</v>
      </c>
      <c r="R1137" s="37" t="s">
        <v>3545</v>
      </c>
      <c r="S1137" s="37"/>
    </row>
    <row r="1138" spans="1:19" x14ac:dyDescent="0.3">
      <c r="A1138" s="37">
        <v>460</v>
      </c>
      <c r="B1138" s="37" t="s">
        <v>2436</v>
      </c>
      <c r="C1138" s="37" t="s">
        <v>55</v>
      </c>
      <c r="D1138" s="37" t="s">
        <v>139</v>
      </c>
      <c r="E1138" s="37" t="s">
        <v>22</v>
      </c>
      <c r="F1138" s="42">
        <v>45657</v>
      </c>
      <c r="G1138" s="37">
        <v>2024</v>
      </c>
      <c r="H1138" s="37" t="s">
        <v>27</v>
      </c>
      <c r="I1138" s="39" t="s">
        <v>36</v>
      </c>
      <c r="J1138" s="37">
        <v>80</v>
      </c>
      <c r="K1138" s="37">
        <v>91.439688715953324</v>
      </c>
      <c r="L1138" s="65">
        <f t="shared" ref="L1138:L1150" si="134">IFERROR(IF(OR(J1138=0,K1138=""),"",IF(E1138="Positivo",MIN(MAX(K1138/J1138,0),1.3),MIN(MAX(J1138/K1138,0),1.3))),"")</f>
        <v>1.1429961089494165</v>
      </c>
      <c r="M1138" s="65">
        <f t="shared" ref="M1138:M1150" si="135">IFERROR(IF(OR(J1138=0,K1138=""),"",IF(E1138="Positivo",MAX(K1138/J1138,0),MAX(J1138/K1138,0))),"")</f>
        <v>1.1429961089494165</v>
      </c>
      <c r="N1138" s="37"/>
      <c r="O1138" s="37"/>
      <c r="P1138" s="37">
        <v>0</v>
      </c>
      <c r="Q1138" s="37">
        <v>0</v>
      </c>
      <c r="R1138" s="37" t="s">
        <v>2437</v>
      </c>
      <c r="S1138" s="37"/>
    </row>
    <row r="1139" spans="1:19" x14ac:dyDescent="0.3">
      <c r="A1139" s="37">
        <v>462</v>
      </c>
      <c r="B1139" s="37" t="s">
        <v>2438</v>
      </c>
      <c r="C1139" s="37" t="s">
        <v>546</v>
      </c>
      <c r="D1139" s="37" t="s">
        <v>21</v>
      </c>
      <c r="E1139" s="37" t="s">
        <v>22</v>
      </c>
      <c r="F1139" s="42">
        <v>45473</v>
      </c>
      <c r="G1139" s="37">
        <v>2024</v>
      </c>
      <c r="H1139" s="37" t="s">
        <v>23</v>
      </c>
      <c r="I1139" s="39" t="s">
        <v>34</v>
      </c>
      <c r="J1139" s="37">
        <v>85</v>
      </c>
      <c r="K1139" s="37">
        <v>100</v>
      </c>
      <c r="L1139" s="65">
        <f t="shared" si="134"/>
        <v>1.1764705882352942</v>
      </c>
      <c r="M1139" s="65">
        <f t="shared" si="135"/>
        <v>1.1764705882352942</v>
      </c>
      <c r="N1139" s="37"/>
      <c r="O1139" s="37"/>
      <c r="P1139" s="37">
        <v>0</v>
      </c>
      <c r="Q1139" s="37">
        <v>0</v>
      </c>
      <c r="R1139" s="37" t="s">
        <v>2439</v>
      </c>
      <c r="S1139" s="37"/>
    </row>
    <row r="1140" spans="1:19" x14ac:dyDescent="0.3">
      <c r="A1140" s="37">
        <v>462</v>
      </c>
      <c r="B1140" s="37" t="s">
        <v>2438</v>
      </c>
      <c r="C1140" s="37" t="s">
        <v>546</v>
      </c>
      <c r="D1140" s="37" t="s">
        <v>21</v>
      </c>
      <c r="E1140" s="37" t="s">
        <v>22</v>
      </c>
      <c r="F1140" s="42">
        <v>45657</v>
      </c>
      <c r="G1140" s="37">
        <v>2024</v>
      </c>
      <c r="H1140" s="37" t="s">
        <v>27</v>
      </c>
      <c r="I1140" s="39" t="s">
        <v>36</v>
      </c>
      <c r="J1140" s="37">
        <v>85</v>
      </c>
      <c r="K1140" s="37">
        <v>100</v>
      </c>
      <c r="L1140" s="65">
        <f t="shared" si="134"/>
        <v>1.1764705882352942</v>
      </c>
      <c r="M1140" s="65">
        <f t="shared" si="135"/>
        <v>1.1764705882352942</v>
      </c>
      <c r="N1140" s="37"/>
      <c r="O1140" s="37"/>
      <c r="P1140" s="37">
        <v>0</v>
      </c>
      <c r="Q1140" s="37">
        <v>0</v>
      </c>
      <c r="R1140" s="37" t="s">
        <v>2440</v>
      </c>
      <c r="S1140" s="37"/>
    </row>
    <row r="1141" spans="1:19" x14ac:dyDescent="0.3">
      <c r="A1141" s="37">
        <v>463</v>
      </c>
      <c r="B1141" s="37" t="s">
        <v>2441</v>
      </c>
      <c r="C1141" s="37" t="s">
        <v>55</v>
      </c>
      <c r="D1141" s="37" t="s">
        <v>21</v>
      </c>
      <c r="E1141" s="37" t="s">
        <v>22</v>
      </c>
      <c r="F1141" s="42">
        <v>45473</v>
      </c>
      <c r="G1141" s="37">
        <v>2024</v>
      </c>
      <c r="H1141" s="37" t="s">
        <v>23</v>
      </c>
      <c r="I1141" s="39" t="s">
        <v>34</v>
      </c>
      <c r="J1141" s="37">
        <v>100</v>
      </c>
      <c r="K1141" s="37">
        <v>95</v>
      </c>
      <c r="L1141" s="65">
        <f t="shared" si="134"/>
        <v>0.95</v>
      </c>
      <c r="M1141" s="65">
        <f t="shared" si="135"/>
        <v>0.95</v>
      </c>
      <c r="N1141" s="37"/>
      <c r="O1141" s="37"/>
      <c r="P1141" s="37">
        <v>0</v>
      </c>
      <c r="Q1141" s="37">
        <v>0</v>
      </c>
      <c r="R1141" s="37" t="s">
        <v>2442</v>
      </c>
      <c r="S1141" s="37"/>
    </row>
    <row r="1142" spans="1:19" x14ac:dyDescent="0.3">
      <c r="A1142" s="37">
        <v>463</v>
      </c>
      <c r="B1142" s="37" t="s">
        <v>2441</v>
      </c>
      <c r="C1142" s="37" t="s">
        <v>55</v>
      </c>
      <c r="D1142" s="37" t="s">
        <v>21</v>
      </c>
      <c r="E1142" s="37" t="s">
        <v>22</v>
      </c>
      <c r="F1142" s="42">
        <v>45657</v>
      </c>
      <c r="G1142" s="37">
        <v>2024</v>
      </c>
      <c r="H1142" s="37" t="s">
        <v>27</v>
      </c>
      <c r="I1142" s="39" t="s">
        <v>36</v>
      </c>
      <c r="J1142" s="37">
        <v>100</v>
      </c>
      <c r="K1142" s="37">
        <v>100</v>
      </c>
      <c r="L1142" s="65">
        <f t="shared" si="134"/>
        <v>1</v>
      </c>
      <c r="M1142" s="65">
        <f t="shared" si="135"/>
        <v>1</v>
      </c>
      <c r="N1142" s="37"/>
      <c r="O1142" s="37"/>
      <c r="P1142" s="37">
        <v>0</v>
      </c>
      <c r="Q1142" s="37">
        <v>0</v>
      </c>
      <c r="R1142" s="37" t="s">
        <v>2443</v>
      </c>
      <c r="S1142" s="37"/>
    </row>
    <row r="1143" spans="1:19" x14ac:dyDescent="0.3">
      <c r="A1143" s="37">
        <v>465</v>
      </c>
      <c r="B1143" s="37" t="s">
        <v>2444</v>
      </c>
      <c r="C1143" s="37" t="s">
        <v>1758</v>
      </c>
      <c r="D1143" s="37" t="s">
        <v>21</v>
      </c>
      <c r="E1143" s="37" t="s">
        <v>22</v>
      </c>
      <c r="F1143" s="42">
        <v>45473</v>
      </c>
      <c r="G1143" s="37">
        <v>2024</v>
      </c>
      <c r="H1143" s="37" t="s">
        <v>23</v>
      </c>
      <c r="I1143" s="39" t="s">
        <v>34</v>
      </c>
      <c r="J1143" s="37">
        <v>70</v>
      </c>
      <c r="K1143" s="37">
        <v>57.86</v>
      </c>
      <c r="L1143" s="65">
        <f t="shared" si="134"/>
        <v>0.82657142857142851</v>
      </c>
      <c r="M1143" s="65">
        <f t="shared" si="135"/>
        <v>0.82657142857142851</v>
      </c>
      <c r="N1143" s="37"/>
      <c r="O1143" s="37"/>
      <c r="P1143" s="37">
        <v>0</v>
      </c>
      <c r="Q1143" s="37">
        <v>0</v>
      </c>
      <c r="R1143" s="37" t="s">
        <v>2445</v>
      </c>
      <c r="S1143" s="37"/>
    </row>
    <row r="1144" spans="1:19" x14ac:dyDescent="0.3">
      <c r="A1144" s="37">
        <v>465</v>
      </c>
      <c r="B1144" s="37" t="s">
        <v>2444</v>
      </c>
      <c r="C1144" s="37" t="s">
        <v>1758</v>
      </c>
      <c r="D1144" s="37" t="s">
        <v>21</v>
      </c>
      <c r="E1144" s="37" t="s">
        <v>22</v>
      </c>
      <c r="F1144" s="42">
        <v>45657</v>
      </c>
      <c r="G1144" s="37">
        <v>2024</v>
      </c>
      <c r="H1144" s="37" t="s">
        <v>27</v>
      </c>
      <c r="I1144" s="39" t="s">
        <v>36</v>
      </c>
      <c r="J1144" s="37">
        <v>100</v>
      </c>
      <c r="K1144" s="37">
        <v>56.83</v>
      </c>
      <c r="L1144" s="65">
        <f t="shared" si="134"/>
        <v>0.56830000000000003</v>
      </c>
      <c r="M1144" s="65">
        <f t="shared" si="135"/>
        <v>0.56830000000000003</v>
      </c>
      <c r="N1144" s="37"/>
      <c r="O1144" s="37"/>
      <c r="P1144" s="37">
        <v>0</v>
      </c>
      <c r="Q1144" s="37">
        <v>0</v>
      </c>
      <c r="R1144" s="37" t="s">
        <v>2446</v>
      </c>
      <c r="S1144" s="37"/>
    </row>
    <row r="1145" spans="1:19" x14ac:dyDescent="0.3">
      <c r="A1145" s="37">
        <v>466</v>
      </c>
      <c r="B1145" s="37" t="s">
        <v>2447</v>
      </c>
      <c r="C1145" s="37" t="s">
        <v>625</v>
      </c>
      <c r="D1145" s="37" t="s">
        <v>21</v>
      </c>
      <c r="E1145" s="37" t="s">
        <v>22</v>
      </c>
      <c r="F1145" s="42">
        <v>45473</v>
      </c>
      <c r="G1145" s="37">
        <v>2024</v>
      </c>
      <c r="H1145" s="37" t="s">
        <v>23</v>
      </c>
      <c r="I1145" s="39" t="s">
        <v>34</v>
      </c>
      <c r="J1145" s="37">
        <v>50</v>
      </c>
      <c r="K1145" s="37">
        <v>59.6</v>
      </c>
      <c r="L1145" s="65">
        <f t="shared" si="134"/>
        <v>1.1919999999999999</v>
      </c>
      <c r="M1145" s="65">
        <f t="shared" si="135"/>
        <v>1.1919999999999999</v>
      </c>
      <c r="N1145" s="37" t="s">
        <v>203</v>
      </c>
      <c r="O1145" s="37" t="s">
        <v>197</v>
      </c>
      <c r="P1145" s="37">
        <v>1</v>
      </c>
      <c r="Q1145" s="37">
        <v>1</v>
      </c>
      <c r="R1145" s="37" t="s">
        <v>2448</v>
      </c>
      <c r="S1145" s="37"/>
    </row>
    <row r="1146" spans="1:19" x14ac:dyDescent="0.3">
      <c r="A1146" s="37">
        <v>466</v>
      </c>
      <c r="B1146" s="37" t="s">
        <v>2447</v>
      </c>
      <c r="C1146" s="37" t="s">
        <v>1376</v>
      </c>
      <c r="D1146" s="37" t="s">
        <v>21</v>
      </c>
      <c r="E1146" s="37" t="s">
        <v>22</v>
      </c>
      <c r="F1146" s="42">
        <v>45657</v>
      </c>
      <c r="G1146" s="37">
        <v>2024</v>
      </c>
      <c r="H1146" s="37" t="s">
        <v>27</v>
      </c>
      <c r="I1146" s="39" t="s">
        <v>36</v>
      </c>
      <c r="J1146" s="37">
        <v>50</v>
      </c>
      <c r="K1146" s="37">
        <v>53.8</v>
      </c>
      <c r="L1146" s="65">
        <f t="shared" si="134"/>
        <v>1.0759999999999998</v>
      </c>
      <c r="M1146" s="65">
        <f t="shared" si="135"/>
        <v>1.0759999999999998</v>
      </c>
      <c r="N1146" s="37"/>
      <c r="O1146" s="37" t="s">
        <v>197</v>
      </c>
      <c r="P1146" s="37">
        <v>0</v>
      </c>
      <c r="Q1146" s="37">
        <v>0</v>
      </c>
      <c r="R1146" s="37" t="s">
        <v>2449</v>
      </c>
      <c r="S1146" s="37"/>
    </row>
    <row r="1147" spans="1:19" x14ac:dyDescent="0.3">
      <c r="A1147" s="37">
        <v>467</v>
      </c>
      <c r="B1147" s="37" t="s">
        <v>2450</v>
      </c>
      <c r="C1147" s="37" t="s">
        <v>1376</v>
      </c>
      <c r="D1147" s="37" t="s">
        <v>21</v>
      </c>
      <c r="E1147" s="37" t="s">
        <v>22</v>
      </c>
      <c r="F1147" s="42">
        <v>45473</v>
      </c>
      <c r="G1147" s="37">
        <v>2024</v>
      </c>
      <c r="H1147" s="37" t="s">
        <v>23</v>
      </c>
      <c r="I1147" s="39" t="s">
        <v>34</v>
      </c>
      <c r="J1147" s="37">
        <v>60</v>
      </c>
      <c r="K1147" s="37">
        <v>72.75</v>
      </c>
      <c r="L1147" s="65">
        <f t="shared" si="134"/>
        <v>1.2124999999999999</v>
      </c>
      <c r="M1147" s="65">
        <f t="shared" si="135"/>
        <v>1.2124999999999999</v>
      </c>
      <c r="N1147" s="37"/>
      <c r="O1147" s="37"/>
      <c r="P1147" s="37">
        <v>0</v>
      </c>
      <c r="Q1147" s="37">
        <v>0</v>
      </c>
      <c r="R1147" s="37" t="s">
        <v>2451</v>
      </c>
      <c r="S1147" s="37"/>
    </row>
    <row r="1148" spans="1:19" x14ac:dyDescent="0.3">
      <c r="A1148" s="37">
        <v>467</v>
      </c>
      <c r="B1148" s="37" t="s">
        <v>2450</v>
      </c>
      <c r="C1148" s="37" t="s">
        <v>1376</v>
      </c>
      <c r="D1148" s="37" t="s">
        <v>21</v>
      </c>
      <c r="E1148" s="37" t="s">
        <v>22</v>
      </c>
      <c r="F1148" s="42">
        <v>45657</v>
      </c>
      <c r="G1148" s="37">
        <v>2024</v>
      </c>
      <c r="H1148" s="37" t="s">
        <v>27</v>
      </c>
      <c r="I1148" s="39" t="s">
        <v>36</v>
      </c>
      <c r="J1148" s="37">
        <v>60</v>
      </c>
      <c r="K1148" s="37">
        <v>73.099999999999994</v>
      </c>
      <c r="L1148" s="65">
        <f t="shared" si="134"/>
        <v>1.2183333333333333</v>
      </c>
      <c r="M1148" s="65">
        <f t="shared" si="135"/>
        <v>1.2183333333333333</v>
      </c>
      <c r="N1148" s="37"/>
      <c r="O1148" s="37"/>
      <c r="P1148" s="37">
        <v>0</v>
      </c>
      <c r="Q1148" s="37">
        <v>0</v>
      </c>
      <c r="R1148" s="37" t="s">
        <v>2452</v>
      </c>
      <c r="S1148" s="37"/>
    </row>
    <row r="1149" spans="1:19" x14ac:dyDescent="0.3">
      <c r="A1149" s="37">
        <v>468</v>
      </c>
      <c r="B1149" s="37" t="s">
        <v>2453</v>
      </c>
      <c r="C1149" s="37" t="s">
        <v>1376</v>
      </c>
      <c r="D1149" s="37" t="s">
        <v>21</v>
      </c>
      <c r="E1149" s="37" t="s">
        <v>56</v>
      </c>
      <c r="F1149" s="42">
        <v>45473</v>
      </c>
      <c r="G1149" s="37">
        <v>2024</v>
      </c>
      <c r="H1149" s="37" t="s">
        <v>23</v>
      </c>
      <c r="I1149" s="39" t="s">
        <v>34</v>
      </c>
      <c r="J1149" s="37">
        <v>3</v>
      </c>
      <c r="K1149" s="37">
        <v>2.85</v>
      </c>
      <c r="L1149" s="65">
        <f t="shared" si="134"/>
        <v>1.0526315789473684</v>
      </c>
      <c r="M1149" s="65">
        <f t="shared" si="135"/>
        <v>1.0526315789473684</v>
      </c>
      <c r="N1149" s="37"/>
      <c r="O1149" s="37"/>
      <c r="P1149" s="37">
        <v>0</v>
      </c>
      <c r="Q1149" s="37">
        <v>0</v>
      </c>
      <c r="R1149" s="37" t="s">
        <v>2454</v>
      </c>
      <c r="S1149" s="37"/>
    </row>
    <row r="1150" spans="1:19" x14ac:dyDescent="0.3">
      <c r="A1150" s="37">
        <v>468</v>
      </c>
      <c r="B1150" s="37" t="s">
        <v>2453</v>
      </c>
      <c r="C1150" s="37" t="s">
        <v>1376</v>
      </c>
      <c r="D1150" s="37" t="s">
        <v>21</v>
      </c>
      <c r="E1150" s="37" t="s">
        <v>56</v>
      </c>
      <c r="F1150" s="42">
        <v>45657</v>
      </c>
      <c r="G1150" s="37">
        <v>2024</v>
      </c>
      <c r="H1150" s="37" t="s">
        <v>27</v>
      </c>
      <c r="I1150" s="39" t="s">
        <v>36</v>
      </c>
      <c r="J1150" s="37">
        <v>3</v>
      </c>
      <c r="K1150" s="37">
        <v>2.6</v>
      </c>
      <c r="L1150" s="65">
        <f t="shared" si="134"/>
        <v>1.1538461538461537</v>
      </c>
      <c r="M1150" s="65">
        <f t="shared" si="135"/>
        <v>1.1538461538461537</v>
      </c>
      <c r="N1150" s="37"/>
      <c r="O1150" s="37"/>
      <c r="P1150" s="37">
        <v>0</v>
      </c>
      <c r="Q1150" s="37">
        <v>0</v>
      </c>
      <c r="R1150" s="37" t="s">
        <v>2455</v>
      </c>
      <c r="S1150" s="37"/>
    </row>
    <row r="1151" spans="1:19" x14ac:dyDescent="0.3">
      <c r="A1151" s="37">
        <v>469</v>
      </c>
      <c r="B1151" s="37" t="s">
        <v>2168</v>
      </c>
      <c r="C1151" s="37" t="s">
        <v>1263</v>
      </c>
      <c r="D1151" s="37" t="s">
        <v>39</v>
      </c>
      <c r="E1151" s="37" t="s">
        <v>22</v>
      </c>
      <c r="F1151" s="42">
        <v>45473</v>
      </c>
      <c r="G1151" s="37">
        <v>2024</v>
      </c>
      <c r="H1151" s="37" t="s">
        <v>23</v>
      </c>
      <c r="I1151" s="39" t="s">
        <v>34</v>
      </c>
      <c r="J1151" s="37">
        <v>100</v>
      </c>
      <c r="K1151" s="37">
        <v>114.33</v>
      </c>
      <c r="L1151" s="65">
        <f t="shared" ref="L1151:L1156" si="136">IFERROR(IF(OR(J1151=0,K1151=""),"",IF(E1151="Positivo",MIN(MAX(K1151/J1151,0),1),MIN(MAX(J1151/K1151,0),1))),"")</f>
        <v>1</v>
      </c>
      <c r="M1151" s="65">
        <f t="shared" ref="M1151:M1156" si="137">IFERROR(IF(OR(J1151=0,K1151=""),"",IF(E1151="Positivo",MIN(MAX(K1151/J1151,0),1),MIN(MAX(J1151/K1151,0),1))),"")</f>
        <v>1</v>
      </c>
      <c r="N1151" s="37"/>
      <c r="O1151" s="37"/>
      <c r="P1151" s="37">
        <v>0</v>
      </c>
      <c r="Q1151" s="37">
        <v>0</v>
      </c>
      <c r="R1151" s="37" t="s">
        <v>2458</v>
      </c>
      <c r="S1151" s="37"/>
    </row>
    <row r="1152" spans="1:19" x14ac:dyDescent="0.3">
      <c r="A1152" s="37">
        <v>469</v>
      </c>
      <c r="B1152" s="37" t="s">
        <v>2168</v>
      </c>
      <c r="C1152" s="37" t="s">
        <v>1263</v>
      </c>
      <c r="D1152" s="37" t="s">
        <v>39</v>
      </c>
      <c r="E1152" s="37" t="s">
        <v>22</v>
      </c>
      <c r="F1152" s="42">
        <v>45657</v>
      </c>
      <c r="G1152" s="37">
        <v>2024</v>
      </c>
      <c r="H1152" s="37" t="s">
        <v>27</v>
      </c>
      <c r="I1152" s="39" t="s">
        <v>36</v>
      </c>
      <c r="J1152" s="37">
        <v>100</v>
      </c>
      <c r="K1152" s="37">
        <v>99.7</v>
      </c>
      <c r="L1152" s="65">
        <f t="shared" si="136"/>
        <v>0.997</v>
      </c>
      <c r="M1152" s="65">
        <f t="shared" si="137"/>
        <v>0.997</v>
      </c>
      <c r="N1152" s="37"/>
      <c r="O1152" s="37"/>
      <c r="P1152" s="37">
        <v>0</v>
      </c>
      <c r="Q1152" s="37">
        <v>0</v>
      </c>
      <c r="R1152" s="37" t="s">
        <v>2460</v>
      </c>
      <c r="S1152" s="37"/>
    </row>
    <row r="1153" spans="1:19" x14ac:dyDescent="0.3">
      <c r="A1153" s="37">
        <v>470</v>
      </c>
      <c r="B1153" s="37" t="s">
        <v>2465</v>
      </c>
      <c r="C1153" s="37" t="s">
        <v>1263</v>
      </c>
      <c r="D1153" s="37" t="s">
        <v>39</v>
      </c>
      <c r="E1153" s="37" t="s">
        <v>22</v>
      </c>
      <c r="F1153" s="42">
        <v>45473</v>
      </c>
      <c r="G1153" s="37">
        <v>2024</v>
      </c>
      <c r="H1153" s="37" t="s">
        <v>23</v>
      </c>
      <c r="I1153" s="39" t="s">
        <v>34</v>
      </c>
      <c r="J1153" s="37">
        <v>100</v>
      </c>
      <c r="K1153" s="37">
        <v>118.1</v>
      </c>
      <c r="L1153" s="65">
        <f t="shared" si="136"/>
        <v>1</v>
      </c>
      <c r="M1153" s="65">
        <f t="shared" si="137"/>
        <v>1</v>
      </c>
      <c r="N1153" s="37"/>
      <c r="O1153" s="37"/>
      <c r="P1153" s="37">
        <v>0</v>
      </c>
      <c r="Q1153" s="37">
        <v>0</v>
      </c>
      <c r="R1153" s="37" t="s">
        <v>2467</v>
      </c>
      <c r="S1153" s="37"/>
    </row>
    <row r="1154" spans="1:19" x14ac:dyDescent="0.3">
      <c r="A1154" s="37">
        <v>470</v>
      </c>
      <c r="B1154" s="37" t="s">
        <v>2465</v>
      </c>
      <c r="C1154" s="37" t="s">
        <v>1263</v>
      </c>
      <c r="D1154" s="37" t="s">
        <v>39</v>
      </c>
      <c r="E1154" s="37" t="s">
        <v>22</v>
      </c>
      <c r="F1154" s="42">
        <v>45657</v>
      </c>
      <c r="G1154" s="37">
        <v>2024</v>
      </c>
      <c r="H1154" s="37" t="s">
        <v>27</v>
      </c>
      <c r="I1154" s="39" t="s">
        <v>36</v>
      </c>
      <c r="J1154" s="37">
        <v>100</v>
      </c>
      <c r="K1154" s="37">
        <v>100</v>
      </c>
      <c r="L1154" s="65">
        <f t="shared" si="136"/>
        <v>1</v>
      </c>
      <c r="M1154" s="65">
        <f t="shared" si="137"/>
        <v>1</v>
      </c>
      <c r="N1154" s="37"/>
      <c r="O1154" s="37"/>
      <c r="P1154" s="37">
        <v>0</v>
      </c>
      <c r="Q1154" s="37">
        <v>0</v>
      </c>
      <c r="R1154" s="37" t="s">
        <v>2469</v>
      </c>
      <c r="S1154" s="37"/>
    </row>
    <row r="1155" spans="1:19" x14ac:dyDescent="0.3">
      <c r="A1155" s="37">
        <v>471</v>
      </c>
      <c r="B1155" s="37" t="s">
        <v>2474</v>
      </c>
      <c r="C1155" s="37" t="s">
        <v>1263</v>
      </c>
      <c r="D1155" s="37" t="s">
        <v>39</v>
      </c>
      <c r="E1155" s="37" t="s">
        <v>22</v>
      </c>
      <c r="F1155" s="42">
        <v>45473</v>
      </c>
      <c r="G1155" s="37">
        <v>2024</v>
      </c>
      <c r="H1155" s="37" t="s">
        <v>23</v>
      </c>
      <c r="I1155" s="39" t="s">
        <v>34</v>
      </c>
      <c r="J1155" s="37">
        <v>100</v>
      </c>
      <c r="K1155" s="37">
        <v>105.56</v>
      </c>
      <c r="L1155" s="65">
        <f t="shared" si="136"/>
        <v>1</v>
      </c>
      <c r="M1155" s="65">
        <f t="shared" si="137"/>
        <v>1</v>
      </c>
      <c r="N1155" s="37"/>
      <c r="O1155" s="37"/>
      <c r="P1155" s="37">
        <v>0</v>
      </c>
      <c r="Q1155" s="37">
        <v>0</v>
      </c>
      <c r="R1155" s="37" t="s">
        <v>2476</v>
      </c>
      <c r="S1155" s="37"/>
    </row>
    <row r="1156" spans="1:19" x14ac:dyDescent="0.3">
      <c r="A1156" s="37">
        <v>471</v>
      </c>
      <c r="B1156" s="37" t="s">
        <v>2474</v>
      </c>
      <c r="C1156" s="37" t="s">
        <v>1263</v>
      </c>
      <c r="D1156" s="37" t="s">
        <v>39</v>
      </c>
      <c r="E1156" s="37" t="s">
        <v>22</v>
      </c>
      <c r="F1156" s="42">
        <v>45657</v>
      </c>
      <c r="G1156" s="37">
        <v>2024</v>
      </c>
      <c r="H1156" s="37" t="s">
        <v>27</v>
      </c>
      <c r="I1156" s="39" t="s">
        <v>36</v>
      </c>
      <c r="J1156" s="37">
        <v>100</v>
      </c>
      <c r="K1156" s="37">
        <v>99</v>
      </c>
      <c r="L1156" s="65">
        <f t="shared" si="136"/>
        <v>0.99</v>
      </c>
      <c r="M1156" s="65">
        <f t="shared" si="137"/>
        <v>0.99</v>
      </c>
      <c r="N1156" s="37"/>
      <c r="O1156" s="37"/>
      <c r="P1156" s="37">
        <v>0</v>
      </c>
      <c r="Q1156" s="37">
        <v>0</v>
      </c>
      <c r="R1156" s="37" t="s">
        <v>2478</v>
      </c>
      <c r="S1156" s="37"/>
    </row>
    <row r="1157" spans="1:19" x14ac:dyDescent="0.3">
      <c r="A1157" s="37">
        <v>472</v>
      </c>
      <c r="B1157" s="37" t="s">
        <v>2483</v>
      </c>
      <c r="C1157" s="37" t="s">
        <v>1758</v>
      </c>
      <c r="D1157" s="37" t="s">
        <v>21</v>
      </c>
      <c r="E1157" s="37" t="s">
        <v>22</v>
      </c>
      <c r="F1157" s="42">
        <v>45473</v>
      </c>
      <c r="G1157" s="37">
        <v>2024</v>
      </c>
      <c r="H1157" s="37" t="s">
        <v>23</v>
      </c>
      <c r="I1157" s="39" t="s">
        <v>34</v>
      </c>
      <c r="J1157" s="37">
        <v>100</v>
      </c>
      <c r="K1157" s="37">
        <v>82.1</v>
      </c>
      <c r="L1157" s="65">
        <f t="shared" ref="L1157:L1162" si="138">IFERROR(IF(OR(J1157=0,K1157=""),"",IF(E1157="Positivo",MIN(MAX(K1157/J1157,0),1.3),MIN(MAX(J1157/K1157,0),1.3))),"")</f>
        <v>0.82099999999999995</v>
      </c>
      <c r="M1157" s="65">
        <f t="shared" ref="M1157:M1162" si="139">IFERROR(IF(OR(J1157=0,K1157=""),"",IF(E1157="Positivo",MAX(K1157/J1157,0),MAX(J1157/K1157,0))),"")</f>
        <v>0.82099999999999995</v>
      </c>
      <c r="N1157" s="37"/>
      <c r="O1157" s="37"/>
      <c r="P1157" s="37">
        <v>0</v>
      </c>
      <c r="Q1157" s="37">
        <v>0</v>
      </c>
      <c r="R1157" s="37" t="s">
        <v>2484</v>
      </c>
      <c r="S1157" s="37"/>
    </row>
    <row r="1158" spans="1:19" x14ac:dyDescent="0.3">
      <c r="A1158" s="37">
        <v>472</v>
      </c>
      <c r="B1158" s="37" t="s">
        <v>2483</v>
      </c>
      <c r="C1158" s="37" t="s">
        <v>1758</v>
      </c>
      <c r="D1158" s="37" t="s">
        <v>21</v>
      </c>
      <c r="E1158" s="37" t="s">
        <v>22</v>
      </c>
      <c r="F1158" s="42">
        <v>45657</v>
      </c>
      <c r="G1158" s="37">
        <v>2024</v>
      </c>
      <c r="H1158" s="37" t="s">
        <v>27</v>
      </c>
      <c r="I1158" s="39" t="s">
        <v>36</v>
      </c>
      <c r="J1158" s="37">
        <v>100</v>
      </c>
      <c r="K1158" s="37">
        <v>100</v>
      </c>
      <c r="L1158" s="65">
        <f t="shared" si="138"/>
        <v>1</v>
      </c>
      <c r="M1158" s="65">
        <f t="shared" si="139"/>
        <v>1</v>
      </c>
      <c r="N1158" s="37"/>
      <c r="O1158" s="37"/>
      <c r="P1158" s="37">
        <v>0</v>
      </c>
      <c r="Q1158" s="37">
        <v>0</v>
      </c>
      <c r="R1158" s="37" t="s">
        <v>2485</v>
      </c>
      <c r="S1158" s="37"/>
    </row>
    <row r="1159" spans="1:19" x14ac:dyDescent="0.3">
      <c r="A1159" s="36">
        <v>473</v>
      </c>
      <c r="B1159" s="12" t="s">
        <v>2486</v>
      </c>
      <c r="C1159" s="37" t="s">
        <v>1234</v>
      </c>
      <c r="D1159" s="37" t="s">
        <v>21</v>
      </c>
      <c r="E1159" s="37" t="s">
        <v>22</v>
      </c>
      <c r="F1159" s="42">
        <v>45473</v>
      </c>
      <c r="G1159" s="37">
        <v>2024</v>
      </c>
      <c r="H1159" s="37" t="s">
        <v>23</v>
      </c>
      <c r="I1159" s="39" t="s">
        <v>34</v>
      </c>
      <c r="J1159" s="37">
        <v>100</v>
      </c>
      <c r="K1159" s="68">
        <v>100</v>
      </c>
      <c r="L1159" s="65">
        <f t="shared" si="138"/>
        <v>1</v>
      </c>
      <c r="M1159" s="65">
        <f t="shared" si="139"/>
        <v>1</v>
      </c>
      <c r="N1159" s="37"/>
      <c r="O1159" s="37"/>
      <c r="P1159" s="37">
        <v>0</v>
      </c>
      <c r="Q1159" s="37">
        <v>0</v>
      </c>
      <c r="R1159" s="37" t="s">
        <v>2487</v>
      </c>
      <c r="S1159" s="37"/>
    </row>
    <row r="1160" spans="1:19" x14ac:dyDescent="0.3">
      <c r="A1160" s="37">
        <v>473</v>
      </c>
      <c r="B1160" s="37" t="s">
        <v>2488</v>
      </c>
      <c r="C1160" s="37" t="s">
        <v>1234</v>
      </c>
      <c r="D1160" s="37" t="s">
        <v>21</v>
      </c>
      <c r="E1160" s="37" t="s">
        <v>22</v>
      </c>
      <c r="F1160" s="42">
        <v>45657</v>
      </c>
      <c r="G1160" s="37">
        <v>2024</v>
      </c>
      <c r="H1160" s="37" t="s">
        <v>27</v>
      </c>
      <c r="I1160" s="39" t="s">
        <v>36</v>
      </c>
      <c r="J1160" s="37">
        <v>100</v>
      </c>
      <c r="K1160" s="40">
        <v>100</v>
      </c>
      <c r="L1160" s="65">
        <f t="shared" si="138"/>
        <v>1</v>
      </c>
      <c r="M1160" s="65">
        <f t="shared" si="139"/>
        <v>1</v>
      </c>
      <c r="N1160" s="37"/>
      <c r="O1160" s="37"/>
      <c r="P1160" s="37">
        <v>0</v>
      </c>
      <c r="Q1160" s="37">
        <v>0</v>
      </c>
      <c r="R1160" s="37" t="s">
        <v>2489</v>
      </c>
      <c r="S1160" s="37"/>
    </row>
    <row r="1161" spans="1:19" x14ac:dyDescent="0.3">
      <c r="A1161" s="37">
        <v>474</v>
      </c>
      <c r="B1161" s="37" t="s">
        <v>2494</v>
      </c>
      <c r="C1161" s="37" t="s">
        <v>1969</v>
      </c>
      <c r="D1161" s="37" t="s">
        <v>21</v>
      </c>
      <c r="E1161" s="37" t="s">
        <v>22</v>
      </c>
      <c r="F1161" s="42">
        <v>45473</v>
      </c>
      <c r="G1161" s="37">
        <v>2024</v>
      </c>
      <c r="H1161" s="37" t="s">
        <v>23</v>
      </c>
      <c r="I1161" s="39" t="s">
        <v>34</v>
      </c>
      <c r="J1161" s="37">
        <v>100</v>
      </c>
      <c r="K1161" s="37">
        <v>100</v>
      </c>
      <c r="L1161" s="65">
        <f t="shared" si="138"/>
        <v>1</v>
      </c>
      <c r="M1161" s="65">
        <f t="shared" si="139"/>
        <v>1</v>
      </c>
      <c r="N1161" s="37"/>
      <c r="O1161" s="37"/>
      <c r="P1161" s="37">
        <v>0</v>
      </c>
      <c r="Q1161" s="37">
        <v>0</v>
      </c>
      <c r="R1161" s="37" t="s">
        <v>2493</v>
      </c>
      <c r="S1161" s="37"/>
    </row>
    <row r="1162" spans="1:19" x14ac:dyDescent="0.3">
      <c r="A1162" s="37">
        <v>474</v>
      </c>
      <c r="B1162" s="37" t="s">
        <v>2494</v>
      </c>
      <c r="C1162" s="37" t="s">
        <v>1969</v>
      </c>
      <c r="D1162" s="37" t="s">
        <v>21</v>
      </c>
      <c r="E1162" s="37" t="s">
        <v>22</v>
      </c>
      <c r="F1162" s="42">
        <v>45657</v>
      </c>
      <c r="G1162" s="37">
        <v>2024</v>
      </c>
      <c r="H1162" s="37" t="s">
        <v>27</v>
      </c>
      <c r="I1162" s="39" t="s">
        <v>36</v>
      </c>
      <c r="J1162" s="37">
        <v>100</v>
      </c>
      <c r="K1162" s="37">
        <v>100</v>
      </c>
      <c r="L1162" s="65">
        <f t="shared" si="138"/>
        <v>1</v>
      </c>
      <c r="M1162" s="65">
        <f t="shared" si="139"/>
        <v>1</v>
      </c>
      <c r="N1162" s="37"/>
      <c r="O1162" s="37"/>
      <c r="P1162" s="37">
        <v>0</v>
      </c>
      <c r="Q1162" s="37">
        <v>0</v>
      </c>
      <c r="R1162" s="37" t="s">
        <v>2495</v>
      </c>
      <c r="S1162" s="37"/>
    </row>
    <row r="1163" spans="1:19" x14ac:dyDescent="0.3">
      <c r="A1163" s="37">
        <v>475</v>
      </c>
      <c r="B1163" s="37" t="s">
        <v>2496</v>
      </c>
      <c r="C1163" s="37" t="s">
        <v>1627</v>
      </c>
      <c r="D1163" s="37" t="s">
        <v>21</v>
      </c>
      <c r="E1163" s="37" t="s">
        <v>22</v>
      </c>
      <c r="F1163" s="42">
        <v>45473</v>
      </c>
      <c r="G1163" s="37">
        <v>2024</v>
      </c>
      <c r="H1163" s="37" t="s">
        <v>23</v>
      </c>
      <c r="I1163" s="39" t="s">
        <v>34</v>
      </c>
      <c r="J1163" s="37">
        <v>0</v>
      </c>
      <c r="K1163" s="37">
        <v>0</v>
      </c>
      <c r="L1163" s="65" t="str">
        <f t="shared" ref="L1163:L1168" si="140">IFERROR(IF(OR(J1163=0,K1163=""),"",IF(E1163="Positivo",MIN(MAX(K1163/J1163,0),1.3),MIN(MAX(J1163/K1163,0),1.3))),"")</f>
        <v/>
      </c>
      <c r="M1163" s="65" t="str">
        <f t="shared" ref="M1163:M1168" si="141">IFERROR(IF(OR(J1163=0,K1163=""),"",IF(E1163="Positivo",MAX(K1163/J1163,0),MAX(J1163/K1163,0))),"")</f>
        <v/>
      </c>
      <c r="N1163" s="37"/>
      <c r="O1163" s="37"/>
      <c r="P1163" s="37">
        <v>0</v>
      </c>
      <c r="Q1163" s="37">
        <v>0</v>
      </c>
      <c r="R1163" s="37" t="s">
        <v>2497</v>
      </c>
      <c r="S1163" s="37"/>
    </row>
    <row r="1164" spans="1:19" x14ac:dyDescent="0.3">
      <c r="A1164" s="37">
        <v>475</v>
      </c>
      <c r="B1164" s="37" t="s">
        <v>2496</v>
      </c>
      <c r="C1164" s="37" t="s">
        <v>1627</v>
      </c>
      <c r="D1164" s="37" t="s">
        <v>21</v>
      </c>
      <c r="E1164" s="37" t="s">
        <v>22</v>
      </c>
      <c r="F1164" s="42">
        <v>45657</v>
      </c>
      <c r="G1164" s="37">
        <v>2024</v>
      </c>
      <c r="H1164" s="37" t="s">
        <v>27</v>
      </c>
      <c r="I1164" s="39" t="s">
        <v>36</v>
      </c>
      <c r="J1164" s="37">
        <v>10</v>
      </c>
      <c r="K1164" s="37">
        <v>14</v>
      </c>
      <c r="L1164" s="65">
        <f t="shared" si="140"/>
        <v>1.3</v>
      </c>
      <c r="M1164" s="65">
        <f t="shared" si="141"/>
        <v>1.4</v>
      </c>
      <c r="N1164" s="37"/>
      <c r="O1164" s="37"/>
      <c r="P1164" s="37">
        <v>0</v>
      </c>
      <c r="Q1164" s="37">
        <v>0</v>
      </c>
      <c r="R1164" s="37" t="s">
        <v>2498</v>
      </c>
      <c r="S1164" s="37"/>
    </row>
    <row r="1165" spans="1:19" x14ac:dyDescent="0.3">
      <c r="A1165" s="37">
        <v>476</v>
      </c>
      <c r="B1165" s="37" t="s">
        <v>2499</v>
      </c>
      <c r="C1165" s="37" t="s">
        <v>1234</v>
      </c>
      <c r="D1165" s="37" t="s">
        <v>21</v>
      </c>
      <c r="E1165" s="37" t="s">
        <v>22</v>
      </c>
      <c r="F1165" s="42">
        <v>45473</v>
      </c>
      <c r="G1165" s="37">
        <v>2024</v>
      </c>
      <c r="H1165" s="37" t="s">
        <v>23</v>
      </c>
      <c r="I1165" s="39" t="s">
        <v>34</v>
      </c>
      <c r="J1165" s="37">
        <v>100</v>
      </c>
      <c r="K1165" s="37">
        <v>100</v>
      </c>
      <c r="L1165" s="65">
        <f t="shared" si="140"/>
        <v>1</v>
      </c>
      <c r="M1165" s="65">
        <f t="shared" si="141"/>
        <v>1</v>
      </c>
      <c r="N1165" s="37"/>
      <c r="O1165" s="37"/>
      <c r="P1165" s="37">
        <v>0</v>
      </c>
      <c r="Q1165" s="37">
        <v>0</v>
      </c>
      <c r="R1165" s="37" t="s">
        <v>2500</v>
      </c>
      <c r="S1165" s="37"/>
    </row>
    <row r="1166" spans="1:19" x14ac:dyDescent="0.3">
      <c r="A1166" s="37">
        <v>476</v>
      </c>
      <c r="B1166" s="37" t="s">
        <v>2499</v>
      </c>
      <c r="C1166" s="37" t="s">
        <v>1234</v>
      </c>
      <c r="D1166" s="37" t="s">
        <v>21</v>
      </c>
      <c r="E1166" s="37" t="s">
        <v>22</v>
      </c>
      <c r="F1166" s="42">
        <v>45657</v>
      </c>
      <c r="G1166" s="37">
        <v>2024</v>
      </c>
      <c r="H1166" s="37" t="s">
        <v>27</v>
      </c>
      <c r="I1166" s="39" t="s">
        <v>36</v>
      </c>
      <c r="J1166" s="37">
        <v>100</v>
      </c>
      <c r="K1166" s="37">
        <v>100</v>
      </c>
      <c r="L1166" s="65">
        <f t="shared" si="140"/>
        <v>1</v>
      </c>
      <c r="M1166" s="65">
        <f t="shared" si="141"/>
        <v>1</v>
      </c>
      <c r="N1166" s="37"/>
      <c r="O1166" s="37"/>
      <c r="P1166" s="37">
        <v>0</v>
      </c>
      <c r="Q1166" s="37">
        <v>0</v>
      </c>
      <c r="R1166" s="37" t="s">
        <v>2501</v>
      </c>
      <c r="S1166" s="37"/>
    </row>
    <row r="1167" spans="1:19" x14ac:dyDescent="0.3">
      <c r="A1167" s="37">
        <v>477</v>
      </c>
      <c r="B1167" s="37" t="s">
        <v>2504</v>
      </c>
      <c r="C1167" s="37" t="s">
        <v>1969</v>
      </c>
      <c r="D1167" s="37" t="s">
        <v>21</v>
      </c>
      <c r="E1167" s="37" t="s">
        <v>22</v>
      </c>
      <c r="F1167" s="42">
        <v>45473</v>
      </c>
      <c r="G1167" s="37">
        <v>2024</v>
      </c>
      <c r="H1167" s="37" t="s">
        <v>23</v>
      </c>
      <c r="I1167" s="39" t="s">
        <v>34</v>
      </c>
      <c r="J1167" s="37">
        <v>100</v>
      </c>
      <c r="K1167" s="37">
        <v>100</v>
      </c>
      <c r="L1167" s="65">
        <f t="shared" si="140"/>
        <v>1</v>
      </c>
      <c r="M1167" s="65">
        <f t="shared" si="141"/>
        <v>1</v>
      </c>
      <c r="N1167" s="37"/>
      <c r="O1167" s="37"/>
      <c r="P1167" s="37">
        <v>0</v>
      </c>
      <c r="Q1167" s="37">
        <v>0</v>
      </c>
      <c r="R1167" s="37" t="s">
        <v>2505</v>
      </c>
      <c r="S1167" s="37"/>
    </row>
    <row r="1168" spans="1:19" x14ac:dyDescent="0.3">
      <c r="A1168" s="37">
        <v>477</v>
      </c>
      <c r="B1168" s="37" t="s">
        <v>2504</v>
      </c>
      <c r="C1168" s="37" t="s">
        <v>1969</v>
      </c>
      <c r="D1168" s="37" t="s">
        <v>21</v>
      </c>
      <c r="E1168" s="37" t="s">
        <v>22</v>
      </c>
      <c r="F1168" s="42">
        <v>45657</v>
      </c>
      <c r="G1168" s="37">
        <v>2024</v>
      </c>
      <c r="H1168" s="37" t="s">
        <v>27</v>
      </c>
      <c r="I1168" s="39" t="s">
        <v>36</v>
      </c>
      <c r="J1168" s="37">
        <v>100</v>
      </c>
      <c r="K1168" s="37">
        <v>100</v>
      </c>
      <c r="L1168" s="65">
        <f t="shared" si="140"/>
        <v>1</v>
      </c>
      <c r="M1168" s="65">
        <f t="shared" si="141"/>
        <v>1</v>
      </c>
      <c r="N1168" s="37"/>
      <c r="O1168" s="37"/>
      <c r="P1168" s="37">
        <v>0</v>
      </c>
      <c r="Q1168" s="37">
        <v>0</v>
      </c>
      <c r="R1168" s="37" t="s">
        <v>2506</v>
      </c>
      <c r="S1168" s="37"/>
    </row>
    <row r="1169" spans="1:19" x14ac:dyDescent="0.3">
      <c r="A1169" s="37">
        <v>478</v>
      </c>
      <c r="B1169" s="37" t="s">
        <v>2507</v>
      </c>
      <c r="C1169" s="37" t="s">
        <v>1969</v>
      </c>
      <c r="D1169" s="37" t="s">
        <v>21</v>
      </c>
      <c r="E1169" s="37" t="s">
        <v>22</v>
      </c>
      <c r="F1169" s="42">
        <v>45473</v>
      </c>
      <c r="G1169" s="37">
        <v>2024</v>
      </c>
      <c r="H1169" s="37" t="s">
        <v>23</v>
      </c>
      <c r="I1169" s="39" t="s">
        <v>34</v>
      </c>
      <c r="J1169" s="37">
        <v>100</v>
      </c>
      <c r="K1169" s="37"/>
      <c r="L1169" s="65"/>
      <c r="M1169" s="65"/>
      <c r="N1169" s="37" t="s">
        <v>203</v>
      </c>
      <c r="O1169" s="37" t="s">
        <v>613</v>
      </c>
      <c r="P1169" s="37">
        <v>0</v>
      </c>
      <c r="Q1169" s="37">
        <v>0</v>
      </c>
      <c r="R1169" s="37" t="s">
        <v>2508</v>
      </c>
      <c r="S1169" s="37"/>
    </row>
    <row r="1170" spans="1:19" x14ac:dyDescent="0.3">
      <c r="A1170" s="37">
        <v>478</v>
      </c>
      <c r="B1170" s="37" t="s">
        <v>2507</v>
      </c>
      <c r="C1170" s="37" t="s">
        <v>1969</v>
      </c>
      <c r="D1170" s="37" t="s">
        <v>21</v>
      </c>
      <c r="E1170" s="37" t="s">
        <v>22</v>
      </c>
      <c r="F1170" s="42">
        <v>45657</v>
      </c>
      <c r="G1170" s="37">
        <v>2024</v>
      </c>
      <c r="H1170" s="37" t="s">
        <v>27</v>
      </c>
      <c r="I1170" s="39" t="s">
        <v>36</v>
      </c>
      <c r="J1170" s="37">
        <v>100</v>
      </c>
      <c r="K1170" s="37">
        <v>100</v>
      </c>
      <c r="L1170" s="65">
        <f>IFERROR(IF(OR(J1170=0,K1170=""),"",IF(E1170="Positivo",MIN(MAX(K1170/J1170,0),1.3),MIN(MAX(J1170/K1170,0),1.3))),"")</f>
        <v>1</v>
      </c>
      <c r="M1170" s="65">
        <f>IFERROR(IF(OR(J1170=0,K1170=""),"",IF(E1170="Positivo",MAX(K1170/J1170,0),MAX(J1170/K1170,0))),"")</f>
        <v>1</v>
      </c>
      <c r="N1170" s="37"/>
      <c r="O1170" s="37"/>
      <c r="P1170" s="37">
        <v>0</v>
      </c>
      <c r="Q1170" s="37">
        <v>0</v>
      </c>
      <c r="R1170" s="37" t="s">
        <v>2509</v>
      </c>
      <c r="S1170" s="37"/>
    </row>
    <row r="1171" spans="1:19" x14ac:dyDescent="0.3">
      <c r="A1171" s="37">
        <v>479</v>
      </c>
      <c r="B1171" s="37" t="s">
        <v>2510</v>
      </c>
      <c r="C1171" s="37" t="s">
        <v>1969</v>
      </c>
      <c r="D1171" s="37" t="s">
        <v>21</v>
      </c>
      <c r="E1171" s="37" t="s">
        <v>22</v>
      </c>
      <c r="F1171" s="42">
        <v>45473</v>
      </c>
      <c r="G1171" s="37">
        <v>2024</v>
      </c>
      <c r="H1171" s="37" t="s">
        <v>23</v>
      </c>
      <c r="I1171" s="39" t="s">
        <v>34</v>
      </c>
      <c r="J1171" s="37">
        <v>100</v>
      </c>
      <c r="K1171" s="37">
        <v>100</v>
      </c>
      <c r="L1171" s="65">
        <f>IFERROR(IF(OR(J1171=0,K1171=""),"",IF(E1171="Positivo",MIN(MAX(K1171/J1171,0),1.3),MIN(MAX(J1171/K1171,0),1.3))),"")</f>
        <v>1</v>
      </c>
      <c r="M1171" s="65">
        <f>IFERROR(IF(OR(J1171=0,K1171=""),"",IF(E1171="Positivo",MAX(K1171/J1171,0),MAX(J1171/K1171,0))),"")</f>
        <v>1</v>
      </c>
      <c r="N1171" s="37"/>
      <c r="O1171" s="37"/>
      <c r="P1171" s="37">
        <v>0</v>
      </c>
      <c r="Q1171" s="37">
        <v>0</v>
      </c>
      <c r="R1171" s="37" t="s">
        <v>2511</v>
      </c>
      <c r="S1171" s="37"/>
    </row>
    <row r="1172" spans="1:19" x14ac:dyDescent="0.3">
      <c r="A1172" s="37">
        <v>479</v>
      </c>
      <c r="B1172" s="37" t="s">
        <v>2510</v>
      </c>
      <c r="C1172" s="37" t="s">
        <v>1969</v>
      </c>
      <c r="D1172" s="37" t="s">
        <v>21</v>
      </c>
      <c r="E1172" s="37" t="s">
        <v>22</v>
      </c>
      <c r="F1172" s="42">
        <v>45657</v>
      </c>
      <c r="G1172" s="37">
        <v>2024</v>
      </c>
      <c r="H1172" s="37" t="s">
        <v>27</v>
      </c>
      <c r="I1172" s="39" t="s">
        <v>36</v>
      </c>
      <c r="J1172" s="37">
        <v>100</v>
      </c>
      <c r="K1172" s="37">
        <v>100</v>
      </c>
      <c r="L1172" s="65">
        <f>IFERROR(IF(OR(J1172=0,K1172=""),"",IF(E1172="Positivo",MIN(MAX(K1172/J1172,0),1.3),MIN(MAX(J1172/K1172,0),1.3))),"")</f>
        <v>1</v>
      </c>
      <c r="M1172" s="65">
        <f>IFERROR(IF(OR(J1172=0,K1172=""),"",IF(E1172="Positivo",MAX(K1172/J1172,0),MAX(J1172/K1172,0))),"")</f>
        <v>1</v>
      </c>
      <c r="N1172" s="37"/>
      <c r="O1172" s="37"/>
      <c r="P1172" s="37">
        <v>0</v>
      </c>
      <c r="Q1172" s="37">
        <v>0</v>
      </c>
      <c r="R1172" s="37" t="s">
        <v>2512</v>
      </c>
      <c r="S1172" s="37"/>
    </row>
    <row r="1173" spans="1:19" x14ac:dyDescent="0.3">
      <c r="A1173" s="37">
        <v>480</v>
      </c>
      <c r="B1173" s="37" t="s">
        <v>2513</v>
      </c>
      <c r="C1173" s="37" t="s">
        <v>1969</v>
      </c>
      <c r="D1173" s="37" t="s">
        <v>21</v>
      </c>
      <c r="E1173" s="37" t="s">
        <v>22</v>
      </c>
      <c r="F1173" s="42">
        <v>45473</v>
      </c>
      <c r="G1173" s="37">
        <v>2024</v>
      </c>
      <c r="H1173" s="37" t="s">
        <v>23</v>
      </c>
      <c r="I1173" s="39" t="s">
        <v>34</v>
      </c>
      <c r="J1173" s="37">
        <v>100</v>
      </c>
      <c r="K1173" s="37">
        <v>100</v>
      </c>
      <c r="L1173" s="65">
        <f>IFERROR(IF(OR(J1173=0,K1173=""),"",IF(E1173="Positivo",MIN(MAX(K1173/J1173,0),1.3),MIN(MAX(J1173/K1173,0),1.3))),"")</f>
        <v>1</v>
      </c>
      <c r="M1173" s="65">
        <f>IFERROR(IF(OR(J1173=0,K1173=""),"",IF(E1173="Positivo",MAX(K1173/J1173,0),MAX(J1173/K1173,0))),"")</f>
        <v>1</v>
      </c>
      <c r="N1173" s="37"/>
      <c r="O1173" s="37"/>
      <c r="P1173" s="37">
        <v>0</v>
      </c>
      <c r="Q1173" s="37">
        <v>0</v>
      </c>
      <c r="R1173" s="37" t="s">
        <v>2514</v>
      </c>
      <c r="S1173" s="37"/>
    </row>
    <row r="1174" spans="1:19" x14ac:dyDescent="0.3">
      <c r="A1174" s="37">
        <v>480</v>
      </c>
      <c r="B1174" s="37" t="s">
        <v>2513</v>
      </c>
      <c r="C1174" s="37" t="s">
        <v>1969</v>
      </c>
      <c r="D1174" s="37" t="s">
        <v>21</v>
      </c>
      <c r="E1174" s="37" t="s">
        <v>22</v>
      </c>
      <c r="F1174" s="42">
        <v>45657</v>
      </c>
      <c r="G1174" s="37">
        <v>2024</v>
      </c>
      <c r="H1174" s="37" t="s">
        <v>27</v>
      </c>
      <c r="I1174" s="39" t="s">
        <v>36</v>
      </c>
      <c r="J1174" s="37">
        <v>100</v>
      </c>
      <c r="K1174" s="37">
        <v>100</v>
      </c>
      <c r="L1174" s="65">
        <f>IFERROR(IF(OR(J1174=0,K1174=""),"",IF(E1174="Positivo",MIN(MAX(K1174/J1174,0),1.3),MIN(MAX(J1174/K1174,0),1.3))),"")</f>
        <v>1</v>
      </c>
      <c r="M1174" s="65">
        <f>IFERROR(IF(OR(J1174=0,K1174=""),"",IF(E1174="Positivo",MAX(K1174/J1174,0),MAX(J1174/K1174,0))),"")</f>
        <v>1</v>
      </c>
      <c r="N1174" s="37"/>
      <c r="O1174" s="37"/>
      <c r="P1174" s="37">
        <v>0</v>
      </c>
      <c r="Q1174" s="37">
        <v>0</v>
      </c>
      <c r="R1174" s="37" t="s">
        <v>2515</v>
      </c>
      <c r="S1174" s="37"/>
    </row>
    <row r="1175" spans="1:19" x14ac:dyDescent="0.3">
      <c r="A1175" s="37">
        <v>481</v>
      </c>
      <c r="B1175" s="37" t="s">
        <v>2516</v>
      </c>
      <c r="C1175" s="37" t="s">
        <v>1234</v>
      </c>
      <c r="D1175" s="37" t="s">
        <v>21</v>
      </c>
      <c r="E1175" s="37" t="s">
        <v>22</v>
      </c>
      <c r="F1175" s="42">
        <v>45473</v>
      </c>
      <c r="G1175" s="37">
        <v>2024</v>
      </c>
      <c r="H1175" s="37" t="s">
        <v>23</v>
      </c>
      <c r="I1175" s="39" t="s">
        <v>34</v>
      </c>
      <c r="J1175" s="37">
        <v>100</v>
      </c>
      <c r="K1175" s="37">
        <v>100</v>
      </c>
      <c r="L1175" s="65">
        <f>IFERROR(IF(OR(J1175=0,K1175=""),"",IF(E1175="Positivo",MIN(MAX(K1175/J1175,0),1.3),MIN(MAX(J1175/K1175,0),1.3))),"")</f>
        <v>1</v>
      </c>
      <c r="M1175" s="65">
        <f>IFERROR(IF(OR(J1175=0,K1175=""),"",IF(E1175="Positivo",MAX(K1175/J1175,0),MAX(J1175/K1175,0))),"")</f>
        <v>1</v>
      </c>
      <c r="N1175" s="37"/>
      <c r="O1175" s="37"/>
      <c r="P1175" s="37">
        <v>0</v>
      </c>
      <c r="Q1175" s="37">
        <v>0</v>
      </c>
      <c r="R1175" s="37" t="s">
        <v>2517</v>
      </c>
      <c r="S1175" s="37"/>
    </row>
    <row r="1176" spans="1:19" x14ac:dyDescent="0.3">
      <c r="A1176" s="37">
        <v>481</v>
      </c>
      <c r="B1176" s="37" t="s">
        <v>2516</v>
      </c>
      <c r="C1176" s="37" t="s">
        <v>1234</v>
      </c>
      <c r="D1176" s="37" t="s">
        <v>21</v>
      </c>
      <c r="E1176" s="37" t="s">
        <v>22</v>
      </c>
      <c r="F1176" s="42">
        <v>45657</v>
      </c>
      <c r="G1176" s="37">
        <v>2024</v>
      </c>
      <c r="H1176" s="37" t="s">
        <v>27</v>
      </c>
      <c r="I1176" s="39" t="s">
        <v>36</v>
      </c>
      <c r="J1176" s="37">
        <v>100</v>
      </c>
      <c r="K1176" s="37"/>
      <c r="L1176" s="65"/>
      <c r="M1176" s="65"/>
      <c r="N1176" s="37" t="s">
        <v>203</v>
      </c>
      <c r="O1176" s="37" t="s">
        <v>613</v>
      </c>
      <c r="P1176" s="37">
        <v>0</v>
      </c>
      <c r="Q1176" s="37">
        <v>0</v>
      </c>
      <c r="R1176" s="37" t="s">
        <v>2518</v>
      </c>
      <c r="S1176" s="37"/>
    </row>
    <row r="1177" spans="1:19" x14ac:dyDescent="0.3">
      <c r="A1177" s="37">
        <v>483</v>
      </c>
      <c r="B1177" s="37" t="s">
        <v>2519</v>
      </c>
      <c r="C1177" s="37" t="s">
        <v>1984</v>
      </c>
      <c r="D1177" s="37" t="s">
        <v>139</v>
      </c>
      <c r="E1177" s="37" t="s">
        <v>22</v>
      </c>
      <c r="F1177" s="42">
        <v>45657</v>
      </c>
      <c r="G1177" s="37">
        <v>2024</v>
      </c>
      <c r="H1177" s="37" t="s">
        <v>27</v>
      </c>
      <c r="I1177" s="39" t="s">
        <v>36</v>
      </c>
      <c r="J1177" s="37">
        <v>10</v>
      </c>
      <c r="K1177" s="37">
        <v>91.65</v>
      </c>
      <c r="L1177" s="65">
        <f t="shared" ref="L1177:L1179" si="142">IFERROR(IF(OR(J1177=0,K1177=""),"",IF(E1177="Positivo",MIN(MAX(K1177/J1177,0),1.3),MIN(MAX(J1177/K1177,0),1.3))),"")</f>
        <v>1.3</v>
      </c>
      <c r="M1177" s="65">
        <f t="shared" ref="M1177:M1179" si="143">IFERROR(IF(OR(J1177=0,K1177=""),"",IF(E1177="Positivo",MAX(K1177/J1177,0),MAX(J1177/K1177,0))),"")</f>
        <v>9.1650000000000009</v>
      </c>
      <c r="N1177" s="37"/>
      <c r="O1177" s="37"/>
      <c r="P1177" s="37">
        <v>0</v>
      </c>
      <c r="Q1177" s="37">
        <v>0</v>
      </c>
      <c r="R1177" s="37" t="s">
        <v>2520</v>
      </c>
      <c r="S1177" s="37"/>
    </row>
    <row r="1178" spans="1:19" x14ac:dyDescent="0.3">
      <c r="A1178" s="37">
        <v>484</v>
      </c>
      <c r="B1178" s="37" t="s">
        <v>2521</v>
      </c>
      <c r="C1178" s="37" t="s">
        <v>138</v>
      </c>
      <c r="D1178" s="37" t="s">
        <v>39</v>
      </c>
      <c r="E1178" s="37" t="s">
        <v>22</v>
      </c>
      <c r="F1178" s="42">
        <v>45473</v>
      </c>
      <c r="G1178" s="37">
        <v>2024</v>
      </c>
      <c r="H1178" s="37" t="s">
        <v>23</v>
      </c>
      <c r="I1178" s="39" t="s">
        <v>34</v>
      </c>
      <c r="J1178" s="37">
        <v>18</v>
      </c>
      <c r="K1178" s="37">
        <v>18</v>
      </c>
      <c r="L1178" s="65">
        <f t="shared" si="142"/>
        <v>1</v>
      </c>
      <c r="M1178" s="65">
        <f t="shared" si="143"/>
        <v>1</v>
      </c>
      <c r="N1178" s="37"/>
      <c r="O1178" s="37"/>
      <c r="P1178" s="37">
        <v>0</v>
      </c>
      <c r="Q1178" s="37">
        <v>0</v>
      </c>
      <c r="R1178" s="37" t="s">
        <v>2522</v>
      </c>
      <c r="S1178" s="37"/>
    </row>
    <row r="1179" spans="1:19" x14ac:dyDescent="0.3">
      <c r="A1179" s="37">
        <v>484</v>
      </c>
      <c r="B1179" s="37" t="s">
        <v>2521</v>
      </c>
      <c r="C1179" s="37" t="s">
        <v>138</v>
      </c>
      <c r="D1179" s="37" t="s">
        <v>39</v>
      </c>
      <c r="E1179" s="37" t="s">
        <v>22</v>
      </c>
      <c r="F1179" s="42">
        <v>45657</v>
      </c>
      <c r="G1179" s="37">
        <v>2024</v>
      </c>
      <c r="H1179" s="37" t="s">
        <v>27</v>
      </c>
      <c r="I1179" s="39" t="s">
        <v>36</v>
      </c>
      <c r="J1179" s="37">
        <v>11.5</v>
      </c>
      <c r="K1179" s="37">
        <v>11.5</v>
      </c>
      <c r="L1179" s="65">
        <f t="shared" si="142"/>
        <v>1</v>
      </c>
      <c r="M1179" s="65">
        <f t="shared" si="143"/>
        <v>1</v>
      </c>
      <c r="N1179" s="37"/>
      <c r="O1179" s="37"/>
      <c r="P1179" s="37">
        <v>0</v>
      </c>
      <c r="Q1179" s="37">
        <v>0</v>
      </c>
      <c r="R1179" s="37" t="s">
        <v>2524</v>
      </c>
      <c r="S1179" s="37"/>
    </row>
    <row r="1180" spans="1:19" x14ac:dyDescent="0.3">
      <c r="A1180" s="37">
        <v>485</v>
      </c>
      <c r="B1180" s="37" t="s">
        <v>2525</v>
      </c>
      <c r="C1180" s="37" t="s">
        <v>258</v>
      </c>
      <c r="D1180" s="37" t="s">
        <v>73</v>
      </c>
      <c r="E1180" s="37" t="s">
        <v>22</v>
      </c>
      <c r="F1180" s="42">
        <v>45473</v>
      </c>
      <c r="G1180" s="37">
        <v>2024</v>
      </c>
      <c r="H1180" s="37" t="s">
        <v>23</v>
      </c>
      <c r="I1180" s="39" t="s">
        <v>34</v>
      </c>
      <c r="J1180" s="37"/>
      <c r="K1180" s="37"/>
      <c r="L1180" s="65"/>
      <c r="M1180" s="65"/>
      <c r="N1180" s="37"/>
      <c r="O1180" s="37"/>
      <c r="P1180" s="37">
        <v>0</v>
      </c>
      <c r="Q1180" s="37">
        <v>0</v>
      </c>
      <c r="R1180" s="37" t="s">
        <v>2531</v>
      </c>
      <c r="S1180" s="37"/>
    </row>
    <row r="1181" spans="1:19" x14ac:dyDescent="0.3">
      <c r="A1181" s="37">
        <v>485</v>
      </c>
      <c r="B1181" s="37" t="s">
        <v>2525</v>
      </c>
      <c r="C1181" s="37" t="s">
        <v>258</v>
      </c>
      <c r="D1181" s="37" t="s">
        <v>73</v>
      </c>
      <c r="E1181" s="37" t="s">
        <v>22</v>
      </c>
      <c r="F1181" s="42">
        <v>45657</v>
      </c>
      <c r="G1181" s="37">
        <v>2024</v>
      </c>
      <c r="H1181" s="37" t="s">
        <v>27</v>
      </c>
      <c r="I1181" s="39" t="s">
        <v>36</v>
      </c>
      <c r="J1181" s="37">
        <v>80</v>
      </c>
      <c r="K1181" s="37">
        <v>91.666666666666657</v>
      </c>
      <c r="L1181" s="65">
        <f t="shared" ref="L1181:L1183" si="144">IFERROR(IF(OR(J1181=0,K1181=""),"",IF(E1181="Positivo",MIN(MAX(K1181/J1181,0),1.3),MIN(MAX(J1181/K1181,0),1.3))),"")</f>
        <v>1.1458333333333333</v>
      </c>
      <c r="M1181" s="65">
        <f t="shared" ref="M1181:M1183" si="145">IFERROR(IF(OR(J1181=0,K1181=""),"",IF(E1181="Positivo",MAX(K1181/J1181,0),MAX(J1181/K1181,0))),"")</f>
        <v>1.1458333333333333</v>
      </c>
      <c r="N1181" s="37"/>
      <c r="O1181" s="37"/>
      <c r="P1181" s="37">
        <v>0</v>
      </c>
      <c r="Q1181" s="37">
        <v>0</v>
      </c>
      <c r="R1181" s="37" t="s">
        <v>2536</v>
      </c>
      <c r="S1181" s="37"/>
    </row>
    <row r="1182" spans="1:19" x14ac:dyDescent="0.3">
      <c r="A1182" s="37">
        <v>486</v>
      </c>
      <c r="B1182" s="37" t="s">
        <v>2549</v>
      </c>
      <c r="C1182" s="37" t="s">
        <v>207</v>
      </c>
      <c r="D1182" s="37" t="s">
        <v>21</v>
      </c>
      <c r="E1182" s="37" t="s">
        <v>22</v>
      </c>
      <c r="F1182" s="42">
        <v>45473</v>
      </c>
      <c r="G1182" s="37">
        <v>2024</v>
      </c>
      <c r="H1182" s="37" t="s">
        <v>23</v>
      </c>
      <c r="I1182" s="39" t="s">
        <v>34</v>
      </c>
      <c r="J1182" s="37">
        <v>0</v>
      </c>
      <c r="K1182" s="37">
        <v>4900000</v>
      </c>
      <c r="L1182" s="65" t="str">
        <f t="shared" si="144"/>
        <v/>
      </c>
      <c r="M1182" s="65" t="str">
        <f t="shared" si="145"/>
        <v/>
      </c>
      <c r="N1182" s="37"/>
      <c r="O1182" s="37"/>
      <c r="P1182" s="37">
        <v>0</v>
      </c>
      <c r="Q1182" s="37">
        <v>0</v>
      </c>
      <c r="R1182" s="37" t="s">
        <v>2550</v>
      </c>
      <c r="S1182" s="37"/>
    </row>
    <row r="1183" spans="1:19" x14ac:dyDescent="0.3">
      <c r="A1183" s="37">
        <v>486</v>
      </c>
      <c r="B1183" s="37" t="s">
        <v>2549</v>
      </c>
      <c r="C1183" s="37" t="s">
        <v>207</v>
      </c>
      <c r="D1183" s="37" t="s">
        <v>21</v>
      </c>
      <c r="E1183" s="37" t="s">
        <v>22</v>
      </c>
      <c r="F1183" s="42">
        <v>45657</v>
      </c>
      <c r="G1183" s="37">
        <v>2024</v>
      </c>
      <c r="H1183" s="37" t="s">
        <v>27</v>
      </c>
      <c r="I1183" s="39" t="s">
        <v>36</v>
      </c>
      <c r="J1183" s="37">
        <v>0</v>
      </c>
      <c r="K1183" s="37">
        <v>2700000</v>
      </c>
      <c r="L1183" s="65" t="str">
        <f t="shared" si="144"/>
        <v/>
      </c>
      <c r="M1183" s="65" t="str">
        <f t="shared" si="145"/>
        <v/>
      </c>
      <c r="N1183" s="37"/>
      <c r="O1183" s="37"/>
      <c r="P1183" s="37">
        <v>0</v>
      </c>
      <c r="Q1183" s="37">
        <v>0</v>
      </c>
      <c r="R1183" s="37" t="s">
        <v>2551</v>
      </c>
      <c r="S1183" s="37"/>
    </row>
    <row r="1184" spans="1:19" x14ac:dyDescent="0.3">
      <c r="A1184" s="37">
        <v>487</v>
      </c>
      <c r="B1184" s="37" t="s">
        <v>2552</v>
      </c>
      <c r="C1184" s="37" t="s">
        <v>1336</v>
      </c>
      <c r="D1184" s="37" t="s">
        <v>139</v>
      </c>
      <c r="E1184" s="37" t="s">
        <v>22</v>
      </c>
      <c r="F1184" s="42">
        <v>45657</v>
      </c>
      <c r="G1184" s="37">
        <v>2024</v>
      </c>
      <c r="H1184" s="37" t="s">
        <v>27</v>
      </c>
      <c r="I1184" s="39" t="s">
        <v>36</v>
      </c>
      <c r="J1184" s="37">
        <v>20</v>
      </c>
      <c r="K1184" s="37">
        <v>6.06</v>
      </c>
      <c r="L1184" s="65">
        <f>IFERROR(IF(OR(J1184=0,K1184=""),"",IF(E1184="Positivo",MIN(MAX(K1184/J1184,0),1.3),MIN(MAX(J1184/K1184,0),1.3))),"")</f>
        <v>0.30299999999999999</v>
      </c>
      <c r="M1184" s="65">
        <f>IFERROR(IF(OR(J1184=0,K1184=""),"",IF(E1184="Positivo",MAX(K1184/J1184,0),MAX(J1184/K1184,0))),"")</f>
        <v>0.30299999999999999</v>
      </c>
      <c r="N1184" s="37"/>
      <c r="O1184" s="37"/>
      <c r="P1184" s="37">
        <v>0</v>
      </c>
      <c r="Q1184" s="37">
        <v>0</v>
      </c>
      <c r="R1184" s="37" t="s">
        <v>2553</v>
      </c>
      <c r="S1184" s="37"/>
    </row>
    <row r="1185" spans="1:19" x14ac:dyDescent="0.3">
      <c r="A1185" s="37">
        <v>488</v>
      </c>
      <c r="B1185" s="37" t="s">
        <v>2555</v>
      </c>
      <c r="C1185" s="37" t="s">
        <v>258</v>
      </c>
      <c r="D1185" s="37" t="s">
        <v>73</v>
      </c>
      <c r="E1185" s="37" t="s">
        <v>22</v>
      </c>
      <c r="F1185" s="42">
        <v>45473</v>
      </c>
      <c r="G1185" s="37">
        <v>2024</v>
      </c>
      <c r="H1185" s="37" t="s">
        <v>23</v>
      </c>
      <c r="I1185" s="39" t="s">
        <v>34</v>
      </c>
      <c r="J1185" s="37"/>
      <c r="K1185" s="37"/>
      <c r="L1185" s="65"/>
      <c r="M1185" s="65"/>
      <c r="N1185" s="37"/>
      <c r="O1185" s="37"/>
      <c r="P1185" s="37">
        <v>0</v>
      </c>
      <c r="Q1185" s="37">
        <v>0</v>
      </c>
      <c r="R1185" s="37" t="s">
        <v>2561</v>
      </c>
      <c r="S1185" s="37"/>
    </row>
    <row r="1186" spans="1:19" x14ac:dyDescent="0.3">
      <c r="A1186" s="37">
        <v>488</v>
      </c>
      <c r="B1186" s="37" t="s">
        <v>2555</v>
      </c>
      <c r="C1186" s="37" t="s">
        <v>258</v>
      </c>
      <c r="D1186" s="37" t="s">
        <v>73</v>
      </c>
      <c r="E1186" s="37" t="s">
        <v>22</v>
      </c>
      <c r="F1186" s="42">
        <v>45657</v>
      </c>
      <c r="G1186" s="37">
        <v>2024</v>
      </c>
      <c r="H1186" s="37" t="s">
        <v>27</v>
      </c>
      <c r="I1186" s="39" t="s">
        <v>36</v>
      </c>
      <c r="J1186" s="37">
        <v>85</v>
      </c>
      <c r="K1186" s="37">
        <v>92.961288460795018</v>
      </c>
      <c r="L1186" s="65">
        <f>IFERROR(IF(OR(J1186=0,K1186=""),"",IF(E1186="Positivo",MIN(MAX(K1186/J1186,0),1.3),MIN(MAX(J1186/K1186,0),1.3))),"")</f>
        <v>1.0936622171858237</v>
      </c>
      <c r="M1186" s="65">
        <f>IFERROR(IF(OR(J1186=0,K1186=""),"",IF(E1186="Positivo",MAX(K1186/J1186,0),MAX(J1186/K1186,0))),"")</f>
        <v>1.0936622171858237</v>
      </c>
      <c r="N1186" s="37"/>
      <c r="O1186" s="37"/>
      <c r="P1186" s="37">
        <v>0</v>
      </c>
      <c r="Q1186" s="37">
        <v>0</v>
      </c>
      <c r="R1186" s="37" t="s">
        <v>2567</v>
      </c>
      <c r="S1186" s="37"/>
    </row>
    <row r="1187" spans="1:19" x14ac:dyDescent="0.3">
      <c r="A1187" s="37">
        <v>489</v>
      </c>
      <c r="B1187" s="37" t="s">
        <v>2580</v>
      </c>
      <c r="C1187" s="37" t="s">
        <v>258</v>
      </c>
      <c r="D1187" s="37" t="s">
        <v>73</v>
      </c>
      <c r="E1187" s="37" t="s">
        <v>22</v>
      </c>
      <c r="F1187" s="42">
        <v>45473</v>
      </c>
      <c r="G1187" s="37">
        <v>2024</v>
      </c>
      <c r="H1187" s="37" t="s">
        <v>23</v>
      </c>
      <c r="I1187" s="39" t="s">
        <v>34</v>
      </c>
      <c r="J1187" s="37"/>
      <c r="K1187" s="37"/>
      <c r="L1187" s="65"/>
      <c r="M1187" s="65"/>
      <c r="N1187" s="37"/>
      <c r="O1187" s="37"/>
      <c r="P1187" s="37">
        <v>0</v>
      </c>
      <c r="Q1187" s="37">
        <v>0</v>
      </c>
      <c r="R1187" s="37" t="s">
        <v>3546</v>
      </c>
      <c r="S1187" s="37"/>
    </row>
    <row r="1188" spans="1:19" x14ac:dyDescent="0.3">
      <c r="A1188" s="37">
        <v>489</v>
      </c>
      <c r="B1188" s="37" t="s">
        <v>2580</v>
      </c>
      <c r="C1188" s="37" t="s">
        <v>258</v>
      </c>
      <c r="D1188" s="37" t="s">
        <v>73</v>
      </c>
      <c r="E1188" s="37" t="s">
        <v>22</v>
      </c>
      <c r="F1188" s="42">
        <v>45657</v>
      </c>
      <c r="G1188" s="37">
        <v>2024</v>
      </c>
      <c r="H1188" s="37" t="s">
        <v>27</v>
      </c>
      <c r="I1188" s="39" t="s">
        <v>36</v>
      </c>
      <c r="J1188" s="37">
        <v>80</v>
      </c>
      <c r="K1188" s="37">
        <v>100</v>
      </c>
      <c r="L1188" s="65">
        <f t="shared" ref="L1188:L1206" si="146">IFERROR(IF(OR(J1188=0,K1188=""),"",IF(E1188="Positivo",MIN(MAX(K1188/J1188,0),1.3),MIN(MAX(J1188/K1188,0),1.3))),"")</f>
        <v>1.25</v>
      </c>
      <c r="M1188" s="65">
        <f t="shared" ref="M1188:M1206" si="147">IFERROR(IF(OR(J1188=0,K1188=""),"",IF(E1188="Positivo",MAX(K1188/J1188,0),MAX(J1188/K1188,0))),"")</f>
        <v>1.25</v>
      </c>
      <c r="N1188" s="37"/>
      <c r="O1188" s="37"/>
      <c r="P1188" s="37">
        <v>0</v>
      </c>
      <c r="Q1188" s="37">
        <v>0</v>
      </c>
      <c r="R1188" s="37" t="s">
        <v>2583</v>
      </c>
      <c r="S1188" s="37"/>
    </row>
    <row r="1189" spans="1:19" x14ac:dyDescent="0.3">
      <c r="A1189" s="37">
        <v>490</v>
      </c>
      <c r="B1189" s="37" t="s">
        <v>2584</v>
      </c>
      <c r="C1189" s="37" t="s">
        <v>1263</v>
      </c>
      <c r="D1189" s="37" t="s">
        <v>139</v>
      </c>
      <c r="E1189" s="37" t="s">
        <v>22</v>
      </c>
      <c r="F1189" s="42">
        <v>45657</v>
      </c>
      <c r="G1189" s="37">
        <v>2024</v>
      </c>
      <c r="H1189" s="37" t="s">
        <v>27</v>
      </c>
      <c r="I1189" s="39" t="s">
        <v>36</v>
      </c>
      <c r="J1189" s="37">
        <v>80</v>
      </c>
      <c r="K1189" s="37">
        <v>88</v>
      </c>
      <c r="L1189" s="65">
        <f t="shared" si="146"/>
        <v>1.1000000000000001</v>
      </c>
      <c r="M1189" s="65">
        <f t="shared" si="147"/>
        <v>1.1000000000000001</v>
      </c>
      <c r="N1189" s="37"/>
      <c r="O1189" s="37"/>
      <c r="P1189" s="37">
        <v>0</v>
      </c>
      <c r="Q1189" s="37">
        <v>0</v>
      </c>
      <c r="R1189" s="37" t="s">
        <v>2585</v>
      </c>
      <c r="S1189" s="37"/>
    </row>
    <row r="1190" spans="1:19" x14ac:dyDescent="0.3">
      <c r="A1190" s="37">
        <v>491</v>
      </c>
      <c r="B1190" s="37" t="s">
        <v>2586</v>
      </c>
      <c r="C1190" s="37" t="s">
        <v>1096</v>
      </c>
      <c r="D1190" s="37" t="s">
        <v>139</v>
      </c>
      <c r="E1190" s="37" t="s">
        <v>22</v>
      </c>
      <c r="F1190" s="42">
        <v>45657</v>
      </c>
      <c r="G1190" s="37">
        <v>2024</v>
      </c>
      <c r="H1190" s="37" t="s">
        <v>27</v>
      </c>
      <c r="I1190" s="39" t="s">
        <v>36</v>
      </c>
      <c r="J1190" s="37">
        <v>80</v>
      </c>
      <c r="K1190" s="37">
        <v>88</v>
      </c>
      <c r="L1190" s="65">
        <f t="shared" si="146"/>
        <v>1.1000000000000001</v>
      </c>
      <c r="M1190" s="65">
        <f t="shared" si="147"/>
        <v>1.1000000000000001</v>
      </c>
      <c r="N1190" s="37"/>
      <c r="O1190" s="37"/>
      <c r="P1190" s="37">
        <v>0</v>
      </c>
      <c r="Q1190" s="37">
        <v>0</v>
      </c>
      <c r="R1190" s="37" t="s">
        <v>2587</v>
      </c>
      <c r="S1190" s="37"/>
    </row>
    <row r="1191" spans="1:19" x14ac:dyDescent="0.3">
      <c r="A1191" s="37">
        <v>492</v>
      </c>
      <c r="B1191" s="37" t="s">
        <v>2588</v>
      </c>
      <c r="C1191" s="37" t="s">
        <v>1241</v>
      </c>
      <c r="D1191" s="37" t="s">
        <v>139</v>
      </c>
      <c r="E1191" s="37" t="s">
        <v>22</v>
      </c>
      <c r="F1191" s="42">
        <v>45657</v>
      </c>
      <c r="G1191" s="37">
        <v>2024</v>
      </c>
      <c r="H1191" s="37" t="s">
        <v>27</v>
      </c>
      <c r="I1191" s="39" t="s">
        <v>36</v>
      </c>
      <c r="J1191" s="37">
        <v>80</v>
      </c>
      <c r="K1191" s="37">
        <v>83</v>
      </c>
      <c r="L1191" s="65">
        <f t="shared" si="146"/>
        <v>1.0375000000000001</v>
      </c>
      <c r="M1191" s="65">
        <f t="shared" si="147"/>
        <v>1.0375000000000001</v>
      </c>
      <c r="N1191" s="37"/>
      <c r="O1191" s="37"/>
      <c r="P1191" s="37">
        <v>0</v>
      </c>
      <c r="Q1191" s="37">
        <v>0</v>
      </c>
      <c r="R1191" s="37" t="s">
        <v>2589</v>
      </c>
      <c r="S1191" s="37"/>
    </row>
    <row r="1192" spans="1:19" x14ac:dyDescent="0.3">
      <c r="A1192" s="37">
        <v>493</v>
      </c>
      <c r="B1192" s="37" t="s">
        <v>2590</v>
      </c>
      <c r="C1192" s="37" t="s">
        <v>1303</v>
      </c>
      <c r="D1192" s="37" t="s">
        <v>139</v>
      </c>
      <c r="E1192" s="37" t="s">
        <v>22</v>
      </c>
      <c r="F1192" s="42">
        <v>45657</v>
      </c>
      <c r="G1192" s="37">
        <v>2024</v>
      </c>
      <c r="H1192" s="37" t="s">
        <v>27</v>
      </c>
      <c r="I1192" s="39" t="s">
        <v>36</v>
      </c>
      <c r="J1192" s="37">
        <v>80</v>
      </c>
      <c r="K1192" s="37">
        <v>81</v>
      </c>
      <c r="L1192" s="65">
        <f t="shared" si="146"/>
        <v>1.0125</v>
      </c>
      <c r="M1192" s="65">
        <f t="shared" si="147"/>
        <v>1.0125</v>
      </c>
      <c r="N1192" s="37"/>
      <c r="O1192" s="37"/>
      <c r="P1192" s="37">
        <v>0</v>
      </c>
      <c r="Q1192" s="37">
        <v>0</v>
      </c>
      <c r="R1192" s="37" t="s">
        <v>2591</v>
      </c>
      <c r="S1192" s="37"/>
    </row>
    <row r="1193" spans="1:19" x14ac:dyDescent="0.3">
      <c r="A1193" s="37">
        <v>494</v>
      </c>
      <c r="B1193" s="37" t="s">
        <v>2592</v>
      </c>
      <c r="C1193" s="37" t="s">
        <v>1501</v>
      </c>
      <c r="D1193" s="37" t="s">
        <v>139</v>
      </c>
      <c r="E1193" s="37" t="s">
        <v>22</v>
      </c>
      <c r="F1193" s="42">
        <v>45657</v>
      </c>
      <c r="G1193" s="37">
        <v>2024</v>
      </c>
      <c r="H1193" s="37" t="s">
        <v>27</v>
      </c>
      <c r="I1193" s="39" t="s">
        <v>36</v>
      </c>
      <c r="J1193" s="37">
        <v>80</v>
      </c>
      <c r="K1193" s="37">
        <v>89</v>
      </c>
      <c r="L1193" s="65">
        <f t="shared" si="146"/>
        <v>1.1125</v>
      </c>
      <c r="M1193" s="65">
        <f t="shared" si="147"/>
        <v>1.1125</v>
      </c>
      <c r="N1193" s="37"/>
      <c r="O1193" s="37"/>
      <c r="P1193" s="37">
        <v>0</v>
      </c>
      <c r="Q1193" s="37">
        <v>0</v>
      </c>
      <c r="R1193" s="37" t="s">
        <v>2593</v>
      </c>
      <c r="S1193" s="37"/>
    </row>
    <row r="1194" spans="1:19" x14ac:dyDescent="0.3">
      <c r="A1194" s="37">
        <v>495</v>
      </c>
      <c r="B1194" s="37" t="s">
        <v>2594</v>
      </c>
      <c r="C1194" s="37" t="s">
        <v>1721</v>
      </c>
      <c r="D1194" s="37" t="s">
        <v>139</v>
      </c>
      <c r="E1194" s="37" t="s">
        <v>22</v>
      </c>
      <c r="F1194" s="42">
        <v>45657</v>
      </c>
      <c r="G1194" s="37">
        <v>2024</v>
      </c>
      <c r="H1194" s="37" t="s">
        <v>27</v>
      </c>
      <c r="I1194" s="39" t="s">
        <v>36</v>
      </c>
      <c r="J1194" s="37">
        <v>80</v>
      </c>
      <c r="K1194" s="37">
        <v>92</v>
      </c>
      <c r="L1194" s="65">
        <f t="shared" si="146"/>
        <v>1.1499999999999999</v>
      </c>
      <c r="M1194" s="65">
        <f t="shared" si="147"/>
        <v>1.1499999999999999</v>
      </c>
      <c r="N1194" s="37"/>
      <c r="O1194" s="37"/>
      <c r="P1194" s="37">
        <v>0</v>
      </c>
      <c r="Q1194" s="37">
        <v>0</v>
      </c>
      <c r="R1194" s="37" t="s">
        <v>2595</v>
      </c>
      <c r="S1194" s="37"/>
    </row>
    <row r="1195" spans="1:19" x14ac:dyDescent="0.3">
      <c r="A1195" s="37">
        <v>496</v>
      </c>
      <c r="B1195" s="37" t="s">
        <v>2596</v>
      </c>
      <c r="C1195" s="37" t="s">
        <v>210</v>
      </c>
      <c r="D1195" s="37" t="s">
        <v>139</v>
      </c>
      <c r="E1195" s="37" t="s">
        <v>22</v>
      </c>
      <c r="F1195" s="42">
        <v>45657</v>
      </c>
      <c r="G1195" s="37">
        <v>2024</v>
      </c>
      <c r="H1195" s="37" t="s">
        <v>27</v>
      </c>
      <c r="I1195" s="39" t="s">
        <v>36</v>
      </c>
      <c r="J1195" s="37">
        <v>80</v>
      </c>
      <c r="K1195" s="37">
        <v>88</v>
      </c>
      <c r="L1195" s="65">
        <f t="shared" si="146"/>
        <v>1.1000000000000001</v>
      </c>
      <c r="M1195" s="65">
        <f t="shared" si="147"/>
        <v>1.1000000000000001</v>
      </c>
      <c r="N1195" s="37"/>
      <c r="O1195" s="37"/>
      <c r="P1195" s="37">
        <v>0</v>
      </c>
      <c r="Q1195" s="37">
        <v>0</v>
      </c>
      <c r="R1195" s="37" t="s">
        <v>2597</v>
      </c>
      <c r="S1195" s="37"/>
    </row>
    <row r="1196" spans="1:19" x14ac:dyDescent="0.3">
      <c r="A1196" s="37">
        <v>497</v>
      </c>
      <c r="B1196" s="37" t="s">
        <v>2598</v>
      </c>
      <c r="C1196" s="37" t="s">
        <v>1765</v>
      </c>
      <c r="D1196" s="37" t="s">
        <v>139</v>
      </c>
      <c r="E1196" s="37" t="s">
        <v>22</v>
      </c>
      <c r="F1196" s="42">
        <v>45657</v>
      </c>
      <c r="G1196" s="37">
        <v>2024</v>
      </c>
      <c r="H1196" s="37" t="s">
        <v>27</v>
      </c>
      <c r="I1196" s="39" t="s">
        <v>36</v>
      </c>
      <c r="J1196" s="37">
        <v>80</v>
      </c>
      <c r="K1196" s="37">
        <v>83</v>
      </c>
      <c r="L1196" s="65">
        <f t="shared" si="146"/>
        <v>1.0375000000000001</v>
      </c>
      <c r="M1196" s="65">
        <f t="shared" si="147"/>
        <v>1.0375000000000001</v>
      </c>
      <c r="N1196" s="37"/>
      <c r="O1196" s="37"/>
      <c r="P1196" s="37">
        <v>0</v>
      </c>
      <c r="Q1196" s="37">
        <v>0</v>
      </c>
      <c r="R1196" s="37" t="s">
        <v>2599</v>
      </c>
      <c r="S1196" s="37"/>
    </row>
    <row r="1197" spans="1:19" x14ac:dyDescent="0.3">
      <c r="A1197" s="37">
        <v>498</v>
      </c>
      <c r="B1197" s="37" t="s">
        <v>2600</v>
      </c>
      <c r="C1197" s="37" t="s">
        <v>1336</v>
      </c>
      <c r="D1197" s="37" t="s">
        <v>139</v>
      </c>
      <c r="E1197" s="37" t="s">
        <v>22</v>
      </c>
      <c r="F1197" s="42">
        <v>45657</v>
      </c>
      <c r="G1197" s="37">
        <v>2024</v>
      </c>
      <c r="H1197" s="37" t="s">
        <v>27</v>
      </c>
      <c r="I1197" s="39" t="s">
        <v>36</v>
      </c>
      <c r="J1197" s="37">
        <v>80</v>
      </c>
      <c r="K1197" s="37">
        <v>92</v>
      </c>
      <c r="L1197" s="65">
        <f t="shared" si="146"/>
        <v>1.1499999999999999</v>
      </c>
      <c r="M1197" s="65">
        <f t="shared" si="147"/>
        <v>1.1499999999999999</v>
      </c>
      <c r="N1197" s="37"/>
      <c r="O1197" s="37"/>
      <c r="P1197" s="37">
        <v>0</v>
      </c>
      <c r="Q1197" s="37">
        <v>0</v>
      </c>
      <c r="R1197" s="37" t="s">
        <v>2601</v>
      </c>
      <c r="S1197" s="37"/>
    </row>
    <row r="1198" spans="1:19" x14ac:dyDescent="0.3">
      <c r="A1198" s="37">
        <v>499</v>
      </c>
      <c r="B1198" s="37" t="s">
        <v>2602</v>
      </c>
      <c r="C1198" s="37" t="s">
        <v>1758</v>
      </c>
      <c r="D1198" s="37" t="s">
        <v>139</v>
      </c>
      <c r="E1198" s="37" t="s">
        <v>22</v>
      </c>
      <c r="F1198" s="42">
        <v>45657</v>
      </c>
      <c r="G1198" s="37">
        <v>2024</v>
      </c>
      <c r="H1198" s="37" t="s">
        <v>27</v>
      </c>
      <c r="I1198" s="39" t="s">
        <v>36</v>
      </c>
      <c r="J1198" s="37">
        <v>80</v>
      </c>
      <c r="K1198" s="37">
        <v>87</v>
      </c>
      <c r="L1198" s="65">
        <f t="shared" si="146"/>
        <v>1.0874999999999999</v>
      </c>
      <c r="M1198" s="65">
        <f t="shared" si="147"/>
        <v>1.0874999999999999</v>
      </c>
      <c r="N1198" s="37"/>
      <c r="O1198" s="37"/>
      <c r="P1198" s="37">
        <v>0</v>
      </c>
      <c r="Q1198" s="37">
        <v>0</v>
      </c>
      <c r="R1198" s="37" t="s">
        <v>2603</v>
      </c>
      <c r="S1198" s="37"/>
    </row>
    <row r="1199" spans="1:19" x14ac:dyDescent="0.3">
      <c r="A1199" s="37">
        <v>500</v>
      </c>
      <c r="B1199" s="37" t="s">
        <v>2604</v>
      </c>
      <c r="C1199" s="37" t="s">
        <v>1528</v>
      </c>
      <c r="D1199" s="37" t="s">
        <v>139</v>
      </c>
      <c r="E1199" s="37" t="s">
        <v>22</v>
      </c>
      <c r="F1199" s="42">
        <v>45657</v>
      </c>
      <c r="G1199" s="37">
        <v>2024</v>
      </c>
      <c r="H1199" s="37" t="s">
        <v>27</v>
      </c>
      <c r="I1199" s="39" t="s">
        <v>36</v>
      </c>
      <c r="J1199" s="37">
        <v>80</v>
      </c>
      <c r="K1199" s="37">
        <v>89</v>
      </c>
      <c r="L1199" s="65">
        <f t="shared" si="146"/>
        <v>1.1125</v>
      </c>
      <c r="M1199" s="65">
        <f t="shared" si="147"/>
        <v>1.1125</v>
      </c>
      <c r="N1199" s="37"/>
      <c r="O1199" s="37"/>
      <c r="P1199" s="37">
        <v>0</v>
      </c>
      <c r="Q1199" s="37">
        <v>0</v>
      </c>
      <c r="R1199" s="37" t="s">
        <v>2605</v>
      </c>
      <c r="S1199" s="37"/>
    </row>
    <row r="1200" spans="1:19" x14ac:dyDescent="0.3">
      <c r="A1200" s="37">
        <v>501</v>
      </c>
      <c r="B1200" s="37" t="s">
        <v>2606</v>
      </c>
      <c r="C1200" s="37" t="s">
        <v>1234</v>
      </c>
      <c r="D1200" s="37" t="s">
        <v>139</v>
      </c>
      <c r="E1200" s="37" t="s">
        <v>22</v>
      </c>
      <c r="F1200" s="42">
        <v>45657</v>
      </c>
      <c r="G1200" s="37">
        <v>2024</v>
      </c>
      <c r="H1200" s="37" t="s">
        <v>27</v>
      </c>
      <c r="I1200" s="39" t="s">
        <v>36</v>
      </c>
      <c r="J1200" s="37">
        <v>80</v>
      </c>
      <c r="K1200" s="37">
        <v>88</v>
      </c>
      <c r="L1200" s="65">
        <f t="shared" si="146"/>
        <v>1.1000000000000001</v>
      </c>
      <c r="M1200" s="65">
        <f t="shared" si="147"/>
        <v>1.1000000000000001</v>
      </c>
      <c r="N1200" s="37"/>
      <c r="O1200" s="37"/>
      <c r="P1200" s="37">
        <v>0</v>
      </c>
      <c r="Q1200" s="37">
        <v>0</v>
      </c>
      <c r="R1200" s="37" t="s">
        <v>2607</v>
      </c>
      <c r="S1200" s="37"/>
    </row>
    <row r="1201" spans="1:19" x14ac:dyDescent="0.3">
      <c r="A1201" s="37">
        <v>502</v>
      </c>
      <c r="B1201" s="37" t="s">
        <v>2608</v>
      </c>
      <c r="C1201" s="37" t="s">
        <v>509</v>
      </c>
      <c r="D1201" s="37" t="s">
        <v>139</v>
      </c>
      <c r="E1201" s="37" t="s">
        <v>22</v>
      </c>
      <c r="F1201" s="42">
        <v>45657</v>
      </c>
      <c r="G1201" s="37">
        <v>2024</v>
      </c>
      <c r="H1201" s="37" t="s">
        <v>27</v>
      </c>
      <c r="I1201" s="39" t="s">
        <v>36</v>
      </c>
      <c r="J1201" s="37">
        <v>80</v>
      </c>
      <c r="K1201" s="37">
        <v>90</v>
      </c>
      <c r="L1201" s="65">
        <f t="shared" si="146"/>
        <v>1.125</v>
      </c>
      <c r="M1201" s="65">
        <f t="shared" si="147"/>
        <v>1.125</v>
      </c>
      <c r="N1201" s="37"/>
      <c r="O1201" s="37"/>
      <c r="P1201" s="37">
        <v>0</v>
      </c>
      <c r="Q1201" s="37">
        <v>0</v>
      </c>
      <c r="R1201" s="37" t="s">
        <v>2609</v>
      </c>
      <c r="S1201" s="37"/>
    </row>
    <row r="1202" spans="1:19" x14ac:dyDescent="0.3">
      <c r="A1202" s="37">
        <v>503</v>
      </c>
      <c r="B1202" s="37" t="s">
        <v>2610</v>
      </c>
      <c r="C1202" s="37" t="s">
        <v>1969</v>
      </c>
      <c r="D1202" s="37" t="s">
        <v>139</v>
      </c>
      <c r="E1202" s="37" t="s">
        <v>22</v>
      </c>
      <c r="F1202" s="42">
        <v>45657</v>
      </c>
      <c r="G1202" s="37">
        <v>2024</v>
      </c>
      <c r="H1202" s="37" t="s">
        <v>27</v>
      </c>
      <c r="I1202" s="39" t="s">
        <v>36</v>
      </c>
      <c r="J1202" s="37">
        <v>80</v>
      </c>
      <c r="K1202" s="37">
        <v>86</v>
      </c>
      <c r="L1202" s="65">
        <f t="shared" si="146"/>
        <v>1.075</v>
      </c>
      <c r="M1202" s="65">
        <f t="shared" si="147"/>
        <v>1.075</v>
      </c>
      <c r="N1202" s="37"/>
      <c r="O1202" s="37"/>
      <c r="P1202" s="37">
        <v>0</v>
      </c>
      <c r="Q1202" s="37">
        <v>0</v>
      </c>
      <c r="R1202" s="37" t="s">
        <v>2611</v>
      </c>
      <c r="S1202" s="37"/>
    </row>
    <row r="1203" spans="1:19" x14ac:dyDescent="0.3">
      <c r="A1203" s="37">
        <v>504</v>
      </c>
      <c r="B1203" s="37" t="s">
        <v>2612</v>
      </c>
      <c r="C1203" s="37" t="s">
        <v>2044</v>
      </c>
      <c r="D1203" s="37" t="s">
        <v>139</v>
      </c>
      <c r="E1203" s="37" t="s">
        <v>22</v>
      </c>
      <c r="F1203" s="42">
        <v>45657</v>
      </c>
      <c r="G1203" s="37">
        <v>2024</v>
      </c>
      <c r="H1203" s="37" t="s">
        <v>27</v>
      </c>
      <c r="I1203" s="39" t="s">
        <v>36</v>
      </c>
      <c r="J1203" s="37">
        <v>80</v>
      </c>
      <c r="K1203" s="37">
        <v>88</v>
      </c>
      <c r="L1203" s="65">
        <f t="shared" si="146"/>
        <v>1.1000000000000001</v>
      </c>
      <c r="M1203" s="65">
        <f t="shared" si="147"/>
        <v>1.1000000000000001</v>
      </c>
      <c r="N1203" s="37"/>
      <c r="O1203" s="37"/>
      <c r="P1203" s="37">
        <v>0</v>
      </c>
      <c r="Q1203" s="37">
        <v>0</v>
      </c>
      <c r="R1203" s="37" t="s">
        <v>2613</v>
      </c>
      <c r="S1203" s="37"/>
    </row>
    <row r="1204" spans="1:19" x14ac:dyDescent="0.3">
      <c r="A1204" s="37">
        <v>505</v>
      </c>
      <c r="B1204" s="37" t="s">
        <v>2614</v>
      </c>
      <c r="C1204" s="37" t="s">
        <v>2186</v>
      </c>
      <c r="D1204" s="37" t="s">
        <v>139</v>
      </c>
      <c r="E1204" s="37" t="s">
        <v>22</v>
      </c>
      <c r="F1204" s="42">
        <v>45657</v>
      </c>
      <c r="G1204" s="37">
        <v>2024</v>
      </c>
      <c r="H1204" s="37" t="s">
        <v>27</v>
      </c>
      <c r="I1204" s="39" t="s">
        <v>36</v>
      </c>
      <c r="J1204" s="37">
        <v>80</v>
      </c>
      <c r="K1204" s="37">
        <v>85</v>
      </c>
      <c r="L1204" s="65">
        <f t="shared" si="146"/>
        <v>1.0625</v>
      </c>
      <c r="M1204" s="65">
        <f t="shared" si="147"/>
        <v>1.0625</v>
      </c>
      <c r="N1204" s="37"/>
      <c r="O1204" s="37"/>
      <c r="P1204" s="37">
        <v>0</v>
      </c>
      <c r="Q1204" s="37">
        <v>0</v>
      </c>
      <c r="R1204" s="37" t="s">
        <v>2615</v>
      </c>
      <c r="S1204" s="37"/>
    </row>
    <row r="1205" spans="1:19" x14ac:dyDescent="0.3">
      <c r="A1205" s="37">
        <v>506</v>
      </c>
      <c r="B1205" s="37" t="s">
        <v>2616</v>
      </c>
      <c r="C1205" s="37" t="s">
        <v>1781</v>
      </c>
      <c r="D1205" s="37" t="s">
        <v>139</v>
      </c>
      <c r="E1205" s="37" t="s">
        <v>22</v>
      </c>
      <c r="F1205" s="42">
        <v>45657</v>
      </c>
      <c r="G1205" s="37">
        <v>2024</v>
      </c>
      <c r="H1205" s="37" t="s">
        <v>27</v>
      </c>
      <c r="I1205" s="39" t="s">
        <v>36</v>
      </c>
      <c r="J1205" s="37">
        <v>80</v>
      </c>
      <c r="K1205" s="37">
        <v>67</v>
      </c>
      <c r="L1205" s="65">
        <f t="shared" si="146"/>
        <v>0.83750000000000002</v>
      </c>
      <c r="M1205" s="65">
        <f t="shared" si="147"/>
        <v>0.83750000000000002</v>
      </c>
      <c r="N1205" s="37"/>
      <c r="O1205" s="37"/>
      <c r="P1205" s="37">
        <v>0</v>
      </c>
      <c r="Q1205" s="37">
        <v>0</v>
      </c>
      <c r="R1205" s="37" t="s">
        <v>2617</v>
      </c>
      <c r="S1205" s="37"/>
    </row>
    <row r="1206" spans="1:19" x14ac:dyDescent="0.3">
      <c r="A1206" s="37">
        <v>507</v>
      </c>
      <c r="B1206" s="37" t="s">
        <v>2618</v>
      </c>
      <c r="C1206" s="37" t="s">
        <v>1460</v>
      </c>
      <c r="D1206" s="37" t="s">
        <v>139</v>
      </c>
      <c r="E1206" s="37" t="s">
        <v>22</v>
      </c>
      <c r="F1206" s="42">
        <v>45657</v>
      </c>
      <c r="G1206" s="37">
        <v>2024</v>
      </c>
      <c r="H1206" s="37" t="s">
        <v>27</v>
      </c>
      <c r="I1206" s="39" t="s">
        <v>36</v>
      </c>
      <c r="J1206" s="37">
        <v>80</v>
      </c>
      <c r="K1206" s="37">
        <v>77</v>
      </c>
      <c r="L1206" s="65">
        <f t="shared" si="146"/>
        <v>0.96250000000000002</v>
      </c>
      <c r="M1206" s="65">
        <f t="shared" si="147"/>
        <v>0.96250000000000002</v>
      </c>
      <c r="N1206" s="37"/>
      <c r="O1206" s="37"/>
      <c r="P1206" s="37">
        <v>0</v>
      </c>
      <c r="Q1206" s="37">
        <v>0</v>
      </c>
      <c r="R1206" s="37" t="s">
        <v>2619</v>
      </c>
      <c r="S1206" s="37"/>
    </row>
    <row r="1207" spans="1:19" x14ac:dyDescent="0.3">
      <c r="A1207" s="37">
        <v>508</v>
      </c>
      <c r="B1207" s="37" t="s">
        <v>2620</v>
      </c>
      <c r="C1207" s="37" t="s">
        <v>2018</v>
      </c>
      <c r="D1207" s="37" t="s">
        <v>139</v>
      </c>
      <c r="E1207" s="37" t="s">
        <v>22</v>
      </c>
      <c r="F1207" s="42">
        <v>45657</v>
      </c>
      <c r="G1207" s="37">
        <v>2024</v>
      </c>
      <c r="H1207" s="37" t="s">
        <v>27</v>
      </c>
      <c r="I1207" s="39" t="s">
        <v>36</v>
      </c>
      <c r="J1207" s="37">
        <v>80</v>
      </c>
      <c r="K1207" s="37">
        <v>88</v>
      </c>
      <c r="L1207" s="65">
        <f>IFERROR(IF(OR(J1207=0,K1207=""),"",IF(E1207="Positivo",MIN(MAX(K1207/J1207,0),1.3),MIN(MAX(J1207/K1207,0),1.3))),"")</f>
        <v>1.1000000000000001</v>
      </c>
      <c r="M1207" s="65">
        <f>IFERROR(IF(OR(J1207=0,K1207=""),"",IF(E1207="Positivo",MAX(K1207/J1207,0),MAX(J1207/K1207,0))),"")</f>
        <v>1.1000000000000001</v>
      </c>
      <c r="N1207" s="37"/>
      <c r="O1207" s="37"/>
      <c r="P1207" s="37">
        <v>0</v>
      </c>
      <c r="Q1207" s="37">
        <v>0</v>
      </c>
      <c r="R1207" s="37" t="s">
        <v>2621</v>
      </c>
      <c r="S1207" s="37"/>
    </row>
    <row r="1208" spans="1:19" x14ac:dyDescent="0.3">
      <c r="A1208" s="76" t="s">
        <v>2726</v>
      </c>
      <c r="B1208" s="76" t="s">
        <v>2727</v>
      </c>
      <c r="C1208" s="76" t="s">
        <v>625</v>
      </c>
      <c r="D1208" s="76" t="s">
        <v>21</v>
      </c>
      <c r="E1208" s="76" t="s">
        <v>22</v>
      </c>
      <c r="F1208" s="77">
        <v>45107</v>
      </c>
      <c r="G1208" s="76">
        <v>2023</v>
      </c>
      <c r="H1208" s="76" t="s">
        <v>23</v>
      </c>
      <c r="I1208" s="76" t="s">
        <v>30</v>
      </c>
      <c r="J1208" s="76">
        <v>52177</v>
      </c>
      <c r="K1208" s="76">
        <v>51649</v>
      </c>
      <c r="L1208" s="78">
        <f t="shared" ref="L1208:L1221" si="148">IFERROR(IF(OR(J1208=0,K1208=""),"",IF(E1208="Positivo",MIN(MAX(K1208/J1208,0),1.3),MIN(MAX(J1208/K1208,0),1.3))),"")</f>
        <v>0.98988059873124179</v>
      </c>
      <c r="M1208" s="78">
        <f t="shared" ref="M1208:M1221" si="149">IFERROR(IF(OR(J1208=0,K1208=""),"",IF(E1208="Positivo",MAX(K1208/J1208,0),MAX(J1208/K1208,0))),"")</f>
        <v>0.98988059873124179</v>
      </c>
      <c r="N1208" s="76" t="s">
        <v>25</v>
      </c>
      <c r="O1208" s="76" t="s">
        <v>25</v>
      </c>
      <c r="P1208" s="76">
        <v>0</v>
      </c>
      <c r="Q1208" s="76">
        <v>0</v>
      </c>
      <c r="R1208" s="76" t="s">
        <v>2728</v>
      </c>
      <c r="S1208" s="76"/>
    </row>
    <row r="1209" spans="1:19" x14ac:dyDescent="0.3">
      <c r="A1209" s="76" t="s">
        <v>2726</v>
      </c>
      <c r="B1209" s="76" t="s">
        <v>2727</v>
      </c>
      <c r="C1209" s="76" t="s">
        <v>625</v>
      </c>
      <c r="D1209" s="76" t="s">
        <v>21</v>
      </c>
      <c r="E1209" s="76" t="s">
        <v>22</v>
      </c>
      <c r="F1209" s="77">
        <v>45291</v>
      </c>
      <c r="G1209" s="76">
        <v>2023</v>
      </c>
      <c r="H1209" s="76" t="s">
        <v>27</v>
      </c>
      <c r="I1209" s="76" t="s">
        <v>32</v>
      </c>
      <c r="J1209" s="76">
        <v>51688</v>
      </c>
      <c r="K1209" s="76">
        <v>51499</v>
      </c>
      <c r="L1209" s="78">
        <f t="shared" si="148"/>
        <v>0.99634344528710728</v>
      </c>
      <c r="M1209" s="78">
        <f t="shared" si="149"/>
        <v>0.99634344528710728</v>
      </c>
      <c r="N1209" s="76" t="s">
        <v>25</v>
      </c>
      <c r="O1209" s="76" t="s">
        <v>25</v>
      </c>
      <c r="P1209" s="76">
        <v>0</v>
      </c>
      <c r="Q1209" s="76">
        <v>0</v>
      </c>
      <c r="R1209" s="76" t="s">
        <v>2729</v>
      </c>
      <c r="S1209" s="76"/>
    </row>
    <row r="1210" spans="1:19" x14ac:dyDescent="0.3">
      <c r="A1210" s="76" t="s">
        <v>2726</v>
      </c>
      <c r="B1210" s="76" t="s">
        <v>2727</v>
      </c>
      <c r="C1210" s="76" t="s">
        <v>625</v>
      </c>
      <c r="D1210" s="76" t="s">
        <v>21</v>
      </c>
      <c r="E1210" s="76" t="s">
        <v>22</v>
      </c>
      <c r="F1210" s="77">
        <v>45473</v>
      </c>
      <c r="G1210" s="76">
        <v>2024</v>
      </c>
      <c r="H1210" s="76" t="s">
        <v>23</v>
      </c>
      <c r="I1210" s="76" t="s">
        <v>34</v>
      </c>
      <c r="J1210" s="76">
        <v>52405</v>
      </c>
      <c r="K1210" s="76">
        <v>52758</v>
      </c>
      <c r="L1210" s="78">
        <f t="shared" si="148"/>
        <v>1.0067359984734281</v>
      </c>
      <c r="M1210" s="78">
        <f t="shared" si="149"/>
        <v>1.0067359984734281</v>
      </c>
      <c r="N1210" s="76" t="s">
        <v>25</v>
      </c>
      <c r="O1210" s="76" t="s">
        <v>25</v>
      </c>
      <c r="P1210" s="76">
        <v>0</v>
      </c>
      <c r="Q1210" s="76">
        <v>0</v>
      </c>
      <c r="R1210" s="76" t="s">
        <v>2730</v>
      </c>
      <c r="S1210" s="76"/>
    </row>
    <row r="1211" spans="1:19" x14ac:dyDescent="0.3">
      <c r="A1211" s="76" t="s">
        <v>2731</v>
      </c>
      <c r="B1211" s="76" t="s">
        <v>2732</v>
      </c>
      <c r="C1211" s="76" t="s">
        <v>625</v>
      </c>
      <c r="D1211" s="76" t="s">
        <v>21</v>
      </c>
      <c r="E1211" s="76" t="s">
        <v>22</v>
      </c>
      <c r="F1211" s="77">
        <v>45107</v>
      </c>
      <c r="G1211" s="76">
        <v>2023</v>
      </c>
      <c r="H1211" s="76" t="s">
        <v>23</v>
      </c>
      <c r="I1211" s="76" t="s">
        <v>30</v>
      </c>
      <c r="J1211" s="76">
        <v>7822</v>
      </c>
      <c r="K1211" s="76">
        <v>7944</v>
      </c>
      <c r="L1211" s="78">
        <f t="shared" si="148"/>
        <v>1.015597034006648</v>
      </c>
      <c r="M1211" s="78">
        <f t="shared" si="149"/>
        <v>1.015597034006648</v>
      </c>
      <c r="N1211" s="76" t="s">
        <v>203</v>
      </c>
      <c r="O1211" s="76" t="s">
        <v>203</v>
      </c>
      <c r="P1211" s="76">
        <v>0</v>
      </c>
      <c r="Q1211" s="76">
        <v>0</v>
      </c>
      <c r="R1211" s="76" t="s">
        <v>2733</v>
      </c>
      <c r="S1211" s="76"/>
    </row>
    <row r="1212" spans="1:19" x14ac:dyDescent="0.3">
      <c r="A1212" s="76" t="s">
        <v>2731</v>
      </c>
      <c r="B1212" s="76" t="s">
        <v>2732</v>
      </c>
      <c r="C1212" s="76" t="s">
        <v>625</v>
      </c>
      <c r="D1212" s="76" t="s">
        <v>21</v>
      </c>
      <c r="E1212" s="76" t="s">
        <v>22</v>
      </c>
      <c r="F1212" s="77">
        <v>45291</v>
      </c>
      <c r="G1212" s="76">
        <v>2023</v>
      </c>
      <c r="H1212" s="76" t="s">
        <v>27</v>
      </c>
      <c r="I1212" s="76" t="s">
        <v>32</v>
      </c>
      <c r="J1212" s="76">
        <v>7620</v>
      </c>
      <c r="K1212" s="76">
        <v>8054</v>
      </c>
      <c r="L1212" s="78">
        <f t="shared" si="148"/>
        <v>1.0569553805774279</v>
      </c>
      <c r="M1212" s="78">
        <f t="shared" si="149"/>
        <v>1.0569553805774279</v>
      </c>
      <c r="N1212" s="76" t="s">
        <v>203</v>
      </c>
      <c r="O1212" s="76" t="s">
        <v>203</v>
      </c>
      <c r="P1212" s="76">
        <v>0</v>
      </c>
      <c r="Q1212" s="76">
        <v>0</v>
      </c>
      <c r="R1212" s="76" t="s">
        <v>2734</v>
      </c>
      <c r="S1212" s="76"/>
    </row>
    <row r="1213" spans="1:19" x14ac:dyDescent="0.3">
      <c r="A1213" s="76" t="s">
        <v>2731</v>
      </c>
      <c r="B1213" s="76" t="s">
        <v>2732</v>
      </c>
      <c r="C1213" s="76" t="s">
        <v>625</v>
      </c>
      <c r="D1213" s="76" t="s">
        <v>21</v>
      </c>
      <c r="E1213" s="76" t="s">
        <v>22</v>
      </c>
      <c r="F1213" s="77">
        <v>45473</v>
      </c>
      <c r="G1213" s="76">
        <v>2024</v>
      </c>
      <c r="H1213" s="76" t="s">
        <v>23</v>
      </c>
      <c r="I1213" s="76" t="s">
        <v>34</v>
      </c>
      <c r="J1213" s="76">
        <v>8169</v>
      </c>
      <c r="K1213" s="76">
        <v>8488</v>
      </c>
      <c r="L1213" s="78">
        <f t="shared" si="148"/>
        <v>1.0390500673277023</v>
      </c>
      <c r="M1213" s="78">
        <f t="shared" si="149"/>
        <v>1.0390500673277023</v>
      </c>
      <c r="N1213" s="76" t="s">
        <v>203</v>
      </c>
      <c r="O1213" s="76" t="s">
        <v>203</v>
      </c>
      <c r="P1213" s="76">
        <v>0</v>
      </c>
      <c r="Q1213" s="76">
        <v>0</v>
      </c>
      <c r="R1213" s="76" t="s">
        <v>2735</v>
      </c>
      <c r="S1213" s="76"/>
    </row>
    <row r="1214" spans="1:19" x14ac:dyDescent="0.3">
      <c r="A1214" s="76" t="s">
        <v>2736</v>
      </c>
      <c r="B1214" s="76" t="s">
        <v>2737</v>
      </c>
      <c r="C1214" s="76" t="s">
        <v>625</v>
      </c>
      <c r="D1214" s="76" t="s">
        <v>21</v>
      </c>
      <c r="E1214" s="76" t="s">
        <v>22</v>
      </c>
      <c r="F1214" s="77">
        <v>45107</v>
      </c>
      <c r="G1214" s="76">
        <v>2023</v>
      </c>
      <c r="H1214" s="76" t="s">
        <v>23</v>
      </c>
      <c r="I1214" s="76" t="s">
        <v>30</v>
      </c>
      <c r="J1214" s="76">
        <v>44355</v>
      </c>
      <c r="K1214" s="76">
        <v>43705</v>
      </c>
      <c r="L1214" s="78">
        <f t="shared" si="148"/>
        <v>0.98534550783451702</v>
      </c>
      <c r="M1214" s="78">
        <f t="shared" si="149"/>
        <v>0.98534550783451702</v>
      </c>
      <c r="N1214" s="76" t="s">
        <v>203</v>
      </c>
      <c r="O1214" s="76" t="s">
        <v>203</v>
      </c>
      <c r="P1214" s="76">
        <v>0</v>
      </c>
      <c r="Q1214" s="76">
        <v>0</v>
      </c>
      <c r="R1214" s="76" t="s">
        <v>2738</v>
      </c>
      <c r="S1214" s="76"/>
    </row>
    <row r="1215" spans="1:19" x14ac:dyDescent="0.3">
      <c r="A1215" s="76" t="s">
        <v>2736</v>
      </c>
      <c r="B1215" s="76" t="s">
        <v>2737</v>
      </c>
      <c r="C1215" s="76" t="s">
        <v>625</v>
      </c>
      <c r="D1215" s="76" t="s">
        <v>21</v>
      </c>
      <c r="E1215" s="76" t="s">
        <v>22</v>
      </c>
      <c r="F1215" s="77">
        <v>45291</v>
      </c>
      <c r="G1215" s="76">
        <v>2023</v>
      </c>
      <c r="H1215" s="76" t="s">
        <v>27</v>
      </c>
      <c r="I1215" s="76" t="s">
        <v>32</v>
      </c>
      <c r="J1215" s="76">
        <v>44067</v>
      </c>
      <c r="K1215" s="76">
        <v>43445</v>
      </c>
      <c r="L1215" s="78">
        <f t="shared" si="148"/>
        <v>0.98588512946195561</v>
      </c>
      <c r="M1215" s="78">
        <f t="shared" si="149"/>
        <v>0.98588512946195561</v>
      </c>
      <c r="N1215" s="76" t="s">
        <v>203</v>
      </c>
      <c r="O1215" s="76" t="s">
        <v>203</v>
      </c>
      <c r="P1215" s="76">
        <v>0</v>
      </c>
      <c r="Q1215" s="76">
        <v>0</v>
      </c>
      <c r="R1215" s="76" t="s">
        <v>2739</v>
      </c>
      <c r="S1215" s="76"/>
    </row>
    <row r="1216" spans="1:19" x14ac:dyDescent="0.3">
      <c r="A1216" s="76" t="s">
        <v>2736</v>
      </c>
      <c r="B1216" s="76" t="s">
        <v>2737</v>
      </c>
      <c r="C1216" s="76" t="s">
        <v>625</v>
      </c>
      <c r="D1216" s="76" t="s">
        <v>21</v>
      </c>
      <c r="E1216" s="76" t="s">
        <v>22</v>
      </c>
      <c r="F1216" s="77">
        <v>45473</v>
      </c>
      <c r="G1216" s="76">
        <v>2024</v>
      </c>
      <c r="H1216" s="76" t="s">
        <v>23</v>
      </c>
      <c r="I1216" s="76" t="s">
        <v>34</v>
      </c>
      <c r="J1216" s="76">
        <v>44236</v>
      </c>
      <c r="K1216" s="76">
        <v>44270</v>
      </c>
      <c r="L1216" s="78">
        <f t="shared" si="148"/>
        <v>1.0007686047563071</v>
      </c>
      <c r="M1216" s="78">
        <f t="shared" si="149"/>
        <v>1.0007686047563071</v>
      </c>
      <c r="N1216" s="76" t="s">
        <v>203</v>
      </c>
      <c r="O1216" s="76" t="s">
        <v>203</v>
      </c>
      <c r="P1216" s="76">
        <v>0</v>
      </c>
      <c r="Q1216" s="76">
        <v>0</v>
      </c>
      <c r="R1216" s="76" t="s">
        <v>2740</v>
      </c>
      <c r="S1216" s="76"/>
    </row>
    <row r="1217" spans="1:19" x14ac:dyDescent="0.3">
      <c r="A1217" s="76" t="s">
        <v>2741</v>
      </c>
      <c r="B1217" s="76" t="s">
        <v>2742</v>
      </c>
      <c r="C1217" s="76" t="s">
        <v>625</v>
      </c>
      <c r="D1217" s="76" t="s">
        <v>21</v>
      </c>
      <c r="E1217" s="76" t="s">
        <v>22</v>
      </c>
      <c r="F1217" s="77">
        <v>45107</v>
      </c>
      <c r="G1217" s="76">
        <v>2023</v>
      </c>
      <c r="H1217" s="76" t="s">
        <v>23</v>
      </c>
      <c r="I1217" s="76" t="s">
        <v>30</v>
      </c>
      <c r="J1217" s="76">
        <v>49451</v>
      </c>
      <c r="K1217" s="76">
        <v>48680</v>
      </c>
      <c r="L1217" s="78">
        <f t="shared" si="148"/>
        <v>0.98440880871974279</v>
      </c>
      <c r="M1217" s="78">
        <f t="shared" si="149"/>
        <v>0.98440880871974279</v>
      </c>
      <c r="N1217" s="76" t="s">
        <v>203</v>
      </c>
      <c r="O1217" s="76" t="s">
        <v>203</v>
      </c>
      <c r="P1217" s="76">
        <v>0</v>
      </c>
      <c r="Q1217" s="76">
        <v>0</v>
      </c>
      <c r="R1217" s="76" t="s">
        <v>2743</v>
      </c>
      <c r="S1217" s="76"/>
    </row>
    <row r="1218" spans="1:19" x14ac:dyDescent="0.3">
      <c r="A1218" s="76" t="s">
        <v>2741</v>
      </c>
      <c r="B1218" s="76" t="s">
        <v>2742</v>
      </c>
      <c r="C1218" s="76" t="s">
        <v>625</v>
      </c>
      <c r="D1218" s="76" t="s">
        <v>21</v>
      </c>
      <c r="E1218" s="76" t="s">
        <v>22</v>
      </c>
      <c r="F1218" s="77">
        <v>45291</v>
      </c>
      <c r="G1218" s="76">
        <v>2023</v>
      </c>
      <c r="H1218" s="76" t="s">
        <v>27</v>
      </c>
      <c r="I1218" s="76" t="s">
        <v>32</v>
      </c>
      <c r="J1218" s="76">
        <v>48890</v>
      </c>
      <c r="K1218" s="76">
        <v>48144</v>
      </c>
      <c r="L1218" s="78">
        <f t="shared" si="148"/>
        <v>0.98474125588054817</v>
      </c>
      <c r="M1218" s="78">
        <f t="shared" si="149"/>
        <v>0.98474125588054817</v>
      </c>
      <c r="N1218" s="76" t="s">
        <v>203</v>
      </c>
      <c r="O1218" s="76" t="s">
        <v>203</v>
      </c>
      <c r="P1218" s="76">
        <v>0</v>
      </c>
      <c r="Q1218" s="76">
        <v>0</v>
      </c>
      <c r="R1218" s="76" t="s">
        <v>2744</v>
      </c>
      <c r="S1218" s="76"/>
    </row>
    <row r="1219" spans="1:19" x14ac:dyDescent="0.3">
      <c r="A1219" s="76" t="s">
        <v>2741</v>
      </c>
      <c r="B1219" s="76" t="s">
        <v>2742</v>
      </c>
      <c r="C1219" s="76" t="s">
        <v>625</v>
      </c>
      <c r="D1219" s="76" t="s">
        <v>21</v>
      </c>
      <c r="E1219" s="76" t="s">
        <v>22</v>
      </c>
      <c r="F1219" s="77">
        <v>45473</v>
      </c>
      <c r="G1219" s="76">
        <v>2024</v>
      </c>
      <c r="H1219" s="76" t="s">
        <v>23</v>
      </c>
      <c r="I1219" s="76" t="s">
        <v>34</v>
      </c>
      <c r="J1219" s="76">
        <v>49312</v>
      </c>
      <c r="K1219" s="76">
        <v>49259</v>
      </c>
      <c r="L1219" s="78">
        <f t="shared" si="148"/>
        <v>0.9989252109020117</v>
      </c>
      <c r="M1219" s="78">
        <f t="shared" si="149"/>
        <v>0.9989252109020117</v>
      </c>
      <c r="N1219" s="76" t="s">
        <v>203</v>
      </c>
      <c r="O1219" s="76" t="s">
        <v>203</v>
      </c>
      <c r="P1219" s="76">
        <v>0</v>
      </c>
      <c r="Q1219" s="76">
        <v>0</v>
      </c>
      <c r="R1219" s="76" t="s">
        <v>2745</v>
      </c>
      <c r="S1219" s="76"/>
    </row>
    <row r="1220" spans="1:19" x14ac:dyDescent="0.3">
      <c r="A1220" s="76" t="s">
        <v>2746</v>
      </c>
      <c r="B1220" s="76" t="s">
        <v>2747</v>
      </c>
      <c r="C1220" s="76" t="s">
        <v>625</v>
      </c>
      <c r="D1220" s="76" t="s">
        <v>21</v>
      </c>
      <c r="E1220" s="76" t="s">
        <v>22</v>
      </c>
      <c r="F1220" s="77">
        <v>45107</v>
      </c>
      <c r="G1220" s="76">
        <v>2023</v>
      </c>
      <c r="H1220" s="76" t="s">
        <v>23</v>
      </c>
      <c r="I1220" s="76" t="s">
        <v>30</v>
      </c>
      <c r="J1220" s="76">
        <v>2726</v>
      </c>
      <c r="K1220" s="76">
        <v>2969</v>
      </c>
      <c r="L1220" s="78">
        <f t="shared" si="148"/>
        <v>1.0891415994130593</v>
      </c>
      <c r="M1220" s="78">
        <f t="shared" si="149"/>
        <v>1.0891415994130593</v>
      </c>
      <c r="N1220" s="76" t="s">
        <v>203</v>
      </c>
      <c r="O1220" s="76" t="s">
        <v>203</v>
      </c>
      <c r="P1220" s="76">
        <v>0</v>
      </c>
      <c r="Q1220" s="76">
        <v>0</v>
      </c>
      <c r="R1220" s="76" t="s">
        <v>2748</v>
      </c>
      <c r="S1220" s="76"/>
    </row>
    <row r="1221" spans="1:19" x14ac:dyDescent="0.3">
      <c r="A1221" s="76" t="s">
        <v>2746</v>
      </c>
      <c r="B1221" s="76" t="s">
        <v>2747</v>
      </c>
      <c r="C1221" s="76" t="s">
        <v>625</v>
      </c>
      <c r="D1221" s="76" t="s">
        <v>21</v>
      </c>
      <c r="E1221" s="76" t="s">
        <v>22</v>
      </c>
      <c r="F1221" s="77">
        <v>45291</v>
      </c>
      <c r="G1221" s="76">
        <v>2023</v>
      </c>
      <c r="H1221" s="76" t="s">
        <v>27</v>
      </c>
      <c r="I1221" s="76" t="s">
        <v>32</v>
      </c>
      <c r="J1221" s="76">
        <v>2797</v>
      </c>
      <c r="K1221" s="76">
        <v>3355</v>
      </c>
      <c r="L1221" s="78">
        <f t="shared" si="148"/>
        <v>1.1994994637111192</v>
      </c>
      <c r="M1221" s="78">
        <f t="shared" si="149"/>
        <v>1.1994994637111192</v>
      </c>
      <c r="N1221" s="76" t="s">
        <v>203</v>
      </c>
      <c r="O1221" s="76" t="s">
        <v>203</v>
      </c>
      <c r="P1221" s="76">
        <v>0</v>
      </c>
      <c r="Q1221" s="76">
        <v>0</v>
      </c>
      <c r="R1221" s="76" t="s">
        <v>2749</v>
      </c>
      <c r="S1221" s="76"/>
    </row>
    <row r="1222" spans="1:19" x14ac:dyDescent="0.3">
      <c r="A1222" s="76" t="s">
        <v>2746</v>
      </c>
      <c r="B1222" s="76" t="s">
        <v>2747</v>
      </c>
      <c r="C1222" s="76" t="s">
        <v>625</v>
      </c>
      <c r="D1222" s="76" t="s">
        <v>21</v>
      </c>
      <c r="E1222" s="76" t="s">
        <v>22</v>
      </c>
      <c r="F1222" s="77">
        <v>45473</v>
      </c>
      <c r="G1222" s="76">
        <v>2024</v>
      </c>
      <c r="H1222" s="76" t="s">
        <v>23</v>
      </c>
      <c r="I1222" s="76" t="s">
        <v>34</v>
      </c>
      <c r="J1222" s="76">
        <v>3093</v>
      </c>
      <c r="K1222" s="76">
        <v>3499</v>
      </c>
      <c r="L1222" s="78">
        <f t="shared" ref="L1222:L1225" si="150">IFERROR(IF(OR(J1222=0,K1222=""),"",IF(E1222="Positivo",MIN(MAX(K1222/J1222,0),1.3),MIN(MAX(J1222/K1222,0),1.3))),"")</f>
        <v>1.1312641448431944</v>
      </c>
      <c r="M1222" s="78">
        <f t="shared" ref="M1222:M1225" si="151">IFERROR(IF(OR(J1222=0,K1222=""),"",IF(E1222="Positivo",MAX(K1222/J1222,0),MAX(J1222/K1222,0))),"")</f>
        <v>1.1312641448431944</v>
      </c>
      <c r="N1222" s="76" t="s">
        <v>203</v>
      </c>
      <c r="O1222" s="76" t="s">
        <v>203</v>
      </c>
      <c r="P1222" s="76">
        <v>0</v>
      </c>
      <c r="Q1222" s="76">
        <v>0</v>
      </c>
      <c r="R1222" s="76" t="s">
        <v>2750</v>
      </c>
      <c r="S1222" s="76"/>
    </row>
    <row r="1223" spans="1:19" x14ac:dyDescent="0.3">
      <c r="A1223" s="76" t="s">
        <v>2751</v>
      </c>
      <c r="B1223" s="76" t="s">
        <v>2752</v>
      </c>
      <c r="C1223" s="76" t="s">
        <v>1263</v>
      </c>
      <c r="D1223" s="76" t="s">
        <v>39</v>
      </c>
      <c r="E1223" s="76" t="s">
        <v>22</v>
      </c>
      <c r="F1223" s="77">
        <v>45107</v>
      </c>
      <c r="G1223" s="76">
        <v>2023</v>
      </c>
      <c r="H1223" s="76" t="s">
        <v>23</v>
      </c>
      <c r="I1223" s="76" t="s">
        <v>30</v>
      </c>
      <c r="J1223" s="76">
        <v>53</v>
      </c>
      <c r="K1223" s="76">
        <v>64</v>
      </c>
      <c r="L1223" s="78">
        <f t="shared" si="150"/>
        <v>1.2075471698113207</v>
      </c>
      <c r="M1223" s="78">
        <f t="shared" si="151"/>
        <v>1.2075471698113207</v>
      </c>
      <c r="N1223" s="76" t="s">
        <v>25</v>
      </c>
      <c r="O1223" s="76" t="s">
        <v>25</v>
      </c>
      <c r="P1223" s="76">
        <v>0</v>
      </c>
      <c r="Q1223" s="76">
        <v>0</v>
      </c>
      <c r="R1223" s="76" t="s">
        <v>2753</v>
      </c>
      <c r="S1223" s="76"/>
    </row>
    <row r="1224" spans="1:19" x14ac:dyDescent="0.3">
      <c r="A1224" s="76" t="s">
        <v>2751</v>
      </c>
      <c r="B1224" s="76" t="s">
        <v>2752</v>
      </c>
      <c r="C1224" s="76" t="s">
        <v>1263</v>
      </c>
      <c r="D1224" s="76" t="s">
        <v>39</v>
      </c>
      <c r="E1224" s="76" t="s">
        <v>22</v>
      </c>
      <c r="F1224" s="77">
        <v>45291</v>
      </c>
      <c r="G1224" s="76">
        <v>2023</v>
      </c>
      <c r="H1224" s="76" t="s">
        <v>27</v>
      </c>
      <c r="I1224" s="76" t="s">
        <v>32</v>
      </c>
      <c r="J1224" s="76">
        <v>100</v>
      </c>
      <c r="K1224" s="76">
        <v>98</v>
      </c>
      <c r="L1224" s="78">
        <f t="shared" si="150"/>
        <v>0.98</v>
      </c>
      <c r="M1224" s="78">
        <f t="shared" si="151"/>
        <v>0.98</v>
      </c>
      <c r="N1224" s="76" t="s">
        <v>25</v>
      </c>
      <c r="O1224" s="76" t="s">
        <v>25</v>
      </c>
      <c r="P1224" s="76">
        <v>0</v>
      </c>
      <c r="Q1224" s="76">
        <v>0</v>
      </c>
      <c r="R1224" s="76" t="s">
        <v>2755</v>
      </c>
      <c r="S1224" s="76"/>
    </row>
    <row r="1225" spans="1:19" x14ac:dyDescent="0.3">
      <c r="A1225" s="76" t="s">
        <v>2751</v>
      </c>
      <c r="B1225" s="76" t="s">
        <v>2752</v>
      </c>
      <c r="C1225" s="76" t="s">
        <v>1263</v>
      </c>
      <c r="D1225" s="76" t="s">
        <v>39</v>
      </c>
      <c r="E1225" s="76" t="s">
        <v>22</v>
      </c>
      <c r="F1225" s="77">
        <v>45657</v>
      </c>
      <c r="G1225" s="76">
        <v>2024</v>
      </c>
      <c r="H1225" s="76" t="s">
        <v>27</v>
      </c>
      <c r="I1225" s="76" t="s">
        <v>36</v>
      </c>
      <c r="J1225" s="76">
        <v>100</v>
      </c>
      <c r="K1225" s="76">
        <v>98</v>
      </c>
      <c r="L1225" s="78">
        <f t="shared" si="150"/>
        <v>0.98</v>
      </c>
      <c r="M1225" s="78">
        <f t="shared" si="151"/>
        <v>0.98</v>
      </c>
      <c r="N1225" s="76" t="s">
        <v>25</v>
      </c>
      <c r="O1225" s="76" t="s">
        <v>25</v>
      </c>
      <c r="P1225" s="76">
        <v>0</v>
      </c>
      <c r="Q1225" s="76">
        <v>0</v>
      </c>
      <c r="R1225" s="76" t="s">
        <v>2757</v>
      </c>
      <c r="S1225" s="76"/>
    </row>
    <row r="1226" spans="1:19" x14ac:dyDescent="0.3">
      <c r="A1226" s="76" t="s">
        <v>2758</v>
      </c>
      <c r="B1226" s="76" t="s">
        <v>2759</v>
      </c>
      <c r="C1226" s="76" t="s">
        <v>1263</v>
      </c>
      <c r="D1226" s="76" t="s">
        <v>39</v>
      </c>
      <c r="E1226" s="76" t="s">
        <v>22</v>
      </c>
      <c r="F1226" s="77">
        <v>45107</v>
      </c>
      <c r="G1226" s="76">
        <v>2023</v>
      </c>
      <c r="H1226" s="76" t="s">
        <v>23</v>
      </c>
      <c r="I1226" s="76" t="s">
        <v>30</v>
      </c>
      <c r="J1226" s="76">
        <v>68</v>
      </c>
      <c r="K1226" s="76">
        <v>65</v>
      </c>
      <c r="L1226" s="78">
        <f t="shared" ref="L1226:L1241" si="152">IFERROR(IF(OR(J1226=0,K1226=""),"",IF(E1226="Positivo",MIN(MAX(K1226/J1226,0),1.3),MIN(MAX(J1226/K1226,0),1.3))),"")</f>
        <v>0.95588235294117652</v>
      </c>
      <c r="M1226" s="78">
        <f t="shared" ref="M1226:M1241" si="153">IFERROR(IF(OR(J1226=0,K1226=""),"",IF(E1226="Positivo",MAX(K1226/J1226,0),MAX(J1226/K1226,0))),"")</f>
        <v>0.95588235294117652</v>
      </c>
      <c r="N1226" s="76" t="s">
        <v>25</v>
      </c>
      <c r="O1226" s="76" t="s">
        <v>25</v>
      </c>
      <c r="P1226" s="76">
        <v>0</v>
      </c>
      <c r="Q1226" s="76">
        <v>0</v>
      </c>
      <c r="R1226" s="76" t="s">
        <v>2760</v>
      </c>
      <c r="S1226" s="76"/>
    </row>
    <row r="1227" spans="1:19" x14ac:dyDescent="0.3">
      <c r="A1227" s="76" t="s">
        <v>2758</v>
      </c>
      <c r="B1227" s="76" t="s">
        <v>2759</v>
      </c>
      <c r="C1227" s="76" t="s">
        <v>1263</v>
      </c>
      <c r="D1227" s="76" t="s">
        <v>39</v>
      </c>
      <c r="E1227" s="76" t="s">
        <v>22</v>
      </c>
      <c r="F1227" s="77">
        <v>45291</v>
      </c>
      <c r="G1227" s="76">
        <v>2023</v>
      </c>
      <c r="H1227" s="76" t="s">
        <v>27</v>
      </c>
      <c r="I1227" s="76" t="s">
        <v>32</v>
      </c>
      <c r="J1227" s="76">
        <v>100</v>
      </c>
      <c r="K1227" s="76">
        <v>98</v>
      </c>
      <c r="L1227" s="78">
        <f t="shared" si="152"/>
        <v>0.98</v>
      </c>
      <c r="M1227" s="78">
        <f t="shared" si="153"/>
        <v>0.98</v>
      </c>
      <c r="N1227" s="76" t="s">
        <v>25</v>
      </c>
      <c r="O1227" s="76" t="s">
        <v>25</v>
      </c>
      <c r="P1227" s="76">
        <v>0</v>
      </c>
      <c r="Q1227" s="76">
        <v>0</v>
      </c>
      <c r="R1227" s="76" t="s">
        <v>2762</v>
      </c>
      <c r="S1227" s="76"/>
    </row>
    <row r="1228" spans="1:19" x14ac:dyDescent="0.3">
      <c r="A1228" s="76" t="s">
        <v>2758</v>
      </c>
      <c r="B1228" s="76" t="s">
        <v>2759</v>
      </c>
      <c r="C1228" s="76" t="s">
        <v>1263</v>
      </c>
      <c r="D1228" s="76" t="s">
        <v>39</v>
      </c>
      <c r="E1228" s="76" t="s">
        <v>22</v>
      </c>
      <c r="F1228" s="77">
        <v>45657</v>
      </c>
      <c r="G1228" s="76">
        <v>2024</v>
      </c>
      <c r="H1228" s="76" t="s">
        <v>27</v>
      </c>
      <c r="I1228" s="76" t="s">
        <v>36</v>
      </c>
      <c r="J1228" s="76">
        <v>100</v>
      </c>
      <c r="K1228" s="76">
        <v>100</v>
      </c>
      <c r="L1228" s="78">
        <f t="shared" si="152"/>
        <v>1</v>
      </c>
      <c r="M1228" s="78">
        <f t="shared" si="153"/>
        <v>1</v>
      </c>
      <c r="N1228" s="76" t="s">
        <v>25</v>
      </c>
      <c r="O1228" s="76" t="s">
        <v>25</v>
      </c>
      <c r="P1228" s="76">
        <v>0</v>
      </c>
      <c r="Q1228" s="76">
        <v>0</v>
      </c>
      <c r="R1228" s="76" t="s">
        <v>2764</v>
      </c>
      <c r="S1228" s="76"/>
    </row>
    <row r="1229" spans="1:19" x14ac:dyDescent="0.3">
      <c r="A1229" s="76" t="s">
        <v>2765</v>
      </c>
      <c r="B1229" s="76" t="s">
        <v>2766</v>
      </c>
      <c r="C1229" s="76" t="s">
        <v>1263</v>
      </c>
      <c r="D1229" s="76" t="s">
        <v>39</v>
      </c>
      <c r="E1229" s="76" t="s">
        <v>22</v>
      </c>
      <c r="F1229" s="77">
        <v>45107</v>
      </c>
      <c r="G1229" s="76">
        <v>2023</v>
      </c>
      <c r="H1229" s="76" t="s">
        <v>23</v>
      </c>
      <c r="I1229" s="76" t="s">
        <v>30</v>
      </c>
      <c r="J1229" s="76">
        <v>66</v>
      </c>
      <c r="K1229" s="76">
        <v>64</v>
      </c>
      <c r="L1229" s="78">
        <f t="shared" si="152"/>
        <v>0.96969696969696972</v>
      </c>
      <c r="M1229" s="78">
        <f t="shared" si="153"/>
        <v>0.96969696969696972</v>
      </c>
      <c r="N1229" s="76" t="s">
        <v>25</v>
      </c>
      <c r="O1229" s="76" t="s">
        <v>25</v>
      </c>
      <c r="P1229" s="76">
        <v>0</v>
      </c>
      <c r="Q1229" s="76">
        <v>0</v>
      </c>
      <c r="R1229" s="76" t="s">
        <v>2767</v>
      </c>
      <c r="S1229" s="76"/>
    </row>
    <row r="1230" spans="1:19" x14ac:dyDescent="0.3">
      <c r="A1230" s="76" t="s">
        <v>2765</v>
      </c>
      <c r="B1230" s="76" t="s">
        <v>2766</v>
      </c>
      <c r="C1230" s="76" t="s">
        <v>1263</v>
      </c>
      <c r="D1230" s="76" t="s">
        <v>39</v>
      </c>
      <c r="E1230" s="76" t="s">
        <v>22</v>
      </c>
      <c r="F1230" s="77">
        <v>45291</v>
      </c>
      <c r="G1230" s="76">
        <v>2023</v>
      </c>
      <c r="H1230" s="76" t="s">
        <v>27</v>
      </c>
      <c r="I1230" s="76" t="s">
        <v>32</v>
      </c>
      <c r="J1230" s="76">
        <v>100</v>
      </c>
      <c r="K1230" s="76">
        <v>95</v>
      </c>
      <c r="L1230" s="78">
        <f t="shared" si="152"/>
        <v>0.95</v>
      </c>
      <c r="M1230" s="78">
        <f t="shared" si="153"/>
        <v>0.95</v>
      </c>
      <c r="N1230" s="76" t="s">
        <v>25</v>
      </c>
      <c r="O1230" s="76" t="s">
        <v>25</v>
      </c>
      <c r="P1230" s="76">
        <v>0</v>
      </c>
      <c r="Q1230" s="76">
        <v>0</v>
      </c>
      <c r="R1230" s="76" t="s">
        <v>2769</v>
      </c>
      <c r="S1230" s="76"/>
    </row>
    <row r="1231" spans="1:19" x14ac:dyDescent="0.3">
      <c r="A1231" s="76" t="s">
        <v>2765</v>
      </c>
      <c r="B1231" s="76" t="s">
        <v>2766</v>
      </c>
      <c r="C1231" s="76" t="s">
        <v>1263</v>
      </c>
      <c r="D1231" s="76" t="s">
        <v>39</v>
      </c>
      <c r="E1231" s="76" t="s">
        <v>22</v>
      </c>
      <c r="F1231" s="77">
        <v>45657</v>
      </c>
      <c r="G1231" s="76">
        <v>2024</v>
      </c>
      <c r="H1231" s="76" t="s">
        <v>27</v>
      </c>
      <c r="I1231" s="76" t="s">
        <v>36</v>
      </c>
      <c r="J1231" s="76">
        <v>100</v>
      </c>
      <c r="K1231" s="76">
        <v>99</v>
      </c>
      <c r="L1231" s="78">
        <f t="shared" si="152"/>
        <v>0.99</v>
      </c>
      <c r="M1231" s="78">
        <f t="shared" si="153"/>
        <v>0.99</v>
      </c>
      <c r="N1231" s="76" t="s">
        <v>25</v>
      </c>
      <c r="O1231" s="76" t="s">
        <v>25</v>
      </c>
      <c r="P1231" s="76">
        <v>0</v>
      </c>
      <c r="Q1231" s="76">
        <v>0</v>
      </c>
      <c r="R1231" s="76" t="s">
        <v>2771</v>
      </c>
      <c r="S1231" s="76"/>
    </row>
    <row r="1232" spans="1:19" x14ac:dyDescent="0.3">
      <c r="A1232" s="76" t="s">
        <v>2772</v>
      </c>
      <c r="B1232" s="76" t="s">
        <v>2773</v>
      </c>
      <c r="C1232" s="76" t="s">
        <v>1263</v>
      </c>
      <c r="D1232" s="76" t="s">
        <v>39</v>
      </c>
      <c r="E1232" s="76" t="s">
        <v>22</v>
      </c>
      <c r="F1232" s="77">
        <v>45107</v>
      </c>
      <c r="G1232" s="76">
        <v>2023</v>
      </c>
      <c r="H1232" s="76" t="s">
        <v>23</v>
      </c>
      <c r="I1232" s="76" t="s">
        <v>30</v>
      </c>
      <c r="J1232" s="76">
        <v>61</v>
      </c>
      <c r="K1232" s="76">
        <v>62</v>
      </c>
      <c r="L1232" s="78">
        <f t="shared" si="152"/>
        <v>1.0163934426229508</v>
      </c>
      <c r="M1232" s="78">
        <f t="shared" si="153"/>
        <v>1.0163934426229508</v>
      </c>
      <c r="N1232" s="76" t="s">
        <v>25</v>
      </c>
      <c r="O1232" s="76" t="s">
        <v>25</v>
      </c>
      <c r="P1232" s="76">
        <v>0</v>
      </c>
      <c r="Q1232" s="76">
        <v>0</v>
      </c>
      <c r="R1232" s="76" t="s">
        <v>2774</v>
      </c>
      <c r="S1232" s="76"/>
    </row>
    <row r="1233" spans="1:19" x14ac:dyDescent="0.3">
      <c r="A1233" s="76" t="s">
        <v>2772</v>
      </c>
      <c r="B1233" s="76" t="s">
        <v>2773</v>
      </c>
      <c r="C1233" s="76" t="s">
        <v>1263</v>
      </c>
      <c r="D1233" s="76" t="s">
        <v>39</v>
      </c>
      <c r="E1233" s="76" t="s">
        <v>22</v>
      </c>
      <c r="F1233" s="77">
        <v>45291</v>
      </c>
      <c r="G1233" s="76">
        <v>2023</v>
      </c>
      <c r="H1233" s="76" t="s">
        <v>27</v>
      </c>
      <c r="I1233" s="76" t="s">
        <v>32</v>
      </c>
      <c r="J1233" s="76">
        <v>100</v>
      </c>
      <c r="K1233" s="76">
        <v>96</v>
      </c>
      <c r="L1233" s="78">
        <f t="shared" si="152"/>
        <v>0.96</v>
      </c>
      <c r="M1233" s="78">
        <f t="shared" si="153"/>
        <v>0.96</v>
      </c>
      <c r="N1233" s="76" t="s">
        <v>25</v>
      </c>
      <c r="O1233" s="76" t="s">
        <v>25</v>
      </c>
      <c r="P1233" s="76">
        <v>0</v>
      </c>
      <c r="Q1233" s="76">
        <v>0</v>
      </c>
      <c r="R1233" s="76" t="s">
        <v>2776</v>
      </c>
      <c r="S1233" s="76"/>
    </row>
    <row r="1234" spans="1:19" x14ac:dyDescent="0.3">
      <c r="A1234" s="76" t="s">
        <v>2772</v>
      </c>
      <c r="B1234" s="76" t="s">
        <v>2773</v>
      </c>
      <c r="C1234" s="76" t="s">
        <v>1263</v>
      </c>
      <c r="D1234" s="76" t="s">
        <v>39</v>
      </c>
      <c r="E1234" s="76" t="s">
        <v>22</v>
      </c>
      <c r="F1234" s="77">
        <v>45657</v>
      </c>
      <c r="G1234" s="76">
        <v>2024</v>
      </c>
      <c r="H1234" s="76" t="s">
        <v>27</v>
      </c>
      <c r="I1234" s="76" t="s">
        <v>36</v>
      </c>
      <c r="J1234" s="76">
        <v>100</v>
      </c>
      <c r="K1234" s="76">
        <v>99</v>
      </c>
      <c r="L1234" s="78">
        <f t="shared" si="152"/>
        <v>0.99</v>
      </c>
      <c r="M1234" s="78">
        <f t="shared" si="153"/>
        <v>0.99</v>
      </c>
      <c r="N1234" s="76" t="s">
        <v>25</v>
      </c>
      <c r="O1234" s="76" t="s">
        <v>25</v>
      </c>
      <c r="P1234" s="76">
        <v>0</v>
      </c>
      <c r="Q1234" s="76">
        <v>0</v>
      </c>
      <c r="R1234" s="76" t="s">
        <v>2778</v>
      </c>
      <c r="S1234" s="76"/>
    </row>
    <row r="1235" spans="1:19" x14ac:dyDescent="0.3">
      <c r="A1235" s="76" t="s">
        <v>2779</v>
      </c>
      <c r="B1235" s="76" t="s">
        <v>2780</v>
      </c>
      <c r="C1235" s="76" t="s">
        <v>1263</v>
      </c>
      <c r="D1235" s="76" t="s">
        <v>39</v>
      </c>
      <c r="E1235" s="76" t="s">
        <v>22</v>
      </c>
      <c r="F1235" s="77">
        <v>45107</v>
      </c>
      <c r="G1235" s="76">
        <v>2023</v>
      </c>
      <c r="H1235" s="76" t="s">
        <v>23</v>
      </c>
      <c r="I1235" s="76" t="s">
        <v>30</v>
      </c>
      <c r="J1235" s="76">
        <v>62</v>
      </c>
      <c r="K1235" s="76">
        <v>71</v>
      </c>
      <c r="L1235" s="78">
        <f t="shared" si="152"/>
        <v>1.1451612903225807</v>
      </c>
      <c r="M1235" s="78">
        <f t="shared" si="153"/>
        <v>1.1451612903225807</v>
      </c>
      <c r="N1235" s="76" t="s">
        <v>25</v>
      </c>
      <c r="O1235" s="76" t="s">
        <v>25</v>
      </c>
      <c r="P1235" s="76">
        <v>0</v>
      </c>
      <c r="Q1235" s="76">
        <v>0</v>
      </c>
      <c r="R1235" s="76" t="s">
        <v>2781</v>
      </c>
      <c r="S1235" s="76"/>
    </row>
    <row r="1236" spans="1:19" x14ac:dyDescent="0.3">
      <c r="A1236" s="76" t="s">
        <v>2779</v>
      </c>
      <c r="B1236" s="76" t="s">
        <v>2780</v>
      </c>
      <c r="C1236" s="76" t="s">
        <v>1263</v>
      </c>
      <c r="D1236" s="76" t="s">
        <v>39</v>
      </c>
      <c r="E1236" s="76" t="s">
        <v>22</v>
      </c>
      <c r="F1236" s="77">
        <v>45291</v>
      </c>
      <c r="G1236" s="76">
        <v>2023</v>
      </c>
      <c r="H1236" s="76" t="s">
        <v>27</v>
      </c>
      <c r="I1236" s="76" t="s">
        <v>32</v>
      </c>
      <c r="J1236" s="76">
        <v>100</v>
      </c>
      <c r="K1236" s="76">
        <v>99</v>
      </c>
      <c r="L1236" s="78">
        <f t="shared" si="152"/>
        <v>0.99</v>
      </c>
      <c r="M1236" s="78">
        <f t="shared" si="153"/>
        <v>0.99</v>
      </c>
      <c r="N1236" s="76" t="s">
        <v>25</v>
      </c>
      <c r="O1236" s="76" t="s">
        <v>25</v>
      </c>
      <c r="P1236" s="76">
        <v>0</v>
      </c>
      <c r="Q1236" s="76">
        <v>0</v>
      </c>
      <c r="R1236" s="76" t="s">
        <v>2783</v>
      </c>
      <c r="S1236" s="76"/>
    </row>
    <row r="1237" spans="1:19" x14ac:dyDescent="0.3">
      <c r="A1237" s="76" t="s">
        <v>2779</v>
      </c>
      <c r="B1237" s="76" t="s">
        <v>2780</v>
      </c>
      <c r="C1237" s="76" t="s">
        <v>1263</v>
      </c>
      <c r="D1237" s="76" t="s">
        <v>39</v>
      </c>
      <c r="E1237" s="76" t="s">
        <v>22</v>
      </c>
      <c r="F1237" s="77">
        <v>45473</v>
      </c>
      <c r="G1237" s="76">
        <v>2024</v>
      </c>
      <c r="H1237" s="76" t="s">
        <v>23</v>
      </c>
      <c r="I1237" s="76" t="s">
        <v>34</v>
      </c>
      <c r="J1237" s="76">
        <v>62</v>
      </c>
      <c r="K1237" s="76">
        <v>63</v>
      </c>
      <c r="L1237" s="78">
        <f t="shared" si="152"/>
        <v>1.0161290322580645</v>
      </c>
      <c r="M1237" s="78">
        <f t="shared" si="153"/>
        <v>1.0161290322580645</v>
      </c>
      <c r="N1237" s="76" t="s">
        <v>25</v>
      </c>
      <c r="O1237" s="76" t="s">
        <v>25</v>
      </c>
      <c r="P1237" s="76">
        <v>0</v>
      </c>
      <c r="Q1237" s="76">
        <v>0</v>
      </c>
      <c r="R1237" s="76" t="s">
        <v>2785</v>
      </c>
      <c r="S1237" s="76"/>
    </row>
    <row r="1238" spans="1:19" x14ac:dyDescent="0.3">
      <c r="A1238" s="76" t="s">
        <v>2779</v>
      </c>
      <c r="B1238" s="76" t="s">
        <v>2780</v>
      </c>
      <c r="C1238" s="76" t="s">
        <v>1263</v>
      </c>
      <c r="D1238" s="76" t="s">
        <v>39</v>
      </c>
      <c r="E1238" s="76" t="s">
        <v>22</v>
      </c>
      <c r="F1238" s="77">
        <v>45657</v>
      </c>
      <c r="G1238" s="76">
        <v>2024</v>
      </c>
      <c r="H1238" s="76" t="s">
        <v>27</v>
      </c>
      <c r="I1238" s="76" t="s">
        <v>36</v>
      </c>
      <c r="J1238" s="76">
        <v>100</v>
      </c>
      <c r="K1238" s="76">
        <v>97</v>
      </c>
      <c r="L1238" s="78">
        <f t="shared" si="152"/>
        <v>0.97</v>
      </c>
      <c r="M1238" s="78">
        <f t="shared" si="153"/>
        <v>0.97</v>
      </c>
      <c r="N1238" s="76" t="s">
        <v>25</v>
      </c>
      <c r="O1238" s="76" t="s">
        <v>25</v>
      </c>
      <c r="P1238" s="76">
        <v>0</v>
      </c>
      <c r="Q1238" s="76">
        <v>0</v>
      </c>
      <c r="R1238" s="76" t="s">
        <v>2787</v>
      </c>
      <c r="S1238" s="76"/>
    </row>
    <row r="1239" spans="1:19" x14ac:dyDescent="0.3">
      <c r="A1239" s="76" t="s">
        <v>2788</v>
      </c>
      <c r="B1239" s="76" t="s">
        <v>2789</v>
      </c>
      <c r="C1239" s="76" t="s">
        <v>1263</v>
      </c>
      <c r="D1239" s="76" t="s">
        <v>39</v>
      </c>
      <c r="E1239" s="76" t="s">
        <v>22</v>
      </c>
      <c r="F1239" s="77">
        <v>45107</v>
      </c>
      <c r="G1239" s="76">
        <v>2023</v>
      </c>
      <c r="H1239" s="76" t="s">
        <v>23</v>
      </c>
      <c r="I1239" s="76" t="s">
        <v>30</v>
      </c>
      <c r="J1239" s="76">
        <v>59</v>
      </c>
      <c r="K1239" s="76">
        <v>67</v>
      </c>
      <c r="L1239" s="78">
        <f t="shared" si="152"/>
        <v>1.1355932203389831</v>
      </c>
      <c r="M1239" s="78">
        <f t="shared" si="153"/>
        <v>1.1355932203389831</v>
      </c>
      <c r="N1239" s="76" t="s">
        <v>25</v>
      </c>
      <c r="O1239" s="76" t="s">
        <v>25</v>
      </c>
      <c r="P1239" s="76">
        <v>0</v>
      </c>
      <c r="Q1239" s="76">
        <v>0</v>
      </c>
      <c r="R1239" s="76" t="s">
        <v>2790</v>
      </c>
      <c r="S1239" s="76"/>
    </row>
    <row r="1240" spans="1:19" x14ac:dyDescent="0.3">
      <c r="A1240" s="76" t="s">
        <v>2788</v>
      </c>
      <c r="B1240" s="76" t="s">
        <v>2789</v>
      </c>
      <c r="C1240" s="76" t="s">
        <v>1263</v>
      </c>
      <c r="D1240" s="76" t="s">
        <v>39</v>
      </c>
      <c r="E1240" s="76" t="s">
        <v>22</v>
      </c>
      <c r="F1240" s="77">
        <v>45291</v>
      </c>
      <c r="G1240" s="76">
        <v>2023</v>
      </c>
      <c r="H1240" s="76" t="s">
        <v>27</v>
      </c>
      <c r="I1240" s="76" t="s">
        <v>32</v>
      </c>
      <c r="J1240" s="76">
        <v>100</v>
      </c>
      <c r="K1240" s="76">
        <v>97</v>
      </c>
      <c r="L1240" s="78">
        <f t="shared" si="152"/>
        <v>0.97</v>
      </c>
      <c r="M1240" s="78">
        <f t="shared" si="153"/>
        <v>0.97</v>
      </c>
      <c r="N1240" s="76" t="s">
        <v>25</v>
      </c>
      <c r="O1240" s="76" t="s">
        <v>25</v>
      </c>
      <c r="P1240" s="76">
        <v>0</v>
      </c>
      <c r="Q1240" s="76">
        <v>0</v>
      </c>
      <c r="R1240" s="76" t="s">
        <v>2792</v>
      </c>
      <c r="S1240" s="76"/>
    </row>
    <row r="1241" spans="1:19" x14ac:dyDescent="0.3">
      <c r="A1241" s="76" t="s">
        <v>2788</v>
      </c>
      <c r="B1241" s="76" t="s">
        <v>2789</v>
      </c>
      <c r="C1241" s="76" t="s">
        <v>1263</v>
      </c>
      <c r="D1241" s="76" t="s">
        <v>39</v>
      </c>
      <c r="E1241" s="76" t="s">
        <v>22</v>
      </c>
      <c r="F1241" s="77">
        <v>45657</v>
      </c>
      <c r="G1241" s="76">
        <v>2024</v>
      </c>
      <c r="H1241" s="76" t="s">
        <v>27</v>
      </c>
      <c r="I1241" s="76" t="s">
        <v>36</v>
      </c>
      <c r="J1241" s="76">
        <v>100</v>
      </c>
      <c r="K1241" s="76">
        <v>99</v>
      </c>
      <c r="L1241" s="78">
        <f t="shared" si="152"/>
        <v>0.99</v>
      </c>
      <c r="M1241" s="78">
        <f t="shared" si="153"/>
        <v>0.99</v>
      </c>
      <c r="N1241" s="76" t="s">
        <v>25</v>
      </c>
      <c r="O1241" s="76" t="s">
        <v>25</v>
      </c>
      <c r="P1241" s="76">
        <v>0</v>
      </c>
      <c r="Q1241" s="76">
        <v>0</v>
      </c>
      <c r="R1241" s="76" t="s">
        <v>2794</v>
      </c>
      <c r="S1241" s="76"/>
    </row>
    <row r="1242" spans="1:19" x14ac:dyDescent="0.3">
      <c r="A1242" s="76" t="s">
        <v>2795</v>
      </c>
      <c r="B1242" s="76" t="s">
        <v>2796</v>
      </c>
      <c r="C1242" s="76" t="s">
        <v>1263</v>
      </c>
      <c r="D1242" s="76" t="s">
        <v>39</v>
      </c>
      <c r="E1242" s="76" t="s">
        <v>22</v>
      </c>
      <c r="F1242" s="77">
        <v>45107</v>
      </c>
      <c r="G1242" s="76">
        <v>2023</v>
      </c>
      <c r="H1242" s="76" t="s">
        <v>23</v>
      </c>
      <c r="I1242" s="76" t="s">
        <v>30</v>
      </c>
      <c r="J1242" s="76">
        <v>62.74</v>
      </c>
      <c r="K1242" s="76">
        <v>66</v>
      </c>
      <c r="L1242" s="78">
        <f t="shared" ref="L1242:L1275" si="154">IFERROR(IF(OR(J1242=0,K1242=""),"",IF(E1242="Positivo",MIN(MAX(K1242/J1242,0),1),MIN(MAX(J1242/K1242,0),1))),"")</f>
        <v>1</v>
      </c>
      <c r="M1242" s="78">
        <f t="shared" ref="M1242:M1275" si="155">IFERROR(IF(OR(J1242=0,K1242=""),"",IF(E1242="Positivo",MIN(MAX(K1242/J1242,0),1),MIN(MAX(J1242/K1242,0),1))),"")</f>
        <v>1</v>
      </c>
      <c r="N1242" s="76" t="s">
        <v>25</v>
      </c>
      <c r="O1242" s="76" t="s">
        <v>25</v>
      </c>
      <c r="P1242" s="76">
        <v>0</v>
      </c>
      <c r="Q1242" s="76">
        <v>0</v>
      </c>
      <c r="R1242" s="76" t="s">
        <v>2797</v>
      </c>
      <c r="S1242" s="76"/>
    </row>
    <row r="1243" spans="1:19" x14ac:dyDescent="0.3">
      <c r="A1243" s="76" t="s">
        <v>2795</v>
      </c>
      <c r="B1243" s="76" t="s">
        <v>2796</v>
      </c>
      <c r="C1243" s="76" t="s">
        <v>1263</v>
      </c>
      <c r="D1243" s="76" t="s">
        <v>39</v>
      </c>
      <c r="E1243" s="76" t="s">
        <v>22</v>
      </c>
      <c r="F1243" s="77">
        <v>45291</v>
      </c>
      <c r="G1243" s="76">
        <v>2023</v>
      </c>
      <c r="H1243" s="76" t="s">
        <v>27</v>
      </c>
      <c r="I1243" s="76" t="s">
        <v>32</v>
      </c>
      <c r="J1243" s="76">
        <v>100</v>
      </c>
      <c r="K1243" s="76">
        <v>100</v>
      </c>
      <c r="L1243" s="78">
        <f t="shared" si="154"/>
        <v>1</v>
      </c>
      <c r="M1243" s="78">
        <f t="shared" si="155"/>
        <v>1</v>
      </c>
      <c r="N1243" s="76" t="s">
        <v>25</v>
      </c>
      <c r="O1243" s="76" t="s">
        <v>25</v>
      </c>
      <c r="P1243" s="76">
        <v>0</v>
      </c>
      <c r="Q1243" s="76">
        <v>0</v>
      </c>
      <c r="R1243" s="76" t="s">
        <v>2799</v>
      </c>
      <c r="S1243" s="76"/>
    </row>
    <row r="1244" spans="1:19" x14ac:dyDescent="0.3">
      <c r="A1244" s="76" t="s">
        <v>2795</v>
      </c>
      <c r="B1244" s="76" t="s">
        <v>2796</v>
      </c>
      <c r="C1244" s="76" t="s">
        <v>1263</v>
      </c>
      <c r="D1244" s="76" t="s">
        <v>39</v>
      </c>
      <c r="E1244" s="76" t="s">
        <v>22</v>
      </c>
      <c r="F1244" s="77">
        <v>45657</v>
      </c>
      <c r="G1244" s="76">
        <v>2024</v>
      </c>
      <c r="H1244" s="76" t="s">
        <v>27</v>
      </c>
      <c r="I1244" s="76" t="s">
        <v>36</v>
      </c>
      <c r="J1244" s="76">
        <v>100</v>
      </c>
      <c r="K1244" s="76">
        <v>100</v>
      </c>
      <c r="L1244" s="78">
        <f t="shared" si="154"/>
        <v>1</v>
      </c>
      <c r="M1244" s="78">
        <f t="shared" si="155"/>
        <v>1</v>
      </c>
      <c r="N1244" s="76" t="s">
        <v>25</v>
      </c>
      <c r="O1244" s="76" t="s">
        <v>25</v>
      </c>
      <c r="P1244" s="76">
        <v>0</v>
      </c>
      <c r="Q1244" s="76">
        <v>0</v>
      </c>
      <c r="R1244" s="76" t="s">
        <v>2804</v>
      </c>
      <c r="S1244" s="76"/>
    </row>
    <row r="1245" spans="1:19" x14ac:dyDescent="0.3">
      <c r="A1245" s="76" t="s">
        <v>2805</v>
      </c>
      <c r="B1245" s="76" t="s">
        <v>2806</v>
      </c>
      <c r="C1245" s="76" t="s">
        <v>1263</v>
      </c>
      <c r="D1245" s="76" t="s">
        <v>39</v>
      </c>
      <c r="E1245" s="76" t="s">
        <v>22</v>
      </c>
      <c r="F1245" s="77">
        <v>45107</v>
      </c>
      <c r="G1245" s="76">
        <v>2023</v>
      </c>
      <c r="H1245" s="76" t="s">
        <v>23</v>
      </c>
      <c r="I1245" s="76" t="s">
        <v>30</v>
      </c>
      <c r="J1245" s="76">
        <v>69.58</v>
      </c>
      <c r="K1245" s="76">
        <v>73.75</v>
      </c>
      <c r="L1245" s="78">
        <f t="shared" si="154"/>
        <v>1</v>
      </c>
      <c r="M1245" s="78">
        <f t="shared" si="155"/>
        <v>1</v>
      </c>
      <c r="N1245" s="76" t="s">
        <v>25</v>
      </c>
      <c r="O1245" s="76" t="s">
        <v>25</v>
      </c>
      <c r="P1245" s="76">
        <v>0</v>
      </c>
      <c r="Q1245" s="76">
        <v>0</v>
      </c>
      <c r="R1245" s="76" t="s">
        <v>2807</v>
      </c>
      <c r="S1245" s="76"/>
    </row>
    <row r="1246" spans="1:19" x14ac:dyDescent="0.3">
      <c r="A1246" s="76" t="s">
        <v>2805</v>
      </c>
      <c r="B1246" s="76" t="s">
        <v>2806</v>
      </c>
      <c r="C1246" s="76" t="s">
        <v>1263</v>
      </c>
      <c r="D1246" s="76" t="s">
        <v>39</v>
      </c>
      <c r="E1246" s="76" t="s">
        <v>22</v>
      </c>
      <c r="F1246" s="77">
        <v>45291</v>
      </c>
      <c r="G1246" s="76">
        <v>2023</v>
      </c>
      <c r="H1246" s="76" t="s">
        <v>27</v>
      </c>
      <c r="I1246" s="76" t="s">
        <v>32</v>
      </c>
      <c r="J1246" s="76">
        <v>100</v>
      </c>
      <c r="K1246" s="76">
        <v>98.75</v>
      </c>
      <c r="L1246" s="78">
        <f t="shared" si="154"/>
        <v>0.98750000000000004</v>
      </c>
      <c r="M1246" s="78">
        <f t="shared" si="155"/>
        <v>0.98750000000000004</v>
      </c>
      <c r="N1246" s="76" t="s">
        <v>25</v>
      </c>
      <c r="O1246" s="76" t="s">
        <v>25</v>
      </c>
      <c r="P1246" s="76">
        <v>0</v>
      </c>
      <c r="Q1246" s="76">
        <v>0</v>
      </c>
      <c r="R1246" s="76" t="s">
        <v>2809</v>
      </c>
      <c r="S1246" s="76"/>
    </row>
    <row r="1247" spans="1:19" x14ac:dyDescent="0.3">
      <c r="A1247" s="76" t="s">
        <v>2805</v>
      </c>
      <c r="B1247" s="76" t="s">
        <v>2806</v>
      </c>
      <c r="C1247" s="76" t="s">
        <v>1263</v>
      </c>
      <c r="D1247" s="76" t="s">
        <v>39</v>
      </c>
      <c r="E1247" s="76" t="s">
        <v>22</v>
      </c>
      <c r="F1247" s="77">
        <v>45657</v>
      </c>
      <c r="G1247" s="76">
        <v>2024</v>
      </c>
      <c r="H1247" s="76" t="s">
        <v>27</v>
      </c>
      <c r="I1247" s="76" t="s">
        <v>36</v>
      </c>
      <c r="J1247" s="76">
        <v>100</v>
      </c>
      <c r="K1247" s="76">
        <v>100</v>
      </c>
      <c r="L1247" s="78">
        <f t="shared" si="154"/>
        <v>1</v>
      </c>
      <c r="M1247" s="78">
        <f t="shared" si="155"/>
        <v>1</v>
      </c>
      <c r="N1247" s="76" t="s">
        <v>25</v>
      </c>
      <c r="O1247" s="76" t="s">
        <v>25</v>
      </c>
      <c r="P1247" s="76">
        <v>0</v>
      </c>
      <c r="Q1247" s="76">
        <v>0</v>
      </c>
      <c r="R1247" s="76" t="s">
        <v>2813</v>
      </c>
      <c r="S1247" s="76"/>
    </row>
    <row r="1248" spans="1:19" x14ac:dyDescent="0.3">
      <c r="A1248" s="76" t="s">
        <v>2814</v>
      </c>
      <c r="B1248" s="76" t="s">
        <v>2815</v>
      </c>
      <c r="C1248" s="76" t="s">
        <v>1263</v>
      </c>
      <c r="D1248" s="76" t="s">
        <v>39</v>
      </c>
      <c r="E1248" s="76" t="s">
        <v>22</v>
      </c>
      <c r="F1248" s="77">
        <v>45107</v>
      </c>
      <c r="G1248" s="76">
        <v>2023</v>
      </c>
      <c r="H1248" s="76" t="s">
        <v>23</v>
      </c>
      <c r="I1248" s="76" t="s">
        <v>30</v>
      </c>
      <c r="J1248" s="76">
        <v>72.27</v>
      </c>
      <c r="K1248" s="76">
        <v>70.209999999999994</v>
      </c>
      <c r="L1248" s="78">
        <f t="shared" si="154"/>
        <v>0.97149577971495782</v>
      </c>
      <c r="M1248" s="78">
        <f t="shared" si="155"/>
        <v>0.97149577971495782</v>
      </c>
      <c r="N1248" s="76" t="s">
        <v>25</v>
      </c>
      <c r="O1248" s="76" t="s">
        <v>25</v>
      </c>
      <c r="P1248" s="76">
        <v>0</v>
      </c>
      <c r="Q1248" s="76">
        <v>0</v>
      </c>
      <c r="R1248" s="76" t="s">
        <v>2816</v>
      </c>
      <c r="S1248" s="76"/>
    </row>
    <row r="1249" spans="1:19" x14ac:dyDescent="0.3">
      <c r="A1249" s="76" t="s">
        <v>2814</v>
      </c>
      <c r="B1249" s="76" t="s">
        <v>2815</v>
      </c>
      <c r="C1249" s="76" t="s">
        <v>1263</v>
      </c>
      <c r="D1249" s="76" t="s">
        <v>39</v>
      </c>
      <c r="E1249" s="76" t="s">
        <v>22</v>
      </c>
      <c r="F1249" s="77">
        <v>45291</v>
      </c>
      <c r="G1249" s="76">
        <v>2023</v>
      </c>
      <c r="H1249" s="76" t="s">
        <v>27</v>
      </c>
      <c r="I1249" s="76" t="s">
        <v>32</v>
      </c>
      <c r="J1249" s="76">
        <v>100</v>
      </c>
      <c r="K1249" s="76">
        <v>100</v>
      </c>
      <c r="L1249" s="78">
        <f t="shared" si="154"/>
        <v>1</v>
      </c>
      <c r="M1249" s="78">
        <f t="shared" si="155"/>
        <v>1</v>
      </c>
      <c r="N1249" s="76" t="s">
        <v>25</v>
      </c>
      <c r="O1249" s="76" t="s">
        <v>25</v>
      </c>
      <c r="P1249" s="76">
        <v>0</v>
      </c>
      <c r="Q1249" s="76">
        <v>0</v>
      </c>
      <c r="R1249" s="76" t="s">
        <v>2818</v>
      </c>
      <c r="S1249" s="76"/>
    </row>
    <row r="1250" spans="1:19" x14ac:dyDescent="0.3">
      <c r="A1250" s="76" t="s">
        <v>2814</v>
      </c>
      <c r="B1250" s="76" t="s">
        <v>2815</v>
      </c>
      <c r="C1250" s="76" t="s">
        <v>1263</v>
      </c>
      <c r="D1250" s="76" t="s">
        <v>39</v>
      </c>
      <c r="E1250" s="76" t="s">
        <v>22</v>
      </c>
      <c r="F1250" s="77">
        <v>45473</v>
      </c>
      <c r="G1250" s="76">
        <v>2024</v>
      </c>
      <c r="H1250" s="76" t="s">
        <v>23</v>
      </c>
      <c r="I1250" s="76" t="s">
        <v>34</v>
      </c>
      <c r="J1250" s="76">
        <v>36.78</v>
      </c>
      <c r="K1250" s="76">
        <v>44.65</v>
      </c>
      <c r="L1250" s="78">
        <f t="shared" si="154"/>
        <v>1</v>
      </c>
      <c r="M1250" s="78">
        <f t="shared" si="155"/>
        <v>1</v>
      </c>
      <c r="N1250" s="76" t="s">
        <v>25</v>
      </c>
      <c r="O1250" s="76" t="s">
        <v>25</v>
      </c>
      <c r="P1250" s="76">
        <v>0</v>
      </c>
      <c r="Q1250" s="76">
        <v>0</v>
      </c>
      <c r="R1250" s="76" t="s">
        <v>2820</v>
      </c>
      <c r="S1250" s="76"/>
    </row>
    <row r="1251" spans="1:19" x14ac:dyDescent="0.3">
      <c r="A1251" s="76" t="s">
        <v>2814</v>
      </c>
      <c r="B1251" s="76" t="s">
        <v>2815</v>
      </c>
      <c r="C1251" s="76" t="s">
        <v>1263</v>
      </c>
      <c r="D1251" s="76" t="s">
        <v>39</v>
      </c>
      <c r="E1251" s="76" t="s">
        <v>22</v>
      </c>
      <c r="F1251" s="77">
        <v>45657</v>
      </c>
      <c r="G1251" s="76">
        <v>2024</v>
      </c>
      <c r="H1251" s="76" t="s">
        <v>27</v>
      </c>
      <c r="I1251" s="76" t="s">
        <v>36</v>
      </c>
      <c r="J1251" s="76">
        <v>100</v>
      </c>
      <c r="K1251" s="76">
        <v>100</v>
      </c>
      <c r="L1251" s="78">
        <f t="shared" si="154"/>
        <v>1</v>
      </c>
      <c r="M1251" s="78">
        <f t="shared" si="155"/>
        <v>1</v>
      </c>
      <c r="N1251" s="76" t="s">
        <v>25</v>
      </c>
      <c r="O1251" s="76" t="s">
        <v>25</v>
      </c>
      <c r="P1251" s="76">
        <v>0</v>
      </c>
      <c r="Q1251" s="76">
        <v>0</v>
      </c>
      <c r="R1251" s="76" t="s">
        <v>2822</v>
      </c>
      <c r="S1251" s="76"/>
    </row>
    <row r="1252" spans="1:19" x14ac:dyDescent="0.3">
      <c r="A1252" s="76" t="s">
        <v>2823</v>
      </c>
      <c r="B1252" s="76" t="s">
        <v>2824</v>
      </c>
      <c r="C1252" s="76" t="s">
        <v>1263</v>
      </c>
      <c r="D1252" s="76" t="s">
        <v>39</v>
      </c>
      <c r="E1252" s="76" t="s">
        <v>22</v>
      </c>
      <c r="F1252" s="77">
        <v>45107</v>
      </c>
      <c r="G1252" s="76">
        <v>2023</v>
      </c>
      <c r="H1252" s="76" t="s">
        <v>23</v>
      </c>
      <c r="I1252" s="76" t="s">
        <v>30</v>
      </c>
      <c r="J1252" s="76">
        <v>61.42</v>
      </c>
      <c r="K1252" s="76">
        <v>67.67</v>
      </c>
      <c r="L1252" s="78">
        <f t="shared" si="154"/>
        <v>1</v>
      </c>
      <c r="M1252" s="78">
        <f t="shared" si="155"/>
        <v>1</v>
      </c>
      <c r="N1252" s="76" t="s">
        <v>25</v>
      </c>
      <c r="O1252" s="76" t="s">
        <v>25</v>
      </c>
      <c r="P1252" s="76">
        <v>0</v>
      </c>
      <c r="Q1252" s="76">
        <v>0</v>
      </c>
      <c r="R1252" s="76" t="s">
        <v>2825</v>
      </c>
      <c r="S1252" s="76"/>
    </row>
    <row r="1253" spans="1:19" x14ac:dyDescent="0.3">
      <c r="A1253" s="76" t="s">
        <v>2823</v>
      </c>
      <c r="B1253" s="76" t="s">
        <v>2824</v>
      </c>
      <c r="C1253" s="76" t="s">
        <v>1263</v>
      </c>
      <c r="D1253" s="76" t="s">
        <v>39</v>
      </c>
      <c r="E1253" s="76" t="s">
        <v>22</v>
      </c>
      <c r="F1253" s="77">
        <v>45291</v>
      </c>
      <c r="G1253" s="76">
        <v>2023</v>
      </c>
      <c r="H1253" s="76" t="s">
        <v>27</v>
      </c>
      <c r="I1253" s="76" t="s">
        <v>32</v>
      </c>
      <c r="J1253" s="76">
        <v>100</v>
      </c>
      <c r="K1253" s="76">
        <v>100</v>
      </c>
      <c r="L1253" s="78">
        <f t="shared" si="154"/>
        <v>1</v>
      </c>
      <c r="M1253" s="78">
        <f t="shared" si="155"/>
        <v>1</v>
      </c>
      <c r="N1253" s="76" t="s">
        <v>25</v>
      </c>
      <c r="O1253" s="76" t="s">
        <v>25</v>
      </c>
      <c r="P1253" s="76">
        <v>0</v>
      </c>
      <c r="Q1253" s="76">
        <v>0</v>
      </c>
      <c r="R1253" s="76" t="s">
        <v>2827</v>
      </c>
      <c r="S1253" s="76"/>
    </row>
    <row r="1254" spans="1:19" x14ac:dyDescent="0.3">
      <c r="A1254" s="76" t="s">
        <v>2823</v>
      </c>
      <c r="B1254" s="76" t="s">
        <v>2824</v>
      </c>
      <c r="C1254" s="76" t="s">
        <v>1263</v>
      </c>
      <c r="D1254" s="76" t="s">
        <v>39</v>
      </c>
      <c r="E1254" s="76" t="s">
        <v>22</v>
      </c>
      <c r="F1254" s="77">
        <v>45657</v>
      </c>
      <c r="G1254" s="76">
        <v>2024</v>
      </c>
      <c r="H1254" s="76" t="s">
        <v>27</v>
      </c>
      <c r="I1254" s="76" t="s">
        <v>36</v>
      </c>
      <c r="J1254" s="76">
        <v>100</v>
      </c>
      <c r="K1254" s="76">
        <v>100</v>
      </c>
      <c r="L1254" s="78">
        <f t="shared" si="154"/>
        <v>1</v>
      </c>
      <c r="M1254" s="78">
        <f t="shared" si="155"/>
        <v>1</v>
      </c>
      <c r="N1254" s="76" t="s">
        <v>25</v>
      </c>
      <c r="O1254" s="76" t="s">
        <v>25</v>
      </c>
      <c r="P1254" s="76">
        <v>0</v>
      </c>
      <c r="Q1254" s="76">
        <v>0</v>
      </c>
      <c r="R1254" s="76" t="s">
        <v>2831</v>
      </c>
      <c r="S1254" s="76"/>
    </row>
    <row r="1255" spans="1:19" x14ac:dyDescent="0.3">
      <c r="A1255" s="76" t="s">
        <v>2832</v>
      </c>
      <c r="B1255" s="76" t="s">
        <v>2833</v>
      </c>
      <c r="C1255" s="76" t="s">
        <v>1263</v>
      </c>
      <c r="D1255" s="76" t="s">
        <v>39</v>
      </c>
      <c r="E1255" s="76" t="s">
        <v>22</v>
      </c>
      <c r="F1255" s="77">
        <v>45107</v>
      </c>
      <c r="G1255" s="76">
        <v>2023</v>
      </c>
      <c r="H1255" s="76" t="s">
        <v>23</v>
      </c>
      <c r="I1255" s="76" t="s">
        <v>30</v>
      </c>
      <c r="J1255" s="76">
        <v>66.319999999999993</v>
      </c>
      <c r="K1255" s="76">
        <v>73</v>
      </c>
      <c r="L1255" s="78">
        <f t="shared" si="154"/>
        <v>1</v>
      </c>
      <c r="M1255" s="78">
        <f t="shared" si="155"/>
        <v>1</v>
      </c>
      <c r="N1255" s="76" t="s">
        <v>25</v>
      </c>
      <c r="O1255" s="76" t="s">
        <v>25</v>
      </c>
      <c r="P1255" s="76">
        <v>0</v>
      </c>
      <c r="Q1255" s="76">
        <v>0</v>
      </c>
      <c r="R1255" s="76" t="s">
        <v>2834</v>
      </c>
      <c r="S1255" s="76"/>
    </row>
    <row r="1256" spans="1:19" x14ac:dyDescent="0.3">
      <c r="A1256" s="76" t="s">
        <v>2832</v>
      </c>
      <c r="B1256" s="76" t="s">
        <v>2833</v>
      </c>
      <c r="C1256" s="76" t="s">
        <v>1263</v>
      </c>
      <c r="D1256" s="76" t="s">
        <v>39</v>
      </c>
      <c r="E1256" s="76" t="s">
        <v>22</v>
      </c>
      <c r="F1256" s="77">
        <v>45291</v>
      </c>
      <c r="G1256" s="76">
        <v>2023</v>
      </c>
      <c r="H1256" s="76" t="s">
        <v>27</v>
      </c>
      <c r="I1256" s="76" t="s">
        <v>32</v>
      </c>
      <c r="J1256" s="76">
        <v>100</v>
      </c>
      <c r="K1256" s="76">
        <v>100</v>
      </c>
      <c r="L1256" s="78">
        <f t="shared" si="154"/>
        <v>1</v>
      </c>
      <c r="M1256" s="78">
        <f t="shared" si="155"/>
        <v>1</v>
      </c>
      <c r="N1256" s="76" t="s">
        <v>25</v>
      </c>
      <c r="O1256" s="76" t="s">
        <v>25</v>
      </c>
      <c r="P1256" s="76">
        <v>0</v>
      </c>
      <c r="Q1256" s="76">
        <v>0</v>
      </c>
      <c r="R1256" s="76" t="s">
        <v>2836</v>
      </c>
      <c r="S1256" s="76"/>
    </row>
    <row r="1257" spans="1:19" x14ac:dyDescent="0.3">
      <c r="A1257" s="76" t="s">
        <v>2832</v>
      </c>
      <c r="B1257" s="76" t="s">
        <v>2833</v>
      </c>
      <c r="C1257" s="76" t="s">
        <v>1263</v>
      </c>
      <c r="D1257" s="76" t="s">
        <v>39</v>
      </c>
      <c r="E1257" s="76" t="s">
        <v>22</v>
      </c>
      <c r="F1257" s="77">
        <v>45657</v>
      </c>
      <c r="G1257" s="76">
        <v>2024</v>
      </c>
      <c r="H1257" s="76" t="s">
        <v>27</v>
      </c>
      <c r="I1257" s="76" t="s">
        <v>36</v>
      </c>
      <c r="J1257" s="76">
        <v>100</v>
      </c>
      <c r="K1257" s="76">
        <v>99</v>
      </c>
      <c r="L1257" s="78">
        <f t="shared" si="154"/>
        <v>0.99</v>
      </c>
      <c r="M1257" s="78">
        <f t="shared" si="155"/>
        <v>0.99</v>
      </c>
      <c r="N1257" s="76" t="s">
        <v>25</v>
      </c>
      <c r="O1257" s="76" t="s">
        <v>25</v>
      </c>
      <c r="P1257" s="76">
        <v>0</v>
      </c>
      <c r="Q1257" s="76">
        <v>0</v>
      </c>
      <c r="R1257" s="76" t="s">
        <v>2840</v>
      </c>
      <c r="S1257" s="76"/>
    </row>
    <row r="1258" spans="1:19" x14ac:dyDescent="0.3">
      <c r="A1258" s="76" t="s">
        <v>2841</v>
      </c>
      <c r="B1258" s="76" t="s">
        <v>2842</v>
      </c>
      <c r="C1258" s="76" t="s">
        <v>1263</v>
      </c>
      <c r="D1258" s="76" t="s">
        <v>39</v>
      </c>
      <c r="E1258" s="76" t="s">
        <v>22</v>
      </c>
      <c r="F1258" s="77">
        <v>45107</v>
      </c>
      <c r="G1258" s="76">
        <v>2023</v>
      </c>
      <c r="H1258" s="76" t="s">
        <v>23</v>
      </c>
      <c r="I1258" s="76" t="s">
        <v>30</v>
      </c>
      <c r="J1258" s="76">
        <v>67.81</v>
      </c>
      <c r="K1258" s="76">
        <v>77.5</v>
      </c>
      <c r="L1258" s="78">
        <f t="shared" si="154"/>
        <v>1</v>
      </c>
      <c r="M1258" s="78">
        <f t="shared" si="155"/>
        <v>1</v>
      </c>
      <c r="N1258" s="76" t="s">
        <v>25</v>
      </c>
      <c r="O1258" s="76" t="s">
        <v>25</v>
      </c>
      <c r="P1258" s="76">
        <v>1</v>
      </c>
      <c r="Q1258" s="76">
        <v>1</v>
      </c>
      <c r="R1258" s="76" t="s">
        <v>2843</v>
      </c>
      <c r="S1258" s="76"/>
    </row>
    <row r="1259" spans="1:19" x14ac:dyDescent="0.3">
      <c r="A1259" s="76" t="s">
        <v>2841</v>
      </c>
      <c r="B1259" s="76" t="s">
        <v>2842</v>
      </c>
      <c r="C1259" s="76" t="s">
        <v>1263</v>
      </c>
      <c r="D1259" s="76" t="s">
        <v>39</v>
      </c>
      <c r="E1259" s="76" t="s">
        <v>22</v>
      </c>
      <c r="F1259" s="77">
        <v>45291</v>
      </c>
      <c r="G1259" s="76">
        <v>2023</v>
      </c>
      <c r="H1259" s="76" t="s">
        <v>27</v>
      </c>
      <c r="I1259" s="76" t="s">
        <v>32</v>
      </c>
      <c r="J1259" s="76">
        <v>100</v>
      </c>
      <c r="K1259" s="76">
        <v>99.38</v>
      </c>
      <c r="L1259" s="78">
        <f t="shared" si="154"/>
        <v>0.99379999999999991</v>
      </c>
      <c r="M1259" s="78">
        <f t="shared" si="155"/>
        <v>0.99379999999999991</v>
      </c>
      <c r="N1259" s="76" t="s">
        <v>25</v>
      </c>
      <c r="O1259" s="76" t="s">
        <v>25</v>
      </c>
      <c r="P1259" s="76">
        <v>1</v>
      </c>
      <c r="Q1259" s="76">
        <v>1</v>
      </c>
      <c r="R1259" s="76" t="s">
        <v>2845</v>
      </c>
      <c r="S1259" s="76"/>
    </row>
    <row r="1260" spans="1:19" x14ac:dyDescent="0.3">
      <c r="A1260" s="76" t="s">
        <v>2841</v>
      </c>
      <c r="B1260" s="76" t="s">
        <v>2842</v>
      </c>
      <c r="C1260" s="76" t="s">
        <v>1263</v>
      </c>
      <c r="D1260" s="76" t="s">
        <v>39</v>
      </c>
      <c r="E1260" s="76" t="s">
        <v>22</v>
      </c>
      <c r="F1260" s="77">
        <v>45657</v>
      </c>
      <c r="G1260" s="76">
        <v>2024</v>
      </c>
      <c r="H1260" s="76" t="s">
        <v>27</v>
      </c>
      <c r="I1260" s="76" t="s">
        <v>36</v>
      </c>
      <c r="J1260" s="76">
        <v>100</v>
      </c>
      <c r="K1260" s="76">
        <v>100</v>
      </c>
      <c r="L1260" s="78">
        <f t="shared" si="154"/>
        <v>1</v>
      </c>
      <c r="M1260" s="78">
        <f t="shared" si="155"/>
        <v>1</v>
      </c>
      <c r="N1260" s="76" t="s">
        <v>25</v>
      </c>
      <c r="O1260" s="76" t="s">
        <v>25</v>
      </c>
      <c r="P1260" s="76">
        <v>1</v>
      </c>
      <c r="Q1260" s="76">
        <v>1</v>
      </c>
      <c r="R1260" s="76" t="s">
        <v>2849</v>
      </c>
      <c r="S1260" s="76"/>
    </row>
    <row r="1261" spans="1:19" x14ac:dyDescent="0.3">
      <c r="A1261" s="76" t="s">
        <v>2850</v>
      </c>
      <c r="B1261" s="76" t="s">
        <v>2851</v>
      </c>
      <c r="C1261" s="76" t="s">
        <v>1263</v>
      </c>
      <c r="D1261" s="76" t="s">
        <v>39</v>
      </c>
      <c r="E1261" s="76" t="s">
        <v>22</v>
      </c>
      <c r="F1261" s="77">
        <v>45107</v>
      </c>
      <c r="G1261" s="76">
        <v>2023</v>
      </c>
      <c r="H1261" s="76" t="s">
        <v>23</v>
      </c>
      <c r="I1261" s="76" t="s">
        <v>30</v>
      </c>
      <c r="J1261" s="76">
        <v>64.88</v>
      </c>
      <c r="K1261" s="76">
        <v>78.33</v>
      </c>
      <c r="L1261" s="78">
        <f t="shared" si="154"/>
        <v>1</v>
      </c>
      <c r="M1261" s="78">
        <f t="shared" si="155"/>
        <v>1</v>
      </c>
      <c r="N1261" s="76" t="s">
        <v>25</v>
      </c>
      <c r="O1261" s="76" t="s">
        <v>25</v>
      </c>
      <c r="P1261" s="76">
        <v>0</v>
      </c>
      <c r="Q1261" s="76">
        <v>0</v>
      </c>
      <c r="R1261" s="76" t="s">
        <v>2852</v>
      </c>
      <c r="S1261" s="76"/>
    </row>
    <row r="1262" spans="1:19" x14ac:dyDescent="0.3">
      <c r="A1262" s="76" t="s">
        <v>2850</v>
      </c>
      <c r="B1262" s="76" t="s">
        <v>2851</v>
      </c>
      <c r="C1262" s="76" t="s">
        <v>1263</v>
      </c>
      <c r="D1262" s="76" t="s">
        <v>39</v>
      </c>
      <c r="E1262" s="76" t="s">
        <v>22</v>
      </c>
      <c r="F1262" s="77">
        <v>45291</v>
      </c>
      <c r="G1262" s="76">
        <v>2023</v>
      </c>
      <c r="H1262" s="76" t="s">
        <v>27</v>
      </c>
      <c r="I1262" s="76" t="s">
        <v>32</v>
      </c>
      <c r="J1262" s="76">
        <v>100</v>
      </c>
      <c r="K1262" s="76">
        <v>100</v>
      </c>
      <c r="L1262" s="78">
        <f t="shared" si="154"/>
        <v>1</v>
      </c>
      <c r="M1262" s="78">
        <f t="shared" si="155"/>
        <v>1</v>
      </c>
      <c r="N1262" s="76" t="s">
        <v>25</v>
      </c>
      <c r="O1262" s="76" t="s">
        <v>25</v>
      </c>
      <c r="P1262" s="76">
        <v>0</v>
      </c>
      <c r="Q1262" s="76">
        <v>0</v>
      </c>
      <c r="R1262" s="76" t="s">
        <v>2854</v>
      </c>
      <c r="S1262" s="76"/>
    </row>
    <row r="1263" spans="1:19" x14ac:dyDescent="0.3">
      <c r="A1263" s="76" t="s">
        <v>2850</v>
      </c>
      <c r="B1263" s="76" t="s">
        <v>2851</v>
      </c>
      <c r="C1263" s="76" t="s">
        <v>1263</v>
      </c>
      <c r="D1263" s="76" t="s">
        <v>39</v>
      </c>
      <c r="E1263" s="76" t="s">
        <v>22</v>
      </c>
      <c r="F1263" s="77">
        <v>45657</v>
      </c>
      <c r="G1263" s="76">
        <v>2024</v>
      </c>
      <c r="H1263" s="76" t="s">
        <v>27</v>
      </c>
      <c r="I1263" s="76" t="s">
        <v>36</v>
      </c>
      <c r="J1263" s="76">
        <v>100</v>
      </c>
      <c r="K1263" s="76">
        <v>100</v>
      </c>
      <c r="L1263" s="78">
        <f t="shared" si="154"/>
        <v>1</v>
      </c>
      <c r="M1263" s="78">
        <f t="shared" si="155"/>
        <v>1</v>
      </c>
      <c r="N1263" s="76" t="s">
        <v>25</v>
      </c>
      <c r="O1263" s="76" t="s">
        <v>25</v>
      </c>
      <c r="P1263" s="76">
        <v>0</v>
      </c>
      <c r="Q1263" s="76">
        <v>0</v>
      </c>
      <c r="R1263" s="76" t="s">
        <v>2858</v>
      </c>
      <c r="S1263" s="76"/>
    </row>
    <row r="1264" spans="1:19" x14ac:dyDescent="0.3">
      <c r="A1264" s="76" t="s">
        <v>2859</v>
      </c>
      <c r="B1264" s="76" t="s">
        <v>2860</v>
      </c>
      <c r="C1264" s="76" t="s">
        <v>1263</v>
      </c>
      <c r="D1264" s="76" t="s">
        <v>39</v>
      </c>
      <c r="E1264" s="76" t="s">
        <v>22</v>
      </c>
      <c r="F1264" s="77">
        <v>45107</v>
      </c>
      <c r="G1264" s="76">
        <v>2023</v>
      </c>
      <c r="H1264" s="76" t="s">
        <v>23</v>
      </c>
      <c r="I1264" s="76" t="s">
        <v>30</v>
      </c>
      <c r="J1264" s="76">
        <v>51.39</v>
      </c>
      <c r="K1264" s="76">
        <v>53.93</v>
      </c>
      <c r="L1264" s="78">
        <f t="shared" si="154"/>
        <v>1</v>
      </c>
      <c r="M1264" s="78">
        <f t="shared" si="155"/>
        <v>1</v>
      </c>
      <c r="N1264" s="76" t="s">
        <v>25</v>
      </c>
      <c r="O1264" s="76" t="s">
        <v>25</v>
      </c>
      <c r="P1264" s="76">
        <v>0</v>
      </c>
      <c r="Q1264" s="76">
        <v>0</v>
      </c>
      <c r="R1264" s="76" t="s">
        <v>2861</v>
      </c>
      <c r="S1264" s="76"/>
    </row>
    <row r="1265" spans="1:19" x14ac:dyDescent="0.3">
      <c r="A1265" s="76" t="s">
        <v>2859</v>
      </c>
      <c r="B1265" s="76" t="s">
        <v>2860</v>
      </c>
      <c r="C1265" s="76" t="s">
        <v>1263</v>
      </c>
      <c r="D1265" s="76" t="s">
        <v>39</v>
      </c>
      <c r="E1265" s="76" t="s">
        <v>22</v>
      </c>
      <c r="F1265" s="77">
        <v>45291</v>
      </c>
      <c r="G1265" s="76">
        <v>2023</v>
      </c>
      <c r="H1265" s="76" t="s">
        <v>27</v>
      </c>
      <c r="I1265" s="76" t="s">
        <v>32</v>
      </c>
      <c r="J1265" s="76">
        <v>100</v>
      </c>
      <c r="K1265" s="76">
        <v>92.86</v>
      </c>
      <c r="L1265" s="78">
        <f t="shared" si="154"/>
        <v>0.92859999999999998</v>
      </c>
      <c r="M1265" s="78">
        <f t="shared" si="155"/>
        <v>0.92859999999999998</v>
      </c>
      <c r="N1265" s="76" t="s">
        <v>25</v>
      </c>
      <c r="O1265" s="76" t="s">
        <v>25</v>
      </c>
      <c r="P1265" s="76">
        <v>0</v>
      </c>
      <c r="Q1265" s="76">
        <v>0</v>
      </c>
      <c r="R1265" s="76" t="s">
        <v>2863</v>
      </c>
      <c r="S1265" s="76"/>
    </row>
    <row r="1266" spans="1:19" x14ac:dyDescent="0.3">
      <c r="A1266" s="76" t="s">
        <v>2859</v>
      </c>
      <c r="B1266" s="76" t="s">
        <v>2860</v>
      </c>
      <c r="C1266" s="76" t="s">
        <v>1263</v>
      </c>
      <c r="D1266" s="76" t="s">
        <v>39</v>
      </c>
      <c r="E1266" s="76" t="s">
        <v>22</v>
      </c>
      <c r="F1266" s="77">
        <v>45657</v>
      </c>
      <c r="G1266" s="76">
        <v>2024</v>
      </c>
      <c r="H1266" s="76" t="s">
        <v>27</v>
      </c>
      <c r="I1266" s="76" t="s">
        <v>36</v>
      </c>
      <c r="J1266" s="76">
        <v>100</v>
      </c>
      <c r="K1266" s="76">
        <v>100</v>
      </c>
      <c r="L1266" s="78">
        <f t="shared" si="154"/>
        <v>1</v>
      </c>
      <c r="M1266" s="78">
        <f t="shared" si="155"/>
        <v>1</v>
      </c>
      <c r="N1266" s="76" t="s">
        <v>25</v>
      </c>
      <c r="O1266" s="76" t="s">
        <v>25</v>
      </c>
      <c r="P1266" s="76">
        <v>0</v>
      </c>
      <c r="Q1266" s="76">
        <v>0</v>
      </c>
      <c r="R1266" s="76" t="s">
        <v>2867</v>
      </c>
      <c r="S1266" s="76"/>
    </row>
    <row r="1267" spans="1:19" x14ac:dyDescent="0.3">
      <c r="A1267" s="76" t="s">
        <v>2868</v>
      </c>
      <c r="B1267" s="76" t="s">
        <v>2869</v>
      </c>
      <c r="C1267" s="76" t="s">
        <v>1263</v>
      </c>
      <c r="D1267" s="76" t="s">
        <v>39</v>
      </c>
      <c r="E1267" s="76" t="s">
        <v>22</v>
      </c>
      <c r="F1267" s="77">
        <v>45107</v>
      </c>
      <c r="G1267" s="76">
        <v>2023</v>
      </c>
      <c r="H1267" s="76" t="s">
        <v>23</v>
      </c>
      <c r="I1267" s="76" t="s">
        <v>30</v>
      </c>
      <c r="J1267" s="76">
        <v>54.33</v>
      </c>
      <c r="K1267" s="76">
        <v>67</v>
      </c>
      <c r="L1267" s="78">
        <f t="shared" si="154"/>
        <v>1</v>
      </c>
      <c r="M1267" s="78">
        <f t="shared" si="155"/>
        <v>1</v>
      </c>
      <c r="N1267" s="76" t="s">
        <v>25</v>
      </c>
      <c r="O1267" s="76" t="s">
        <v>25</v>
      </c>
      <c r="P1267" s="76">
        <v>0</v>
      </c>
      <c r="Q1267" s="76">
        <v>0</v>
      </c>
      <c r="R1267" s="76" t="s">
        <v>2870</v>
      </c>
      <c r="S1267" s="76"/>
    </row>
    <row r="1268" spans="1:19" x14ac:dyDescent="0.3">
      <c r="A1268" s="76" t="s">
        <v>2868</v>
      </c>
      <c r="B1268" s="76" t="s">
        <v>2869</v>
      </c>
      <c r="C1268" s="76" t="s">
        <v>1263</v>
      </c>
      <c r="D1268" s="76" t="s">
        <v>39</v>
      </c>
      <c r="E1268" s="76" t="s">
        <v>22</v>
      </c>
      <c r="F1268" s="77">
        <v>45291</v>
      </c>
      <c r="G1268" s="76">
        <v>2023</v>
      </c>
      <c r="H1268" s="76" t="s">
        <v>27</v>
      </c>
      <c r="I1268" s="76" t="s">
        <v>32</v>
      </c>
      <c r="J1268" s="76">
        <v>100</v>
      </c>
      <c r="K1268" s="76">
        <v>100</v>
      </c>
      <c r="L1268" s="78">
        <f t="shared" si="154"/>
        <v>1</v>
      </c>
      <c r="M1268" s="78">
        <f t="shared" si="155"/>
        <v>1</v>
      </c>
      <c r="N1268" s="76" t="s">
        <v>25</v>
      </c>
      <c r="O1268" s="76" t="s">
        <v>25</v>
      </c>
      <c r="P1268" s="76">
        <v>0</v>
      </c>
      <c r="Q1268" s="76">
        <v>0</v>
      </c>
      <c r="R1268" s="76" t="s">
        <v>2872</v>
      </c>
      <c r="S1268" s="76"/>
    </row>
    <row r="1269" spans="1:19" x14ac:dyDescent="0.3">
      <c r="A1269" s="76" t="s">
        <v>2868</v>
      </c>
      <c r="B1269" s="76" t="s">
        <v>2869</v>
      </c>
      <c r="C1269" s="76" t="s">
        <v>1263</v>
      </c>
      <c r="D1269" s="76" t="s">
        <v>39</v>
      </c>
      <c r="E1269" s="76" t="s">
        <v>22</v>
      </c>
      <c r="F1269" s="77">
        <v>45657</v>
      </c>
      <c r="G1269" s="76">
        <v>2024</v>
      </c>
      <c r="H1269" s="76" t="s">
        <v>27</v>
      </c>
      <c r="I1269" s="76" t="s">
        <v>36</v>
      </c>
      <c r="J1269" s="76">
        <v>100</v>
      </c>
      <c r="K1269" s="76">
        <v>100</v>
      </c>
      <c r="L1269" s="78">
        <f t="shared" si="154"/>
        <v>1</v>
      </c>
      <c r="M1269" s="78">
        <f t="shared" si="155"/>
        <v>1</v>
      </c>
      <c r="N1269" s="76" t="s">
        <v>25</v>
      </c>
      <c r="O1269" s="76" t="s">
        <v>25</v>
      </c>
      <c r="P1269" s="76">
        <v>0</v>
      </c>
      <c r="Q1269" s="76">
        <v>0</v>
      </c>
      <c r="R1269" s="76" t="s">
        <v>2876</v>
      </c>
      <c r="S1269" s="76"/>
    </row>
    <row r="1270" spans="1:19" x14ac:dyDescent="0.3">
      <c r="A1270" s="76" t="s">
        <v>2877</v>
      </c>
      <c r="B1270" s="76" t="s">
        <v>2878</v>
      </c>
      <c r="C1270" s="76" t="s">
        <v>1263</v>
      </c>
      <c r="D1270" s="76" t="s">
        <v>39</v>
      </c>
      <c r="E1270" s="76" t="s">
        <v>22</v>
      </c>
      <c r="F1270" s="77">
        <v>45107</v>
      </c>
      <c r="G1270" s="76">
        <v>2023</v>
      </c>
      <c r="H1270" s="76" t="s">
        <v>23</v>
      </c>
      <c r="I1270" s="76" t="s">
        <v>30</v>
      </c>
      <c r="J1270" s="76">
        <v>60.38</v>
      </c>
      <c r="K1270" s="76">
        <v>73.06</v>
      </c>
      <c r="L1270" s="78">
        <f t="shared" si="154"/>
        <v>1</v>
      </c>
      <c r="M1270" s="78">
        <f t="shared" si="155"/>
        <v>1</v>
      </c>
      <c r="N1270" s="76" t="s">
        <v>25</v>
      </c>
      <c r="O1270" s="76" t="s">
        <v>25</v>
      </c>
      <c r="P1270" s="76">
        <v>0</v>
      </c>
      <c r="Q1270" s="76">
        <v>0</v>
      </c>
      <c r="R1270" s="76" t="s">
        <v>2879</v>
      </c>
      <c r="S1270" s="76"/>
    </row>
    <row r="1271" spans="1:19" x14ac:dyDescent="0.3">
      <c r="A1271" s="76" t="s">
        <v>2877</v>
      </c>
      <c r="B1271" s="76" t="s">
        <v>2878</v>
      </c>
      <c r="C1271" s="76" t="s">
        <v>1263</v>
      </c>
      <c r="D1271" s="76" t="s">
        <v>39</v>
      </c>
      <c r="E1271" s="76" t="s">
        <v>22</v>
      </c>
      <c r="F1271" s="77">
        <v>45291</v>
      </c>
      <c r="G1271" s="76">
        <v>2023</v>
      </c>
      <c r="H1271" s="76" t="s">
        <v>27</v>
      </c>
      <c r="I1271" s="76" t="s">
        <v>32</v>
      </c>
      <c r="J1271" s="76">
        <v>100</v>
      </c>
      <c r="K1271" s="76">
        <v>100</v>
      </c>
      <c r="L1271" s="78">
        <f t="shared" si="154"/>
        <v>1</v>
      </c>
      <c r="M1271" s="78">
        <f t="shared" si="155"/>
        <v>1</v>
      </c>
      <c r="N1271" s="76" t="s">
        <v>25</v>
      </c>
      <c r="O1271" s="76" t="s">
        <v>25</v>
      </c>
      <c r="P1271" s="76">
        <v>0</v>
      </c>
      <c r="Q1271" s="76">
        <v>0</v>
      </c>
      <c r="R1271" s="76" t="s">
        <v>2881</v>
      </c>
      <c r="S1271" s="76"/>
    </row>
    <row r="1272" spans="1:19" x14ac:dyDescent="0.3">
      <c r="A1272" s="76" t="s">
        <v>2877</v>
      </c>
      <c r="B1272" s="76" t="s">
        <v>2878</v>
      </c>
      <c r="C1272" s="76" t="s">
        <v>1263</v>
      </c>
      <c r="D1272" s="76" t="s">
        <v>39</v>
      </c>
      <c r="E1272" s="76" t="s">
        <v>22</v>
      </c>
      <c r="F1272" s="77">
        <v>45657</v>
      </c>
      <c r="G1272" s="76">
        <v>2024</v>
      </c>
      <c r="H1272" s="76" t="s">
        <v>27</v>
      </c>
      <c r="I1272" s="76" t="s">
        <v>36</v>
      </c>
      <c r="J1272" s="76">
        <v>100</v>
      </c>
      <c r="K1272" s="76">
        <v>100</v>
      </c>
      <c r="L1272" s="78">
        <f t="shared" si="154"/>
        <v>1</v>
      </c>
      <c r="M1272" s="78">
        <f t="shared" si="155"/>
        <v>1</v>
      </c>
      <c r="N1272" s="76" t="s">
        <v>25</v>
      </c>
      <c r="O1272" s="76" t="s">
        <v>25</v>
      </c>
      <c r="P1272" s="76">
        <v>0</v>
      </c>
      <c r="Q1272" s="76">
        <v>0</v>
      </c>
      <c r="R1272" s="76" t="s">
        <v>2885</v>
      </c>
      <c r="S1272" s="76"/>
    </row>
    <row r="1273" spans="1:19" x14ac:dyDescent="0.3">
      <c r="A1273" s="76" t="s">
        <v>2886</v>
      </c>
      <c r="B1273" s="76" t="s">
        <v>2887</v>
      </c>
      <c r="C1273" s="76" t="s">
        <v>1263</v>
      </c>
      <c r="D1273" s="76" t="s">
        <v>39</v>
      </c>
      <c r="E1273" s="76" t="s">
        <v>22</v>
      </c>
      <c r="F1273" s="77">
        <v>45107</v>
      </c>
      <c r="G1273" s="76">
        <v>2023</v>
      </c>
      <c r="H1273" s="76" t="s">
        <v>23</v>
      </c>
      <c r="I1273" s="76" t="s">
        <v>30</v>
      </c>
      <c r="J1273" s="76">
        <v>69.650000000000006</v>
      </c>
      <c r="K1273" s="76">
        <v>68.75</v>
      </c>
      <c r="L1273" s="78">
        <f t="shared" si="154"/>
        <v>0.98707824838478098</v>
      </c>
      <c r="M1273" s="78">
        <f t="shared" si="155"/>
        <v>0.98707824838478098</v>
      </c>
      <c r="N1273" s="76" t="s">
        <v>25</v>
      </c>
      <c r="O1273" s="76" t="s">
        <v>25</v>
      </c>
      <c r="P1273" s="76">
        <v>0</v>
      </c>
      <c r="Q1273" s="76">
        <v>0</v>
      </c>
      <c r="R1273" s="76" t="s">
        <v>2888</v>
      </c>
      <c r="S1273" s="76"/>
    </row>
    <row r="1274" spans="1:19" x14ac:dyDescent="0.3">
      <c r="A1274" s="76" t="s">
        <v>2886</v>
      </c>
      <c r="B1274" s="76" t="s">
        <v>2887</v>
      </c>
      <c r="C1274" s="76" t="s">
        <v>1263</v>
      </c>
      <c r="D1274" s="76" t="s">
        <v>39</v>
      </c>
      <c r="E1274" s="76" t="s">
        <v>22</v>
      </c>
      <c r="F1274" s="77">
        <v>45291</v>
      </c>
      <c r="G1274" s="76">
        <v>2023</v>
      </c>
      <c r="H1274" s="76" t="s">
        <v>27</v>
      </c>
      <c r="I1274" s="76" t="s">
        <v>32</v>
      </c>
      <c r="J1274" s="76">
        <v>100</v>
      </c>
      <c r="K1274" s="76">
        <v>100</v>
      </c>
      <c r="L1274" s="78">
        <f t="shared" si="154"/>
        <v>1</v>
      </c>
      <c r="M1274" s="78">
        <f t="shared" si="155"/>
        <v>1</v>
      </c>
      <c r="N1274" s="76" t="s">
        <v>25</v>
      </c>
      <c r="O1274" s="76" t="s">
        <v>25</v>
      </c>
      <c r="P1274" s="76">
        <v>0</v>
      </c>
      <c r="Q1274" s="76">
        <v>0</v>
      </c>
      <c r="R1274" s="76" t="s">
        <v>2890</v>
      </c>
      <c r="S1274" s="76"/>
    </row>
    <row r="1275" spans="1:19" x14ac:dyDescent="0.3">
      <c r="A1275" s="76" t="s">
        <v>2886</v>
      </c>
      <c r="B1275" s="76" t="s">
        <v>2887</v>
      </c>
      <c r="C1275" s="76" t="s">
        <v>1263</v>
      </c>
      <c r="D1275" s="76" t="s">
        <v>39</v>
      </c>
      <c r="E1275" s="76" t="s">
        <v>22</v>
      </c>
      <c r="F1275" s="77">
        <v>45657</v>
      </c>
      <c r="G1275" s="76">
        <v>2024</v>
      </c>
      <c r="H1275" s="76" t="s">
        <v>27</v>
      </c>
      <c r="I1275" s="76" t="s">
        <v>36</v>
      </c>
      <c r="J1275" s="76">
        <v>100</v>
      </c>
      <c r="K1275" s="76">
        <v>100</v>
      </c>
      <c r="L1275" s="78">
        <f t="shared" si="154"/>
        <v>1</v>
      </c>
      <c r="M1275" s="78">
        <f t="shared" si="155"/>
        <v>1</v>
      </c>
      <c r="N1275" s="76" t="s">
        <v>25</v>
      </c>
      <c r="O1275" s="76" t="s">
        <v>25</v>
      </c>
      <c r="P1275" s="76">
        <v>0</v>
      </c>
      <c r="Q1275" s="76">
        <v>0</v>
      </c>
      <c r="R1275" s="76" t="s">
        <v>2894</v>
      </c>
      <c r="S1275" s="76"/>
    </row>
    <row r="1276" spans="1:19" x14ac:dyDescent="0.3">
      <c r="A1276" s="76" t="s">
        <v>2895</v>
      </c>
      <c r="B1276" s="76" t="s">
        <v>2896</v>
      </c>
      <c r="C1276" s="76" t="s">
        <v>1263</v>
      </c>
      <c r="D1276" s="76" t="s">
        <v>39</v>
      </c>
      <c r="E1276" s="76" t="s">
        <v>22</v>
      </c>
      <c r="F1276" s="77">
        <v>45107</v>
      </c>
      <c r="G1276" s="76">
        <v>2023</v>
      </c>
      <c r="H1276" s="76" t="s">
        <v>23</v>
      </c>
      <c r="I1276" s="76" t="s">
        <v>30</v>
      </c>
      <c r="J1276" s="76">
        <v>51.82</v>
      </c>
      <c r="K1276" s="76">
        <v>58.57</v>
      </c>
      <c r="L1276" s="78">
        <f t="shared" ref="L1276:L1309" si="156">IFERROR(IF(OR(J1276=0,K1276=""),"",IF(E1276="Positivo",MIN(MAX(K1276/J1276,0),1),MIN(MAX(J1276/K1276,0),1))),"")</f>
        <v>1</v>
      </c>
      <c r="M1276" s="78">
        <f t="shared" ref="M1276:M1309" si="157">IFERROR(IF(OR(J1276=0,K1276=""),"",IF(E1276="Positivo",MIN(MAX(K1276/J1276,0),1),MIN(MAX(J1276/K1276,0),1))),"")</f>
        <v>1</v>
      </c>
      <c r="N1276" s="76" t="s">
        <v>25</v>
      </c>
      <c r="O1276" s="76" t="s">
        <v>25</v>
      </c>
      <c r="P1276" s="76">
        <v>0</v>
      </c>
      <c r="Q1276" s="76">
        <v>0</v>
      </c>
      <c r="R1276" s="76" t="s">
        <v>2897</v>
      </c>
      <c r="S1276" s="76"/>
    </row>
    <row r="1277" spans="1:19" x14ac:dyDescent="0.3">
      <c r="A1277" s="76" t="s">
        <v>2895</v>
      </c>
      <c r="B1277" s="76" t="s">
        <v>2896</v>
      </c>
      <c r="C1277" s="76" t="s">
        <v>1263</v>
      </c>
      <c r="D1277" s="76" t="s">
        <v>39</v>
      </c>
      <c r="E1277" s="76" t="s">
        <v>22</v>
      </c>
      <c r="F1277" s="77">
        <v>45291</v>
      </c>
      <c r="G1277" s="76">
        <v>2023</v>
      </c>
      <c r="H1277" s="76" t="s">
        <v>27</v>
      </c>
      <c r="I1277" s="76" t="s">
        <v>32</v>
      </c>
      <c r="J1277" s="76">
        <v>100</v>
      </c>
      <c r="K1277" s="76">
        <v>100</v>
      </c>
      <c r="L1277" s="78">
        <f t="shared" si="156"/>
        <v>1</v>
      </c>
      <c r="M1277" s="78">
        <f t="shared" si="157"/>
        <v>1</v>
      </c>
      <c r="N1277" s="76" t="s">
        <v>25</v>
      </c>
      <c r="O1277" s="76" t="s">
        <v>25</v>
      </c>
      <c r="P1277" s="76">
        <v>0</v>
      </c>
      <c r="Q1277" s="76">
        <v>0</v>
      </c>
      <c r="R1277" s="76" t="s">
        <v>2899</v>
      </c>
      <c r="S1277" s="76"/>
    </row>
    <row r="1278" spans="1:19" x14ac:dyDescent="0.3">
      <c r="A1278" s="76" t="s">
        <v>2895</v>
      </c>
      <c r="B1278" s="76" t="s">
        <v>2896</v>
      </c>
      <c r="C1278" s="76" t="s">
        <v>1263</v>
      </c>
      <c r="D1278" s="76" t="s">
        <v>39</v>
      </c>
      <c r="E1278" s="76" t="s">
        <v>22</v>
      </c>
      <c r="F1278" s="77">
        <v>45657</v>
      </c>
      <c r="G1278" s="76">
        <v>2024</v>
      </c>
      <c r="H1278" s="76" t="s">
        <v>27</v>
      </c>
      <c r="I1278" s="76" t="s">
        <v>36</v>
      </c>
      <c r="J1278" s="76">
        <v>100</v>
      </c>
      <c r="K1278" s="76">
        <v>100</v>
      </c>
      <c r="L1278" s="78">
        <f t="shared" si="156"/>
        <v>1</v>
      </c>
      <c r="M1278" s="78">
        <f t="shared" si="157"/>
        <v>1</v>
      </c>
      <c r="N1278" s="76" t="s">
        <v>25</v>
      </c>
      <c r="O1278" s="76" t="s">
        <v>25</v>
      </c>
      <c r="P1278" s="76">
        <v>0</v>
      </c>
      <c r="Q1278" s="76">
        <v>0</v>
      </c>
      <c r="R1278" s="76" t="s">
        <v>2903</v>
      </c>
      <c r="S1278" s="76"/>
    </row>
    <row r="1279" spans="1:19" x14ac:dyDescent="0.3">
      <c r="A1279" s="76" t="s">
        <v>2904</v>
      </c>
      <c r="B1279" s="76" t="s">
        <v>2905</v>
      </c>
      <c r="C1279" s="76" t="s">
        <v>1263</v>
      </c>
      <c r="D1279" s="76" t="s">
        <v>39</v>
      </c>
      <c r="E1279" s="76" t="s">
        <v>22</v>
      </c>
      <c r="F1279" s="77">
        <v>45107</v>
      </c>
      <c r="G1279" s="76">
        <v>2023</v>
      </c>
      <c r="H1279" s="76" t="s">
        <v>23</v>
      </c>
      <c r="I1279" s="76" t="s">
        <v>30</v>
      </c>
      <c r="J1279" s="76">
        <v>71</v>
      </c>
      <c r="K1279" s="76">
        <v>78</v>
      </c>
      <c r="L1279" s="78">
        <f t="shared" si="156"/>
        <v>1</v>
      </c>
      <c r="M1279" s="78">
        <f t="shared" si="157"/>
        <v>1</v>
      </c>
      <c r="N1279" s="76" t="s">
        <v>25</v>
      </c>
      <c r="O1279" s="76" t="s">
        <v>25</v>
      </c>
      <c r="P1279" s="76">
        <v>0</v>
      </c>
      <c r="Q1279" s="76">
        <v>0</v>
      </c>
      <c r="R1279" s="76" t="s">
        <v>2906</v>
      </c>
      <c r="S1279" s="76"/>
    </row>
    <row r="1280" spans="1:19" x14ac:dyDescent="0.3">
      <c r="A1280" s="76" t="s">
        <v>2904</v>
      </c>
      <c r="B1280" s="76" t="s">
        <v>2905</v>
      </c>
      <c r="C1280" s="76" t="s">
        <v>1263</v>
      </c>
      <c r="D1280" s="76" t="s">
        <v>39</v>
      </c>
      <c r="E1280" s="76" t="s">
        <v>22</v>
      </c>
      <c r="F1280" s="77">
        <v>45291</v>
      </c>
      <c r="G1280" s="76">
        <v>2023</v>
      </c>
      <c r="H1280" s="76" t="s">
        <v>27</v>
      </c>
      <c r="I1280" s="76" t="s">
        <v>32</v>
      </c>
      <c r="J1280" s="76">
        <v>100</v>
      </c>
      <c r="K1280" s="76">
        <v>99.75</v>
      </c>
      <c r="L1280" s="78">
        <f t="shared" si="156"/>
        <v>0.99750000000000005</v>
      </c>
      <c r="M1280" s="78">
        <f t="shared" si="157"/>
        <v>0.99750000000000005</v>
      </c>
      <c r="N1280" s="76" t="s">
        <v>25</v>
      </c>
      <c r="O1280" s="76" t="s">
        <v>25</v>
      </c>
      <c r="P1280" s="76">
        <v>0</v>
      </c>
      <c r="Q1280" s="76">
        <v>0</v>
      </c>
      <c r="R1280" s="76" t="s">
        <v>2908</v>
      </c>
      <c r="S1280" s="76"/>
    </row>
    <row r="1281" spans="1:19" x14ac:dyDescent="0.3">
      <c r="A1281" s="76" t="s">
        <v>2904</v>
      </c>
      <c r="B1281" s="76" t="s">
        <v>2905</v>
      </c>
      <c r="C1281" s="76" t="s">
        <v>1263</v>
      </c>
      <c r="D1281" s="76" t="s">
        <v>39</v>
      </c>
      <c r="E1281" s="76" t="s">
        <v>22</v>
      </c>
      <c r="F1281" s="77">
        <v>45473</v>
      </c>
      <c r="G1281" s="76">
        <v>2024</v>
      </c>
      <c r="H1281" s="76" t="s">
        <v>23</v>
      </c>
      <c r="I1281" s="76" t="s">
        <v>34</v>
      </c>
      <c r="J1281" s="76">
        <v>40.79</v>
      </c>
      <c r="K1281" s="76">
        <v>42.33</v>
      </c>
      <c r="L1281" s="78">
        <f t="shared" si="156"/>
        <v>1</v>
      </c>
      <c r="M1281" s="78">
        <f t="shared" si="157"/>
        <v>1</v>
      </c>
      <c r="N1281" s="76" t="s">
        <v>25</v>
      </c>
      <c r="O1281" s="76" t="s">
        <v>25</v>
      </c>
      <c r="P1281" s="76">
        <v>0</v>
      </c>
      <c r="Q1281" s="76">
        <v>0</v>
      </c>
      <c r="R1281" s="76" t="s">
        <v>2910</v>
      </c>
      <c r="S1281" s="76"/>
    </row>
    <row r="1282" spans="1:19" x14ac:dyDescent="0.3">
      <c r="A1282" s="76" t="s">
        <v>2904</v>
      </c>
      <c r="B1282" s="76" t="s">
        <v>2905</v>
      </c>
      <c r="C1282" s="76" t="s">
        <v>1263</v>
      </c>
      <c r="D1282" s="76" t="s">
        <v>39</v>
      </c>
      <c r="E1282" s="76" t="s">
        <v>22</v>
      </c>
      <c r="F1282" s="77">
        <v>45657</v>
      </c>
      <c r="G1282" s="76">
        <v>2024</v>
      </c>
      <c r="H1282" s="76" t="s">
        <v>27</v>
      </c>
      <c r="I1282" s="76" t="s">
        <v>36</v>
      </c>
      <c r="J1282" s="76">
        <v>100</v>
      </c>
      <c r="K1282" s="76">
        <v>100</v>
      </c>
      <c r="L1282" s="78">
        <f t="shared" si="156"/>
        <v>1</v>
      </c>
      <c r="M1282" s="78">
        <f t="shared" si="157"/>
        <v>1</v>
      </c>
      <c r="N1282" s="76" t="s">
        <v>25</v>
      </c>
      <c r="O1282" s="76" t="s">
        <v>25</v>
      </c>
      <c r="P1282" s="76">
        <v>0</v>
      </c>
      <c r="Q1282" s="76">
        <v>0</v>
      </c>
      <c r="R1282" s="76" t="s">
        <v>2912</v>
      </c>
      <c r="S1282" s="76"/>
    </row>
    <row r="1283" spans="1:19" x14ac:dyDescent="0.3">
      <c r="A1283" s="76" t="s">
        <v>2913</v>
      </c>
      <c r="B1283" s="76" t="s">
        <v>2914</v>
      </c>
      <c r="C1283" s="76" t="s">
        <v>1263</v>
      </c>
      <c r="D1283" s="76" t="s">
        <v>39</v>
      </c>
      <c r="E1283" s="76" t="s">
        <v>22</v>
      </c>
      <c r="F1283" s="77">
        <v>45107</v>
      </c>
      <c r="G1283" s="76">
        <v>2023</v>
      </c>
      <c r="H1283" s="76" t="s">
        <v>23</v>
      </c>
      <c r="I1283" s="76" t="s">
        <v>30</v>
      </c>
      <c r="J1283" s="76">
        <v>74</v>
      </c>
      <c r="K1283" s="76">
        <v>45</v>
      </c>
      <c r="L1283" s="78">
        <f t="shared" si="156"/>
        <v>0.60810810810810811</v>
      </c>
      <c r="M1283" s="78">
        <f t="shared" si="157"/>
        <v>0.60810810810810811</v>
      </c>
      <c r="N1283" s="76" t="s">
        <v>25</v>
      </c>
      <c r="O1283" s="76" t="s">
        <v>25</v>
      </c>
      <c r="P1283" s="76">
        <v>0</v>
      </c>
      <c r="Q1283" s="76">
        <v>0</v>
      </c>
      <c r="R1283" s="76" t="s">
        <v>2915</v>
      </c>
      <c r="S1283" s="76"/>
    </row>
    <row r="1284" spans="1:19" x14ac:dyDescent="0.3">
      <c r="A1284" s="76" t="s">
        <v>2913</v>
      </c>
      <c r="B1284" s="76" t="s">
        <v>2914</v>
      </c>
      <c r="C1284" s="76" t="s">
        <v>1263</v>
      </c>
      <c r="D1284" s="76" t="s">
        <v>39</v>
      </c>
      <c r="E1284" s="76" t="s">
        <v>22</v>
      </c>
      <c r="F1284" s="77">
        <v>45291</v>
      </c>
      <c r="G1284" s="76">
        <v>2023</v>
      </c>
      <c r="H1284" s="76" t="s">
        <v>27</v>
      </c>
      <c r="I1284" s="76" t="s">
        <v>32</v>
      </c>
      <c r="J1284" s="76">
        <v>100</v>
      </c>
      <c r="K1284" s="76">
        <v>97.4</v>
      </c>
      <c r="L1284" s="78">
        <f t="shared" si="156"/>
        <v>0.97400000000000009</v>
      </c>
      <c r="M1284" s="78">
        <f t="shared" si="157"/>
        <v>0.97400000000000009</v>
      </c>
      <c r="N1284" s="76" t="s">
        <v>25</v>
      </c>
      <c r="O1284" s="76" t="s">
        <v>25</v>
      </c>
      <c r="P1284" s="76">
        <v>0</v>
      </c>
      <c r="Q1284" s="76">
        <v>0</v>
      </c>
      <c r="R1284" s="76" t="s">
        <v>2917</v>
      </c>
      <c r="S1284" s="76"/>
    </row>
    <row r="1285" spans="1:19" x14ac:dyDescent="0.3">
      <c r="A1285" s="76" t="s">
        <v>2913</v>
      </c>
      <c r="B1285" s="76" t="s">
        <v>2914</v>
      </c>
      <c r="C1285" s="76" t="s">
        <v>1263</v>
      </c>
      <c r="D1285" s="76" t="s">
        <v>39</v>
      </c>
      <c r="E1285" s="76" t="s">
        <v>22</v>
      </c>
      <c r="F1285" s="77">
        <v>45473</v>
      </c>
      <c r="G1285" s="76">
        <v>2024</v>
      </c>
      <c r="H1285" s="76" t="s">
        <v>23</v>
      </c>
      <c r="I1285" s="76" t="s">
        <v>34</v>
      </c>
      <c r="J1285" s="76">
        <v>92.24</v>
      </c>
      <c r="K1285" s="76">
        <v>88</v>
      </c>
      <c r="L1285" s="78">
        <f t="shared" si="156"/>
        <v>0.95403295750216832</v>
      </c>
      <c r="M1285" s="78">
        <f t="shared" si="157"/>
        <v>0.95403295750216832</v>
      </c>
      <c r="N1285" s="76" t="s">
        <v>25</v>
      </c>
      <c r="O1285" s="76" t="s">
        <v>25</v>
      </c>
      <c r="P1285" s="76">
        <v>0</v>
      </c>
      <c r="Q1285" s="76">
        <v>0</v>
      </c>
      <c r="R1285" s="76" t="s">
        <v>2919</v>
      </c>
      <c r="S1285" s="76"/>
    </row>
    <row r="1286" spans="1:19" x14ac:dyDescent="0.3">
      <c r="A1286" s="76" t="s">
        <v>2913</v>
      </c>
      <c r="B1286" s="76" t="s">
        <v>2914</v>
      </c>
      <c r="C1286" s="76" t="s">
        <v>1263</v>
      </c>
      <c r="D1286" s="76" t="s">
        <v>39</v>
      </c>
      <c r="E1286" s="76" t="s">
        <v>22</v>
      </c>
      <c r="F1286" s="77">
        <v>45657</v>
      </c>
      <c r="G1286" s="76">
        <v>2024</v>
      </c>
      <c r="H1286" s="76" t="s">
        <v>27</v>
      </c>
      <c r="I1286" s="76" t="s">
        <v>36</v>
      </c>
      <c r="J1286" s="76">
        <v>100</v>
      </c>
      <c r="K1286" s="76">
        <v>100</v>
      </c>
      <c r="L1286" s="78">
        <f t="shared" si="156"/>
        <v>1</v>
      </c>
      <c r="M1286" s="78">
        <f t="shared" si="157"/>
        <v>1</v>
      </c>
      <c r="N1286" s="76" t="s">
        <v>25</v>
      </c>
      <c r="O1286" s="76" t="s">
        <v>25</v>
      </c>
      <c r="P1286" s="76">
        <v>0</v>
      </c>
      <c r="Q1286" s="76">
        <v>0</v>
      </c>
      <c r="R1286" s="76" t="s">
        <v>2921</v>
      </c>
      <c r="S1286" s="76"/>
    </row>
    <row r="1287" spans="1:19" x14ac:dyDescent="0.3">
      <c r="A1287" s="76" t="s">
        <v>2922</v>
      </c>
      <c r="B1287" s="76" t="s">
        <v>2923</v>
      </c>
      <c r="C1287" s="76" t="s">
        <v>1263</v>
      </c>
      <c r="D1287" s="76" t="s">
        <v>39</v>
      </c>
      <c r="E1287" s="76" t="s">
        <v>22</v>
      </c>
      <c r="F1287" s="77">
        <v>45107</v>
      </c>
      <c r="G1287" s="76">
        <v>2023</v>
      </c>
      <c r="H1287" s="76" t="s">
        <v>23</v>
      </c>
      <c r="I1287" s="76" t="s">
        <v>30</v>
      </c>
      <c r="J1287" s="76">
        <v>52</v>
      </c>
      <c r="K1287" s="76">
        <v>65</v>
      </c>
      <c r="L1287" s="78">
        <f t="shared" si="156"/>
        <v>1</v>
      </c>
      <c r="M1287" s="78">
        <f t="shared" si="157"/>
        <v>1</v>
      </c>
      <c r="N1287" s="76" t="s">
        <v>25</v>
      </c>
      <c r="O1287" s="76" t="s">
        <v>25</v>
      </c>
      <c r="P1287" s="76">
        <v>0</v>
      </c>
      <c r="Q1287" s="76">
        <v>0</v>
      </c>
      <c r="R1287" s="76" t="s">
        <v>2924</v>
      </c>
      <c r="S1287" s="76"/>
    </row>
    <row r="1288" spans="1:19" x14ac:dyDescent="0.3">
      <c r="A1288" s="76" t="s">
        <v>2922</v>
      </c>
      <c r="B1288" s="76" t="s">
        <v>2923</v>
      </c>
      <c r="C1288" s="76" t="s">
        <v>1263</v>
      </c>
      <c r="D1288" s="76" t="s">
        <v>39</v>
      </c>
      <c r="E1288" s="76" t="s">
        <v>22</v>
      </c>
      <c r="F1288" s="77">
        <v>45291</v>
      </c>
      <c r="G1288" s="76">
        <v>2023</v>
      </c>
      <c r="H1288" s="76" t="s">
        <v>27</v>
      </c>
      <c r="I1288" s="76" t="s">
        <v>32</v>
      </c>
      <c r="J1288" s="76">
        <v>100</v>
      </c>
      <c r="K1288" s="76">
        <v>98.83</v>
      </c>
      <c r="L1288" s="78">
        <f t="shared" si="156"/>
        <v>0.98829999999999996</v>
      </c>
      <c r="M1288" s="78">
        <f t="shared" si="157"/>
        <v>0.98829999999999996</v>
      </c>
      <c r="N1288" s="76" t="s">
        <v>25</v>
      </c>
      <c r="O1288" s="76" t="s">
        <v>25</v>
      </c>
      <c r="P1288" s="76">
        <v>0</v>
      </c>
      <c r="Q1288" s="76">
        <v>0</v>
      </c>
      <c r="R1288" s="76" t="s">
        <v>2926</v>
      </c>
      <c r="S1288" s="76"/>
    </row>
    <row r="1289" spans="1:19" x14ac:dyDescent="0.3">
      <c r="A1289" s="76" t="s">
        <v>2922</v>
      </c>
      <c r="B1289" s="76" t="s">
        <v>2923</v>
      </c>
      <c r="C1289" s="76" t="s">
        <v>1263</v>
      </c>
      <c r="D1289" s="76" t="s">
        <v>39</v>
      </c>
      <c r="E1289" s="76" t="s">
        <v>22</v>
      </c>
      <c r="F1289" s="77">
        <v>45473</v>
      </c>
      <c r="G1289" s="76">
        <v>2024</v>
      </c>
      <c r="H1289" s="76" t="s">
        <v>23</v>
      </c>
      <c r="I1289" s="76" t="s">
        <v>34</v>
      </c>
      <c r="J1289" s="76">
        <v>51.84</v>
      </c>
      <c r="K1289" s="76">
        <v>48.34</v>
      </c>
      <c r="L1289" s="78">
        <f t="shared" si="156"/>
        <v>0.93248456790123457</v>
      </c>
      <c r="M1289" s="78">
        <f t="shared" si="157"/>
        <v>0.93248456790123457</v>
      </c>
      <c r="N1289" s="76" t="s">
        <v>25</v>
      </c>
      <c r="O1289" s="76" t="s">
        <v>25</v>
      </c>
      <c r="P1289" s="76">
        <v>0</v>
      </c>
      <c r="Q1289" s="76">
        <v>0</v>
      </c>
      <c r="R1289" s="76" t="s">
        <v>2928</v>
      </c>
      <c r="S1289" s="76"/>
    </row>
    <row r="1290" spans="1:19" x14ac:dyDescent="0.3">
      <c r="A1290" s="76" t="s">
        <v>2922</v>
      </c>
      <c r="B1290" s="76" t="s">
        <v>2923</v>
      </c>
      <c r="C1290" s="76" t="s">
        <v>1263</v>
      </c>
      <c r="D1290" s="76" t="s">
        <v>39</v>
      </c>
      <c r="E1290" s="76" t="s">
        <v>22</v>
      </c>
      <c r="F1290" s="77">
        <v>45657</v>
      </c>
      <c r="G1290" s="76">
        <v>2024</v>
      </c>
      <c r="H1290" s="76" t="s">
        <v>27</v>
      </c>
      <c r="I1290" s="76" t="s">
        <v>36</v>
      </c>
      <c r="J1290" s="76">
        <v>100</v>
      </c>
      <c r="K1290" s="76">
        <v>100</v>
      </c>
      <c r="L1290" s="78">
        <f t="shared" si="156"/>
        <v>1</v>
      </c>
      <c r="M1290" s="78">
        <f t="shared" si="157"/>
        <v>1</v>
      </c>
      <c r="N1290" s="76" t="s">
        <v>25</v>
      </c>
      <c r="O1290" s="76" t="s">
        <v>25</v>
      </c>
      <c r="P1290" s="76">
        <v>0</v>
      </c>
      <c r="Q1290" s="76">
        <v>0</v>
      </c>
      <c r="R1290" s="76" t="s">
        <v>2930</v>
      </c>
      <c r="S1290" s="76"/>
    </row>
    <row r="1291" spans="1:19" x14ac:dyDescent="0.3">
      <c r="A1291" s="76" t="s">
        <v>2931</v>
      </c>
      <c r="B1291" s="76" t="s">
        <v>2932</v>
      </c>
      <c r="C1291" s="76" t="s">
        <v>1263</v>
      </c>
      <c r="D1291" s="76" t="s">
        <v>39</v>
      </c>
      <c r="E1291" s="76" t="s">
        <v>22</v>
      </c>
      <c r="F1291" s="77">
        <v>45107</v>
      </c>
      <c r="G1291" s="76">
        <v>2023</v>
      </c>
      <c r="H1291" s="76" t="s">
        <v>23</v>
      </c>
      <c r="I1291" s="76" t="s">
        <v>30</v>
      </c>
      <c r="J1291" s="76">
        <v>41</v>
      </c>
      <c r="K1291" s="76">
        <v>54</v>
      </c>
      <c r="L1291" s="78">
        <f t="shared" si="156"/>
        <v>1</v>
      </c>
      <c r="M1291" s="78">
        <f t="shared" si="157"/>
        <v>1</v>
      </c>
      <c r="N1291" s="76" t="s">
        <v>25</v>
      </c>
      <c r="O1291" s="76" t="s">
        <v>25</v>
      </c>
      <c r="P1291" s="76">
        <v>0</v>
      </c>
      <c r="Q1291" s="76">
        <v>0</v>
      </c>
      <c r="R1291" s="76" t="s">
        <v>2933</v>
      </c>
      <c r="S1291" s="76"/>
    </row>
    <row r="1292" spans="1:19" x14ac:dyDescent="0.3">
      <c r="A1292" s="76" t="s">
        <v>2931</v>
      </c>
      <c r="B1292" s="76" t="s">
        <v>2932</v>
      </c>
      <c r="C1292" s="76" t="s">
        <v>1263</v>
      </c>
      <c r="D1292" s="76" t="s">
        <v>39</v>
      </c>
      <c r="E1292" s="76" t="s">
        <v>22</v>
      </c>
      <c r="F1292" s="77">
        <v>45291</v>
      </c>
      <c r="G1292" s="76">
        <v>2023</v>
      </c>
      <c r="H1292" s="76" t="s">
        <v>27</v>
      </c>
      <c r="I1292" s="76" t="s">
        <v>32</v>
      </c>
      <c r="J1292" s="76">
        <v>100</v>
      </c>
      <c r="K1292" s="76">
        <v>100</v>
      </c>
      <c r="L1292" s="78">
        <f t="shared" si="156"/>
        <v>1</v>
      </c>
      <c r="M1292" s="78">
        <f t="shared" si="157"/>
        <v>1</v>
      </c>
      <c r="N1292" s="76" t="s">
        <v>25</v>
      </c>
      <c r="O1292" s="76" t="s">
        <v>25</v>
      </c>
      <c r="P1292" s="76">
        <v>0</v>
      </c>
      <c r="Q1292" s="76">
        <v>0</v>
      </c>
      <c r="R1292" s="76" t="s">
        <v>2935</v>
      </c>
      <c r="S1292" s="76"/>
    </row>
    <row r="1293" spans="1:19" x14ac:dyDescent="0.3">
      <c r="A1293" s="76" t="s">
        <v>2931</v>
      </c>
      <c r="B1293" s="76" t="s">
        <v>2932</v>
      </c>
      <c r="C1293" s="76" t="s">
        <v>1263</v>
      </c>
      <c r="D1293" s="76" t="s">
        <v>39</v>
      </c>
      <c r="E1293" s="76" t="s">
        <v>22</v>
      </c>
      <c r="F1293" s="77">
        <v>45473</v>
      </c>
      <c r="G1293" s="76">
        <v>2024</v>
      </c>
      <c r="H1293" s="76" t="s">
        <v>23</v>
      </c>
      <c r="I1293" s="76" t="s">
        <v>34</v>
      </c>
      <c r="J1293" s="76">
        <v>65.83</v>
      </c>
      <c r="K1293" s="76">
        <v>65.63</v>
      </c>
      <c r="L1293" s="78">
        <f t="shared" si="156"/>
        <v>0.99696187148716386</v>
      </c>
      <c r="M1293" s="78">
        <f t="shared" si="157"/>
        <v>0.99696187148716386</v>
      </c>
      <c r="N1293" s="76" t="s">
        <v>25</v>
      </c>
      <c r="O1293" s="76" t="s">
        <v>25</v>
      </c>
      <c r="P1293" s="76">
        <v>0</v>
      </c>
      <c r="Q1293" s="76">
        <v>0</v>
      </c>
      <c r="R1293" s="76" t="s">
        <v>2937</v>
      </c>
      <c r="S1293" s="76"/>
    </row>
    <row r="1294" spans="1:19" x14ac:dyDescent="0.3">
      <c r="A1294" s="76" t="s">
        <v>2931</v>
      </c>
      <c r="B1294" s="76" t="s">
        <v>2932</v>
      </c>
      <c r="C1294" s="76" t="s">
        <v>1263</v>
      </c>
      <c r="D1294" s="76" t="s">
        <v>39</v>
      </c>
      <c r="E1294" s="76" t="s">
        <v>22</v>
      </c>
      <c r="F1294" s="77">
        <v>45657</v>
      </c>
      <c r="G1294" s="76">
        <v>2024</v>
      </c>
      <c r="H1294" s="76" t="s">
        <v>27</v>
      </c>
      <c r="I1294" s="76" t="s">
        <v>36</v>
      </c>
      <c r="J1294" s="76">
        <v>100</v>
      </c>
      <c r="K1294" s="76">
        <v>100</v>
      </c>
      <c r="L1294" s="78">
        <f t="shared" si="156"/>
        <v>1</v>
      </c>
      <c r="M1294" s="78">
        <f t="shared" si="157"/>
        <v>1</v>
      </c>
      <c r="N1294" s="76" t="s">
        <v>25</v>
      </c>
      <c r="O1294" s="76" t="s">
        <v>25</v>
      </c>
      <c r="P1294" s="76">
        <v>0</v>
      </c>
      <c r="Q1294" s="76">
        <v>0</v>
      </c>
      <c r="R1294" s="76" t="s">
        <v>2939</v>
      </c>
      <c r="S1294" s="76"/>
    </row>
    <row r="1295" spans="1:19" x14ac:dyDescent="0.3">
      <c r="A1295" s="76" t="s">
        <v>2940</v>
      </c>
      <c r="B1295" s="76" t="s">
        <v>2941</v>
      </c>
      <c r="C1295" s="76" t="s">
        <v>1263</v>
      </c>
      <c r="D1295" s="76" t="s">
        <v>39</v>
      </c>
      <c r="E1295" s="76" t="s">
        <v>22</v>
      </c>
      <c r="F1295" s="77">
        <v>45107</v>
      </c>
      <c r="G1295" s="76">
        <v>2023</v>
      </c>
      <c r="H1295" s="76" t="s">
        <v>23</v>
      </c>
      <c r="I1295" s="76" t="s">
        <v>30</v>
      </c>
      <c r="J1295" s="76">
        <v>56</v>
      </c>
      <c r="K1295" s="76">
        <v>70</v>
      </c>
      <c r="L1295" s="78">
        <f t="shared" si="156"/>
        <v>1</v>
      </c>
      <c r="M1295" s="78">
        <f t="shared" si="157"/>
        <v>1</v>
      </c>
      <c r="N1295" s="76" t="s">
        <v>25</v>
      </c>
      <c r="O1295" s="76" t="s">
        <v>25</v>
      </c>
      <c r="P1295" s="76">
        <v>0</v>
      </c>
      <c r="Q1295" s="76">
        <v>0</v>
      </c>
      <c r="R1295" s="76" t="s">
        <v>2942</v>
      </c>
      <c r="S1295" s="76"/>
    </row>
    <row r="1296" spans="1:19" x14ac:dyDescent="0.3">
      <c r="A1296" s="76" t="s">
        <v>2940</v>
      </c>
      <c r="B1296" s="76" t="s">
        <v>2941</v>
      </c>
      <c r="C1296" s="76" t="s">
        <v>1263</v>
      </c>
      <c r="D1296" s="76" t="s">
        <v>39</v>
      </c>
      <c r="E1296" s="76" t="s">
        <v>22</v>
      </c>
      <c r="F1296" s="77">
        <v>45291</v>
      </c>
      <c r="G1296" s="76">
        <v>2023</v>
      </c>
      <c r="H1296" s="76" t="s">
        <v>27</v>
      </c>
      <c r="I1296" s="76" t="s">
        <v>32</v>
      </c>
      <c r="J1296" s="76">
        <v>100</v>
      </c>
      <c r="K1296" s="76">
        <v>94.51</v>
      </c>
      <c r="L1296" s="78">
        <f t="shared" si="156"/>
        <v>0.94510000000000005</v>
      </c>
      <c r="M1296" s="78">
        <f t="shared" si="157"/>
        <v>0.94510000000000005</v>
      </c>
      <c r="N1296" s="76" t="s">
        <v>25</v>
      </c>
      <c r="O1296" s="76" t="s">
        <v>25</v>
      </c>
      <c r="P1296" s="76">
        <v>0</v>
      </c>
      <c r="Q1296" s="76">
        <v>0</v>
      </c>
      <c r="R1296" s="76" t="s">
        <v>2944</v>
      </c>
      <c r="S1296" s="76"/>
    </row>
    <row r="1297" spans="1:19" x14ac:dyDescent="0.3">
      <c r="A1297" s="76" t="s">
        <v>2940</v>
      </c>
      <c r="B1297" s="76" t="s">
        <v>2941</v>
      </c>
      <c r="C1297" s="76" t="s">
        <v>1263</v>
      </c>
      <c r="D1297" s="76" t="s">
        <v>39</v>
      </c>
      <c r="E1297" s="76" t="s">
        <v>22</v>
      </c>
      <c r="F1297" s="77">
        <v>45473</v>
      </c>
      <c r="G1297" s="76">
        <v>2024</v>
      </c>
      <c r="H1297" s="76" t="s">
        <v>23</v>
      </c>
      <c r="I1297" s="76" t="s">
        <v>34</v>
      </c>
      <c r="J1297" s="76">
        <v>51.58</v>
      </c>
      <c r="K1297" s="76">
        <v>62.5</v>
      </c>
      <c r="L1297" s="78">
        <f t="shared" si="156"/>
        <v>1</v>
      </c>
      <c r="M1297" s="78">
        <f t="shared" si="157"/>
        <v>1</v>
      </c>
      <c r="N1297" s="76" t="s">
        <v>25</v>
      </c>
      <c r="O1297" s="76" t="s">
        <v>25</v>
      </c>
      <c r="P1297" s="76">
        <v>0</v>
      </c>
      <c r="Q1297" s="76">
        <v>0</v>
      </c>
      <c r="R1297" s="76" t="s">
        <v>2946</v>
      </c>
      <c r="S1297" s="76"/>
    </row>
    <row r="1298" spans="1:19" x14ac:dyDescent="0.3">
      <c r="A1298" s="76" t="s">
        <v>2940</v>
      </c>
      <c r="B1298" s="76" t="s">
        <v>2941</v>
      </c>
      <c r="C1298" s="76" t="s">
        <v>1263</v>
      </c>
      <c r="D1298" s="76" t="s">
        <v>39</v>
      </c>
      <c r="E1298" s="76" t="s">
        <v>22</v>
      </c>
      <c r="F1298" s="77">
        <v>45657</v>
      </c>
      <c r="G1298" s="76">
        <v>2024</v>
      </c>
      <c r="H1298" s="76" t="s">
        <v>27</v>
      </c>
      <c r="I1298" s="76" t="s">
        <v>36</v>
      </c>
      <c r="J1298" s="76">
        <v>100</v>
      </c>
      <c r="K1298" s="76">
        <v>99</v>
      </c>
      <c r="L1298" s="78">
        <f t="shared" si="156"/>
        <v>0.99</v>
      </c>
      <c r="M1298" s="78">
        <f t="shared" si="157"/>
        <v>0.99</v>
      </c>
      <c r="N1298" s="76" t="s">
        <v>25</v>
      </c>
      <c r="O1298" s="76" t="s">
        <v>25</v>
      </c>
      <c r="P1298" s="76">
        <v>0</v>
      </c>
      <c r="Q1298" s="76">
        <v>0</v>
      </c>
      <c r="R1298" s="76" t="s">
        <v>2948</v>
      </c>
      <c r="S1298" s="76"/>
    </row>
    <row r="1299" spans="1:19" x14ac:dyDescent="0.3">
      <c r="A1299" s="76" t="s">
        <v>2949</v>
      </c>
      <c r="B1299" s="76" t="s">
        <v>2950</v>
      </c>
      <c r="C1299" s="76" t="s">
        <v>1263</v>
      </c>
      <c r="D1299" s="76" t="s">
        <v>39</v>
      </c>
      <c r="E1299" s="76" t="s">
        <v>22</v>
      </c>
      <c r="F1299" s="77">
        <v>45107</v>
      </c>
      <c r="G1299" s="76">
        <v>2023</v>
      </c>
      <c r="H1299" s="76" t="s">
        <v>23</v>
      </c>
      <c r="I1299" s="76" t="s">
        <v>30</v>
      </c>
      <c r="J1299" s="76">
        <v>52</v>
      </c>
      <c r="K1299" s="76">
        <v>56</v>
      </c>
      <c r="L1299" s="78">
        <f t="shared" si="156"/>
        <v>1</v>
      </c>
      <c r="M1299" s="78">
        <f t="shared" si="157"/>
        <v>1</v>
      </c>
      <c r="N1299" s="76" t="s">
        <v>25</v>
      </c>
      <c r="O1299" s="76" t="s">
        <v>25</v>
      </c>
      <c r="P1299" s="76">
        <v>0</v>
      </c>
      <c r="Q1299" s="76">
        <v>0</v>
      </c>
      <c r="R1299" s="76" t="s">
        <v>2951</v>
      </c>
      <c r="S1299" s="76"/>
    </row>
    <row r="1300" spans="1:19" x14ac:dyDescent="0.3">
      <c r="A1300" s="76" t="s">
        <v>2949</v>
      </c>
      <c r="B1300" s="76" t="s">
        <v>2950</v>
      </c>
      <c r="C1300" s="76" t="s">
        <v>1263</v>
      </c>
      <c r="D1300" s="76" t="s">
        <v>39</v>
      </c>
      <c r="E1300" s="76" t="s">
        <v>22</v>
      </c>
      <c r="F1300" s="77">
        <v>45291</v>
      </c>
      <c r="G1300" s="76">
        <v>2023</v>
      </c>
      <c r="H1300" s="76" t="s">
        <v>27</v>
      </c>
      <c r="I1300" s="76" t="s">
        <v>32</v>
      </c>
      <c r="J1300" s="76">
        <v>100</v>
      </c>
      <c r="K1300" s="76">
        <v>86.43</v>
      </c>
      <c r="L1300" s="78">
        <f t="shared" si="156"/>
        <v>0.86430000000000007</v>
      </c>
      <c r="M1300" s="78">
        <f t="shared" si="157"/>
        <v>0.86430000000000007</v>
      </c>
      <c r="N1300" s="76" t="s">
        <v>25</v>
      </c>
      <c r="O1300" s="76" t="s">
        <v>25</v>
      </c>
      <c r="P1300" s="76">
        <v>0</v>
      </c>
      <c r="Q1300" s="76">
        <v>0</v>
      </c>
      <c r="R1300" s="76" t="s">
        <v>2953</v>
      </c>
      <c r="S1300" s="76"/>
    </row>
    <row r="1301" spans="1:19" x14ac:dyDescent="0.3">
      <c r="A1301" s="76" t="s">
        <v>2949</v>
      </c>
      <c r="B1301" s="76" t="s">
        <v>2950</v>
      </c>
      <c r="C1301" s="76" t="s">
        <v>1263</v>
      </c>
      <c r="D1301" s="76" t="s">
        <v>39</v>
      </c>
      <c r="E1301" s="76" t="s">
        <v>22</v>
      </c>
      <c r="F1301" s="77">
        <v>45473</v>
      </c>
      <c r="G1301" s="76">
        <v>2024</v>
      </c>
      <c r="H1301" s="76" t="s">
        <v>23</v>
      </c>
      <c r="I1301" s="76" t="s">
        <v>34</v>
      </c>
      <c r="J1301" s="76">
        <v>65.95</v>
      </c>
      <c r="K1301" s="76">
        <v>62.83</v>
      </c>
      <c r="L1301" s="78">
        <f t="shared" si="156"/>
        <v>0.95269143290371483</v>
      </c>
      <c r="M1301" s="78">
        <f t="shared" si="157"/>
        <v>0.95269143290371483</v>
      </c>
      <c r="N1301" s="76" t="s">
        <v>25</v>
      </c>
      <c r="O1301" s="76" t="s">
        <v>25</v>
      </c>
      <c r="P1301" s="76">
        <v>0</v>
      </c>
      <c r="Q1301" s="76">
        <v>0</v>
      </c>
      <c r="R1301" s="76" t="s">
        <v>2955</v>
      </c>
      <c r="S1301" s="76"/>
    </row>
    <row r="1302" spans="1:19" x14ac:dyDescent="0.3">
      <c r="A1302" s="76" t="s">
        <v>2949</v>
      </c>
      <c r="B1302" s="76" t="s">
        <v>2950</v>
      </c>
      <c r="C1302" s="76" t="s">
        <v>1263</v>
      </c>
      <c r="D1302" s="76" t="s">
        <v>39</v>
      </c>
      <c r="E1302" s="76" t="s">
        <v>22</v>
      </c>
      <c r="F1302" s="77">
        <v>45657</v>
      </c>
      <c r="G1302" s="76">
        <v>2024</v>
      </c>
      <c r="H1302" s="76" t="s">
        <v>27</v>
      </c>
      <c r="I1302" s="76" t="s">
        <v>36</v>
      </c>
      <c r="J1302" s="76">
        <v>100</v>
      </c>
      <c r="K1302" s="76">
        <v>94</v>
      </c>
      <c r="L1302" s="78">
        <f t="shared" si="156"/>
        <v>0.94</v>
      </c>
      <c r="M1302" s="78">
        <f t="shared" si="157"/>
        <v>0.94</v>
      </c>
      <c r="N1302" s="76" t="s">
        <v>25</v>
      </c>
      <c r="O1302" s="76" t="s">
        <v>25</v>
      </c>
      <c r="P1302" s="76">
        <v>0</v>
      </c>
      <c r="Q1302" s="76">
        <v>0</v>
      </c>
      <c r="R1302" s="76" t="s">
        <v>2957</v>
      </c>
      <c r="S1302" s="76"/>
    </row>
    <row r="1303" spans="1:19" x14ac:dyDescent="0.3">
      <c r="A1303" s="76" t="s">
        <v>2958</v>
      </c>
      <c r="B1303" s="76" t="s">
        <v>2959</v>
      </c>
      <c r="C1303" s="76" t="s">
        <v>1263</v>
      </c>
      <c r="D1303" s="76" t="s">
        <v>39</v>
      </c>
      <c r="E1303" s="76" t="s">
        <v>22</v>
      </c>
      <c r="F1303" s="77">
        <v>45107</v>
      </c>
      <c r="G1303" s="76">
        <v>2023</v>
      </c>
      <c r="H1303" s="76" t="s">
        <v>23</v>
      </c>
      <c r="I1303" s="76" t="s">
        <v>30</v>
      </c>
      <c r="J1303" s="76">
        <v>66</v>
      </c>
      <c r="K1303" s="76">
        <v>66</v>
      </c>
      <c r="L1303" s="78">
        <f t="shared" si="156"/>
        <v>1</v>
      </c>
      <c r="M1303" s="78">
        <f t="shared" si="157"/>
        <v>1</v>
      </c>
      <c r="N1303" s="76" t="s">
        <v>25</v>
      </c>
      <c r="O1303" s="76" t="s">
        <v>25</v>
      </c>
      <c r="P1303" s="76">
        <v>0</v>
      </c>
      <c r="Q1303" s="76">
        <v>0</v>
      </c>
      <c r="R1303" s="76" t="s">
        <v>2960</v>
      </c>
      <c r="S1303" s="76"/>
    </row>
    <row r="1304" spans="1:19" x14ac:dyDescent="0.3">
      <c r="A1304" s="76" t="s">
        <v>2958</v>
      </c>
      <c r="B1304" s="76" t="s">
        <v>2959</v>
      </c>
      <c r="C1304" s="76" t="s">
        <v>1263</v>
      </c>
      <c r="D1304" s="76" t="s">
        <v>39</v>
      </c>
      <c r="E1304" s="76" t="s">
        <v>22</v>
      </c>
      <c r="F1304" s="77">
        <v>45291</v>
      </c>
      <c r="G1304" s="76">
        <v>2023</v>
      </c>
      <c r="H1304" s="76" t="s">
        <v>27</v>
      </c>
      <c r="I1304" s="76" t="s">
        <v>32</v>
      </c>
      <c r="J1304" s="76">
        <v>100</v>
      </c>
      <c r="K1304" s="76">
        <v>94.6</v>
      </c>
      <c r="L1304" s="78">
        <f t="shared" si="156"/>
        <v>0.94599999999999995</v>
      </c>
      <c r="M1304" s="78">
        <f t="shared" si="157"/>
        <v>0.94599999999999995</v>
      </c>
      <c r="N1304" s="76" t="s">
        <v>25</v>
      </c>
      <c r="O1304" s="76" t="s">
        <v>25</v>
      </c>
      <c r="P1304" s="76">
        <v>0</v>
      </c>
      <c r="Q1304" s="76">
        <v>0</v>
      </c>
      <c r="R1304" s="76" t="s">
        <v>2962</v>
      </c>
      <c r="S1304" s="76"/>
    </row>
    <row r="1305" spans="1:19" x14ac:dyDescent="0.3">
      <c r="A1305" s="76" t="s">
        <v>2958</v>
      </c>
      <c r="B1305" s="76" t="s">
        <v>2959</v>
      </c>
      <c r="C1305" s="76" t="s">
        <v>1263</v>
      </c>
      <c r="D1305" s="76" t="s">
        <v>39</v>
      </c>
      <c r="E1305" s="76" t="s">
        <v>22</v>
      </c>
      <c r="F1305" s="77">
        <v>45473</v>
      </c>
      <c r="G1305" s="76">
        <v>2024</v>
      </c>
      <c r="H1305" s="76" t="s">
        <v>23</v>
      </c>
      <c r="I1305" s="76" t="s">
        <v>34</v>
      </c>
      <c r="J1305" s="76">
        <v>79.25</v>
      </c>
      <c r="K1305" s="76">
        <v>85.57</v>
      </c>
      <c r="L1305" s="78">
        <f t="shared" si="156"/>
        <v>1</v>
      </c>
      <c r="M1305" s="78">
        <f t="shared" si="157"/>
        <v>1</v>
      </c>
      <c r="N1305" s="76" t="s">
        <v>25</v>
      </c>
      <c r="O1305" s="76" t="s">
        <v>25</v>
      </c>
      <c r="P1305" s="76">
        <v>0</v>
      </c>
      <c r="Q1305" s="76">
        <v>0</v>
      </c>
      <c r="R1305" s="76" t="s">
        <v>2964</v>
      </c>
      <c r="S1305" s="76"/>
    </row>
    <row r="1306" spans="1:19" x14ac:dyDescent="0.3">
      <c r="A1306" s="76" t="s">
        <v>2958</v>
      </c>
      <c r="B1306" s="76" t="s">
        <v>2959</v>
      </c>
      <c r="C1306" s="76" t="s">
        <v>1263</v>
      </c>
      <c r="D1306" s="76" t="s">
        <v>39</v>
      </c>
      <c r="E1306" s="76" t="s">
        <v>22</v>
      </c>
      <c r="F1306" s="77">
        <v>45657</v>
      </c>
      <c r="G1306" s="76">
        <v>2024</v>
      </c>
      <c r="H1306" s="76" t="s">
        <v>27</v>
      </c>
      <c r="I1306" s="76" t="s">
        <v>36</v>
      </c>
      <c r="J1306" s="76">
        <v>100</v>
      </c>
      <c r="K1306" s="76">
        <v>100</v>
      </c>
      <c r="L1306" s="78">
        <f t="shared" si="156"/>
        <v>1</v>
      </c>
      <c r="M1306" s="78">
        <f t="shared" si="157"/>
        <v>1</v>
      </c>
      <c r="N1306" s="76" t="s">
        <v>25</v>
      </c>
      <c r="O1306" s="76" t="s">
        <v>25</v>
      </c>
      <c r="P1306" s="76">
        <v>0</v>
      </c>
      <c r="Q1306" s="76">
        <v>0</v>
      </c>
      <c r="R1306" s="76" t="s">
        <v>2966</v>
      </c>
      <c r="S1306" s="76"/>
    </row>
    <row r="1307" spans="1:19" x14ac:dyDescent="0.3">
      <c r="A1307" s="76" t="s">
        <v>2967</v>
      </c>
      <c r="B1307" s="76" t="s">
        <v>2971</v>
      </c>
      <c r="C1307" s="76" t="s">
        <v>1263</v>
      </c>
      <c r="D1307" s="76" t="s">
        <v>39</v>
      </c>
      <c r="E1307" s="76" t="s">
        <v>22</v>
      </c>
      <c r="F1307" s="77">
        <v>45473</v>
      </c>
      <c r="G1307" s="76">
        <v>2024</v>
      </c>
      <c r="H1307" s="76" t="s">
        <v>23</v>
      </c>
      <c r="I1307" s="76" t="s">
        <v>34</v>
      </c>
      <c r="J1307" s="76">
        <v>52.19</v>
      </c>
      <c r="K1307" s="76">
        <v>45</v>
      </c>
      <c r="L1307" s="78">
        <f t="shared" si="156"/>
        <v>0.8622341444721211</v>
      </c>
      <c r="M1307" s="78">
        <f t="shared" si="157"/>
        <v>0.8622341444721211</v>
      </c>
      <c r="N1307" s="76" t="s">
        <v>25</v>
      </c>
      <c r="O1307" s="76" t="s">
        <v>25</v>
      </c>
      <c r="P1307" s="76">
        <v>0</v>
      </c>
      <c r="Q1307" s="76">
        <v>0</v>
      </c>
      <c r="R1307" s="76" t="s">
        <v>2973</v>
      </c>
      <c r="S1307" s="76"/>
    </row>
    <row r="1308" spans="1:19" x14ac:dyDescent="0.3">
      <c r="A1308" s="76" t="s">
        <v>2967</v>
      </c>
      <c r="B1308" s="76" t="s">
        <v>2971</v>
      </c>
      <c r="C1308" s="76" t="s">
        <v>1263</v>
      </c>
      <c r="D1308" s="76" t="s">
        <v>39</v>
      </c>
      <c r="E1308" s="76" t="s">
        <v>22</v>
      </c>
      <c r="F1308" s="77">
        <v>45657</v>
      </c>
      <c r="G1308" s="76">
        <v>2024</v>
      </c>
      <c r="H1308" s="76" t="s">
        <v>27</v>
      </c>
      <c r="I1308" s="76" t="s">
        <v>36</v>
      </c>
      <c r="J1308" s="76">
        <v>100</v>
      </c>
      <c r="K1308" s="76">
        <v>96</v>
      </c>
      <c r="L1308" s="78">
        <f t="shared" si="156"/>
        <v>0.96</v>
      </c>
      <c r="M1308" s="78">
        <f t="shared" si="157"/>
        <v>0.96</v>
      </c>
      <c r="N1308" s="76" t="s">
        <v>25</v>
      </c>
      <c r="O1308" s="76" t="s">
        <v>25</v>
      </c>
      <c r="P1308" s="76">
        <v>0</v>
      </c>
      <c r="Q1308" s="76">
        <v>0</v>
      </c>
      <c r="R1308" s="76" t="s">
        <v>2975</v>
      </c>
      <c r="S1308" s="76"/>
    </row>
    <row r="1309" spans="1:19" x14ac:dyDescent="0.3">
      <c r="A1309" s="76" t="s">
        <v>2976</v>
      </c>
      <c r="B1309" s="76" t="s">
        <v>2977</v>
      </c>
      <c r="C1309" s="76" t="s">
        <v>1263</v>
      </c>
      <c r="D1309" s="76" t="s">
        <v>39</v>
      </c>
      <c r="E1309" s="76" t="s">
        <v>22</v>
      </c>
      <c r="F1309" s="77">
        <v>45107</v>
      </c>
      <c r="G1309" s="76">
        <v>2023</v>
      </c>
      <c r="H1309" s="76" t="s">
        <v>23</v>
      </c>
      <c r="I1309" s="76" t="s">
        <v>30</v>
      </c>
      <c r="J1309" s="76">
        <v>70</v>
      </c>
      <c r="K1309" s="76">
        <v>84</v>
      </c>
      <c r="L1309" s="78">
        <f t="shared" si="156"/>
        <v>1</v>
      </c>
      <c r="M1309" s="78">
        <f t="shared" si="157"/>
        <v>1</v>
      </c>
      <c r="N1309" s="76" t="s">
        <v>25</v>
      </c>
      <c r="O1309" s="76" t="s">
        <v>25</v>
      </c>
      <c r="P1309" s="76">
        <v>0</v>
      </c>
      <c r="Q1309" s="76">
        <v>0</v>
      </c>
      <c r="R1309" s="76" t="s">
        <v>2978</v>
      </c>
      <c r="S1309" s="76"/>
    </row>
    <row r="1310" spans="1:19" x14ac:dyDescent="0.3">
      <c r="A1310" s="76" t="s">
        <v>2976</v>
      </c>
      <c r="B1310" s="76" t="s">
        <v>2977</v>
      </c>
      <c r="C1310" s="76" t="s">
        <v>1263</v>
      </c>
      <c r="D1310" s="76" t="s">
        <v>39</v>
      </c>
      <c r="E1310" s="76" t="s">
        <v>22</v>
      </c>
      <c r="F1310" s="77">
        <v>45291</v>
      </c>
      <c r="G1310" s="76">
        <v>2023</v>
      </c>
      <c r="H1310" s="76" t="s">
        <v>27</v>
      </c>
      <c r="I1310" s="76" t="s">
        <v>32</v>
      </c>
      <c r="J1310" s="76">
        <v>100</v>
      </c>
      <c r="K1310" s="76">
        <v>98.75</v>
      </c>
      <c r="L1310" s="78">
        <f t="shared" ref="L1310:L1343" si="158">IFERROR(IF(OR(J1310=0,K1310=""),"",IF(E1310="Positivo",MIN(MAX(K1310/J1310,0),1),MIN(MAX(J1310/K1310,0),1))),"")</f>
        <v>0.98750000000000004</v>
      </c>
      <c r="M1310" s="78">
        <f t="shared" ref="M1310:M1343" si="159">IFERROR(IF(OR(J1310=0,K1310=""),"",IF(E1310="Positivo",MIN(MAX(K1310/J1310,0),1),MIN(MAX(J1310/K1310,0),1))),"")</f>
        <v>0.98750000000000004</v>
      </c>
      <c r="N1310" s="76" t="s">
        <v>25</v>
      </c>
      <c r="O1310" s="76" t="s">
        <v>25</v>
      </c>
      <c r="P1310" s="76">
        <v>0</v>
      </c>
      <c r="Q1310" s="76">
        <v>0</v>
      </c>
      <c r="R1310" s="76" t="s">
        <v>2980</v>
      </c>
      <c r="S1310" s="76"/>
    </row>
    <row r="1311" spans="1:19" x14ac:dyDescent="0.3">
      <c r="A1311" s="76" t="s">
        <v>2976</v>
      </c>
      <c r="B1311" s="76" t="s">
        <v>2977</v>
      </c>
      <c r="C1311" s="76" t="s">
        <v>1263</v>
      </c>
      <c r="D1311" s="76" t="s">
        <v>39</v>
      </c>
      <c r="E1311" s="76" t="s">
        <v>22</v>
      </c>
      <c r="F1311" s="77">
        <v>45473</v>
      </c>
      <c r="G1311" s="76">
        <v>2024</v>
      </c>
      <c r="H1311" s="76" t="s">
        <v>23</v>
      </c>
      <c r="I1311" s="76" t="s">
        <v>34</v>
      </c>
      <c r="J1311" s="76">
        <v>81.790000000000006</v>
      </c>
      <c r="K1311" s="76">
        <v>80</v>
      </c>
      <c r="L1311" s="78">
        <f t="shared" si="158"/>
        <v>0.97811468394669265</v>
      </c>
      <c r="M1311" s="78">
        <f t="shared" si="159"/>
        <v>0.97811468394669265</v>
      </c>
      <c r="N1311" s="76" t="s">
        <v>25</v>
      </c>
      <c r="O1311" s="76" t="s">
        <v>25</v>
      </c>
      <c r="P1311" s="76">
        <v>0</v>
      </c>
      <c r="Q1311" s="76">
        <v>0</v>
      </c>
      <c r="R1311" s="76" t="s">
        <v>2982</v>
      </c>
      <c r="S1311" s="76"/>
    </row>
    <row r="1312" spans="1:19" x14ac:dyDescent="0.3">
      <c r="A1312" s="76" t="s">
        <v>2976</v>
      </c>
      <c r="B1312" s="76" t="s">
        <v>2977</v>
      </c>
      <c r="C1312" s="76" t="s">
        <v>1263</v>
      </c>
      <c r="D1312" s="76" t="s">
        <v>39</v>
      </c>
      <c r="E1312" s="76" t="s">
        <v>22</v>
      </c>
      <c r="F1312" s="77">
        <v>45657</v>
      </c>
      <c r="G1312" s="76">
        <v>2024</v>
      </c>
      <c r="H1312" s="76" t="s">
        <v>27</v>
      </c>
      <c r="I1312" s="76" t="s">
        <v>36</v>
      </c>
      <c r="J1312" s="76">
        <v>100</v>
      </c>
      <c r="K1312" s="76">
        <v>100</v>
      </c>
      <c r="L1312" s="78">
        <f t="shared" si="158"/>
        <v>1</v>
      </c>
      <c r="M1312" s="78">
        <f t="shared" si="159"/>
        <v>1</v>
      </c>
      <c r="N1312" s="76" t="s">
        <v>25</v>
      </c>
      <c r="O1312" s="76" t="s">
        <v>25</v>
      </c>
      <c r="P1312" s="76">
        <v>0</v>
      </c>
      <c r="Q1312" s="76">
        <v>0</v>
      </c>
      <c r="R1312" s="76" t="s">
        <v>2984</v>
      </c>
      <c r="S1312" s="76"/>
    </row>
    <row r="1313" spans="1:19" x14ac:dyDescent="0.3">
      <c r="A1313" s="76" t="s">
        <v>2985</v>
      </c>
      <c r="B1313" s="76" t="s">
        <v>2986</v>
      </c>
      <c r="C1313" s="76" t="s">
        <v>1263</v>
      </c>
      <c r="D1313" s="76" t="s">
        <v>39</v>
      </c>
      <c r="E1313" s="76" t="s">
        <v>22</v>
      </c>
      <c r="F1313" s="77">
        <v>45107</v>
      </c>
      <c r="G1313" s="76">
        <v>2023</v>
      </c>
      <c r="H1313" s="76" t="s">
        <v>23</v>
      </c>
      <c r="I1313" s="76" t="s">
        <v>30</v>
      </c>
      <c r="J1313" s="76">
        <v>63</v>
      </c>
      <c r="K1313" s="76">
        <v>52</v>
      </c>
      <c r="L1313" s="78">
        <f t="shared" si="158"/>
        <v>0.82539682539682535</v>
      </c>
      <c r="M1313" s="78">
        <f t="shared" si="159"/>
        <v>0.82539682539682535</v>
      </c>
      <c r="N1313" s="76" t="s">
        <v>25</v>
      </c>
      <c r="O1313" s="76" t="s">
        <v>25</v>
      </c>
      <c r="P1313" s="76">
        <v>0</v>
      </c>
      <c r="Q1313" s="76">
        <v>0</v>
      </c>
      <c r="R1313" s="76" t="s">
        <v>2987</v>
      </c>
      <c r="S1313" s="76"/>
    </row>
    <row r="1314" spans="1:19" x14ac:dyDescent="0.3">
      <c r="A1314" s="76" t="s">
        <v>2985</v>
      </c>
      <c r="B1314" s="76" t="s">
        <v>2986</v>
      </c>
      <c r="C1314" s="76" t="s">
        <v>1263</v>
      </c>
      <c r="D1314" s="76" t="s">
        <v>39</v>
      </c>
      <c r="E1314" s="76" t="s">
        <v>22</v>
      </c>
      <c r="F1314" s="77">
        <v>45291</v>
      </c>
      <c r="G1314" s="76">
        <v>2023</v>
      </c>
      <c r="H1314" s="76" t="s">
        <v>27</v>
      </c>
      <c r="I1314" s="76" t="s">
        <v>32</v>
      </c>
      <c r="J1314" s="76">
        <v>100</v>
      </c>
      <c r="K1314" s="76">
        <v>100</v>
      </c>
      <c r="L1314" s="78">
        <f t="shared" si="158"/>
        <v>1</v>
      </c>
      <c r="M1314" s="78">
        <f t="shared" si="159"/>
        <v>1</v>
      </c>
      <c r="N1314" s="76" t="s">
        <v>25</v>
      </c>
      <c r="O1314" s="76" t="s">
        <v>25</v>
      </c>
      <c r="P1314" s="76">
        <v>0</v>
      </c>
      <c r="Q1314" s="76">
        <v>0</v>
      </c>
      <c r="R1314" s="76" t="s">
        <v>2989</v>
      </c>
      <c r="S1314" s="76"/>
    </row>
    <row r="1315" spans="1:19" x14ac:dyDescent="0.3">
      <c r="A1315" s="76" t="s">
        <v>2985</v>
      </c>
      <c r="B1315" s="76" t="s">
        <v>2986</v>
      </c>
      <c r="C1315" s="76" t="s">
        <v>1263</v>
      </c>
      <c r="D1315" s="76" t="s">
        <v>39</v>
      </c>
      <c r="E1315" s="76" t="s">
        <v>22</v>
      </c>
      <c r="F1315" s="77">
        <v>45473</v>
      </c>
      <c r="G1315" s="76">
        <v>2024</v>
      </c>
      <c r="H1315" s="76" t="s">
        <v>23</v>
      </c>
      <c r="I1315" s="76" t="s">
        <v>34</v>
      </c>
      <c r="J1315" s="76">
        <v>78.680000000000007</v>
      </c>
      <c r="K1315" s="76">
        <v>65.67</v>
      </c>
      <c r="L1315" s="78">
        <f t="shared" si="158"/>
        <v>0.83464667005592263</v>
      </c>
      <c r="M1315" s="78">
        <f t="shared" si="159"/>
        <v>0.83464667005592263</v>
      </c>
      <c r="N1315" s="76" t="s">
        <v>25</v>
      </c>
      <c r="O1315" s="76" t="s">
        <v>25</v>
      </c>
      <c r="P1315" s="76">
        <v>0</v>
      </c>
      <c r="Q1315" s="76">
        <v>0</v>
      </c>
      <c r="R1315" s="76" t="s">
        <v>2991</v>
      </c>
      <c r="S1315" s="76"/>
    </row>
    <row r="1316" spans="1:19" x14ac:dyDescent="0.3">
      <c r="A1316" s="76" t="s">
        <v>2985</v>
      </c>
      <c r="B1316" s="76" t="s">
        <v>2986</v>
      </c>
      <c r="C1316" s="76" t="s">
        <v>1263</v>
      </c>
      <c r="D1316" s="76" t="s">
        <v>39</v>
      </c>
      <c r="E1316" s="76" t="s">
        <v>22</v>
      </c>
      <c r="F1316" s="77">
        <v>45657</v>
      </c>
      <c r="G1316" s="76">
        <v>2024</v>
      </c>
      <c r="H1316" s="76" t="s">
        <v>27</v>
      </c>
      <c r="I1316" s="76" t="s">
        <v>36</v>
      </c>
      <c r="J1316" s="76">
        <v>100</v>
      </c>
      <c r="K1316" s="76">
        <v>100</v>
      </c>
      <c r="L1316" s="78">
        <f t="shared" si="158"/>
        <v>1</v>
      </c>
      <c r="M1316" s="78">
        <f t="shared" si="159"/>
        <v>1</v>
      </c>
      <c r="N1316" s="76" t="s">
        <v>25</v>
      </c>
      <c r="O1316" s="76" t="s">
        <v>25</v>
      </c>
      <c r="P1316" s="76">
        <v>0</v>
      </c>
      <c r="Q1316" s="76">
        <v>0</v>
      </c>
      <c r="R1316" s="76" t="s">
        <v>2993</v>
      </c>
      <c r="S1316" s="76"/>
    </row>
    <row r="1317" spans="1:19" x14ac:dyDescent="0.3">
      <c r="A1317" s="76" t="s">
        <v>2994</v>
      </c>
      <c r="B1317" s="76" t="s">
        <v>2998</v>
      </c>
      <c r="C1317" s="76" t="s">
        <v>1263</v>
      </c>
      <c r="D1317" s="76" t="s">
        <v>39</v>
      </c>
      <c r="E1317" s="76" t="s">
        <v>22</v>
      </c>
      <c r="F1317" s="77">
        <v>45473</v>
      </c>
      <c r="G1317" s="76">
        <v>2024</v>
      </c>
      <c r="H1317" s="76" t="s">
        <v>23</v>
      </c>
      <c r="I1317" s="76" t="s">
        <v>34</v>
      </c>
      <c r="J1317" s="76">
        <v>27.99</v>
      </c>
      <c r="K1317" s="76">
        <v>26.66</v>
      </c>
      <c r="L1317" s="78">
        <f t="shared" si="158"/>
        <v>0.95248302965344767</v>
      </c>
      <c r="M1317" s="78">
        <f t="shared" si="159"/>
        <v>0.95248302965344767</v>
      </c>
      <c r="N1317" s="76" t="s">
        <v>25</v>
      </c>
      <c r="O1317" s="76" t="s">
        <v>25</v>
      </c>
      <c r="P1317" s="76">
        <v>0</v>
      </c>
      <c r="Q1317" s="76">
        <v>0</v>
      </c>
      <c r="R1317" s="76" t="s">
        <v>3000</v>
      </c>
      <c r="S1317" s="76"/>
    </row>
    <row r="1318" spans="1:19" x14ac:dyDescent="0.3">
      <c r="A1318" s="76" t="s">
        <v>2994</v>
      </c>
      <c r="B1318" s="76" t="s">
        <v>2998</v>
      </c>
      <c r="C1318" s="76" t="s">
        <v>1263</v>
      </c>
      <c r="D1318" s="76" t="s">
        <v>39</v>
      </c>
      <c r="E1318" s="76" t="s">
        <v>22</v>
      </c>
      <c r="F1318" s="77">
        <v>45657</v>
      </c>
      <c r="G1318" s="76">
        <v>2024</v>
      </c>
      <c r="H1318" s="76" t="s">
        <v>27</v>
      </c>
      <c r="I1318" s="76" t="s">
        <v>36</v>
      </c>
      <c r="J1318" s="76">
        <v>100</v>
      </c>
      <c r="K1318" s="76">
        <v>100</v>
      </c>
      <c r="L1318" s="78">
        <f t="shared" si="158"/>
        <v>1</v>
      </c>
      <c r="M1318" s="78">
        <f t="shared" si="159"/>
        <v>1</v>
      </c>
      <c r="N1318" s="76" t="s">
        <v>25</v>
      </c>
      <c r="O1318" s="76" t="s">
        <v>25</v>
      </c>
      <c r="P1318" s="76">
        <v>0</v>
      </c>
      <c r="Q1318" s="76">
        <v>0</v>
      </c>
      <c r="R1318" s="76" t="s">
        <v>3002</v>
      </c>
      <c r="S1318" s="76"/>
    </row>
    <row r="1319" spans="1:19" x14ac:dyDescent="0.3">
      <c r="A1319" s="76" t="s">
        <v>3003</v>
      </c>
      <c r="B1319" s="76" t="s">
        <v>3004</v>
      </c>
      <c r="C1319" s="76" t="s">
        <v>1263</v>
      </c>
      <c r="D1319" s="76" t="s">
        <v>39</v>
      </c>
      <c r="E1319" s="76" t="s">
        <v>22</v>
      </c>
      <c r="F1319" s="77">
        <v>45473</v>
      </c>
      <c r="G1319" s="76">
        <v>2024</v>
      </c>
      <c r="H1319" s="76" t="s">
        <v>23</v>
      </c>
      <c r="I1319" s="76" t="s">
        <v>34</v>
      </c>
      <c r="J1319" s="76">
        <v>100</v>
      </c>
      <c r="K1319" s="76">
        <v>97</v>
      </c>
      <c r="L1319" s="78">
        <f t="shared" si="158"/>
        <v>0.97</v>
      </c>
      <c r="M1319" s="78">
        <f t="shared" si="159"/>
        <v>0.97</v>
      </c>
      <c r="N1319" s="76" t="s">
        <v>25</v>
      </c>
      <c r="O1319" s="76" t="s">
        <v>25</v>
      </c>
      <c r="P1319" s="76">
        <v>0</v>
      </c>
      <c r="Q1319" s="76">
        <v>0</v>
      </c>
      <c r="R1319" s="76" t="s">
        <v>3006</v>
      </c>
      <c r="S1319" s="76"/>
    </row>
    <row r="1320" spans="1:19" x14ac:dyDescent="0.3">
      <c r="A1320" s="76" t="s">
        <v>3003</v>
      </c>
      <c r="B1320" s="76" t="s">
        <v>3004</v>
      </c>
      <c r="C1320" s="76" t="s">
        <v>1263</v>
      </c>
      <c r="D1320" s="76" t="s">
        <v>39</v>
      </c>
      <c r="E1320" s="76" t="s">
        <v>22</v>
      </c>
      <c r="F1320" s="77">
        <v>45657</v>
      </c>
      <c r="G1320" s="76">
        <v>2024</v>
      </c>
      <c r="H1320" s="76" t="s">
        <v>27</v>
      </c>
      <c r="I1320" s="76" t="s">
        <v>36</v>
      </c>
      <c r="J1320" s="76">
        <v>100</v>
      </c>
      <c r="K1320" s="76">
        <v>100</v>
      </c>
      <c r="L1320" s="78">
        <f t="shared" si="158"/>
        <v>1</v>
      </c>
      <c r="M1320" s="78">
        <f t="shared" si="159"/>
        <v>1</v>
      </c>
      <c r="N1320" s="76" t="s">
        <v>25</v>
      </c>
      <c r="O1320" s="76" t="s">
        <v>25</v>
      </c>
      <c r="P1320" s="76">
        <v>0</v>
      </c>
      <c r="Q1320" s="76">
        <v>0</v>
      </c>
      <c r="R1320" s="76" t="s">
        <v>3008</v>
      </c>
      <c r="S1320" s="76"/>
    </row>
    <row r="1321" spans="1:19" x14ac:dyDescent="0.3">
      <c r="A1321" s="76" t="s">
        <v>3009</v>
      </c>
      <c r="B1321" s="76" t="s">
        <v>3010</v>
      </c>
      <c r="C1321" s="76" t="s">
        <v>1263</v>
      </c>
      <c r="D1321" s="76" t="s">
        <v>39</v>
      </c>
      <c r="E1321" s="76" t="s">
        <v>22</v>
      </c>
      <c r="F1321" s="77">
        <v>45473</v>
      </c>
      <c r="G1321" s="76">
        <v>2024</v>
      </c>
      <c r="H1321" s="76" t="s">
        <v>23</v>
      </c>
      <c r="I1321" s="76" t="s">
        <v>34</v>
      </c>
      <c r="J1321" s="76">
        <v>87.8</v>
      </c>
      <c r="K1321" s="76">
        <v>77.5</v>
      </c>
      <c r="L1321" s="78">
        <f t="shared" si="158"/>
        <v>0.88268792710706157</v>
      </c>
      <c r="M1321" s="78">
        <f t="shared" si="159"/>
        <v>0.88268792710706157</v>
      </c>
      <c r="N1321" s="76" t="s">
        <v>25</v>
      </c>
      <c r="O1321" s="76" t="s">
        <v>25</v>
      </c>
      <c r="P1321" s="76">
        <v>0</v>
      </c>
      <c r="Q1321" s="76">
        <v>0</v>
      </c>
      <c r="R1321" s="76" t="s">
        <v>3012</v>
      </c>
      <c r="S1321" s="76"/>
    </row>
    <row r="1322" spans="1:19" x14ac:dyDescent="0.3">
      <c r="A1322" s="76" t="s">
        <v>3009</v>
      </c>
      <c r="B1322" s="76" t="s">
        <v>3010</v>
      </c>
      <c r="C1322" s="76" t="s">
        <v>1263</v>
      </c>
      <c r="D1322" s="76" t="s">
        <v>39</v>
      </c>
      <c r="E1322" s="76" t="s">
        <v>22</v>
      </c>
      <c r="F1322" s="77">
        <v>45657</v>
      </c>
      <c r="G1322" s="76">
        <v>2024</v>
      </c>
      <c r="H1322" s="76" t="s">
        <v>27</v>
      </c>
      <c r="I1322" s="76" t="s">
        <v>36</v>
      </c>
      <c r="J1322" s="76">
        <v>100</v>
      </c>
      <c r="K1322" s="76">
        <v>100</v>
      </c>
      <c r="L1322" s="78">
        <f t="shared" si="158"/>
        <v>1</v>
      </c>
      <c r="M1322" s="78">
        <f t="shared" si="159"/>
        <v>1</v>
      </c>
      <c r="N1322" s="76" t="s">
        <v>25</v>
      </c>
      <c r="O1322" s="76" t="s">
        <v>25</v>
      </c>
      <c r="P1322" s="76">
        <v>0</v>
      </c>
      <c r="Q1322" s="76">
        <v>0</v>
      </c>
      <c r="R1322" s="76" t="s">
        <v>3014</v>
      </c>
      <c r="S1322" s="76"/>
    </row>
    <row r="1323" spans="1:19" x14ac:dyDescent="0.3">
      <c r="A1323" s="76" t="s">
        <v>3015</v>
      </c>
      <c r="B1323" s="76" t="s">
        <v>3016</v>
      </c>
      <c r="C1323" s="76" t="s">
        <v>1263</v>
      </c>
      <c r="D1323" s="76" t="s">
        <v>39</v>
      </c>
      <c r="E1323" s="76" t="s">
        <v>22</v>
      </c>
      <c r="F1323" s="77">
        <v>45473</v>
      </c>
      <c r="G1323" s="76">
        <v>2024</v>
      </c>
      <c r="H1323" s="76" t="s">
        <v>23</v>
      </c>
      <c r="I1323" s="76" t="s">
        <v>34</v>
      </c>
      <c r="J1323" s="76">
        <v>100</v>
      </c>
      <c r="K1323" s="76">
        <v>85</v>
      </c>
      <c r="L1323" s="78">
        <f t="shared" si="158"/>
        <v>0.85</v>
      </c>
      <c r="M1323" s="78">
        <f t="shared" si="159"/>
        <v>0.85</v>
      </c>
      <c r="N1323" s="76" t="s">
        <v>25</v>
      </c>
      <c r="O1323" s="76" t="s">
        <v>25</v>
      </c>
      <c r="P1323" s="76">
        <v>0</v>
      </c>
      <c r="Q1323" s="76">
        <v>0</v>
      </c>
      <c r="R1323" s="76" t="s">
        <v>3018</v>
      </c>
      <c r="S1323" s="76"/>
    </row>
    <row r="1324" spans="1:19" x14ac:dyDescent="0.3">
      <c r="A1324" s="76" t="s">
        <v>3015</v>
      </c>
      <c r="B1324" s="76" t="s">
        <v>3016</v>
      </c>
      <c r="C1324" s="76" t="s">
        <v>1263</v>
      </c>
      <c r="D1324" s="76" t="s">
        <v>39</v>
      </c>
      <c r="E1324" s="76" t="s">
        <v>22</v>
      </c>
      <c r="F1324" s="77">
        <v>45657</v>
      </c>
      <c r="G1324" s="76">
        <v>2024</v>
      </c>
      <c r="H1324" s="76" t="s">
        <v>27</v>
      </c>
      <c r="I1324" s="76" t="s">
        <v>36</v>
      </c>
      <c r="J1324" s="76">
        <v>100</v>
      </c>
      <c r="K1324" s="76">
        <v>100</v>
      </c>
      <c r="L1324" s="78">
        <f t="shared" si="158"/>
        <v>1</v>
      </c>
      <c r="M1324" s="78">
        <f t="shared" si="159"/>
        <v>1</v>
      </c>
      <c r="N1324" s="76" t="s">
        <v>25</v>
      </c>
      <c r="O1324" s="76" t="s">
        <v>25</v>
      </c>
      <c r="P1324" s="76">
        <v>0</v>
      </c>
      <c r="Q1324" s="76">
        <v>0</v>
      </c>
      <c r="R1324" s="76" t="s">
        <v>3020</v>
      </c>
      <c r="S1324" s="76"/>
    </row>
    <row r="1325" spans="1:19" x14ac:dyDescent="0.3">
      <c r="A1325" s="76" t="s">
        <v>3021</v>
      </c>
      <c r="B1325" s="76" t="s">
        <v>3022</v>
      </c>
      <c r="C1325" s="76" t="s">
        <v>1263</v>
      </c>
      <c r="D1325" s="76" t="s">
        <v>39</v>
      </c>
      <c r="E1325" s="76" t="s">
        <v>22</v>
      </c>
      <c r="F1325" s="77">
        <v>45107</v>
      </c>
      <c r="G1325" s="76">
        <v>2023</v>
      </c>
      <c r="H1325" s="76" t="s">
        <v>23</v>
      </c>
      <c r="I1325" s="76" t="s">
        <v>30</v>
      </c>
      <c r="J1325" s="76">
        <v>62</v>
      </c>
      <c r="K1325" s="76">
        <v>51</v>
      </c>
      <c r="L1325" s="78">
        <f t="shared" si="158"/>
        <v>0.82258064516129037</v>
      </c>
      <c r="M1325" s="78">
        <f t="shared" si="159"/>
        <v>0.82258064516129037</v>
      </c>
      <c r="N1325" s="76" t="s">
        <v>25</v>
      </c>
      <c r="O1325" s="76" t="s">
        <v>25</v>
      </c>
      <c r="P1325" s="76">
        <v>0</v>
      </c>
      <c r="Q1325" s="76">
        <v>0</v>
      </c>
      <c r="R1325" s="76" t="s">
        <v>3023</v>
      </c>
      <c r="S1325" s="76"/>
    </row>
    <row r="1326" spans="1:19" x14ac:dyDescent="0.3">
      <c r="A1326" s="76" t="s">
        <v>3021</v>
      </c>
      <c r="B1326" s="76" t="s">
        <v>3022</v>
      </c>
      <c r="C1326" s="76" t="s">
        <v>1263</v>
      </c>
      <c r="D1326" s="76" t="s">
        <v>39</v>
      </c>
      <c r="E1326" s="76" t="s">
        <v>22</v>
      </c>
      <c r="F1326" s="77">
        <v>45291</v>
      </c>
      <c r="G1326" s="76">
        <v>2023</v>
      </c>
      <c r="H1326" s="76" t="s">
        <v>27</v>
      </c>
      <c r="I1326" s="76" t="s">
        <v>32</v>
      </c>
      <c r="J1326" s="76">
        <v>100</v>
      </c>
      <c r="K1326" s="76">
        <v>100</v>
      </c>
      <c r="L1326" s="78">
        <f t="shared" si="158"/>
        <v>1</v>
      </c>
      <c r="M1326" s="78">
        <f t="shared" si="159"/>
        <v>1</v>
      </c>
      <c r="N1326" s="76" t="s">
        <v>25</v>
      </c>
      <c r="O1326" s="76" t="s">
        <v>25</v>
      </c>
      <c r="P1326" s="76">
        <v>0</v>
      </c>
      <c r="Q1326" s="76">
        <v>0</v>
      </c>
      <c r="R1326" s="76" t="s">
        <v>3025</v>
      </c>
      <c r="S1326" s="76"/>
    </row>
    <row r="1327" spans="1:19" x14ac:dyDescent="0.3">
      <c r="A1327" s="76" t="s">
        <v>3021</v>
      </c>
      <c r="B1327" s="76" t="s">
        <v>3022</v>
      </c>
      <c r="C1327" s="76" t="s">
        <v>1263</v>
      </c>
      <c r="D1327" s="76" t="s">
        <v>39</v>
      </c>
      <c r="E1327" s="76" t="s">
        <v>22</v>
      </c>
      <c r="F1327" s="77">
        <v>45473</v>
      </c>
      <c r="G1327" s="76">
        <v>2024</v>
      </c>
      <c r="H1327" s="76" t="s">
        <v>23</v>
      </c>
      <c r="I1327" s="76" t="s">
        <v>34</v>
      </c>
      <c r="J1327" s="76">
        <v>71.25</v>
      </c>
      <c r="K1327" s="76">
        <v>52.22</v>
      </c>
      <c r="L1327" s="78">
        <f t="shared" si="158"/>
        <v>0.7329122807017544</v>
      </c>
      <c r="M1327" s="78">
        <f t="shared" si="159"/>
        <v>0.7329122807017544</v>
      </c>
      <c r="N1327" s="76" t="s">
        <v>25</v>
      </c>
      <c r="O1327" s="76" t="s">
        <v>25</v>
      </c>
      <c r="P1327" s="76">
        <v>0</v>
      </c>
      <c r="Q1327" s="76">
        <v>0</v>
      </c>
      <c r="R1327" s="76" t="s">
        <v>3027</v>
      </c>
      <c r="S1327" s="76"/>
    </row>
    <row r="1328" spans="1:19" x14ac:dyDescent="0.3">
      <c r="A1328" s="76" t="s">
        <v>3021</v>
      </c>
      <c r="B1328" s="76" t="s">
        <v>3022</v>
      </c>
      <c r="C1328" s="76" t="s">
        <v>1263</v>
      </c>
      <c r="D1328" s="76" t="s">
        <v>39</v>
      </c>
      <c r="E1328" s="76" t="s">
        <v>22</v>
      </c>
      <c r="F1328" s="77">
        <v>45657</v>
      </c>
      <c r="G1328" s="76">
        <v>2024</v>
      </c>
      <c r="H1328" s="76" t="s">
        <v>27</v>
      </c>
      <c r="I1328" s="76" t="s">
        <v>36</v>
      </c>
      <c r="J1328" s="76">
        <v>100</v>
      </c>
      <c r="K1328" s="76">
        <v>97</v>
      </c>
      <c r="L1328" s="78">
        <f t="shared" si="158"/>
        <v>0.97</v>
      </c>
      <c r="M1328" s="78">
        <f t="shared" si="159"/>
        <v>0.97</v>
      </c>
      <c r="N1328" s="76" t="s">
        <v>25</v>
      </c>
      <c r="O1328" s="76" t="s">
        <v>25</v>
      </c>
      <c r="P1328" s="76">
        <v>0</v>
      </c>
      <c r="Q1328" s="76">
        <v>0</v>
      </c>
      <c r="R1328" s="76" t="s">
        <v>3029</v>
      </c>
      <c r="S1328" s="76"/>
    </row>
    <row r="1329" spans="1:19" x14ac:dyDescent="0.3">
      <c r="A1329" s="76" t="s">
        <v>3030</v>
      </c>
      <c r="B1329" s="76" t="s">
        <v>3031</v>
      </c>
      <c r="C1329" s="76" t="s">
        <v>1263</v>
      </c>
      <c r="D1329" s="76" t="s">
        <v>39</v>
      </c>
      <c r="E1329" s="76" t="s">
        <v>22</v>
      </c>
      <c r="F1329" s="77">
        <v>45107</v>
      </c>
      <c r="G1329" s="76">
        <v>2023</v>
      </c>
      <c r="H1329" s="76" t="s">
        <v>23</v>
      </c>
      <c r="I1329" s="76" t="s">
        <v>30</v>
      </c>
      <c r="J1329" s="76">
        <v>88</v>
      </c>
      <c r="K1329" s="76">
        <v>94</v>
      </c>
      <c r="L1329" s="78">
        <f t="shared" si="158"/>
        <v>1</v>
      </c>
      <c r="M1329" s="78">
        <f t="shared" si="159"/>
        <v>1</v>
      </c>
      <c r="N1329" s="76" t="s">
        <v>25</v>
      </c>
      <c r="O1329" s="76" t="s">
        <v>25</v>
      </c>
      <c r="P1329" s="76">
        <v>0</v>
      </c>
      <c r="Q1329" s="76">
        <v>0</v>
      </c>
      <c r="R1329" s="76" t="s">
        <v>3032</v>
      </c>
      <c r="S1329" s="76"/>
    </row>
    <row r="1330" spans="1:19" x14ac:dyDescent="0.3">
      <c r="A1330" s="76" t="s">
        <v>3030</v>
      </c>
      <c r="B1330" s="76" t="s">
        <v>3031</v>
      </c>
      <c r="C1330" s="76" t="s">
        <v>1263</v>
      </c>
      <c r="D1330" s="76" t="s">
        <v>39</v>
      </c>
      <c r="E1330" s="76" t="s">
        <v>22</v>
      </c>
      <c r="F1330" s="77">
        <v>45291</v>
      </c>
      <c r="G1330" s="76">
        <v>2023</v>
      </c>
      <c r="H1330" s="76" t="s">
        <v>27</v>
      </c>
      <c r="I1330" s="76" t="s">
        <v>32</v>
      </c>
      <c r="J1330" s="76">
        <v>100</v>
      </c>
      <c r="K1330" s="76">
        <v>100</v>
      </c>
      <c r="L1330" s="78">
        <f t="shared" si="158"/>
        <v>1</v>
      </c>
      <c r="M1330" s="78">
        <f t="shared" si="159"/>
        <v>1</v>
      </c>
      <c r="N1330" s="76" t="s">
        <v>25</v>
      </c>
      <c r="O1330" s="76" t="s">
        <v>25</v>
      </c>
      <c r="P1330" s="76">
        <v>0</v>
      </c>
      <c r="Q1330" s="76">
        <v>0</v>
      </c>
      <c r="R1330" s="76" t="s">
        <v>3034</v>
      </c>
      <c r="S1330" s="76"/>
    </row>
    <row r="1331" spans="1:19" x14ac:dyDescent="0.3">
      <c r="A1331" s="76" t="s">
        <v>3030</v>
      </c>
      <c r="B1331" s="76" t="s">
        <v>3031</v>
      </c>
      <c r="C1331" s="76" t="s">
        <v>1263</v>
      </c>
      <c r="D1331" s="76" t="s">
        <v>39</v>
      </c>
      <c r="E1331" s="76" t="s">
        <v>22</v>
      </c>
      <c r="F1331" s="77">
        <v>45473</v>
      </c>
      <c r="G1331" s="76">
        <v>2024</v>
      </c>
      <c r="H1331" s="76" t="s">
        <v>23</v>
      </c>
      <c r="I1331" s="76" t="s">
        <v>34</v>
      </c>
      <c r="J1331" s="76">
        <v>79.88</v>
      </c>
      <c r="K1331" s="76">
        <v>68.599999999999994</v>
      </c>
      <c r="L1331" s="78">
        <f t="shared" si="158"/>
        <v>0.85878818227341014</v>
      </c>
      <c r="M1331" s="78">
        <f t="shared" si="159"/>
        <v>0.85878818227341014</v>
      </c>
      <c r="N1331" s="76" t="s">
        <v>25</v>
      </c>
      <c r="O1331" s="76" t="s">
        <v>25</v>
      </c>
      <c r="P1331" s="76">
        <v>0</v>
      </c>
      <c r="Q1331" s="76">
        <v>0</v>
      </c>
      <c r="R1331" s="76" t="s">
        <v>3036</v>
      </c>
      <c r="S1331" s="76"/>
    </row>
    <row r="1332" spans="1:19" x14ac:dyDescent="0.3">
      <c r="A1332" s="76" t="s">
        <v>3030</v>
      </c>
      <c r="B1332" s="76" t="s">
        <v>3031</v>
      </c>
      <c r="C1332" s="76" t="s">
        <v>1263</v>
      </c>
      <c r="D1332" s="76" t="s">
        <v>39</v>
      </c>
      <c r="E1332" s="76" t="s">
        <v>22</v>
      </c>
      <c r="F1332" s="77">
        <v>45657</v>
      </c>
      <c r="G1332" s="76">
        <v>2024</v>
      </c>
      <c r="H1332" s="76" t="s">
        <v>27</v>
      </c>
      <c r="I1332" s="76" t="s">
        <v>36</v>
      </c>
      <c r="J1332" s="76">
        <v>100</v>
      </c>
      <c r="K1332" s="76">
        <v>100</v>
      </c>
      <c r="L1332" s="78">
        <f t="shared" si="158"/>
        <v>1</v>
      </c>
      <c r="M1332" s="78">
        <f t="shared" si="159"/>
        <v>1</v>
      </c>
      <c r="N1332" s="76" t="s">
        <v>25</v>
      </c>
      <c r="O1332" s="76" t="s">
        <v>25</v>
      </c>
      <c r="P1332" s="76">
        <v>0</v>
      </c>
      <c r="Q1332" s="76">
        <v>0</v>
      </c>
      <c r="R1332" s="76" t="s">
        <v>3038</v>
      </c>
      <c r="S1332" s="76"/>
    </row>
    <row r="1333" spans="1:19" x14ac:dyDescent="0.3">
      <c r="A1333" s="76" t="s">
        <v>3039</v>
      </c>
      <c r="B1333" s="76" t="s">
        <v>3040</v>
      </c>
      <c r="C1333" s="76" t="s">
        <v>1263</v>
      </c>
      <c r="D1333" s="76" t="s">
        <v>39</v>
      </c>
      <c r="E1333" s="76" t="s">
        <v>22</v>
      </c>
      <c r="F1333" s="77">
        <v>45107</v>
      </c>
      <c r="G1333" s="76">
        <v>2023</v>
      </c>
      <c r="H1333" s="76" t="s">
        <v>23</v>
      </c>
      <c r="I1333" s="76" t="s">
        <v>30</v>
      </c>
      <c r="J1333" s="76">
        <v>58</v>
      </c>
      <c r="K1333" s="76">
        <v>37</v>
      </c>
      <c r="L1333" s="78">
        <f t="shared" si="158"/>
        <v>0.63793103448275867</v>
      </c>
      <c r="M1333" s="78">
        <f t="shared" si="159"/>
        <v>0.63793103448275867</v>
      </c>
      <c r="N1333" s="76" t="s">
        <v>25</v>
      </c>
      <c r="O1333" s="76" t="s">
        <v>25</v>
      </c>
      <c r="P1333" s="76">
        <v>0</v>
      </c>
      <c r="Q1333" s="76">
        <v>0</v>
      </c>
      <c r="R1333" s="76" t="s">
        <v>3041</v>
      </c>
      <c r="S1333" s="76"/>
    </row>
    <row r="1334" spans="1:19" x14ac:dyDescent="0.3">
      <c r="A1334" s="76" t="s">
        <v>3039</v>
      </c>
      <c r="B1334" s="76" t="s">
        <v>3040</v>
      </c>
      <c r="C1334" s="76" t="s">
        <v>1263</v>
      </c>
      <c r="D1334" s="76" t="s">
        <v>39</v>
      </c>
      <c r="E1334" s="76" t="s">
        <v>22</v>
      </c>
      <c r="F1334" s="77">
        <v>45291</v>
      </c>
      <c r="G1334" s="76">
        <v>2023</v>
      </c>
      <c r="H1334" s="76" t="s">
        <v>27</v>
      </c>
      <c r="I1334" s="76" t="s">
        <v>32</v>
      </c>
      <c r="J1334" s="76">
        <v>100</v>
      </c>
      <c r="K1334" s="76">
        <v>84</v>
      </c>
      <c r="L1334" s="78">
        <f t="shared" si="158"/>
        <v>0.84</v>
      </c>
      <c r="M1334" s="78">
        <f t="shared" si="159"/>
        <v>0.84</v>
      </c>
      <c r="N1334" s="76" t="s">
        <v>25</v>
      </c>
      <c r="O1334" s="76" t="s">
        <v>25</v>
      </c>
      <c r="P1334" s="76">
        <v>0</v>
      </c>
      <c r="Q1334" s="76">
        <v>0</v>
      </c>
      <c r="R1334" s="76" t="s">
        <v>3043</v>
      </c>
      <c r="S1334" s="76"/>
    </row>
    <row r="1335" spans="1:19" x14ac:dyDescent="0.3">
      <c r="A1335" s="76" t="s">
        <v>3039</v>
      </c>
      <c r="B1335" s="76" t="s">
        <v>3040</v>
      </c>
      <c r="C1335" s="76" t="s">
        <v>1263</v>
      </c>
      <c r="D1335" s="76" t="s">
        <v>39</v>
      </c>
      <c r="E1335" s="76" t="s">
        <v>22</v>
      </c>
      <c r="F1335" s="77">
        <v>45657</v>
      </c>
      <c r="G1335" s="76">
        <v>2024</v>
      </c>
      <c r="H1335" s="76" t="s">
        <v>27</v>
      </c>
      <c r="I1335" s="76" t="s">
        <v>36</v>
      </c>
      <c r="J1335" s="76">
        <v>100</v>
      </c>
      <c r="K1335" s="76">
        <v>94</v>
      </c>
      <c r="L1335" s="78">
        <f t="shared" si="158"/>
        <v>0.94</v>
      </c>
      <c r="M1335" s="78">
        <f t="shared" si="159"/>
        <v>0.94</v>
      </c>
      <c r="N1335" s="76" t="s">
        <v>25</v>
      </c>
      <c r="O1335" s="76" t="s">
        <v>25</v>
      </c>
      <c r="P1335" s="76">
        <v>0</v>
      </c>
      <c r="Q1335" s="76">
        <v>0</v>
      </c>
      <c r="R1335" s="76" t="s">
        <v>3047</v>
      </c>
      <c r="S1335" s="76"/>
    </row>
    <row r="1336" spans="1:19" x14ac:dyDescent="0.3">
      <c r="A1336" s="76" t="s">
        <v>3048</v>
      </c>
      <c r="B1336" s="76" t="s">
        <v>3049</v>
      </c>
      <c r="C1336" s="76" t="s">
        <v>1263</v>
      </c>
      <c r="D1336" s="76" t="s">
        <v>39</v>
      </c>
      <c r="E1336" s="76" t="s">
        <v>22</v>
      </c>
      <c r="F1336" s="77">
        <v>45107</v>
      </c>
      <c r="G1336" s="76">
        <v>2023</v>
      </c>
      <c r="H1336" s="76" t="s">
        <v>23</v>
      </c>
      <c r="I1336" s="76" t="s">
        <v>30</v>
      </c>
      <c r="J1336" s="76">
        <v>58</v>
      </c>
      <c r="K1336" s="76">
        <v>50</v>
      </c>
      <c r="L1336" s="78">
        <f t="shared" si="158"/>
        <v>0.86206896551724133</v>
      </c>
      <c r="M1336" s="78">
        <f t="shared" si="159"/>
        <v>0.86206896551724133</v>
      </c>
      <c r="N1336" s="76" t="s">
        <v>25</v>
      </c>
      <c r="O1336" s="76" t="s">
        <v>25</v>
      </c>
      <c r="P1336" s="76">
        <v>0</v>
      </c>
      <c r="Q1336" s="76">
        <v>0</v>
      </c>
      <c r="R1336" s="76" t="s">
        <v>3050</v>
      </c>
      <c r="S1336" s="76"/>
    </row>
    <row r="1337" spans="1:19" x14ac:dyDescent="0.3">
      <c r="A1337" s="76" t="s">
        <v>3048</v>
      </c>
      <c r="B1337" s="76" t="s">
        <v>3049</v>
      </c>
      <c r="C1337" s="76" t="s">
        <v>1263</v>
      </c>
      <c r="D1337" s="76" t="s">
        <v>39</v>
      </c>
      <c r="E1337" s="76" t="s">
        <v>22</v>
      </c>
      <c r="F1337" s="77">
        <v>45291</v>
      </c>
      <c r="G1337" s="76">
        <v>2023</v>
      </c>
      <c r="H1337" s="76" t="s">
        <v>27</v>
      </c>
      <c r="I1337" s="76" t="s">
        <v>32</v>
      </c>
      <c r="J1337" s="76">
        <v>100</v>
      </c>
      <c r="K1337" s="76">
        <v>98</v>
      </c>
      <c r="L1337" s="78">
        <f t="shared" si="158"/>
        <v>0.98</v>
      </c>
      <c r="M1337" s="78">
        <f t="shared" si="159"/>
        <v>0.98</v>
      </c>
      <c r="N1337" s="76" t="s">
        <v>25</v>
      </c>
      <c r="O1337" s="76" t="s">
        <v>25</v>
      </c>
      <c r="P1337" s="76">
        <v>0</v>
      </c>
      <c r="Q1337" s="76">
        <v>0</v>
      </c>
      <c r="R1337" s="76" t="s">
        <v>3052</v>
      </c>
      <c r="S1337" s="76"/>
    </row>
    <row r="1338" spans="1:19" x14ac:dyDescent="0.3">
      <c r="A1338" s="76" t="s">
        <v>3048</v>
      </c>
      <c r="B1338" s="76" t="s">
        <v>3049</v>
      </c>
      <c r="C1338" s="76" t="s">
        <v>1263</v>
      </c>
      <c r="D1338" s="76" t="s">
        <v>39</v>
      </c>
      <c r="E1338" s="76" t="s">
        <v>22</v>
      </c>
      <c r="F1338" s="77">
        <v>45473</v>
      </c>
      <c r="G1338" s="76">
        <v>2024</v>
      </c>
      <c r="H1338" s="76" t="s">
        <v>23</v>
      </c>
      <c r="I1338" s="76" t="s">
        <v>34</v>
      </c>
      <c r="J1338" s="76">
        <v>53.64</v>
      </c>
      <c r="K1338" s="76">
        <v>40</v>
      </c>
      <c r="L1338" s="78">
        <f t="shared" si="158"/>
        <v>0.74571215510812827</v>
      </c>
      <c r="M1338" s="78">
        <f t="shared" si="159"/>
        <v>0.74571215510812827</v>
      </c>
      <c r="N1338" s="76" t="s">
        <v>25</v>
      </c>
      <c r="O1338" s="76" t="s">
        <v>25</v>
      </c>
      <c r="P1338" s="76">
        <v>0</v>
      </c>
      <c r="Q1338" s="76">
        <v>0</v>
      </c>
      <c r="R1338" s="76" t="s">
        <v>3054</v>
      </c>
      <c r="S1338" s="76"/>
    </row>
    <row r="1339" spans="1:19" x14ac:dyDescent="0.3">
      <c r="A1339" s="76" t="s">
        <v>3048</v>
      </c>
      <c r="B1339" s="76" t="s">
        <v>3049</v>
      </c>
      <c r="C1339" s="76" t="s">
        <v>1263</v>
      </c>
      <c r="D1339" s="76" t="s">
        <v>39</v>
      </c>
      <c r="E1339" s="76" t="s">
        <v>22</v>
      </c>
      <c r="F1339" s="77">
        <v>45657</v>
      </c>
      <c r="G1339" s="76">
        <v>2024</v>
      </c>
      <c r="H1339" s="76" t="s">
        <v>27</v>
      </c>
      <c r="I1339" s="76" t="s">
        <v>36</v>
      </c>
      <c r="J1339" s="76">
        <v>100</v>
      </c>
      <c r="K1339" s="76">
        <v>95</v>
      </c>
      <c r="L1339" s="78">
        <f t="shared" si="158"/>
        <v>0.95</v>
      </c>
      <c r="M1339" s="78">
        <f t="shared" si="159"/>
        <v>0.95</v>
      </c>
      <c r="N1339" s="76" t="s">
        <v>25</v>
      </c>
      <c r="O1339" s="76" t="s">
        <v>25</v>
      </c>
      <c r="P1339" s="76">
        <v>0</v>
      </c>
      <c r="Q1339" s="76">
        <v>0</v>
      </c>
      <c r="R1339" s="76" t="s">
        <v>3056</v>
      </c>
      <c r="S1339" s="76"/>
    </row>
    <row r="1340" spans="1:19" x14ac:dyDescent="0.3">
      <c r="A1340" s="76" t="s">
        <v>3057</v>
      </c>
      <c r="B1340" s="76" t="s">
        <v>3058</v>
      </c>
      <c r="C1340" s="76" t="s">
        <v>1263</v>
      </c>
      <c r="D1340" s="76" t="s">
        <v>39</v>
      </c>
      <c r="E1340" s="76" t="s">
        <v>22</v>
      </c>
      <c r="F1340" s="77">
        <v>45107</v>
      </c>
      <c r="G1340" s="76">
        <v>2023</v>
      </c>
      <c r="H1340" s="76" t="s">
        <v>23</v>
      </c>
      <c r="I1340" s="76" t="s">
        <v>30</v>
      </c>
      <c r="J1340" s="76">
        <v>20</v>
      </c>
      <c r="K1340" s="76">
        <v>24</v>
      </c>
      <c r="L1340" s="78">
        <f t="shared" si="158"/>
        <v>1</v>
      </c>
      <c r="M1340" s="78">
        <f t="shared" si="159"/>
        <v>1</v>
      </c>
      <c r="N1340" s="76" t="s">
        <v>25</v>
      </c>
      <c r="O1340" s="76" t="s">
        <v>25</v>
      </c>
      <c r="P1340" s="76">
        <v>0</v>
      </c>
      <c r="Q1340" s="76">
        <v>0</v>
      </c>
      <c r="R1340" s="76" t="s">
        <v>3059</v>
      </c>
      <c r="S1340" s="76"/>
    </row>
    <row r="1341" spans="1:19" x14ac:dyDescent="0.3">
      <c r="A1341" s="76" t="s">
        <v>3057</v>
      </c>
      <c r="B1341" s="76" t="s">
        <v>3058</v>
      </c>
      <c r="C1341" s="76" t="s">
        <v>1263</v>
      </c>
      <c r="D1341" s="76" t="s">
        <v>39</v>
      </c>
      <c r="E1341" s="76" t="s">
        <v>22</v>
      </c>
      <c r="F1341" s="77">
        <v>45291</v>
      </c>
      <c r="G1341" s="76">
        <v>2023</v>
      </c>
      <c r="H1341" s="76" t="s">
        <v>27</v>
      </c>
      <c r="I1341" s="76" t="s">
        <v>32</v>
      </c>
      <c r="J1341" s="76">
        <v>100</v>
      </c>
      <c r="K1341" s="76">
        <v>100</v>
      </c>
      <c r="L1341" s="78">
        <f t="shared" si="158"/>
        <v>1</v>
      </c>
      <c r="M1341" s="78">
        <f t="shared" si="159"/>
        <v>1</v>
      </c>
      <c r="N1341" s="76" t="s">
        <v>25</v>
      </c>
      <c r="O1341" s="76" t="s">
        <v>25</v>
      </c>
      <c r="P1341" s="76">
        <v>0</v>
      </c>
      <c r="Q1341" s="76">
        <v>0</v>
      </c>
      <c r="R1341" s="76" t="s">
        <v>3061</v>
      </c>
      <c r="S1341" s="76"/>
    </row>
    <row r="1342" spans="1:19" x14ac:dyDescent="0.3">
      <c r="A1342" s="76" t="s">
        <v>3057</v>
      </c>
      <c r="B1342" s="76" t="s">
        <v>3058</v>
      </c>
      <c r="C1342" s="76" t="s">
        <v>1263</v>
      </c>
      <c r="D1342" s="76" t="s">
        <v>39</v>
      </c>
      <c r="E1342" s="76" t="s">
        <v>22</v>
      </c>
      <c r="F1342" s="77">
        <v>45473</v>
      </c>
      <c r="G1342" s="76">
        <v>2024</v>
      </c>
      <c r="H1342" s="76" t="s">
        <v>23</v>
      </c>
      <c r="I1342" s="76" t="s">
        <v>34</v>
      </c>
      <c r="J1342" s="76">
        <v>36.049999999999997</v>
      </c>
      <c r="K1342" s="76">
        <v>43.92</v>
      </c>
      <c r="L1342" s="78">
        <f t="shared" si="158"/>
        <v>1</v>
      </c>
      <c r="M1342" s="78">
        <f t="shared" si="159"/>
        <v>1</v>
      </c>
      <c r="N1342" s="76" t="s">
        <v>25</v>
      </c>
      <c r="O1342" s="76" t="s">
        <v>25</v>
      </c>
      <c r="P1342" s="76">
        <v>0</v>
      </c>
      <c r="Q1342" s="76">
        <v>0</v>
      </c>
      <c r="R1342" s="76" t="s">
        <v>3063</v>
      </c>
      <c r="S1342" s="76"/>
    </row>
    <row r="1343" spans="1:19" x14ac:dyDescent="0.3">
      <c r="A1343" s="76" t="s">
        <v>3057</v>
      </c>
      <c r="B1343" s="76" t="s">
        <v>3058</v>
      </c>
      <c r="C1343" s="76" t="s">
        <v>1263</v>
      </c>
      <c r="D1343" s="76" t="s">
        <v>39</v>
      </c>
      <c r="E1343" s="76" t="s">
        <v>22</v>
      </c>
      <c r="F1343" s="77">
        <v>45657</v>
      </c>
      <c r="G1343" s="76">
        <v>2024</v>
      </c>
      <c r="H1343" s="76" t="s">
        <v>27</v>
      </c>
      <c r="I1343" s="76" t="s">
        <v>36</v>
      </c>
      <c r="J1343" s="76">
        <v>100</v>
      </c>
      <c r="K1343" s="76">
        <v>100</v>
      </c>
      <c r="L1343" s="78">
        <f t="shared" si="158"/>
        <v>1</v>
      </c>
      <c r="M1343" s="78">
        <f t="shared" si="159"/>
        <v>1</v>
      </c>
      <c r="N1343" s="76" t="s">
        <v>25</v>
      </c>
      <c r="O1343" s="76" t="s">
        <v>25</v>
      </c>
      <c r="P1343" s="76">
        <v>0</v>
      </c>
      <c r="Q1343" s="76">
        <v>0</v>
      </c>
      <c r="R1343" s="76" t="s">
        <v>3065</v>
      </c>
      <c r="S1343" s="76"/>
    </row>
    <row r="1344" spans="1:19" x14ac:dyDescent="0.3">
      <c r="A1344" s="76" t="s">
        <v>3066</v>
      </c>
      <c r="B1344" s="76" t="s">
        <v>3067</v>
      </c>
      <c r="C1344" s="76" t="s">
        <v>1263</v>
      </c>
      <c r="D1344" s="76" t="s">
        <v>39</v>
      </c>
      <c r="E1344" s="76" t="s">
        <v>22</v>
      </c>
      <c r="F1344" s="77">
        <v>45107</v>
      </c>
      <c r="G1344" s="76">
        <v>2023</v>
      </c>
      <c r="H1344" s="76" t="s">
        <v>23</v>
      </c>
      <c r="I1344" s="76" t="s">
        <v>30</v>
      </c>
      <c r="J1344" s="76">
        <v>54</v>
      </c>
      <c r="K1344" s="76">
        <v>63</v>
      </c>
      <c r="L1344" s="78">
        <f t="shared" ref="L1344:L1374" si="160">IFERROR(IF(OR(J1344=0,K1344=""),"",IF(E1344="Positivo",MIN(MAX(K1344/J1344,0),1),MIN(MAX(J1344/K1344,0),1))),"")</f>
        <v>1</v>
      </c>
      <c r="M1344" s="78">
        <f t="shared" ref="M1344:M1374" si="161">IFERROR(IF(OR(J1344=0,K1344=""),"",IF(E1344="Positivo",MIN(MAX(K1344/J1344,0),1),MIN(MAX(J1344/K1344,0),1))),"")</f>
        <v>1</v>
      </c>
      <c r="N1344" s="76" t="s">
        <v>25</v>
      </c>
      <c r="O1344" s="76" t="s">
        <v>25</v>
      </c>
      <c r="P1344" s="76">
        <v>0</v>
      </c>
      <c r="Q1344" s="76">
        <v>0</v>
      </c>
      <c r="R1344" s="76" t="s">
        <v>3068</v>
      </c>
      <c r="S1344" s="76"/>
    </row>
    <row r="1345" spans="1:19" x14ac:dyDescent="0.3">
      <c r="A1345" s="76" t="s">
        <v>3066</v>
      </c>
      <c r="B1345" s="76" t="s">
        <v>3067</v>
      </c>
      <c r="C1345" s="76" t="s">
        <v>1263</v>
      </c>
      <c r="D1345" s="76" t="s">
        <v>39</v>
      </c>
      <c r="E1345" s="76" t="s">
        <v>22</v>
      </c>
      <c r="F1345" s="77">
        <v>45291</v>
      </c>
      <c r="G1345" s="76">
        <v>2023</v>
      </c>
      <c r="H1345" s="76" t="s">
        <v>27</v>
      </c>
      <c r="I1345" s="76" t="s">
        <v>32</v>
      </c>
      <c r="J1345" s="76">
        <v>100</v>
      </c>
      <c r="K1345" s="76">
        <v>90</v>
      </c>
      <c r="L1345" s="78">
        <f t="shared" si="160"/>
        <v>0.9</v>
      </c>
      <c r="M1345" s="78">
        <f t="shared" si="161"/>
        <v>0.9</v>
      </c>
      <c r="N1345" s="76" t="s">
        <v>25</v>
      </c>
      <c r="O1345" s="76" t="s">
        <v>25</v>
      </c>
      <c r="P1345" s="76">
        <v>0</v>
      </c>
      <c r="Q1345" s="76">
        <v>0</v>
      </c>
      <c r="R1345" s="76" t="s">
        <v>3070</v>
      </c>
      <c r="S1345" s="76"/>
    </row>
    <row r="1346" spans="1:19" x14ac:dyDescent="0.3">
      <c r="A1346" s="76" t="s">
        <v>3066</v>
      </c>
      <c r="B1346" s="76" t="s">
        <v>3067</v>
      </c>
      <c r="C1346" s="76" t="s">
        <v>1263</v>
      </c>
      <c r="D1346" s="76" t="s">
        <v>39</v>
      </c>
      <c r="E1346" s="76" t="s">
        <v>22</v>
      </c>
      <c r="F1346" s="77">
        <v>45473</v>
      </c>
      <c r="G1346" s="76">
        <v>2024</v>
      </c>
      <c r="H1346" s="76" t="s">
        <v>23</v>
      </c>
      <c r="I1346" s="76" t="s">
        <v>34</v>
      </c>
      <c r="J1346" s="76">
        <v>81.239999999999995</v>
      </c>
      <c r="K1346" s="76">
        <v>86.67</v>
      </c>
      <c r="L1346" s="78">
        <f t="shared" si="160"/>
        <v>1</v>
      </c>
      <c r="M1346" s="78">
        <f t="shared" si="161"/>
        <v>1</v>
      </c>
      <c r="N1346" s="76" t="s">
        <v>25</v>
      </c>
      <c r="O1346" s="76" t="s">
        <v>25</v>
      </c>
      <c r="P1346" s="76">
        <v>0</v>
      </c>
      <c r="Q1346" s="76">
        <v>0</v>
      </c>
      <c r="R1346" s="76" t="s">
        <v>3072</v>
      </c>
      <c r="S1346" s="76"/>
    </row>
    <row r="1347" spans="1:19" x14ac:dyDescent="0.3">
      <c r="A1347" s="76" t="s">
        <v>3066</v>
      </c>
      <c r="B1347" s="76" t="s">
        <v>3067</v>
      </c>
      <c r="C1347" s="76" t="s">
        <v>1263</v>
      </c>
      <c r="D1347" s="76" t="s">
        <v>39</v>
      </c>
      <c r="E1347" s="76" t="s">
        <v>22</v>
      </c>
      <c r="F1347" s="77">
        <v>45657</v>
      </c>
      <c r="G1347" s="76">
        <v>2024</v>
      </c>
      <c r="H1347" s="76" t="s">
        <v>27</v>
      </c>
      <c r="I1347" s="76" t="s">
        <v>36</v>
      </c>
      <c r="J1347" s="76">
        <v>100</v>
      </c>
      <c r="K1347" s="76">
        <v>100</v>
      </c>
      <c r="L1347" s="78">
        <f t="shared" si="160"/>
        <v>1</v>
      </c>
      <c r="M1347" s="78">
        <f t="shared" si="161"/>
        <v>1</v>
      </c>
      <c r="N1347" s="76" t="s">
        <v>25</v>
      </c>
      <c r="O1347" s="76" t="s">
        <v>25</v>
      </c>
      <c r="P1347" s="76">
        <v>0</v>
      </c>
      <c r="Q1347" s="76">
        <v>0</v>
      </c>
      <c r="R1347" s="76" t="s">
        <v>3074</v>
      </c>
      <c r="S1347" s="76"/>
    </row>
    <row r="1348" spans="1:19" x14ac:dyDescent="0.3">
      <c r="A1348" s="76" t="s">
        <v>3075</v>
      </c>
      <c r="B1348" s="76" t="s">
        <v>3076</v>
      </c>
      <c r="C1348" s="76" t="s">
        <v>1263</v>
      </c>
      <c r="D1348" s="76" t="s">
        <v>39</v>
      </c>
      <c r="E1348" s="76" t="s">
        <v>22</v>
      </c>
      <c r="F1348" s="77">
        <v>45291</v>
      </c>
      <c r="G1348" s="76">
        <v>2023</v>
      </c>
      <c r="H1348" s="76" t="s">
        <v>27</v>
      </c>
      <c r="I1348" s="76" t="s">
        <v>32</v>
      </c>
      <c r="J1348" s="76">
        <v>0</v>
      </c>
      <c r="K1348" s="76">
        <v>0</v>
      </c>
      <c r="L1348" s="78" t="str">
        <f t="shared" si="160"/>
        <v/>
      </c>
      <c r="M1348" s="78" t="str">
        <f t="shared" si="161"/>
        <v/>
      </c>
      <c r="N1348" s="76" t="s">
        <v>25</v>
      </c>
      <c r="O1348" s="76" t="s">
        <v>25</v>
      </c>
      <c r="P1348" s="76">
        <v>0</v>
      </c>
      <c r="Q1348" s="76">
        <v>0</v>
      </c>
      <c r="R1348" s="76" t="s">
        <v>3077</v>
      </c>
      <c r="S1348" s="76"/>
    </row>
    <row r="1349" spans="1:19" x14ac:dyDescent="0.3">
      <c r="A1349" s="76" t="s">
        <v>3075</v>
      </c>
      <c r="B1349" s="76" t="s">
        <v>3076</v>
      </c>
      <c r="C1349" s="76" t="s">
        <v>1263</v>
      </c>
      <c r="D1349" s="76" t="s">
        <v>39</v>
      </c>
      <c r="E1349" s="76" t="s">
        <v>22</v>
      </c>
      <c r="F1349" s="77">
        <v>45473</v>
      </c>
      <c r="G1349" s="76">
        <v>2024</v>
      </c>
      <c r="H1349" s="76" t="s">
        <v>23</v>
      </c>
      <c r="I1349" s="76" t="s">
        <v>34</v>
      </c>
      <c r="J1349" s="76">
        <v>46.98</v>
      </c>
      <c r="K1349" s="76">
        <v>57.83</v>
      </c>
      <c r="L1349" s="78">
        <f t="shared" si="160"/>
        <v>1</v>
      </c>
      <c r="M1349" s="78">
        <f t="shared" si="161"/>
        <v>1</v>
      </c>
      <c r="N1349" s="76" t="s">
        <v>25</v>
      </c>
      <c r="O1349" s="76" t="s">
        <v>25</v>
      </c>
      <c r="P1349" s="76">
        <v>0</v>
      </c>
      <c r="Q1349" s="76">
        <v>0</v>
      </c>
      <c r="R1349" s="76" t="s">
        <v>3079</v>
      </c>
      <c r="S1349" s="76"/>
    </row>
    <row r="1350" spans="1:19" x14ac:dyDescent="0.3">
      <c r="A1350" s="76" t="s">
        <v>3075</v>
      </c>
      <c r="B1350" s="76" t="s">
        <v>3076</v>
      </c>
      <c r="C1350" s="76" t="s">
        <v>1263</v>
      </c>
      <c r="D1350" s="76" t="s">
        <v>39</v>
      </c>
      <c r="E1350" s="76" t="s">
        <v>22</v>
      </c>
      <c r="F1350" s="77">
        <v>45657</v>
      </c>
      <c r="G1350" s="76">
        <v>2024</v>
      </c>
      <c r="H1350" s="76" t="s">
        <v>27</v>
      </c>
      <c r="I1350" s="76" t="s">
        <v>36</v>
      </c>
      <c r="J1350" s="76">
        <v>100</v>
      </c>
      <c r="K1350" s="76">
        <v>97</v>
      </c>
      <c r="L1350" s="78">
        <f t="shared" si="160"/>
        <v>0.97</v>
      </c>
      <c r="M1350" s="78">
        <f t="shared" si="161"/>
        <v>0.97</v>
      </c>
      <c r="N1350" s="76" t="s">
        <v>25</v>
      </c>
      <c r="O1350" s="76" t="s">
        <v>25</v>
      </c>
      <c r="P1350" s="76">
        <v>0</v>
      </c>
      <c r="Q1350" s="76">
        <v>0</v>
      </c>
      <c r="R1350" s="76" t="s">
        <v>3081</v>
      </c>
      <c r="S1350" s="76"/>
    </row>
    <row r="1351" spans="1:19" x14ac:dyDescent="0.3">
      <c r="A1351" s="76" t="s">
        <v>3082</v>
      </c>
      <c r="B1351" s="76" t="s">
        <v>3083</v>
      </c>
      <c r="C1351" s="76" t="s">
        <v>1263</v>
      </c>
      <c r="D1351" s="76" t="s">
        <v>39</v>
      </c>
      <c r="E1351" s="76" t="s">
        <v>22</v>
      </c>
      <c r="F1351" s="77">
        <v>45473</v>
      </c>
      <c r="G1351" s="76">
        <v>2024</v>
      </c>
      <c r="H1351" s="76" t="s">
        <v>23</v>
      </c>
      <c r="I1351" s="76" t="s">
        <v>34</v>
      </c>
      <c r="J1351" s="76">
        <v>53.64</v>
      </c>
      <c r="K1351" s="76">
        <v>48.5</v>
      </c>
      <c r="L1351" s="78">
        <f t="shared" si="160"/>
        <v>0.90417598806860555</v>
      </c>
      <c r="M1351" s="78">
        <f t="shared" si="161"/>
        <v>0.90417598806860555</v>
      </c>
      <c r="N1351" s="76" t="s">
        <v>25</v>
      </c>
      <c r="O1351" s="76" t="s">
        <v>25</v>
      </c>
      <c r="P1351" s="76">
        <v>0</v>
      </c>
      <c r="Q1351" s="76">
        <v>0</v>
      </c>
      <c r="R1351" s="76" t="s">
        <v>3085</v>
      </c>
      <c r="S1351" s="76"/>
    </row>
    <row r="1352" spans="1:19" x14ac:dyDescent="0.3">
      <c r="A1352" s="76" t="s">
        <v>3082</v>
      </c>
      <c r="B1352" s="76" t="s">
        <v>3083</v>
      </c>
      <c r="C1352" s="76" t="s">
        <v>1263</v>
      </c>
      <c r="D1352" s="76" t="s">
        <v>39</v>
      </c>
      <c r="E1352" s="76" t="s">
        <v>22</v>
      </c>
      <c r="F1352" s="77">
        <v>45657</v>
      </c>
      <c r="G1352" s="76">
        <v>2024</v>
      </c>
      <c r="H1352" s="76" t="s">
        <v>27</v>
      </c>
      <c r="I1352" s="76" t="s">
        <v>36</v>
      </c>
      <c r="J1352" s="76">
        <v>100</v>
      </c>
      <c r="K1352" s="76">
        <v>100</v>
      </c>
      <c r="L1352" s="78">
        <f t="shared" si="160"/>
        <v>1</v>
      </c>
      <c r="M1352" s="78">
        <f t="shared" si="161"/>
        <v>1</v>
      </c>
      <c r="N1352" s="76" t="s">
        <v>25</v>
      </c>
      <c r="O1352" s="76" t="s">
        <v>25</v>
      </c>
      <c r="P1352" s="76">
        <v>0</v>
      </c>
      <c r="Q1352" s="76">
        <v>0</v>
      </c>
      <c r="R1352" s="76" t="s">
        <v>3087</v>
      </c>
      <c r="S1352" s="76"/>
    </row>
    <row r="1353" spans="1:19" x14ac:dyDescent="0.3">
      <c r="A1353" s="76" t="s">
        <v>3088</v>
      </c>
      <c r="B1353" s="76" t="s">
        <v>3089</v>
      </c>
      <c r="C1353" s="76" t="s">
        <v>1263</v>
      </c>
      <c r="D1353" s="76" t="s">
        <v>39</v>
      </c>
      <c r="E1353" s="76" t="s">
        <v>22</v>
      </c>
      <c r="F1353" s="77">
        <v>45473</v>
      </c>
      <c r="G1353" s="76">
        <v>2024</v>
      </c>
      <c r="H1353" s="76" t="s">
        <v>23</v>
      </c>
      <c r="I1353" s="76" t="s">
        <v>34</v>
      </c>
      <c r="J1353" s="76">
        <v>64.53</v>
      </c>
      <c r="K1353" s="76">
        <v>54.67</v>
      </c>
      <c r="L1353" s="78">
        <f t="shared" si="160"/>
        <v>0.84720285138695184</v>
      </c>
      <c r="M1353" s="78">
        <f t="shared" si="161"/>
        <v>0.84720285138695184</v>
      </c>
      <c r="N1353" s="76" t="s">
        <v>25</v>
      </c>
      <c r="O1353" s="76" t="s">
        <v>25</v>
      </c>
      <c r="P1353" s="76">
        <v>0</v>
      </c>
      <c r="Q1353" s="76">
        <v>0</v>
      </c>
      <c r="R1353" s="76" t="s">
        <v>3091</v>
      </c>
      <c r="S1353" s="76"/>
    </row>
    <row r="1354" spans="1:19" x14ac:dyDescent="0.3">
      <c r="A1354" s="76" t="s">
        <v>3088</v>
      </c>
      <c r="B1354" s="76" t="s">
        <v>3089</v>
      </c>
      <c r="C1354" s="76" t="s">
        <v>1263</v>
      </c>
      <c r="D1354" s="76" t="s">
        <v>39</v>
      </c>
      <c r="E1354" s="76" t="s">
        <v>22</v>
      </c>
      <c r="F1354" s="77">
        <v>45657</v>
      </c>
      <c r="G1354" s="76">
        <v>2024</v>
      </c>
      <c r="H1354" s="76" t="s">
        <v>27</v>
      </c>
      <c r="I1354" s="76" t="s">
        <v>36</v>
      </c>
      <c r="J1354" s="76">
        <v>100</v>
      </c>
      <c r="K1354" s="76">
        <v>94</v>
      </c>
      <c r="L1354" s="78">
        <f t="shared" si="160"/>
        <v>0.94</v>
      </c>
      <c r="M1354" s="78">
        <f t="shared" si="161"/>
        <v>0.94</v>
      </c>
      <c r="N1354" s="76" t="s">
        <v>25</v>
      </c>
      <c r="O1354" s="76" t="s">
        <v>25</v>
      </c>
      <c r="P1354" s="76">
        <v>0</v>
      </c>
      <c r="Q1354" s="76">
        <v>0</v>
      </c>
      <c r="R1354" s="76" t="s">
        <v>3093</v>
      </c>
      <c r="S1354" s="76"/>
    </row>
    <row r="1355" spans="1:19" x14ac:dyDescent="0.3">
      <c r="A1355" s="76" t="s">
        <v>3094</v>
      </c>
      <c r="B1355" s="76" t="s">
        <v>3095</v>
      </c>
      <c r="C1355" s="76" t="s">
        <v>1263</v>
      </c>
      <c r="D1355" s="76" t="s">
        <v>39</v>
      </c>
      <c r="E1355" s="76" t="s">
        <v>22</v>
      </c>
      <c r="F1355" s="77">
        <v>45107</v>
      </c>
      <c r="G1355" s="76">
        <v>2023</v>
      </c>
      <c r="H1355" s="76" t="s">
        <v>23</v>
      </c>
      <c r="I1355" s="76" t="s">
        <v>30</v>
      </c>
      <c r="J1355" s="76">
        <v>63</v>
      </c>
      <c r="K1355" s="76">
        <v>62</v>
      </c>
      <c r="L1355" s="78">
        <f t="shared" si="160"/>
        <v>0.98412698412698407</v>
      </c>
      <c r="M1355" s="78">
        <f t="shared" si="161"/>
        <v>0.98412698412698407</v>
      </c>
      <c r="N1355" s="76" t="s">
        <v>25</v>
      </c>
      <c r="O1355" s="76" t="s">
        <v>25</v>
      </c>
      <c r="P1355" s="76">
        <v>0</v>
      </c>
      <c r="Q1355" s="76">
        <v>0</v>
      </c>
      <c r="R1355" s="76" t="s">
        <v>3096</v>
      </c>
      <c r="S1355" s="76"/>
    </row>
    <row r="1356" spans="1:19" x14ac:dyDescent="0.3">
      <c r="A1356" s="76" t="s">
        <v>3094</v>
      </c>
      <c r="B1356" s="76" t="s">
        <v>3095</v>
      </c>
      <c r="C1356" s="76" t="s">
        <v>1263</v>
      </c>
      <c r="D1356" s="76" t="s">
        <v>39</v>
      </c>
      <c r="E1356" s="76" t="s">
        <v>22</v>
      </c>
      <c r="F1356" s="77">
        <v>45291</v>
      </c>
      <c r="G1356" s="76">
        <v>2023</v>
      </c>
      <c r="H1356" s="76" t="s">
        <v>27</v>
      </c>
      <c r="I1356" s="76" t="s">
        <v>32</v>
      </c>
      <c r="J1356" s="76">
        <v>100</v>
      </c>
      <c r="K1356" s="76">
        <v>100</v>
      </c>
      <c r="L1356" s="78">
        <f t="shared" si="160"/>
        <v>1</v>
      </c>
      <c r="M1356" s="78">
        <f t="shared" si="161"/>
        <v>1</v>
      </c>
      <c r="N1356" s="76" t="s">
        <v>25</v>
      </c>
      <c r="O1356" s="76" t="s">
        <v>25</v>
      </c>
      <c r="P1356" s="76">
        <v>0</v>
      </c>
      <c r="Q1356" s="76">
        <v>0</v>
      </c>
      <c r="R1356" s="76" t="s">
        <v>3098</v>
      </c>
      <c r="S1356" s="76"/>
    </row>
    <row r="1357" spans="1:19" x14ac:dyDescent="0.3">
      <c r="A1357" s="76" t="s">
        <v>3094</v>
      </c>
      <c r="B1357" s="76" t="s">
        <v>3095</v>
      </c>
      <c r="C1357" s="76" t="s">
        <v>1263</v>
      </c>
      <c r="D1357" s="76" t="s">
        <v>39</v>
      </c>
      <c r="E1357" s="76" t="s">
        <v>22</v>
      </c>
      <c r="F1357" s="77">
        <v>45473</v>
      </c>
      <c r="G1357" s="76">
        <v>2024</v>
      </c>
      <c r="H1357" s="76" t="s">
        <v>23</v>
      </c>
      <c r="I1357" s="76" t="s">
        <v>34</v>
      </c>
      <c r="J1357" s="76">
        <v>60.93</v>
      </c>
      <c r="K1357" s="76">
        <v>61.45</v>
      </c>
      <c r="L1357" s="78">
        <f t="shared" si="160"/>
        <v>1</v>
      </c>
      <c r="M1357" s="78">
        <f t="shared" si="161"/>
        <v>1</v>
      </c>
      <c r="N1357" s="76" t="s">
        <v>25</v>
      </c>
      <c r="O1357" s="76" t="s">
        <v>25</v>
      </c>
      <c r="P1357" s="76">
        <v>0</v>
      </c>
      <c r="Q1357" s="76">
        <v>0</v>
      </c>
      <c r="R1357" s="76" t="s">
        <v>3100</v>
      </c>
      <c r="S1357" s="76"/>
    </row>
    <row r="1358" spans="1:19" x14ac:dyDescent="0.3">
      <c r="A1358" s="76" t="s">
        <v>3094</v>
      </c>
      <c r="B1358" s="76" t="s">
        <v>3095</v>
      </c>
      <c r="C1358" s="76" t="s">
        <v>1263</v>
      </c>
      <c r="D1358" s="76" t="s">
        <v>39</v>
      </c>
      <c r="E1358" s="76" t="s">
        <v>22</v>
      </c>
      <c r="F1358" s="77">
        <v>45657</v>
      </c>
      <c r="G1358" s="76">
        <v>2024</v>
      </c>
      <c r="H1358" s="76" t="s">
        <v>27</v>
      </c>
      <c r="I1358" s="76" t="s">
        <v>36</v>
      </c>
      <c r="J1358" s="76">
        <v>100</v>
      </c>
      <c r="K1358" s="76">
        <v>100</v>
      </c>
      <c r="L1358" s="78">
        <f t="shared" si="160"/>
        <v>1</v>
      </c>
      <c r="M1358" s="78">
        <f t="shared" si="161"/>
        <v>1</v>
      </c>
      <c r="N1358" s="76" t="s">
        <v>25</v>
      </c>
      <c r="O1358" s="76" t="s">
        <v>25</v>
      </c>
      <c r="P1358" s="76">
        <v>0</v>
      </c>
      <c r="Q1358" s="76">
        <v>0</v>
      </c>
      <c r="R1358" s="76" t="s">
        <v>3102</v>
      </c>
      <c r="S1358" s="76"/>
    </row>
    <row r="1359" spans="1:19" x14ac:dyDescent="0.3">
      <c r="A1359" s="76" t="s">
        <v>3103</v>
      </c>
      <c r="B1359" s="76" t="s">
        <v>3104</v>
      </c>
      <c r="C1359" s="76" t="s">
        <v>1263</v>
      </c>
      <c r="D1359" s="76" t="s">
        <v>39</v>
      </c>
      <c r="E1359" s="76" t="s">
        <v>22</v>
      </c>
      <c r="F1359" s="77">
        <v>45107</v>
      </c>
      <c r="G1359" s="76">
        <v>2023</v>
      </c>
      <c r="H1359" s="76" t="s">
        <v>23</v>
      </c>
      <c r="I1359" s="76" t="s">
        <v>30</v>
      </c>
      <c r="J1359" s="76">
        <v>78</v>
      </c>
      <c r="K1359" s="76">
        <v>73</v>
      </c>
      <c r="L1359" s="78">
        <f t="shared" si="160"/>
        <v>0.9358974358974359</v>
      </c>
      <c r="M1359" s="78">
        <f t="shared" si="161"/>
        <v>0.9358974358974359</v>
      </c>
      <c r="N1359" s="76" t="s">
        <v>25</v>
      </c>
      <c r="O1359" s="76" t="s">
        <v>25</v>
      </c>
      <c r="P1359" s="76">
        <v>0</v>
      </c>
      <c r="Q1359" s="76">
        <v>0</v>
      </c>
      <c r="R1359" s="76" t="s">
        <v>3105</v>
      </c>
      <c r="S1359" s="76"/>
    </row>
    <row r="1360" spans="1:19" x14ac:dyDescent="0.3">
      <c r="A1360" s="76" t="s">
        <v>3103</v>
      </c>
      <c r="B1360" s="76" t="s">
        <v>3104</v>
      </c>
      <c r="C1360" s="76" t="s">
        <v>1263</v>
      </c>
      <c r="D1360" s="76" t="s">
        <v>39</v>
      </c>
      <c r="E1360" s="76" t="s">
        <v>22</v>
      </c>
      <c r="F1360" s="77">
        <v>45291</v>
      </c>
      <c r="G1360" s="76">
        <v>2023</v>
      </c>
      <c r="H1360" s="76" t="s">
        <v>27</v>
      </c>
      <c r="I1360" s="76" t="s">
        <v>32</v>
      </c>
      <c r="J1360" s="76">
        <v>100</v>
      </c>
      <c r="K1360" s="76">
        <v>96</v>
      </c>
      <c r="L1360" s="78">
        <f t="shared" si="160"/>
        <v>0.96</v>
      </c>
      <c r="M1360" s="78">
        <f t="shared" si="161"/>
        <v>0.96</v>
      </c>
      <c r="N1360" s="76" t="s">
        <v>25</v>
      </c>
      <c r="O1360" s="76" t="s">
        <v>25</v>
      </c>
      <c r="P1360" s="76">
        <v>0</v>
      </c>
      <c r="Q1360" s="76">
        <v>0</v>
      </c>
      <c r="R1360" s="76" t="s">
        <v>3107</v>
      </c>
      <c r="S1360" s="76"/>
    </row>
    <row r="1361" spans="1:19" x14ac:dyDescent="0.3">
      <c r="A1361" s="76" t="s">
        <v>3103</v>
      </c>
      <c r="B1361" s="76" t="s">
        <v>3104</v>
      </c>
      <c r="C1361" s="76" t="s">
        <v>1263</v>
      </c>
      <c r="D1361" s="76" t="s">
        <v>39</v>
      </c>
      <c r="E1361" s="76" t="s">
        <v>22</v>
      </c>
      <c r="F1361" s="77">
        <v>45473</v>
      </c>
      <c r="G1361" s="76">
        <v>2024</v>
      </c>
      <c r="H1361" s="76" t="s">
        <v>23</v>
      </c>
      <c r="I1361" s="76" t="s">
        <v>34</v>
      </c>
      <c r="J1361" s="76">
        <v>42.89</v>
      </c>
      <c r="K1361" s="76">
        <v>41.67</v>
      </c>
      <c r="L1361" s="78">
        <f t="shared" si="160"/>
        <v>0.97155514105852181</v>
      </c>
      <c r="M1361" s="78">
        <f t="shared" si="161"/>
        <v>0.97155514105852181</v>
      </c>
      <c r="N1361" s="76" t="s">
        <v>25</v>
      </c>
      <c r="O1361" s="76" t="s">
        <v>25</v>
      </c>
      <c r="P1361" s="76">
        <v>0</v>
      </c>
      <c r="Q1361" s="76">
        <v>0</v>
      </c>
      <c r="R1361" s="76" t="s">
        <v>3109</v>
      </c>
      <c r="S1361" s="76"/>
    </row>
    <row r="1362" spans="1:19" x14ac:dyDescent="0.3">
      <c r="A1362" s="76" t="s">
        <v>3103</v>
      </c>
      <c r="B1362" s="76" t="s">
        <v>3104</v>
      </c>
      <c r="C1362" s="76" t="s">
        <v>1263</v>
      </c>
      <c r="D1362" s="76" t="s">
        <v>39</v>
      </c>
      <c r="E1362" s="76" t="s">
        <v>22</v>
      </c>
      <c r="F1362" s="77">
        <v>45657</v>
      </c>
      <c r="G1362" s="76">
        <v>2024</v>
      </c>
      <c r="H1362" s="76" t="s">
        <v>27</v>
      </c>
      <c r="I1362" s="76" t="s">
        <v>36</v>
      </c>
      <c r="J1362" s="76">
        <v>100</v>
      </c>
      <c r="K1362" s="76">
        <v>100</v>
      </c>
      <c r="L1362" s="78">
        <f t="shared" si="160"/>
        <v>1</v>
      </c>
      <c r="M1362" s="78">
        <f t="shared" si="161"/>
        <v>1</v>
      </c>
      <c r="N1362" s="76" t="s">
        <v>25</v>
      </c>
      <c r="O1362" s="76" t="s">
        <v>25</v>
      </c>
      <c r="P1362" s="76">
        <v>0</v>
      </c>
      <c r="Q1362" s="76">
        <v>0</v>
      </c>
      <c r="R1362" s="76" t="s">
        <v>3111</v>
      </c>
      <c r="S1362" s="76"/>
    </row>
    <row r="1363" spans="1:19" x14ac:dyDescent="0.3">
      <c r="A1363" s="76" t="s">
        <v>3112</v>
      </c>
      <c r="B1363" s="76" t="s">
        <v>3113</v>
      </c>
      <c r="C1363" s="76" t="s">
        <v>1263</v>
      </c>
      <c r="D1363" s="76" t="s">
        <v>39</v>
      </c>
      <c r="E1363" s="76" t="s">
        <v>22</v>
      </c>
      <c r="F1363" s="77">
        <v>45473</v>
      </c>
      <c r="G1363" s="76">
        <v>2024</v>
      </c>
      <c r="H1363" s="76" t="s">
        <v>23</v>
      </c>
      <c r="I1363" s="76" t="s">
        <v>34</v>
      </c>
      <c r="J1363" s="76">
        <v>42.15</v>
      </c>
      <c r="K1363" s="76">
        <v>90</v>
      </c>
      <c r="L1363" s="78">
        <f t="shared" si="160"/>
        <v>1</v>
      </c>
      <c r="M1363" s="78">
        <f t="shared" si="161"/>
        <v>1</v>
      </c>
      <c r="N1363" s="76" t="s">
        <v>25</v>
      </c>
      <c r="O1363" s="76" t="s">
        <v>25</v>
      </c>
      <c r="P1363" s="76">
        <v>0</v>
      </c>
      <c r="Q1363" s="76">
        <v>0</v>
      </c>
      <c r="R1363" s="76" t="s">
        <v>3115</v>
      </c>
      <c r="S1363" s="76"/>
    </row>
    <row r="1364" spans="1:19" x14ac:dyDescent="0.3">
      <c r="A1364" s="76" t="s">
        <v>3112</v>
      </c>
      <c r="B1364" s="76" t="s">
        <v>3113</v>
      </c>
      <c r="C1364" s="76" t="s">
        <v>1263</v>
      </c>
      <c r="D1364" s="76" t="s">
        <v>39</v>
      </c>
      <c r="E1364" s="76" t="s">
        <v>22</v>
      </c>
      <c r="F1364" s="77">
        <v>45657</v>
      </c>
      <c r="G1364" s="76">
        <v>2024</v>
      </c>
      <c r="H1364" s="76" t="s">
        <v>27</v>
      </c>
      <c r="I1364" s="76" t="s">
        <v>36</v>
      </c>
      <c r="J1364" s="76">
        <v>100</v>
      </c>
      <c r="K1364" s="76">
        <v>100</v>
      </c>
      <c r="L1364" s="78">
        <f t="shared" si="160"/>
        <v>1</v>
      </c>
      <c r="M1364" s="78">
        <f t="shared" si="161"/>
        <v>1</v>
      </c>
      <c r="N1364" s="76" t="s">
        <v>25</v>
      </c>
      <c r="O1364" s="76" t="s">
        <v>25</v>
      </c>
      <c r="P1364" s="76">
        <v>0</v>
      </c>
      <c r="Q1364" s="76">
        <v>0</v>
      </c>
      <c r="R1364" s="76" t="s">
        <v>3117</v>
      </c>
      <c r="S1364" s="76"/>
    </row>
    <row r="1365" spans="1:19" x14ac:dyDescent="0.3">
      <c r="A1365" s="76" t="s">
        <v>3118</v>
      </c>
      <c r="B1365" s="76" t="s">
        <v>3119</v>
      </c>
      <c r="C1365" s="76" t="s">
        <v>1263</v>
      </c>
      <c r="D1365" s="76" t="s">
        <v>39</v>
      </c>
      <c r="E1365" s="76" t="s">
        <v>22</v>
      </c>
      <c r="F1365" s="77">
        <v>45473</v>
      </c>
      <c r="G1365" s="76">
        <v>2024</v>
      </c>
      <c r="H1365" s="76" t="s">
        <v>23</v>
      </c>
      <c r="I1365" s="76" t="s">
        <v>34</v>
      </c>
      <c r="J1365" s="76">
        <v>58.9</v>
      </c>
      <c r="K1365" s="76">
        <v>60</v>
      </c>
      <c r="L1365" s="78">
        <f t="shared" si="160"/>
        <v>1</v>
      </c>
      <c r="M1365" s="78">
        <f t="shared" si="161"/>
        <v>1</v>
      </c>
      <c r="N1365" s="76" t="s">
        <v>25</v>
      </c>
      <c r="O1365" s="76" t="s">
        <v>25</v>
      </c>
      <c r="P1365" s="76">
        <v>0</v>
      </c>
      <c r="Q1365" s="76">
        <v>0</v>
      </c>
      <c r="R1365" s="76" t="s">
        <v>3121</v>
      </c>
      <c r="S1365" s="76"/>
    </row>
    <row r="1366" spans="1:19" x14ac:dyDescent="0.3">
      <c r="A1366" s="76" t="s">
        <v>3118</v>
      </c>
      <c r="B1366" s="76" t="s">
        <v>3119</v>
      </c>
      <c r="C1366" s="76" t="s">
        <v>1263</v>
      </c>
      <c r="D1366" s="76" t="s">
        <v>39</v>
      </c>
      <c r="E1366" s="76" t="s">
        <v>22</v>
      </c>
      <c r="F1366" s="77">
        <v>45657</v>
      </c>
      <c r="G1366" s="76">
        <v>2024</v>
      </c>
      <c r="H1366" s="76" t="s">
        <v>27</v>
      </c>
      <c r="I1366" s="76" t="s">
        <v>36</v>
      </c>
      <c r="J1366" s="76">
        <v>100</v>
      </c>
      <c r="K1366" s="76">
        <v>100</v>
      </c>
      <c r="L1366" s="78">
        <f t="shared" si="160"/>
        <v>1</v>
      </c>
      <c r="M1366" s="78">
        <f t="shared" si="161"/>
        <v>1</v>
      </c>
      <c r="N1366" s="76" t="s">
        <v>25</v>
      </c>
      <c r="O1366" s="76" t="s">
        <v>25</v>
      </c>
      <c r="P1366" s="76">
        <v>0</v>
      </c>
      <c r="Q1366" s="76">
        <v>0</v>
      </c>
      <c r="R1366" s="76" t="s">
        <v>3123</v>
      </c>
      <c r="S1366" s="76"/>
    </row>
    <row r="1367" spans="1:19" x14ac:dyDescent="0.3">
      <c r="A1367" s="76" t="s">
        <v>3124</v>
      </c>
      <c r="B1367" s="76" t="s">
        <v>3125</v>
      </c>
      <c r="C1367" s="76" t="s">
        <v>1263</v>
      </c>
      <c r="D1367" s="76" t="s">
        <v>39</v>
      </c>
      <c r="E1367" s="76" t="s">
        <v>22</v>
      </c>
      <c r="F1367" s="77">
        <v>45473</v>
      </c>
      <c r="G1367" s="76">
        <v>2024</v>
      </c>
      <c r="H1367" s="76" t="s">
        <v>23</v>
      </c>
      <c r="I1367" s="76" t="s">
        <v>34</v>
      </c>
      <c r="J1367" s="76">
        <v>36.28</v>
      </c>
      <c r="K1367" s="76">
        <v>35</v>
      </c>
      <c r="L1367" s="78">
        <f t="shared" si="160"/>
        <v>0.96471885336273422</v>
      </c>
      <c r="M1367" s="78">
        <f t="shared" si="161"/>
        <v>0.96471885336273422</v>
      </c>
      <c r="N1367" s="76" t="s">
        <v>25</v>
      </c>
      <c r="O1367" s="76" t="s">
        <v>25</v>
      </c>
      <c r="P1367" s="76">
        <v>0</v>
      </c>
      <c r="Q1367" s="76">
        <v>0</v>
      </c>
      <c r="R1367" s="76" t="s">
        <v>3127</v>
      </c>
      <c r="S1367" s="76"/>
    </row>
    <row r="1368" spans="1:19" x14ac:dyDescent="0.3">
      <c r="A1368" s="76" t="s">
        <v>3124</v>
      </c>
      <c r="B1368" s="76" t="s">
        <v>3125</v>
      </c>
      <c r="C1368" s="76" t="s">
        <v>1263</v>
      </c>
      <c r="D1368" s="76" t="s">
        <v>39</v>
      </c>
      <c r="E1368" s="76" t="s">
        <v>22</v>
      </c>
      <c r="F1368" s="77">
        <v>45657</v>
      </c>
      <c r="G1368" s="76">
        <v>2024</v>
      </c>
      <c r="H1368" s="76" t="s">
        <v>27</v>
      </c>
      <c r="I1368" s="76" t="s">
        <v>36</v>
      </c>
      <c r="J1368" s="76">
        <v>100</v>
      </c>
      <c r="K1368" s="76">
        <v>100</v>
      </c>
      <c r="L1368" s="78">
        <f t="shared" si="160"/>
        <v>1</v>
      </c>
      <c r="M1368" s="78">
        <f t="shared" si="161"/>
        <v>1</v>
      </c>
      <c r="N1368" s="76" t="s">
        <v>25</v>
      </c>
      <c r="O1368" s="76" t="s">
        <v>25</v>
      </c>
      <c r="P1368" s="76">
        <v>0</v>
      </c>
      <c r="Q1368" s="76">
        <v>0</v>
      </c>
      <c r="R1368" s="76" t="s">
        <v>3129</v>
      </c>
      <c r="S1368" s="76"/>
    </row>
    <row r="1369" spans="1:19" x14ac:dyDescent="0.3">
      <c r="A1369" s="76" t="s">
        <v>3130</v>
      </c>
      <c r="B1369" s="76" t="s">
        <v>3131</v>
      </c>
      <c r="C1369" s="76" t="s">
        <v>1263</v>
      </c>
      <c r="D1369" s="76" t="s">
        <v>39</v>
      </c>
      <c r="E1369" s="76" t="s">
        <v>22</v>
      </c>
      <c r="F1369" s="77">
        <v>45473</v>
      </c>
      <c r="G1369" s="76">
        <v>2024</v>
      </c>
      <c r="H1369" s="76" t="s">
        <v>23</v>
      </c>
      <c r="I1369" s="76" t="s">
        <v>34</v>
      </c>
      <c r="J1369" s="76">
        <v>57.55</v>
      </c>
      <c r="K1369" s="76">
        <v>61.67</v>
      </c>
      <c r="L1369" s="78">
        <f t="shared" si="160"/>
        <v>1</v>
      </c>
      <c r="M1369" s="78">
        <f t="shared" si="161"/>
        <v>1</v>
      </c>
      <c r="N1369" s="76" t="s">
        <v>25</v>
      </c>
      <c r="O1369" s="76" t="s">
        <v>25</v>
      </c>
      <c r="P1369" s="76">
        <v>0</v>
      </c>
      <c r="Q1369" s="76">
        <v>0</v>
      </c>
      <c r="R1369" s="76" t="s">
        <v>3133</v>
      </c>
      <c r="S1369" s="76"/>
    </row>
    <row r="1370" spans="1:19" x14ac:dyDescent="0.3">
      <c r="A1370" s="76" t="s">
        <v>3130</v>
      </c>
      <c r="B1370" s="76" t="s">
        <v>3131</v>
      </c>
      <c r="C1370" s="76" t="s">
        <v>1263</v>
      </c>
      <c r="D1370" s="76" t="s">
        <v>39</v>
      </c>
      <c r="E1370" s="76" t="s">
        <v>22</v>
      </c>
      <c r="F1370" s="77">
        <v>45657</v>
      </c>
      <c r="G1370" s="76">
        <v>2024</v>
      </c>
      <c r="H1370" s="76" t="s">
        <v>27</v>
      </c>
      <c r="I1370" s="76" t="s">
        <v>36</v>
      </c>
      <c r="J1370" s="76">
        <v>100</v>
      </c>
      <c r="K1370" s="76">
        <v>100</v>
      </c>
      <c r="L1370" s="78">
        <f t="shared" si="160"/>
        <v>1</v>
      </c>
      <c r="M1370" s="78">
        <f t="shared" si="161"/>
        <v>1</v>
      </c>
      <c r="N1370" s="76" t="s">
        <v>25</v>
      </c>
      <c r="O1370" s="76" t="s">
        <v>25</v>
      </c>
      <c r="P1370" s="76">
        <v>0</v>
      </c>
      <c r="Q1370" s="76">
        <v>0</v>
      </c>
      <c r="R1370" s="76" t="s">
        <v>3135</v>
      </c>
      <c r="S1370" s="76"/>
    </row>
    <row r="1371" spans="1:19" x14ac:dyDescent="0.3">
      <c r="A1371" s="76" t="s">
        <v>3136</v>
      </c>
      <c r="B1371" s="76" t="s">
        <v>3137</v>
      </c>
      <c r="C1371" s="76" t="s">
        <v>1263</v>
      </c>
      <c r="D1371" s="76" t="s">
        <v>39</v>
      </c>
      <c r="E1371" s="76" t="s">
        <v>22</v>
      </c>
      <c r="F1371" s="77">
        <v>45107</v>
      </c>
      <c r="G1371" s="76">
        <v>2023</v>
      </c>
      <c r="H1371" s="76" t="s">
        <v>23</v>
      </c>
      <c r="I1371" s="76" t="s">
        <v>30</v>
      </c>
      <c r="J1371" s="76">
        <v>50</v>
      </c>
      <c r="K1371" s="76">
        <v>56</v>
      </c>
      <c r="L1371" s="78">
        <f t="shared" si="160"/>
        <v>1</v>
      </c>
      <c r="M1371" s="78">
        <f t="shared" si="161"/>
        <v>1</v>
      </c>
      <c r="N1371" s="76" t="s">
        <v>25</v>
      </c>
      <c r="O1371" s="76" t="s">
        <v>25</v>
      </c>
      <c r="P1371" s="76">
        <v>0</v>
      </c>
      <c r="Q1371" s="76">
        <v>0</v>
      </c>
      <c r="R1371" s="76" t="s">
        <v>3138</v>
      </c>
      <c r="S1371" s="76"/>
    </row>
    <row r="1372" spans="1:19" x14ac:dyDescent="0.3">
      <c r="A1372" s="76" t="s">
        <v>3136</v>
      </c>
      <c r="B1372" s="76" t="s">
        <v>3137</v>
      </c>
      <c r="C1372" s="76" t="s">
        <v>1263</v>
      </c>
      <c r="D1372" s="76" t="s">
        <v>39</v>
      </c>
      <c r="E1372" s="76" t="s">
        <v>22</v>
      </c>
      <c r="F1372" s="77">
        <v>45291</v>
      </c>
      <c r="G1372" s="76">
        <v>2023</v>
      </c>
      <c r="H1372" s="76" t="s">
        <v>27</v>
      </c>
      <c r="I1372" s="76" t="s">
        <v>32</v>
      </c>
      <c r="J1372" s="76">
        <v>100</v>
      </c>
      <c r="K1372" s="76">
        <v>94</v>
      </c>
      <c r="L1372" s="78">
        <f t="shared" si="160"/>
        <v>0.94</v>
      </c>
      <c r="M1372" s="78">
        <f t="shared" si="161"/>
        <v>0.94</v>
      </c>
      <c r="N1372" s="76" t="s">
        <v>25</v>
      </c>
      <c r="O1372" s="76" t="s">
        <v>25</v>
      </c>
      <c r="P1372" s="76">
        <v>0</v>
      </c>
      <c r="Q1372" s="76">
        <v>0</v>
      </c>
      <c r="R1372" s="76" t="s">
        <v>3140</v>
      </c>
      <c r="S1372" s="76"/>
    </row>
    <row r="1373" spans="1:19" x14ac:dyDescent="0.3">
      <c r="A1373" s="76" t="s">
        <v>3136</v>
      </c>
      <c r="B1373" s="76" t="s">
        <v>3137</v>
      </c>
      <c r="C1373" s="76" t="s">
        <v>1263</v>
      </c>
      <c r="D1373" s="76" t="s">
        <v>39</v>
      </c>
      <c r="E1373" s="76" t="s">
        <v>22</v>
      </c>
      <c r="F1373" s="77">
        <v>45473</v>
      </c>
      <c r="G1373" s="76">
        <v>2024</v>
      </c>
      <c r="H1373" s="76" t="s">
        <v>23</v>
      </c>
      <c r="I1373" s="76" t="s">
        <v>34</v>
      </c>
      <c r="J1373" s="76">
        <v>59.24</v>
      </c>
      <c r="K1373" s="76">
        <v>58.73</v>
      </c>
      <c r="L1373" s="78">
        <f t="shared" si="160"/>
        <v>0.99139095205941918</v>
      </c>
      <c r="M1373" s="78">
        <f t="shared" si="161"/>
        <v>0.99139095205941918</v>
      </c>
      <c r="N1373" s="76" t="s">
        <v>25</v>
      </c>
      <c r="O1373" s="76" t="s">
        <v>25</v>
      </c>
      <c r="P1373" s="76">
        <v>0</v>
      </c>
      <c r="Q1373" s="76">
        <v>0</v>
      </c>
      <c r="R1373" s="76" t="s">
        <v>3142</v>
      </c>
      <c r="S1373" s="76"/>
    </row>
    <row r="1374" spans="1:19" x14ac:dyDescent="0.3">
      <c r="A1374" s="76" t="s">
        <v>3136</v>
      </c>
      <c r="B1374" s="76" t="s">
        <v>3137</v>
      </c>
      <c r="C1374" s="76" t="s">
        <v>1263</v>
      </c>
      <c r="D1374" s="76" t="s">
        <v>39</v>
      </c>
      <c r="E1374" s="76" t="s">
        <v>22</v>
      </c>
      <c r="F1374" s="77">
        <v>45657</v>
      </c>
      <c r="G1374" s="76">
        <v>2024</v>
      </c>
      <c r="H1374" s="76" t="s">
        <v>27</v>
      </c>
      <c r="I1374" s="76" t="s">
        <v>36</v>
      </c>
      <c r="J1374" s="76">
        <v>100</v>
      </c>
      <c r="K1374" s="76">
        <v>100</v>
      </c>
      <c r="L1374" s="78">
        <f t="shared" si="160"/>
        <v>1</v>
      </c>
      <c r="M1374" s="78">
        <f t="shared" si="161"/>
        <v>1</v>
      </c>
      <c r="N1374" s="76" t="s">
        <v>25</v>
      </c>
      <c r="O1374" s="76" t="s">
        <v>25</v>
      </c>
      <c r="P1374" s="76">
        <v>0</v>
      </c>
      <c r="Q1374" s="76">
        <v>0</v>
      </c>
      <c r="R1374" s="76" t="s">
        <v>3144</v>
      </c>
      <c r="S1374" s="76"/>
    </row>
    <row r="1375" spans="1:19" x14ac:dyDescent="0.3">
      <c r="A1375" s="76" t="s">
        <v>3145</v>
      </c>
      <c r="B1375" s="76" t="s">
        <v>3146</v>
      </c>
      <c r="C1375" s="76" t="s">
        <v>1263</v>
      </c>
      <c r="D1375" s="76" t="s">
        <v>39</v>
      </c>
      <c r="E1375" s="76" t="s">
        <v>22</v>
      </c>
      <c r="F1375" s="77">
        <v>45107</v>
      </c>
      <c r="G1375" s="76">
        <v>2023</v>
      </c>
      <c r="H1375" s="76" t="s">
        <v>23</v>
      </c>
      <c r="I1375" s="76" t="s">
        <v>30</v>
      </c>
      <c r="J1375" s="76">
        <v>63</v>
      </c>
      <c r="K1375" s="76">
        <v>53</v>
      </c>
      <c r="L1375" s="78">
        <f t="shared" ref="L1375:L1410" si="162">IFERROR(IF(OR(J1375=0,K1375=""),"",IF(E1375="Positivo",MIN(MAX(K1375/J1375,0),1),MIN(MAX(J1375/K1375,0),1))),"")</f>
        <v>0.84126984126984128</v>
      </c>
      <c r="M1375" s="78">
        <f t="shared" ref="M1375:M1410" si="163">IFERROR(IF(OR(J1375=0,K1375=""),"",IF(E1375="Positivo",MIN(MAX(K1375/J1375,0),1),MIN(MAX(J1375/K1375,0),1))),"")</f>
        <v>0.84126984126984128</v>
      </c>
      <c r="N1375" s="76" t="s">
        <v>25</v>
      </c>
      <c r="O1375" s="76" t="s">
        <v>25</v>
      </c>
      <c r="P1375" s="76">
        <v>0</v>
      </c>
      <c r="Q1375" s="76">
        <v>0</v>
      </c>
      <c r="R1375" s="76" t="s">
        <v>3147</v>
      </c>
      <c r="S1375" s="76"/>
    </row>
    <row r="1376" spans="1:19" x14ac:dyDescent="0.3">
      <c r="A1376" s="76" t="s">
        <v>3145</v>
      </c>
      <c r="B1376" s="76" t="s">
        <v>3146</v>
      </c>
      <c r="C1376" s="76" t="s">
        <v>1263</v>
      </c>
      <c r="D1376" s="76" t="s">
        <v>39</v>
      </c>
      <c r="E1376" s="76" t="s">
        <v>22</v>
      </c>
      <c r="F1376" s="77">
        <v>45291</v>
      </c>
      <c r="G1376" s="76">
        <v>2023</v>
      </c>
      <c r="H1376" s="76" t="s">
        <v>27</v>
      </c>
      <c r="I1376" s="76" t="s">
        <v>32</v>
      </c>
      <c r="J1376" s="76">
        <v>100</v>
      </c>
      <c r="K1376" s="76">
        <v>86.67</v>
      </c>
      <c r="L1376" s="78">
        <f t="shared" si="162"/>
        <v>0.86670000000000003</v>
      </c>
      <c r="M1376" s="78">
        <f t="shared" si="163"/>
        <v>0.86670000000000003</v>
      </c>
      <c r="N1376" s="76" t="s">
        <v>25</v>
      </c>
      <c r="O1376" s="76" t="s">
        <v>25</v>
      </c>
      <c r="P1376" s="76">
        <v>0</v>
      </c>
      <c r="Q1376" s="76">
        <v>0</v>
      </c>
      <c r="R1376" s="76" t="s">
        <v>3149</v>
      </c>
      <c r="S1376" s="76"/>
    </row>
    <row r="1377" spans="1:19" x14ac:dyDescent="0.3">
      <c r="A1377" s="76" t="s">
        <v>3145</v>
      </c>
      <c r="B1377" s="76" t="s">
        <v>3146</v>
      </c>
      <c r="C1377" s="76" t="s">
        <v>1263</v>
      </c>
      <c r="D1377" s="76" t="s">
        <v>39</v>
      </c>
      <c r="E1377" s="76" t="s">
        <v>22</v>
      </c>
      <c r="F1377" s="77">
        <v>45473</v>
      </c>
      <c r="G1377" s="76">
        <v>2024</v>
      </c>
      <c r="H1377" s="76" t="s">
        <v>23</v>
      </c>
      <c r="I1377" s="76" t="s">
        <v>34</v>
      </c>
      <c r="J1377" s="76">
        <v>70.150000000000006</v>
      </c>
      <c r="K1377" s="76">
        <v>83.25</v>
      </c>
      <c r="L1377" s="78">
        <f t="shared" si="162"/>
        <v>1</v>
      </c>
      <c r="M1377" s="78">
        <f t="shared" si="163"/>
        <v>1</v>
      </c>
      <c r="N1377" s="76" t="s">
        <v>25</v>
      </c>
      <c r="O1377" s="76" t="s">
        <v>25</v>
      </c>
      <c r="P1377" s="76">
        <v>0</v>
      </c>
      <c r="Q1377" s="76">
        <v>0</v>
      </c>
      <c r="R1377" s="76" t="s">
        <v>3151</v>
      </c>
      <c r="S1377" s="76"/>
    </row>
    <row r="1378" spans="1:19" x14ac:dyDescent="0.3">
      <c r="A1378" s="76" t="s">
        <v>3145</v>
      </c>
      <c r="B1378" s="76" t="s">
        <v>3146</v>
      </c>
      <c r="C1378" s="76" t="s">
        <v>1263</v>
      </c>
      <c r="D1378" s="76" t="s">
        <v>39</v>
      </c>
      <c r="E1378" s="76" t="s">
        <v>22</v>
      </c>
      <c r="F1378" s="77">
        <v>45657</v>
      </c>
      <c r="G1378" s="76">
        <v>2024</v>
      </c>
      <c r="H1378" s="76" t="s">
        <v>27</v>
      </c>
      <c r="I1378" s="76" t="s">
        <v>36</v>
      </c>
      <c r="J1378" s="76">
        <v>100</v>
      </c>
      <c r="K1378" s="76">
        <v>100</v>
      </c>
      <c r="L1378" s="78">
        <f t="shared" si="162"/>
        <v>1</v>
      </c>
      <c r="M1378" s="78">
        <f t="shared" si="163"/>
        <v>1</v>
      </c>
      <c r="N1378" s="76" t="s">
        <v>25</v>
      </c>
      <c r="O1378" s="76" t="s">
        <v>25</v>
      </c>
      <c r="P1378" s="76">
        <v>0</v>
      </c>
      <c r="Q1378" s="76">
        <v>0</v>
      </c>
      <c r="R1378" s="76" t="s">
        <v>3153</v>
      </c>
      <c r="S1378" s="76"/>
    </row>
    <row r="1379" spans="1:19" x14ac:dyDescent="0.3">
      <c r="A1379" s="76" t="s">
        <v>3154</v>
      </c>
      <c r="B1379" s="76" t="s">
        <v>3155</v>
      </c>
      <c r="C1379" s="76" t="s">
        <v>1263</v>
      </c>
      <c r="D1379" s="76" t="s">
        <v>39</v>
      </c>
      <c r="E1379" s="76" t="s">
        <v>22</v>
      </c>
      <c r="F1379" s="77">
        <v>45107</v>
      </c>
      <c r="G1379" s="76">
        <v>2023</v>
      </c>
      <c r="H1379" s="76" t="s">
        <v>23</v>
      </c>
      <c r="I1379" s="76" t="s">
        <v>30</v>
      </c>
      <c r="J1379" s="76">
        <v>56</v>
      </c>
      <c r="K1379" s="76">
        <v>74</v>
      </c>
      <c r="L1379" s="78">
        <f t="shared" si="162"/>
        <v>1</v>
      </c>
      <c r="M1379" s="78">
        <f t="shared" si="163"/>
        <v>1</v>
      </c>
      <c r="N1379" s="76" t="s">
        <v>25</v>
      </c>
      <c r="O1379" s="76" t="s">
        <v>25</v>
      </c>
      <c r="P1379" s="76">
        <v>0</v>
      </c>
      <c r="Q1379" s="76">
        <v>0</v>
      </c>
      <c r="R1379" s="76" t="s">
        <v>3156</v>
      </c>
      <c r="S1379" s="76"/>
    </row>
    <row r="1380" spans="1:19" x14ac:dyDescent="0.3">
      <c r="A1380" s="76" t="s">
        <v>3154</v>
      </c>
      <c r="B1380" s="76" t="s">
        <v>3155</v>
      </c>
      <c r="C1380" s="76" t="s">
        <v>1263</v>
      </c>
      <c r="D1380" s="76" t="s">
        <v>39</v>
      </c>
      <c r="E1380" s="76" t="s">
        <v>22</v>
      </c>
      <c r="F1380" s="77">
        <v>45291</v>
      </c>
      <c r="G1380" s="76">
        <v>2023</v>
      </c>
      <c r="H1380" s="76" t="s">
        <v>27</v>
      </c>
      <c r="I1380" s="76" t="s">
        <v>32</v>
      </c>
      <c r="J1380" s="76">
        <v>100</v>
      </c>
      <c r="K1380" s="76">
        <v>93.75</v>
      </c>
      <c r="L1380" s="78">
        <f t="shared" si="162"/>
        <v>0.9375</v>
      </c>
      <c r="M1380" s="78">
        <f t="shared" si="163"/>
        <v>0.9375</v>
      </c>
      <c r="N1380" s="76" t="s">
        <v>25</v>
      </c>
      <c r="O1380" s="76" t="s">
        <v>25</v>
      </c>
      <c r="P1380" s="76">
        <v>0</v>
      </c>
      <c r="Q1380" s="76">
        <v>0</v>
      </c>
      <c r="R1380" s="76" t="s">
        <v>3158</v>
      </c>
      <c r="S1380" s="76"/>
    </row>
    <row r="1381" spans="1:19" x14ac:dyDescent="0.3">
      <c r="A1381" s="76" t="s">
        <v>3154</v>
      </c>
      <c r="B1381" s="76" t="s">
        <v>3155</v>
      </c>
      <c r="C1381" s="76" t="s">
        <v>1263</v>
      </c>
      <c r="D1381" s="76" t="s">
        <v>39</v>
      </c>
      <c r="E1381" s="76" t="s">
        <v>22</v>
      </c>
      <c r="F1381" s="77">
        <v>45473</v>
      </c>
      <c r="G1381" s="76">
        <v>2024</v>
      </c>
      <c r="H1381" s="76" t="s">
        <v>23</v>
      </c>
      <c r="I1381" s="76" t="s">
        <v>34</v>
      </c>
      <c r="J1381" s="76">
        <v>36.979999999999997</v>
      </c>
      <c r="K1381" s="76">
        <v>52.24</v>
      </c>
      <c r="L1381" s="78">
        <f t="shared" si="162"/>
        <v>1</v>
      </c>
      <c r="M1381" s="78">
        <f t="shared" si="163"/>
        <v>1</v>
      </c>
      <c r="N1381" s="76" t="s">
        <v>25</v>
      </c>
      <c r="O1381" s="76" t="s">
        <v>25</v>
      </c>
      <c r="P1381" s="76">
        <v>0</v>
      </c>
      <c r="Q1381" s="76">
        <v>0</v>
      </c>
      <c r="R1381" s="76" t="s">
        <v>3160</v>
      </c>
      <c r="S1381" s="76"/>
    </row>
    <row r="1382" spans="1:19" x14ac:dyDescent="0.3">
      <c r="A1382" s="76" t="s">
        <v>3154</v>
      </c>
      <c r="B1382" s="76" t="s">
        <v>3155</v>
      </c>
      <c r="C1382" s="76" t="s">
        <v>1263</v>
      </c>
      <c r="D1382" s="76" t="s">
        <v>39</v>
      </c>
      <c r="E1382" s="76" t="s">
        <v>22</v>
      </c>
      <c r="F1382" s="77">
        <v>45657</v>
      </c>
      <c r="G1382" s="76">
        <v>2024</v>
      </c>
      <c r="H1382" s="76" t="s">
        <v>27</v>
      </c>
      <c r="I1382" s="76" t="s">
        <v>36</v>
      </c>
      <c r="J1382" s="76">
        <v>100</v>
      </c>
      <c r="K1382" s="76">
        <v>100</v>
      </c>
      <c r="L1382" s="78">
        <f t="shared" si="162"/>
        <v>1</v>
      </c>
      <c r="M1382" s="78">
        <f t="shared" si="163"/>
        <v>1</v>
      </c>
      <c r="N1382" s="76" t="s">
        <v>25</v>
      </c>
      <c r="O1382" s="76" t="s">
        <v>25</v>
      </c>
      <c r="P1382" s="76">
        <v>0</v>
      </c>
      <c r="Q1382" s="76">
        <v>0</v>
      </c>
      <c r="R1382" s="76" t="s">
        <v>3162</v>
      </c>
      <c r="S1382" s="76"/>
    </row>
    <row r="1383" spans="1:19" x14ac:dyDescent="0.3">
      <c r="A1383" s="76" t="s">
        <v>3163</v>
      </c>
      <c r="B1383" s="76" t="s">
        <v>3164</v>
      </c>
      <c r="C1383" s="76" t="s">
        <v>1263</v>
      </c>
      <c r="D1383" s="76" t="s">
        <v>39</v>
      </c>
      <c r="E1383" s="76" t="s">
        <v>22</v>
      </c>
      <c r="F1383" s="77">
        <v>45107</v>
      </c>
      <c r="G1383" s="76">
        <v>2023</v>
      </c>
      <c r="H1383" s="76" t="s">
        <v>23</v>
      </c>
      <c r="I1383" s="76" t="s">
        <v>30</v>
      </c>
      <c r="J1383" s="76">
        <v>44</v>
      </c>
      <c r="K1383" s="76">
        <v>49</v>
      </c>
      <c r="L1383" s="78">
        <f t="shared" si="162"/>
        <v>1</v>
      </c>
      <c r="M1383" s="78">
        <f t="shared" si="163"/>
        <v>1</v>
      </c>
      <c r="N1383" s="76" t="s">
        <v>25</v>
      </c>
      <c r="O1383" s="76" t="s">
        <v>25</v>
      </c>
      <c r="P1383" s="76">
        <v>0</v>
      </c>
      <c r="Q1383" s="76">
        <v>0</v>
      </c>
      <c r="R1383" s="76" t="s">
        <v>3165</v>
      </c>
      <c r="S1383" s="76"/>
    </row>
    <row r="1384" spans="1:19" x14ac:dyDescent="0.3">
      <c r="A1384" s="76" t="s">
        <v>3163</v>
      </c>
      <c r="B1384" s="76" t="s">
        <v>3164</v>
      </c>
      <c r="C1384" s="76" t="s">
        <v>1263</v>
      </c>
      <c r="D1384" s="76" t="s">
        <v>39</v>
      </c>
      <c r="E1384" s="76" t="s">
        <v>22</v>
      </c>
      <c r="F1384" s="77">
        <v>45291</v>
      </c>
      <c r="G1384" s="76">
        <v>2023</v>
      </c>
      <c r="H1384" s="76" t="s">
        <v>27</v>
      </c>
      <c r="I1384" s="76" t="s">
        <v>32</v>
      </c>
      <c r="J1384" s="76">
        <v>100</v>
      </c>
      <c r="K1384" s="76">
        <v>94.17</v>
      </c>
      <c r="L1384" s="78">
        <f t="shared" si="162"/>
        <v>0.94169999999999998</v>
      </c>
      <c r="M1384" s="78">
        <f t="shared" si="163"/>
        <v>0.94169999999999998</v>
      </c>
      <c r="N1384" s="76" t="s">
        <v>25</v>
      </c>
      <c r="O1384" s="76" t="s">
        <v>25</v>
      </c>
      <c r="P1384" s="76">
        <v>0</v>
      </c>
      <c r="Q1384" s="76">
        <v>0</v>
      </c>
      <c r="R1384" s="76" t="s">
        <v>3167</v>
      </c>
      <c r="S1384" s="76"/>
    </row>
    <row r="1385" spans="1:19" x14ac:dyDescent="0.3">
      <c r="A1385" s="76" t="s">
        <v>3163</v>
      </c>
      <c r="B1385" s="76" t="s">
        <v>3164</v>
      </c>
      <c r="C1385" s="76" t="s">
        <v>1263</v>
      </c>
      <c r="D1385" s="76" t="s">
        <v>39</v>
      </c>
      <c r="E1385" s="76" t="s">
        <v>22</v>
      </c>
      <c r="F1385" s="77">
        <v>45473</v>
      </c>
      <c r="G1385" s="76">
        <v>2024</v>
      </c>
      <c r="H1385" s="76" t="s">
        <v>23</v>
      </c>
      <c r="I1385" s="76" t="s">
        <v>34</v>
      </c>
      <c r="J1385" s="76">
        <v>39.619999999999997</v>
      </c>
      <c r="K1385" s="76">
        <v>43.31</v>
      </c>
      <c r="L1385" s="78">
        <f t="shared" si="162"/>
        <v>1</v>
      </c>
      <c r="M1385" s="78">
        <f t="shared" si="163"/>
        <v>1</v>
      </c>
      <c r="N1385" s="76" t="s">
        <v>25</v>
      </c>
      <c r="O1385" s="76" t="s">
        <v>25</v>
      </c>
      <c r="P1385" s="76">
        <v>0</v>
      </c>
      <c r="Q1385" s="76">
        <v>0</v>
      </c>
      <c r="R1385" s="76" t="s">
        <v>3169</v>
      </c>
      <c r="S1385" s="76"/>
    </row>
    <row r="1386" spans="1:19" x14ac:dyDescent="0.3">
      <c r="A1386" s="76" t="s">
        <v>3163</v>
      </c>
      <c r="B1386" s="76" t="s">
        <v>3164</v>
      </c>
      <c r="C1386" s="76" t="s">
        <v>1263</v>
      </c>
      <c r="D1386" s="76" t="s">
        <v>39</v>
      </c>
      <c r="E1386" s="76" t="s">
        <v>22</v>
      </c>
      <c r="F1386" s="77">
        <v>45657</v>
      </c>
      <c r="G1386" s="76">
        <v>2024</v>
      </c>
      <c r="H1386" s="76" t="s">
        <v>27</v>
      </c>
      <c r="I1386" s="76" t="s">
        <v>36</v>
      </c>
      <c r="J1386" s="76">
        <v>100</v>
      </c>
      <c r="K1386" s="76">
        <v>97</v>
      </c>
      <c r="L1386" s="78">
        <f t="shared" si="162"/>
        <v>0.97</v>
      </c>
      <c r="M1386" s="78">
        <f t="shared" si="163"/>
        <v>0.97</v>
      </c>
      <c r="N1386" s="76" t="s">
        <v>25</v>
      </c>
      <c r="O1386" s="76" t="s">
        <v>25</v>
      </c>
      <c r="P1386" s="76">
        <v>0</v>
      </c>
      <c r="Q1386" s="76">
        <v>0</v>
      </c>
      <c r="R1386" s="76" t="s">
        <v>3171</v>
      </c>
      <c r="S1386" s="76"/>
    </row>
    <row r="1387" spans="1:19" x14ac:dyDescent="0.3">
      <c r="A1387" s="76" t="s">
        <v>3172</v>
      </c>
      <c r="B1387" s="76" t="s">
        <v>3173</v>
      </c>
      <c r="C1387" s="76" t="s">
        <v>1263</v>
      </c>
      <c r="D1387" s="76" t="s">
        <v>39</v>
      </c>
      <c r="E1387" s="76" t="s">
        <v>22</v>
      </c>
      <c r="F1387" s="77">
        <v>45107</v>
      </c>
      <c r="G1387" s="76">
        <v>2023</v>
      </c>
      <c r="H1387" s="76" t="s">
        <v>23</v>
      </c>
      <c r="I1387" s="76" t="s">
        <v>30</v>
      </c>
      <c r="J1387" s="76">
        <v>62</v>
      </c>
      <c r="K1387" s="76">
        <v>64</v>
      </c>
      <c r="L1387" s="78">
        <f t="shared" si="162"/>
        <v>1</v>
      </c>
      <c r="M1387" s="78">
        <f t="shared" si="163"/>
        <v>1</v>
      </c>
      <c r="N1387" s="76" t="s">
        <v>25</v>
      </c>
      <c r="O1387" s="76" t="s">
        <v>25</v>
      </c>
      <c r="P1387" s="76">
        <v>0</v>
      </c>
      <c r="Q1387" s="76">
        <v>0</v>
      </c>
      <c r="R1387" s="76" t="s">
        <v>3174</v>
      </c>
      <c r="S1387" s="76"/>
    </row>
    <row r="1388" spans="1:19" x14ac:dyDescent="0.3">
      <c r="A1388" s="76" t="s">
        <v>3172</v>
      </c>
      <c r="B1388" s="76" t="s">
        <v>3173</v>
      </c>
      <c r="C1388" s="76" t="s">
        <v>1263</v>
      </c>
      <c r="D1388" s="76" t="s">
        <v>39</v>
      </c>
      <c r="E1388" s="76" t="s">
        <v>22</v>
      </c>
      <c r="F1388" s="77">
        <v>45291</v>
      </c>
      <c r="G1388" s="76">
        <v>2023</v>
      </c>
      <c r="H1388" s="76" t="s">
        <v>27</v>
      </c>
      <c r="I1388" s="76" t="s">
        <v>32</v>
      </c>
      <c r="J1388" s="76">
        <v>100</v>
      </c>
      <c r="K1388" s="76">
        <v>99</v>
      </c>
      <c r="L1388" s="78">
        <f t="shared" si="162"/>
        <v>0.99</v>
      </c>
      <c r="M1388" s="78">
        <f t="shared" si="163"/>
        <v>0.99</v>
      </c>
      <c r="N1388" s="76" t="s">
        <v>25</v>
      </c>
      <c r="O1388" s="76" t="s">
        <v>25</v>
      </c>
      <c r="P1388" s="76">
        <v>0</v>
      </c>
      <c r="Q1388" s="76">
        <v>0</v>
      </c>
      <c r="R1388" s="76" t="s">
        <v>3176</v>
      </c>
      <c r="S1388" s="76"/>
    </row>
    <row r="1389" spans="1:19" x14ac:dyDescent="0.3">
      <c r="A1389" s="76" t="s">
        <v>3172</v>
      </c>
      <c r="B1389" s="76" t="s">
        <v>3173</v>
      </c>
      <c r="C1389" s="76" t="s">
        <v>1263</v>
      </c>
      <c r="D1389" s="76" t="s">
        <v>39</v>
      </c>
      <c r="E1389" s="76" t="s">
        <v>22</v>
      </c>
      <c r="F1389" s="77">
        <v>45473</v>
      </c>
      <c r="G1389" s="76">
        <v>2024</v>
      </c>
      <c r="H1389" s="76" t="s">
        <v>23</v>
      </c>
      <c r="I1389" s="76" t="s">
        <v>34</v>
      </c>
      <c r="J1389" s="76">
        <v>48.75</v>
      </c>
      <c r="K1389" s="76">
        <v>48.75</v>
      </c>
      <c r="L1389" s="78">
        <f t="shared" si="162"/>
        <v>1</v>
      </c>
      <c r="M1389" s="78">
        <f t="shared" si="163"/>
        <v>1</v>
      </c>
      <c r="N1389" s="76" t="s">
        <v>25</v>
      </c>
      <c r="O1389" s="76" t="s">
        <v>25</v>
      </c>
      <c r="P1389" s="76">
        <v>0</v>
      </c>
      <c r="Q1389" s="76">
        <v>0</v>
      </c>
      <c r="R1389" s="76" t="s">
        <v>3178</v>
      </c>
      <c r="S1389" s="76"/>
    </row>
    <row r="1390" spans="1:19" x14ac:dyDescent="0.3">
      <c r="A1390" s="76" t="s">
        <v>3172</v>
      </c>
      <c r="B1390" s="76" t="s">
        <v>3173</v>
      </c>
      <c r="C1390" s="76" t="s">
        <v>1263</v>
      </c>
      <c r="D1390" s="76" t="s">
        <v>39</v>
      </c>
      <c r="E1390" s="76" t="s">
        <v>22</v>
      </c>
      <c r="F1390" s="77">
        <v>45657</v>
      </c>
      <c r="G1390" s="76">
        <v>2024</v>
      </c>
      <c r="H1390" s="76" t="s">
        <v>27</v>
      </c>
      <c r="I1390" s="76" t="s">
        <v>36</v>
      </c>
      <c r="J1390" s="76">
        <v>100</v>
      </c>
      <c r="K1390" s="76">
        <v>99</v>
      </c>
      <c r="L1390" s="78">
        <f t="shared" si="162"/>
        <v>0.99</v>
      </c>
      <c r="M1390" s="78">
        <f t="shared" si="163"/>
        <v>0.99</v>
      </c>
      <c r="N1390" s="76" t="s">
        <v>25</v>
      </c>
      <c r="O1390" s="76" t="s">
        <v>25</v>
      </c>
      <c r="P1390" s="76">
        <v>0</v>
      </c>
      <c r="Q1390" s="76">
        <v>0</v>
      </c>
      <c r="R1390" s="76" t="s">
        <v>3180</v>
      </c>
      <c r="S1390" s="76"/>
    </row>
    <row r="1391" spans="1:19" x14ac:dyDescent="0.3">
      <c r="A1391" s="76" t="s">
        <v>3181</v>
      </c>
      <c r="B1391" s="76" t="s">
        <v>3182</v>
      </c>
      <c r="C1391" s="76" t="s">
        <v>1263</v>
      </c>
      <c r="D1391" s="76" t="s">
        <v>39</v>
      </c>
      <c r="E1391" s="76" t="s">
        <v>22</v>
      </c>
      <c r="F1391" s="77">
        <v>45107</v>
      </c>
      <c r="G1391" s="76">
        <v>2023</v>
      </c>
      <c r="H1391" s="76" t="s">
        <v>23</v>
      </c>
      <c r="I1391" s="76" t="s">
        <v>30</v>
      </c>
      <c r="J1391" s="76">
        <v>52</v>
      </c>
      <c r="K1391" s="76">
        <v>63</v>
      </c>
      <c r="L1391" s="78">
        <f t="shared" si="162"/>
        <v>1</v>
      </c>
      <c r="M1391" s="78">
        <f t="shared" si="163"/>
        <v>1</v>
      </c>
      <c r="N1391" s="76" t="s">
        <v>25</v>
      </c>
      <c r="O1391" s="76" t="s">
        <v>25</v>
      </c>
      <c r="P1391" s="76">
        <v>0</v>
      </c>
      <c r="Q1391" s="76">
        <v>0</v>
      </c>
      <c r="R1391" s="76" t="s">
        <v>3183</v>
      </c>
      <c r="S1391" s="76"/>
    </row>
    <row r="1392" spans="1:19" x14ac:dyDescent="0.3">
      <c r="A1392" s="76" t="s">
        <v>3181</v>
      </c>
      <c r="B1392" s="76" t="s">
        <v>3182</v>
      </c>
      <c r="C1392" s="76" t="s">
        <v>1263</v>
      </c>
      <c r="D1392" s="76" t="s">
        <v>39</v>
      </c>
      <c r="E1392" s="76" t="s">
        <v>22</v>
      </c>
      <c r="F1392" s="77">
        <v>45291</v>
      </c>
      <c r="G1392" s="76">
        <v>2023</v>
      </c>
      <c r="H1392" s="76" t="s">
        <v>27</v>
      </c>
      <c r="I1392" s="76" t="s">
        <v>32</v>
      </c>
      <c r="J1392" s="76">
        <v>100</v>
      </c>
      <c r="K1392" s="76">
        <v>98.75</v>
      </c>
      <c r="L1392" s="78">
        <f t="shared" si="162"/>
        <v>0.98750000000000004</v>
      </c>
      <c r="M1392" s="78">
        <f t="shared" si="163"/>
        <v>0.98750000000000004</v>
      </c>
      <c r="N1392" s="76" t="s">
        <v>25</v>
      </c>
      <c r="O1392" s="76" t="s">
        <v>25</v>
      </c>
      <c r="P1392" s="76">
        <v>0</v>
      </c>
      <c r="Q1392" s="76">
        <v>0</v>
      </c>
      <c r="R1392" s="76" t="s">
        <v>3185</v>
      </c>
      <c r="S1392" s="76"/>
    </row>
    <row r="1393" spans="1:19" x14ac:dyDescent="0.3">
      <c r="A1393" s="76" t="s">
        <v>3181</v>
      </c>
      <c r="B1393" s="76" t="s">
        <v>3182</v>
      </c>
      <c r="C1393" s="76" t="s">
        <v>1263</v>
      </c>
      <c r="D1393" s="76" t="s">
        <v>39</v>
      </c>
      <c r="E1393" s="76" t="s">
        <v>22</v>
      </c>
      <c r="F1393" s="77">
        <v>45473</v>
      </c>
      <c r="G1393" s="76">
        <v>2024</v>
      </c>
      <c r="H1393" s="76" t="s">
        <v>23</v>
      </c>
      <c r="I1393" s="76" t="s">
        <v>34</v>
      </c>
      <c r="J1393" s="76">
        <v>47.2</v>
      </c>
      <c r="K1393" s="76">
        <v>49.23</v>
      </c>
      <c r="L1393" s="78">
        <f t="shared" si="162"/>
        <v>1</v>
      </c>
      <c r="M1393" s="78">
        <f t="shared" si="163"/>
        <v>1</v>
      </c>
      <c r="N1393" s="76" t="s">
        <v>25</v>
      </c>
      <c r="O1393" s="76" t="s">
        <v>25</v>
      </c>
      <c r="P1393" s="76">
        <v>0</v>
      </c>
      <c r="Q1393" s="76">
        <v>0</v>
      </c>
      <c r="R1393" s="76" t="s">
        <v>3187</v>
      </c>
      <c r="S1393" s="76"/>
    </row>
    <row r="1394" spans="1:19" x14ac:dyDescent="0.3">
      <c r="A1394" s="76" t="s">
        <v>3181</v>
      </c>
      <c r="B1394" s="76" t="s">
        <v>3182</v>
      </c>
      <c r="C1394" s="76" t="s">
        <v>1263</v>
      </c>
      <c r="D1394" s="76" t="s">
        <v>39</v>
      </c>
      <c r="E1394" s="76" t="s">
        <v>22</v>
      </c>
      <c r="F1394" s="77">
        <v>45657</v>
      </c>
      <c r="G1394" s="76">
        <v>2024</v>
      </c>
      <c r="H1394" s="76" t="s">
        <v>27</v>
      </c>
      <c r="I1394" s="76" t="s">
        <v>36</v>
      </c>
      <c r="J1394" s="76">
        <v>100</v>
      </c>
      <c r="K1394" s="76">
        <v>97</v>
      </c>
      <c r="L1394" s="78">
        <f t="shared" si="162"/>
        <v>0.97</v>
      </c>
      <c r="M1394" s="78">
        <f t="shared" si="163"/>
        <v>0.97</v>
      </c>
      <c r="N1394" s="76" t="s">
        <v>25</v>
      </c>
      <c r="O1394" s="76" t="s">
        <v>25</v>
      </c>
      <c r="P1394" s="76">
        <v>0</v>
      </c>
      <c r="Q1394" s="76">
        <v>0</v>
      </c>
      <c r="R1394" s="76" t="s">
        <v>3189</v>
      </c>
      <c r="S1394" s="76"/>
    </row>
    <row r="1395" spans="1:19" x14ac:dyDescent="0.3">
      <c r="A1395" s="76" t="s">
        <v>3190</v>
      </c>
      <c r="B1395" s="76" t="s">
        <v>3191</v>
      </c>
      <c r="C1395" s="76" t="s">
        <v>1263</v>
      </c>
      <c r="D1395" s="76" t="s">
        <v>39</v>
      </c>
      <c r="E1395" s="76" t="s">
        <v>22</v>
      </c>
      <c r="F1395" s="77">
        <v>45107</v>
      </c>
      <c r="G1395" s="76">
        <v>2023</v>
      </c>
      <c r="H1395" s="76" t="s">
        <v>23</v>
      </c>
      <c r="I1395" s="76" t="s">
        <v>30</v>
      </c>
      <c r="J1395" s="76">
        <v>43</v>
      </c>
      <c r="K1395" s="76">
        <v>46</v>
      </c>
      <c r="L1395" s="78">
        <f t="shared" si="162"/>
        <v>1</v>
      </c>
      <c r="M1395" s="78">
        <f t="shared" si="163"/>
        <v>1</v>
      </c>
      <c r="N1395" s="76" t="s">
        <v>25</v>
      </c>
      <c r="O1395" s="76" t="s">
        <v>25</v>
      </c>
      <c r="P1395" s="76">
        <v>0</v>
      </c>
      <c r="Q1395" s="76">
        <v>0</v>
      </c>
      <c r="R1395" s="76" t="s">
        <v>3192</v>
      </c>
      <c r="S1395" s="76"/>
    </row>
    <row r="1396" spans="1:19" x14ac:dyDescent="0.3">
      <c r="A1396" s="76" t="s">
        <v>3190</v>
      </c>
      <c r="B1396" s="76" t="s">
        <v>3191</v>
      </c>
      <c r="C1396" s="76" t="s">
        <v>1263</v>
      </c>
      <c r="D1396" s="76" t="s">
        <v>39</v>
      </c>
      <c r="E1396" s="76" t="s">
        <v>22</v>
      </c>
      <c r="F1396" s="77">
        <v>45291</v>
      </c>
      <c r="G1396" s="76">
        <v>2023</v>
      </c>
      <c r="H1396" s="76" t="s">
        <v>27</v>
      </c>
      <c r="I1396" s="76" t="s">
        <v>32</v>
      </c>
      <c r="J1396" s="76">
        <v>100</v>
      </c>
      <c r="K1396" s="76">
        <v>87.5</v>
      </c>
      <c r="L1396" s="78">
        <f t="shared" si="162"/>
        <v>0.875</v>
      </c>
      <c r="M1396" s="78">
        <f t="shared" si="163"/>
        <v>0.875</v>
      </c>
      <c r="N1396" s="76" t="s">
        <v>25</v>
      </c>
      <c r="O1396" s="76" t="s">
        <v>25</v>
      </c>
      <c r="P1396" s="76">
        <v>0</v>
      </c>
      <c r="Q1396" s="76">
        <v>0</v>
      </c>
      <c r="R1396" s="76" t="s">
        <v>3194</v>
      </c>
      <c r="S1396" s="76"/>
    </row>
    <row r="1397" spans="1:19" x14ac:dyDescent="0.3">
      <c r="A1397" s="76" t="s">
        <v>3190</v>
      </c>
      <c r="B1397" s="76" t="s">
        <v>3191</v>
      </c>
      <c r="C1397" s="76" t="s">
        <v>1263</v>
      </c>
      <c r="D1397" s="76" t="s">
        <v>39</v>
      </c>
      <c r="E1397" s="76" t="s">
        <v>22</v>
      </c>
      <c r="F1397" s="77">
        <v>45473</v>
      </c>
      <c r="G1397" s="76">
        <v>2024</v>
      </c>
      <c r="H1397" s="76" t="s">
        <v>23</v>
      </c>
      <c r="I1397" s="76" t="s">
        <v>34</v>
      </c>
      <c r="J1397" s="76">
        <v>49.54</v>
      </c>
      <c r="K1397" s="76">
        <v>67.12</v>
      </c>
      <c r="L1397" s="78">
        <f t="shared" si="162"/>
        <v>1</v>
      </c>
      <c r="M1397" s="78">
        <f t="shared" si="163"/>
        <v>1</v>
      </c>
      <c r="N1397" s="76" t="s">
        <v>25</v>
      </c>
      <c r="O1397" s="76" t="s">
        <v>25</v>
      </c>
      <c r="P1397" s="76">
        <v>0</v>
      </c>
      <c r="Q1397" s="76">
        <v>0</v>
      </c>
      <c r="R1397" s="76" t="s">
        <v>3196</v>
      </c>
      <c r="S1397" s="76"/>
    </row>
    <row r="1398" spans="1:19" x14ac:dyDescent="0.3">
      <c r="A1398" s="76" t="s">
        <v>3190</v>
      </c>
      <c r="B1398" s="76" t="s">
        <v>3191</v>
      </c>
      <c r="C1398" s="76" t="s">
        <v>1263</v>
      </c>
      <c r="D1398" s="76" t="s">
        <v>39</v>
      </c>
      <c r="E1398" s="76" t="s">
        <v>22</v>
      </c>
      <c r="F1398" s="77">
        <v>45657</v>
      </c>
      <c r="G1398" s="76">
        <v>2024</v>
      </c>
      <c r="H1398" s="76" t="s">
        <v>27</v>
      </c>
      <c r="I1398" s="76" t="s">
        <v>36</v>
      </c>
      <c r="J1398" s="76">
        <v>100</v>
      </c>
      <c r="K1398" s="76">
        <v>100</v>
      </c>
      <c r="L1398" s="78">
        <f t="shared" si="162"/>
        <v>1</v>
      </c>
      <c r="M1398" s="78">
        <f t="shared" si="163"/>
        <v>1</v>
      </c>
      <c r="N1398" s="76" t="s">
        <v>25</v>
      </c>
      <c r="O1398" s="76" t="s">
        <v>25</v>
      </c>
      <c r="P1398" s="76">
        <v>0</v>
      </c>
      <c r="Q1398" s="76">
        <v>0</v>
      </c>
      <c r="R1398" s="76" t="s">
        <v>3198</v>
      </c>
      <c r="S1398" s="76"/>
    </row>
    <row r="1399" spans="1:19" x14ac:dyDescent="0.3">
      <c r="A1399" s="76" t="s">
        <v>3199</v>
      </c>
      <c r="B1399" s="76" t="s">
        <v>3200</v>
      </c>
      <c r="C1399" s="76" t="s">
        <v>1263</v>
      </c>
      <c r="D1399" s="76" t="s">
        <v>39</v>
      </c>
      <c r="E1399" s="76" t="s">
        <v>22</v>
      </c>
      <c r="F1399" s="77">
        <v>45107</v>
      </c>
      <c r="G1399" s="76">
        <v>2023</v>
      </c>
      <c r="H1399" s="76" t="s">
        <v>23</v>
      </c>
      <c r="I1399" s="76" t="s">
        <v>30</v>
      </c>
      <c r="J1399" s="76">
        <v>56</v>
      </c>
      <c r="K1399" s="76">
        <v>63</v>
      </c>
      <c r="L1399" s="78">
        <f t="shared" si="162"/>
        <v>1</v>
      </c>
      <c r="M1399" s="78">
        <f t="shared" si="163"/>
        <v>1</v>
      </c>
      <c r="N1399" s="76" t="s">
        <v>25</v>
      </c>
      <c r="O1399" s="76" t="s">
        <v>25</v>
      </c>
      <c r="P1399" s="76">
        <v>0</v>
      </c>
      <c r="Q1399" s="76">
        <v>0</v>
      </c>
      <c r="R1399" s="76" t="s">
        <v>3201</v>
      </c>
      <c r="S1399" s="76"/>
    </row>
    <row r="1400" spans="1:19" x14ac:dyDescent="0.3">
      <c r="A1400" s="76" t="s">
        <v>3199</v>
      </c>
      <c r="B1400" s="76" t="s">
        <v>3200</v>
      </c>
      <c r="C1400" s="76" t="s">
        <v>1263</v>
      </c>
      <c r="D1400" s="76" t="s">
        <v>39</v>
      </c>
      <c r="E1400" s="76" t="s">
        <v>22</v>
      </c>
      <c r="F1400" s="77">
        <v>45291</v>
      </c>
      <c r="G1400" s="76">
        <v>2023</v>
      </c>
      <c r="H1400" s="76" t="s">
        <v>27</v>
      </c>
      <c r="I1400" s="76" t="s">
        <v>32</v>
      </c>
      <c r="J1400" s="76">
        <v>100</v>
      </c>
      <c r="K1400" s="76">
        <v>90.95</v>
      </c>
      <c r="L1400" s="78">
        <f t="shared" si="162"/>
        <v>0.90949999999999998</v>
      </c>
      <c r="M1400" s="78">
        <f t="shared" si="163"/>
        <v>0.90949999999999998</v>
      </c>
      <c r="N1400" s="76" t="s">
        <v>25</v>
      </c>
      <c r="O1400" s="76" t="s">
        <v>25</v>
      </c>
      <c r="P1400" s="76">
        <v>0</v>
      </c>
      <c r="Q1400" s="76">
        <v>0</v>
      </c>
      <c r="R1400" s="76" t="s">
        <v>3203</v>
      </c>
      <c r="S1400" s="76"/>
    </row>
    <row r="1401" spans="1:19" x14ac:dyDescent="0.3">
      <c r="A1401" s="76" t="s">
        <v>3199</v>
      </c>
      <c r="B1401" s="76" t="s">
        <v>3200</v>
      </c>
      <c r="C1401" s="76" t="s">
        <v>1263</v>
      </c>
      <c r="D1401" s="76" t="s">
        <v>39</v>
      </c>
      <c r="E1401" s="76" t="s">
        <v>22</v>
      </c>
      <c r="F1401" s="77">
        <v>45473</v>
      </c>
      <c r="G1401" s="76">
        <v>2024</v>
      </c>
      <c r="H1401" s="76" t="s">
        <v>23</v>
      </c>
      <c r="I1401" s="76" t="s">
        <v>34</v>
      </c>
      <c r="J1401" s="76">
        <v>42.15</v>
      </c>
      <c r="K1401" s="76">
        <v>45</v>
      </c>
      <c r="L1401" s="78">
        <f t="shared" si="162"/>
        <v>1</v>
      </c>
      <c r="M1401" s="78">
        <f t="shared" si="163"/>
        <v>1</v>
      </c>
      <c r="N1401" s="76" t="s">
        <v>25</v>
      </c>
      <c r="O1401" s="76" t="s">
        <v>25</v>
      </c>
      <c r="P1401" s="76">
        <v>0</v>
      </c>
      <c r="Q1401" s="76">
        <v>0</v>
      </c>
      <c r="R1401" s="76" t="s">
        <v>3205</v>
      </c>
      <c r="S1401" s="76"/>
    </row>
    <row r="1402" spans="1:19" x14ac:dyDescent="0.3">
      <c r="A1402" s="76" t="s">
        <v>3199</v>
      </c>
      <c r="B1402" s="76" t="s">
        <v>3200</v>
      </c>
      <c r="C1402" s="76" t="s">
        <v>1263</v>
      </c>
      <c r="D1402" s="76" t="s">
        <v>39</v>
      </c>
      <c r="E1402" s="76" t="s">
        <v>22</v>
      </c>
      <c r="F1402" s="77">
        <v>45657</v>
      </c>
      <c r="G1402" s="76">
        <v>2024</v>
      </c>
      <c r="H1402" s="76" t="s">
        <v>27</v>
      </c>
      <c r="I1402" s="76" t="s">
        <v>36</v>
      </c>
      <c r="J1402" s="76">
        <v>100</v>
      </c>
      <c r="K1402" s="76">
        <v>80</v>
      </c>
      <c r="L1402" s="78">
        <f t="shared" si="162"/>
        <v>0.8</v>
      </c>
      <c r="M1402" s="78">
        <f t="shared" si="163"/>
        <v>0.8</v>
      </c>
      <c r="N1402" s="76" t="s">
        <v>25</v>
      </c>
      <c r="O1402" s="76" t="s">
        <v>25</v>
      </c>
      <c r="P1402" s="76">
        <v>0</v>
      </c>
      <c r="Q1402" s="76">
        <v>0</v>
      </c>
      <c r="R1402" s="76" t="s">
        <v>3207</v>
      </c>
      <c r="S1402" s="76"/>
    </row>
    <row r="1403" spans="1:19" x14ac:dyDescent="0.3">
      <c r="A1403" s="76" t="s">
        <v>3208</v>
      </c>
      <c r="B1403" s="76" t="s">
        <v>3209</v>
      </c>
      <c r="C1403" s="76" t="s">
        <v>1263</v>
      </c>
      <c r="D1403" s="76" t="s">
        <v>39</v>
      </c>
      <c r="E1403" s="76" t="s">
        <v>22</v>
      </c>
      <c r="F1403" s="77">
        <v>45107</v>
      </c>
      <c r="G1403" s="76">
        <v>2023</v>
      </c>
      <c r="H1403" s="76" t="s">
        <v>23</v>
      </c>
      <c r="I1403" s="76" t="s">
        <v>30</v>
      </c>
      <c r="J1403" s="76">
        <v>67</v>
      </c>
      <c r="K1403" s="76">
        <v>61</v>
      </c>
      <c r="L1403" s="78">
        <f t="shared" si="162"/>
        <v>0.91044776119402981</v>
      </c>
      <c r="M1403" s="78">
        <f t="shared" si="163"/>
        <v>0.91044776119402981</v>
      </c>
      <c r="N1403" s="76" t="s">
        <v>25</v>
      </c>
      <c r="O1403" s="76" t="s">
        <v>25</v>
      </c>
      <c r="P1403" s="76">
        <v>0</v>
      </c>
      <c r="Q1403" s="76">
        <v>0</v>
      </c>
      <c r="R1403" s="76" t="s">
        <v>3210</v>
      </c>
      <c r="S1403" s="76"/>
    </row>
    <row r="1404" spans="1:19" x14ac:dyDescent="0.3">
      <c r="A1404" s="76" t="s">
        <v>3208</v>
      </c>
      <c r="B1404" s="76" t="s">
        <v>3209</v>
      </c>
      <c r="C1404" s="76" t="s">
        <v>1263</v>
      </c>
      <c r="D1404" s="76" t="s">
        <v>39</v>
      </c>
      <c r="E1404" s="76" t="s">
        <v>22</v>
      </c>
      <c r="F1404" s="77">
        <v>45291</v>
      </c>
      <c r="G1404" s="76">
        <v>2023</v>
      </c>
      <c r="H1404" s="76" t="s">
        <v>27</v>
      </c>
      <c r="I1404" s="76" t="s">
        <v>32</v>
      </c>
      <c r="J1404" s="76">
        <v>100</v>
      </c>
      <c r="K1404" s="76">
        <v>99.78</v>
      </c>
      <c r="L1404" s="78">
        <f t="shared" si="162"/>
        <v>0.99780000000000002</v>
      </c>
      <c r="M1404" s="78">
        <f t="shared" si="163"/>
        <v>0.99780000000000002</v>
      </c>
      <c r="N1404" s="76" t="s">
        <v>25</v>
      </c>
      <c r="O1404" s="76" t="s">
        <v>25</v>
      </c>
      <c r="P1404" s="76">
        <v>0</v>
      </c>
      <c r="Q1404" s="76">
        <v>0</v>
      </c>
      <c r="R1404" s="76" t="s">
        <v>3212</v>
      </c>
      <c r="S1404" s="76"/>
    </row>
    <row r="1405" spans="1:19" x14ac:dyDescent="0.3">
      <c r="A1405" s="76" t="s">
        <v>3208</v>
      </c>
      <c r="B1405" s="76" t="s">
        <v>3209</v>
      </c>
      <c r="C1405" s="76" t="s">
        <v>1263</v>
      </c>
      <c r="D1405" s="76" t="s">
        <v>39</v>
      </c>
      <c r="E1405" s="76" t="s">
        <v>22</v>
      </c>
      <c r="F1405" s="77">
        <v>45473</v>
      </c>
      <c r="G1405" s="76">
        <v>2024</v>
      </c>
      <c r="H1405" s="76" t="s">
        <v>23</v>
      </c>
      <c r="I1405" s="76" t="s">
        <v>34</v>
      </c>
      <c r="J1405" s="76">
        <v>51.88</v>
      </c>
      <c r="K1405" s="76">
        <v>57</v>
      </c>
      <c r="L1405" s="78">
        <f t="shared" si="162"/>
        <v>1</v>
      </c>
      <c r="M1405" s="78">
        <f t="shared" si="163"/>
        <v>1</v>
      </c>
      <c r="N1405" s="76" t="s">
        <v>25</v>
      </c>
      <c r="O1405" s="76" t="s">
        <v>25</v>
      </c>
      <c r="P1405" s="76">
        <v>0</v>
      </c>
      <c r="Q1405" s="76">
        <v>0</v>
      </c>
      <c r="R1405" s="76" t="s">
        <v>3214</v>
      </c>
      <c r="S1405" s="76"/>
    </row>
    <row r="1406" spans="1:19" x14ac:dyDescent="0.3">
      <c r="A1406" s="76" t="s">
        <v>3208</v>
      </c>
      <c r="B1406" s="76" t="s">
        <v>3209</v>
      </c>
      <c r="C1406" s="76" t="s">
        <v>1263</v>
      </c>
      <c r="D1406" s="76" t="s">
        <v>39</v>
      </c>
      <c r="E1406" s="76" t="s">
        <v>22</v>
      </c>
      <c r="F1406" s="77">
        <v>45657</v>
      </c>
      <c r="G1406" s="76">
        <v>2024</v>
      </c>
      <c r="H1406" s="76" t="s">
        <v>27</v>
      </c>
      <c r="I1406" s="76" t="s">
        <v>36</v>
      </c>
      <c r="J1406" s="76">
        <v>100</v>
      </c>
      <c r="K1406" s="76">
        <v>100</v>
      </c>
      <c r="L1406" s="78">
        <f t="shared" si="162"/>
        <v>1</v>
      </c>
      <c r="M1406" s="78">
        <f t="shared" si="163"/>
        <v>1</v>
      </c>
      <c r="N1406" s="76" t="s">
        <v>25</v>
      </c>
      <c r="O1406" s="76" t="s">
        <v>25</v>
      </c>
      <c r="P1406" s="76">
        <v>0</v>
      </c>
      <c r="Q1406" s="76">
        <v>0</v>
      </c>
      <c r="R1406" s="76" t="s">
        <v>3216</v>
      </c>
      <c r="S1406" s="76"/>
    </row>
    <row r="1407" spans="1:19" x14ac:dyDescent="0.3">
      <c r="A1407" s="76" t="s">
        <v>3217</v>
      </c>
      <c r="B1407" s="76" t="s">
        <v>3218</v>
      </c>
      <c r="C1407" s="76" t="s">
        <v>1263</v>
      </c>
      <c r="D1407" s="76" t="s">
        <v>39</v>
      </c>
      <c r="E1407" s="76" t="s">
        <v>22</v>
      </c>
      <c r="F1407" s="77">
        <v>45107</v>
      </c>
      <c r="G1407" s="76">
        <v>2023</v>
      </c>
      <c r="H1407" s="76" t="s">
        <v>23</v>
      </c>
      <c r="I1407" s="76" t="s">
        <v>30</v>
      </c>
      <c r="J1407" s="76">
        <v>56</v>
      </c>
      <c r="K1407" s="76">
        <v>70</v>
      </c>
      <c r="L1407" s="78">
        <f t="shared" si="162"/>
        <v>1</v>
      </c>
      <c r="M1407" s="78">
        <f t="shared" si="163"/>
        <v>1</v>
      </c>
      <c r="N1407" s="76" t="s">
        <v>25</v>
      </c>
      <c r="O1407" s="76" t="s">
        <v>25</v>
      </c>
      <c r="P1407" s="76">
        <v>0</v>
      </c>
      <c r="Q1407" s="76">
        <v>0</v>
      </c>
      <c r="R1407" s="76" t="s">
        <v>3219</v>
      </c>
      <c r="S1407" s="76"/>
    </row>
    <row r="1408" spans="1:19" x14ac:dyDescent="0.3">
      <c r="A1408" s="76" t="s">
        <v>3217</v>
      </c>
      <c r="B1408" s="76" t="s">
        <v>3218</v>
      </c>
      <c r="C1408" s="76" t="s">
        <v>1263</v>
      </c>
      <c r="D1408" s="76" t="s">
        <v>39</v>
      </c>
      <c r="E1408" s="76" t="s">
        <v>22</v>
      </c>
      <c r="F1408" s="77">
        <v>45291</v>
      </c>
      <c r="G1408" s="76">
        <v>2023</v>
      </c>
      <c r="H1408" s="76" t="s">
        <v>27</v>
      </c>
      <c r="I1408" s="76" t="s">
        <v>32</v>
      </c>
      <c r="J1408" s="76">
        <v>100</v>
      </c>
      <c r="K1408" s="76">
        <v>100</v>
      </c>
      <c r="L1408" s="78">
        <f t="shared" si="162"/>
        <v>1</v>
      </c>
      <c r="M1408" s="78">
        <f t="shared" si="163"/>
        <v>1</v>
      </c>
      <c r="N1408" s="76" t="s">
        <v>25</v>
      </c>
      <c r="O1408" s="76" t="s">
        <v>25</v>
      </c>
      <c r="P1408" s="76">
        <v>0</v>
      </c>
      <c r="Q1408" s="76">
        <v>0</v>
      </c>
      <c r="R1408" s="76" t="s">
        <v>3221</v>
      </c>
      <c r="S1408" s="76"/>
    </row>
    <row r="1409" spans="1:19" x14ac:dyDescent="0.3">
      <c r="A1409" s="76" t="s">
        <v>3217</v>
      </c>
      <c r="B1409" s="76" t="s">
        <v>3218</v>
      </c>
      <c r="C1409" s="76" t="s">
        <v>1263</v>
      </c>
      <c r="D1409" s="76" t="s">
        <v>39</v>
      </c>
      <c r="E1409" s="76" t="s">
        <v>22</v>
      </c>
      <c r="F1409" s="77">
        <v>45473</v>
      </c>
      <c r="G1409" s="76">
        <v>2024</v>
      </c>
      <c r="H1409" s="76" t="s">
        <v>23</v>
      </c>
      <c r="I1409" s="76" t="s">
        <v>34</v>
      </c>
      <c r="J1409" s="76">
        <v>75.790000000000006</v>
      </c>
      <c r="K1409" s="76">
        <v>65.5</v>
      </c>
      <c r="L1409" s="78">
        <f t="shared" si="162"/>
        <v>0.86423010951312829</v>
      </c>
      <c r="M1409" s="78">
        <f t="shared" si="163"/>
        <v>0.86423010951312829</v>
      </c>
      <c r="N1409" s="76" t="s">
        <v>25</v>
      </c>
      <c r="O1409" s="76" t="s">
        <v>25</v>
      </c>
      <c r="P1409" s="76">
        <v>0</v>
      </c>
      <c r="Q1409" s="76">
        <v>0</v>
      </c>
      <c r="R1409" s="76" t="s">
        <v>3223</v>
      </c>
      <c r="S1409" s="76"/>
    </row>
    <row r="1410" spans="1:19" x14ac:dyDescent="0.3">
      <c r="A1410" s="76" t="s">
        <v>3217</v>
      </c>
      <c r="B1410" s="76" t="s">
        <v>3218</v>
      </c>
      <c r="C1410" s="76" t="s">
        <v>1263</v>
      </c>
      <c r="D1410" s="76" t="s">
        <v>39</v>
      </c>
      <c r="E1410" s="76" t="s">
        <v>22</v>
      </c>
      <c r="F1410" s="77">
        <v>45657</v>
      </c>
      <c r="G1410" s="76">
        <v>2024</v>
      </c>
      <c r="H1410" s="76" t="s">
        <v>27</v>
      </c>
      <c r="I1410" s="76" t="s">
        <v>36</v>
      </c>
      <c r="J1410" s="76">
        <v>100</v>
      </c>
      <c r="K1410" s="76">
        <v>100</v>
      </c>
      <c r="L1410" s="78">
        <f t="shared" si="162"/>
        <v>1</v>
      </c>
      <c r="M1410" s="78">
        <f t="shared" si="163"/>
        <v>1</v>
      </c>
      <c r="N1410" s="76" t="s">
        <v>25</v>
      </c>
      <c r="O1410" s="76" t="s">
        <v>25</v>
      </c>
      <c r="P1410" s="76">
        <v>0</v>
      </c>
      <c r="Q1410" s="76">
        <v>0</v>
      </c>
      <c r="R1410" s="76" t="s">
        <v>3225</v>
      </c>
      <c r="S1410" s="76"/>
    </row>
    <row r="1411" spans="1:19" x14ac:dyDescent="0.3">
      <c r="A1411" s="76" t="s">
        <v>3226</v>
      </c>
      <c r="B1411" s="76" t="s">
        <v>3227</v>
      </c>
      <c r="C1411" s="76" t="s">
        <v>1263</v>
      </c>
      <c r="D1411" s="76" t="s">
        <v>39</v>
      </c>
      <c r="E1411" s="76" t="s">
        <v>22</v>
      </c>
      <c r="F1411" s="77">
        <v>45107</v>
      </c>
      <c r="G1411" s="76">
        <v>2023</v>
      </c>
      <c r="H1411" s="76" t="s">
        <v>23</v>
      </c>
      <c r="I1411" s="76" t="s">
        <v>30</v>
      </c>
      <c r="J1411" s="76">
        <v>56</v>
      </c>
      <c r="K1411" s="76">
        <v>66</v>
      </c>
      <c r="L1411" s="78">
        <f t="shared" ref="L1411:L1447" si="164">IFERROR(IF(OR(J1411=0,K1411=""),"",IF(E1411="Positivo",MIN(MAX(K1411/J1411,0),1),MIN(MAX(J1411/K1411,0),1))),"")</f>
        <v>1</v>
      </c>
      <c r="M1411" s="78">
        <f t="shared" ref="M1411:M1447" si="165">IFERROR(IF(OR(J1411=0,K1411=""),"",IF(E1411="Positivo",MIN(MAX(K1411/J1411,0),1),MIN(MAX(J1411/K1411,0),1))),"")</f>
        <v>1</v>
      </c>
      <c r="N1411" s="76" t="s">
        <v>25</v>
      </c>
      <c r="O1411" s="76" t="s">
        <v>25</v>
      </c>
      <c r="P1411" s="76">
        <v>0</v>
      </c>
      <c r="Q1411" s="76">
        <v>0</v>
      </c>
      <c r="R1411" s="76" t="s">
        <v>3228</v>
      </c>
      <c r="S1411" s="76"/>
    </row>
    <row r="1412" spans="1:19" x14ac:dyDescent="0.3">
      <c r="A1412" s="76" t="s">
        <v>3226</v>
      </c>
      <c r="B1412" s="76" t="s">
        <v>3227</v>
      </c>
      <c r="C1412" s="76" t="s">
        <v>1263</v>
      </c>
      <c r="D1412" s="76" t="s">
        <v>39</v>
      </c>
      <c r="E1412" s="76" t="s">
        <v>22</v>
      </c>
      <c r="F1412" s="77">
        <v>45291</v>
      </c>
      <c r="G1412" s="76">
        <v>2023</v>
      </c>
      <c r="H1412" s="76" t="s">
        <v>27</v>
      </c>
      <c r="I1412" s="76" t="s">
        <v>32</v>
      </c>
      <c r="J1412" s="76">
        <v>100</v>
      </c>
      <c r="K1412" s="76">
        <v>100</v>
      </c>
      <c r="L1412" s="78">
        <f t="shared" si="164"/>
        <v>1</v>
      </c>
      <c r="M1412" s="78">
        <f t="shared" si="165"/>
        <v>1</v>
      </c>
      <c r="N1412" s="76" t="s">
        <v>25</v>
      </c>
      <c r="O1412" s="76" t="s">
        <v>25</v>
      </c>
      <c r="P1412" s="76">
        <v>0</v>
      </c>
      <c r="Q1412" s="76">
        <v>0</v>
      </c>
      <c r="R1412" s="76" t="s">
        <v>3230</v>
      </c>
      <c r="S1412" s="76"/>
    </row>
    <row r="1413" spans="1:19" x14ac:dyDescent="0.3">
      <c r="A1413" s="76" t="s">
        <v>3226</v>
      </c>
      <c r="B1413" s="76" t="s">
        <v>3227</v>
      </c>
      <c r="C1413" s="76" t="s">
        <v>1263</v>
      </c>
      <c r="D1413" s="76" t="s">
        <v>39</v>
      </c>
      <c r="E1413" s="76" t="s">
        <v>22</v>
      </c>
      <c r="F1413" s="77">
        <v>45473</v>
      </c>
      <c r="G1413" s="76">
        <v>2024</v>
      </c>
      <c r="H1413" s="76" t="s">
        <v>23</v>
      </c>
      <c r="I1413" s="76" t="s">
        <v>34</v>
      </c>
      <c r="J1413" s="76">
        <v>19.57</v>
      </c>
      <c r="K1413" s="76">
        <v>16.25</v>
      </c>
      <c r="L1413" s="78">
        <f t="shared" si="164"/>
        <v>0.83035258048032701</v>
      </c>
      <c r="M1413" s="78">
        <f t="shared" si="165"/>
        <v>0.83035258048032701</v>
      </c>
      <c r="N1413" s="76" t="s">
        <v>25</v>
      </c>
      <c r="O1413" s="76" t="s">
        <v>25</v>
      </c>
      <c r="P1413" s="76">
        <v>0</v>
      </c>
      <c r="Q1413" s="76">
        <v>0</v>
      </c>
      <c r="R1413" s="76" t="s">
        <v>3232</v>
      </c>
      <c r="S1413" s="76"/>
    </row>
    <row r="1414" spans="1:19" x14ac:dyDescent="0.3">
      <c r="A1414" s="76" t="s">
        <v>3226</v>
      </c>
      <c r="B1414" s="76" t="s">
        <v>3227</v>
      </c>
      <c r="C1414" s="76" t="s">
        <v>1263</v>
      </c>
      <c r="D1414" s="76" t="s">
        <v>39</v>
      </c>
      <c r="E1414" s="76" t="s">
        <v>22</v>
      </c>
      <c r="F1414" s="77">
        <v>45657</v>
      </c>
      <c r="G1414" s="76">
        <v>2024</v>
      </c>
      <c r="H1414" s="76" t="s">
        <v>27</v>
      </c>
      <c r="I1414" s="76" t="s">
        <v>36</v>
      </c>
      <c r="J1414" s="76">
        <v>100</v>
      </c>
      <c r="K1414" s="76">
        <v>100</v>
      </c>
      <c r="L1414" s="78">
        <f t="shared" si="164"/>
        <v>1</v>
      </c>
      <c r="M1414" s="78">
        <f t="shared" si="165"/>
        <v>1</v>
      </c>
      <c r="N1414" s="76" t="s">
        <v>25</v>
      </c>
      <c r="O1414" s="76" t="s">
        <v>25</v>
      </c>
      <c r="P1414" s="76">
        <v>0</v>
      </c>
      <c r="Q1414" s="76">
        <v>0</v>
      </c>
      <c r="R1414" s="76" t="s">
        <v>3234</v>
      </c>
      <c r="S1414" s="76"/>
    </row>
    <row r="1415" spans="1:19" x14ac:dyDescent="0.3">
      <c r="A1415" s="76" t="s">
        <v>3235</v>
      </c>
      <c r="B1415" s="76" t="s">
        <v>3236</v>
      </c>
      <c r="C1415" s="76" t="s">
        <v>1263</v>
      </c>
      <c r="D1415" s="76" t="s">
        <v>39</v>
      </c>
      <c r="E1415" s="76" t="s">
        <v>22</v>
      </c>
      <c r="F1415" s="77">
        <v>45107</v>
      </c>
      <c r="G1415" s="76">
        <v>2023</v>
      </c>
      <c r="H1415" s="76" t="s">
        <v>23</v>
      </c>
      <c r="I1415" s="76" t="s">
        <v>30</v>
      </c>
      <c r="J1415" s="76">
        <v>61</v>
      </c>
      <c r="K1415" s="76">
        <v>69</v>
      </c>
      <c r="L1415" s="78">
        <f t="shared" si="164"/>
        <v>1</v>
      </c>
      <c r="M1415" s="78">
        <f t="shared" si="165"/>
        <v>1</v>
      </c>
      <c r="N1415" s="76" t="s">
        <v>25</v>
      </c>
      <c r="O1415" s="76" t="s">
        <v>25</v>
      </c>
      <c r="P1415" s="76">
        <v>0</v>
      </c>
      <c r="Q1415" s="76">
        <v>0</v>
      </c>
      <c r="R1415" s="76" t="s">
        <v>3237</v>
      </c>
      <c r="S1415" s="76"/>
    </row>
    <row r="1416" spans="1:19" x14ac:dyDescent="0.3">
      <c r="A1416" s="76" t="s">
        <v>3235</v>
      </c>
      <c r="B1416" s="76" t="s">
        <v>3236</v>
      </c>
      <c r="C1416" s="76" t="s">
        <v>1263</v>
      </c>
      <c r="D1416" s="76" t="s">
        <v>39</v>
      </c>
      <c r="E1416" s="76" t="s">
        <v>22</v>
      </c>
      <c r="F1416" s="77">
        <v>45291</v>
      </c>
      <c r="G1416" s="76">
        <v>2023</v>
      </c>
      <c r="H1416" s="76" t="s">
        <v>27</v>
      </c>
      <c r="I1416" s="76" t="s">
        <v>32</v>
      </c>
      <c r="J1416" s="76">
        <v>100</v>
      </c>
      <c r="K1416" s="76">
        <v>100</v>
      </c>
      <c r="L1416" s="78">
        <f t="shared" si="164"/>
        <v>1</v>
      </c>
      <c r="M1416" s="78">
        <f t="shared" si="165"/>
        <v>1</v>
      </c>
      <c r="N1416" s="76" t="s">
        <v>25</v>
      </c>
      <c r="O1416" s="76" t="s">
        <v>25</v>
      </c>
      <c r="P1416" s="76">
        <v>0</v>
      </c>
      <c r="Q1416" s="76">
        <v>0</v>
      </c>
      <c r="R1416" s="76" t="s">
        <v>3239</v>
      </c>
      <c r="S1416" s="76"/>
    </row>
    <row r="1417" spans="1:19" x14ac:dyDescent="0.3">
      <c r="A1417" s="76" t="s">
        <v>3235</v>
      </c>
      <c r="B1417" s="76" t="s">
        <v>3236</v>
      </c>
      <c r="C1417" s="76" t="s">
        <v>1263</v>
      </c>
      <c r="D1417" s="76" t="s">
        <v>39</v>
      </c>
      <c r="E1417" s="76" t="s">
        <v>22</v>
      </c>
      <c r="F1417" s="77">
        <v>45473</v>
      </c>
      <c r="G1417" s="76">
        <v>2024</v>
      </c>
      <c r="H1417" s="76" t="s">
        <v>23</v>
      </c>
      <c r="I1417" s="76" t="s">
        <v>34</v>
      </c>
      <c r="J1417" s="76">
        <v>64.13</v>
      </c>
      <c r="K1417" s="76">
        <v>67.98</v>
      </c>
      <c r="L1417" s="78">
        <f t="shared" si="164"/>
        <v>1</v>
      </c>
      <c r="M1417" s="78">
        <f t="shared" si="165"/>
        <v>1</v>
      </c>
      <c r="N1417" s="76" t="s">
        <v>25</v>
      </c>
      <c r="O1417" s="76" t="s">
        <v>25</v>
      </c>
      <c r="P1417" s="76">
        <v>0</v>
      </c>
      <c r="Q1417" s="76">
        <v>0</v>
      </c>
      <c r="R1417" s="76" t="s">
        <v>3241</v>
      </c>
      <c r="S1417" s="76"/>
    </row>
    <row r="1418" spans="1:19" x14ac:dyDescent="0.3">
      <c r="A1418" s="76" t="s">
        <v>3235</v>
      </c>
      <c r="B1418" s="76" t="s">
        <v>3236</v>
      </c>
      <c r="C1418" s="76" t="s">
        <v>1263</v>
      </c>
      <c r="D1418" s="76" t="s">
        <v>39</v>
      </c>
      <c r="E1418" s="76" t="s">
        <v>22</v>
      </c>
      <c r="F1418" s="77">
        <v>45657</v>
      </c>
      <c r="G1418" s="76">
        <v>2024</v>
      </c>
      <c r="H1418" s="76" t="s">
        <v>27</v>
      </c>
      <c r="I1418" s="76" t="s">
        <v>36</v>
      </c>
      <c r="J1418" s="76">
        <v>100</v>
      </c>
      <c r="K1418" s="76">
        <v>100</v>
      </c>
      <c r="L1418" s="78">
        <f t="shared" si="164"/>
        <v>1</v>
      </c>
      <c r="M1418" s="78">
        <f t="shared" si="165"/>
        <v>1</v>
      </c>
      <c r="N1418" s="76" t="s">
        <v>25</v>
      </c>
      <c r="O1418" s="76" t="s">
        <v>25</v>
      </c>
      <c r="P1418" s="76">
        <v>0</v>
      </c>
      <c r="Q1418" s="76">
        <v>0</v>
      </c>
      <c r="R1418" s="76" t="s">
        <v>3243</v>
      </c>
      <c r="S1418" s="76"/>
    </row>
    <row r="1419" spans="1:19" x14ac:dyDescent="0.3">
      <c r="A1419" s="76" t="s">
        <v>3244</v>
      </c>
      <c r="B1419" s="76" t="s">
        <v>3245</v>
      </c>
      <c r="C1419" s="76" t="s">
        <v>1263</v>
      </c>
      <c r="D1419" s="76" t="s">
        <v>39</v>
      </c>
      <c r="E1419" s="76" t="s">
        <v>22</v>
      </c>
      <c r="F1419" s="77">
        <v>45107</v>
      </c>
      <c r="G1419" s="76">
        <v>2023</v>
      </c>
      <c r="H1419" s="76" t="s">
        <v>23</v>
      </c>
      <c r="I1419" s="76" t="s">
        <v>30</v>
      </c>
      <c r="J1419" s="76">
        <v>64</v>
      </c>
      <c r="K1419" s="76">
        <v>66</v>
      </c>
      <c r="L1419" s="78">
        <f t="shared" si="164"/>
        <v>1</v>
      </c>
      <c r="M1419" s="78">
        <f t="shared" si="165"/>
        <v>1</v>
      </c>
      <c r="N1419" s="76" t="s">
        <v>25</v>
      </c>
      <c r="O1419" s="76" t="s">
        <v>25</v>
      </c>
      <c r="P1419" s="76">
        <v>0</v>
      </c>
      <c r="Q1419" s="76">
        <v>0</v>
      </c>
      <c r="R1419" s="76" t="s">
        <v>3246</v>
      </c>
      <c r="S1419" s="76"/>
    </row>
    <row r="1420" spans="1:19" x14ac:dyDescent="0.3">
      <c r="A1420" s="76" t="s">
        <v>3244</v>
      </c>
      <c r="B1420" s="76" t="s">
        <v>3245</v>
      </c>
      <c r="C1420" s="76" t="s">
        <v>1263</v>
      </c>
      <c r="D1420" s="76" t="s">
        <v>39</v>
      </c>
      <c r="E1420" s="76" t="s">
        <v>22</v>
      </c>
      <c r="F1420" s="77">
        <v>45291</v>
      </c>
      <c r="G1420" s="76">
        <v>2023</v>
      </c>
      <c r="H1420" s="76" t="s">
        <v>27</v>
      </c>
      <c r="I1420" s="76" t="s">
        <v>32</v>
      </c>
      <c r="J1420" s="76">
        <v>100</v>
      </c>
      <c r="K1420" s="76">
        <v>97.74</v>
      </c>
      <c r="L1420" s="78">
        <f t="shared" si="164"/>
        <v>0.97739999999999994</v>
      </c>
      <c r="M1420" s="78">
        <f t="shared" si="165"/>
        <v>0.97739999999999994</v>
      </c>
      <c r="N1420" s="76" t="s">
        <v>25</v>
      </c>
      <c r="O1420" s="76" t="s">
        <v>25</v>
      </c>
      <c r="P1420" s="76">
        <v>0</v>
      </c>
      <c r="Q1420" s="76">
        <v>0</v>
      </c>
      <c r="R1420" s="76" t="s">
        <v>3248</v>
      </c>
      <c r="S1420" s="76"/>
    </row>
    <row r="1421" spans="1:19" x14ac:dyDescent="0.3">
      <c r="A1421" s="76" t="s">
        <v>3244</v>
      </c>
      <c r="B1421" s="76" t="s">
        <v>3245</v>
      </c>
      <c r="C1421" s="76" t="s">
        <v>1263</v>
      </c>
      <c r="D1421" s="76" t="s">
        <v>39</v>
      </c>
      <c r="E1421" s="76" t="s">
        <v>22</v>
      </c>
      <c r="F1421" s="77">
        <v>45473</v>
      </c>
      <c r="G1421" s="76">
        <v>2024</v>
      </c>
      <c r="H1421" s="76" t="s">
        <v>23</v>
      </c>
      <c r="I1421" s="76" t="s">
        <v>34</v>
      </c>
      <c r="J1421" s="76">
        <v>59.61</v>
      </c>
      <c r="K1421" s="76">
        <v>65.25</v>
      </c>
      <c r="L1421" s="78">
        <f t="shared" si="164"/>
        <v>1</v>
      </c>
      <c r="M1421" s="78">
        <f t="shared" si="165"/>
        <v>1</v>
      </c>
      <c r="N1421" s="76" t="s">
        <v>25</v>
      </c>
      <c r="O1421" s="76" t="s">
        <v>25</v>
      </c>
      <c r="P1421" s="76">
        <v>0</v>
      </c>
      <c r="Q1421" s="76">
        <v>0</v>
      </c>
      <c r="R1421" s="76" t="s">
        <v>3250</v>
      </c>
      <c r="S1421" s="76"/>
    </row>
    <row r="1422" spans="1:19" x14ac:dyDescent="0.3">
      <c r="A1422" s="76" t="s">
        <v>3244</v>
      </c>
      <c r="B1422" s="76" t="s">
        <v>3245</v>
      </c>
      <c r="C1422" s="76" t="s">
        <v>1263</v>
      </c>
      <c r="D1422" s="76" t="s">
        <v>39</v>
      </c>
      <c r="E1422" s="76" t="s">
        <v>22</v>
      </c>
      <c r="F1422" s="77">
        <v>45657</v>
      </c>
      <c r="G1422" s="76">
        <v>2024</v>
      </c>
      <c r="H1422" s="76" t="s">
        <v>27</v>
      </c>
      <c r="I1422" s="76" t="s">
        <v>36</v>
      </c>
      <c r="J1422" s="76">
        <v>100</v>
      </c>
      <c r="K1422" s="76">
        <v>100</v>
      </c>
      <c r="L1422" s="78">
        <f t="shared" si="164"/>
        <v>1</v>
      </c>
      <c r="M1422" s="78">
        <f t="shared" si="165"/>
        <v>1</v>
      </c>
      <c r="N1422" s="76" t="s">
        <v>25</v>
      </c>
      <c r="O1422" s="76" t="s">
        <v>25</v>
      </c>
      <c r="P1422" s="76">
        <v>0</v>
      </c>
      <c r="Q1422" s="76">
        <v>0</v>
      </c>
      <c r="R1422" s="76" t="s">
        <v>3252</v>
      </c>
      <c r="S1422" s="76"/>
    </row>
    <row r="1423" spans="1:19" x14ac:dyDescent="0.3">
      <c r="A1423" s="76" t="s">
        <v>3253</v>
      </c>
      <c r="B1423" s="76" t="s">
        <v>3254</v>
      </c>
      <c r="C1423" s="76" t="s">
        <v>1263</v>
      </c>
      <c r="D1423" s="76" t="s">
        <v>39</v>
      </c>
      <c r="E1423" s="76" t="s">
        <v>22</v>
      </c>
      <c r="F1423" s="77">
        <v>45107</v>
      </c>
      <c r="G1423" s="76">
        <v>2023</v>
      </c>
      <c r="H1423" s="76" t="s">
        <v>23</v>
      </c>
      <c r="I1423" s="76" t="s">
        <v>30</v>
      </c>
      <c r="J1423" s="76">
        <v>71</v>
      </c>
      <c r="K1423" s="76">
        <v>84</v>
      </c>
      <c r="L1423" s="78">
        <f t="shared" si="164"/>
        <v>1</v>
      </c>
      <c r="M1423" s="78">
        <f t="shared" si="165"/>
        <v>1</v>
      </c>
      <c r="N1423" s="76" t="s">
        <v>25</v>
      </c>
      <c r="O1423" s="76" t="s">
        <v>25</v>
      </c>
      <c r="P1423" s="76">
        <v>0</v>
      </c>
      <c r="Q1423" s="76">
        <v>0</v>
      </c>
      <c r="R1423" s="76" t="s">
        <v>3255</v>
      </c>
      <c r="S1423" s="76"/>
    </row>
    <row r="1424" spans="1:19" x14ac:dyDescent="0.3">
      <c r="A1424" s="76" t="s">
        <v>3253</v>
      </c>
      <c r="B1424" s="76" t="s">
        <v>3254</v>
      </c>
      <c r="C1424" s="76" t="s">
        <v>1263</v>
      </c>
      <c r="D1424" s="76" t="s">
        <v>39</v>
      </c>
      <c r="E1424" s="76" t="s">
        <v>22</v>
      </c>
      <c r="F1424" s="77">
        <v>45291</v>
      </c>
      <c r="G1424" s="76">
        <v>2023</v>
      </c>
      <c r="H1424" s="76" t="s">
        <v>27</v>
      </c>
      <c r="I1424" s="76" t="s">
        <v>32</v>
      </c>
      <c r="J1424" s="76">
        <v>100</v>
      </c>
      <c r="K1424" s="76">
        <v>100</v>
      </c>
      <c r="L1424" s="78">
        <f t="shared" si="164"/>
        <v>1</v>
      </c>
      <c r="M1424" s="78">
        <f t="shared" si="165"/>
        <v>1</v>
      </c>
      <c r="N1424" s="76" t="s">
        <v>25</v>
      </c>
      <c r="O1424" s="76" t="s">
        <v>25</v>
      </c>
      <c r="P1424" s="76">
        <v>0</v>
      </c>
      <c r="Q1424" s="76">
        <v>0</v>
      </c>
      <c r="R1424" s="76" t="s">
        <v>3257</v>
      </c>
      <c r="S1424" s="76"/>
    </row>
    <row r="1425" spans="1:19" x14ac:dyDescent="0.3">
      <c r="A1425" s="76" t="s">
        <v>3253</v>
      </c>
      <c r="B1425" s="76" t="s">
        <v>3254</v>
      </c>
      <c r="C1425" s="76" t="s">
        <v>1263</v>
      </c>
      <c r="D1425" s="76" t="s">
        <v>39</v>
      </c>
      <c r="E1425" s="76" t="s">
        <v>22</v>
      </c>
      <c r="F1425" s="77">
        <v>45473</v>
      </c>
      <c r="G1425" s="76">
        <v>2024</v>
      </c>
      <c r="H1425" s="76" t="s">
        <v>23</v>
      </c>
      <c r="I1425" s="76" t="s">
        <v>34</v>
      </c>
      <c r="J1425" s="76">
        <v>46.42</v>
      </c>
      <c r="K1425" s="76">
        <v>47.33</v>
      </c>
      <c r="L1425" s="78">
        <f t="shared" si="164"/>
        <v>1</v>
      </c>
      <c r="M1425" s="78">
        <f t="shared" si="165"/>
        <v>1</v>
      </c>
      <c r="N1425" s="76" t="s">
        <v>25</v>
      </c>
      <c r="O1425" s="76" t="s">
        <v>25</v>
      </c>
      <c r="P1425" s="76">
        <v>0</v>
      </c>
      <c r="Q1425" s="76">
        <v>0</v>
      </c>
      <c r="R1425" s="76" t="s">
        <v>3259</v>
      </c>
      <c r="S1425" s="76"/>
    </row>
    <row r="1426" spans="1:19" x14ac:dyDescent="0.3">
      <c r="A1426" s="76" t="s">
        <v>3253</v>
      </c>
      <c r="B1426" s="76" t="s">
        <v>3254</v>
      </c>
      <c r="C1426" s="76" t="s">
        <v>1263</v>
      </c>
      <c r="D1426" s="76" t="s">
        <v>39</v>
      </c>
      <c r="E1426" s="76" t="s">
        <v>22</v>
      </c>
      <c r="F1426" s="77">
        <v>45657</v>
      </c>
      <c r="G1426" s="76">
        <v>2024</v>
      </c>
      <c r="H1426" s="76" t="s">
        <v>27</v>
      </c>
      <c r="I1426" s="76" t="s">
        <v>36</v>
      </c>
      <c r="J1426" s="76">
        <v>100</v>
      </c>
      <c r="K1426" s="76">
        <v>100</v>
      </c>
      <c r="L1426" s="78">
        <f t="shared" si="164"/>
        <v>1</v>
      </c>
      <c r="M1426" s="78">
        <f t="shared" si="165"/>
        <v>1</v>
      </c>
      <c r="N1426" s="76" t="s">
        <v>25</v>
      </c>
      <c r="O1426" s="76" t="s">
        <v>25</v>
      </c>
      <c r="P1426" s="76">
        <v>0</v>
      </c>
      <c r="Q1426" s="76">
        <v>0</v>
      </c>
      <c r="R1426" s="76" t="s">
        <v>3261</v>
      </c>
      <c r="S1426" s="76"/>
    </row>
    <row r="1427" spans="1:19" x14ac:dyDescent="0.3">
      <c r="A1427" s="76" t="s">
        <v>3262</v>
      </c>
      <c r="B1427" s="76" t="s">
        <v>3263</v>
      </c>
      <c r="C1427" s="76" t="s">
        <v>1263</v>
      </c>
      <c r="D1427" s="76" t="s">
        <v>39</v>
      </c>
      <c r="E1427" s="76" t="s">
        <v>22</v>
      </c>
      <c r="F1427" s="77">
        <v>45107</v>
      </c>
      <c r="G1427" s="76">
        <v>2023</v>
      </c>
      <c r="H1427" s="76" t="s">
        <v>23</v>
      </c>
      <c r="I1427" s="76" t="s">
        <v>30</v>
      </c>
      <c r="J1427" s="76">
        <v>39</v>
      </c>
      <c r="K1427" s="76">
        <v>20</v>
      </c>
      <c r="L1427" s="78">
        <f t="shared" si="164"/>
        <v>0.51282051282051277</v>
      </c>
      <c r="M1427" s="78">
        <f t="shared" si="165"/>
        <v>0.51282051282051277</v>
      </c>
      <c r="N1427" s="76" t="s">
        <v>25</v>
      </c>
      <c r="O1427" s="76" t="s">
        <v>25</v>
      </c>
      <c r="P1427" s="76">
        <v>0</v>
      </c>
      <c r="Q1427" s="76">
        <v>0</v>
      </c>
      <c r="R1427" s="76" t="s">
        <v>3264</v>
      </c>
      <c r="S1427" s="76"/>
    </row>
    <row r="1428" spans="1:19" x14ac:dyDescent="0.3">
      <c r="A1428" s="76" t="s">
        <v>3262</v>
      </c>
      <c r="B1428" s="76" t="s">
        <v>3263</v>
      </c>
      <c r="C1428" s="76" t="s">
        <v>1263</v>
      </c>
      <c r="D1428" s="76" t="s">
        <v>39</v>
      </c>
      <c r="E1428" s="76" t="s">
        <v>22</v>
      </c>
      <c r="F1428" s="77">
        <v>45291</v>
      </c>
      <c r="G1428" s="76">
        <v>2023</v>
      </c>
      <c r="H1428" s="76" t="s">
        <v>27</v>
      </c>
      <c r="I1428" s="76" t="s">
        <v>32</v>
      </c>
      <c r="J1428" s="76">
        <v>100</v>
      </c>
      <c r="K1428" s="76">
        <v>86.25</v>
      </c>
      <c r="L1428" s="78">
        <f t="shared" si="164"/>
        <v>0.86250000000000004</v>
      </c>
      <c r="M1428" s="78">
        <f t="shared" si="165"/>
        <v>0.86250000000000004</v>
      </c>
      <c r="N1428" s="76" t="s">
        <v>25</v>
      </c>
      <c r="O1428" s="76" t="s">
        <v>25</v>
      </c>
      <c r="P1428" s="76">
        <v>0</v>
      </c>
      <c r="Q1428" s="76">
        <v>0</v>
      </c>
      <c r="R1428" s="76" t="s">
        <v>3266</v>
      </c>
      <c r="S1428" s="76"/>
    </row>
    <row r="1429" spans="1:19" x14ac:dyDescent="0.3">
      <c r="A1429" s="76" t="s">
        <v>3262</v>
      </c>
      <c r="B1429" s="76" t="s">
        <v>3263</v>
      </c>
      <c r="C1429" s="76" t="s">
        <v>1263</v>
      </c>
      <c r="D1429" s="76" t="s">
        <v>39</v>
      </c>
      <c r="E1429" s="76" t="s">
        <v>22</v>
      </c>
      <c r="F1429" s="77">
        <v>45473</v>
      </c>
      <c r="G1429" s="76">
        <v>2024</v>
      </c>
      <c r="H1429" s="76" t="s">
        <v>23</v>
      </c>
      <c r="I1429" s="76" t="s">
        <v>34</v>
      </c>
      <c r="J1429" s="76">
        <v>89.58</v>
      </c>
      <c r="K1429" s="76">
        <v>61</v>
      </c>
      <c r="L1429" s="78">
        <f t="shared" si="164"/>
        <v>0.68095557043983035</v>
      </c>
      <c r="M1429" s="78">
        <f t="shared" si="165"/>
        <v>0.68095557043983035</v>
      </c>
      <c r="N1429" s="76" t="s">
        <v>25</v>
      </c>
      <c r="O1429" s="76" t="s">
        <v>25</v>
      </c>
      <c r="P1429" s="76">
        <v>0</v>
      </c>
      <c r="Q1429" s="76">
        <v>0</v>
      </c>
      <c r="R1429" s="76" t="s">
        <v>3268</v>
      </c>
      <c r="S1429" s="76"/>
    </row>
    <row r="1430" spans="1:19" x14ac:dyDescent="0.3">
      <c r="A1430" s="76" t="s">
        <v>3262</v>
      </c>
      <c r="B1430" s="76" t="s">
        <v>3263</v>
      </c>
      <c r="C1430" s="76" t="s">
        <v>1263</v>
      </c>
      <c r="D1430" s="76" t="s">
        <v>39</v>
      </c>
      <c r="E1430" s="76" t="s">
        <v>22</v>
      </c>
      <c r="F1430" s="77">
        <v>45657</v>
      </c>
      <c r="G1430" s="76">
        <v>2024</v>
      </c>
      <c r="H1430" s="76" t="s">
        <v>27</v>
      </c>
      <c r="I1430" s="76" t="s">
        <v>36</v>
      </c>
      <c r="J1430" s="76">
        <v>100</v>
      </c>
      <c r="K1430" s="76">
        <v>100</v>
      </c>
      <c r="L1430" s="78">
        <f t="shared" si="164"/>
        <v>1</v>
      </c>
      <c r="M1430" s="78">
        <f t="shared" si="165"/>
        <v>1</v>
      </c>
      <c r="N1430" s="76" t="s">
        <v>25</v>
      </c>
      <c r="O1430" s="76" t="s">
        <v>25</v>
      </c>
      <c r="P1430" s="76">
        <v>0</v>
      </c>
      <c r="Q1430" s="76">
        <v>0</v>
      </c>
      <c r="R1430" s="76" t="s">
        <v>3270</v>
      </c>
      <c r="S1430" s="76"/>
    </row>
    <row r="1431" spans="1:19" x14ac:dyDescent="0.3">
      <c r="A1431" s="76" t="s">
        <v>3271</v>
      </c>
      <c r="B1431" s="76" t="s">
        <v>3272</v>
      </c>
      <c r="C1431" s="76" t="s">
        <v>1263</v>
      </c>
      <c r="D1431" s="76" t="s">
        <v>39</v>
      </c>
      <c r="E1431" s="76" t="s">
        <v>22</v>
      </c>
      <c r="F1431" s="77">
        <v>45107</v>
      </c>
      <c r="G1431" s="76">
        <v>2023</v>
      </c>
      <c r="H1431" s="76" t="s">
        <v>23</v>
      </c>
      <c r="I1431" s="76" t="s">
        <v>30</v>
      </c>
      <c r="J1431" s="76">
        <v>50.8</v>
      </c>
      <c r="K1431" s="76">
        <v>47.47</v>
      </c>
      <c r="L1431" s="78">
        <f t="shared" si="164"/>
        <v>0.93444881889763787</v>
      </c>
      <c r="M1431" s="78">
        <f t="shared" si="165"/>
        <v>0.93444881889763787</v>
      </c>
      <c r="N1431" s="76" t="s">
        <v>25</v>
      </c>
      <c r="O1431" s="76" t="s">
        <v>25</v>
      </c>
      <c r="P1431" s="76">
        <v>0</v>
      </c>
      <c r="Q1431" s="76">
        <v>0</v>
      </c>
      <c r="R1431" s="76" t="s">
        <v>3273</v>
      </c>
      <c r="S1431" s="76"/>
    </row>
    <row r="1432" spans="1:19" x14ac:dyDescent="0.3">
      <c r="A1432" s="76" t="s">
        <v>3271</v>
      </c>
      <c r="B1432" s="76" t="s">
        <v>3272</v>
      </c>
      <c r="C1432" s="76" t="s">
        <v>1263</v>
      </c>
      <c r="D1432" s="76" t="s">
        <v>39</v>
      </c>
      <c r="E1432" s="76" t="s">
        <v>22</v>
      </c>
      <c r="F1432" s="77">
        <v>45291</v>
      </c>
      <c r="G1432" s="76">
        <v>2023</v>
      </c>
      <c r="H1432" s="76" t="s">
        <v>27</v>
      </c>
      <c r="I1432" s="76" t="s">
        <v>32</v>
      </c>
      <c r="J1432" s="76">
        <v>100</v>
      </c>
      <c r="K1432" s="76">
        <v>100</v>
      </c>
      <c r="L1432" s="78">
        <f t="shared" si="164"/>
        <v>1</v>
      </c>
      <c r="M1432" s="78">
        <f t="shared" si="165"/>
        <v>1</v>
      </c>
      <c r="N1432" s="76" t="s">
        <v>25</v>
      </c>
      <c r="O1432" s="76" t="s">
        <v>25</v>
      </c>
      <c r="P1432" s="76">
        <v>0</v>
      </c>
      <c r="Q1432" s="76">
        <v>0</v>
      </c>
      <c r="R1432" s="76" t="s">
        <v>3275</v>
      </c>
      <c r="S1432" s="76"/>
    </row>
    <row r="1433" spans="1:19" x14ac:dyDescent="0.3">
      <c r="A1433" s="76" t="s">
        <v>3271</v>
      </c>
      <c r="B1433" s="76" t="s">
        <v>3272</v>
      </c>
      <c r="C1433" s="76" t="s">
        <v>1263</v>
      </c>
      <c r="D1433" s="76" t="s">
        <v>39</v>
      </c>
      <c r="E1433" s="76" t="s">
        <v>22</v>
      </c>
      <c r="F1433" s="77">
        <v>45473</v>
      </c>
      <c r="G1433" s="76">
        <v>2024</v>
      </c>
      <c r="H1433" s="76" t="s">
        <v>23</v>
      </c>
      <c r="I1433" s="76" t="s">
        <v>34</v>
      </c>
      <c r="J1433" s="76">
        <v>72.38</v>
      </c>
      <c r="K1433" s="76">
        <v>70.209999999999994</v>
      </c>
      <c r="L1433" s="78">
        <f t="shared" si="164"/>
        <v>0.97001934235976783</v>
      </c>
      <c r="M1433" s="78">
        <f t="shared" si="165"/>
        <v>0.97001934235976783</v>
      </c>
      <c r="N1433" s="76" t="s">
        <v>25</v>
      </c>
      <c r="O1433" s="76" t="s">
        <v>25</v>
      </c>
      <c r="P1433" s="76">
        <v>0</v>
      </c>
      <c r="Q1433" s="76">
        <v>0</v>
      </c>
      <c r="R1433" s="76" t="s">
        <v>3277</v>
      </c>
      <c r="S1433" s="76"/>
    </row>
    <row r="1434" spans="1:19" x14ac:dyDescent="0.3">
      <c r="A1434" s="76" t="s">
        <v>3271</v>
      </c>
      <c r="B1434" s="76" t="s">
        <v>3272</v>
      </c>
      <c r="C1434" s="76" t="s">
        <v>1263</v>
      </c>
      <c r="D1434" s="76" t="s">
        <v>39</v>
      </c>
      <c r="E1434" s="76" t="s">
        <v>22</v>
      </c>
      <c r="F1434" s="77">
        <v>45657</v>
      </c>
      <c r="G1434" s="76">
        <v>2024</v>
      </c>
      <c r="H1434" s="76" t="s">
        <v>27</v>
      </c>
      <c r="I1434" s="76" t="s">
        <v>36</v>
      </c>
      <c r="J1434" s="76">
        <v>100</v>
      </c>
      <c r="K1434" s="76">
        <v>100</v>
      </c>
      <c r="L1434" s="78">
        <f t="shared" si="164"/>
        <v>1</v>
      </c>
      <c r="M1434" s="78">
        <f t="shared" si="165"/>
        <v>1</v>
      </c>
      <c r="N1434" s="76" t="s">
        <v>25</v>
      </c>
      <c r="O1434" s="76" t="s">
        <v>25</v>
      </c>
      <c r="P1434" s="76">
        <v>0</v>
      </c>
      <c r="Q1434" s="76">
        <v>0</v>
      </c>
      <c r="R1434" s="76" t="s">
        <v>3279</v>
      </c>
      <c r="S1434" s="76"/>
    </row>
    <row r="1435" spans="1:19" x14ac:dyDescent="0.3">
      <c r="A1435" s="76" t="s">
        <v>3280</v>
      </c>
      <c r="B1435" s="76" t="s">
        <v>3281</v>
      </c>
      <c r="C1435" s="76" t="s">
        <v>1263</v>
      </c>
      <c r="D1435" s="76" t="s">
        <v>39</v>
      </c>
      <c r="E1435" s="76" t="s">
        <v>22</v>
      </c>
      <c r="F1435" s="77">
        <v>45107</v>
      </c>
      <c r="G1435" s="76">
        <v>2023</v>
      </c>
      <c r="H1435" s="76" t="s">
        <v>23</v>
      </c>
      <c r="I1435" s="76" t="s">
        <v>30</v>
      </c>
      <c r="J1435" s="76">
        <v>31.86</v>
      </c>
      <c r="K1435" s="76">
        <v>54</v>
      </c>
      <c r="L1435" s="78">
        <f t="shared" si="164"/>
        <v>1</v>
      </c>
      <c r="M1435" s="78">
        <f t="shared" si="165"/>
        <v>1</v>
      </c>
      <c r="N1435" s="76" t="s">
        <v>25</v>
      </c>
      <c r="O1435" s="76" t="s">
        <v>25</v>
      </c>
      <c r="P1435" s="76">
        <v>0</v>
      </c>
      <c r="Q1435" s="76">
        <v>0</v>
      </c>
      <c r="R1435" s="76" t="s">
        <v>3282</v>
      </c>
      <c r="S1435" s="76"/>
    </row>
    <row r="1436" spans="1:19" x14ac:dyDescent="0.3">
      <c r="A1436" s="76" t="s">
        <v>3280</v>
      </c>
      <c r="B1436" s="76" t="s">
        <v>3281</v>
      </c>
      <c r="C1436" s="76" t="s">
        <v>1263</v>
      </c>
      <c r="D1436" s="76" t="s">
        <v>39</v>
      </c>
      <c r="E1436" s="76" t="s">
        <v>22</v>
      </c>
      <c r="F1436" s="77">
        <v>45291</v>
      </c>
      <c r="G1436" s="76">
        <v>2023</v>
      </c>
      <c r="H1436" s="76" t="s">
        <v>27</v>
      </c>
      <c r="I1436" s="76" t="s">
        <v>32</v>
      </c>
      <c r="J1436" s="76">
        <v>100</v>
      </c>
      <c r="K1436" s="76">
        <v>100</v>
      </c>
      <c r="L1436" s="78">
        <f t="shared" si="164"/>
        <v>1</v>
      </c>
      <c r="M1436" s="78">
        <f t="shared" si="165"/>
        <v>1</v>
      </c>
      <c r="N1436" s="76" t="s">
        <v>25</v>
      </c>
      <c r="O1436" s="76" t="s">
        <v>25</v>
      </c>
      <c r="P1436" s="76">
        <v>0</v>
      </c>
      <c r="Q1436" s="76">
        <v>0</v>
      </c>
      <c r="R1436" s="76" t="s">
        <v>3284</v>
      </c>
      <c r="S1436" s="76"/>
    </row>
    <row r="1437" spans="1:19" x14ac:dyDescent="0.3">
      <c r="A1437" s="76" t="s">
        <v>3280</v>
      </c>
      <c r="B1437" s="76" t="s">
        <v>3281</v>
      </c>
      <c r="C1437" s="76" t="s">
        <v>1263</v>
      </c>
      <c r="D1437" s="76" t="s">
        <v>39</v>
      </c>
      <c r="E1437" s="76" t="s">
        <v>22</v>
      </c>
      <c r="F1437" s="77">
        <v>45473</v>
      </c>
      <c r="G1437" s="76">
        <v>2024</v>
      </c>
      <c r="H1437" s="76" t="s">
        <v>23</v>
      </c>
      <c r="I1437" s="76" t="s">
        <v>34</v>
      </c>
      <c r="J1437" s="76">
        <v>23.26</v>
      </c>
      <c r="K1437" s="76">
        <v>25.92</v>
      </c>
      <c r="L1437" s="78">
        <f t="shared" si="164"/>
        <v>1</v>
      </c>
      <c r="M1437" s="78">
        <f t="shared" si="165"/>
        <v>1</v>
      </c>
      <c r="N1437" s="76" t="s">
        <v>25</v>
      </c>
      <c r="O1437" s="76" t="s">
        <v>25</v>
      </c>
      <c r="P1437" s="76">
        <v>0</v>
      </c>
      <c r="Q1437" s="76">
        <v>0</v>
      </c>
      <c r="R1437" s="76" t="s">
        <v>3286</v>
      </c>
      <c r="S1437" s="76"/>
    </row>
    <row r="1438" spans="1:19" x14ac:dyDescent="0.3">
      <c r="A1438" s="76" t="s">
        <v>3280</v>
      </c>
      <c r="B1438" s="76" t="s">
        <v>3281</v>
      </c>
      <c r="C1438" s="76" t="s">
        <v>1263</v>
      </c>
      <c r="D1438" s="76" t="s">
        <v>39</v>
      </c>
      <c r="E1438" s="76" t="s">
        <v>22</v>
      </c>
      <c r="F1438" s="77">
        <v>45657</v>
      </c>
      <c r="G1438" s="76">
        <v>2024</v>
      </c>
      <c r="H1438" s="76" t="s">
        <v>27</v>
      </c>
      <c r="I1438" s="76" t="s">
        <v>36</v>
      </c>
      <c r="J1438" s="76">
        <v>100</v>
      </c>
      <c r="K1438" s="76">
        <v>100</v>
      </c>
      <c r="L1438" s="78">
        <f t="shared" si="164"/>
        <v>1</v>
      </c>
      <c r="M1438" s="78">
        <f t="shared" si="165"/>
        <v>1</v>
      </c>
      <c r="N1438" s="76" t="s">
        <v>25</v>
      </c>
      <c r="O1438" s="76" t="s">
        <v>25</v>
      </c>
      <c r="P1438" s="76">
        <v>0</v>
      </c>
      <c r="Q1438" s="76">
        <v>0</v>
      </c>
      <c r="R1438" s="76" t="s">
        <v>3288</v>
      </c>
      <c r="S1438" s="76"/>
    </row>
    <row r="1439" spans="1:19" x14ac:dyDescent="0.3">
      <c r="A1439" s="76" t="s">
        <v>3289</v>
      </c>
      <c r="B1439" s="76" t="s">
        <v>3290</v>
      </c>
      <c r="C1439" s="76" t="s">
        <v>1263</v>
      </c>
      <c r="D1439" s="76" t="s">
        <v>39</v>
      </c>
      <c r="E1439" s="76" t="s">
        <v>22</v>
      </c>
      <c r="F1439" s="77">
        <v>45107</v>
      </c>
      <c r="G1439" s="76">
        <v>2023</v>
      </c>
      <c r="H1439" s="76" t="s">
        <v>23</v>
      </c>
      <c r="I1439" s="76" t="s">
        <v>30</v>
      </c>
      <c r="J1439" s="76">
        <v>15.06</v>
      </c>
      <c r="K1439" s="76">
        <v>17.3</v>
      </c>
      <c r="L1439" s="78">
        <f t="shared" si="164"/>
        <v>1</v>
      </c>
      <c r="M1439" s="78">
        <f t="shared" si="165"/>
        <v>1</v>
      </c>
      <c r="N1439" s="76" t="s">
        <v>25</v>
      </c>
      <c r="O1439" s="76" t="s">
        <v>25</v>
      </c>
      <c r="P1439" s="76">
        <v>0</v>
      </c>
      <c r="Q1439" s="76">
        <v>0</v>
      </c>
      <c r="R1439" s="76" t="s">
        <v>3291</v>
      </c>
      <c r="S1439" s="76"/>
    </row>
    <row r="1440" spans="1:19" x14ac:dyDescent="0.3">
      <c r="A1440" s="76" t="s">
        <v>3289</v>
      </c>
      <c r="B1440" s="76" t="s">
        <v>3290</v>
      </c>
      <c r="C1440" s="76" t="s">
        <v>1263</v>
      </c>
      <c r="D1440" s="76" t="s">
        <v>39</v>
      </c>
      <c r="E1440" s="76" t="s">
        <v>22</v>
      </c>
      <c r="F1440" s="77">
        <v>45291</v>
      </c>
      <c r="G1440" s="76">
        <v>2023</v>
      </c>
      <c r="H1440" s="76" t="s">
        <v>27</v>
      </c>
      <c r="I1440" s="76" t="s">
        <v>32</v>
      </c>
      <c r="J1440" s="76">
        <v>100</v>
      </c>
      <c r="K1440" s="76">
        <v>100</v>
      </c>
      <c r="L1440" s="78">
        <f t="shared" si="164"/>
        <v>1</v>
      </c>
      <c r="M1440" s="78">
        <f t="shared" si="165"/>
        <v>1</v>
      </c>
      <c r="N1440" s="76" t="s">
        <v>25</v>
      </c>
      <c r="O1440" s="76" t="s">
        <v>25</v>
      </c>
      <c r="P1440" s="76">
        <v>0</v>
      </c>
      <c r="Q1440" s="76">
        <v>0</v>
      </c>
      <c r="R1440" s="76" t="s">
        <v>3293</v>
      </c>
      <c r="S1440" s="76"/>
    </row>
    <row r="1441" spans="1:19" x14ac:dyDescent="0.3">
      <c r="A1441" s="76" t="s">
        <v>3289</v>
      </c>
      <c r="B1441" s="76" t="s">
        <v>3290</v>
      </c>
      <c r="C1441" s="76" t="s">
        <v>1263</v>
      </c>
      <c r="D1441" s="76" t="s">
        <v>39</v>
      </c>
      <c r="E1441" s="76" t="s">
        <v>22</v>
      </c>
      <c r="F1441" s="77">
        <v>45473</v>
      </c>
      <c r="G1441" s="76">
        <v>2024</v>
      </c>
      <c r="H1441" s="76" t="s">
        <v>23</v>
      </c>
      <c r="I1441" s="76" t="s">
        <v>34</v>
      </c>
      <c r="J1441" s="76">
        <v>64.03</v>
      </c>
      <c r="K1441" s="76">
        <v>66.25</v>
      </c>
      <c r="L1441" s="78">
        <f t="shared" si="164"/>
        <v>1</v>
      </c>
      <c r="M1441" s="78">
        <f t="shared" si="165"/>
        <v>1</v>
      </c>
      <c r="N1441" s="76" t="s">
        <v>25</v>
      </c>
      <c r="O1441" s="76" t="s">
        <v>25</v>
      </c>
      <c r="P1441" s="76">
        <v>0</v>
      </c>
      <c r="Q1441" s="76">
        <v>0</v>
      </c>
      <c r="R1441" s="76" t="s">
        <v>3295</v>
      </c>
      <c r="S1441" s="76"/>
    </row>
    <row r="1442" spans="1:19" x14ac:dyDescent="0.3">
      <c r="A1442" s="76" t="s">
        <v>3289</v>
      </c>
      <c r="B1442" s="76" t="s">
        <v>3290</v>
      </c>
      <c r="C1442" s="76" t="s">
        <v>1263</v>
      </c>
      <c r="D1442" s="76" t="s">
        <v>39</v>
      </c>
      <c r="E1442" s="76" t="s">
        <v>22</v>
      </c>
      <c r="F1442" s="77">
        <v>45657</v>
      </c>
      <c r="G1442" s="76">
        <v>2024</v>
      </c>
      <c r="H1442" s="76" t="s">
        <v>27</v>
      </c>
      <c r="I1442" s="76" t="s">
        <v>36</v>
      </c>
      <c r="J1442" s="76">
        <v>100</v>
      </c>
      <c r="K1442" s="76">
        <v>100</v>
      </c>
      <c r="L1442" s="78">
        <f t="shared" si="164"/>
        <v>1</v>
      </c>
      <c r="M1442" s="78">
        <f t="shared" si="165"/>
        <v>1</v>
      </c>
      <c r="N1442" s="76" t="s">
        <v>25</v>
      </c>
      <c r="O1442" s="76" t="s">
        <v>25</v>
      </c>
      <c r="P1442" s="76">
        <v>0</v>
      </c>
      <c r="Q1442" s="76">
        <v>0</v>
      </c>
      <c r="R1442" s="76" t="s">
        <v>3297</v>
      </c>
      <c r="S1442" s="76"/>
    </row>
    <row r="1443" spans="1:19" x14ac:dyDescent="0.3">
      <c r="A1443" s="76" t="s">
        <v>3298</v>
      </c>
      <c r="B1443" s="76" t="s">
        <v>3299</v>
      </c>
      <c r="C1443" s="76" t="s">
        <v>1263</v>
      </c>
      <c r="D1443" s="76" t="s">
        <v>39</v>
      </c>
      <c r="E1443" s="76" t="s">
        <v>22</v>
      </c>
      <c r="F1443" s="77">
        <v>45107</v>
      </c>
      <c r="G1443" s="76">
        <v>2023</v>
      </c>
      <c r="H1443" s="76" t="s">
        <v>23</v>
      </c>
      <c r="I1443" s="76" t="s">
        <v>30</v>
      </c>
      <c r="J1443" s="76">
        <v>57.83</v>
      </c>
      <c r="K1443" s="76">
        <v>47.72</v>
      </c>
      <c r="L1443" s="78">
        <f t="shared" si="164"/>
        <v>0.82517724364516687</v>
      </c>
      <c r="M1443" s="78">
        <f t="shared" si="165"/>
        <v>0.82517724364516687</v>
      </c>
      <c r="N1443" s="76" t="s">
        <v>25</v>
      </c>
      <c r="O1443" s="76" t="s">
        <v>25</v>
      </c>
      <c r="P1443" s="76">
        <v>0</v>
      </c>
      <c r="Q1443" s="76">
        <v>0</v>
      </c>
      <c r="R1443" s="76" t="s">
        <v>3300</v>
      </c>
      <c r="S1443" s="76"/>
    </row>
    <row r="1444" spans="1:19" x14ac:dyDescent="0.3">
      <c r="A1444" s="76" t="s">
        <v>3298</v>
      </c>
      <c r="B1444" s="76" t="s">
        <v>3299</v>
      </c>
      <c r="C1444" s="76" t="s">
        <v>1263</v>
      </c>
      <c r="D1444" s="76" t="s">
        <v>39</v>
      </c>
      <c r="E1444" s="76" t="s">
        <v>22</v>
      </c>
      <c r="F1444" s="77">
        <v>45291</v>
      </c>
      <c r="G1444" s="76">
        <v>2023</v>
      </c>
      <c r="H1444" s="76" t="s">
        <v>27</v>
      </c>
      <c r="I1444" s="76" t="s">
        <v>32</v>
      </c>
      <c r="J1444" s="76">
        <v>100</v>
      </c>
      <c r="K1444" s="76">
        <v>100</v>
      </c>
      <c r="L1444" s="78">
        <f t="shared" si="164"/>
        <v>1</v>
      </c>
      <c r="M1444" s="78">
        <f t="shared" si="165"/>
        <v>1</v>
      </c>
      <c r="N1444" s="76" t="s">
        <v>25</v>
      </c>
      <c r="O1444" s="76" t="s">
        <v>25</v>
      </c>
      <c r="P1444" s="76">
        <v>0</v>
      </c>
      <c r="Q1444" s="76">
        <v>0</v>
      </c>
      <c r="R1444" s="76" t="s">
        <v>3302</v>
      </c>
      <c r="S1444" s="76"/>
    </row>
    <row r="1445" spans="1:19" x14ac:dyDescent="0.3">
      <c r="A1445" s="76" t="s">
        <v>3298</v>
      </c>
      <c r="B1445" s="76" t="s">
        <v>3299</v>
      </c>
      <c r="C1445" s="76" t="s">
        <v>1263</v>
      </c>
      <c r="D1445" s="76" t="s">
        <v>39</v>
      </c>
      <c r="E1445" s="76" t="s">
        <v>22</v>
      </c>
      <c r="F1445" s="77">
        <v>45473</v>
      </c>
      <c r="G1445" s="76">
        <v>2024</v>
      </c>
      <c r="H1445" s="76" t="s">
        <v>23</v>
      </c>
      <c r="I1445" s="76" t="s">
        <v>34</v>
      </c>
      <c r="J1445" s="76">
        <v>58.34</v>
      </c>
      <c r="K1445" s="76">
        <v>45.5</v>
      </c>
      <c r="L1445" s="78">
        <f t="shared" si="164"/>
        <v>0.77991086732944803</v>
      </c>
      <c r="M1445" s="78">
        <f t="shared" si="165"/>
        <v>0.77991086732944803</v>
      </c>
      <c r="N1445" s="76" t="s">
        <v>25</v>
      </c>
      <c r="O1445" s="76" t="s">
        <v>25</v>
      </c>
      <c r="P1445" s="76">
        <v>0</v>
      </c>
      <c r="Q1445" s="76">
        <v>0</v>
      </c>
      <c r="R1445" s="76" t="s">
        <v>3304</v>
      </c>
      <c r="S1445" s="76"/>
    </row>
    <row r="1446" spans="1:19" x14ac:dyDescent="0.3">
      <c r="A1446" s="76" t="s">
        <v>3298</v>
      </c>
      <c r="B1446" s="76" t="s">
        <v>3299</v>
      </c>
      <c r="C1446" s="76" t="s">
        <v>1263</v>
      </c>
      <c r="D1446" s="76" t="s">
        <v>39</v>
      </c>
      <c r="E1446" s="76" t="s">
        <v>22</v>
      </c>
      <c r="F1446" s="77">
        <v>45657</v>
      </c>
      <c r="G1446" s="76">
        <v>2024</v>
      </c>
      <c r="H1446" s="76" t="s">
        <v>27</v>
      </c>
      <c r="I1446" s="76" t="s">
        <v>36</v>
      </c>
      <c r="J1446" s="76">
        <v>100</v>
      </c>
      <c r="K1446" s="76">
        <v>80</v>
      </c>
      <c r="L1446" s="78">
        <f t="shared" si="164"/>
        <v>0.8</v>
      </c>
      <c r="M1446" s="78">
        <f t="shared" si="165"/>
        <v>0.8</v>
      </c>
      <c r="N1446" s="76" t="s">
        <v>25</v>
      </c>
      <c r="O1446" s="76" t="s">
        <v>25</v>
      </c>
      <c r="P1446" s="76">
        <v>0</v>
      </c>
      <c r="Q1446" s="76">
        <v>0</v>
      </c>
      <c r="R1446" s="76" t="s">
        <v>3306</v>
      </c>
      <c r="S1446" s="76"/>
    </row>
    <row r="1447" spans="1:19" x14ac:dyDescent="0.3">
      <c r="A1447" s="76" t="s">
        <v>3307</v>
      </c>
      <c r="B1447" s="76" t="s">
        <v>3308</v>
      </c>
      <c r="C1447" s="76" t="s">
        <v>1263</v>
      </c>
      <c r="D1447" s="76" t="s">
        <v>39</v>
      </c>
      <c r="E1447" s="76" t="s">
        <v>22</v>
      </c>
      <c r="F1447" s="77">
        <v>45107</v>
      </c>
      <c r="G1447" s="76">
        <v>2023</v>
      </c>
      <c r="H1447" s="76" t="s">
        <v>23</v>
      </c>
      <c r="I1447" s="76" t="s">
        <v>30</v>
      </c>
      <c r="J1447" s="76">
        <v>39.369999999999997</v>
      </c>
      <c r="K1447" s="76">
        <v>41.15</v>
      </c>
      <c r="L1447" s="78">
        <f t="shared" si="164"/>
        <v>1</v>
      </c>
      <c r="M1447" s="78">
        <f t="shared" si="165"/>
        <v>1</v>
      </c>
      <c r="N1447" s="76" t="s">
        <v>25</v>
      </c>
      <c r="O1447" s="76" t="s">
        <v>25</v>
      </c>
      <c r="P1447" s="76">
        <v>0</v>
      </c>
      <c r="Q1447" s="76">
        <v>0</v>
      </c>
      <c r="R1447" s="76" t="s">
        <v>3309</v>
      </c>
      <c r="S1447" s="76"/>
    </row>
    <row r="1448" spans="1:19" x14ac:dyDescent="0.3">
      <c r="A1448" s="76" t="s">
        <v>3307</v>
      </c>
      <c r="B1448" s="76" t="s">
        <v>3308</v>
      </c>
      <c r="C1448" s="76" t="s">
        <v>1263</v>
      </c>
      <c r="D1448" s="76" t="s">
        <v>39</v>
      </c>
      <c r="E1448" s="76" t="s">
        <v>22</v>
      </c>
      <c r="F1448" s="77">
        <v>45291</v>
      </c>
      <c r="G1448" s="76">
        <v>2023</v>
      </c>
      <c r="H1448" s="76" t="s">
        <v>27</v>
      </c>
      <c r="I1448" s="76" t="s">
        <v>32</v>
      </c>
      <c r="J1448" s="76">
        <v>100</v>
      </c>
      <c r="K1448" s="76">
        <v>100</v>
      </c>
      <c r="L1448" s="78">
        <f t="shared" ref="L1448:L1450" si="166">IFERROR(IF(OR(J1448=0,K1448=""),"",IF(E1448="Positivo",MIN(MAX(K1448/J1448,0),1),MIN(MAX(J1448/K1448,0),1))),"")</f>
        <v>1</v>
      </c>
      <c r="M1448" s="78">
        <f t="shared" ref="M1448:M1450" si="167">IFERROR(IF(OR(J1448=0,K1448=""),"",IF(E1448="Positivo",MIN(MAX(K1448/J1448,0),1),MIN(MAX(J1448/K1448,0),1))),"")</f>
        <v>1</v>
      </c>
      <c r="N1448" s="76" t="s">
        <v>25</v>
      </c>
      <c r="O1448" s="76" t="s">
        <v>25</v>
      </c>
      <c r="P1448" s="76">
        <v>0</v>
      </c>
      <c r="Q1448" s="76">
        <v>0</v>
      </c>
      <c r="R1448" s="76" t="s">
        <v>3311</v>
      </c>
      <c r="S1448" s="76"/>
    </row>
    <row r="1449" spans="1:19" x14ac:dyDescent="0.3">
      <c r="A1449" s="76" t="s">
        <v>3307</v>
      </c>
      <c r="B1449" s="76" t="s">
        <v>3308</v>
      </c>
      <c r="C1449" s="76" t="s">
        <v>1263</v>
      </c>
      <c r="D1449" s="76" t="s">
        <v>39</v>
      </c>
      <c r="E1449" s="76" t="s">
        <v>22</v>
      </c>
      <c r="F1449" s="77">
        <v>45473</v>
      </c>
      <c r="G1449" s="76">
        <v>2024</v>
      </c>
      <c r="H1449" s="76" t="s">
        <v>23</v>
      </c>
      <c r="I1449" s="76" t="s">
        <v>34</v>
      </c>
      <c r="J1449" s="76">
        <v>58.4</v>
      </c>
      <c r="K1449" s="76">
        <v>53.96</v>
      </c>
      <c r="L1449" s="78">
        <f t="shared" si="166"/>
        <v>0.92397260273972603</v>
      </c>
      <c r="M1449" s="78">
        <f t="shared" si="167"/>
        <v>0.92397260273972603</v>
      </c>
      <c r="N1449" s="76" t="s">
        <v>25</v>
      </c>
      <c r="O1449" s="76" t="s">
        <v>25</v>
      </c>
      <c r="P1449" s="76">
        <v>0</v>
      </c>
      <c r="Q1449" s="76">
        <v>0</v>
      </c>
      <c r="R1449" s="76" t="s">
        <v>3313</v>
      </c>
      <c r="S1449" s="76"/>
    </row>
    <row r="1450" spans="1:19" x14ac:dyDescent="0.3">
      <c r="A1450" s="76" t="s">
        <v>3307</v>
      </c>
      <c r="B1450" s="76" t="s">
        <v>3308</v>
      </c>
      <c r="C1450" s="76" t="s">
        <v>1263</v>
      </c>
      <c r="D1450" s="76" t="s">
        <v>39</v>
      </c>
      <c r="E1450" s="76" t="s">
        <v>22</v>
      </c>
      <c r="F1450" s="77">
        <v>45657</v>
      </c>
      <c r="G1450" s="76">
        <v>2024</v>
      </c>
      <c r="H1450" s="76" t="s">
        <v>27</v>
      </c>
      <c r="I1450" s="76" t="s">
        <v>36</v>
      </c>
      <c r="J1450" s="76">
        <v>100</v>
      </c>
      <c r="K1450" s="76">
        <v>100</v>
      </c>
      <c r="L1450" s="78">
        <f t="shared" si="166"/>
        <v>1</v>
      </c>
      <c r="M1450" s="78">
        <f t="shared" si="167"/>
        <v>1</v>
      </c>
      <c r="N1450" s="76" t="s">
        <v>25</v>
      </c>
      <c r="O1450" s="76" t="s">
        <v>25</v>
      </c>
      <c r="P1450" s="76">
        <v>0</v>
      </c>
      <c r="Q1450" s="76">
        <v>0</v>
      </c>
      <c r="R1450" s="76" t="s">
        <v>3315</v>
      </c>
      <c r="S1450" s="76"/>
    </row>
    <row r="1451" spans="1:19" x14ac:dyDescent="0.3">
      <c r="A1451" s="76" t="s">
        <v>3316</v>
      </c>
      <c r="B1451" s="76" t="s">
        <v>3317</v>
      </c>
      <c r="C1451" s="76" t="s">
        <v>1263</v>
      </c>
      <c r="D1451" s="76" t="s">
        <v>39</v>
      </c>
      <c r="E1451" s="76" t="s">
        <v>22</v>
      </c>
      <c r="F1451" s="77">
        <v>45473</v>
      </c>
      <c r="G1451" s="76">
        <v>2024</v>
      </c>
      <c r="H1451" s="76" t="s">
        <v>23</v>
      </c>
      <c r="I1451" s="76" t="s">
        <v>34</v>
      </c>
      <c r="J1451" s="76">
        <v>44.68</v>
      </c>
      <c r="K1451" s="76">
        <v>25</v>
      </c>
      <c r="L1451" s="78">
        <f>IFERROR(IF(OR(J1451=0,K1451=""),"",IF(E1451="Positivo",MIN(MAX(K1451/J1451,0),1.3),MIN(MAX(J1451/K1451,0),1.3))),"")</f>
        <v>0.55953446732318712</v>
      </c>
      <c r="M1451" s="78">
        <f>IFERROR(IF(OR(J1451=0,K1451=""),"",IF(E1451="Positivo",MAX(K1451/J1451,0),MAX(J1451/K1451,0))),"")</f>
        <v>0.55953446732318712</v>
      </c>
      <c r="N1451" s="76" t="s">
        <v>25</v>
      </c>
      <c r="O1451" s="76" t="s">
        <v>25</v>
      </c>
      <c r="P1451" s="76">
        <v>0</v>
      </c>
      <c r="Q1451" s="76">
        <v>0</v>
      </c>
      <c r="R1451" s="76" t="s">
        <v>3319</v>
      </c>
      <c r="S1451" s="76"/>
    </row>
    <row r="1452" spans="1:19" x14ac:dyDescent="0.3">
      <c r="A1452" s="76" t="s">
        <v>3316</v>
      </c>
      <c r="B1452" s="76" t="s">
        <v>3317</v>
      </c>
      <c r="C1452" s="76" t="s">
        <v>1263</v>
      </c>
      <c r="D1452" s="76" t="s">
        <v>39</v>
      </c>
      <c r="E1452" s="76" t="s">
        <v>22</v>
      </c>
      <c r="F1452" s="77">
        <v>45657</v>
      </c>
      <c r="G1452" s="76">
        <v>2024</v>
      </c>
      <c r="H1452" s="76" t="s">
        <v>27</v>
      </c>
      <c r="I1452" s="76" t="s">
        <v>36</v>
      </c>
      <c r="J1452" s="76">
        <v>100</v>
      </c>
      <c r="K1452" s="76">
        <v>100</v>
      </c>
      <c r="L1452" s="78">
        <f>IFERROR(IF(OR(J1452=0,K1452=""),"",IF(E1452="Positivo",MIN(MAX(K1452/J1452,0),1.3),MIN(MAX(J1452/K1452,0),1.3))),"")</f>
        <v>1</v>
      </c>
      <c r="M1452" s="78">
        <f>IFERROR(IF(OR(J1452=0,K1452=""),"",IF(E1452="Positivo",MAX(K1452/J1452,0),MAX(J1452/K1452,0))),"")</f>
        <v>1</v>
      </c>
      <c r="N1452" s="76" t="s">
        <v>25</v>
      </c>
      <c r="O1452" s="76" t="s">
        <v>25</v>
      </c>
      <c r="P1452" s="76">
        <v>0</v>
      </c>
      <c r="Q1452" s="76">
        <v>0</v>
      </c>
      <c r="R1452" s="76" t="s">
        <v>3321</v>
      </c>
      <c r="S1452" s="76"/>
    </row>
    <row r="1453" spans="1:19" x14ac:dyDescent="0.3">
      <c r="A1453" s="76" t="s">
        <v>3322</v>
      </c>
      <c r="B1453" s="76" t="s">
        <v>3323</v>
      </c>
      <c r="C1453" s="76" t="s">
        <v>1263</v>
      </c>
      <c r="D1453" s="76" t="s">
        <v>39</v>
      </c>
      <c r="E1453" s="76" t="s">
        <v>22</v>
      </c>
      <c r="F1453" s="77">
        <v>45473</v>
      </c>
      <c r="G1453" s="76">
        <v>2024</v>
      </c>
      <c r="H1453" s="76" t="s">
        <v>23</v>
      </c>
      <c r="I1453" s="76" t="s">
        <v>34</v>
      </c>
      <c r="J1453" s="76">
        <v>89.9</v>
      </c>
      <c r="K1453" s="76">
        <v>82</v>
      </c>
      <c r="L1453" s="78">
        <f t="shared" ref="L1453:L1466" si="168">IFERROR(IF(OR(J1453=0,K1453=""),"",IF(E1453="Positivo",MIN(MAX(K1453/J1453,0),1),MIN(MAX(J1453/K1453,0),1))),"")</f>
        <v>0.91212458286985532</v>
      </c>
      <c r="M1453" s="78">
        <f t="shared" ref="M1453:M1466" si="169">IFERROR(IF(OR(J1453=0,K1453=""),"",IF(E1453="Positivo",MIN(MAX(K1453/J1453,0),1),MIN(MAX(J1453/K1453,0),1))),"")</f>
        <v>0.91212458286985532</v>
      </c>
      <c r="N1453" s="76" t="s">
        <v>25</v>
      </c>
      <c r="O1453" s="76" t="s">
        <v>25</v>
      </c>
      <c r="P1453" s="76">
        <v>0</v>
      </c>
      <c r="Q1453" s="76">
        <v>0</v>
      </c>
      <c r="R1453" s="76" t="s">
        <v>3325</v>
      </c>
      <c r="S1453" s="76"/>
    </row>
    <row r="1454" spans="1:19" x14ac:dyDescent="0.3">
      <c r="A1454" s="76" t="s">
        <v>3322</v>
      </c>
      <c r="B1454" s="76" t="s">
        <v>3323</v>
      </c>
      <c r="C1454" s="76" t="s">
        <v>1263</v>
      </c>
      <c r="D1454" s="76" t="s">
        <v>39</v>
      </c>
      <c r="E1454" s="76" t="s">
        <v>22</v>
      </c>
      <c r="F1454" s="77">
        <v>45657</v>
      </c>
      <c r="G1454" s="76">
        <v>2024</v>
      </c>
      <c r="H1454" s="76" t="s">
        <v>27</v>
      </c>
      <c r="I1454" s="76" t="s">
        <v>36</v>
      </c>
      <c r="J1454" s="76">
        <v>100</v>
      </c>
      <c r="K1454" s="76">
        <v>100</v>
      </c>
      <c r="L1454" s="78">
        <f t="shared" si="168"/>
        <v>1</v>
      </c>
      <c r="M1454" s="78">
        <f t="shared" si="169"/>
        <v>1</v>
      </c>
      <c r="N1454" s="76" t="s">
        <v>25</v>
      </c>
      <c r="O1454" s="76" t="s">
        <v>25</v>
      </c>
      <c r="P1454" s="76">
        <v>0</v>
      </c>
      <c r="Q1454" s="76">
        <v>0</v>
      </c>
      <c r="R1454" s="76" t="s">
        <v>3327</v>
      </c>
      <c r="S1454" s="76"/>
    </row>
    <row r="1455" spans="1:19" x14ac:dyDescent="0.3">
      <c r="A1455" s="76" t="s">
        <v>3328</v>
      </c>
      <c r="B1455" s="76" t="s">
        <v>3329</v>
      </c>
      <c r="C1455" s="76" t="s">
        <v>1263</v>
      </c>
      <c r="D1455" s="76" t="s">
        <v>39</v>
      </c>
      <c r="E1455" s="76" t="s">
        <v>22</v>
      </c>
      <c r="F1455" s="77">
        <v>45473</v>
      </c>
      <c r="G1455" s="76">
        <v>2024</v>
      </c>
      <c r="H1455" s="76" t="s">
        <v>23</v>
      </c>
      <c r="I1455" s="76" t="s">
        <v>34</v>
      </c>
      <c r="J1455" s="76">
        <v>29.69</v>
      </c>
      <c r="K1455" s="76">
        <v>40.36</v>
      </c>
      <c r="L1455" s="78">
        <f t="shared" si="168"/>
        <v>1</v>
      </c>
      <c r="M1455" s="78">
        <f t="shared" si="169"/>
        <v>1</v>
      </c>
      <c r="N1455" s="76" t="s">
        <v>25</v>
      </c>
      <c r="O1455" s="76" t="s">
        <v>25</v>
      </c>
      <c r="P1455" s="76">
        <v>0</v>
      </c>
      <c r="Q1455" s="76">
        <v>0</v>
      </c>
      <c r="R1455" s="76" t="s">
        <v>3331</v>
      </c>
      <c r="S1455" s="76"/>
    </row>
    <row r="1456" spans="1:19" x14ac:dyDescent="0.3">
      <c r="A1456" s="76" t="s">
        <v>3328</v>
      </c>
      <c r="B1456" s="76" t="s">
        <v>3329</v>
      </c>
      <c r="C1456" s="76" t="s">
        <v>1263</v>
      </c>
      <c r="D1456" s="76" t="s">
        <v>39</v>
      </c>
      <c r="E1456" s="76" t="s">
        <v>22</v>
      </c>
      <c r="F1456" s="77">
        <v>45657</v>
      </c>
      <c r="G1456" s="76">
        <v>2024</v>
      </c>
      <c r="H1456" s="76" t="s">
        <v>27</v>
      </c>
      <c r="I1456" s="76" t="s">
        <v>36</v>
      </c>
      <c r="J1456" s="76">
        <v>100</v>
      </c>
      <c r="K1456" s="76">
        <v>100</v>
      </c>
      <c r="L1456" s="78">
        <f t="shared" si="168"/>
        <v>1</v>
      </c>
      <c r="M1456" s="78">
        <f t="shared" si="169"/>
        <v>1</v>
      </c>
      <c r="N1456" s="76" t="s">
        <v>25</v>
      </c>
      <c r="O1456" s="76" t="s">
        <v>25</v>
      </c>
      <c r="P1456" s="76">
        <v>0</v>
      </c>
      <c r="Q1456" s="76">
        <v>0</v>
      </c>
      <c r="R1456" s="76" t="s">
        <v>3333</v>
      </c>
      <c r="S1456" s="76"/>
    </row>
    <row r="1457" spans="1:19" x14ac:dyDescent="0.3">
      <c r="A1457" s="76" t="s">
        <v>3334</v>
      </c>
      <c r="B1457" s="76" t="s">
        <v>3335</v>
      </c>
      <c r="C1457" s="76" t="s">
        <v>1263</v>
      </c>
      <c r="D1457" s="76" t="s">
        <v>39</v>
      </c>
      <c r="E1457" s="76" t="s">
        <v>22</v>
      </c>
      <c r="F1457" s="77">
        <v>45473</v>
      </c>
      <c r="G1457" s="76">
        <v>2024</v>
      </c>
      <c r="H1457" s="76" t="s">
        <v>23</v>
      </c>
      <c r="I1457" s="76" t="s">
        <v>34</v>
      </c>
      <c r="J1457" s="76">
        <v>40.85</v>
      </c>
      <c r="K1457" s="76">
        <v>45.75</v>
      </c>
      <c r="L1457" s="78">
        <f t="shared" si="168"/>
        <v>1</v>
      </c>
      <c r="M1457" s="78">
        <f t="shared" si="169"/>
        <v>1</v>
      </c>
      <c r="N1457" s="76" t="s">
        <v>25</v>
      </c>
      <c r="O1457" s="76" t="s">
        <v>25</v>
      </c>
      <c r="P1457" s="76">
        <v>0</v>
      </c>
      <c r="Q1457" s="76">
        <v>0</v>
      </c>
      <c r="R1457" s="76" t="s">
        <v>3337</v>
      </c>
      <c r="S1457" s="76"/>
    </row>
    <row r="1458" spans="1:19" x14ac:dyDescent="0.3">
      <c r="A1458" s="76" t="s">
        <v>3334</v>
      </c>
      <c r="B1458" s="76" t="s">
        <v>3335</v>
      </c>
      <c r="C1458" s="76" t="s">
        <v>1263</v>
      </c>
      <c r="D1458" s="76" t="s">
        <v>39</v>
      </c>
      <c r="E1458" s="76" t="s">
        <v>22</v>
      </c>
      <c r="F1458" s="77">
        <v>45657</v>
      </c>
      <c r="G1458" s="76">
        <v>2024</v>
      </c>
      <c r="H1458" s="76" t="s">
        <v>27</v>
      </c>
      <c r="I1458" s="76" t="s">
        <v>36</v>
      </c>
      <c r="J1458" s="76">
        <v>100</v>
      </c>
      <c r="K1458" s="76">
        <v>100</v>
      </c>
      <c r="L1458" s="78">
        <f t="shared" si="168"/>
        <v>1</v>
      </c>
      <c r="M1458" s="78">
        <f t="shared" si="169"/>
        <v>1</v>
      </c>
      <c r="N1458" s="76" t="s">
        <v>25</v>
      </c>
      <c r="O1458" s="76" t="s">
        <v>25</v>
      </c>
      <c r="P1458" s="76">
        <v>0</v>
      </c>
      <c r="Q1458" s="76">
        <v>0</v>
      </c>
      <c r="R1458" s="76" t="s">
        <v>3339</v>
      </c>
      <c r="S1458" s="76"/>
    </row>
    <row r="1459" spans="1:19" x14ac:dyDescent="0.3">
      <c r="A1459" s="76" t="s">
        <v>3340</v>
      </c>
      <c r="B1459" s="76" t="s">
        <v>3341</v>
      </c>
      <c r="C1459" s="76" t="s">
        <v>1263</v>
      </c>
      <c r="D1459" s="76" t="s">
        <v>39</v>
      </c>
      <c r="E1459" s="76" t="s">
        <v>22</v>
      </c>
      <c r="F1459" s="77">
        <v>45473</v>
      </c>
      <c r="G1459" s="76">
        <v>2024</v>
      </c>
      <c r="H1459" s="76" t="s">
        <v>23</v>
      </c>
      <c r="I1459" s="76" t="s">
        <v>34</v>
      </c>
      <c r="J1459" s="76">
        <v>57.31</v>
      </c>
      <c r="K1459" s="76">
        <v>72.5</v>
      </c>
      <c r="L1459" s="78">
        <f t="shared" si="168"/>
        <v>1</v>
      </c>
      <c r="M1459" s="78">
        <f t="shared" si="169"/>
        <v>1</v>
      </c>
      <c r="N1459" s="76" t="s">
        <v>25</v>
      </c>
      <c r="O1459" s="76" t="s">
        <v>25</v>
      </c>
      <c r="P1459" s="76">
        <v>0</v>
      </c>
      <c r="Q1459" s="76">
        <v>0</v>
      </c>
      <c r="R1459" s="76" t="s">
        <v>3343</v>
      </c>
      <c r="S1459" s="76"/>
    </row>
    <row r="1460" spans="1:19" x14ac:dyDescent="0.3">
      <c r="A1460" s="76" t="s">
        <v>3340</v>
      </c>
      <c r="B1460" s="76" t="s">
        <v>3341</v>
      </c>
      <c r="C1460" s="76" t="s">
        <v>1263</v>
      </c>
      <c r="D1460" s="76" t="s">
        <v>39</v>
      </c>
      <c r="E1460" s="76" t="s">
        <v>22</v>
      </c>
      <c r="F1460" s="77">
        <v>45657</v>
      </c>
      <c r="G1460" s="76">
        <v>2024</v>
      </c>
      <c r="H1460" s="76" t="s">
        <v>27</v>
      </c>
      <c r="I1460" s="76" t="s">
        <v>36</v>
      </c>
      <c r="J1460" s="76">
        <v>100</v>
      </c>
      <c r="K1460" s="76">
        <v>100</v>
      </c>
      <c r="L1460" s="78">
        <f t="shared" si="168"/>
        <v>1</v>
      </c>
      <c r="M1460" s="78">
        <f t="shared" si="169"/>
        <v>1</v>
      </c>
      <c r="N1460" s="76" t="s">
        <v>25</v>
      </c>
      <c r="O1460" s="76" t="s">
        <v>25</v>
      </c>
      <c r="P1460" s="76">
        <v>0</v>
      </c>
      <c r="Q1460" s="76">
        <v>0</v>
      </c>
      <c r="R1460" s="76" t="s">
        <v>3345</v>
      </c>
      <c r="S1460" s="76"/>
    </row>
    <row r="1461" spans="1:19" x14ac:dyDescent="0.3">
      <c r="A1461" s="76" t="s">
        <v>3346</v>
      </c>
      <c r="B1461" s="76" t="s">
        <v>3347</v>
      </c>
      <c r="C1461" s="76" t="s">
        <v>1263</v>
      </c>
      <c r="D1461" s="76" t="s">
        <v>39</v>
      </c>
      <c r="E1461" s="76" t="s">
        <v>22</v>
      </c>
      <c r="F1461" s="77">
        <v>45473</v>
      </c>
      <c r="G1461" s="76">
        <v>2024</v>
      </c>
      <c r="H1461" s="76" t="s">
        <v>23</v>
      </c>
      <c r="I1461" s="76" t="s">
        <v>34</v>
      </c>
      <c r="J1461" s="76">
        <v>54.94</v>
      </c>
      <c r="K1461" s="76">
        <v>68.75</v>
      </c>
      <c r="L1461" s="78">
        <f t="shared" si="168"/>
        <v>1</v>
      </c>
      <c r="M1461" s="78">
        <f t="shared" si="169"/>
        <v>1</v>
      </c>
      <c r="N1461" s="76" t="s">
        <v>25</v>
      </c>
      <c r="O1461" s="76" t="s">
        <v>25</v>
      </c>
      <c r="P1461" s="76">
        <v>0</v>
      </c>
      <c r="Q1461" s="76">
        <v>0</v>
      </c>
      <c r="R1461" s="76" t="s">
        <v>3349</v>
      </c>
      <c r="S1461" s="76"/>
    </row>
    <row r="1462" spans="1:19" x14ac:dyDescent="0.3">
      <c r="A1462" s="76" t="s">
        <v>3346</v>
      </c>
      <c r="B1462" s="76" t="s">
        <v>3347</v>
      </c>
      <c r="C1462" s="76" t="s">
        <v>1263</v>
      </c>
      <c r="D1462" s="76" t="s">
        <v>39</v>
      </c>
      <c r="E1462" s="76" t="s">
        <v>22</v>
      </c>
      <c r="F1462" s="77">
        <v>45657</v>
      </c>
      <c r="G1462" s="76">
        <v>2024</v>
      </c>
      <c r="H1462" s="76" t="s">
        <v>27</v>
      </c>
      <c r="I1462" s="76" t="s">
        <v>36</v>
      </c>
      <c r="J1462" s="76">
        <v>100</v>
      </c>
      <c r="K1462" s="76">
        <v>100</v>
      </c>
      <c r="L1462" s="78">
        <f t="shared" si="168"/>
        <v>1</v>
      </c>
      <c r="M1462" s="78">
        <f t="shared" si="169"/>
        <v>1</v>
      </c>
      <c r="N1462" s="76" t="s">
        <v>25</v>
      </c>
      <c r="O1462" s="76" t="s">
        <v>25</v>
      </c>
      <c r="P1462" s="76">
        <v>0</v>
      </c>
      <c r="Q1462" s="76">
        <v>0</v>
      </c>
      <c r="R1462" s="76" t="s">
        <v>3351</v>
      </c>
      <c r="S1462" s="76"/>
    </row>
    <row r="1463" spans="1:19" x14ac:dyDescent="0.3">
      <c r="A1463" s="76" t="s">
        <v>3352</v>
      </c>
      <c r="B1463" s="76" t="s">
        <v>3353</v>
      </c>
      <c r="C1463" s="76" t="s">
        <v>1263</v>
      </c>
      <c r="D1463" s="76" t="s">
        <v>39</v>
      </c>
      <c r="E1463" s="76" t="s">
        <v>22</v>
      </c>
      <c r="F1463" s="77">
        <v>45473</v>
      </c>
      <c r="G1463" s="76">
        <v>2024</v>
      </c>
      <c r="H1463" s="76" t="s">
        <v>23</v>
      </c>
      <c r="I1463" s="76" t="s">
        <v>34</v>
      </c>
      <c r="J1463" s="76">
        <v>50.46</v>
      </c>
      <c r="K1463" s="76">
        <v>50</v>
      </c>
      <c r="L1463" s="78">
        <f t="shared" si="168"/>
        <v>0.99088386841062226</v>
      </c>
      <c r="M1463" s="78">
        <f t="shared" si="169"/>
        <v>0.99088386841062226</v>
      </c>
      <c r="N1463" s="76" t="s">
        <v>25</v>
      </c>
      <c r="O1463" s="76" t="s">
        <v>25</v>
      </c>
      <c r="P1463" s="76">
        <v>0</v>
      </c>
      <c r="Q1463" s="76">
        <v>0</v>
      </c>
      <c r="R1463" s="76" t="s">
        <v>3355</v>
      </c>
      <c r="S1463" s="76"/>
    </row>
    <row r="1464" spans="1:19" x14ac:dyDescent="0.3">
      <c r="A1464" s="76" t="s">
        <v>3352</v>
      </c>
      <c r="B1464" s="76" t="s">
        <v>3353</v>
      </c>
      <c r="C1464" s="76" t="s">
        <v>1263</v>
      </c>
      <c r="D1464" s="76" t="s">
        <v>39</v>
      </c>
      <c r="E1464" s="76" t="s">
        <v>22</v>
      </c>
      <c r="F1464" s="77">
        <v>45657</v>
      </c>
      <c r="G1464" s="76">
        <v>2024</v>
      </c>
      <c r="H1464" s="76" t="s">
        <v>27</v>
      </c>
      <c r="I1464" s="76" t="s">
        <v>36</v>
      </c>
      <c r="J1464" s="76">
        <v>100</v>
      </c>
      <c r="K1464" s="76">
        <v>97</v>
      </c>
      <c r="L1464" s="78">
        <f t="shared" si="168"/>
        <v>0.97</v>
      </c>
      <c r="M1464" s="78">
        <f t="shared" si="169"/>
        <v>0.97</v>
      </c>
      <c r="N1464" s="76" t="s">
        <v>25</v>
      </c>
      <c r="O1464" s="76" t="s">
        <v>25</v>
      </c>
      <c r="P1464" s="76">
        <v>0</v>
      </c>
      <c r="Q1464" s="76">
        <v>0</v>
      </c>
      <c r="R1464" s="76" t="s">
        <v>3357</v>
      </c>
      <c r="S1464" s="76"/>
    </row>
    <row r="1465" spans="1:19" x14ac:dyDescent="0.3">
      <c r="A1465" s="76" t="s">
        <v>3358</v>
      </c>
      <c r="B1465" s="76" t="s">
        <v>3359</v>
      </c>
      <c r="C1465" s="76" t="s">
        <v>1263</v>
      </c>
      <c r="D1465" s="76" t="s">
        <v>39</v>
      </c>
      <c r="E1465" s="76" t="s">
        <v>22</v>
      </c>
      <c r="F1465" s="77">
        <v>45473</v>
      </c>
      <c r="G1465" s="76">
        <v>2024</v>
      </c>
      <c r="H1465" s="76" t="s">
        <v>23</v>
      </c>
      <c r="I1465" s="76" t="s">
        <v>34</v>
      </c>
      <c r="J1465" s="76">
        <v>68.98</v>
      </c>
      <c r="K1465" s="76">
        <v>68.75</v>
      </c>
      <c r="L1465" s="78">
        <f t="shared" si="168"/>
        <v>0.99666570020295731</v>
      </c>
      <c r="M1465" s="78">
        <f t="shared" si="169"/>
        <v>0.99666570020295731</v>
      </c>
      <c r="N1465" s="76" t="s">
        <v>25</v>
      </c>
      <c r="O1465" s="76" t="s">
        <v>25</v>
      </c>
      <c r="P1465" s="76">
        <v>0</v>
      </c>
      <c r="Q1465" s="76">
        <v>0</v>
      </c>
      <c r="R1465" s="76" t="s">
        <v>3361</v>
      </c>
      <c r="S1465" s="76"/>
    </row>
    <row r="1466" spans="1:19" x14ac:dyDescent="0.3">
      <c r="A1466" s="76" t="s">
        <v>3358</v>
      </c>
      <c r="B1466" s="76" t="s">
        <v>3359</v>
      </c>
      <c r="C1466" s="76" t="s">
        <v>1263</v>
      </c>
      <c r="D1466" s="76" t="s">
        <v>39</v>
      </c>
      <c r="E1466" s="76" t="s">
        <v>22</v>
      </c>
      <c r="F1466" s="77">
        <v>45657</v>
      </c>
      <c r="G1466" s="76">
        <v>2024</v>
      </c>
      <c r="H1466" s="76" t="s">
        <v>27</v>
      </c>
      <c r="I1466" s="76" t="s">
        <v>36</v>
      </c>
      <c r="J1466" s="76">
        <v>100</v>
      </c>
      <c r="K1466" s="76">
        <v>100</v>
      </c>
      <c r="L1466" s="78">
        <f t="shared" si="168"/>
        <v>1</v>
      </c>
      <c r="M1466" s="78">
        <f t="shared" si="169"/>
        <v>1</v>
      </c>
      <c r="N1466" s="76" t="s">
        <v>25</v>
      </c>
      <c r="O1466" s="76" t="s">
        <v>25</v>
      </c>
      <c r="P1466" s="76">
        <v>0</v>
      </c>
      <c r="Q1466" s="76">
        <v>0</v>
      </c>
      <c r="R1466" s="76" t="s">
        <v>3363</v>
      </c>
      <c r="S1466" s="76"/>
    </row>
    <row r="1467" spans="1:19" x14ac:dyDescent="0.3">
      <c r="A1467" s="76" t="s">
        <v>3364</v>
      </c>
      <c r="B1467" s="76" t="s">
        <v>3365</v>
      </c>
      <c r="C1467" s="76" t="s">
        <v>1263</v>
      </c>
      <c r="D1467" s="76" t="s">
        <v>39</v>
      </c>
      <c r="E1467" s="76" t="s">
        <v>22</v>
      </c>
      <c r="F1467" s="77">
        <v>45473</v>
      </c>
      <c r="G1467" s="76">
        <v>2024</v>
      </c>
      <c r="H1467" s="76" t="s">
        <v>23</v>
      </c>
      <c r="I1467" s="76" t="s">
        <v>34</v>
      </c>
      <c r="J1467" s="76">
        <v>34.58</v>
      </c>
      <c r="K1467" s="76">
        <v>50</v>
      </c>
      <c r="L1467" s="78">
        <f t="shared" ref="L1467:L1478" si="170">IFERROR(IF(OR(J1467=0,K1467=""),"",IF(E1467="Positivo",MIN(MAX(K1467/J1467,0),1),MIN(MAX(J1467/K1467,0),1))),"")</f>
        <v>1</v>
      </c>
      <c r="M1467" s="78">
        <f t="shared" ref="M1467:M1478" si="171">IFERROR(IF(OR(J1467=0,K1467=""),"",IF(E1467="Positivo",MIN(MAX(K1467/J1467,0),1),MIN(MAX(J1467/K1467,0),1))),"")</f>
        <v>1</v>
      </c>
      <c r="N1467" s="76" t="s">
        <v>25</v>
      </c>
      <c r="O1467" s="76" t="s">
        <v>25</v>
      </c>
      <c r="P1467" s="76">
        <v>0</v>
      </c>
      <c r="Q1467" s="76">
        <v>0</v>
      </c>
      <c r="R1467" s="76" t="s">
        <v>3367</v>
      </c>
      <c r="S1467" s="76"/>
    </row>
    <row r="1468" spans="1:19" x14ac:dyDescent="0.3">
      <c r="A1468" s="76" t="s">
        <v>3364</v>
      </c>
      <c r="B1468" s="76" t="s">
        <v>3365</v>
      </c>
      <c r="C1468" s="76" t="s">
        <v>1263</v>
      </c>
      <c r="D1468" s="76" t="s">
        <v>39</v>
      </c>
      <c r="E1468" s="76" t="s">
        <v>22</v>
      </c>
      <c r="F1468" s="77">
        <v>45657</v>
      </c>
      <c r="G1468" s="76">
        <v>2024</v>
      </c>
      <c r="H1468" s="76" t="s">
        <v>27</v>
      </c>
      <c r="I1468" s="76" t="s">
        <v>36</v>
      </c>
      <c r="J1468" s="76">
        <v>100</v>
      </c>
      <c r="K1468" s="76">
        <v>100</v>
      </c>
      <c r="L1468" s="78">
        <f t="shared" si="170"/>
        <v>1</v>
      </c>
      <c r="M1468" s="78">
        <f t="shared" si="171"/>
        <v>1</v>
      </c>
      <c r="N1468" s="76" t="s">
        <v>25</v>
      </c>
      <c r="O1468" s="76" t="s">
        <v>25</v>
      </c>
      <c r="P1468" s="76">
        <v>0</v>
      </c>
      <c r="Q1468" s="76">
        <v>0</v>
      </c>
      <c r="R1468" s="76" t="s">
        <v>3369</v>
      </c>
      <c r="S1468" s="76"/>
    </row>
    <row r="1469" spans="1:19" x14ac:dyDescent="0.3">
      <c r="A1469" s="76" t="s">
        <v>3370</v>
      </c>
      <c r="B1469" s="76" t="s">
        <v>3371</v>
      </c>
      <c r="C1469" s="76" t="s">
        <v>1263</v>
      </c>
      <c r="D1469" s="76" t="s">
        <v>39</v>
      </c>
      <c r="E1469" s="76" t="s">
        <v>22</v>
      </c>
      <c r="F1469" s="77">
        <v>45473</v>
      </c>
      <c r="G1469" s="76">
        <v>2024</v>
      </c>
      <c r="H1469" s="76" t="s">
        <v>23</v>
      </c>
      <c r="I1469" s="76" t="s">
        <v>34</v>
      </c>
      <c r="J1469" s="76">
        <v>39.950000000000003</v>
      </c>
      <c r="K1469" s="76">
        <v>43.61</v>
      </c>
      <c r="L1469" s="78">
        <f t="shared" si="170"/>
        <v>1</v>
      </c>
      <c r="M1469" s="78">
        <f t="shared" si="171"/>
        <v>1</v>
      </c>
      <c r="N1469" s="76" t="s">
        <v>25</v>
      </c>
      <c r="O1469" s="76" t="s">
        <v>25</v>
      </c>
      <c r="P1469" s="76">
        <v>0</v>
      </c>
      <c r="Q1469" s="76">
        <v>0</v>
      </c>
      <c r="R1469" s="76" t="s">
        <v>3373</v>
      </c>
      <c r="S1469" s="76"/>
    </row>
    <row r="1470" spans="1:19" x14ac:dyDescent="0.3">
      <c r="A1470" s="76" t="s">
        <v>3370</v>
      </c>
      <c r="B1470" s="76" t="s">
        <v>3371</v>
      </c>
      <c r="C1470" s="76" t="s">
        <v>1263</v>
      </c>
      <c r="D1470" s="76" t="s">
        <v>39</v>
      </c>
      <c r="E1470" s="76" t="s">
        <v>22</v>
      </c>
      <c r="F1470" s="77">
        <v>45657</v>
      </c>
      <c r="G1470" s="76">
        <v>2024</v>
      </c>
      <c r="H1470" s="76" t="s">
        <v>27</v>
      </c>
      <c r="I1470" s="76" t="s">
        <v>36</v>
      </c>
      <c r="J1470" s="76">
        <v>100</v>
      </c>
      <c r="K1470" s="76">
        <v>100</v>
      </c>
      <c r="L1470" s="78">
        <f t="shared" si="170"/>
        <v>1</v>
      </c>
      <c r="M1470" s="78">
        <f t="shared" si="171"/>
        <v>1</v>
      </c>
      <c r="N1470" s="76" t="s">
        <v>25</v>
      </c>
      <c r="O1470" s="76" t="s">
        <v>25</v>
      </c>
      <c r="P1470" s="76">
        <v>0</v>
      </c>
      <c r="Q1470" s="76">
        <v>0</v>
      </c>
      <c r="R1470" s="76" t="s">
        <v>3375</v>
      </c>
      <c r="S1470" s="76"/>
    </row>
    <row r="1471" spans="1:19" x14ac:dyDescent="0.3">
      <c r="A1471" s="76" t="s">
        <v>3376</v>
      </c>
      <c r="B1471" s="76" t="s">
        <v>3377</v>
      </c>
      <c r="C1471" s="76" t="s">
        <v>1263</v>
      </c>
      <c r="D1471" s="76" t="s">
        <v>39</v>
      </c>
      <c r="E1471" s="76" t="s">
        <v>22</v>
      </c>
      <c r="F1471" s="77">
        <v>45473</v>
      </c>
      <c r="G1471" s="76">
        <v>2024</v>
      </c>
      <c r="H1471" s="76" t="s">
        <v>23</v>
      </c>
      <c r="I1471" s="76" t="s">
        <v>34</v>
      </c>
      <c r="J1471" s="76">
        <v>67.84</v>
      </c>
      <c r="K1471" s="76">
        <v>63.75</v>
      </c>
      <c r="L1471" s="78">
        <f t="shared" si="170"/>
        <v>0.93971108490566035</v>
      </c>
      <c r="M1471" s="78">
        <f t="shared" si="171"/>
        <v>0.93971108490566035</v>
      </c>
      <c r="N1471" s="76" t="s">
        <v>25</v>
      </c>
      <c r="O1471" s="76" t="s">
        <v>25</v>
      </c>
      <c r="P1471" s="76">
        <v>0</v>
      </c>
      <c r="Q1471" s="76">
        <v>0</v>
      </c>
      <c r="R1471" s="76" t="s">
        <v>3379</v>
      </c>
      <c r="S1471" s="76"/>
    </row>
    <row r="1472" spans="1:19" x14ac:dyDescent="0.3">
      <c r="A1472" s="76" t="s">
        <v>3376</v>
      </c>
      <c r="B1472" s="76" t="s">
        <v>3377</v>
      </c>
      <c r="C1472" s="76" t="s">
        <v>1263</v>
      </c>
      <c r="D1472" s="76" t="s">
        <v>39</v>
      </c>
      <c r="E1472" s="76" t="s">
        <v>22</v>
      </c>
      <c r="F1472" s="77">
        <v>45657</v>
      </c>
      <c r="G1472" s="76">
        <v>2024</v>
      </c>
      <c r="H1472" s="76" t="s">
        <v>27</v>
      </c>
      <c r="I1472" s="76" t="s">
        <v>36</v>
      </c>
      <c r="J1472" s="76">
        <v>100</v>
      </c>
      <c r="K1472" s="76">
        <v>100</v>
      </c>
      <c r="L1472" s="78">
        <f t="shared" si="170"/>
        <v>1</v>
      </c>
      <c r="M1472" s="78">
        <f t="shared" si="171"/>
        <v>1</v>
      </c>
      <c r="N1472" s="76" t="s">
        <v>25</v>
      </c>
      <c r="O1472" s="76" t="s">
        <v>25</v>
      </c>
      <c r="P1472" s="76">
        <v>0</v>
      </c>
      <c r="Q1472" s="76">
        <v>0</v>
      </c>
      <c r="R1472" s="76" t="s">
        <v>3381</v>
      </c>
      <c r="S1472" s="76"/>
    </row>
    <row r="1473" spans="1:19" x14ac:dyDescent="0.3">
      <c r="A1473" s="76" t="s">
        <v>3382</v>
      </c>
      <c r="B1473" s="76" t="s">
        <v>3383</v>
      </c>
      <c r="C1473" s="76" t="s">
        <v>1263</v>
      </c>
      <c r="D1473" s="76" t="s">
        <v>39</v>
      </c>
      <c r="E1473" s="76" t="s">
        <v>22</v>
      </c>
      <c r="F1473" s="77">
        <v>45473</v>
      </c>
      <c r="G1473" s="76">
        <v>2024</v>
      </c>
      <c r="H1473" s="76" t="s">
        <v>23</v>
      </c>
      <c r="I1473" s="76" t="s">
        <v>34</v>
      </c>
      <c r="J1473" s="76">
        <v>71.58</v>
      </c>
      <c r="K1473" s="76">
        <v>80</v>
      </c>
      <c r="L1473" s="78">
        <f t="shared" si="170"/>
        <v>1</v>
      </c>
      <c r="M1473" s="78">
        <f t="shared" si="171"/>
        <v>1</v>
      </c>
      <c r="N1473" s="76" t="s">
        <v>25</v>
      </c>
      <c r="O1473" s="76" t="s">
        <v>25</v>
      </c>
      <c r="P1473" s="76">
        <v>0</v>
      </c>
      <c r="Q1473" s="76">
        <v>0</v>
      </c>
      <c r="R1473" s="76" t="s">
        <v>3385</v>
      </c>
      <c r="S1473" s="76"/>
    </row>
    <row r="1474" spans="1:19" x14ac:dyDescent="0.3">
      <c r="A1474" s="76" t="s">
        <v>3382</v>
      </c>
      <c r="B1474" s="76" t="s">
        <v>3383</v>
      </c>
      <c r="C1474" s="76" t="s">
        <v>1263</v>
      </c>
      <c r="D1474" s="76" t="s">
        <v>39</v>
      </c>
      <c r="E1474" s="76" t="s">
        <v>22</v>
      </c>
      <c r="F1474" s="77">
        <v>45657</v>
      </c>
      <c r="G1474" s="76">
        <v>2024</v>
      </c>
      <c r="H1474" s="76" t="s">
        <v>27</v>
      </c>
      <c r="I1474" s="76" t="s">
        <v>36</v>
      </c>
      <c r="J1474" s="76">
        <v>100</v>
      </c>
      <c r="K1474" s="76">
        <v>100</v>
      </c>
      <c r="L1474" s="78">
        <f t="shared" si="170"/>
        <v>1</v>
      </c>
      <c r="M1474" s="78">
        <f t="shared" si="171"/>
        <v>1</v>
      </c>
      <c r="N1474" s="76" t="s">
        <v>25</v>
      </c>
      <c r="O1474" s="76" t="s">
        <v>25</v>
      </c>
      <c r="P1474" s="76">
        <v>0</v>
      </c>
      <c r="Q1474" s="76">
        <v>0</v>
      </c>
      <c r="R1474" s="76" t="s">
        <v>3387</v>
      </c>
      <c r="S1474" s="76"/>
    </row>
    <row r="1475" spans="1:19" x14ac:dyDescent="0.3">
      <c r="A1475" s="76" t="s">
        <v>3388</v>
      </c>
      <c r="B1475" s="76" t="s">
        <v>3389</v>
      </c>
      <c r="C1475" s="76" t="s">
        <v>1263</v>
      </c>
      <c r="D1475" s="76" t="s">
        <v>39</v>
      </c>
      <c r="E1475" s="76" t="s">
        <v>22</v>
      </c>
      <c r="F1475" s="77">
        <v>45473</v>
      </c>
      <c r="G1475" s="76">
        <v>2024</v>
      </c>
      <c r="H1475" s="76" t="s">
        <v>23</v>
      </c>
      <c r="I1475" s="76" t="s">
        <v>34</v>
      </c>
      <c r="J1475" s="76">
        <v>74.19</v>
      </c>
      <c r="K1475" s="76">
        <v>90</v>
      </c>
      <c r="L1475" s="78">
        <f t="shared" si="170"/>
        <v>1</v>
      </c>
      <c r="M1475" s="78">
        <f t="shared" si="171"/>
        <v>1</v>
      </c>
      <c r="N1475" s="76" t="s">
        <v>25</v>
      </c>
      <c r="O1475" s="76" t="s">
        <v>25</v>
      </c>
      <c r="P1475" s="76">
        <v>0</v>
      </c>
      <c r="Q1475" s="76">
        <v>0</v>
      </c>
      <c r="R1475" s="76" t="s">
        <v>3391</v>
      </c>
      <c r="S1475" s="76"/>
    </row>
    <row r="1476" spans="1:19" x14ac:dyDescent="0.3">
      <c r="A1476" s="76" t="s">
        <v>3388</v>
      </c>
      <c r="B1476" s="76" t="s">
        <v>3389</v>
      </c>
      <c r="C1476" s="76" t="s">
        <v>1263</v>
      </c>
      <c r="D1476" s="76" t="s">
        <v>39</v>
      </c>
      <c r="E1476" s="76" t="s">
        <v>22</v>
      </c>
      <c r="F1476" s="77">
        <v>45657</v>
      </c>
      <c r="G1476" s="76">
        <v>2024</v>
      </c>
      <c r="H1476" s="76" t="s">
        <v>27</v>
      </c>
      <c r="I1476" s="76" t="s">
        <v>36</v>
      </c>
      <c r="J1476" s="76">
        <v>100</v>
      </c>
      <c r="K1476" s="76">
        <v>100</v>
      </c>
      <c r="L1476" s="78">
        <f t="shared" si="170"/>
        <v>1</v>
      </c>
      <c r="M1476" s="78">
        <f t="shared" si="171"/>
        <v>1</v>
      </c>
      <c r="N1476" s="76" t="s">
        <v>25</v>
      </c>
      <c r="O1476" s="76" t="s">
        <v>25</v>
      </c>
      <c r="P1476" s="76">
        <v>0</v>
      </c>
      <c r="Q1476" s="76">
        <v>0</v>
      </c>
      <c r="R1476" s="76" t="s">
        <v>3393</v>
      </c>
      <c r="S1476" s="76"/>
    </row>
    <row r="1477" spans="1:19" x14ac:dyDescent="0.3">
      <c r="A1477" s="76" t="s">
        <v>3394</v>
      </c>
      <c r="B1477" s="76" t="s">
        <v>3395</v>
      </c>
      <c r="C1477" s="76" t="s">
        <v>1263</v>
      </c>
      <c r="D1477" s="76" t="s">
        <v>39</v>
      </c>
      <c r="E1477" s="76" t="s">
        <v>22</v>
      </c>
      <c r="F1477" s="77">
        <v>45473</v>
      </c>
      <c r="G1477" s="76">
        <v>2024</v>
      </c>
      <c r="H1477" s="76" t="s">
        <v>23</v>
      </c>
      <c r="I1477" s="76" t="s">
        <v>34</v>
      </c>
      <c r="J1477" s="76">
        <v>34.85</v>
      </c>
      <c r="K1477" s="76">
        <v>55</v>
      </c>
      <c r="L1477" s="78">
        <f t="shared" si="170"/>
        <v>1</v>
      </c>
      <c r="M1477" s="78">
        <f t="shared" si="171"/>
        <v>1</v>
      </c>
      <c r="N1477" s="76" t="s">
        <v>25</v>
      </c>
      <c r="O1477" s="76" t="s">
        <v>25</v>
      </c>
      <c r="P1477" s="76">
        <v>0</v>
      </c>
      <c r="Q1477" s="76">
        <v>0</v>
      </c>
      <c r="R1477" s="76" t="s">
        <v>3397</v>
      </c>
      <c r="S1477" s="76"/>
    </row>
    <row r="1478" spans="1:19" x14ac:dyDescent="0.3">
      <c r="A1478" s="76" t="s">
        <v>3394</v>
      </c>
      <c r="B1478" s="76" t="s">
        <v>3395</v>
      </c>
      <c r="C1478" s="76" t="s">
        <v>1263</v>
      </c>
      <c r="D1478" s="76" t="s">
        <v>39</v>
      </c>
      <c r="E1478" s="76" t="s">
        <v>22</v>
      </c>
      <c r="F1478" s="77">
        <v>45657</v>
      </c>
      <c r="G1478" s="76">
        <v>2024</v>
      </c>
      <c r="H1478" s="76" t="s">
        <v>27</v>
      </c>
      <c r="I1478" s="76" t="s">
        <v>36</v>
      </c>
      <c r="J1478" s="76">
        <v>100</v>
      </c>
      <c r="K1478" s="76">
        <v>100</v>
      </c>
      <c r="L1478" s="78">
        <f t="shared" si="170"/>
        <v>1</v>
      </c>
      <c r="M1478" s="78">
        <f t="shared" si="171"/>
        <v>1</v>
      </c>
      <c r="N1478" s="76" t="s">
        <v>25</v>
      </c>
      <c r="O1478" s="76" t="s">
        <v>25</v>
      </c>
      <c r="P1478" s="76">
        <v>0</v>
      </c>
      <c r="Q1478" s="76">
        <v>0</v>
      </c>
      <c r="R1478" s="76" t="s">
        <v>3399</v>
      </c>
      <c r="S1478" s="76"/>
    </row>
    <row r="1479" spans="1:19" x14ac:dyDescent="0.3">
      <c r="A1479" s="76" t="s">
        <v>3400</v>
      </c>
      <c r="B1479" s="76" t="s">
        <v>3401</v>
      </c>
      <c r="C1479" s="76" t="s">
        <v>1263</v>
      </c>
      <c r="D1479" s="76" t="s">
        <v>39</v>
      </c>
      <c r="E1479" s="76" t="s">
        <v>22</v>
      </c>
      <c r="F1479" s="77">
        <v>45473</v>
      </c>
      <c r="G1479" s="76">
        <v>2024</v>
      </c>
      <c r="H1479" s="76" t="s">
        <v>23</v>
      </c>
      <c r="I1479" s="76" t="s">
        <v>34</v>
      </c>
      <c r="J1479" s="76">
        <v>56.79</v>
      </c>
      <c r="K1479" s="76">
        <v>60</v>
      </c>
      <c r="L1479" s="78">
        <f t="shared" ref="L1479:L1492" si="172">IFERROR(IF(OR(J1479=0,K1479=""),"",IF(E1479="Positivo",MIN(MAX(K1479/J1479,0),1),MIN(MAX(J1479/K1479,0),1))),"")</f>
        <v>1</v>
      </c>
      <c r="M1479" s="78">
        <f t="shared" ref="M1479:M1492" si="173">IFERROR(IF(OR(J1479=0,K1479=""),"",IF(E1479="Positivo",MIN(MAX(K1479/J1479,0),1),MIN(MAX(J1479/K1479,0),1))),"")</f>
        <v>1</v>
      </c>
      <c r="N1479" s="76" t="s">
        <v>25</v>
      </c>
      <c r="O1479" s="76" t="s">
        <v>25</v>
      </c>
      <c r="P1479" s="76">
        <v>0</v>
      </c>
      <c r="Q1479" s="76">
        <v>0</v>
      </c>
      <c r="R1479" s="76" t="s">
        <v>3403</v>
      </c>
      <c r="S1479" s="76"/>
    </row>
    <row r="1480" spans="1:19" x14ac:dyDescent="0.3">
      <c r="A1480" s="76" t="s">
        <v>3400</v>
      </c>
      <c r="B1480" s="76" t="s">
        <v>3401</v>
      </c>
      <c r="C1480" s="76" t="s">
        <v>1263</v>
      </c>
      <c r="D1480" s="76" t="s">
        <v>39</v>
      </c>
      <c r="E1480" s="76" t="s">
        <v>22</v>
      </c>
      <c r="F1480" s="77">
        <v>45657</v>
      </c>
      <c r="G1480" s="76">
        <v>2024</v>
      </c>
      <c r="H1480" s="76" t="s">
        <v>27</v>
      </c>
      <c r="I1480" s="76" t="s">
        <v>36</v>
      </c>
      <c r="J1480" s="76">
        <v>100</v>
      </c>
      <c r="K1480" s="76">
        <v>100</v>
      </c>
      <c r="L1480" s="78">
        <f t="shared" si="172"/>
        <v>1</v>
      </c>
      <c r="M1480" s="78">
        <f t="shared" si="173"/>
        <v>1</v>
      </c>
      <c r="N1480" s="76" t="s">
        <v>25</v>
      </c>
      <c r="O1480" s="76" t="s">
        <v>25</v>
      </c>
      <c r="P1480" s="76">
        <v>0</v>
      </c>
      <c r="Q1480" s="76">
        <v>0</v>
      </c>
      <c r="R1480" s="76" t="s">
        <v>3405</v>
      </c>
      <c r="S1480" s="76"/>
    </row>
    <row r="1481" spans="1:19" x14ac:dyDescent="0.3">
      <c r="A1481" s="76" t="s">
        <v>3406</v>
      </c>
      <c r="B1481" s="76" t="s">
        <v>3407</v>
      </c>
      <c r="C1481" s="76" t="s">
        <v>1263</v>
      </c>
      <c r="D1481" s="76" t="s">
        <v>39</v>
      </c>
      <c r="E1481" s="76" t="s">
        <v>22</v>
      </c>
      <c r="F1481" s="77">
        <v>45473</v>
      </c>
      <c r="G1481" s="76">
        <v>2024</v>
      </c>
      <c r="H1481" s="76" t="s">
        <v>23</v>
      </c>
      <c r="I1481" s="76" t="s">
        <v>34</v>
      </c>
      <c r="J1481" s="76">
        <v>68.48</v>
      </c>
      <c r="K1481" s="76">
        <v>55</v>
      </c>
      <c r="L1481" s="78">
        <f t="shared" si="172"/>
        <v>0.80315420560747663</v>
      </c>
      <c r="M1481" s="78">
        <f t="shared" si="173"/>
        <v>0.80315420560747663</v>
      </c>
      <c r="N1481" s="76" t="s">
        <v>25</v>
      </c>
      <c r="O1481" s="76" t="s">
        <v>25</v>
      </c>
      <c r="P1481" s="76">
        <v>0</v>
      </c>
      <c r="Q1481" s="76">
        <v>0</v>
      </c>
      <c r="R1481" s="76" t="s">
        <v>3409</v>
      </c>
      <c r="S1481" s="76"/>
    </row>
    <row r="1482" spans="1:19" x14ac:dyDescent="0.3">
      <c r="A1482" s="76" t="s">
        <v>3406</v>
      </c>
      <c r="B1482" s="76" t="s">
        <v>3407</v>
      </c>
      <c r="C1482" s="76" t="s">
        <v>1263</v>
      </c>
      <c r="D1482" s="76" t="s">
        <v>39</v>
      </c>
      <c r="E1482" s="76" t="s">
        <v>22</v>
      </c>
      <c r="F1482" s="77">
        <v>45657</v>
      </c>
      <c r="G1482" s="76">
        <v>2024</v>
      </c>
      <c r="H1482" s="76" t="s">
        <v>27</v>
      </c>
      <c r="I1482" s="76" t="s">
        <v>36</v>
      </c>
      <c r="J1482" s="76">
        <v>100</v>
      </c>
      <c r="K1482" s="76">
        <v>97</v>
      </c>
      <c r="L1482" s="78">
        <f t="shared" si="172"/>
        <v>0.97</v>
      </c>
      <c r="M1482" s="78">
        <f t="shared" si="173"/>
        <v>0.97</v>
      </c>
      <c r="N1482" s="76" t="s">
        <v>25</v>
      </c>
      <c r="O1482" s="76" t="s">
        <v>25</v>
      </c>
      <c r="P1482" s="76">
        <v>0</v>
      </c>
      <c r="Q1482" s="76">
        <v>0</v>
      </c>
      <c r="R1482" s="76" t="s">
        <v>3411</v>
      </c>
      <c r="S1482" s="76"/>
    </row>
    <row r="1483" spans="1:19" x14ac:dyDescent="0.3">
      <c r="A1483" s="76" t="s">
        <v>3412</v>
      </c>
      <c r="B1483" s="76" t="s">
        <v>3413</v>
      </c>
      <c r="C1483" s="76" t="s">
        <v>1263</v>
      </c>
      <c r="D1483" s="76" t="s">
        <v>39</v>
      </c>
      <c r="E1483" s="76" t="s">
        <v>22</v>
      </c>
      <c r="F1483" s="77">
        <v>45473</v>
      </c>
      <c r="G1483" s="76">
        <v>2024</v>
      </c>
      <c r="H1483" s="76" t="s">
        <v>23</v>
      </c>
      <c r="I1483" s="76" t="s">
        <v>34</v>
      </c>
      <c r="J1483" s="76">
        <v>49.2</v>
      </c>
      <c r="K1483" s="76">
        <v>37.5</v>
      </c>
      <c r="L1483" s="78">
        <f t="shared" si="172"/>
        <v>0.76219512195121952</v>
      </c>
      <c r="M1483" s="78">
        <f t="shared" si="173"/>
        <v>0.76219512195121952</v>
      </c>
      <c r="N1483" s="76" t="s">
        <v>25</v>
      </c>
      <c r="O1483" s="76" t="s">
        <v>25</v>
      </c>
      <c r="P1483" s="76">
        <v>0</v>
      </c>
      <c r="Q1483" s="76">
        <v>0</v>
      </c>
      <c r="R1483" s="76" t="s">
        <v>3415</v>
      </c>
      <c r="S1483" s="76"/>
    </row>
    <row r="1484" spans="1:19" x14ac:dyDescent="0.3">
      <c r="A1484" s="76" t="s">
        <v>3412</v>
      </c>
      <c r="B1484" s="76" t="s">
        <v>3413</v>
      </c>
      <c r="C1484" s="76" t="s">
        <v>1263</v>
      </c>
      <c r="D1484" s="76" t="s">
        <v>39</v>
      </c>
      <c r="E1484" s="76" t="s">
        <v>22</v>
      </c>
      <c r="F1484" s="77">
        <v>45657</v>
      </c>
      <c r="G1484" s="76">
        <v>2024</v>
      </c>
      <c r="H1484" s="76" t="s">
        <v>27</v>
      </c>
      <c r="I1484" s="76" t="s">
        <v>36</v>
      </c>
      <c r="J1484" s="76">
        <v>100</v>
      </c>
      <c r="K1484" s="76">
        <v>100</v>
      </c>
      <c r="L1484" s="78">
        <f t="shared" si="172"/>
        <v>1</v>
      </c>
      <c r="M1484" s="78">
        <f t="shared" si="173"/>
        <v>1</v>
      </c>
      <c r="N1484" s="76" t="s">
        <v>25</v>
      </c>
      <c r="O1484" s="76" t="s">
        <v>25</v>
      </c>
      <c r="P1484" s="76">
        <v>0</v>
      </c>
      <c r="Q1484" s="76">
        <v>0</v>
      </c>
      <c r="R1484" s="76" t="s">
        <v>3417</v>
      </c>
      <c r="S1484" s="76"/>
    </row>
    <row r="1485" spans="1:19" x14ac:dyDescent="0.3">
      <c r="A1485" s="76" t="s">
        <v>3418</v>
      </c>
      <c r="B1485" s="76" t="s">
        <v>3419</v>
      </c>
      <c r="C1485" s="76" t="s">
        <v>1263</v>
      </c>
      <c r="D1485" s="76" t="s">
        <v>39</v>
      </c>
      <c r="E1485" s="76" t="s">
        <v>22</v>
      </c>
      <c r="F1485" s="77">
        <v>45473</v>
      </c>
      <c r="G1485" s="76">
        <v>2024</v>
      </c>
      <c r="H1485" s="76" t="s">
        <v>23</v>
      </c>
      <c r="I1485" s="76" t="s">
        <v>34</v>
      </c>
      <c r="J1485" s="76">
        <v>55.13</v>
      </c>
      <c r="K1485" s="76">
        <v>60</v>
      </c>
      <c r="L1485" s="78">
        <f t="shared" si="172"/>
        <v>1</v>
      </c>
      <c r="M1485" s="78">
        <f t="shared" si="173"/>
        <v>1</v>
      </c>
      <c r="N1485" s="76" t="s">
        <v>25</v>
      </c>
      <c r="O1485" s="76" t="s">
        <v>25</v>
      </c>
      <c r="P1485" s="76">
        <v>0</v>
      </c>
      <c r="Q1485" s="76">
        <v>0</v>
      </c>
      <c r="R1485" s="76" t="s">
        <v>3421</v>
      </c>
      <c r="S1485" s="76"/>
    </row>
    <row r="1486" spans="1:19" x14ac:dyDescent="0.3">
      <c r="A1486" s="76" t="s">
        <v>3418</v>
      </c>
      <c r="B1486" s="76" t="s">
        <v>3419</v>
      </c>
      <c r="C1486" s="76" t="s">
        <v>1263</v>
      </c>
      <c r="D1486" s="76" t="s">
        <v>39</v>
      </c>
      <c r="E1486" s="76" t="s">
        <v>22</v>
      </c>
      <c r="F1486" s="77">
        <v>45657</v>
      </c>
      <c r="G1486" s="76">
        <v>2024</v>
      </c>
      <c r="H1486" s="76" t="s">
        <v>27</v>
      </c>
      <c r="I1486" s="76" t="s">
        <v>36</v>
      </c>
      <c r="J1486" s="76">
        <v>100</v>
      </c>
      <c r="K1486" s="76">
        <v>100</v>
      </c>
      <c r="L1486" s="78">
        <f t="shared" si="172"/>
        <v>1</v>
      </c>
      <c r="M1486" s="78">
        <f t="shared" si="173"/>
        <v>1</v>
      </c>
      <c r="N1486" s="76" t="s">
        <v>25</v>
      </c>
      <c r="O1486" s="76" t="s">
        <v>25</v>
      </c>
      <c r="P1486" s="76">
        <v>0</v>
      </c>
      <c r="Q1486" s="76">
        <v>0</v>
      </c>
      <c r="R1486" s="76" t="s">
        <v>3423</v>
      </c>
      <c r="S1486" s="76"/>
    </row>
    <row r="1487" spans="1:19" x14ac:dyDescent="0.3">
      <c r="A1487" s="76" t="s">
        <v>3424</v>
      </c>
      <c r="B1487" s="76" t="s">
        <v>3425</v>
      </c>
      <c r="C1487" s="76" t="s">
        <v>1263</v>
      </c>
      <c r="D1487" s="76" t="s">
        <v>39</v>
      </c>
      <c r="E1487" s="76" t="s">
        <v>22</v>
      </c>
      <c r="F1487" s="77">
        <v>45473</v>
      </c>
      <c r="G1487" s="76">
        <v>2024</v>
      </c>
      <c r="H1487" s="76" t="s">
        <v>23</v>
      </c>
      <c r="I1487" s="76" t="s">
        <v>34</v>
      </c>
      <c r="J1487" s="76">
        <v>67.13</v>
      </c>
      <c r="K1487" s="76">
        <v>64.17</v>
      </c>
      <c r="L1487" s="78">
        <f t="shared" si="172"/>
        <v>0.95590645017130949</v>
      </c>
      <c r="M1487" s="78">
        <f t="shared" si="173"/>
        <v>0.95590645017130949</v>
      </c>
      <c r="N1487" s="76" t="s">
        <v>25</v>
      </c>
      <c r="O1487" s="76" t="s">
        <v>25</v>
      </c>
      <c r="P1487" s="76">
        <v>0</v>
      </c>
      <c r="Q1487" s="76">
        <v>0</v>
      </c>
      <c r="R1487" s="76" t="s">
        <v>3427</v>
      </c>
      <c r="S1487" s="76"/>
    </row>
    <row r="1488" spans="1:19" x14ac:dyDescent="0.3">
      <c r="A1488" s="76" t="s">
        <v>3424</v>
      </c>
      <c r="B1488" s="76" t="s">
        <v>3425</v>
      </c>
      <c r="C1488" s="76" t="s">
        <v>1263</v>
      </c>
      <c r="D1488" s="76" t="s">
        <v>39</v>
      </c>
      <c r="E1488" s="76" t="s">
        <v>22</v>
      </c>
      <c r="F1488" s="77">
        <v>45657</v>
      </c>
      <c r="G1488" s="76">
        <v>2024</v>
      </c>
      <c r="H1488" s="76" t="s">
        <v>27</v>
      </c>
      <c r="I1488" s="76" t="s">
        <v>36</v>
      </c>
      <c r="J1488" s="76">
        <v>100</v>
      </c>
      <c r="K1488" s="76">
        <v>100</v>
      </c>
      <c r="L1488" s="78">
        <f t="shared" si="172"/>
        <v>1</v>
      </c>
      <c r="M1488" s="78">
        <f t="shared" si="173"/>
        <v>1</v>
      </c>
      <c r="N1488" s="76" t="s">
        <v>25</v>
      </c>
      <c r="O1488" s="76" t="s">
        <v>25</v>
      </c>
      <c r="P1488" s="76">
        <v>0</v>
      </c>
      <c r="Q1488" s="76">
        <v>0</v>
      </c>
      <c r="R1488" s="76" t="s">
        <v>3429</v>
      </c>
      <c r="S1488" s="76"/>
    </row>
    <row r="1489" spans="1:19" x14ac:dyDescent="0.3">
      <c r="A1489" s="76" t="s">
        <v>3430</v>
      </c>
      <c r="B1489" s="76" t="s">
        <v>3431</v>
      </c>
      <c r="C1489" s="76" t="s">
        <v>1263</v>
      </c>
      <c r="D1489" s="76" t="s">
        <v>39</v>
      </c>
      <c r="E1489" s="76" t="s">
        <v>22</v>
      </c>
      <c r="F1489" s="77">
        <v>45473</v>
      </c>
      <c r="G1489" s="76">
        <v>2024</v>
      </c>
      <c r="H1489" s="76" t="s">
        <v>23</v>
      </c>
      <c r="I1489" s="76" t="s">
        <v>34</v>
      </c>
      <c r="J1489" s="76">
        <v>46.12</v>
      </c>
      <c r="K1489" s="76">
        <v>50</v>
      </c>
      <c r="L1489" s="78">
        <f t="shared" si="172"/>
        <v>1</v>
      </c>
      <c r="M1489" s="78">
        <f t="shared" si="173"/>
        <v>1</v>
      </c>
      <c r="N1489" s="76" t="s">
        <v>25</v>
      </c>
      <c r="O1489" s="76" t="s">
        <v>25</v>
      </c>
      <c r="P1489" s="76">
        <v>0</v>
      </c>
      <c r="Q1489" s="76">
        <v>0</v>
      </c>
      <c r="R1489" s="76" t="s">
        <v>3433</v>
      </c>
      <c r="S1489" s="76"/>
    </row>
    <row r="1490" spans="1:19" x14ac:dyDescent="0.3">
      <c r="A1490" s="76" t="s">
        <v>3430</v>
      </c>
      <c r="B1490" s="76" t="s">
        <v>3431</v>
      </c>
      <c r="C1490" s="76" t="s">
        <v>1263</v>
      </c>
      <c r="D1490" s="76" t="s">
        <v>39</v>
      </c>
      <c r="E1490" s="76" t="s">
        <v>22</v>
      </c>
      <c r="F1490" s="77">
        <v>45657</v>
      </c>
      <c r="G1490" s="76">
        <v>2024</v>
      </c>
      <c r="H1490" s="76" t="s">
        <v>27</v>
      </c>
      <c r="I1490" s="76" t="s">
        <v>36</v>
      </c>
      <c r="J1490" s="76">
        <v>100</v>
      </c>
      <c r="K1490" s="76">
        <v>100</v>
      </c>
      <c r="L1490" s="78">
        <f t="shared" si="172"/>
        <v>1</v>
      </c>
      <c r="M1490" s="78">
        <f t="shared" si="173"/>
        <v>1</v>
      </c>
      <c r="N1490" s="76" t="s">
        <v>25</v>
      </c>
      <c r="O1490" s="76" t="s">
        <v>25</v>
      </c>
      <c r="P1490" s="76">
        <v>0</v>
      </c>
      <c r="Q1490" s="76">
        <v>0</v>
      </c>
      <c r="R1490" s="76" t="s">
        <v>3435</v>
      </c>
      <c r="S1490" s="76"/>
    </row>
    <row r="1491" spans="1:19" x14ac:dyDescent="0.3">
      <c r="A1491" s="76" t="s">
        <v>3436</v>
      </c>
      <c r="B1491" s="76" t="s">
        <v>3437</v>
      </c>
      <c r="C1491" s="76" t="s">
        <v>1263</v>
      </c>
      <c r="D1491" s="76" t="s">
        <v>39</v>
      </c>
      <c r="E1491" s="76" t="s">
        <v>22</v>
      </c>
      <c r="F1491" s="77">
        <v>45473</v>
      </c>
      <c r="G1491" s="76">
        <v>2024</v>
      </c>
      <c r="H1491" s="76" t="s">
        <v>23</v>
      </c>
      <c r="I1491" s="76" t="s">
        <v>34</v>
      </c>
      <c r="J1491" s="76">
        <v>51.58</v>
      </c>
      <c r="K1491" s="76">
        <v>62.5</v>
      </c>
      <c r="L1491" s="78">
        <f t="shared" si="172"/>
        <v>1</v>
      </c>
      <c r="M1491" s="78">
        <f t="shared" si="173"/>
        <v>1</v>
      </c>
      <c r="N1491" s="76" t="s">
        <v>25</v>
      </c>
      <c r="O1491" s="76" t="s">
        <v>25</v>
      </c>
      <c r="P1491" s="76">
        <v>0</v>
      </c>
      <c r="Q1491" s="76">
        <v>0</v>
      </c>
      <c r="R1491" s="76" t="s">
        <v>3439</v>
      </c>
      <c r="S1491" s="76"/>
    </row>
    <row r="1492" spans="1:19" x14ac:dyDescent="0.3">
      <c r="A1492" s="76" t="s">
        <v>3436</v>
      </c>
      <c r="B1492" s="76" t="s">
        <v>3437</v>
      </c>
      <c r="C1492" s="76" t="s">
        <v>1263</v>
      </c>
      <c r="D1492" s="76" t="s">
        <v>39</v>
      </c>
      <c r="E1492" s="76" t="s">
        <v>22</v>
      </c>
      <c r="F1492" s="77">
        <v>45657</v>
      </c>
      <c r="G1492" s="76">
        <v>2024</v>
      </c>
      <c r="H1492" s="76" t="s">
        <v>27</v>
      </c>
      <c r="I1492" s="76" t="s">
        <v>36</v>
      </c>
      <c r="J1492" s="76">
        <v>100</v>
      </c>
      <c r="K1492" s="76">
        <v>96</v>
      </c>
      <c r="L1492" s="78">
        <f t="shared" si="172"/>
        <v>0.96</v>
      </c>
      <c r="M1492" s="78">
        <f t="shared" si="173"/>
        <v>0.96</v>
      </c>
      <c r="N1492" s="76" t="s">
        <v>25</v>
      </c>
      <c r="O1492" s="76" t="s">
        <v>25</v>
      </c>
      <c r="P1492" s="76">
        <v>0</v>
      </c>
      <c r="Q1492" s="76">
        <v>0</v>
      </c>
      <c r="R1492" s="76" t="s">
        <v>3441</v>
      </c>
      <c r="S1492" s="76"/>
    </row>
    <row r="1493" spans="1:19" x14ac:dyDescent="0.3">
      <c r="A1493" s="76" t="s">
        <v>3442</v>
      </c>
      <c r="B1493" s="76" t="s">
        <v>3443</v>
      </c>
      <c r="C1493" s="76" t="s">
        <v>1263</v>
      </c>
      <c r="D1493" s="76" t="s">
        <v>39</v>
      </c>
      <c r="E1493" s="76" t="s">
        <v>22</v>
      </c>
      <c r="F1493" s="77">
        <v>45473</v>
      </c>
      <c r="G1493" s="76">
        <v>2024</v>
      </c>
      <c r="H1493" s="76" t="s">
        <v>23</v>
      </c>
      <c r="I1493" s="76" t="s">
        <v>34</v>
      </c>
      <c r="J1493" s="76">
        <v>67.39</v>
      </c>
      <c r="K1493" s="76">
        <v>100</v>
      </c>
      <c r="L1493" s="78">
        <f t="shared" ref="L1493:L1494" si="174">IFERROR(IF(OR(J1493=0,K1493=""),"",IF(E1493="Positivo",MIN(MAX(K1493/J1493,0),1),MIN(MAX(J1493/K1493,0),1))),"")</f>
        <v>1</v>
      </c>
      <c r="M1493" s="78">
        <f t="shared" ref="M1493:M1494" si="175">IFERROR(IF(OR(J1493=0,K1493=""),"",IF(E1493="Positivo",MIN(MAX(K1493/J1493,0),1),MIN(MAX(J1493/K1493,0),1))),"")</f>
        <v>1</v>
      </c>
      <c r="N1493" s="76" t="s">
        <v>25</v>
      </c>
      <c r="O1493" s="76" t="s">
        <v>25</v>
      </c>
      <c r="P1493" s="76">
        <v>0</v>
      </c>
      <c r="Q1493" s="76">
        <v>0</v>
      </c>
      <c r="R1493" s="76" t="s">
        <v>3445</v>
      </c>
      <c r="S1493" s="76"/>
    </row>
    <row r="1494" spans="1:19" x14ac:dyDescent="0.3">
      <c r="A1494" s="76" t="s">
        <v>3442</v>
      </c>
      <c r="B1494" s="76" t="s">
        <v>3443</v>
      </c>
      <c r="C1494" s="76" t="s">
        <v>1263</v>
      </c>
      <c r="D1494" s="76" t="s">
        <v>39</v>
      </c>
      <c r="E1494" s="76" t="s">
        <v>22</v>
      </c>
      <c r="F1494" s="77">
        <v>45657</v>
      </c>
      <c r="G1494" s="76">
        <v>2024</v>
      </c>
      <c r="H1494" s="76" t="s">
        <v>27</v>
      </c>
      <c r="I1494" s="76" t="s">
        <v>36</v>
      </c>
      <c r="J1494" s="76">
        <v>100</v>
      </c>
      <c r="K1494" s="76">
        <v>100</v>
      </c>
      <c r="L1494" s="78">
        <f t="shared" si="174"/>
        <v>1</v>
      </c>
      <c r="M1494" s="78">
        <f t="shared" si="175"/>
        <v>1</v>
      </c>
      <c r="N1494" s="76" t="s">
        <v>25</v>
      </c>
      <c r="O1494" s="76" t="s">
        <v>25</v>
      </c>
      <c r="P1494" s="76">
        <v>0</v>
      </c>
      <c r="Q1494" s="76">
        <v>0</v>
      </c>
      <c r="R1494" s="76" t="s">
        <v>3447</v>
      </c>
      <c r="S1494" s="76"/>
    </row>
  </sheetData>
  <autoFilter ref="A1:S1494" xr:uid="{00000000-0001-0000-0100-000000000000}"/>
  <conditionalFormatting sqref="A15:A16">
    <cfRule type="duplicateValues" dxfId="79" priority="201"/>
    <cfRule type="duplicateValues" dxfId="78" priority="202"/>
    <cfRule type="duplicateValues" dxfId="77" priority="203"/>
  </conditionalFormatting>
  <conditionalFormatting sqref="A18:A20">
    <cfRule type="duplicateValues" dxfId="76" priority="21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S831"/>
  <sheetViews>
    <sheetView tabSelected="1" zoomScaleNormal="100" workbookViewId="0"/>
  </sheetViews>
  <sheetFormatPr baseColWidth="10" defaultColWidth="11.44140625" defaultRowHeight="14.4" outlineLevelCol="1" x14ac:dyDescent="0.3"/>
  <cols>
    <col min="2" max="2" width="47.109375" customWidth="1"/>
    <col min="3" max="3" width="17.6640625" customWidth="1" outlineLevel="1"/>
    <col min="4" max="5" width="10.88671875" customWidth="1" outlineLevel="1"/>
    <col min="6" max="6" width="11.33203125" customWidth="1"/>
    <col min="7" max="9" width="10.88671875" customWidth="1"/>
    <col min="10" max="11" width="18.33203125" customWidth="1"/>
    <col min="12" max="12" width="12.88671875" customWidth="1"/>
    <col min="13" max="13" width="12.88671875" style="23" customWidth="1"/>
    <col min="14" max="16" width="11.5546875" customWidth="1"/>
    <col min="17" max="17" width="13.109375" customWidth="1"/>
    <col min="18" max="18" width="11.5546875" customWidth="1"/>
  </cols>
  <sheetData>
    <row r="1" spans="1:19" ht="28.8" customHeight="1" x14ac:dyDescent="0.3">
      <c r="A1" s="17" t="s">
        <v>0</v>
      </c>
      <c r="B1" s="16" t="s">
        <v>1</v>
      </c>
      <c r="C1" s="16" t="s">
        <v>2</v>
      </c>
      <c r="D1" s="16" t="s">
        <v>3</v>
      </c>
      <c r="E1" s="16" t="s">
        <v>4</v>
      </c>
      <c r="F1" s="16" t="s">
        <v>5</v>
      </c>
      <c r="G1" s="16" t="s">
        <v>6</v>
      </c>
      <c r="H1" s="16" t="s">
        <v>7</v>
      </c>
      <c r="I1" s="16" t="s">
        <v>3485</v>
      </c>
      <c r="J1" s="1" t="s">
        <v>9</v>
      </c>
      <c r="K1" s="1" t="s">
        <v>10</v>
      </c>
      <c r="L1" s="4" t="s">
        <v>11</v>
      </c>
      <c r="M1" s="1" t="s">
        <v>12</v>
      </c>
      <c r="N1" s="1" t="s">
        <v>13</v>
      </c>
      <c r="O1" s="1" t="s">
        <v>14</v>
      </c>
      <c r="P1" s="21" t="s">
        <v>15</v>
      </c>
      <c r="Q1" s="21" t="s">
        <v>16</v>
      </c>
      <c r="R1" s="1" t="s">
        <v>3547</v>
      </c>
      <c r="S1" s="5" t="s">
        <v>18</v>
      </c>
    </row>
    <row r="2" spans="1:19" x14ac:dyDescent="0.3">
      <c r="A2" s="76">
        <v>68</v>
      </c>
      <c r="B2" s="76" t="s">
        <v>19</v>
      </c>
      <c r="C2" s="76" t="s">
        <v>20</v>
      </c>
      <c r="D2" s="76" t="s">
        <v>21</v>
      </c>
      <c r="E2" s="76" t="s">
        <v>22</v>
      </c>
      <c r="F2" s="77">
        <v>44926</v>
      </c>
      <c r="G2" s="76">
        <v>2022</v>
      </c>
      <c r="H2" s="76" t="s">
        <v>27</v>
      </c>
      <c r="I2" s="76" t="s">
        <v>28</v>
      </c>
      <c r="J2" s="76">
        <v>80</v>
      </c>
      <c r="K2" s="76">
        <v>91</v>
      </c>
      <c r="L2" s="78">
        <f t="shared" ref="L2:L31" si="0">IFERROR(IF(OR(J2=0,K2=""),"",IF(E2="Positivo",MIN(MAX(K2/J2,0),1.3),MIN(MAX(J2/K2,0),1.3))),"")</f>
        <v>1.1375</v>
      </c>
      <c r="M2" s="78">
        <f t="shared" ref="M2:M31" si="1">IFERROR(IF(OR(J2=0,K2=""),"",IF(E2="Positivo",MAX(K2/J2,0),MAX(J2/K2,0))),"")</f>
        <v>1.1375</v>
      </c>
      <c r="N2" s="76" t="s">
        <v>25</v>
      </c>
      <c r="O2" s="76" t="s">
        <v>25</v>
      </c>
      <c r="P2" s="76">
        <v>0</v>
      </c>
      <c r="Q2" s="76">
        <v>0</v>
      </c>
      <c r="R2" s="76" t="s">
        <v>29</v>
      </c>
      <c r="S2" s="76"/>
    </row>
    <row r="3" spans="1:19" x14ac:dyDescent="0.3">
      <c r="A3" s="76">
        <v>68</v>
      </c>
      <c r="B3" s="76" t="s">
        <v>19</v>
      </c>
      <c r="C3" s="76" t="s">
        <v>20</v>
      </c>
      <c r="D3" s="76" t="s">
        <v>21</v>
      </c>
      <c r="E3" s="76" t="s">
        <v>22</v>
      </c>
      <c r="F3" s="77">
        <v>45291</v>
      </c>
      <c r="G3" s="76">
        <v>2023</v>
      </c>
      <c r="H3" s="76" t="s">
        <v>27</v>
      </c>
      <c r="I3" s="76" t="s">
        <v>32</v>
      </c>
      <c r="J3" s="76">
        <v>80</v>
      </c>
      <c r="K3" s="76">
        <v>88.25</v>
      </c>
      <c r="L3" s="78">
        <f t="shared" si="0"/>
        <v>1.1031249999999999</v>
      </c>
      <c r="M3" s="78">
        <f t="shared" si="1"/>
        <v>1.1031249999999999</v>
      </c>
      <c r="N3" s="76" t="s">
        <v>25</v>
      </c>
      <c r="O3" s="76" t="s">
        <v>25</v>
      </c>
      <c r="P3" s="76">
        <v>0</v>
      </c>
      <c r="Q3" s="76">
        <v>0</v>
      </c>
      <c r="R3" s="76" t="s">
        <v>33</v>
      </c>
      <c r="S3" s="76"/>
    </row>
    <row r="4" spans="1:19" x14ac:dyDescent="0.3">
      <c r="A4" s="76">
        <v>68</v>
      </c>
      <c r="B4" s="76" t="s">
        <v>19</v>
      </c>
      <c r="C4" s="76" t="s">
        <v>20</v>
      </c>
      <c r="D4" s="76" t="s">
        <v>21</v>
      </c>
      <c r="E4" s="76" t="s">
        <v>22</v>
      </c>
      <c r="F4" s="77">
        <v>45657</v>
      </c>
      <c r="G4" s="76">
        <v>2024</v>
      </c>
      <c r="H4" s="76" t="s">
        <v>27</v>
      </c>
      <c r="I4" s="76" t="s">
        <v>36</v>
      </c>
      <c r="J4" s="76">
        <v>80</v>
      </c>
      <c r="K4" s="76">
        <v>86.75</v>
      </c>
      <c r="L4" s="78">
        <f t="shared" si="0"/>
        <v>1.0843750000000001</v>
      </c>
      <c r="M4" s="78">
        <f t="shared" si="1"/>
        <v>1.0843750000000001</v>
      </c>
      <c r="N4" s="76" t="s">
        <v>25</v>
      </c>
      <c r="O4" s="76" t="s">
        <v>25</v>
      </c>
      <c r="P4" s="76">
        <v>0</v>
      </c>
      <c r="Q4" s="76">
        <v>0</v>
      </c>
      <c r="R4" s="76" t="s">
        <v>37</v>
      </c>
      <c r="S4" s="76"/>
    </row>
    <row r="5" spans="1:19" x14ac:dyDescent="0.3">
      <c r="A5" s="76">
        <v>69</v>
      </c>
      <c r="B5" s="76" t="s">
        <v>38</v>
      </c>
      <c r="C5" s="76" t="s">
        <v>20</v>
      </c>
      <c r="D5" s="76" t="s">
        <v>39</v>
      </c>
      <c r="E5" s="76" t="s">
        <v>22</v>
      </c>
      <c r="F5" s="77">
        <v>44926</v>
      </c>
      <c r="G5" s="76">
        <v>2022</v>
      </c>
      <c r="H5" s="76" t="s">
        <v>27</v>
      </c>
      <c r="I5" s="76" t="s">
        <v>28</v>
      </c>
      <c r="J5" s="76">
        <v>1239</v>
      </c>
      <c r="K5" s="76">
        <v>1041.5</v>
      </c>
      <c r="L5" s="78">
        <f t="shared" si="0"/>
        <v>0.84059725585149314</v>
      </c>
      <c r="M5" s="78">
        <f t="shared" si="1"/>
        <v>0.84059725585149314</v>
      </c>
      <c r="N5" s="76" t="s">
        <v>25</v>
      </c>
      <c r="O5" s="76" t="s">
        <v>25</v>
      </c>
      <c r="P5" s="76">
        <v>0</v>
      </c>
      <c r="Q5" s="76">
        <v>0</v>
      </c>
      <c r="R5" s="76" t="s">
        <v>45</v>
      </c>
      <c r="S5" s="76"/>
    </row>
    <row r="6" spans="1:19" x14ac:dyDescent="0.3">
      <c r="A6" s="76">
        <v>69</v>
      </c>
      <c r="B6" s="76" t="s">
        <v>38</v>
      </c>
      <c r="C6" s="76" t="s">
        <v>20</v>
      </c>
      <c r="D6" s="76" t="s">
        <v>39</v>
      </c>
      <c r="E6" s="76" t="s">
        <v>22</v>
      </c>
      <c r="F6" s="77">
        <v>45291</v>
      </c>
      <c r="G6" s="76">
        <v>2023</v>
      </c>
      <c r="H6" s="76" t="s">
        <v>27</v>
      </c>
      <c r="I6" s="76" t="s">
        <v>32</v>
      </c>
      <c r="J6" s="76">
        <v>1332.5</v>
      </c>
      <c r="K6" s="76">
        <v>1224.5</v>
      </c>
      <c r="L6" s="78">
        <f t="shared" si="0"/>
        <v>0.91894934333958722</v>
      </c>
      <c r="M6" s="78">
        <f t="shared" si="1"/>
        <v>0.91894934333958722</v>
      </c>
      <c r="N6" s="76" t="s">
        <v>25</v>
      </c>
      <c r="O6" s="76" t="s">
        <v>25</v>
      </c>
      <c r="P6" s="76">
        <v>0</v>
      </c>
      <c r="Q6" s="76">
        <v>0</v>
      </c>
      <c r="R6" s="76" t="s">
        <v>49</v>
      </c>
      <c r="S6" s="76"/>
    </row>
    <row r="7" spans="1:19" x14ac:dyDescent="0.3">
      <c r="A7" s="76">
        <v>69</v>
      </c>
      <c r="B7" s="76" t="s">
        <v>38</v>
      </c>
      <c r="C7" s="76" t="s">
        <v>20</v>
      </c>
      <c r="D7" s="76" t="s">
        <v>39</v>
      </c>
      <c r="E7" s="76" t="s">
        <v>22</v>
      </c>
      <c r="F7" s="77">
        <v>45657</v>
      </c>
      <c r="G7" s="76">
        <v>2024</v>
      </c>
      <c r="H7" s="76" t="s">
        <v>27</v>
      </c>
      <c r="I7" s="76" t="s">
        <v>36</v>
      </c>
      <c r="J7" s="76">
        <v>1201.5</v>
      </c>
      <c r="K7" s="76">
        <v>1096</v>
      </c>
      <c r="L7" s="78">
        <f t="shared" si="0"/>
        <v>0.91219309196837284</v>
      </c>
      <c r="M7" s="78">
        <f t="shared" si="1"/>
        <v>0.91219309196837284</v>
      </c>
      <c r="N7" s="76" t="s">
        <v>25</v>
      </c>
      <c r="O7" s="76" t="s">
        <v>25</v>
      </c>
      <c r="P7" s="76">
        <v>0</v>
      </c>
      <c r="Q7" s="76">
        <v>0</v>
      </c>
      <c r="R7" s="76" t="s">
        <v>53</v>
      </c>
      <c r="S7" s="76"/>
    </row>
    <row r="8" spans="1:19" x14ac:dyDescent="0.3">
      <c r="A8" s="76">
        <v>73</v>
      </c>
      <c r="B8" s="76" t="s">
        <v>54</v>
      </c>
      <c r="C8" s="76" t="s">
        <v>55</v>
      </c>
      <c r="D8" s="76" t="s">
        <v>21</v>
      </c>
      <c r="E8" s="76" t="s">
        <v>56</v>
      </c>
      <c r="F8" s="77">
        <v>44926</v>
      </c>
      <c r="G8" s="76">
        <v>2022</v>
      </c>
      <c r="H8" s="76" t="s">
        <v>27</v>
      </c>
      <c r="I8" s="76" t="s">
        <v>28</v>
      </c>
      <c r="J8" s="76">
        <v>20</v>
      </c>
      <c r="K8" s="76">
        <v>18.835000000000001</v>
      </c>
      <c r="L8" s="78">
        <f t="shared" si="0"/>
        <v>1.0618529333687283</v>
      </c>
      <c r="M8" s="78">
        <f t="shared" si="1"/>
        <v>1.0618529333687283</v>
      </c>
      <c r="N8" s="76" t="s">
        <v>25</v>
      </c>
      <c r="O8" s="76" t="s">
        <v>25</v>
      </c>
      <c r="P8" s="76">
        <v>0</v>
      </c>
      <c r="Q8" s="76">
        <v>0</v>
      </c>
      <c r="R8" s="76" t="s">
        <v>59</v>
      </c>
      <c r="S8" s="76"/>
    </row>
    <row r="9" spans="1:19" x14ac:dyDescent="0.3">
      <c r="A9" s="76">
        <v>73</v>
      </c>
      <c r="B9" s="76" t="s">
        <v>54</v>
      </c>
      <c r="C9" s="76" t="s">
        <v>55</v>
      </c>
      <c r="D9" s="76" t="s">
        <v>21</v>
      </c>
      <c r="E9" s="76" t="s">
        <v>56</v>
      </c>
      <c r="F9" s="77">
        <v>45291</v>
      </c>
      <c r="G9" s="76">
        <v>2023</v>
      </c>
      <c r="H9" s="76" t="s">
        <v>27</v>
      </c>
      <c r="I9" s="76" t="s">
        <v>32</v>
      </c>
      <c r="J9" s="76">
        <v>20</v>
      </c>
      <c r="K9" s="76">
        <v>18</v>
      </c>
      <c r="L9" s="78">
        <f t="shared" si="0"/>
        <v>1.1111111111111112</v>
      </c>
      <c r="M9" s="78">
        <f t="shared" si="1"/>
        <v>1.1111111111111112</v>
      </c>
      <c r="N9" s="76" t="s">
        <v>25</v>
      </c>
      <c r="O9" s="76" t="s">
        <v>25</v>
      </c>
      <c r="P9" s="76">
        <v>0</v>
      </c>
      <c r="Q9" s="76">
        <v>0</v>
      </c>
      <c r="R9" s="76" t="s">
        <v>61</v>
      </c>
      <c r="S9" s="76"/>
    </row>
    <row r="10" spans="1:19" x14ac:dyDescent="0.3">
      <c r="A10" s="76">
        <v>73</v>
      </c>
      <c r="B10" s="76" t="s">
        <v>54</v>
      </c>
      <c r="C10" s="76" t="s">
        <v>55</v>
      </c>
      <c r="D10" s="76" t="s">
        <v>21</v>
      </c>
      <c r="E10" s="76" t="s">
        <v>56</v>
      </c>
      <c r="F10" s="77">
        <v>45657</v>
      </c>
      <c r="G10" s="76">
        <v>2024</v>
      </c>
      <c r="H10" s="76" t="s">
        <v>27</v>
      </c>
      <c r="I10" s="76" t="s">
        <v>36</v>
      </c>
      <c r="J10" s="76">
        <v>20</v>
      </c>
      <c r="K10" s="76">
        <v>18.5</v>
      </c>
      <c r="L10" s="78">
        <f t="shared" si="0"/>
        <v>1.0810810810810811</v>
      </c>
      <c r="M10" s="78">
        <f t="shared" si="1"/>
        <v>1.0810810810810811</v>
      </c>
      <c r="N10" s="76" t="s">
        <v>25</v>
      </c>
      <c r="O10" s="76" t="s">
        <v>25</v>
      </c>
      <c r="P10" s="76">
        <v>0</v>
      </c>
      <c r="Q10" s="76">
        <v>0</v>
      </c>
      <c r="R10" s="76" t="s">
        <v>63</v>
      </c>
      <c r="S10" s="76"/>
    </row>
    <row r="11" spans="1:19" x14ac:dyDescent="0.3">
      <c r="A11" s="76">
        <v>74</v>
      </c>
      <c r="B11" s="76" t="s">
        <v>64</v>
      </c>
      <c r="C11" s="76" t="s">
        <v>55</v>
      </c>
      <c r="D11" s="76" t="s">
        <v>21</v>
      </c>
      <c r="E11" s="76" t="s">
        <v>22</v>
      </c>
      <c r="F11" s="77">
        <v>44926</v>
      </c>
      <c r="G11" s="76">
        <v>2022</v>
      </c>
      <c r="H11" s="76" t="s">
        <v>27</v>
      </c>
      <c r="I11" s="76" t="s">
        <v>28</v>
      </c>
      <c r="J11" s="76">
        <v>80</v>
      </c>
      <c r="K11" s="76">
        <v>85.447368421052502</v>
      </c>
      <c r="L11" s="78">
        <f t="shared" si="0"/>
        <v>1.0680921052631562</v>
      </c>
      <c r="M11" s="78">
        <f t="shared" si="1"/>
        <v>1.0680921052631562</v>
      </c>
      <c r="N11" s="76" t="s">
        <v>25</v>
      </c>
      <c r="O11" s="76" t="s">
        <v>25</v>
      </c>
      <c r="P11" s="76">
        <v>0</v>
      </c>
      <c r="Q11" s="76">
        <v>0</v>
      </c>
      <c r="R11" s="76" t="s">
        <v>66</v>
      </c>
      <c r="S11" s="76"/>
    </row>
    <row r="12" spans="1:19" x14ac:dyDescent="0.3">
      <c r="A12" s="76">
        <v>74</v>
      </c>
      <c r="B12" s="76" t="s">
        <v>64</v>
      </c>
      <c r="C12" s="76" t="s">
        <v>55</v>
      </c>
      <c r="D12" s="76" t="s">
        <v>21</v>
      </c>
      <c r="E12" s="76" t="s">
        <v>22</v>
      </c>
      <c r="F12" s="77">
        <v>45291</v>
      </c>
      <c r="G12" s="76">
        <v>2023</v>
      </c>
      <c r="H12" s="76" t="s">
        <v>27</v>
      </c>
      <c r="I12" s="76" t="s">
        <v>32</v>
      </c>
      <c r="J12" s="76">
        <v>80</v>
      </c>
      <c r="K12" s="76">
        <v>90.909743589743499</v>
      </c>
      <c r="L12" s="78">
        <f t="shared" si="0"/>
        <v>1.1363717948717937</v>
      </c>
      <c r="M12" s="78">
        <f t="shared" si="1"/>
        <v>1.1363717948717937</v>
      </c>
      <c r="N12" s="76" t="s">
        <v>25</v>
      </c>
      <c r="O12" s="76" t="s">
        <v>25</v>
      </c>
      <c r="P12" s="76">
        <v>0</v>
      </c>
      <c r="Q12" s="76">
        <v>0</v>
      </c>
      <c r="R12" s="76" t="s">
        <v>68</v>
      </c>
      <c r="S12" s="76"/>
    </row>
    <row r="13" spans="1:19" x14ac:dyDescent="0.3">
      <c r="A13" s="76">
        <v>74</v>
      </c>
      <c r="B13" s="76" t="s">
        <v>64</v>
      </c>
      <c r="C13" s="76" t="s">
        <v>55</v>
      </c>
      <c r="D13" s="76" t="s">
        <v>21</v>
      </c>
      <c r="E13" s="76" t="s">
        <v>22</v>
      </c>
      <c r="F13" s="77">
        <v>45657</v>
      </c>
      <c r="G13" s="76">
        <v>2024</v>
      </c>
      <c r="H13" s="76" t="s">
        <v>27</v>
      </c>
      <c r="I13" s="76" t="s">
        <v>36</v>
      </c>
      <c r="J13" s="76">
        <v>80</v>
      </c>
      <c r="K13" s="76">
        <v>93.490000000000009</v>
      </c>
      <c r="L13" s="78">
        <f t="shared" si="0"/>
        <v>1.168625</v>
      </c>
      <c r="M13" s="78">
        <f t="shared" si="1"/>
        <v>1.168625</v>
      </c>
      <c r="N13" s="76" t="s">
        <v>25</v>
      </c>
      <c r="O13" s="76" t="s">
        <v>25</v>
      </c>
      <c r="P13" s="76">
        <v>0</v>
      </c>
      <c r="Q13" s="76">
        <v>0</v>
      </c>
      <c r="R13" s="76" t="s">
        <v>70</v>
      </c>
      <c r="S13" s="76"/>
    </row>
    <row r="14" spans="1:19" x14ac:dyDescent="0.3">
      <c r="A14" s="76">
        <v>77</v>
      </c>
      <c r="B14" s="76" t="s">
        <v>71</v>
      </c>
      <c r="C14" s="76" t="s">
        <v>72</v>
      </c>
      <c r="D14" s="76" t="s">
        <v>73</v>
      </c>
      <c r="E14" s="76" t="s">
        <v>22</v>
      </c>
      <c r="F14" s="77">
        <v>44926</v>
      </c>
      <c r="G14" s="76">
        <v>2022</v>
      </c>
      <c r="H14" s="76" t="s">
        <v>27</v>
      </c>
      <c r="I14" s="76" t="s">
        <v>28</v>
      </c>
      <c r="J14" s="76">
        <v>97</v>
      </c>
      <c r="K14" s="76">
        <v>97.899999999999991</v>
      </c>
      <c r="L14" s="78">
        <f t="shared" si="0"/>
        <v>1.0092783505154639</v>
      </c>
      <c r="M14" s="78">
        <f t="shared" si="1"/>
        <v>1.0092783505154639</v>
      </c>
      <c r="N14" s="76" t="s">
        <v>25</v>
      </c>
      <c r="O14" s="76" t="s">
        <v>25</v>
      </c>
      <c r="P14" s="76">
        <v>0</v>
      </c>
      <c r="Q14" s="76">
        <v>0</v>
      </c>
      <c r="R14" s="76" t="s">
        <v>93</v>
      </c>
      <c r="S14" s="76"/>
    </row>
    <row r="15" spans="1:19" x14ac:dyDescent="0.3">
      <c r="A15" s="76">
        <v>77</v>
      </c>
      <c r="B15" s="76" t="s">
        <v>71</v>
      </c>
      <c r="C15" s="76" t="s">
        <v>72</v>
      </c>
      <c r="D15" s="76" t="s">
        <v>73</v>
      </c>
      <c r="E15" s="76" t="s">
        <v>22</v>
      </c>
      <c r="F15" s="77">
        <v>45291</v>
      </c>
      <c r="G15" s="76">
        <v>2023</v>
      </c>
      <c r="H15" s="76" t="s">
        <v>27</v>
      </c>
      <c r="I15" s="76" t="s">
        <v>32</v>
      </c>
      <c r="J15" s="76">
        <v>97</v>
      </c>
      <c r="K15" s="76">
        <v>97.633333333333326</v>
      </c>
      <c r="L15" s="78">
        <f t="shared" si="0"/>
        <v>1.0065292096219931</v>
      </c>
      <c r="M15" s="78">
        <f t="shared" si="1"/>
        <v>1.0065292096219931</v>
      </c>
      <c r="N15" s="76" t="s">
        <v>25</v>
      </c>
      <c r="O15" s="76" t="s">
        <v>25</v>
      </c>
      <c r="P15" s="76">
        <v>0</v>
      </c>
      <c r="Q15" s="76">
        <v>0</v>
      </c>
      <c r="R15" s="76" t="s">
        <v>106</v>
      </c>
      <c r="S15" s="76"/>
    </row>
    <row r="16" spans="1:19" x14ac:dyDescent="0.3">
      <c r="A16" s="76">
        <v>77</v>
      </c>
      <c r="B16" s="76" t="s">
        <v>71</v>
      </c>
      <c r="C16" s="76" t="s">
        <v>72</v>
      </c>
      <c r="D16" s="76" t="s">
        <v>73</v>
      </c>
      <c r="E16" s="76" t="s">
        <v>22</v>
      </c>
      <c r="F16" s="77">
        <v>45657</v>
      </c>
      <c r="G16" s="76">
        <v>2024</v>
      </c>
      <c r="H16" s="76" t="s">
        <v>27</v>
      </c>
      <c r="I16" s="76" t="s">
        <v>36</v>
      </c>
      <c r="J16" s="76">
        <v>97</v>
      </c>
      <c r="K16" s="76">
        <v>97.432500000000005</v>
      </c>
      <c r="L16" s="78">
        <f t="shared" si="0"/>
        <v>1.004458762886598</v>
      </c>
      <c r="M16" s="78">
        <f t="shared" si="1"/>
        <v>1.004458762886598</v>
      </c>
      <c r="N16" s="76" t="s">
        <v>25</v>
      </c>
      <c r="O16" s="76" t="s">
        <v>25</v>
      </c>
      <c r="P16" s="76">
        <v>0</v>
      </c>
      <c r="Q16" s="76">
        <v>0</v>
      </c>
      <c r="R16" s="76" t="s">
        <v>118</v>
      </c>
      <c r="S16" s="76"/>
    </row>
    <row r="17" spans="1:19" x14ac:dyDescent="0.3">
      <c r="A17" s="37">
        <v>78</v>
      </c>
      <c r="B17" s="37" t="s">
        <v>119</v>
      </c>
      <c r="C17" s="37" t="s">
        <v>120</v>
      </c>
      <c r="D17" s="37" t="s">
        <v>121</v>
      </c>
      <c r="E17" s="37" t="s">
        <v>22</v>
      </c>
      <c r="F17" s="42">
        <v>45291</v>
      </c>
      <c r="G17" s="37">
        <v>2023</v>
      </c>
      <c r="H17" s="37" t="s">
        <v>27</v>
      </c>
      <c r="I17" s="39" t="s">
        <v>32</v>
      </c>
      <c r="J17" s="37">
        <v>100</v>
      </c>
      <c r="K17" s="37">
        <v>122</v>
      </c>
      <c r="L17" s="65">
        <f t="shared" si="0"/>
        <v>1.22</v>
      </c>
      <c r="M17" s="65">
        <f t="shared" si="1"/>
        <v>1.22</v>
      </c>
      <c r="N17" s="37" t="s">
        <v>25</v>
      </c>
      <c r="O17" s="37" t="s">
        <v>25</v>
      </c>
      <c r="P17" s="37">
        <v>0</v>
      </c>
      <c r="Q17" s="37">
        <v>0</v>
      </c>
      <c r="R17" s="37" t="s">
        <v>126</v>
      </c>
      <c r="S17" s="37"/>
    </row>
    <row r="18" spans="1:19" x14ac:dyDescent="0.3">
      <c r="A18" s="37">
        <v>78</v>
      </c>
      <c r="B18" s="37" t="s">
        <v>119</v>
      </c>
      <c r="C18" s="37" t="s">
        <v>120</v>
      </c>
      <c r="D18" s="37" t="s">
        <v>121</v>
      </c>
      <c r="E18" s="37" t="s">
        <v>22</v>
      </c>
      <c r="F18" s="42">
        <v>45657</v>
      </c>
      <c r="G18" s="37">
        <v>2024</v>
      </c>
      <c r="H18" s="37" t="s">
        <v>27</v>
      </c>
      <c r="I18" s="39" t="s">
        <v>36</v>
      </c>
      <c r="J18" s="37">
        <v>100</v>
      </c>
      <c r="K18" s="43">
        <v>112.5</v>
      </c>
      <c r="L18" s="65">
        <f t="shared" si="0"/>
        <v>1.125</v>
      </c>
      <c r="M18" s="65">
        <f t="shared" si="1"/>
        <v>1.125</v>
      </c>
      <c r="N18" s="37" t="s">
        <v>25</v>
      </c>
      <c r="O18" s="37" t="s">
        <v>25</v>
      </c>
      <c r="P18" s="37">
        <v>0</v>
      </c>
      <c r="Q18" s="37">
        <v>0</v>
      </c>
      <c r="R18" s="37" t="s">
        <v>131</v>
      </c>
      <c r="S18" s="37"/>
    </row>
    <row r="19" spans="1:19" x14ac:dyDescent="0.3">
      <c r="A19" s="37">
        <v>79</v>
      </c>
      <c r="B19" s="37" t="s">
        <v>132</v>
      </c>
      <c r="C19" s="37" t="s">
        <v>120</v>
      </c>
      <c r="D19" s="37" t="s">
        <v>121</v>
      </c>
      <c r="E19" s="37" t="s">
        <v>22</v>
      </c>
      <c r="F19" s="42">
        <v>45291</v>
      </c>
      <c r="G19" s="37">
        <v>2023</v>
      </c>
      <c r="H19" s="37" t="s">
        <v>27</v>
      </c>
      <c r="I19" s="39" t="s">
        <v>32</v>
      </c>
      <c r="J19" s="37">
        <v>85</v>
      </c>
      <c r="K19" s="37">
        <v>98.862499999999997</v>
      </c>
      <c r="L19" s="65">
        <f t="shared" si="0"/>
        <v>1.1630882352941176</v>
      </c>
      <c r="M19" s="65">
        <f t="shared" si="1"/>
        <v>1.1630882352941176</v>
      </c>
      <c r="N19" s="37" t="s">
        <v>25</v>
      </c>
      <c r="O19" s="37" t="s">
        <v>25</v>
      </c>
      <c r="P19" s="37">
        <v>0</v>
      </c>
      <c r="Q19" s="37">
        <v>0</v>
      </c>
      <c r="R19" s="37" t="s">
        <v>136</v>
      </c>
      <c r="S19" s="37"/>
    </row>
    <row r="20" spans="1:19" x14ac:dyDescent="0.3">
      <c r="A20" s="76">
        <v>84</v>
      </c>
      <c r="B20" s="76" t="s">
        <v>137</v>
      </c>
      <c r="C20" s="76" t="s">
        <v>138</v>
      </c>
      <c r="D20" s="76" t="s">
        <v>139</v>
      </c>
      <c r="E20" s="76" t="s">
        <v>22</v>
      </c>
      <c r="F20" s="77">
        <v>44926</v>
      </c>
      <c r="G20" s="76">
        <v>2022</v>
      </c>
      <c r="H20" s="76" t="s">
        <v>27</v>
      </c>
      <c r="I20" s="76" t="s">
        <v>28</v>
      </c>
      <c r="J20" s="76">
        <v>100</v>
      </c>
      <c r="K20" s="76">
        <v>100</v>
      </c>
      <c r="L20" s="78">
        <f t="shared" si="0"/>
        <v>1</v>
      </c>
      <c r="M20" s="78">
        <f t="shared" si="1"/>
        <v>1</v>
      </c>
      <c r="N20" s="76" t="s">
        <v>25</v>
      </c>
      <c r="O20" s="76" t="s">
        <v>25</v>
      </c>
      <c r="P20" s="76">
        <v>0</v>
      </c>
      <c r="Q20" s="76">
        <v>0</v>
      </c>
      <c r="R20" s="76" t="s">
        <v>140</v>
      </c>
      <c r="S20" s="76"/>
    </row>
    <row r="21" spans="1:19" x14ac:dyDescent="0.3">
      <c r="A21" s="76">
        <v>84</v>
      </c>
      <c r="B21" s="76" t="s">
        <v>137</v>
      </c>
      <c r="C21" s="76" t="s">
        <v>138</v>
      </c>
      <c r="D21" s="76" t="s">
        <v>139</v>
      </c>
      <c r="E21" s="76" t="s">
        <v>22</v>
      </c>
      <c r="F21" s="77">
        <v>45291</v>
      </c>
      <c r="G21" s="76">
        <v>2023</v>
      </c>
      <c r="H21" s="76" t="s">
        <v>27</v>
      </c>
      <c r="I21" s="76" t="s">
        <v>32</v>
      </c>
      <c r="J21" s="76">
        <v>100</v>
      </c>
      <c r="K21" s="76">
        <v>100</v>
      </c>
      <c r="L21" s="78">
        <f t="shared" si="0"/>
        <v>1</v>
      </c>
      <c r="M21" s="78">
        <f t="shared" si="1"/>
        <v>1</v>
      </c>
      <c r="N21" s="76" t="s">
        <v>25</v>
      </c>
      <c r="O21" s="76" t="s">
        <v>25</v>
      </c>
      <c r="P21" s="76">
        <v>0</v>
      </c>
      <c r="Q21" s="76">
        <v>0</v>
      </c>
      <c r="R21" s="76" t="s">
        <v>141</v>
      </c>
      <c r="S21" s="76"/>
    </row>
    <row r="22" spans="1:19" x14ac:dyDescent="0.3">
      <c r="A22" s="76">
        <v>84</v>
      </c>
      <c r="B22" s="76" t="s">
        <v>137</v>
      </c>
      <c r="C22" s="76" t="s">
        <v>138</v>
      </c>
      <c r="D22" s="76" t="s">
        <v>139</v>
      </c>
      <c r="E22" s="76" t="s">
        <v>22</v>
      </c>
      <c r="F22" s="77">
        <v>45657</v>
      </c>
      <c r="G22" s="76">
        <v>2024</v>
      </c>
      <c r="H22" s="76" t="s">
        <v>27</v>
      </c>
      <c r="I22" s="76" t="s">
        <v>36</v>
      </c>
      <c r="J22" s="76">
        <v>100</v>
      </c>
      <c r="K22" s="76">
        <v>100</v>
      </c>
      <c r="L22" s="78">
        <f t="shared" si="0"/>
        <v>1</v>
      </c>
      <c r="M22" s="78">
        <f t="shared" si="1"/>
        <v>1</v>
      </c>
      <c r="N22" s="76" t="s">
        <v>25</v>
      </c>
      <c r="O22" s="76" t="s">
        <v>25</v>
      </c>
      <c r="P22" s="76">
        <v>0</v>
      </c>
      <c r="Q22" s="76">
        <v>0</v>
      </c>
      <c r="R22" s="76" t="s">
        <v>142</v>
      </c>
      <c r="S22" s="76"/>
    </row>
    <row r="23" spans="1:19" x14ac:dyDescent="0.3">
      <c r="A23" s="76">
        <v>85</v>
      </c>
      <c r="B23" s="76" t="s">
        <v>143</v>
      </c>
      <c r="C23" s="76" t="s">
        <v>138</v>
      </c>
      <c r="D23" s="76" t="s">
        <v>139</v>
      </c>
      <c r="E23" s="76" t="s">
        <v>22</v>
      </c>
      <c r="F23" s="77">
        <v>44926</v>
      </c>
      <c r="G23" s="76">
        <v>2022</v>
      </c>
      <c r="H23" s="76" t="s">
        <v>27</v>
      </c>
      <c r="I23" s="76" t="s">
        <v>28</v>
      </c>
      <c r="J23" s="76">
        <v>4</v>
      </c>
      <c r="K23" s="76">
        <v>4</v>
      </c>
      <c r="L23" s="78">
        <f t="shared" si="0"/>
        <v>1</v>
      </c>
      <c r="M23" s="78">
        <f t="shared" si="1"/>
        <v>1</v>
      </c>
      <c r="N23" s="76" t="s">
        <v>25</v>
      </c>
      <c r="O23" s="76" t="s">
        <v>25</v>
      </c>
      <c r="P23" s="76">
        <v>0</v>
      </c>
      <c r="Q23" s="76">
        <v>0</v>
      </c>
      <c r="R23" s="76" t="s">
        <v>144</v>
      </c>
      <c r="S23" s="76"/>
    </row>
    <row r="24" spans="1:19" x14ac:dyDescent="0.3">
      <c r="A24" s="76">
        <v>85</v>
      </c>
      <c r="B24" s="76" t="s">
        <v>143</v>
      </c>
      <c r="C24" s="76" t="s">
        <v>138</v>
      </c>
      <c r="D24" s="76" t="s">
        <v>139</v>
      </c>
      <c r="E24" s="76" t="s">
        <v>22</v>
      </c>
      <c r="F24" s="77">
        <v>45291</v>
      </c>
      <c r="G24" s="76">
        <v>2023</v>
      </c>
      <c r="H24" s="76" t="s">
        <v>27</v>
      </c>
      <c r="I24" s="76" t="s">
        <v>32</v>
      </c>
      <c r="J24" s="76">
        <v>3</v>
      </c>
      <c r="K24" s="76">
        <v>3</v>
      </c>
      <c r="L24" s="78">
        <f t="shared" si="0"/>
        <v>1</v>
      </c>
      <c r="M24" s="78">
        <f t="shared" si="1"/>
        <v>1</v>
      </c>
      <c r="N24" s="76" t="s">
        <v>25</v>
      </c>
      <c r="O24" s="76" t="s">
        <v>25</v>
      </c>
      <c r="P24" s="76">
        <v>0</v>
      </c>
      <c r="Q24" s="76">
        <v>0</v>
      </c>
      <c r="R24" s="76" t="s">
        <v>145</v>
      </c>
      <c r="S24" s="76"/>
    </row>
    <row r="25" spans="1:19" x14ac:dyDescent="0.3">
      <c r="A25" s="76">
        <v>85</v>
      </c>
      <c r="B25" s="76" t="s">
        <v>143</v>
      </c>
      <c r="C25" s="76" t="s">
        <v>138</v>
      </c>
      <c r="D25" s="76" t="s">
        <v>139</v>
      </c>
      <c r="E25" s="76" t="s">
        <v>22</v>
      </c>
      <c r="F25" s="77">
        <v>45657</v>
      </c>
      <c r="G25" s="76">
        <v>2024</v>
      </c>
      <c r="H25" s="76" t="s">
        <v>27</v>
      </c>
      <c r="I25" s="76" t="s">
        <v>36</v>
      </c>
      <c r="J25" s="76">
        <v>3</v>
      </c>
      <c r="K25" s="76">
        <v>3</v>
      </c>
      <c r="L25" s="78">
        <f t="shared" si="0"/>
        <v>1</v>
      </c>
      <c r="M25" s="78">
        <f t="shared" si="1"/>
        <v>1</v>
      </c>
      <c r="N25" s="76" t="s">
        <v>25</v>
      </c>
      <c r="O25" s="76" t="s">
        <v>25</v>
      </c>
      <c r="P25" s="76">
        <v>0</v>
      </c>
      <c r="Q25" s="76">
        <v>0</v>
      </c>
      <c r="R25" s="76" t="s">
        <v>146</v>
      </c>
      <c r="S25" s="76"/>
    </row>
    <row r="26" spans="1:19" x14ac:dyDescent="0.3">
      <c r="A26" s="76">
        <v>86</v>
      </c>
      <c r="B26" s="76" t="s">
        <v>147</v>
      </c>
      <c r="C26" s="76" t="s">
        <v>138</v>
      </c>
      <c r="D26" s="76" t="s">
        <v>21</v>
      </c>
      <c r="E26" s="76" t="s">
        <v>22</v>
      </c>
      <c r="F26" s="77">
        <v>44926</v>
      </c>
      <c r="G26" s="76">
        <v>2022</v>
      </c>
      <c r="H26" s="76" t="s">
        <v>27</v>
      </c>
      <c r="I26" s="76" t="s">
        <v>28</v>
      </c>
      <c r="J26" s="76">
        <v>100</v>
      </c>
      <c r="K26" s="76">
        <v>9</v>
      </c>
      <c r="L26" s="78">
        <f t="shared" si="0"/>
        <v>0.09</v>
      </c>
      <c r="M26" s="78">
        <f t="shared" si="1"/>
        <v>0.09</v>
      </c>
      <c r="N26" s="76" t="s">
        <v>25</v>
      </c>
      <c r="O26" s="76" t="s">
        <v>25</v>
      </c>
      <c r="P26" s="76">
        <v>0</v>
      </c>
      <c r="Q26" s="76">
        <v>0</v>
      </c>
      <c r="R26" s="76" t="s">
        <v>149</v>
      </c>
      <c r="S26" s="76"/>
    </row>
    <row r="27" spans="1:19" x14ac:dyDescent="0.3">
      <c r="A27" s="76">
        <v>86</v>
      </c>
      <c r="B27" s="76" t="s">
        <v>147</v>
      </c>
      <c r="C27" s="76" t="s">
        <v>138</v>
      </c>
      <c r="D27" s="76" t="s">
        <v>21</v>
      </c>
      <c r="E27" s="76" t="s">
        <v>22</v>
      </c>
      <c r="F27" s="77">
        <v>45291</v>
      </c>
      <c r="G27" s="76">
        <v>2023</v>
      </c>
      <c r="H27" s="76" t="s">
        <v>27</v>
      </c>
      <c r="I27" s="76" t="s">
        <v>32</v>
      </c>
      <c r="J27" s="76">
        <v>100</v>
      </c>
      <c r="K27" s="76">
        <v>4</v>
      </c>
      <c r="L27" s="78">
        <f t="shared" si="0"/>
        <v>0.04</v>
      </c>
      <c r="M27" s="78">
        <f t="shared" si="1"/>
        <v>0.04</v>
      </c>
      <c r="N27" s="76" t="s">
        <v>25</v>
      </c>
      <c r="O27" s="76" t="s">
        <v>25</v>
      </c>
      <c r="P27" s="76">
        <v>0</v>
      </c>
      <c r="Q27" s="76">
        <v>0</v>
      </c>
      <c r="R27" s="76" t="s">
        <v>151</v>
      </c>
      <c r="S27" s="76"/>
    </row>
    <row r="28" spans="1:19" x14ac:dyDescent="0.3">
      <c r="A28" s="76">
        <v>86</v>
      </c>
      <c r="B28" s="76" t="s">
        <v>147</v>
      </c>
      <c r="C28" s="76" t="s">
        <v>138</v>
      </c>
      <c r="D28" s="76" t="s">
        <v>21</v>
      </c>
      <c r="E28" s="76" t="s">
        <v>22</v>
      </c>
      <c r="F28" s="77">
        <v>45657</v>
      </c>
      <c r="G28" s="76">
        <v>2024</v>
      </c>
      <c r="H28" s="76" t="s">
        <v>27</v>
      </c>
      <c r="I28" s="76" t="s">
        <v>36</v>
      </c>
      <c r="J28" s="76">
        <v>100</v>
      </c>
      <c r="K28" s="76">
        <v>1</v>
      </c>
      <c r="L28" s="78">
        <f t="shared" si="0"/>
        <v>0.01</v>
      </c>
      <c r="M28" s="78">
        <f t="shared" si="1"/>
        <v>0.01</v>
      </c>
      <c r="N28" s="76" t="s">
        <v>25</v>
      </c>
      <c r="O28" s="76" t="s">
        <v>25</v>
      </c>
      <c r="P28" s="76">
        <v>0</v>
      </c>
      <c r="Q28" s="76">
        <v>0</v>
      </c>
      <c r="R28" s="76" t="s">
        <v>153</v>
      </c>
      <c r="S28" s="76"/>
    </row>
    <row r="29" spans="1:19" x14ac:dyDescent="0.3">
      <c r="A29" s="76">
        <v>87</v>
      </c>
      <c r="B29" s="76" t="s">
        <v>154</v>
      </c>
      <c r="C29" s="76" t="s">
        <v>138</v>
      </c>
      <c r="D29" s="76" t="s">
        <v>139</v>
      </c>
      <c r="E29" s="76" t="s">
        <v>22</v>
      </c>
      <c r="F29" s="77">
        <v>44926</v>
      </c>
      <c r="G29" s="76">
        <v>2022</v>
      </c>
      <c r="H29" s="76" t="s">
        <v>27</v>
      </c>
      <c r="I29" s="76" t="s">
        <v>28</v>
      </c>
      <c r="J29" s="76">
        <v>1</v>
      </c>
      <c r="K29" s="76">
        <v>99</v>
      </c>
      <c r="L29" s="78">
        <f t="shared" si="0"/>
        <v>1.3</v>
      </c>
      <c r="M29" s="78">
        <f t="shared" si="1"/>
        <v>99</v>
      </c>
      <c r="N29" s="76" t="s">
        <v>25</v>
      </c>
      <c r="O29" s="76" t="s">
        <v>25</v>
      </c>
      <c r="P29" s="76">
        <v>0</v>
      </c>
      <c r="Q29" s="76">
        <v>0</v>
      </c>
      <c r="R29" s="76" t="s">
        <v>155</v>
      </c>
      <c r="S29" s="76"/>
    </row>
    <row r="30" spans="1:19" x14ac:dyDescent="0.3">
      <c r="A30" s="76">
        <v>87</v>
      </c>
      <c r="B30" s="76" t="s">
        <v>154</v>
      </c>
      <c r="C30" s="76" t="s">
        <v>138</v>
      </c>
      <c r="D30" s="76" t="s">
        <v>139</v>
      </c>
      <c r="E30" s="76" t="s">
        <v>22</v>
      </c>
      <c r="F30" s="77">
        <v>45291</v>
      </c>
      <c r="G30" s="76">
        <v>2023</v>
      </c>
      <c r="H30" s="76" t="s">
        <v>27</v>
      </c>
      <c r="I30" s="76" t="s">
        <v>32</v>
      </c>
      <c r="J30" s="76">
        <v>1</v>
      </c>
      <c r="K30" s="76">
        <v>100</v>
      </c>
      <c r="L30" s="78">
        <f t="shared" si="0"/>
        <v>1.3</v>
      </c>
      <c r="M30" s="78">
        <f t="shared" si="1"/>
        <v>100</v>
      </c>
      <c r="N30" s="76" t="s">
        <v>25</v>
      </c>
      <c r="O30" s="76" t="s">
        <v>25</v>
      </c>
      <c r="P30" s="76">
        <v>0</v>
      </c>
      <c r="Q30" s="76">
        <v>0</v>
      </c>
      <c r="R30" s="76" t="s">
        <v>156</v>
      </c>
      <c r="S30" s="76"/>
    </row>
    <row r="31" spans="1:19" x14ac:dyDescent="0.3">
      <c r="A31" s="76">
        <v>87</v>
      </c>
      <c r="B31" s="76" t="s">
        <v>154</v>
      </c>
      <c r="C31" s="76" t="s">
        <v>138</v>
      </c>
      <c r="D31" s="76" t="s">
        <v>139</v>
      </c>
      <c r="E31" s="76" t="s">
        <v>22</v>
      </c>
      <c r="F31" s="77">
        <v>45657</v>
      </c>
      <c r="G31" s="76">
        <v>2024</v>
      </c>
      <c r="H31" s="76" t="s">
        <v>27</v>
      </c>
      <c r="I31" s="76" t="s">
        <v>36</v>
      </c>
      <c r="J31" s="76">
        <v>1</v>
      </c>
      <c r="K31" s="76">
        <v>100</v>
      </c>
      <c r="L31" s="78">
        <f t="shared" si="0"/>
        <v>1.3</v>
      </c>
      <c r="M31" s="78">
        <f t="shared" si="1"/>
        <v>100</v>
      </c>
      <c r="N31" s="76" t="s">
        <v>25</v>
      </c>
      <c r="O31" s="76" t="s">
        <v>25</v>
      </c>
      <c r="P31" s="76">
        <v>0</v>
      </c>
      <c r="Q31" s="76">
        <v>0</v>
      </c>
      <c r="R31" s="76" t="s">
        <v>157</v>
      </c>
      <c r="S31" s="76"/>
    </row>
    <row r="32" spans="1:19" x14ac:dyDescent="0.3">
      <c r="A32" s="76">
        <v>88</v>
      </c>
      <c r="B32" s="76" t="s">
        <v>158</v>
      </c>
      <c r="C32" s="76" t="s">
        <v>138</v>
      </c>
      <c r="D32" s="76" t="s">
        <v>139</v>
      </c>
      <c r="E32" s="76" t="s">
        <v>22</v>
      </c>
      <c r="F32" s="77">
        <v>44926</v>
      </c>
      <c r="G32" s="76">
        <v>2022</v>
      </c>
      <c r="H32" s="76" t="s">
        <v>27</v>
      </c>
      <c r="I32" s="76" t="s">
        <v>28</v>
      </c>
      <c r="J32" s="76">
        <v>305</v>
      </c>
      <c r="K32" s="76">
        <v>303</v>
      </c>
      <c r="L32" s="78">
        <f>IFERROR(IF(OR(J32=0,K32=""),"",IF(E32="Positivo",MIN(MAX(K32/J32,0),1),MIN(MAX(J32/K32,0),1))),"")</f>
        <v>0.99344262295081964</v>
      </c>
      <c r="M32" s="78">
        <f>IFERROR(IF(OR(J32=0,K32=""),"",IF(E32="Positivo",MIN(MAX(K32/J32,0),1),MIN(MAX(J32/K32,0),1))),"")</f>
        <v>0.99344262295081964</v>
      </c>
      <c r="N32" s="76" t="s">
        <v>25</v>
      </c>
      <c r="O32" s="76" t="s">
        <v>25</v>
      </c>
      <c r="P32" s="76">
        <v>0</v>
      </c>
      <c r="Q32" s="76">
        <v>0</v>
      </c>
      <c r="R32" s="76" t="s">
        <v>159</v>
      </c>
      <c r="S32" s="76"/>
    </row>
    <row r="33" spans="1:19" x14ac:dyDescent="0.3">
      <c r="A33" s="76">
        <v>88</v>
      </c>
      <c r="B33" s="76" t="s">
        <v>158</v>
      </c>
      <c r="C33" s="76" t="s">
        <v>138</v>
      </c>
      <c r="D33" s="76" t="s">
        <v>139</v>
      </c>
      <c r="E33" s="76" t="s">
        <v>22</v>
      </c>
      <c r="F33" s="77">
        <v>45291</v>
      </c>
      <c r="G33" s="76">
        <v>2023</v>
      </c>
      <c r="H33" s="76" t="s">
        <v>27</v>
      </c>
      <c r="I33" s="76" t="s">
        <v>32</v>
      </c>
      <c r="J33" s="76">
        <v>290</v>
      </c>
      <c r="K33" s="76">
        <v>290</v>
      </c>
      <c r="L33" s="78">
        <f>IFERROR(IF(OR(J33=0,K33=""),"",IF(E33="Positivo",MIN(MAX(K33/J33,0),1),MIN(MAX(J33/K33,0),1))),"")</f>
        <v>1</v>
      </c>
      <c r="M33" s="78">
        <f>IFERROR(IF(OR(J33=0,K33=""),"",IF(E33="Positivo",MIN(MAX(K33/J33,0),1),MIN(MAX(J33/K33,0),1))),"")</f>
        <v>1</v>
      </c>
      <c r="N33" s="76" t="s">
        <v>25</v>
      </c>
      <c r="O33" s="76" t="s">
        <v>25</v>
      </c>
      <c r="P33" s="76">
        <v>0</v>
      </c>
      <c r="Q33" s="76">
        <v>0</v>
      </c>
      <c r="R33" s="76" t="s">
        <v>160</v>
      </c>
      <c r="S33" s="76"/>
    </row>
    <row r="34" spans="1:19" x14ac:dyDescent="0.3">
      <c r="A34" s="76">
        <v>88</v>
      </c>
      <c r="B34" s="76" t="s">
        <v>158</v>
      </c>
      <c r="C34" s="76" t="s">
        <v>138</v>
      </c>
      <c r="D34" s="76" t="s">
        <v>139</v>
      </c>
      <c r="E34" s="76" t="s">
        <v>22</v>
      </c>
      <c r="F34" s="77">
        <v>45657</v>
      </c>
      <c r="G34" s="76">
        <v>2024</v>
      </c>
      <c r="H34" s="76" t="s">
        <v>27</v>
      </c>
      <c r="I34" s="76" t="s">
        <v>36</v>
      </c>
      <c r="J34" s="76">
        <v>260</v>
      </c>
      <c r="K34" s="76">
        <v>260</v>
      </c>
      <c r="L34" s="78">
        <f>IFERROR(IF(OR(J34=0,K34=""),"",IF(E34="Positivo",MIN(MAX(K34/J34,0),1),MIN(MAX(J34/K34,0),1))),"")</f>
        <v>1</v>
      </c>
      <c r="M34" s="78">
        <f>IFERROR(IF(OR(J34=0,K34=""),"",IF(E34="Positivo",MIN(MAX(K34/J34,0),1),MIN(MAX(J34/K34,0),1))),"")</f>
        <v>1</v>
      </c>
      <c r="N34" s="76" t="s">
        <v>25</v>
      </c>
      <c r="O34" s="76" t="s">
        <v>25</v>
      </c>
      <c r="P34" s="76">
        <v>0</v>
      </c>
      <c r="Q34" s="76">
        <v>0</v>
      </c>
      <c r="R34" s="76" t="s">
        <v>161</v>
      </c>
      <c r="S34" s="76"/>
    </row>
    <row r="35" spans="1:19" x14ac:dyDescent="0.3">
      <c r="A35" s="76">
        <v>89</v>
      </c>
      <c r="B35" s="76" t="s">
        <v>162</v>
      </c>
      <c r="C35" s="76" t="s">
        <v>138</v>
      </c>
      <c r="D35" s="76" t="s">
        <v>139</v>
      </c>
      <c r="E35" s="76" t="s">
        <v>22</v>
      </c>
      <c r="F35" s="77">
        <v>44926</v>
      </c>
      <c r="G35" s="76">
        <v>2022</v>
      </c>
      <c r="H35" s="76" t="s">
        <v>27</v>
      </c>
      <c r="I35" s="76" t="s">
        <v>28</v>
      </c>
      <c r="J35" s="76">
        <v>56</v>
      </c>
      <c r="K35" s="76">
        <v>56</v>
      </c>
      <c r="L35" s="78">
        <f t="shared" ref="L35:L43" si="2">IFERROR(IF(OR(J35=0,K35=""),"",IF(E35="Positivo",MIN(MAX(K35/J35,0),1.3),MIN(MAX(J35/K35,0),1.3))),"")</f>
        <v>1</v>
      </c>
      <c r="M35" s="78">
        <f t="shared" ref="M35:M43" si="3">IFERROR(IF(OR(J35=0,K35=""),"",IF(E35="Positivo",MAX(K35/J35,0),MAX(J35/K35,0))),"")</f>
        <v>1</v>
      </c>
      <c r="N35" s="76" t="s">
        <v>25</v>
      </c>
      <c r="O35" s="76" t="s">
        <v>25</v>
      </c>
      <c r="P35" s="76">
        <v>0</v>
      </c>
      <c r="Q35" s="76">
        <v>0</v>
      </c>
      <c r="R35" s="76" t="s">
        <v>163</v>
      </c>
      <c r="S35" s="76"/>
    </row>
    <row r="36" spans="1:19" x14ac:dyDescent="0.3">
      <c r="A36" s="76">
        <v>89</v>
      </c>
      <c r="B36" s="76" t="s">
        <v>162</v>
      </c>
      <c r="C36" s="76" t="s">
        <v>138</v>
      </c>
      <c r="D36" s="76" t="s">
        <v>139</v>
      </c>
      <c r="E36" s="76" t="s">
        <v>22</v>
      </c>
      <c r="F36" s="77">
        <v>45291</v>
      </c>
      <c r="G36" s="76">
        <v>2023</v>
      </c>
      <c r="H36" s="76" t="s">
        <v>27</v>
      </c>
      <c r="I36" s="76" t="s">
        <v>32</v>
      </c>
      <c r="J36" s="76">
        <v>122</v>
      </c>
      <c r="K36" s="76">
        <v>122</v>
      </c>
      <c r="L36" s="78">
        <f t="shared" si="2"/>
        <v>1</v>
      </c>
      <c r="M36" s="78">
        <f t="shared" si="3"/>
        <v>1</v>
      </c>
      <c r="N36" s="76" t="s">
        <v>25</v>
      </c>
      <c r="O36" s="76" t="s">
        <v>25</v>
      </c>
      <c r="P36" s="76">
        <v>0</v>
      </c>
      <c r="Q36" s="76">
        <v>0</v>
      </c>
      <c r="R36" s="76" t="s">
        <v>164</v>
      </c>
      <c r="S36" s="76"/>
    </row>
    <row r="37" spans="1:19" x14ac:dyDescent="0.3">
      <c r="A37" s="76">
        <v>89</v>
      </c>
      <c r="B37" s="76" t="s">
        <v>162</v>
      </c>
      <c r="C37" s="76" t="s">
        <v>138</v>
      </c>
      <c r="D37" s="76" t="s">
        <v>139</v>
      </c>
      <c r="E37" s="76" t="s">
        <v>22</v>
      </c>
      <c r="F37" s="77">
        <v>45657</v>
      </c>
      <c r="G37" s="76">
        <v>2024</v>
      </c>
      <c r="H37" s="76" t="s">
        <v>27</v>
      </c>
      <c r="I37" s="76" t="s">
        <v>36</v>
      </c>
      <c r="J37" s="76">
        <v>154</v>
      </c>
      <c r="K37" s="76">
        <v>154</v>
      </c>
      <c r="L37" s="78">
        <f t="shared" si="2"/>
        <v>1</v>
      </c>
      <c r="M37" s="78">
        <f t="shared" si="3"/>
        <v>1</v>
      </c>
      <c r="N37" s="76" t="s">
        <v>25</v>
      </c>
      <c r="O37" s="76" t="s">
        <v>25</v>
      </c>
      <c r="P37" s="76">
        <v>0</v>
      </c>
      <c r="Q37" s="76">
        <v>0</v>
      </c>
      <c r="R37" s="76" t="s">
        <v>165</v>
      </c>
      <c r="S37" s="76"/>
    </row>
    <row r="38" spans="1:19" x14ac:dyDescent="0.3">
      <c r="A38" s="76">
        <v>90</v>
      </c>
      <c r="B38" s="76" t="s">
        <v>166</v>
      </c>
      <c r="C38" s="76" t="s">
        <v>138</v>
      </c>
      <c r="D38" s="76" t="s">
        <v>139</v>
      </c>
      <c r="E38" s="76" t="s">
        <v>22</v>
      </c>
      <c r="F38" s="77">
        <v>44926</v>
      </c>
      <c r="G38" s="76">
        <v>2022</v>
      </c>
      <c r="H38" s="76" t="s">
        <v>27</v>
      </c>
      <c r="I38" s="76" t="s">
        <v>28</v>
      </c>
      <c r="J38" s="76">
        <v>2</v>
      </c>
      <c r="K38" s="76">
        <v>2</v>
      </c>
      <c r="L38" s="78">
        <f t="shared" si="2"/>
        <v>1</v>
      </c>
      <c r="M38" s="78">
        <f t="shared" si="3"/>
        <v>1</v>
      </c>
      <c r="N38" s="76" t="s">
        <v>25</v>
      </c>
      <c r="O38" s="76" t="s">
        <v>25</v>
      </c>
      <c r="P38" s="76">
        <v>0</v>
      </c>
      <c r="Q38" s="76">
        <v>0</v>
      </c>
      <c r="R38" s="76" t="s">
        <v>167</v>
      </c>
      <c r="S38" s="76"/>
    </row>
    <row r="39" spans="1:19" x14ac:dyDescent="0.3">
      <c r="A39" s="76">
        <v>90</v>
      </c>
      <c r="B39" s="76" t="s">
        <v>166</v>
      </c>
      <c r="C39" s="76" t="s">
        <v>138</v>
      </c>
      <c r="D39" s="76" t="s">
        <v>139</v>
      </c>
      <c r="E39" s="76" t="s">
        <v>22</v>
      </c>
      <c r="F39" s="77">
        <v>45291</v>
      </c>
      <c r="G39" s="76">
        <v>2023</v>
      </c>
      <c r="H39" s="76" t="s">
        <v>27</v>
      </c>
      <c r="I39" s="76" t="s">
        <v>32</v>
      </c>
      <c r="J39" s="76">
        <v>7</v>
      </c>
      <c r="K39" s="76">
        <v>7</v>
      </c>
      <c r="L39" s="78">
        <f t="shared" si="2"/>
        <v>1</v>
      </c>
      <c r="M39" s="78">
        <f t="shared" si="3"/>
        <v>1</v>
      </c>
      <c r="N39" s="76" t="s">
        <v>25</v>
      </c>
      <c r="O39" s="76" t="s">
        <v>25</v>
      </c>
      <c r="P39" s="76">
        <v>0</v>
      </c>
      <c r="Q39" s="76">
        <v>0</v>
      </c>
      <c r="R39" s="76" t="s">
        <v>168</v>
      </c>
      <c r="S39" s="76"/>
    </row>
    <row r="40" spans="1:19" x14ac:dyDescent="0.3">
      <c r="A40" s="76">
        <v>90</v>
      </c>
      <c r="B40" s="76" t="s">
        <v>166</v>
      </c>
      <c r="C40" s="76" t="s">
        <v>138</v>
      </c>
      <c r="D40" s="76" t="s">
        <v>139</v>
      </c>
      <c r="E40" s="76" t="s">
        <v>22</v>
      </c>
      <c r="F40" s="77">
        <v>45657</v>
      </c>
      <c r="G40" s="76">
        <v>2024</v>
      </c>
      <c r="H40" s="76" t="s">
        <v>27</v>
      </c>
      <c r="I40" s="76" t="s">
        <v>36</v>
      </c>
      <c r="J40" s="76">
        <v>8</v>
      </c>
      <c r="K40" s="76">
        <v>8</v>
      </c>
      <c r="L40" s="78">
        <f t="shared" si="2"/>
        <v>1</v>
      </c>
      <c r="M40" s="78">
        <f t="shared" si="3"/>
        <v>1</v>
      </c>
      <c r="N40" s="76" t="s">
        <v>25</v>
      </c>
      <c r="O40" s="76" t="s">
        <v>25</v>
      </c>
      <c r="P40" s="76">
        <v>0</v>
      </c>
      <c r="Q40" s="76">
        <v>0</v>
      </c>
      <c r="R40" s="76" t="s">
        <v>169</v>
      </c>
      <c r="S40" s="76"/>
    </row>
    <row r="41" spans="1:19" x14ac:dyDescent="0.3">
      <c r="A41" s="76">
        <v>91</v>
      </c>
      <c r="B41" s="76" t="s">
        <v>170</v>
      </c>
      <c r="C41" s="76" t="s">
        <v>138</v>
      </c>
      <c r="D41" s="76" t="s">
        <v>139</v>
      </c>
      <c r="E41" s="76" t="s">
        <v>22</v>
      </c>
      <c r="F41" s="77">
        <v>44926</v>
      </c>
      <c r="G41" s="76">
        <v>2022</v>
      </c>
      <c r="H41" s="76" t="s">
        <v>27</v>
      </c>
      <c r="I41" s="76" t="s">
        <v>28</v>
      </c>
      <c r="J41" s="76">
        <v>1759</v>
      </c>
      <c r="K41" s="76">
        <v>1759</v>
      </c>
      <c r="L41" s="78">
        <f t="shared" si="2"/>
        <v>1</v>
      </c>
      <c r="M41" s="78">
        <f t="shared" si="3"/>
        <v>1</v>
      </c>
      <c r="N41" s="76" t="s">
        <v>25</v>
      </c>
      <c r="O41" s="76" t="s">
        <v>25</v>
      </c>
      <c r="P41" s="76">
        <v>0</v>
      </c>
      <c r="Q41" s="76">
        <v>0</v>
      </c>
      <c r="R41" s="76" t="s">
        <v>171</v>
      </c>
      <c r="S41" s="76"/>
    </row>
    <row r="42" spans="1:19" x14ac:dyDescent="0.3">
      <c r="A42" s="76">
        <v>91</v>
      </c>
      <c r="B42" s="76" t="s">
        <v>170</v>
      </c>
      <c r="C42" s="76" t="s">
        <v>138</v>
      </c>
      <c r="D42" s="76" t="s">
        <v>139</v>
      </c>
      <c r="E42" s="76" t="s">
        <v>22</v>
      </c>
      <c r="F42" s="77">
        <v>45291</v>
      </c>
      <c r="G42" s="76">
        <v>2023</v>
      </c>
      <c r="H42" s="76" t="s">
        <v>27</v>
      </c>
      <c r="I42" s="76" t="s">
        <v>32</v>
      </c>
      <c r="J42" s="76">
        <v>4314</v>
      </c>
      <c r="K42" s="76">
        <v>4314</v>
      </c>
      <c r="L42" s="78">
        <f t="shared" si="2"/>
        <v>1</v>
      </c>
      <c r="M42" s="78">
        <f t="shared" si="3"/>
        <v>1</v>
      </c>
      <c r="N42" s="76" t="s">
        <v>25</v>
      </c>
      <c r="O42" s="76" t="s">
        <v>25</v>
      </c>
      <c r="P42" s="76">
        <v>0</v>
      </c>
      <c r="Q42" s="76">
        <v>0</v>
      </c>
      <c r="R42" s="76" t="s">
        <v>172</v>
      </c>
      <c r="S42" s="76"/>
    </row>
    <row r="43" spans="1:19" x14ac:dyDescent="0.3">
      <c r="A43" s="76">
        <v>91</v>
      </c>
      <c r="B43" s="76" t="s">
        <v>170</v>
      </c>
      <c r="C43" s="76" t="s">
        <v>138</v>
      </c>
      <c r="D43" s="76" t="s">
        <v>139</v>
      </c>
      <c r="E43" s="76" t="s">
        <v>22</v>
      </c>
      <c r="F43" s="77">
        <v>45657</v>
      </c>
      <c r="G43" s="76">
        <v>2024</v>
      </c>
      <c r="H43" s="76" t="s">
        <v>27</v>
      </c>
      <c r="I43" s="76" t="s">
        <v>36</v>
      </c>
      <c r="J43" s="76">
        <v>5348</v>
      </c>
      <c r="K43" s="76">
        <v>5348</v>
      </c>
      <c r="L43" s="78">
        <f t="shared" si="2"/>
        <v>1</v>
      </c>
      <c r="M43" s="78">
        <f t="shared" si="3"/>
        <v>1</v>
      </c>
      <c r="N43" s="76" t="s">
        <v>25</v>
      </c>
      <c r="O43" s="76" t="s">
        <v>25</v>
      </c>
      <c r="P43" s="76">
        <v>0</v>
      </c>
      <c r="Q43" s="76">
        <v>0</v>
      </c>
      <c r="R43" s="76" t="s">
        <v>173</v>
      </c>
      <c r="S43" s="76"/>
    </row>
    <row r="44" spans="1:19" x14ac:dyDescent="0.3">
      <c r="A44" s="76">
        <v>92</v>
      </c>
      <c r="B44" s="76" t="s">
        <v>174</v>
      </c>
      <c r="C44" s="76" t="s">
        <v>138</v>
      </c>
      <c r="D44" s="76" t="s">
        <v>139</v>
      </c>
      <c r="E44" s="76" t="s">
        <v>22</v>
      </c>
      <c r="F44" s="77">
        <v>44926</v>
      </c>
      <c r="G44" s="76">
        <v>2022</v>
      </c>
      <c r="H44" s="76" t="s">
        <v>27</v>
      </c>
      <c r="I44" s="76" t="s">
        <v>28</v>
      </c>
      <c r="J44" s="76">
        <v>100</v>
      </c>
      <c r="K44" s="76">
        <v>100</v>
      </c>
      <c r="L44" s="78">
        <f>IFERROR(IF(OR(J44=0,K44=""),"",IF(E44="Positivo",MIN(MAX(K44/J44,0),1),MIN(MAX(J44/K44,0),1))),"")</f>
        <v>1</v>
      </c>
      <c r="M44" s="78">
        <f>IFERROR(IF(OR(J44=0,K44=""),"",IF(E44="Positivo",MIN(MAX(K44/J44,0),1),MIN(MAX(J44/K44,0),1))),"")</f>
        <v>1</v>
      </c>
      <c r="N44" s="76" t="s">
        <v>25</v>
      </c>
      <c r="O44" s="76" t="s">
        <v>25</v>
      </c>
      <c r="P44" s="76">
        <v>0</v>
      </c>
      <c r="Q44" s="76">
        <v>0</v>
      </c>
      <c r="R44" s="76" t="s">
        <v>175</v>
      </c>
      <c r="S44" s="76"/>
    </row>
    <row r="45" spans="1:19" x14ac:dyDescent="0.3">
      <c r="A45" s="76">
        <v>92</v>
      </c>
      <c r="B45" s="76" t="s">
        <v>174</v>
      </c>
      <c r="C45" s="76" t="s">
        <v>138</v>
      </c>
      <c r="D45" s="76" t="s">
        <v>139</v>
      </c>
      <c r="E45" s="76" t="s">
        <v>22</v>
      </c>
      <c r="F45" s="77">
        <v>45291</v>
      </c>
      <c r="G45" s="76">
        <v>2023</v>
      </c>
      <c r="H45" s="76" t="s">
        <v>27</v>
      </c>
      <c r="I45" s="76" t="s">
        <v>32</v>
      </c>
      <c r="J45" s="76">
        <v>100</v>
      </c>
      <c r="K45" s="76">
        <v>100</v>
      </c>
      <c r="L45" s="78">
        <f>IFERROR(IF(OR(J45=0,K45=""),"",IF(E45="Positivo",MIN(MAX(K45/J45,0),1),MIN(MAX(J45/K45,0),1))),"")</f>
        <v>1</v>
      </c>
      <c r="M45" s="78">
        <f>IFERROR(IF(OR(J45=0,K45=""),"",IF(E45="Positivo",MIN(MAX(K45/J45,0),1),MIN(MAX(J45/K45,0),1))),"")</f>
        <v>1</v>
      </c>
      <c r="N45" s="76" t="s">
        <v>25</v>
      </c>
      <c r="O45" s="76" t="s">
        <v>25</v>
      </c>
      <c r="P45" s="76">
        <v>0</v>
      </c>
      <c r="Q45" s="76">
        <v>0</v>
      </c>
      <c r="R45" s="76" t="s">
        <v>176</v>
      </c>
      <c r="S45" s="76"/>
    </row>
    <row r="46" spans="1:19" x14ac:dyDescent="0.3">
      <c r="A46" s="76">
        <v>92</v>
      </c>
      <c r="B46" s="76" t="s">
        <v>174</v>
      </c>
      <c r="C46" s="76" t="s">
        <v>138</v>
      </c>
      <c r="D46" s="76" t="s">
        <v>139</v>
      </c>
      <c r="E46" s="76" t="s">
        <v>22</v>
      </c>
      <c r="F46" s="77">
        <v>45657</v>
      </c>
      <c r="G46" s="76">
        <v>2024</v>
      </c>
      <c r="H46" s="76" t="s">
        <v>27</v>
      </c>
      <c r="I46" s="76" t="s">
        <v>36</v>
      </c>
      <c r="J46" s="76">
        <v>98</v>
      </c>
      <c r="K46" s="76">
        <v>100</v>
      </c>
      <c r="L46" s="78">
        <f>IFERROR(IF(OR(J46=0,K46=""),"",IF(E46="Positivo",MIN(MAX(K46/J46,0),1),MIN(MAX(J46/K46,0),1))),"")</f>
        <v>1</v>
      </c>
      <c r="M46" s="78">
        <f>IFERROR(IF(OR(J46=0,K46=""),"",IF(E46="Positivo",MIN(MAX(K46/J46,0),1),MIN(MAX(J46/K46,0),1))),"")</f>
        <v>1</v>
      </c>
      <c r="N46" s="76" t="s">
        <v>25</v>
      </c>
      <c r="O46" s="76" t="s">
        <v>25</v>
      </c>
      <c r="P46" s="76">
        <v>0</v>
      </c>
      <c r="Q46" s="76">
        <v>0</v>
      </c>
      <c r="R46" s="76" t="s">
        <v>177</v>
      </c>
      <c r="S46" s="76"/>
    </row>
    <row r="47" spans="1:19" x14ac:dyDescent="0.3">
      <c r="A47" s="76">
        <v>94</v>
      </c>
      <c r="B47" s="76" t="s">
        <v>178</v>
      </c>
      <c r="C47" s="76" t="s">
        <v>138</v>
      </c>
      <c r="D47" s="76" t="s">
        <v>139</v>
      </c>
      <c r="E47" s="76" t="s">
        <v>22</v>
      </c>
      <c r="F47" s="77">
        <v>44926</v>
      </c>
      <c r="G47" s="76">
        <v>2022</v>
      </c>
      <c r="H47" s="76" t="s">
        <v>27</v>
      </c>
      <c r="I47" s="76" t="s">
        <v>28</v>
      </c>
      <c r="J47" s="76">
        <v>100</v>
      </c>
      <c r="K47" s="76">
        <v>100</v>
      </c>
      <c r="L47" s="78">
        <f t="shared" ref="L47:L56" si="4">IFERROR(IF(OR(J47=0,K47=""),"",IF(E47="Positivo",MIN(MAX(K47/J47,0),1.3),MIN(MAX(J47/K47,0),1.3))),"")</f>
        <v>1</v>
      </c>
      <c r="M47" s="78">
        <f t="shared" ref="M47:M56" si="5">IFERROR(IF(OR(J47=0,K47=""),"",IF(E47="Positivo",MAX(K47/J47,0),MAX(J47/K47,0))),"")</f>
        <v>1</v>
      </c>
      <c r="N47" s="76" t="s">
        <v>25</v>
      </c>
      <c r="O47" s="76" t="s">
        <v>25</v>
      </c>
      <c r="P47" s="76">
        <v>0</v>
      </c>
      <c r="Q47" s="76">
        <v>0</v>
      </c>
      <c r="R47" s="76" t="s">
        <v>179</v>
      </c>
      <c r="S47" s="76"/>
    </row>
    <row r="48" spans="1:19" x14ac:dyDescent="0.3">
      <c r="A48" s="76">
        <v>94</v>
      </c>
      <c r="B48" s="76" t="s">
        <v>178</v>
      </c>
      <c r="C48" s="76" t="s">
        <v>138</v>
      </c>
      <c r="D48" s="76" t="s">
        <v>139</v>
      </c>
      <c r="E48" s="76" t="s">
        <v>22</v>
      </c>
      <c r="F48" s="77">
        <v>45291</v>
      </c>
      <c r="G48" s="76">
        <v>2023</v>
      </c>
      <c r="H48" s="76" t="s">
        <v>27</v>
      </c>
      <c r="I48" s="76" t="s">
        <v>32</v>
      </c>
      <c r="J48" s="76">
        <v>100</v>
      </c>
      <c r="K48" s="76">
        <v>100</v>
      </c>
      <c r="L48" s="78">
        <f t="shared" si="4"/>
        <v>1</v>
      </c>
      <c r="M48" s="78">
        <f t="shared" si="5"/>
        <v>1</v>
      </c>
      <c r="N48" s="76" t="s">
        <v>25</v>
      </c>
      <c r="O48" s="76" t="s">
        <v>25</v>
      </c>
      <c r="P48" s="76">
        <v>0</v>
      </c>
      <c r="Q48" s="76">
        <v>0</v>
      </c>
      <c r="R48" s="76" t="s">
        <v>180</v>
      </c>
      <c r="S48" s="76"/>
    </row>
    <row r="49" spans="1:19" x14ac:dyDescent="0.3">
      <c r="A49" s="76">
        <v>94</v>
      </c>
      <c r="B49" s="76" t="s">
        <v>178</v>
      </c>
      <c r="C49" s="76" t="s">
        <v>138</v>
      </c>
      <c r="D49" s="76" t="s">
        <v>139</v>
      </c>
      <c r="E49" s="76" t="s">
        <v>22</v>
      </c>
      <c r="F49" s="77">
        <v>45657</v>
      </c>
      <c r="G49" s="76">
        <v>2024</v>
      </c>
      <c r="H49" s="76" t="s">
        <v>27</v>
      </c>
      <c r="I49" s="76" t="s">
        <v>36</v>
      </c>
      <c r="J49" s="76">
        <v>100</v>
      </c>
      <c r="K49" s="76">
        <v>100</v>
      </c>
      <c r="L49" s="78">
        <f t="shared" si="4"/>
        <v>1</v>
      </c>
      <c r="M49" s="78">
        <f t="shared" si="5"/>
        <v>1</v>
      </c>
      <c r="N49" s="76" t="s">
        <v>25</v>
      </c>
      <c r="O49" s="76" t="s">
        <v>25</v>
      </c>
      <c r="P49" s="76">
        <v>0</v>
      </c>
      <c r="Q49" s="76">
        <v>0</v>
      </c>
      <c r="R49" s="76" t="s">
        <v>181</v>
      </c>
      <c r="S49" s="76"/>
    </row>
    <row r="50" spans="1:19" x14ac:dyDescent="0.3">
      <c r="A50" s="76">
        <v>95</v>
      </c>
      <c r="B50" s="76" t="s">
        <v>182</v>
      </c>
      <c r="C50" s="76" t="s">
        <v>138</v>
      </c>
      <c r="D50" s="76" t="s">
        <v>21</v>
      </c>
      <c r="E50" s="76" t="s">
        <v>22</v>
      </c>
      <c r="F50" s="77">
        <v>44926</v>
      </c>
      <c r="G50" s="76">
        <v>2022</v>
      </c>
      <c r="H50" s="76" t="s">
        <v>27</v>
      </c>
      <c r="I50" s="76" t="s">
        <v>28</v>
      </c>
      <c r="J50" s="76">
        <v>38</v>
      </c>
      <c r="K50" s="76">
        <v>38</v>
      </c>
      <c r="L50" s="78">
        <f t="shared" si="4"/>
        <v>1</v>
      </c>
      <c r="M50" s="78">
        <f t="shared" si="5"/>
        <v>1</v>
      </c>
      <c r="N50" s="76" t="s">
        <v>25</v>
      </c>
      <c r="O50" s="76" t="s">
        <v>25</v>
      </c>
      <c r="P50" s="76">
        <v>0</v>
      </c>
      <c r="Q50" s="76">
        <v>0</v>
      </c>
      <c r="R50" s="76" t="s">
        <v>184</v>
      </c>
      <c r="S50" s="76"/>
    </row>
    <row r="51" spans="1:19" x14ac:dyDescent="0.3">
      <c r="A51" s="76">
        <v>95</v>
      </c>
      <c r="B51" s="76" t="s">
        <v>182</v>
      </c>
      <c r="C51" s="76" t="s">
        <v>138</v>
      </c>
      <c r="D51" s="76" t="s">
        <v>21</v>
      </c>
      <c r="E51" s="76" t="s">
        <v>22</v>
      </c>
      <c r="F51" s="77">
        <v>45291</v>
      </c>
      <c r="G51" s="76">
        <v>2023</v>
      </c>
      <c r="H51" s="76" t="s">
        <v>27</v>
      </c>
      <c r="I51" s="76" t="s">
        <v>32</v>
      </c>
      <c r="J51" s="76">
        <v>54</v>
      </c>
      <c r="K51" s="76">
        <v>54</v>
      </c>
      <c r="L51" s="78">
        <f t="shared" si="4"/>
        <v>1</v>
      </c>
      <c r="M51" s="78">
        <f t="shared" si="5"/>
        <v>1</v>
      </c>
      <c r="N51" s="76" t="s">
        <v>25</v>
      </c>
      <c r="O51" s="76" t="s">
        <v>25</v>
      </c>
      <c r="P51" s="76">
        <v>0</v>
      </c>
      <c r="Q51" s="76">
        <v>0</v>
      </c>
      <c r="R51" s="76" t="s">
        <v>186</v>
      </c>
      <c r="S51" s="76"/>
    </row>
    <row r="52" spans="1:19" x14ac:dyDescent="0.3">
      <c r="A52" s="76">
        <v>95</v>
      </c>
      <c r="B52" s="76" t="s">
        <v>182</v>
      </c>
      <c r="C52" s="76" t="s">
        <v>138</v>
      </c>
      <c r="D52" s="76" t="s">
        <v>21</v>
      </c>
      <c r="E52" s="76" t="s">
        <v>22</v>
      </c>
      <c r="F52" s="77">
        <v>45657</v>
      </c>
      <c r="G52" s="76">
        <v>2024</v>
      </c>
      <c r="H52" s="76" t="s">
        <v>27</v>
      </c>
      <c r="I52" s="76" t="s">
        <v>36</v>
      </c>
      <c r="J52" s="76">
        <v>41.5</v>
      </c>
      <c r="K52" s="76">
        <v>41.5</v>
      </c>
      <c r="L52" s="78">
        <f t="shared" si="4"/>
        <v>1</v>
      </c>
      <c r="M52" s="78">
        <f t="shared" si="5"/>
        <v>1</v>
      </c>
      <c r="N52" s="76" t="s">
        <v>25</v>
      </c>
      <c r="O52" s="76" t="s">
        <v>25</v>
      </c>
      <c r="P52" s="76">
        <v>0</v>
      </c>
      <c r="Q52" s="76">
        <v>0</v>
      </c>
      <c r="R52" s="76" t="s">
        <v>188</v>
      </c>
      <c r="S52" s="76"/>
    </row>
    <row r="53" spans="1:19" x14ac:dyDescent="0.3">
      <c r="A53" s="37">
        <v>96</v>
      </c>
      <c r="B53" s="12" t="s">
        <v>189</v>
      </c>
      <c r="C53" s="37" t="s">
        <v>190</v>
      </c>
      <c r="D53" s="37" t="s">
        <v>21</v>
      </c>
      <c r="E53" s="37" t="s">
        <v>22</v>
      </c>
      <c r="F53" s="42">
        <v>44926</v>
      </c>
      <c r="G53" s="40">
        <v>2022</v>
      </c>
      <c r="H53" s="39" t="s">
        <v>27</v>
      </c>
      <c r="I53" s="39" t="s">
        <v>28</v>
      </c>
      <c r="J53" s="37">
        <v>509</v>
      </c>
      <c r="K53" s="37">
        <v>565</v>
      </c>
      <c r="L53" s="65">
        <f t="shared" si="4"/>
        <v>1.1100196463654224</v>
      </c>
      <c r="M53" s="65">
        <f t="shared" si="5"/>
        <v>1.1100196463654224</v>
      </c>
      <c r="N53" s="37" t="s">
        <v>203</v>
      </c>
      <c r="O53" s="37" t="s">
        <v>203</v>
      </c>
      <c r="P53" s="37">
        <v>0</v>
      </c>
      <c r="Q53" s="37">
        <v>0</v>
      </c>
      <c r="R53" s="37" t="s">
        <v>191</v>
      </c>
      <c r="S53" s="37"/>
    </row>
    <row r="54" spans="1:19" x14ac:dyDescent="0.3">
      <c r="A54" s="76">
        <v>100</v>
      </c>
      <c r="B54" s="76" t="s">
        <v>192</v>
      </c>
      <c r="C54" s="76" t="s">
        <v>138</v>
      </c>
      <c r="D54" s="76" t="s">
        <v>139</v>
      </c>
      <c r="E54" s="76" t="s">
        <v>22</v>
      </c>
      <c r="F54" s="77">
        <v>44926</v>
      </c>
      <c r="G54" s="76">
        <v>2022</v>
      </c>
      <c r="H54" s="76" t="s">
        <v>27</v>
      </c>
      <c r="I54" s="76" t="s">
        <v>28</v>
      </c>
      <c r="J54" s="76">
        <v>1</v>
      </c>
      <c r="K54" s="76">
        <v>98.3</v>
      </c>
      <c r="L54" s="78">
        <f t="shared" si="4"/>
        <v>1.3</v>
      </c>
      <c r="M54" s="78">
        <f t="shared" si="5"/>
        <v>98.3</v>
      </c>
      <c r="N54" s="76" t="s">
        <v>25</v>
      </c>
      <c r="O54" s="76" t="s">
        <v>25</v>
      </c>
      <c r="P54" s="76">
        <v>0</v>
      </c>
      <c r="Q54" s="76">
        <v>0</v>
      </c>
      <c r="R54" s="76" t="s">
        <v>193</v>
      </c>
      <c r="S54" s="76"/>
    </row>
    <row r="55" spans="1:19" x14ac:dyDescent="0.3">
      <c r="A55" s="76">
        <v>100</v>
      </c>
      <c r="B55" s="76" t="s">
        <v>192</v>
      </c>
      <c r="C55" s="76" t="s">
        <v>138</v>
      </c>
      <c r="D55" s="76" t="s">
        <v>139</v>
      </c>
      <c r="E55" s="76" t="s">
        <v>22</v>
      </c>
      <c r="F55" s="77">
        <v>45291</v>
      </c>
      <c r="G55" s="76">
        <v>2023</v>
      </c>
      <c r="H55" s="76" t="s">
        <v>27</v>
      </c>
      <c r="I55" s="76" t="s">
        <v>32</v>
      </c>
      <c r="J55" s="76">
        <v>1</v>
      </c>
      <c r="K55" s="76">
        <v>99</v>
      </c>
      <c r="L55" s="78">
        <f t="shared" si="4"/>
        <v>1.3</v>
      </c>
      <c r="M55" s="78">
        <f t="shared" si="5"/>
        <v>99</v>
      </c>
      <c r="N55" s="76" t="s">
        <v>25</v>
      </c>
      <c r="O55" s="76" t="s">
        <v>25</v>
      </c>
      <c r="P55" s="76">
        <v>0</v>
      </c>
      <c r="Q55" s="76">
        <v>0</v>
      </c>
      <c r="R55" s="76" t="s">
        <v>194</v>
      </c>
      <c r="S55" s="76"/>
    </row>
    <row r="56" spans="1:19" x14ac:dyDescent="0.3">
      <c r="A56" s="76">
        <v>100</v>
      </c>
      <c r="B56" s="76" t="s">
        <v>192</v>
      </c>
      <c r="C56" s="76" t="s">
        <v>138</v>
      </c>
      <c r="D56" s="76" t="s">
        <v>139</v>
      </c>
      <c r="E56" s="76" t="s">
        <v>22</v>
      </c>
      <c r="F56" s="77">
        <v>45657</v>
      </c>
      <c r="G56" s="76">
        <v>2024</v>
      </c>
      <c r="H56" s="76" t="s">
        <v>27</v>
      </c>
      <c r="I56" s="76" t="s">
        <v>36</v>
      </c>
      <c r="J56" s="76">
        <v>1</v>
      </c>
      <c r="K56" s="76">
        <v>99</v>
      </c>
      <c r="L56" s="78">
        <f t="shared" si="4"/>
        <v>1.3</v>
      </c>
      <c r="M56" s="78">
        <f t="shared" si="5"/>
        <v>99</v>
      </c>
      <c r="N56" s="76" t="s">
        <v>25</v>
      </c>
      <c r="O56" s="76" t="s">
        <v>25</v>
      </c>
      <c r="P56" s="76">
        <v>0</v>
      </c>
      <c r="Q56" s="76">
        <v>0</v>
      </c>
      <c r="R56" s="76" t="s">
        <v>195</v>
      </c>
      <c r="S56" s="76"/>
    </row>
    <row r="57" spans="1:19" x14ac:dyDescent="0.3">
      <c r="A57" s="76">
        <v>104</v>
      </c>
      <c r="B57" s="76" t="s">
        <v>196</v>
      </c>
      <c r="C57" s="76" t="s">
        <v>138</v>
      </c>
      <c r="D57" s="76" t="s">
        <v>139</v>
      </c>
      <c r="E57" s="76" t="s">
        <v>56</v>
      </c>
      <c r="F57" s="77">
        <v>44926</v>
      </c>
      <c r="G57" s="76">
        <v>2022</v>
      </c>
      <c r="H57" s="76" t="s">
        <v>27</v>
      </c>
      <c r="I57" s="76" t="s">
        <v>28</v>
      </c>
      <c r="J57" s="76">
        <v>2.14</v>
      </c>
      <c r="K57" s="76">
        <v>0.37174721189590998</v>
      </c>
      <c r="L57" s="78">
        <f t="shared" ref="L57:L62" si="6">IFERROR(IF(OR(J57=0,K57=""),"",IF(E57="Positivo",MIN(MAX(K57/J57,0),1),MIN(MAX(J57/K57,0),1))),"")</f>
        <v>1</v>
      </c>
      <c r="M57" s="78">
        <f t="shared" ref="M57:M62" si="7">IFERROR(IF(OR(J57=0,K57=""),"",IF(E57="Positivo",MIN(MAX(K57/J57,0),1),MIN(MAX(J57/K57,0),1))),"")</f>
        <v>1</v>
      </c>
      <c r="N57" s="76" t="s">
        <v>25</v>
      </c>
      <c r="O57" s="76" t="s">
        <v>25</v>
      </c>
      <c r="P57" s="76">
        <v>0</v>
      </c>
      <c r="Q57" s="76">
        <v>0</v>
      </c>
      <c r="R57" s="76" t="s">
        <v>198</v>
      </c>
      <c r="S57" s="76"/>
    </row>
    <row r="58" spans="1:19" x14ac:dyDescent="0.3">
      <c r="A58" s="76">
        <v>104</v>
      </c>
      <c r="B58" s="76" t="s">
        <v>196</v>
      </c>
      <c r="C58" s="76" t="s">
        <v>138</v>
      </c>
      <c r="D58" s="76" t="s">
        <v>139</v>
      </c>
      <c r="E58" s="76" t="s">
        <v>56</v>
      </c>
      <c r="F58" s="77">
        <v>45291</v>
      </c>
      <c r="G58" s="76">
        <v>2023</v>
      </c>
      <c r="H58" s="76" t="s">
        <v>27</v>
      </c>
      <c r="I58" s="76" t="s">
        <v>32</v>
      </c>
      <c r="J58" s="76">
        <v>2.14</v>
      </c>
      <c r="K58" s="76">
        <v>0.47</v>
      </c>
      <c r="L58" s="78">
        <f t="shared" si="6"/>
        <v>1</v>
      </c>
      <c r="M58" s="78">
        <f t="shared" si="7"/>
        <v>1</v>
      </c>
      <c r="N58" s="76" t="s">
        <v>25</v>
      </c>
      <c r="O58" s="76" t="s">
        <v>25</v>
      </c>
      <c r="P58" s="76">
        <v>0</v>
      </c>
      <c r="Q58" s="76">
        <v>0</v>
      </c>
      <c r="R58" s="76" t="s">
        <v>199</v>
      </c>
      <c r="S58" s="76"/>
    </row>
    <row r="59" spans="1:19" x14ac:dyDescent="0.3">
      <c r="A59" s="76">
        <v>104</v>
      </c>
      <c r="B59" s="76" t="s">
        <v>196</v>
      </c>
      <c r="C59" s="76" t="s">
        <v>138</v>
      </c>
      <c r="D59" s="76" t="s">
        <v>139</v>
      </c>
      <c r="E59" s="76" t="s">
        <v>56</v>
      </c>
      <c r="F59" s="77">
        <v>45657</v>
      </c>
      <c r="G59" s="76">
        <v>2024</v>
      </c>
      <c r="H59" s="76" t="s">
        <v>27</v>
      </c>
      <c r="I59" s="76" t="s">
        <v>36</v>
      </c>
      <c r="J59" s="76">
        <v>1.2</v>
      </c>
      <c r="K59" s="76">
        <v>0.11</v>
      </c>
      <c r="L59" s="78">
        <f t="shared" si="6"/>
        <v>1</v>
      </c>
      <c r="M59" s="78">
        <f t="shared" si="7"/>
        <v>1</v>
      </c>
      <c r="N59" s="76" t="s">
        <v>25</v>
      </c>
      <c r="O59" s="76" t="s">
        <v>25</v>
      </c>
      <c r="P59" s="76">
        <v>0</v>
      </c>
      <c r="Q59" s="76">
        <v>0</v>
      </c>
      <c r="R59" s="76" t="s">
        <v>200</v>
      </c>
      <c r="S59" s="76"/>
    </row>
    <row r="60" spans="1:19" x14ac:dyDescent="0.3">
      <c r="A60" s="76">
        <v>106</v>
      </c>
      <c r="B60" s="76" t="s">
        <v>201</v>
      </c>
      <c r="C60" s="76" t="s">
        <v>138</v>
      </c>
      <c r="D60" s="76" t="s">
        <v>139</v>
      </c>
      <c r="E60" s="76" t="s">
        <v>56</v>
      </c>
      <c r="F60" s="77">
        <v>44926</v>
      </c>
      <c r="G60" s="76">
        <v>2022</v>
      </c>
      <c r="H60" s="76" t="s">
        <v>27</v>
      </c>
      <c r="I60" s="76" t="s">
        <v>28</v>
      </c>
      <c r="J60" s="76">
        <v>0</v>
      </c>
      <c r="K60" s="76">
        <v>0</v>
      </c>
      <c r="L60" s="78" t="str">
        <f t="shared" si="6"/>
        <v/>
      </c>
      <c r="M60" s="78" t="str">
        <f t="shared" si="7"/>
        <v/>
      </c>
      <c r="N60" s="76" t="s">
        <v>25</v>
      </c>
      <c r="O60" s="76" t="s">
        <v>25</v>
      </c>
      <c r="P60" s="76">
        <v>0</v>
      </c>
      <c r="Q60" s="76">
        <v>0</v>
      </c>
      <c r="R60" s="76" t="s">
        <v>202</v>
      </c>
      <c r="S60" s="76"/>
    </row>
    <row r="61" spans="1:19" x14ac:dyDescent="0.3">
      <c r="A61" s="76">
        <v>106</v>
      </c>
      <c r="B61" s="76" t="s">
        <v>201</v>
      </c>
      <c r="C61" s="76" t="s">
        <v>138</v>
      </c>
      <c r="D61" s="76" t="s">
        <v>139</v>
      </c>
      <c r="E61" s="76" t="s">
        <v>56</v>
      </c>
      <c r="F61" s="77">
        <v>45291</v>
      </c>
      <c r="G61" s="76">
        <v>2023</v>
      </c>
      <c r="H61" s="76" t="s">
        <v>27</v>
      </c>
      <c r="I61" s="76" t="s">
        <v>32</v>
      </c>
      <c r="J61" s="76">
        <v>0</v>
      </c>
      <c r="K61" s="76">
        <v>0</v>
      </c>
      <c r="L61" s="78" t="str">
        <f t="shared" si="6"/>
        <v/>
      </c>
      <c r="M61" s="78" t="str">
        <f t="shared" si="7"/>
        <v/>
      </c>
      <c r="N61" s="76" t="s">
        <v>25</v>
      </c>
      <c r="O61" s="76" t="s">
        <v>25</v>
      </c>
      <c r="P61" s="76">
        <v>0</v>
      </c>
      <c r="Q61" s="76">
        <v>0</v>
      </c>
      <c r="R61" s="76" t="s">
        <v>204</v>
      </c>
      <c r="S61" s="76"/>
    </row>
    <row r="62" spans="1:19" x14ac:dyDescent="0.3">
      <c r="A62" s="76">
        <v>106</v>
      </c>
      <c r="B62" s="76" t="s">
        <v>201</v>
      </c>
      <c r="C62" s="76" t="s">
        <v>138</v>
      </c>
      <c r="D62" s="76" t="s">
        <v>139</v>
      </c>
      <c r="E62" s="76" t="s">
        <v>56</v>
      </c>
      <c r="F62" s="77">
        <v>45657</v>
      </c>
      <c r="G62" s="76">
        <v>2024</v>
      </c>
      <c r="H62" s="76" t="s">
        <v>27</v>
      </c>
      <c r="I62" s="76" t="s">
        <v>36</v>
      </c>
      <c r="J62" s="76">
        <v>0</v>
      </c>
      <c r="K62" s="76">
        <v>0</v>
      </c>
      <c r="L62" s="78" t="str">
        <f t="shared" si="6"/>
        <v/>
      </c>
      <c r="M62" s="78" t="str">
        <f t="shared" si="7"/>
        <v/>
      </c>
      <c r="N62" s="76" t="s">
        <v>25</v>
      </c>
      <c r="O62" s="76" t="s">
        <v>25</v>
      </c>
      <c r="P62" s="76">
        <v>0</v>
      </c>
      <c r="Q62" s="76">
        <v>0</v>
      </c>
      <c r="R62" s="76" t="s">
        <v>205</v>
      </c>
      <c r="S62" s="76"/>
    </row>
    <row r="63" spans="1:19" x14ac:dyDescent="0.3">
      <c r="A63" s="37">
        <v>108</v>
      </c>
      <c r="B63" s="37" t="s">
        <v>206</v>
      </c>
      <c r="C63" s="37" t="s">
        <v>3486</v>
      </c>
      <c r="D63" s="37" t="s">
        <v>139</v>
      </c>
      <c r="E63" s="37" t="s">
        <v>22</v>
      </c>
      <c r="F63" s="42">
        <v>45657</v>
      </c>
      <c r="G63" s="37">
        <v>2024</v>
      </c>
      <c r="H63" s="37" t="s">
        <v>27</v>
      </c>
      <c r="I63" s="39" t="s">
        <v>36</v>
      </c>
      <c r="J63" s="37"/>
      <c r="K63" s="37"/>
      <c r="L63" s="65"/>
      <c r="M63" s="65"/>
      <c r="N63" s="37" t="s">
        <v>25</v>
      </c>
      <c r="O63" s="37" t="s">
        <v>25</v>
      </c>
      <c r="P63" s="37">
        <v>0</v>
      </c>
      <c r="Q63" s="37">
        <v>0</v>
      </c>
      <c r="R63" s="37" t="s">
        <v>3488</v>
      </c>
      <c r="S63" s="37"/>
    </row>
    <row r="64" spans="1:19" x14ac:dyDescent="0.3">
      <c r="A64" s="76">
        <v>109</v>
      </c>
      <c r="B64" s="76" t="s">
        <v>206</v>
      </c>
      <c r="C64" s="76" t="s">
        <v>207</v>
      </c>
      <c r="D64" s="76" t="s">
        <v>139</v>
      </c>
      <c r="E64" s="76" t="s">
        <v>22</v>
      </c>
      <c r="F64" s="77">
        <v>45230</v>
      </c>
      <c r="G64" s="76">
        <v>2023</v>
      </c>
      <c r="H64" s="76" t="s">
        <v>89</v>
      </c>
      <c r="I64" s="76" t="s">
        <v>32</v>
      </c>
      <c r="J64" s="76">
        <v>1</v>
      </c>
      <c r="K64" s="76">
        <v>0</v>
      </c>
      <c r="L64" s="78">
        <f t="shared" ref="L64:L84" si="8">IFERROR(IF(OR(J64=0,K64=""),"",IF(E64="Positivo",MIN(MAX(K64/J64,0),1.3),MIN(MAX(J64/K64,0),1.3))),"")</f>
        <v>0</v>
      </c>
      <c r="M64" s="78">
        <f t="shared" ref="M64:M84" si="9">IFERROR(IF(OR(J64=0,K64=""),"",IF(E64="Positivo",MAX(K64/J64,0),MAX(J64/K64,0))),"")</f>
        <v>0</v>
      </c>
      <c r="N64" s="76" t="s">
        <v>25</v>
      </c>
      <c r="O64" s="76" t="s">
        <v>25</v>
      </c>
      <c r="P64" s="76">
        <v>0</v>
      </c>
      <c r="Q64" s="76">
        <v>0</v>
      </c>
      <c r="R64" s="76" t="s">
        <v>208</v>
      </c>
      <c r="S64" s="76"/>
    </row>
    <row r="65" spans="1:19" x14ac:dyDescent="0.3">
      <c r="A65" s="37">
        <v>109</v>
      </c>
      <c r="B65" s="37" t="s">
        <v>3548</v>
      </c>
      <c r="C65" s="37" t="s">
        <v>207</v>
      </c>
      <c r="D65" s="37" t="s">
        <v>139</v>
      </c>
      <c r="E65" s="37" t="s">
        <v>22</v>
      </c>
      <c r="F65" s="42">
        <v>45291</v>
      </c>
      <c r="G65" s="40">
        <v>2023</v>
      </c>
      <c r="H65" s="39" t="s">
        <v>27</v>
      </c>
      <c r="I65" s="39" t="s">
        <v>32</v>
      </c>
      <c r="J65" s="37">
        <v>80</v>
      </c>
      <c r="K65" s="37">
        <v>87.392767703668298</v>
      </c>
      <c r="L65" s="65">
        <f t="shared" si="8"/>
        <v>1.0924095962958538</v>
      </c>
      <c r="M65" s="65">
        <f t="shared" si="9"/>
        <v>1.0924095962958538</v>
      </c>
      <c r="N65" s="37" t="s">
        <v>25</v>
      </c>
      <c r="O65" s="37" t="s">
        <v>25</v>
      </c>
      <c r="P65" s="37">
        <v>0</v>
      </c>
      <c r="Q65" s="37">
        <v>0</v>
      </c>
      <c r="R65" s="37" t="s">
        <v>3490</v>
      </c>
      <c r="S65" s="37"/>
    </row>
    <row r="66" spans="1:19" x14ac:dyDescent="0.3">
      <c r="A66" s="76">
        <v>109</v>
      </c>
      <c r="B66" s="76" t="s">
        <v>206</v>
      </c>
      <c r="C66" s="76" t="s">
        <v>207</v>
      </c>
      <c r="D66" s="76" t="s">
        <v>139</v>
      </c>
      <c r="E66" s="76" t="s">
        <v>22</v>
      </c>
      <c r="F66" s="77">
        <v>45596</v>
      </c>
      <c r="G66" s="76">
        <v>2024</v>
      </c>
      <c r="H66" s="76" t="s">
        <v>89</v>
      </c>
      <c r="I66" s="76" t="s">
        <v>36</v>
      </c>
      <c r="J66" s="76">
        <v>1</v>
      </c>
      <c r="K66" s="76">
        <v>85</v>
      </c>
      <c r="L66" s="78">
        <f t="shared" si="8"/>
        <v>1.3</v>
      </c>
      <c r="M66" s="78">
        <f t="shared" si="9"/>
        <v>85</v>
      </c>
      <c r="N66" s="76" t="s">
        <v>25</v>
      </c>
      <c r="O66" s="76" t="s">
        <v>25</v>
      </c>
      <c r="P66" s="76">
        <v>0</v>
      </c>
      <c r="Q66" s="76">
        <v>0</v>
      </c>
      <c r="R66" s="76" t="s">
        <v>209</v>
      </c>
      <c r="S66" s="76"/>
    </row>
    <row r="67" spans="1:19" x14ac:dyDescent="0.3">
      <c r="A67" s="37">
        <v>109</v>
      </c>
      <c r="B67" s="37" t="s">
        <v>3548</v>
      </c>
      <c r="C67" s="37" t="s">
        <v>207</v>
      </c>
      <c r="D67" s="37" t="s">
        <v>139</v>
      </c>
      <c r="E67" s="37" t="s">
        <v>22</v>
      </c>
      <c r="F67" s="42">
        <v>45657</v>
      </c>
      <c r="G67" s="37">
        <v>2024</v>
      </c>
      <c r="H67" s="37" t="s">
        <v>27</v>
      </c>
      <c r="I67" s="39" t="s">
        <v>36</v>
      </c>
      <c r="J67" s="37">
        <v>80</v>
      </c>
      <c r="K67" s="37">
        <v>85</v>
      </c>
      <c r="L67" s="65">
        <f t="shared" si="8"/>
        <v>1.0625</v>
      </c>
      <c r="M67" s="65">
        <f t="shared" si="9"/>
        <v>1.0625</v>
      </c>
      <c r="N67" s="37" t="s">
        <v>25</v>
      </c>
      <c r="O67" s="37" t="s">
        <v>25</v>
      </c>
      <c r="P67" s="37">
        <v>0</v>
      </c>
      <c r="Q67" s="37">
        <v>0</v>
      </c>
      <c r="R67" s="37" t="s">
        <v>3491</v>
      </c>
      <c r="S67" s="37"/>
    </row>
    <row r="68" spans="1:19" x14ac:dyDescent="0.3">
      <c r="A68" s="37">
        <v>110</v>
      </c>
      <c r="B68" s="37" t="s">
        <v>206</v>
      </c>
      <c r="C68" s="37" t="s">
        <v>210</v>
      </c>
      <c r="D68" s="37" t="s">
        <v>139</v>
      </c>
      <c r="E68" s="37" t="s">
        <v>22</v>
      </c>
      <c r="F68" s="42">
        <v>44865</v>
      </c>
      <c r="G68" s="37">
        <v>2022</v>
      </c>
      <c r="H68" s="37" t="s">
        <v>89</v>
      </c>
      <c r="I68" s="39" t="s">
        <v>28</v>
      </c>
      <c r="J68" s="37">
        <v>80</v>
      </c>
      <c r="K68" s="37">
        <v>73.401915113871596</v>
      </c>
      <c r="L68" s="65">
        <f t="shared" si="8"/>
        <v>0.9175239389233949</v>
      </c>
      <c r="M68" s="65">
        <f t="shared" si="9"/>
        <v>0.9175239389233949</v>
      </c>
      <c r="N68" s="37" t="s">
        <v>25</v>
      </c>
      <c r="O68" s="37" t="s">
        <v>25</v>
      </c>
      <c r="P68" s="37">
        <v>0</v>
      </c>
      <c r="Q68" s="37">
        <v>0</v>
      </c>
      <c r="R68" s="37" t="s">
        <v>211</v>
      </c>
      <c r="S68" s="37"/>
    </row>
    <row r="69" spans="1:19" x14ac:dyDescent="0.3">
      <c r="A69" s="37">
        <v>110</v>
      </c>
      <c r="B69" s="37" t="s">
        <v>206</v>
      </c>
      <c r="C69" s="37" t="s">
        <v>210</v>
      </c>
      <c r="D69" s="37" t="s">
        <v>139</v>
      </c>
      <c r="E69" s="37" t="s">
        <v>22</v>
      </c>
      <c r="F69" s="42">
        <v>45291</v>
      </c>
      <c r="G69" s="37">
        <v>2023</v>
      </c>
      <c r="H69" s="37" t="s">
        <v>27</v>
      </c>
      <c r="I69" s="39" t="s">
        <v>32</v>
      </c>
      <c r="J69" s="37">
        <v>80</v>
      </c>
      <c r="K69" s="37">
        <v>78</v>
      </c>
      <c r="L69" s="65">
        <f t="shared" si="8"/>
        <v>0.97499999999999998</v>
      </c>
      <c r="M69" s="65">
        <f t="shared" si="9"/>
        <v>0.97499999999999998</v>
      </c>
      <c r="N69" s="37" t="s">
        <v>25</v>
      </c>
      <c r="O69" s="37" t="s">
        <v>25</v>
      </c>
      <c r="P69" s="37">
        <v>0</v>
      </c>
      <c r="Q69" s="37">
        <v>0</v>
      </c>
      <c r="R69" s="37" t="s">
        <v>213</v>
      </c>
      <c r="S69" s="37"/>
    </row>
    <row r="70" spans="1:19" x14ac:dyDescent="0.3">
      <c r="A70" s="76">
        <v>111</v>
      </c>
      <c r="B70" s="76" t="s">
        <v>206</v>
      </c>
      <c r="C70" s="76" t="s">
        <v>20</v>
      </c>
      <c r="D70" s="76" t="s">
        <v>39</v>
      </c>
      <c r="E70" s="76" t="s">
        <v>22</v>
      </c>
      <c r="F70" s="77">
        <v>44834</v>
      </c>
      <c r="G70" s="76">
        <v>2022</v>
      </c>
      <c r="H70" s="76" t="s">
        <v>43</v>
      </c>
      <c r="I70" s="76" t="s">
        <v>28</v>
      </c>
      <c r="J70" s="76">
        <v>80</v>
      </c>
      <c r="K70" s="76">
        <v>70</v>
      </c>
      <c r="L70" s="78">
        <f t="shared" si="8"/>
        <v>0.875</v>
      </c>
      <c r="M70" s="78">
        <f t="shared" si="9"/>
        <v>0.875</v>
      </c>
      <c r="N70" s="76" t="s">
        <v>25</v>
      </c>
      <c r="O70" s="76" t="s">
        <v>25</v>
      </c>
      <c r="P70" s="76">
        <v>0</v>
      </c>
      <c r="Q70" s="76">
        <v>0</v>
      </c>
      <c r="R70" s="76" t="s">
        <v>214</v>
      </c>
      <c r="S70" s="76"/>
    </row>
    <row r="71" spans="1:19" x14ac:dyDescent="0.3">
      <c r="A71" s="76">
        <v>111</v>
      </c>
      <c r="B71" s="76" t="s">
        <v>206</v>
      </c>
      <c r="C71" s="76" t="s">
        <v>20</v>
      </c>
      <c r="D71" s="76" t="s">
        <v>39</v>
      </c>
      <c r="E71" s="76" t="s">
        <v>22</v>
      </c>
      <c r="F71" s="77">
        <v>45291</v>
      </c>
      <c r="G71" s="76">
        <v>2023</v>
      </c>
      <c r="H71" s="76" t="s">
        <v>27</v>
      </c>
      <c r="I71" s="76" t="s">
        <v>32</v>
      </c>
      <c r="J71" s="76">
        <v>80</v>
      </c>
      <c r="K71" s="76">
        <v>91.5</v>
      </c>
      <c r="L71" s="78">
        <f t="shared" si="8"/>
        <v>1.14375</v>
      </c>
      <c r="M71" s="78">
        <f t="shared" si="9"/>
        <v>1.14375</v>
      </c>
      <c r="N71" s="76" t="s">
        <v>25</v>
      </c>
      <c r="O71" s="76" t="s">
        <v>25</v>
      </c>
      <c r="P71" s="76">
        <v>0</v>
      </c>
      <c r="Q71" s="76">
        <v>0</v>
      </c>
      <c r="R71" s="76" t="s">
        <v>218</v>
      </c>
      <c r="S71" s="76"/>
    </row>
    <row r="72" spans="1:19" x14ac:dyDescent="0.3">
      <c r="A72" s="76">
        <v>111</v>
      </c>
      <c r="B72" s="76" t="s">
        <v>206</v>
      </c>
      <c r="C72" s="76" t="s">
        <v>20</v>
      </c>
      <c r="D72" s="76" t="s">
        <v>39</v>
      </c>
      <c r="E72" s="76" t="s">
        <v>22</v>
      </c>
      <c r="F72" s="77">
        <v>45657</v>
      </c>
      <c r="G72" s="76">
        <v>2024</v>
      </c>
      <c r="H72" s="76" t="s">
        <v>27</v>
      </c>
      <c r="I72" s="76" t="s">
        <v>36</v>
      </c>
      <c r="J72" s="76">
        <v>80</v>
      </c>
      <c r="K72" s="76">
        <v>92.674999999999997</v>
      </c>
      <c r="L72" s="78">
        <f t="shared" si="8"/>
        <v>1.1584375</v>
      </c>
      <c r="M72" s="78">
        <f t="shared" si="9"/>
        <v>1.1584375</v>
      </c>
      <c r="N72" s="76" t="s">
        <v>25</v>
      </c>
      <c r="O72" s="76" t="s">
        <v>25</v>
      </c>
      <c r="P72" s="76">
        <v>0</v>
      </c>
      <c r="Q72" s="76">
        <v>0</v>
      </c>
      <c r="R72" s="76" t="s">
        <v>222</v>
      </c>
      <c r="S72" s="76"/>
    </row>
    <row r="73" spans="1:19" x14ac:dyDescent="0.3">
      <c r="A73" s="76">
        <v>112</v>
      </c>
      <c r="B73" s="76" t="s">
        <v>206</v>
      </c>
      <c r="C73" s="76" t="s">
        <v>224</v>
      </c>
      <c r="D73" s="76" t="s">
        <v>139</v>
      </c>
      <c r="E73" s="76" t="s">
        <v>22</v>
      </c>
      <c r="F73" s="77">
        <v>44865</v>
      </c>
      <c r="G73" s="76">
        <v>2022</v>
      </c>
      <c r="H73" s="76" t="s">
        <v>89</v>
      </c>
      <c r="I73" s="76" t="s">
        <v>28</v>
      </c>
      <c r="J73" s="76">
        <v>1</v>
      </c>
      <c r="K73" s="76">
        <v>85</v>
      </c>
      <c r="L73" s="78">
        <f t="shared" si="8"/>
        <v>1.3</v>
      </c>
      <c r="M73" s="78">
        <f t="shared" si="9"/>
        <v>85</v>
      </c>
      <c r="N73" s="76" t="s">
        <v>25</v>
      </c>
      <c r="O73" s="76" t="s">
        <v>25</v>
      </c>
      <c r="P73" s="76">
        <v>0</v>
      </c>
      <c r="Q73" s="76">
        <v>0</v>
      </c>
      <c r="R73" s="76" t="s">
        <v>225</v>
      </c>
      <c r="S73" s="76"/>
    </row>
    <row r="74" spans="1:19" x14ac:dyDescent="0.3">
      <c r="A74" s="76">
        <v>112</v>
      </c>
      <c r="B74" s="76" t="s">
        <v>206</v>
      </c>
      <c r="C74" s="76" t="s">
        <v>224</v>
      </c>
      <c r="D74" s="76" t="s">
        <v>139</v>
      </c>
      <c r="E74" s="76" t="s">
        <v>22</v>
      </c>
      <c r="F74" s="77">
        <v>45230</v>
      </c>
      <c r="G74" s="76">
        <v>2023</v>
      </c>
      <c r="H74" s="76" t="s">
        <v>89</v>
      </c>
      <c r="I74" s="76" t="s">
        <v>32</v>
      </c>
      <c r="J74" s="76">
        <v>1</v>
      </c>
      <c r="K74" s="76">
        <v>90</v>
      </c>
      <c r="L74" s="78">
        <f t="shared" si="8"/>
        <v>1.3</v>
      </c>
      <c r="M74" s="78">
        <f t="shared" si="9"/>
        <v>90</v>
      </c>
      <c r="N74" s="76" t="s">
        <v>25</v>
      </c>
      <c r="O74" s="76" t="s">
        <v>25</v>
      </c>
      <c r="P74" s="76">
        <v>0</v>
      </c>
      <c r="Q74" s="76">
        <v>0</v>
      </c>
      <c r="R74" s="76" t="s">
        <v>226</v>
      </c>
      <c r="S74" s="76"/>
    </row>
    <row r="75" spans="1:19" x14ac:dyDescent="0.3">
      <c r="A75" s="76">
        <v>112</v>
      </c>
      <c r="B75" s="76" t="s">
        <v>206</v>
      </c>
      <c r="C75" s="76" t="s">
        <v>224</v>
      </c>
      <c r="D75" s="76" t="s">
        <v>139</v>
      </c>
      <c r="E75" s="76" t="s">
        <v>22</v>
      </c>
      <c r="F75" s="77">
        <v>45596</v>
      </c>
      <c r="G75" s="76">
        <v>2024</v>
      </c>
      <c r="H75" s="76" t="s">
        <v>89</v>
      </c>
      <c r="I75" s="76" t="s">
        <v>36</v>
      </c>
      <c r="J75" s="76">
        <v>1</v>
      </c>
      <c r="K75" s="76">
        <v>90</v>
      </c>
      <c r="L75" s="78">
        <f t="shared" si="8"/>
        <v>1.3</v>
      </c>
      <c r="M75" s="78">
        <f t="shared" si="9"/>
        <v>90</v>
      </c>
      <c r="N75" s="76" t="s">
        <v>25</v>
      </c>
      <c r="O75" s="76" t="s">
        <v>25</v>
      </c>
      <c r="P75" s="76">
        <v>0</v>
      </c>
      <c r="Q75" s="76">
        <v>0</v>
      </c>
      <c r="R75" s="76" t="s">
        <v>227</v>
      </c>
      <c r="S75" s="76"/>
    </row>
    <row r="76" spans="1:19" x14ac:dyDescent="0.3">
      <c r="A76" s="76">
        <v>113</v>
      </c>
      <c r="B76" s="76" t="s">
        <v>206</v>
      </c>
      <c r="C76" s="76" t="s">
        <v>55</v>
      </c>
      <c r="D76" s="76" t="s">
        <v>139</v>
      </c>
      <c r="E76" s="76" t="s">
        <v>22</v>
      </c>
      <c r="F76" s="77">
        <v>44865</v>
      </c>
      <c r="G76" s="76">
        <v>2022</v>
      </c>
      <c r="H76" s="76" t="s">
        <v>89</v>
      </c>
      <c r="I76" s="76" t="s">
        <v>28</v>
      </c>
      <c r="J76" s="76">
        <v>1</v>
      </c>
      <c r="K76" s="76">
        <v>78</v>
      </c>
      <c r="L76" s="78">
        <f t="shared" si="8"/>
        <v>1.3</v>
      </c>
      <c r="M76" s="78">
        <f t="shared" si="9"/>
        <v>78</v>
      </c>
      <c r="N76" s="76" t="s">
        <v>25</v>
      </c>
      <c r="O76" s="76" t="s">
        <v>25</v>
      </c>
      <c r="P76" s="76">
        <v>0</v>
      </c>
      <c r="Q76" s="76">
        <v>0</v>
      </c>
      <c r="R76" s="76" t="s">
        <v>229</v>
      </c>
      <c r="S76" s="76"/>
    </row>
    <row r="77" spans="1:19" x14ac:dyDescent="0.3">
      <c r="A77" s="76">
        <v>113</v>
      </c>
      <c r="B77" s="76" t="s">
        <v>206</v>
      </c>
      <c r="C77" s="76" t="s">
        <v>55</v>
      </c>
      <c r="D77" s="76" t="s">
        <v>139</v>
      </c>
      <c r="E77" s="76" t="s">
        <v>22</v>
      </c>
      <c r="F77" s="77">
        <v>45230</v>
      </c>
      <c r="G77" s="76">
        <v>2023</v>
      </c>
      <c r="H77" s="76" t="s">
        <v>89</v>
      </c>
      <c r="I77" s="76" t="s">
        <v>32</v>
      </c>
      <c r="J77" s="76">
        <v>1</v>
      </c>
      <c r="K77" s="76">
        <v>88</v>
      </c>
      <c r="L77" s="78">
        <f t="shared" si="8"/>
        <v>1.3</v>
      </c>
      <c r="M77" s="78">
        <f t="shared" si="9"/>
        <v>88</v>
      </c>
      <c r="N77" s="76" t="s">
        <v>25</v>
      </c>
      <c r="O77" s="76" t="s">
        <v>25</v>
      </c>
      <c r="P77" s="76">
        <v>0</v>
      </c>
      <c r="Q77" s="76">
        <v>0</v>
      </c>
      <c r="R77" s="76" t="s">
        <v>230</v>
      </c>
      <c r="S77" s="76"/>
    </row>
    <row r="78" spans="1:19" x14ac:dyDescent="0.3">
      <c r="A78" s="76">
        <v>113</v>
      </c>
      <c r="B78" s="76" t="s">
        <v>206</v>
      </c>
      <c r="C78" s="76" t="s">
        <v>55</v>
      </c>
      <c r="D78" s="76" t="s">
        <v>139</v>
      </c>
      <c r="E78" s="76" t="s">
        <v>22</v>
      </c>
      <c r="F78" s="77">
        <v>45596</v>
      </c>
      <c r="G78" s="76">
        <v>2024</v>
      </c>
      <c r="H78" s="76" t="s">
        <v>89</v>
      </c>
      <c r="I78" s="76" t="s">
        <v>36</v>
      </c>
      <c r="J78" s="76">
        <v>1</v>
      </c>
      <c r="K78" s="76">
        <v>88</v>
      </c>
      <c r="L78" s="78">
        <f t="shared" si="8"/>
        <v>1.3</v>
      </c>
      <c r="M78" s="78">
        <f t="shared" si="9"/>
        <v>88</v>
      </c>
      <c r="N78" s="76" t="s">
        <v>25</v>
      </c>
      <c r="O78" s="76" t="s">
        <v>25</v>
      </c>
      <c r="P78" s="76">
        <v>0</v>
      </c>
      <c r="Q78" s="76">
        <v>0</v>
      </c>
      <c r="R78" s="76" t="s">
        <v>231</v>
      </c>
      <c r="S78" s="76"/>
    </row>
    <row r="79" spans="1:19" x14ac:dyDescent="0.3">
      <c r="A79" s="76">
        <v>114</v>
      </c>
      <c r="B79" s="76" t="s">
        <v>206</v>
      </c>
      <c r="C79" s="76" t="s">
        <v>72</v>
      </c>
      <c r="D79" s="76" t="s">
        <v>139</v>
      </c>
      <c r="E79" s="76" t="s">
        <v>22</v>
      </c>
      <c r="F79" s="77">
        <v>44865</v>
      </c>
      <c r="G79" s="76">
        <v>2022</v>
      </c>
      <c r="H79" s="76" t="s">
        <v>89</v>
      </c>
      <c r="I79" s="76" t="s">
        <v>28</v>
      </c>
      <c r="J79" s="76">
        <v>1</v>
      </c>
      <c r="K79" s="76">
        <v>82</v>
      </c>
      <c r="L79" s="78">
        <f t="shared" si="8"/>
        <v>1.3</v>
      </c>
      <c r="M79" s="78">
        <f t="shared" si="9"/>
        <v>82</v>
      </c>
      <c r="N79" s="76" t="s">
        <v>25</v>
      </c>
      <c r="O79" s="76" t="s">
        <v>25</v>
      </c>
      <c r="P79" s="76">
        <v>0</v>
      </c>
      <c r="Q79" s="76">
        <v>0</v>
      </c>
      <c r="R79" s="76" t="s">
        <v>232</v>
      </c>
      <c r="S79" s="76"/>
    </row>
    <row r="80" spans="1:19" x14ac:dyDescent="0.3">
      <c r="A80" s="76">
        <v>114</v>
      </c>
      <c r="B80" s="76" t="s">
        <v>206</v>
      </c>
      <c r="C80" s="76" t="s">
        <v>72</v>
      </c>
      <c r="D80" s="76" t="s">
        <v>139</v>
      </c>
      <c r="E80" s="76" t="s">
        <v>22</v>
      </c>
      <c r="F80" s="77">
        <v>45230</v>
      </c>
      <c r="G80" s="76">
        <v>2023</v>
      </c>
      <c r="H80" s="76" t="s">
        <v>89</v>
      </c>
      <c r="I80" s="76" t="s">
        <v>32</v>
      </c>
      <c r="J80" s="76">
        <v>1</v>
      </c>
      <c r="K80" s="76">
        <v>86</v>
      </c>
      <c r="L80" s="78">
        <f t="shared" si="8"/>
        <v>1.3</v>
      </c>
      <c r="M80" s="78">
        <f t="shared" si="9"/>
        <v>86</v>
      </c>
      <c r="N80" s="76" t="s">
        <v>25</v>
      </c>
      <c r="O80" s="76" t="s">
        <v>25</v>
      </c>
      <c r="P80" s="76">
        <v>0</v>
      </c>
      <c r="Q80" s="76">
        <v>0</v>
      </c>
      <c r="R80" s="76" t="s">
        <v>233</v>
      </c>
      <c r="S80" s="76"/>
    </row>
    <row r="81" spans="1:19" x14ac:dyDescent="0.3">
      <c r="A81" s="76">
        <v>114</v>
      </c>
      <c r="B81" s="76" t="s">
        <v>206</v>
      </c>
      <c r="C81" s="76" t="s">
        <v>72</v>
      </c>
      <c r="D81" s="76" t="s">
        <v>139</v>
      </c>
      <c r="E81" s="76" t="s">
        <v>22</v>
      </c>
      <c r="F81" s="77">
        <v>45596</v>
      </c>
      <c r="G81" s="76">
        <v>2024</v>
      </c>
      <c r="H81" s="76" t="s">
        <v>89</v>
      </c>
      <c r="I81" s="76" t="s">
        <v>36</v>
      </c>
      <c r="J81" s="76">
        <v>1</v>
      </c>
      <c r="K81" s="76">
        <v>81</v>
      </c>
      <c r="L81" s="78">
        <f t="shared" si="8"/>
        <v>1.3</v>
      </c>
      <c r="M81" s="78">
        <f t="shared" si="9"/>
        <v>81</v>
      </c>
      <c r="N81" s="76" t="s">
        <v>25</v>
      </c>
      <c r="O81" s="76" t="s">
        <v>25</v>
      </c>
      <c r="P81" s="76">
        <v>0</v>
      </c>
      <c r="Q81" s="76">
        <v>0</v>
      </c>
      <c r="R81" s="76" t="s">
        <v>234</v>
      </c>
      <c r="S81" s="76"/>
    </row>
    <row r="82" spans="1:19" x14ac:dyDescent="0.3">
      <c r="A82" s="76">
        <v>115</v>
      </c>
      <c r="B82" s="76" t="s">
        <v>206</v>
      </c>
      <c r="C82" s="76" t="s">
        <v>138</v>
      </c>
      <c r="D82" s="76" t="s">
        <v>139</v>
      </c>
      <c r="E82" s="76" t="s">
        <v>22</v>
      </c>
      <c r="F82" s="77">
        <v>44865</v>
      </c>
      <c r="G82" s="76">
        <v>2022</v>
      </c>
      <c r="H82" s="76" t="s">
        <v>89</v>
      </c>
      <c r="I82" s="76" t="s">
        <v>28</v>
      </c>
      <c r="J82" s="76">
        <v>1</v>
      </c>
      <c r="K82" s="76">
        <v>90</v>
      </c>
      <c r="L82" s="78">
        <f t="shared" si="8"/>
        <v>1.3</v>
      </c>
      <c r="M82" s="78">
        <f t="shared" si="9"/>
        <v>90</v>
      </c>
      <c r="N82" s="76" t="s">
        <v>25</v>
      </c>
      <c r="O82" s="76" t="s">
        <v>25</v>
      </c>
      <c r="P82" s="76">
        <v>0</v>
      </c>
      <c r="Q82" s="76">
        <v>0</v>
      </c>
      <c r="R82" s="76" t="s">
        <v>235</v>
      </c>
      <c r="S82" s="76"/>
    </row>
    <row r="83" spans="1:19" x14ac:dyDescent="0.3">
      <c r="A83" s="76">
        <v>115</v>
      </c>
      <c r="B83" s="76" t="s">
        <v>206</v>
      </c>
      <c r="C83" s="76" t="s">
        <v>138</v>
      </c>
      <c r="D83" s="76" t="s">
        <v>139</v>
      </c>
      <c r="E83" s="76" t="s">
        <v>22</v>
      </c>
      <c r="F83" s="77">
        <v>45230</v>
      </c>
      <c r="G83" s="76">
        <v>2023</v>
      </c>
      <c r="H83" s="76" t="s">
        <v>89</v>
      </c>
      <c r="I83" s="76" t="s">
        <v>32</v>
      </c>
      <c r="J83" s="76">
        <v>1</v>
      </c>
      <c r="K83" s="76">
        <v>91</v>
      </c>
      <c r="L83" s="78">
        <f t="shared" si="8"/>
        <v>1.3</v>
      </c>
      <c r="M83" s="78">
        <f t="shared" si="9"/>
        <v>91</v>
      </c>
      <c r="N83" s="76" t="s">
        <v>25</v>
      </c>
      <c r="O83" s="76" t="s">
        <v>25</v>
      </c>
      <c r="P83" s="76">
        <v>0</v>
      </c>
      <c r="Q83" s="76">
        <v>0</v>
      </c>
      <c r="R83" s="76" t="s">
        <v>237</v>
      </c>
      <c r="S83" s="76"/>
    </row>
    <row r="84" spans="1:19" x14ac:dyDescent="0.3">
      <c r="A84" s="76">
        <v>115</v>
      </c>
      <c r="B84" s="76" t="s">
        <v>206</v>
      </c>
      <c r="C84" s="76" t="s">
        <v>138</v>
      </c>
      <c r="D84" s="76" t="s">
        <v>139</v>
      </c>
      <c r="E84" s="76" t="s">
        <v>22</v>
      </c>
      <c r="F84" s="77">
        <v>45596</v>
      </c>
      <c r="G84" s="76">
        <v>2024</v>
      </c>
      <c r="H84" s="76" t="s">
        <v>89</v>
      </c>
      <c r="I84" s="76" t="s">
        <v>36</v>
      </c>
      <c r="J84" s="76">
        <v>1</v>
      </c>
      <c r="K84" s="76">
        <v>90</v>
      </c>
      <c r="L84" s="78">
        <f t="shared" si="8"/>
        <v>1.3</v>
      </c>
      <c r="M84" s="78">
        <f t="shared" si="9"/>
        <v>90</v>
      </c>
      <c r="N84" s="76" t="s">
        <v>25</v>
      </c>
      <c r="O84" s="76" t="s">
        <v>25</v>
      </c>
      <c r="P84" s="76">
        <v>0</v>
      </c>
      <c r="Q84" s="76">
        <v>0</v>
      </c>
      <c r="R84" s="76" t="s">
        <v>239</v>
      </c>
      <c r="S84" s="76"/>
    </row>
    <row r="85" spans="1:19" x14ac:dyDescent="0.3">
      <c r="A85" s="37">
        <v>115</v>
      </c>
      <c r="B85" s="37" t="s">
        <v>206</v>
      </c>
      <c r="C85" s="37" t="s">
        <v>138</v>
      </c>
      <c r="D85" s="37" t="s">
        <v>139</v>
      </c>
      <c r="E85" s="37" t="s">
        <v>22</v>
      </c>
      <c r="F85" s="42">
        <v>45657</v>
      </c>
      <c r="G85" s="37">
        <v>2024</v>
      </c>
      <c r="H85" s="37" t="s">
        <v>27</v>
      </c>
      <c r="I85" s="39" t="s">
        <v>36</v>
      </c>
      <c r="J85" s="37"/>
      <c r="K85" s="37"/>
      <c r="L85" s="65"/>
      <c r="M85" s="65"/>
      <c r="N85" s="37" t="s">
        <v>25</v>
      </c>
      <c r="O85" s="37" t="s">
        <v>25</v>
      </c>
      <c r="P85" s="37">
        <v>0</v>
      </c>
      <c r="Q85" s="37">
        <v>0</v>
      </c>
      <c r="R85" s="37" t="s">
        <v>3497</v>
      </c>
      <c r="S85" s="37"/>
    </row>
    <row r="86" spans="1:19" x14ac:dyDescent="0.3">
      <c r="A86" s="76">
        <v>116</v>
      </c>
      <c r="B86" s="76" t="s">
        <v>206</v>
      </c>
      <c r="C86" s="76" t="s">
        <v>120</v>
      </c>
      <c r="D86" s="76" t="s">
        <v>121</v>
      </c>
      <c r="E86" s="76" t="s">
        <v>22</v>
      </c>
      <c r="F86" s="77">
        <v>45291</v>
      </c>
      <c r="G86" s="76">
        <v>2023</v>
      </c>
      <c r="H86" s="76" t="s">
        <v>27</v>
      </c>
      <c r="I86" s="76" t="s">
        <v>32</v>
      </c>
      <c r="J86" s="76">
        <v>1</v>
      </c>
      <c r="K86" s="76">
        <v>88</v>
      </c>
      <c r="L86" s="78">
        <f t="shared" ref="L86:L101" si="10">IFERROR(IF(OR(J86=0,K86=""),"",IF(E86="Positivo",MIN(MAX(K86/J86,0),1.3),MIN(MAX(J86/K86,0),1.3))),"")</f>
        <v>1.3</v>
      </c>
      <c r="M86" s="78">
        <f t="shared" ref="M86:M101" si="11">IFERROR(IF(OR(J86=0,K86=""),"",IF(E86="Positivo",MAX(K86/J86,0),MAX(J86/K86,0))),"")</f>
        <v>88</v>
      </c>
      <c r="N86" s="76" t="s">
        <v>25</v>
      </c>
      <c r="O86" s="76" t="s">
        <v>25</v>
      </c>
      <c r="P86" s="76">
        <v>0</v>
      </c>
      <c r="Q86" s="76">
        <v>0</v>
      </c>
      <c r="R86" s="76" t="s">
        <v>244</v>
      </c>
      <c r="S86" s="76"/>
    </row>
    <row r="87" spans="1:19" x14ac:dyDescent="0.3">
      <c r="A87" s="76">
        <v>116</v>
      </c>
      <c r="B87" s="76" t="s">
        <v>206</v>
      </c>
      <c r="C87" s="76" t="s">
        <v>120</v>
      </c>
      <c r="D87" s="76" t="s">
        <v>121</v>
      </c>
      <c r="E87" s="76" t="s">
        <v>22</v>
      </c>
      <c r="F87" s="77">
        <v>45657</v>
      </c>
      <c r="G87" s="76">
        <v>2024</v>
      </c>
      <c r="H87" s="76" t="s">
        <v>27</v>
      </c>
      <c r="I87" s="76" t="s">
        <v>36</v>
      </c>
      <c r="J87" s="76">
        <v>1</v>
      </c>
      <c r="K87" s="76">
        <v>88</v>
      </c>
      <c r="L87" s="78">
        <f t="shared" si="10"/>
        <v>1.3</v>
      </c>
      <c r="M87" s="78">
        <f t="shared" si="11"/>
        <v>88</v>
      </c>
      <c r="N87" s="76" t="s">
        <v>25</v>
      </c>
      <c r="O87" s="76" t="s">
        <v>25</v>
      </c>
      <c r="P87" s="76">
        <v>0</v>
      </c>
      <c r="Q87" s="76">
        <v>0</v>
      </c>
      <c r="R87" s="76" t="s">
        <v>250</v>
      </c>
      <c r="S87" s="76"/>
    </row>
    <row r="88" spans="1:19" x14ac:dyDescent="0.3">
      <c r="A88" s="76">
        <v>117</v>
      </c>
      <c r="B88" s="76" t="s">
        <v>206</v>
      </c>
      <c r="C88" s="76" t="s">
        <v>251</v>
      </c>
      <c r="D88" s="76" t="s">
        <v>139</v>
      </c>
      <c r="E88" s="76" t="s">
        <v>22</v>
      </c>
      <c r="F88" s="77">
        <v>44865</v>
      </c>
      <c r="G88" s="76">
        <v>2022</v>
      </c>
      <c r="H88" s="76" t="s">
        <v>89</v>
      </c>
      <c r="I88" s="76" t="s">
        <v>28</v>
      </c>
      <c r="J88" s="76">
        <v>1</v>
      </c>
      <c r="K88" s="76">
        <v>93</v>
      </c>
      <c r="L88" s="78">
        <f t="shared" si="10"/>
        <v>1.3</v>
      </c>
      <c r="M88" s="78">
        <f t="shared" si="11"/>
        <v>93</v>
      </c>
      <c r="N88" s="76" t="s">
        <v>25</v>
      </c>
      <c r="O88" s="76" t="s">
        <v>25</v>
      </c>
      <c r="P88" s="76">
        <v>0</v>
      </c>
      <c r="Q88" s="76">
        <v>0</v>
      </c>
      <c r="R88" s="76" t="s">
        <v>252</v>
      </c>
      <c r="S88" s="76"/>
    </row>
    <row r="89" spans="1:19" x14ac:dyDescent="0.3">
      <c r="A89" s="76">
        <v>117</v>
      </c>
      <c r="B89" s="76" t="s">
        <v>206</v>
      </c>
      <c r="C89" s="76" t="s">
        <v>251</v>
      </c>
      <c r="D89" s="76" t="s">
        <v>139</v>
      </c>
      <c r="E89" s="76" t="s">
        <v>22</v>
      </c>
      <c r="F89" s="77">
        <v>45230</v>
      </c>
      <c r="G89" s="76">
        <v>2023</v>
      </c>
      <c r="H89" s="76" t="s">
        <v>89</v>
      </c>
      <c r="I89" s="76" t="s">
        <v>32</v>
      </c>
      <c r="J89" s="76">
        <v>1</v>
      </c>
      <c r="K89" s="76">
        <v>90</v>
      </c>
      <c r="L89" s="78">
        <f t="shared" si="10"/>
        <v>1.3</v>
      </c>
      <c r="M89" s="78">
        <f t="shared" si="11"/>
        <v>90</v>
      </c>
      <c r="N89" s="76" t="s">
        <v>25</v>
      </c>
      <c r="O89" s="76" t="s">
        <v>25</v>
      </c>
      <c r="P89" s="76">
        <v>0</v>
      </c>
      <c r="Q89" s="76">
        <v>0</v>
      </c>
      <c r="R89" s="76" t="s">
        <v>253</v>
      </c>
      <c r="S89" s="76"/>
    </row>
    <row r="90" spans="1:19" x14ac:dyDescent="0.3">
      <c r="A90" s="76">
        <v>117</v>
      </c>
      <c r="B90" s="76" t="s">
        <v>206</v>
      </c>
      <c r="C90" s="76" t="s">
        <v>251</v>
      </c>
      <c r="D90" s="76" t="s">
        <v>139</v>
      </c>
      <c r="E90" s="76" t="s">
        <v>22</v>
      </c>
      <c r="F90" s="77">
        <v>45596</v>
      </c>
      <c r="G90" s="76">
        <v>2024</v>
      </c>
      <c r="H90" s="76" t="s">
        <v>89</v>
      </c>
      <c r="I90" s="76" t="s">
        <v>36</v>
      </c>
      <c r="J90" s="76">
        <v>1</v>
      </c>
      <c r="K90" s="76">
        <v>89</v>
      </c>
      <c r="L90" s="78">
        <f t="shared" si="10"/>
        <v>1.3</v>
      </c>
      <c r="M90" s="78">
        <f t="shared" si="11"/>
        <v>89</v>
      </c>
      <c r="N90" s="76" t="s">
        <v>25</v>
      </c>
      <c r="O90" s="76" t="s">
        <v>25</v>
      </c>
      <c r="P90" s="76">
        <v>0</v>
      </c>
      <c r="Q90" s="76">
        <v>0</v>
      </c>
      <c r="R90" s="76" t="s">
        <v>254</v>
      </c>
      <c r="S90" s="76"/>
    </row>
    <row r="91" spans="1:19" x14ac:dyDescent="0.3">
      <c r="A91" s="76">
        <v>118</v>
      </c>
      <c r="B91" s="76" t="s">
        <v>257</v>
      </c>
      <c r="C91" s="76" t="s">
        <v>258</v>
      </c>
      <c r="D91" s="76" t="s">
        <v>139</v>
      </c>
      <c r="E91" s="76" t="s">
        <v>22</v>
      </c>
      <c r="F91" s="77">
        <v>44865</v>
      </c>
      <c r="G91" s="76">
        <v>2022</v>
      </c>
      <c r="H91" s="76" t="s">
        <v>89</v>
      </c>
      <c r="I91" s="76" t="s">
        <v>28</v>
      </c>
      <c r="J91" s="76">
        <v>1</v>
      </c>
      <c r="K91" s="76">
        <v>88</v>
      </c>
      <c r="L91" s="78">
        <f t="shared" si="10"/>
        <v>1.3</v>
      </c>
      <c r="M91" s="78">
        <f t="shared" si="11"/>
        <v>88</v>
      </c>
      <c r="N91" s="76" t="s">
        <v>25</v>
      </c>
      <c r="O91" s="76" t="s">
        <v>25</v>
      </c>
      <c r="P91" s="76">
        <v>0</v>
      </c>
      <c r="Q91" s="76">
        <v>0</v>
      </c>
      <c r="R91" s="76" t="s">
        <v>256</v>
      </c>
      <c r="S91" s="76"/>
    </row>
    <row r="92" spans="1:19" x14ac:dyDescent="0.3">
      <c r="A92" s="76">
        <v>118</v>
      </c>
      <c r="B92" s="76" t="s">
        <v>257</v>
      </c>
      <c r="C92" s="76" t="s">
        <v>258</v>
      </c>
      <c r="D92" s="76" t="s">
        <v>139</v>
      </c>
      <c r="E92" s="76" t="s">
        <v>22</v>
      </c>
      <c r="F92" s="77">
        <v>45230</v>
      </c>
      <c r="G92" s="76">
        <v>2023</v>
      </c>
      <c r="H92" s="76" t="s">
        <v>89</v>
      </c>
      <c r="I92" s="76" t="s">
        <v>32</v>
      </c>
      <c r="J92" s="76">
        <v>1</v>
      </c>
      <c r="K92" s="76">
        <v>94</v>
      </c>
      <c r="L92" s="78">
        <f t="shared" si="10"/>
        <v>1.3</v>
      </c>
      <c r="M92" s="78">
        <f t="shared" si="11"/>
        <v>94</v>
      </c>
      <c r="N92" s="76" t="s">
        <v>25</v>
      </c>
      <c r="O92" s="76" t="s">
        <v>25</v>
      </c>
      <c r="P92" s="76">
        <v>0</v>
      </c>
      <c r="Q92" s="76">
        <v>0</v>
      </c>
      <c r="R92" s="76" t="s">
        <v>259</v>
      </c>
      <c r="S92" s="76"/>
    </row>
    <row r="93" spans="1:19" x14ac:dyDescent="0.3">
      <c r="A93" s="37">
        <v>118</v>
      </c>
      <c r="B93" s="37" t="s">
        <v>257</v>
      </c>
      <c r="C93" s="37" t="s">
        <v>255</v>
      </c>
      <c r="D93" s="37" t="s">
        <v>139</v>
      </c>
      <c r="E93" s="37" t="s">
        <v>22</v>
      </c>
      <c r="F93" s="42">
        <v>45291</v>
      </c>
      <c r="G93" s="37">
        <v>2023</v>
      </c>
      <c r="H93" s="37" t="s">
        <v>27</v>
      </c>
      <c r="I93" s="39" t="s">
        <v>32</v>
      </c>
      <c r="J93" s="37">
        <v>80</v>
      </c>
      <c r="K93" s="37">
        <v>94.138576779026195</v>
      </c>
      <c r="L93" s="65">
        <f t="shared" si="10"/>
        <v>1.1767322097378274</v>
      </c>
      <c r="M93" s="65">
        <f t="shared" si="11"/>
        <v>1.1767322097378274</v>
      </c>
      <c r="N93" s="37" t="s">
        <v>25</v>
      </c>
      <c r="O93" s="37" t="s">
        <v>25</v>
      </c>
      <c r="P93" s="37">
        <v>0</v>
      </c>
      <c r="Q93" s="37">
        <v>0</v>
      </c>
      <c r="R93" s="37" t="s">
        <v>260</v>
      </c>
      <c r="S93" s="37"/>
    </row>
    <row r="94" spans="1:19" x14ac:dyDescent="0.3">
      <c r="A94" s="76">
        <v>118</v>
      </c>
      <c r="B94" s="76" t="s">
        <v>257</v>
      </c>
      <c r="C94" s="76" t="s">
        <v>258</v>
      </c>
      <c r="D94" s="76" t="s">
        <v>139</v>
      </c>
      <c r="E94" s="76" t="s">
        <v>22</v>
      </c>
      <c r="F94" s="77">
        <v>45596</v>
      </c>
      <c r="G94" s="76">
        <v>2024</v>
      </c>
      <c r="H94" s="76" t="s">
        <v>89</v>
      </c>
      <c r="I94" s="76" t="s">
        <v>36</v>
      </c>
      <c r="J94" s="76">
        <v>1</v>
      </c>
      <c r="K94" s="76">
        <v>86</v>
      </c>
      <c r="L94" s="78">
        <f t="shared" si="10"/>
        <v>1.3</v>
      </c>
      <c r="M94" s="78">
        <f t="shared" si="11"/>
        <v>86</v>
      </c>
      <c r="N94" s="76" t="s">
        <v>25</v>
      </c>
      <c r="O94" s="76" t="s">
        <v>25</v>
      </c>
      <c r="P94" s="76">
        <v>0</v>
      </c>
      <c r="Q94" s="76">
        <v>0</v>
      </c>
      <c r="R94" s="76" t="s">
        <v>261</v>
      </c>
      <c r="S94" s="76"/>
    </row>
    <row r="95" spans="1:19" x14ac:dyDescent="0.3">
      <c r="A95" s="37">
        <v>118</v>
      </c>
      <c r="B95" s="37" t="s">
        <v>257</v>
      </c>
      <c r="C95" s="37" t="s">
        <v>258</v>
      </c>
      <c r="D95" s="37" t="s">
        <v>139</v>
      </c>
      <c r="E95" s="37" t="s">
        <v>22</v>
      </c>
      <c r="F95" s="42">
        <v>45657</v>
      </c>
      <c r="G95" s="37">
        <v>2024</v>
      </c>
      <c r="H95" s="37" t="s">
        <v>27</v>
      </c>
      <c r="I95" s="39" t="s">
        <v>36</v>
      </c>
      <c r="J95" s="37">
        <v>80</v>
      </c>
      <c r="K95" s="37">
        <v>86</v>
      </c>
      <c r="L95" s="65">
        <f t="shared" si="10"/>
        <v>1.075</v>
      </c>
      <c r="M95" s="65">
        <f t="shared" si="11"/>
        <v>1.075</v>
      </c>
      <c r="N95" s="37" t="s">
        <v>25</v>
      </c>
      <c r="O95" s="37" t="s">
        <v>25</v>
      </c>
      <c r="P95" s="37">
        <v>0</v>
      </c>
      <c r="Q95" s="37">
        <v>0</v>
      </c>
      <c r="R95" s="37" t="s">
        <v>262</v>
      </c>
      <c r="S95" s="37"/>
    </row>
    <row r="96" spans="1:19" x14ac:dyDescent="0.3">
      <c r="A96" s="76">
        <v>121</v>
      </c>
      <c r="B96" s="76" t="s">
        <v>263</v>
      </c>
      <c r="C96" s="76" t="s">
        <v>55</v>
      </c>
      <c r="D96" s="76" t="s">
        <v>73</v>
      </c>
      <c r="E96" s="76" t="s">
        <v>56</v>
      </c>
      <c r="F96" s="77">
        <v>44926</v>
      </c>
      <c r="G96" s="76">
        <v>2022</v>
      </c>
      <c r="H96" s="76" t="s">
        <v>27</v>
      </c>
      <c r="I96" s="76" t="s">
        <v>28</v>
      </c>
      <c r="J96" s="76">
        <v>100</v>
      </c>
      <c r="K96" s="76">
        <v>99.868284606334001</v>
      </c>
      <c r="L96" s="78">
        <f t="shared" si="10"/>
        <v>1.0013188911192898</v>
      </c>
      <c r="M96" s="78">
        <f t="shared" si="11"/>
        <v>1.0013188911192898</v>
      </c>
      <c r="N96" s="76" t="s">
        <v>25</v>
      </c>
      <c r="O96" s="76" t="s">
        <v>25</v>
      </c>
      <c r="P96" s="76">
        <v>0</v>
      </c>
      <c r="Q96" s="76">
        <v>0</v>
      </c>
      <c r="R96" s="76" t="s">
        <v>276</v>
      </c>
      <c r="S96" s="76"/>
    </row>
    <row r="97" spans="1:19" x14ac:dyDescent="0.3">
      <c r="A97" s="76">
        <v>121</v>
      </c>
      <c r="B97" s="76" t="s">
        <v>263</v>
      </c>
      <c r="C97" s="76" t="s">
        <v>55</v>
      </c>
      <c r="D97" s="76" t="s">
        <v>73</v>
      </c>
      <c r="E97" s="76" t="s">
        <v>56</v>
      </c>
      <c r="F97" s="77">
        <v>45291</v>
      </c>
      <c r="G97" s="76">
        <v>2023</v>
      </c>
      <c r="H97" s="76" t="s">
        <v>27</v>
      </c>
      <c r="I97" s="76" t="s">
        <v>32</v>
      </c>
      <c r="J97" s="76">
        <v>100</v>
      </c>
      <c r="K97" s="76">
        <v>111.3</v>
      </c>
      <c r="L97" s="78">
        <f t="shared" si="10"/>
        <v>0.89847259658580414</v>
      </c>
      <c r="M97" s="78">
        <f t="shared" si="11"/>
        <v>0.89847259658580414</v>
      </c>
      <c r="N97" s="76" t="s">
        <v>25</v>
      </c>
      <c r="O97" s="76" t="s">
        <v>25</v>
      </c>
      <c r="P97" s="76">
        <v>0</v>
      </c>
      <c r="Q97" s="76">
        <v>0</v>
      </c>
      <c r="R97" s="76" t="s">
        <v>288</v>
      </c>
      <c r="S97" s="76"/>
    </row>
    <row r="98" spans="1:19" x14ac:dyDescent="0.3">
      <c r="A98" s="76">
        <v>121</v>
      </c>
      <c r="B98" s="76" t="s">
        <v>263</v>
      </c>
      <c r="C98" s="76" t="s">
        <v>55</v>
      </c>
      <c r="D98" s="76" t="s">
        <v>73</v>
      </c>
      <c r="E98" s="76" t="s">
        <v>56</v>
      </c>
      <c r="F98" s="77">
        <v>45657</v>
      </c>
      <c r="G98" s="76">
        <v>2024</v>
      </c>
      <c r="H98" s="76" t="s">
        <v>27</v>
      </c>
      <c r="I98" s="76" t="s">
        <v>36</v>
      </c>
      <c r="J98" s="76">
        <v>100</v>
      </c>
      <c r="K98" s="76">
        <v>100.17</v>
      </c>
      <c r="L98" s="78">
        <f t="shared" si="10"/>
        <v>0.99830288509533793</v>
      </c>
      <c r="M98" s="78">
        <f t="shared" si="11"/>
        <v>0.99830288509533793</v>
      </c>
      <c r="N98" s="76" t="s">
        <v>25</v>
      </c>
      <c r="O98" s="76" t="s">
        <v>25</v>
      </c>
      <c r="P98" s="76">
        <v>0</v>
      </c>
      <c r="Q98" s="76">
        <v>0</v>
      </c>
      <c r="R98" s="76" t="s">
        <v>300</v>
      </c>
      <c r="S98" s="76"/>
    </row>
    <row r="99" spans="1:19" x14ac:dyDescent="0.3">
      <c r="A99" s="76">
        <v>122</v>
      </c>
      <c r="B99" s="76" t="s">
        <v>301</v>
      </c>
      <c r="C99" s="76" t="s">
        <v>258</v>
      </c>
      <c r="D99" s="76" t="s">
        <v>121</v>
      </c>
      <c r="E99" s="76" t="s">
        <v>22</v>
      </c>
      <c r="F99" s="77">
        <v>44926</v>
      </c>
      <c r="G99" s="76">
        <v>2022</v>
      </c>
      <c r="H99" s="76" t="s">
        <v>27</v>
      </c>
      <c r="I99" s="76" t="s">
        <v>28</v>
      </c>
      <c r="J99" s="76">
        <v>15.555555555555561</v>
      </c>
      <c r="K99" s="76">
        <v>14</v>
      </c>
      <c r="L99" s="78">
        <f t="shared" si="10"/>
        <v>0.89999999999999969</v>
      </c>
      <c r="M99" s="78">
        <f t="shared" si="11"/>
        <v>0.89999999999999969</v>
      </c>
      <c r="N99" s="76" t="s">
        <v>25</v>
      </c>
      <c r="O99" s="76" t="s">
        <v>25</v>
      </c>
      <c r="P99" s="76">
        <v>0</v>
      </c>
      <c r="Q99" s="76">
        <v>0</v>
      </c>
      <c r="R99" s="76" t="s">
        <v>310</v>
      </c>
      <c r="S99" s="76"/>
    </row>
    <row r="100" spans="1:19" x14ac:dyDescent="0.3">
      <c r="A100" s="76">
        <v>122</v>
      </c>
      <c r="B100" s="76" t="s">
        <v>301</v>
      </c>
      <c r="C100" s="76" t="s">
        <v>258</v>
      </c>
      <c r="D100" s="76" t="s">
        <v>121</v>
      </c>
      <c r="E100" s="76" t="s">
        <v>22</v>
      </c>
      <c r="F100" s="77">
        <v>45291</v>
      </c>
      <c r="G100" s="76">
        <v>2023</v>
      </c>
      <c r="H100" s="76" t="s">
        <v>27</v>
      </c>
      <c r="I100" s="76" t="s">
        <v>32</v>
      </c>
      <c r="J100" s="76">
        <v>9.75</v>
      </c>
      <c r="K100" s="76">
        <v>8.6666666666666661</v>
      </c>
      <c r="L100" s="78">
        <f t="shared" si="10"/>
        <v>0.88888888888888884</v>
      </c>
      <c r="M100" s="78">
        <f t="shared" si="11"/>
        <v>0.88888888888888884</v>
      </c>
      <c r="N100" s="76" t="s">
        <v>25</v>
      </c>
      <c r="O100" s="76" t="s">
        <v>25</v>
      </c>
      <c r="P100" s="76">
        <v>0</v>
      </c>
      <c r="Q100" s="76">
        <v>0</v>
      </c>
      <c r="R100" s="76" t="s">
        <v>322</v>
      </c>
      <c r="S100" s="76"/>
    </row>
    <row r="101" spans="1:19" x14ac:dyDescent="0.3">
      <c r="A101" s="76">
        <v>122</v>
      </c>
      <c r="B101" s="76" t="s">
        <v>301</v>
      </c>
      <c r="C101" s="76" t="s">
        <v>258</v>
      </c>
      <c r="D101" s="76" t="s">
        <v>121</v>
      </c>
      <c r="E101" s="76" t="s">
        <v>22</v>
      </c>
      <c r="F101" s="77">
        <v>45657</v>
      </c>
      <c r="G101" s="76">
        <v>2024</v>
      </c>
      <c r="H101" s="76" t="s">
        <v>27</v>
      </c>
      <c r="I101" s="76" t="s">
        <v>36</v>
      </c>
      <c r="J101" s="76">
        <v>21.5</v>
      </c>
      <c r="K101" s="76">
        <v>20.166666666666671</v>
      </c>
      <c r="L101" s="78">
        <f t="shared" si="10"/>
        <v>0.93798449612403123</v>
      </c>
      <c r="M101" s="78">
        <f t="shared" si="11"/>
        <v>0.93798449612403123</v>
      </c>
      <c r="N101" s="76" t="s">
        <v>25</v>
      </c>
      <c r="O101" s="76" t="s">
        <v>25</v>
      </c>
      <c r="P101" s="76">
        <v>0</v>
      </c>
      <c r="Q101" s="76">
        <v>0</v>
      </c>
      <c r="R101" s="76" t="s">
        <v>334</v>
      </c>
      <c r="S101" s="76"/>
    </row>
    <row r="102" spans="1:19" x14ac:dyDescent="0.3">
      <c r="A102" s="76">
        <v>124</v>
      </c>
      <c r="B102" s="76" t="s">
        <v>335</v>
      </c>
      <c r="C102" s="76" t="s">
        <v>138</v>
      </c>
      <c r="D102" s="76" t="s">
        <v>73</v>
      </c>
      <c r="E102" s="76" t="s">
        <v>56</v>
      </c>
      <c r="F102" s="77">
        <v>44926</v>
      </c>
      <c r="G102" s="76">
        <v>2022</v>
      </c>
      <c r="H102" s="76" t="s">
        <v>27</v>
      </c>
      <c r="I102" s="76" t="s">
        <v>28</v>
      </c>
      <c r="J102" s="76">
        <v>1.6</v>
      </c>
      <c r="K102" s="76">
        <v>3.0416483088426E-2</v>
      </c>
      <c r="L102" s="78">
        <f t="shared" ref="L102:L116" si="12">IFERROR(IF(OR(J102=0,K102=""),"",IF(E102="Positivo",MIN(MAX(K102/J102,0),1),MIN(MAX(J102/K102,0),1))),"")</f>
        <v>1</v>
      </c>
      <c r="M102" s="78">
        <f t="shared" ref="M102:M116" si="13">IFERROR(IF(OR(J102=0,K102=""),"",IF(E102="Positivo",MIN(MAX(K102/J102,0),1),MIN(MAX(J102/K102,0),1))),"")</f>
        <v>1</v>
      </c>
      <c r="N102" s="76" t="s">
        <v>25</v>
      </c>
      <c r="O102" s="76" t="s">
        <v>25</v>
      </c>
      <c r="P102" s="76">
        <v>0</v>
      </c>
      <c r="Q102" s="76">
        <v>0</v>
      </c>
      <c r="R102" s="76" t="s">
        <v>347</v>
      </c>
      <c r="S102" s="76"/>
    </row>
    <row r="103" spans="1:19" x14ac:dyDescent="0.3">
      <c r="A103" s="76">
        <v>124</v>
      </c>
      <c r="B103" s="76" t="s">
        <v>335</v>
      </c>
      <c r="C103" s="76" t="s">
        <v>138</v>
      </c>
      <c r="D103" s="76" t="s">
        <v>73</v>
      </c>
      <c r="E103" s="76" t="s">
        <v>56</v>
      </c>
      <c r="F103" s="77">
        <v>45291</v>
      </c>
      <c r="G103" s="76">
        <v>2023</v>
      </c>
      <c r="H103" s="76" t="s">
        <v>27</v>
      </c>
      <c r="I103" s="76" t="s">
        <v>32</v>
      </c>
      <c r="J103" s="76">
        <v>1.6</v>
      </c>
      <c r="K103" s="76">
        <v>2.8408426807991081E-2</v>
      </c>
      <c r="L103" s="78">
        <f t="shared" si="12"/>
        <v>1</v>
      </c>
      <c r="M103" s="78">
        <f t="shared" si="13"/>
        <v>1</v>
      </c>
      <c r="N103" s="76" t="s">
        <v>25</v>
      </c>
      <c r="O103" s="76" t="s">
        <v>25</v>
      </c>
      <c r="P103" s="76">
        <v>0</v>
      </c>
      <c r="Q103" s="76">
        <v>0</v>
      </c>
      <c r="R103" s="76" t="s">
        <v>359</v>
      </c>
      <c r="S103" s="76"/>
    </row>
    <row r="104" spans="1:19" x14ac:dyDescent="0.3">
      <c r="A104" s="76">
        <v>124</v>
      </c>
      <c r="B104" s="76" t="s">
        <v>335</v>
      </c>
      <c r="C104" s="76" t="s">
        <v>138</v>
      </c>
      <c r="D104" s="76" t="s">
        <v>73</v>
      </c>
      <c r="E104" s="76" t="s">
        <v>56</v>
      </c>
      <c r="F104" s="77">
        <v>45657</v>
      </c>
      <c r="G104" s="76">
        <v>2024</v>
      </c>
      <c r="H104" s="76" t="s">
        <v>27</v>
      </c>
      <c r="I104" s="76" t="s">
        <v>36</v>
      </c>
      <c r="J104" s="76">
        <v>0.2</v>
      </c>
      <c r="K104" s="76">
        <v>1.2998229662604621E-2</v>
      </c>
      <c r="L104" s="78">
        <f t="shared" si="12"/>
        <v>1</v>
      </c>
      <c r="M104" s="78">
        <f t="shared" si="13"/>
        <v>1</v>
      </c>
      <c r="N104" s="76" t="s">
        <v>25</v>
      </c>
      <c r="O104" s="76" t="s">
        <v>25</v>
      </c>
      <c r="P104" s="76">
        <v>0</v>
      </c>
      <c r="Q104" s="76">
        <v>0</v>
      </c>
      <c r="R104" s="76" t="s">
        <v>371</v>
      </c>
      <c r="S104" s="76"/>
    </row>
    <row r="105" spans="1:19" x14ac:dyDescent="0.3">
      <c r="A105" s="76">
        <v>125</v>
      </c>
      <c r="B105" s="76" t="s">
        <v>372</v>
      </c>
      <c r="C105" s="76" t="s">
        <v>138</v>
      </c>
      <c r="D105" s="76" t="s">
        <v>73</v>
      </c>
      <c r="E105" s="76" t="s">
        <v>56</v>
      </c>
      <c r="F105" s="77">
        <v>44926</v>
      </c>
      <c r="G105" s="76">
        <v>2022</v>
      </c>
      <c r="H105" s="76" t="s">
        <v>27</v>
      </c>
      <c r="I105" s="76" t="s">
        <v>28</v>
      </c>
      <c r="J105" s="76">
        <v>4.7</v>
      </c>
      <c r="K105" s="76">
        <v>7.9413396515863335E-2</v>
      </c>
      <c r="L105" s="78">
        <f t="shared" si="12"/>
        <v>1</v>
      </c>
      <c r="M105" s="78">
        <f t="shared" si="13"/>
        <v>1</v>
      </c>
      <c r="N105" s="76" t="s">
        <v>25</v>
      </c>
      <c r="O105" s="76" t="s">
        <v>25</v>
      </c>
      <c r="P105" s="76">
        <v>0</v>
      </c>
      <c r="Q105" s="76">
        <v>0</v>
      </c>
      <c r="R105" s="76" t="s">
        <v>384</v>
      </c>
      <c r="S105" s="76"/>
    </row>
    <row r="106" spans="1:19" x14ac:dyDescent="0.3">
      <c r="A106" s="76">
        <v>125</v>
      </c>
      <c r="B106" s="76" t="s">
        <v>372</v>
      </c>
      <c r="C106" s="76" t="s">
        <v>138</v>
      </c>
      <c r="D106" s="76" t="s">
        <v>73</v>
      </c>
      <c r="E106" s="76" t="s">
        <v>56</v>
      </c>
      <c r="F106" s="77">
        <v>45291</v>
      </c>
      <c r="G106" s="76">
        <v>2023</v>
      </c>
      <c r="H106" s="76" t="s">
        <v>27</v>
      </c>
      <c r="I106" s="76" t="s">
        <v>32</v>
      </c>
      <c r="J106" s="76">
        <v>4.7</v>
      </c>
      <c r="K106" s="76">
        <v>0.17558749161124751</v>
      </c>
      <c r="L106" s="78">
        <f t="shared" si="12"/>
        <v>1</v>
      </c>
      <c r="M106" s="78">
        <f t="shared" si="13"/>
        <v>1</v>
      </c>
      <c r="N106" s="76" t="s">
        <v>25</v>
      </c>
      <c r="O106" s="76" t="s">
        <v>25</v>
      </c>
      <c r="P106" s="76">
        <v>0</v>
      </c>
      <c r="Q106" s="76">
        <v>0</v>
      </c>
      <c r="R106" s="76" t="s">
        <v>396</v>
      </c>
      <c r="S106" s="76"/>
    </row>
    <row r="107" spans="1:19" x14ac:dyDescent="0.3">
      <c r="A107" s="76">
        <v>125</v>
      </c>
      <c r="B107" s="76" t="s">
        <v>372</v>
      </c>
      <c r="C107" s="76" t="s">
        <v>138</v>
      </c>
      <c r="D107" s="76" t="s">
        <v>73</v>
      </c>
      <c r="E107" s="76" t="s">
        <v>56</v>
      </c>
      <c r="F107" s="77">
        <v>45657</v>
      </c>
      <c r="G107" s="76">
        <v>2024</v>
      </c>
      <c r="H107" s="76" t="s">
        <v>27</v>
      </c>
      <c r="I107" s="76" t="s">
        <v>36</v>
      </c>
      <c r="J107" s="76">
        <v>1.9</v>
      </c>
      <c r="K107" s="76">
        <v>9.3529961098411274E-2</v>
      </c>
      <c r="L107" s="78">
        <f t="shared" si="12"/>
        <v>1</v>
      </c>
      <c r="M107" s="78">
        <f t="shared" si="13"/>
        <v>1</v>
      </c>
      <c r="N107" s="76" t="s">
        <v>25</v>
      </c>
      <c r="O107" s="76" t="s">
        <v>25</v>
      </c>
      <c r="P107" s="76">
        <v>0</v>
      </c>
      <c r="Q107" s="76">
        <v>0</v>
      </c>
      <c r="R107" s="76" t="s">
        <v>408</v>
      </c>
      <c r="S107" s="76"/>
    </row>
    <row r="108" spans="1:19" x14ac:dyDescent="0.3">
      <c r="A108" s="76">
        <v>126</v>
      </c>
      <c r="B108" s="76" t="s">
        <v>409</v>
      </c>
      <c r="C108" s="76" t="s">
        <v>138</v>
      </c>
      <c r="D108" s="76" t="s">
        <v>139</v>
      </c>
      <c r="E108" s="76" t="s">
        <v>56</v>
      </c>
      <c r="F108" s="77">
        <v>44926</v>
      </c>
      <c r="G108" s="76">
        <v>2022</v>
      </c>
      <c r="H108" s="76" t="s">
        <v>27</v>
      </c>
      <c r="I108" s="76" t="s">
        <v>28</v>
      </c>
      <c r="J108" s="76">
        <v>2</v>
      </c>
      <c r="K108" s="76">
        <v>0.12391573729864</v>
      </c>
      <c r="L108" s="78">
        <f t="shared" si="12"/>
        <v>1</v>
      </c>
      <c r="M108" s="78">
        <f t="shared" si="13"/>
        <v>1</v>
      </c>
      <c r="N108" s="76" t="s">
        <v>25</v>
      </c>
      <c r="O108" s="76" t="s">
        <v>25</v>
      </c>
      <c r="P108" s="76">
        <v>0</v>
      </c>
      <c r="Q108" s="76">
        <v>0</v>
      </c>
      <c r="R108" s="76" t="s">
        <v>410</v>
      </c>
      <c r="S108" s="76"/>
    </row>
    <row r="109" spans="1:19" x14ac:dyDescent="0.3">
      <c r="A109" s="76">
        <v>126</v>
      </c>
      <c r="B109" s="76" t="s">
        <v>409</v>
      </c>
      <c r="C109" s="76" t="s">
        <v>138</v>
      </c>
      <c r="D109" s="76" t="s">
        <v>139</v>
      </c>
      <c r="E109" s="76" t="s">
        <v>56</v>
      </c>
      <c r="F109" s="77">
        <v>45291</v>
      </c>
      <c r="G109" s="76">
        <v>2023</v>
      </c>
      <c r="H109" s="76" t="s">
        <v>27</v>
      </c>
      <c r="I109" s="76" t="s">
        <v>32</v>
      </c>
      <c r="J109" s="76">
        <v>2</v>
      </c>
      <c r="K109" s="76">
        <v>0.12</v>
      </c>
      <c r="L109" s="78">
        <f t="shared" si="12"/>
        <v>1</v>
      </c>
      <c r="M109" s="78">
        <f t="shared" si="13"/>
        <v>1</v>
      </c>
      <c r="N109" s="76" t="s">
        <v>25</v>
      </c>
      <c r="O109" s="76" t="s">
        <v>25</v>
      </c>
      <c r="P109" s="76">
        <v>0</v>
      </c>
      <c r="Q109" s="76">
        <v>0</v>
      </c>
      <c r="R109" s="76" t="s">
        <v>411</v>
      </c>
      <c r="S109" s="76"/>
    </row>
    <row r="110" spans="1:19" x14ac:dyDescent="0.3">
      <c r="A110" s="76">
        <v>126</v>
      </c>
      <c r="B110" s="76" t="s">
        <v>409</v>
      </c>
      <c r="C110" s="76" t="s">
        <v>138</v>
      </c>
      <c r="D110" s="76" t="s">
        <v>139</v>
      </c>
      <c r="E110" s="76" t="s">
        <v>56</v>
      </c>
      <c r="F110" s="77">
        <v>45657</v>
      </c>
      <c r="G110" s="76">
        <v>2024</v>
      </c>
      <c r="H110" s="76" t="s">
        <v>27</v>
      </c>
      <c r="I110" s="76" t="s">
        <v>36</v>
      </c>
      <c r="J110" s="76">
        <v>2</v>
      </c>
      <c r="K110" s="76">
        <v>0.1</v>
      </c>
      <c r="L110" s="78">
        <f t="shared" si="12"/>
        <v>1</v>
      </c>
      <c r="M110" s="78">
        <f t="shared" si="13"/>
        <v>1</v>
      </c>
      <c r="N110" s="76" t="s">
        <v>25</v>
      </c>
      <c r="O110" s="76" t="s">
        <v>25</v>
      </c>
      <c r="P110" s="76">
        <v>0</v>
      </c>
      <c r="Q110" s="76">
        <v>0</v>
      </c>
      <c r="R110" s="76" t="s">
        <v>412</v>
      </c>
      <c r="S110" s="76"/>
    </row>
    <row r="111" spans="1:19" x14ac:dyDescent="0.3">
      <c r="A111" s="76">
        <v>127</v>
      </c>
      <c r="B111" s="76" t="s">
        <v>413</v>
      </c>
      <c r="C111" s="76" t="s">
        <v>138</v>
      </c>
      <c r="D111" s="76" t="s">
        <v>139</v>
      </c>
      <c r="E111" s="76" t="s">
        <v>56</v>
      </c>
      <c r="F111" s="77">
        <v>44926</v>
      </c>
      <c r="G111" s="76">
        <v>2022</v>
      </c>
      <c r="H111" s="76" t="s">
        <v>27</v>
      </c>
      <c r="I111" s="76" t="s">
        <v>28</v>
      </c>
      <c r="J111" s="76">
        <v>0</v>
      </c>
      <c r="K111" s="76">
        <v>0</v>
      </c>
      <c r="L111" s="78" t="str">
        <f t="shared" si="12"/>
        <v/>
      </c>
      <c r="M111" s="78" t="str">
        <f t="shared" si="13"/>
        <v/>
      </c>
      <c r="N111" s="76" t="s">
        <v>25</v>
      </c>
      <c r="O111" s="76" t="s">
        <v>25</v>
      </c>
      <c r="P111" s="76">
        <v>0</v>
      </c>
      <c r="Q111" s="76">
        <v>0</v>
      </c>
      <c r="R111" s="76" t="s">
        <v>414</v>
      </c>
      <c r="S111" s="76"/>
    </row>
    <row r="112" spans="1:19" x14ac:dyDescent="0.3">
      <c r="A112" s="76">
        <v>127</v>
      </c>
      <c r="B112" s="76" t="s">
        <v>413</v>
      </c>
      <c r="C112" s="76" t="s">
        <v>138</v>
      </c>
      <c r="D112" s="76" t="s">
        <v>139</v>
      </c>
      <c r="E112" s="76" t="s">
        <v>56</v>
      </c>
      <c r="F112" s="77">
        <v>45291</v>
      </c>
      <c r="G112" s="76">
        <v>2023</v>
      </c>
      <c r="H112" s="76" t="s">
        <v>27</v>
      </c>
      <c r="I112" s="76" t="s">
        <v>32</v>
      </c>
      <c r="J112" s="76">
        <v>0</v>
      </c>
      <c r="K112" s="76">
        <v>0</v>
      </c>
      <c r="L112" s="78" t="str">
        <f t="shared" si="12"/>
        <v/>
      </c>
      <c r="M112" s="78" t="str">
        <f t="shared" si="13"/>
        <v/>
      </c>
      <c r="N112" s="76" t="s">
        <v>25</v>
      </c>
      <c r="O112" s="76" t="s">
        <v>25</v>
      </c>
      <c r="P112" s="76">
        <v>0</v>
      </c>
      <c r="Q112" s="76">
        <v>0</v>
      </c>
      <c r="R112" s="76" t="s">
        <v>415</v>
      </c>
      <c r="S112" s="76"/>
    </row>
    <row r="113" spans="1:19" x14ac:dyDescent="0.3">
      <c r="A113" s="76">
        <v>127</v>
      </c>
      <c r="B113" s="76" t="s">
        <v>413</v>
      </c>
      <c r="C113" s="76" t="s">
        <v>138</v>
      </c>
      <c r="D113" s="76" t="s">
        <v>139</v>
      </c>
      <c r="E113" s="76" t="s">
        <v>56</v>
      </c>
      <c r="F113" s="77">
        <v>45657</v>
      </c>
      <c r="G113" s="76">
        <v>2024</v>
      </c>
      <c r="H113" s="76" t="s">
        <v>27</v>
      </c>
      <c r="I113" s="76" t="s">
        <v>36</v>
      </c>
      <c r="J113" s="76">
        <v>0</v>
      </c>
      <c r="K113" s="76">
        <v>0</v>
      </c>
      <c r="L113" s="78" t="str">
        <f t="shared" si="12"/>
        <v/>
      </c>
      <c r="M113" s="78" t="str">
        <f t="shared" si="13"/>
        <v/>
      </c>
      <c r="N113" s="76" t="s">
        <v>25</v>
      </c>
      <c r="O113" s="76" t="s">
        <v>25</v>
      </c>
      <c r="P113" s="76">
        <v>0</v>
      </c>
      <c r="Q113" s="76">
        <v>0</v>
      </c>
      <c r="R113" s="76" t="s">
        <v>416</v>
      </c>
      <c r="S113" s="76"/>
    </row>
    <row r="114" spans="1:19" x14ac:dyDescent="0.3">
      <c r="A114" s="76">
        <v>128</v>
      </c>
      <c r="B114" s="76" t="s">
        <v>417</v>
      </c>
      <c r="C114" s="76" t="s">
        <v>138</v>
      </c>
      <c r="D114" s="76" t="s">
        <v>73</v>
      </c>
      <c r="E114" s="76" t="s">
        <v>56</v>
      </c>
      <c r="F114" s="77">
        <v>44926</v>
      </c>
      <c r="G114" s="76">
        <v>2022</v>
      </c>
      <c r="H114" s="76" t="s">
        <v>27</v>
      </c>
      <c r="I114" s="76" t="s">
        <v>28</v>
      </c>
      <c r="J114" s="76">
        <v>1</v>
      </c>
      <c r="K114" s="76">
        <v>0.78483632722398244</v>
      </c>
      <c r="L114" s="78">
        <f t="shared" si="12"/>
        <v>1</v>
      </c>
      <c r="M114" s="78">
        <f t="shared" si="13"/>
        <v>1</v>
      </c>
      <c r="N114" s="76" t="s">
        <v>25</v>
      </c>
      <c r="O114" s="76" t="s">
        <v>25</v>
      </c>
      <c r="P114" s="76">
        <v>0</v>
      </c>
      <c r="Q114" s="76">
        <v>0</v>
      </c>
      <c r="R114" s="76" t="s">
        <v>429</v>
      </c>
      <c r="S114" s="76"/>
    </row>
    <row r="115" spans="1:19" x14ac:dyDescent="0.3">
      <c r="A115" s="76">
        <v>128</v>
      </c>
      <c r="B115" s="76" t="s">
        <v>417</v>
      </c>
      <c r="C115" s="76" t="s">
        <v>138</v>
      </c>
      <c r="D115" s="76" t="s">
        <v>73</v>
      </c>
      <c r="E115" s="76" t="s">
        <v>56</v>
      </c>
      <c r="F115" s="77">
        <v>45291</v>
      </c>
      <c r="G115" s="76">
        <v>2023</v>
      </c>
      <c r="H115" s="76" t="s">
        <v>27</v>
      </c>
      <c r="I115" s="76" t="s">
        <v>32</v>
      </c>
      <c r="J115" s="76">
        <v>1</v>
      </c>
      <c r="K115" s="76">
        <v>0.84705874088389421</v>
      </c>
      <c r="L115" s="78">
        <f t="shared" si="12"/>
        <v>1</v>
      </c>
      <c r="M115" s="78">
        <f t="shared" si="13"/>
        <v>1</v>
      </c>
      <c r="N115" s="76" t="s">
        <v>25</v>
      </c>
      <c r="O115" s="76" t="s">
        <v>25</v>
      </c>
      <c r="P115" s="76">
        <v>0</v>
      </c>
      <c r="Q115" s="76">
        <v>0</v>
      </c>
      <c r="R115" s="76" t="s">
        <v>441</v>
      </c>
      <c r="S115" s="76"/>
    </row>
    <row r="116" spans="1:19" x14ac:dyDescent="0.3">
      <c r="A116" s="76">
        <v>128</v>
      </c>
      <c r="B116" s="76" t="s">
        <v>417</v>
      </c>
      <c r="C116" s="76" t="s">
        <v>138</v>
      </c>
      <c r="D116" s="76" t="s">
        <v>73</v>
      </c>
      <c r="E116" s="76" t="s">
        <v>56</v>
      </c>
      <c r="F116" s="77">
        <v>45657</v>
      </c>
      <c r="G116" s="76">
        <v>2024</v>
      </c>
      <c r="H116" s="76" t="s">
        <v>27</v>
      </c>
      <c r="I116" s="76" t="s">
        <v>36</v>
      </c>
      <c r="J116" s="76">
        <v>1</v>
      </c>
      <c r="K116" s="76">
        <v>0.68097635969810766</v>
      </c>
      <c r="L116" s="78">
        <f t="shared" si="12"/>
        <v>1</v>
      </c>
      <c r="M116" s="78">
        <f t="shared" si="13"/>
        <v>1</v>
      </c>
      <c r="N116" s="76" t="s">
        <v>25</v>
      </c>
      <c r="O116" s="76" t="s">
        <v>25</v>
      </c>
      <c r="P116" s="76">
        <v>0</v>
      </c>
      <c r="Q116" s="76">
        <v>0</v>
      </c>
      <c r="R116" s="76" t="s">
        <v>453</v>
      </c>
      <c r="S116" s="76"/>
    </row>
    <row r="117" spans="1:19" x14ac:dyDescent="0.3">
      <c r="A117" s="76">
        <v>133</v>
      </c>
      <c r="B117" s="76" t="s">
        <v>206</v>
      </c>
      <c r="C117" s="76" t="s">
        <v>454</v>
      </c>
      <c r="D117" s="76" t="s">
        <v>139</v>
      </c>
      <c r="E117" s="76" t="s">
        <v>22</v>
      </c>
      <c r="F117" s="77">
        <v>44865</v>
      </c>
      <c r="G117" s="76">
        <v>2022</v>
      </c>
      <c r="H117" s="76" t="s">
        <v>89</v>
      </c>
      <c r="I117" s="76" t="s">
        <v>28</v>
      </c>
      <c r="J117" s="76">
        <v>1</v>
      </c>
      <c r="K117" s="76">
        <v>90</v>
      </c>
      <c r="L117" s="78">
        <f t="shared" ref="L117:L150" si="14">IFERROR(IF(OR(J117=0,K117=""),"",IF(E117="Positivo",MIN(MAX(K117/J117,0),1.3),MIN(MAX(J117/K117,0),1.3))),"")</f>
        <v>1.3</v>
      </c>
      <c r="M117" s="78">
        <f t="shared" ref="M117:M150" si="15">IFERROR(IF(OR(J117=0,K117=""),"",IF(E117="Positivo",MAX(K117/J117,0),MAX(J117/K117,0))),"")</f>
        <v>90</v>
      </c>
      <c r="N117" s="76" t="s">
        <v>25</v>
      </c>
      <c r="O117" s="76" t="s">
        <v>25</v>
      </c>
      <c r="P117" s="76">
        <v>0</v>
      </c>
      <c r="Q117" s="76">
        <v>0</v>
      </c>
      <c r="R117" s="76" t="s">
        <v>455</v>
      </c>
      <c r="S117" s="76"/>
    </row>
    <row r="118" spans="1:19" x14ac:dyDescent="0.3">
      <c r="A118" s="76">
        <v>133</v>
      </c>
      <c r="B118" s="76" t="s">
        <v>206</v>
      </c>
      <c r="C118" s="76" t="s">
        <v>454</v>
      </c>
      <c r="D118" s="76" t="s">
        <v>139</v>
      </c>
      <c r="E118" s="76" t="s">
        <v>22</v>
      </c>
      <c r="F118" s="77">
        <v>45230</v>
      </c>
      <c r="G118" s="76">
        <v>2023</v>
      </c>
      <c r="H118" s="76" t="s">
        <v>89</v>
      </c>
      <c r="I118" s="76" t="s">
        <v>32</v>
      </c>
      <c r="J118" s="76">
        <v>1</v>
      </c>
      <c r="K118" s="76">
        <v>93</v>
      </c>
      <c r="L118" s="78">
        <f t="shared" si="14"/>
        <v>1.3</v>
      </c>
      <c r="M118" s="78">
        <f t="shared" si="15"/>
        <v>93</v>
      </c>
      <c r="N118" s="76" t="s">
        <v>25</v>
      </c>
      <c r="O118" s="76" t="s">
        <v>25</v>
      </c>
      <c r="P118" s="76">
        <v>0</v>
      </c>
      <c r="Q118" s="76">
        <v>0</v>
      </c>
      <c r="R118" s="76" t="s">
        <v>456</v>
      </c>
      <c r="S118" s="76"/>
    </row>
    <row r="119" spans="1:19" x14ac:dyDescent="0.3">
      <c r="A119" s="37">
        <v>133</v>
      </c>
      <c r="B119" s="37" t="s">
        <v>206</v>
      </c>
      <c r="C119" s="37" t="s">
        <v>454</v>
      </c>
      <c r="D119" s="37" t="s">
        <v>139</v>
      </c>
      <c r="E119" s="37" t="s">
        <v>22</v>
      </c>
      <c r="F119" s="42">
        <v>45291</v>
      </c>
      <c r="G119" s="37">
        <v>2023</v>
      </c>
      <c r="H119" s="37" t="s">
        <v>27</v>
      </c>
      <c r="I119" s="39" t="s">
        <v>32</v>
      </c>
      <c r="J119" s="37">
        <v>80</v>
      </c>
      <c r="K119" s="37">
        <v>92.789115646258509</v>
      </c>
      <c r="L119" s="65">
        <f t="shared" si="14"/>
        <v>1.1598639455782314</v>
      </c>
      <c r="M119" s="65">
        <f t="shared" si="15"/>
        <v>1.1598639455782314</v>
      </c>
      <c r="N119" s="37" t="s">
        <v>25</v>
      </c>
      <c r="O119" s="37" t="s">
        <v>25</v>
      </c>
      <c r="P119" s="37">
        <v>0</v>
      </c>
      <c r="Q119" s="37">
        <v>0</v>
      </c>
      <c r="R119" s="37" t="s">
        <v>457</v>
      </c>
      <c r="S119" s="37"/>
    </row>
    <row r="120" spans="1:19" x14ac:dyDescent="0.3">
      <c r="A120" s="76">
        <v>133</v>
      </c>
      <c r="B120" s="76" t="s">
        <v>206</v>
      </c>
      <c r="C120" s="76" t="s">
        <v>454</v>
      </c>
      <c r="D120" s="76" t="s">
        <v>139</v>
      </c>
      <c r="E120" s="76" t="s">
        <v>22</v>
      </c>
      <c r="F120" s="77">
        <v>45596</v>
      </c>
      <c r="G120" s="76">
        <v>2024</v>
      </c>
      <c r="H120" s="76" t="s">
        <v>89</v>
      </c>
      <c r="I120" s="76" t="s">
        <v>36</v>
      </c>
      <c r="J120" s="76">
        <v>1</v>
      </c>
      <c r="K120" s="76">
        <v>91</v>
      </c>
      <c r="L120" s="78">
        <f t="shared" si="14"/>
        <v>1.3</v>
      </c>
      <c r="M120" s="78">
        <f t="shared" si="15"/>
        <v>91</v>
      </c>
      <c r="N120" s="76" t="s">
        <v>25</v>
      </c>
      <c r="O120" s="76" t="s">
        <v>25</v>
      </c>
      <c r="P120" s="76">
        <v>0</v>
      </c>
      <c r="Q120" s="76">
        <v>0</v>
      </c>
      <c r="R120" s="76" t="s">
        <v>458</v>
      </c>
      <c r="S120" s="76"/>
    </row>
    <row r="121" spans="1:19" x14ac:dyDescent="0.3">
      <c r="A121" s="37">
        <v>133</v>
      </c>
      <c r="B121" s="37" t="s">
        <v>206</v>
      </c>
      <c r="C121" s="37" t="s">
        <v>454</v>
      </c>
      <c r="D121" s="37" t="s">
        <v>139</v>
      </c>
      <c r="E121" s="37" t="s">
        <v>22</v>
      </c>
      <c r="F121" s="42">
        <v>45657</v>
      </c>
      <c r="G121" s="37">
        <v>2024</v>
      </c>
      <c r="H121" s="37" t="s">
        <v>27</v>
      </c>
      <c r="I121" s="39" t="s">
        <v>36</v>
      </c>
      <c r="J121" s="37">
        <v>80</v>
      </c>
      <c r="K121" s="37">
        <v>91</v>
      </c>
      <c r="L121" s="65">
        <f t="shared" si="14"/>
        <v>1.1375</v>
      </c>
      <c r="M121" s="65">
        <f t="shared" si="15"/>
        <v>1.1375</v>
      </c>
      <c r="N121" s="37" t="s">
        <v>25</v>
      </c>
      <c r="O121" s="37" t="s">
        <v>25</v>
      </c>
      <c r="P121" s="37">
        <v>0</v>
      </c>
      <c r="Q121" s="37">
        <v>0</v>
      </c>
      <c r="R121" s="37" t="s">
        <v>459</v>
      </c>
      <c r="S121" s="37"/>
    </row>
    <row r="122" spans="1:19" x14ac:dyDescent="0.3">
      <c r="A122" s="37">
        <v>136</v>
      </c>
      <c r="B122" s="37" t="s">
        <v>460</v>
      </c>
      <c r="C122" s="37" t="s">
        <v>461</v>
      </c>
      <c r="D122" s="37" t="s">
        <v>21</v>
      </c>
      <c r="E122" s="37" t="s">
        <v>22</v>
      </c>
      <c r="F122" s="42">
        <v>45291</v>
      </c>
      <c r="G122" s="37">
        <v>2023</v>
      </c>
      <c r="H122" s="37" t="s">
        <v>27</v>
      </c>
      <c r="I122" s="39" t="s">
        <v>32</v>
      </c>
      <c r="J122" s="37">
        <v>90</v>
      </c>
      <c r="K122" s="37">
        <v>100</v>
      </c>
      <c r="L122" s="65">
        <f t="shared" si="14"/>
        <v>1.1111111111111112</v>
      </c>
      <c r="M122" s="65">
        <f t="shared" si="15"/>
        <v>1.1111111111111112</v>
      </c>
      <c r="N122" s="37" t="s">
        <v>25</v>
      </c>
      <c r="O122" s="37" t="s">
        <v>25</v>
      </c>
      <c r="P122" s="37">
        <v>0</v>
      </c>
      <c r="Q122" s="37">
        <v>0</v>
      </c>
      <c r="R122" s="37" t="s">
        <v>463</v>
      </c>
      <c r="S122" s="37"/>
    </row>
    <row r="123" spans="1:19" x14ac:dyDescent="0.3">
      <c r="A123" s="37">
        <v>137</v>
      </c>
      <c r="B123" s="37" t="s">
        <v>464</v>
      </c>
      <c r="C123" s="37" t="s">
        <v>461</v>
      </c>
      <c r="D123" s="37" t="s">
        <v>39</v>
      </c>
      <c r="E123" s="37" t="s">
        <v>22</v>
      </c>
      <c r="F123" s="42">
        <v>45291</v>
      </c>
      <c r="G123" s="37">
        <v>2023</v>
      </c>
      <c r="H123" s="37" t="s">
        <v>27</v>
      </c>
      <c r="I123" s="39" t="s">
        <v>32</v>
      </c>
      <c r="J123" s="37">
        <v>447</v>
      </c>
      <c r="K123" s="37">
        <v>448</v>
      </c>
      <c r="L123" s="65">
        <f t="shared" si="14"/>
        <v>1.0022371364653244</v>
      </c>
      <c r="M123" s="65">
        <f t="shared" si="15"/>
        <v>1.0022371364653244</v>
      </c>
      <c r="N123" s="37" t="s">
        <v>203</v>
      </c>
      <c r="O123" s="37" t="s">
        <v>203</v>
      </c>
      <c r="P123" s="37">
        <v>0</v>
      </c>
      <c r="Q123" s="37">
        <v>0</v>
      </c>
      <c r="R123" s="37" t="s">
        <v>468</v>
      </c>
      <c r="S123" s="37"/>
    </row>
    <row r="124" spans="1:19" x14ac:dyDescent="0.3">
      <c r="A124" s="37">
        <v>139</v>
      </c>
      <c r="B124" s="37" t="s">
        <v>469</v>
      </c>
      <c r="C124" s="37" t="s">
        <v>461</v>
      </c>
      <c r="D124" s="37" t="s">
        <v>73</v>
      </c>
      <c r="E124" s="37" t="s">
        <v>56</v>
      </c>
      <c r="F124" s="42">
        <v>45291</v>
      </c>
      <c r="G124" s="37">
        <v>2023</v>
      </c>
      <c r="H124" s="37" t="s">
        <v>27</v>
      </c>
      <c r="I124" s="39" t="s">
        <v>32</v>
      </c>
      <c r="J124" s="59">
        <v>981.98199999999997</v>
      </c>
      <c r="K124" s="59">
        <v>964.28399999999999</v>
      </c>
      <c r="L124" s="65">
        <f t="shared" si="14"/>
        <v>1.0183535141099509</v>
      </c>
      <c r="M124" s="65">
        <f t="shared" si="15"/>
        <v>1.0183535141099509</v>
      </c>
      <c r="N124" s="37" t="s">
        <v>264</v>
      </c>
      <c r="O124" s="37" t="s">
        <v>264</v>
      </c>
      <c r="P124" s="37">
        <v>0</v>
      </c>
      <c r="Q124" s="37">
        <v>0</v>
      </c>
      <c r="R124" s="37" t="s">
        <v>481</v>
      </c>
      <c r="S124" s="37"/>
    </row>
    <row r="125" spans="1:19" x14ac:dyDescent="0.3">
      <c r="A125" s="37">
        <v>139</v>
      </c>
      <c r="B125" s="37" t="s">
        <v>469</v>
      </c>
      <c r="C125" s="37" t="s">
        <v>461</v>
      </c>
      <c r="D125" s="37" t="s">
        <v>73</v>
      </c>
      <c r="E125" s="37" t="s">
        <v>56</v>
      </c>
      <c r="F125" s="42">
        <v>45504</v>
      </c>
      <c r="G125" s="37">
        <v>2024</v>
      </c>
      <c r="H125" s="37" t="s">
        <v>84</v>
      </c>
      <c r="I125" s="39" t="s">
        <v>36</v>
      </c>
      <c r="J125" s="56">
        <v>1338.6143959999999</v>
      </c>
      <c r="K125" s="56">
        <v>1214.7518809999999</v>
      </c>
      <c r="L125" s="65">
        <f t="shared" si="14"/>
        <v>1.1019652794429384</v>
      </c>
      <c r="M125" s="65">
        <f t="shared" si="15"/>
        <v>1.1019652794429384</v>
      </c>
      <c r="N125" s="37" t="s">
        <v>264</v>
      </c>
      <c r="O125" s="37" t="s">
        <v>264</v>
      </c>
      <c r="P125" s="37">
        <v>0</v>
      </c>
      <c r="Q125" s="37">
        <v>0</v>
      </c>
      <c r="R125" s="37" t="s">
        <v>488</v>
      </c>
      <c r="S125" s="37"/>
    </row>
    <row r="126" spans="1:19" x14ac:dyDescent="0.3">
      <c r="A126" s="76">
        <v>143</v>
      </c>
      <c r="B126" s="76" t="s">
        <v>494</v>
      </c>
      <c r="C126" s="76" t="s">
        <v>190</v>
      </c>
      <c r="D126" s="76" t="s">
        <v>21</v>
      </c>
      <c r="E126" s="76" t="s">
        <v>22</v>
      </c>
      <c r="F126" s="77">
        <v>44926</v>
      </c>
      <c r="G126" s="76">
        <v>2022</v>
      </c>
      <c r="H126" s="76" t="s">
        <v>27</v>
      </c>
      <c r="I126" s="76" t="s">
        <v>28</v>
      </c>
      <c r="J126" s="76">
        <v>100</v>
      </c>
      <c r="K126" s="76">
        <v>152.5</v>
      </c>
      <c r="L126" s="78">
        <f t="shared" si="14"/>
        <v>1.3</v>
      </c>
      <c r="M126" s="78">
        <f t="shared" si="15"/>
        <v>1.5249999999999999</v>
      </c>
      <c r="N126" s="76" t="s">
        <v>25</v>
      </c>
      <c r="O126" s="76" t="s">
        <v>25</v>
      </c>
      <c r="P126" s="76">
        <v>0</v>
      </c>
      <c r="Q126" s="76">
        <v>0</v>
      </c>
      <c r="R126" s="76" t="s">
        <v>497</v>
      </c>
      <c r="S126" s="76"/>
    </row>
    <row r="127" spans="1:19" x14ac:dyDescent="0.3">
      <c r="A127" s="76">
        <v>143</v>
      </c>
      <c r="B127" s="76" t="s">
        <v>494</v>
      </c>
      <c r="C127" s="76" t="s">
        <v>190</v>
      </c>
      <c r="D127" s="76" t="s">
        <v>21</v>
      </c>
      <c r="E127" s="76" t="s">
        <v>22</v>
      </c>
      <c r="F127" s="77">
        <v>45291</v>
      </c>
      <c r="G127" s="76">
        <v>2023</v>
      </c>
      <c r="H127" s="76" t="s">
        <v>27</v>
      </c>
      <c r="I127" s="76" t="s">
        <v>32</v>
      </c>
      <c r="J127" s="76">
        <v>100</v>
      </c>
      <c r="K127" s="76">
        <v>146</v>
      </c>
      <c r="L127" s="78">
        <f t="shared" si="14"/>
        <v>1.3</v>
      </c>
      <c r="M127" s="78">
        <f t="shared" si="15"/>
        <v>1.46</v>
      </c>
      <c r="N127" s="76" t="s">
        <v>25</v>
      </c>
      <c r="O127" s="76" t="s">
        <v>25</v>
      </c>
      <c r="P127" s="76">
        <v>0</v>
      </c>
      <c r="Q127" s="76">
        <v>0</v>
      </c>
      <c r="R127" s="76" t="s">
        <v>500</v>
      </c>
      <c r="S127" s="76"/>
    </row>
    <row r="128" spans="1:19" x14ac:dyDescent="0.3">
      <c r="A128" s="76">
        <v>143</v>
      </c>
      <c r="B128" s="76" t="s">
        <v>494</v>
      </c>
      <c r="C128" s="76" t="s">
        <v>190</v>
      </c>
      <c r="D128" s="76" t="s">
        <v>21</v>
      </c>
      <c r="E128" s="76" t="s">
        <v>22</v>
      </c>
      <c r="F128" s="77">
        <v>45657</v>
      </c>
      <c r="G128" s="76">
        <v>2024</v>
      </c>
      <c r="H128" s="76" t="s">
        <v>27</v>
      </c>
      <c r="I128" s="76" t="s">
        <v>36</v>
      </c>
      <c r="J128" s="76">
        <v>100</v>
      </c>
      <c r="K128" s="76">
        <v>123.5</v>
      </c>
      <c r="L128" s="78">
        <f t="shared" si="14"/>
        <v>1.2350000000000001</v>
      </c>
      <c r="M128" s="78">
        <f t="shared" si="15"/>
        <v>1.2350000000000001</v>
      </c>
      <c r="N128" s="76" t="s">
        <v>25</v>
      </c>
      <c r="O128" s="76" t="s">
        <v>25</v>
      </c>
      <c r="P128" s="76">
        <v>0</v>
      </c>
      <c r="Q128" s="76">
        <v>0</v>
      </c>
      <c r="R128" s="76" t="s">
        <v>502</v>
      </c>
      <c r="S128" s="76"/>
    </row>
    <row r="129" spans="1:19" x14ac:dyDescent="0.3">
      <c r="A129" s="76">
        <v>144</v>
      </c>
      <c r="B129" s="76" t="s">
        <v>503</v>
      </c>
      <c r="C129" s="76" t="s">
        <v>190</v>
      </c>
      <c r="D129" s="76" t="s">
        <v>21</v>
      </c>
      <c r="E129" s="76" t="s">
        <v>22</v>
      </c>
      <c r="F129" s="77">
        <v>44926</v>
      </c>
      <c r="G129" s="76">
        <v>2022</v>
      </c>
      <c r="H129" s="76" t="s">
        <v>27</v>
      </c>
      <c r="I129" s="76" t="s">
        <v>28</v>
      </c>
      <c r="J129" s="76">
        <v>3</v>
      </c>
      <c r="K129" s="76">
        <v>3.55</v>
      </c>
      <c r="L129" s="78">
        <f t="shared" si="14"/>
        <v>1.1833333333333333</v>
      </c>
      <c r="M129" s="78">
        <f t="shared" si="15"/>
        <v>1.1833333333333333</v>
      </c>
      <c r="N129" s="76" t="s">
        <v>25</v>
      </c>
      <c r="O129" s="76" t="s">
        <v>25</v>
      </c>
      <c r="P129" s="76">
        <v>0</v>
      </c>
      <c r="Q129" s="76">
        <v>0</v>
      </c>
      <c r="R129" s="76" t="s">
        <v>505</v>
      </c>
      <c r="S129" s="76"/>
    </row>
    <row r="130" spans="1:19" x14ac:dyDescent="0.3">
      <c r="A130" s="76">
        <v>144</v>
      </c>
      <c r="B130" s="76" t="s">
        <v>503</v>
      </c>
      <c r="C130" s="76" t="s">
        <v>190</v>
      </c>
      <c r="D130" s="76" t="s">
        <v>139</v>
      </c>
      <c r="E130" s="76" t="s">
        <v>22</v>
      </c>
      <c r="F130" s="77">
        <v>45291</v>
      </c>
      <c r="G130" s="76">
        <v>2023</v>
      </c>
      <c r="H130" s="76" t="s">
        <v>27</v>
      </c>
      <c r="I130" s="76" t="s">
        <v>32</v>
      </c>
      <c r="J130" s="76">
        <v>3</v>
      </c>
      <c r="K130" s="76">
        <v>4.83</v>
      </c>
      <c r="L130" s="78">
        <f t="shared" si="14"/>
        <v>1.3</v>
      </c>
      <c r="M130" s="78">
        <f t="shared" si="15"/>
        <v>1.61</v>
      </c>
      <c r="N130" s="76" t="s">
        <v>25</v>
      </c>
      <c r="O130" s="76" t="s">
        <v>25</v>
      </c>
      <c r="P130" s="76">
        <v>0</v>
      </c>
      <c r="Q130" s="76">
        <v>0</v>
      </c>
      <c r="R130" s="76" t="s">
        <v>506</v>
      </c>
      <c r="S130" s="76"/>
    </row>
    <row r="131" spans="1:19" x14ac:dyDescent="0.3">
      <c r="A131" s="76">
        <v>144</v>
      </c>
      <c r="B131" s="76" t="s">
        <v>503</v>
      </c>
      <c r="C131" s="76" t="s">
        <v>190</v>
      </c>
      <c r="D131" s="76" t="s">
        <v>139</v>
      </c>
      <c r="E131" s="76" t="s">
        <v>22</v>
      </c>
      <c r="F131" s="77">
        <v>45657</v>
      </c>
      <c r="G131" s="76">
        <v>2024</v>
      </c>
      <c r="H131" s="76" t="s">
        <v>27</v>
      </c>
      <c r="I131" s="76" t="s">
        <v>36</v>
      </c>
      <c r="J131" s="76">
        <v>3</v>
      </c>
      <c r="K131" s="76">
        <v>4.5999999999999996</v>
      </c>
      <c r="L131" s="78">
        <f t="shared" si="14"/>
        <v>1.3</v>
      </c>
      <c r="M131" s="78">
        <f t="shared" si="15"/>
        <v>1.5333333333333332</v>
      </c>
      <c r="N131" s="76" t="s">
        <v>25</v>
      </c>
      <c r="O131" s="76" t="s">
        <v>25</v>
      </c>
      <c r="P131" s="76">
        <v>0</v>
      </c>
      <c r="Q131" s="76">
        <v>0</v>
      </c>
      <c r="R131" s="76" t="s">
        <v>507</v>
      </c>
      <c r="S131" s="76"/>
    </row>
    <row r="132" spans="1:19" x14ac:dyDescent="0.3">
      <c r="A132" s="76">
        <v>145</v>
      </c>
      <c r="B132" s="76" t="s">
        <v>508</v>
      </c>
      <c r="C132" s="76" t="s">
        <v>509</v>
      </c>
      <c r="D132" s="76" t="s">
        <v>21</v>
      </c>
      <c r="E132" s="76" t="s">
        <v>22</v>
      </c>
      <c r="F132" s="77">
        <v>44926</v>
      </c>
      <c r="G132" s="76">
        <v>2022</v>
      </c>
      <c r="H132" s="76" t="s">
        <v>27</v>
      </c>
      <c r="I132" s="76" t="s">
        <v>28</v>
      </c>
      <c r="J132" s="76">
        <v>1</v>
      </c>
      <c r="K132" s="76">
        <v>2.1186440677966001</v>
      </c>
      <c r="L132" s="78">
        <f t="shared" si="14"/>
        <v>1.3</v>
      </c>
      <c r="M132" s="78">
        <f t="shared" si="15"/>
        <v>2.1186440677966001</v>
      </c>
      <c r="N132" s="76" t="s">
        <v>25</v>
      </c>
      <c r="O132" s="76" t="s">
        <v>25</v>
      </c>
      <c r="P132" s="76">
        <v>0</v>
      </c>
      <c r="Q132" s="76">
        <v>0</v>
      </c>
      <c r="R132" s="76" t="s">
        <v>511</v>
      </c>
      <c r="S132" s="76"/>
    </row>
    <row r="133" spans="1:19" x14ac:dyDescent="0.3">
      <c r="A133" s="76">
        <v>145</v>
      </c>
      <c r="B133" s="76" t="s">
        <v>508</v>
      </c>
      <c r="C133" s="76" t="s">
        <v>509</v>
      </c>
      <c r="D133" s="76" t="s">
        <v>21</v>
      </c>
      <c r="E133" s="76" t="s">
        <v>22</v>
      </c>
      <c r="F133" s="77">
        <v>45291</v>
      </c>
      <c r="G133" s="76">
        <v>2023</v>
      </c>
      <c r="H133" s="76" t="s">
        <v>27</v>
      </c>
      <c r="I133" s="76" t="s">
        <v>32</v>
      </c>
      <c r="J133" s="76">
        <v>1</v>
      </c>
      <c r="K133" s="76">
        <v>2</v>
      </c>
      <c r="L133" s="78">
        <f t="shared" si="14"/>
        <v>1.3</v>
      </c>
      <c r="M133" s="78">
        <f t="shared" si="15"/>
        <v>2</v>
      </c>
      <c r="N133" s="76" t="s">
        <v>25</v>
      </c>
      <c r="O133" s="76" t="s">
        <v>25</v>
      </c>
      <c r="P133" s="76">
        <v>0</v>
      </c>
      <c r="Q133" s="76">
        <v>0</v>
      </c>
      <c r="R133" s="76" t="s">
        <v>513</v>
      </c>
      <c r="S133" s="76"/>
    </row>
    <row r="134" spans="1:19" x14ac:dyDescent="0.3">
      <c r="A134" s="76">
        <v>145</v>
      </c>
      <c r="B134" s="76" t="s">
        <v>508</v>
      </c>
      <c r="C134" s="76" t="s">
        <v>509</v>
      </c>
      <c r="D134" s="76" t="s">
        <v>21</v>
      </c>
      <c r="E134" s="76" t="s">
        <v>22</v>
      </c>
      <c r="F134" s="77">
        <v>45657</v>
      </c>
      <c r="G134" s="76">
        <v>2024</v>
      </c>
      <c r="H134" s="76" t="s">
        <v>27</v>
      </c>
      <c r="I134" s="76" t="s">
        <v>36</v>
      </c>
      <c r="J134" s="76">
        <v>1</v>
      </c>
      <c r="K134" s="76">
        <v>1.9550000000000001</v>
      </c>
      <c r="L134" s="78">
        <f t="shared" si="14"/>
        <v>1.3</v>
      </c>
      <c r="M134" s="78">
        <f t="shared" si="15"/>
        <v>1.9550000000000001</v>
      </c>
      <c r="N134" s="76" t="s">
        <v>25</v>
      </c>
      <c r="O134" s="76" t="s">
        <v>25</v>
      </c>
      <c r="P134" s="76">
        <v>0</v>
      </c>
      <c r="Q134" s="76">
        <v>0</v>
      </c>
      <c r="R134" s="76" t="s">
        <v>515</v>
      </c>
      <c r="S134" s="76"/>
    </row>
    <row r="135" spans="1:19" x14ac:dyDescent="0.3">
      <c r="A135" s="76">
        <v>146</v>
      </c>
      <c r="B135" s="76" t="s">
        <v>516</v>
      </c>
      <c r="C135" s="76" t="s">
        <v>190</v>
      </c>
      <c r="D135" s="76" t="s">
        <v>21</v>
      </c>
      <c r="E135" s="76" t="s">
        <v>22</v>
      </c>
      <c r="F135" s="77">
        <v>44926</v>
      </c>
      <c r="G135" s="76">
        <v>2022</v>
      </c>
      <c r="H135" s="76" t="s">
        <v>27</v>
      </c>
      <c r="I135" s="76" t="s">
        <v>28</v>
      </c>
      <c r="J135" s="76">
        <v>230</v>
      </c>
      <c r="K135" s="76">
        <v>255.5</v>
      </c>
      <c r="L135" s="78">
        <f t="shared" si="14"/>
        <v>1.1108695652173912</v>
      </c>
      <c r="M135" s="78">
        <f t="shared" si="15"/>
        <v>1.1108695652173912</v>
      </c>
      <c r="N135" s="76" t="s">
        <v>25</v>
      </c>
      <c r="O135" s="76" t="s">
        <v>25</v>
      </c>
      <c r="P135" s="76">
        <v>0</v>
      </c>
      <c r="Q135" s="76">
        <v>0</v>
      </c>
      <c r="R135" s="76" t="s">
        <v>518</v>
      </c>
      <c r="S135" s="76"/>
    </row>
    <row r="136" spans="1:19" x14ac:dyDescent="0.3">
      <c r="A136" s="76">
        <v>146</v>
      </c>
      <c r="B136" s="76" t="s">
        <v>516</v>
      </c>
      <c r="C136" s="76" t="s">
        <v>190</v>
      </c>
      <c r="D136" s="76" t="s">
        <v>21</v>
      </c>
      <c r="E136" s="76" t="s">
        <v>22</v>
      </c>
      <c r="F136" s="77">
        <v>45291</v>
      </c>
      <c r="G136" s="76">
        <v>2023</v>
      </c>
      <c r="H136" s="76" t="s">
        <v>27</v>
      </c>
      <c r="I136" s="76" t="s">
        <v>32</v>
      </c>
      <c r="J136" s="76">
        <v>230</v>
      </c>
      <c r="K136" s="76">
        <v>310</v>
      </c>
      <c r="L136" s="78">
        <f t="shared" si="14"/>
        <v>1.3</v>
      </c>
      <c r="M136" s="78">
        <f t="shared" si="15"/>
        <v>1.3478260869565217</v>
      </c>
      <c r="N136" s="76" t="s">
        <v>25</v>
      </c>
      <c r="O136" s="76" t="s">
        <v>25</v>
      </c>
      <c r="P136" s="76">
        <v>0</v>
      </c>
      <c r="Q136" s="76">
        <v>0</v>
      </c>
      <c r="R136" s="76" t="s">
        <v>520</v>
      </c>
      <c r="S136" s="76"/>
    </row>
    <row r="137" spans="1:19" x14ac:dyDescent="0.3">
      <c r="A137" s="76">
        <v>146</v>
      </c>
      <c r="B137" s="76" t="s">
        <v>516</v>
      </c>
      <c r="C137" s="76" t="s">
        <v>190</v>
      </c>
      <c r="D137" s="76" t="s">
        <v>21</v>
      </c>
      <c r="E137" s="76" t="s">
        <v>22</v>
      </c>
      <c r="F137" s="77">
        <v>45657</v>
      </c>
      <c r="G137" s="76">
        <v>2024</v>
      </c>
      <c r="H137" s="76" t="s">
        <v>27</v>
      </c>
      <c r="I137" s="76" t="s">
        <v>36</v>
      </c>
      <c r="J137" s="76">
        <v>294</v>
      </c>
      <c r="K137" s="76">
        <v>338.5</v>
      </c>
      <c r="L137" s="78">
        <f t="shared" si="14"/>
        <v>1.1513605442176871</v>
      </c>
      <c r="M137" s="78">
        <f t="shared" si="15"/>
        <v>1.1513605442176871</v>
      </c>
      <c r="N137" s="76" t="s">
        <v>25</v>
      </c>
      <c r="O137" s="76" t="s">
        <v>25</v>
      </c>
      <c r="P137" s="76">
        <v>0</v>
      </c>
      <c r="Q137" s="76">
        <v>0</v>
      </c>
      <c r="R137" s="76" t="s">
        <v>522</v>
      </c>
      <c r="S137" s="76"/>
    </row>
    <row r="138" spans="1:19" x14ac:dyDescent="0.3">
      <c r="A138" s="76">
        <v>147</v>
      </c>
      <c r="B138" s="76" t="s">
        <v>523</v>
      </c>
      <c r="C138" s="76" t="s">
        <v>190</v>
      </c>
      <c r="D138" s="76" t="s">
        <v>139</v>
      </c>
      <c r="E138" s="76" t="s">
        <v>22</v>
      </c>
      <c r="F138" s="77">
        <v>44926</v>
      </c>
      <c r="G138" s="76">
        <v>2022</v>
      </c>
      <c r="H138" s="76" t="s">
        <v>27</v>
      </c>
      <c r="I138" s="76" t="s">
        <v>28</v>
      </c>
      <c r="J138" s="76">
        <v>16</v>
      </c>
      <c r="K138" s="76">
        <v>11</v>
      </c>
      <c r="L138" s="78">
        <f t="shared" si="14"/>
        <v>0.6875</v>
      </c>
      <c r="M138" s="78">
        <f t="shared" si="15"/>
        <v>0.6875</v>
      </c>
      <c r="N138" s="76" t="s">
        <v>25</v>
      </c>
      <c r="O138" s="76" t="s">
        <v>25</v>
      </c>
      <c r="P138" s="76">
        <v>0</v>
      </c>
      <c r="Q138" s="76">
        <v>0</v>
      </c>
      <c r="R138" s="76" t="s">
        <v>524</v>
      </c>
      <c r="S138" s="76"/>
    </row>
    <row r="139" spans="1:19" x14ac:dyDescent="0.3">
      <c r="A139" s="76">
        <v>147</v>
      </c>
      <c r="B139" s="76" t="s">
        <v>523</v>
      </c>
      <c r="C139" s="76" t="s">
        <v>190</v>
      </c>
      <c r="D139" s="76" t="s">
        <v>139</v>
      </c>
      <c r="E139" s="76" t="s">
        <v>22</v>
      </c>
      <c r="F139" s="77">
        <v>45291</v>
      </c>
      <c r="G139" s="76">
        <v>2023</v>
      </c>
      <c r="H139" s="76" t="s">
        <v>27</v>
      </c>
      <c r="I139" s="76" t="s">
        <v>32</v>
      </c>
      <c r="J139" s="76">
        <v>16</v>
      </c>
      <c r="K139" s="76">
        <v>12</v>
      </c>
      <c r="L139" s="78">
        <f t="shared" si="14"/>
        <v>0.75</v>
      </c>
      <c r="M139" s="78">
        <f t="shared" si="15"/>
        <v>0.75</v>
      </c>
      <c r="N139" s="76" t="s">
        <v>25</v>
      </c>
      <c r="O139" s="76" t="s">
        <v>25</v>
      </c>
      <c r="P139" s="76">
        <v>0</v>
      </c>
      <c r="Q139" s="76">
        <v>0</v>
      </c>
      <c r="R139" s="76" t="s">
        <v>525</v>
      </c>
      <c r="S139" s="76"/>
    </row>
    <row r="140" spans="1:19" x14ac:dyDescent="0.3">
      <c r="A140" s="76">
        <v>147</v>
      </c>
      <c r="B140" s="76" t="s">
        <v>523</v>
      </c>
      <c r="C140" s="76" t="s">
        <v>190</v>
      </c>
      <c r="D140" s="76" t="s">
        <v>139</v>
      </c>
      <c r="E140" s="76" t="s">
        <v>22</v>
      </c>
      <c r="F140" s="77">
        <v>45657</v>
      </c>
      <c r="G140" s="76">
        <v>2024</v>
      </c>
      <c r="H140" s="76" t="s">
        <v>27</v>
      </c>
      <c r="I140" s="76" t="s">
        <v>36</v>
      </c>
      <c r="J140" s="76">
        <v>17</v>
      </c>
      <c r="K140" s="76">
        <v>0</v>
      </c>
      <c r="L140" s="78">
        <f t="shared" si="14"/>
        <v>0</v>
      </c>
      <c r="M140" s="78">
        <f t="shared" si="15"/>
        <v>0</v>
      </c>
      <c r="N140" s="76" t="s">
        <v>25</v>
      </c>
      <c r="O140" s="76" t="s">
        <v>25</v>
      </c>
      <c r="P140" s="76">
        <v>0</v>
      </c>
      <c r="Q140" s="76">
        <v>0</v>
      </c>
      <c r="R140" s="76" t="s">
        <v>526</v>
      </c>
      <c r="S140" s="76"/>
    </row>
    <row r="141" spans="1:19" x14ac:dyDescent="0.3">
      <c r="A141" s="76">
        <v>148</v>
      </c>
      <c r="B141" s="76" t="s">
        <v>527</v>
      </c>
      <c r="C141" s="76" t="s">
        <v>509</v>
      </c>
      <c r="D141" s="76" t="s">
        <v>21</v>
      </c>
      <c r="E141" s="76" t="s">
        <v>22</v>
      </c>
      <c r="F141" s="77">
        <v>44926</v>
      </c>
      <c r="G141" s="76">
        <v>2022</v>
      </c>
      <c r="H141" s="76" t="s">
        <v>27</v>
      </c>
      <c r="I141" s="76" t="s">
        <v>28</v>
      </c>
      <c r="J141" s="76">
        <v>2</v>
      </c>
      <c r="K141" s="76">
        <v>3.0897703549061002</v>
      </c>
      <c r="L141" s="78">
        <f t="shared" si="14"/>
        <v>1.3</v>
      </c>
      <c r="M141" s="78">
        <f t="shared" si="15"/>
        <v>1.5448851774530501</v>
      </c>
      <c r="N141" s="76" t="s">
        <v>25</v>
      </c>
      <c r="O141" s="76" t="s">
        <v>25</v>
      </c>
      <c r="P141" s="76">
        <v>0</v>
      </c>
      <c r="Q141" s="76">
        <v>0</v>
      </c>
      <c r="R141" s="76" t="s">
        <v>530</v>
      </c>
      <c r="S141" s="76"/>
    </row>
    <row r="142" spans="1:19" x14ac:dyDescent="0.3">
      <c r="A142" s="76">
        <v>148</v>
      </c>
      <c r="B142" s="76" t="s">
        <v>527</v>
      </c>
      <c r="C142" s="76" t="s">
        <v>509</v>
      </c>
      <c r="D142" s="76" t="s">
        <v>21</v>
      </c>
      <c r="E142" s="76" t="s">
        <v>22</v>
      </c>
      <c r="F142" s="77">
        <v>45291</v>
      </c>
      <c r="G142" s="76">
        <v>2023</v>
      </c>
      <c r="H142" s="76" t="s">
        <v>27</v>
      </c>
      <c r="I142" s="76" t="s">
        <v>32</v>
      </c>
      <c r="J142" s="76">
        <v>5</v>
      </c>
      <c r="K142" s="76">
        <v>5.71</v>
      </c>
      <c r="L142" s="78">
        <f t="shared" si="14"/>
        <v>1.1419999999999999</v>
      </c>
      <c r="M142" s="78">
        <f t="shared" si="15"/>
        <v>1.1419999999999999</v>
      </c>
      <c r="N142" s="76" t="s">
        <v>25</v>
      </c>
      <c r="O142" s="76" t="s">
        <v>25</v>
      </c>
      <c r="P142" s="76">
        <v>0</v>
      </c>
      <c r="Q142" s="76">
        <v>0</v>
      </c>
      <c r="R142" s="76" t="s">
        <v>532</v>
      </c>
      <c r="S142" s="76"/>
    </row>
    <row r="143" spans="1:19" x14ac:dyDescent="0.3">
      <c r="A143" s="76">
        <v>148</v>
      </c>
      <c r="B143" s="76" t="s">
        <v>527</v>
      </c>
      <c r="C143" s="76" t="s">
        <v>509</v>
      </c>
      <c r="D143" s="76" t="s">
        <v>21</v>
      </c>
      <c r="E143" s="76" t="s">
        <v>22</v>
      </c>
      <c r="F143" s="77">
        <v>45657</v>
      </c>
      <c r="G143" s="76">
        <v>2024</v>
      </c>
      <c r="H143" s="76" t="s">
        <v>27</v>
      </c>
      <c r="I143" s="76" t="s">
        <v>36</v>
      </c>
      <c r="J143" s="76">
        <v>5</v>
      </c>
      <c r="K143" s="76">
        <v>6.3</v>
      </c>
      <c r="L143" s="78">
        <f t="shared" si="14"/>
        <v>1.26</v>
      </c>
      <c r="M143" s="78">
        <f t="shared" si="15"/>
        <v>1.26</v>
      </c>
      <c r="N143" s="76" t="s">
        <v>25</v>
      </c>
      <c r="O143" s="76" t="s">
        <v>25</v>
      </c>
      <c r="P143" s="76">
        <v>0</v>
      </c>
      <c r="Q143" s="76">
        <v>0</v>
      </c>
      <c r="R143" s="76" t="s">
        <v>534</v>
      </c>
      <c r="S143" s="76"/>
    </row>
    <row r="144" spans="1:19" x14ac:dyDescent="0.3">
      <c r="A144" s="76">
        <v>150</v>
      </c>
      <c r="B144" s="76" t="s">
        <v>540</v>
      </c>
      <c r="C144" s="76" t="s">
        <v>190</v>
      </c>
      <c r="D144" s="76" t="s">
        <v>139</v>
      </c>
      <c r="E144" s="76" t="s">
        <v>22</v>
      </c>
      <c r="F144" s="77">
        <v>44865</v>
      </c>
      <c r="G144" s="76">
        <v>2022</v>
      </c>
      <c r="H144" s="76" t="s">
        <v>89</v>
      </c>
      <c r="I144" s="76" t="s">
        <v>28</v>
      </c>
      <c r="J144" s="76">
        <v>1</v>
      </c>
      <c r="K144" s="76">
        <v>80</v>
      </c>
      <c r="L144" s="78">
        <f t="shared" si="14"/>
        <v>1.3</v>
      </c>
      <c r="M144" s="78">
        <f t="shared" si="15"/>
        <v>80</v>
      </c>
      <c r="N144" s="76" t="s">
        <v>25</v>
      </c>
      <c r="O144" s="76" t="s">
        <v>25</v>
      </c>
      <c r="P144" s="76">
        <v>0</v>
      </c>
      <c r="Q144" s="76">
        <v>0</v>
      </c>
      <c r="R144" s="76" t="s">
        <v>536</v>
      </c>
      <c r="S144" s="76"/>
    </row>
    <row r="145" spans="1:19" x14ac:dyDescent="0.3">
      <c r="A145" s="76">
        <v>150</v>
      </c>
      <c r="B145" s="76" t="s">
        <v>540</v>
      </c>
      <c r="C145" s="76" t="s">
        <v>190</v>
      </c>
      <c r="D145" s="76" t="s">
        <v>139</v>
      </c>
      <c r="E145" s="76" t="s">
        <v>22</v>
      </c>
      <c r="F145" s="77">
        <v>45230</v>
      </c>
      <c r="G145" s="76">
        <v>2023</v>
      </c>
      <c r="H145" s="76" t="s">
        <v>89</v>
      </c>
      <c r="I145" s="76" t="s">
        <v>32</v>
      </c>
      <c r="J145" s="76">
        <v>1</v>
      </c>
      <c r="K145" s="76">
        <v>94</v>
      </c>
      <c r="L145" s="78">
        <f t="shared" si="14"/>
        <v>1.3</v>
      </c>
      <c r="M145" s="78">
        <f t="shared" si="15"/>
        <v>94</v>
      </c>
      <c r="N145" s="76" t="s">
        <v>25</v>
      </c>
      <c r="O145" s="76" t="s">
        <v>25</v>
      </c>
      <c r="P145" s="76">
        <v>0</v>
      </c>
      <c r="Q145" s="76">
        <v>0</v>
      </c>
      <c r="R145" s="76" t="s">
        <v>538</v>
      </c>
      <c r="S145" s="76"/>
    </row>
    <row r="146" spans="1:19" x14ac:dyDescent="0.3">
      <c r="A146" s="37">
        <v>150</v>
      </c>
      <c r="B146" s="37" t="s">
        <v>206</v>
      </c>
      <c r="C146" s="37" t="s">
        <v>190</v>
      </c>
      <c r="D146" s="37" t="s">
        <v>139</v>
      </c>
      <c r="E146" s="37" t="s">
        <v>22</v>
      </c>
      <c r="F146" s="42">
        <v>45291</v>
      </c>
      <c r="G146" s="37">
        <v>2023</v>
      </c>
      <c r="H146" s="37" t="s">
        <v>27</v>
      </c>
      <c r="I146" s="39" t="s">
        <v>32</v>
      </c>
      <c r="J146" s="37">
        <v>80</v>
      </c>
      <c r="K146" s="37">
        <v>84.343500708111094</v>
      </c>
      <c r="L146" s="65">
        <f t="shared" si="14"/>
        <v>1.0542937588513888</v>
      </c>
      <c r="M146" s="65">
        <f t="shared" si="15"/>
        <v>1.0542937588513888</v>
      </c>
      <c r="N146" s="37" t="s">
        <v>25</v>
      </c>
      <c r="O146" s="37" t="s">
        <v>25</v>
      </c>
      <c r="P146" s="37">
        <v>0</v>
      </c>
      <c r="Q146" s="37">
        <v>0</v>
      </c>
      <c r="R146" s="37" t="s">
        <v>539</v>
      </c>
      <c r="S146" s="37"/>
    </row>
    <row r="147" spans="1:19" x14ac:dyDescent="0.3">
      <c r="A147" s="76">
        <v>150</v>
      </c>
      <c r="B147" s="76" t="s">
        <v>540</v>
      </c>
      <c r="C147" s="76" t="s">
        <v>190</v>
      </c>
      <c r="D147" s="76" t="s">
        <v>139</v>
      </c>
      <c r="E147" s="76" t="s">
        <v>22</v>
      </c>
      <c r="F147" s="77">
        <v>45596</v>
      </c>
      <c r="G147" s="76">
        <v>2024</v>
      </c>
      <c r="H147" s="76" t="s">
        <v>89</v>
      </c>
      <c r="I147" s="76" t="s">
        <v>36</v>
      </c>
      <c r="J147" s="76">
        <v>1</v>
      </c>
      <c r="K147" s="76">
        <v>89</v>
      </c>
      <c r="L147" s="78">
        <f t="shared" si="14"/>
        <v>1.3</v>
      </c>
      <c r="M147" s="78">
        <f t="shared" si="15"/>
        <v>89</v>
      </c>
      <c r="N147" s="76" t="s">
        <v>25</v>
      </c>
      <c r="O147" s="76" t="s">
        <v>25</v>
      </c>
      <c r="P147" s="76">
        <v>0</v>
      </c>
      <c r="Q147" s="76">
        <v>0</v>
      </c>
      <c r="R147" s="76" t="s">
        <v>541</v>
      </c>
      <c r="S147" s="76"/>
    </row>
    <row r="148" spans="1:19" x14ac:dyDescent="0.3">
      <c r="A148" s="37">
        <v>150</v>
      </c>
      <c r="B148" s="37" t="s">
        <v>206</v>
      </c>
      <c r="C148" s="37" t="s">
        <v>190</v>
      </c>
      <c r="D148" s="37" t="s">
        <v>139</v>
      </c>
      <c r="E148" s="37" t="s">
        <v>22</v>
      </c>
      <c r="F148" s="42">
        <v>45657</v>
      </c>
      <c r="G148" s="37">
        <v>2024</v>
      </c>
      <c r="H148" s="37" t="s">
        <v>27</v>
      </c>
      <c r="I148" s="39" t="s">
        <v>36</v>
      </c>
      <c r="J148" s="37">
        <v>80</v>
      </c>
      <c r="K148" s="37">
        <v>89</v>
      </c>
      <c r="L148" s="65">
        <f t="shared" si="14"/>
        <v>1.1125</v>
      </c>
      <c r="M148" s="65">
        <f t="shared" si="15"/>
        <v>1.1125</v>
      </c>
      <c r="N148" s="37" t="s">
        <v>25</v>
      </c>
      <c r="O148" s="37" t="s">
        <v>25</v>
      </c>
      <c r="P148" s="37">
        <v>0</v>
      </c>
      <c r="Q148" s="37">
        <v>0</v>
      </c>
      <c r="R148" s="37" t="s">
        <v>3499</v>
      </c>
      <c r="S148" s="37"/>
    </row>
    <row r="149" spans="1:19" x14ac:dyDescent="0.3">
      <c r="A149" s="76">
        <v>151</v>
      </c>
      <c r="B149" s="76" t="s">
        <v>206</v>
      </c>
      <c r="C149" s="76" t="s">
        <v>461</v>
      </c>
      <c r="D149" s="76" t="s">
        <v>139</v>
      </c>
      <c r="E149" s="76" t="s">
        <v>22</v>
      </c>
      <c r="F149" s="77">
        <v>44865</v>
      </c>
      <c r="G149" s="76">
        <v>2022</v>
      </c>
      <c r="H149" s="76" t="s">
        <v>89</v>
      </c>
      <c r="I149" s="76" t="s">
        <v>28</v>
      </c>
      <c r="J149" s="76">
        <v>1</v>
      </c>
      <c r="K149" s="76">
        <v>83</v>
      </c>
      <c r="L149" s="78">
        <f t="shared" si="14"/>
        <v>1.3</v>
      </c>
      <c r="M149" s="78">
        <f t="shared" si="15"/>
        <v>83</v>
      </c>
      <c r="N149" s="76" t="s">
        <v>25</v>
      </c>
      <c r="O149" s="76" t="s">
        <v>25</v>
      </c>
      <c r="P149" s="76">
        <v>0</v>
      </c>
      <c r="Q149" s="76">
        <v>0</v>
      </c>
      <c r="R149" s="76" t="s">
        <v>542</v>
      </c>
      <c r="S149" s="76"/>
    </row>
    <row r="150" spans="1:19" x14ac:dyDescent="0.3">
      <c r="A150" s="76">
        <v>151</v>
      </c>
      <c r="B150" s="76" t="s">
        <v>206</v>
      </c>
      <c r="C150" s="76" t="s">
        <v>461</v>
      </c>
      <c r="D150" s="76" t="s">
        <v>139</v>
      </c>
      <c r="E150" s="76" t="s">
        <v>22</v>
      </c>
      <c r="F150" s="77">
        <v>45230</v>
      </c>
      <c r="G150" s="76">
        <v>2023</v>
      </c>
      <c r="H150" s="76" t="s">
        <v>89</v>
      </c>
      <c r="I150" s="76" t="s">
        <v>32</v>
      </c>
      <c r="J150" s="76">
        <v>1</v>
      </c>
      <c r="K150" s="76">
        <v>90.37</v>
      </c>
      <c r="L150" s="78">
        <f t="shared" si="14"/>
        <v>1.3</v>
      </c>
      <c r="M150" s="78">
        <f t="shared" si="15"/>
        <v>90.37</v>
      </c>
      <c r="N150" s="76" t="s">
        <v>25</v>
      </c>
      <c r="O150" s="76" t="s">
        <v>25</v>
      </c>
      <c r="P150" s="76">
        <v>0</v>
      </c>
      <c r="Q150" s="76">
        <v>0</v>
      </c>
      <c r="R150" s="76" t="s">
        <v>543</v>
      </c>
      <c r="S150" s="76"/>
    </row>
    <row r="151" spans="1:19" x14ac:dyDescent="0.3">
      <c r="A151" s="37">
        <v>151</v>
      </c>
      <c r="B151" s="37" t="s">
        <v>206</v>
      </c>
      <c r="C151" s="37" t="s">
        <v>461</v>
      </c>
      <c r="D151" s="37" t="s">
        <v>139</v>
      </c>
      <c r="E151" s="37" t="s">
        <v>22</v>
      </c>
      <c r="F151" s="42">
        <v>45291</v>
      </c>
      <c r="G151" s="37">
        <v>2023</v>
      </c>
      <c r="H151" s="37" t="s">
        <v>27</v>
      </c>
      <c r="I151" s="39" t="s">
        <v>32</v>
      </c>
      <c r="J151" s="37"/>
      <c r="K151" s="37"/>
      <c r="L151" s="65"/>
      <c r="M151" s="65"/>
      <c r="N151" s="37" t="s">
        <v>223</v>
      </c>
      <c r="O151" s="37" t="s">
        <v>223</v>
      </c>
      <c r="P151" s="37">
        <v>0</v>
      </c>
      <c r="Q151" s="37">
        <v>0</v>
      </c>
      <c r="R151" s="37" t="s">
        <v>3500</v>
      </c>
      <c r="S151" s="37"/>
    </row>
    <row r="152" spans="1:19" x14ac:dyDescent="0.3">
      <c r="A152" s="76">
        <v>151</v>
      </c>
      <c r="B152" s="76" t="s">
        <v>206</v>
      </c>
      <c r="C152" s="76" t="s">
        <v>461</v>
      </c>
      <c r="D152" s="76" t="s">
        <v>139</v>
      </c>
      <c r="E152" s="76" t="s">
        <v>22</v>
      </c>
      <c r="F152" s="77">
        <v>45596</v>
      </c>
      <c r="G152" s="76">
        <v>2024</v>
      </c>
      <c r="H152" s="76" t="s">
        <v>89</v>
      </c>
      <c r="I152" s="76" t="s">
        <v>36</v>
      </c>
      <c r="J152" s="76">
        <v>1</v>
      </c>
      <c r="K152" s="76">
        <v>80</v>
      </c>
      <c r="L152" s="78">
        <f>IFERROR(IF(OR(J152=0,K152=""),"",IF(E152="Positivo",MIN(MAX(K152/J152,0),1.3),MIN(MAX(J152/K152,0),1.3))),"")</f>
        <v>1.3</v>
      </c>
      <c r="M152" s="78">
        <f>IFERROR(IF(OR(J152=0,K152=""),"",IF(E152="Positivo",MAX(K152/J152,0),MAX(J152/K152,0))),"")</f>
        <v>80</v>
      </c>
      <c r="N152" s="76" t="s">
        <v>25</v>
      </c>
      <c r="O152" s="76" t="s">
        <v>25</v>
      </c>
      <c r="P152" s="76">
        <v>0</v>
      </c>
      <c r="Q152" s="76">
        <v>0</v>
      </c>
      <c r="R152" s="76" t="s">
        <v>544</v>
      </c>
      <c r="S152" s="76"/>
    </row>
    <row r="153" spans="1:19" x14ac:dyDescent="0.3">
      <c r="A153" s="37">
        <v>151</v>
      </c>
      <c r="B153" s="37" t="s">
        <v>206</v>
      </c>
      <c r="C153" s="37" t="s">
        <v>461</v>
      </c>
      <c r="D153" s="37" t="s">
        <v>139</v>
      </c>
      <c r="E153" s="37" t="s">
        <v>22</v>
      </c>
      <c r="F153" s="42">
        <v>45657</v>
      </c>
      <c r="G153" s="37">
        <v>2024</v>
      </c>
      <c r="H153" s="37" t="s">
        <v>27</v>
      </c>
      <c r="I153" s="39" t="s">
        <v>36</v>
      </c>
      <c r="J153" s="37"/>
      <c r="K153" s="37"/>
      <c r="L153" s="65"/>
      <c r="M153" s="65"/>
      <c r="N153" s="37" t="s">
        <v>25</v>
      </c>
      <c r="O153" s="37" t="s">
        <v>25</v>
      </c>
      <c r="P153" s="37">
        <v>0</v>
      </c>
      <c r="Q153" s="37">
        <v>0</v>
      </c>
      <c r="R153" s="37" t="s">
        <v>3501</v>
      </c>
      <c r="S153" s="37"/>
    </row>
    <row r="154" spans="1:19" x14ac:dyDescent="0.3">
      <c r="A154" s="37">
        <v>157</v>
      </c>
      <c r="B154" s="37" t="s">
        <v>545</v>
      </c>
      <c r="C154" s="37" t="s">
        <v>546</v>
      </c>
      <c r="D154" s="37" t="s">
        <v>139</v>
      </c>
      <c r="E154" s="37" t="s">
        <v>22</v>
      </c>
      <c r="F154" s="42">
        <v>45291</v>
      </c>
      <c r="G154" s="37">
        <v>2023</v>
      </c>
      <c r="H154" s="37" t="s">
        <v>27</v>
      </c>
      <c r="I154" s="39" t="s">
        <v>32</v>
      </c>
      <c r="J154" s="37">
        <v>3</v>
      </c>
      <c r="K154" s="37">
        <v>7</v>
      </c>
      <c r="L154" s="65">
        <f t="shared" ref="L154:L165" si="16">IFERROR(IF(OR(J154=0,K154=""),"",IF(E154="Positivo",MIN(MAX(K154/J154,0),1.3),MIN(MAX(J154/K154,0),1.3))),"")</f>
        <v>1.3</v>
      </c>
      <c r="M154" s="65">
        <f t="shared" ref="M154:M165" si="17">IFERROR(IF(OR(J154=0,K154=""),"",IF(E154="Positivo",MAX(K154/J154,0),MAX(J154/K154,0))),"")</f>
        <v>2.3333333333333335</v>
      </c>
      <c r="N154" s="37" t="s">
        <v>203</v>
      </c>
      <c r="O154" s="37" t="s">
        <v>203</v>
      </c>
      <c r="P154" s="37">
        <v>0</v>
      </c>
      <c r="Q154" s="37">
        <v>0</v>
      </c>
      <c r="R154" s="37" t="s">
        <v>548</v>
      </c>
      <c r="S154" s="37"/>
    </row>
    <row r="155" spans="1:19" x14ac:dyDescent="0.3">
      <c r="A155" s="37">
        <v>157</v>
      </c>
      <c r="B155" s="37" t="s">
        <v>545</v>
      </c>
      <c r="C155" s="37" t="s">
        <v>546</v>
      </c>
      <c r="D155" s="37" t="s">
        <v>139</v>
      </c>
      <c r="E155" s="37" t="s">
        <v>22</v>
      </c>
      <c r="F155" s="42">
        <v>45657</v>
      </c>
      <c r="G155" s="37">
        <v>2024</v>
      </c>
      <c r="H155" s="37" t="s">
        <v>27</v>
      </c>
      <c r="I155" s="39" t="s">
        <v>36</v>
      </c>
      <c r="J155" s="37">
        <v>100</v>
      </c>
      <c r="K155" s="37">
        <v>125</v>
      </c>
      <c r="L155" s="65">
        <f t="shared" si="16"/>
        <v>1.25</v>
      </c>
      <c r="M155" s="65">
        <f t="shared" si="17"/>
        <v>1.25</v>
      </c>
      <c r="N155" s="37" t="s">
        <v>203</v>
      </c>
      <c r="O155" s="37" t="s">
        <v>203</v>
      </c>
      <c r="P155" s="37">
        <v>0</v>
      </c>
      <c r="Q155" s="37">
        <v>0</v>
      </c>
      <c r="R155" s="37" t="s">
        <v>549</v>
      </c>
      <c r="S155" s="37"/>
    </row>
    <row r="156" spans="1:19" x14ac:dyDescent="0.3">
      <c r="A156" s="76">
        <v>159</v>
      </c>
      <c r="B156" s="76" t="s">
        <v>206</v>
      </c>
      <c r="C156" s="76" t="s">
        <v>546</v>
      </c>
      <c r="D156" s="76" t="s">
        <v>139</v>
      </c>
      <c r="E156" s="76" t="s">
        <v>22</v>
      </c>
      <c r="F156" s="77">
        <v>44926</v>
      </c>
      <c r="G156" s="76">
        <v>2022</v>
      </c>
      <c r="H156" s="76" t="s">
        <v>27</v>
      </c>
      <c r="I156" s="76" t="s">
        <v>28</v>
      </c>
      <c r="J156" s="76">
        <v>80</v>
      </c>
      <c r="K156" s="76">
        <v>35</v>
      </c>
      <c r="L156" s="78">
        <f t="shared" si="16"/>
        <v>0.4375</v>
      </c>
      <c r="M156" s="78">
        <f t="shared" si="17"/>
        <v>0.4375</v>
      </c>
      <c r="N156" s="76" t="s">
        <v>25</v>
      </c>
      <c r="O156" s="76" t="s">
        <v>25</v>
      </c>
      <c r="P156" s="76">
        <v>0</v>
      </c>
      <c r="Q156" s="76">
        <v>0</v>
      </c>
      <c r="R156" s="76" t="s">
        <v>551</v>
      </c>
      <c r="S156" s="76"/>
    </row>
    <row r="157" spans="1:19" x14ac:dyDescent="0.3">
      <c r="A157" s="76">
        <v>159</v>
      </c>
      <c r="B157" s="76" t="s">
        <v>206</v>
      </c>
      <c r="C157" s="76" t="s">
        <v>546</v>
      </c>
      <c r="D157" s="76" t="s">
        <v>21</v>
      </c>
      <c r="E157" s="76" t="s">
        <v>22</v>
      </c>
      <c r="F157" s="77">
        <v>45291</v>
      </c>
      <c r="G157" s="76">
        <v>2023</v>
      </c>
      <c r="H157" s="76" t="s">
        <v>27</v>
      </c>
      <c r="I157" s="76" t="s">
        <v>32</v>
      </c>
      <c r="J157" s="76">
        <v>80</v>
      </c>
      <c r="K157" s="76">
        <v>98</v>
      </c>
      <c r="L157" s="78">
        <f t="shared" si="16"/>
        <v>1.2250000000000001</v>
      </c>
      <c r="M157" s="78">
        <f t="shared" si="17"/>
        <v>1.2250000000000001</v>
      </c>
      <c r="N157" s="76" t="s">
        <v>25</v>
      </c>
      <c r="O157" s="76" t="s">
        <v>25</v>
      </c>
      <c r="P157" s="76">
        <v>0</v>
      </c>
      <c r="Q157" s="76">
        <v>0</v>
      </c>
      <c r="R157" s="76" t="s">
        <v>553</v>
      </c>
      <c r="S157" s="76"/>
    </row>
    <row r="158" spans="1:19" x14ac:dyDescent="0.3">
      <c r="A158" s="76">
        <v>159</v>
      </c>
      <c r="B158" s="76" t="s">
        <v>206</v>
      </c>
      <c r="C158" s="76" t="s">
        <v>546</v>
      </c>
      <c r="D158" s="76" t="s">
        <v>21</v>
      </c>
      <c r="E158" s="76" t="s">
        <v>22</v>
      </c>
      <c r="F158" s="77">
        <v>45657</v>
      </c>
      <c r="G158" s="76">
        <v>2024</v>
      </c>
      <c r="H158" s="76" t="s">
        <v>27</v>
      </c>
      <c r="I158" s="76" t="s">
        <v>36</v>
      </c>
      <c r="J158" s="76">
        <v>80</v>
      </c>
      <c r="K158" s="76">
        <v>96.4</v>
      </c>
      <c r="L158" s="78">
        <f t="shared" si="16"/>
        <v>1.2050000000000001</v>
      </c>
      <c r="M158" s="78">
        <f t="shared" si="17"/>
        <v>1.2050000000000001</v>
      </c>
      <c r="N158" s="76" t="s">
        <v>25</v>
      </c>
      <c r="O158" s="76" t="s">
        <v>25</v>
      </c>
      <c r="P158" s="76">
        <v>0</v>
      </c>
      <c r="Q158" s="76">
        <v>0</v>
      </c>
      <c r="R158" s="76" t="s">
        <v>555</v>
      </c>
      <c r="S158" s="76"/>
    </row>
    <row r="159" spans="1:19" x14ac:dyDescent="0.3">
      <c r="A159" s="76">
        <v>167</v>
      </c>
      <c r="B159" s="76" t="s">
        <v>556</v>
      </c>
      <c r="C159" s="76" t="s">
        <v>55</v>
      </c>
      <c r="D159" s="76" t="s">
        <v>21</v>
      </c>
      <c r="E159" s="76" t="s">
        <v>22</v>
      </c>
      <c r="F159" s="77">
        <v>44926</v>
      </c>
      <c r="G159" s="76">
        <v>2022</v>
      </c>
      <c r="H159" s="76" t="s">
        <v>27</v>
      </c>
      <c r="I159" s="76" t="s">
        <v>28</v>
      </c>
      <c r="J159" s="76">
        <v>80</v>
      </c>
      <c r="K159" s="76">
        <v>64.73</v>
      </c>
      <c r="L159" s="78">
        <f t="shared" si="16"/>
        <v>0.80912500000000009</v>
      </c>
      <c r="M159" s="78">
        <f t="shared" si="17"/>
        <v>0.80912500000000009</v>
      </c>
      <c r="N159" s="76" t="s">
        <v>25</v>
      </c>
      <c r="O159" s="76" t="s">
        <v>25</v>
      </c>
      <c r="P159" s="76">
        <v>0</v>
      </c>
      <c r="Q159" s="76">
        <v>0</v>
      </c>
      <c r="R159" s="76" t="s">
        <v>559</v>
      </c>
      <c r="S159" s="76"/>
    </row>
    <row r="160" spans="1:19" x14ac:dyDescent="0.3">
      <c r="A160" s="76">
        <v>167</v>
      </c>
      <c r="B160" s="76" t="s">
        <v>556</v>
      </c>
      <c r="C160" s="76" t="s">
        <v>55</v>
      </c>
      <c r="D160" s="76" t="s">
        <v>21</v>
      </c>
      <c r="E160" s="76" t="s">
        <v>22</v>
      </c>
      <c r="F160" s="77">
        <v>45291</v>
      </c>
      <c r="G160" s="76">
        <v>2023</v>
      </c>
      <c r="H160" s="76" t="s">
        <v>27</v>
      </c>
      <c r="I160" s="76" t="s">
        <v>32</v>
      </c>
      <c r="J160" s="76">
        <v>80</v>
      </c>
      <c r="K160" s="76">
        <v>96.925000000000011</v>
      </c>
      <c r="L160" s="78">
        <f t="shared" si="16"/>
        <v>1.2115625000000001</v>
      </c>
      <c r="M160" s="78">
        <f t="shared" si="17"/>
        <v>1.2115625000000001</v>
      </c>
      <c r="N160" s="76" t="s">
        <v>25</v>
      </c>
      <c r="O160" s="76" t="s">
        <v>25</v>
      </c>
      <c r="P160" s="76">
        <v>0</v>
      </c>
      <c r="Q160" s="76">
        <v>0</v>
      </c>
      <c r="R160" s="76" t="s">
        <v>561</v>
      </c>
      <c r="S160" s="76"/>
    </row>
    <row r="161" spans="1:19" x14ac:dyDescent="0.3">
      <c r="A161" s="76">
        <v>167</v>
      </c>
      <c r="B161" s="76" t="s">
        <v>556</v>
      </c>
      <c r="C161" s="76" t="s">
        <v>55</v>
      </c>
      <c r="D161" s="76" t="s">
        <v>21</v>
      </c>
      <c r="E161" s="76" t="s">
        <v>22</v>
      </c>
      <c r="F161" s="77">
        <v>45657</v>
      </c>
      <c r="G161" s="76">
        <v>2024</v>
      </c>
      <c r="H161" s="76" t="s">
        <v>27</v>
      </c>
      <c r="I161" s="76" t="s">
        <v>36</v>
      </c>
      <c r="J161" s="76">
        <v>85</v>
      </c>
      <c r="K161" s="76">
        <v>96.83</v>
      </c>
      <c r="L161" s="78">
        <f t="shared" si="16"/>
        <v>1.1391764705882352</v>
      </c>
      <c r="M161" s="78">
        <f t="shared" si="17"/>
        <v>1.1391764705882352</v>
      </c>
      <c r="N161" s="76" t="s">
        <v>25</v>
      </c>
      <c r="O161" s="76" t="s">
        <v>25</v>
      </c>
      <c r="P161" s="76">
        <v>0</v>
      </c>
      <c r="Q161" s="76">
        <v>0</v>
      </c>
      <c r="R161" s="76" t="s">
        <v>563</v>
      </c>
      <c r="S161" s="76"/>
    </row>
    <row r="162" spans="1:19" x14ac:dyDescent="0.3">
      <c r="A162" s="76">
        <v>172</v>
      </c>
      <c r="B162" s="76" t="s">
        <v>564</v>
      </c>
      <c r="C162" s="76" t="s">
        <v>258</v>
      </c>
      <c r="D162" s="76" t="s">
        <v>73</v>
      </c>
      <c r="E162" s="76" t="s">
        <v>22</v>
      </c>
      <c r="F162" s="77">
        <v>44926</v>
      </c>
      <c r="G162" s="76">
        <v>2022</v>
      </c>
      <c r="H162" s="76" t="s">
        <v>27</v>
      </c>
      <c r="I162" s="76" t="s">
        <v>28</v>
      </c>
      <c r="J162" s="76">
        <v>26.833333333333329</v>
      </c>
      <c r="K162" s="76">
        <v>26.416666666666671</v>
      </c>
      <c r="L162" s="78">
        <f t="shared" si="16"/>
        <v>0.98447204968944135</v>
      </c>
      <c r="M162" s="78">
        <f t="shared" si="17"/>
        <v>0.98447204968944135</v>
      </c>
      <c r="N162" s="76" t="s">
        <v>25</v>
      </c>
      <c r="O162" s="76" t="s">
        <v>25</v>
      </c>
      <c r="P162" s="76">
        <v>0</v>
      </c>
      <c r="Q162" s="76">
        <v>0</v>
      </c>
      <c r="R162" s="76" t="s">
        <v>576</v>
      </c>
      <c r="S162" s="76"/>
    </row>
    <row r="163" spans="1:19" x14ac:dyDescent="0.3">
      <c r="A163" s="76">
        <v>172</v>
      </c>
      <c r="B163" s="76" t="s">
        <v>564</v>
      </c>
      <c r="C163" s="76" t="s">
        <v>258</v>
      </c>
      <c r="D163" s="76" t="s">
        <v>73</v>
      </c>
      <c r="E163" s="76" t="s">
        <v>22</v>
      </c>
      <c r="F163" s="77">
        <v>45291</v>
      </c>
      <c r="G163" s="76">
        <v>2023</v>
      </c>
      <c r="H163" s="76" t="s">
        <v>27</v>
      </c>
      <c r="I163" s="76" t="s">
        <v>32</v>
      </c>
      <c r="J163" s="76">
        <v>24.18181818181818</v>
      </c>
      <c r="K163" s="76">
        <v>23.09090909090909</v>
      </c>
      <c r="L163" s="78">
        <f t="shared" si="16"/>
        <v>0.95488721804511278</v>
      </c>
      <c r="M163" s="78">
        <f t="shared" si="17"/>
        <v>0.95488721804511278</v>
      </c>
      <c r="N163" s="76" t="s">
        <v>25</v>
      </c>
      <c r="O163" s="76" t="s">
        <v>25</v>
      </c>
      <c r="P163" s="76">
        <v>0</v>
      </c>
      <c r="Q163" s="76">
        <v>0</v>
      </c>
      <c r="R163" s="76" t="s">
        <v>587</v>
      </c>
      <c r="S163" s="76"/>
    </row>
    <row r="164" spans="1:19" x14ac:dyDescent="0.3">
      <c r="A164" s="76">
        <v>172</v>
      </c>
      <c r="B164" s="76" t="s">
        <v>564</v>
      </c>
      <c r="C164" s="76" t="s">
        <v>258</v>
      </c>
      <c r="D164" s="76" t="s">
        <v>73</v>
      </c>
      <c r="E164" s="76" t="s">
        <v>22</v>
      </c>
      <c r="F164" s="77">
        <v>45657</v>
      </c>
      <c r="G164" s="76">
        <v>2024</v>
      </c>
      <c r="H164" s="76" t="s">
        <v>27</v>
      </c>
      <c r="I164" s="76" t="s">
        <v>36</v>
      </c>
      <c r="J164" s="76">
        <v>19.083333333333329</v>
      </c>
      <c r="K164" s="76">
        <v>17.916666666666671</v>
      </c>
      <c r="L164" s="78">
        <f t="shared" si="16"/>
        <v>0.93886462882096122</v>
      </c>
      <c r="M164" s="78">
        <f t="shared" si="17"/>
        <v>0.93886462882096122</v>
      </c>
      <c r="N164" s="76" t="s">
        <v>25</v>
      </c>
      <c r="O164" s="76" t="s">
        <v>25</v>
      </c>
      <c r="P164" s="76">
        <v>0</v>
      </c>
      <c r="Q164" s="76">
        <v>0</v>
      </c>
      <c r="R164" s="76" t="s">
        <v>599</v>
      </c>
      <c r="S164" s="76"/>
    </row>
    <row r="165" spans="1:19" x14ac:dyDescent="0.3">
      <c r="A165" s="37">
        <v>174</v>
      </c>
      <c r="B165" s="37" t="s">
        <v>600</v>
      </c>
      <c r="C165" s="37" t="s">
        <v>258</v>
      </c>
      <c r="D165" s="37" t="s">
        <v>21</v>
      </c>
      <c r="E165" s="37" t="s">
        <v>22</v>
      </c>
      <c r="F165" s="42">
        <v>45291</v>
      </c>
      <c r="G165" s="37">
        <v>2023</v>
      </c>
      <c r="H165" s="37" t="s">
        <v>27</v>
      </c>
      <c r="I165" s="39" t="s">
        <v>32</v>
      </c>
      <c r="J165" s="37">
        <v>95</v>
      </c>
      <c r="K165" s="37">
        <v>100</v>
      </c>
      <c r="L165" s="65">
        <f t="shared" si="16"/>
        <v>1.0526315789473684</v>
      </c>
      <c r="M165" s="65">
        <f t="shared" si="17"/>
        <v>1.0526315789473684</v>
      </c>
      <c r="N165" s="37" t="s">
        <v>25</v>
      </c>
      <c r="O165" s="37" t="s">
        <v>25</v>
      </c>
      <c r="P165" s="37">
        <v>0</v>
      </c>
      <c r="Q165" s="37">
        <v>0</v>
      </c>
      <c r="R165" s="37" t="s">
        <v>602</v>
      </c>
      <c r="S165" s="37"/>
    </row>
    <row r="166" spans="1:19" x14ac:dyDescent="0.3">
      <c r="A166" s="37">
        <v>174</v>
      </c>
      <c r="B166" s="37" t="s">
        <v>600</v>
      </c>
      <c r="C166" s="37" t="s">
        <v>258</v>
      </c>
      <c r="D166" s="37" t="s">
        <v>21</v>
      </c>
      <c r="E166" s="37" t="s">
        <v>22</v>
      </c>
      <c r="F166" s="42">
        <v>45657</v>
      </c>
      <c r="G166" s="37">
        <v>2024</v>
      </c>
      <c r="H166" s="37" t="s">
        <v>27</v>
      </c>
      <c r="I166" s="39" t="s">
        <v>36</v>
      </c>
      <c r="J166" s="37">
        <v>95</v>
      </c>
      <c r="K166" s="37"/>
      <c r="L166" s="65"/>
      <c r="M166" s="65"/>
      <c r="N166" s="37" t="s">
        <v>25</v>
      </c>
      <c r="O166" s="37" t="s">
        <v>25</v>
      </c>
      <c r="P166" s="37">
        <v>0</v>
      </c>
      <c r="Q166" s="37">
        <v>0</v>
      </c>
      <c r="R166" s="37" t="s">
        <v>3503</v>
      </c>
      <c r="S166" s="37"/>
    </row>
    <row r="167" spans="1:19" x14ac:dyDescent="0.3">
      <c r="A167" s="37">
        <v>176</v>
      </c>
      <c r="B167" s="37" t="s">
        <v>603</v>
      </c>
      <c r="C167" s="37" t="s">
        <v>258</v>
      </c>
      <c r="D167" s="37" t="s">
        <v>73</v>
      </c>
      <c r="E167" s="37" t="s">
        <v>22</v>
      </c>
      <c r="F167" s="42">
        <v>45291</v>
      </c>
      <c r="G167" s="37">
        <v>2023</v>
      </c>
      <c r="H167" s="37" t="s">
        <v>27</v>
      </c>
      <c r="I167" s="39" t="s">
        <v>32</v>
      </c>
      <c r="J167" s="37">
        <v>80</v>
      </c>
      <c r="K167" s="37">
        <v>81.37</v>
      </c>
      <c r="L167" s="65">
        <f t="shared" ref="L167:L180" si="18">IFERROR(IF(OR(J167=0,K167=""),"",IF(E167="Positivo",MIN(MAX(K167/J167,0),1.3),MIN(MAX(J167/K167,0),1.3))),"")</f>
        <v>1.0171250000000001</v>
      </c>
      <c r="M167" s="65">
        <f t="shared" ref="M167:M180" si="19">IFERROR(IF(OR(J167=0,K167=""),"",IF(E167="Positivo",MAX(K167/J167,0),MAX(J167/K167,0))),"")</f>
        <v>1.0171250000000001</v>
      </c>
      <c r="N167" s="37" t="s">
        <v>25</v>
      </c>
      <c r="O167" s="37" t="s">
        <v>25</v>
      </c>
      <c r="P167" s="37">
        <v>0</v>
      </c>
      <c r="Q167" s="37">
        <v>0</v>
      </c>
      <c r="R167" s="37" t="s">
        <v>612</v>
      </c>
      <c r="S167" s="37"/>
    </row>
    <row r="168" spans="1:19" x14ac:dyDescent="0.3">
      <c r="A168" s="37">
        <v>176</v>
      </c>
      <c r="B168" s="37" t="s">
        <v>603</v>
      </c>
      <c r="C168" s="37" t="s">
        <v>258</v>
      </c>
      <c r="D168" s="37" t="s">
        <v>73</v>
      </c>
      <c r="E168" s="37" t="s">
        <v>22</v>
      </c>
      <c r="F168" s="42">
        <v>45657</v>
      </c>
      <c r="G168" s="37">
        <v>2024</v>
      </c>
      <c r="H168" s="37" t="s">
        <v>27</v>
      </c>
      <c r="I168" s="39" t="s">
        <v>36</v>
      </c>
      <c r="J168" s="37">
        <v>85</v>
      </c>
      <c r="K168" s="37">
        <v>89.08</v>
      </c>
      <c r="L168" s="65">
        <f t="shared" si="18"/>
        <v>1.048</v>
      </c>
      <c r="M168" s="65">
        <f t="shared" si="19"/>
        <v>1.048</v>
      </c>
      <c r="N168" s="37" t="s">
        <v>25</v>
      </c>
      <c r="O168" s="37" t="s">
        <v>25</v>
      </c>
      <c r="P168" s="37">
        <v>0</v>
      </c>
      <c r="Q168" s="37">
        <v>0</v>
      </c>
      <c r="R168" s="37" t="s">
        <v>3504</v>
      </c>
      <c r="S168" s="37"/>
    </row>
    <row r="169" spans="1:19" x14ac:dyDescent="0.3">
      <c r="A169" s="37">
        <v>193</v>
      </c>
      <c r="B169" s="12" t="s">
        <v>3549</v>
      </c>
      <c r="C169" s="37" t="s">
        <v>625</v>
      </c>
      <c r="D169" s="37" t="s">
        <v>21</v>
      </c>
      <c r="E169" s="37" t="s">
        <v>22</v>
      </c>
      <c r="F169" s="38">
        <v>44926</v>
      </c>
      <c r="G169" s="40">
        <v>2022</v>
      </c>
      <c r="H169" s="39" t="s">
        <v>27</v>
      </c>
      <c r="I169" s="39" t="s">
        <v>28</v>
      </c>
      <c r="J169" s="37">
        <v>76</v>
      </c>
      <c r="K169" s="37">
        <v>92.4</v>
      </c>
      <c r="L169" s="65">
        <f t="shared" si="18"/>
        <v>1.2157894736842105</v>
      </c>
      <c r="M169" s="65">
        <f t="shared" si="19"/>
        <v>1.2157894736842105</v>
      </c>
      <c r="N169" s="37" t="s">
        <v>25</v>
      </c>
      <c r="O169" s="37" t="s">
        <v>25</v>
      </c>
      <c r="P169" s="37">
        <v>1</v>
      </c>
      <c r="Q169" s="37">
        <v>1</v>
      </c>
      <c r="R169" s="37" t="s">
        <v>627</v>
      </c>
      <c r="S169" s="37"/>
    </row>
    <row r="170" spans="1:19" x14ac:dyDescent="0.3">
      <c r="A170" s="76">
        <v>193</v>
      </c>
      <c r="B170" s="76" t="s">
        <v>632</v>
      </c>
      <c r="C170" s="76" t="s">
        <v>625</v>
      </c>
      <c r="D170" s="76" t="s">
        <v>21</v>
      </c>
      <c r="E170" s="76" t="s">
        <v>22</v>
      </c>
      <c r="F170" s="77">
        <v>45291</v>
      </c>
      <c r="G170" s="76">
        <v>2023</v>
      </c>
      <c r="H170" s="76" t="s">
        <v>27</v>
      </c>
      <c r="I170" s="76" t="s">
        <v>32</v>
      </c>
      <c r="J170" s="76">
        <v>92</v>
      </c>
      <c r="K170" s="76">
        <v>91.599839914621001</v>
      </c>
      <c r="L170" s="78">
        <f t="shared" si="18"/>
        <v>0.99565043385457608</v>
      </c>
      <c r="M170" s="78">
        <f t="shared" si="19"/>
        <v>0.99565043385457608</v>
      </c>
      <c r="N170" s="76" t="s">
        <v>25</v>
      </c>
      <c r="O170" s="76" t="s">
        <v>25</v>
      </c>
      <c r="P170" s="76">
        <v>0</v>
      </c>
      <c r="Q170" s="76">
        <v>0</v>
      </c>
      <c r="R170" s="76" t="s">
        <v>629</v>
      </c>
      <c r="S170" s="76"/>
    </row>
    <row r="171" spans="1:19" x14ac:dyDescent="0.3">
      <c r="A171" s="76">
        <v>193</v>
      </c>
      <c r="B171" s="76" t="s">
        <v>632</v>
      </c>
      <c r="C171" s="76" t="s">
        <v>625</v>
      </c>
      <c r="D171" s="76" t="s">
        <v>21</v>
      </c>
      <c r="E171" s="76" t="s">
        <v>22</v>
      </c>
      <c r="F171" s="77">
        <v>45657</v>
      </c>
      <c r="G171" s="76">
        <v>2024</v>
      </c>
      <c r="H171" s="76" t="s">
        <v>27</v>
      </c>
      <c r="I171" s="76" t="s">
        <v>36</v>
      </c>
      <c r="J171" s="76">
        <v>90</v>
      </c>
      <c r="K171" s="76">
        <v>92.600115381012799</v>
      </c>
      <c r="L171" s="78">
        <f t="shared" si="18"/>
        <v>1.0288901709001421</v>
      </c>
      <c r="M171" s="78">
        <f t="shared" si="19"/>
        <v>1.0288901709001421</v>
      </c>
      <c r="N171" s="76" t="s">
        <v>25</v>
      </c>
      <c r="O171" s="76" t="s">
        <v>25</v>
      </c>
      <c r="P171" s="76">
        <v>0</v>
      </c>
      <c r="Q171" s="76">
        <v>0</v>
      </c>
      <c r="R171" s="76" t="s">
        <v>631</v>
      </c>
      <c r="S171" s="76"/>
    </row>
    <row r="172" spans="1:19" x14ac:dyDescent="0.3">
      <c r="A172" s="37">
        <v>194</v>
      </c>
      <c r="B172" s="37" t="s">
        <v>633</v>
      </c>
      <c r="C172" s="37" t="s">
        <v>625</v>
      </c>
      <c r="D172" s="37" t="s">
        <v>21</v>
      </c>
      <c r="E172" s="37" t="s">
        <v>22</v>
      </c>
      <c r="F172" s="38">
        <v>44926</v>
      </c>
      <c r="G172" s="40">
        <v>2022</v>
      </c>
      <c r="H172" s="39" t="s">
        <v>27</v>
      </c>
      <c r="I172" s="39" t="s">
        <v>28</v>
      </c>
      <c r="J172" s="37">
        <v>73</v>
      </c>
      <c r="K172" s="37">
        <v>83.11</v>
      </c>
      <c r="L172" s="65">
        <f t="shared" si="18"/>
        <v>1.1384931506849314</v>
      </c>
      <c r="M172" s="65">
        <f t="shared" si="19"/>
        <v>1.1384931506849314</v>
      </c>
      <c r="N172" s="37" t="s">
        <v>25</v>
      </c>
      <c r="O172" s="37" t="s">
        <v>25</v>
      </c>
      <c r="P172" s="37">
        <v>0</v>
      </c>
      <c r="Q172" s="37">
        <v>0</v>
      </c>
      <c r="R172" s="37" t="s">
        <v>635</v>
      </c>
      <c r="S172" s="37"/>
    </row>
    <row r="173" spans="1:19" x14ac:dyDescent="0.3">
      <c r="A173" s="37">
        <v>194</v>
      </c>
      <c r="B173" s="37" t="s">
        <v>633</v>
      </c>
      <c r="C173" s="37" t="s">
        <v>625</v>
      </c>
      <c r="D173" s="37" t="s">
        <v>21</v>
      </c>
      <c r="E173" s="37" t="s">
        <v>22</v>
      </c>
      <c r="F173" s="42">
        <v>45291</v>
      </c>
      <c r="G173" s="37">
        <v>2023</v>
      </c>
      <c r="H173" s="37" t="s">
        <v>27</v>
      </c>
      <c r="I173" s="39" t="s">
        <v>32</v>
      </c>
      <c r="J173" s="37">
        <v>80</v>
      </c>
      <c r="K173" s="37">
        <v>81.91</v>
      </c>
      <c r="L173" s="65">
        <f t="shared" si="18"/>
        <v>1.0238749999999999</v>
      </c>
      <c r="M173" s="65">
        <f t="shared" si="19"/>
        <v>1.0238749999999999</v>
      </c>
      <c r="N173" s="37" t="s">
        <v>25</v>
      </c>
      <c r="O173" s="37" t="s">
        <v>25</v>
      </c>
      <c r="P173" s="37">
        <v>0</v>
      </c>
      <c r="Q173" s="37">
        <v>0</v>
      </c>
      <c r="R173" s="37" t="s">
        <v>637</v>
      </c>
      <c r="S173" s="37"/>
    </row>
    <row r="174" spans="1:19" x14ac:dyDescent="0.3">
      <c r="A174" s="37">
        <v>194</v>
      </c>
      <c r="B174" s="37" t="s">
        <v>633</v>
      </c>
      <c r="C174" s="37" t="s">
        <v>625</v>
      </c>
      <c r="D174" s="37" t="s">
        <v>21</v>
      </c>
      <c r="E174" s="37" t="s">
        <v>22</v>
      </c>
      <c r="F174" s="42">
        <v>45657</v>
      </c>
      <c r="G174" s="40">
        <v>2024</v>
      </c>
      <c r="H174" s="39" t="s">
        <v>27</v>
      </c>
      <c r="I174" s="39" t="s">
        <v>36</v>
      </c>
      <c r="J174" s="37">
        <v>81</v>
      </c>
      <c r="K174" s="37">
        <v>89</v>
      </c>
      <c r="L174" s="65">
        <f t="shared" si="18"/>
        <v>1.0987654320987654</v>
      </c>
      <c r="M174" s="65">
        <f t="shared" si="19"/>
        <v>1.0987654320987654</v>
      </c>
      <c r="N174" s="37" t="s">
        <v>25</v>
      </c>
      <c r="O174" s="37" t="s">
        <v>25</v>
      </c>
      <c r="P174" s="37">
        <v>0</v>
      </c>
      <c r="Q174" s="37">
        <v>0</v>
      </c>
      <c r="R174" s="37" t="s">
        <v>639</v>
      </c>
      <c r="S174" s="37"/>
    </row>
    <row r="175" spans="1:19" x14ac:dyDescent="0.3">
      <c r="A175" s="37">
        <v>196</v>
      </c>
      <c r="B175" s="37" t="s">
        <v>645</v>
      </c>
      <c r="C175" s="37" t="s">
        <v>625</v>
      </c>
      <c r="D175" s="37" t="s">
        <v>21</v>
      </c>
      <c r="E175" s="37" t="s">
        <v>56</v>
      </c>
      <c r="F175" s="42">
        <v>45291</v>
      </c>
      <c r="G175" s="37">
        <v>2023</v>
      </c>
      <c r="H175" s="37" t="s">
        <v>27</v>
      </c>
      <c r="I175" s="39" t="s">
        <v>32</v>
      </c>
      <c r="J175" s="37">
        <v>37</v>
      </c>
      <c r="K175" s="37">
        <v>26.62</v>
      </c>
      <c r="L175" s="65">
        <f t="shared" si="18"/>
        <v>1.3</v>
      </c>
      <c r="M175" s="65">
        <f t="shared" si="19"/>
        <v>1.3899323816679188</v>
      </c>
      <c r="N175" s="37" t="s">
        <v>25</v>
      </c>
      <c r="O175" s="37" t="s">
        <v>25</v>
      </c>
      <c r="P175" s="37">
        <v>0</v>
      </c>
      <c r="Q175" s="37">
        <v>0</v>
      </c>
      <c r="R175" s="37" t="s">
        <v>647</v>
      </c>
      <c r="S175" s="37"/>
    </row>
    <row r="176" spans="1:19" x14ac:dyDescent="0.3">
      <c r="A176" s="76">
        <v>197</v>
      </c>
      <c r="B176" s="76" t="s">
        <v>648</v>
      </c>
      <c r="C176" s="76" t="s">
        <v>224</v>
      </c>
      <c r="D176" s="76" t="s">
        <v>39</v>
      </c>
      <c r="E176" s="76" t="s">
        <v>22</v>
      </c>
      <c r="F176" s="77">
        <v>44926</v>
      </c>
      <c r="G176" s="76">
        <v>2022</v>
      </c>
      <c r="H176" s="76" t="s">
        <v>27</v>
      </c>
      <c r="I176" s="76" t="s">
        <v>28</v>
      </c>
      <c r="J176" s="76">
        <v>43.5</v>
      </c>
      <c r="K176" s="76">
        <v>43.5</v>
      </c>
      <c r="L176" s="78">
        <f t="shared" si="18"/>
        <v>1</v>
      </c>
      <c r="M176" s="78">
        <f t="shared" si="19"/>
        <v>1</v>
      </c>
      <c r="N176" s="76" t="s">
        <v>25</v>
      </c>
      <c r="O176" s="76" t="s">
        <v>25</v>
      </c>
      <c r="P176" s="76">
        <v>0</v>
      </c>
      <c r="Q176" s="76">
        <v>0</v>
      </c>
      <c r="R176" s="76" t="s">
        <v>652</v>
      </c>
      <c r="S176" s="76"/>
    </row>
    <row r="177" spans="1:19" x14ac:dyDescent="0.3">
      <c r="A177" s="76">
        <v>197</v>
      </c>
      <c r="B177" s="76" t="s">
        <v>648</v>
      </c>
      <c r="C177" s="76" t="s">
        <v>224</v>
      </c>
      <c r="D177" s="76" t="s">
        <v>39</v>
      </c>
      <c r="E177" s="76" t="s">
        <v>22</v>
      </c>
      <c r="F177" s="77">
        <v>45291</v>
      </c>
      <c r="G177" s="76">
        <v>2023</v>
      </c>
      <c r="H177" s="76" t="s">
        <v>27</v>
      </c>
      <c r="I177" s="76" t="s">
        <v>32</v>
      </c>
      <c r="J177" s="76">
        <v>40.25</v>
      </c>
      <c r="K177" s="76">
        <v>40.25</v>
      </c>
      <c r="L177" s="78">
        <f t="shared" si="18"/>
        <v>1</v>
      </c>
      <c r="M177" s="78">
        <f t="shared" si="19"/>
        <v>1</v>
      </c>
      <c r="N177" s="76" t="s">
        <v>25</v>
      </c>
      <c r="O177" s="76" t="s">
        <v>25</v>
      </c>
      <c r="P177" s="76">
        <v>0</v>
      </c>
      <c r="Q177" s="76">
        <v>0</v>
      </c>
      <c r="R177" s="76" t="s">
        <v>656</v>
      </c>
      <c r="S177" s="76"/>
    </row>
    <row r="178" spans="1:19" x14ac:dyDescent="0.3">
      <c r="A178" s="76">
        <v>197</v>
      </c>
      <c r="B178" s="76" t="s">
        <v>648</v>
      </c>
      <c r="C178" s="76" t="s">
        <v>224</v>
      </c>
      <c r="D178" s="76" t="s">
        <v>39</v>
      </c>
      <c r="E178" s="76" t="s">
        <v>22</v>
      </c>
      <c r="F178" s="77">
        <v>45657</v>
      </c>
      <c r="G178" s="76">
        <v>2024</v>
      </c>
      <c r="H178" s="76" t="s">
        <v>27</v>
      </c>
      <c r="I178" s="76" t="s">
        <v>36</v>
      </c>
      <c r="J178" s="76">
        <v>38.75</v>
      </c>
      <c r="K178" s="76">
        <v>38.75</v>
      </c>
      <c r="L178" s="78">
        <f t="shared" si="18"/>
        <v>1</v>
      </c>
      <c r="M178" s="78">
        <f t="shared" si="19"/>
        <v>1</v>
      </c>
      <c r="N178" s="76" t="s">
        <v>25</v>
      </c>
      <c r="O178" s="76" t="s">
        <v>25</v>
      </c>
      <c r="P178" s="76">
        <v>0</v>
      </c>
      <c r="Q178" s="76">
        <v>0</v>
      </c>
      <c r="R178" s="76" t="s">
        <v>660</v>
      </c>
      <c r="S178" s="76"/>
    </row>
    <row r="179" spans="1:19" x14ac:dyDescent="0.3">
      <c r="A179" s="76">
        <v>199</v>
      </c>
      <c r="B179" s="76" t="s">
        <v>661</v>
      </c>
      <c r="C179" s="76" t="s">
        <v>55</v>
      </c>
      <c r="D179" s="76" t="s">
        <v>21</v>
      </c>
      <c r="E179" s="76" t="s">
        <v>22</v>
      </c>
      <c r="F179" s="77">
        <v>45291</v>
      </c>
      <c r="G179" s="76">
        <v>2023</v>
      </c>
      <c r="H179" s="76" t="s">
        <v>27</v>
      </c>
      <c r="I179" s="76" t="s">
        <v>32</v>
      </c>
      <c r="J179" s="76">
        <v>95</v>
      </c>
      <c r="K179" s="76">
        <v>87.668333333333493</v>
      </c>
      <c r="L179" s="78">
        <f t="shared" si="18"/>
        <v>0.92282456140351043</v>
      </c>
      <c r="M179" s="78">
        <f t="shared" si="19"/>
        <v>0.92282456140351043</v>
      </c>
      <c r="N179" s="76" t="s">
        <v>25</v>
      </c>
      <c r="O179" s="76" t="s">
        <v>25</v>
      </c>
      <c r="P179" s="76">
        <v>0</v>
      </c>
      <c r="Q179" s="76">
        <v>0</v>
      </c>
      <c r="R179" s="76" t="s">
        <v>665</v>
      </c>
      <c r="S179" s="76"/>
    </row>
    <row r="180" spans="1:19" x14ac:dyDescent="0.3">
      <c r="A180" s="76">
        <v>199</v>
      </c>
      <c r="B180" s="76" t="s">
        <v>661</v>
      </c>
      <c r="C180" s="76" t="s">
        <v>55</v>
      </c>
      <c r="D180" s="76" t="s">
        <v>21</v>
      </c>
      <c r="E180" s="76" t="s">
        <v>22</v>
      </c>
      <c r="F180" s="77">
        <v>45657</v>
      </c>
      <c r="G180" s="76">
        <v>2024</v>
      </c>
      <c r="H180" s="76" t="s">
        <v>27</v>
      </c>
      <c r="I180" s="76" t="s">
        <v>36</v>
      </c>
      <c r="J180" s="76">
        <v>70</v>
      </c>
      <c r="K180" s="76">
        <v>92.5</v>
      </c>
      <c r="L180" s="78">
        <f t="shared" si="18"/>
        <v>1.3</v>
      </c>
      <c r="M180" s="78">
        <f t="shared" si="19"/>
        <v>1.3214285714285714</v>
      </c>
      <c r="N180" s="76" t="s">
        <v>25</v>
      </c>
      <c r="O180" s="76" t="s">
        <v>25</v>
      </c>
      <c r="P180" s="76">
        <v>0</v>
      </c>
      <c r="Q180" s="76">
        <v>0</v>
      </c>
      <c r="R180" s="76" t="s">
        <v>667</v>
      </c>
      <c r="S180" s="76"/>
    </row>
    <row r="181" spans="1:19" x14ac:dyDescent="0.3">
      <c r="A181" s="76">
        <v>200</v>
      </c>
      <c r="B181" s="76" t="s">
        <v>668</v>
      </c>
      <c r="C181" s="76" t="s">
        <v>55</v>
      </c>
      <c r="D181" s="76" t="s">
        <v>139</v>
      </c>
      <c r="E181" s="76" t="s">
        <v>22</v>
      </c>
      <c r="F181" s="77">
        <v>44926</v>
      </c>
      <c r="G181" s="76">
        <v>2022</v>
      </c>
      <c r="H181" s="76" t="s">
        <v>27</v>
      </c>
      <c r="I181" s="76" t="s">
        <v>28</v>
      </c>
      <c r="J181" s="76">
        <v>70</v>
      </c>
      <c r="K181" s="76"/>
      <c r="L181" s="78"/>
      <c r="M181" s="78"/>
      <c r="N181" s="76" t="s">
        <v>25</v>
      </c>
      <c r="O181" s="76" t="s">
        <v>223</v>
      </c>
      <c r="P181" s="76">
        <v>0</v>
      </c>
      <c r="Q181" s="76">
        <v>0</v>
      </c>
      <c r="R181" s="76" t="s">
        <v>669</v>
      </c>
      <c r="S181" s="76" t="s">
        <v>223</v>
      </c>
    </row>
    <row r="182" spans="1:19" x14ac:dyDescent="0.3">
      <c r="A182" s="76">
        <v>200</v>
      </c>
      <c r="B182" s="76" t="s">
        <v>668</v>
      </c>
      <c r="C182" s="76" t="s">
        <v>55</v>
      </c>
      <c r="D182" s="76" t="s">
        <v>139</v>
      </c>
      <c r="E182" s="76" t="s">
        <v>22</v>
      </c>
      <c r="F182" s="77">
        <v>45291</v>
      </c>
      <c r="G182" s="76">
        <v>2023</v>
      </c>
      <c r="H182" s="76" t="s">
        <v>27</v>
      </c>
      <c r="I182" s="76" t="s">
        <v>32</v>
      </c>
      <c r="J182" s="76">
        <v>1</v>
      </c>
      <c r="K182" s="76">
        <v>90</v>
      </c>
      <c r="L182" s="78">
        <f>IFERROR(IF(OR(J182=0,K182=""),"",IF(E182="Positivo",MIN(MAX(K182/J182,0),1.3),MIN(MAX(J182/K182,0),1.3))),"")</f>
        <v>1.3</v>
      </c>
      <c r="M182" s="78">
        <f>IFERROR(IF(OR(J182=0,K182=""),"",IF(E182="Positivo",MAX(K182/J182,0),MAX(J182/K182,0))),"")</f>
        <v>90</v>
      </c>
      <c r="N182" s="76" t="s">
        <v>25</v>
      </c>
      <c r="O182" s="76" t="s">
        <v>25</v>
      </c>
      <c r="P182" s="76">
        <v>0</v>
      </c>
      <c r="Q182" s="76">
        <v>0</v>
      </c>
      <c r="R182" s="76" t="s">
        <v>671</v>
      </c>
      <c r="S182" s="76"/>
    </row>
    <row r="183" spans="1:19" x14ac:dyDescent="0.3">
      <c r="A183" s="76">
        <v>200</v>
      </c>
      <c r="B183" s="76" t="s">
        <v>668</v>
      </c>
      <c r="C183" s="76" t="s">
        <v>55</v>
      </c>
      <c r="D183" s="76" t="s">
        <v>139</v>
      </c>
      <c r="E183" s="76" t="s">
        <v>22</v>
      </c>
      <c r="F183" s="77">
        <v>45657</v>
      </c>
      <c r="G183" s="76">
        <v>2024</v>
      </c>
      <c r="H183" s="76" t="s">
        <v>27</v>
      </c>
      <c r="I183" s="76" t="s">
        <v>36</v>
      </c>
      <c r="J183" s="76">
        <v>1</v>
      </c>
      <c r="K183" s="76">
        <v>87.4</v>
      </c>
      <c r="L183" s="78">
        <f>IFERROR(IF(OR(J183=0,K183=""),"",IF(E183="Positivo",MIN(MAX(K183/J183,0),1.3),MIN(MAX(J183/K183,0),1.3))),"")</f>
        <v>1.3</v>
      </c>
      <c r="M183" s="78">
        <f>IFERROR(IF(OR(J183=0,K183=""),"",IF(E183="Positivo",MAX(K183/J183,0),MAX(J183/K183,0))),"")</f>
        <v>87.4</v>
      </c>
      <c r="N183" s="76" t="s">
        <v>25</v>
      </c>
      <c r="O183" s="76" t="s">
        <v>25</v>
      </c>
      <c r="P183" s="76">
        <v>0</v>
      </c>
      <c r="Q183" s="76">
        <v>0</v>
      </c>
      <c r="R183" s="76" t="s">
        <v>672</v>
      </c>
      <c r="S183" s="76"/>
    </row>
    <row r="184" spans="1:19" x14ac:dyDescent="0.3">
      <c r="A184" s="76">
        <v>202</v>
      </c>
      <c r="B184" s="76" t="s">
        <v>673</v>
      </c>
      <c r="C184" s="76" t="s">
        <v>55</v>
      </c>
      <c r="D184" s="76" t="s">
        <v>139</v>
      </c>
      <c r="E184" s="76" t="s">
        <v>22</v>
      </c>
      <c r="F184" s="77">
        <v>45291</v>
      </c>
      <c r="G184" s="76">
        <v>2023</v>
      </c>
      <c r="H184" s="76" t="s">
        <v>27</v>
      </c>
      <c r="I184" s="76" t="s">
        <v>32</v>
      </c>
      <c r="J184" s="76">
        <v>1</v>
      </c>
      <c r="K184" s="76">
        <v>64.7</v>
      </c>
      <c r="L184" s="78">
        <f>IFERROR(IF(OR(J184=0,K184=""),"",IF(E184="Positivo",MIN(MAX(K184/J184,0),1.3),MIN(MAX(J184/K184,0),1.3))),"")</f>
        <v>1.3</v>
      </c>
      <c r="M184" s="78">
        <f>IFERROR(IF(OR(J184=0,K184=""),"",IF(E184="Positivo",MAX(K184/J184,0),MAX(J184/K184,0))),"")</f>
        <v>64.7</v>
      </c>
      <c r="N184" s="76" t="s">
        <v>25</v>
      </c>
      <c r="O184" s="76" t="s">
        <v>25</v>
      </c>
      <c r="P184" s="76">
        <v>0</v>
      </c>
      <c r="Q184" s="76">
        <v>0</v>
      </c>
      <c r="R184" s="76" t="s">
        <v>674</v>
      </c>
      <c r="S184" s="76"/>
    </row>
    <row r="185" spans="1:19" x14ac:dyDescent="0.3">
      <c r="A185" s="76">
        <v>202</v>
      </c>
      <c r="B185" s="76" t="s">
        <v>673</v>
      </c>
      <c r="C185" s="76" t="s">
        <v>55</v>
      </c>
      <c r="D185" s="76" t="s">
        <v>139</v>
      </c>
      <c r="E185" s="76" t="s">
        <v>22</v>
      </c>
      <c r="F185" s="77">
        <v>45657</v>
      </c>
      <c r="G185" s="76">
        <v>2024</v>
      </c>
      <c r="H185" s="76" t="s">
        <v>27</v>
      </c>
      <c r="I185" s="76" t="s">
        <v>36</v>
      </c>
      <c r="J185" s="76"/>
      <c r="K185" s="76">
        <v>0</v>
      </c>
      <c r="L185" s="78"/>
      <c r="M185" s="78"/>
      <c r="N185" s="76" t="s">
        <v>25</v>
      </c>
      <c r="O185" s="76" t="s">
        <v>25</v>
      </c>
      <c r="P185" s="76">
        <v>0</v>
      </c>
      <c r="Q185" s="76">
        <v>0</v>
      </c>
      <c r="R185" s="76" t="s">
        <v>675</v>
      </c>
      <c r="S185" s="76"/>
    </row>
    <row r="186" spans="1:19" x14ac:dyDescent="0.3">
      <c r="A186" s="37">
        <v>203</v>
      </c>
      <c r="B186" s="37" t="s">
        <v>676</v>
      </c>
      <c r="C186" s="37" t="s">
        <v>210</v>
      </c>
      <c r="D186" s="37" t="s">
        <v>21</v>
      </c>
      <c r="E186" s="37" t="s">
        <v>22</v>
      </c>
      <c r="F186" s="38">
        <v>44926</v>
      </c>
      <c r="G186" s="40">
        <v>2022</v>
      </c>
      <c r="H186" s="39" t="s">
        <v>27</v>
      </c>
      <c r="I186" s="39" t="s">
        <v>28</v>
      </c>
      <c r="J186" s="59">
        <v>224440</v>
      </c>
      <c r="K186" s="59">
        <v>241706</v>
      </c>
      <c r="L186" s="65">
        <f t="shared" ref="L186:L198" si="20">IFERROR(IF(OR(J186=0,K186=""),"",IF(E186="Positivo",MIN(MAX(K186/J186,0),1.3),MIN(MAX(J186/K186,0),1.3))),"")</f>
        <v>1.0769292461236857</v>
      </c>
      <c r="M186" s="65">
        <f t="shared" ref="M186:M198" si="21">IFERROR(IF(OR(J186=0,K186=""),"",IF(E186="Positivo",MAX(K186/J186,0),MAX(J186/K186,0))),"")</f>
        <v>1.0769292461236857</v>
      </c>
      <c r="N186" s="37" t="s">
        <v>264</v>
      </c>
      <c r="O186" s="37" t="s">
        <v>264</v>
      </c>
      <c r="P186" s="37">
        <v>0</v>
      </c>
      <c r="Q186" s="37">
        <v>0</v>
      </c>
      <c r="R186" s="37" t="s">
        <v>678</v>
      </c>
      <c r="S186" s="37"/>
    </row>
    <row r="187" spans="1:19" x14ac:dyDescent="0.3">
      <c r="A187" s="76">
        <v>203</v>
      </c>
      <c r="B187" s="76" t="s">
        <v>676</v>
      </c>
      <c r="C187" s="76" t="s">
        <v>210</v>
      </c>
      <c r="D187" s="76" t="s">
        <v>21</v>
      </c>
      <c r="E187" s="76" t="s">
        <v>22</v>
      </c>
      <c r="F187" s="77">
        <v>45291</v>
      </c>
      <c r="G187" s="76">
        <v>2023</v>
      </c>
      <c r="H187" s="76" t="s">
        <v>27</v>
      </c>
      <c r="I187" s="76" t="s">
        <v>32</v>
      </c>
      <c r="J187" s="76">
        <v>95</v>
      </c>
      <c r="K187" s="76">
        <v>103.36740380481</v>
      </c>
      <c r="L187" s="78">
        <f t="shared" si="20"/>
        <v>1.0880779347874736</v>
      </c>
      <c r="M187" s="78">
        <f t="shared" si="21"/>
        <v>1.0880779347874736</v>
      </c>
      <c r="N187" s="76" t="s">
        <v>25</v>
      </c>
      <c r="O187" s="76" t="s">
        <v>25</v>
      </c>
      <c r="P187" s="76">
        <v>0</v>
      </c>
      <c r="Q187" s="76">
        <v>0</v>
      </c>
      <c r="R187" s="76" t="s">
        <v>680</v>
      </c>
      <c r="S187" s="76"/>
    </row>
    <row r="188" spans="1:19" x14ac:dyDescent="0.3">
      <c r="A188" s="76">
        <v>203</v>
      </c>
      <c r="B188" s="76" t="s">
        <v>676</v>
      </c>
      <c r="C188" s="76" t="s">
        <v>210</v>
      </c>
      <c r="D188" s="76" t="s">
        <v>21</v>
      </c>
      <c r="E188" s="76" t="s">
        <v>22</v>
      </c>
      <c r="F188" s="77">
        <v>45657</v>
      </c>
      <c r="G188" s="76">
        <v>2024</v>
      </c>
      <c r="H188" s="76" t="s">
        <v>27</v>
      </c>
      <c r="I188" s="76" t="s">
        <v>36</v>
      </c>
      <c r="J188" s="76">
        <v>95</v>
      </c>
      <c r="K188" s="76">
        <v>102.84</v>
      </c>
      <c r="L188" s="78">
        <f t="shared" si="20"/>
        <v>1.0825263157894738</v>
      </c>
      <c r="M188" s="78">
        <f t="shared" si="21"/>
        <v>1.0825263157894738</v>
      </c>
      <c r="N188" s="76" t="s">
        <v>25</v>
      </c>
      <c r="O188" s="76" t="s">
        <v>25</v>
      </c>
      <c r="P188" s="76">
        <v>0</v>
      </c>
      <c r="Q188" s="76">
        <v>0</v>
      </c>
      <c r="R188" s="76" t="s">
        <v>682</v>
      </c>
      <c r="S188" s="76"/>
    </row>
    <row r="189" spans="1:19" x14ac:dyDescent="0.3">
      <c r="A189" s="37">
        <v>204</v>
      </c>
      <c r="B189" s="37" t="s">
        <v>685</v>
      </c>
      <c r="C189" s="37" t="s">
        <v>210</v>
      </c>
      <c r="D189" s="37" t="s">
        <v>21</v>
      </c>
      <c r="E189" s="37" t="s">
        <v>22</v>
      </c>
      <c r="F189" s="38">
        <v>44925</v>
      </c>
      <c r="G189" s="40">
        <v>2022</v>
      </c>
      <c r="H189" s="39" t="s">
        <v>27</v>
      </c>
      <c r="I189" s="39" t="s">
        <v>28</v>
      </c>
      <c r="J189" s="60">
        <v>82987</v>
      </c>
      <c r="K189" s="60">
        <v>18386</v>
      </c>
      <c r="L189" s="65">
        <f t="shared" si="20"/>
        <v>0.22155277332594261</v>
      </c>
      <c r="M189" s="65">
        <f t="shared" si="21"/>
        <v>0.22155277332594261</v>
      </c>
      <c r="N189" s="37" t="s">
        <v>264</v>
      </c>
      <c r="O189" s="37" t="s">
        <v>264</v>
      </c>
      <c r="P189" s="37">
        <v>0</v>
      </c>
      <c r="Q189" s="37">
        <v>0</v>
      </c>
      <c r="R189" s="37" t="s">
        <v>687</v>
      </c>
      <c r="S189" s="37"/>
    </row>
    <row r="190" spans="1:19" x14ac:dyDescent="0.3">
      <c r="A190" s="76">
        <v>204</v>
      </c>
      <c r="B190" s="76" t="s">
        <v>685</v>
      </c>
      <c r="C190" s="76" t="s">
        <v>210</v>
      </c>
      <c r="D190" s="76" t="s">
        <v>21</v>
      </c>
      <c r="E190" s="76" t="s">
        <v>22</v>
      </c>
      <c r="F190" s="77">
        <v>45291</v>
      </c>
      <c r="G190" s="76">
        <v>2023</v>
      </c>
      <c r="H190" s="76" t="s">
        <v>27</v>
      </c>
      <c r="I190" s="76" t="s">
        <v>32</v>
      </c>
      <c r="J190" s="76">
        <v>86849199430</v>
      </c>
      <c r="K190" s="76">
        <v>141016762899</v>
      </c>
      <c r="L190" s="78">
        <f t="shared" si="20"/>
        <v>1.3</v>
      </c>
      <c r="M190" s="78">
        <f t="shared" si="21"/>
        <v>1.6236967505113133</v>
      </c>
      <c r="N190" s="76" t="s">
        <v>25</v>
      </c>
      <c r="O190" s="76" t="s">
        <v>25</v>
      </c>
      <c r="P190" s="76">
        <v>0</v>
      </c>
      <c r="Q190" s="76">
        <v>0</v>
      </c>
      <c r="R190" s="76" t="s">
        <v>689</v>
      </c>
      <c r="S190" s="76"/>
    </row>
    <row r="191" spans="1:19" x14ac:dyDescent="0.3">
      <c r="A191" s="76">
        <v>204</v>
      </c>
      <c r="B191" s="76" t="s">
        <v>685</v>
      </c>
      <c r="C191" s="76" t="s">
        <v>210</v>
      </c>
      <c r="D191" s="76" t="s">
        <v>21</v>
      </c>
      <c r="E191" s="76" t="s">
        <v>22</v>
      </c>
      <c r="F191" s="77">
        <v>45657</v>
      </c>
      <c r="G191" s="76">
        <v>2024</v>
      </c>
      <c r="H191" s="76" t="s">
        <v>27</v>
      </c>
      <c r="I191" s="76" t="s">
        <v>36</v>
      </c>
      <c r="J191" s="76">
        <v>122440821151</v>
      </c>
      <c r="K191" s="76">
        <v>176962748824</v>
      </c>
      <c r="L191" s="78">
        <f t="shared" si="20"/>
        <v>1.3</v>
      </c>
      <c r="M191" s="78">
        <f t="shared" si="21"/>
        <v>1.4452920779235945</v>
      </c>
      <c r="N191" s="76" t="s">
        <v>25</v>
      </c>
      <c r="O191" s="76" t="s">
        <v>25</v>
      </c>
      <c r="P191" s="76">
        <v>0</v>
      </c>
      <c r="Q191" s="76">
        <v>0</v>
      </c>
      <c r="R191" s="76" t="s">
        <v>691</v>
      </c>
      <c r="S191" s="76"/>
    </row>
    <row r="192" spans="1:19" x14ac:dyDescent="0.3">
      <c r="A192" s="37">
        <v>205</v>
      </c>
      <c r="B192" s="37" t="s">
        <v>692</v>
      </c>
      <c r="C192" s="37" t="s">
        <v>210</v>
      </c>
      <c r="D192" s="37" t="s">
        <v>21</v>
      </c>
      <c r="E192" s="37" t="s">
        <v>22</v>
      </c>
      <c r="F192" s="42">
        <v>44926</v>
      </c>
      <c r="G192" s="37">
        <v>2022</v>
      </c>
      <c r="H192" s="37" t="s">
        <v>27</v>
      </c>
      <c r="I192" s="39" t="s">
        <v>28</v>
      </c>
      <c r="J192" s="56">
        <v>2605</v>
      </c>
      <c r="K192" s="56">
        <v>2605</v>
      </c>
      <c r="L192" s="65">
        <f t="shared" si="20"/>
        <v>1</v>
      </c>
      <c r="M192" s="65">
        <f t="shared" si="21"/>
        <v>1</v>
      </c>
      <c r="N192" s="37" t="s">
        <v>264</v>
      </c>
      <c r="O192" s="37" t="s">
        <v>264</v>
      </c>
      <c r="P192" s="37">
        <v>0</v>
      </c>
      <c r="Q192" s="37">
        <v>0</v>
      </c>
      <c r="R192" s="37" t="s">
        <v>693</v>
      </c>
      <c r="S192" s="37"/>
    </row>
    <row r="193" spans="1:19" x14ac:dyDescent="0.3">
      <c r="A193" s="76">
        <v>205</v>
      </c>
      <c r="B193" s="76" t="s">
        <v>692</v>
      </c>
      <c r="C193" s="76" t="s">
        <v>210</v>
      </c>
      <c r="D193" s="76" t="s">
        <v>21</v>
      </c>
      <c r="E193" s="76" t="s">
        <v>22</v>
      </c>
      <c r="F193" s="77">
        <v>45291</v>
      </c>
      <c r="G193" s="76">
        <v>2023</v>
      </c>
      <c r="H193" s="76" t="s">
        <v>27</v>
      </c>
      <c r="I193" s="76" t="s">
        <v>32</v>
      </c>
      <c r="J193" s="76">
        <v>2041786671</v>
      </c>
      <c r="K193" s="76">
        <v>8708376270</v>
      </c>
      <c r="L193" s="78">
        <f t="shared" si="20"/>
        <v>1.3</v>
      </c>
      <c r="M193" s="78">
        <f t="shared" si="21"/>
        <v>4.2650764615555667</v>
      </c>
      <c r="N193" s="76" t="s">
        <v>25</v>
      </c>
      <c r="O193" s="76" t="s">
        <v>25</v>
      </c>
      <c r="P193" s="76">
        <v>0</v>
      </c>
      <c r="Q193" s="76">
        <v>0</v>
      </c>
      <c r="R193" s="76" t="s">
        <v>695</v>
      </c>
      <c r="S193" s="76"/>
    </row>
    <row r="194" spans="1:19" x14ac:dyDescent="0.3">
      <c r="A194" s="76">
        <v>205</v>
      </c>
      <c r="B194" s="76" t="s">
        <v>692</v>
      </c>
      <c r="C194" s="76" t="s">
        <v>210</v>
      </c>
      <c r="D194" s="76" t="s">
        <v>21</v>
      </c>
      <c r="E194" s="76" t="s">
        <v>22</v>
      </c>
      <c r="F194" s="77">
        <v>45657</v>
      </c>
      <c r="G194" s="76">
        <v>2024</v>
      </c>
      <c r="H194" s="76" t="s">
        <v>27</v>
      </c>
      <c r="I194" s="76" t="s">
        <v>36</v>
      </c>
      <c r="J194" s="76">
        <v>2783219654</v>
      </c>
      <c r="K194" s="76">
        <v>5141102865</v>
      </c>
      <c r="L194" s="78">
        <f t="shared" si="20"/>
        <v>1.3</v>
      </c>
      <c r="M194" s="78">
        <f t="shared" si="21"/>
        <v>1.8471782698182972</v>
      </c>
      <c r="N194" s="76" t="s">
        <v>25</v>
      </c>
      <c r="O194" s="76" t="s">
        <v>25</v>
      </c>
      <c r="P194" s="76">
        <v>0</v>
      </c>
      <c r="Q194" s="76">
        <v>0</v>
      </c>
      <c r="R194" s="76" t="s">
        <v>697</v>
      </c>
      <c r="S194" s="76"/>
    </row>
    <row r="195" spans="1:19" x14ac:dyDescent="0.3">
      <c r="A195" s="76">
        <v>206</v>
      </c>
      <c r="B195" s="76" t="s">
        <v>698</v>
      </c>
      <c r="C195" s="76" t="s">
        <v>210</v>
      </c>
      <c r="D195" s="76" t="s">
        <v>21</v>
      </c>
      <c r="E195" s="76" t="s">
        <v>22</v>
      </c>
      <c r="F195" s="77">
        <v>45291</v>
      </c>
      <c r="G195" s="76">
        <v>2023</v>
      </c>
      <c r="H195" s="76" t="s">
        <v>27</v>
      </c>
      <c r="I195" s="76" t="s">
        <v>32</v>
      </c>
      <c r="J195" s="76">
        <v>1</v>
      </c>
      <c r="K195" s="76">
        <v>4.6067902891217338</v>
      </c>
      <c r="L195" s="78">
        <f t="shared" si="20"/>
        <v>1.3</v>
      </c>
      <c r="M195" s="78">
        <f t="shared" si="21"/>
        <v>4.6067902891217338</v>
      </c>
      <c r="N195" s="76" t="s">
        <v>25</v>
      </c>
      <c r="O195" s="76" t="s">
        <v>25</v>
      </c>
      <c r="P195" s="76">
        <v>0</v>
      </c>
      <c r="Q195" s="76">
        <v>0</v>
      </c>
      <c r="R195" s="76" t="s">
        <v>700</v>
      </c>
      <c r="S195" s="76"/>
    </row>
    <row r="196" spans="1:19" x14ac:dyDescent="0.3">
      <c r="A196" s="76">
        <v>206</v>
      </c>
      <c r="B196" s="76" t="s">
        <v>698</v>
      </c>
      <c r="C196" s="76" t="s">
        <v>210</v>
      </c>
      <c r="D196" s="76" t="s">
        <v>139</v>
      </c>
      <c r="E196" s="76" t="s">
        <v>22</v>
      </c>
      <c r="F196" s="77">
        <v>45657</v>
      </c>
      <c r="G196" s="76">
        <v>2024</v>
      </c>
      <c r="H196" s="76" t="s">
        <v>27</v>
      </c>
      <c r="I196" s="76" t="s">
        <v>36</v>
      </c>
      <c r="J196" s="76">
        <v>1</v>
      </c>
      <c r="K196" s="76">
        <v>1.37</v>
      </c>
      <c r="L196" s="78">
        <f t="shared" si="20"/>
        <v>1.3</v>
      </c>
      <c r="M196" s="78">
        <f t="shared" si="21"/>
        <v>1.37</v>
      </c>
      <c r="N196" s="76" t="s">
        <v>25</v>
      </c>
      <c r="O196" s="76" t="s">
        <v>25</v>
      </c>
      <c r="P196" s="76">
        <v>0</v>
      </c>
      <c r="Q196" s="76">
        <v>0</v>
      </c>
      <c r="R196" s="76" t="s">
        <v>701</v>
      </c>
      <c r="S196" s="76"/>
    </row>
    <row r="197" spans="1:19" x14ac:dyDescent="0.3">
      <c r="A197" s="76">
        <v>207</v>
      </c>
      <c r="B197" s="76" t="s">
        <v>702</v>
      </c>
      <c r="C197" s="76" t="s">
        <v>210</v>
      </c>
      <c r="D197" s="76" t="s">
        <v>21</v>
      </c>
      <c r="E197" s="76" t="s">
        <v>56</v>
      </c>
      <c r="F197" s="77">
        <v>45291</v>
      </c>
      <c r="G197" s="76">
        <v>2023</v>
      </c>
      <c r="H197" s="76" t="s">
        <v>27</v>
      </c>
      <c r="I197" s="76" t="s">
        <v>32</v>
      </c>
      <c r="J197" s="76">
        <v>238770966572</v>
      </c>
      <c r="K197" s="76">
        <v>247359733075</v>
      </c>
      <c r="L197" s="78">
        <f t="shared" si="20"/>
        <v>0.96527823507799526</v>
      </c>
      <c r="M197" s="78">
        <f t="shared" si="21"/>
        <v>0.96527823507799526</v>
      </c>
      <c r="N197" s="76" t="s">
        <v>25</v>
      </c>
      <c r="O197" s="76" t="s">
        <v>25</v>
      </c>
      <c r="P197" s="76">
        <v>0</v>
      </c>
      <c r="Q197" s="76">
        <v>0</v>
      </c>
      <c r="R197" s="76" t="s">
        <v>704</v>
      </c>
      <c r="S197" s="76"/>
    </row>
    <row r="198" spans="1:19" x14ac:dyDescent="0.3">
      <c r="A198" s="76">
        <v>207</v>
      </c>
      <c r="B198" s="76" t="s">
        <v>702</v>
      </c>
      <c r="C198" s="76" t="s">
        <v>210</v>
      </c>
      <c r="D198" s="76" t="s">
        <v>21</v>
      </c>
      <c r="E198" s="76" t="s">
        <v>56</v>
      </c>
      <c r="F198" s="77">
        <v>45657</v>
      </c>
      <c r="G198" s="76">
        <v>2024</v>
      </c>
      <c r="H198" s="76" t="s">
        <v>27</v>
      </c>
      <c r="I198" s="76" t="s">
        <v>36</v>
      </c>
      <c r="J198" s="76">
        <v>262628344390</v>
      </c>
      <c r="K198" s="76">
        <v>268399199817</v>
      </c>
      <c r="L198" s="78">
        <f t="shared" si="20"/>
        <v>0.97849898423343029</v>
      </c>
      <c r="M198" s="78">
        <f t="shared" si="21"/>
        <v>0.97849898423343029</v>
      </c>
      <c r="N198" s="76" t="s">
        <v>25</v>
      </c>
      <c r="O198" s="76" t="s">
        <v>25</v>
      </c>
      <c r="P198" s="76">
        <v>0</v>
      </c>
      <c r="Q198" s="76">
        <v>0</v>
      </c>
      <c r="R198" s="76" t="s">
        <v>706</v>
      </c>
      <c r="S198" s="76"/>
    </row>
    <row r="199" spans="1:19" x14ac:dyDescent="0.3">
      <c r="A199" s="76">
        <v>208</v>
      </c>
      <c r="B199" s="76" t="s">
        <v>707</v>
      </c>
      <c r="C199" s="76" t="s">
        <v>251</v>
      </c>
      <c r="D199" s="76" t="s">
        <v>73</v>
      </c>
      <c r="E199" s="76" t="s">
        <v>56</v>
      </c>
      <c r="F199" s="77">
        <v>44926</v>
      </c>
      <c r="G199" s="76">
        <v>2022</v>
      </c>
      <c r="H199" s="76" t="s">
        <v>27</v>
      </c>
      <c r="I199" s="76" t="s">
        <v>28</v>
      </c>
      <c r="J199" s="76">
        <v>1700</v>
      </c>
      <c r="K199" s="76">
        <v>0</v>
      </c>
      <c r="L199" s="78" t="str">
        <f>IFERROR(IF(OR(J199=0,K199=""),"",IF(E199="Positivo",MIN(MAX(K199/J199,0),1),MIN(MAX(J199/K199,0),1))),"")</f>
        <v/>
      </c>
      <c r="M199" s="78" t="str">
        <f>IFERROR(IF(OR(J199=0,K199=""),"",IF(E199="Positivo",MIN(MAX(K199/J199,0),1),MIN(MAX(J199/K199,0),1))),"")</f>
        <v/>
      </c>
      <c r="N199" s="76" t="s">
        <v>25</v>
      </c>
      <c r="O199" s="76" t="s">
        <v>25</v>
      </c>
      <c r="P199" s="76">
        <v>0</v>
      </c>
      <c r="Q199" s="76">
        <v>0</v>
      </c>
      <c r="R199" s="76" t="s">
        <v>720</v>
      </c>
      <c r="S199" s="76"/>
    </row>
    <row r="200" spans="1:19" x14ac:dyDescent="0.3">
      <c r="A200" s="76">
        <v>208</v>
      </c>
      <c r="B200" s="76" t="s">
        <v>707</v>
      </c>
      <c r="C200" s="76" t="s">
        <v>251</v>
      </c>
      <c r="D200" s="76" t="s">
        <v>73</v>
      </c>
      <c r="E200" s="76" t="s">
        <v>56</v>
      </c>
      <c r="F200" s="77">
        <v>45291</v>
      </c>
      <c r="G200" s="76">
        <v>2023</v>
      </c>
      <c r="H200" s="76" t="s">
        <v>27</v>
      </c>
      <c r="I200" s="76" t="s">
        <v>32</v>
      </c>
      <c r="J200" s="76">
        <v>1700</v>
      </c>
      <c r="K200" s="76">
        <v>1228.3083333333329</v>
      </c>
      <c r="L200" s="78">
        <f>IFERROR(IF(OR(J200=0,K200=""),"",IF(E200="Positivo",MIN(MAX(K200/J200,0),1),MIN(MAX(J200/K200,0),1))),"")</f>
        <v>1</v>
      </c>
      <c r="M200" s="78">
        <f>IFERROR(IF(OR(J200=0,K200=""),"",IF(E200="Positivo",MIN(MAX(K200/J200,0),1),MIN(MAX(J200/K200,0),1))),"")</f>
        <v>1</v>
      </c>
      <c r="N200" s="76" t="s">
        <v>25</v>
      </c>
      <c r="O200" s="76" t="s">
        <v>25</v>
      </c>
      <c r="P200" s="76">
        <v>0</v>
      </c>
      <c r="Q200" s="76">
        <v>0</v>
      </c>
      <c r="R200" s="76" t="s">
        <v>732</v>
      </c>
      <c r="S200" s="76"/>
    </row>
    <row r="201" spans="1:19" x14ac:dyDescent="0.3">
      <c r="A201" s="76">
        <v>208</v>
      </c>
      <c r="B201" s="76" t="s">
        <v>707</v>
      </c>
      <c r="C201" s="76" t="s">
        <v>251</v>
      </c>
      <c r="D201" s="76" t="s">
        <v>73</v>
      </c>
      <c r="E201" s="76" t="s">
        <v>56</v>
      </c>
      <c r="F201" s="77">
        <v>45657</v>
      </c>
      <c r="G201" s="76">
        <v>2024</v>
      </c>
      <c r="H201" s="76" t="s">
        <v>27</v>
      </c>
      <c r="I201" s="76" t="s">
        <v>36</v>
      </c>
      <c r="J201" s="76">
        <v>1700</v>
      </c>
      <c r="K201" s="76">
        <v>1306.208333333333</v>
      </c>
      <c r="L201" s="78">
        <f>IFERROR(IF(OR(J201=0,K201=""),"",IF(E201="Positivo",MIN(MAX(K201/J201,0),1),MIN(MAX(J201/K201,0),1))),"")</f>
        <v>1</v>
      </c>
      <c r="M201" s="78">
        <f>IFERROR(IF(OR(J201=0,K201=""),"",IF(E201="Positivo",MIN(MAX(K201/J201,0),1),MIN(MAX(J201/K201,0),1))),"")</f>
        <v>1</v>
      </c>
      <c r="N201" s="76" t="s">
        <v>25</v>
      </c>
      <c r="O201" s="76" t="s">
        <v>25</v>
      </c>
      <c r="P201" s="76">
        <v>0</v>
      </c>
      <c r="Q201" s="76">
        <v>0</v>
      </c>
      <c r="R201" s="76" t="s">
        <v>744</v>
      </c>
      <c r="S201" s="76"/>
    </row>
    <row r="202" spans="1:19" x14ac:dyDescent="0.3">
      <c r="A202" s="37">
        <v>210</v>
      </c>
      <c r="B202" s="37" t="s">
        <v>3507</v>
      </c>
      <c r="C202" s="37" t="s">
        <v>251</v>
      </c>
      <c r="D202" s="37" t="s">
        <v>139</v>
      </c>
      <c r="E202" s="37" t="s">
        <v>22</v>
      </c>
      <c r="F202" s="42">
        <v>45291</v>
      </c>
      <c r="G202" s="37">
        <v>2023</v>
      </c>
      <c r="H202" s="37" t="s">
        <v>27</v>
      </c>
      <c r="I202" s="39" t="s">
        <v>32</v>
      </c>
      <c r="J202" s="37"/>
      <c r="K202" s="37"/>
      <c r="L202" s="65"/>
      <c r="M202" s="65"/>
      <c r="N202" s="37" t="s">
        <v>1078</v>
      </c>
      <c r="O202" s="37" t="s">
        <v>1078</v>
      </c>
      <c r="P202" s="37">
        <v>0</v>
      </c>
      <c r="Q202" s="37">
        <v>0</v>
      </c>
      <c r="R202" s="37" t="s">
        <v>3508</v>
      </c>
      <c r="S202" s="37"/>
    </row>
    <row r="203" spans="1:19" x14ac:dyDescent="0.3">
      <c r="A203" s="76">
        <v>213</v>
      </c>
      <c r="B203" s="76" t="s">
        <v>757</v>
      </c>
      <c r="C203" s="76" t="s">
        <v>251</v>
      </c>
      <c r="D203" s="76" t="s">
        <v>39</v>
      </c>
      <c r="E203" s="76" t="s">
        <v>22</v>
      </c>
      <c r="F203" s="77">
        <v>44926</v>
      </c>
      <c r="G203" s="76">
        <v>2022</v>
      </c>
      <c r="H203" s="76" t="s">
        <v>27</v>
      </c>
      <c r="I203" s="76" t="s">
        <v>28</v>
      </c>
      <c r="J203" s="76">
        <v>90</v>
      </c>
      <c r="K203" s="76">
        <v>0</v>
      </c>
      <c r="L203" s="78">
        <f t="shared" ref="L203:L216" si="22">IFERROR(IF(OR(J203=0,K203=""),"",IF(E203="Positivo",MIN(MAX(K203/J203,0),1.3),MIN(MAX(J203/K203,0),1.3))),"")</f>
        <v>0</v>
      </c>
      <c r="M203" s="78">
        <f t="shared" ref="M203:M216" si="23">IFERROR(IF(OR(J203=0,K203=""),"",IF(E203="Positivo",MAX(K203/J203,0),MAX(J203/K203,0))),"")</f>
        <v>0</v>
      </c>
      <c r="N203" s="76" t="s">
        <v>25</v>
      </c>
      <c r="O203" s="76" t="s">
        <v>25</v>
      </c>
      <c r="P203" s="76">
        <v>0</v>
      </c>
      <c r="Q203" s="76">
        <v>0</v>
      </c>
      <c r="R203" s="76" t="s">
        <v>761</v>
      </c>
      <c r="S203" s="76"/>
    </row>
    <row r="204" spans="1:19" x14ac:dyDescent="0.3">
      <c r="A204" s="76">
        <v>213</v>
      </c>
      <c r="B204" s="76" t="s">
        <v>757</v>
      </c>
      <c r="C204" s="76" t="s">
        <v>251</v>
      </c>
      <c r="D204" s="76" t="s">
        <v>39</v>
      </c>
      <c r="E204" s="76" t="s">
        <v>22</v>
      </c>
      <c r="F204" s="77">
        <v>45291</v>
      </c>
      <c r="G204" s="76">
        <v>2023</v>
      </c>
      <c r="H204" s="76" t="s">
        <v>27</v>
      </c>
      <c r="I204" s="76" t="s">
        <v>32</v>
      </c>
      <c r="J204" s="76">
        <v>90</v>
      </c>
      <c r="K204" s="76">
        <v>100</v>
      </c>
      <c r="L204" s="78">
        <f t="shared" si="22"/>
        <v>1.1111111111111112</v>
      </c>
      <c r="M204" s="78">
        <f t="shared" si="23"/>
        <v>1.1111111111111112</v>
      </c>
      <c r="N204" s="76" t="s">
        <v>25</v>
      </c>
      <c r="O204" s="76" t="s">
        <v>25</v>
      </c>
      <c r="P204" s="76">
        <v>0</v>
      </c>
      <c r="Q204" s="76">
        <v>0</v>
      </c>
      <c r="R204" s="76" t="s">
        <v>765</v>
      </c>
      <c r="S204" s="76"/>
    </row>
    <row r="205" spans="1:19" x14ac:dyDescent="0.3">
      <c r="A205" s="76">
        <v>213</v>
      </c>
      <c r="B205" s="76" t="s">
        <v>757</v>
      </c>
      <c r="C205" s="76" t="s">
        <v>251</v>
      </c>
      <c r="D205" s="76" t="s">
        <v>39</v>
      </c>
      <c r="E205" s="76" t="s">
        <v>22</v>
      </c>
      <c r="F205" s="77">
        <v>45657</v>
      </c>
      <c r="G205" s="76">
        <v>2024</v>
      </c>
      <c r="H205" s="76" t="s">
        <v>27</v>
      </c>
      <c r="I205" s="76" t="s">
        <v>36</v>
      </c>
      <c r="J205" s="76">
        <v>90</v>
      </c>
      <c r="K205" s="76">
        <v>100</v>
      </c>
      <c r="L205" s="78">
        <f t="shared" si="22"/>
        <v>1.1111111111111112</v>
      </c>
      <c r="M205" s="78">
        <f t="shared" si="23"/>
        <v>1.1111111111111112</v>
      </c>
      <c r="N205" s="76" t="s">
        <v>25</v>
      </c>
      <c r="O205" s="76" t="s">
        <v>25</v>
      </c>
      <c r="P205" s="76">
        <v>0</v>
      </c>
      <c r="Q205" s="76">
        <v>0</v>
      </c>
      <c r="R205" s="76" t="s">
        <v>769</v>
      </c>
      <c r="S205" s="76"/>
    </row>
    <row r="206" spans="1:19" x14ac:dyDescent="0.3">
      <c r="A206" s="76">
        <v>214</v>
      </c>
      <c r="B206" s="76" t="s">
        <v>774</v>
      </c>
      <c r="C206" s="76" t="s">
        <v>251</v>
      </c>
      <c r="D206" s="76" t="s">
        <v>21</v>
      </c>
      <c r="E206" s="76" t="s">
        <v>56</v>
      </c>
      <c r="F206" s="77">
        <v>44926</v>
      </c>
      <c r="G206" s="76">
        <v>2022</v>
      </c>
      <c r="H206" s="76" t="s">
        <v>27</v>
      </c>
      <c r="I206" s="76" t="s">
        <v>28</v>
      </c>
      <c r="J206" s="76">
        <v>90000</v>
      </c>
      <c r="K206" s="76">
        <v>0</v>
      </c>
      <c r="L206" s="78" t="str">
        <f t="shared" si="22"/>
        <v/>
      </c>
      <c r="M206" s="78" t="str">
        <f t="shared" si="23"/>
        <v/>
      </c>
      <c r="N206" s="76" t="s">
        <v>25</v>
      </c>
      <c r="O206" s="76" t="s">
        <v>25</v>
      </c>
      <c r="P206" s="76">
        <v>0</v>
      </c>
      <c r="Q206" s="76">
        <v>0</v>
      </c>
      <c r="R206" s="76" t="s">
        <v>787</v>
      </c>
      <c r="S206" s="76"/>
    </row>
    <row r="207" spans="1:19" x14ac:dyDescent="0.3">
      <c r="A207" s="76">
        <v>214</v>
      </c>
      <c r="B207" s="76" t="s">
        <v>774</v>
      </c>
      <c r="C207" s="76" t="s">
        <v>251</v>
      </c>
      <c r="D207" s="76" t="s">
        <v>73</v>
      </c>
      <c r="E207" s="76" t="s">
        <v>56</v>
      </c>
      <c r="F207" s="77">
        <v>45291</v>
      </c>
      <c r="G207" s="76">
        <v>2023</v>
      </c>
      <c r="H207" s="76" t="s">
        <v>27</v>
      </c>
      <c r="I207" s="76" t="s">
        <v>32</v>
      </c>
      <c r="J207" s="76">
        <v>90000</v>
      </c>
      <c r="K207" s="76">
        <v>44656.3</v>
      </c>
      <c r="L207" s="78">
        <f t="shared" si="22"/>
        <v>1.3</v>
      </c>
      <c r="M207" s="78">
        <f t="shared" si="23"/>
        <v>2.0153931248222534</v>
      </c>
      <c r="N207" s="76" t="s">
        <v>25</v>
      </c>
      <c r="O207" s="76" t="s">
        <v>25</v>
      </c>
      <c r="P207" s="76">
        <v>0</v>
      </c>
      <c r="Q207" s="76">
        <v>0</v>
      </c>
      <c r="R207" s="76" t="s">
        <v>799</v>
      </c>
      <c r="S207" s="76"/>
    </row>
    <row r="208" spans="1:19" x14ac:dyDescent="0.3">
      <c r="A208" s="76">
        <v>214</v>
      </c>
      <c r="B208" s="76" t="s">
        <v>774</v>
      </c>
      <c r="C208" s="76" t="s">
        <v>251</v>
      </c>
      <c r="D208" s="76" t="s">
        <v>73</v>
      </c>
      <c r="E208" s="76" t="s">
        <v>56</v>
      </c>
      <c r="F208" s="77">
        <v>45657</v>
      </c>
      <c r="G208" s="76">
        <v>2024</v>
      </c>
      <c r="H208" s="76" t="s">
        <v>27</v>
      </c>
      <c r="I208" s="76" t="s">
        <v>36</v>
      </c>
      <c r="J208" s="76">
        <v>90000</v>
      </c>
      <c r="K208" s="76">
        <v>32812.910000000003</v>
      </c>
      <c r="L208" s="78">
        <f t="shared" si="22"/>
        <v>1.3</v>
      </c>
      <c r="M208" s="78">
        <f t="shared" si="23"/>
        <v>2.7428228706323208</v>
      </c>
      <c r="N208" s="76" t="s">
        <v>25</v>
      </c>
      <c r="O208" s="76" t="s">
        <v>25</v>
      </c>
      <c r="P208" s="76">
        <v>0</v>
      </c>
      <c r="Q208" s="76">
        <v>0</v>
      </c>
      <c r="R208" s="76" t="s">
        <v>811</v>
      </c>
      <c r="S208" s="76"/>
    </row>
    <row r="209" spans="1:19" x14ac:dyDescent="0.3">
      <c r="A209" s="76">
        <v>215</v>
      </c>
      <c r="B209" s="76" t="s">
        <v>824</v>
      </c>
      <c r="C209" s="76" t="s">
        <v>251</v>
      </c>
      <c r="D209" s="76" t="s">
        <v>73</v>
      </c>
      <c r="E209" s="76" t="s">
        <v>22</v>
      </c>
      <c r="F209" s="77">
        <v>44926</v>
      </c>
      <c r="G209" s="76">
        <v>2022</v>
      </c>
      <c r="H209" s="76" t="s">
        <v>27</v>
      </c>
      <c r="I209" s="76" t="s">
        <v>28</v>
      </c>
      <c r="J209" s="76">
        <v>1</v>
      </c>
      <c r="K209" s="76">
        <v>-23.628691983122</v>
      </c>
      <c r="L209" s="78">
        <f t="shared" si="22"/>
        <v>0</v>
      </c>
      <c r="M209" s="78">
        <f t="shared" si="23"/>
        <v>0</v>
      </c>
      <c r="N209" s="76" t="s">
        <v>25</v>
      </c>
      <c r="O209" s="76" t="s">
        <v>25</v>
      </c>
      <c r="P209" s="76">
        <v>0</v>
      </c>
      <c r="Q209" s="76">
        <v>0</v>
      </c>
      <c r="R209" s="76" t="s">
        <v>828</v>
      </c>
      <c r="S209" s="76"/>
    </row>
    <row r="210" spans="1:19" x14ac:dyDescent="0.3">
      <c r="A210" s="76">
        <v>215</v>
      </c>
      <c r="B210" s="76" t="s">
        <v>824</v>
      </c>
      <c r="C210" s="76" t="s">
        <v>251</v>
      </c>
      <c r="D210" s="76" t="s">
        <v>21</v>
      </c>
      <c r="E210" s="76" t="s">
        <v>22</v>
      </c>
      <c r="F210" s="77">
        <v>45291</v>
      </c>
      <c r="G210" s="76">
        <v>2023</v>
      </c>
      <c r="H210" s="76" t="s">
        <v>27</v>
      </c>
      <c r="I210" s="76" t="s">
        <v>32</v>
      </c>
      <c r="J210" s="76">
        <v>1</v>
      </c>
      <c r="K210" s="76">
        <v>-124.72</v>
      </c>
      <c r="L210" s="78">
        <f t="shared" si="22"/>
        <v>0</v>
      </c>
      <c r="M210" s="78">
        <f t="shared" si="23"/>
        <v>0</v>
      </c>
      <c r="N210" s="76" t="s">
        <v>25</v>
      </c>
      <c r="O210" s="76" t="s">
        <v>25</v>
      </c>
      <c r="P210" s="76">
        <v>0</v>
      </c>
      <c r="Q210" s="76">
        <v>0</v>
      </c>
      <c r="R210" s="76" t="s">
        <v>830</v>
      </c>
      <c r="S210" s="76"/>
    </row>
    <row r="211" spans="1:19" x14ac:dyDescent="0.3">
      <c r="A211" s="76">
        <v>215</v>
      </c>
      <c r="B211" s="76" t="s">
        <v>824</v>
      </c>
      <c r="C211" s="76" t="s">
        <v>251</v>
      </c>
      <c r="D211" s="76" t="s">
        <v>21</v>
      </c>
      <c r="E211" s="76" t="s">
        <v>22</v>
      </c>
      <c r="F211" s="77">
        <v>45657</v>
      </c>
      <c r="G211" s="76">
        <v>2024</v>
      </c>
      <c r="H211" s="76" t="s">
        <v>27</v>
      </c>
      <c r="I211" s="76" t="s">
        <v>36</v>
      </c>
      <c r="J211" s="76">
        <v>1</v>
      </c>
      <c r="K211" s="76">
        <v>-18.824999999999999</v>
      </c>
      <c r="L211" s="78">
        <f t="shared" si="22"/>
        <v>0</v>
      </c>
      <c r="M211" s="78">
        <f t="shared" si="23"/>
        <v>0</v>
      </c>
      <c r="N211" s="76" t="s">
        <v>25</v>
      </c>
      <c r="O211" s="76" t="s">
        <v>25</v>
      </c>
      <c r="P211" s="76">
        <v>0</v>
      </c>
      <c r="Q211" s="76">
        <v>0</v>
      </c>
      <c r="R211" s="76" t="s">
        <v>832</v>
      </c>
      <c r="S211" s="76"/>
    </row>
    <row r="212" spans="1:19" x14ac:dyDescent="0.3">
      <c r="A212" s="76">
        <v>216</v>
      </c>
      <c r="B212" s="76" t="s">
        <v>835</v>
      </c>
      <c r="C212" s="76" t="s">
        <v>251</v>
      </c>
      <c r="D212" s="76" t="s">
        <v>139</v>
      </c>
      <c r="E212" s="76" t="s">
        <v>22</v>
      </c>
      <c r="F212" s="77">
        <v>44926</v>
      </c>
      <c r="G212" s="76">
        <v>2022</v>
      </c>
      <c r="H212" s="76" t="s">
        <v>27</v>
      </c>
      <c r="I212" s="76" t="s">
        <v>28</v>
      </c>
      <c r="J212" s="76">
        <v>100</v>
      </c>
      <c r="K212" s="76">
        <v>0</v>
      </c>
      <c r="L212" s="78">
        <f t="shared" si="22"/>
        <v>0</v>
      </c>
      <c r="M212" s="78">
        <f t="shared" si="23"/>
        <v>0</v>
      </c>
      <c r="N212" s="76" t="s">
        <v>25</v>
      </c>
      <c r="O212" s="76" t="s">
        <v>25</v>
      </c>
      <c r="P212" s="76">
        <v>0</v>
      </c>
      <c r="Q212" s="76">
        <v>0</v>
      </c>
      <c r="R212" s="76" t="s">
        <v>836</v>
      </c>
      <c r="S212" s="76"/>
    </row>
    <row r="213" spans="1:19" x14ac:dyDescent="0.3">
      <c r="A213" s="76">
        <v>216</v>
      </c>
      <c r="B213" s="76" t="s">
        <v>835</v>
      </c>
      <c r="C213" s="76" t="s">
        <v>251</v>
      </c>
      <c r="D213" s="76" t="s">
        <v>139</v>
      </c>
      <c r="E213" s="76" t="s">
        <v>22</v>
      </c>
      <c r="F213" s="77">
        <v>45291</v>
      </c>
      <c r="G213" s="76">
        <v>2023</v>
      </c>
      <c r="H213" s="76" t="s">
        <v>27</v>
      </c>
      <c r="I213" s="76" t="s">
        <v>32</v>
      </c>
      <c r="J213" s="76">
        <v>100</v>
      </c>
      <c r="K213" s="76">
        <v>100</v>
      </c>
      <c r="L213" s="78">
        <f t="shared" si="22"/>
        <v>1</v>
      </c>
      <c r="M213" s="78">
        <f t="shared" si="23"/>
        <v>1</v>
      </c>
      <c r="N213" s="76" t="s">
        <v>25</v>
      </c>
      <c r="O213" s="76" t="s">
        <v>25</v>
      </c>
      <c r="P213" s="76">
        <v>0</v>
      </c>
      <c r="Q213" s="76">
        <v>0</v>
      </c>
      <c r="R213" s="76" t="s">
        <v>837</v>
      </c>
      <c r="S213" s="76"/>
    </row>
    <row r="214" spans="1:19" x14ac:dyDescent="0.3">
      <c r="A214" s="76">
        <v>216</v>
      </c>
      <c r="B214" s="76" t="s">
        <v>835</v>
      </c>
      <c r="C214" s="76" t="s">
        <v>251</v>
      </c>
      <c r="D214" s="76" t="s">
        <v>139</v>
      </c>
      <c r="E214" s="76" t="s">
        <v>22</v>
      </c>
      <c r="F214" s="77">
        <v>45657</v>
      </c>
      <c r="G214" s="76">
        <v>2024</v>
      </c>
      <c r="H214" s="76" t="s">
        <v>27</v>
      </c>
      <c r="I214" s="76" t="s">
        <v>36</v>
      </c>
      <c r="J214" s="76">
        <v>100</v>
      </c>
      <c r="K214" s="76">
        <v>100</v>
      </c>
      <c r="L214" s="78">
        <f t="shared" si="22"/>
        <v>1</v>
      </c>
      <c r="M214" s="78">
        <f t="shared" si="23"/>
        <v>1</v>
      </c>
      <c r="N214" s="76" t="s">
        <v>25</v>
      </c>
      <c r="O214" s="76" t="s">
        <v>25</v>
      </c>
      <c r="P214" s="76">
        <v>0</v>
      </c>
      <c r="Q214" s="76">
        <v>0</v>
      </c>
      <c r="R214" s="76" t="s">
        <v>838</v>
      </c>
      <c r="S214" s="76"/>
    </row>
    <row r="215" spans="1:19" x14ac:dyDescent="0.3">
      <c r="A215" s="76">
        <v>217</v>
      </c>
      <c r="B215" s="76" t="s">
        <v>840</v>
      </c>
      <c r="C215" s="76" t="s">
        <v>251</v>
      </c>
      <c r="D215" s="76" t="s">
        <v>73</v>
      </c>
      <c r="E215" s="76" t="s">
        <v>22</v>
      </c>
      <c r="F215" s="77">
        <v>45291</v>
      </c>
      <c r="G215" s="76">
        <v>2023</v>
      </c>
      <c r="H215" s="76" t="s">
        <v>27</v>
      </c>
      <c r="I215" s="76" t="s">
        <v>32</v>
      </c>
      <c r="J215" s="76">
        <v>240</v>
      </c>
      <c r="K215" s="76">
        <v>453.02900272726532</v>
      </c>
      <c r="L215" s="78">
        <f t="shared" si="22"/>
        <v>1.3</v>
      </c>
      <c r="M215" s="78">
        <f t="shared" si="23"/>
        <v>1.8876208446969389</v>
      </c>
      <c r="N215" s="76" t="s">
        <v>25</v>
      </c>
      <c r="O215" s="76" t="s">
        <v>25</v>
      </c>
      <c r="P215" s="76">
        <v>0</v>
      </c>
      <c r="Q215" s="76">
        <v>0</v>
      </c>
      <c r="R215" s="76" t="s">
        <v>863</v>
      </c>
      <c r="S215" s="76"/>
    </row>
    <row r="216" spans="1:19" x14ac:dyDescent="0.3">
      <c r="A216" s="76">
        <v>217</v>
      </c>
      <c r="B216" s="76" t="s">
        <v>840</v>
      </c>
      <c r="C216" s="76" t="s">
        <v>251</v>
      </c>
      <c r="D216" s="76" t="s">
        <v>73</v>
      </c>
      <c r="E216" s="76" t="s">
        <v>22</v>
      </c>
      <c r="F216" s="77">
        <v>45657</v>
      </c>
      <c r="G216" s="76">
        <v>2024</v>
      </c>
      <c r="H216" s="76" t="s">
        <v>27</v>
      </c>
      <c r="I216" s="76" t="s">
        <v>36</v>
      </c>
      <c r="J216" s="76">
        <v>240</v>
      </c>
      <c r="K216" s="76">
        <v>303.90275051088457</v>
      </c>
      <c r="L216" s="78">
        <f t="shared" si="22"/>
        <v>1.266261460462019</v>
      </c>
      <c r="M216" s="78">
        <f t="shared" si="23"/>
        <v>1.266261460462019</v>
      </c>
      <c r="N216" s="76" t="s">
        <v>25</v>
      </c>
      <c r="O216" s="76" t="s">
        <v>25</v>
      </c>
      <c r="P216" s="76">
        <v>0</v>
      </c>
      <c r="Q216" s="76">
        <v>0</v>
      </c>
      <c r="R216" s="76" t="s">
        <v>875</v>
      </c>
      <c r="S216" s="76"/>
    </row>
    <row r="217" spans="1:19" x14ac:dyDescent="0.3">
      <c r="A217" s="76">
        <v>218</v>
      </c>
      <c r="B217" s="76" t="s">
        <v>888</v>
      </c>
      <c r="C217" s="76" t="s">
        <v>251</v>
      </c>
      <c r="D217" s="76" t="s">
        <v>73</v>
      </c>
      <c r="E217" s="76" t="s">
        <v>56</v>
      </c>
      <c r="F217" s="77">
        <v>44926</v>
      </c>
      <c r="G217" s="76">
        <v>2022</v>
      </c>
      <c r="H217" s="76" t="s">
        <v>27</v>
      </c>
      <c r="I217" s="76" t="s">
        <v>28</v>
      </c>
      <c r="J217" s="76">
        <v>2064000</v>
      </c>
      <c r="K217" s="76">
        <v>0</v>
      </c>
      <c r="L217" s="78" t="str">
        <f>IFERROR(IF(OR(J217=0,K217=""),"",IF(E217="Positivo",MIN(MAX(K217/J217,0),1),MIN(MAX(J217/K217,0),1))),"")</f>
        <v/>
      </c>
      <c r="M217" s="78" t="str">
        <f>IFERROR(IF(OR(J217=0,K217=""),"",IF(E217="Positivo",MIN(MAX(K217/J217,0),1),MIN(MAX(J217/K217,0),1))),"")</f>
        <v/>
      </c>
      <c r="N217" s="76" t="s">
        <v>25</v>
      </c>
      <c r="O217" s="76" t="s">
        <v>25</v>
      </c>
      <c r="P217" s="76">
        <v>0</v>
      </c>
      <c r="Q217" s="76">
        <v>0</v>
      </c>
      <c r="R217" s="76" t="s">
        <v>901</v>
      </c>
      <c r="S217" s="76"/>
    </row>
    <row r="218" spans="1:19" x14ac:dyDescent="0.3">
      <c r="A218" s="76">
        <v>218</v>
      </c>
      <c r="B218" s="76" t="s">
        <v>888</v>
      </c>
      <c r="C218" s="76" t="s">
        <v>251</v>
      </c>
      <c r="D218" s="76" t="s">
        <v>73</v>
      </c>
      <c r="E218" s="76" t="s">
        <v>56</v>
      </c>
      <c r="F218" s="77">
        <v>45291</v>
      </c>
      <c r="G218" s="76">
        <v>2023</v>
      </c>
      <c r="H218" s="76" t="s">
        <v>27</v>
      </c>
      <c r="I218" s="76" t="s">
        <v>32</v>
      </c>
      <c r="J218" s="76">
        <v>2064000</v>
      </c>
      <c r="K218" s="76">
        <v>1604699.23</v>
      </c>
      <c r="L218" s="78">
        <f>IFERROR(IF(OR(J218=0,K218=""),"",IF(E218="Positivo",MIN(MAX(K218/J218,0),1),MIN(MAX(J218/K218,0),1))),"")</f>
        <v>1</v>
      </c>
      <c r="M218" s="78">
        <f>IFERROR(IF(OR(J218=0,K218=""),"",IF(E218="Positivo",MIN(MAX(K218/J218,0),1),MIN(MAX(J218/K218,0),1))),"")</f>
        <v>1</v>
      </c>
      <c r="N218" s="76" t="s">
        <v>25</v>
      </c>
      <c r="O218" s="76" t="s">
        <v>25</v>
      </c>
      <c r="P218" s="76">
        <v>0</v>
      </c>
      <c r="Q218" s="76">
        <v>0</v>
      </c>
      <c r="R218" s="76" t="s">
        <v>913</v>
      </c>
      <c r="S218" s="76"/>
    </row>
    <row r="219" spans="1:19" x14ac:dyDescent="0.3">
      <c r="A219" s="76">
        <v>218</v>
      </c>
      <c r="B219" s="76" t="s">
        <v>888</v>
      </c>
      <c r="C219" s="76" t="s">
        <v>251</v>
      </c>
      <c r="D219" s="76" t="s">
        <v>73</v>
      </c>
      <c r="E219" s="76" t="s">
        <v>56</v>
      </c>
      <c r="F219" s="77">
        <v>45657</v>
      </c>
      <c r="G219" s="76">
        <v>2024</v>
      </c>
      <c r="H219" s="76" t="s">
        <v>27</v>
      </c>
      <c r="I219" s="76" t="s">
        <v>36</v>
      </c>
      <c r="J219" s="76">
        <v>2064000</v>
      </c>
      <c r="K219" s="76">
        <v>1724302.82</v>
      </c>
      <c r="L219" s="78">
        <f>IFERROR(IF(OR(J219=0,K219=""),"",IF(E219="Positivo",MIN(MAX(K219/J219,0),1),MIN(MAX(J219/K219,0),1))),"")</f>
        <v>1</v>
      </c>
      <c r="M219" s="78">
        <f>IFERROR(IF(OR(J219=0,K219=""),"",IF(E219="Positivo",MIN(MAX(K219/J219,0),1),MIN(MAX(J219/K219,0),1))),"")</f>
        <v>1</v>
      </c>
      <c r="N219" s="76" t="s">
        <v>25</v>
      </c>
      <c r="O219" s="76" t="s">
        <v>25</v>
      </c>
      <c r="P219" s="76">
        <v>0</v>
      </c>
      <c r="Q219" s="76">
        <v>0</v>
      </c>
      <c r="R219" s="76" t="s">
        <v>925</v>
      </c>
      <c r="S219" s="76"/>
    </row>
    <row r="220" spans="1:19" x14ac:dyDescent="0.3">
      <c r="A220" s="76">
        <v>219</v>
      </c>
      <c r="B220" s="76" t="s">
        <v>938</v>
      </c>
      <c r="C220" s="76" t="s">
        <v>251</v>
      </c>
      <c r="D220" s="76" t="s">
        <v>73</v>
      </c>
      <c r="E220" s="76" t="s">
        <v>22</v>
      </c>
      <c r="F220" s="77">
        <v>44926</v>
      </c>
      <c r="G220" s="76">
        <v>2022</v>
      </c>
      <c r="H220" s="76" t="s">
        <v>27</v>
      </c>
      <c r="I220" s="76" t="s">
        <v>28</v>
      </c>
      <c r="J220" s="76">
        <v>1</v>
      </c>
      <c r="K220" s="76">
        <v>-26.0522196435235</v>
      </c>
      <c r="L220" s="78">
        <f t="shared" ref="L220:L243" si="24">IFERROR(IF(OR(J220=0,K220=""),"",IF(E220="Positivo",MIN(MAX(K220/J220,0),1.3),MIN(MAX(J220/K220,0),1.3))),"")</f>
        <v>0</v>
      </c>
      <c r="M220" s="78">
        <f t="shared" ref="M220:M243" si="25">IFERROR(IF(OR(J220=0,K220=""),"",IF(E220="Positivo",MAX(K220/J220,0),MAX(J220/K220,0))),"")</f>
        <v>0</v>
      </c>
      <c r="N220" s="76" t="s">
        <v>25</v>
      </c>
      <c r="O220" s="76" t="s">
        <v>25</v>
      </c>
      <c r="P220" s="76">
        <v>0</v>
      </c>
      <c r="Q220" s="76">
        <v>0</v>
      </c>
      <c r="R220" s="76" t="s">
        <v>940</v>
      </c>
      <c r="S220" s="76"/>
    </row>
    <row r="221" spans="1:19" x14ac:dyDescent="0.3">
      <c r="A221" s="76">
        <v>219</v>
      </c>
      <c r="B221" s="76" t="s">
        <v>938</v>
      </c>
      <c r="C221" s="76" t="s">
        <v>251</v>
      </c>
      <c r="D221" s="76" t="s">
        <v>21</v>
      </c>
      <c r="E221" s="76" t="s">
        <v>22</v>
      </c>
      <c r="F221" s="77">
        <v>45291</v>
      </c>
      <c r="G221" s="76">
        <v>2023</v>
      </c>
      <c r="H221" s="76" t="s">
        <v>27</v>
      </c>
      <c r="I221" s="76" t="s">
        <v>32</v>
      </c>
      <c r="J221" s="76">
        <v>1</v>
      </c>
      <c r="K221" s="76">
        <v>7.6285184131371464</v>
      </c>
      <c r="L221" s="78">
        <f t="shared" si="24"/>
        <v>1.3</v>
      </c>
      <c r="M221" s="78">
        <f t="shared" si="25"/>
        <v>7.6285184131371464</v>
      </c>
      <c r="N221" s="76" t="s">
        <v>25</v>
      </c>
      <c r="O221" s="76" t="s">
        <v>25</v>
      </c>
      <c r="P221" s="76">
        <v>0</v>
      </c>
      <c r="Q221" s="76">
        <v>0</v>
      </c>
      <c r="R221" s="76" t="s">
        <v>942</v>
      </c>
      <c r="S221" s="76"/>
    </row>
    <row r="222" spans="1:19" x14ac:dyDescent="0.3">
      <c r="A222" s="76">
        <v>219</v>
      </c>
      <c r="B222" s="76" t="s">
        <v>938</v>
      </c>
      <c r="C222" s="76" t="s">
        <v>251</v>
      </c>
      <c r="D222" s="76" t="s">
        <v>21</v>
      </c>
      <c r="E222" s="76" t="s">
        <v>22</v>
      </c>
      <c r="F222" s="77">
        <v>45657</v>
      </c>
      <c r="G222" s="76">
        <v>2024</v>
      </c>
      <c r="H222" s="76" t="s">
        <v>27</v>
      </c>
      <c r="I222" s="76" t="s">
        <v>36</v>
      </c>
      <c r="J222" s="76">
        <v>1</v>
      </c>
      <c r="K222" s="76">
        <v>-0.29499999999999987</v>
      </c>
      <c r="L222" s="78">
        <f t="shared" si="24"/>
        <v>0</v>
      </c>
      <c r="M222" s="78">
        <f t="shared" si="25"/>
        <v>0</v>
      </c>
      <c r="N222" s="76" t="s">
        <v>25</v>
      </c>
      <c r="O222" s="76" t="s">
        <v>25</v>
      </c>
      <c r="P222" s="76">
        <v>0</v>
      </c>
      <c r="Q222" s="76">
        <v>0</v>
      </c>
      <c r="R222" s="76" t="s">
        <v>944</v>
      </c>
      <c r="S222" s="76"/>
    </row>
    <row r="223" spans="1:19" x14ac:dyDescent="0.3">
      <c r="A223" s="76">
        <v>220</v>
      </c>
      <c r="B223" s="76" t="s">
        <v>947</v>
      </c>
      <c r="C223" s="76" t="s">
        <v>251</v>
      </c>
      <c r="D223" s="76" t="s">
        <v>21</v>
      </c>
      <c r="E223" s="76" t="s">
        <v>22</v>
      </c>
      <c r="F223" s="77">
        <v>44926</v>
      </c>
      <c r="G223" s="76">
        <v>2022</v>
      </c>
      <c r="H223" s="76" t="s">
        <v>27</v>
      </c>
      <c r="I223" s="76" t="s">
        <v>28</v>
      </c>
      <c r="J223" s="76">
        <v>1</v>
      </c>
      <c r="K223" s="76">
        <v>-87.246487870759012</v>
      </c>
      <c r="L223" s="78">
        <f t="shared" si="24"/>
        <v>0</v>
      </c>
      <c r="M223" s="78">
        <f t="shared" si="25"/>
        <v>0</v>
      </c>
      <c r="N223" s="76" t="s">
        <v>25</v>
      </c>
      <c r="O223" s="76" t="s">
        <v>25</v>
      </c>
      <c r="P223" s="76">
        <v>0</v>
      </c>
      <c r="Q223" s="76">
        <v>0</v>
      </c>
      <c r="R223" s="76" t="s">
        <v>949</v>
      </c>
      <c r="S223" s="76"/>
    </row>
    <row r="224" spans="1:19" x14ac:dyDescent="0.3">
      <c r="A224" s="76">
        <v>220</v>
      </c>
      <c r="B224" s="76" t="s">
        <v>947</v>
      </c>
      <c r="C224" s="76" t="s">
        <v>251</v>
      </c>
      <c r="D224" s="76" t="s">
        <v>21</v>
      </c>
      <c r="E224" s="76" t="s">
        <v>22</v>
      </c>
      <c r="F224" s="77">
        <v>45291</v>
      </c>
      <c r="G224" s="76">
        <v>2023</v>
      </c>
      <c r="H224" s="76" t="s">
        <v>27</v>
      </c>
      <c r="I224" s="76" t="s">
        <v>32</v>
      </c>
      <c r="J224" s="76">
        <v>1</v>
      </c>
      <c r="K224" s="76">
        <v>1.0492038967176069</v>
      </c>
      <c r="L224" s="78">
        <f t="shared" si="24"/>
        <v>1.0492038967176069</v>
      </c>
      <c r="M224" s="78">
        <f t="shared" si="25"/>
        <v>1.0492038967176069</v>
      </c>
      <c r="N224" s="76" t="s">
        <v>25</v>
      </c>
      <c r="O224" s="76" t="s">
        <v>25</v>
      </c>
      <c r="P224" s="76">
        <v>0</v>
      </c>
      <c r="Q224" s="76">
        <v>0</v>
      </c>
      <c r="R224" s="76" t="s">
        <v>951</v>
      </c>
      <c r="S224" s="76"/>
    </row>
    <row r="225" spans="1:19" x14ac:dyDescent="0.3">
      <c r="A225" s="76">
        <v>220</v>
      </c>
      <c r="B225" s="76" t="s">
        <v>947</v>
      </c>
      <c r="C225" s="76" t="s">
        <v>251</v>
      </c>
      <c r="D225" s="76" t="s">
        <v>21</v>
      </c>
      <c r="E225" s="76" t="s">
        <v>22</v>
      </c>
      <c r="F225" s="77">
        <v>45657</v>
      </c>
      <c r="G225" s="76">
        <v>2024</v>
      </c>
      <c r="H225" s="76" t="s">
        <v>27</v>
      </c>
      <c r="I225" s="76" t="s">
        <v>36</v>
      </c>
      <c r="J225" s="76">
        <v>1</v>
      </c>
      <c r="K225" s="76">
        <v>8.3150000000000013</v>
      </c>
      <c r="L225" s="78">
        <f t="shared" si="24"/>
        <v>1.3</v>
      </c>
      <c r="M225" s="78">
        <f t="shared" si="25"/>
        <v>8.3150000000000013</v>
      </c>
      <c r="N225" s="76" t="s">
        <v>25</v>
      </c>
      <c r="O225" s="76" t="s">
        <v>25</v>
      </c>
      <c r="P225" s="76">
        <v>0</v>
      </c>
      <c r="Q225" s="76">
        <v>0</v>
      </c>
      <c r="R225" s="76" t="s">
        <v>953</v>
      </c>
      <c r="S225" s="76"/>
    </row>
    <row r="226" spans="1:19" x14ac:dyDescent="0.3">
      <c r="A226" s="76">
        <v>221</v>
      </c>
      <c r="B226" s="76" t="s">
        <v>956</v>
      </c>
      <c r="C226" s="76" t="s">
        <v>251</v>
      </c>
      <c r="D226" s="76" t="s">
        <v>139</v>
      </c>
      <c r="E226" s="76" t="s">
        <v>22</v>
      </c>
      <c r="F226" s="77">
        <v>44926</v>
      </c>
      <c r="G226" s="76">
        <v>2022</v>
      </c>
      <c r="H226" s="76" t="s">
        <v>27</v>
      </c>
      <c r="I226" s="76" t="s">
        <v>28</v>
      </c>
      <c r="J226" s="76">
        <v>100</v>
      </c>
      <c r="K226" s="76">
        <v>0</v>
      </c>
      <c r="L226" s="78">
        <f t="shared" si="24"/>
        <v>0</v>
      </c>
      <c r="M226" s="78">
        <f t="shared" si="25"/>
        <v>0</v>
      </c>
      <c r="N226" s="76" t="s">
        <v>25</v>
      </c>
      <c r="O226" s="76" t="s">
        <v>25</v>
      </c>
      <c r="P226" s="76">
        <v>0</v>
      </c>
      <c r="Q226" s="76">
        <v>0</v>
      </c>
      <c r="R226" s="76" t="s">
        <v>957</v>
      </c>
      <c r="S226" s="76"/>
    </row>
    <row r="227" spans="1:19" x14ac:dyDescent="0.3">
      <c r="A227" s="76">
        <v>221</v>
      </c>
      <c r="B227" s="76" t="s">
        <v>956</v>
      </c>
      <c r="C227" s="76" t="s">
        <v>251</v>
      </c>
      <c r="D227" s="76" t="s">
        <v>139</v>
      </c>
      <c r="E227" s="76" t="s">
        <v>22</v>
      </c>
      <c r="F227" s="77">
        <v>45291</v>
      </c>
      <c r="G227" s="76">
        <v>2023</v>
      </c>
      <c r="H227" s="76" t="s">
        <v>27</v>
      </c>
      <c r="I227" s="76" t="s">
        <v>32</v>
      </c>
      <c r="J227" s="76">
        <v>100</v>
      </c>
      <c r="K227" s="76">
        <v>100</v>
      </c>
      <c r="L227" s="78">
        <f t="shared" si="24"/>
        <v>1</v>
      </c>
      <c r="M227" s="78">
        <f t="shared" si="25"/>
        <v>1</v>
      </c>
      <c r="N227" s="76" t="s">
        <v>25</v>
      </c>
      <c r="O227" s="76" t="s">
        <v>25</v>
      </c>
      <c r="P227" s="76">
        <v>0</v>
      </c>
      <c r="Q227" s="76">
        <v>0</v>
      </c>
      <c r="R227" s="76" t="s">
        <v>958</v>
      </c>
      <c r="S227" s="76"/>
    </row>
    <row r="228" spans="1:19" x14ac:dyDescent="0.3">
      <c r="A228" s="76">
        <v>221</v>
      </c>
      <c r="B228" s="76" t="s">
        <v>956</v>
      </c>
      <c r="C228" s="76" t="s">
        <v>251</v>
      </c>
      <c r="D228" s="76" t="s">
        <v>139</v>
      </c>
      <c r="E228" s="76" t="s">
        <v>22</v>
      </c>
      <c r="F228" s="77">
        <v>45657</v>
      </c>
      <c r="G228" s="76">
        <v>2024</v>
      </c>
      <c r="H228" s="76" t="s">
        <v>27</v>
      </c>
      <c r="I228" s="76" t="s">
        <v>36</v>
      </c>
      <c r="J228" s="76">
        <v>100</v>
      </c>
      <c r="K228" s="76">
        <v>33.33</v>
      </c>
      <c r="L228" s="78">
        <f t="shared" si="24"/>
        <v>0.33329999999999999</v>
      </c>
      <c r="M228" s="78">
        <f t="shared" si="25"/>
        <v>0.33329999999999999</v>
      </c>
      <c r="N228" s="76" t="s">
        <v>25</v>
      </c>
      <c r="O228" s="76" t="s">
        <v>25</v>
      </c>
      <c r="P228" s="76">
        <v>0</v>
      </c>
      <c r="Q228" s="76">
        <v>0</v>
      </c>
      <c r="R228" s="76" t="s">
        <v>959</v>
      </c>
      <c r="S228" s="76"/>
    </row>
    <row r="229" spans="1:19" x14ac:dyDescent="0.3">
      <c r="A229" s="76">
        <v>222</v>
      </c>
      <c r="B229" s="76" t="s">
        <v>961</v>
      </c>
      <c r="C229" s="76" t="s">
        <v>251</v>
      </c>
      <c r="D229" s="76" t="s">
        <v>139</v>
      </c>
      <c r="E229" s="76" t="s">
        <v>22</v>
      </c>
      <c r="F229" s="77">
        <v>44926</v>
      </c>
      <c r="G229" s="76">
        <v>2022</v>
      </c>
      <c r="H229" s="76" t="s">
        <v>27</v>
      </c>
      <c r="I229" s="76" t="s">
        <v>28</v>
      </c>
      <c r="J229" s="76">
        <v>90</v>
      </c>
      <c r="K229" s="76">
        <v>93.75</v>
      </c>
      <c r="L229" s="78">
        <f t="shared" si="24"/>
        <v>1.0416666666666667</v>
      </c>
      <c r="M229" s="78">
        <f t="shared" si="25"/>
        <v>1.0416666666666667</v>
      </c>
      <c r="N229" s="76" t="s">
        <v>25</v>
      </c>
      <c r="O229" s="76" t="s">
        <v>25</v>
      </c>
      <c r="P229" s="76">
        <v>0</v>
      </c>
      <c r="Q229" s="76">
        <v>0</v>
      </c>
      <c r="R229" s="76" t="s">
        <v>962</v>
      </c>
      <c r="S229" s="76"/>
    </row>
    <row r="230" spans="1:19" x14ac:dyDescent="0.3">
      <c r="A230" s="76">
        <v>222</v>
      </c>
      <c r="B230" s="76" t="s">
        <v>961</v>
      </c>
      <c r="C230" s="76" t="s">
        <v>251</v>
      </c>
      <c r="D230" s="76" t="s">
        <v>139</v>
      </c>
      <c r="E230" s="76" t="s">
        <v>22</v>
      </c>
      <c r="F230" s="77">
        <v>45291</v>
      </c>
      <c r="G230" s="76">
        <v>2023</v>
      </c>
      <c r="H230" s="76" t="s">
        <v>27</v>
      </c>
      <c r="I230" s="76" t="s">
        <v>32</v>
      </c>
      <c r="J230" s="76">
        <v>90</v>
      </c>
      <c r="K230" s="76">
        <v>68.75</v>
      </c>
      <c r="L230" s="78">
        <f t="shared" si="24"/>
        <v>0.76388888888888884</v>
      </c>
      <c r="M230" s="78">
        <f t="shared" si="25"/>
        <v>0.76388888888888884</v>
      </c>
      <c r="N230" s="76" t="s">
        <v>25</v>
      </c>
      <c r="O230" s="76" t="s">
        <v>25</v>
      </c>
      <c r="P230" s="76">
        <v>0</v>
      </c>
      <c r="Q230" s="76">
        <v>0</v>
      </c>
      <c r="R230" s="76" t="s">
        <v>963</v>
      </c>
      <c r="S230" s="76"/>
    </row>
    <row r="231" spans="1:19" x14ac:dyDescent="0.3">
      <c r="A231" s="76">
        <v>222</v>
      </c>
      <c r="B231" s="76" t="s">
        <v>961</v>
      </c>
      <c r="C231" s="76" t="s">
        <v>251</v>
      </c>
      <c r="D231" s="76" t="s">
        <v>139</v>
      </c>
      <c r="E231" s="76" t="s">
        <v>22</v>
      </c>
      <c r="F231" s="77">
        <v>45657</v>
      </c>
      <c r="G231" s="76">
        <v>2024</v>
      </c>
      <c r="H231" s="76" t="s">
        <v>27</v>
      </c>
      <c r="I231" s="76" t="s">
        <v>36</v>
      </c>
      <c r="J231" s="76">
        <v>90</v>
      </c>
      <c r="K231" s="76">
        <v>68.75</v>
      </c>
      <c r="L231" s="78">
        <f t="shared" si="24"/>
        <v>0.76388888888888884</v>
      </c>
      <c r="M231" s="78">
        <f t="shared" si="25"/>
        <v>0.76388888888888884</v>
      </c>
      <c r="N231" s="76" t="s">
        <v>25</v>
      </c>
      <c r="O231" s="76" t="s">
        <v>25</v>
      </c>
      <c r="P231" s="76">
        <v>0</v>
      </c>
      <c r="Q231" s="76">
        <v>0</v>
      </c>
      <c r="R231" s="76" t="s">
        <v>964</v>
      </c>
      <c r="S231" s="76"/>
    </row>
    <row r="232" spans="1:19" x14ac:dyDescent="0.3">
      <c r="A232" s="76">
        <v>223</v>
      </c>
      <c r="B232" s="76" t="s">
        <v>966</v>
      </c>
      <c r="C232" s="76" t="s">
        <v>251</v>
      </c>
      <c r="D232" s="76" t="s">
        <v>139</v>
      </c>
      <c r="E232" s="76" t="s">
        <v>22</v>
      </c>
      <c r="F232" s="77">
        <v>44926</v>
      </c>
      <c r="G232" s="76">
        <v>2022</v>
      </c>
      <c r="H232" s="76" t="s">
        <v>27</v>
      </c>
      <c r="I232" s="76" t="s">
        <v>28</v>
      </c>
      <c r="J232" s="76">
        <v>100</v>
      </c>
      <c r="K232" s="76">
        <v>0</v>
      </c>
      <c r="L232" s="78">
        <f t="shared" si="24"/>
        <v>0</v>
      </c>
      <c r="M232" s="78">
        <f t="shared" si="25"/>
        <v>0</v>
      </c>
      <c r="N232" s="76" t="s">
        <v>25</v>
      </c>
      <c r="O232" s="76" t="s">
        <v>25</v>
      </c>
      <c r="P232" s="76">
        <v>0</v>
      </c>
      <c r="Q232" s="76">
        <v>0</v>
      </c>
      <c r="R232" s="76" t="s">
        <v>967</v>
      </c>
      <c r="S232" s="76"/>
    </row>
    <row r="233" spans="1:19" x14ac:dyDescent="0.3">
      <c r="A233" s="76">
        <v>223</v>
      </c>
      <c r="B233" s="76" t="s">
        <v>966</v>
      </c>
      <c r="C233" s="76" t="s">
        <v>251</v>
      </c>
      <c r="D233" s="76" t="s">
        <v>139</v>
      </c>
      <c r="E233" s="76" t="s">
        <v>22</v>
      </c>
      <c r="F233" s="77">
        <v>45291</v>
      </c>
      <c r="G233" s="76">
        <v>2023</v>
      </c>
      <c r="H233" s="76" t="s">
        <v>27</v>
      </c>
      <c r="I233" s="76" t="s">
        <v>32</v>
      </c>
      <c r="J233" s="76">
        <v>100</v>
      </c>
      <c r="K233" s="76">
        <v>100</v>
      </c>
      <c r="L233" s="78">
        <f t="shared" si="24"/>
        <v>1</v>
      </c>
      <c r="M233" s="78">
        <f t="shared" si="25"/>
        <v>1</v>
      </c>
      <c r="N233" s="76" t="s">
        <v>25</v>
      </c>
      <c r="O233" s="76" t="s">
        <v>25</v>
      </c>
      <c r="P233" s="76">
        <v>0</v>
      </c>
      <c r="Q233" s="76">
        <v>0</v>
      </c>
      <c r="R233" s="76" t="s">
        <v>968</v>
      </c>
      <c r="S233" s="76"/>
    </row>
    <row r="234" spans="1:19" x14ac:dyDescent="0.3">
      <c r="A234" s="76">
        <v>223</v>
      </c>
      <c r="B234" s="76" t="s">
        <v>966</v>
      </c>
      <c r="C234" s="76" t="s">
        <v>251</v>
      </c>
      <c r="D234" s="76" t="s">
        <v>139</v>
      </c>
      <c r="E234" s="76" t="s">
        <v>22</v>
      </c>
      <c r="F234" s="77">
        <v>45657</v>
      </c>
      <c r="G234" s="76">
        <v>2024</v>
      </c>
      <c r="H234" s="76" t="s">
        <v>27</v>
      </c>
      <c r="I234" s="76" t="s">
        <v>36</v>
      </c>
      <c r="J234" s="76">
        <v>100</v>
      </c>
      <c r="K234" s="76">
        <v>94.12</v>
      </c>
      <c r="L234" s="78">
        <f t="shared" si="24"/>
        <v>0.94120000000000004</v>
      </c>
      <c r="M234" s="78">
        <f t="shared" si="25"/>
        <v>0.94120000000000004</v>
      </c>
      <c r="N234" s="76" t="s">
        <v>25</v>
      </c>
      <c r="O234" s="76" t="s">
        <v>25</v>
      </c>
      <c r="P234" s="76">
        <v>0</v>
      </c>
      <c r="Q234" s="76">
        <v>0</v>
      </c>
      <c r="R234" s="76" t="s">
        <v>969</v>
      </c>
      <c r="S234" s="76"/>
    </row>
    <row r="235" spans="1:19" x14ac:dyDescent="0.3">
      <c r="A235" s="76">
        <v>224</v>
      </c>
      <c r="B235" s="76" t="s">
        <v>971</v>
      </c>
      <c r="C235" s="76" t="s">
        <v>251</v>
      </c>
      <c r="D235" s="76" t="s">
        <v>139</v>
      </c>
      <c r="E235" s="76" t="s">
        <v>22</v>
      </c>
      <c r="F235" s="77">
        <v>44926</v>
      </c>
      <c r="G235" s="76">
        <v>2022</v>
      </c>
      <c r="H235" s="76" t="s">
        <v>27</v>
      </c>
      <c r="I235" s="76" t="s">
        <v>28</v>
      </c>
      <c r="J235" s="76">
        <v>100</v>
      </c>
      <c r="K235" s="76">
        <v>71.428571428571431</v>
      </c>
      <c r="L235" s="78">
        <f t="shared" si="24"/>
        <v>0.7142857142857143</v>
      </c>
      <c r="M235" s="78">
        <f t="shared" si="25"/>
        <v>0.7142857142857143</v>
      </c>
      <c r="N235" s="76" t="s">
        <v>25</v>
      </c>
      <c r="O235" s="76" t="s">
        <v>25</v>
      </c>
      <c r="P235" s="76">
        <v>0</v>
      </c>
      <c r="Q235" s="76">
        <v>0</v>
      </c>
      <c r="R235" s="76" t="s">
        <v>972</v>
      </c>
      <c r="S235" s="76"/>
    </row>
    <row r="236" spans="1:19" x14ac:dyDescent="0.3">
      <c r="A236" s="76">
        <v>224</v>
      </c>
      <c r="B236" s="76" t="s">
        <v>971</v>
      </c>
      <c r="C236" s="76" t="s">
        <v>251</v>
      </c>
      <c r="D236" s="76" t="s">
        <v>139</v>
      </c>
      <c r="E236" s="76" t="s">
        <v>22</v>
      </c>
      <c r="F236" s="77">
        <v>45291</v>
      </c>
      <c r="G236" s="76">
        <v>2023</v>
      </c>
      <c r="H236" s="76" t="s">
        <v>27</v>
      </c>
      <c r="I236" s="76" t="s">
        <v>32</v>
      </c>
      <c r="J236" s="76">
        <v>100</v>
      </c>
      <c r="K236" s="76">
        <v>40</v>
      </c>
      <c r="L236" s="78">
        <f t="shared" si="24"/>
        <v>0.4</v>
      </c>
      <c r="M236" s="78">
        <f t="shared" si="25"/>
        <v>0.4</v>
      </c>
      <c r="N236" s="76" t="s">
        <v>25</v>
      </c>
      <c r="O236" s="76" t="s">
        <v>25</v>
      </c>
      <c r="P236" s="76">
        <v>0</v>
      </c>
      <c r="Q236" s="76">
        <v>0</v>
      </c>
      <c r="R236" s="76" t="s">
        <v>973</v>
      </c>
      <c r="S236" s="76"/>
    </row>
    <row r="237" spans="1:19" x14ac:dyDescent="0.3">
      <c r="A237" s="76">
        <v>224</v>
      </c>
      <c r="B237" s="76" t="s">
        <v>971</v>
      </c>
      <c r="C237" s="76" t="s">
        <v>251</v>
      </c>
      <c r="D237" s="76" t="s">
        <v>139</v>
      </c>
      <c r="E237" s="76" t="s">
        <v>22</v>
      </c>
      <c r="F237" s="77">
        <v>45657</v>
      </c>
      <c r="G237" s="76">
        <v>2024</v>
      </c>
      <c r="H237" s="76" t="s">
        <v>27</v>
      </c>
      <c r="I237" s="76" t="s">
        <v>36</v>
      </c>
      <c r="J237" s="76">
        <v>100</v>
      </c>
      <c r="K237" s="76">
        <v>100</v>
      </c>
      <c r="L237" s="78">
        <f t="shared" si="24"/>
        <v>1</v>
      </c>
      <c r="M237" s="78">
        <f t="shared" si="25"/>
        <v>1</v>
      </c>
      <c r="N237" s="76" t="s">
        <v>25</v>
      </c>
      <c r="O237" s="76" t="s">
        <v>25</v>
      </c>
      <c r="P237" s="76">
        <v>0</v>
      </c>
      <c r="Q237" s="76">
        <v>0</v>
      </c>
      <c r="R237" s="76" t="s">
        <v>974</v>
      </c>
      <c r="S237" s="76"/>
    </row>
    <row r="238" spans="1:19" x14ac:dyDescent="0.3">
      <c r="A238" s="76">
        <v>225</v>
      </c>
      <c r="B238" s="76" t="s">
        <v>976</v>
      </c>
      <c r="C238" s="76" t="s">
        <v>251</v>
      </c>
      <c r="D238" s="76" t="s">
        <v>39</v>
      </c>
      <c r="E238" s="76" t="s">
        <v>22</v>
      </c>
      <c r="F238" s="77">
        <v>44926</v>
      </c>
      <c r="G238" s="76">
        <v>2022</v>
      </c>
      <c r="H238" s="76" t="s">
        <v>27</v>
      </c>
      <c r="I238" s="76" t="s">
        <v>28</v>
      </c>
      <c r="J238" s="76">
        <v>1</v>
      </c>
      <c r="K238" s="76">
        <v>0</v>
      </c>
      <c r="L238" s="78">
        <f t="shared" si="24"/>
        <v>0</v>
      </c>
      <c r="M238" s="78">
        <f t="shared" si="25"/>
        <v>0</v>
      </c>
      <c r="N238" s="76" t="s">
        <v>25</v>
      </c>
      <c r="O238" s="76" t="s">
        <v>25</v>
      </c>
      <c r="P238" s="76">
        <v>0</v>
      </c>
      <c r="Q238" s="76">
        <v>0</v>
      </c>
      <c r="R238" s="76" t="s">
        <v>988</v>
      </c>
      <c r="S238" s="76"/>
    </row>
    <row r="239" spans="1:19" x14ac:dyDescent="0.3">
      <c r="A239" s="76">
        <v>225</v>
      </c>
      <c r="B239" s="76" t="s">
        <v>976</v>
      </c>
      <c r="C239" s="76" t="s">
        <v>251</v>
      </c>
      <c r="D239" s="76" t="s">
        <v>73</v>
      </c>
      <c r="E239" s="76" t="s">
        <v>22</v>
      </c>
      <c r="F239" s="77">
        <v>45291</v>
      </c>
      <c r="G239" s="76">
        <v>2023</v>
      </c>
      <c r="H239" s="76" t="s">
        <v>27</v>
      </c>
      <c r="I239" s="76" t="s">
        <v>32</v>
      </c>
      <c r="J239" s="76">
        <v>1</v>
      </c>
      <c r="K239" s="76">
        <v>20.416666666666671</v>
      </c>
      <c r="L239" s="78">
        <f t="shared" si="24"/>
        <v>1.3</v>
      </c>
      <c r="M239" s="78">
        <f t="shared" si="25"/>
        <v>20.416666666666671</v>
      </c>
      <c r="N239" s="76" t="s">
        <v>25</v>
      </c>
      <c r="O239" s="76" t="s">
        <v>25</v>
      </c>
      <c r="P239" s="76">
        <v>0</v>
      </c>
      <c r="Q239" s="76">
        <v>0</v>
      </c>
      <c r="R239" s="76" t="s">
        <v>1000</v>
      </c>
      <c r="S239" s="76"/>
    </row>
    <row r="240" spans="1:19" x14ac:dyDescent="0.3">
      <c r="A240" s="76">
        <v>225</v>
      </c>
      <c r="B240" s="76" t="s">
        <v>976</v>
      </c>
      <c r="C240" s="76" t="s">
        <v>251</v>
      </c>
      <c r="D240" s="76" t="s">
        <v>73</v>
      </c>
      <c r="E240" s="76" t="s">
        <v>22</v>
      </c>
      <c r="F240" s="77">
        <v>45657</v>
      </c>
      <c r="G240" s="76">
        <v>2024</v>
      </c>
      <c r="H240" s="76" t="s">
        <v>27</v>
      </c>
      <c r="I240" s="76" t="s">
        <v>36</v>
      </c>
      <c r="J240" s="76">
        <v>1</v>
      </c>
      <c r="K240" s="76">
        <v>20.5</v>
      </c>
      <c r="L240" s="78">
        <f t="shared" si="24"/>
        <v>1.3</v>
      </c>
      <c r="M240" s="78">
        <f t="shared" si="25"/>
        <v>20.5</v>
      </c>
      <c r="N240" s="76" t="s">
        <v>25</v>
      </c>
      <c r="O240" s="76" t="s">
        <v>25</v>
      </c>
      <c r="P240" s="76">
        <v>0</v>
      </c>
      <c r="Q240" s="76">
        <v>0</v>
      </c>
      <c r="R240" s="76" t="s">
        <v>1012</v>
      </c>
      <c r="S240" s="76"/>
    </row>
    <row r="241" spans="1:19" x14ac:dyDescent="0.3">
      <c r="A241" s="76">
        <v>226</v>
      </c>
      <c r="B241" s="76" t="s">
        <v>1025</v>
      </c>
      <c r="C241" s="76" t="s">
        <v>251</v>
      </c>
      <c r="D241" s="76" t="s">
        <v>139</v>
      </c>
      <c r="E241" s="76" t="s">
        <v>22</v>
      </c>
      <c r="F241" s="77">
        <v>44926</v>
      </c>
      <c r="G241" s="76">
        <v>2022</v>
      </c>
      <c r="H241" s="76" t="s">
        <v>27</v>
      </c>
      <c r="I241" s="76" t="s">
        <v>28</v>
      </c>
      <c r="J241" s="76">
        <v>2</v>
      </c>
      <c r="K241" s="76">
        <v>476.4899959564209</v>
      </c>
      <c r="L241" s="78">
        <f t="shared" si="24"/>
        <v>1.3</v>
      </c>
      <c r="M241" s="78">
        <f t="shared" si="25"/>
        <v>238.24499797821045</v>
      </c>
      <c r="N241" s="76" t="s">
        <v>25</v>
      </c>
      <c r="O241" s="76" t="s">
        <v>25</v>
      </c>
      <c r="P241" s="76">
        <v>0</v>
      </c>
      <c r="Q241" s="76">
        <v>0</v>
      </c>
      <c r="R241" s="76" t="s">
        <v>1026</v>
      </c>
      <c r="S241" s="76"/>
    </row>
    <row r="242" spans="1:19" x14ac:dyDescent="0.3">
      <c r="A242" s="76">
        <v>226</v>
      </c>
      <c r="B242" s="76" t="s">
        <v>1025</v>
      </c>
      <c r="C242" s="76" t="s">
        <v>251</v>
      </c>
      <c r="D242" s="76" t="s">
        <v>139</v>
      </c>
      <c r="E242" s="76" t="s">
        <v>22</v>
      </c>
      <c r="F242" s="77">
        <v>45291</v>
      </c>
      <c r="G242" s="76">
        <v>2023</v>
      </c>
      <c r="H242" s="76" t="s">
        <v>27</v>
      </c>
      <c r="I242" s="76" t="s">
        <v>32</v>
      </c>
      <c r="J242" s="76">
        <v>2</v>
      </c>
      <c r="K242" s="76">
        <v>622.69000000000005</v>
      </c>
      <c r="L242" s="78">
        <f t="shared" si="24"/>
        <v>1.3</v>
      </c>
      <c r="M242" s="78">
        <f t="shared" si="25"/>
        <v>311.34500000000003</v>
      </c>
      <c r="N242" s="76" t="s">
        <v>25</v>
      </c>
      <c r="O242" s="76" t="s">
        <v>25</v>
      </c>
      <c r="P242" s="76">
        <v>0</v>
      </c>
      <c r="Q242" s="76">
        <v>0</v>
      </c>
      <c r="R242" s="76" t="s">
        <v>1027</v>
      </c>
      <c r="S242" s="76"/>
    </row>
    <row r="243" spans="1:19" x14ac:dyDescent="0.3">
      <c r="A243" s="76">
        <v>226</v>
      </c>
      <c r="B243" s="76" t="s">
        <v>1025</v>
      </c>
      <c r="C243" s="76" t="s">
        <v>251</v>
      </c>
      <c r="D243" s="76" t="s">
        <v>139</v>
      </c>
      <c r="E243" s="76" t="s">
        <v>22</v>
      </c>
      <c r="F243" s="77">
        <v>45657</v>
      </c>
      <c r="G243" s="76">
        <v>2024</v>
      </c>
      <c r="H243" s="76" t="s">
        <v>27</v>
      </c>
      <c r="I243" s="76" t="s">
        <v>36</v>
      </c>
      <c r="J243" s="76">
        <v>2</v>
      </c>
      <c r="K243" s="76">
        <v>3531.11</v>
      </c>
      <c r="L243" s="78">
        <f t="shared" si="24"/>
        <v>1.3</v>
      </c>
      <c r="M243" s="78">
        <f t="shared" si="25"/>
        <v>1765.5550000000001</v>
      </c>
      <c r="N243" s="76" t="s">
        <v>25</v>
      </c>
      <c r="O243" s="76" t="s">
        <v>25</v>
      </c>
      <c r="P243" s="76">
        <v>0</v>
      </c>
      <c r="Q243" s="76">
        <v>0</v>
      </c>
      <c r="R243" s="76" t="s">
        <v>1028</v>
      </c>
      <c r="S243" s="76"/>
    </row>
    <row r="244" spans="1:19" x14ac:dyDescent="0.3">
      <c r="A244" s="76">
        <v>227</v>
      </c>
      <c r="B244" s="76" t="s">
        <v>1029</v>
      </c>
      <c r="C244" s="76" t="s">
        <v>251</v>
      </c>
      <c r="D244" s="76" t="s">
        <v>139</v>
      </c>
      <c r="E244" s="76" t="s">
        <v>56</v>
      </c>
      <c r="F244" s="77">
        <v>44926</v>
      </c>
      <c r="G244" s="76">
        <v>2022</v>
      </c>
      <c r="H244" s="76" t="s">
        <v>27</v>
      </c>
      <c r="I244" s="76" t="s">
        <v>28</v>
      </c>
      <c r="J244" s="76">
        <v>0.3</v>
      </c>
      <c r="K244" s="76">
        <v>0.01</v>
      </c>
      <c r="L244" s="78">
        <f t="shared" ref="L244:L265" si="26">IFERROR(IF(OR(J244=0,K244=""),"",IF(E244="Positivo",MIN(MAX(K244/J244,0),1.3),MIN(MAX(J244/K244,0),1.3))),"")</f>
        <v>1.3</v>
      </c>
      <c r="M244" s="78">
        <f t="shared" ref="M244:M265" si="27">IFERROR(IF(OR(J244=0,K244=""),"",IF(E244="Positivo",MAX(K244/J244,0),MAX(J244/K244,0))),"")</f>
        <v>30</v>
      </c>
      <c r="N244" s="76" t="s">
        <v>25</v>
      </c>
      <c r="O244" s="76" t="s">
        <v>25</v>
      </c>
      <c r="P244" s="76">
        <v>0</v>
      </c>
      <c r="Q244" s="76">
        <v>0</v>
      </c>
      <c r="R244" s="76" t="s">
        <v>1030</v>
      </c>
      <c r="S244" s="76"/>
    </row>
    <row r="245" spans="1:19" x14ac:dyDescent="0.3">
      <c r="A245" s="76">
        <v>227</v>
      </c>
      <c r="B245" s="76" t="s">
        <v>1029</v>
      </c>
      <c r="C245" s="76" t="s">
        <v>251</v>
      </c>
      <c r="D245" s="76" t="s">
        <v>139</v>
      </c>
      <c r="E245" s="76" t="s">
        <v>56</v>
      </c>
      <c r="F245" s="77">
        <v>45291</v>
      </c>
      <c r="G245" s="76">
        <v>2023</v>
      </c>
      <c r="H245" s="76" t="s">
        <v>27</v>
      </c>
      <c r="I245" s="76" t="s">
        <v>32</v>
      </c>
      <c r="J245" s="76">
        <v>0.3</v>
      </c>
      <c r="K245" s="76">
        <v>0.01</v>
      </c>
      <c r="L245" s="78">
        <f t="shared" si="26"/>
        <v>1.3</v>
      </c>
      <c r="M245" s="78">
        <f t="shared" si="27"/>
        <v>30</v>
      </c>
      <c r="N245" s="76" t="s">
        <v>25</v>
      </c>
      <c r="O245" s="76" t="s">
        <v>25</v>
      </c>
      <c r="P245" s="76">
        <v>0</v>
      </c>
      <c r="Q245" s="76">
        <v>0</v>
      </c>
      <c r="R245" s="76" t="s">
        <v>1031</v>
      </c>
      <c r="S245" s="76"/>
    </row>
    <row r="246" spans="1:19" x14ac:dyDescent="0.3">
      <c r="A246" s="76">
        <v>227</v>
      </c>
      <c r="B246" s="76" t="s">
        <v>1029</v>
      </c>
      <c r="C246" s="76" t="s">
        <v>251</v>
      </c>
      <c r="D246" s="76" t="s">
        <v>139</v>
      </c>
      <c r="E246" s="76" t="s">
        <v>56</v>
      </c>
      <c r="F246" s="77">
        <v>45657</v>
      </c>
      <c r="G246" s="76">
        <v>2024</v>
      </c>
      <c r="H246" s="76" t="s">
        <v>27</v>
      </c>
      <c r="I246" s="76" t="s">
        <v>36</v>
      </c>
      <c r="J246" s="76">
        <v>0.3</v>
      </c>
      <c r="K246" s="76">
        <v>3531.11</v>
      </c>
      <c r="L246" s="78">
        <f t="shared" si="26"/>
        <v>8.495912050318455E-5</v>
      </c>
      <c r="M246" s="78">
        <f t="shared" si="27"/>
        <v>8.495912050318455E-5</v>
      </c>
      <c r="N246" s="76" t="s">
        <v>25</v>
      </c>
      <c r="O246" s="76" t="s">
        <v>25</v>
      </c>
      <c r="P246" s="76">
        <v>0</v>
      </c>
      <c r="Q246" s="76">
        <v>0</v>
      </c>
      <c r="R246" s="76" t="s">
        <v>1032</v>
      </c>
      <c r="S246" s="76"/>
    </row>
    <row r="247" spans="1:19" x14ac:dyDescent="0.3">
      <c r="A247" s="76">
        <v>228</v>
      </c>
      <c r="B247" s="76" t="s">
        <v>1033</v>
      </c>
      <c r="C247" s="76" t="s">
        <v>251</v>
      </c>
      <c r="D247" s="76" t="s">
        <v>139</v>
      </c>
      <c r="E247" s="76" t="s">
        <v>22</v>
      </c>
      <c r="F247" s="77">
        <v>44926</v>
      </c>
      <c r="G247" s="76">
        <v>2022</v>
      </c>
      <c r="H247" s="76" t="s">
        <v>27</v>
      </c>
      <c r="I247" s="76" t="s">
        <v>28</v>
      </c>
      <c r="J247" s="76">
        <v>100</v>
      </c>
      <c r="K247" s="76">
        <v>100.10703267644649</v>
      </c>
      <c r="L247" s="78">
        <f t="shared" si="26"/>
        <v>1.0010703267644649</v>
      </c>
      <c r="M247" s="78">
        <f t="shared" si="27"/>
        <v>1.0010703267644649</v>
      </c>
      <c r="N247" s="76" t="s">
        <v>25</v>
      </c>
      <c r="O247" s="76" t="s">
        <v>25</v>
      </c>
      <c r="P247" s="76">
        <v>0</v>
      </c>
      <c r="Q247" s="76">
        <v>0</v>
      </c>
      <c r="R247" s="76" t="s">
        <v>1035</v>
      </c>
      <c r="S247" s="76"/>
    </row>
    <row r="248" spans="1:19" x14ac:dyDescent="0.3">
      <c r="A248" s="76">
        <v>228</v>
      </c>
      <c r="B248" s="76" t="s">
        <v>1033</v>
      </c>
      <c r="C248" s="76" t="s">
        <v>251</v>
      </c>
      <c r="D248" s="76" t="s">
        <v>139</v>
      </c>
      <c r="E248" s="76" t="s">
        <v>22</v>
      </c>
      <c r="F248" s="77">
        <v>45291</v>
      </c>
      <c r="G248" s="76">
        <v>2023</v>
      </c>
      <c r="H248" s="76" t="s">
        <v>27</v>
      </c>
      <c r="I248" s="76" t="s">
        <v>32</v>
      </c>
      <c r="J248" s="76">
        <v>100</v>
      </c>
      <c r="K248" s="76">
        <v>100</v>
      </c>
      <c r="L248" s="78">
        <f t="shared" si="26"/>
        <v>1</v>
      </c>
      <c r="M248" s="78">
        <f t="shared" si="27"/>
        <v>1</v>
      </c>
      <c r="N248" s="76" t="s">
        <v>25</v>
      </c>
      <c r="O248" s="76" t="s">
        <v>25</v>
      </c>
      <c r="P248" s="76">
        <v>0</v>
      </c>
      <c r="Q248" s="76">
        <v>0</v>
      </c>
      <c r="R248" s="76" t="s">
        <v>1036</v>
      </c>
      <c r="S248" s="76"/>
    </row>
    <row r="249" spans="1:19" x14ac:dyDescent="0.3">
      <c r="A249" s="76">
        <v>228</v>
      </c>
      <c r="B249" s="76" t="s">
        <v>1033</v>
      </c>
      <c r="C249" s="76" t="s">
        <v>251</v>
      </c>
      <c r="D249" s="76" t="s">
        <v>139</v>
      </c>
      <c r="E249" s="76" t="s">
        <v>22</v>
      </c>
      <c r="F249" s="77">
        <v>45657</v>
      </c>
      <c r="G249" s="76">
        <v>2024</v>
      </c>
      <c r="H249" s="76" t="s">
        <v>27</v>
      </c>
      <c r="I249" s="76" t="s">
        <v>36</v>
      </c>
      <c r="J249" s="76">
        <v>100</v>
      </c>
      <c r="K249" s="76">
        <v>3531.11</v>
      </c>
      <c r="L249" s="78">
        <f t="shared" si="26"/>
        <v>1.3</v>
      </c>
      <c r="M249" s="78">
        <f t="shared" si="27"/>
        <v>35.311100000000003</v>
      </c>
      <c r="N249" s="76" t="s">
        <v>25</v>
      </c>
      <c r="O249" s="76" t="s">
        <v>25</v>
      </c>
      <c r="P249" s="76">
        <v>0</v>
      </c>
      <c r="Q249" s="76">
        <v>0</v>
      </c>
      <c r="R249" s="76" t="s">
        <v>1037</v>
      </c>
      <c r="S249" s="76"/>
    </row>
    <row r="250" spans="1:19" x14ac:dyDescent="0.3">
      <c r="A250" s="76">
        <v>230</v>
      </c>
      <c r="B250" s="76" t="s">
        <v>1038</v>
      </c>
      <c r="C250" s="76" t="s">
        <v>251</v>
      </c>
      <c r="D250" s="76" t="s">
        <v>21</v>
      </c>
      <c r="E250" s="76" t="s">
        <v>22</v>
      </c>
      <c r="F250" s="77">
        <v>45291</v>
      </c>
      <c r="G250" s="76">
        <v>2023</v>
      </c>
      <c r="H250" s="76" t="s">
        <v>27</v>
      </c>
      <c r="I250" s="76" t="s">
        <v>32</v>
      </c>
      <c r="J250" s="76">
        <v>90</v>
      </c>
      <c r="K250" s="76">
        <v>100</v>
      </c>
      <c r="L250" s="78">
        <f t="shared" si="26"/>
        <v>1.1111111111111112</v>
      </c>
      <c r="M250" s="78">
        <f t="shared" si="27"/>
        <v>1.1111111111111112</v>
      </c>
      <c r="N250" s="76" t="s">
        <v>25</v>
      </c>
      <c r="O250" s="76" t="s">
        <v>25</v>
      </c>
      <c r="P250" s="76">
        <v>0</v>
      </c>
      <c r="Q250" s="76">
        <v>0</v>
      </c>
      <c r="R250" s="76" t="s">
        <v>1040</v>
      </c>
      <c r="S250" s="76"/>
    </row>
    <row r="251" spans="1:19" x14ac:dyDescent="0.3">
      <c r="A251" s="76">
        <v>230</v>
      </c>
      <c r="B251" s="76" t="s">
        <v>1038</v>
      </c>
      <c r="C251" s="76" t="s">
        <v>251</v>
      </c>
      <c r="D251" s="76" t="s">
        <v>21</v>
      </c>
      <c r="E251" s="76" t="s">
        <v>22</v>
      </c>
      <c r="F251" s="77">
        <v>45657</v>
      </c>
      <c r="G251" s="76">
        <v>2024</v>
      </c>
      <c r="H251" s="76" t="s">
        <v>27</v>
      </c>
      <c r="I251" s="76" t="s">
        <v>36</v>
      </c>
      <c r="J251" s="76">
        <v>90</v>
      </c>
      <c r="K251" s="76">
        <v>100</v>
      </c>
      <c r="L251" s="78">
        <f t="shared" si="26"/>
        <v>1.1111111111111112</v>
      </c>
      <c r="M251" s="78">
        <f t="shared" si="27"/>
        <v>1.1111111111111112</v>
      </c>
      <c r="N251" s="76" t="s">
        <v>25</v>
      </c>
      <c r="O251" s="76" t="s">
        <v>25</v>
      </c>
      <c r="P251" s="76">
        <v>0</v>
      </c>
      <c r="Q251" s="76">
        <v>0</v>
      </c>
      <c r="R251" s="76" t="s">
        <v>1042</v>
      </c>
      <c r="S251" s="76"/>
    </row>
    <row r="252" spans="1:19" x14ac:dyDescent="0.3">
      <c r="A252" s="76">
        <v>231</v>
      </c>
      <c r="B252" s="76" t="s">
        <v>1043</v>
      </c>
      <c r="C252" s="76" t="s">
        <v>251</v>
      </c>
      <c r="D252" s="76" t="s">
        <v>21</v>
      </c>
      <c r="E252" s="76" t="s">
        <v>22</v>
      </c>
      <c r="F252" s="77">
        <v>45291</v>
      </c>
      <c r="G252" s="76">
        <v>2023</v>
      </c>
      <c r="H252" s="76" t="s">
        <v>27</v>
      </c>
      <c r="I252" s="76" t="s">
        <v>32</v>
      </c>
      <c r="J252" s="76">
        <v>2966</v>
      </c>
      <c r="K252" s="76">
        <v>1455</v>
      </c>
      <c r="L252" s="78">
        <f t="shared" si="26"/>
        <v>0.49055967633175995</v>
      </c>
      <c r="M252" s="78">
        <f t="shared" si="27"/>
        <v>0.49055967633175995</v>
      </c>
      <c r="N252" s="76" t="s">
        <v>25</v>
      </c>
      <c r="O252" s="76" t="s">
        <v>25</v>
      </c>
      <c r="P252" s="76">
        <v>0</v>
      </c>
      <c r="Q252" s="76">
        <v>0</v>
      </c>
      <c r="R252" s="76" t="s">
        <v>1045</v>
      </c>
      <c r="S252" s="76"/>
    </row>
    <row r="253" spans="1:19" x14ac:dyDescent="0.3">
      <c r="A253" s="76">
        <v>231</v>
      </c>
      <c r="B253" s="76" t="s">
        <v>1043</v>
      </c>
      <c r="C253" s="76" t="s">
        <v>251</v>
      </c>
      <c r="D253" s="76" t="s">
        <v>21</v>
      </c>
      <c r="E253" s="76" t="s">
        <v>22</v>
      </c>
      <c r="F253" s="77">
        <v>45657</v>
      </c>
      <c r="G253" s="76">
        <v>2024</v>
      </c>
      <c r="H253" s="76" t="s">
        <v>27</v>
      </c>
      <c r="I253" s="76" t="s">
        <v>36</v>
      </c>
      <c r="J253" s="76">
        <v>2544</v>
      </c>
      <c r="K253" s="76">
        <v>2575</v>
      </c>
      <c r="L253" s="78">
        <f t="shared" si="26"/>
        <v>1.012185534591195</v>
      </c>
      <c r="M253" s="78">
        <f t="shared" si="27"/>
        <v>1.012185534591195</v>
      </c>
      <c r="N253" s="76" t="s">
        <v>25</v>
      </c>
      <c r="O253" s="76" t="s">
        <v>25</v>
      </c>
      <c r="P253" s="76">
        <v>0</v>
      </c>
      <c r="Q253" s="76">
        <v>0</v>
      </c>
      <c r="R253" s="76" t="s">
        <v>1047</v>
      </c>
      <c r="S253" s="76"/>
    </row>
    <row r="254" spans="1:19" x14ac:dyDescent="0.3">
      <c r="A254" s="76">
        <v>232</v>
      </c>
      <c r="B254" s="76" t="s">
        <v>1048</v>
      </c>
      <c r="C254" s="76" t="s">
        <v>251</v>
      </c>
      <c r="D254" s="76" t="s">
        <v>21</v>
      </c>
      <c r="E254" s="76" t="s">
        <v>22</v>
      </c>
      <c r="F254" s="77">
        <v>45291</v>
      </c>
      <c r="G254" s="76">
        <v>2023</v>
      </c>
      <c r="H254" s="76" t="s">
        <v>27</v>
      </c>
      <c r="I254" s="76" t="s">
        <v>32</v>
      </c>
      <c r="J254" s="76">
        <v>44</v>
      </c>
      <c r="K254" s="76">
        <v>42</v>
      </c>
      <c r="L254" s="78">
        <f t="shared" si="26"/>
        <v>0.95454545454545459</v>
      </c>
      <c r="M254" s="78">
        <f t="shared" si="27"/>
        <v>0.95454545454545459</v>
      </c>
      <c r="N254" s="76" t="s">
        <v>25</v>
      </c>
      <c r="O254" s="76" t="s">
        <v>25</v>
      </c>
      <c r="P254" s="76">
        <v>0</v>
      </c>
      <c r="Q254" s="76">
        <v>0</v>
      </c>
      <c r="R254" s="76" t="s">
        <v>1050</v>
      </c>
      <c r="S254" s="76"/>
    </row>
    <row r="255" spans="1:19" x14ac:dyDescent="0.3">
      <c r="A255" s="76">
        <v>232</v>
      </c>
      <c r="B255" s="76" t="s">
        <v>1048</v>
      </c>
      <c r="C255" s="76" t="s">
        <v>251</v>
      </c>
      <c r="D255" s="76" t="s">
        <v>21</v>
      </c>
      <c r="E255" s="76" t="s">
        <v>22</v>
      </c>
      <c r="F255" s="77">
        <v>45657</v>
      </c>
      <c r="G255" s="76">
        <v>2024</v>
      </c>
      <c r="H255" s="76" t="s">
        <v>27</v>
      </c>
      <c r="I255" s="76" t="s">
        <v>36</v>
      </c>
      <c r="J255" s="76">
        <v>36</v>
      </c>
      <c r="K255" s="76">
        <v>35</v>
      </c>
      <c r="L255" s="78">
        <f t="shared" si="26"/>
        <v>0.97222222222222221</v>
      </c>
      <c r="M255" s="78">
        <f t="shared" si="27"/>
        <v>0.97222222222222221</v>
      </c>
      <c r="N255" s="76" t="s">
        <v>25</v>
      </c>
      <c r="O255" s="76" t="s">
        <v>25</v>
      </c>
      <c r="P255" s="76">
        <v>0</v>
      </c>
      <c r="Q255" s="76">
        <v>0</v>
      </c>
      <c r="R255" s="76" t="s">
        <v>1052</v>
      </c>
      <c r="S255" s="76"/>
    </row>
    <row r="256" spans="1:19" x14ac:dyDescent="0.3">
      <c r="A256" s="76">
        <v>233</v>
      </c>
      <c r="B256" s="76" t="s">
        <v>1053</v>
      </c>
      <c r="C256" s="76" t="s">
        <v>251</v>
      </c>
      <c r="D256" s="76" t="s">
        <v>39</v>
      </c>
      <c r="E256" s="76" t="s">
        <v>22</v>
      </c>
      <c r="F256" s="77">
        <v>45291</v>
      </c>
      <c r="G256" s="76">
        <v>2023</v>
      </c>
      <c r="H256" s="76" t="s">
        <v>27</v>
      </c>
      <c r="I256" s="76" t="s">
        <v>32</v>
      </c>
      <c r="J256" s="76">
        <v>20</v>
      </c>
      <c r="K256" s="76">
        <v>32.253075830190568</v>
      </c>
      <c r="L256" s="78">
        <f t="shared" si="26"/>
        <v>1.3</v>
      </c>
      <c r="M256" s="78">
        <f t="shared" si="27"/>
        <v>1.6126537915095285</v>
      </c>
      <c r="N256" s="76" t="s">
        <v>25</v>
      </c>
      <c r="O256" s="76" t="s">
        <v>25</v>
      </c>
      <c r="P256" s="76">
        <v>0</v>
      </c>
      <c r="Q256" s="76">
        <v>0</v>
      </c>
      <c r="R256" s="76" t="s">
        <v>1057</v>
      </c>
      <c r="S256" s="76"/>
    </row>
    <row r="257" spans="1:19" x14ac:dyDescent="0.3">
      <c r="A257" s="76">
        <v>233</v>
      </c>
      <c r="B257" s="76" t="s">
        <v>1053</v>
      </c>
      <c r="C257" s="76" t="s">
        <v>251</v>
      </c>
      <c r="D257" s="76" t="s">
        <v>39</v>
      </c>
      <c r="E257" s="76" t="s">
        <v>22</v>
      </c>
      <c r="F257" s="77">
        <v>45657</v>
      </c>
      <c r="G257" s="76">
        <v>2024</v>
      </c>
      <c r="H257" s="76" t="s">
        <v>27</v>
      </c>
      <c r="I257" s="76" t="s">
        <v>36</v>
      </c>
      <c r="J257" s="76">
        <v>20</v>
      </c>
      <c r="K257" s="76">
        <v>32.912822689017439</v>
      </c>
      <c r="L257" s="78">
        <f t="shared" si="26"/>
        <v>1.3</v>
      </c>
      <c r="M257" s="78">
        <f t="shared" si="27"/>
        <v>1.6456411344508719</v>
      </c>
      <c r="N257" s="76" t="s">
        <v>25</v>
      </c>
      <c r="O257" s="76" t="s">
        <v>25</v>
      </c>
      <c r="P257" s="76">
        <v>0</v>
      </c>
      <c r="Q257" s="76">
        <v>0</v>
      </c>
      <c r="R257" s="76" t="s">
        <v>1061</v>
      </c>
      <c r="S257" s="76"/>
    </row>
    <row r="258" spans="1:19" x14ac:dyDescent="0.3">
      <c r="A258" s="76">
        <v>234</v>
      </c>
      <c r="B258" s="76" t="s">
        <v>1062</v>
      </c>
      <c r="C258" s="76" t="s">
        <v>251</v>
      </c>
      <c r="D258" s="76" t="s">
        <v>39</v>
      </c>
      <c r="E258" s="76" t="s">
        <v>22</v>
      </c>
      <c r="F258" s="77">
        <v>45291</v>
      </c>
      <c r="G258" s="76">
        <v>2023</v>
      </c>
      <c r="H258" s="76" t="s">
        <v>27</v>
      </c>
      <c r="I258" s="76" t="s">
        <v>32</v>
      </c>
      <c r="J258" s="76">
        <v>4000</v>
      </c>
      <c r="K258" s="76">
        <v>6785.75</v>
      </c>
      <c r="L258" s="78">
        <f t="shared" si="26"/>
        <v>1.3</v>
      </c>
      <c r="M258" s="78">
        <f t="shared" si="27"/>
        <v>1.6964375</v>
      </c>
      <c r="N258" s="76" t="s">
        <v>25</v>
      </c>
      <c r="O258" s="76" t="s">
        <v>25</v>
      </c>
      <c r="P258" s="76">
        <v>0</v>
      </c>
      <c r="Q258" s="76">
        <v>0</v>
      </c>
      <c r="R258" s="76" t="s">
        <v>1066</v>
      </c>
      <c r="S258" s="76"/>
    </row>
    <row r="259" spans="1:19" x14ac:dyDescent="0.3">
      <c r="A259" s="76">
        <v>234</v>
      </c>
      <c r="B259" s="76" t="s">
        <v>1062</v>
      </c>
      <c r="C259" s="76" t="s">
        <v>251</v>
      </c>
      <c r="D259" s="76" t="s">
        <v>39</v>
      </c>
      <c r="E259" s="76" t="s">
        <v>22</v>
      </c>
      <c r="F259" s="77">
        <v>45657</v>
      </c>
      <c r="G259" s="76">
        <v>2024</v>
      </c>
      <c r="H259" s="76" t="s">
        <v>27</v>
      </c>
      <c r="I259" s="76" t="s">
        <v>36</v>
      </c>
      <c r="J259" s="76">
        <v>4000</v>
      </c>
      <c r="K259" s="76">
        <v>4301.8611111111104</v>
      </c>
      <c r="L259" s="78">
        <f t="shared" si="26"/>
        <v>1.0754652777777776</v>
      </c>
      <c r="M259" s="78">
        <f t="shared" si="27"/>
        <v>1.0754652777777776</v>
      </c>
      <c r="N259" s="76" t="s">
        <v>25</v>
      </c>
      <c r="O259" s="76" t="s">
        <v>25</v>
      </c>
      <c r="P259" s="76">
        <v>0</v>
      </c>
      <c r="Q259" s="76">
        <v>0</v>
      </c>
      <c r="R259" s="76" t="s">
        <v>1070</v>
      </c>
      <c r="S259" s="76"/>
    </row>
    <row r="260" spans="1:19" x14ac:dyDescent="0.3">
      <c r="A260" s="76">
        <v>235</v>
      </c>
      <c r="B260" s="76" t="s">
        <v>1071</v>
      </c>
      <c r="C260" s="76" t="s">
        <v>251</v>
      </c>
      <c r="D260" s="76" t="s">
        <v>139</v>
      </c>
      <c r="E260" s="76" t="s">
        <v>22</v>
      </c>
      <c r="F260" s="77">
        <v>45291</v>
      </c>
      <c r="G260" s="76">
        <v>2023</v>
      </c>
      <c r="H260" s="76" t="s">
        <v>27</v>
      </c>
      <c r="I260" s="76" t="s">
        <v>32</v>
      </c>
      <c r="J260" s="76">
        <v>605</v>
      </c>
      <c r="K260" s="76">
        <v>494</v>
      </c>
      <c r="L260" s="78">
        <f t="shared" si="26"/>
        <v>0.8165289256198347</v>
      </c>
      <c r="M260" s="78">
        <f t="shared" si="27"/>
        <v>0.8165289256198347</v>
      </c>
      <c r="N260" s="76" t="s">
        <v>25</v>
      </c>
      <c r="O260" s="76" t="s">
        <v>25</v>
      </c>
      <c r="P260" s="76">
        <v>0</v>
      </c>
      <c r="Q260" s="76">
        <v>0</v>
      </c>
      <c r="R260" s="76" t="s">
        <v>1072</v>
      </c>
      <c r="S260" s="76"/>
    </row>
    <row r="261" spans="1:19" x14ac:dyDescent="0.3">
      <c r="A261" s="76">
        <v>235</v>
      </c>
      <c r="B261" s="76" t="s">
        <v>1071</v>
      </c>
      <c r="C261" s="76" t="s">
        <v>251</v>
      </c>
      <c r="D261" s="76" t="s">
        <v>139</v>
      </c>
      <c r="E261" s="76" t="s">
        <v>22</v>
      </c>
      <c r="F261" s="77">
        <v>45657</v>
      </c>
      <c r="G261" s="76">
        <v>2024</v>
      </c>
      <c r="H261" s="76" t="s">
        <v>27</v>
      </c>
      <c r="I261" s="76" t="s">
        <v>36</v>
      </c>
      <c r="J261" s="76">
        <v>626</v>
      </c>
      <c r="K261" s="76">
        <v>576</v>
      </c>
      <c r="L261" s="78">
        <f t="shared" si="26"/>
        <v>0.92012779552715651</v>
      </c>
      <c r="M261" s="78">
        <f t="shared" si="27"/>
        <v>0.92012779552715651</v>
      </c>
      <c r="N261" s="76" t="s">
        <v>25</v>
      </c>
      <c r="O261" s="76" t="s">
        <v>25</v>
      </c>
      <c r="P261" s="76">
        <v>0</v>
      </c>
      <c r="Q261" s="76">
        <v>0</v>
      </c>
      <c r="R261" s="76" t="s">
        <v>1073</v>
      </c>
      <c r="S261" s="76"/>
    </row>
    <row r="262" spans="1:19" x14ac:dyDescent="0.3">
      <c r="A262" s="76">
        <v>236</v>
      </c>
      <c r="B262" s="76" t="s">
        <v>1074</v>
      </c>
      <c r="C262" s="76" t="s">
        <v>251</v>
      </c>
      <c r="D262" s="76" t="s">
        <v>139</v>
      </c>
      <c r="E262" s="76" t="s">
        <v>56</v>
      </c>
      <c r="F262" s="77">
        <v>45291</v>
      </c>
      <c r="G262" s="76">
        <v>2023</v>
      </c>
      <c r="H262" s="76" t="s">
        <v>27</v>
      </c>
      <c r="I262" s="76" t="s">
        <v>32</v>
      </c>
      <c r="J262" s="76">
        <v>0</v>
      </c>
      <c r="K262" s="76">
        <v>0</v>
      </c>
      <c r="L262" s="78" t="str">
        <f t="shared" si="26"/>
        <v/>
      </c>
      <c r="M262" s="78" t="str">
        <f t="shared" si="27"/>
        <v/>
      </c>
      <c r="N262" s="76" t="s">
        <v>25</v>
      </c>
      <c r="O262" s="76" t="s">
        <v>25</v>
      </c>
      <c r="P262" s="76">
        <v>0</v>
      </c>
      <c r="Q262" s="76">
        <v>0</v>
      </c>
      <c r="R262" s="76" t="s">
        <v>1075</v>
      </c>
      <c r="S262" s="76"/>
    </row>
    <row r="263" spans="1:19" x14ac:dyDescent="0.3">
      <c r="A263" s="76">
        <v>236</v>
      </c>
      <c r="B263" s="76" t="s">
        <v>1074</v>
      </c>
      <c r="C263" s="76" t="s">
        <v>251</v>
      </c>
      <c r="D263" s="76" t="s">
        <v>139</v>
      </c>
      <c r="E263" s="76" t="s">
        <v>56</v>
      </c>
      <c r="F263" s="77">
        <v>45657</v>
      </c>
      <c r="G263" s="76">
        <v>2024</v>
      </c>
      <c r="H263" s="76" t="s">
        <v>27</v>
      </c>
      <c r="I263" s="76" t="s">
        <v>36</v>
      </c>
      <c r="J263" s="76">
        <v>0</v>
      </c>
      <c r="K263" s="76">
        <v>0</v>
      </c>
      <c r="L263" s="78" t="str">
        <f t="shared" si="26"/>
        <v/>
      </c>
      <c r="M263" s="78" t="str">
        <f t="shared" si="27"/>
        <v/>
      </c>
      <c r="N263" s="76" t="s">
        <v>25</v>
      </c>
      <c r="O263" s="76" t="s">
        <v>25</v>
      </c>
      <c r="P263" s="76">
        <v>0</v>
      </c>
      <c r="Q263" s="76">
        <v>0</v>
      </c>
      <c r="R263" s="76" t="s">
        <v>1076</v>
      </c>
      <c r="S263" s="76"/>
    </row>
    <row r="264" spans="1:19" x14ac:dyDescent="0.3">
      <c r="A264" s="76">
        <v>238</v>
      </c>
      <c r="B264" s="76" t="s">
        <v>1077</v>
      </c>
      <c r="C264" s="76" t="s">
        <v>251</v>
      </c>
      <c r="D264" s="76" t="s">
        <v>39</v>
      </c>
      <c r="E264" s="76" t="s">
        <v>22</v>
      </c>
      <c r="F264" s="77">
        <v>45291</v>
      </c>
      <c r="G264" s="76">
        <v>2023</v>
      </c>
      <c r="H264" s="76" t="s">
        <v>27</v>
      </c>
      <c r="I264" s="76" t="s">
        <v>32</v>
      </c>
      <c r="J264" s="76">
        <v>90</v>
      </c>
      <c r="K264" s="76">
        <v>87.520885547201345</v>
      </c>
      <c r="L264" s="78">
        <f t="shared" si="26"/>
        <v>0.97245428385779276</v>
      </c>
      <c r="M264" s="78">
        <f t="shared" si="27"/>
        <v>0.97245428385779276</v>
      </c>
      <c r="N264" s="76" t="s">
        <v>25</v>
      </c>
      <c r="O264" s="76" t="s">
        <v>25</v>
      </c>
      <c r="P264" s="76">
        <v>0</v>
      </c>
      <c r="Q264" s="76">
        <v>0</v>
      </c>
      <c r="R264" s="76" t="s">
        <v>1086</v>
      </c>
      <c r="S264" s="76"/>
    </row>
    <row r="265" spans="1:19" x14ac:dyDescent="0.3">
      <c r="A265" s="76">
        <v>238</v>
      </c>
      <c r="B265" s="76" t="s">
        <v>1077</v>
      </c>
      <c r="C265" s="76" t="s">
        <v>251</v>
      </c>
      <c r="D265" s="76" t="s">
        <v>39</v>
      </c>
      <c r="E265" s="76" t="s">
        <v>22</v>
      </c>
      <c r="F265" s="77">
        <v>45657</v>
      </c>
      <c r="G265" s="76">
        <v>2024</v>
      </c>
      <c r="H265" s="76" t="s">
        <v>27</v>
      </c>
      <c r="I265" s="76" t="s">
        <v>36</v>
      </c>
      <c r="J265" s="76">
        <v>90</v>
      </c>
      <c r="K265" s="76">
        <v>79.631500626566407</v>
      </c>
      <c r="L265" s="78">
        <f t="shared" si="26"/>
        <v>0.88479445140629343</v>
      </c>
      <c r="M265" s="78">
        <f t="shared" si="27"/>
        <v>0.88479445140629343</v>
      </c>
      <c r="N265" s="76" t="s">
        <v>25</v>
      </c>
      <c r="O265" s="76" t="s">
        <v>25</v>
      </c>
      <c r="P265" s="76">
        <v>0</v>
      </c>
      <c r="Q265" s="76">
        <v>0</v>
      </c>
      <c r="R265" s="76" t="s">
        <v>1090</v>
      </c>
      <c r="S265" s="76"/>
    </row>
    <row r="266" spans="1:19" x14ac:dyDescent="0.3">
      <c r="A266" s="76">
        <v>239</v>
      </c>
      <c r="B266" s="76" t="s">
        <v>1095</v>
      </c>
      <c r="C266" s="76" t="s">
        <v>1096</v>
      </c>
      <c r="D266" s="76" t="s">
        <v>73</v>
      </c>
      <c r="E266" s="76" t="s">
        <v>22</v>
      </c>
      <c r="F266" s="77">
        <v>44926</v>
      </c>
      <c r="G266" s="76">
        <v>2022</v>
      </c>
      <c r="H266" s="76" t="s">
        <v>27</v>
      </c>
      <c r="I266" s="76" t="s">
        <v>28</v>
      </c>
      <c r="J266" s="76"/>
      <c r="K266" s="76">
        <v>0</v>
      </c>
      <c r="L266" s="78"/>
      <c r="M266" s="78"/>
      <c r="N266" s="76" t="s">
        <v>25</v>
      </c>
      <c r="O266" s="76" t="s">
        <v>25</v>
      </c>
      <c r="P266" s="76">
        <v>0</v>
      </c>
      <c r="Q266" s="76">
        <v>0</v>
      </c>
      <c r="R266" s="76" t="s">
        <v>1108</v>
      </c>
      <c r="S266" s="76"/>
    </row>
    <row r="267" spans="1:19" x14ac:dyDescent="0.3">
      <c r="A267" s="76">
        <v>239</v>
      </c>
      <c r="B267" s="76" t="s">
        <v>1095</v>
      </c>
      <c r="C267" s="76" t="s">
        <v>1096</v>
      </c>
      <c r="D267" s="76" t="s">
        <v>73</v>
      </c>
      <c r="E267" s="76" t="s">
        <v>22</v>
      </c>
      <c r="F267" s="77">
        <v>45291</v>
      </c>
      <c r="G267" s="76">
        <v>2023</v>
      </c>
      <c r="H267" s="76" t="s">
        <v>27</v>
      </c>
      <c r="I267" s="76" t="s">
        <v>32</v>
      </c>
      <c r="J267" s="76"/>
      <c r="K267" s="76">
        <v>0</v>
      </c>
      <c r="L267" s="78"/>
      <c r="M267" s="78"/>
      <c r="N267" s="76" t="s">
        <v>25</v>
      </c>
      <c r="O267" s="76" t="s">
        <v>25</v>
      </c>
      <c r="P267" s="76">
        <v>0</v>
      </c>
      <c r="Q267" s="76">
        <v>0</v>
      </c>
      <c r="R267" s="76" t="s">
        <v>1121</v>
      </c>
      <c r="S267" s="76"/>
    </row>
    <row r="268" spans="1:19" x14ac:dyDescent="0.3">
      <c r="A268" s="76">
        <v>239</v>
      </c>
      <c r="B268" s="76" t="s">
        <v>1095</v>
      </c>
      <c r="C268" s="76" t="s">
        <v>1096</v>
      </c>
      <c r="D268" s="76" t="s">
        <v>73</v>
      </c>
      <c r="E268" s="76" t="s">
        <v>22</v>
      </c>
      <c r="F268" s="77">
        <v>45657</v>
      </c>
      <c r="G268" s="76">
        <v>2024</v>
      </c>
      <c r="H268" s="76" t="s">
        <v>27</v>
      </c>
      <c r="I268" s="76" t="s">
        <v>36</v>
      </c>
      <c r="J268" s="76"/>
      <c r="K268" s="76">
        <v>0</v>
      </c>
      <c r="L268" s="78"/>
      <c r="M268" s="78"/>
      <c r="N268" s="76" t="s">
        <v>25</v>
      </c>
      <c r="O268" s="76" t="s">
        <v>25</v>
      </c>
      <c r="P268" s="76">
        <v>0</v>
      </c>
      <c r="Q268" s="76">
        <v>0</v>
      </c>
      <c r="R268" s="76" t="s">
        <v>1133</v>
      </c>
      <c r="S268" s="76"/>
    </row>
    <row r="269" spans="1:19" x14ac:dyDescent="0.3">
      <c r="A269" s="76">
        <v>240</v>
      </c>
      <c r="B269" s="76" t="s">
        <v>1144</v>
      </c>
      <c r="C269" s="76" t="s">
        <v>1096</v>
      </c>
      <c r="D269" s="76" t="s">
        <v>39</v>
      </c>
      <c r="E269" s="76" t="s">
        <v>22</v>
      </c>
      <c r="F269" s="77">
        <v>45291</v>
      </c>
      <c r="G269" s="76">
        <v>2023</v>
      </c>
      <c r="H269" s="76" t="s">
        <v>27</v>
      </c>
      <c r="I269" s="76" t="s">
        <v>32</v>
      </c>
      <c r="J269" s="76">
        <v>5</v>
      </c>
      <c r="K269" s="76">
        <v>3.25</v>
      </c>
      <c r="L269" s="78">
        <f t="shared" ref="L269:L273" si="28">IFERROR(IF(OR(J269=0,K269=""),"",IF(E269="Positivo",MIN(MAX(K269/J269,0),1.3),MIN(MAX(J269/K269,0),1.3))),"")</f>
        <v>0.65</v>
      </c>
      <c r="M269" s="78">
        <f t="shared" ref="M269:M273" si="29">IFERROR(IF(OR(J269=0,K269=""),"",IF(E269="Positivo",MAX(K269/J269,0),MAX(J269/K269,0))),"")</f>
        <v>0.65</v>
      </c>
      <c r="N269" s="76" t="s">
        <v>25</v>
      </c>
      <c r="O269" s="76" t="s">
        <v>25</v>
      </c>
      <c r="P269" s="76">
        <v>0</v>
      </c>
      <c r="Q269" s="76">
        <v>0</v>
      </c>
      <c r="R269" s="76" t="s">
        <v>1148</v>
      </c>
      <c r="S269" s="76"/>
    </row>
    <row r="270" spans="1:19" x14ac:dyDescent="0.3">
      <c r="A270" s="76">
        <v>240</v>
      </c>
      <c r="B270" s="76" t="s">
        <v>1144</v>
      </c>
      <c r="C270" s="76" t="s">
        <v>1096</v>
      </c>
      <c r="D270" s="76" t="s">
        <v>39</v>
      </c>
      <c r="E270" s="76" t="s">
        <v>22</v>
      </c>
      <c r="F270" s="77">
        <v>45657</v>
      </c>
      <c r="G270" s="76">
        <v>2024</v>
      </c>
      <c r="H270" s="76" t="s">
        <v>27</v>
      </c>
      <c r="I270" s="76" t="s">
        <v>36</v>
      </c>
      <c r="J270" s="76">
        <v>14.75</v>
      </c>
      <c r="K270" s="76">
        <v>14.5</v>
      </c>
      <c r="L270" s="78">
        <f t="shared" si="28"/>
        <v>0.98305084745762716</v>
      </c>
      <c r="M270" s="78">
        <f t="shared" si="29"/>
        <v>0.98305084745762716</v>
      </c>
      <c r="N270" s="76" t="s">
        <v>25</v>
      </c>
      <c r="O270" s="76" t="s">
        <v>25</v>
      </c>
      <c r="P270" s="76">
        <v>0</v>
      </c>
      <c r="Q270" s="76">
        <v>0</v>
      </c>
      <c r="R270" s="76" t="s">
        <v>1152</v>
      </c>
      <c r="S270" s="76"/>
    </row>
    <row r="271" spans="1:19" x14ac:dyDescent="0.3">
      <c r="A271" s="76">
        <v>241</v>
      </c>
      <c r="B271" s="76" t="s">
        <v>1153</v>
      </c>
      <c r="C271" s="76" t="s">
        <v>1096</v>
      </c>
      <c r="D271" s="76" t="s">
        <v>73</v>
      </c>
      <c r="E271" s="76" t="s">
        <v>22</v>
      </c>
      <c r="F271" s="77">
        <v>45291</v>
      </c>
      <c r="G271" s="76">
        <v>2023</v>
      </c>
      <c r="H271" s="76" t="s">
        <v>27</v>
      </c>
      <c r="I271" s="76" t="s">
        <v>32</v>
      </c>
      <c r="J271" s="76">
        <v>9.3333333333333339</v>
      </c>
      <c r="K271" s="76">
        <v>8.5833333333333339</v>
      </c>
      <c r="L271" s="78">
        <f t="shared" si="28"/>
        <v>0.9196428571428571</v>
      </c>
      <c r="M271" s="78">
        <f t="shared" si="29"/>
        <v>0.9196428571428571</v>
      </c>
      <c r="N271" s="76" t="s">
        <v>25</v>
      </c>
      <c r="O271" s="76" t="s">
        <v>25</v>
      </c>
      <c r="P271" s="76">
        <v>0</v>
      </c>
      <c r="Q271" s="76">
        <v>0</v>
      </c>
      <c r="R271" s="76" t="s">
        <v>1165</v>
      </c>
      <c r="S271" s="76"/>
    </row>
    <row r="272" spans="1:19" x14ac:dyDescent="0.3">
      <c r="A272" s="76">
        <v>241</v>
      </c>
      <c r="B272" s="76" t="s">
        <v>1153</v>
      </c>
      <c r="C272" s="76" t="s">
        <v>1096</v>
      </c>
      <c r="D272" s="76" t="s">
        <v>73</v>
      </c>
      <c r="E272" s="76" t="s">
        <v>22</v>
      </c>
      <c r="F272" s="77">
        <v>45657</v>
      </c>
      <c r="G272" s="76">
        <v>2024</v>
      </c>
      <c r="H272" s="76" t="s">
        <v>27</v>
      </c>
      <c r="I272" s="76" t="s">
        <v>36</v>
      </c>
      <c r="J272" s="76">
        <v>11.58333333333333</v>
      </c>
      <c r="K272" s="76">
        <v>10.16666666666667</v>
      </c>
      <c r="L272" s="78">
        <f t="shared" si="28"/>
        <v>0.87769784172661913</v>
      </c>
      <c r="M272" s="78">
        <f t="shared" si="29"/>
        <v>0.87769784172661913</v>
      </c>
      <c r="N272" s="76" t="s">
        <v>25</v>
      </c>
      <c r="O272" s="76" t="s">
        <v>25</v>
      </c>
      <c r="P272" s="76">
        <v>0</v>
      </c>
      <c r="Q272" s="76">
        <v>0</v>
      </c>
      <c r="R272" s="76" t="s">
        <v>1177</v>
      </c>
      <c r="S272" s="76"/>
    </row>
    <row r="273" spans="1:19" x14ac:dyDescent="0.3">
      <c r="A273" s="37">
        <v>242</v>
      </c>
      <c r="B273" s="37" t="s">
        <v>3509</v>
      </c>
      <c r="C273" s="37" t="s">
        <v>1096</v>
      </c>
      <c r="D273" s="37" t="s">
        <v>73</v>
      </c>
      <c r="E273" s="37" t="s">
        <v>22</v>
      </c>
      <c r="F273" s="42">
        <v>45291</v>
      </c>
      <c r="G273" s="37">
        <v>2023</v>
      </c>
      <c r="H273" s="37" t="s">
        <v>27</v>
      </c>
      <c r="I273" s="39" t="s">
        <v>32</v>
      </c>
      <c r="J273" s="37">
        <v>90</v>
      </c>
      <c r="K273" s="37">
        <v>96.08</v>
      </c>
      <c r="L273" s="65">
        <f t="shared" si="28"/>
        <v>1.0675555555555556</v>
      </c>
      <c r="M273" s="65">
        <f t="shared" si="29"/>
        <v>1.0675555555555556</v>
      </c>
      <c r="N273" s="37" t="s">
        <v>25</v>
      </c>
      <c r="O273" s="37" t="s">
        <v>25</v>
      </c>
      <c r="P273" s="37">
        <v>0</v>
      </c>
      <c r="Q273" s="37">
        <v>0</v>
      </c>
      <c r="R273" s="37" t="s">
        <v>1190</v>
      </c>
      <c r="S273" s="37"/>
    </row>
    <row r="274" spans="1:19" x14ac:dyDescent="0.3">
      <c r="A274" s="37">
        <v>243</v>
      </c>
      <c r="B274" s="37" t="s">
        <v>1191</v>
      </c>
      <c r="C274" s="37" t="s">
        <v>1096</v>
      </c>
      <c r="D274" s="37" t="s">
        <v>73</v>
      </c>
      <c r="E274" s="37" t="s">
        <v>56</v>
      </c>
      <c r="F274" s="42">
        <v>45291</v>
      </c>
      <c r="G274" s="37">
        <v>2023</v>
      </c>
      <c r="H274" s="37" t="s">
        <v>27</v>
      </c>
      <c r="I274" s="39" t="s">
        <v>32</v>
      </c>
      <c r="J274" s="37"/>
      <c r="K274" s="37">
        <v>4.96</v>
      </c>
      <c r="L274" s="65"/>
      <c r="M274" s="65"/>
      <c r="N274" s="37" t="s">
        <v>25</v>
      </c>
      <c r="O274" s="37" t="s">
        <v>25</v>
      </c>
      <c r="P274" s="37">
        <v>0</v>
      </c>
      <c r="Q274" s="37">
        <v>0</v>
      </c>
      <c r="R274" s="37" t="s">
        <v>1203</v>
      </c>
      <c r="S274" s="37"/>
    </row>
    <row r="275" spans="1:19" x14ac:dyDescent="0.3">
      <c r="A275" s="76">
        <v>244</v>
      </c>
      <c r="B275" s="76" t="s">
        <v>1204</v>
      </c>
      <c r="C275" s="76" t="s">
        <v>251</v>
      </c>
      <c r="D275" s="76" t="s">
        <v>139</v>
      </c>
      <c r="E275" s="76" t="s">
        <v>56</v>
      </c>
      <c r="F275" s="77">
        <v>45291</v>
      </c>
      <c r="G275" s="76">
        <v>2023</v>
      </c>
      <c r="H275" s="76" t="s">
        <v>27</v>
      </c>
      <c r="I275" s="76" t="s">
        <v>32</v>
      </c>
      <c r="J275" s="76">
        <v>1</v>
      </c>
      <c r="K275" s="76">
        <v>24</v>
      </c>
      <c r="L275" s="78">
        <f t="shared" ref="L275:L280" si="30">IFERROR(IF(OR(J275=0,K275=""),"",IF(E275="Positivo",MIN(MAX(K275/J275,0),1.3),MIN(MAX(J275/K275,0),1.3))),"")</f>
        <v>4.1666666666666664E-2</v>
      </c>
      <c r="M275" s="78">
        <f t="shared" ref="M275:M280" si="31">IFERROR(IF(OR(J275=0,K275=""),"",IF(E275="Positivo",MAX(K275/J275,0),MAX(J275/K275,0))),"")</f>
        <v>4.1666666666666664E-2</v>
      </c>
      <c r="N275" s="76" t="s">
        <v>25</v>
      </c>
      <c r="O275" s="76" t="s">
        <v>25</v>
      </c>
      <c r="P275" s="76">
        <v>0</v>
      </c>
      <c r="Q275" s="76">
        <v>0</v>
      </c>
      <c r="R275" s="76" t="s">
        <v>1205</v>
      </c>
      <c r="S275" s="76"/>
    </row>
    <row r="276" spans="1:19" x14ac:dyDescent="0.3">
      <c r="A276" s="76">
        <v>244</v>
      </c>
      <c r="B276" s="76" t="s">
        <v>1204</v>
      </c>
      <c r="C276" s="76" t="s">
        <v>251</v>
      </c>
      <c r="D276" s="76" t="s">
        <v>139</v>
      </c>
      <c r="E276" s="76" t="s">
        <v>56</v>
      </c>
      <c r="F276" s="77">
        <v>45657</v>
      </c>
      <c r="G276" s="76">
        <v>2024</v>
      </c>
      <c r="H276" s="76" t="s">
        <v>27</v>
      </c>
      <c r="I276" s="76" t="s">
        <v>36</v>
      </c>
      <c r="J276" s="76">
        <v>1</v>
      </c>
      <c r="K276" s="76">
        <v>25</v>
      </c>
      <c r="L276" s="78">
        <f t="shared" si="30"/>
        <v>0.04</v>
      </c>
      <c r="M276" s="78">
        <f t="shared" si="31"/>
        <v>0.04</v>
      </c>
      <c r="N276" s="76" t="s">
        <v>25</v>
      </c>
      <c r="O276" s="76" t="s">
        <v>25</v>
      </c>
      <c r="P276" s="76">
        <v>0</v>
      </c>
      <c r="Q276" s="76">
        <v>0</v>
      </c>
      <c r="R276" s="76" t="s">
        <v>1206</v>
      </c>
      <c r="S276" s="76"/>
    </row>
    <row r="277" spans="1:19" x14ac:dyDescent="0.3">
      <c r="A277" s="76">
        <v>245</v>
      </c>
      <c r="B277" s="76" t="s">
        <v>1213</v>
      </c>
      <c r="C277" s="76" t="s">
        <v>1208</v>
      </c>
      <c r="D277" s="76" t="s">
        <v>21</v>
      </c>
      <c r="E277" s="76" t="s">
        <v>22</v>
      </c>
      <c r="F277" s="77">
        <v>45291</v>
      </c>
      <c r="G277" s="76">
        <v>2023</v>
      </c>
      <c r="H277" s="76" t="s">
        <v>27</v>
      </c>
      <c r="I277" s="76" t="s">
        <v>32</v>
      </c>
      <c r="J277" s="76">
        <v>87</v>
      </c>
      <c r="K277" s="76">
        <v>85.38</v>
      </c>
      <c r="L277" s="78">
        <f t="shared" si="30"/>
        <v>0.9813793103448275</v>
      </c>
      <c r="M277" s="78">
        <f t="shared" si="31"/>
        <v>0.9813793103448275</v>
      </c>
      <c r="N277" s="76" t="s">
        <v>25</v>
      </c>
      <c r="O277" s="76" t="s">
        <v>25</v>
      </c>
      <c r="P277" s="76">
        <v>0</v>
      </c>
      <c r="Q277" s="76">
        <v>0</v>
      </c>
      <c r="R277" s="76" t="s">
        <v>1210</v>
      </c>
      <c r="S277" s="76"/>
    </row>
    <row r="278" spans="1:19" x14ac:dyDescent="0.3">
      <c r="A278" s="76">
        <v>245</v>
      </c>
      <c r="B278" s="76" t="s">
        <v>1213</v>
      </c>
      <c r="C278" s="76" t="s">
        <v>1208</v>
      </c>
      <c r="D278" s="76" t="s">
        <v>21</v>
      </c>
      <c r="E278" s="76" t="s">
        <v>22</v>
      </c>
      <c r="F278" s="77">
        <v>45657</v>
      </c>
      <c r="G278" s="76">
        <v>2024</v>
      </c>
      <c r="H278" s="76" t="s">
        <v>27</v>
      </c>
      <c r="I278" s="76" t="s">
        <v>36</v>
      </c>
      <c r="J278" s="76">
        <v>85</v>
      </c>
      <c r="K278" s="76">
        <v>85.19</v>
      </c>
      <c r="L278" s="78">
        <f t="shared" si="30"/>
        <v>1.0022352941176471</v>
      </c>
      <c r="M278" s="78">
        <f t="shared" si="31"/>
        <v>1.0022352941176471</v>
      </c>
      <c r="N278" s="76" t="s">
        <v>25</v>
      </c>
      <c r="O278" s="76" t="s">
        <v>25</v>
      </c>
      <c r="P278" s="76">
        <v>0</v>
      </c>
      <c r="Q278" s="76">
        <v>0</v>
      </c>
      <c r="R278" s="76" t="s">
        <v>1212</v>
      </c>
      <c r="S278" s="76"/>
    </row>
    <row r="279" spans="1:19" x14ac:dyDescent="0.3">
      <c r="A279" s="76">
        <v>246</v>
      </c>
      <c r="B279" s="76" t="s">
        <v>1217</v>
      </c>
      <c r="C279" s="76" t="s">
        <v>1215</v>
      </c>
      <c r="D279" s="76" t="s">
        <v>21</v>
      </c>
      <c r="E279" s="76" t="s">
        <v>22</v>
      </c>
      <c r="F279" s="77">
        <v>45291</v>
      </c>
      <c r="G279" s="76">
        <v>2023</v>
      </c>
      <c r="H279" s="76" t="s">
        <v>27</v>
      </c>
      <c r="I279" s="76" t="s">
        <v>32</v>
      </c>
      <c r="J279" s="76">
        <v>1</v>
      </c>
      <c r="K279" s="76">
        <v>61.4</v>
      </c>
      <c r="L279" s="78">
        <f t="shared" si="30"/>
        <v>1.3</v>
      </c>
      <c r="M279" s="78">
        <f t="shared" si="31"/>
        <v>61.4</v>
      </c>
      <c r="N279" s="76" t="s">
        <v>25</v>
      </c>
      <c r="O279" s="76" t="s">
        <v>25</v>
      </c>
      <c r="P279" s="76">
        <v>0</v>
      </c>
      <c r="Q279" s="76">
        <v>0</v>
      </c>
      <c r="R279" s="76" t="s">
        <v>1216</v>
      </c>
      <c r="S279" s="76"/>
    </row>
    <row r="280" spans="1:19" x14ac:dyDescent="0.3">
      <c r="A280" s="76">
        <v>246</v>
      </c>
      <c r="B280" s="76" t="s">
        <v>1217</v>
      </c>
      <c r="C280" s="76" t="s">
        <v>1215</v>
      </c>
      <c r="D280" s="76" t="s">
        <v>21</v>
      </c>
      <c r="E280" s="76" t="s">
        <v>22</v>
      </c>
      <c r="F280" s="77">
        <v>45657</v>
      </c>
      <c r="G280" s="76">
        <v>2024</v>
      </c>
      <c r="H280" s="76" t="s">
        <v>27</v>
      </c>
      <c r="I280" s="76" t="s">
        <v>36</v>
      </c>
      <c r="J280" s="76">
        <v>1</v>
      </c>
      <c r="K280" s="76">
        <v>94.4</v>
      </c>
      <c r="L280" s="78">
        <f t="shared" si="30"/>
        <v>1.3</v>
      </c>
      <c r="M280" s="78">
        <f t="shared" si="31"/>
        <v>94.4</v>
      </c>
      <c r="N280" s="76" t="s">
        <v>25</v>
      </c>
      <c r="O280" s="76" t="s">
        <v>25</v>
      </c>
      <c r="P280" s="76">
        <v>0</v>
      </c>
      <c r="Q280" s="76">
        <v>0</v>
      </c>
      <c r="R280" s="76" t="s">
        <v>1219</v>
      </c>
      <c r="S280" s="76"/>
    </row>
    <row r="281" spans="1:19" x14ac:dyDescent="0.3">
      <c r="A281" s="37">
        <v>247</v>
      </c>
      <c r="B281" s="37" t="s">
        <v>1220</v>
      </c>
      <c r="C281" s="37" t="s">
        <v>1215</v>
      </c>
      <c r="D281" s="37" t="s">
        <v>73</v>
      </c>
      <c r="E281" s="37" t="s">
        <v>22</v>
      </c>
      <c r="F281" s="42">
        <v>45291</v>
      </c>
      <c r="G281" s="37">
        <v>2023</v>
      </c>
      <c r="H281" s="37" t="s">
        <v>27</v>
      </c>
      <c r="I281" s="39" t="s">
        <v>32</v>
      </c>
      <c r="J281" s="37"/>
      <c r="K281" s="37">
        <v>69.8</v>
      </c>
      <c r="L281" s="65"/>
      <c r="M281" s="65"/>
      <c r="N281" s="37" t="s">
        <v>25</v>
      </c>
      <c r="O281" s="37" t="s">
        <v>197</v>
      </c>
      <c r="P281" s="37">
        <v>1</v>
      </c>
      <c r="Q281" s="37">
        <v>1</v>
      </c>
      <c r="R281" s="37" t="s">
        <v>1232</v>
      </c>
      <c r="S281" s="37"/>
    </row>
    <row r="282" spans="1:19" x14ac:dyDescent="0.3">
      <c r="A282" s="37">
        <v>248</v>
      </c>
      <c r="B282" s="37" t="s">
        <v>1233</v>
      </c>
      <c r="C282" s="37" t="s">
        <v>1234</v>
      </c>
      <c r="D282" s="37" t="s">
        <v>21</v>
      </c>
      <c r="E282" s="37" t="s">
        <v>22</v>
      </c>
      <c r="F282" s="42">
        <v>45291</v>
      </c>
      <c r="G282" s="37">
        <v>2023</v>
      </c>
      <c r="H282" s="37" t="s">
        <v>27</v>
      </c>
      <c r="I282" s="39" t="s">
        <v>32</v>
      </c>
      <c r="J282" s="37">
        <v>44</v>
      </c>
      <c r="K282" s="37">
        <v>44</v>
      </c>
      <c r="L282" s="65">
        <f t="shared" ref="L282:L292" si="32">IFERROR(IF(OR(J282=0,K282=""),"",IF(E282="Positivo",MIN(MAX(K282/J282,0),1.3),MIN(MAX(J282/K282,0),1.3))),"")</f>
        <v>1</v>
      </c>
      <c r="M282" s="65">
        <f t="shared" ref="M282:M292" si="33">IFERROR(IF(OR(J282=0,K282=""),"",IF(E282="Positivo",MAX(K282/J282,0),MAX(J282/K282,0))),"")</f>
        <v>1</v>
      </c>
      <c r="N282" s="37" t="s">
        <v>203</v>
      </c>
      <c r="O282" s="37" t="s">
        <v>203</v>
      </c>
      <c r="P282" s="37">
        <v>0</v>
      </c>
      <c r="Q282" s="37">
        <v>0</v>
      </c>
      <c r="R282" s="37" t="s">
        <v>1236</v>
      </c>
      <c r="S282" s="37"/>
    </row>
    <row r="283" spans="1:19" x14ac:dyDescent="0.3">
      <c r="A283" s="37">
        <v>249</v>
      </c>
      <c r="B283" s="37" t="s">
        <v>1237</v>
      </c>
      <c r="C283" s="37" t="s">
        <v>1234</v>
      </c>
      <c r="D283" s="37" t="s">
        <v>21</v>
      </c>
      <c r="E283" s="37" t="s">
        <v>22</v>
      </c>
      <c r="F283" s="42">
        <v>45291</v>
      </c>
      <c r="G283" s="37">
        <v>2023</v>
      </c>
      <c r="H283" s="37" t="s">
        <v>27</v>
      </c>
      <c r="I283" s="39" t="s">
        <v>32</v>
      </c>
      <c r="J283" s="37">
        <v>98</v>
      </c>
      <c r="K283" s="37">
        <v>98</v>
      </c>
      <c r="L283" s="65">
        <f t="shared" si="32"/>
        <v>1</v>
      </c>
      <c r="M283" s="65">
        <f t="shared" si="33"/>
        <v>1</v>
      </c>
      <c r="N283" s="37" t="s">
        <v>203</v>
      </c>
      <c r="O283" s="37" t="s">
        <v>203</v>
      </c>
      <c r="P283" s="37">
        <v>0</v>
      </c>
      <c r="Q283" s="37">
        <v>0</v>
      </c>
      <c r="R283" s="37" t="s">
        <v>1239</v>
      </c>
      <c r="S283" s="37"/>
    </row>
    <row r="284" spans="1:19" x14ac:dyDescent="0.3">
      <c r="A284" s="76">
        <v>251</v>
      </c>
      <c r="B284" s="76" t="s">
        <v>1245</v>
      </c>
      <c r="C284" s="76" t="s">
        <v>1241</v>
      </c>
      <c r="D284" s="76" t="s">
        <v>39</v>
      </c>
      <c r="E284" s="76" t="s">
        <v>22</v>
      </c>
      <c r="F284" s="77">
        <v>45291</v>
      </c>
      <c r="G284" s="76">
        <v>2023</v>
      </c>
      <c r="H284" s="76" t="s">
        <v>27</v>
      </c>
      <c r="I284" s="76" t="s">
        <v>32</v>
      </c>
      <c r="J284" s="76">
        <v>51</v>
      </c>
      <c r="K284" s="76">
        <v>51</v>
      </c>
      <c r="L284" s="78">
        <f t="shared" si="32"/>
        <v>1</v>
      </c>
      <c r="M284" s="78">
        <f t="shared" si="33"/>
        <v>1</v>
      </c>
      <c r="N284" s="76" t="s">
        <v>25</v>
      </c>
      <c r="O284" s="76" t="s">
        <v>25</v>
      </c>
      <c r="P284" s="76">
        <v>0</v>
      </c>
      <c r="Q284" s="76">
        <v>0</v>
      </c>
      <c r="R284" s="76" t="s">
        <v>1244</v>
      </c>
      <c r="S284" s="76"/>
    </row>
    <row r="285" spans="1:19" x14ac:dyDescent="0.3">
      <c r="A285" s="76">
        <v>251</v>
      </c>
      <c r="B285" s="76" t="s">
        <v>1245</v>
      </c>
      <c r="C285" s="76" t="s">
        <v>1241</v>
      </c>
      <c r="D285" s="76" t="s">
        <v>39</v>
      </c>
      <c r="E285" s="76" t="s">
        <v>22</v>
      </c>
      <c r="F285" s="77">
        <v>45657</v>
      </c>
      <c r="G285" s="76">
        <v>2024</v>
      </c>
      <c r="H285" s="76" t="s">
        <v>27</v>
      </c>
      <c r="I285" s="76" t="s">
        <v>36</v>
      </c>
      <c r="J285" s="76">
        <v>53</v>
      </c>
      <c r="K285" s="76">
        <v>51</v>
      </c>
      <c r="L285" s="78">
        <f t="shared" si="32"/>
        <v>0.96226415094339623</v>
      </c>
      <c r="M285" s="78">
        <f t="shared" si="33"/>
        <v>0.96226415094339623</v>
      </c>
      <c r="N285" s="76" t="s">
        <v>25</v>
      </c>
      <c r="O285" s="76" t="s">
        <v>25</v>
      </c>
      <c r="P285" s="76">
        <v>0</v>
      </c>
      <c r="Q285" s="76">
        <v>0</v>
      </c>
      <c r="R285" s="76" t="s">
        <v>1249</v>
      </c>
      <c r="S285" s="76"/>
    </row>
    <row r="286" spans="1:19" x14ac:dyDescent="0.3">
      <c r="A286" s="76">
        <v>252</v>
      </c>
      <c r="B286" s="76" t="s">
        <v>1255</v>
      </c>
      <c r="C286" s="76" t="s">
        <v>1208</v>
      </c>
      <c r="D286" s="76" t="s">
        <v>21</v>
      </c>
      <c r="E286" s="76" t="s">
        <v>22</v>
      </c>
      <c r="F286" s="77">
        <v>45291</v>
      </c>
      <c r="G286" s="76">
        <v>2023</v>
      </c>
      <c r="H286" s="76" t="s">
        <v>27</v>
      </c>
      <c r="I286" s="76" t="s">
        <v>32</v>
      </c>
      <c r="J286" s="76">
        <v>68</v>
      </c>
      <c r="K286" s="76">
        <v>74.739999999999995</v>
      </c>
      <c r="L286" s="78">
        <f t="shared" si="32"/>
        <v>1.0991176470588235</v>
      </c>
      <c r="M286" s="78">
        <f t="shared" si="33"/>
        <v>1.0991176470588235</v>
      </c>
      <c r="N286" s="76" t="s">
        <v>25</v>
      </c>
      <c r="O286" s="76" t="s">
        <v>25</v>
      </c>
      <c r="P286" s="76">
        <v>0</v>
      </c>
      <c r="Q286" s="76">
        <v>0</v>
      </c>
      <c r="R286" s="76" t="s">
        <v>1252</v>
      </c>
      <c r="S286" s="76"/>
    </row>
    <row r="287" spans="1:19" x14ac:dyDescent="0.3">
      <c r="A287" s="76">
        <v>252</v>
      </c>
      <c r="B287" s="76" t="s">
        <v>1255</v>
      </c>
      <c r="C287" s="76" t="s">
        <v>1208</v>
      </c>
      <c r="D287" s="76" t="s">
        <v>21</v>
      </c>
      <c r="E287" s="76" t="s">
        <v>22</v>
      </c>
      <c r="F287" s="77">
        <v>45657</v>
      </c>
      <c r="G287" s="76">
        <v>2024</v>
      </c>
      <c r="H287" s="76" t="s">
        <v>27</v>
      </c>
      <c r="I287" s="76" t="s">
        <v>36</v>
      </c>
      <c r="J287" s="76">
        <v>72.900000000000006</v>
      </c>
      <c r="K287" s="76">
        <v>72.53</v>
      </c>
      <c r="L287" s="78">
        <f t="shared" si="32"/>
        <v>0.99492455418381343</v>
      </c>
      <c r="M287" s="78">
        <f t="shared" si="33"/>
        <v>0.99492455418381343</v>
      </c>
      <c r="N287" s="76" t="s">
        <v>25</v>
      </c>
      <c r="O287" s="76" t="s">
        <v>25</v>
      </c>
      <c r="P287" s="76">
        <v>0</v>
      </c>
      <c r="Q287" s="76">
        <v>0</v>
      </c>
      <c r="R287" s="76" t="s">
        <v>1254</v>
      </c>
      <c r="S287" s="76"/>
    </row>
    <row r="288" spans="1:19" x14ac:dyDescent="0.3">
      <c r="A288" s="37">
        <v>253</v>
      </c>
      <c r="B288" s="37" t="s">
        <v>1256</v>
      </c>
      <c r="C288" s="37" t="s">
        <v>120</v>
      </c>
      <c r="D288" s="37" t="s">
        <v>121</v>
      </c>
      <c r="E288" s="37" t="s">
        <v>56</v>
      </c>
      <c r="F288" s="42">
        <v>45291</v>
      </c>
      <c r="G288" s="37">
        <v>2023</v>
      </c>
      <c r="H288" s="37" t="s">
        <v>27</v>
      </c>
      <c r="I288" s="39" t="s">
        <v>32</v>
      </c>
      <c r="J288" s="37">
        <v>8</v>
      </c>
      <c r="K288" s="37">
        <v>5.56</v>
      </c>
      <c r="L288" s="65">
        <f t="shared" si="32"/>
        <v>1.3</v>
      </c>
      <c r="M288" s="65">
        <f t="shared" si="33"/>
        <v>1.4388489208633095</v>
      </c>
      <c r="N288" s="37" t="s">
        <v>57</v>
      </c>
      <c r="O288" s="37" t="s">
        <v>57</v>
      </c>
      <c r="P288" s="37">
        <v>0</v>
      </c>
      <c r="Q288" s="37">
        <v>0</v>
      </c>
      <c r="R288" s="37" t="s">
        <v>1261</v>
      </c>
      <c r="S288" s="37"/>
    </row>
    <row r="289" spans="1:19" x14ac:dyDescent="0.3">
      <c r="A289" s="76">
        <v>254</v>
      </c>
      <c r="B289" s="76" t="s">
        <v>1262</v>
      </c>
      <c r="C289" s="76" t="s">
        <v>1263</v>
      </c>
      <c r="D289" s="76" t="s">
        <v>39</v>
      </c>
      <c r="E289" s="76" t="s">
        <v>22</v>
      </c>
      <c r="F289" s="77">
        <v>45291</v>
      </c>
      <c r="G289" s="76">
        <v>2023</v>
      </c>
      <c r="H289" s="76" t="s">
        <v>27</v>
      </c>
      <c r="I289" s="76" t="s">
        <v>32</v>
      </c>
      <c r="J289" s="76">
        <v>55</v>
      </c>
      <c r="K289" s="76">
        <v>55</v>
      </c>
      <c r="L289" s="78">
        <f t="shared" si="32"/>
        <v>1</v>
      </c>
      <c r="M289" s="78">
        <f t="shared" si="33"/>
        <v>1</v>
      </c>
      <c r="N289" s="76" t="s">
        <v>25</v>
      </c>
      <c r="O289" s="76" t="s">
        <v>25</v>
      </c>
      <c r="P289" s="76">
        <v>0</v>
      </c>
      <c r="Q289" s="76">
        <v>0</v>
      </c>
      <c r="R289" s="76" t="s">
        <v>1268</v>
      </c>
      <c r="S289" s="76"/>
    </row>
    <row r="290" spans="1:19" x14ac:dyDescent="0.3">
      <c r="A290" s="76">
        <v>254</v>
      </c>
      <c r="B290" s="76" t="s">
        <v>1262</v>
      </c>
      <c r="C290" s="76" t="s">
        <v>1263</v>
      </c>
      <c r="D290" s="76" t="s">
        <v>39</v>
      </c>
      <c r="E290" s="76" t="s">
        <v>22</v>
      </c>
      <c r="F290" s="77">
        <v>45657</v>
      </c>
      <c r="G290" s="76">
        <v>2024</v>
      </c>
      <c r="H290" s="76" t="s">
        <v>27</v>
      </c>
      <c r="I290" s="76" t="s">
        <v>36</v>
      </c>
      <c r="J290" s="76">
        <v>73</v>
      </c>
      <c r="K290" s="76">
        <v>73</v>
      </c>
      <c r="L290" s="78">
        <f t="shared" si="32"/>
        <v>1</v>
      </c>
      <c r="M290" s="78">
        <f t="shared" si="33"/>
        <v>1</v>
      </c>
      <c r="N290" s="76" t="s">
        <v>25</v>
      </c>
      <c r="O290" s="76" t="s">
        <v>25</v>
      </c>
      <c r="P290" s="76">
        <v>0</v>
      </c>
      <c r="Q290" s="76">
        <v>0</v>
      </c>
      <c r="R290" s="76" t="s">
        <v>1272</v>
      </c>
      <c r="S290" s="76"/>
    </row>
    <row r="291" spans="1:19" x14ac:dyDescent="0.3">
      <c r="A291" s="76">
        <v>255</v>
      </c>
      <c r="B291" s="76" t="s">
        <v>1276</v>
      </c>
      <c r="C291" s="76" t="s">
        <v>546</v>
      </c>
      <c r="D291" s="76" t="s">
        <v>139</v>
      </c>
      <c r="E291" s="76" t="s">
        <v>22</v>
      </c>
      <c r="F291" s="77">
        <v>45291</v>
      </c>
      <c r="G291" s="76">
        <v>2023</v>
      </c>
      <c r="H291" s="76" t="s">
        <v>27</v>
      </c>
      <c r="I291" s="76" t="s">
        <v>32</v>
      </c>
      <c r="J291" s="76">
        <v>100</v>
      </c>
      <c r="K291" s="76">
        <v>18</v>
      </c>
      <c r="L291" s="78">
        <f t="shared" si="32"/>
        <v>0.18</v>
      </c>
      <c r="M291" s="78">
        <f t="shared" si="33"/>
        <v>0.18</v>
      </c>
      <c r="N291" s="76" t="s">
        <v>25</v>
      </c>
      <c r="O291" s="76" t="s">
        <v>25</v>
      </c>
      <c r="P291" s="76">
        <v>0</v>
      </c>
      <c r="Q291" s="76">
        <v>0</v>
      </c>
      <c r="R291" s="76" t="s">
        <v>1274</v>
      </c>
      <c r="S291" s="76"/>
    </row>
    <row r="292" spans="1:19" x14ac:dyDescent="0.3">
      <c r="A292" s="76">
        <v>255</v>
      </c>
      <c r="B292" s="76" t="s">
        <v>1276</v>
      </c>
      <c r="C292" s="76" t="s">
        <v>546</v>
      </c>
      <c r="D292" s="76" t="s">
        <v>139</v>
      </c>
      <c r="E292" s="76" t="s">
        <v>22</v>
      </c>
      <c r="F292" s="77">
        <v>45657</v>
      </c>
      <c r="G292" s="76">
        <v>2024</v>
      </c>
      <c r="H292" s="76" t="s">
        <v>27</v>
      </c>
      <c r="I292" s="76" t="s">
        <v>36</v>
      </c>
      <c r="J292" s="76">
        <v>100</v>
      </c>
      <c r="K292" s="76">
        <v>15</v>
      </c>
      <c r="L292" s="78">
        <f t="shared" si="32"/>
        <v>0.15</v>
      </c>
      <c r="M292" s="78">
        <f t="shared" si="33"/>
        <v>0.15</v>
      </c>
      <c r="N292" s="76" t="s">
        <v>25</v>
      </c>
      <c r="O292" s="76" t="s">
        <v>25</v>
      </c>
      <c r="P292" s="76">
        <v>0</v>
      </c>
      <c r="Q292" s="76">
        <v>0</v>
      </c>
      <c r="R292" s="76" t="s">
        <v>1275</v>
      </c>
      <c r="S292" s="76"/>
    </row>
    <row r="293" spans="1:19" x14ac:dyDescent="0.3">
      <c r="A293" s="76">
        <v>256</v>
      </c>
      <c r="B293" s="76" t="s">
        <v>1277</v>
      </c>
      <c r="C293" s="76" t="s">
        <v>546</v>
      </c>
      <c r="D293" s="76" t="s">
        <v>21</v>
      </c>
      <c r="E293" s="76" t="s">
        <v>22</v>
      </c>
      <c r="F293" s="77">
        <v>45291</v>
      </c>
      <c r="G293" s="76">
        <v>2023</v>
      </c>
      <c r="H293" s="76" t="s">
        <v>27</v>
      </c>
      <c r="I293" s="76" t="s">
        <v>32</v>
      </c>
      <c r="J293" s="76">
        <v>34</v>
      </c>
      <c r="K293" s="76">
        <v>42</v>
      </c>
      <c r="L293" s="78">
        <f t="shared" ref="L293:L311" si="34">IFERROR(IF(OR(J293=0,K293=""),"",IF(E293="Positivo",MIN(MAX(K293/J293,0),1.3),MIN(MAX(J293/K293,0),1.3))),"")</f>
        <v>1.2352941176470589</v>
      </c>
      <c r="M293" s="78">
        <f t="shared" ref="M293:M311" si="35">IFERROR(IF(OR(J293=0,K293=""),"",IF(E293="Positivo",MAX(K293/J293,0),MAX(J293/K293,0))),"")</f>
        <v>1.2352941176470589</v>
      </c>
      <c r="N293" s="76" t="s">
        <v>25</v>
      </c>
      <c r="O293" s="76" t="s">
        <v>25</v>
      </c>
      <c r="P293" s="76">
        <v>0</v>
      </c>
      <c r="Q293" s="76">
        <v>0</v>
      </c>
      <c r="R293" s="76" t="s">
        <v>1279</v>
      </c>
      <c r="S293" s="76"/>
    </row>
    <row r="294" spans="1:19" x14ac:dyDescent="0.3">
      <c r="A294" s="76">
        <v>256</v>
      </c>
      <c r="B294" s="76" t="s">
        <v>1277</v>
      </c>
      <c r="C294" s="76" t="s">
        <v>546</v>
      </c>
      <c r="D294" s="76" t="s">
        <v>21</v>
      </c>
      <c r="E294" s="76" t="s">
        <v>22</v>
      </c>
      <c r="F294" s="77">
        <v>45657</v>
      </c>
      <c r="G294" s="76">
        <v>2024</v>
      </c>
      <c r="H294" s="76" t="s">
        <v>27</v>
      </c>
      <c r="I294" s="76" t="s">
        <v>36</v>
      </c>
      <c r="J294" s="76">
        <v>34</v>
      </c>
      <c r="K294" s="76">
        <v>46</v>
      </c>
      <c r="L294" s="78">
        <f t="shared" si="34"/>
        <v>1.3</v>
      </c>
      <c r="M294" s="78">
        <f t="shared" si="35"/>
        <v>1.3529411764705883</v>
      </c>
      <c r="N294" s="76" t="s">
        <v>25</v>
      </c>
      <c r="O294" s="76" t="s">
        <v>25</v>
      </c>
      <c r="P294" s="76">
        <v>0</v>
      </c>
      <c r="Q294" s="76">
        <v>0</v>
      </c>
      <c r="R294" s="76" t="s">
        <v>1281</v>
      </c>
      <c r="S294" s="76"/>
    </row>
    <row r="295" spans="1:19" x14ac:dyDescent="0.3">
      <c r="A295" s="37">
        <v>257</v>
      </c>
      <c r="B295" s="37" t="s">
        <v>1282</v>
      </c>
      <c r="C295" s="37" t="s">
        <v>546</v>
      </c>
      <c r="D295" s="37" t="s">
        <v>21</v>
      </c>
      <c r="E295" s="37" t="s">
        <v>22</v>
      </c>
      <c r="F295" s="42">
        <v>45291</v>
      </c>
      <c r="G295" s="37">
        <v>2023</v>
      </c>
      <c r="H295" s="37" t="s">
        <v>27</v>
      </c>
      <c r="I295" s="39" t="s">
        <v>32</v>
      </c>
      <c r="J295" s="37">
        <v>42</v>
      </c>
      <c r="K295" s="37">
        <v>39</v>
      </c>
      <c r="L295" s="65">
        <f t="shared" si="34"/>
        <v>0.9285714285714286</v>
      </c>
      <c r="M295" s="65">
        <f t="shared" si="35"/>
        <v>0.9285714285714286</v>
      </c>
      <c r="N295" s="37" t="s">
        <v>203</v>
      </c>
      <c r="O295" s="37" t="s">
        <v>203</v>
      </c>
      <c r="P295" s="37">
        <v>0</v>
      </c>
      <c r="Q295" s="37">
        <v>0</v>
      </c>
      <c r="R295" s="37" t="s">
        <v>1284</v>
      </c>
      <c r="S295" s="37"/>
    </row>
    <row r="296" spans="1:19" x14ac:dyDescent="0.3">
      <c r="A296" s="37">
        <v>259</v>
      </c>
      <c r="B296" s="37" t="s">
        <v>1285</v>
      </c>
      <c r="C296" s="37" t="s">
        <v>1241</v>
      </c>
      <c r="D296" s="37" t="s">
        <v>39</v>
      </c>
      <c r="E296" s="37" t="s">
        <v>22</v>
      </c>
      <c r="F296" s="42">
        <v>45291</v>
      </c>
      <c r="G296" s="37">
        <v>2023</v>
      </c>
      <c r="H296" s="37" t="s">
        <v>27</v>
      </c>
      <c r="I296" s="39" t="s">
        <v>32</v>
      </c>
      <c r="J296" s="37">
        <v>100</v>
      </c>
      <c r="K296" s="37">
        <v>70</v>
      </c>
      <c r="L296" s="65">
        <f t="shared" si="34"/>
        <v>0.7</v>
      </c>
      <c r="M296" s="65">
        <f t="shared" si="35"/>
        <v>0.7</v>
      </c>
      <c r="N296" s="37" t="s">
        <v>25</v>
      </c>
      <c r="O296" s="37" t="s">
        <v>25</v>
      </c>
      <c r="P296" s="37">
        <v>0</v>
      </c>
      <c r="Q296" s="37">
        <v>0</v>
      </c>
      <c r="R296" s="37" t="s">
        <v>3510</v>
      </c>
      <c r="S296" s="37"/>
    </row>
    <row r="297" spans="1:19" x14ac:dyDescent="0.3">
      <c r="A297" s="37">
        <v>259</v>
      </c>
      <c r="B297" s="37" t="s">
        <v>1285</v>
      </c>
      <c r="C297" s="37" t="s">
        <v>1241</v>
      </c>
      <c r="D297" s="37" t="s">
        <v>39</v>
      </c>
      <c r="E297" s="37" t="s">
        <v>22</v>
      </c>
      <c r="F297" s="42">
        <v>45657</v>
      </c>
      <c r="G297" s="37">
        <v>2024</v>
      </c>
      <c r="H297" s="37" t="s">
        <v>27</v>
      </c>
      <c r="I297" s="39" t="s">
        <v>36</v>
      </c>
      <c r="J297" s="37">
        <v>90</v>
      </c>
      <c r="K297" s="37">
        <v>78.430000000000007</v>
      </c>
      <c r="L297" s="65">
        <f t="shared" si="34"/>
        <v>0.87144444444444447</v>
      </c>
      <c r="M297" s="65">
        <f t="shared" si="35"/>
        <v>0.87144444444444447</v>
      </c>
      <c r="N297" s="37" t="s">
        <v>25</v>
      </c>
      <c r="O297" s="37" t="s">
        <v>25</v>
      </c>
      <c r="P297" s="37">
        <v>0</v>
      </c>
      <c r="Q297" s="37">
        <v>0</v>
      </c>
      <c r="R297" s="37" t="s">
        <v>1290</v>
      </c>
      <c r="S297" s="37"/>
    </row>
    <row r="298" spans="1:19" x14ac:dyDescent="0.3">
      <c r="A298" s="76">
        <v>260</v>
      </c>
      <c r="B298" s="76" t="s">
        <v>1291</v>
      </c>
      <c r="C298" s="76" t="s">
        <v>1292</v>
      </c>
      <c r="D298" s="76" t="s">
        <v>21</v>
      </c>
      <c r="E298" s="76" t="s">
        <v>56</v>
      </c>
      <c r="F298" s="77">
        <v>45291</v>
      </c>
      <c r="G298" s="76">
        <v>2023</v>
      </c>
      <c r="H298" s="76" t="s">
        <v>27</v>
      </c>
      <c r="I298" s="76" t="s">
        <v>32</v>
      </c>
      <c r="J298" s="76">
        <v>1</v>
      </c>
      <c r="K298" s="76">
        <v>2.9</v>
      </c>
      <c r="L298" s="78">
        <f t="shared" si="34"/>
        <v>0.34482758620689657</v>
      </c>
      <c r="M298" s="78">
        <f t="shared" si="35"/>
        <v>0.34482758620689657</v>
      </c>
      <c r="N298" s="76" t="s">
        <v>25</v>
      </c>
      <c r="O298" s="76" t="s">
        <v>25</v>
      </c>
      <c r="P298" s="76">
        <v>0</v>
      </c>
      <c r="Q298" s="76">
        <v>0</v>
      </c>
      <c r="R298" s="76" t="s">
        <v>1294</v>
      </c>
      <c r="S298" s="76"/>
    </row>
    <row r="299" spans="1:19" x14ac:dyDescent="0.3">
      <c r="A299" s="76">
        <v>260</v>
      </c>
      <c r="B299" s="76" t="s">
        <v>1291</v>
      </c>
      <c r="C299" s="76" t="s">
        <v>1292</v>
      </c>
      <c r="D299" s="76" t="s">
        <v>21</v>
      </c>
      <c r="E299" s="76" t="s">
        <v>56</v>
      </c>
      <c r="F299" s="77">
        <v>45657</v>
      </c>
      <c r="G299" s="76">
        <v>2024</v>
      </c>
      <c r="H299" s="76" t="s">
        <v>27</v>
      </c>
      <c r="I299" s="76" t="s">
        <v>36</v>
      </c>
      <c r="J299" s="76">
        <v>1</v>
      </c>
      <c r="K299" s="76">
        <v>2.1</v>
      </c>
      <c r="L299" s="78">
        <f t="shared" si="34"/>
        <v>0.47619047619047616</v>
      </c>
      <c r="M299" s="78">
        <f t="shared" si="35"/>
        <v>0.47619047619047616</v>
      </c>
      <c r="N299" s="76" t="s">
        <v>25</v>
      </c>
      <c r="O299" s="76" t="s">
        <v>25</v>
      </c>
      <c r="P299" s="76">
        <v>0</v>
      </c>
      <c r="Q299" s="76">
        <v>0</v>
      </c>
      <c r="R299" s="76" t="s">
        <v>1296</v>
      </c>
      <c r="S299" s="76"/>
    </row>
    <row r="300" spans="1:19" x14ac:dyDescent="0.3">
      <c r="A300" s="76">
        <v>261</v>
      </c>
      <c r="B300" s="76" t="s">
        <v>1297</v>
      </c>
      <c r="C300" s="76" t="s">
        <v>625</v>
      </c>
      <c r="D300" s="76" t="s">
        <v>21</v>
      </c>
      <c r="E300" s="76" t="s">
        <v>56</v>
      </c>
      <c r="F300" s="77">
        <v>45291</v>
      </c>
      <c r="G300" s="76">
        <v>2023</v>
      </c>
      <c r="H300" s="76" t="s">
        <v>27</v>
      </c>
      <c r="I300" s="76" t="s">
        <v>32</v>
      </c>
      <c r="J300" s="76">
        <v>1</v>
      </c>
      <c r="K300" s="76">
        <v>2.06</v>
      </c>
      <c r="L300" s="78">
        <f t="shared" si="34"/>
        <v>0.4854368932038835</v>
      </c>
      <c r="M300" s="78">
        <f t="shared" si="35"/>
        <v>0.4854368932038835</v>
      </c>
      <c r="N300" s="76" t="s">
        <v>25</v>
      </c>
      <c r="O300" s="76" t="s">
        <v>25</v>
      </c>
      <c r="P300" s="76">
        <v>0</v>
      </c>
      <c r="Q300" s="76">
        <v>0</v>
      </c>
      <c r="R300" s="76" t="s">
        <v>1299</v>
      </c>
      <c r="S300" s="76"/>
    </row>
    <row r="301" spans="1:19" x14ac:dyDescent="0.3">
      <c r="A301" s="76">
        <v>261</v>
      </c>
      <c r="B301" s="76" t="s">
        <v>1297</v>
      </c>
      <c r="C301" s="76" t="s">
        <v>625</v>
      </c>
      <c r="D301" s="76" t="s">
        <v>21</v>
      </c>
      <c r="E301" s="76" t="s">
        <v>56</v>
      </c>
      <c r="F301" s="77">
        <v>45657</v>
      </c>
      <c r="G301" s="76">
        <v>2024</v>
      </c>
      <c r="H301" s="76" t="s">
        <v>27</v>
      </c>
      <c r="I301" s="76" t="s">
        <v>36</v>
      </c>
      <c r="J301" s="76">
        <v>1</v>
      </c>
      <c r="K301" s="76">
        <v>2.2000000000000002</v>
      </c>
      <c r="L301" s="78">
        <f t="shared" si="34"/>
        <v>0.45454545454545453</v>
      </c>
      <c r="M301" s="78">
        <f t="shared" si="35"/>
        <v>0.45454545454545453</v>
      </c>
      <c r="N301" s="76" t="s">
        <v>25</v>
      </c>
      <c r="O301" s="76" t="s">
        <v>25</v>
      </c>
      <c r="P301" s="76">
        <v>0</v>
      </c>
      <c r="Q301" s="76">
        <v>0</v>
      </c>
      <c r="R301" s="76" t="s">
        <v>1301</v>
      </c>
      <c r="S301" s="76"/>
    </row>
    <row r="302" spans="1:19" x14ac:dyDescent="0.3">
      <c r="A302" s="76">
        <v>262</v>
      </c>
      <c r="B302" s="76" t="s">
        <v>1306</v>
      </c>
      <c r="C302" s="76" t="s">
        <v>1303</v>
      </c>
      <c r="D302" s="76" t="s">
        <v>21</v>
      </c>
      <c r="E302" s="76" t="s">
        <v>56</v>
      </c>
      <c r="F302" s="77">
        <v>45291</v>
      </c>
      <c r="G302" s="76">
        <v>2023</v>
      </c>
      <c r="H302" s="76" t="s">
        <v>27</v>
      </c>
      <c r="I302" s="76" t="s">
        <v>32</v>
      </c>
      <c r="J302" s="76">
        <v>20</v>
      </c>
      <c r="K302" s="76">
        <v>11.11</v>
      </c>
      <c r="L302" s="78">
        <f t="shared" si="34"/>
        <v>1.3</v>
      </c>
      <c r="M302" s="78">
        <f t="shared" si="35"/>
        <v>1.8001800180018002</v>
      </c>
      <c r="N302" s="76" t="s">
        <v>25</v>
      </c>
      <c r="O302" s="76" t="s">
        <v>25</v>
      </c>
      <c r="P302" s="76">
        <v>0</v>
      </c>
      <c r="Q302" s="76">
        <v>0</v>
      </c>
      <c r="R302" s="76" t="s">
        <v>1305</v>
      </c>
      <c r="S302" s="76"/>
    </row>
    <row r="303" spans="1:19" x14ac:dyDescent="0.3">
      <c r="A303" s="76">
        <v>262</v>
      </c>
      <c r="B303" s="76" t="s">
        <v>1306</v>
      </c>
      <c r="C303" s="76" t="s">
        <v>1303</v>
      </c>
      <c r="D303" s="76" t="s">
        <v>21</v>
      </c>
      <c r="E303" s="76" t="s">
        <v>56</v>
      </c>
      <c r="F303" s="77">
        <v>45657</v>
      </c>
      <c r="G303" s="76">
        <v>2024</v>
      </c>
      <c r="H303" s="76" t="s">
        <v>27</v>
      </c>
      <c r="I303" s="76" t="s">
        <v>36</v>
      </c>
      <c r="J303" s="76">
        <v>20</v>
      </c>
      <c r="K303" s="76">
        <v>0</v>
      </c>
      <c r="L303" s="78" t="str">
        <f t="shared" si="34"/>
        <v/>
      </c>
      <c r="M303" s="78" t="str">
        <f t="shared" si="35"/>
        <v/>
      </c>
      <c r="N303" s="76" t="s">
        <v>25</v>
      </c>
      <c r="O303" s="76" t="s">
        <v>25</v>
      </c>
      <c r="P303" s="76">
        <v>0</v>
      </c>
      <c r="Q303" s="76">
        <v>0</v>
      </c>
      <c r="R303" s="76" t="s">
        <v>1308</v>
      </c>
      <c r="S303" s="76"/>
    </row>
    <row r="304" spans="1:19" x14ac:dyDescent="0.3">
      <c r="A304" s="76">
        <v>263</v>
      </c>
      <c r="B304" s="76" t="s">
        <v>1309</v>
      </c>
      <c r="C304" s="76" t="s">
        <v>1303</v>
      </c>
      <c r="D304" s="76" t="s">
        <v>39</v>
      </c>
      <c r="E304" s="76" t="s">
        <v>22</v>
      </c>
      <c r="F304" s="77">
        <v>45291</v>
      </c>
      <c r="G304" s="76">
        <v>2023</v>
      </c>
      <c r="H304" s="76" t="s">
        <v>27</v>
      </c>
      <c r="I304" s="76" t="s">
        <v>32</v>
      </c>
      <c r="J304" s="76">
        <v>100</v>
      </c>
      <c r="K304" s="76">
        <v>100</v>
      </c>
      <c r="L304" s="78">
        <f t="shared" si="34"/>
        <v>1</v>
      </c>
      <c r="M304" s="78">
        <f t="shared" si="35"/>
        <v>1</v>
      </c>
      <c r="N304" s="76" t="s">
        <v>25</v>
      </c>
      <c r="O304" s="76" t="s">
        <v>25</v>
      </c>
      <c r="P304" s="76">
        <v>0</v>
      </c>
      <c r="Q304" s="76">
        <v>0</v>
      </c>
      <c r="R304" s="76" t="s">
        <v>1313</v>
      </c>
      <c r="S304" s="76"/>
    </row>
    <row r="305" spans="1:19" x14ac:dyDescent="0.3">
      <c r="A305" s="76">
        <v>263</v>
      </c>
      <c r="B305" s="76" t="s">
        <v>1309</v>
      </c>
      <c r="C305" s="76" t="s">
        <v>1303</v>
      </c>
      <c r="D305" s="76" t="s">
        <v>39</v>
      </c>
      <c r="E305" s="76" t="s">
        <v>22</v>
      </c>
      <c r="F305" s="77">
        <v>45657</v>
      </c>
      <c r="G305" s="76">
        <v>2024</v>
      </c>
      <c r="H305" s="76" t="s">
        <v>27</v>
      </c>
      <c r="I305" s="76" t="s">
        <v>36</v>
      </c>
      <c r="J305" s="76">
        <v>100</v>
      </c>
      <c r="K305" s="76">
        <v>100</v>
      </c>
      <c r="L305" s="78">
        <f t="shared" si="34"/>
        <v>1</v>
      </c>
      <c r="M305" s="78">
        <f t="shared" si="35"/>
        <v>1</v>
      </c>
      <c r="N305" s="76" t="s">
        <v>25</v>
      </c>
      <c r="O305" s="76" t="s">
        <v>25</v>
      </c>
      <c r="P305" s="76">
        <v>0</v>
      </c>
      <c r="Q305" s="76">
        <v>0</v>
      </c>
      <c r="R305" s="76" t="s">
        <v>1317</v>
      </c>
      <c r="S305" s="76"/>
    </row>
    <row r="306" spans="1:19" x14ac:dyDescent="0.3">
      <c r="A306" s="37">
        <v>264</v>
      </c>
      <c r="B306" s="37" t="s">
        <v>1318</v>
      </c>
      <c r="C306" s="37" t="s">
        <v>1303</v>
      </c>
      <c r="D306" s="37" t="s">
        <v>21</v>
      </c>
      <c r="E306" s="37" t="s">
        <v>22</v>
      </c>
      <c r="F306" s="42">
        <v>45291</v>
      </c>
      <c r="G306" s="37">
        <v>2023</v>
      </c>
      <c r="H306" s="37" t="s">
        <v>27</v>
      </c>
      <c r="I306" s="39" t="s">
        <v>32</v>
      </c>
      <c r="J306" s="37">
        <v>100</v>
      </c>
      <c r="K306" s="37">
        <v>100</v>
      </c>
      <c r="L306" s="74">
        <f t="shared" si="34"/>
        <v>1</v>
      </c>
      <c r="M306" s="65">
        <f t="shared" si="35"/>
        <v>1</v>
      </c>
      <c r="N306" s="37" t="s">
        <v>25</v>
      </c>
      <c r="O306" s="37" t="s">
        <v>25</v>
      </c>
      <c r="P306" s="37">
        <v>0</v>
      </c>
      <c r="Q306" s="37">
        <v>0</v>
      </c>
      <c r="R306" s="37" t="s">
        <v>1320</v>
      </c>
      <c r="S306" s="37"/>
    </row>
    <row r="307" spans="1:19" x14ac:dyDescent="0.3">
      <c r="A307" s="37">
        <v>264</v>
      </c>
      <c r="B307" s="37" t="s">
        <v>1321</v>
      </c>
      <c r="C307" s="37" t="s">
        <v>1303</v>
      </c>
      <c r="D307" s="37" t="s">
        <v>21</v>
      </c>
      <c r="E307" s="37" t="s">
        <v>22</v>
      </c>
      <c r="F307" s="42">
        <v>45657</v>
      </c>
      <c r="G307" s="37">
        <v>2024</v>
      </c>
      <c r="H307" s="37" t="s">
        <v>27</v>
      </c>
      <c r="I307" s="39" t="s">
        <v>36</v>
      </c>
      <c r="J307" s="37">
        <v>100</v>
      </c>
      <c r="K307" s="37">
        <v>100</v>
      </c>
      <c r="L307" s="65">
        <f t="shared" si="34"/>
        <v>1</v>
      </c>
      <c r="M307" s="65">
        <f t="shared" si="35"/>
        <v>1</v>
      </c>
      <c r="N307" s="37" t="s">
        <v>25</v>
      </c>
      <c r="O307" s="37" t="s">
        <v>25</v>
      </c>
      <c r="P307" s="37">
        <v>0</v>
      </c>
      <c r="Q307" s="37">
        <v>0</v>
      </c>
      <c r="R307" s="37" t="s">
        <v>1323</v>
      </c>
      <c r="S307" s="37"/>
    </row>
    <row r="308" spans="1:19" x14ac:dyDescent="0.3">
      <c r="A308" s="76">
        <v>265</v>
      </c>
      <c r="B308" s="76" t="s">
        <v>1327</v>
      </c>
      <c r="C308" s="76" t="s">
        <v>1303</v>
      </c>
      <c r="D308" s="76" t="s">
        <v>21</v>
      </c>
      <c r="E308" s="76" t="s">
        <v>22</v>
      </c>
      <c r="F308" s="77">
        <v>45291</v>
      </c>
      <c r="G308" s="76">
        <v>2023</v>
      </c>
      <c r="H308" s="76" t="s">
        <v>27</v>
      </c>
      <c r="I308" s="76" t="s">
        <v>32</v>
      </c>
      <c r="J308" s="76">
        <v>100</v>
      </c>
      <c r="K308" s="76">
        <v>88.564999999999998</v>
      </c>
      <c r="L308" s="78">
        <f t="shared" si="34"/>
        <v>0.88564999999999994</v>
      </c>
      <c r="M308" s="78">
        <f t="shared" si="35"/>
        <v>0.88564999999999994</v>
      </c>
      <c r="N308" s="76" t="s">
        <v>25</v>
      </c>
      <c r="O308" s="76" t="s">
        <v>25</v>
      </c>
      <c r="P308" s="76">
        <v>0</v>
      </c>
      <c r="Q308" s="76">
        <v>0</v>
      </c>
      <c r="R308" s="76" t="s">
        <v>1326</v>
      </c>
      <c r="S308" s="76"/>
    </row>
    <row r="309" spans="1:19" x14ac:dyDescent="0.3">
      <c r="A309" s="76">
        <v>265</v>
      </c>
      <c r="B309" s="76" t="s">
        <v>1327</v>
      </c>
      <c r="C309" s="76" t="s">
        <v>1303</v>
      </c>
      <c r="D309" s="76" t="s">
        <v>21</v>
      </c>
      <c r="E309" s="76" t="s">
        <v>22</v>
      </c>
      <c r="F309" s="77">
        <v>45657</v>
      </c>
      <c r="G309" s="76">
        <v>2024</v>
      </c>
      <c r="H309" s="76" t="s">
        <v>27</v>
      </c>
      <c r="I309" s="76" t="s">
        <v>36</v>
      </c>
      <c r="J309" s="76">
        <v>95</v>
      </c>
      <c r="K309" s="76">
        <v>100</v>
      </c>
      <c r="L309" s="78">
        <f t="shared" si="34"/>
        <v>1.0526315789473684</v>
      </c>
      <c r="M309" s="78">
        <f t="shared" si="35"/>
        <v>1.0526315789473684</v>
      </c>
      <c r="N309" s="76" t="s">
        <v>25</v>
      </c>
      <c r="O309" s="76" t="s">
        <v>25</v>
      </c>
      <c r="P309" s="76">
        <v>0</v>
      </c>
      <c r="Q309" s="76">
        <v>0</v>
      </c>
      <c r="R309" s="76" t="s">
        <v>1329</v>
      </c>
      <c r="S309" s="76"/>
    </row>
    <row r="310" spans="1:19" x14ac:dyDescent="0.3">
      <c r="A310" s="76">
        <v>266</v>
      </c>
      <c r="B310" s="76" t="s">
        <v>1330</v>
      </c>
      <c r="C310" s="76" t="s">
        <v>1303</v>
      </c>
      <c r="D310" s="76" t="s">
        <v>21</v>
      </c>
      <c r="E310" s="76" t="s">
        <v>22</v>
      </c>
      <c r="F310" s="77">
        <v>45291</v>
      </c>
      <c r="G310" s="76">
        <v>2023</v>
      </c>
      <c r="H310" s="76" t="s">
        <v>27</v>
      </c>
      <c r="I310" s="76" t="s">
        <v>32</v>
      </c>
      <c r="J310" s="76">
        <v>95</v>
      </c>
      <c r="K310" s="76">
        <v>93.488519256307995</v>
      </c>
      <c r="L310" s="78">
        <f t="shared" si="34"/>
        <v>0.98408967638218947</v>
      </c>
      <c r="M310" s="78">
        <f t="shared" si="35"/>
        <v>0.98408967638218947</v>
      </c>
      <c r="N310" s="76" t="s">
        <v>25</v>
      </c>
      <c r="O310" s="76" t="s">
        <v>25</v>
      </c>
      <c r="P310" s="76">
        <v>0</v>
      </c>
      <c r="Q310" s="76">
        <v>0</v>
      </c>
      <c r="R310" s="76" t="s">
        <v>1332</v>
      </c>
      <c r="S310" s="76"/>
    </row>
    <row r="311" spans="1:19" x14ac:dyDescent="0.3">
      <c r="A311" s="76">
        <v>266</v>
      </c>
      <c r="B311" s="76" t="s">
        <v>1330</v>
      </c>
      <c r="C311" s="76" t="s">
        <v>1303</v>
      </c>
      <c r="D311" s="76" t="s">
        <v>21</v>
      </c>
      <c r="E311" s="76" t="s">
        <v>22</v>
      </c>
      <c r="F311" s="77">
        <v>45657</v>
      </c>
      <c r="G311" s="76">
        <v>2024</v>
      </c>
      <c r="H311" s="76" t="s">
        <v>27</v>
      </c>
      <c r="I311" s="76" t="s">
        <v>36</v>
      </c>
      <c r="J311" s="76">
        <v>95</v>
      </c>
      <c r="K311" s="76">
        <v>88.474999999999994</v>
      </c>
      <c r="L311" s="78">
        <f t="shared" si="34"/>
        <v>0.9313157894736841</v>
      </c>
      <c r="M311" s="78">
        <f t="shared" si="35"/>
        <v>0.9313157894736841</v>
      </c>
      <c r="N311" s="76" t="s">
        <v>25</v>
      </c>
      <c r="O311" s="76" t="s">
        <v>25</v>
      </c>
      <c r="P311" s="76">
        <v>0</v>
      </c>
      <c r="Q311" s="76">
        <v>0</v>
      </c>
      <c r="R311" s="76" t="s">
        <v>1334</v>
      </c>
      <c r="S311" s="76"/>
    </row>
    <row r="312" spans="1:19" x14ac:dyDescent="0.3">
      <c r="A312" s="37">
        <v>267</v>
      </c>
      <c r="B312" s="37" t="s">
        <v>3511</v>
      </c>
      <c r="C312" s="37" t="s">
        <v>1215</v>
      </c>
      <c r="D312" s="37" t="s">
        <v>139</v>
      </c>
      <c r="E312" s="37" t="s">
        <v>22</v>
      </c>
      <c r="F312" s="42">
        <v>45291</v>
      </c>
      <c r="G312" s="37">
        <v>2023</v>
      </c>
      <c r="H312" s="37" t="s">
        <v>27</v>
      </c>
      <c r="I312" s="39" t="s">
        <v>32</v>
      </c>
      <c r="J312" s="37"/>
      <c r="K312" s="37"/>
      <c r="L312" s="65"/>
      <c r="M312" s="65"/>
      <c r="N312" s="37" t="s">
        <v>25</v>
      </c>
      <c r="O312" s="37" t="s">
        <v>25</v>
      </c>
      <c r="P312" s="37">
        <v>0</v>
      </c>
      <c r="Q312" s="37">
        <v>0</v>
      </c>
      <c r="R312" s="37" t="s">
        <v>3512</v>
      </c>
      <c r="S312" s="37"/>
    </row>
    <row r="313" spans="1:19" x14ac:dyDescent="0.3">
      <c r="A313" s="76">
        <v>268</v>
      </c>
      <c r="B313" s="76" t="s">
        <v>1341</v>
      </c>
      <c r="C313" s="76" t="s">
        <v>1336</v>
      </c>
      <c r="D313" s="76" t="s">
        <v>21</v>
      </c>
      <c r="E313" s="76" t="s">
        <v>22</v>
      </c>
      <c r="F313" s="77">
        <v>45291</v>
      </c>
      <c r="G313" s="76">
        <v>2023</v>
      </c>
      <c r="H313" s="76" t="s">
        <v>27</v>
      </c>
      <c r="I313" s="76" t="s">
        <v>32</v>
      </c>
      <c r="J313" s="76"/>
      <c r="K313" s="76">
        <v>727</v>
      </c>
      <c r="L313" s="78"/>
      <c r="M313" s="78"/>
      <c r="N313" s="76" t="s">
        <v>25</v>
      </c>
      <c r="O313" s="76" t="s">
        <v>25</v>
      </c>
      <c r="P313" s="76">
        <v>0</v>
      </c>
      <c r="Q313" s="76">
        <v>0</v>
      </c>
      <c r="R313" s="76" t="s">
        <v>1338</v>
      </c>
      <c r="S313" s="76"/>
    </row>
    <row r="314" spans="1:19" x14ac:dyDescent="0.3">
      <c r="A314" s="76">
        <v>268</v>
      </c>
      <c r="B314" s="76" t="s">
        <v>1341</v>
      </c>
      <c r="C314" s="76" t="s">
        <v>1336</v>
      </c>
      <c r="D314" s="76" t="s">
        <v>21</v>
      </c>
      <c r="E314" s="76" t="s">
        <v>22</v>
      </c>
      <c r="F314" s="77">
        <v>45657</v>
      </c>
      <c r="G314" s="76">
        <v>2024</v>
      </c>
      <c r="H314" s="76" t="s">
        <v>27</v>
      </c>
      <c r="I314" s="76" t="s">
        <v>36</v>
      </c>
      <c r="J314" s="76"/>
      <c r="K314" s="76">
        <v>732</v>
      </c>
      <c r="L314" s="78"/>
      <c r="M314" s="78"/>
      <c r="N314" s="76" t="s">
        <v>25</v>
      </c>
      <c r="O314" s="76" t="s">
        <v>25</v>
      </c>
      <c r="P314" s="76">
        <v>0</v>
      </c>
      <c r="Q314" s="76">
        <v>0</v>
      </c>
      <c r="R314" s="76" t="s">
        <v>1340</v>
      </c>
      <c r="S314" s="76"/>
    </row>
    <row r="315" spans="1:19" x14ac:dyDescent="0.3">
      <c r="A315" s="76">
        <v>269</v>
      </c>
      <c r="B315" s="76" t="s">
        <v>1347</v>
      </c>
      <c r="C315" s="76" t="s">
        <v>1336</v>
      </c>
      <c r="D315" s="76" t="s">
        <v>21</v>
      </c>
      <c r="E315" s="76" t="s">
        <v>22</v>
      </c>
      <c r="F315" s="77">
        <v>45291</v>
      </c>
      <c r="G315" s="76">
        <v>2023</v>
      </c>
      <c r="H315" s="76" t="s">
        <v>27</v>
      </c>
      <c r="I315" s="76" t="s">
        <v>32</v>
      </c>
      <c r="J315" s="76">
        <v>1</v>
      </c>
      <c r="K315" s="76">
        <v>1.2769784172661871</v>
      </c>
      <c r="L315" s="78">
        <f t="shared" ref="L315:L320" si="36">IFERROR(IF(OR(J315=0,K315=""),"",IF(E315="Positivo",MIN(MAX(K315/J315,0),1.3),MIN(MAX(J315/K315,0),1.3))),"")</f>
        <v>1.2769784172661871</v>
      </c>
      <c r="M315" s="78">
        <f t="shared" ref="M315:M320" si="37">IFERROR(IF(OR(J315=0,K315=""),"",IF(E315="Positivo",MAX(K315/J315,0),MAX(J315/K315,0))),"")</f>
        <v>1.2769784172661871</v>
      </c>
      <c r="N315" s="76" t="s">
        <v>25</v>
      </c>
      <c r="O315" s="76" t="s">
        <v>25</v>
      </c>
      <c r="P315" s="76">
        <v>0</v>
      </c>
      <c r="Q315" s="76">
        <v>0</v>
      </c>
      <c r="R315" s="76" t="s">
        <v>1344</v>
      </c>
      <c r="S315" s="76"/>
    </row>
    <row r="316" spans="1:19" x14ac:dyDescent="0.3">
      <c r="A316" s="76">
        <v>269</v>
      </c>
      <c r="B316" s="76" t="s">
        <v>1347</v>
      </c>
      <c r="C316" s="76" t="s">
        <v>1336</v>
      </c>
      <c r="D316" s="76" t="s">
        <v>21</v>
      </c>
      <c r="E316" s="76" t="s">
        <v>22</v>
      </c>
      <c r="F316" s="77">
        <v>45657</v>
      </c>
      <c r="G316" s="76">
        <v>2024</v>
      </c>
      <c r="H316" s="76" t="s">
        <v>27</v>
      </c>
      <c r="I316" s="76" t="s">
        <v>36</v>
      </c>
      <c r="J316" s="76">
        <v>1</v>
      </c>
      <c r="K316" s="76">
        <v>1.28</v>
      </c>
      <c r="L316" s="78">
        <f t="shared" si="36"/>
        <v>1.28</v>
      </c>
      <c r="M316" s="78">
        <f t="shared" si="37"/>
        <v>1.28</v>
      </c>
      <c r="N316" s="76" t="s">
        <v>25</v>
      </c>
      <c r="O316" s="76" t="s">
        <v>25</v>
      </c>
      <c r="P316" s="76">
        <v>0</v>
      </c>
      <c r="Q316" s="76">
        <v>0</v>
      </c>
      <c r="R316" s="76" t="s">
        <v>1346</v>
      </c>
      <c r="S316" s="76"/>
    </row>
    <row r="317" spans="1:19" x14ac:dyDescent="0.3">
      <c r="A317" s="76">
        <v>270</v>
      </c>
      <c r="B317" s="76" t="s">
        <v>1353</v>
      </c>
      <c r="C317" s="76" t="s">
        <v>1336</v>
      </c>
      <c r="D317" s="76" t="s">
        <v>21</v>
      </c>
      <c r="E317" s="76" t="s">
        <v>22</v>
      </c>
      <c r="F317" s="77">
        <v>45291</v>
      </c>
      <c r="G317" s="76">
        <v>2023</v>
      </c>
      <c r="H317" s="76" t="s">
        <v>27</v>
      </c>
      <c r="I317" s="76" t="s">
        <v>32</v>
      </c>
      <c r="J317" s="76">
        <v>1</v>
      </c>
      <c r="K317" s="76">
        <v>3.83</v>
      </c>
      <c r="L317" s="78">
        <f t="shared" si="36"/>
        <v>1.3</v>
      </c>
      <c r="M317" s="78">
        <f t="shared" si="37"/>
        <v>3.83</v>
      </c>
      <c r="N317" s="76" t="s">
        <v>25</v>
      </c>
      <c r="O317" s="76" t="s">
        <v>25</v>
      </c>
      <c r="P317" s="76">
        <v>0</v>
      </c>
      <c r="Q317" s="76">
        <v>0</v>
      </c>
      <c r="R317" s="76" t="s">
        <v>1350</v>
      </c>
      <c r="S317" s="76"/>
    </row>
    <row r="318" spans="1:19" x14ac:dyDescent="0.3">
      <c r="A318" s="76">
        <v>270</v>
      </c>
      <c r="B318" s="76" t="s">
        <v>1353</v>
      </c>
      <c r="C318" s="76" t="s">
        <v>1336</v>
      </c>
      <c r="D318" s="76" t="s">
        <v>21</v>
      </c>
      <c r="E318" s="76" t="s">
        <v>22</v>
      </c>
      <c r="F318" s="77">
        <v>45657</v>
      </c>
      <c r="G318" s="76">
        <v>2024</v>
      </c>
      <c r="H318" s="76" t="s">
        <v>27</v>
      </c>
      <c r="I318" s="76" t="s">
        <v>36</v>
      </c>
      <c r="J318" s="76">
        <v>1</v>
      </c>
      <c r="K318" s="76">
        <v>4.57</v>
      </c>
      <c r="L318" s="78">
        <f t="shared" si="36"/>
        <v>1.3</v>
      </c>
      <c r="M318" s="78">
        <f t="shared" si="37"/>
        <v>4.57</v>
      </c>
      <c r="N318" s="76" t="s">
        <v>25</v>
      </c>
      <c r="O318" s="76" t="s">
        <v>25</v>
      </c>
      <c r="P318" s="76">
        <v>0</v>
      </c>
      <c r="Q318" s="76">
        <v>0</v>
      </c>
      <c r="R318" s="76" t="s">
        <v>1352</v>
      </c>
      <c r="S318" s="76"/>
    </row>
    <row r="319" spans="1:19" x14ac:dyDescent="0.3">
      <c r="A319" s="76">
        <v>271</v>
      </c>
      <c r="B319" s="76" t="s">
        <v>1358</v>
      </c>
      <c r="C319" s="76" t="s">
        <v>1336</v>
      </c>
      <c r="D319" s="76" t="s">
        <v>21</v>
      </c>
      <c r="E319" s="76" t="s">
        <v>22</v>
      </c>
      <c r="F319" s="77">
        <v>45291</v>
      </c>
      <c r="G319" s="76">
        <v>2023</v>
      </c>
      <c r="H319" s="76" t="s">
        <v>27</v>
      </c>
      <c r="I319" s="76" t="s">
        <v>32</v>
      </c>
      <c r="J319" s="76">
        <v>1</v>
      </c>
      <c r="K319" s="76">
        <v>16.172336466434469</v>
      </c>
      <c r="L319" s="78">
        <f t="shared" si="36"/>
        <v>1.3</v>
      </c>
      <c r="M319" s="78">
        <f t="shared" si="37"/>
        <v>16.172336466434469</v>
      </c>
      <c r="N319" s="76" t="s">
        <v>25</v>
      </c>
      <c r="O319" s="76" t="s">
        <v>25</v>
      </c>
      <c r="P319" s="76">
        <v>0</v>
      </c>
      <c r="Q319" s="76">
        <v>0</v>
      </c>
      <c r="R319" s="76" t="s">
        <v>1356</v>
      </c>
      <c r="S319" s="76"/>
    </row>
    <row r="320" spans="1:19" x14ac:dyDescent="0.3">
      <c r="A320" s="76">
        <v>271</v>
      </c>
      <c r="B320" s="76" t="s">
        <v>1358</v>
      </c>
      <c r="C320" s="76" t="s">
        <v>1336</v>
      </c>
      <c r="D320" s="76" t="s">
        <v>21</v>
      </c>
      <c r="E320" s="76" t="s">
        <v>22</v>
      </c>
      <c r="F320" s="77">
        <v>45657</v>
      </c>
      <c r="G320" s="76">
        <v>2024</v>
      </c>
      <c r="H320" s="76" t="s">
        <v>27</v>
      </c>
      <c r="I320" s="76" t="s">
        <v>36</v>
      </c>
      <c r="J320" s="76">
        <v>1</v>
      </c>
      <c r="K320" s="76">
        <v>16.86</v>
      </c>
      <c r="L320" s="78">
        <f t="shared" si="36"/>
        <v>1.3</v>
      </c>
      <c r="M320" s="78">
        <f t="shared" si="37"/>
        <v>16.86</v>
      </c>
      <c r="N320" s="76" t="s">
        <v>25</v>
      </c>
      <c r="O320" s="76" t="s">
        <v>25</v>
      </c>
      <c r="P320" s="76">
        <v>0</v>
      </c>
      <c r="Q320" s="76">
        <v>0</v>
      </c>
      <c r="R320" s="76" t="s">
        <v>1359</v>
      </c>
      <c r="S320" s="76"/>
    </row>
    <row r="321" spans="1:19" x14ac:dyDescent="0.3">
      <c r="A321" s="76">
        <v>272</v>
      </c>
      <c r="B321" s="76" t="s">
        <v>1360</v>
      </c>
      <c r="C321" s="76" t="s">
        <v>138</v>
      </c>
      <c r="D321" s="76" t="s">
        <v>139</v>
      </c>
      <c r="E321" s="76" t="s">
        <v>56</v>
      </c>
      <c r="F321" s="77">
        <v>45291</v>
      </c>
      <c r="G321" s="76">
        <v>2023</v>
      </c>
      <c r="H321" s="76" t="s">
        <v>27</v>
      </c>
      <c r="I321" s="76" t="s">
        <v>32</v>
      </c>
      <c r="J321" s="76">
        <v>0</v>
      </c>
      <c r="K321" s="76">
        <v>0</v>
      </c>
      <c r="L321" s="78" t="str">
        <f>IFERROR(IF(OR(J321=0,K321=""),"",IF(E321="Positivo",MIN(MAX(K321/J321,0),1),MIN(MAX(J321/K321,0),1))),"")</f>
        <v/>
      </c>
      <c r="M321" s="78" t="str">
        <f>IFERROR(IF(OR(J321=0,K321=""),"",IF(E321="Positivo",MIN(MAX(K321/J321,0),1),MIN(MAX(J321/K321,0),1))),"")</f>
        <v/>
      </c>
      <c r="N321" s="76" t="s">
        <v>25</v>
      </c>
      <c r="O321" s="76" t="s">
        <v>25</v>
      </c>
      <c r="P321" s="76">
        <v>0</v>
      </c>
      <c r="Q321" s="76">
        <v>0</v>
      </c>
      <c r="R321" s="76" t="s">
        <v>1361</v>
      </c>
      <c r="S321" s="76"/>
    </row>
    <row r="322" spans="1:19" x14ac:dyDescent="0.3">
      <c r="A322" s="76">
        <v>272</v>
      </c>
      <c r="B322" s="76" t="s">
        <v>1360</v>
      </c>
      <c r="C322" s="76" t="s">
        <v>138</v>
      </c>
      <c r="D322" s="76" t="s">
        <v>139</v>
      </c>
      <c r="E322" s="76" t="s">
        <v>56</v>
      </c>
      <c r="F322" s="77">
        <v>45657</v>
      </c>
      <c r="G322" s="76">
        <v>2024</v>
      </c>
      <c r="H322" s="76" t="s">
        <v>27</v>
      </c>
      <c r="I322" s="76" t="s">
        <v>36</v>
      </c>
      <c r="J322" s="76">
        <v>0</v>
      </c>
      <c r="K322" s="76">
        <v>0</v>
      </c>
      <c r="L322" s="78" t="str">
        <f>IFERROR(IF(OR(J322=0,K322=""),"",IF(E322="Positivo",MIN(MAX(K322/J322,0),1),MIN(MAX(J322/K322,0),1))),"")</f>
        <v/>
      </c>
      <c r="M322" s="78" t="str">
        <f>IFERROR(IF(OR(J322=0,K322=""),"",IF(E322="Positivo",MIN(MAX(K322/J322,0),1),MIN(MAX(J322/K322,0),1))),"")</f>
        <v/>
      </c>
      <c r="N322" s="76" t="s">
        <v>25</v>
      </c>
      <c r="O322" s="76" t="s">
        <v>25</v>
      </c>
      <c r="P322" s="76">
        <v>0</v>
      </c>
      <c r="Q322" s="76">
        <v>0</v>
      </c>
      <c r="R322" s="76" t="s">
        <v>1362</v>
      </c>
      <c r="S322" s="76"/>
    </row>
    <row r="323" spans="1:19" x14ac:dyDescent="0.3">
      <c r="A323" s="76">
        <v>273</v>
      </c>
      <c r="B323" s="76" t="s">
        <v>1363</v>
      </c>
      <c r="C323" s="76" t="s">
        <v>1364</v>
      </c>
      <c r="D323" s="76" t="s">
        <v>21</v>
      </c>
      <c r="E323" s="76" t="s">
        <v>22</v>
      </c>
      <c r="F323" s="77">
        <v>45291</v>
      </c>
      <c r="G323" s="76">
        <v>2023</v>
      </c>
      <c r="H323" s="76" t="s">
        <v>27</v>
      </c>
      <c r="I323" s="76" t="s">
        <v>32</v>
      </c>
      <c r="J323" s="76">
        <v>5</v>
      </c>
      <c r="K323" s="76">
        <v>5</v>
      </c>
      <c r="L323" s="78">
        <f t="shared" ref="L323:L330" si="38">IFERROR(IF(OR(J323=0,K323=""),"",IF(E323="Positivo",MIN(MAX(K323/J323,0),1.3),MIN(MAX(J323/K323,0),1.3))),"")</f>
        <v>1</v>
      </c>
      <c r="M323" s="78">
        <f t="shared" ref="M323:M330" si="39">IFERROR(IF(OR(J323=0,K323=""),"",IF(E323="Positivo",MAX(K323/J323,0),MAX(J323/K323,0))),"")</f>
        <v>1</v>
      </c>
      <c r="N323" s="76" t="s">
        <v>25</v>
      </c>
      <c r="O323" s="76" t="s">
        <v>25</v>
      </c>
      <c r="P323" s="76">
        <v>0</v>
      </c>
      <c r="Q323" s="76">
        <v>0</v>
      </c>
      <c r="R323" s="76" t="s">
        <v>1366</v>
      </c>
      <c r="S323" s="76"/>
    </row>
    <row r="324" spans="1:19" x14ac:dyDescent="0.3">
      <c r="A324" s="76">
        <v>273</v>
      </c>
      <c r="B324" s="76" t="s">
        <v>1363</v>
      </c>
      <c r="C324" s="76" t="s">
        <v>1364</v>
      </c>
      <c r="D324" s="76" t="s">
        <v>21</v>
      </c>
      <c r="E324" s="76" t="s">
        <v>22</v>
      </c>
      <c r="F324" s="77">
        <v>45657</v>
      </c>
      <c r="G324" s="76">
        <v>2024</v>
      </c>
      <c r="H324" s="76" t="s">
        <v>27</v>
      </c>
      <c r="I324" s="76" t="s">
        <v>36</v>
      </c>
      <c r="J324" s="76">
        <v>6</v>
      </c>
      <c r="K324" s="76">
        <v>6</v>
      </c>
      <c r="L324" s="78">
        <f t="shared" si="38"/>
        <v>1</v>
      </c>
      <c r="M324" s="78">
        <f t="shared" si="39"/>
        <v>1</v>
      </c>
      <c r="N324" s="76" t="s">
        <v>25</v>
      </c>
      <c r="O324" s="76" t="s">
        <v>25</v>
      </c>
      <c r="P324" s="76">
        <v>0</v>
      </c>
      <c r="Q324" s="76">
        <v>0</v>
      </c>
      <c r="R324" s="76" t="s">
        <v>1368</v>
      </c>
      <c r="S324" s="76"/>
    </row>
    <row r="325" spans="1:19" x14ac:dyDescent="0.3">
      <c r="A325" s="76">
        <v>275</v>
      </c>
      <c r="B325" s="76" t="s">
        <v>1375</v>
      </c>
      <c r="C325" s="76" t="s">
        <v>1376</v>
      </c>
      <c r="D325" s="76" t="s">
        <v>139</v>
      </c>
      <c r="E325" s="76" t="s">
        <v>22</v>
      </c>
      <c r="F325" s="77">
        <v>45291</v>
      </c>
      <c r="G325" s="76">
        <v>2023</v>
      </c>
      <c r="H325" s="76" t="s">
        <v>27</v>
      </c>
      <c r="I325" s="76" t="s">
        <v>32</v>
      </c>
      <c r="J325" s="76">
        <v>80</v>
      </c>
      <c r="K325" s="76">
        <v>0</v>
      </c>
      <c r="L325" s="78">
        <f t="shared" si="38"/>
        <v>0</v>
      </c>
      <c r="M325" s="78">
        <f t="shared" si="39"/>
        <v>0</v>
      </c>
      <c r="N325" s="76" t="s">
        <v>25</v>
      </c>
      <c r="O325" s="76" t="s">
        <v>25</v>
      </c>
      <c r="P325" s="76">
        <v>0</v>
      </c>
      <c r="Q325" s="76">
        <v>0</v>
      </c>
      <c r="R325" s="76" t="s">
        <v>1377</v>
      </c>
      <c r="S325" s="76"/>
    </row>
    <row r="326" spans="1:19" x14ac:dyDescent="0.3">
      <c r="A326" s="76">
        <v>275</v>
      </c>
      <c r="B326" s="76" t="s">
        <v>1375</v>
      </c>
      <c r="C326" s="76" t="s">
        <v>1376</v>
      </c>
      <c r="D326" s="76" t="s">
        <v>21</v>
      </c>
      <c r="E326" s="76" t="s">
        <v>22</v>
      </c>
      <c r="F326" s="77">
        <v>45657</v>
      </c>
      <c r="G326" s="76">
        <v>2024</v>
      </c>
      <c r="H326" s="76" t="s">
        <v>27</v>
      </c>
      <c r="I326" s="76" t="s">
        <v>36</v>
      </c>
      <c r="J326" s="76">
        <v>80</v>
      </c>
      <c r="K326" s="76">
        <v>106.66500000000001</v>
      </c>
      <c r="L326" s="78">
        <f t="shared" si="38"/>
        <v>1.3</v>
      </c>
      <c r="M326" s="78">
        <f t="shared" si="39"/>
        <v>1.3333125000000001</v>
      </c>
      <c r="N326" s="76" t="s">
        <v>25</v>
      </c>
      <c r="O326" s="76" t="s">
        <v>25</v>
      </c>
      <c r="P326" s="76">
        <v>0</v>
      </c>
      <c r="Q326" s="76">
        <v>0</v>
      </c>
      <c r="R326" s="76" t="s">
        <v>1379</v>
      </c>
      <c r="S326" s="76"/>
    </row>
    <row r="327" spans="1:19" x14ac:dyDescent="0.3">
      <c r="A327" s="76">
        <v>276</v>
      </c>
      <c r="B327" s="76" t="s">
        <v>1382</v>
      </c>
      <c r="C327" s="76" t="s">
        <v>1383</v>
      </c>
      <c r="D327" s="76" t="s">
        <v>21</v>
      </c>
      <c r="E327" s="76" t="s">
        <v>56</v>
      </c>
      <c r="F327" s="77">
        <v>45291</v>
      </c>
      <c r="G327" s="76">
        <v>2023</v>
      </c>
      <c r="H327" s="76" t="s">
        <v>27</v>
      </c>
      <c r="I327" s="76" t="s">
        <v>32</v>
      </c>
      <c r="J327" s="76">
        <v>85</v>
      </c>
      <c r="K327" s="76">
        <v>84.5</v>
      </c>
      <c r="L327" s="78">
        <f t="shared" si="38"/>
        <v>1.0059171597633136</v>
      </c>
      <c r="M327" s="78">
        <f t="shared" si="39"/>
        <v>1.0059171597633136</v>
      </c>
      <c r="N327" s="76" t="s">
        <v>25</v>
      </c>
      <c r="O327" s="76" t="s">
        <v>25</v>
      </c>
      <c r="P327" s="76">
        <v>0</v>
      </c>
      <c r="Q327" s="76">
        <v>0</v>
      </c>
      <c r="R327" s="76" t="s">
        <v>1385</v>
      </c>
      <c r="S327" s="76"/>
    </row>
    <row r="328" spans="1:19" x14ac:dyDescent="0.3">
      <c r="A328" s="76">
        <v>276</v>
      </c>
      <c r="B328" s="76" t="s">
        <v>1382</v>
      </c>
      <c r="C328" s="76" t="s">
        <v>1383</v>
      </c>
      <c r="D328" s="76" t="s">
        <v>21</v>
      </c>
      <c r="E328" s="76" t="s">
        <v>56</v>
      </c>
      <c r="F328" s="77">
        <v>45657</v>
      </c>
      <c r="G328" s="76">
        <v>2024</v>
      </c>
      <c r="H328" s="76" t="s">
        <v>27</v>
      </c>
      <c r="I328" s="76" t="s">
        <v>36</v>
      </c>
      <c r="J328" s="76">
        <v>75</v>
      </c>
      <c r="K328" s="76">
        <v>82.68</v>
      </c>
      <c r="L328" s="78">
        <f t="shared" si="38"/>
        <v>0.90711175616835982</v>
      </c>
      <c r="M328" s="78">
        <f t="shared" si="39"/>
        <v>0.90711175616835982</v>
      </c>
      <c r="N328" s="76" t="s">
        <v>25</v>
      </c>
      <c r="O328" s="76" t="s">
        <v>25</v>
      </c>
      <c r="P328" s="76">
        <v>0</v>
      </c>
      <c r="Q328" s="76">
        <v>0</v>
      </c>
      <c r="R328" s="76" t="s">
        <v>1387</v>
      </c>
      <c r="S328" s="76"/>
    </row>
    <row r="329" spans="1:19" x14ac:dyDescent="0.3">
      <c r="A329" s="76">
        <v>277</v>
      </c>
      <c r="B329" s="76" t="s">
        <v>1393</v>
      </c>
      <c r="C329" s="76" t="s">
        <v>1383</v>
      </c>
      <c r="D329" s="76" t="s">
        <v>21</v>
      </c>
      <c r="E329" s="76" t="s">
        <v>56</v>
      </c>
      <c r="F329" s="77">
        <v>45291</v>
      </c>
      <c r="G329" s="76">
        <v>2023</v>
      </c>
      <c r="H329" s="76" t="s">
        <v>27</v>
      </c>
      <c r="I329" s="76" t="s">
        <v>32</v>
      </c>
      <c r="J329" s="76">
        <v>85</v>
      </c>
      <c r="K329" s="76">
        <v>73.290000000000006</v>
      </c>
      <c r="L329" s="78">
        <f t="shared" si="38"/>
        <v>1.1597762314094691</v>
      </c>
      <c r="M329" s="78">
        <f t="shared" si="39"/>
        <v>1.1597762314094691</v>
      </c>
      <c r="N329" s="76" t="s">
        <v>25</v>
      </c>
      <c r="O329" s="76" t="s">
        <v>25</v>
      </c>
      <c r="P329" s="76">
        <v>0</v>
      </c>
      <c r="Q329" s="76">
        <v>0</v>
      </c>
      <c r="R329" s="76" t="s">
        <v>1390</v>
      </c>
      <c r="S329" s="76"/>
    </row>
    <row r="330" spans="1:19" x14ac:dyDescent="0.3">
      <c r="A330" s="76">
        <v>277</v>
      </c>
      <c r="B330" s="76" t="s">
        <v>1393</v>
      </c>
      <c r="C330" s="76" t="s">
        <v>1383</v>
      </c>
      <c r="D330" s="76" t="s">
        <v>21</v>
      </c>
      <c r="E330" s="76" t="s">
        <v>56</v>
      </c>
      <c r="F330" s="77">
        <v>45657</v>
      </c>
      <c r="G330" s="76">
        <v>2024</v>
      </c>
      <c r="H330" s="76" t="s">
        <v>27</v>
      </c>
      <c r="I330" s="76" t="s">
        <v>36</v>
      </c>
      <c r="J330" s="76">
        <v>73</v>
      </c>
      <c r="K330" s="76">
        <v>71.239999999999995</v>
      </c>
      <c r="L330" s="78">
        <f t="shared" si="38"/>
        <v>1.0247052217855139</v>
      </c>
      <c r="M330" s="78">
        <f t="shared" si="39"/>
        <v>1.0247052217855139</v>
      </c>
      <c r="N330" s="76" t="s">
        <v>25</v>
      </c>
      <c r="O330" s="76" t="s">
        <v>25</v>
      </c>
      <c r="P330" s="76">
        <v>0</v>
      </c>
      <c r="Q330" s="76">
        <v>0</v>
      </c>
      <c r="R330" s="76" t="s">
        <v>1392</v>
      </c>
      <c r="S330" s="76"/>
    </row>
    <row r="331" spans="1:19" x14ac:dyDescent="0.3">
      <c r="A331" s="76">
        <v>278</v>
      </c>
      <c r="B331" s="76" t="s">
        <v>1399</v>
      </c>
      <c r="C331" s="76" t="s">
        <v>1383</v>
      </c>
      <c r="D331" s="76" t="s">
        <v>21</v>
      </c>
      <c r="E331" s="76" t="s">
        <v>22</v>
      </c>
      <c r="F331" s="77">
        <v>45291</v>
      </c>
      <c r="G331" s="76">
        <v>2023</v>
      </c>
      <c r="H331" s="76" t="s">
        <v>27</v>
      </c>
      <c r="I331" s="76" t="s">
        <v>32</v>
      </c>
      <c r="J331" s="76"/>
      <c r="K331" s="76">
        <v>1017</v>
      </c>
      <c r="L331" s="78"/>
      <c r="M331" s="78"/>
      <c r="N331" s="76" t="s">
        <v>25</v>
      </c>
      <c r="O331" s="76" t="s">
        <v>25</v>
      </c>
      <c r="P331" s="76">
        <v>0</v>
      </c>
      <c r="Q331" s="76">
        <v>0</v>
      </c>
      <c r="R331" s="76" t="s">
        <v>1396</v>
      </c>
      <c r="S331" s="76"/>
    </row>
    <row r="332" spans="1:19" x14ac:dyDescent="0.3">
      <c r="A332" s="76">
        <v>278</v>
      </c>
      <c r="B332" s="76" t="s">
        <v>1399</v>
      </c>
      <c r="C332" s="76" t="s">
        <v>1383</v>
      </c>
      <c r="D332" s="76" t="s">
        <v>21</v>
      </c>
      <c r="E332" s="76" t="s">
        <v>22</v>
      </c>
      <c r="F332" s="77">
        <v>45657</v>
      </c>
      <c r="G332" s="76">
        <v>2024</v>
      </c>
      <c r="H332" s="76" t="s">
        <v>27</v>
      </c>
      <c r="I332" s="76" t="s">
        <v>36</v>
      </c>
      <c r="J332" s="76"/>
      <c r="K332" s="76">
        <v>2098</v>
      </c>
      <c r="L332" s="78"/>
      <c r="M332" s="78"/>
      <c r="N332" s="76" t="s">
        <v>25</v>
      </c>
      <c r="O332" s="76" t="s">
        <v>25</v>
      </c>
      <c r="P332" s="76">
        <v>0</v>
      </c>
      <c r="Q332" s="76">
        <v>0</v>
      </c>
      <c r="R332" s="76" t="s">
        <v>1398</v>
      </c>
      <c r="S332" s="76"/>
    </row>
    <row r="333" spans="1:19" x14ac:dyDescent="0.3">
      <c r="A333" s="37">
        <v>279</v>
      </c>
      <c r="B333" s="37" t="s">
        <v>1402</v>
      </c>
      <c r="C333" s="37" t="s">
        <v>1383</v>
      </c>
      <c r="D333" s="37" t="s">
        <v>21</v>
      </c>
      <c r="E333" s="37" t="s">
        <v>22</v>
      </c>
      <c r="F333" s="42">
        <v>45291</v>
      </c>
      <c r="G333" s="37">
        <v>2023</v>
      </c>
      <c r="H333" s="37" t="s">
        <v>27</v>
      </c>
      <c r="I333" s="39" t="s">
        <v>32</v>
      </c>
      <c r="J333" s="37"/>
      <c r="K333" s="37">
        <v>608</v>
      </c>
      <c r="L333" s="65"/>
      <c r="M333" s="65"/>
      <c r="N333" s="37">
        <v>0</v>
      </c>
      <c r="O333" s="37" t="s">
        <v>203</v>
      </c>
      <c r="P333" s="37">
        <v>0</v>
      </c>
      <c r="Q333" s="37">
        <v>0</v>
      </c>
      <c r="R333" s="37" t="s">
        <v>3513</v>
      </c>
      <c r="S333" s="37"/>
    </row>
    <row r="334" spans="1:19" x14ac:dyDescent="0.3">
      <c r="A334" s="37">
        <v>280</v>
      </c>
      <c r="B334" s="37" t="s">
        <v>1404</v>
      </c>
      <c r="C334" s="37" t="s">
        <v>1383</v>
      </c>
      <c r="D334" s="37" t="s">
        <v>21</v>
      </c>
      <c r="E334" s="37" t="s">
        <v>22</v>
      </c>
      <c r="F334" s="42">
        <v>45291</v>
      </c>
      <c r="G334" s="37">
        <v>2023</v>
      </c>
      <c r="H334" s="37" t="s">
        <v>27</v>
      </c>
      <c r="I334" s="39" t="s">
        <v>32</v>
      </c>
      <c r="J334" s="37"/>
      <c r="K334" s="37">
        <v>186</v>
      </c>
      <c r="L334" s="65"/>
      <c r="M334" s="65"/>
      <c r="N334" s="37">
        <v>0</v>
      </c>
      <c r="O334" s="37" t="s">
        <v>203</v>
      </c>
      <c r="P334" s="37">
        <v>0</v>
      </c>
      <c r="Q334" s="37">
        <v>0</v>
      </c>
      <c r="R334" s="37" t="s">
        <v>1406</v>
      </c>
      <c r="S334" s="37"/>
    </row>
    <row r="335" spans="1:19" x14ac:dyDescent="0.3">
      <c r="A335" s="37">
        <v>281</v>
      </c>
      <c r="B335" s="37" t="s">
        <v>1407</v>
      </c>
      <c r="C335" s="37" t="s">
        <v>1383</v>
      </c>
      <c r="D335" s="37" t="s">
        <v>21</v>
      </c>
      <c r="E335" s="37" t="s">
        <v>22</v>
      </c>
      <c r="F335" s="42">
        <v>45291</v>
      </c>
      <c r="G335" s="37">
        <v>2023</v>
      </c>
      <c r="H335" s="37" t="s">
        <v>27</v>
      </c>
      <c r="I335" s="39" t="s">
        <v>32</v>
      </c>
      <c r="J335" s="37"/>
      <c r="K335" s="37">
        <v>223</v>
      </c>
      <c r="L335" s="65"/>
      <c r="M335" s="65"/>
      <c r="N335" s="37">
        <v>0</v>
      </c>
      <c r="O335" s="37" t="s">
        <v>203</v>
      </c>
      <c r="P335" s="37">
        <v>0</v>
      </c>
      <c r="Q335" s="37">
        <v>0</v>
      </c>
      <c r="R335" s="37" t="s">
        <v>1409</v>
      </c>
      <c r="S335" s="37"/>
    </row>
    <row r="336" spans="1:19" x14ac:dyDescent="0.3">
      <c r="A336" s="76">
        <v>282</v>
      </c>
      <c r="B336" s="76" t="s">
        <v>1410</v>
      </c>
      <c r="C336" s="76" t="s">
        <v>1383</v>
      </c>
      <c r="D336" s="76" t="s">
        <v>21</v>
      </c>
      <c r="E336" s="76" t="s">
        <v>22</v>
      </c>
      <c r="F336" s="77">
        <v>45291</v>
      </c>
      <c r="G336" s="76">
        <v>2023</v>
      </c>
      <c r="H336" s="76" t="s">
        <v>27</v>
      </c>
      <c r="I336" s="76" t="s">
        <v>32</v>
      </c>
      <c r="J336" s="76">
        <v>2020</v>
      </c>
      <c r="K336" s="76">
        <v>1963</v>
      </c>
      <c r="L336" s="78">
        <f t="shared" ref="L336:L339" si="40">IFERROR(IF(OR(J336=0,K336=""),"",IF(E336="Positivo",MIN(MAX(K336/J336,0),1.3),MIN(MAX(J336/K336,0),1.3))),"")</f>
        <v>0.97178217821782176</v>
      </c>
      <c r="M336" s="78">
        <f t="shared" ref="M336:M339" si="41">IFERROR(IF(OR(J336=0,K336=""),"",IF(E336="Positivo",MAX(K336/J336,0),MAX(J336/K336,0))),"")</f>
        <v>0.97178217821782176</v>
      </c>
      <c r="N336" s="76" t="s">
        <v>25</v>
      </c>
      <c r="O336" s="76" t="s">
        <v>25</v>
      </c>
      <c r="P336" s="76">
        <v>0</v>
      </c>
      <c r="Q336" s="76">
        <v>0</v>
      </c>
      <c r="R336" s="76" t="s">
        <v>1412</v>
      </c>
      <c r="S336" s="76"/>
    </row>
    <row r="337" spans="1:19" x14ac:dyDescent="0.3">
      <c r="A337" s="76">
        <v>282</v>
      </c>
      <c r="B337" s="76" t="s">
        <v>1410</v>
      </c>
      <c r="C337" s="76" t="s">
        <v>1383</v>
      </c>
      <c r="D337" s="76" t="s">
        <v>21</v>
      </c>
      <c r="E337" s="76" t="s">
        <v>22</v>
      </c>
      <c r="F337" s="77">
        <v>45657</v>
      </c>
      <c r="G337" s="76">
        <v>2024</v>
      </c>
      <c r="H337" s="76" t="s">
        <v>27</v>
      </c>
      <c r="I337" s="76" t="s">
        <v>36</v>
      </c>
      <c r="J337" s="76">
        <v>2087</v>
      </c>
      <c r="K337" s="76">
        <v>2023</v>
      </c>
      <c r="L337" s="78">
        <f t="shared" si="40"/>
        <v>0.96933397220891226</v>
      </c>
      <c r="M337" s="78">
        <f t="shared" si="41"/>
        <v>0.96933397220891226</v>
      </c>
      <c r="N337" s="76" t="s">
        <v>25</v>
      </c>
      <c r="O337" s="76" t="s">
        <v>25</v>
      </c>
      <c r="P337" s="76">
        <v>0</v>
      </c>
      <c r="Q337" s="76">
        <v>0</v>
      </c>
      <c r="R337" s="76" t="s">
        <v>1414</v>
      </c>
      <c r="S337" s="76"/>
    </row>
    <row r="338" spans="1:19" x14ac:dyDescent="0.3">
      <c r="A338" s="76">
        <v>283</v>
      </c>
      <c r="B338" s="76" t="s">
        <v>1415</v>
      </c>
      <c r="C338" s="76" t="s">
        <v>1383</v>
      </c>
      <c r="D338" s="76" t="s">
        <v>21</v>
      </c>
      <c r="E338" s="76" t="s">
        <v>22</v>
      </c>
      <c r="F338" s="77">
        <v>45291</v>
      </c>
      <c r="G338" s="76">
        <v>2023</v>
      </c>
      <c r="H338" s="76" t="s">
        <v>27</v>
      </c>
      <c r="I338" s="76" t="s">
        <v>32</v>
      </c>
      <c r="J338" s="76">
        <v>1</v>
      </c>
      <c r="K338" s="76">
        <v>4.55</v>
      </c>
      <c r="L338" s="78">
        <f t="shared" si="40"/>
        <v>1.3</v>
      </c>
      <c r="M338" s="78">
        <f t="shared" si="41"/>
        <v>4.55</v>
      </c>
      <c r="N338" s="76" t="s">
        <v>25</v>
      </c>
      <c r="O338" s="76" t="s">
        <v>25</v>
      </c>
      <c r="P338" s="76">
        <v>0</v>
      </c>
      <c r="Q338" s="76">
        <v>0</v>
      </c>
      <c r="R338" s="76" t="s">
        <v>1417</v>
      </c>
      <c r="S338" s="76"/>
    </row>
    <row r="339" spans="1:19" x14ac:dyDescent="0.3">
      <c r="A339" s="76">
        <v>283</v>
      </c>
      <c r="B339" s="76" t="s">
        <v>1415</v>
      </c>
      <c r="C339" s="76" t="s">
        <v>1383</v>
      </c>
      <c r="D339" s="76" t="s">
        <v>21</v>
      </c>
      <c r="E339" s="76" t="s">
        <v>22</v>
      </c>
      <c r="F339" s="77">
        <v>45657</v>
      </c>
      <c r="G339" s="76">
        <v>2024</v>
      </c>
      <c r="H339" s="76" t="s">
        <v>27</v>
      </c>
      <c r="I339" s="76" t="s">
        <v>36</v>
      </c>
      <c r="J339" s="76">
        <v>1</v>
      </c>
      <c r="K339" s="76">
        <v>4.6399999999999997</v>
      </c>
      <c r="L339" s="78">
        <f t="shared" si="40"/>
        <v>1.3</v>
      </c>
      <c r="M339" s="78">
        <f t="shared" si="41"/>
        <v>4.6399999999999997</v>
      </c>
      <c r="N339" s="76" t="s">
        <v>25</v>
      </c>
      <c r="O339" s="76" t="s">
        <v>25</v>
      </c>
      <c r="P339" s="76">
        <v>0</v>
      </c>
      <c r="Q339" s="76">
        <v>0</v>
      </c>
      <c r="R339" s="76" t="s">
        <v>1419</v>
      </c>
      <c r="S339" s="76"/>
    </row>
    <row r="340" spans="1:19" x14ac:dyDescent="0.3">
      <c r="A340" s="37">
        <v>284</v>
      </c>
      <c r="B340" s="37" t="s">
        <v>1420</v>
      </c>
      <c r="C340" s="37" t="s">
        <v>1383</v>
      </c>
      <c r="D340" s="37" t="s">
        <v>21</v>
      </c>
      <c r="E340" s="37" t="s">
        <v>22</v>
      </c>
      <c r="F340" s="42">
        <v>45291</v>
      </c>
      <c r="G340" s="37">
        <v>2023</v>
      </c>
      <c r="H340" s="37" t="s">
        <v>27</v>
      </c>
      <c r="I340" s="39" t="s">
        <v>32</v>
      </c>
      <c r="J340" s="37"/>
      <c r="K340" s="37">
        <v>16281</v>
      </c>
      <c r="L340" s="65"/>
      <c r="M340" s="65"/>
      <c r="N340" s="37" t="s">
        <v>197</v>
      </c>
      <c r="O340" s="37" t="s">
        <v>203</v>
      </c>
      <c r="P340" s="37">
        <v>0</v>
      </c>
      <c r="Q340" s="37">
        <v>0</v>
      </c>
      <c r="R340" s="37" t="s">
        <v>1422</v>
      </c>
      <c r="S340" s="37"/>
    </row>
    <row r="341" spans="1:19" x14ac:dyDescent="0.3">
      <c r="A341" s="76">
        <v>285</v>
      </c>
      <c r="B341" s="76" t="s">
        <v>1423</v>
      </c>
      <c r="C341" s="76" t="s">
        <v>1383</v>
      </c>
      <c r="D341" s="76" t="s">
        <v>21</v>
      </c>
      <c r="E341" s="76" t="s">
        <v>22</v>
      </c>
      <c r="F341" s="77">
        <v>45291</v>
      </c>
      <c r="G341" s="76">
        <v>2023</v>
      </c>
      <c r="H341" s="76" t="s">
        <v>27</v>
      </c>
      <c r="I341" s="76" t="s">
        <v>32</v>
      </c>
      <c r="J341" s="76">
        <v>100</v>
      </c>
      <c r="K341" s="76">
        <v>100</v>
      </c>
      <c r="L341" s="78">
        <f>IFERROR(IF(OR(J341=0,K341=""),"",IF(E341="Positivo",MIN(MAX(K341/J341,0),1.3),MIN(MAX(J341/K341,0),1.3))),"")</f>
        <v>1</v>
      </c>
      <c r="M341" s="78">
        <f>IFERROR(IF(OR(J341=0,K341=""),"",IF(E341="Positivo",MAX(K341/J341,0),MAX(J341/K341,0))),"")</f>
        <v>1</v>
      </c>
      <c r="N341" s="76" t="s">
        <v>25</v>
      </c>
      <c r="O341" s="76" t="s">
        <v>25</v>
      </c>
      <c r="P341" s="76">
        <v>0</v>
      </c>
      <c r="Q341" s="76">
        <v>0</v>
      </c>
      <c r="R341" s="76" t="s">
        <v>1425</v>
      </c>
      <c r="S341" s="76"/>
    </row>
    <row r="342" spans="1:19" x14ac:dyDescent="0.3">
      <c r="A342" s="76">
        <v>285</v>
      </c>
      <c r="B342" s="76" t="s">
        <v>1423</v>
      </c>
      <c r="C342" s="76" t="s">
        <v>1383</v>
      </c>
      <c r="D342" s="76" t="s">
        <v>21</v>
      </c>
      <c r="E342" s="76" t="s">
        <v>22</v>
      </c>
      <c r="F342" s="77">
        <v>45657</v>
      </c>
      <c r="G342" s="76">
        <v>2024</v>
      </c>
      <c r="H342" s="76" t="s">
        <v>27</v>
      </c>
      <c r="I342" s="76" t="s">
        <v>36</v>
      </c>
      <c r="J342" s="76">
        <v>100</v>
      </c>
      <c r="K342" s="76">
        <v>100</v>
      </c>
      <c r="L342" s="78">
        <f>IFERROR(IF(OR(J342=0,K342=""),"",IF(E342="Positivo",MIN(MAX(K342/J342,0),1.3),MIN(MAX(J342/K342,0),1.3))),"")</f>
        <v>1</v>
      </c>
      <c r="M342" s="78">
        <f>IFERROR(IF(OR(J342=0,K342=""),"",IF(E342="Positivo",MAX(K342/J342,0),MAX(J342/K342,0))),"")</f>
        <v>1</v>
      </c>
      <c r="N342" s="76" t="s">
        <v>25</v>
      </c>
      <c r="O342" s="76" t="s">
        <v>25</v>
      </c>
      <c r="P342" s="76">
        <v>0</v>
      </c>
      <c r="Q342" s="76">
        <v>0</v>
      </c>
      <c r="R342" s="76" t="s">
        <v>1427</v>
      </c>
      <c r="S342" s="76"/>
    </row>
    <row r="343" spans="1:19" x14ac:dyDescent="0.3">
      <c r="A343" s="76">
        <v>286</v>
      </c>
      <c r="B343" s="76" t="s">
        <v>1433</v>
      </c>
      <c r="C343" s="76" t="s">
        <v>1383</v>
      </c>
      <c r="D343" s="76" t="s">
        <v>21</v>
      </c>
      <c r="E343" s="76" t="s">
        <v>22</v>
      </c>
      <c r="F343" s="77">
        <v>45291</v>
      </c>
      <c r="G343" s="76">
        <v>2023</v>
      </c>
      <c r="H343" s="76" t="s">
        <v>27</v>
      </c>
      <c r="I343" s="76" t="s">
        <v>32</v>
      </c>
      <c r="J343" s="76"/>
      <c r="K343" s="76">
        <v>1017</v>
      </c>
      <c r="L343" s="78"/>
      <c r="M343" s="78"/>
      <c r="N343" s="76" t="s">
        <v>25</v>
      </c>
      <c r="O343" s="76" t="s">
        <v>25</v>
      </c>
      <c r="P343" s="76">
        <v>0</v>
      </c>
      <c r="Q343" s="76">
        <v>0</v>
      </c>
      <c r="R343" s="76" t="s">
        <v>1430</v>
      </c>
      <c r="S343" s="76"/>
    </row>
    <row r="344" spans="1:19" x14ac:dyDescent="0.3">
      <c r="A344" s="76">
        <v>286</v>
      </c>
      <c r="B344" s="76" t="s">
        <v>1433</v>
      </c>
      <c r="C344" s="76" t="s">
        <v>1383</v>
      </c>
      <c r="D344" s="76" t="s">
        <v>21</v>
      </c>
      <c r="E344" s="76" t="s">
        <v>22</v>
      </c>
      <c r="F344" s="77">
        <v>45657</v>
      </c>
      <c r="G344" s="76">
        <v>2024</v>
      </c>
      <c r="H344" s="76" t="s">
        <v>27</v>
      </c>
      <c r="I344" s="76" t="s">
        <v>36</v>
      </c>
      <c r="J344" s="76"/>
      <c r="K344" s="76">
        <v>2098</v>
      </c>
      <c r="L344" s="78"/>
      <c r="M344" s="78"/>
      <c r="N344" s="76" t="s">
        <v>25</v>
      </c>
      <c r="O344" s="76" t="s">
        <v>25</v>
      </c>
      <c r="P344" s="76">
        <v>0</v>
      </c>
      <c r="Q344" s="76">
        <v>0</v>
      </c>
      <c r="R344" s="76" t="s">
        <v>1432</v>
      </c>
      <c r="S344" s="76"/>
    </row>
    <row r="345" spans="1:19" x14ac:dyDescent="0.3">
      <c r="A345" s="76">
        <v>288</v>
      </c>
      <c r="B345" s="76" t="s">
        <v>1436</v>
      </c>
      <c r="C345" s="76" t="s">
        <v>1383</v>
      </c>
      <c r="D345" s="76" t="s">
        <v>21</v>
      </c>
      <c r="E345" s="76" t="s">
        <v>22</v>
      </c>
      <c r="F345" s="77">
        <v>45291</v>
      </c>
      <c r="G345" s="76">
        <v>2023</v>
      </c>
      <c r="H345" s="76" t="s">
        <v>27</v>
      </c>
      <c r="I345" s="76" t="s">
        <v>32</v>
      </c>
      <c r="J345" s="76">
        <v>16</v>
      </c>
      <c r="K345" s="76">
        <v>18</v>
      </c>
      <c r="L345" s="78">
        <f t="shared" ref="L345:L362" si="42">IFERROR(IF(OR(J345=0,K345=""),"",IF(E345="Positivo",MIN(MAX(K345/J345,0),1.3),MIN(MAX(J345/K345,0),1.3))),"")</f>
        <v>1.125</v>
      </c>
      <c r="M345" s="78">
        <f t="shared" ref="M345:M362" si="43">IFERROR(IF(OR(J345=0,K345=""),"",IF(E345="Positivo",MAX(K345/J345,0),MAX(J345/K345,0))),"")</f>
        <v>1.125</v>
      </c>
      <c r="N345" s="76" t="s">
        <v>25</v>
      </c>
      <c r="O345" s="76" t="s">
        <v>25</v>
      </c>
      <c r="P345" s="76">
        <v>0</v>
      </c>
      <c r="Q345" s="76">
        <v>0</v>
      </c>
      <c r="R345" s="76" t="s">
        <v>1438</v>
      </c>
      <c r="S345" s="76"/>
    </row>
    <row r="346" spans="1:19" x14ac:dyDescent="0.3">
      <c r="A346" s="76">
        <v>288</v>
      </c>
      <c r="B346" s="76" t="s">
        <v>1436</v>
      </c>
      <c r="C346" s="76" t="s">
        <v>1383</v>
      </c>
      <c r="D346" s="76" t="s">
        <v>21</v>
      </c>
      <c r="E346" s="76" t="s">
        <v>22</v>
      </c>
      <c r="F346" s="77">
        <v>45657</v>
      </c>
      <c r="G346" s="76">
        <v>2024</v>
      </c>
      <c r="H346" s="76" t="s">
        <v>27</v>
      </c>
      <c r="I346" s="76" t="s">
        <v>36</v>
      </c>
      <c r="J346" s="76">
        <v>0</v>
      </c>
      <c r="K346" s="76">
        <v>0</v>
      </c>
      <c r="L346" s="78" t="str">
        <f t="shared" si="42"/>
        <v/>
      </c>
      <c r="M346" s="78" t="str">
        <f t="shared" si="43"/>
        <v/>
      </c>
      <c r="N346" s="76" t="s">
        <v>25</v>
      </c>
      <c r="O346" s="76" t="s">
        <v>25</v>
      </c>
      <c r="P346" s="76">
        <v>0</v>
      </c>
      <c r="Q346" s="76">
        <v>0</v>
      </c>
      <c r="R346" s="76" t="s">
        <v>1440</v>
      </c>
      <c r="S346" s="76"/>
    </row>
    <row r="347" spans="1:19" x14ac:dyDescent="0.3">
      <c r="A347" s="37">
        <v>289</v>
      </c>
      <c r="B347" s="37" t="s">
        <v>1441</v>
      </c>
      <c r="C347" s="37" t="s">
        <v>258</v>
      </c>
      <c r="D347" s="37" t="s">
        <v>39</v>
      </c>
      <c r="E347" s="37" t="s">
        <v>22</v>
      </c>
      <c r="F347" s="42">
        <v>45291</v>
      </c>
      <c r="G347" s="37">
        <v>2023</v>
      </c>
      <c r="H347" s="37" t="s">
        <v>27</v>
      </c>
      <c r="I347" s="39" t="s">
        <v>32</v>
      </c>
      <c r="J347" s="37">
        <v>95</v>
      </c>
      <c r="K347" s="37">
        <v>87.5</v>
      </c>
      <c r="L347" s="65">
        <f t="shared" si="42"/>
        <v>0.92105263157894735</v>
      </c>
      <c r="M347" s="65">
        <f t="shared" si="43"/>
        <v>0.92105263157894735</v>
      </c>
      <c r="N347" s="37" t="s">
        <v>25</v>
      </c>
      <c r="O347" s="37" t="s">
        <v>25</v>
      </c>
      <c r="P347" s="37">
        <v>0</v>
      </c>
      <c r="Q347" s="37">
        <v>0</v>
      </c>
      <c r="R347" s="37" t="s">
        <v>3515</v>
      </c>
      <c r="S347" s="37"/>
    </row>
    <row r="348" spans="1:19" x14ac:dyDescent="0.3">
      <c r="A348" s="37">
        <v>289</v>
      </c>
      <c r="B348" s="37" t="s">
        <v>1441</v>
      </c>
      <c r="C348" s="37" t="s">
        <v>258</v>
      </c>
      <c r="D348" s="37" t="s">
        <v>39</v>
      </c>
      <c r="E348" s="37" t="s">
        <v>22</v>
      </c>
      <c r="F348" s="42">
        <v>45657</v>
      </c>
      <c r="G348" s="37">
        <v>2024</v>
      </c>
      <c r="H348" s="37" t="s">
        <v>27</v>
      </c>
      <c r="I348" s="39" t="s">
        <v>36</v>
      </c>
      <c r="J348" s="37">
        <v>95</v>
      </c>
      <c r="K348" s="37">
        <v>100</v>
      </c>
      <c r="L348" s="65">
        <f t="shared" si="42"/>
        <v>1.0526315789473684</v>
      </c>
      <c r="M348" s="65">
        <f t="shared" si="43"/>
        <v>1.0526315789473684</v>
      </c>
      <c r="N348" s="37" t="s">
        <v>25</v>
      </c>
      <c r="O348" s="37" t="s">
        <v>25</v>
      </c>
      <c r="P348" s="37">
        <v>0</v>
      </c>
      <c r="Q348" s="37">
        <v>0</v>
      </c>
      <c r="R348" s="37" t="s">
        <v>1446</v>
      </c>
      <c r="S348" s="37"/>
    </row>
    <row r="349" spans="1:19" x14ac:dyDescent="0.3">
      <c r="A349" s="37">
        <v>290</v>
      </c>
      <c r="B349" s="37" t="s">
        <v>1447</v>
      </c>
      <c r="C349" s="37" t="s">
        <v>1448</v>
      </c>
      <c r="D349" s="37" t="s">
        <v>121</v>
      </c>
      <c r="E349" s="37" t="s">
        <v>22</v>
      </c>
      <c r="F349" s="42">
        <v>45291</v>
      </c>
      <c r="G349" s="37">
        <v>2023</v>
      </c>
      <c r="H349" s="37" t="s">
        <v>27</v>
      </c>
      <c r="I349" s="39" t="s">
        <v>32</v>
      </c>
      <c r="J349" s="37">
        <v>90</v>
      </c>
      <c r="K349" s="37">
        <v>89.36</v>
      </c>
      <c r="L349" s="65">
        <f t="shared" si="42"/>
        <v>0.99288888888888893</v>
      </c>
      <c r="M349" s="65">
        <f t="shared" si="43"/>
        <v>0.99288888888888893</v>
      </c>
      <c r="N349" s="37" t="s">
        <v>25</v>
      </c>
      <c r="O349" s="37" t="s">
        <v>25</v>
      </c>
      <c r="P349" s="37">
        <v>0</v>
      </c>
      <c r="Q349" s="37">
        <v>0</v>
      </c>
      <c r="R349" s="37" t="s">
        <v>1452</v>
      </c>
      <c r="S349" s="37"/>
    </row>
    <row r="350" spans="1:19" x14ac:dyDescent="0.3">
      <c r="A350" s="37">
        <v>290</v>
      </c>
      <c r="B350" s="37" t="s">
        <v>1447</v>
      </c>
      <c r="C350" s="37" t="s">
        <v>1448</v>
      </c>
      <c r="D350" s="37" t="s">
        <v>121</v>
      </c>
      <c r="E350" s="37" t="s">
        <v>22</v>
      </c>
      <c r="F350" s="42">
        <v>45657</v>
      </c>
      <c r="G350" s="37">
        <v>2024</v>
      </c>
      <c r="H350" s="37" t="s">
        <v>27</v>
      </c>
      <c r="I350" s="39" t="s">
        <v>36</v>
      </c>
      <c r="J350" s="37">
        <v>90</v>
      </c>
      <c r="K350" s="37">
        <v>100</v>
      </c>
      <c r="L350" s="65">
        <f t="shared" si="42"/>
        <v>1.1111111111111112</v>
      </c>
      <c r="M350" s="65">
        <f t="shared" si="43"/>
        <v>1.1111111111111112</v>
      </c>
      <c r="N350" s="37" t="s">
        <v>25</v>
      </c>
      <c r="O350" s="37" t="s">
        <v>25</v>
      </c>
      <c r="P350" s="37">
        <v>0</v>
      </c>
      <c r="Q350" s="37">
        <v>0</v>
      </c>
      <c r="R350" s="37" t="s">
        <v>1458</v>
      </c>
      <c r="S350" s="37"/>
    </row>
    <row r="351" spans="1:19" x14ac:dyDescent="0.3">
      <c r="A351" s="37">
        <v>291</v>
      </c>
      <c r="B351" s="37" t="s">
        <v>1459</v>
      </c>
      <c r="C351" s="37" t="s">
        <v>1460</v>
      </c>
      <c r="D351" s="37" t="s">
        <v>21</v>
      </c>
      <c r="E351" s="37" t="s">
        <v>22</v>
      </c>
      <c r="F351" s="42">
        <v>45291</v>
      </c>
      <c r="G351" s="37">
        <v>2023</v>
      </c>
      <c r="H351" s="37" t="s">
        <v>27</v>
      </c>
      <c r="I351" s="39" t="s">
        <v>32</v>
      </c>
      <c r="J351" s="37">
        <v>100</v>
      </c>
      <c r="K351" s="37">
        <v>100</v>
      </c>
      <c r="L351" s="65">
        <f t="shared" si="42"/>
        <v>1</v>
      </c>
      <c r="M351" s="65">
        <f t="shared" si="43"/>
        <v>1</v>
      </c>
      <c r="N351" s="37" t="s">
        <v>25</v>
      </c>
      <c r="O351" s="37" t="s">
        <v>25</v>
      </c>
      <c r="P351" s="37">
        <v>0</v>
      </c>
      <c r="Q351" s="37">
        <v>0</v>
      </c>
      <c r="R351" s="37" t="s">
        <v>1462</v>
      </c>
      <c r="S351" s="37"/>
    </row>
    <row r="352" spans="1:19" x14ac:dyDescent="0.3">
      <c r="A352" s="37">
        <v>291</v>
      </c>
      <c r="B352" s="37" t="s">
        <v>1459</v>
      </c>
      <c r="C352" s="37" t="s">
        <v>1460</v>
      </c>
      <c r="D352" s="37" t="s">
        <v>21</v>
      </c>
      <c r="E352" s="37" t="s">
        <v>22</v>
      </c>
      <c r="F352" s="42">
        <v>45657</v>
      </c>
      <c r="G352" s="37">
        <v>2024</v>
      </c>
      <c r="H352" s="37" t="s">
        <v>27</v>
      </c>
      <c r="I352" s="39" t="s">
        <v>36</v>
      </c>
      <c r="J352" s="37">
        <v>100</v>
      </c>
      <c r="K352" s="37">
        <v>100</v>
      </c>
      <c r="L352" s="65">
        <f t="shared" si="42"/>
        <v>1</v>
      </c>
      <c r="M352" s="65">
        <f t="shared" si="43"/>
        <v>1</v>
      </c>
      <c r="N352" s="37" t="s">
        <v>25</v>
      </c>
      <c r="O352" s="37" t="s">
        <v>25</v>
      </c>
      <c r="P352" s="37">
        <v>0</v>
      </c>
      <c r="Q352" s="37">
        <v>0</v>
      </c>
      <c r="R352" s="37" t="s">
        <v>1464</v>
      </c>
      <c r="S352" s="37"/>
    </row>
    <row r="353" spans="1:19" x14ac:dyDescent="0.3">
      <c r="A353" s="76">
        <v>292</v>
      </c>
      <c r="B353" s="76" t="s">
        <v>1465</v>
      </c>
      <c r="C353" s="76" t="s">
        <v>1460</v>
      </c>
      <c r="D353" s="76" t="s">
        <v>21</v>
      </c>
      <c r="E353" s="76" t="s">
        <v>22</v>
      </c>
      <c r="F353" s="77">
        <v>45291</v>
      </c>
      <c r="G353" s="76">
        <v>2023</v>
      </c>
      <c r="H353" s="76" t="s">
        <v>27</v>
      </c>
      <c r="I353" s="76" t="s">
        <v>32</v>
      </c>
      <c r="J353" s="76">
        <v>6</v>
      </c>
      <c r="K353" s="76">
        <v>38.649673477985999</v>
      </c>
      <c r="L353" s="78">
        <f t="shared" si="42"/>
        <v>1.3</v>
      </c>
      <c r="M353" s="78">
        <f t="shared" si="43"/>
        <v>6.4416122463310002</v>
      </c>
      <c r="N353" s="76" t="s">
        <v>25</v>
      </c>
      <c r="O353" s="76" t="s">
        <v>25</v>
      </c>
      <c r="P353" s="76">
        <v>0</v>
      </c>
      <c r="Q353" s="76">
        <v>0</v>
      </c>
      <c r="R353" s="76" t="s">
        <v>1467</v>
      </c>
      <c r="S353" s="76"/>
    </row>
    <row r="354" spans="1:19" x14ac:dyDescent="0.3">
      <c r="A354" s="76">
        <v>292</v>
      </c>
      <c r="B354" s="76" t="s">
        <v>1465</v>
      </c>
      <c r="C354" s="76" t="s">
        <v>1460</v>
      </c>
      <c r="D354" s="76" t="s">
        <v>21</v>
      </c>
      <c r="E354" s="76" t="s">
        <v>22</v>
      </c>
      <c r="F354" s="77">
        <v>45657</v>
      </c>
      <c r="G354" s="76">
        <v>2024</v>
      </c>
      <c r="H354" s="76" t="s">
        <v>27</v>
      </c>
      <c r="I354" s="76" t="s">
        <v>36</v>
      </c>
      <c r="J354" s="76">
        <v>6</v>
      </c>
      <c r="K354" s="76">
        <v>37.577767411796728</v>
      </c>
      <c r="L354" s="78">
        <f t="shared" si="42"/>
        <v>1.3</v>
      </c>
      <c r="M354" s="78">
        <f t="shared" si="43"/>
        <v>6.2629612352994544</v>
      </c>
      <c r="N354" s="76" t="s">
        <v>25</v>
      </c>
      <c r="O354" s="76" t="s">
        <v>25</v>
      </c>
      <c r="P354" s="76">
        <v>0</v>
      </c>
      <c r="Q354" s="76">
        <v>0</v>
      </c>
      <c r="R354" s="76" t="s">
        <v>1469</v>
      </c>
      <c r="S354" s="76"/>
    </row>
    <row r="355" spans="1:19" x14ac:dyDescent="0.3">
      <c r="A355" s="37">
        <v>293</v>
      </c>
      <c r="B355" s="37" t="s">
        <v>1472</v>
      </c>
      <c r="C355" s="37" t="s">
        <v>1460</v>
      </c>
      <c r="D355" s="37" t="s">
        <v>21</v>
      </c>
      <c r="E355" s="37" t="s">
        <v>22</v>
      </c>
      <c r="F355" s="42">
        <v>45291</v>
      </c>
      <c r="G355" s="37">
        <v>2023</v>
      </c>
      <c r="H355" s="37" t="s">
        <v>27</v>
      </c>
      <c r="I355" s="39" t="s">
        <v>32</v>
      </c>
      <c r="J355" s="37">
        <v>100</v>
      </c>
      <c r="K355" s="37">
        <v>100</v>
      </c>
      <c r="L355" s="65">
        <f t="shared" si="42"/>
        <v>1</v>
      </c>
      <c r="M355" s="65">
        <f t="shared" si="43"/>
        <v>1</v>
      </c>
      <c r="N355" s="37" t="s">
        <v>25</v>
      </c>
      <c r="O355" s="37" t="s">
        <v>25</v>
      </c>
      <c r="P355" s="37">
        <v>0</v>
      </c>
      <c r="Q355" s="37">
        <v>0</v>
      </c>
      <c r="R355" s="37" t="s">
        <v>1474</v>
      </c>
      <c r="S355" s="37"/>
    </row>
    <row r="356" spans="1:19" x14ac:dyDescent="0.3">
      <c r="A356" s="37">
        <v>293</v>
      </c>
      <c r="B356" s="37" t="s">
        <v>1472</v>
      </c>
      <c r="C356" s="37" t="s">
        <v>1460</v>
      </c>
      <c r="D356" s="37" t="s">
        <v>21</v>
      </c>
      <c r="E356" s="37" t="s">
        <v>22</v>
      </c>
      <c r="F356" s="42">
        <v>45657</v>
      </c>
      <c r="G356" s="37">
        <v>2024</v>
      </c>
      <c r="H356" s="37" t="s">
        <v>27</v>
      </c>
      <c r="I356" s="39" t="s">
        <v>36</v>
      </c>
      <c r="J356" s="37">
        <v>100</v>
      </c>
      <c r="K356" s="37">
        <v>100</v>
      </c>
      <c r="L356" s="65">
        <f t="shared" si="42"/>
        <v>1</v>
      </c>
      <c r="M356" s="65">
        <f t="shared" si="43"/>
        <v>1</v>
      </c>
      <c r="N356" s="37" t="s">
        <v>25</v>
      </c>
      <c r="O356" s="37" t="s">
        <v>25</v>
      </c>
      <c r="P356" s="37">
        <v>0</v>
      </c>
      <c r="Q356" s="37">
        <v>0</v>
      </c>
      <c r="R356" s="37" t="s">
        <v>1476</v>
      </c>
      <c r="S356" s="37"/>
    </row>
    <row r="357" spans="1:19" x14ac:dyDescent="0.3">
      <c r="A357" s="76">
        <v>294</v>
      </c>
      <c r="B357" s="76" t="s">
        <v>1481</v>
      </c>
      <c r="C357" s="76" t="s">
        <v>1460</v>
      </c>
      <c r="D357" s="76" t="s">
        <v>21</v>
      </c>
      <c r="E357" s="76" t="s">
        <v>22</v>
      </c>
      <c r="F357" s="77">
        <v>45291</v>
      </c>
      <c r="G357" s="76">
        <v>2023</v>
      </c>
      <c r="H357" s="76" t="s">
        <v>27</v>
      </c>
      <c r="I357" s="76" t="s">
        <v>32</v>
      </c>
      <c r="J357" s="76">
        <v>6</v>
      </c>
      <c r="K357" s="76">
        <v>72.145485125617</v>
      </c>
      <c r="L357" s="78">
        <f t="shared" si="42"/>
        <v>1.3</v>
      </c>
      <c r="M357" s="78">
        <f t="shared" si="43"/>
        <v>12.024247520936166</v>
      </c>
      <c r="N357" s="76" t="s">
        <v>25</v>
      </c>
      <c r="O357" s="76" t="s">
        <v>25</v>
      </c>
      <c r="P357" s="76">
        <v>0</v>
      </c>
      <c r="Q357" s="76">
        <v>0</v>
      </c>
      <c r="R357" s="76" t="s">
        <v>1479</v>
      </c>
      <c r="S357" s="76"/>
    </row>
    <row r="358" spans="1:19" x14ac:dyDescent="0.3">
      <c r="A358" s="76">
        <v>294</v>
      </c>
      <c r="B358" s="76" t="s">
        <v>1481</v>
      </c>
      <c r="C358" s="76" t="s">
        <v>1460</v>
      </c>
      <c r="D358" s="76" t="s">
        <v>21</v>
      </c>
      <c r="E358" s="76" t="s">
        <v>22</v>
      </c>
      <c r="F358" s="77">
        <v>45657</v>
      </c>
      <c r="G358" s="76">
        <v>2024</v>
      </c>
      <c r="H358" s="76" t="s">
        <v>27</v>
      </c>
      <c r="I358" s="76" t="s">
        <v>36</v>
      </c>
      <c r="J358" s="76">
        <v>6</v>
      </c>
      <c r="K358" s="76">
        <v>31.77669452181987</v>
      </c>
      <c r="L358" s="78">
        <f t="shared" si="42"/>
        <v>1.3</v>
      </c>
      <c r="M358" s="78">
        <f t="shared" si="43"/>
        <v>5.296115753636645</v>
      </c>
      <c r="N358" s="76" t="s">
        <v>25</v>
      </c>
      <c r="O358" s="76" t="s">
        <v>25</v>
      </c>
      <c r="P358" s="76">
        <v>0</v>
      </c>
      <c r="Q358" s="76">
        <v>0</v>
      </c>
      <c r="R358" s="76" t="s">
        <v>1482</v>
      </c>
      <c r="S358" s="76"/>
    </row>
    <row r="359" spans="1:19" x14ac:dyDescent="0.3">
      <c r="A359" s="37">
        <v>295</v>
      </c>
      <c r="B359" s="37" t="s">
        <v>1485</v>
      </c>
      <c r="C359" s="37" t="s">
        <v>120</v>
      </c>
      <c r="D359" s="37" t="s">
        <v>21</v>
      </c>
      <c r="E359" s="37" t="s">
        <v>22</v>
      </c>
      <c r="F359" s="42">
        <v>45291</v>
      </c>
      <c r="G359" s="37">
        <v>2023</v>
      </c>
      <c r="H359" s="37" t="s">
        <v>27</v>
      </c>
      <c r="I359" s="39" t="s">
        <v>32</v>
      </c>
      <c r="J359" s="37">
        <v>32</v>
      </c>
      <c r="K359" s="37">
        <v>14</v>
      </c>
      <c r="L359" s="65">
        <f t="shared" si="42"/>
        <v>0.4375</v>
      </c>
      <c r="M359" s="65">
        <f t="shared" si="43"/>
        <v>0.4375</v>
      </c>
      <c r="N359" s="37" t="s">
        <v>203</v>
      </c>
      <c r="O359" s="37" t="s">
        <v>203</v>
      </c>
      <c r="P359" s="37">
        <v>0</v>
      </c>
      <c r="Q359" s="37">
        <v>0</v>
      </c>
      <c r="R359" s="37" t="s">
        <v>1487</v>
      </c>
      <c r="S359" s="37"/>
    </row>
    <row r="360" spans="1:19" x14ac:dyDescent="0.3">
      <c r="A360" s="37">
        <v>295</v>
      </c>
      <c r="B360" s="37" t="s">
        <v>1485</v>
      </c>
      <c r="C360" s="37" t="s">
        <v>120</v>
      </c>
      <c r="D360" s="37" t="s">
        <v>21</v>
      </c>
      <c r="E360" s="37" t="s">
        <v>22</v>
      </c>
      <c r="F360" s="42">
        <v>45473</v>
      </c>
      <c r="G360" s="37">
        <v>2024</v>
      </c>
      <c r="H360" s="37" t="s">
        <v>23</v>
      </c>
      <c r="I360" s="39" t="s">
        <v>34</v>
      </c>
      <c r="J360" s="37">
        <v>60</v>
      </c>
      <c r="K360" s="37">
        <v>52.38</v>
      </c>
      <c r="L360" s="65">
        <f t="shared" si="42"/>
        <v>0.873</v>
      </c>
      <c r="M360" s="65">
        <f t="shared" si="43"/>
        <v>0.873</v>
      </c>
      <c r="N360" s="37" t="s">
        <v>203</v>
      </c>
      <c r="O360" s="37" t="s">
        <v>203</v>
      </c>
      <c r="P360" s="37">
        <v>0</v>
      </c>
      <c r="Q360" s="37">
        <v>0</v>
      </c>
      <c r="R360" s="37" t="s">
        <v>1488</v>
      </c>
      <c r="S360" s="37"/>
    </row>
    <row r="361" spans="1:19" x14ac:dyDescent="0.3">
      <c r="A361" s="37">
        <v>296</v>
      </c>
      <c r="B361" s="37" t="s">
        <v>1489</v>
      </c>
      <c r="C361" s="37" t="s">
        <v>1490</v>
      </c>
      <c r="D361" s="37" t="s">
        <v>121</v>
      </c>
      <c r="E361" s="37" t="s">
        <v>22</v>
      </c>
      <c r="F361" s="42">
        <v>45291</v>
      </c>
      <c r="G361" s="37">
        <v>2023</v>
      </c>
      <c r="H361" s="37" t="s">
        <v>27</v>
      </c>
      <c r="I361" s="39" t="s">
        <v>32</v>
      </c>
      <c r="J361" s="37">
        <v>100</v>
      </c>
      <c r="K361" s="37">
        <v>85.45</v>
      </c>
      <c r="L361" s="65">
        <f t="shared" si="42"/>
        <v>0.85450000000000004</v>
      </c>
      <c r="M361" s="65">
        <f t="shared" si="43"/>
        <v>0.85450000000000004</v>
      </c>
      <c r="N361" s="37" t="s">
        <v>203</v>
      </c>
      <c r="O361" s="37" t="s">
        <v>197</v>
      </c>
      <c r="P361" s="37">
        <v>1</v>
      </c>
      <c r="Q361" s="37">
        <v>1</v>
      </c>
      <c r="R361" s="37" t="s">
        <v>1493</v>
      </c>
      <c r="S361" s="37"/>
    </row>
    <row r="362" spans="1:19" x14ac:dyDescent="0.3">
      <c r="A362" s="37">
        <v>297</v>
      </c>
      <c r="B362" s="37" t="s">
        <v>1494</v>
      </c>
      <c r="C362" s="37" t="s">
        <v>1490</v>
      </c>
      <c r="D362" s="37" t="s">
        <v>121</v>
      </c>
      <c r="E362" s="37" t="s">
        <v>56</v>
      </c>
      <c r="F362" s="42">
        <v>45291</v>
      </c>
      <c r="G362" s="37">
        <v>2023</v>
      </c>
      <c r="H362" s="37" t="s">
        <v>27</v>
      </c>
      <c r="I362" s="39" t="s">
        <v>32</v>
      </c>
      <c r="J362" s="37">
        <v>20</v>
      </c>
      <c r="K362" s="37">
        <v>0.93</v>
      </c>
      <c r="L362" s="65">
        <f t="shared" si="42"/>
        <v>1.3</v>
      </c>
      <c r="M362" s="65">
        <f t="shared" si="43"/>
        <v>21.50537634408602</v>
      </c>
      <c r="N362" s="37" t="s">
        <v>203</v>
      </c>
      <c r="O362" s="37" t="s">
        <v>197</v>
      </c>
      <c r="P362" s="37">
        <v>1</v>
      </c>
      <c r="Q362" s="37">
        <v>1</v>
      </c>
      <c r="R362" s="37" t="s">
        <v>1497</v>
      </c>
      <c r="S362" s="37"/>
    </row>
    <row r="363" spans="1:19" x14ac:dyDescent="0.3">
      <c r="A363" s="37">
        <v>298</v>
      </c>
      <c r="B363" s="37" t="s">
        <v>1498</v>
      </c>
      <c r="C363" s="37" t="s">
        <v>1490</v>
      </c>
      <c r="D363" s="37" t="s">
        <v>21</v>
      </c>
      <c r="E363" s="37" t="s">
        <v>56</v>
      </c>
      <c r="F363" s="42">
        <v>45291</v>
      </c>
      <c r="G363" s="37">
        <v>2023</v>
      </c>
      <c r="H363" s="37" t="s">
        <v>27</v>
      </c>
      <c r="I363" s="39" t="s">
        <v>32</v>
      </c>
      <c r="J363" s="37"/>
      <c r="K363" s="37">
        <v>1</v>
      </c>
      <c r="L363" s="65"/>
      <c r="M363" s="65"/>
      <c r="N363" s="37" t="s">
        <v>670</v>
      </c>
      <c r="O363" s="37" t="s">
        <v>203</v>
      </c>
      <c r="P363" s="37">
        <v>0</v>
      </c>
      <c r="Q363" s="37">
        <v>0</v>
      </c>
      <c r="R363" s="37" t="s">
        <v>1499</v>
      </c>
      <c r="S363" s="37"/>
    </row>
    <row r="364" spans="1:19" x14ac:dyDescent="0.3">
      <c r="A364" s="76">
        <v>300</v>
      </c>
      <c r="B364" s="76" t="s">
        <v>1500</v>
      </c>
      <c r="C364" s="76" t="s">
        <v>1501</v>
      </c>
      <c r="D364" s="76" t="s">
        <v>39</v>
      </c>
      <c r="E364" s="76" t="s">
        <v>22</v>
      </c>
      <c r="F364" s="77">
        <v>45291</v>
      </c>
      <c r="G364" s="76">
        <v>2023</v>
      </c>
      <c r="H364" s="76" t="s">
        <v>27</v>
      </c>
      <c r="I364" s="76" t="s">
        <v>32</v>
      </c>
      <c r="J364" s="76">
        <v>9.5</v>
      </c>
      <c r="K364" s="76">
        <v>9.5</v>
      </c>
      <c r="L364" s="78">
        <f t="shared" ref="L364:L367" si="44">IFERROR(IF(OR(J364=0,K364=""),"",IF(E364="Positivo",MIN(MAX(K364/J364,0),1.3),MIN(MAX(J364/K364,0),1.3))),"")</f>
        <v>1</v>
      </c>
      <c r="M364" s="78">
        <f t="shared" ref="M364:M367" si="45">IFERROR(IF(OR(J364=0,K364=""),"",IF(E364="Positivo",MAX(K364/J364,0),MAX(J364/K364,0))),"")</f>
        <v>1</v>
      </c>
      <c r="N364" s="76" t="s">
        <v>25</v>
      </c>
      <c r="O364" s="76" t="s">
        <v>25</v>
      </c>
      <c r="P364" s="76">
        <v>0</v>
      </c>
      <c r="Q364" s="76">
        <v>0</v>
      </c>
      <c r="R364" s="76" t="s">
        <v>1505</v>
      </c>
      <c r="S364" s="76"/>
    </row>
    <row r="365" spans="1:19" x14ac:dyDescent="0.3">
      <c r="A365" s="76">
        <v>300</v>
      </c>
      <c r="B365" s="76" t="s">
        <v>1500</v>
      </c>
      <c r="C365" s="76" t="s">
        <v>1501</v>
      </c>
      <c r="D365" s="76" t="s">
        <v>39</v>
      </c>
      <c r="E365" s="76" t="s">
        <v>22</v>
      </c>
      <c r="F365" s="77">
        <v>45657</v>
      </c>
      <c r="G365" s="76">
        <v>2024</v>
      </c>
      <c r="H365" s="76" t="s">
        <v>27</v>
      </c>
      <c r="I365" s="76" t="s">
        <v>36</v>
      </c>
      <c r="J365" s="76">
        <v>11.5</v>
      </c>
      <c r="K365" s="76">
        <v>11.5</v>
      </c>
      <c r="L365" s="78">
        <f t="shared" si="44"/>
        <v>1</v>
      </c>
      <c r="M365" s="78">
        <f t="shared" si="45"/>
        <v>1</v>
      </c>
      <c r="N365" s="76" t="s">
        <v>25</v>
      </c>
      <c r="O365" s="76" t="s">
        <v>25</v>
      </c>
      <c r="P365" s="76">
        <v>0</v>
      </c>
      <c r="Q365" s="76">
        <v>0</v>
      </c>
      <c r="R365" s="76" t="s">
        <v>1509</v>
      </c>
      <c r="S365" s="76"/>
    </row>
    <row r="366" spans="1:19" x14ac:dyDescent="0.3">
      <c r="A366" s="76">
        <v>301</v>
      </c>
      <c r="B366" s="76" t="s">
        <v>1510</v>
      </c>
      <c r="C366" s="76" t="s">
        <v>1501</v>
      </c>
      <c r="D366" s="76" t="s">
        <v>39</v>
      </c>
      <c r="E366" s="76" t="s">
        <v>22</v>
      </c>
      <c r="F366" s="77">
        <v>45291</v>
      </c>
      <c r="G366" s="76">
        <v>2023</v>
      </c>
      <c r="H366" s="76" t="s">
        <v>27</v>
      </c>
      <c r="I366" s="76" t="s">
        <v>32</v>
      </c>
      <c r="J366" s="76">
        <v>4</v>
      </c>
      <c r="K366" s="76">
        <v>4</v>
      </c>
      <c r="L366" s="78">
        <f t="shared" si="44"/>
        <v>1</v>
      </c>
      <c r="M366" s="78">
        <f t="shared" si="45"/>
        <v>1</v>
      </c>
      <c r="N366" s="76" t="s">
        <v>25</v>
      </c>
      <c r="O366" s="76" t="s">
        <v>25</v>
      </c>
      <c r="P366" s="76">
        <v>0</v>
      </c>
      <c r="Q366" s="76">
        <v>0</v>
      </c>
      <c r="R366" s="76" t="s">
        <v>1514</v>
      </c>
      <c r="S366" s="76"/>
    </row>
    <row r="367" spans="1:19" x14ac:dyDescent="0.3">
      <c r="A367" s="76">
        <v>301</v>
      </c>
      <c r="B367" s="76" t="s">
        <v>1510</v>
      </c>
      <c r="C367" s="76" t="s">
        <v>1501</v>
      </c>
      <c r="D367" s="76" t="s">
        <v>39</v>
      </c>
      <c r="E367" s="76" t="s">
        <v>22</v>
      </c>
      <c r="F367" s="77">
        <v>45657</v>
      </c>
      <c r="G367" s="76">
        <v>2024</v>
      </c>
      <c r="H367" s="76" t="s">
        <v>27</v>
      </c>
      <c r="I367" s="76" t="s">
        <v>36</v>
      </c>
      <c r="J367" s="76">
        <v>4</v>
      </c>
      <c r="K367" s="76">
        <v>4</v>
      </c>
      <c r="L367" s="78">
        <f t="shared" si="44"/>
        <v>1</v>
      </c>
      <c r="M367" s="78">
        <f t="shared" si="45"/>
        <v>1</v>
      </c>
      <c r="N367" s="76" t="s">
        <v>25</v>
      </c>
      <c r="O367" s="76" t="s">
        <v>25</v>
      </c>
      <c r="P367" s="76">
        <v>0</v>
      </c>
      <c r="Q367" s="76">
        <v>0</v>
      </c>
      <c r="R367" s="76" t="s">
        <v>1518</v>
      </c>
      <c r="S367" s="76"/>
    </row>
    <row r="368" spans="1:19" x14ac:dyDescent="0.3">
      <c r="A368" s="76">
        <v>302</v>
      </c>
      <c r="B368" s="76" t="s">
        <v>1524</v>
      </c>
      <c r="C368" s="76" t="s">
        <v>1336</v>
      </c>
      <c r="D368" s="76" t="s">
        <v>21</v>
      </c>
      <c r="E368" s="76" t="s">
        <v>22</v>
      </c>
      <c r="F368" s="77">
        <v>45291</v>
      </c>
      <c r="G368" s="76">
        <v>2023</v>
      </c>
      <c r="H368" s="76" t="s">
        <v>27</v>
      </c>
      <c r="I368" s="76" t="s">
        <v>32</v>
      </c>
      <c r="J368" s="76"/>
      <c r="K368" s="76">
        <v>0</v>
      </c>
      <c r="L368" s="78"/>
      <c r="M368" s="78"/>
      <c r="N368" s="76" t="s">
        <v>25</v>
      </c>
      <c r="O368" s="76" t="s">
        <v>25</v>
      </c>
      <c r="P368" s="76">
        <v>0</v>
      </c>
      <c r="Q368" s="76">
        <v>0</v>
      </c>
      <c r="R368" s="76" t="s">
        <v>1521</v>
      </c>
      <c r="S368" s="76"/>
    </row>
    <row r="369" spans="1:19" x14ac:dyDescent="0.3">
      <c r="A369" s="76">
        <v>302</v>
      </c>
      <c r="B369" s="76" t="s">
        <v>1524</v>
      </c>
      <c r="C369" s="76" t="s">
        <v>1336</v>
      </c>
      <c r="D369" s="76" t="s">
        <v>21</v>
      </c>
      <c r="E369" s="76" t="s">
        <v>22</v>
      </c>
      <c r="F369" s="77">
        <v>45657</v>
      </c>
      <c r="G369" s="76">
        <v>2024</v>
      </c>
      <c r="H369" s="76" t="s">
        <v>27</v>
      </c>
      <c r="I369" s="76" t="s">
        <v>36</v>
      </c>
      <c r="J369" s="76"/>
      <c r="K369" s="76">
        <v>37020</v>
      </c>
      <c r="L369" s="78"/>
      <c r="M369" s="78"/>
      <c r="N369" s="76" t="s">
        <v>25</v>
      </c>
      <c r="O369" s="76" t="s">
        <v>25</v>
      </c>
      <c r="P369" s="76">
        <v>0</v>
      </c>
      <c r="Q369" s="76">
        <v>0</v>
      </c>
      <c r="R369" s="76" t="s">
        <v>1523</v>
      </c>
      <c r="S369" s="76"/>
    </row>
    <row r="370" spans="1:19" x14ac:dyDescent="0.3">
      <c r="A370" s="76">
        <v>303</v>
      </c>
      <c r="B370" s="76" t="s">
        <v>1527</v>
      </c>
      <c r="C370" s="76" t="s">
        <v>1528</v>
      </c>
      <c r="D370" s="76" t="s">
        <v>21</v>
      </c>
      <c r="E370" s="76" t="s">
        <v>22</v>
      </c>
      <c r="F370" s="77">
        <v>45291</v>
      </c>
      <c r="G370" s="76">
        <v>2023</v>
      </c>
      <c r="H370" s="76" t="s">
        <v>27</v>
      </c>
      <c r="I370" s="76" t="s">
        <v>32</v>
      </c>
      <c r="J370" s="76">
        <v>200</v>
      </c>
      <c r="K370" s="76">
        <v>155.30303030303051</v>
      </c>
      <c r="L370" s="78">
        <f t="shared" ref="L370:L394" si="46">IFERROR(IF(OR(J370=0,K370=""),"",IF(E370="Positivo",MIN(MAX(K370/J370,0),1.3),MIN(MAX(J370/K370,0),1.3))),"")</f>
        <v>0.7765151515151526</v>
      </c>
      <c r="M370" s="78">
        <f t="shared" ref="M370:M394" si="47">IFERROR(IF(OR(J370=0,K370=""),"",IF(E370="Positivo",MAX(K370/J370,0),MAX(J370/K370,0))),"")</f>
        <v>0.7765151515151526</v>
      </c>
      <c r="N370" s="76" t="s">
        <v>25</v>
      </c>
      <c r="O370" s="76" t="s">
        <v>25</v>
      </c>
      <c r="P370" s="76">
        <v>0</v>
      </c>
      <c r="Q370" s="76">
        <v>0</v>
      </c>
      <c r="R370" s="76" t="s">
        <v>1530</v>
      </c>
      <c r="S370" s="76"/>
    </row>
    <row r="371" spans="1:19" x14ac:dyDescent="0.3">
      <c r="A371" s="76">
        <v>303</v>
      </c>
      <c r="B371" s="76" t="s">
        <v>1527</v>
      </c>
      <c r="C371" s="76" t="s">
        <v>1528</v>
      </c>
      <c r="D371" s="76" t="s">
        <v>21</v>
      </c>
      <c r="E371" s="76" t="s">
        <v>22</v>
      </c>
      <c r="F371" s="77">
        <v>45657</v>
      </c>
      <c r="G371" s="76">
        <v>2024</v>
      </c>
      <c r="H371" s="76" t="s">
        <v>27</v>
      </c>
      <c r="I371" s="76" t="s">
        <v>36</v>
      </c>
      <c r="J371" s="76">
        <v>190</v>
      </c>
      <c r="K371" s="76">
        <v>195.6521739130435</v>
      </c>
      <c r="L371" s="78">
        <f t="shared" si="46"/>
        <v>1.0297482837528604</v>
      </c>
      <c r="M371" s="78">
        <f t="shared" si="47"/>
        <v>1.0297482837528604</v>
      </c>
      <c r="N371" s="76" t="s">
        <v>25</v>
      </c>
      <c r="O371" s="76" t="s">
        <v>25</v>
      </c>
      <c r="P371" s="76">
        <v>0</v>
      </c>
      <c r="Q371" s="76">
        <v>0</v>
      </c>
      <c r="R371" s="76" t="s">
        <v>1532</v>
      </c>
      <c r="S371" s="76"/>
    </row>
    <row r="372" spans="1:19" x14ac:dyDescent="0.3">
      <c r="A372" s="76">
        <v>304</v>
      </c>
      <c r="B372" s="76" t="s">
        <v>1535</v>
      </c>
      <c r="C372" s="76" t="s">
        <v>1528</v>
      </c>
      <c r="D372" s="76" t="s">
        <v>21</v>
      </c>
      <c r="E372" s="76" t="s">
        <v>22</v>
      </c>
      <c r="F372" s="77">
        <v>45291</v>
      </c>
      <c r="G372" s="76">
        <v>2023</v>
      </c>
      <c r="H372" s="76" t="s">
        <v>27</v>
      </c>
      <c r="I372" s="76" t="s">
        <v>32</v>
      </c>
      <c r="J372" s="76">
        <v>3726</v>
      </c>
      <c r="K372" s="76">
        <v>6822</v>
      </c>
      <c r="L372" s="78">
        <f t="shared" si="46"/>
        <v>1.3</v>
      </c>
      <c r="M372" s="78">
        <f t="shared" si="47"/>
        <v>1.8309178743961352</v>
      </c>
      <c r="N372" s="76" t="s">
        <v>25</v>
      </c>
      <c r="O372" s="76" t="s">
        <v>25</v>
      </c>
      <c r="P372" s="76">
        <v>0</v>
      </c>
      <c r="Q372" s="76">
        <v>0</v>
      </c>
      <c r="R372" s="76" t="s">
        <v>1537</v>
      </c>
      <c r="S372" s="76"/>
    </row>
    <row r="373" spans="1:19" x14ac:dyDescent="0.3">
      <c r="A373" s="76">
        <v>304</v>
      </c>
      <c r="B373" s="76" t="s">
        <v>1535</v>
      </c>
      <c r="C373" s="76" t="s">
        <v>1528</v>
      </c>
      <c r="D373" s="76" t="s">
        <v>21</v>
      </c>
      <c r="E373" s="76" t="s">
        <v>22</v>
      </c>
      <c r="F373" s="77">
        <v>45657</v>
      </c>
      <c r="G373" s="76">
        <v>2024</v>
      </c>
      <c r="H373" s="76" t="s">
        <v>27</v>
      </c>
      <c r="I373" s="76" t="s">
        <v>36</v>
      </c>
      <c r="J373" s="76">
        <v>6800</v>
      </c>
      <c r="K373" s="76">
        <v>6245</v>
      </c>
      <c r="L373" s="78">
        <f t="shared" si="46"/>
        <v>0.91838235294117643</v>
      </c>
      <c r="M373" s="78">
        <f t="shared" si="47"/>
        <v>0.91838235294117643</v>
      </c>
      <c r="N373" s="76" t="s">
        <v>25</v>
      </c>
      <c r="O373" s="76" t="s">
        <v>25</v>
      </c>
      <c r="P373" s="76">
        <v>0</v>
      </c>
      <c r="Q373" s="76">
        <v>0</v>
      </c>
      <c r="R373" s="76" t="s">
        <v>1539</v>
      </c>
      <c r="S373" s="76"/>
    </row>
    <row r="374" spans="1:19" x14ac:dyDescent="0.3">
      <c r="A374" s="37">
        <v>305</v>
      </c>
      <c r="B374" s="37" t="s">
        <v>1540</v>
      </c>
      <c r="C374" s="37" t="s">
        <v>1528</v>
      </c>
      <c r="D374" s="37" t="s">
        <v>139</v>
      </c>
      <c r="E374" s="37" t="s">
        <v>22</v>
      </c>
      <c r="F374" s="42">
        <v>45291</v>
      </c>
      <c r="G374" s="37">
        <v>2023</v>
      </c>
      <c r="H374" s="37" t="s">
        <v>27</v>
      </c>
      <c r="I374" s="39" t="s">
        <v>32</v>
      </c>
      <c r="J374" s="37">
        <v>100</v>
      </c>
      <c r="K374" s="37">
        <v>100</v>
      </c>
      <c r="L374" s="65">
        <f t="shared" si="46"/>
        <v>1</v>
      </c>
      <c r="M374" s="65">
        <f t="shared" si="47"/>
        <v>1</v>
      </c>
      <c r="N374" s="37" t="s">
        <v>25</v>
      </c>
      <c r="O374" s="37" t="s">
        <v>25</v>
      </c>
      <c r="P374" s="37">
        <v>0</v>
      </c>
      <c r="Q374" s="37">
        <v>0</v>
      </c>
      <c r="R374" s="37" t="s">
        <v>1541</v>
      </c>
      <c r="S374" s="37"/>
    </row>
    <row r="375" spans="1:19" x14ac:dyDescent="0.3">
      <c r="A375" s="37">
        <v>305</v>
      </c>
      <c r="B375" s="37" t="s">
        <v>1540</v>
      </c>
      <c r="C375" s="37" t="s">
        <v>1528</v>
      </c>
      <c r="D375" s="37" t="s">
        <v>139</v>
      </c>
      <c r="E375" s="37" t="s">
        <v>22</v>
      </c>
      <c r="F375" s="42">
        <v>45657</v>
      </c>
      <c r="G375" s="37">
        <v>2024</v>
      </c>
      <c r="H375" s="37" t="s">
        <v>27</v>
      </c>
      <c r="I375" s="39" t="s">
        <v>36</v>
      </c>
      <c r="J375" s="37">
        <v>100</v>
      </c>
      <c r="K375" s="37">
        <v>100</v>
      </c>
      <c r="L375" s="65">
        <f t="shared" si="46"/>
        <v>1</v>
      </c>
      <c r="M375" s="65">
        <f t="shared" si="47"/>
        <v>1</v>
      </c>
      <c r="N375" s="37" t="s">
        <v>25</v>
      </c>
      <c r="O375" s="37" t="s">
        <v>25</v>
      </c>
      <c r="P375" s="37">
        <v>0</v>
      </c>
      <c r="Q375" s="37">
        <v>0</v>
      </c>
      <c r="R375" s="37" t="s">
        <v>1542</v>
      </c>
      <c r="S375" s="37"/>
    </row>
    <row r="376" spans="1:19" x14ac:dyDescent="0.3">
      <c r="A376" s="76">
        <v>306</v>
      </c>
      <c r="B376" s="76" t="s">
        <v>1543</v>
      </c>
      <c r="C376" s="76" t="s">
        <v>1241</v>
      </c>
      <c r="D376" s="76" t="s">
        <v>39</v>
      </c>
      <c r="E376" s="76" t="s">
        <v>22</v>
      </c>
      <c r="F376" s="77">
        <v>45291</v>
      </c>
      <c r="G376" s="76">
        <v>2023</v>
      </c>
      <c r="H376" s="76" t="s">
        <v>27</v>
      </c>
      <c r="I376" s="76" t="s">
        <v>32</v>
      </c>
      <c r="J376" s="76">
        <v>100</v>
      </c>
      <c r="K376" s="76">
        <v>156.5</v>
      </c>
      <c r="L376" s="78">
        <f t="shared" si="46"/>
        <v>1.3</v>
      </c>
      <c r="M376" s="78">
        <f t="shared" si="47"/>
        <v>1.5649999999999999</v>
      </c>
      <c r="N376" s="76" t="s">
        <v>25</v>
      </c>
      <c r="O376" s="76" t="s">
        <v>25</v>
      </c>
      <c r="P376" s="76">
        <v>0</v>
      </c>
      <c r="Q376" s="76">
        <v>0</v>
      </c>
      <c r="R376" s="76" t="s">
        <v>1547</v>
      </c>
      <c r="S376" s="76"/>
    </row>
    <row r="377" spans="1:19" x14ac:dyDescent="0.3">
      <c r="A377" s="76">
        <v>306</v>
      </c>
      <c r="B377" s="76" t="s">
        <v>1543</v>
      </c>
      <c r="C377" s="76" t="s">
        <v>1241</v>
      </c>
      <c r="D377" s="76" t="s">
        <v>39</v>
      </c>
      <c r="E377" s="76" t="s">
        <v>22</v>
      </c>
      <c r="F377" s="77">
        <v>45657</v>
      </c>
      <c r="G377" s="76">
        <v>2024</v>
      </c>
      <c r="H377" s="76" t="s">
        <v>27</v>
      </c>
      <c r="I377" s="76" t="s">
        <v>36</v>
      </c>
      <c r="J377" s="76">
        <v>100</v>
      </c>
      <c r="K377" s="76">
        <v>175.5</v>
      </c>
      <c r="L377" s="78">
        <f t="shared" si="46"/>
        <v>1.3</v>
      </c>
      <c r="M377" s="78">
        <f t="shared" si="47"/>
        <v>1.7549999999999999</v>
      </c>
      <c r="N377" s="76" t="s">
        <v>25</v>
      </c>
      <c r="O377" s="76" t="s">
        <v>25</v>
      </c>
      <c r="P377" s="76">
        <v>0</v>
      </c>
      <c r="Q377" s="76">
        <v>0</v>
      </c>
      <c r="R377" s="76" t="s">
        <v>1551</v>
      </c>
      <c r="S377" s="76"/>
    </row>
    <row r="378" spans="1:19" x14ac:dyDescent="0.3">
      <c r="A378" s="37">
        <v>307</v>
      </c>
      <c r="B378" s="37" t="s">
        <v>1555</v>
      </c>
      <c r="C378" s="37" t="s">
        <v>454</v>
      </c>
      <c r="D378" s="37" t="s">
        <v>21</v>
      </c>
      <c r="E378" s="37" t="s">
        <v>22</v>
      </c>
      <c r="F378" s="42">
        <v>45291</v>
      </c>
      <c r="G378" s="37">
        <v>2023</v>
      </c>
      <c r="H378" s="37" t="s">
        <v>27</v>
      </c>
      <c r="I378" s="39" t="s">
        <v>32</v>
      </c>
      <c r="J378" s="37">
        <v>46</v>
      </c>
      <c r="K378" s="37">
        <v>107</v>
      </c>
      <c r="L378" s="65">
        <f t="shared" si="46"/>
        <v>1.3</v>
      </c>
      <c r="M378" s="65">
        <f t="shared" si="47"/>
        <v>2.3260869565217392</v>
      </c>
      <c r="N378" s="37" t="s">
        <v>203</v>
      </c>
      <c r="O378" s="37" t="s">
        <v>203</v>
      </c>
      <c r="P378" s="37">
        <v>0</v>
      </c>
      <c r="Q378" s="37">
        <v>0</v>
      </c>
      <c r="R378" s="37" t="s">
        <v>1557</v>
      </c>
      <c r="S378" s="37"/>
    </row>
    <row r="379" spans="1:19" x14ac:dyDescent="0.3">
      <c r="A379" s="37">
        <v>307</v>
      </c>
      <c r="B379" s="37" t="s">
        <v>1555</v>
      </c>
      <c r="C379" s="37" t="s">
        <v>454</v>
      </c>
      <c r="D379" s="37" t="s">
        <v>21</v>
      </c>
      <c r="E379" s="37" t="s">
        <v>22</v>
      </c>
      <c r="F379" s="42">
        <v>45657</v>
      </c>
      <c r="G379" s="37">
        <v>2024</v>
      </c>
      <c r="H379" s="37" t="s">
        <v>27</v>
      </c>
      <c r="I379" s="39" t="s">
        <v>36</v>
      </c>
      <c r="J379" s="37">
        <v>100</v>
      </c>
      <c r="K379" s="37">
        <v>413.33</v>
      </c>
      <c r="L379" s="65">
        <f t="shared" si="46"/>
        <v>1.3</v>
      </c>
      <c r="M379" s="65">
        <f t="shared" si="47"/>
        <v>4.1333000000000002</v>
      </c>
      <c r="N379" s="37" t="s">
        <v>203</v>
      </c>
      <c r="O379" s="37" t="s">
        <v>203</v>
      </c>
      <c r="P379" s="37">
        <v>0</v>
      </c>
      <c r="Q379" s="37">
        <v>0</v>
      </c>
      <c r="R379" s="37" t="s">
        <v>1559</v>
      </c>
      <c r="S379" s="37"/>
    </row>
    <row r="380" spans="1:19" x14ac:dyDescent="0.3">
      <c r="A380" s="37">
        <v>308</v>
      </c>
      <c r="B380" s="37" t="s">
        <v>1560</v>
      </c>
      <c r="C380" s="37" t="s">
        <v>454</v>
      </c>
      <c r="D380" s="37" t="s">
        <v>21</v>
      </c>
      <c r="E380" s="37" t="s">
        <v>22</v>
      </c>
      <c r="F380" s="42">
        <v>45291</v>
      </c>
      <c r="G380" s="37">
        <v>2023</v>
      </c>
      <c r="H380" s="37" t="s">
        <v>27</v>
      </c>
      <c r="I380" s="39" t="s">
        <v>32</v>
      </c>
      <c r="J380" s="37">
        <v>32</v>
      </c>
      <c r="K380" s="37">
        <v>81</v>
      </c>
      <c r="L380" s="65">
        <f t="shared" si="46"/>
        <v>1.3</v>
      </c>
      <c r="M380" s="65">
        <f t="shared" si="47"/>
        <v>2.53125</v>
      </c>
      <c r="N380" s="37" t="s">
        <v>203</v>
      </c>
      <c r="O380" s="37" t="s">
        <v>203</v>
      </c>
      <c r="P380" s="37">
        <v>0</v>
      </c>
      <c r="Q380" s="37">
        <v>0</v>
      </c>
      <c r="R380" s="37" t="s">
        <v>1562</v>
      </c>
      <c r="S380" s="37"/>
    </row>
    <row r="381" spans="1:19" x14ac:dyDescent="0.3">
      <c r="A381" s="37">
        <v>308</v>
      </c>
      <c r="B381" s="37" t="s">
        <v>1560</v>
      </c>
      <c r="C381" s="37" t="s">
        <v>454</v>
      </c>
      <c r="D381" s="37" t="s">
        <v>21</v>
      </c>
      <c r="E381" s="37" t="s">
        <v>22</v>
      </c>
      <c r="F381" s="42">
        <v>45657</v>
      </c>
      <c r="G381" s="37">
        <v>2024</v>
      </c>
      <c r="H381" s="37" t="s">
        <v>27</v>
      </c>
      <c r="I381" s="39" t="s">
        <v>36</v>
      </c>
      <c r="J381" s="37">
        <v>100</v>
      </c>
      <c r="K381" s="37">
        <v>100</v>
      </c>
      <c r="L381" s="65">
        <f t="shared" si="46"/>
        <v>1</v>
      </c>
      <c r="M381" s="65">
        <f t="shared" si="47"/>
        <v>1</v>
      </c>
      <c r="N381" s="37" t="s">
        <v>203</v>
      </c>
      <c r="O381" s="37" t="s">
        <v>203</v>
      </c>
      <c r="P381" s="37">
        <v>0</v>
      </c>
      <c r="Q381" s="37">
        <v>0</v>
      </c>
      <c r="R381" s="37" t="s">
        <v>1564</v>
      </c>
      <c r="S381" s="37"/>
    </row>
    <row r="382" spans="1:19" x14ac:dyDescent="0.3">
      <c r="A382" s="37">
        <v>309</v>
      </c>
      <c r="B382" s="37" t="s">
        <v>1565</v>
      </c>
      <c r="C382" s="37" t="s">
        <v>454</v>
      </c>
      <c r="D382" s="37" t="s">
        <v>21</v>
      </c>
      <c r="E382" s="37" t="s">
        <v>22</v>
      </c>
      <c r="F382" s="42">
        <v>45291</v>
      </c>
      <c r="G382" s="37">
        <v>2023</v>
      </c>
      <c r="H382" s="37" t="s">
        <v>27</v>
      </c>
      <c r="I382" s="39" t="s">
        <v>32</v>
      </c>
      <c r="J382" s="37">
        <v>64</v>
      </c>
      <c r="K382" s="37">
        <v>103</v>
      </c>
      <c r="L382" s="65">
        <f t="shared" si="46"/>
        <v>1.3</v>
      </c>
      <c r="M382" s="65">
        <f t="shared" si="47"/>
        <v>1.609375</v>
      </c>
      <c r="N382" s="37" t="s">
        <v>203</v>
      </c>
      <c r="O382" s="37" t="s">
        <v>203</v>
      </c>
      <c r="P382" s="37">
        <v>0</v>
      </c>
      <c r="Q382" s="37">
        <v>0</v>
      </c>
      <c r="R382" s="37" t="s">
        <v>1567</v>
      </c>
      <c r="S382" s="37"/>
    </row>
    <row r="383" spans="1:19" x14ac:dyDescent="0.3">
      <c r="A383" s="37">
        <v>309</v>
      </c>
      <c r="B383" s="37" t="s">
        <v>1569</v>
      </c>
      <c r="C383" s="37" t="s">
        <v>454</v>
      </c>
      <c r="D383" s="37" t="s">
        <v>21</v>
      </c>
      <c r="E383" s="37" t="s">
        <v>22</v>
      </c>
      <c r="F383" s="42">
        <v>45657</v>
      </c>
      <c r="G383" s="37">
        <v>2024</v>
      </c>
      <c r="H383" s="37" t="s">
        <v>27</v>
      </c>
      <c r="I383" s="39" t="s">
        <v>36</v>
      </c>
      <c r="J383" s="37">
        <v>100</v>
      </c>
      <c r="K383" s="37">
        <v>154.66999999999999</v>
      </c>
      <c r="L383" s="65">
        <f t="shared" si="46"/>
        <v>1.3</v>
      </c>
      <c r="M383" s="65">
        <f t="shared" si="47"/>
        <v>1.5467</v>
      </c>
      <c r="N383" s="37" t="s">
        <v>203</v>
      </c>
      <c r="O383" s="37" t="s">
        <v>203</v>
      </c>
      <c r="P383" s="37">
        <v>0</v>
      </c>
      <c r="Q383" s="37">
        <v>0</v>
      </c>
      <c r="R383" s="37" t="s">
        <v>1570</v>
      </c>
      <c r="S383" s="37"/>
    </row>
    <row r="384" spans="1:19" x14ac:dyDescent="0.3">
      <c r="A384" s="37">
        <v>310</v>
      </c>
      <c r="B384" s="37" t="s">
        <v>1571</v>
      </c>
      <c r="C384" s="37" t="s">
        <v>454</v>
      </c>
      <c r="D384" s="37" t="s">
        <v>21</v>
      </c>
      <c r="E384" s="37" t="s">
        <v>22</v>
      </c>
      <c r="F384" s="42">
        <v>45291</v>
      </c>
      <c r="G384" s="37">
        <v>2023</v>
      </c>
      <c r="H384" s="37" t="s">
        <v>27</v>
      </c>
      <c r="I384" s="39" t="s">
        <v>32</v>
      </c>
      <c r="J384" s="37">
        <v>84</v>
      </c>
      <c r="K384" s="37">
        <v>166</v>
      </c>
      <c r="L384" s="65">
        <f t="shared" si="46"/>
        <v>1.3</v>
      </c>
      <c r="M384" s="65">
        <f t="shared" si="47"/>
        <v>1.9761904761904763</v>
      </c>
      <c r="N384" s="37" t="s">
        <v>203</v>
      </c>
      <c r="O384" s="37" t="s">
        <v>203</v>
      </c>
      <c r="P384" s="37">
        <v>0</v>
      </c>
      <c r="Q384" s="37">
        <v>0</v>
      </c>
      <c r="R384" s="37" t="s">
        <v>1573</v>
      </c>
      <c r="S384" s="37"/>
    </row>
    <row r="385" spans="1:19" x14ac:dyDescent="0.3">
      <c r="A385" s="37">
        <v>310</v>
      </c>
      <c r="B385" s="37" t="s">
        <v>1571</v>
      </c>
      <c r="C385" s="37" t="s">
        <v>454</v>
      </c>
      <c r="D385" s="37" t="s">
        <v>21</v>
      </c>
      <c r="E385" s="37" t="s">
        <v>22</v>
      </c>
      <c r="F385" s="42">
        <v>45657</v>
      </c>
      <c r="G385" s="37">
        <v>2024</v>
      </c>
      <c r="H385" s="37" t="s">
        <v>27</v>
      </c>
      <c r="I385" s="39" t="s">
        <v>36</v>
      </c>
      <c r="J385" s="37">
        <v>100</v>
      </c>
      <c r="K385" s="37">
        <v>79.13</v>
      </c>
      <c r="L385" s="65">
        <f t="shared" si="46"/>
        <v>0.7913</v>
      </c>
      <c r="M385" s="65">
        <f t="shared" si="47"/>
        <v>0.7913</v>
      </c>
      <c r="N385" s="37" t="s">
        <v>203</v>
      </c>
      <c r="O385" s="37" t="s">
        <v>203</v>
      </c>
      <c r="P385" s="37">
        <v>0</v>
      </c>
      <c r="Q385" s="37">
        <v>0</v>
      </c>
      <c r="R385" s="37" t="s">
        <v>1575</v>
      </c>
      <c r="S385" s="37"/>
    </row>
    <row r="386" spans="1:19" x14ac:dyDescent="0.3">
      <c r="A386" s="37">
        <v>311</v>
      </c>
      <c r="B386" s="37" t="s">
        <v>1576</v>
      </c>
      <c r="C386" s="37" t="s">
        <v>454</v>
      </c>
      <c r="D386" s="37" t="s">
        <v>21</v>
      </c>
      <c r="E386" s="37" t="s">
        <v>22</v>
      </c>
      <c r="F386" s="42">
        <v>45291</v>
      </c>
      <c r="G386" s="37">
        <v>2023</v>
      </c>
      <c r="H386" s="37" t="s">
        <v>27</v>
      </c>
      <c r="I386" s="39" t="s">
        <v>32</v>
      </c>
      <c r="J386" s="37">
        <v>267</v>
      </c>
      <c r="K386" s="37">
        <v>332</v>
      </c>
      <c r="L386" s="65">
        <f t="shared" si="46"/>
        <v>1.2434456928838951</v>
      </c>
      <c r="M386" s="65">
        <f t="shared" si="47"/>
        <v>1.2434456928838951</v>
      </c>
      <c r="N386" s="37" t="s">
        <v>203</v>
      </c>
      <c r="O386" s="37" t="s">
        <v>203</v>
      </c>
      <c r="P386" s="37">
        <v>0</v>
      </c>
      <c r="Q386" s="37">
        <v>0</v>
      </c>
      <c r="R386" s="37" t="s">
        <v>1578</v>
      </c>
      <c r="S386" s="37"/>
    </row>
    <row r="387" spans="1:19" x14ac:dyDescent="0.3">
      <c r="A387" s="37">
        <v>311</v>
      </c>
      <c r="B387" s="37" t="s">
        <v>1576</v>
      </c>
      <c r="C387" s="37" t="s">
        <v>454</v>
      </c>
      <c r="D387" s="37" t="s">
        <v>21</v>
      </c>
      <c r="E387" s="37" t="s">
        <v>22</v>
      </c>
      <c r="F387" s="42">
        <v>45657</v>
      </c>
      <c r="G387" s="37">
        <v>2024</v>
      </c>
      <c r="H387" s="37" t="s">
        <v>27</v>
      </c>
      <c r="I387" s="39" t="s">
        <v>36</v>
      </c>
      <c r="J387" s="37">
        <v>100</v>
      </c>
      <c r="K387" s="37">
        <v>67.760000000000005</v>
      </c>
      <c r="L387" s="65">
        <f t="shared" si="46"/>
        <v>0.67760000000000009</v>
      </c>
      <c r="M387" s="65">
        <f t="shared" si="47"/>
        <v>0.67760000000000009</v>
      </c>
      <c r="N387" s="37" t="s">
        <v>203</v>
      </c>
      <c r="O387" s="37" t="s">
        <v>203</v>
      </c>
      <c r="P387" s="37">
        <v>0</v>
      </c>
      <c r="Q387" s="37">
        <v>0</v>
      </c>
      <c r="R387" s="37" t="s">
        <v>1580</v>
      </c>
      <c r="S387" s="37"/>
    </row>
    <row r="388" spans="1:19" x14ac:dyDescent="0.3">
      <c r="A388" s="37">
        <v>312</v>
      </c>
      <c r="B388" s="37" t="s">
        <v>1581</v>
      </c>
      <c r="C388" s="37" t="s">
        <v>454</v>
      </c>
      <c r="D388" s="37" t="s">
        <v>21</v>
      </c>
      <c r="E388" s="37" t="s">
        <v>22</v>
      </c>
      <c r="F388" s="42">
        <v>45291</v>
      </c>
      <c r="G388" s="37">
        <v>2023</v>
      </c>
      <c r="H388" s="37" t="s">
        <v>27</v>
      </c>
      <c r="I388" s="39" t="s">
        <v>32</v>
      </c>
      <c r="J388" s="37">
        <v>221</v>
      </c>
      <c r="K388" s="37">
        <v>243</v>
      </c>
      <c r="L388" s="65">
        <f t="shared" si="46"/>
        <v>1.0995475113122173</v>
      </c>
      <c r="M388" s="65">
        <f t="shared" si="47"/>
        <v>1.0995475113122173</v>
      </c>
      <c r="N388" s="37" t="s">
        <v>203</v>
      </c>
      <c r="O388" s="37" t="s">
        <v>203</v>
      </c>
      <c r="P388" s="37">
        <v>0</v>
      </c>
      <c r="Q388" s="37">
        <v>0</v>
      </c>
      <c r="R388" s="37" t="s">
        <v>1583</v>
      </c>
      <c r="S388" s="37"/>
    </row>
    <row r="389" spans="1:19" x14ac:dyDescent="0.3">
      <c r="A389" s="37">
        <v>312</v>
      </c>
      <c r="B389" s="37" t="s">
        <v>1581</v>
      </c>
      <c r="C389" s="37" t="s">
        <v>454</v>
      </c>
      <c r="D389" s="37" t="s">
        <v>21</v>
      </c>
      <c r="E389" s="37" t="s">
        <v>22</v>
      </c>
      <c r="F389" s="42">
        <v>45657</v>
      </c>
      <c r="G389" s="37">
        <v>2024</v>
      </c>
      <c r="H389" s="37" t="s">
        <v>27</v>
      </c>
      <c r="I389" s="39" t="s">
        <v>36</v>
      </c>
      <c r="J389" s="37">
        <v>100</v>
      </c>
      <c r="K389" s="37">
        <v>137</v>
      </c>
      <c r="L389" s="65">
        <f t="shared" si="46"/>
        <v>1.3</v>
      </c>
      <c r="M389" s="65">
        <f t="shared" si="47"/>
        <v>1.37</v>
      </c>
      <c r="N389" s="37" t="s">
        <v>203</v>
      </c>
      <c r="O389" s="37" t="s">
        <v>203</v>
      </c>
      <c r="P389" s="37">
        <v>0</v>
      </c>
      <c r="Q389" s="37">
        <v>0</v>
      </c>
      <c r="R389" s="37" t="s">
        <v>1585</v>
      </c>
      <c r="S389" s="37"/>
    </row>
    <row r="390" spans="1:19" x14ac:dyDescent="0.3">
      <c r="A390" s="37">
        <v>313</v>
      </c>
      <c r="B390" s="37" t="s">
        <v>1586</v>
      </c>
      <c r="C390" s="37" t="s">
        <v>454</v>
      </c>
      <c r="D390" s="37" t="s">
        <v>21</v>
      </c>
      <c r="E390" s="37" t="s">
        <v>22</v>
      </c>
      <c r="F390" s="42">
        <v>45291</v>
      </c>
      <c r="G390" s="37">
        <v>2023</v>
      </c>
      <c r="H390" s="37" t="s">
        <v>27</v>
      </c>
      <c r="I390" s="39" t="s">
        <v>32</v>
      </c>
      <c r="J390" s="37">
        <v>28</v>
      </c>
      <c r="K390" s="37">
        <v>25</v>
      </c>
      <c r="L390" s="65">
        <f t="shared" si="46"/>
        <v>0.8928571428571429</v>
      </c>
      <c r="M390" s="65">
        <f t="shared" si="47"/>
        <v>0.8928571428571429</v>
      </c>
      <c r="N390" s="37" t="s">
        <v>203</v>
      </c>
      <c r="O390" s="37" t="s">
        <v>203</v>
      </c>
      <c r="P390" s="37">
        <v>0</v>
      </c>
      <c r="Q390" s="37">
        <v>0</v>
      </c>
      <c r="R390" s="37" t="s">
        <v>1588</v>
      </c>
      <c r="S390" s="37"/>
    </row>
    <row r="391" spans="1:19" x14ac:dyDescent="0.3">
      <c r="A391" s="37">
        <v>313</v>
      </c>
      <c r="B391" s="37" t="s">
        <v>1586</v>
      </c>
      <c r="C391" s="37" t="s">
        <v>454</v>
      </c>
      <c r="D391" s="37" t="s">
        <v>21</v>
      </c>
      <c r="E391" s="37" t="s">
        <v>22</v>
      </c>
      <c r="F391" s="42">
        <v>45657</v>
      </c>
      <c r="G391" s="37">
        <v>2024</v>
      </c>
      <c r="H391" s="37" t="s">
        <v>27</v>
      </c>
      <c r="I391" s="39" t="s">
        <v>36</v>
      </c>
      <c r="J391" s="37">
        <v>100</v>
      </c>
      <c r="K391" s="37">
        <v>100</v>
      </c>
      <c r="L391" s="65">
        <f t="shared" si="46"/>
        <v>1</v>
      </c>
      <c r="M391" s="65">
        <f t="shared" si="47"/>
        <v>1</v>
      </c>
      <c r="N391" s="37" t="s">
        <v>203</v>
      </c>
      <c r="O391" s="37" t="s">
        <v>203</v>
      </c>
      <c r="P391" s="37">
        <v>0</v>
      </c>
      <c r="Q391" s="37">
        <v>0</v>
      </c>
      <c r="R391" s="37" t="s">
        <v>1590</v>
      </c>
      <c r="S391" s="37"/>
    </row>
    <row r="392" spans="1:19" x14ac:dyDescent="0.3">
      <c r="A392" s="37">
        <v>314</v>
      </c>
      <c r="B392" s="37" t="s">
        <v>1591</v>
      </c>
      <c r="C392" s="37" t="s">
        <v>454</v>
      </c>
      <c r="D392" s="37" t="s">
        <v>21</v>
      </c>
      <c r="E392" s="37" t="s">
        <v>22</v>
      </c>
      <c r="F392" s="42">
        <v>45291</v>
      </c>
      <c r="G392" s="37">
        <v>2023</v>
      </c>
      <c r="H392" s="37" t="s">
        <v>27</v>
      </c>
      <c r="I392" s="39" t="s">
        <v>32</v>
      </c>
      <c r="J392" s="37">
        <v>23</v>
      </c>
      <c r="K392" s="37">
        <v>29</v>
      </c>
      <c r="L392" s="65">
        <f t="shared" si="46"/>
        <v>1.2608695652173914</v>
      </c>
      <c r="M392" s="65">
        <f t="shared" si="47"/>
        <v>1.2608695652173914</v>
      </c>
      <c r="N392" s="37" t="s">
        <v>203</v>
      </c>
      <c r="O392" s="37" t="s">
        <v>203</v>
      </c>
      <c r="P392" s="37">
        <v>0</v>
      </c>
      <c r="Q392" s="37">
        <v>0</v>
      </c>
      <c r="R392" s="37" t="s">
        <v>1593</v>
      </c>
      <c r="S392" s="37"/>
    </row>
    <row r="393" spans="1:19" x14ac:dyDescent="0.3">
      <c r="A393" s="37">
        <v>314</v>
      </c>
      <c r="B393" s="37" t="s">
        <v>1591</v>
      </c>
      <c r="C393" s="37" t="s">
        <v>454</v>
      </c>
      <c r="D393" s="37" t="s">
        <v>21</v>
      </c>
      <c r="E393" s="37" t="s">
        <v>22</v>
      </c>
      <c r="F393" s="42">
        <v>45657</v>
      </c>
      <c r="G393" s="37">
        <v>2024</v>
      </c>
      <c r="H393" s="37" t="s">
        <v>27</v>
      </c>
      <c r="I393" s="39" t="s">
        <v>36</v>
      </c>
      <c r="J393" s="37">
        <v>100</v>
      </c>
      <c r="K393" s="37">
        <v>145</v>
      </c>
      <c r="L393" s="65">
        <f t="shared" si="46"/>
        <v>1.3</v>
      </c>
      <c r="M393" s="65">
        <f t="shared" si="47"/>
        <v>1.45</v>
      </c>
      <c r="N393" s="37" t="s">
        <v>203</v>
      </c>
      <c r="O393" s="37" t="s">
        <v>203</v>
      </c>
      <c r="P393" s="37">
        <v>0</v>
      </c>
      <c r="Q393" s="37">
        <v>0</v>
      </c>
      <c r="R393" s="37" t="s">
        <v>1595</v>
      </c>
      <c r="S393" s="37"/>
    </row>
    <row r="394" spans="1:19" x14ac:dyDescent="0.3">
      <c r="A394" s="37">
        <v>315</v>
      </c>
      <c r="B394" s="37" t="s">
        <v>1596</v>
      </c>
      <c r="C394" s="37" t="s">
        <v>454</v>
      </c>
      <c r="D394" s="37" t="s">
        <v>21</v>
      </c>
      <c r="E394" s="37" t="s">
        <v>22</v>
      </c>
      <c r="F394" s="42">
        <v>45291</v>
      </c>
      <c r="G394" s="37">
        <v>2023</v>
      </c>
      <c r="H394" s="37" t="s">
        <v>27</v>
      </c>
      <c r="I394" s="39" t="s">
        <v>32</v>
      </c>
      <c r="J394" s="37">
        <v>5</v>
      </c>
      <c r="K394" s="37">
        <v>7</v>
      </c>
      <c r="L394" s="65">
        <f t="shared" si="46"/>
        <v>1.3</v>
      </c>
      <c r="M394" s="65">
        <f t="shared" si="47"/>
        <v>1.4</v>
      </c>
      <c r="N394" s="37" t="s">
        <v>203</v>
      </c>
      <c r="O394" s="37" t="s">
        <v>203</v>
      </c>
      <c r="P394" s="37">
        <v>0</v>
      </c>
      <c r="Q394" s="37">
        <v>0</v>
      </c>
      <c r="R394" s="37" t="s">
        <v>3517</v>
      </c>
      <c r="S394" s="37"/>
    </row>
    <row r="395" spans="1:19" x14ac:dyDescent="0.3">
      <c r="A395" s="37">
        <v>315</v>
      </c>
      <c r="B395" s="37" t="s">
        <v>3518</v>
      </c>
      <c r="C395" s="37" t="s">
        <v>454</v>
      </c>
      <c r="D395" s="37" t="s">
        <v>21</v>
      </c>
      <c r="E395" s="37" t="s">
        <v>22</v>
      </c>
      <c r="F395" s="42">
        <v>45657</v>
      </c>
      <c r="G395" s="37">
        <v>2024</v>
      </c>
      <c r="H395" s="37" t="s">
        <v>27</v>
      </c>
      <c r="I395" s="39" t="s">
        <v>36</v>
      </c>
      <c r="J395" s="37"/>
      <c r="K395" s="37"/>
      <c r="L395" s="65"/>
      <c r="M395" s="65"/>
      <c r="N395" s="37" t="s">
        <v>203</v>
      </c>
      <c r="O395" s="37" t="s">
        <v>203</v>
      </c>
      <c r="P395" s="37">
        <v>0</v>
      </c>
      <c r="Q395" s="37">
        <v>0</v>
      </c>
      <c r="R395" s="37" t="s">
        <v>3520</v>
      </c>
      <c r="S395" s="37"/>
    </row>
    <row r="396" spans="1:19" x14ac:dyDescent="0.3">
      <c r="A396" s="37">
        <v>316</v>
      </c>
      <c r="B396" s="37" t="s">
        <v>1598</v>
      </c>
      <c r="C396" s="37" t="s">
        <v>454</v>
      </c>
      <c r="D396" s="37" t="s">
        <v>21</v>
      </c>
      <c r="E396" s="37" t="s">
        <v>22</v>
      </c>
      <c r="F396" s="42">
        <v>45291</v>
      </c>
      <c r="G396" s="37">
        <v>2023</v>
      </c>
      <c r="H396" s="37" t="s">
        <v>27</v>
      </c>
      <c r="I396" s="39" t="s">
        <v>32</v>
      </c>
      <c r="J396" s="37">
        <v>21</v>
      </c>
      <c r="K396" s="37">
        <v>22</v>
      </c>
      <c r="L396" s="65">
        <f t="shared" ref="L396:L420" si="48">IFERROR(IF(OR(J396=0,K396=""),"",IF(E396="Positivo",MIN(MAX(K396/J396,0),1.3),MIN(MAX(J396/K396,0),1.3))),"")</f>
        <v>1.0476190476190477</v>
      </c>
      <c r="M396" s="65">
        <f t="shared" ref="M396:M420" si="49">IFERROR(IF(OR(J396=0,K396=""),"",IF(E396="Positivo",MAX(K396/J396,0),MAX(J396/K396,0))),"")</f>
        <v>1.0476190476190477</v>
      </c>
      <c r="N396" s="37" t="s">
        <v>203</v>
      </c>
      <c r="O396" s="37" t="s">
        <v>203</v>
      </c>
      <c r="P396" s="37">
        <v>0</v>
      </c>
      <c r="Q396" s="37">
        <v>0</v>
      </c>
      <c r="R396" s="37" t="s">
        <v>1600</v>
      </c>
      <c r="S396" s="37"/>
    </row>
    <row r="397" spans="1:19" x14ac:dyDescent="0.3">
      <c r="A397" s="37">
        <v>317</v>
      </c>
      <c r="B397" s="37" t="s">
        <v>1601</v>
      </c>
      <c r="C397" s="37" t="s">
        <v>454</v>
      </c>
      <c r="D397" s="37" t="s">
        <v>139</v>
      </c>
      <c r="E397" s="37" t="s">
        <v>22</v>
      </c>
      <c r="F397" s="42">
        <v>45291</v>
      </c>
      <c r="G397" s="37">
        <v>2023</v>
      </c>
      <c r="H397" s="37" t="s">
        <v>27</v>
      </c>
      <c r="I397" s="39" t="s">
        <v>32</v>
      </c>
      <c r="J397" s="37">
        <v>12</v>
      </c>
      <c r="K397" s="37">
        <v>12</v>
      </c>
      <c r="L397" s="65">
        <f t="shared" si="48"/>
        <v>1</v>
      </c>
      <c r="M397" s="65">
        <f t="shared" si="49"/>
        <v>1</v>
      </c>
      <c r="N397" s="37" t="s">
        <v>203</v>
      </c>
      <c r="O397" s="37" t="s">
        <v>203</v>
      </c>
      <c r="P397" s="37">
        <v>0</v>
      </c>
      <c r="Q397" s="37">
        <v>0</v>
      </c>
      <c r="R397" s="37" t="s">
        <v>1602</v>
      </c>
      <c r="S397" s="37"/>
    </row>
    <row r="398" spans="1:19" x14ac:dyDescent="0.3">
      <c r="A398" s="37">
        <v>317</v>
      </c>
      <c r="B398" s="37" t="s">
        <v>1601</v>
      </c>
      <c r="C398" s="37" t="s">
        <v>454</v>
      </c>
      <c r="D398" s="37" t="s">
        <v>139</v>
      </c>
      <c r="E398" s="37" t="s">
        <v>22</v>
      </c>
      <c r="F398" s="42">
        <v>45657</v>
      </c>
      <c r="G398" s="37">
        <v>2024</v>
      </c>
      <c r="H398" s="37" t="s">
        <v>27</v>
      </c>
      <c r="I398" s="39" t="s">
        <v>36</v>
      </c>
      <c r="J398" s="37">
        <v>100</v>
      </c>
      <c r="K398" s="37">
        <v>100</v>
      </c>
      <c r="L398" s="65">
        <f t="shared" si="48"/>
        <v>1</v>
      </c>
      <c r="M398" s="65">
        <f t="shared" si="49"/>
        <v>1</v>
      </c>
      <c r="N398" s="37" t="s">
        <v>203</v>
      </c>
      <c r="O398" s="37" t="s">
        <v>203</v>
      </c>
      <c r="P398" s="37">
        <v>0</v>
      </c>
      <c r="Q398" s="37">
        <v>0</v>
      </c>
      <c r="R398" s="37" t="s">
        <v>1603</v>
      </c>
      <c r="S398" s="37"/>
    </row>
    <row r="399" spans="1:19" x14ac:dyDescent="0.3">
      <c r="A399" s="76">
        <v>318</v>
      </c>
      <c r="B399" s="76" t="s">
        <v>1607</v>
      </c>
      <c r="C399" s="76" t="s">
        <v>454</v>
      </c>
      <c r="D399" s="76" t="s">
        <v>21</v>
      </c>
      <c r="E399" s="76" t="s">
        <v>22</v>
      </c>
      <c r="F399" s="77">
        <v>45291</v>
      </c>
      <c r="G399" s="76">
        <v>2023</v>
      </c>
      <c r="H399" s="76" t="s">
        <v>27</v>
      </c>
      <c r="I399" s="76" t="s">
        <v>32</v>
      </c>
      <c r="J399" s="76">
        <v>132</v>
      </c>
      <c r="K399" s="76">
        <v>120</v>
      </c>
      <c r="L399" s="78">
        <f t="shared" si="48"/>
        <v>0.90909090909090906</v>
      </c>
      <c r="M399" s="78">
        <f t="shared" si="49"/>
        <v>0.90909090909090906</v>
      </c>
      <c r="N399" s="76" t="s">
        <v>25</v>
      </c>
      <c r="O399" s="76" t="s">
        <v>25</v>
      </c>
      <c r="P399" s="76">
        <v>0</v>
      </c>
      <c r="Q399" s="76">
        <v>0</v>
      </c>
      <c r="R399" s="76" t="s">
        <v>1606</v>
      </c>
      <c r="S399" s="76"/>
    </row>
    <row r="400" spans="1:19" x14ac:dyDescent="0.3">
      <c r="A400" s="76">
        <v>318</v>
      </c>
      <c r="B400" s="76" t="s">
        <v>1607</v>
      </c>
      <c r="C400" s="76" t="s">
        <v>454</v>
      </c>
      <c r="D400" s="76" t="s">
        <v>139</v>
      </c>
      <c r="E400" s="76" t="s">
        <v>22</v>
      </c>
      <c r="F400" s="77">
        <v>45657</v>
      </c>
      <c r="G400" s="76">
        <v>2024</v>
      </c>
      <c r="H400" s="76" t="s">
        <v>27</v>
      </c>
      <c r="I400" s="76" t="s">
        <v>36</v>
      </c>
      <c r="J400" s="76">
        <v>144</v>
      </c>
      <c r="K400" s="76">
        <v>130</v>
      </c>
      <c r="L400" s="78">
        <f t="shared" si="48"/>
        <v>0.90277777777777779</v>
      </c>
      <c r="M400" s="78">
        <f t="shared" si="49"/>
        <v>0.90277777777777779</v>
      </c>
      <c r="N400" s="76" t="s">
        <v>25</v>
      </c>
      <c r="O400" s="76" t="s">
        <v>25</v>
      </c>
      <c r="P400" s="76">
        <v>0</v>
      </c>
      <c r="Q400" s="76">
        <v>0</v>
      </c>
      <c r="R400" s="76" t="s">
        <v>1608</v>
      </c>
      <c r="S400" s="76"/>
    </row>
    <row r="401" spans="1:19" x14ac:dyDescent="0.3">
      <c r="A401" s="37">
        <v>319</v>
      </c>
      <c r="B401" s="37" t="s">
        <v>1609</v>
      </c>
      <c r="C401" s="37" t="s">
        <v>454</v>
      </c>
      <c r="D401" s="37" t="s">
        <v>21</v>
      </c>
      <c r="E401" s="37" t="s">
        <v>22</v>
      </c>
      <c r="F401" s="42">
        <v>45291</v>
      </c>
      <c r="G401" s="37">
        <v>2023</v>
      </c>
      <c r="H401" s="37" t="s">
        <v>27</v>
      </c>
      <c r="I401" s="39" t="s">
        <v>32</v>
      </c>
      <c r="J401" s="37">
        <v>100</v>
      </c>
      <c r="K401" s="37">
        <v>100</v>
      </c>
      <c r="L401" s="65">
        <f t="shared" si="48"/>
        <v>1</v>
      </c>
      <c r="M401" s="65">
        <f t="shared" si="49"/>
        <v>1</v>
      </c>
      <c r="N401" s="37" t="s">
        <v>25</v>
      </c>
      <c r="O401" s="37" t="s">
        <v>25</v>
      </c>
      <c r="P401" s="37">
        <v>0</v>
      </c>
      <c r="Q401" s="37">
        <v>0</v>
      </c>
      <c r="R401" s="37" t="s">
        <v>1611</v>
      </c>
      <c r="S401" s="37"/>
    </row>
    <row r="402" spans="1:19" x14ac:dyDescent="0.3">
      <c r="A402" s="37">
        <v>319</v>
      </c>
      <c r="B402" s="37" t="s">
        <v>1609</v>
      </c>
      <c r="C402" s="37" t="s">
        <v>454</v>
      </c>
      <c r="D402" s="37" t="s">
        <v>21</v>
      </c>
      <c r="E402" s="37" t="s">
        <v>22</v>
      </c>
      <c r="F402" s="42">
        <v>45657</v>
      </c>
      <c r="G402" s="37">
        <v>2024</v>
      </c>
      <c r="H402" s="37" t="s">
        <v>27</v>
      </c>
      <c r="I402" s="39" t="s">
        <v>36</v>
      </c>
      <c r="J402" s="37">
        <v>100</v>
      </c>
      <c r="K402" s="37">
        <v>100</v>
      </c>
      <c r="L402" s="65">
        <f t="shared" si="48"/>
        <v>1</v>
      </c>
      <c r="M402" s="65">
        <f t="shared" si="49"/>
        <v>1</v>
      </c>
      <c r="N402" s="37" t="s">
        <v>25</v>
      </c>
      <c r="O402" s="37" t="s">
        <v>25</v>
      </c>
      <c r="P402" s="37">
        <v>0</v>
      </c>
      <c r="Q402" s="37">
        <v>0</v>
      </c>
      <c r="R402" s="37" t="s">
        <v>1613</v>
      </c>
      <c r="S402" s="37"/>
    </row>
    <row r="403" spans="1:19" x14ac:dyDescent="0.3">
      <c r="A403" s="37">
        <v>320</v>
      </c>
      <c r="B403" s="37" t="s">
        <v>1614</v>
      </c>
      <c r="C403" s="37" t="s">
        <v>454</v>
      </c>
      <c r="D403" s="37" t="s">
        <v>21</v>
      </c>
      <c r="E403" s="37" t="s">
        <v>22</v>
      </c>
      <c r="F403" s="42">
        <v>45291</v>
      </c>
      <c r="G403" s="37">
        <v>2023</v>
      </c>
      <c r="H403" s="37" t="s">
        <v>27</v>
      </c>
      <c r="I403" s="39" t="s">
        <v>32</v>
      </c>
      <c r="J403" s="37">
        <v>41</v>
      </c>
      <c r="K403" s="37">
        <v>29</v>
      </c>
      <c r="L403" s="65">
        <f t="shared" si="48"/>
        <v>0.70731707317073167</v>
      </c>
      <c r="M403" s="65">
        <f t="shared" si="49"/>
        <v>0.70731707317073167</v>
      </c>
      <c r="N403" s="37" t="s">
        <v>203</v>
      </c>
      <c r="O403" s="37" t="s">
        <v>203</v>
      </c>
      <c r="P403" s="37">
        <v>0</v>
      </c>
      <c r="Q403" s="37">
        <v>0</v>
      </c>
      <c r="R403" s="37" t="s">
        <v>1616</v>
      </c>
      <c r="S403" s="37"/>
    </row>
    <row r="404" spans="1:19" x14ac:dyDescent="0.3">
      <c r="A404" s="37">
        <v>320</v>
      </c>
      <c r="B404" s="37" t="s">
        <v>1617</v>
      </c>
      <c r="C404" s="37" t="s">
        <v>454</v>
      </c>
      <c r="D404" s="37" t="s">
        <v>21</v>
      </c>
      <c r="E404" s="37" t="s">
        <v>22</v>
      </c>
      <c r="F404" s="42">
        <v>45657</v>
      </c>
      <c r="G404" s="37">
        <v>2024</v>
      </c>
      <c r="H404" s="37" t="s">
        <v>27</v>
      </c>
      <c r="I404" s="39" t="s">
        <v>36</v>
      </c>
      <c r="J404" s="37">
        <v>100</v>
      </c>
      <c r="K404" s="37">
        <v>115</v>
      </c>
      <c r="L404" s="65">
        <f t="shared" si="48"/>
        <v>1.1499999999999999</v>
      </c>
      <c r="M404" s="65">
        <f t="shared" si="49"/>
        <v>1.1499999999999999</v>
      </c>
      <c r="N404" s="37" t="s">
        <v>203</v>
      </c>
      <c r="O404" s="37" t="s">
        <v>203</v>
      </c>
      <c r="P404" s="37">
        <v>0</v>
      </c>
      <c r="Q404" s="37">
        <v>0</v>
      </c>
      <c r="R404" s="37" t="s">
        <v>1619</v>
      </c>
      <c r="S404" s="37"/>
    </row>
    <row r="405" spans="1:19" x14ac:dyDescent="0.3">
      <c r="A405" s="37">
        <v>321</v>
      </c>
      <c r="B405" s="37" t="s">
        <v>1620</v>
      </c>
      <c r="C405" s="37" t="s">
        <v>454</v>
      </c>
      <c r="D405" s="37" t="s">
        <v>21</v>
      </c>
      <c r="E405" s="37" t="s">
        <v>22</v>
      </c>
      <c r="F405" s="42">
        <v>45291</v>
      </c>
      <c r="G405" s="37">
        <v>2023</v>
      </c>
      <c r="H405" s="37" t="s">
        <v>27</v>
      </c>
      <c r="I405" s="39" t="s">
        <v>32</v>
      </c>
      <c r="J405" s="37">
        <v>360</v>
      </c>
      <c r="K405" s="37">
        <v>467</v>
      </c>
      <c r="L405" s="65">
        <f t="shared" si="48"/>
        <v>1.2972222222222223</v>
      </c>
      <c r="M405" s="65">
        <f t="shared" si="49"/>
        <v>1.2972222222222223</v>
      </c>
      <c r="N405" s="37" t="s">
        <v>203</v>
      </c>
      <c r="O405" s="37" t="s">
        <v>203</v>
      </c>
      <c r="P405" s="37">
        <v>0</v>
      </c>
      <c r="Q405" s="37">
        <v>0</v>
      </c>
      <c r="R405" s="37" t="s">
        <v>1622</v>
      </c>
      <c r="S405" s="37"/>
    </row>
    <row r="406" spans="1:19" x14ac:dyDescent="0.3">
      <c r="A406" s="37">
        <v>321</v>
      </c>
      <c r="B406" s="37" t="s">
        <v>1623</v>
      </c>
      <c r="C406" s="37" t="s">
        <v>454</v>
      </c>
      <c r="D406" s="37" t="s">
        <v>21</v>
      </c>
      <c r="E406" s="37" t="s">
        <v>22</v>
      </c>
      <c r="F406" s="42">
        <v>45657</v>
      </c>
      <c r="G406" s="37">
        <v>2024</v>
      </c>
      <c r="H406" s="37" t="s">
        <v>27</v>
      </c>
      <c r="I406" s="39" t="s">
        <v>36</v>
      </c>
      <c r="J406" s="37">
        <v>100</v>
      </c>
      <c r="K406" s="37">
        <v>502.17</v>
      </c>
      <c r="L406" s="65">
        <f t="shared" si="48"/>
        <v>1.3</v>
      </c>
      <c r="M406" s="65">
        <f t="shared" si="49"/>
        <v>5.0217000000000001</v>
      </c>
      <c r="N406" s="37" t="s">
        <v>203</v>
      </c>
      <c r="O406" s="37" t="s">
        <v>203</v>
      </c>
      <c r="P406" s="37">
        <v>0</v>
      </c>
      <c r="Q406" s="37">
        <v>0</v>
      </c>
      <c r="R406" s="37" t="s">
        <v>1625</v>
      </c>
      <c r="S406" s="37"/>
    </row>
    <row r="407" spans="1:19" x14ac:dyDescent="0.3">
      <c r="A407" s="76">
        <v>323</v>
      </c>
      <c r="B407" s="76" t="s">
        <v>1626</v>
      </c>
      <c r="C407" s="76" t="s">
        <v>1627</v>
      </c>
      <c r="D407" s="76" t="s">
        <v>21</v>
      </c>
      <c r="E407" s="76" t="s">
        <v>22</v>
      </c>
      <c r="F407" s="77">
        <v>45291</v>
      </c>
      <c r="G407" s="76">
        <v>2023</v>
      </c>
      <c r="H407" s="76" t="s">
        <v>27</v>
      </c>
      <c r="I407" s="76" t="s">
        <v>32</v>
      </c>
      <c r="J407" s="76">
        <v>8</v>
      </c>
      <c r="K407" s="76">
        <v>8</v>
      </c>
      <c r="L407" s="78">
        <f t="shared" si="48"/>
        <v>1</v>
      </c>
      <c r="M407" s="78">
        <f t="shared" si="49"/>
        <v>1</v>
      </c>
      <c r="N407" s="76" t="s">
        <v>25</v>
      </c>
      <c r="O407" s="76" t="s">
        <v>25</v>
      </c>
      <c r="P407" s="76">
        <v>0</v>
      </c>
      <c r="Q407" s="76">
        <v>0</v>
      </c>
      <c r="R407" s="76" t="s">
        <v>1629</v>
      </c>
      <c r="S407" s="76"/>
    </row>
    <row r="408" spans="1:19" x14ac:dyDescent="0.3">
      <c r="A408" s="76">
        <v>323</v>
      </c>
      <c r="B408" s="76" t="s">
        <v>1626</v>
      </c>
      <c r="C408" s="76" t="s">
        <v>1627</v>
      </c>
      <c r="D408" s="76" t="s">
        <v>21</v>
      </c>
      <c r="E408" s="76" t="s">
        <v>22</v>
      </c>
      <c r="F408" s="77">
        <v>45657</v>
      </c>
      <c r="G408" s="76">
        <v>2024</v>
      </c>
      <c r="H408" s="76" t="s">
        <v>27</v>
      </c>
      <c r="I408" s="76" t="s">
        <v>36</v>
      </c>
      <c r="J408" s="76">
        <v>3</v>
      </c>
      <c r="K408" s="76">
        <v>3</v>
      </c>
      <c r="L408" s="78">
        <f t="shared" si="48"/>
        <v>1</v>
      </c>
      <c r="M408" s="78">
        <f t="shared" si="49"/>
        <v>1</v>
      </c>
      <c r="N408" s="76" t="s">
        <v>25</v>
      </c>
      <c r="O408" s="76" t="s">
        <v>25</v>
      </c>
      <c r="P408" s="76">
        <v>0</v>
      </c>
      <c r="Q408" s="76">
        <v>0</v>
      </c>
      <c r="R408" s="76" t="s">
        <v>1631</v>
      </c>
      <c r="S408" s="76"/>
    </row>
    <row r="409" spans="1:19" x14ac:dyDescent="0.3">
      <c r="A409" s="76">
        <v>324</v>
      </c>
      <c r="B409" s="76" t="s">
        <v>1632</v>
      </c>
      <c r="C409" s="76" t="s">
        <v>1627</v>
      </c>
      <c r="D409" s="76" t="s">
        <v>21</v>
      </c>
      <c r="E409" s="76" t="s">
        <v>22</v>
      </c>
      <c r="F409" s="77">
        <v>45291</v>
      </c>
      <c r="G409" s="76">
        <v>2023</v>
      </c>
      <c r="H409" s="76" t="s">
        <v>27</v>
      </c>
      <c r="I409" s="76" t="s">
        <v>32</v>
      </c>
      <c r="J409" s="76">
        <v>12</v>
      </c>
      <c r="K409" s="76">
        <v>12</v>
      </c>
      <c r="L409" s="78">
        <f t="shared" si="48"/>
        <v>1</v>
      </c>
      <c r="M409" s="78">
        <f t="shared" si="49"/>
        <v>1</v>
      </c>
      <c r="N409" s="76" t="s">
        <v>25</v>
      </c>
      <c r="O409" s="76" t="s">
        <v>25</v>
      </c>
      <c r="P409" s="76">
        <v>0</v>
      </c>
      <c r="Q409" s="76">
        <v>0</v>
      </c>
      <c r="R409" s="76" t="s">
        <v>1634</v>
      </c>
      <c r="S409" s="76"/>
    </row>
    <row r="410" spans="1:19" x14ac:dyDescent="0.3">
      <c r="A410" s="76">
        <v>324</v>
      </c>
      <c r="B410" s="76" t="s">
        <v>1632</v>
      </c>
      <c r="C410" s="76" t="s">
        <v>1627</v>
      </c>
      <c r="D410" s="76" t="s">
        <v>21</v>
      </c>
      <c r="E410" s="76" t="s">
        <v>22</v>
      </c>
      <c r="F410" s="77">
        <v>45657</v>
      </c>
      <c r="G410" s="76">
        <v>2024</v>
      </c>
      <c r="H410" s="76" t="s">
        <v>27</v>
      </c>
      <c r="I410" s="76" t="s">
        <v>36</v>
      </c>
      <c r="J410" s="76">
        <v>6</v>
      </c>
      <c r="K410" s="76">
        <v>6</v>
      </c>
      <c r="L410" s="78">
        <f t="shared" si="48"/>
        <v>1</v>
      </c>
      <c r="M410" s="78">
        <f t="shared" si="49"/>
        <v>1</v>
      </c>
      <c r="N410" s="76" t="s">
        <v>25</v>
      </c>
      <c r="O410" s="76" t="s">
        <v>25</v>
      </c>
      <c r="P410" s="76">
        <v>0</v>
      </c>
      <c r="Q410" s="76">
        <v>0</v>
      </c>
      <c r="R410" s="76" t="s">
        <v>1636</v>
      </c>
      <c r="S410" s="76"/>
    </row>
    <row r="411" spans="1:19" x14ac:dyDescent="0.3">
      <c r="A411" s="76">
        <v>325</v>
      </c>
      <c r="B411" s="76" t="s">
        <v>1642</v>
      </c>
      <c r="C411" s="76" t="s">
        <v>1627</v>
      </c>
      <c r="D411" s="76" t="s">
        <v>21</v>
      </c>
      <c r="E411" s="76" t="s">
        <v>22</v>
      </c>
      <c r="F411" s="77">
        <v>45291</v>
      </c>
      <c r="G411" s="76">
        <v>2023</v>
      </c>
      <c r="H411" s="76" t="s">
        <v>27</v>
      </c>
      <c r="I411" s="76" t="s">
        <v>32</v>
      </c>
      <c r="J411" s="76">
        <v>1</v>
      </c>
      <c r="K411" s="76">
        <v>1</v>
      </c>
      <c r="L411" s="78">
        <f t="shared" si="48"/>
        <v>1</v>
      </c>
      <c r="M411" s="78">
        <f t="shared" si="49"/>
        <v>1</v>
      </c>
      <c r="N411" s="76" t="s">
        <v>25</v>
      </c>
      <c r="O411" s="76" t="s">
        <v>25</v>
      </c>
      <c r="P411" s="76">
        <v>0</v>
      </c>
      <c r="Q411" s="76">
        <v>0</v>
      </c>
      <c r="R411" s="76" t="s">
        <v>1639</v>
      </c>
      <c r="S411" s="76"/>
    </row>
    <row r="412" spans="1:19" x14ac:dyDescent="0.3">
      <c r="A412" s="76">
        <v>325</v>
      </c>
      <c r="B412" s="76" t="s">
        <v>1642</v>
      </c>
      <c r="C412" s="76" t="s">
        <v>1627</v>
      </c>
      <c r="D412" s="76" t="s">
        <v>21</v>
      </c>
      <c r="E412" s="76" t="s">
        <v>22</v>
      </c>
      <c r="F412" s="77">
        <v>45657</v>
      </c>
      <c r="G412" s="76">
        <v>2024</v>
      </c>
      <c r="H412" s="76" t="s">
        <v>27</v>
      </c>
      <c r="I412" s="76" t="s">
        <v>36</v>
      </c>
      <c r="J412" s="76">
        <v>3</v>
      </c>
      <c r="K412" s="76">
        <v>8</v>
      </c>
      <c r="L412" s="78">
        <f t="shared" si="48"/>
        <v>1.3</v>
      </c>
      <c r="M412" s="78">
        <f t="shared" si="49"/>
        <v>2.6666666666666665</v>
      </c>
      <c r="N412" s="76" t="s">
        <v>25</v>
      </c>
      <c r="O412" s="76" t="s">
        <v>25</v>
      </c>
      <c r="P412" s="76">
        <v>0</v>
      </c>
      <c r="Q412" s="76">
        <v>0</v>
      </c>
      <c r="R412" s="76" t="s">
        <v>1641</v>
      </c>
      <c r="S412" s="76"/>
    </row>
    <row r="413" spans="1:19" x14ac:dyDescent="0.3">
      <c r="A413" s="76">
        <v>326</v>
      </c>
      <c r="B413" s="76" t="s">
        <v>1645</v>
      </c>
      <c r="C413" s="76" t="s">
        <v>1364</v>
      </c>
      <c r="D413" s="76" t="s">
        <v>139</v>
      </c>
      <c r="E413" s="76" t="s">
        <v>22</v>
      </c>
      <c r="F413" s="77">
        <v>45291</v>
      </c>
      <c r="G413" s="76">
        <v>2023</v>
      </c>
      <c r="H413" s="76" t="s">
        <v>27</v>
      </c>
      <c r="I413" s="76" t="s">
        <v>32</v>
      </c>
      <c r="J413" s="76">
        <v>5</v>
      </c>
      <c r="K413" s="76">
        <v>5</v>
      </c>
      <c r="L413" s="78">
        <f t="shared" si="48"/>
        <v>1</v>
      </c>
      <c r="M413" s="78">
        <f t="shared" si="49"/>
        <v>1</v>
      </c>
      <c r="N413" s="76" t="s">
        <v>25</v>
      </c>
      <c r="O413" s="76" t="s">
        <v>25</v>
      </c>
      <c r="P413" s="76">
        <v>0</v>
      </c>
      <c r="Q413" s="76">
        <v>0</v>
      </c>
      <c r="R413" s="76" t="s">
        <v>1644</v>
      </c>
      <c r="S413" s="76"/>
    </row>
    <row r="414" spans="1:19" x14ac:dyDescent="0.3">
      <c r="A414" s="76">
        <v>326</v>
      </c>
      <c r="B414" s="76" t="s">
        <v>1645</v>
      </c>
      <c r="C414" s="76" t="s">
        <v>1364</v>
      </c>
      <c r="D414" s="76" t="s">
        <v>139</v>
      </c>
      <c r="E414" s="76" t="s">
        <v>22</v>
      </c>
      <c r="F414" s="77">
        <v>45657</v>
      </c>
      <c r="G414" s="76">
        <v>2024</v>
      </c>
      <c r="H414" s="76" t="s">
        <v>27</v>
      </c>
      <c r="I414" s="76" t="s">
        <v>36</v>
      </c>
      <c r="J414" s="76">
        <v>0</v>
      </c>
      <c r="K414" s="76">
        <v>0</v>
      </c>
      <c r="L414" s="78" t="str">
        <f t="shared" si="48"/>
        <v/>
      </c>
      <c r="M414" s="78" t="str">
        <f t="shared" si="49"/>
        <v/>
      </c>
      <c r="N414" s="76" t="s">
        <v>25</v>
      </c>
      <c r="O414" s="76" t="s">
        <v>25</v>
      </c>
      <c r="P414" s="76">
        <v>0</v>
      </c>
      <c r="Q414" s="76">
        <v>0</v>
      </c>
      <c r="R414" s="76" t="s">
        <v>1646</v>
      </c>
      <c r="S414" s="76"/>
    </row>
    <row r="415" spans="1:19" x14ac:dyDescent="0.3">
      <c r="A415" s="76">
        <v>327</v>
      </c>
      <c r="B415" s="76" t="s">
        <v>1652</v>
      </c>
      <c r="C415" s="76" t="s">
        <v>1364</v>
      </c>
      <c r="D415" s="76" t="s">
        <v>21</v>
      </c>
      <c r="E415" s="76" t="s">
        <v>22</v>
      </c>
      <c r="F415" s="77">
        <v>45291</v>
      </c>
      <c r="G415" s="76">
        <v>2023</v>
      </c>
      <c r="H415" s="76" t="s">
        <v>27</v>
      </c>
      <c r="I415" s="76" t="s">
        <v>32</v>
      </c>
      <c r="J415" s="76">
        <v>2</v>
      </c>
      <c r="K415" s="76">
        <v>2</v>
      </c>
      <c r="L415" s="78">
        <f t="shared" si="48"/>
        <v>1</v>
      </c>
      <c r="M415" s="78">
        <f t="shared" si="49"/>
        <v>1</v>
      </c>
      <c r="N415" s="76" t="s">
        <v>25</v>
      </c>
      <c r="O415" s="76" t="s">
        <v>25</v>
      </c>
      <c r="P415" s="76">
        <v>0</v>
      </c>
      <c r="Q415" s="76">
        <v>0</v>
      </c>
      <c r="R415" s="76" t="s">
        <v>1649</v>
      </c>
      <c r="S415" s="76"/>
    </row>
    <row r="416" spans="1:19" x14ac:dyDescent="0.3">
      <c r="A416" s="76">
        <v>327</v>
      </c>
      <c r="B416" s="76" t="s">
        <v>1652</v>
      </c>
      <c r="C416" s="76" t="s">
        <v>1364</v>
      </c>
      <c r="D416" s="76" t="s">
        <v>21</v>
      </c>
      <c r="E416" s="76" t="s">
        <v>22</v>
      </c>
      <c r="F416" s="77">
        <v>45657</v>
      </c>
      <c r="G416" s="76">
        <v>2024</v>
      </c>
      <c r="H416" s="76" t="s">
        <v>27</v>
      </c>
      <c r="I416" s="76" t="s">
        <v>36</v>
      </c>
      <c r="J416" s="76">
        <v>0</v>
      </c>
      <c r="K416" s="76">
        <v>0</v>
      </c>
      <c r="L416" s="78" t="str">
        <f t="shared" si="48"/>
        <v/>
      </c>
      <c r="M416" s="78" t="str">
        <f t="shared" si="49"/>
        <v/>
      </c>
      <c r="N416" s="76" t="s">
        <v>25</v>
      </c>
      <c r="O416" s="76" t="s">
        <v>25</v>
      </c>
      <c r="P416" s="76">
        <v>0</v>
      </c>
      <c r="Q416" s="76">
        <v>0</v>
      </c>
      <c r="R416" s="76" t="s">
        <v>1651</v>
      </c>
      <c r="S416" s="76"/>
    </row>
    <row r="417" spans="1:19" x14ac:dyDescent="0.3">
      <c r="A417" s="37">
        <v>328</v>
      </c>
      <c r="B417" s="37" t="s">
        <v>1653</v>
      </c>
      <c r="C417" s="37" t="s">
        <v>1654</v>
      </c>
      <c r="D417" s="37" t="s">
        <v>139</v>
      </c>
      <c r="E417" s="37" t="s">
        <v>22</v>
      </c>
      <c r="F417" s="42">
        <v>45291</v>
      </c>
      <c r="G417" s="37">
        <v>2023</v>
      </c>
      <c r="H417" s="37" t="s">
        <v>27</v>
      </c>
      <c r="I417" s="39" t="s">
        <v>32</v>
      </c>
      <c r="J417" s="37">
        <v>800</v>
      </c>
      <c r="K417" s="37">
        <v>1035</v>
      </c>
      <c r="L417" s="65">
        <f t="shared" si="48"/>
        <v>1.29375</v>
      </c>
      <c r="M417" s="65">
        <f t="shared" si="49"/>
        <v>1.29375</v>
      </c>
      <c r="N417" s="37" t="s">
        <v>203</v>
      </c>
      <c r="O417" s="37" t="s">
        <v>203</v>
      </c>
      <c r="P417" s="37">
        <v>0</v>
      </c>
      <c r="Q417" s="37">
        <v>0</v>
      </c>
      <c r="R417" s="37" t="s">
        <v>1655</v>
      </c>
      <c r="S417" s="37"/>
    </row>
    <row r="418" spans="1:19" x14ac:dyDescent="0.3">
      <c r="A418" s="37">
        <v>328</v>
      </c>
      <c r="B418" s="37" t="s">
        <v>1653</v>
      </c>
      <c r="C418" s="37" t="s">
        <v>1654</v>
      </c>
      <c r="D418" s="37" t="s">
        <v>139</v>
      </c>
      <c r="E418" s="37" t="s">
        <v>22</v>
      </c>
      <c r="F418" s="42">
        <v>45657</v>
      </c>
      <c r="G418" s="37">
        <v>2024</v>
      </c>
      <c r="H418" s="37" t="s">
        <v>27</v>
      </c>
      <c r="I418" s="39" t="s">
        <v>36</v>
      </c>
      <c r="J418" s="37">
        <v>100</v>
      </c>
      <c r="K418" s="37">
        <v>157</v>
      </c>
      <c r="L418" s="65">
        <f t="shared" si="48"/>
        <v>1.3</v>
      </c>
      <c r="M418" s="65">
        <f t="shared" si="49"/>
        <v>1.57</v>
      </c>
      <c r="N418" s="37" t="s">
        <v>203</v>
      </c>
      <c r="O418" s="37" t="s">
        <v>203</v>
      </c>
      <c r="P418" s="37">
        <v>0</v>
      </c>
      <c r="Q418" s="37">
        <v>0</v>
      </c>
      <c r="R418" s="37" t="s">
        <v>1656</v>
      </c>
      <c r="S418" s="37"/>
    </row>
    <row r="419" spans="1:19" x14ac:dyDescent="0.3">
      <c r="A419" s="37">
        <v>329</v>
      </c>
      <c r="B419" s="37" t="s">
        <v>1657</v>
      </c>
      <c r="C419" s="37" t="s">
        <v>1654</v>
      </c>
      <c r="D419" s="37" t="s">
        <v>139</v>
      </c>
      <c r="E419" s="37" t="s">
        <v>22</v>
      </c>
      <c r="F419" s="42">
        <v>45291</v>
      </c>
      <c r="G419" s="37">
        <v>2023</v>
      </c>
      <c r="H419" s="37" t="s">
        <v>27</v>
      </c>
      <c r="I419" s="39" t="s">
        <v>32</v>
      </c>
      <c r="J419" s="37">
        <v>3000</v>
      </c>
      <c r="K419" s="37">
        <v>3315</v>
      </c>
      <c r="L419" s="65">
        <f t="shared" si="48"/>
        <v>1.105</v>
      </c>
      <c r="M419" s="65">
        <f t="shared" si="49"/>
        <v>1.105</v>
      </c>
      <c r="N419" s="37" t="s">
        <v>203</v>
      </c>
      <c r="O419" s="37" t="s">
        <v>203</v>
      </c>
      <c r="P419" s="37">
        <v>0</v>
      </c>
      <c r="Q419" s="37">
        <v>0</v>
      </c>
      <c r="R419" s="37" t="s">
        <v>1658</v>
      </c>
      <c r="S419" s="37"/>
    </row>
    <row r="420" spans="1:19" x14ac:dyDescent="0.3">
      <c r="A420" s="37">
        <v>329</v>
      </c>
      <c r="B420" s="37" t="s">
        <v>1657</v>
      </c>
      <c r="C420" s="37" t="s">
        <v>1654</v>
      </c>
      <c r="D420" s="37" t="s">
        <v>139</v>
      </c>
      <c r="E420" s="37" t="s">
        <v>22</v>
      </c>
      <c r="F420" s="42">
        <v>45657</v>
      </c>
      <c r="G420" s="37">
        <v>2024</v>
      </c>
      <c r="H420" s="37" t="s">
        <v>27</v>
      </c>
      <c r="I420" s="39" t="s">
        <v>36</v>
      </c>
      <c r="J420" s="37">
        <v>100</v>
      </c>
      <c r="K420" s="37">
        <v>106.63</v>
      </c>
      <c r="L420" s="65">
        <f t="shared" si="48"/>
        <v>1.0663</v>
      </c>
      <c r="M420" s="65">
        <f t="shared" si="49"/>
        <v>1.0663</v>
      </c>
      <c r="N420" s="37" t="s">
        <v>203</v>
      </c>
      <c r="O420" s="37" t="s">
        <v>203</v>
      </c>
      <c r="P420" s="37">
        <v>0</v>
      </c>
      <c r="Q420" s="37">
        <v>0</v>
      </c>
      <c r="R420" s="37" t="s">
        <v>1659</v>
      </c>
      <c r="S420" s="37"/>
    </row>
    <row r="421" spans="1:19" x14ac:dyDescent="0.3">
      <c r="A421" s="37">
        <v>331</v>
      </c>
      <c r="B421" s="37" t="s">
        <v>1660</v>
      </c>
      <c r="C421" s="37" t="s">
        <v>1654</v>
      </c>
      <c r="D421" s="37" t="s">
        <v>139</v>
      </c>
      <c r="E421" s="37" t="s">
        <v>22</v>
      </c>
      <c r="F421" s="42">
        <v>45291</v>
      </c>
      <c r="G421" s="37">
        <v>2023</v>
      </c>
      <c r="H421" s="37" t="s">
        <v>27</v>
      </c>
      <c r="I421" s="39" t="s">
        <v>32</v>
      </c>
      <c r="J421" s="37"/>
      <c r="K421" s="37">
        <v>81</v>
      </c>
      <c r="L421" s="65"/>
      <c r="M421" s="65"/>
      <c r="N421" s="37" t="s">
        <v>223</v>
      </c>
      <c r="O421" s="37" t="s">
        <v>25</v>
      </c>
      <c r="P421" s="37">
        <v>0</v>
      </c>
      <c r="Q421" s="37">
        <v>0</v>
      </c>
      <c r="R421" s="37" t="s">
        <v>1661</v>
      </c>
      <c r="S421" s="37"/>
    </row>
    <row r="422" spans="1:19" x14ac:dyDescent="0.3">
      <c r="A422" s="37">
        <v>331</v>
      </c>
      <c r="B422" s="37" t="s">
        <v>1660</v>
      </c>
      <c r="C422" s="37" t="s">
        <v>1654</v>
      </c>
      <c r="D422" s="37" t="s">
        <v>139</v>
      </c>
      <c r="E422" s="37" t="s">
        <v>22</v>
      </c>
      <c r="F422" s="42">
        <v>45657</v>
      </c>
      <c r="G422" s="37">
        <v>2024</v>
      </c>
      <c r="H422" s="37" t="s">
        <v>27</v>
      </c>
      <c r="I422" s="39" t="s">
        <v>36</v>
      </c>
      <c r="J422" s="37"/>
      <c r="K422" s="37">
        <v>82</v>
      </c>
      <c r="L422" s="65"/>
      <c r="M422" s="65"/>
      <c r="N422" s="37" t="s">
        <v>223</v>
      </c>
      <c r="O422" s="37" t="s">
        <v>25</v>
      </c>
      <c r="P422" s="37">
        <v>0</v>
      </c>
      <c r="Q422" s="37">
        <v>0</v>
      </c>
      <c r="R422" s="37" t="s">
        <v>1662</v>
      </c>
      <c r="S422" s="37"/>
    </row>
    <row r="423" spans="1:19" x14ac:dyDescent="0.3">
      <c r="A423" s="76">
        <v>332</v>
      </c>
      <c r="B423" s="76" t="s">
        <v>1663</v>
      </c>
      <c r="C423" s="76" t="s">
        <v>55</v>
      </c>
      <c r="D423" s="76" t="s">
        <v>21</v>
      </c>
      <c r="E423" s="76" t="s">
        <v>56</v>
      </c>
      <c r="F423" s="77">
        <v>45291</v>
      </c>
      <c r="G423" s="76">
        <v>2023</v>
      </c>
      <c r="H423" s="76" t="s">
        <v>27</v>
      </c>
      <c r="I423" s="76" t="s">
        <v>32</v>
      </c>
      <c r="J423" s="76">
        <v>1.8</v>
      </c>
      <c r="K423" s="76">
        <v>1.4350000000000001</v>
      </c>
      <c r="L423" s="78">
        <f t="shared" ref="L423:L442" si="50">IFERROR(IF(OR(J423=0,K423=""),"",IF(E423="Positivo",MIN(MAX(K423/J423,0),1.3),MIN(MAX(J423/K423,0),1.3))),"")</f>
        <v>1.254355400696864</v>
      </c>
      <c r="M423" s="78">
        <f t="shared" ref="M423:M442" si="51">IFERROR(IF(OR(J423=0,K423=""),"",IF(E423="Positivo",MAX(K423/J423,0),MAX(J423/K423,0))),"")</f>
        <v>1.254355400696864</v>
      </c>
      <c r="N423" s="76" t="s">
        <v>25</v>
      </c>
      <c r="O423" s="76" t="s">
        <v>25</v>
      </c>
      <c r="P423" s="76">
        <v>0</v>
      </c>
      <c r="Q423" s="76">
        <v>0</v>
      </c>
      <c r="R423" s="76" t="s">
        <v>1665</v>
      </c>
      <c r="S423" s="76"/>
    </row>
    <row r="424" spans="1:19" x14ac:dyDescent="0.3">
      <c r="A424" s="76">
        <v>332</v>
      </c>
      <c r="B424" s="76" t="s">
        <v>1663</v>
      </c>
      <c r="C424" s="76" t="s">
        <v>55</v>
      </c>
      <c r="D424" s="76" t="s">
        <v>21</v>
      </c>
      <c r="E424" s="76" t="s">
        <v>56</v>
      </c>
      <c r="F424" s="77">
        <v>45657</v>
      </c>
      <c r="G424" s="76">
        <v>2024</v>
      </c>
      <c r="H424" s="76" t="s">
        <v>27</v>
      </c>
      <c r="I424" s="76" t="s">
        <v>36</v>
      </c>
      <c r="J424" s="76">
        <v>1.8</v>
      </c>
      <c r="K424" s="76">
        <v>1.1499999999999999</v>
      </c>
      <c r="L424" s="78">
        <f t="shared" si="50"/>
        <v>1.3</v>
      </c>
      <c r="M424" s="78">
        <f t="shared" si="51"/>
        <v>1.5652173913043479</v>
      </c>
      <c r="N424" s="76" t="s">
        <v>25</v>
      </c>
      <c r="O424" s="76" t="s">
        <v>25</v>
      </c>
      <c r="P424" s="76">
        <v>0</v>
      </c>
      <c r="Q424" s="76">
        <v>0</v>
      </c>
      <c r="R424" s="76" t="s">
        <v>1667</v>
      </c>
      <c r="S424" s="76"/>
    </row>
    <row r="425" spans="1:19" x14ac:dyDescent="0.3">
      <c r="A425" s="76">
        <v>334</v>
      </c>
      <c r="B425" s="76" t="s">
        <v>1668</v>
      </c>
      <c r="C425" s="76" t="s">
        <v>55</v>
      </c>
      <c r="D425" s="76" t="s">
        <v>139</v>
      </c>
      <c r="E425" s="76" t="s">
        <v>22</v>
      </c>
      <c r="F425" s="77">
        <v>45291</v>
      </c>
      <c r="G425" s="76">
        <v>2023</v>
      </c>
      <c r="H425" s="76" t="s">
        <v>27</v>
      </c>
      <c r="I425" s="76" t="s">
        <v>32</v>
      </c>
      <c r="J425" s="76">
        <v>1</v>
      </c>
      <c r="K425" s="76">
        <v>88.39</v>
      </c>
      <c r="L425" s="78">
        <f t="shared" si="50"/>
        <v>1.3</v>
      </c>
      <c r="M425" s="78">
        <f t="shared" si="51"/>
        <v>88.39</v>
      </c>
      <c r="N425" s="76" t="s">
        <v>25</v>
      </c>
      <c r="O425" s="76" t="s">
        <v>25</v>
      </c>
      <c r="P425" s="76">
        <v>0</v>
      </c>
      <c r="Q425" s="76">
        <v>0</v>
      </c>
      <c r="R425" s="76" t="s">
        <v>1669</v>
      </c>
      <c r="S425" s="76"/>
    </row>
    <row r="426" spans="1:19" x14ac:dyDescent="0.3">
      <c r="A426" s="76">
        <v>334</v>
      </c>
      <c r="B426" s="76" t="s">
        <v>1668</v>
      </c>
      <c r="C426" s="76" t="s">
        <v>55</v>
      </c>
      <c r="D426" s="76" t="s">
        <v>139</v>
      </c>
      <c r="E426" s="76" t="s">
        <v>22</v>
      </c>
      <c r="F426" s="77">
        <v>45657</v>
      </c>
      <c r="G426" s="76">
        <v>2024</v>
      </c>
      <c r="H426" s="76" t="s">
        <v>27</v>
      </c>
      <c r="I426" s="76" t="s">
        <v>36</v>
      </c>
      <c r="J426" s="76">
        <v>1</v>
      </c>
      <c r="K426" s="76">
        <v>88.84</v>
      </c>
      <c r="L426" s="78">
        <f t="shared" si="50"/>
        <v>1.3</v>
      </c>
      <c r="M426" s="78">
        <f t="shared" si="51"/>
        <v>88.84</v>
      </c>
      <c r="N426" s="76" t="s">
        <v>25</v>
      </c>
      <c r="O426" s="76" t="s">
        <v>25</v>
      </c>
      <c r="P426" s="76">
        <v>0</v>
      </c>
      <c r="Q426" s="76">
        <v>0</v>
      </c>
      <c r="R426" s="76" t="s">
        <v>1670</v>
      </c>
      <c r="S426" s="76"/>
    </row>
    <row r="427" spans="1:19" x14ac:dyDescent="0.3">
      <c r="A427" s="37">
        <v>335</v>
      </c>
      <c r="B427" s="37" t="s">
        <v>1671</v>
      </c>
      <c r="C427" s="37" t="s">
        <v>55</v>
      </c>
      <c r="D427" s="37" t="s">
        <v>139</v>
      </c>
      <c r="E427" s="37" t="s">
        <v>22</v>
      </c>
      <c r="F427" s="42">
        <v>45291</v>
      </c>
      <c r="G427" s="37">
        <v>2023</v>
      </c>
      <c r="H427" s="37" t="s">
        <v>27</v>
      </c>
      <c r="I427" s="39" t="s">
        <v>32</v>
      </c>
      <c r="J427" s="37">
        <v>80</v>
      </c>
      <c r="K427" s="37">
        <v>93.85</v>
      </c>
      <c r="L427" s="65">
        <f t="shared" si="50"/>
        <v>1.173125</v>
      </c>
      <c r="M427" s="65">
        <f t="shared" si="51"/>
        <v>1.173125</v>
      </c>
      <c r="N427" s="37" t="s">
        <v>25</v>
      </c>
      <c r="O427" s="37" t="s">
        <v>25</v>
      </c>
      <c r="P427" s="37">
        <v>0</v>
      </c>
      <c r="Q427" s="37">
        <v>0</v>
      </c>
      <c r="R427" s="37" t="s">
        <v>1672</v>
      </c>
      <c r="S427" s="37"/>
    </row>
    <row r="428" spans="1:19" x14ac:dyDescent="0.3">
      <c r="A428" s="37">
        <v>335</v>
      </c>
      <c r="B428" s="37" t="s">
        <v>1671</v>
      </c>
      <c r="C428" s="37" t="s">
        <v>55</v>
      </c>
      <c r="D428" s="37" t="s">
        <v>139</v>
      </c>
      <c r="E428" s="37" t="s">
        <v>22</v>
      </c>
      <c r="F428" s="42">
        <v>45657</v>
      </c>
      <c r="G428" s="37">
        <v>2024</v>
      </c>
      <c r="H428" s="37" t="s">
        <v>27</v>
      </c>
      <c r="I428" s="39" t="s">
        <v>36</v>
      </c>
      <c r="J428" s="37">
        <v>82</v>
      </c>
      <c r="K428" s="37">
        <v>80.95</v>
      </c>
      <c r="L428" s="65">
        <f t="shared" si="50"/>
        <v>0.9871951219512195</v>
      </c>
      <c r="M428" s="65">
        <f t="shared" si="51"/>
        <v>0.9871951219512195</v>
      </c>
      <c r="N428" s="37" t="s">
        <v>25</v>
      </c>
      <c r="O428" s="37" t="s">
        <v>25</v>
      </c>
      <c r="P428" s="37">
        <v>0</v>
      </c>
      <c r="Q428" s="37">
        <v>0</v>
      </c>
      <c r="R428" s="37" t="s">
        <v>1673</v>
      </c>
      <c r="S428" s="37"/>
    </row>
    <row r="429" spans="1:19" x14ac:dyDescent="0.3">
      <c r="A429" s="76">
        <v>336</v>
      </c>
      <c r="B429" s="76" t="s">
        <v>1674</v>
      </c>
      <c r="C429" s="76" t="s">
        <v>461</v>
      </c>
      <c r="D429" s="76" t="s">
        <v>139</v>
      </c>
      <c r="E429" s="76" t="s">
        <v>56</v>
      </c>
      <c r="F429" s="77">
        <v>45291</v>
      </c>
      <c r="G429" s="76">
        <v>2023</v>
      </c>
      <c r="H429" s="76" t="s">
        <v>27</v>
      </c>
      <c r="I429" s="76" t="s">
        <v>32</v>
      </c>
      <c r="J429" s="76">
        <v>2</v>
      </c>
      <c r="K429" s="76">
        <v>1.742198218602321</v>
      </c>
      <c r="L429" s="78">
        <f t="shared" si="50"/>
        <v>1.1479750000000002</v>
      </c>
      <c r="M429" s="78">
        <f t="shared" si="51"/>
        <v>1.1479750000000002</v>
      </c>
      <c r="N429" s="76" t="s">
        <v>25</v>
      </c>
      <c r="O429" s="76" t="s">
        <v>25</v>
      </c>
      <c r="P429" s="76">
        <v>0</v>
      </c>
      <c r="Q429" s="76">
        <v>0</v>
      </c>
      <c r="R429" s="76" t="s">
        <v>1675</v>
      </c>
      <c r="S429" s="76"/>
    </row>
    <row r="430" spans="1:19" x14ac:dyDescent="0.3">
      <c r="A430" s="76">
        <v>336</v>
      </c>
      <c r="B430" s="76" t="s">
        <v>1674</v>
      </c>
      <c r="C430" s="76" t="s">
        <v>461</v>
      </c>
      <c r="D430" s="76" t="s">
        <v>139</v>
      </c>
      <c r="E430" s="76" t="s">
        <v>56</v>
      </c>
      <c r="F430" s="77">
        <v>45657</v>
      </c>
      <c r="G430" s="76">
        <v>2024</v>
      </c>
      <c r="H430" s="76" t="s">
        <v>27</v>
      </c>
      <c r="I430" s="76" t="s">
        <v>36</v>
      </c>
      <c r="J430" s="76">
        <v>2</v>
      </c>
      <c r="K430" s="76">
        <v>0.79</v>
      </c>
      <c r="L430" s="78">
        <f t="shared" si="50"/>
        <v>1.3</v>
      </c>
      <c r="M430" s="78">
        <f t="shared" si="51"/>
        <v>2.5316455696202529</v>
      </c>
      <c r="N430" s="76" t="s">
        <v>25</v>
      </c>
      <c r="O430" s="76" t="s">
        <v>25</v>
      </c>
      <c r="P430" s="76">
        <v>0</v>
      </c>
      <c r="Q430" s="76">
        <v>0</v>
      </c>
      <c r="R430" s="76" t="s">
        <v>1676</v>
      </c>
      <c r="S430" s="76"/>
    </row>
    <row r="431" spans="1:19" x14ac:dyDescent="0.3">
      <c r="A431" s="76">
        <v>337</v>
      </c>
      <c r="B431" s="76" t="s">
        <v>1677</v>
      </c>
      <c r="C431" s="76" t="s">
        <v>1364</v>
      </c>
      <c r="D431" s="76" t="s">
        <v>21</v>
      </c>
      <c r="E431" s="76" t="s">
        <v>22</v>
      </c>
      <c r="F431" s="77">
        <v>45291</v>
      </c>
      <c r="G431" s="76">
        <v>2023</v>
      </c>
      <c r="H431" s="76" t="s">
        <v>27</v>
      </c>
      <c r="I431" s="76" t="s">
        <v>32</v>
      </c>
      <c r="J431" s="76">
        <v>3</v>
      </c>
      <c r="K431" s="76">
        <v>3</v>
      </c>
      <c r="L431" s="78">
        <f t="shared" si="50"/>
        <v>1</v>
      </c>
      <c r="M431" s="78">
        <f t="shared" si="51"/>
        <v>1</v>
      </c>
      <c r="N431" s="76" t="s">
        <v>25</v>
      </c>
      <c r="O431" s="76" t="s">
        <v>25</v>
      </c>
      <c r="P431" s="76">
        <v>0</v>
      </c>
      <c r="Q431" s="76">
        <v>0</v>
      </c>
      <c r="R431" s="76" t="s">
        <v>1680</v>
      </c>
      <c r="S431" s="76"/>
    </row>
    <row r="432" spans="1:19" x14ac:dyDescent="0.3">
      <c r="A432" s="76">
        <v>337</v>
      </c>
      <c r="B432" s="76" t="s">
        <v>1677</v>
      </c>
      <c r="C432" s="76" t="s">
        <v>1364</v>
      </c>
      <c r="D432" s="76" t="s">
        <v>21</v>
      </c>
      <c r="E432" s="76" t="s">
        <v>22</v>
      </c>
      <c r="F432" s="77">
        <v>45657</v>
      </c>
      <c r="G432" s="76">
        <v>2024</v>
      </c>
      <c r="H432" s="76" t="s">
        <v>27</v>
      </c>
      <c r="I432" s="76" t="s">
        <v>36</v>
      </c>
      <c r="J432" s="76">
        <v>1</v>
      </c>
      <c r="K432" s="76">
        <v>1</v>
      </c>
      <c r="L432" s="78">
        <f t="shared" si="50"/>
        <v>1</v>
      </c>
      <c r="M432" s="78">
        <f t="shared" si="51"/>
        <v>1</v>
      </c>
      <c r="N432" s="76" t="s">
        <v>25</v>
      </c>
      <c r="O432" s="76" t="s">
        <v>25</v>
      </c>
      <c r="P432" s="76">
        <v>0</v>
      </c>
      <c r="Q432" s="76">
        <v>0</v>
      </c>
      <c r="R432" s="76" t="s">
        <v>1682</v>
      </c>
      <c r="S432" s="76"/>
    </row>
    <row r="433" spans="1:19" x14ac:dyDescent="0.3">
      <c r="A433" s="76">
        <v>338</v>
      </c>
      <c r="B433" s="76" t="s">
        <v>1685</v>
      </c>
      <c r="C433" s="76" t="s">
        <v>1364</v>
      </c>
      <c r="D433" s="76" t="s">
        <v>21</v>
      </c>
      <c r="E433" s="76" t="s">
        <v>22</v>
      </c>
      <c r="F433" s="77">
        <v>45291</v>
      </c>
      <c r="G433" s="76">
        <v>2023</v>
      </c>
      <c r="H433" s="76" t="s">
        <v>27</v>
      </c>
      <c r="I433" s="76" t="s">
        <v>32</v>
      </c>
      <c r="J433" s="76">
        <v>5</v>
      </c>
      <c r="K433" s="76">
        <v>5</v>
      </c>
      <c r="L433" s="78">
        <f t="shared" si="50"/>
        <v>1</v>
      </c>
      <c r="M433" s="78">
        <f t="shared" si="51"/>
        <v>1</v>
      </c>
      <c r="N433" s="76" t="s">
        <v>25</v>
      </c>
      <c r="O433" s="76" t="s">
        <v>25</v>
      </c>
      <c r="P433" s="76">
        <v>0</v>
      </c>
      <c r="Q433" s="76">
        <v>0</v>
      </c>
      <c r="R433" s="76" t="s">
        <v>1686</v>
      </c>
      <c r="S433" s="76"/>
    </row>
    <row r="434" spans="1:19" x14ac:dyDescent="0.3">
      <c r="A434" s="76">
        <v>338</v>
      </c>
      <c r="B434" s="76" t="s">
        <v>1685</v>
      </c>
      <c r="C434" s="76" t="s">
        <v>1364</v>
      </c>
      <c r="D434" s="76" t="s">
        <v>21</v>
      </c>
      <c r="E434" s="76" t="s">
        <v>22</v>
      </c>
      <c r="F434" s="77">
        <v>45657</v>
      </c>
      <c r="G434" s="76">
        <v>2024</v>
      </c>
      <c r="H434" s="76" t="s">
        <v>27</v>
      </c>
      <c r="I434" s="76" t="s">
        <v>36</v>
      </c>
      <c r="J434" s="76">
        <v>3</v>
      </c>
      <c r="K434" s="76">
        <v>3</v>
      </c>
      <c r="L434" s="78">
        <f t="shared" si="50"/>
        <v>1</v>
      </c>
      <c r="M434" s="78">
        <f t="shared" si="51"/>
        <v>1</v>
      </c>
      <c r="N434" s="76" t="s">
        <v>25</v>
      </c>
      <c r="O434" s="76" t="s">
        <v>25</v>
      </c>
      <c r="P434" s="76">
        <v>0</v>
      </c>
      <c r="Q434" s="76">
        <v>0</v>
      </c>
      <c r="R434" s="76" t="s">
        <v>1689</v>
      </c>
      <c r="S434" s="76"/>
    </row>
    <row r="435" spans="1:19" x14ac:dyDescent="0.3">
      <c r="A435" s="76">
        <v>339</v>
      </c>
      <c r="B435" s="76" t="s">
        <v>1690</v>
      </c>
      <c r="C435" s="76" t="s">
        <v>1691</v>
      </c>
      <c r="D435" s="76" t="s">
        <v>139</v>
      </c>
      <c r="E435" s="76" t="s">
        <v>22</v>
      </c>
      <c r="F435" s="77">
        <v>45291</v>
      </c>
      <c r="G435" s="76">
        <v>2023</v>
      </c>
      <c r="H435" s="76" t="s">
        <v>27</v>
      </c>
      <c r="I435" s="76" t="s">
        <v>32</v>
      </c>
      <c r="J435" s="76">
        <v>30</v>
      </c>
      <c r="K435" s="76">
        <v>28.571428571428569</v>
      </c>
      <c r="L435" s="78">
        <f t="shared" si="50"/>
        <v>0.95238095238095233</v>
      </c>
      <c r="M435" s="78">
        <f t="shared" si="51"/>
        <v>0.95238095238095233</v>
      </c>
      <c r="N435" s="76" t="s">
        <v>25</v>
      </c>
      <c r="O435" s="76" t="s">
        <v>25</v>
      </c>
      <c r="P435" s="76">
        <v>0</v>
      </c>
      <c r="Q435" s="76">
        <v>0</v>
      </c>
      <c r="R435" s="76" t="s">
        <v>1692</v>
      </c>
      <c r="S435" s="76"/>
    </row>
    <row r="436" spans="1:19" x14ac:dyDescent="0.3">
      <c r="A436" s="76">
        <v>339</v>
      </c>
      <c r="B436" s="76" t="s">
        <v>1690</v>
      </c>
      <c r="C436" s="76" t="s">
        <v>1691</v>
      </c>
      <c r="D436" s="76" t="s">
        <v>139</v>
      </c>
      <c r="E436" s="76" t="s">
        <v>22</v>
      </c>
      <c r="F436" s="77">
        <v>45657</v>
      </c>
      <c r="G436" s="76">
        <v>2024</v>
      </c>
      <c r="H436" s="76" t="s">
        <v>27</v>
      </c>
      <c r="I436" s="76" t="s">
        <v>36</v>
      </c>
      <c r="J436" s="76">
        <v>30</v>
      </c>
      <c r="K436" s="76">
        <v>30.3</v>
      </c>
      <c r="L436" s="78">
        <f t="shared" si="50"/>
        <v>1.01</v>
      </c>
      <c r="M436" s="78">
        <f t="shared" si="51"/>
        <v>1.01</v>
      </c>
      <c r="N436" s="76" t="s">
        <v>25</v>
      </c>
      <c r="O436" s="76" t="s">
        <v>25</v>
      </c>
      <c r="P436" s="76">
        <v>0</v>
      </c>
      <c r="Q436" s="76">
        <v>0</v>
      </c>
      <c r="R436" s="76" t="s">
        <v>1693</v>
      </c>
      <c r="S436" s="76"/>
    </row>
    <row r="437" spans="1:19" x14ac:dyDescent="0.3">
      <c r="A437" s="37">
        <v>340</v>
      </c>
      <c r="B437" s="37" t="s">
        <v>1694</v>
      </c>
      <c r="C437" s="37" t="s">
        <v>224</v>
      </c>
      <c r="D437" s="37" t="s">
        <v>39</v>
      </c>
      <c r="E437" s="37" t="s">
        <v>22</v>
      </c>
      <c r="F437" s="42">
        <v>45291</v>
      </c>
      <c r="G437" s="37">
        <v>2023</v>
      </c>
      <c r="H437" s="37" t="s">
        <v>27</v>
      </c>
      <c r="I437" s="39" t="s">
        <v>32</v>
      </c>
      <c r="J437" s="37">
        <v>90</v>
      </c>
      <c r="K437" s="37">
        <v>100</v>
      </c>
      <c r="L437" s="65">
        <f t="shared" si="50"/>
        <v>1.1111111111111112</v>
      </c>
      <c r="M437" s="65">
        <f t="shared" si="51"/>
        <v>1.1111111111111112</v>
      </c>
      <c r="N437" s="37" t="s">
        <v>25</v>
      </c>
      <c r="O437" s="37" t="s">
        <v>25</v>
      </c>
      <c r="P437" s="37">
        <v>0</v>
      </c>
      <c r="Q437" s="37">
        <v>0</v>
      </c>
      <c r="R437" s="37" t="s">
        <v>1698</v>
      </c>
      <c r="S437" s="37"/>
    </row>
    <row r="438" spans="1:19" x14ac:dyDescent="0.3">
      <c r="A438" s="37">
        <v>340</v>
      </c>
      <c r="B438" s="37" t="s">
        <v>1694</v>
      </c>
      <c r="C438" s="37" t="s">
        <v>224</v>
      </c>
      <c r="D438" s="37" t="s">
        <v>39</v>
      </c>
      <c r="E438" s="37" t="s">
        <v>22</v>
      </c>
      <c r="F438" s="42">
        <v>45657</v>
      </c>
      <c r="G438" s="37">
        <v>2024</v>
      </c>
      <c r="H438" s="37" t="s">
        <v>27</v>
      </c>
      <c r="I438" s="39" t="s">
        <v>36</v>
      </c>
      <c r="J438" s="37">
        <v>95</v>
      </c>
      <c r="K438" s="37">
        <v>100</v>
      </c>
      <c r="L438" s="65">
        <f t="shared" si="50"/>
        <v>1.0526315789473684</v>
      </c>
      <c r="M438" s="65">
        <f t="shared" si="51"/>
        <v>1.0526315789473684</v>
      </c>
      <c r="N438" s="37" t="s">
        <v>25</v>
      </c>
      <c r="O438" s="37" t="s">
        <v>25</v>
      </c>
      <c r="P438" s="37">
        <v>0</v>
      </c>
      <c r="Q438" s="37">
        <v>0</v>
      </c>
      <c r="R438" s="37" t="s">
        <v>1702</v>
      </c>
      <c r="S438" s="37"/>
    </row>
    <row r="439" spans="1:19" x14ac:dyDescent="0.3">
      <c r="A439" s="76">
        <v>341</v>
      </c>
      <c r="B439" s="76" t="s">
        <v>1709</v>
      </c>
      <c r="C439" s="76" t="s">
        <v>20</v>
      </c>
      <c r="D439" s="76" t="s">
        <v>21</v>
      </c>
      <c r="E439" s="76" t="s">
        <v>22</v>
      </c>
      <c r="F439" s="77">
        <v>45291</v>
      </c>
      <c r="G439" s="76">
        <v>2023</v>
      </c>
      <c r="H439" s="76" t="s">
        <v>27</v>
      </c>
      <c r="I439" s="76" t="s">
        <v>32</v>
      </c>
      <c r="J439" s="76">
        <v>1500000000</v>
      </c>
      <c r="K439" s="76">
        <v>1918390000</v>
      </c>
      <c r="L439" s="78">
        <f t="shared" si="50"/>
        <v>1.2789266666666668</v>
      </c>
      <c r="M439" s="78">
        <f t="shared" si="51"/>
        <v>1.2789266666666668</v>
      </c>
      <c r="N439" s="76" t="s">
        <v>25</v>
      </c>
      <c r="O439" s="76" t="s">
        <v>25</v>
      </c>
      <c r="P439" s="76">
        <v>0</v>
      </c>
      <c r="Q439" s="76">
        <v>0</v>
      </c>
      <c r="R439" s="76" t="s">
        <v>1705</v>
      </c>
      <c r="S439" s="76"/>
    </row>
    <row r="440" spans="1:19" x14ac:dyDescent="0.3">
      <c r="A440" s="76">
        <v>341</v>
      </c>
      <c r="B440" s="76" t="s">
        <v>1709</v>
      </c>
      <c r="C440" s="76" t="s">
        <v>20</v>
      </c>
      <c r="D440" s="76" t="s">
        <v>21</v>
      </c>
      <c r="E440" s="76" t="s">
        <v>22</v>
      </c>
      <c r="F440" s="77">
        <v>45657</v>
      </c>
      <c r="G440" s="76">
        <v>2024</v>
      </c>
      <c r="H440" s="76" t="s">
        <v>27</v>
      </c>
      <c r="I440" s="76" t="s">
        <v>36</v>
      </c>
      <c r="J440" s="76">
        <v>1500000000</v>
      </c>
      <c r="K440" s="76">
        <v>1672000000</v>
      </c>
      <c r="L440" s="78">
        <f t="shared" si="50"/>
        <v>1.1146666666666667</v>
      </c>
      <c r="M440" s="78">
        <f t="shared" si="51"/>
        <v>1.1146666666666667</v>
      </c>
      <c r="N440" s="76" t="s">
        <v>25</v>
      </c>
      <c r="O440" s="76" t="s">
        <v>25</v>
      </c>
      <c r="P440" s="76">
        <v>0</v>
      </c>
      <c r="Q440" s="76">
        <v>0</v>
      </c>
      <c r="R440" s="76" t="s">
        <v>1708</v>
      </c>
      <c r="S440" s="76"/>
    </row>
    <row r="441" spans="1:19" x14ac:dyDescent="0.3">
      <c r="A441" s="76">
        <v>344</v>
      </c>
      <c r="B441" s="76" t="s">
        <v>1710</v>
      </c>
      <c r="C441" s="76" t="s">
        <v>55</v>
      </c>
      <c r="D441" s="76" t="s">
        <v>21</v>
      </c>
      <c r="E441" s="76" t="s">
        <v>22</v>
      </c>
      <c r="F441" s="77">
        <v>45291</v>
      </c>
      <c r="G441" s="76">
        <v>2023</v>
      </c>
      <c r="H441" s="76" t="s">
        <v>27</v>
      </c>
      <c r="I441" s="76" t="s">
        <v>32</v>
      </c>
      <c r="J441" s="76">
        <v>133.5</v>
      </c>
      <c r="K441" s="76">
        <v>130.5</v>
      </c>
      <c r="L441" s="78">
        <f t="shared" si="50"/>
        <v>0.97752808988764039</v>
      </c>
      <c r="M441" s="78">
        <f t="shared" si="51"/>
        <v>0.97752808988764039</v>
      </c>
      <c r="N441" s="76" t="s">
        <v>25</v>
      </c>
      <c r="O441" s="76" t="s">
        <v>25</v>
      </c>
      <c r="P441" s="76">
        <v>0</v>
      </c>
      <c r="Q441" s="76">
        <v>0</v>
      </c>
      <c r="R441" s="76" t="s">
        <v>1712</v>
      </c>
      <c r="S441" s="76"/>
    </row>
    <row r="442" spans="1:19" x14ac:dyDescent="0.3">
      <c r="A442" s="76">
        <v>344</v>
      </c>
      <c r="B442" s="76" t="s">
        <v>1710</v>
      </c>
      <c r="C442" s="76" t="s">
        <v>55</v>
      </c>
      <c r="D442" s="76" t="s">
        <v>21</v>
      </c>
      <c r="E442" s="76" t="s">
        <v>22</v>
      </c>
      <c r="F442" s="77">
        <v>45657</v>
      </c>
      <c r="G442" s="76">
        <v>2024</v>
      </c>
      <c r="H442" s="76" t="s">
        <v>27</v>
      </c>
      <c r="I442" s="76" t="s">
        <v>36</v>
      </c>
      <c r="J442" s="76">
        <v>156</v>
      </c>
      <c r="K442" s="76">
        <v>153</v>
      </c>
      <c r="L442" s="78">
        <f t="shared" si="50"/>
        <v>0.98076923076923073</v>
      </c>
      <c r="M442" s="78">
        <f t="shared" si="51"/>
        <v>0.98076923076923073</v>
      </c>
      <c r="N442" s="76" t="s">
        <v>25</v>
      </c>
      <c r="O442" s="76" t="s">
        <v>25</v>
      </c>
      <c r="P442" s="76">
        <v>0</v>
      </c>
      <c r="Q442" s="76">
        <v>0</v>
      </c>
      <c r="R442" s="76" t="s">
        <v>1714</v>
      </c>
      <c r="S442" s="76"/>
    </row>
    <row r="443" spans="1:19" x14ac:dyDescent="0.3">
      <c r="A443" s="37">
        <v>345</v>
      </c>
      <c r="B443" s="37" t="s">
        <v>1715</v>
      </c>
      <c r="C443" s="37" t="s">
        <v>55</v>
      </c>
      <c r="D443" s="37" t="s">
        <v>139</v>
      </c>
      <c r="E443" s="37" t="s">
        <v>22</v>
      </c>
      <c r="F443" s="42">
        <v>45291</v>
      </c>
      <c r="G443" s="37">
        <v>2023</v>
      </c>
      <c r="H443" s="37" t="s">
        <v>27</v>
      </c>
      <c r="I443" s="39" t="s">
        <v>32</v>
      </c>
      <c r="J443" s="37"/>
      <c r="K443" s="37">
        <v>94.85</v>
      </c>
      <c r="L443" s="65"/>
      <c r="M443" s="65"/>
      <c r="N443" s="37" t="s">
        <v>670</v>
      </c>
      <c r="O443" s="22" t="s">
        <v>25</v>
      </c>
      <c r="P443" s="37">
        <v>0</v>
      </c>
      <c r="Q443" s="37">
        <v>0</v>
      </c>
      <c r="R443" s="37" t="s">
        <v>1716</v>
      </c>
      <c r="S443" s="37"/>
    </row>
    <row r="444" spans="1:19" x14ac:dyDescent="0.3">
      <c r="A444" s="76">
        <v>346</v>
      </c>
      <c r="B444" s="76" t="s">
        <v>1717</v>
      </c>
      <c r="C444" s="76" t="s">
        <v>55</v>
      </c>
      <c r="D444" s="76" t="s">
        <v>139</v>
      </c>
      <c r="E444" s="76" t="s">
        <v>22</v>
      </c>
      <c r="F444" s="77">
        <v>45291</v>
      </c>
      <c r="G444" s="76">
        <v>2023</v>
      </c>
      <c r="H444" s="76" t="s">
        <v>27</v>
      </c>
      <c r="I444" s="76" t="s">
        <v>32</v>
      </c>
      <c r="J444" s="76"/>
      <c r="K444" s="76">
        <v>83.91608391608392</v>
      </c>
      <c r="L444" s="78"/>
      <c r="M444" s="78"/>
      <c r="N444" s="76" t="s">
        <v>25</v>
      </c>
      <c r="O444" s="76" t="s">
        <v>25</v>
      </c>
      <c r="P444" s="76">
        <v>0</v>
      </c>
      <c r="Q444" s="76">
        <v>0</v>
      </c>
      <c r="R444" s="76" t="s">
        <v>1718</v>
      </c>
      <c r="S444" s="76"/>
    </row>
    <row r="445" spans="1:19" x14ac:dyDescent="0.3">
      <c r="A445" s="76">
        <v>346</v>
      </c>
      <c r="B445" s="76" t="s">
        <v>1717</v>
      </c>
      <c r="C445" s="76" t="s">
        <v>55</v>
      </c>
      <c r="D445" s="76" t="s">
        <v>139</v>
      </c>
      <c r="E445" s="76" t="s">
        <v>22</v>
      </c>
      <c r="F445" s="77">
        <v>45657</v>
      </c>
      <c r="G445" s="76">
        <v>2024</v>
      </c>
      <c r="H445" s="76" t="s">
        <v>27</v>
      </c>
      <c r="I445" s="76" t="s">
        <v>36</v>
      </c>
      <c r="J445" s="76">
        <v>85</v>
      </c>
      <c r="K445" s="76">
        <v>91.88</v>
      </c>
      <c r="L445" s="78">
        <f t="shared" ref="L445:L449" si="52">IFERROR(IF(OR(J445=0,K445=""),"",IF(E445="Positivo",MIN(MAX(K445/J445,0),1.3),MIN(MAX(J445/K445,0),1.3))),"")</f>
        <v>1.0809411764705881</v>
      </c>
      <c r="M445" s="78">
        <f t="shared" ref="M445:M449" si="53">IFERROR(IF(OR(J445=0,K445=""),"",IF(E445="Positivo",MAX(K445/J445,0),MAX(J445/K445,0))),"")</f>
        <v>1.0809411764705881</v>
      </c>
      <c r="N445" s="76" t="s">
        <v>25</v>
      </c>
      <c r="O445" s="76" t="s">
        <v>25</v>
      </c>
      <c r="P445" s="76">
        <v>0</v>
      </c>
      <c r="Q445" s="76">
        <v>0</v>
      </c>
      <c r="R445" s="76" t="s">
        <v>1719</v>
      </c>
      <c r="S445" s="76"/>
    </row>
    <row r="446" spans="1:19" x14ac:dyDescent="0.3">
      <c r="A446" s="76">
        <v>347</v>
      </c>
      <c r="B446" s="76" t="s">
        <v>1720</v>
      </c>
      <c r="C446" s="76" t="s">
        <v>1721</v>
      </c>
      <c r="D446" s="76" t="s">
        <v>39</v>
      </c>
      <c r="E446" s="76" t="s">
        <v>56</v>
      </c>
      <c r="F446" s="77">
        <v>45291</v>
      </c>
      <c r="G446" s="76">
        <v>2023</v>
      </c>
      <c r="H446" s="76" t="s">
        <v>27</v>
      </c>
      <c r="I446" s="76" t="s">
        <v>32</v>
      </c>
      <c r="J446" s="76">
        <v>0</v>
      </c>
      <c r="K446" s="76">
        <v>6.75</v>
      </c>
      <c r="L446" s="78" t="str">
        <f t="shared" si="52"/>
        <v/>
      </c>
      <c r="M446" s="78" t="str">
        <f t="shared" si="53"/>
        <v/>
      </c>
      <c r="N446" s="76" t="s">
        <v>25</v>
      </c>
      <c r="O446" s="76" t="s">
        <v>25</v>
      </c>
      <c r="P446" s="76">
        <v>0</v>
      </c>
      <c r="Q446" s="76">
        <v>0</v>
      </c>
      <c r="R446" s="76" t="s">
        <v>1725</v>
      </c>
      <c r="S446" s="76"/>
    </row>
    <row r="447" spans="1:19" x14ac:dyDescent="0.3">
      <c r="A447" s="76">
        <v>347</v>
      </c>
      <c r="B447" s="76" t="s">
        <v>1720</v>
      </c>
      <c r="C447" s="76" t="s">
        <v>1721</v>
      </c>
      <c r="D447" s="76" t="s">
        <v>39</v>
      </c>
      <c r="E447" s="76" t="s">
        <v>56</v>
      </c>
      <c r="F447" s="77">
        <v>45657</v>
      </c>
      <c r="G447" s="76">
        <v>2024</v>
      </c>
      <c r="H447" s="76" t="s">
        <v>27</v>
      </c>
      <c r="I447" s="76" t="s">
        <v>36</v>
      </c>
      <c r="J447" s="76">
        <v>5</v>
      </c>
      <c r="K447" s="76">
        <v>0.75</v>
      </c>
      <c r="L447" s="78">
        <f t="shared" si="52"/>
        <v>1.3</v>
      </c>
      <c r="M447" s="78">
        <f t="shared" si="53"/>
        <v>6.666666666666667</v>
      </c>
      <c r="N447" s="76" t="s">
        <v>25</v>
      </c>
      <c r="O447" s="76" t="s">
        <v>25</v>
      </c>
      <c r="P447" s="76">
        <v>0</v>
      </c>
      <c r="Q447" s="76">
        <v>0</v>
      </c>
      <c r="R447" s="76" t="s">
        <v>1729</v>
      </c>
      <c r="S447" s="76"/>
    </row>
    <row r="448" spans="1:19" x14ac:dyDescent="0.3">
      <c r="A448" s="76">
        <v>348</v>
      </c>
      <c r="B448" s="76" t="s">
        <v>1730</v>
      </c>
      <c r="C448" s="76" t="s">
        <v>1721</v>
      </c>
      <c r="D448" s="76" t="s">
        <v>39</v>
      </c>
      <c r="E448" s="76" t="s">
        <v>22</v>
      </c>
      <c r="F448" s="77">
        <v>45291</v>
      </c>
      <c r="G448" s="76">
        <v>2023</v>
      </c>
      <c r="H448" s="76" t="s">
        <v>27</v>
      </c>
      <c r="I448" s="76" t="s">
        <v>32</v>
      </c>
      <c r="J448" s="76">
        <v>99</v>
      </c>
      <c r="K448" s="76">
        <v>99.908847789972995</v>
      </c>
      <c r="L448" s="78">
        <f t="shared" si="52"/>
        <v>1.009180280706798</v>
      </c>
      <c r="M448" s="78">
        <f t="shared" si="53"/>
        <v>1.009180280706798</v>
      </c>
      <c r="N448" s="76" t="s">
        <v>25</v>
      </c>
      <c r="O448" s="76" t="s">
        <v>25</v>
      </c>
      <c r="P448" s="76">
        <v>0</v>
      </c>
      <c r="Q448" s="76">
        <v>0</v>
      </c>
      <c r="R448" s="76" t="s">
        <v>1734</v>
      </c>
      <c r="S448" s="76"/>
    </row>
    <row r="449" spans="1:19" x14ac:dyDescent="0.3">
      <c r="A449" s="76">
        <v>348</v>
      </c>
      <c r="B449" s="76" t="s">
        <v>1730</v>
      </c>
      <c r="C449" s="76" t="s">
        <v>1721</v>
      </c>
      <c r="D449" s="76" t="s">
        <v>39</v>
      </c>
      <c r="E449" s="76" t="s">
        <v>22</v>
      </c>
      <c r="F449" s="77">
        <v>45657</v>
      </c>
      <c r="G449" s="76">
        <v>2024</v>
      </c>
      <c r="H449" s="76" t="s">
        <v>27</v>
      </c>
      <c r="I449" s="76" t="s">
        <v>36</v>
      </c>
      <c r="J449" s="76">
        <v>99</v>
      </c>
      <c r="K449" s="76">
        <v>99.962500000000006</v>
      </c>
      <c r="L449" s="78">
        <f t="shared" si="52"/>
        <v>1.0097222222222222</v>
      </c>
      <c r="M449" s="78">
        <f t="shared" si="53"/>
        <v>1.0097222222222222</v>
      </c>
      <c r="N449" s="76" t="s">
        <v>25</v>
      </c>
      <c r="O449" s="76" t="s">
        <v>25</v>
      </c>
      <c r="P449" s="76">
        <v>0</v>
      </c>
      <c r="Q449" s="76">
        <v>0</v>
      </c>
      <c r="R449" s="76" t="s">
        <v>1738</v>
      </c>
      <c r="S449" s="76"/>
    </row>
    <row r="450" spans="1:19" x14ac:dyDescent="0.3">
      <c r="A450" s="37">
        <v>349</v>
      </c>
      <c r="B450" s="37" t="s">
        <v>3521</v>
      </c>
      <c r="C450" s="37" t="s">
        <v>190</v>
      </c>
      <c r="D450" s="37" t="s">
        <v>139</v>
      </c>
      <c r="E450" s="37" t="s">
        <v>22</v>
      </c>
      <c r="F450" s="42">
        <v>45291</v>
      </c>
      <c r="G450" s="37">
        <v>2023</v>
      </c>
      <c r="H450" s="37" t="s">
        <v>27</v>
      </c>
      <c r="I450" s="39" t="s">
        <v>32</v>
      </c>
      <c r="J450" s="37"/>
      <c r="K450" s="37"/>
      <c r="L450" s="65"/>
      <c r="M450" s="65"/>
      <c r="N450" s="37" t="s">
        <v>203</v>
      </c>
      <c r="O450" s="37" t="s">
        <v>197</v>
      </c>
      <c r="P450" s="37">
        <v>0</v>
      </c>
      <c r="Q450" s="37">
        <v>0</v>
      </c>
      <c r="R450" s="37" t="s">
        <v>3522</v>
      </c>
      <c r="S450" s="37"/>
    </row>
    <row r="451" spans="1:19" x14ac:dyDescent="0.3">
      <c r="A451" s="37">
        <v>350</v>
      </c>
      <c r="B451" s="37" t="s">
        <v>3523</v>
      </c>
      <c r="C451" s="37" t="s">
        <v>190</v>
      </c>
      <c r="D451" s="37" t="s">
        <v>139</v>
      </c>
      <c r="E451" s="37" t="s">
        <v>22</v>
      </c>
      <c r="F451" s="42">
        <v>45291</v>
      </c>
      <c r="G451" s="37">
        <v>2023</v>
      </c>
      <c r="H451" s="37" t="s">
        <v>27</v>
      </c>
      <c r="I451" s="39" t="s">
        <v>32</v>
      </c>
      <c r="J451" s="37"/>
      <c r="K451" s="37"/>
      <c r="L451" s="65"/>
      <c r="M451" s="65"/>
      <c r="N451" s="37" t="s">
        <v>203</v>
      </c>
      <c r="O451" s="37" t="s">
        <v>197</v>
      </c>
      <c r="P451" s="37">
        <v>0</v>
      </c>
      <c r="Q451" s="37">
        <v>0</v>
      </c>
      <c r="R451" s="37" t="s">
        <v>3524</v>
      </c>
      <c r="S451" s="37"/>
    </row>
    <row r="452" spans="1:19" x14ac:dyDescent="0.3">
      <c r="A452" s="76">
        <v>351</v>
      </c>
      <c r="B452" s="76" t="s">
        <v>1739</v>
      </c>
      <c r="C452" s="76" t="s">
        <v>1721</v>
      </c>
      <c r="D452" s="76" t="s">
        <v>39</v>
      </c>
      <c r="E452" s="76" t="s">
        <v>56</v>
      </c>
      <c r="F452" s="77">
        <v>45291</v>
      </c>
      <c r="G452" s="76">
        <v>2023</v>
      </c>
      <c r="H452" s="76" t="s">
        <v>27</v>
      </c>
      <c r="I452" s="76" t="s">
        <v>32</v>
      </c>
      <c r="J452" s="76">
        <v>0</v>
      </c>
      <c r="K452" s="76">
        <v>8.3735820704944324</v>
      </c>
      <c r="L452" s="78" t="str">
        <f t="shared" ref="L452:L467" si="54">IFERROR(IF(OR(J452=0,K452=""),"",IF(E452="Positivo",MIN(MAX(K452/J452,0),1.3),MIN(MAX(J452/K452,0),1.3))),"")</f>
        <v/>
      </c>
      <c r="M452" s="78" t="str">
        <f t="shared" ref="M452:M467" si="55">IFERROR(IF(OR(J452=0,K452=""),"",IF(E452="Positivo",MAX(K452/J452,0),MAX(J452/K452,0))),"")</f>
        <v/>
      </c>
      <c r="N452" s="76" t="s">
        <v>25</v>
      </c>
      <c r="O452" s="76" t="s">
        <v>25</v>
      </c>
      <c r="P452" s="76">
        <v>0</v>
      </c>
      <c r="Q452" s="76">
        <v>0</v>
      </c>
      <c r="R452" s="76" t="s">
        <v>1743</v>
      </c>
      <c r="S452" s="76"/>
    </row>
    <row r="453" spans="1:19" x14ac:dyDescent="0.3">
      <c r="A453" s="76">
        <v>351</v>
      </c>
      <c r="B453" s="76" t="s">
        <v>1739</v>
      </c>
      <c r="C453" s="76" t="s">
        <v>1721</v>
      </c>
      <c r="D453" s="76" t="s">
        <v>39</v>
      </c>
      <c r="E453" s="76" t="s">
        <v>56</v>
      </c>
      <c r="F453" s="77">
        <v>45657</v>
      </c>
      <c r="G453" s="76">
        <v>2024</v>
      </c>
      <c r="H453" s="76" t="s">
        <v>27</v>
      </c>
      <c r="I453" s="76" t="s">
        <v>36</v>
      </c>
      <c r="J453" s="76">
        <v>0</v>
      </c>
      <c r="K453" s="76">
        <v>5.5516894052425059</v>
      </c>
      <c r="L453" s="78" t="str">
        <f t="shared" si="54"/>
        <v/>
      </c>
      <c r="M453" s="78" t="str">
        <f t="shared" si="55"/>
        <v/>
      </c>
      <c r="N453" s="76" t="s">
        <v>25</v>
      </c>
      <c r="O453" s="76" t="s">
        <v>25</v>
      </c>
      <c r="P453" s="76">
        <v>0</v>
      </c>
      <c r="Q453" s="76">
        <v>0</v>
      </c>
      <c r="R453" s="76" t="s">
        <v>1747</v>
      </c>
      <c r="S453" s="76"/>
    </row>
    <row r="454" spans="1:19" x14ac:dyDescent="0.3">
      <c r="A454" s="76">
        <v>352</v>
      </c>
      <c r="B454" s="76" t="s">
        <v>1748</v>
      </c>
      <c r="C454" s="76" t="s">
        <v>1721</v>
      </c>
      <c r="D454" s="76" t="s">
        <v>39</v>
      </c>
      <c r="E454" s="76" t="s">
        <v>56</v>
      </c>
      <c r="F454" s="77">
        <v>45291</v>
      </c>
      <c r="G454" s="76">
        <v>2023</v>
      </c>
      <c r="H454" s="76" t="s">
        <v>27</v>
      </c>
      <c r="I454" s="76" t="s">
        <v>32</v>
      </c>
      <c r="J454" s="76">
        <v>0</v>
      </c>
      <c r="K454" s="76">
        <v>8.6619740286967825E-2</v>
      </c>
      <c r="L454" s="78" t="str">
        <f t="shared" si="54"/>
        <v/>
      </c>
      <c r="M454" s="78" t="str">
        <f t="shared" si="55"/>
        <v/>
      </c>
      <c r="N454" s="76" t="s">
        <v>25</v>
      </c>
      <c r="O454" s="76" t="s">
        <v>25</v>
      </c>
      <c r="P454" s="76">
        <v>0</v>
      </c>
      <c r="Q454" s="76">
        <v>0</v>
      </c>
      <c r="R454" s="76" t="s">
        <v>1752</v>
      </c>
      <c r="S454" s="76"/>
    </row>
    <row r="455" spans="1:19" x14ac:dyDescent="0.3">
      <c r="A455" s="76">
        <v>352</v>
      </c>
      <c r="B455" s="76" t="s">
        <v>1748</v>
      </c>
      <c r="C455" s="76" t="s">
        <v>1721</v>
      </c>
      <c r="D455" s="76" t="s">
        <v>39</v>
      </c>
      <c r="E455" s="76" t="s">
        <v>56</v>
      </c>
      <c r="F455" s="77">
        <v>45657</v>
      </c>
      <c r="G455" s="76">
        <v>2024</v>
      </c>
      <c r="H455" s="76" t="s">
        <v>27</v>
      </c>
      <c r="I455" s="76" t="s">
        <v>36</v>
      </c>
      <c r="J455" s="76">
        <v>0</v>
      </c>
      <c r="K455" s="76">
        <v>4.3542136500113029E-2</v>
      </c>
      <c r="L455" s="78" t="str">
        <f t="shared" si="54"/>
        <v/>
      </c>
      <c r="M455" s="78" t="str">
        <f t="shared" si="55"/>
        <v/>
      </c>
      <c r="N455" s="76" t="s">
        <v>25</v>
      </c>
      <c r="O455" s="76" t="s">
        <v>25</v>
      </c>
      <c r="P455" s="76">
        <v>0</v>
      </c>
      <c r="Q455" s="76">
        <v>0</v>
      </c>
      <c r="R455" s="76" t="s">
        <v>1756</v>
      </c>
      <c r="S455" s="76"/>
    </row>
    <row r="456" spans="1:19" x14ac:dyDescent="0.3">
      <c r="A456" s="37">
        <v>353</v>
      </c>
      <c r="B456" s="37" t="s">
        <v>1757</v>
      </c>
      <c r="C456" s="37" t="s">
        <v>1758</v>
      </c>
      <c r="D456" s="37" t="s">
        <v>21</v>
      </c>
      <c r="E456" s="37" t="s">
        <v>22</v>
      </c>
      <c r="F456" s="42">
        <v>45291</v>
      </c>
      <c r="G456" s="37">
        <v>2023</v>
      </c>
      <c r="H456" s="37" t="s">
        <v>27</v>
      </c>
      <c r="I456" s="39" t="s">
        <v>32</v>
      </c>
      <c r="J456" s="37">
        <v>35</v>
      </c>
      <c r="K456" s="37">
        <v>40.384615384615401</v>
      </c>
      <c r="L456" s="65">
        <f t="shared" si="54"/>
        <v>1.1538461538461544</v>
      </c>
      <c r="M456" s="65">
        <f t="shared" si="55"/>
        <v>1.1538461538461544</v>
      </c>
      <c r="N456" s="37" t="s">
        <v>203</v>
      </c>
      <c r="O456" s="37" t="s">
        <v>203</v>
      </c>
      <c r="P456" s="37">
        <v>1</v>
      </c>
      <c r="Q456" s="37">
        <v>1</v>
      </c>
      <c r="R456" s="37" t="s">
        <v>1760</v>
      </c>
      <c r="S456" s="37"/>
    </row>
    <row r="457" spans="1:19" x14ac:dyDescent="0.3">
      <c r="A457" s="37">
        <v>354</v>
      </c>
      <c r="B457" s="37" t="s">
        <v>1761</v>
      </c>
      <c r="C457" s="37" t="s">
        <v>1758</v>
      </c>
      <c r="D457" s="37" t="s">
        <v>21</v>
      </c>
      <c r="E457" s="37" t="s">
        <v>22</v>
      </c>
      <c r="F457" s="42">
        <v>45291</v>
      </c>
      <c r="G457" s="37">
        <v>2023</v>
      </c>
      <c r="H457" s="37" t="s">
        <v>27</v>
      </c>
      <c r="I457" s="39" t="s">
        <v>32</v>
      </c>
      <c r="J457" s="37">
        <v>10</v>
      </c>
      <c r="K457" s="37">
        <v>31.77</v>
      </c>
      <c r="L457" s="65">
        <f t="shared" si="54"/>
        <v>1.3</v>
      </c>
      <c r="M457" s="65">
        <f t="shared" si="55"/>
        <v>3.177</v>
      </c>
      <c r="N457" s="37" t="s">
        <v>203</v>
      </c>
      <c r="O457" s="37" t="s">
        <v>197</v>
      </c>
      <c r="P457" s="37">
        <v>1</v>
      </c>
      <c r="Q457" s="37">
        <v>1</v>
      </c>
      <c r="R457" s="37" t="s">
        <v>1763</v>
      </c>
      <c r="S457" s="37"/>
    </row>
    <row r="458" spans="1:19" x14ac:dyDescent="0.3">
      <c r="A458" s="76">
        <v>355</v>
      </c>
      <c r="B458" s="76" t="s">
        <v>1764</v>
      </c>
      <c r="C458" s="76" t="s">
        <v>1765</v>
      </c>
      <c r="D458" s="76" t="s">
        <v>139</v>
      </c>
      <c r="E458" s="76" t="s">
        <v>22</v>
      </c>
      <c r="F458" s="77">
        <v>45291</v>
      </c>
      <c r="G458" s="76">
        <v>2023</v>
      </c>
      <c r="H458" s="76" t="s">
        <v>27</v>
      </c>
      <c r="I458" s="76" t="s">
        <v>32</v>
      </c>
      <c r="J458" s="76">
        <v>1</v>
      </c>
      <c r="K458" s="76">
        <v>1.64916004403234</v>
      </c>
      <c r="L458" s="78">
        <f t="shared" si="54"/>
        <v>1.3</v>
      </c>
      <c r="M458" s="78">
        <f t="shared" si="55"/>
        <v>1.64916004403234</v>
      </c>
      <c r="N458" s="76" t="s">
        <v>25</v>
      </c>
      <c r="O458" s="76" t="s">
        <v>25</v>
      </c>
      <c r="P458" s="76">
        <v>0</v>
      </c>
      <c r="Q458" s="76">
        <v>0</v>
      </c>
      <c r="R458" s="76" t="s">
        <v>1767</v>
      </c>
      <c r="S458" s="76"/>
    </row>
    <row r="459" spans="1:19" x14ac:dyDescent="0.3">
      <c r="A459" s="76">
        <v>355</v>
      </c>
      <c r="B459" s="76" t="s">
        <v>1764</v>
      </c>
      <c r="C459" s="76" t="s">
        <v>1765</v>
      </c>
      <c r="D459" s="76" t="s">
        <v>139</v>
      </c>
      <c r="E459" s="76" t="s">
        <v>22</v>
      </c>
      <c r="F459" s="77">
        <v>45657</v>
      </c>
      <c r="G459" s="76">
        <v>2024</v>
      </c>
      <c r="H459" s="76" t="s">
        <v>27</v>
      </c>
      <c r="I459" s="76" t="s">
        <v>36</v>
      </c>
      <c r="J459" s="76">
        <v>1.7</v>
      </c>
      <c r="K459" s="76">
        <v>1.69</v>
      </c>
      <c r="L459" s="78">
        <f t="shared" si="54"/>
        <v>0.99411764705882355</v>
      </c>
      <c r="M459" s="78">
        <f t="shared" si="55"/>
        <v>0.99411764705882355</v>
      </c>
      <c r="N459" s="76" t="s">
        <v>25</v>
      </c>
      <c r="O459" s="76" t="s">
        <v>25</v>
      </c>
      <c r="P459" s="76">
        <v>0</v>
      </c>
      <c r="Q459" s="76">
        <v>0</v>
      </c>
      <c r="R459" s="76" t="s">
        <v>1768</v>
      </c>
      <c r="S459" s="76"/>
    </row>
    <row r="460" spans="1:19" x14ac:dyDescent="0.3">
      <c r="A460" s="76">
        <v>356</v>
      </c>
      <c r="B460" s="76" t="s">
        <v>1769</v>
      </c>
      <c r="C460" s="76" t="s">
        <v>1765</v>
      </c>
      <c r="D460" s="76" t="s">
        <v>21</v>
      </c>
      <c r="E460" s="76" t="s">
        <v>56</v>
      </c>
      <c r="F460" s="77">
        <v>45291</v>
      </c>
      <c r="G460" s="76">
        <v>2023</v>
      </c>
      <c r="H460" s="76" t="s">
        <v>27</v>
      </c>
      <c r="I460" s="76" t="s">
        <v>32</v>
      </c>
      <c r="J460" s="76">
        <v>60</v>
      </c>
      <c r="K460" s="76">
        <v>55.376980703801003</v>
      </c>
      <c r="L460" s="78">
        <f t="shared" si="54"/>
        <v>1.0834826896924281</v>
      </c>
      <c r="M460" s="78">
        <f t="shared" si="55"/>
        <v>1.0834826896924281</v>
      </c>
      <c r="N460" s="76" t="s">
        <v>25</v>
      </c>
      <c r="O460" s="76" t="s">
        <v>25</v>
      </c>
      <c r="P460" s="76">
        <v>0</v>
      </c>
      <c r="Q460" s="76">
        <v>0</v>
      </c>
      <c r="R460" s="76" t="s">
        <v>1771</v>
      </c>
      <c r="S460" s="76"/>
    </row>
    <row r="461" spans="1:19" x14ac:dyDescent="0.3">
      <c r="A461" s="76">
        <v>356</v>
      </c>
      <c r="B461" s="76" t="s">
        <v>1769</v>
      </c>
      <c r="C461" s="76" t="s">
        <v>1765</v>
      </c>
      <c r="D461" s="76" t="s">
        <v>21</v>
      </c>
      <c r="E461" s="76" t="s">
        <v>56</v>
      </c>
      <c r="F461" s="77">
        <v>45657</v>
      </c>
      <c r="G461" s="76">
        <v>2024</v>
      </c>
      <c r="H461" s="76" t="s">
        <v>27</v>
      </c>
      <c r="I461" s="76" t="s">
        <v>36</v>
      </c>
      <c r="J461" s="76">
        <v>60</v>
      </c>
      <c r="K461" s="76">
        <v>59.814999999999998</v>
      </c>
      <c r="L461" s="78">
        <f t="shared" si="54"/>
        <v>1.003092869681518</v>
      </c>
      <c r="M461" s="78">
        <f t="shared" si="55"/>
        <v>1.003092869681518</v>
      </c>
      <c r="N461" s="76" t="s">
        <v>25</v>
      </c>
      <c r="O461" s="76" t="s">
        <v>25</v>
      </c>
      <c r="P461" s="76">
        <v>0</v>
      </c>
      <c r="Q461" s="76">
        <v>0</v>
      </c>
      <c r="R461" s="76" t="s">
        <v>1773</v>
      </c>
      <c r="S461" s="76"/>
    </row>
    <row r="462" spans="1:19" x14ac:dyDescent="0.3">
      <c r="A462" s="76">
        <v>357</v>
      </c>
      <c r="B462" s="76" t="s">
        <v>1779</v>
      </c>
      <c r="C462" s="76" t="s">
        <v>1765</v>
      </c>
      <c r="D462" s="76" t="s">
        <v>21</v>
      </c>
      <c r="E462" s="76" t="s">
        <v>22</v>
      </c>
      <c r="F462" s="77">
        <v>45291</v>
      </c>
      <c r="G462" s="76">
        <v>2023</v>
      </c>
      <c r="H462" s="76" t="s">
        <v>27</v>
      </c>
      <c r="I462" s="76" t="s">
        <v>32</v>
      </c>
      <c r="J462" s="76">
        <v>1</v>
      </c>
      <c r="K462" s="76">
        <v>4.45</v>
      </c>
      <c r="L462" s="78">
        <f t="shared" si="54"/>
        <v>1.3</v>
      </c>
      <c r="M462" s="78">
        <f t="shared" si="55"/>
        <v>4.45</v>
      </c>
      <c r="N462" s="76" t="s">
        <v>25</v>
      </c>
      <c r="O462" s="76" t="s">
        <v>25</v>
      </c>
      <c r="P462" s="76">
        <v>0</v>
      </c>
      <c r="Q462" s="76">
        <v>0</v>
      </c>
      <c r="R462" s="76" t="s">
        <v>1776</v>
      </c>
      <c r="S462" s="76"/>
    </row>
    <row r="463" spans="1:19" x14ac:dyDescent="0.3">
      <c r="A463" s="76">
        <v>357</v>
      </c>
      <c r="B463" s="76" t="s">
        <v>1779</v>
      </c>
      <c r="C463" s="76" t="s">
        <v>1765</v>
      </c>
      <c r="D463" s="76" t="s">
        <v>21</v>
      </c>
      <c r="E463" s="76" t="s">
        <v>22</v>
      </c>
      <c r="F463" s="77">
        <v>45657</v>
      </c>
      <c r="G463" s="76">
        <v>2024</v>
      </c>
      <c r="H463" s="76" t="s">
        <v>27</v>
      </c>
      <c r="I463" s="76" t="s">
        <v>36</v>
      </c>
      <c r="J463" s="76">
        <v>1</v>
      </c>
      <c r="K463" s="76">
        <v>0.51</v>
      </c>
      <c r="L463" s="78">
        <f t="shared" si="54"/>
        <v>0.51</v>
      </c>
      <c r="M463" s="78">
        <f t="shared" si="55"/>
        <v>0.51</v>
      </c>
      <c r="N463" s="76" t="s">
        <v>25</v>
      </c>
      <c r="O463" s="76" t="s">
        <v>25</v>
      </c>
      <c r="P463" s="76">
        <v>0</v>
      </c>
      <c r="Q463" s="76">
        <v>0</v>
      </c>
      <c r="R463" s="76" t="s">
        <v>1778</v>
      </c>
      <c r="S463" s="76"/>
    </row>
    <row r="464" spans="1:19" x14ac:dyDescent="0.3">
      <c r="A464" s="76">
        <v>358</v>
      </c>
      <c r="B464" s="76" t="s">
        <v>1786</v>
      </c>
      <c r="C464" s="76" t="s">
        <v>1781</v>
      </c>
      <c r="D464" s="76" t="s">
        <v>21</v>
      </c>
      <c r="E464" s="76" t="s">
        <v>22</v>
      </c>
      <c r="F464" s="77">
        <v>45291</v>
      </c>
      <c r="G464" s="76">
        <v>2023</v>
      </c>
      <c r="H464" s="76" t="s">
        <v>27</v>
      </c>
      <c r="I464" s="76" t="s">
        <v>32</v>
      </c>
      <c r="J464" s="76">
        <v>87</v>
      </c>
      <c r="K464" s="76">
        <v>90.992268041236997</v>
      </c>
      <c r="L464" s="78">
        <f t="shared" si="54"/>
        <v>1.0458881384050229</v>
      </c>
      <c r="M464" s="78">
        <f t="shared" si="55"/>
        <v>1.0458881384050229</v>
      </c>
      <c r="N464" s="76" t="s">
        <v>25</v>
      </c>
      <c r="O464" s="76" t="s">
        <v>25</v>
      </c>
      <c r="P464" s="76">
        <v>0</v>
      </c>
      <c r="Q464" s="76">
        <v>0</v>
      </c>
      <c r="R464" s="76" t="s">
        <v>1783</v>
      </c>
      <c r="S464" s="76"/>
    </row>
    <row r="465" spans="1:19" x14ac:dyDescent="0.3">
      <c r="A465" s="76">
        <v>358</v>
      </c>
      <c r="B465" s="76" t="s">
        <v>1786</v>
      </c>
      <c r="C465" s="76" t="s">
        <v>1781</v>
      </c>
      <c r="D465" s="76" t="s">
        <v>21</v>
      </c>
      <c r="E465" s="76" t="s">
        <v>22</v>
      </c>
      <c r="F465" s="77">
        <v>45657</v>
      </c>
      <c r="G465" s="76">
        <v>2024</v>
      </c>
      <c r="H465" s="76" t="s">
        <v>27</v>
      </c>
      <c r="I465" s="76" t="s">
        <v>36</v>
      </c>
      <c r="J465" s="76">
        <v>87</v>
      </c>
      <c r="K465" s="76">
        <v>98.995000000000005</v>
      </c>
      <c r="L465" s="78">
        <f t="shared" si="54"/>
        <v>1.1378735632183909</v>
      </c>
      <c r="M465" s="78">
        <f t="shared" si="55"/>
        <v>1.1378735632183909</v>
      </c>
      <c r="N465" s="76" t="s">
        <v>25</v>
      </c>
      <c r="O465" s="76" t="s">
        <v>25</v>
      </c>
      <c r="P465" s="76">
        <v>0</v>
      </c>
      <c r="Q465" s="76">
        <v>0</v>
      </c>
      <c r="R465" s="76" t="s">
        <v>1785</v>
      </c>
      <c r="S465" s="76"/>
    </row>
    <row r="466" spans="1:19" x14ac:dyDescent="0.3">
      <c r="A466" s="76">
        <v>359</v>
      </c>
      <c r="B466" s="76" t="s">
        <v>1787</v>
      </c>
      <c r="C466" s="76" t="s">
        <v>1376</v>
      </c>
      <c r="D466" s="76" t="s">
        <v>21</v>
      </c>
      <c r="E466" s="76" t="s">
        <v>22</v>
      </c>
      <c r="F466" s="77">
        <v>45657</v>
      </c>
      <c r="G466" s="76">
        <v>2024</v>
      </c>
      <c r="H466" s="76" t="s">
        <v>27</v>
      </c>
      <c r="I466" s="76" t="s">
        <v>36</v>
      </c>
      <c r="J466" s="76">
        <v>1</v>
      </c>
      <c r="K466" s="76">
        <v>86</v>
      </c>
      <c r="L466" s="78">
        <f t="shared" si="54"/>
        <v>1.3</v>
      </c>
      <c r="M466" s="78">
        <f t="shared" si="55"/>
        <v>86</v>
      </c>
      <c r="N466" s="76" t="s">
        <v>25</v>
      </c>
      <c r="O466" s="76" t="s">
        <v>25</v>
      </c>
      <c r="P466" s="76">
        <v>0</v>
      </c>
      <c r="Q466" s="76">
        <v>0</v>
      </c>
      <c r="R466" s="76" t="s">
        <v>1790</v>
      </c>
      <c r="S466" s="76"/>
    </row>
    <row r="467" spans="1:19" x14ac:dyDescent="0.3">
      <c r="A467" s="76">
        <v>361</v>
      </c>
      <c r="B467" s="76" t="s">
        <v>1798</v>
      </c>
      <c r="C467" s="76" t="s">
        <v>1796</v>
      </c>
      <c r="D467" s="76" t="s">
        <v>139</v>
      </c>
      <c r="E467" s="76" t="s">
        <v>22</v>
      </c>
      <c r="F467" s="77">
        <v>45291</v>
      </c>
      <c r="G467" s="76">
        <v>2023</v>
      </c>
      <c r="H467" s="76" t="s">
        <v>27</v>
      </c>
      <c r="I467" s="76" t="s">
        <v>32</v>
      </c>
      <c r="J467" s="76">
        <v>1</v>
      </c>
      <c r="K467" s="76">
        <v>4.5599999999999996</v>
      </c>
      <c r="L467" s="78">
        <f t="shared" si="54"/>
        <v>1.3</v>
      </c>
      <c r="M467" s="78">
        <f t="shared" si="55"/>
        <v>4.5599999999999996</v>
      </c>
      <c r="N467" s="76" t="s">
        <v>25</v>
      </c>
      <c r="O467" s="76" t="s">
        <v>25</v>
      </c>
      <c r="P467" s="76">
        <v>0</v>
      </c>
      <c r="Q467" s="76">
        <v>0</v>
      </c>
      <c r="R467" s="76" t="s">
        <v>1797</v>
      </c>
      <c r="S467" s="76"/>
    </row>
    <row r="468" spans="1:19" x14ac:dyDescent="0.3">
      <c r="A468" s="76">
        <v>361</v>
      </c>
      <c r="B468" s="76" t="s">
        <v>1798</v>
      </c>
      <c r="C468" s="76" t="s">
        <v>1796</v>
      </c>
      <c r="D468" s="76" t="s">
        <v>139</v>
      </c>
      <c r="E468" s="76" t="s">
        <v>22</v>
      </c>
      <c r="F468" s="77">
        <v>45657</v>
      </c>
      <c r="G468" s="76">
        <v>2024</v>
      </c>
      <c r="H468" s="76" t="s">
        <v>27</v>
      </c>
      <c r="I468" s="76" t="s">
        <v>36</v>
      </c>
      <c r="J468" s="76"/>
      <c r="K468" s="76"/>
      <c r="L468" s="78"/>
      <c r="M468" s="78"/>
      <c r="N468" s="76" t="s">
        <v>25</v>
      </c>
      <c r="O468" s="76" t="s">
        <v>223</v>
      </c>
      <c r="P468" s="76">
        <v>0</v>
      </c>
      <c r="Q468" s="76">
        <v>0</v>
      </c>
      <c r="R468" s="76" t="s">
        <v>1799</v>
      </c>
      <c r="S468" s="76" t="s">
        <v>223</v>
      </c>
    </row>
    <row r="469" spans="1:19" x14ac:dyDescent="0.3">
      <c r="A469" s="76">
        <v>362</v>
      </c>
      <c r="B469" s="76" t="s">
        <v>1800</v>
      </c>
      <c r="C469" s="76" t="s">
        <v>1801</v>
      </c>
      <c r="D469" s="76" t="s">
        <v>21</v>
      </c>
      <c r="E469" s="76" t="s">
        <v>22</v>
      </c>
      <c r="F469" s="77">
        <v>45291</v>
      </c>
      <c r="G469" s="76">
        <v>2023</v>
      </c>
      <c r="H469" s="76" t="s">
        <v>27</v>
      </c>
      <c r="I469" s="76" t="s">
        <v>32</v>
      </c>
      <c r="J469" s="76">
        <v>100</v>
      </c>
      <c r="K469" s="76">
        <v>99.156641448591998</v>
      </c>
      <c r="L469" s="78">
        <f t="shared" ref="L469:L472" si="56">IFERROR(IF(OR(J469=0,K469=""),"",IF(E469="Positivo",MIN(MAX(K469/J469,0),1.3),MIN(MAX(J469/K469,0),1.3))),"")</f>
        <v>0.99156641448591998</v>
      </c>
      <c r="M469" s="78">
        <f t="shared" ref="M469:M472" si="57">IFERROR(IF(OR(J469=0,K469=""),"",IF(E469="Positivo",MAX(K469/J469,0),MAX(J469/K469,0))),"")</f>
        <v>0.99156641448591998</v>
      </c>
      <c r="N469" s="76" t="s">
        <v>25</v>
      </c>
      <c r="O469" s="76" t="s">
        <v>25</v>
      </c>
      <c r="P469" s="76">
        <v>0</v>
      </c>
      <c r="Q469" s="76">
        <v>0</v>
      </c>
      <c r="R469" s="76" t="s">
        <v>1803</v>
      </c>
      <c r="S469" s="76"/>
    </row>
    <row r="470" spans="1:19" x14ac:dyDescent="0.3">
      <c r="A470" s="76">
        <v>362</v>
      </c>
      <c r="B470" s="76" t="s">
        <v>1800</v>
      </c>
      <c r="C470" s="76" t="s">
        <v>1801</v>
      </c>
      <c r="D470" s="76" t="s">
        <v>21</v>
      </c>
      <c r="E470" s="76" t="s">
        <v>22</v>
      </c>
      <c r="F470" s="77">
        <v>45657</v>
      </c>
      <c r="G470" s="76">
        <v>2024</v>
      </c>
      <c r="H470" s="76" t="s">
        <v>27</v>
      </c>
      <c r="I470" s="76" t="s">
        <v>36</v>
      </c>
      <c r="J470" s="76">
        <v>196</v>
      </c>
      <c r="K470" s="76">
        <v>199.07432304038011</v>
      </c>
      <c r="L470" s="78">
        <f t="shared" si="56"/>
        <v>1.0156853216345925</v>
      </c>
      <c r="M470" s="78">
        <f t="shared" si="57"/>
        <v>1.0156853216345925</v>
      </c>
      <c r="N470" s="76" t="s">
        <v>25</v>
      </c>
      <c r="O470" s="76" t="s">
        <v>25</v>
      </c>
      <c r="P470" s="76">
        <v>0</v>
      </c>
      <c r="Q470" s="76">
        <v>0</v>
      </c>
      <c r="R470" s="76" t="s">
        <v>1805</v>
      </c>
      <c r="S470" s="76"/>
    </row>
    <row r="471" spans="1:19" x14ac:dyDescent="0.3">
      <c r="A471" s="76">
        <v>363</v>
      </c>
      <c r="B471" s="76" t="s">
        <v>1808</v>
      </c>
      <c r="C471" s="76" t="s">
        <v>1801</v>
      </c>
      <c r="D471" s="76" t="s">
        <v>21</v>
      </c>
      <c r="E471" s="76" t="s">
        <v>22</v>
      </c>
      <c r="F471" s="77">
        <v>45291</v>
      </c>
      <c r="G471" s="76">
        <v>2023</v>
      </c>
      <c r="H471" s="76" t="s">
        <v>27</v>
      </c>
      <c r="I471" s="76" t="s">
        <v>32</v>
      </c>
      <c r="J471" s="76">
        <v>100</v>
      </c>
      <c r="K471" s="76">
        <v>100</v>
      </c>
      <c r="L471" s="78">
        <f t="shared" si="56"/>
        <v>1</v>
      </c>
      <c r="M471" s="78">
        <f t="shared" si="57"/>
        <v>1</v>
      </c>
      <c r="N471" s="76" t="s">
        <v>25</v>
      </c>
      <c r="O471" s="76" t="s">
        <v>25</v>
      </c>
      <c r="P471" s="76">
        <v>0</v>
      </c>
      <c r="Q471" s="76">
        <v>0</v>
      </c>
      <c r="R471" s="76" t="s">
        <v>1809</v>
      </c>
      <c r="S471" s="76"/>
    </row>
    <row r="472" spans="1:19" x14ac:dyDescent="0.3">
      <c r="A472" s="76">
        <v>363</v>
      </c>
      <c r="B472" s="76" t="s">
        <v>1808</v>
      </c>
      <c r="C472" s="76" t="s">
        <v>1801</v>
      </c>
      <c r="D472" s="76" t="s">
        <v>21</v>
      </c>
      <c r="E472" s="76" t="s">
        <v>22</v>
      </c>
      <c r="F472" s="77">
        <v>45657</v>
      </c>
      <c r="G472" s="76">
        <v>2024</v>
      </c>
      <c r="H472" s="76" t="s">
        <v>27</v>
      </c>
      <c r="I472" s="76" t="s">
        <v>36</v>
      </c>
      <c r="J472" s="76">
        <v>100</v>
      </c>
      <c r="K472" s="76">
        <v>100</v>
      </c>
      <c r="L472" s="78">
        <f t="shared" si="56"/>
        <v>1</v>
      </c>
      <c r="M472" s="78">
        <f t="shared" si="57"/>
        <v>1</v>
      </c>
      <c r="N472" s="76" t="s">
        <v>25</v>
      </c>
      <c r="O472" s="76" t="s">
        <v>25</v>
      </c>
      <c r="P472" s="76">
        <v>0</v>
      </c>
      <c r="Q472" s="76">
        <v>0</v>
      </c>
      <c r="R472" s="76" t="s">
        <v>1811</v>
      </c>
      <c r="S472" s="76"/>
    </row>
    <row r="473" spans="1:19" x14ac:dyDescent="0.3">
      <c r="A473" s="76">
        <v>364</v>
      </c>
      <c r="B473" s="76" t="s">
        <v>1812</v>
      </c>
      <c r="C473" s="76" t="s">
        <v>1796</v>
      </c>
      <c r="D473" s="76" t="s">
        <v>21</v>
      </c>
      <c r="E473" s="76" t="s">
        <v>22</v>
      </c>
      <c r="F473" s="77">
        <v>45291</v>
      </c>
      <c r="G473" s="76">
        <v>2023</v>
      </c>
      <c r="H473" s="76" t="s">
        <v>27</v>
      </c>
      <c r="I473" s="76" t="s">
        <v>32</v>
      </c>
      <c r="J473" s="76"/>
      <c r="K473" s="76">
        <v>108695</v>
      </c>
      <c r="L473" s="78"/>
      <c r="M473" s="78"/>
      <c r="N473" s="76" t="s">
        <v>25</v>
      </c>
      <c r="O473" s="76" t="s">
        <v>25</v>
      </c>
      <c r="P473" s="76">
        <v>0</v>
      </c>
      <c r="Q473" s="76">
        <v>0</v>
      </c>
      <c r="R473" s="76" t="s">
        <v>1814</v>
      </c>
      <c r="S473" s="76"/>
    </row>
    <row r="474" spans="1:19" x14ac:dyDescent="0.3">
      <c r="A474" s="76">
        <v>364</v>
      </c>
      <c r="B474" s="76" t="s">
        <v>1812</v>
      </c>
      <c r="C474" s="76" t="s">
        <v>1796</v>
      </c>
      <c r="D474" s="76" t="s">
        <v>21</v>
      </c>
      <c r="E474" s="76" t="s">
        <v>22</v>
      </c>
      <c r="F474" s="77">
        <v>45657</v>
      </c>
      <c r="G474" s="76">
        <v>2024</v>
      </c>
      <c r="H474" s="76" t="s">
        <v>27</v>
      </c>
      <c r="I474" s="76" t="s">
        <v>36</v>
      </c>
      <c r="J474" s="76">
        <v>79235</v>
      </c>
      <c r="K474" s="76">
        <v>88704</v>
      </c>
      <c r="L474" s="78">
        <f t="shared" ref="L474:L481" si="58">IFERROR(IF(OR(J474=0,K474=""),"",IF(E474="Positivo",MIN(MAX(K474/J474,0),1.3),MIN(MAX(J474/K474,0),1.3))),"")</f>
        <v>1.119505269136114</v>
      </c>
      <c r="M474" s="78">
        <f t="shared" ref="M474:M481" si="59">IFERROR(IF(OR(J474=0,K474=""),"",IF(E474="Positivo",MAX(K474/J474,0),MAX(J474/K474,0))),"")</f>
        <v>1.119505269136114</v>
      </c>
      <c r="N474" s="76" t="s">
        <v>25</v>
      </c>
      <c r="O474" s="76" t="s">
        <v>25</v>
      </c>
      <c r="P474" s="76">
        <v>0</v>
      </c>
      <c r="Q474" s="76">
        <v>0</v>
      </c>
      <c r="R474" s="76" t="s">
        <v>1816</v>
      </c>
      <c r="S474" s="76"/>
    </row>
    <row r="475" spans="1:19" x14ac:dyDescent="0.3">
      <c r="A475" s="37">
        <v>365</v>
      </c>
      <c r="B475" s="37" t="s">
        <v>1817</v>
      </c>
      <c r="C475" s="37" t="s">
        <v>1801</v>
      </c>
      <c r="D475" s="37" t="s">
        <v>21</v>
      </c>
      <c r="E475" s="37" t="s">
        <v>22</v>
      </c>
      <c r="F475" s="42">
        <v>45291</v>
      </c>
      <c r="G475" s="37">
        <v>2023</v>
      </c>
      <c r="H475" s="37" t="s">
        <v>27</v>
      </c>
      <c r="I475" s="39" t="s">
        <v>32</v>
      </c>
      <c r="J475" s="37">
        <v>100</v>
      </c>
      <c r="K475" s="37">
        <v>100</v>
      </c>
      <c r="L475" s="65">
        <f t="shared" si="58"/>
        <v>1</v>
      </c>
      <c r="M475" s="65">
        <f t="shared" si="59"/>
        <v>1</v>
      </c>
      <c r="N475" s="37" t="s">
        <v>25</v>
      </c>
      <c r="O475" s="37" t="s">
        <v>25</v>
      </c>
      <c r="P475" s="37">
        <v>0</v>
      </c>
      <c r="Q475" s="37">
        <v>0</v>
      </c>
      <c r="R475" s="37" t="s">
        <v>1818</v>
      </c>
      <c r="S475" s="37"/>
    </row>
    <row r="476" spans="1:19" x14ac:dyDescent="0.3">
      <c r="A476" s="76">
        <v>366</v>
      </c>
      <c r="B476" s="76" t="s">
        <v>1819</v>
      </c>
      <c r="C476" s="76" t="s">
        <v>1801</v>
      </c>
      <c r="D476" s="76" t="s">
        <v>139</v>
      </c>
      <c r="E476" s="76" t="s">
        <v>22</v>
      </c>
      <c r="F476" s="77">
        <v>45291</v>
      </c>
      <c r="G476" s="76">
        <v>2023</v>
      </c>
      <c r="H476" s="76" t="s">
        <v>27</v>
      </c>
      <c r="I476" s="76" t="s">
        <v>32</v>
      </c>
      <c r="J476" s="76">
        <v>100</v>
      </c>
      <c r="K476" s="76">
        <v>100</v>
      </c>
      <c r="L476" s="78">
        <f t="shared" si="58"/>
        <v>1</v>
      </c>
      <c r="M476" s="78">
        <f t="shared" si="59"/>
        <v>1</v>
      </c>
      <c r="N476" s="76" t="s">
        <v>25</v>
      </c>
      <c r="O476" s="76" t="s">
        <v>25</v>
      </c>
      <c r="P476" s="76">
        <v>0</v>
      </c>
      <c r="Q476" s="76">
        <v>0</v>
      </c>
      <c r="R476" s="76" t="s">
        <v>1820</v>
      </c>
      <c r="S476" s="76"/>
    </row>
    <row r="477" spans="1:19" x14ac:dyDescent="0.3">
      <c r="A477" s="76">
        <v>366</v>
      </c>
      <c r="B477" s="76" t="s">
        <v>1819</v>
      </c>
      <c r="C477" s="76" t="s">
        <v>1801</v>
      </c>
      <c r="D477" s="76" t="s">
        <v>139</v>
      </c>
      <c r="E477" s="76" t="s">
        <v>22</v>
      </c>
      <c r="F477" s="77">
        <v>45657</v>
      </c>
      <c r="G477" s="76">
        <v>2024</v>
      </c>
      <c r="H477" s="76" t="s">
        <v>27</v>
      </c>
      <c r="I477" s="76" t="s">
        <v>36</v>
      </c>
      <c r="J477" s="76">
        <v>100</v>
      </c>
      <c r="K477" s="76">
        <v>100</v>
      </c>
      <c r="L477" s="78">
        <f t="shared" si="58"/>
        <v>1</v>
      </c>
      <c r="M477" s="78">
        <f t="shared" si="59"/>
        <v>1</v>
      </c>
      <c r="N477" s="76" t="s">
        <v>25</v>
      </c>
      <c r="O477" s="76" t="s">
        <v>25</v>
      </c>
      <c r="P477" s="76">
        <v>0</v>
      </c>
      <c r="Q477" s="76">
        <v>0</v>
      </c>
      <c r="R477" s="76" t="s">
        <v>1821</v>
      </c>
      <c r="S477" s="76"/>
    </row>
    <row r="478" spans="1:19" x14ac:dyDescent="0.3">
      <c r="A478" s="76">
        <v>367</v>
      </c>
      <c r="B478" s="76" t="s">
        <v>1824</v>
      </c>
      <c r="C478" s="76" t="s">
        <v>1796</v>
      </c>
      <c r="D478" s="76" t="s">
        <v>139</v>
      </c>
      <c r="E478" s="76" t="s">
        <v>22</v>
      </c>
      <c r="F478" s="77">
        <v>45291</v>
      </c>
      <c r="G478" s="76">
        <v>2023</v>
      </c>
      <c r="H478" s="76" t="s">
        <v>27</v>
      </c>
      <c r="I478" s="76" t="s">
        <v>32</v>
      </c>
      <c r="J478" s="76">
        <v>5</v>
      </c>
      <c r="K478" s="76">
        <v>6.2497567052045619</v>
      </c>
      <c r="L478" s="78">
        <f t="shared" si="58"/>
        <v>1.2499513410409124</v>
      </c>
      <c r="M478" s="78">
        <f t="shared" si="59"/>
        <v>1.2499513410409124</v>
      </c>
      <c r="N478" s="76" t="s">
        <v>25</v>
      </c>
      <c r="O478" s="76" t="s">
        <v>25</v>
      </c>
      <c r="P478" s="76">
        <v>0</v>
      </c>
      <c r="Q478" s="76">
        <v>0</v>
      </c>
      <c r="R478" s="76" t="s">
        <v>1823</v>
      </c>
      <c r="S478" s="76"/>
    </row>
    <row r="479" spans="1:19" x14ac:dyDescent="0.3">
      <c r="A479" s="76">
        <v>367</v>
      </c>
      <c r="B479" s="76" t="s">
        <v>1824</v>
      </c>
      <c r="C479" s="76" t="s">
        <v>1796</v>
      </c>
      <c r="D479" s="76" t="s">
        <v>139</v>
      </c>
      <c r="E479" s="76" t="s">
        <v>22</v>
      </c>
      <c r="F479" s="77">
        <v>45657</v>
      </c>
      <c r="G479" s="76">
        <v>2024</v>
      </c>
      <c r="H479" s="76" t="s">
        <v>27</v>
      </c>
      <c r="I479" s="76" t="s">
        <v>36</v>
      </c>
      <c r="J479" s="76">
        <v>5</v>
      </c>
      <c r="K479" s="76">
        <v>4.96</v>
      </c>
      <c r="L479" s="78">
        <f t="shared" si="58"/>
        <v>0.99199999999999999</v>
      </c>
      <c r="M479" s="78">
        <f t="shared" si="59"/>
        <v>0.99199999999999999</v>
      </c>
      <c r="N479" s="76" t="s">
        <v>25</v>
      </c>
      <c r="O479" s="76" t="s">
        <v>25</v>
      </c>
      <c r="P479" s="76">
        <v>0</v>
      </c>
      <c r="Q479" s="76">
        <v>0</v>
      </c>
      <c r="R479" s="76" t="s">
        <v>1825</v>
      </c>
      <c r="S479" s="76"/>
    </row>
    <row r="480" spans="1:19" x14ac:dyDescent="0.3">
      <c r="A480" s="76">
        <v>368</v>
      </c>
      <c r="B480" s="76" t="s">
        <v>1826</v>
      </c>
      <c r="C480" s="76" t="s">
        <v>1834</v>
      </c>
      <c r="D480" s="76" t="s">
        <v>39</v>
      </c>
      <c r="E480" s="76" t="s">
        <v>22</v>
      </c>
      <c r="F480" s="77">
        <v>45291</v>
      </c>
      <c r="G480" s="76">
        <v>2023</v>
      </c>
      <c r="H480" s="76" t="s">
        <v>27</v>
      </c>
      <c r="I480" s="76" t="s">
        <v>32</v>
      </c>
      <c r="J480" s="76">
        <v>90</v>
      </c>
      <c r="K480" s="76">
        <v>94.5</v>
      </c>
      <c r="L480" s="78">
        <f t="shared" si="58"/>
        <v>1.05</v>
      </c>
      <c r="M480" s="78">
        <f t="shared" si="59"/>
        <v>1.05</v>
      </c>
      <c r="N480" s="76" t="s">
        <v>25</v>
      </c>
      <c r="O480" s="76" t="s">
        <v>25</v>
      </c>
      <c r="P480" s="76">
        <v>0</v>
      </c>
      <c r="Q480" s="76">
        <v>0</v>
      </c>
      <c r="R480" s="76" t="s">
        <v>1829</v>
      </c>
      <c r="S480" s="76"/>
    </row>
    <row r="481" spans="1:19" x14ac:dyDescent="0.3">
      <c r="A481" s="76">
        <v>368</v>
      </c>
      <c r="B481" s="76" t="s">
        <v>1826</v>
      </c>
      <c r="C481" s="76" t="s">
        <v>1834</v>
      </c>
      <c r="D481" s="76" t="s">
        <v>39</v>
      </c>
      <c r="E481" s="76" t="s">
        <v>22</v>
      </c>
      <c r="F481" s="77">
        <v>45657</v>
      </c>
      <c r="G481" s="76">
        <v>2024</v>
      </c>
      <c r="H481" s="76" t="s">
        <v>27</v>
      </c>
      <c r="I481" s="76" t="s">
        <v>36</v>
      </c>
      <c r="J481" s="76">
        <v>90</v>
      </c>
      <c r="K481" s="76">
        <v>94.25</v>
      </c>
      <c r="L481" s="78">
        <f t="shared" si="58"/>
        <v>1.0472222222222223</v>
      </c>
      <c r="M481" s="78">
        <f t="shared" si="59"/>
        <v>1.0472222222222223</v>
      </c>
      <c r="N481" s="76" t="s">
        <v>25</v>
      </c>
      <c r="O481" s="76" t="s">
        <v>25</v>
      </c>
      <c r="P481" s="76">
        <v>0</v>
      </c>
      <c r="Q481" s="76">
        <v>0</v>
      </c>
      <c r="R481" s="76" t="s">
        <v>1833</v>
      </c>
      <c r="S481" s="76"/>
    </row>
    <row r="482" spans="1:19" x14ac:dyDescent="0.3">
      <c r="A482" s="37">
        <v>369</v>
      </c>
      <c r="B482" s="37" t="s">
        <v>1835</v>
      </c>
      <c r="C482" s="37" t="s">
        <v>1796</v>
      </c>
      <c r="D482" s="37" t="s">
        <v>21</v>
      </c>
      <c r="E482" s="37" t="s">
        <v>22</v>
      </c>
      <c r="F482" s="42">
        <v>45291</v>
      </c>
      <c r="G482" s="37">
        <v>2023</v>
      </c>
      <c r="H482" s="37" t="s">
        <v>27</v>
      </c>
      <c r="I482" s="39" t="s">
        <v>32</v>
      </c>
      <c r="J482" s="37"/>
      <c r="K482" s="37">
        <v>174</v>
      </c>
      <c r="L482" s="65"/>
      <c r="M482" s="65"/>
      <c r="N482" s="37" t="s">
        <v>670</v>
      </c>
      <c r="O482" s="37" t="s">
        <v>203</v>
      </c>
      <c r="P482" s="37">
        <v>0</v>
      </c>
      <c r="Q482" s="37">
        <v>0</v>
      </c>
      <c r="R482" s="37" t="s">
        <v>1837</v>
      </c>
      <c r="S482" s="37"/>
    </row>
    <row r="483" spans="1:19" x14ac:dyDescent="0.3">
      <c r="A483" s="76">
        <v>369</v>
      </c>
      <c r="B483" s="76" t="s">
        <v>1835</v>
      </c>
      <c r="C483" s="76" t="s">
        <v>1796</v>
      </c>
      <c r="D483" s="76" t="s">
        <v>21</v>
      </c>
      <c r="E483" s="76" t="s">
        <v>22</v>
      </c>
      <c r="F483" s="77">
        <v>45657</v>
      </c>
      <c r="G483" s="76">
        <v>2024</v>
      </c>
      <c r="H483" s="76" t="s">
        <v>27</v>
      </c>
      <c r="I483" s="76" t="s">
        <v>36</v>
      </c>
      <c r="J483" s="76">
        <v>200</v>
      </c>
      <c r="K483" s="76">
        <v>147.55000000000001</v>
      </c>
      <c r="L483" s="78">
        <f>IFERROR(IF(OR(J483=0,K483=""),"",IF(E483="Positivo",MIN(MAX(K483/J483,0),1.3),MIN(MAX(J483/K483,0),1.3))),"")</f>
        <v>0.73775000000000002</v>
      </c>
      <c r="M483" s="78">
        <f>IFERROR(IF(OR(J483=0,K483=""),"",IF(E483="Positivo",MAX(K483/J483,0),MAX(J483/K483,0))),"")</f>
        <v>0.73775000000000002</v>
      </c>
      <c r="N483" s="76" t="s">
        <v>25</v>
      </c>
      <c r="O483" s="76" t="s">
        <v>25</v>
      </c>
      <c r="P483" s="76">
        <v>0</v>
      </c>
      <c r="Q483" s="76">
        <v>0</v>
      </c>
      <c r="R483" s="76" t="s">
        <v>1839</v>
      </c>
      <c r="S483" s="76"/>
    </row>
    <row r="484" spans="1:19" x14ac:dyDescent="0.3">
      <c r="A484" s="37">
        <v>370</v>
      </c>
      <c r="B484" s="37" t="s">
        <v>1842</v>
      </c>
      <c r="C484" s="37" t="s">
        <v>1796</v>
      </c>
      <c r="D484" s="37" t="s">
        <v>21</v>
      </c>
      <c r="E484" s="37" t="s">
        <v>22</v>
      </c>
      <c r="F484" s="42">
        <v>45291</v>
      </c>
      <c r="G484" s="37">
        <v>2023</v>
      </c>
      <c r="H484" s="37" t="s">
        <v>27</v>
      </c>
      <c r="I484" s="39" t="s">
        <v>32</v>
      </c>
      <c r="J484" s="37"/>
      <c r="K484" s="37"/>
      <c r="L484" s="65"/>
      <c r="M484" s="65"/>
      <c r="N484" s="37" t="s">
        <v>203</v>
      </c>
      <c r="O484" s="37" t="s">
        <v>203</v>
      </c>
      <c r="P484" s="37">
        <v>0</v>
      </c>
      <c r="Q484" s="37">
        <v>0</v>
      </c>
      <c r="R484" s="37" t="s">
        <v>3531</v>
      </c>
      <c r="S484" s="37"/>
    </row>
    <row r="485" spans="1:19" x14ac:dyDescent="0.3">
      <c r="A485" s="76">
        <v>371</v>
      </c>
      <c r="B485" s="76" t="s">
        <v>1844</v>
      </c>
      <c r="C485" s="76" t="s">
        <v>1796</v>
      </c>
      <c r="D485" s="76" t="s">
        <v>21</v>
      </c>
      <c r="E485" s="76" t="s">
        <v>22</v>
      </c>
      <c r="F485" s="77">
        <v>45291</v>
      </c>
      <c r="G485" s="76">
        <v>2023</v>
      </c>
      <c r="H485" s="76" t="s">
        <v>27</v>
      </c>
      <c r="I485" s="76" t="s">
        <v>32</v>
      </c>
      <c r="J485" s="76">
        <v>8250000000</v>
      </c>
      <c r="K485" s="76">
        <v>13850177559</v>
      </c>
      <c r="L485" s="78">
        <f t="shared" ref="L485:L488" si="60">IFERROR(IF(OR(J485=0,K485=""),"",IF(E485="Positivo",MIN(MAX(K485/J485,0),1.3),MIN(MAX(J485/K485,0),1.3))),"")</f>
        <v>1.3</v>
      </c>
      <c r="M485" s="78">
        <f t="shared" ref="M485:M488" si="61">IFERROR(IF(OR(J485=0,K485=""),"",IF(E485="Positivo",MAX(K485/J485,0),MAX(J485/K485,0))),"")</f>
        <v>1.6788094010909091</v>
      </c>
      <c r="N485" s="76" t="s">
        <v>25</v>
      </c>
      <c r="O485" s="76" t="s">
        <v>25</v>
      </c>
      <c r="P485" s="76">
        <v>0</v>
      </c>
      <c r="Q485" s="76">
        <v>0</v>
      </c>
      <c r="R485" s="76" t="s">
        <v>1846</v>
      </c>
      <c r="S485" s="76"/>
    </row>
    <row r="486" spans="1:19" x14ac:dyDescent="0.3">
      <c r="A486" s="76">
        <v>371</v>
      </c>
      <c r="B486" s="76" t="s">
        <v>1844</v>
      </c>
      <c r="C486" s="76" t="s">
        <v>1796</v>
      </c>
      <c r="D486" s="76" t="s">
        <v>21</v>
      </c>
      <c r="E486" s="76" t="s">
        <v>22</v>
      </c>
      <c r="F486" s="77">
        <v>45657</v>
      </c>
      <c r="G486" s="76">
        <v>2024</v>
      </c>
      <c r="H486" s="76" t="s">
        <v>27</v>
      </c>
      <c r="I486" s="76" t="s">
        <v>36</v>
      </c>
      <c r="J486" s="76">
        <v>1771494518</v>
      </c>
      <c r="K486" s="76">
        <v>2045128020</v>
      </c>
      <c r="L486" s="78">
        <f t="shared" si="60"/>
        <v>1.154464774922888</v>
      </c>
      <c r="M486" s="78">
        <f t="shared" si="61"/>
        <v>1.154464774922888</v>
      </c>
      <c r="N486" s="76" t="s">
        <v>25</v>
      </c>
      <c r="O486" s="76" t="s">
        <v>25</v>
      </c>
      <c r="P486" s="76">
        <v>0</v>
      </c>
      <c r="Q486" s="76">
        <v>0</v>
      </c>
      <c r="R486" s="76" t="s">
        <v>1848</v>
      </c>
      <c r="S486" s="76"/>
    </row>
    <row r="487" spans="1:19" x14ac:dyDescent="0.3">
      <c r="A487" s="76">
        <v>372</v>
      </c>
      <c r="B487" s="76" t="s">
        <v>1849</v>
      </c>
      <c r="C487" s="76" t="s">
        <v>1834</v>
      </c>
      <c r="D487" s="76" t="s">
        <v>39</v>
      </c>
      <c r="E487" s="76" t="s">
        <v>22</v>
      </c>
      <c r="F487" s="77">
        <v>45291</v>
      </c>
      <c r="G487" s="76">
        <v>2023</v>
      </c>
      <c r="H487" s="76" t="s">
        <v>27</v>
      </c>
      <c r="I487" s="76" t="s">
        <v>32</v>
      </c>
      <c r="J487" s="76">
        <v>87</v>
      </c>
      <c r="K487" s="76">
        <v>95.5</v>
      </c>
      <c r="L487" s="78">
        <f t="shared" si="60"/>
        <v>1.0977011494252873</v>
      </c>
      <c r="M487" s="78">
        <f t="shared" si="61"/>
        <v>1.0977011494252873</v>
      </c>
      <c r="N487" s="76" t="s">
        <v>25</v>
      </c>
      <c r="O487" s="76" t="s">
        <v>25</v>
      </c>
      <c r="P487" s="76">
        <v>0</v>
      </c>
      <c r="Q487" s="76">
        <v>0</v>
      </c>
      <c r="R487" s="76" t="s">
        <v>1851</v>
      </c>
      <c r="S487" s="76"/>
    </row>
    <row r="488" spans="1:19" x14ac:dyDescent="0.3">
      <c r="A488" s="76">
        <v>372</v>
      </c>
      <c r="B488" s="76" t="s">
        <v>1849</v>
      </c>
      <c r="C488" s="76" t="s">
        <v>1834</v>
      </c>
      <c r="D488" s="76" t="s">
        <v>39</v>
      </c>
      <c r="E488" s="76" t="s">
        <v>22</v>
      </c>
      <c r="F488" s="77">
        <v>45657</v>
      </c>
      <c r="G488" s="76">
        <v>2024</v>
      </c>
      <c r="H488" s="76" t="s">
        <v>27</v>
      </c>
      <c r="I488" s="76" t="s">
        <v>36</v>
      </c>
      <c r="J488" s="76">
        <v>87</v>
      </c>
      <c r="K488" s="76">
        <v>91.75</v>
      </c>
      <c r="L488" s="78">
        <f t="shared" si="60"/>
        <v>1.0545977011494252</v>
      </c>
      <c r="M488" s="78">
        <f t="shared" si="61"/>
        <v>1.0545977011494252</v>
      </c>
      <c r="N488" s="76" t="s">
        <v>25</v>
      </c>
      <c r="O488" s="76" t="s">
        <v>25</v>
      </c>
      <c r="P488" s="76">
        <v>0</v>
      </c>
      <c r="Q488" s="76">
        <v>0</v>
      </c>
      <c r="R488" s="76" t="s">
        <v>1855</v>
      </c>
      <c r="S488" s="76"/>
    </row>
    <row r="489" spans="1:19" x14ac:dyDescent="0.3">
      <c r="A489" s="76">
        <v>373</v>
      </c>
      <c r="B489" s="76" t="s">
        <v>1856</v>
      </c>
      <c r="C489" s="76" t="s">
        <v>1263</v>
      </c>
      <c r="D489" s="76" t="s">
        <v>39</v>
      </c>
      <c r="E489" s="76" t="s">
        <v>22</v>
      </c>
      <c r="F489" s="77">
        <v>45291</v>
      </c>
      <c r="G489" s="76">
        <v>2023</v>
      </c>
      <c r="H489" s="76" t="s">
        <v>27</v>
      </c>
      <c r="I489" s="76" t="s">
        <v>32</v>
      </c>
      <c r="J489" s="76">
        <v>100</v>
      </c>
      <c r="K489" s="76">
        <v>73.961666666667497</v>
      </c>
      <c r="L489" s="78">
        <f>IFERROR(IF(OR(J489=0,K489=""),"",IF(E489="Positivo",MIN(MAX(K489/J489,0),1),MIN(MAX(J489/K489,0),1))),"")</f>
        <v>0.73961666666667503</v>
      </c>
      <c r="M489" s="78">
        <f>IFERROR(IF(OR(J489=0,K489=""),"",IF(E489="Positivo",MIN(MAX(K489/J489,0),1),MIN(MAX(J489/K489,0),1))),"")</f>
        <v>0.73961666666667503</v>
      </c>
      <c r="N489" s="76" t="s">
        <v>25</v>
      </c>
      <c r="O489" s="76" t="s">
        <v>25</v>
      </c>
      <c r="P489" s="76">
        <v>0</v>
      </c>
      <c r="Q489" s="76">
        <v>0</v>
      </c>
      <c r="R489" s="76" t="s">
        <v>1860</v>
      </c>
      <c r="S489" s="76"/>
    </row>
    <row r="490" spans="1:19" x14ac:dyDescent="0.3">
      <c r="A490" s="76">
        <v>373</v>
      </c>
      <c r="B490" s="76" t="s">
        <v>1856</v>
      </c>
      <c r="C490" s="76" t="s">
        <v>1263</v>
      </c>
      <c r="D490" s="76" t="s">
        <v>39</v>
      </c>
      <c r="E490" s="76" t="s">
        <v>22</v>
      </c>
      <c r="F490" s="77">
        <v>45657</v>
      </c>
      <c r="G490" s="76">
        <v>2024</v>
      </c>
      <c r="H490" s="76" t="s">
        <v>27</v>
      </c>
      <c r="I490" s="76" t="s">
        <v>36</v>
      </c>
      <c r="J490" s="76">
        <v>100</v>
      </c>
      <c r="K490" s="76">
        <v>98.525000000000006</v>
      </c>
      <c r="L490" s="78">
        <f>IFERROR(IF(OR(J490=0,K490=""),"",IF(E490="Positivo",MIN(MAX(K490/J490,0),1),MIN(MAX(J490/K490,0),1))),"")</f>
        <v>0.98525000000000007</v>
      </c>
      <c r="M490" s="78">
        <f>IFERROR(IF(OR(J490=0,K490=""),"",IF(E490="Positivo",MIN(MAX(K490/J490,0),1),MIN(MAX(J490/K490,0),1))),"")</f>
        <v>0.98525000000000007</v>
      </c>
      <c r="N490" s="76" t="s">
        <v>25</v>
      </c>
      <c r="O490" s="76" t="s">
        <v>25</v>
      </c>
      <c r="P490" s="76">
        <v>0</v>
      </c>
      <c r="Q490" s="76">
        <v>0</v>
      </c>
      <c r="R490" s="76" t="s">
        <v>1864</v>
      </c>
      <c r="S490" s="76"/>
    </row>
    <row r="491" spans="1:19" x14ac:dyDescent="0.3">
      <c r="A491" s="37">
        <v>374</v>
      </c>
      <c r="B491" s="37" t="s">
        <v>1869</v>
      </c>
      <c r="C491" s="37" t="s">
        <v>1801</v>
      </c>
      <c r="D491" s="37" t="s">
        <v>21</v>
      </c>
      <c r="E491" s="37" t="s">
        <v>22</v>
      </c>
      <c r="F491" s="42">
        <v>45291</v>
      </c>
      <c r="G491" s="37">
        <v>2023</v>
      </c>
      <c r="H491" s="37" t="s">
        <v>27</v>
      </c>
      <c r="I491" s="39" t="s">
        <v>32</v>
      </c>
      <c r="J491" s="37">
        <v>100</v>
      </c>
      <c r="K491" s="37">
        <v>100</v>
      </c>
      <c r="L491" s="65">
        <f t="shared" ref="L491:L519" si="62">IFERROR(IF(OR(J491=0,K491=""),"",IF(E491="Positivo",MIN(MAX(K491/J491,0),1.3),MIN(MAX(J491/K491,0),1.3))),"")</f>
        <v>1</v>
      </c>
      <c r="M491" s="65">
        <f t="shared" ref="M491:M519" si="63">IFERROR(IF(OR(J491=0,K491=""),"",IF(E491="Positivo",MAX(K491/J491,0),MAX(J491/K491,0))),"")</f>
        <v>1</v>
      </c>
      <c r="N491" s="37" t="s">
        <v>203</v>
      </c>
      <c r="O491" s="37" t="s">
        <v>203</v>
      </c>
      <c r="P491" s="37">
        <v>0</v>
      </c>
      <c r="Q491" s="37">
        <v>0</v>
      </c>
      <c r="R491" s="37" t="s">
        <v>1870</v>
      </c>
      <c r="S491" s="37"/>
    </row>
    <row r="492" spans="1:19" x14ac:dyDescent="0.3">
      <c r="A492" s="76">
        <v>375</v>
      </c>
      <c r="B492" s="76" t="s">
        <v>1871</v>
      </c>
      <c r="C492" s="76" t="s">
        <v>1801</v>
      </c>
      <c r="D492" s="76" t="s">
        <v>21</v>
      </c>
      <c r="E492" s="76" t="s">
        <v>22</v>
      </c>
      <c r="F492" s="77">
        <v>45291</v>
      </c>
      <c r="G492" s="76">
        <v>2023</v>
      </c>
      <c r="H492" s="76" t="s">
        <v>27</v>
      </c>
      <c r="I492" s="76" t="s">
        <v>32</v>
      </c>
      <c r="J492" s="76">
        <v>100</v>
      </c>
      <c r="K492" s="76">
        <v>50</v>
      </c>
      <c r="L492" s="78">
        <f t="shared" si="62"/>
        <v>0.5</v>
      </c>
      <c r="M492" s="78">
        <f t="shared" si="63"/>
        <v>0.5</v>
      </c>
      <c r="N492" s="76" t="s">
        <v>25</v>
      </c>
      <c r="O492" s="76" t="s">
        <v>25</v>
      </c>
      <c r="P492" s="76">
        <v>0</v>
      </c>
      <c r="Q492" s="76">
        <v>0</v>
      </c>
      <c r="R492" s="76" t="s">
        <v>1873</v>
      </c>
      <c r="S492" s="76"/>
    </row>
    <row r="493" spans="1:19" x14ac:dyDescent="0.3">
      <c r="A493" s="76">
        <v>375</v>
      </c>
      <c r="B493" s="76" t="s">
        <v>1871</v>
      </c>
      <c r="C493" s="76" t="s">
        <v>1801</v>
      </c>
      <c r="D493" s="76" t="s">
        <v>21</v>
      </c>
      <c r="E493" s="76" t="s">
        <v>22</v>
      </c>
      <c r="F493" s="77">
        <v>45657</v>
      </c>
      <c r="G493" s="76">
        <v>2024</v>
      </c>
      <c r="H493" s="76" t="s">
        <v>27</v>
      </c>
      <c r="I493" s="76" t="s">
        <v>36</v>
      </c>
      <c r="J493" s="76">
        <v>100</v>
      </c>
      <c r="K493" s="76">
        <v>100</v>
      </c>
      <c r="L493" s="78">
        <f t="shared" si="62"/>
        <v>1</v>
      </c>
      <c r="M493" s="78">
        <f t="shared" si="63"/>
        <v>1</v>
      </c>
      <c r="N493" s="76" t="s">
        <v>25</v>
      </c>
      <c r="O493" s="76" t="s">
        <v>25</v>
      </c>
      <c r="P493" s="76">
        <v>0</v>
      </c>
      <c r="Q493" s="76">
        <v>0</v>
      </c>
      <c r="R493" s="76" t="s">
        <v>1875</v>
      </c>
      <c r="S493" s="76"/>
    </row>
    <row r="494" spans="1:19" x14ac:dyDescent="0.3">
      <c r="A494" s="76">
        <v>376</v>
      </c>
      <c r="B494" s="76" t="s">
        <v>1882</v>
      </c>
      <c r="C494" s="76" t="s">
        <v>210</v>
      </c>
      <c r="D494" s="76" t="s">
        <v>21</v>
      </c>
      <c r="E494" s="76" t="s">
        <v>22</v>
      </c>
      <c r="F494" s="77">
        <v>45291</v>
      </c>
      <c r="G494" s="76">
        <v>2023</v>
      </c>
      <c r="H494" s="76" t="s">
        <v>27</v>
      </c>
      <c r="I494" s="76" t="s">
        <v>32</v>
      </c>
      <c r="J494" s="76">
        <v>26073472703</v>
      </c>
      <c r="K494" s="76">
        <v>26403087926</v>
      </c>
      <c r="L494" s="78">
        <f t="shared" si="62"/>
        <v>1.0126417844970101</v>
      </c>
      <c r="M494" s="78">
        <f t="shared" si="63"/>
        <v>1.0126417844970101</v>
      </c>
      <c r="N494" s="76" t="s">
        <v>25</v>
      </c>
      <c r="O494" s="76" t="s">
        <v>25</v>
      </c>
      <c r="P494" s="76">
        <v>0</v>
      </c>
      <c r="Q494" s="76">
        <v>0</v>
      </c>
      <c r="R494" s="76" t="s">
        <v>1880</v>
      </c>
      <c r="S494" s="76"/>
    </row>
    <row r="495" spans="1:19" x14ac:dyDescent="0.3">
      <c r="A495" s="76">
        <v>376</v>
      </c>
      <c r="B495" s="76" t="s">
        <v>1882</v>
      </c>
      <c r="C495" s="76" t="s">
        <v>210</v>
      </c>
      <c r="D495" s="76" t="s">
        <v>21</v>
      </c>
      <c r="E495" s="76" t="s">
        <v>22</v>
      </c>
      <c r="F495" s="77">
        <v>45657</v>
      </c>
      <c r="G495" s="76">
        <v>2024</v>
      </c>
      <c r="H495" s="76" t="s">
        <v>27</v>
      </c>
      <c r="I495" s="76" t="s">
        <v>36</v>
      </c>
      <c r="J495" s="76">
        <v>27010108281</v>
      </c>
      <c r="K495" s="76">
        <v>29467922112</v>
      </c>
      <c r="L495" s="78">
        <f t="shared" si="62"/>
        <v>1.090996074707665</v>
      </c>
      <c r="M495" s="78">
        <f t="shared" si="63"/>
        <v>1.090996074707665</v>
      </c>
      <c r="N495" s="76" t="s">
        <v>25</v>
      </c>
      <c r="O495" s="76" t="s">
        <v>25</v>
      </c>
      <c r="P495" s="76">
        <v>0</v>
      </c>
      <c r="Q495" s="76">
        <v>0</v>
      </c>
      <c r="R495" s="76" t="s">
        <v>1883</v>
      </c>
      <c r="S495" s="76"/>
    </row>
    <row r="496" spans="1:19" x14ac:dyDescent="0.3">
      <c r="A496" s="76">
        <v>377</v>
      </c>
      <c r="B496" s="76" t="s">
        <v>1884</v>
      </c>
      <c r="C496" s="76" t="s">
        <v>210</v>
      </c>
      <c r="D496" s="76" t="s">
        <v>21</v>
      </c>
      <c r="E496" s="76" t="s">
        <v>22</v>
      </c>
      <c r="F496" s="77">
        <v>45291</v>
      </c>
      <c r="G496" s="76">
        <v>2023</v>
      </c>
      <c r="H496" s="76" t="s">
        <v>27</v>
      </c>
      <c r="I496" s="76" t="s">
        <v>32</v>
      </c>
      <c r="J496" s="76">
        <v>12518005307</v>
      </c>
      <c r="K496" s="76">
        <v>7607138419</v>
      </c>
      <c r="L496" s="78">
        <f t="shared" si="62"/>
        <v>0.60769573366022855</v>
      </c>
      <c r="M496" s="78">
        <f t="shared" si="63"/>
        <v>0.60769573366022855</v>
      </c>
      <c r="N496" s="76" t="s">
        <v>25</v>
      </c>
      <c r="O496" s="76" t="s">
        <v>25</v>
      </c>
      <c r="P496" s="76">
        <v>0</v>
      </c>
      <c r="Q496" s="76">
        <v>0</v>
      </c>
      <c r="R496" s="76" t="s">
        <v>1886</v>
      </c>
      <c r="S496" s="76"/>
    </row>
    <row r="497" spans="1:19" x14ac:dyDescent="0.3">
      <c r="A497" s="76">
        <v>377</v>
      </c>
      <c r="B497" s="76" t="s">
        <v>1884</v>
      </c>
      <c r="C497" s="76" t="s">
        <v>210</v>
      </c>
      <c r="D497" s="76" t="s">
        <v>21</v>
      </c>
      <c r="E497" s="76" t="s">
        <v>22</v>
      </c>
      <c r="F497" s="77">
        <v>45657</v>
      </c>
      <c r="G497" s="76">
        <v>2024</v>
      </c>
      <c r="H497" s="76" t="s">
        <v>27</v>
      </c>
      <c r="I497" s="76" t="s">
        <v>36</v>
      </c>
      <c r="J497" s="76">
        <v>9557195011</v>
      </c>
      <c r="K497" s="76">
        <v>11947626618</v>
      </c>
      <c r="L497" s="78">
        <f t="shared" si="62"/>
        <v>1.2501185341775172</v>
      </c>
      <c r="M497" s="78">
        <f t="shared" si="63"/>
        <v>1.2501185341775172</v>
      </c>
      <c r="N497" s="76" t="s">
        <v>25</v>
      </c>
      <c r="O497" s="76" t="s">
        <v>25</v>
      </c>
      <c r="P497" s="76">
        <v>0</v>
      </c>
      <c r="Q497" s="76">
        <v>0</v>
      </c>
      <c r="R497" s="76" t="s">
        <v>1888</v>
      </c>
      <c r="S497" s="76"/>
    </row>
    <row r="498" spans="1:19" x14ac:dyDescent="0.3">
      <c r="A498" s="37">
        <v>378</v>
      </c>
      <c r="B498" s="37" t="s">
        <v>1889</v>
      </c>
      <c r="C498" s="37" t="s">
        <v>72</v>
      </c>
      <c r="D498" s="37" t="s">
        <v>73</v>
      </c>
      <c r="E498" s="37" t="s">
        <v>22</v>
      </c>
      <c r="F498" s="42">
        <v>45291</v>
      </c>
      <c r="G498" s="37">
        <v>2023</v>
      </c>
      <c r="H498" s="37" t="s">
        <v>27</v>
      </c>
      <c r="I498" s="39" t="s">
        <v>32</v>
      </c>
      <c r="J498" s="37">
        <v>92</v>
      </c>
      <c r="K498" s="37">
        <v>95.58</v>
      </c>
      <c r="L498" s="65">
        <f t="shared" si="62"/>
        <v>1.0389130434782607</v>
      </c>
      <c r="M498" s="65">
        <f t="shared" si="63"/>
        <v>1.0389130434782607</v>
      </c>
      <c r="N498" s="37" t="s">
        <v>25</v>
      </c>
      <c r="O498" s="37" t="s">
        <v>25</v>
      </c>
      <c r="P498" s="37">
        <v>0</v>
      </c>
      <c r="Q498" s="37">
        <v>0</v>
      </c>
      <c r="R498" s="37" t="s">
        <v>1901</v>
      </c>
      <c r="S498" s="37"/>
    </row>
    <row r="499" spans="1:19" x14ac:dyDescent="0.3">
      <c r="A499" s="37">
        <v>378</v>
      </c>
      <c r="B499" s="37" t="s">
        <v>1889</v>
      </c>
      <c r="C499" s="37" t="s">
        <v>72</v>
      </c>
      <c r="D499" s="37" t="s">
        <v>73</v>
      </c>
      <c r="E499" s="37" t="s">
        <v>22</v>
      </c>
      <c r="F499" s="42">
        <v>45657</v>
      </c>
      <c r="G499" s="37">
        <v>2024</v>
      </c>
      <c r="H499" s="37" t="s">
        <v>27</v>
      </c>
      <c r="I499" s="39" t="s">
        <v>36</v>
      </c>
      <c r="J499" s="37">
        <v>0</v>
      </c>
      <c r="K499" s="37">
        <v>0</v>
      </c>
      <c r="L499" s="65" t="str">
        <f t="shared" si="62"/>
        <v/>
      </c>
      <c r="M499" s="65" t="str">
        <f t="shared" si="63"/>
        <v/>
      </c>
      <c r="N499" s="37" t="s">
        <v>25</v>
      </c>
      <c r="O499" s="37" t="s">
        <v>25</v>
      </c>
      <c r="P499" s="37">
        <v>0</v>
      </c>
      <c r="Q499" s="37">
        <v>0</v>
      </c>
      <c r="R499" s="37" t="s">
        <v>1913</v>
      </c>
      <c r="S499" s="37"/>
    </row>
    <row r="500" spans="1:19" x14ac:dyDescent="0.3">
      <c r="A500" s="76">
        <v>379</v>
      </c>
      <c r="B500" s="76" t="s">
        <v>1914</v>
      </c>
      <c r="C500" s="76" t="s">
        <v>1915</v>
      </c>
      <c r="D500" s="76" t="s">
        <v>21</v>
      </c>
      <c r="E500" s="76" t="s">
        <v>22</v>
      </c>
      <c r="F500" s="77">
        <v>45291</v>
      </c>
      <c r="G500" s="76">
        <v>2023</v>
      </c>
      <c r="H500" s="76" t="s">
        <v>27</v>
      </c>
      <c r="I500" s="76" t="s">
        <v>32</v>
      </c>
      <c r="J500" s="76">
        <v>22006</v>
      </c>
      <c r="K500" s="76">
        <v>23191</v>
      </c>
      <c r="L500" s="78">
        <f t="shared" si="62"/>
        <v>1.0538489502862856</v>
      </c>
      <c r="M500" s="78">
        <f t="shared" si="63"/>
        <v>1.0538489502862856</v>
      </c>
      <c r="N500" s="76" t="s">
        <v>25</v>
      </c>
      <c r="O500" s="76" t="s">
        <v>25</v>
      </c>
      <c r="P500" s="76">
        <v>0</v>
      </c>
      <c r="Q500" s="76">
        <v>0</v>
      </c>
      <c r="R500" s="76" t="s">
        <v>1917</v>
      </c>
      <c r="S500" s="76"/>
    </row>
    <row r="501" spans="1:19" x14ac:dyDescent="0.3">
      <c r="A501" s="76">
        <v>379</v>
      </c>
      <c r="B501" s="76" t="s">
        <v>1914</v>
      </c>
      <c r="C501" s="76" t="s">
        <v>1915</v>
      </c>
      <c r="D501" s="76" t="s">
        <v>21</v>
      </c>
      <c r="E501" s="76" t="s">
        <v>22</v>
      </c>
      <c r="F501" s="77">
        <v>45657</v>
      </c>
      <c r="G501" s="76">
        <v>2024</v>
      </c>
      <c r="H501" s="76" t="s">
        <v>27</v>
      </c>
      <c r="I501" s="76" t="s">
        <v>36</v>
      </c>
      <c r="J501" s="76">
        <v>24265</v>
      </c>
      <c r="K501" s="76">
        <v>23636</v>
      </c>
      <c r="L501" s="78">
        <f t="shared" si="62"/>
        <v>0.97407788996497013</v>
      </c>
      <c r="M501" s="78">
        <f t="shared" si="63"/>
        <v>0.97407788996497013</v>
      </c>
      <c r="N501" s="76" t="s">
        <v>25</v>
      </c>
      <c r="O501" s="76" t="s">
        <v>25</v>
      </c>
      <c r="P501" s="76">
        <v>0</v>
      </c>
      <c r="Q501" s="76">
        <v>0</v>
      </c>
      <c r="R501" s="76" t="s">
        <v>1919</v>
      </c>
      <c r="S501" s="76"/>
    </row>
    <row r="502" spans="1:19" x14ac:dyDescent="0.3">
      <c r="A502" s="37">
        <v>380</v>
      </c>
      <c r="B502" s="37" t="s">
        <v>1920</v>
      </c>
      <c r="C502" s="37" t="s">
        <v>1915</v>
      </c>
      <c r="D502" s="37" t="s">
        <v>21</v>
      </c>
      <c r="E502" s="37" t="s">
        <v>22</v>
      </c>
      <c r="F502" s="42">
        <v>45291</v>
      </c>
      <c r="G502" s="37">
        <v>2023</v>
      </c>
      <c r="H502" s="37" t="s">
        <v>27</v>
      </c>
      <c r="I502" s="39" t="s">
        <v>32</v>
      </c>
      <c r="J502" s="56">
        <v>49384.117102999997</v>
      </c>
      <c r="K502" s="56">
        <v>51094.632052000001</v>
      </c>
      <c r="L502" s="65">
        <f t="shared" si="62"/>
        <v>1.0346369450208535</v>
      </c>
      <c r="M502" s="65">
        <f t="shared" si="63"/>
        <v>1.0346369450208535</v>
      </c>
      <c r="N502" s="37" t="s">
        <v>264</v>
      </c>
      <c r="O502" s="37" t="s">
        <v>264</v>
      </c>
      <c r="P502" s="37">
        <v>0</v>
      </c>
      <c r="Q502" s="37">
        <v>0</v>
      </c>
      <c r="R502" s="37" t="s">
        <v>1922</v>
      </c>
      <c r="S502" s="37"/>
    </row>
    <row r="503" spans="1:19" x14ac:dyDescent="0.3">
      <c r="A503" s="37">
        <v>380</v>
      </c>
      <c r="B503" s="37" t="s">
        <v>1920</v>
      </c>
      <c r="C503" s="37" t="s">
        <v>1915</v>
      </c>
      <c r="D503" s="37" t="s">
        <v>21</v>
      </c>
      <c r="E503" s="37" t="s">
        <v>22</v>
      </c>
      <c r="F503" s="42">
        <v>45657</v>
      </c>
      <c r="G503" s="37">
        <v>2024</v>
      </c>
      <c r="H503" s="37" t="s">
        <v>27</v>
      </c>
      <c r="I503" s="39" t="s">
        <v>36</v>
      </c>
      <c r="J503" s="37">
        <v>100</v>
      </c>
      <c r="K503" s="37">
        <v>78.92</v>
      </c>
      <c r="L503" s="65">
        <f t="shared" si="62"/>
        <v>0.78920000000000001</v>
      </c>
      <c r="M503" s="65">
        <f t="shared" si="63"/>
        <v>0.78920000000000001</v>
      </c>
      <c r="N503" s="37" t="s">
        <v>25</v>
      </c>
      <c r="O503" s="37" t="s">
        <v>25</v>
      </c>
      <c r="P503" s="37">
        <v>0</v>
      </c>
      <c r="Q503" s="37">
        <v>0</v>
      </c>
      <c r="R503" s="37" t="s">
        <v>1924</v>
      </c>
      <c r="S503" s="37"/>
    </row>
    <row r="504" spans="1:19" x14ac:dyDescent="0.3">
      <c r="A504" s="76">
        <v>381</v>
      </c>
      <c r="B504" s="76" t="s">
        <v>1925</v>
      </c>
      <c r="C504" s="76" t="s">
        <v>1915</v>
      </c>
      <c r="D504" s="76" t="s">
        <v>21</v>
      </c>
      <c r="E504" s="76" t="s">
        <v>22</v>
      </c>
      <c r="F504" s="77">
        <v>45291</v>
      </c>
      <c r="G504" s="76">
        <v>2023</v>
      </c>
      <c r="H504" s="76" t="s">
        <v>27</v>
      </c>
      <c r="I504" s="76" t="s">
        <v>32</v>
      </c>
      <c r="J504" s="76">
        <v>2596</v>
      </c>
      <c r="K504" s="76">
        <v>2817</v>
      </c>
      <c r="L504" s="78">
        <f t="shared" si="62"/>
        <v>1.085130970724191</v>
      </c>
      <c r="M504" s="78">
        <f t="shared" si="63"/>
        <v>1.085130970724191</v>
      </c>
      <c r="N504" s="76" t="s">
        <v>25</v>
      </c>
      <c r="O504" s="76" t="s">
        <v>25</v>
      </c>
      <c r="P504" s="76">
        <v>0</v>
      </c>
      <c r="Q504" s="76">
        <v>0</v>
      </c>
      <c r="R504" s="76" t="s">
        <v>1927</v>
      </c>
      <c r="S504" s="76"/>
    </row>
    <row r="505" spans="1:19" x14ac:dyDescent="0.3">
      <c r="A505" s="76">
        <v>381</v>
      </c>
      <c r="B505" s="76" t="s">
        <v>1925</v>
      </c>
      <c r="C505" s="76" t="s">
        <v>1915</v>
      </c>
      <c r="D505" s="76" t="s">
        <v>21</v>
      </c>
      <c r="E505" s="76" t="s">
        <v>22</v>
      </c>
      <c r="F505" s="77">
        <v>45657</v>
      </c>
      <c r="G505" s="76">
        <v>2024</v>
      </c>
      <c r="H505" s="76" t="s">
        <v>27</v>
      </c>
      <c r="I505" s="76" t="s">
        <v>36</v>
      </c>
      <c r="J505" s="76">
        <v>2583</v>
      </c>
      <c r="K505" s="76">
        <v>2542</v>
      </c>
      <c r="L505" s="78">
        <f t="shared" si="62"/>
        <v>0.98412698412698407</v>
      </c>
      <c r="M505" s="78">
        <f t="shared" si="63"/>
        <v>0.98412698412698407</v>
      </c>
      <c r="N505" s="76" t="s">
        <v>25</v>
      </c>
      <c r="O505" s="76" t="s">
        <v>25</v>
      </c>
      <c r="P505" s="76">
        <v>0</v>
      </c>
      <c r="Q505" s="76">
        <v>0</v>
      </c>
      <c r="R505" s="76" t="s">
        <v>1929</v>
      </c>
      <c r="S505" s="76"/>
    </row>
    <row r="506" spans="1:19" x14ac:dyDescent="0.3">
      <c r="A506" s="76">
        <v>382</v>
      </c>
      <c r="B506" s="76" t="s">
        <v>1930</v>
      </c>
      <c r="C506" s="76" t="s">
        <v>1915</v>
      </c>
      <c r="D506" s="76" t="s">
        <v>21</v>
      </c>
      <c r="E506" s="76" t="s">
        <v>22</v>
      </c>
      <c r="F506" s="77">
        <v>45291</v>
      </c>
      <c r="G506" s="76">
        <v>2023</v>
      </c>
      <c r="H506" s="76" t="s">
        <v>27</v>
      </c>
      <c r="I506" s="76" t="s">
        <v>32</v>
      </c>
      <c r="J506" s="76">
        <v>16733</v>
      </c>
      <c r="K506" s="76">
        <v>17076</v>
      </c>
      <c r="L506" s="78">
        <f t="shared" si="62"/>
        <v>1.0204984163031137</v>
      </c>
      <c r="M506" s="78">
        <f t="shared" si="63"/>
        <v>1.0204984163031137</v>
      </c>
      <c r="N506" s="76" t="s">
        <v>25</v>
      </c>
      <c r="O506" s="76" t="s">
        <v>25</v>
      </c>
      <c r="P506" s="76">
        <v>0</v>
      </c>
      <c r="Q506" s="76">
        <v>0</v>
      </c>
      <c r="R506" s="76" t="s">
        <v>1932</v>
      </c>
      <c r="S506" s="76"/>
    </row>
    <row r="507" spans="1:19" x14ac:dyDescent="0.3">
      <c r="A507" s="76">
        <v>382</v>
      </c>
      <c r="B507" s="76" t="s">
        <v>1930</v>
      </c>
      <c r="C507" s="76" t="s">
        <v>1915</v>
      </c>
      <c r="D507" s="76" t="s">
        <v>21</v>
      </c>
      <c r="E507" s="76" t="s">
        <v>22</v>
      </c>
      <c r="F507" s="77">
        <v>45657</v>
      </c>
      <c r="G507" s="76">
        <v>2024</v>
      </c>
      <c r="H507" s="76" t="s">
        <v>27</v>
      </c>
      <c r="I507" s="76" t="s">
        <v>36</v>
      </c>
      <c r="J507" s="76">
        <v>18440</v>
      </c>
      <c r="K507" s="76">
        <v>17642</v>
      </c>
      <c r="L507" s="78">
        <f t="shared" si="62"/>
        <v>0.95672451193058572</v>
      </c>
      <c r="M507" s="78">
        <f t="shared" si="63"/>
        <v>0.95672451193058572</v>
      </c>
      <c r="N507" s="76" t="s">
        <v>25</v>
      </c>
      <c r="O507" s="76" t="s">
        <v>25</v>
      </c>
      <c r="P507" s="76">
        <v>0</v>
      </c>
      <c r="Q507" s="76">
        <v>0</v>
      </c>
      <c r="R507" s="76" t="s">
        <v>1934</v>
      </c>
      <c r="S507" s="76"/>
    </row>
    <row r="508" spans="1:19" x14ac:dyDescent="0.3">
      <c r="A508" s="76">
        <v>383</v>
      </c>
      <c r="B508" s="76" t="s">
        <v>1935</v>
      </c>
      <c r="C508" s="76" t="s">
        <v>1915</v>
      </c>
      <c r="D508" s="76" t="s">
        <v>21</v>
      </c>
      <c r="E508" s="76" t="s">
        <v>22</v>
      </c>
      <c r="F508" s="77">
        <v>45291</v>
      </c>
      <c r="G508" s="76">
        <v>2023</v>
      </c>
      <c r="H508" s="76" t="s">
        <v>27</v>
      </c>
      <c r="I508" s="76" t="s">
        <v>32</v>
      </c>
      <c r="J508" s="76">
        <v>2175</v>
      </c>
      <c r="K508" s="76">
        <v>2731</v>
      </c>
      <c r="L508" s="78">
        <f t="shared" si="62"/>
        <v>1.255632183908046</v>
      </c>
      <c r="M508" s="78">
        <f t="shared" si="63"/>
        <v>1.255632183908046</v>
      </c>
      <c r="N508" s="76" t="s">
        <v>25</v>
      </c>
      <c r="O508" s="76" t="s">
        <v>25</v>
      </c>
      <c r="P508" s="76">
        <v>0</v>
      </c>
      <c r="Q508" s="76">
        <v>0</v>
      </c>
      <c r="R508" s="76" t="s">
        <v>1937</v>
      </c>
      <c r="S508" s="76"/>
    </row>
    <row r="509" spans="1:19" x14ac:dyDescent="0.3">
      <c r="A509" s="76">
        <v>383</v>
      </c>
      <c r="B509" s="76" t="s">
        <v>1935</v>
      </c>
      <c r="C509" s="76" t="s">
        <v>1915</v>
      </c>
      <c r="D509" s="76" t="s">
        <v>21</v>
      </c>
      <c r="E509" s="76" t="s">
        <v>22</v>
      </c>
      <c r="F509" s="77">
        <v>45657</v>
      </c>
      <c r="G509" s="76">
        <v>2024</v>
      </c>
      <c r="H509" s="76" t="s">
        <v>27</v>
      </c>
      <c r="I509" s="76" t="s">
        <v>36</v>
      </c>
      <c r="J509" s="76">
        <v>2631</v>
      </c>
      <c r="K509" s="76">
        <v>2863</v>
      </c>
      <c r="L509" s="78">
        <f t="shared" si="62"/>
        <v>1.088179399467883</v>
      </c>
      <c r="M509" s="78">
        <f t="shared" si="63"/>
        <v>1.088179399467883</v>
      </c>
      <c r="N509" s="76" t="s">
        <v>25</v>
      </c>
      <c r="O509" s="76" t="s">
        <v>25</v>
      </c>
      <c r="P509" s="76">
        <v>0</v>
      </c>
      <c r="Q509" s="76">
        <v>0</v>
      </c>
      <c r="R509" s="76" t="s">
        <v>1939</v>
      </c>
      <c r="S509" s="76"/>
    </row>
    <row r="510" spans="1:19" x14ac:dyDescent="0.3">
      <c r="A510" s="76">
        <v>384</v>
      </c>
      <c r="B510" s="76" t="s">
        <v>1940</v>
      </c>
      <c r="C510" s="76" t="s">
        <v>1915</v>
      </c>
      <c r="D510" s="76" t="s">
        <v>21</v>
      </c>
      <c r="E510" s="76" t="s">
        <v>22</v>
      </c>
      <c r="F510" s="77">
        <v>45291</v>
      </c>
      <c r="G510" s="76">
        <v>2023</v>
      </c>
      <c r="H510" s="76" t="s">
        <v>27</v>
      </c>
      <c r="I510" s="76" t="s">
        <v>32</v>
      </c>
      <c r="J510" s="76">
        <v>501</v>
      </c>
      <c r="K510" s="76">
        <v>567</v>
      </c>
      <c r="L510" s="78">
        <f t="shared" si="62"/>
        <v>1.1317365269461077</v>
      </c>
      <c r="M510" s="78">
        <f t="shared" si="63"/>
        <v>1.1317365269461077</v>
      </c>
      <c r="N510" s="76" t="s">
        <v>25</v>
      </c>
      <c r="O510" s="76" t="s">
        <v>25</v>
      </c>
      <c r="P510" s="76">
        <v>0</v>
      </c>
      <c r="Q510" s="76">
        <v>0</v>
      </c>
      <c r="R510" s="76" t="s">
        <v>1942</v>
      </c>
      <c r="S510" s="76"/>
    </row>
    <row r="511" spans="1:19" x14ac:dyDescent="0.3">
      <c r="A511" s="76">
        <v>384</v>
      </c>
      <c r="B511" s="76" t="s">
        <v>1940</v>
      </c>
      <c r="C511" s="76" t="s">
        <v>1915</v>
      </c>
      <c r="D511" s="76" t="s">
        <v>21</v>
      </c>
      <c r="E511" s="76" t="s">
        <v>22</v>
      </c>
      <c r="F511" s="77">
        <v>45657</v>
      </c>
      <c r="G511" s="76">
        <v>2024</v>
      </c>
      <c r="H511" s="76" t="s">
        <v>27</v>
      </c>
      <c r="I511" s="76" t="s">
        <v>36</v>
      </c>
      <c r="J511" s="76">
        <v>611</v>
      </c>
      <c r="K511" s="76">
        <v>589</v>
      </c>
      <c r="L511" s="78">
        <f t="shared" si="62"/>
        <v>0.96399345335515552</v>
      </c>
      <c r="M511" s="78">
        <f t="shared" si="63"/>
        <v>0.96399345335515552</v>
      </c>
      <c r="N511" s="76" t="s">
        <v>25</v>
      </c>
      <c r="O511" s="76" t="s">
        <v>25</v>
      </c>
      <c r="P511" s="76">
        <v>0</v>
      </c>
      <c r="Q511" s="76">
        <v>0</v>
      </c>
      <c r="R511" s="76" t="s">
        <v>1944</v>
      </c>
      <c r="S511" s="76"/>
    </row>
    <row r="512" spans="1:19" x14ac:dyDescent="0.3">
      <c r="A512" s="76">
        <v>385</v>
      </c>
      <c r="B512" s="76" t="s">
        <v>1945</v>
      </c>
      <c r="C512" s="76" t="s">
        <v>1946</v>
      </c>
      <c r="D512" s="76" t="s">
        <v>21</v>
      </c>
      <c r="E512" s="76" t="s">
        <v>22</v>
      </c>
      <c r="F512" s="77">
        <v>45291</v>
      </c>
      <c r="G512" s="76">
        <v>2023</v>
      </c>
      <c r="H512" s="76" t="s">
        <v>27</v>
      </c>
      <c r="I512" s="76" t="s">
        <v>32</v>
      </c>
      <c r="J512" s="76">
        <v>14097721000</v>
      </c>
      <c r="K512" s="76">
        <v>17612977930</v>
      </c>
      <c r="L512" s="78">
        <f t="shared" si="62"/>
        <v>1.2493493047564213</v>
      </c>
      <c r="M512" s="78">
        <f t="shared" si="63"/>
        <v>1.2493493047564213</v>
      </c>
      <c r="N512" s="76" t="s">
        <v>25</v>
      </c>
      <c r="O512" s="76" t="s">
        <v>25</v>
      </c>
      <c r="P512" s="76">
        <v>0</v>
      </c>
      <c r="Q512" s="76">
        <v>0</v>
      </c>
      <c r="R512" s="76" t="s">
        <v>1948</v>
      </c>
      <c r="S512" s="76"/>
    </row>
    <row r="513" spans="1:19" x14ac:dyDescent="0.3">
      <c r="A513" s="76">
        <v>385</v>
      </c>
      <c r="B513" s="76" t="s">
        <v>1945</v>
      </c>
      <c r="C513" s="76" t="s">
        <v>1946</v>
      </c>
      <c r="D513" s="76" t="s">
        <v>21</v>
      </c>
      <c r="E513" s="76" t="s">
        <v>22</v>
      </c>
      <c r="F513" s="77">
        <v>45657</v>
      </c>
      <c r="G513" s="76">
        <v>2024</v>
      </c>
      <c r="H513" s="76" t="s">
        <v>27</v>
      </c>
      <c r="I513" s="76" t="s">
        <v>36</v>
      </c>
      <c r="J513" s="76">
        <v>15507493100</v>
      </c>
      <c r="K513" s="76">
        <v>13733393754</v>
      </c>
      <c r="L513" s="78">
        <f t="shared" si="62"/>
        <v>0.88559728290319217</v>
      </c>
      <c r="M513" s="78">
        <f t="shared" si="63"/>
        <v>0.88559728290319217</v>
      </c>
      <c r="N513" s="76" t="s">
        <v>25</v>
      </c>
      <c r="O513" s="76" t="s">
        <v>25</v>
      </c>
      <c r="P513" s="76">
        <v>0</v>
      </c>
      <c r="Q513" s="76">
        <v>0</v>
      </c>
      <c r="R513" s="76" t="s">
        <v>1950</v>
      </c>
      <c r="S513" s="76"/>
    </row>
    <row r="514" spans="1:19" x14ac:dyDescent="0.3">
      <c r="A514" s="76">
        <v>386</v>
      </c>
      <c r="B514" s="76" t="s">
        <v>1951</v>
      </c>
      <c r="C514" s="76" t="s">
        <v>1946</v>
      </c>
      <c r="D514" s="76" t="s">
        <v>21</v>
      </c>
      <c r="E514" s="76" t="s">
        <v>22</v>
      </c>
      <c r="F514" s="77">
        <v>45291</v>
      </c>
      <c r="G514" s="76">
        <v>2023</v>
      </c>
      <c r="H514" s="76" t="s">
        <v>27</v>
      </c>
      <c r="I514" s="76" t="s">
        <v>32</v>
      </c>
      <c r="J514" s="76">
        <v>200</v>
      </c>
      <c r="K514" s="76">
        <v>241.20486566654</v>
      </c>
      <c r="L514" s="78">
        <f t="shared" si="62"/>
        <v>1.2060243283326999</v>
      </c>
      <c r="M514" s="78">
        <f t="shared" si="63"/>
        <v>1.2060243283326999</v>
      </c>
      <c r="N514" s="76" t="s">
        <v>25</v>
      </c>
      <c r="O514" s="76" t="s">
        <v>25</v>
      </c>
      <c r="P514" s="76">
        <v>0</v>
      </c>
      <c r="Q514" s="76">
        <v>0</v>
      </c>
      <c r="R514" s="76" t="s">
        <v>1953</v>
      </c>
      <c r="S514" s="76"/>
    </row>
    <row r="515" spans="1:19" x14ac:dyDescent="0.3">
      <c r="A515" s="76">
        <v>386</v>
      </c>
      <c r="B515" s="76" t="s">
        <v>1951</v>
      </c>
      <c r="C515" s="76" t="s">
        <v>1946</v>
      </c>
      <c r="D515" s="76" t="s">
        <v>21</v>
      </c>
      <c r="E515" s="76" t="s">
        <v>22</v>
      </c>
      <c r="F515" s="77">
        <v>45657</v>
      </c>
      <c r="G515" s="76">
        <v>2024</v>
      </c>
      <c r="H515" s="76" t="s">
        <v>27</v>
      </c>
      <c r="I515" s="76" t="s">
        <v>36</v>
      </c>
      <c r="J515" s="76">
        <v>200</v>
      </c>
      <c r="K515" s="76">
        <v>188.64</v>
      </c>
      <c r="L515" s="78">
        <f t="shared" si="62"/>
        <v>0.94319999999999993</v>
      </c>
      <c r="M515" s="78">
        <f t="shared" si="63"/>
        <v>0.94319999999999993</v>
      </c>
      <c r="N515" s="76" t="s">
        <v>25</v>
      </c>
      <c r="O515" s="76" t="s">
        <v>25</v>
      </c>
      <c r="P515" s="76">
        <v>0</v>
      </c>
      <c r="Q515" s="76">
        <v>0</v>
      </c>
      <c r="R515" s="76" t="s">
        <v>1955</v>
      </c>
      <c r="S515" s="76"/>
    </row>
    <row r="516" spans="1:19" x14ac:dyDescent="0.3">
      <c r="A516" s="37">
        <v>387</v>
      </c>
      <c r="B516" s="37" t="s">
        <v>1958</v>
      </c>
      <c r="C516" s="37" t="s">
        <v>1234</v>
      </c>
      <c r="D516" s="37" t="s">
        <v>21</v>
      </c>
      <c r="E516" s="37" t="s">
        <v>22</v>
      </c>
      <c r="F516" s="42">
        <v>45291</v>
      </c>
      <c r="G516" s="37">
        <v>2023</v>
      </c>
      <c r="H516" s="37" t="s">
        <v>27</v>
      </c>
      <c r="I516" s="39" t="s">
        <v>32</v>
      </c>
      <c r="J516" s="37">
        <v>38</v>
      </c>
      <c r="K516" s="37">
        <v>38</v>
      </c>
      <c r="L516" s="65">
        <f t="shared" si="62"/>
        <v>1</v>
      </c>
      <c r="M516" s="65">
        <f t="shared" si="63"/>
        <v>1</v>
      </c>
      <c r="N516" s="37" t="s">
        <v>203</v>
      </c>
      <c r="O516" s="37" t="s">
        <v>203</v>
      </c>
      <c r="P516" s="37">
        <v>0</v>
      </c>
      <c r="Q516" s="37">
        <v>0</v>
      </c>
      <c r="R516" s="37" t="s">
        <v>1960</v>
      </c>
      <c r="S516" s="37"/>
    </row>
    <row r="517" spans="1:19" x14ac:dyDescent="0.3">
      <c r="A517" s="37">
        <v>388</v>
      </c>
      <c r="B517" s="37" t="s">
        <v>1961</v>
      </c>
      <c r="C517" s="37" t="s">
        <v>1234</v>
      </c>
      <c r="D517" s="37" t="s">
        <v>21</v>
      </c>
      <c r="E517" s="37" t="s">
        <v>22</v>
      </c>
      <c r="F517" s="42">
        <v>45291</v>
      </c>
      <c r="G517" s="37">
        <v>2023</v>
      </c>
      <c r="H517" s="37" t="s">
        <v>27</v>
      </c>
      <c r="I517" s="39" t="s">
        <v>32</v>
      </c>
      <c r="J517" s="37">
        <v>93</v>
      </c>
      <c r="K517" s="37">
        <v>93</v>
      </c>
      <c r="L517" s="65">
        <f t="shared" si="62"/>
        <v>1</v>
      </c>
      <c r="M517" s="65">
        <f t="shared" si="63"/>
        <v>1</v>
      </c>
      <c r="N517" s="37" t="s">
        <v>203</v>
      </c>
      <c r="O517" s="37" t="s">
        <v>203</v>
      </c>
      <c r="P517" s="37">
        <v>0</v>
      </c>
      <c r="Q517" s="37">
        <v>0</v>
      </c>
      <c r="R517" s="37" t="s">
        <v>1963</v>
      </c>
      <c r="S517" s="37"/>
    </row>
    <row r="518" spans="1:19" x14ac:dyDescent="0.3">
      <c r="A518" s="76">
        <v>389</v>
      </c>
      <c r="B518" s="76" t="s">
        <v>1964</v>
      </c>
      <c r="C518" s="76" t="s">
        <v>1969</v>
      </c>
      <c r="D518" s="76" t="s">
        <v>21</v>
      </c>
      <c r="E518" s="76" t="s">
        <v>22</v>
      </c>
      <c r="F518" s="77">
        <v>45291</v>
      </c>
      <c r="G518" s="76">
        <v>2023</v>
      </c>
      <c r="H518" s="76" t="s">
        <v>27</v>
      </c>
      <c r="I518" s="76" t="s">
        <v>32</v>
      </c>
      <c r="J518" s="76">
        <v>91</v>
      </c>
      <c r="K518" s="76">
        <v>0</v>
      </c>
      <c r="L518" s="78">
        <f t="shared" si="62"/>
        <v>0</v>
      </c>
      <c r="M518" s="78">
        <f t="shared" si="63"/>
        <v>0</v>
      </c>
      <c r="N518" s="76" t="s">
        <v>25</v>
      </c>
      <c r="O518" s="76" t="s">
        <v>25</v>
      </c>
      <c r="P518" s="76">
        <v>0</v>
      </c>
      <c r="Q518" s="76">
        <v>0</v>
      </c>
      <c r="R518" s="76" t="s">
        <v>1966</v>
      </c>
      <c r="S518" s="76"/>
    </row>
    <row r="519" spans="1:19" x14ac:dyDescent="0.3">
      <c r="A519" s="76">
        <v>389</v>
      </c>
      <c r="B519" s="76" t="s">
        <v>1964</v>
      </c>
      <c r="C519" s="76" t="s">
        <v>1969</v>
      </c>
      <c r="D519" s="76" t="s">
        <v>21</v>
      </c>
      <c r="E519" s="76" t="s">
        <v>22</v>
      </c>
      <c r="F519" s="77">
        <v>45657</v>
      </c>
      <c r="G519" s="76">
        <v>2024</v>
      </c>
      <c r="H519" s="76" t="s">
        <v>27</v>
      </c>
      <c r="I519" s="76" t="s">
        <v>36</v>
      </c>
      <c r="J519" s="76">
        <v>85</v>
      </c>
      <c r="K519" s="76">
        <v>42.216666666666661</v>
      </c>
      <c r="L519" s="78">
        <f t="shared" si="62"/>
        <v>0.49666666666666659</v>
      </c>
      <c r="M519" s="78">
        <f t="shared" si="63"/>
        <v>0.49666666666666659</v>
      </c>
      <c r="N519" s="76" t="s">
        <v>25</v>
      </c>
      <c r="O519" s="76" t="s">
        <v>25</v>
      </c>
      <c r="P519" s="76">
        <v>0</v>
      </c>
      <c r="Q519" s="76">
        <v>0</v>
      </c>
      <c r="R519" s="76" t="s">
        <v>1968</v>
      </c>
      <c r="S519" s="76"/>
    </row>
    <row r="520" spans="1:19" x14ac:dyDescent="0.3">
      <c r="A520" s="76">
        <v>390</v>
      </c>
      <c r="B520" s="76" t="s">
        <v>1970</v>
      </c>
      <c r="C520" s="76" t="s">
        <v>1263</v>
      </c>
      <c r="D520" s="76" t="s">
        <v>39</v>
      </c>
      <c r="E520" s="76" t="s">
        <v>22</v>
      </c>
      <c r="F520" s="77">
        <v>45291</v>
      </c>
      <c r="G520" s="76">
        <v>2023</v>
      </c>
      <c r="H520" s="76" t="s">
        <v>27</v>
      </c>
      <c r="I520" s="76" t="s">
        <v>32</v>
      </c>
      <c r="J520" s="76">
        <v>100</v>
      </c>
      <c r="K520" s="76">
        <v>99.249166666666994</v>
      </c>
      <c r="L520" s="78">
        <f>IFERROR(IF(OR(J520=0,K520=""),"",IF(E520="Positivo",MIN(MAX(K520/J520,0),1),MIN(MAX(J520/K520,0),1))),"")</f>
        <v>0.99249166666666999</v>
      </c>
      <c r="M520" s="78">
        <f>IFERROR(IF(OR(J520=0,K520=""),"",IF(E520="Positivo",MIN(MAX(K520/J520,0),1),MIN(MAX(J520/K520,0),1))),"")</f>
        <v>0.99249166666666999</v>
      </c>
      <c r="N520" s="76" t="s">
        <v>25</v>
      </c>
      <c r="O520" s="76" t="s">
        <v>25</v>
      </c>
      <c r="P520" s="76">
        <v>0</v>
      </c>
      <c r="Q520" s="76">
        <v>0</v>
      </c>
      <c r="R520" s="76" t="s">
        <v>1974</v>
      </c>
      <c r="S520" s="76"/>
    </row>
    <row r="521" spans="1:19" x14ac:dyDescent="0.3">
      <c r="A521" s="76">
        <v>390</v>
      </c>
      <c r="B521" s="76" t="s">
        <v>1970</v>
      </c>
      <c r="C521" s="76" t="s">
        <v>1263</v>
      </c>
      <c r="D521" s="76" t="s">
        <v>39</v>
      </c>
      <c r="E521" s="76" t="s">
        <v>22</v>
      </c>
      <c r="F521" s="77">
        <v>45657</v>
      </c>
      <c r="G521" s="76">
        <v>2024</v>
      </c>
      <c r="H521" s="76" t="s">
        <v>27</v>
      </c>
      <c r="I521" s="76" t="s">
        <v>36</v>
      </c>
      <c r="J521" s="76">
        <v>100</v>
      </c>
      <c r="K521" s="76">
        <v>99.92</v>
      </c>
      <c r="L521" s="78">
        <f>IFERROR(IF(OR(J521=0,K521=""),"",IF(E521="Positivo",MIN(MAX(K521/J521,0),1),MIN(MAX(J521/K521,0),1))),"")</f>
        <v>0.99919999999999998</v>
      </c>
      <c r="M521" s="78">
        <f>IFERROR(IF(OR(J521=0,K521=""),"",IF(E521="Positivo",MIN(MAX(K521/J521,0),1),MIN(MAX(J521/K521,0),1))),"")</f>
        <v>0.99919999999999998</v>
      </c>
      <c r="N521" s="76" t="s">
        <v>25</v>
      </c>
      <c r="O521" s="76" t="s">
        <v>25</v>
      </c>
      <c r="P521" s="76">
        <v>0</v>
      </c>
      <c r="Q521" s="76">
        <v>0</v>
      </c>
      <c r="R521" s="76" t="s">
        <v>1978</v>
      </c>
      <c r="S521" s="76"/>
    </row>
    <row r="522" spans="1:19" x14ac:dyDescent="0.3">
      <c r="A522" s="37">
        <v>391</v>
      </c>
      <c r="B522" s="37" t="s">
        <v>1983</v>
      </c>
      <c r="C522" s="37" t="s">
        <v>1984</v>
      </c>
      <c r="D522" s="37" t="s">
        <v>21</v>
      </c>
      <c r="E522" s="37" t="s">
        <v>22</v>
      </c>
      <c r="F522" s="42">
        <v>45291</v>
      </c>
      <c r="G522" s="37">
        <v>2023</v>
      </c>
      <c r="H522" s="37" t="s">
        <v>27</v>
      </c>
      <c r="I522" s="39" t="s">
        <v>32</v>
      </c>
      <c r="J522" s="37">
        <v>93</v>
      </c>
      <c r="K522" s="37">
        <v>100</v>
      </c>
      <c r="L522" s="65">
        <f t="shared" ref="L522:L527" si="64">IFERROR(IF(OR(J522=0,K522=""),"",IF(E522="Positivo",MIN(MAX(K522/J522,0),1.3),MIN(MAX(J522/K522,0),1.3))),"")</f>
        <v>1.075268817204301</v>
      </c>
      <c r="M522" s="65">
        <f t="shared" ref="M522:M527" si="65">IFERROR(IF(OR(J522=0,K522=""),"",IF(E522="Positivo",MAX(K522/J522,0),MAX(J522/K522,0))),"")</f>
        <v>1.075268817204301</v>
      </c>
      <c r="N522" s="37" t="s">
        <v>25</v>
      </c>
      <c r="O522" s="37" t="s">
        <v>25</v>
      </c>
      <c r="P522" s="37">
        <v>0</v>
      </c>
      <c r="Q522" s="37">
        <v>0</v>
      </c>
      <c r="R522" s="37" t="s">
        <v>1986</v>
      </c>
      <c r="S522" s="37"/>
    </row>
    <row r="523" spans="1:19" x14ac:dyDescent="0.3">
      <c r="A523" s="37">
        <v>391</v>
      </c>
      <c r="B523" s="37" t="s">
        <v>1983</v>
      </c>
      <c r="C523" s="37" t="s">
        <v>1984</v>
      </c>
      <c r="D523" s="37" t="s">
        <v>21</v>
      </c>
      <c r="E523" s="37" t="s">
        <v>22</v>
      </c>
      <c r="F523" s="42">
        <v>45657</v>
      </c>
      <c r="G523" s="37">
        <v>2024</v>
      </c>
      <c r="H523" s="37" t="s">
        <v>27</v>
      </c>
      <c r="I523" s="39" t="s">
        <v>36</v>
      </c>
      <c r="J523" s="37">
        <v>96</v>
      </c>
      <c r="K523" s="37">
        <v>100</v>
      </c>
      <c r="L523" s="65">
        <f t="shared" si="64"/>
        <v>1.0416666666666667</v>
      </c>
      <c r="M523" s="65">
        <f t="shared" si="65"/>
        <v>1.0416666666666667</v>
      </c>
      <c r="N523" s="37" t="s">
        <v>25</v>
      </c>
      <c r="O523" s="37" t="s">
        <v>25</v>
      </c>
      <c r="P523" s="37">
        <v>0</v>
      </c>
      <c r="Q523" s="37">
        <v>0</v>
      </c>
      <c r="R523" s="37" t="s">
        <v>1988</v>
      </c>
      <c r="S523" s="37"/>
    </row>
    <row r="524" spans="1:19" x14ac:dyDescent="0.3">
      <c r="A524" s="76">
        <v>392</v>
      </c>
      <c r="B524" s="76" t="s">
        <v>1989</v>
      </c>
      <c r="C524" s="76" t="s">
        <v>1984</v>
      </c>
      <c r="D524" s="76" t="s">
        <v>21</v>
      </c>
      <c r="E524" s="76" t="s">
        <v>22</v>
      </c>
      <c r="F524" s="77">
        <v>45291</v>
      </c>
      <c r="G524" s="76">
        <v>2023</v>
      </c>
      <c r="H524" s="76" t="s">
        <v>27</v>
      </c>
      <c r="I524" s="76" t="s">
        <v>32</v>
      </c>
      <c r="J524" s="76">
        <v>730000000</v>
      </c>
      <c r="K524" s="76">
        <v>1075863089</v>
      </c>
      <c r="L524" s="78">
        <f t="shared" si="64"/>
        <v>1.3</v>
      </c>
      <c r="M524" s="78">
        <f t="shared" si="65"/>
        <v>1.4737850534246575</v>
      </c>
      <c r="N524" s="76" t="s">
        <v>25</v>
      </c>
      <c r="O524" s="76" t="s">
        <v>25</v>
      </c>
      <c r="P524" s="76">
        <v>0</v>
      </c>
      <c r="Q524" s="76">
        <v>0</v>
      </c>
      <c r="R524" s="76" t="s">
        <v>1991</v>
      </c>
      <c r="S524" s="76"/>
    </row>
    <row r="525" spans="1:19" x14ac:dyDescent="0.3">
      <c r="A525" s="76">
        <v>392</v>
      </c>
      <c r="B525" s="76" t="s">
        <v>1989</v>
      </c>
      <c r="C525" s="76" t="s">
        <v>1984</v>
      </c>
      <c r="D525" s="76" t="s">
        <v>21</v>
      </c>
      <c r="E525" s="76" t="s">
        <v>22</v>
      </c>
      <c r="F525" s="77">
        <v>45657</v>
      </c>
      <c r="G525" s="76">
        <v>2024</v>
      </c>
      <c r="H525" s="76" t="s">
        <v>27</v>
      </c>
      <c r="I525" s="76" t="s">
        <v>36</v>
      </c>
      <c r="J525" s="76">
        <v>803000000</v>
      </c>
      <c r="K525" s="76">
        <v>1166018880</v>
      </c>
      <c r="L525" s="78">
        <f t="shared" si="64"/>
        <v>1.3</v>
      </c>
      <c r="M525" s="78">
        <f t="shared" si="65"/>
        <v>1.4520783063511831</v>
      </c>
      <c r="N525" s="76" t="s">
        <v>25</v>
      </c>
      <c r="O525" s="76" t="s">
        <v>25</v>
      </c>
      <c r="P525" s="76">
        <v>0</v>
      </c>
      <c r="Q525" s="76">
        <v>0</v>
      </c>
      <c r="R525" s="76" t="s">
        <v>1993</v>
      </c>
      <c r="S525" s="76"/>
    </row>
    <row r="526" spans="1:19" x14ac:dyDescent="0.3">
      <c r="A526" s="76">
        <v>393</v>
      </c>
      <c r="B526" s="76" t="s">
        <v>1994</v>
      </c>
      <c r="C526" s="76" t="s">
        <v>1984</v>
      </c>
      <c r="D526" s="76" t="s">
        <v>139</v>
      </c>
      <c r="E526" s="76" t="s">
        <v>56</v>
      </c>
      <c r="F526" s="77">
        <v>45291</v>
      </c>
      <c r="G526" s="76">
        <v>2023</v>
      </c>
      <c r="H526" s="76" t="s">
        <v>27</v>
      </c>
      <c r="I526" s="76" t="s">
        <v>32</v>
      </c>
      <c r="J526" s="76">
        <v>1</v>
      </c>
      <c r="K526" s="76">
        <v>15.45</v>
      </c>
      <c r="L526" s="78">
        <f t="shared" si="64"/>
        <v>6.4724919093851141E-2</v>
      </c>
      <c r="M526" s="78">
        <f t="shared" si="65"/>
        <v>6.4724919093851141E-2</v>
      </c>
      <c r="N526" s="76" t="s">
        <v>25</v>
      </c>
      <c r="O526" s="76" t="s">
        <v>25</v>
      </c>
      <c r="P526" s="76">
        <v>0</v>
      </c>
      <c r="Q526" s="76">
        <v>0</v>
      </c>
      <c r="R526" s="76" t="s">
        <v>1995</v>
      </c>
      <c r="S526" s="76"/>
    </row>
    <row r="527" spans="1:19" x14ac:dyDescent="0.3">
      <c r="A527" s="76">
        <v>393</v>
      </c>
      <c r="B527" s="76" t="s">
        <v>1994</v>
      </c>
      <c r="C527" s="76" t="s">
        <v>1984</v>
      </c>
      <c r="D527" s="76" t="s">
        <v>139</v>
      </c>
      <c r="E527" s="76" t="s">
        <v>56</v>
      </c>
      <c r="F527" s="77">
        <v>45657</v>
      </c>
      <c r="G527" s="76">
        <v>2024</v>
      </c>
      <c r="H527" s="76" t="s">
        <v>27</v>
      </c>
      <c r="I527" s="76" t="s">
        <v>36</v>
      </c>
      <c r="J527" s="76">
        <v>1</v>
      </c>
      <c r="K527" s="76">
        <v>13</v>
      </c>
      <c r="L527" s="78">
        <f t="shared" si="64"/>
        <v>7.6923076923076927E-2</v>
      </c>
      <c r="M527" s="78">
        <f t="shared" si="65"/>
        <v>7.6923076923076927E-2</v>
      </c>
      <c r="N527" s="76" t="s">
        <v>25</v>
      </c>
      <c r="O527" s="76" t="s">
        <v>25</v>
      </c>
      <c r="P527" s="76">
        <v>0</v>
      </c>
      <c r="Q527" s="76">
        <v>0</v>
      </c>
      <c r="R527" s="76" t="s">
        <v>1996</v>
      </c>
      <c r="S527" s="76"/>
    </row>
    <row r="528" spans="1:19" x14ac:dyDescent="0.3">
      <c r="A528" s="76">
        <v>394</v>
      </c>
      <c r="B528" s="76" t="s">
        <v>1997</v>
      </c>
      <c r="C528" s="76" t="s">
        <v>1998</v>
      </c>
      <c r="D528" s="76" t="s">
        <v>21</v>
      </c>
      <c r="E528" s="76" t="s">
        <v>22</v>
      </c>
      <c r="F528" s="77">
        <v>45291</v>
      </c>
      <c r="G528" s="76">
        <v>2023</v>
      </c>
      <c r="H528" s="76" t="s">
        <v>27</v>
      </c>
      <c r="I528" s="76" t="s">
        <v>32</v>
      </c>
      <c r="J528" s="76">
        <v>87.5</v>
      </c>
      <c r="K528" s="76">
        <v>273.5</v>
      </c>
      <c r="L528" s="78">
        <f t="shared" ref="L528:L543" si="66">IFERROR(IF(OR(J528=0,K528=""),"",IF(E528="Positivo",MIN(MAX(K528/J528,0),1.3),MIN(MAX(J528/K528,0),1.3))),"")</f>
        <v>1.3</v>
      </c>
      <c r="M528" s="78">
        <f t="shared" ref="M528:M543" si="67">IFERROR(IF(OR(J528=0,K528=""),"",IF(E528="Positivo",MAX(K528/J528,0),MAX(J528/K528,0))),"")</f>
        <v>3.1257142857142859</v>
      </c>
      <c r="N528" s="76" t="s">
        <v>25</v>
      </c>
      <c r="O528" s="76" t="s">
        <v>25</v>
      </c>
      <c r="P528" s="76">
        <v>0</v>
      </c>
      <c r="Q528" s="76">
        <v>0</v>
      </c>
      <c r="R528" s="76" t="s">
        <v>2002</v>
      </c>
      <c r="S528" s="76"/>
    </row>
    <row r="529" spans="1:19" x14ac:dyDescent="0.3">
      <c r="A529" s="76">
        <v>394</v>
      </c>
      <c r="B529" s="76" t="s">
        <v>1997</v>
      </c>
      <c r="C529" s="76" t="s">
        <v>1998</v>
      </c>
      <c r="D529" s="76" t="s">
        <v>21</v>
      </c>
      <c r="E529" s="76" t="s">
        <v>22</v>
      </c>
      <c r="F529" s="77">
        <v>45657</v>
      </c>
      <c r="G529" s="76">
        <v>2024</v>
      </c>
      <c r="H529" s="76" t="s">
        <v>27</v>
      </c>
      <c r="I529" s="76" t="s">
        <v>36</v>
      </c>
      <c r="J529" s="76">
        <v>250</v>
      </c>
      <c r="K529" s="76">
        <v>388.25</v>
      </c>
      <c r="L529" s="78">
        <f t="shared" si="66"/>
        <v>1.3</v>
      </c>
      <c r="M529" s="78">
        <f t="shared" si="67"/>
        <v>1.5529999999999999</v>
      </c>
      <c r="N529" s="76" t="s">
        <v>25</v>
      </c>
      <c r="O529" s="76" t="s">
        <v>25</v>
      </c>
      <c r="P529" s="76">
        <v>0</v>
      </c>
      <c r="Q529" s="76">
        <v>0</v>
      </c>
      <c r="R529" s="76" t="s">
        <v>2006</v>
      </c>
      <c r="S529" s="76"/>
    </row>
    <row r="530" spans="1:19" x14ac:dyDescent="0.3">
      <c r="A530" s="76">
        <v>395</v>
      </c>
      <c r="B530" s="76" t="s">
        <v>2007</v>
      </c>
      <c r="C530" s="76" t="s">
        <v>1998</v>
      </c>
      <c r="D530" s="76" t="s">
        <v>21</v>
      </c>
      <c r="E530" s="76" t="s">
        <v>22</v>
      </c>
      <c r="F530" s="77">
        <v>45291</v>
      </c>
      <c r="G530" s="76">
        <v>2023</v>
      </c>
      <c r="H530" s="76" t="s">
        <v>27</v>
      </c>
      <c r="I530" s="76" t="s">
        <v>32</v>
      </c>
      <c r="J530" s="76">
        <v>11.66666666666667</v>
      </c>
      <c r="K530" s="76">
        <v>32.666666666666657</v>
      </c>
      <c r="L530" s="78">
        <f t="shared" si="66"/>
        <v>1.3</v>
      </c>
      <c r="M530" s="78">
        <f t="shared" si="67"/>
        <v>2.7999999999999985</v>
      </c>
      <c r="N530" s="76" t="s">
        <v>25</v>
      </c>
      <c r="O530" s="76" t="s">
        <v>25</v>
      </c>
      <c r="P530" s="76">
        <v>0</v>
      </c>
      <c r="Q530" s="76">
        <v>0</v>
      </c>
      <c r="R530" s="76" t="s">
        <v>2011</v>
      </c>
      <c r="S530" s="76"/>
    </row>
    <row r="531" spans="1:19" x14ac:dyDescent="0.3">
      <c r="A531" s="76">
        <v>395</v>
      </c>
      <c r="B531" s="76" t="s">
        <v>2007</v>
      </c>
      <c r="C531" s="76" t="s">
        <v>1998</v>
      </c>
      <c r="D531" s="76" t="s">
        <v>21</v>
      </c>
      <c r="E531" s="76" t="s">
        <v>22</v>
      </c>
      <c r="F531" s="77">
        <v>45657</v>
      </c>
      <c r="G531" s="76">
        <v>2024</v>
      </c>
      <c r="H531" s="76" t="s">
        <v>27</v>
      </c>
      <c r="I531" s="76" t="s">
        <v>36</v>
      </c>
      <c r="J531" s="76">
        <v>45</v>
      </c>
      <c r="K531" s="76">
        <v>58.25</v>
      </c>
      <c r="L531" s="78">
        <f t="shared" si="66"/>
        <v>1.2944444444444445</v>
      </c>
      <c r="M531" s="78">
        <f t="shared" si="67"/>
        <v>1.2944444444444445</v>
      </c>
      <c r="N531" s="76" t="s">
        <v>25</v>
      </c>
      <c r="O531" s="76" t="s">
        <v>25</v>
      </c>
      <c r="P531" s="76">
        <v>0</v>
      </c>
      <c r="Q531" s="76">
        <v>0</v>
      </c>
      <c r="R531" s="76" t="s">
        <v>2015</v>
      </c>
      <c r="S531" s="76"/>
    </row>
    <row r="532" spans="1:19" x14ac:dyDescent="0.3">
      <c r="A532" s="37">
        <v>396</v>
      </c>
      <c r="B532" s="37" t="s">
        <v>2016</v>
      </c>
      <c r="C532" s="37" t="s">
        <v>1984</v>
      </c>
      <c r="D532" s="37" t="s">
        <v>21</v>
      </c>
      <c r="E532" s="37" t="s">
        <v>22</v>
      </c>
      <c r="F532" s="42">
        <v>45291</v>
      </c>
      <c r="G532" s="37">
        <v>2023</v>
      </c>
      <c r="H532" s="37" t="s">
        <v>27</v>
      </c>
      <c r="I532" s="39" t="s">
        <v>32</v>
      </c>
      <c r="J532" s="37">
        <v>80</v>
      </c>
      <c r="K532" s="37">
        <v>88.89</v>
      </c>
      <c r="L532" s="65">
        <f t="shared" si="66"/>
        <v>1.1111249999999999</v>
      </c>
      <c r="M532" s="65">
        <f t="shared" si="67"/>
        <v>1.1111249999999999</v>
      </c>
      <c r="N532" s="37" t="s">
        <v>203</v>
      </c>
      <c r="O532" s="37" t="s">
        <v>197</v>
      </c>
      <c r="P532" s="37">
        <v>1</v>
      </c>
      <c r="Q532" s="37">
        <v>1</v>
      </c>
      <c r="R532" s="37" t="s">
        <v>2017</v>
      </c>
      <c r="S532" s="37"/>
    </row>
    <row r="533" spans="1:19" x14ac:dyDescent="0.3">
      <c r="A533" s="37">
        <v>396</v>
      </c>
      <c r="B533" s="37" t="s">
        <v>2016</v>
      </c>
      <c r="C533" s="37" t="s">
        <v>2018</v>
      </c>
      <c r="D533" s="37" t="s">
        <v>21</v>
      </c>
      <c r="E533" s="37" t="s">
        <v>22</v>
      </c>
      <c r="F533" s="42">
        <v>45473</v>
      </c>
      <c r="G533" s="37">
        <v>2024</v>
      </c>
      <c r="H533" s="37" t="s">
        <v>23</v>
      </c>
      <c r="I533" s="39" t="s">
        <v>34</v>
      </c>
      <c r="J533" s="37">
        <v>80</v>
      </c>
      <c r="K533" s="37">
        <v>88.1</v>
      </c>
      <c r="L533" s="65">
        <f t="shared" si="66"/>
        <v>1.1012499999999998</v>
      </c>
      <c r="M533" s="65">
        <f t="shared" si="67"/>
        <v>1.1012499999999998</v>
      </c>
      <c r="N533" s="37" t="s">
        <v>203</v>
      </c>
      <c r="O533" s="37" t="s">
        <v>197</v>
      </c>
      <c r="P533" s="37">
        <v>1</v>
      </c>
      <c r="Q533" s="37">
        <v>1</v>
      </c>
      <c r="R533" s="37" t="s">
        <v>2019</v>
      </c>
      <c r="S533" s="37"/>
    </row>
    <row r="534" spans="1:19" x14ac:dyDescent="0.3">
      <c r="A534" s="76">
        <v>397</v>
      </c>
      <c r="B534" s="76" t="s">
        <v>2025</v>
      </c>
      <c r="C534" s="76" t="s">
        <v>2018</v>
      </c>
      <c r="D534" s="76" t="s">
        <v>21</v>
      </c>
      <c r="E534" s="76" t="s">
        <v>22</v>
      </c>
      <c r="F534" s="77">
        <v>45291</v>
      </c>
      <c r="G534" s="76">
        <v>2023</v>
      </c>
      <c r="H534" s="76" t="s">
        <v>27</v>
      </c>
      <c r="I534" s="76" t="s">
        <v>32</v>
      </c>
      <c r="J534" s="76">
        <v>254</v>
      </c>
      <c r="K534" s="76">
        <v>234</v>
      </c>
      <c r="L534" s="78">
        <f t="shared" si="66"/>
        <v>0.92125984251968507</v>
      </c>
      <c r="M534" s="78">
        <f t="shared" si="67"/>
        <v>0.92125984251968507</v>
      </c>
      <c r="N534" s="76" t="s">
        <v>25</v>
      </c>
      <c r="O534" s="76" t="s">
        <v>25</v>
      </c>
      <c r="P534" s="76">
        <v>0</v>
      </c>
      <c r="Q534" s="76">
        <v>0</v>
      </c>
      <c r="R534" s="76" t="s">
        <v>2022</v>
      </c>
      <c r="S534" s="76"/>
    </row>
    <row r="535" spans="1:19" x14ac:dyDescent="0.3">
      <c r="A535" s="76">
        <v>397</v>
      </c>
      <c r="B535" s="76" t="s">
        <v>2025</v>
      </c>
      <c r="C535" s="76" t="s">
        <v>2018</v>
      </c>
      <c r="D535" s="76" t="s">
        <v>21</v>
      </c>
      <c r="E535" s="76" t="s">
        <v>22</v>
      </c>
      <c r="F535" s="77">
        <v>45657</v>
      </c>
      <c r="G535" s="76">
        <v>2024</v>
      </c>
      <c r="H535" s="76" t="s">
        <v>27</v>
      </c>
      <c r="I535" s="76" t="s">
        <v>36</v>
      </c>
      <c r="J535" s="76">
        <v>387</v>
      </c>
      <c r="K535" s="76">
        <v>355.5</v>
      </c>
      <c r="L535" s="78">
        <f t="shared" si="66"/>
        <v>0.91860465116279066</v>
      </c>
      <c r="M535" s="78">
        <f t="shared" si="67"/>
        <v>0.91860465116279066</v>
      </c>
      <c r="N535" s="76" t="s">
        <v>25</v>
      </c>
      <c r="O535" s="76" t="s">
        <v>25</v>
      </c>
      <c r="P535" s="76">
        <v>0</v>
      </c>
      <c r="Q535" s="76">
        <v>0</v>
      </c>
      <c r="R535" s="76" t="s">
        <v>2024</v>
      </c>
      <c r="S535" s="76"/>
    </row>
    <row r="536" spans="1:19" x14ac:dyDescent="0.3">
      <c r="A536" s="76">
        <v>398</v>
      </c>
      <c r="B536" s="76" t="s">
        <v>2026</v>
      </c>
      <c r="C536" s="76" t="s">
        <v>2027</v>
      </c>
      <c r="D536" s="76" t="s">
        <v>21</v>
      </c>
      <c r="E536" s="76" t="s">
        <v>22</v>
      </c>
      <c r="F536" s="77">
        <v>45291</v>
      </c>
      <c r="G536" s="76">
        <v>2023</v>
      </c>
      <c r="H536" s="76" t="s">
        <v>27</v>
      </c>
      <c r="I536" s="76" t="s">
        <v>32</v>
      </c>
      <c r="J536" s="76">
        <v>2000</v>
      </c>
      <c r="K536" s="76">
        <v>4912</v>
      </c>
      <c r="L536" s="78">
        <f t="shared" si="66"/>
        <v>1.3</v>
      </c>
      <c r="M536" s="78">
        <f t="shared" si="67"/>
        <v>2.456</v>
      </c>
      <c r="N536" s="76" t="s">
        <v>25</v>
      </c>
      <c r="O536" s="76" t="s">
        <v>25</v>
      </c>
      <c r="P536" s="76">
        <v>0</v>
      </c>
      <c r="Q536" s="76">
        <v>0</v>
      </c>
      <c r="R536" s="76" t="s">
        <v>2029</v>
      </c>
      <c r="S536" s="76"/>
    </row>
    <row r="537" spans="1:19" x14ac:dyDescent="0.3">
      <c r="A537" s="76">
        <v>398</v>
      </c>
      <c r="B537" s="76" t="s">
        <v>2026</v>
      </c>
      <c r="C537" s="76" t="s">
        <v>2027</v>
      </c>
      <c r="D537" s="76" t="s">
        <v>21</v>
      </c>
      <c r="E537" s="76" t="s">
        <v>22</v>
      </c>
      <c r="F537" s="77">
        <v>45657</v>
      </c>
      <c r="G537" s="76">
        <v>2024</v>
      </c>
      <c r="H537" s="76" t="s">
        <v>27</v>
      </c>
      <c r="I537" s="76" t="s">
        <v>36</v>
      </c>
      <c r="J537" s="76">
        <v>2500</v>
      </c>
      <c r="K537" s="76">
        <v>5478</v>
      </c>
      <c r="L537" s="78">
        <f t="shared" si="66"/>
        <v>1.3</v>
      </c>
      <c r="M537" s="78">
        <f t="shared" si="67"/>
        <v>2.1911999999999998</v>
      </c>
      <c r="N537" s="76" t="s">
        <v>25</v>
      </c>
      <c r="O537" s="76" t="s">
        <v>25</v>
      </c>
      <c r="P537" s="76">
        <v>0</v>
      </c>
      <c r="Q537" s="76">
        <v>0</v>
      </c>
      <c r="R537" s="76" t="s">
        <v>2031</v>
      </c>
      <c r="S537" s="76"/>
    </row>
    <row r="538" spans="1:19" x14ac:dyDescent="0.3">
      <c r="A538" s="76">
        <v>399</v>
      </c>
      <c r="B538" s="76" t="s">
        <v>2035</v>
      </c>
      <c r="C538" s="76" t="s">
        <v>2027</v>
      </c>
      <c r="D538" s="76" t="s">
        <v>21</v>
      </c>
      <c r="E538" s="76" t="s">
        <v>22</v>
      </c>
      <c r="F538" s="77">
        <v>45291</v>
      </c>
      <c r="G538" s="76">
        <v>2023</v>
      </c>
      <c r="H538" s="76" t="s">
        <v>27</v>
      </c>
      <c r="I538" s="76" t="s">
        <v>32</v>
      </c>
      <c r="J538" s="76">
        <v>1000</v>
      </c>
      <c r="K538" s="76">
        <v>1334</v>
      </c>
      <c r="L538" s="78">
        <f t="shared" si="66"/>
        <v>1.3</v>
      </c>
      <c r="M538" s="78">
        <f t="shared" si="67"/>
        <v>1.3340000000000001</v>
      </c>
      <c r="N538" s="76" t="s">
        <v>25</v>
      </c>
      <c r="O538" s="76" t="s">
        <v>25</v>
      </c>
      <c r="P538" s="76">
        <v>0</v>
      </c>
      <c r="Q538" s="76">
        <v>0</v>
      </c>
      <c r="R538" s="76" t="s">
        <v>2034</v>
      </c>
      <c r="S538" s="76"/>
    </row>
    <row r="539" spans="1:19" x14ac:dyDescent="0.3">
      <c r="A539" s="76">
        <v>399</v>
      </c>
      <c r="B539" s="76" t="s">
        <v>2035</v>
      </c>
      <c r="C539" s="76" t="s">
        <v>2027</v>
      </c>
      <c r="D539" s="76" t="s">
        <v>21</v>
      </c>
      <c r="E539" s="76" t="s">
        <v>22</v>
      </c>
      <c r="F539" s="77">
        <v>45657</v>
      </c>
      <c r="G539" s="76">
        <v>2024</v>
      </c>
      <c r="H539" s="76" t="s">
        <v>27</v>
      </c>
      <c r="I539" s="76" t="s">
        <v>36</v>
      </c>
      <c r="J539" s="76">
        <v>1250</v>
      </c>
      <c r="K539" s="76">
        <v>1392</v>
      </c>
      <c r="L539" s="78">
        <f t="shared" si="66"/>
        <v>1.1135999999999999</v>
      </c>
      <c r="M539" s="78">
        <f t="shared" si="67"/>
        <v>1.1135999999999999</v>
      </c>
      <c r="N539" s="76" t="s">
        <v>25</v>
      </c>
      <c r="O539" s="76" t="s">
        <v>25</v>
      </c>
      <c r="P539" s="76">
        <v>0</v>
      </c>
      <c r="Q539" s="76">
        <v>0</v>
      </c>
      <c r="R539" s="76" t="s">
        <v>2037</v>
      </c>
      <c r="S539" s="76"/>
    </row>
    <row r="540" spans="1:19" x14ac:dyDescent="0.3">
      <c r="A540" s="76">
        <v>400</v>
      </c>
      <c r="B540" s="76" t="s">
        <v>2038</v>
      </c>
      <c r="C540" s="76" t="s">
        <v>2027</v>
      </c>
      <c r="D540" s="76" t="s">
        <v>21</v>
      </c>
      <c r="E540" s="76" t="s">
        <v>22</v>
      </c>
      <c r="F540" s="77">
        <v>45291</v>
      </c>
      <c r="G540" s="76">
        <v>2023</v>
      </c>
      <c r="H540" s="76" t="s">
        <v>27</v>
      </c>
      <c r="I540" s="76" t="s">
        <v>32</v>
      </c>
      <c r="J540" s="76">
        <v>70</v>
      </c>
      <c r="K540" s="76">
        <v>176</v>
      </c>
      <c r="L540" s="78">
        <f t="shared" si="66"/>
        <v>1.3</v>
      </c>
      <c r="M540" s="78">
        <f t="shared" si="67"/>
        <v>2.5142857142857142</v>
      </c>
      <c r="N540" s="76" t="s">
        <v>25</v>
      </c>
      <c r="O540" s="76" t="s">
        <v>25</v>
      </c>
      <c r="P540" s="76">
        <v>0</v>
      </c>
      <c r="Q540" s="76">
        <v>0</v>
      </c>
      <c r="R540" s="76" t="s">
        <v>2040</v>
      </c>
      <c r="S540" s="76"/>
    </row>
    <row r="541" spans="1:19" x14ac:dyDescent="0.3">
      <c r="A541" s="76">
        <v>400</v>
      </c>
      <c r="B541" s="76" t="s">
        <v>2038</v>
      </c>
      <c r="C541" s="76" t="s">
        <v>2027</v>
      </c>
      <c r="D541" s="76" t="s">
        <v>21</v>
      </c>
      <c r="E541" s="76" t="s">
        <v>22</v>
      </c>
      <c r="F541" s="77">
        <v>45657</v>
      </c>
      <c r="G541" s="76">
        <v>2024</v>
      </c>
      <c r="H541" s="76" t="s">
        <v>27</v>
      </c>
      <c r="I541" s="76" t="s">
        <v>36</v>
      </c>
      <c r="J541" s="76">
        <v>88</v>
      </c>
      <c r="K541" s="76">
        <v>294</v>
      </c>
      <c r="L541" s="78">
        <f t="shared" si="66"/>
        <v>1.3</v>
      </c>
      <c r="M541" s="78">
        <f t="shared" si="67"/>
        <v>3.3409090909090908</v>
      </c>
      <c r="N541" s="76" t="s">
        <v>25</v>
      </c>
      <c r="O541" s="76" t="s">
        <v>25</v>
      </c>
      <c r="P541" s="76">
        <v>0</v>
      </c>
      <c r="Q541" s="76">
        <v>0</v>
      </c>
      <c r="R541" s="76" t="s">
        <v>2042</v>
      </c>
      <c r="S541" s="76"/>
    </row>
    <row r="542" spans="1:19" x14ac:dyDescent="0.3">
      <c r="A542" s="76">
        <v>401</v>
      </c>
      <c r="B542" s="76" t="s">
        <v>2043</v>
      </c>
      <c r="C542" s="76" t="s">
        <v>2044</v>
      </c>
      <c r="D542" s="76" t="s">
        <v>21</v>
      </c>
      <c r="E542" s="76" t="s">
        <v>22</v>
      </c>
      <c r="F542" s="77">
        <v>45291</v>
      </c>
      <c r="G542" s="76">
        <v>2023</v>
      </c>
      <c r="H542" s="76" t="s">
        <v>27</v>
      </c>
      <c r="I542" s="76" t="s">
        <v>32</v>
      </c>
      <c r="J542" s="76">
        <v>16</v>
      </c>
      <c r="K542" s="76">
        <v>17</v>
      </c>
      <c r="L542" s="78">
        <f t="shared" si="66"/>
        <v>1.0625</v>
      </c>
      <c r="M542" s="78">
        <f t="shared" si="67"/>
        <v>1.0625</v>
      </c>
      <c r="N542" s="76" t="s">
        <v>25</v>
      </c>
      <c r="O542" s="76" t="s">
        <v>25</v>
      </c>
      <c r="P542" s="76">
        <v>0</v>
      </c>
      <c r="Q542" s="76">
        <v>0</v>
      </c>
      <c r="R542" s="76" t="s">
        <v>2046</v>
      </c>
      <c r="S542" s="76"/>
    </row>
    <row r="543" spans="1:19" x14ac:dyDescent="0.3">
      <c r="A543" s="76">
        <v>401</v>
      </c>
      <c r="B543" s="76" t="s">
        <v>2043</v>
      </c>
      <c r="C543" s="76" t="s">
        <v>2044</v>
      </c>
      <c r="D543" s="76" t="s">
        <v>21</v>
      </c>
      <c r="E543" s="76" t="s">
        <v>22</v>
      </c>
      <c r="F543" s="77">
        <v>45657</v>
      </c>
      <c r="G543" s="76">
        <v>2024</v>
      </c>
      <c r="H543" s="76" t="s">
        <v>27</v>
      </c>
      <c r="I543" s="76" t="s">
        <v>36</v>
      </c>
      <c r="J543" s="76">
        <v>16</v>
      </c>
      <c r="K543" s="76">
        <v>17</v>
      </c>
      <c r="L543" s="78">
        <f t="shared" si="66"/>
        <v>1.0625</v>
      </c>
      <c r="M543" s="78">
        <f t="shared" si="67"/>
        <v>1.0625</v>
      </c>
      <c r="N543" s="76" t="s">
        <v>25</v>
      </c>
      <c r="O543" s="76" t="s">
        <v>25</v>
      </c>
      <c r="P543" s="76">
        <v>0</v>
      </c>
      <c r="Q543" s="76">
        <v>0</v>
      </c>
      <c r="R543" s="76" t="s">
        <v>2048</v>
      </c>
      <c r="S543" s="76"/>
    </row>
    <row r="544" spans="1:19" x14ac:dyDescent="0.3">
      <c r="A544" s="37">
        <v>402</v>
      </c>
      <c r="B544" s="37" t="s">
        <v>2049</v>
      </c>
      <c r="C544" s="37" t="s">
        <v>2044</v>
      </c>
      <c r="D544" s="37" t="s">
        <v>139</v>
      </c>
      <c r="E544" s="37" t="s">
        <v>22</v>
      </c>
      <c r="F544" s="42">
        <v>45291</v>
      </c>
      <c r="G544" s="37">
        <v>2023</v>
      </c>
      <c r="H544" s="37" t="s">
        <v>27</v>
      </c>
      <c r="I544" s="39" t="s">
        <v>32</v>
      </c>
      <c r="J544" s="37"/>
      <c r="K544" s="37">
        <v>21000</v>
      </c>
      <c r="L544" s="65"/>
      <c r="M544" s="65"/>
      <c r="N544" s="37" t="s">
        <v>203</v>
      </c>
      <c r="O544" s="37" t="s">
        <v>203</v>
      </c>
      <c r="P544" s="37">
        <v>0</v>
      </c>
      <c r="Q544" s="37">
        <v>0</v>
      </c>
      <c r="R544" s="37" t="s">
        <v>2050</v>
      </c>
      <c r="S544" s="37"/>
    </row>
    <row r="545" spans="1:19" x14ac:dyDescent="0.3">
      <c r="A545" s="76">
        <v>402</v>
      </c>
      <c r="B545" s="76" t="s">
        <v>2049</v>
      </c>
      <c r="C545" s="76" t="s">
        <v>2044</v>
      </c>
      <c r="D545" s="76" t="s">
        <v>139</v>
      </c>
      <c r="E545" s="76" t="s">
        <v>22</v>
      </c>
      <c r="F545" s="77">
        <v>45657</v>
      </c>
      <c r="G545" s="76">
        <v>2024</v>
      </c>
      <c r="H545" s="76" t="s">
        <v>27</v>
      </c>
      <c r="I545" s="76" t="s">
        <v>36</v>
      </c>
      <c r="J545" s="76">
        <v>3</v>
      </c>
      <c r="K545" s="76">
        <v>4.76</v>
      </c>
      <c r="L545" s="78">
        <f>IFERROR(IF(OR(J545=0,K545=""),"",IF(E545="Positivo",MIN(MAX(K545/J545,0),1.3),MIN(MAX(J545/K545,0),1.3))),"")</f>
        <v>1.3</v>
      </c>
      <c r="M545" s="78">
        <f>IFERROR(IF(OR(J545=0,K545=""),"",IF(E545="Positivo",MAX(K545/J545,0),MAX(J545/K545,0))),"")</f>
        <v>1.5866666666666667</v>
      </c>
      <c r="N545" s="76" t="s">
        <v>25</v>
      </c>
      <c r="O545" s="76" t="s">
        <v>25</v>
      </c>
      <c r="P545" s="76">
        <v>0</v>
      </c>
      <c r="Q545" s="76">
        <v>0</v>
      </c>
      <c r="R545" s="76" t="s">
        <v>2051</v>
      </c>
      <c r="S545" s="76"/>
    </row>
    <row r="546" spans="1:19" x14ac:dyDescent="0.3">
      <c r="A546" s="76">
        <v>403</v>
      </c>
      <c r="B546" s="76" t="s">
        <v>2057</v>
      </c>
      <c r="C546" s="76" t="s">
        <v>2044</v>
      </c>
      <c r="D546" s="76" t="s">
        <v>21</v>
      </c>
      <c r="E546" s="76" t="s">
        <v>22</v>
      </c>
      <c r="F546" s="77">
        <v>45291</v>
      </c>
      <c r="G546" s="76">
        <v>2023</v>
      </c>
      <c r="H546" s="76" t="s">
        <v>27</v>
      </c>
      <c r="I546" s="76" t="s">
        <v>32</v>
      </c>
      <c r="J546" s="76"/>
      <c r="K546" s="76">
        <v>43009</v>
      </c>
      <c r="L546" s="78"/>
      <c r="M546" s="78"/>
      <c r="N546" s="76" t="s">
        <v>25</v>
      </c>
      <c r="O546" s="76" t="s">
        <v>25</v>
      </c>
      <c r="P546" s="76">
        <v>0</v>
      </c>
      <c r="Q546" s="76">
        <v>0</v>
      </c>
      <c r="R546" s="76" t="s">
        <v>2054</v>
      </c>
      <c r="S546" s="76"/>
    </row>
    <row r="547" spans="1:19" x14ac:dyDescent="0.3">
      <c r="A547" s="76">
        <v>403</v>
      </c>
      <c r="B547" s="76" t="s">
        <v>2057</v>
      </c>
      <c r="C547" s="76" t="s">
        <v>2044</v>
      </c>
      <c r="D547" s="76" t="s">
        <v>21</v>
      </c>
      <c r="E547" s="76" t="s">
        <v>22</v>
      </c>
      <c r="F547" s="77">
        <v>45657</v>
      </c>
      <c r="G547" s="76">
        <v>2024</v>
      </c>
      <c r="H547" s="76" t="s">
        <v>27</v>
      </c>
      <c r="I547" s="76" t="s">
        <v>36</v>
      </c>
      <c r="J547" s="76"/>
      <c r="K547" s="76">
        <v>29418</v>
      </c>
      <c r="L547" s="78"/>
      <c r="M547" s="78"/>
      <c r="N547" s="76" t="s">
        <v>25</v>
      </c>
      <c r="O547" s="76" t="s">
        <v>25</v>
      </c>
      <c r="P547" s="76">
        <v>0</v>
      </c>
      <c r="Q547" s="76">
        <v>0</v>
      </c>
      <c r="R547" s="76" t="s">
        <v>2056</v>
      </c>
      <c r="S547" s="76"/>
    </row>
    <row r="548" spans="1:19" x14ac:dyDescent="0.3">
      <c r="A548" s="37">
        <v>404</v>
      </c>
      <c r="B548" s="37" t="s">
        <v>2058</v>
      </c>
      <c r="C548" s="37" t="s">
        <v>2044</v>
      </c>
      <c r="D548" s="37" t="s">
        <v>21</v>
      </c>
      <c r="E548" s="37" t="s">
        <v>56</v>
      </c>
      <c r="F548" s="42">
        <v>45291</v>
      </c>
      <c r="G548" s="37">
        <v>2023</v>
      </c>
      <c r="H548" s="37" t="s">
        <v>27</v>
      </c>
      <c r="I548" s="39" t="s">
        <v>32</v>
      </c>
      <c r="J548" s="37">
        <v>20</v>
      </c>
      <c r="K548" s="37">
        <v>1.7</v>
      </c>
      <c r="L548" s="65">
        <f t="shared" ref="L548:L554" si="68">IFERROR(IF(OR(J548=0,K548=""),"",IF(E548="Positivo",MIN(MAX(K548/J548,0),1.3),MIN(MAX(J548/K548,0),1.3))),"")</f>
        <v>1.3</v>
      </c>
      <c r="M548" s="65">
        <f t="shared" ref="M548:M554" si="69">IFERROR(IF(OR(J548=0,K548=""),"",IF(E548="Positivo",MAX(K548/J548,0),MAX(J548/K548,0))),"")</f>
        <v>11.764705882352942</v>
      </c>
      <c r="N548" s="37" t="s">
        <v>25</v>
      </c>
      <c r="O548" s="37" t="s">
        <v>25</v>
      </c>
      <c r="P548" s="37">
        <v>0</v>
      </c>
      <c r="Q548" s="37">
        <v>0</v>
      </c>
      <c r="R548" s="37" t="s">
        <v>2060</v>
      </c>
      <c r="S548" s="37"/>
    </row>
    <row r="549" spans="1:19" x14ac:dyDescent="0.3">
      <c r="A549" s="37">
        <v>404</v>
      </c>
      <c r="B549" s="37" t="s">
        <v>2058</v>
      </c>
      <c r="C549" s="37" t="s">
        <v>2044</v>
      </c>
      <c r="D549" s="37" t="s">
        <v>21</v>
      </c>
      <c r="E549" s="37" t="s">
        <v>56</v>
      </c>
      <c r="F549" s="42">
        <v>45657</v>
      </c>
      <c r="G549" s="37">
        <v>2024</v>
      </c>
      <c r="H549" s="37" t="s">
        <v>27</v>
      </c>
      <c r="I549" s="39" t="s">
        <v>36</v>
      </c>
      <c r="J549" s="37">
        <v>10</v>
      </c>
      <c r="K549" s="37">
        <v>6.02</v>
      </c>
      <c r="L549" s="65">
        <f t="shared" si="68"/>
        <v>1.3</v>
      </c>
      <c r="M549" s="65">
        <f t="shared" si="69"/>
        <v>1.6611295681063125</v>
      </c>
      <c r="N549" s="37" t="s">
        <v>25</v>
      </c>
      <c r="O549" s="37" t="s">
        <v>25</v>
      </c>
      <c r="P549" s="37">
        <v>0</v>
      </c>
      <c r="Q549" s="37">
        <v>0</v>
      </c>
      <c r="R549" s="37" t="s">
        <v>2062</v>
      </c>
      <c r="S549" s="37"/>
    </row>
    <row r="550" spans="1:19" x14ac:dyDescent="0.3">
      <c r="A550" s="37">
        <v>405</v>
      </c>
      <c r="B550" s="37" t="s">
        <v>2066</v>
      </c>
      <c r="C550" s="37" t="s">
        <v>2044</v>
      </c>
      <c r="D550" s="37" t="s">
        <v>21</v>
      </c>
      <c r="E550" s="37" t="s">
        <v>22</v>
      </c>
      <c r="F550" s="42">
        <v>45291</v>
      </c>
      <c r="G550" s="37">
        <v>2023</v>
      </c>
      <c r="H550" s="37" t="s">
        <v>27</v>
      </c>
      <c r="I550" s="39" t="s">
        <v>32</v>
      </c>
      <c r="J550" s="37">
        <v>50</v>
      </c>
      <c r="K550" s="37">
        <v>62</v>
      </c>
      <c r="L550" s="65">
        <f t="shared" si="68"/>
        <v>1.24</v>
      </c>
      <c r="M550" s="65">
        <f t="shared" si="69"/>
        <v>1.24</v>
      </c>
      <c r="N550" s="37" t="s">
        <v>25</v>
      </c>
      <c r="O550" s="37" t="s">
        <v>25</v>
      </c>
      <c r="P550" s="37">
        <v>0</v>
      </c>
      <c r="Q550" s="37">
        <v>0</v>
      </c>
      <c r="R550" s="37" t="s">
        <v>2065</v>
      </c>
      <c r="S550" s="37"/>
    </row>
    <row r="551" spans="1:19" x14ac:dyDescent="0.3">
      <c r="A551" s="37">
        <v>405</v>
      </c>
      <c r="B551" s="37" t="s">
        <v>2066</v>
      </c>
      <c r="C551" s="37" t="s">
        <v>2044</v>
      </c>
      <c r="D551" s="37" t="s">
        <v>21</v>
      </c>
      <c r="E551" s="37" t="s">
        <v>22</v>
      </c>
      <c r="F551" s="42">
        <v>45657</v>
      </c>
      <c r="G551" s="37">
        <v>2024</v>
      </c>
      <c r="H551" s="37" t="s">
        <v>27</v>
      </c>
      <c r="I551" s="39" t="s">
        <v>36</v>
      </c>
      <c r="J551" s="37">
        <v>100</v>
      </c>
      <c r="K551" s="37">
        <v>98</v>
      </c>
      <c r="L551" s="65">
        <f t="shared" si="68"/>
        <v>0.98</v>
      </c>
      <c r="M551" s="65">
        <f t="shared" si="69"/>
        <v>0.98</v>
      </c>
      <c r="N551" s="37" t="s">
        <v>25</v>
      </c>
      <c r="O551" s="37" t="s">
        <v>25</v>
      </c>
      <c r="P551" s="37">
        <v>0</v>
      </c>
      <c r="Q551" s="37">
        <v>0</v>
      </c>
      <c r="R551" s="37" t="s">
        <v>2068</v>
      </c>
      <c r="S551" s="37"/>
    </row>
    <row r="552" spans="1:19" x14ac:dyDescent="0.3">
      <c r="A552" s="37">
        <v>406</v>
      </c>
      <c r="B552" s="37" t="s">
        <v>2069</v>
      </c>
      <c r="C552" s="37" t="s">
        <v>1627</v>
      </c>
      <c r="D552" s="37" t="s">
        <v>21</v>
      </c>
      <c r="E552" s="37" t="s">
        <v>22</v>
      </c>
      <c r="F552" s="42">
        <v>45291</v>
      </c>
      <c r="G552" s="37">
        <v>2023</v>
      </c>
      <c r="H552" s="37" t="s">
        <v>27</v>
      </c>
      <c r="I552" s="39" t="s">
        <v>32</v>
      </c>
      <c r="J552" s="37">
        <v>5</v>
      </c>
      <c r="K552" s="37">
        <v>5</v>
      </c>
      <c r="L552" s="65">
        <f t="shared" si="68"/>
        <v>1</v>
      </c>
      <c r="M552" s="65">
        <f t="shared" si="69"/>
        <v>1</v>
      </c>
      <c r="N552" s="37" t="s">
        <v>203</v>
      </c>
      <c r="O552" s="37" t="s">
        <v>203</v>
      </c>
      <c r="P552" s="37">
        <v>0</v>
      </c>
      <c r="Q552" s="37">
        <v>0</v>
      </c>
      <c r="R552" s="37" t="s">
        <v>2070</v>
      </c>
      <c r="S552" s="37"/>
    </row>
    <row r="553" spans="1:19" x14ac:dyDescent="0.3">
      <c r="A553" s="37">
        <v>406</v>
      </c>
      <c r="B553" s="37" t="s">
        <v>2069</v>
      </c>
      <c r="C553" s="37" t="s">
        <v>1364</v>
      </c>
      <c r="D553" s="37" t="s">
        <v>21</v>
      </c>
      <c r="E553" s="37" t="s">
        <v>22</v>
      </c>
      <c r="F553" s="42">
        <v>45657</v>
      </c>
      <c r="G553" s="37">
        <v>2024</v>
      </c>
      <c r="H553" s="37" t="s">
        <v>27</v>
      </c>
      <c r="I553" s="39" t="s">
        <v>36</v>
      </c>
      <c r="J553" s="37">
        <v>3</v>
      </c>
      <c r="K553" s="37">
        <v>3</v>
      </c>
      <c r="L553" s="65">
        <f t="shared" si="68"/>
        <v>1</v>
      </c>
      <c r="M553" s="65">
        <f t="shared" si="69"/>
        <v>1</v>
      </c>
      <c r="N553" s="37" t="s">
        <v>203</v>
      </c>
      <c r="O553" s="37" t="s">
        <v>203</v>
      </c>
      <c r="P553" s="37">
        <v>0</v>
      </c>
      <c r="Q553" s="37">
        <v>0</v>
      </c>
      <c r="R553" s="37" t="s">
        <v>3534</v>
      </c>
      <c r="S553" s="37"/>
    </row>
    <row r="554" spans="1:19" x14ac:dyDescent="0.3">
      <c r="A554" s="37">
        <v>407</v>
      </c>
      <c r="B554" s="37" t="s">
        <v>2072</v>
      </c>
      <c r="C554" s="37" t="s">
        <v>1627</v>
      </c>
      <c r="D554" s="37" t="s">
        <v>21</v>
      </c>
      <c r="E554" s="37" t="s">
        <v>22</v>
      </c>
      <c r="F554" s="42">
        <v>45291</v>
      </c>
      <c r="G554" s="37">
        <v>2023</v>
      </c>
      <c r="H554" s="37" t="s">
        <v>27</v>
      </c>
      <c r="I554" s="39" t="s">
        <v>32</v>
      </c>
      <c r="J554" s="37">
        <v>3</v>
      </c>
      <c r="K554" s="37">
        <v>3</v>
      </c>
      <c r="L554" s="65">
        <f t="shared" si="68"/>
        <v>1</v>
      </c>
      <c r="M554" s="65">
        <f t="shared" si="69"/>
        <v>1</v>
      </c>
      <c r="N554" s="37" t="s">
        <v>203</v>
      </c>
      <c r="O554" s="37" t="s">
        <v>203</v>
      </c>
      <c r="P554" s="37">
        <v>0</v>
      </c>
      <c r="Q554" s="37">
        <v>0</v>
      </c>
      <c r="R554" s="37" t="s">
        <v>2073</v>
      </c>
      <c r="S554" s="37"/>
    </row>
    <row r="555" spans="1:19" x14ac:dyDescent="0.3">
      <c r="A555" s="37">
        <v>407</v>
      </c>
      <c r="B555" s="37" t="s">
        <v>2072</v>
      </c>
      <c r="C555" s="37" t="s">
        <v>1627</v>
      </c>
      <c r="D555" s="37" t="s">
        <v>21</v>
      </c>
      <c r="E555" s="37" t="s">
        <v>22</v>
      </c>
      <c r="F555" s="42">
        <v>45657</v>
      </c>
      <c r="G555" s="37">
        <v>2024</v>
      </c>
      <c r="H555" s="37" t="s">
        <v>27</v>
      </c>
      <c r="I555" s="39" t="s">
        <v>36</v>
      </c>
      <c r="J555" s="37"/>
      <c r="K555" s="37"/>
      <c r="L555" s="65"/>
      <c r="M555" s="65"/>
      <c r="N555" s="37" t="s">
        <v>223</v>
      </c>
      <c r="O555" s="37" t="s">
        <v>223</v>
      </c>
      <c r="P555" s="37">
        <v>0</v>
      </c>
      <c r="Q555" s="37">
        <v>0</v>
      </c>
      <c r="R555" s="37" t="s">
        <v>3536</v>
      </c>
      <c r="S555" s="37"/>
    </row>
    <row r="556" spans="1:19" x14ac:dyDescent="0.3">
      <c r="A556" s="76">
        <v>408</v>
      </c>
      <c r="B556" s="76" t="s">
        <v>2074</v>
      </c>
      <c r="C556" s="76" t="s">
        <v>1627</v>
      </c>
      <c r="D556" s="76" t="s">
        <v>21</v>
      </c>
      <c r="E556" s="76" t="s">
        <v>22</v>
      </c>
      <c r="F556" s="77">
        <v>45291</v>
      </c>
      <c r="G556" s="76">
        <v>2023</v>
      </c>
      <c r="H556" s="76" t="s">
        <v>27</v>
      </c>
      <c r="I556" s="76" t="s">
        <v>32</v>
      </c>
      <c r="J556" s="76">
        <v>200</v>
      </c>
      <c r="K556" s="76">
        <v>100</v>
      </c>
      <c r="L556" s="78">
        <f t="shared" ref="L556:L565" si="70">IFERROR(IF(OR(J556=0,K556=""),"",IF(E556="Positivo",MIN(MAX(K556/J556,0),1.3),MIN(MAX(J556/K556,0),1.3))),"")</f>
        <v>0.5</v>
      </c>
      <c r="M556" s="78">
        <f t="shared" ref="M556:M565" si="71">IFERROR(IF(OR(J556=0,K556=""),"",IF(E556="Positivo",MAX(K556/J556,0),MAX(J556/K556,0))),"")</f>
        <v>0.5</v>
      </c>
      <c r="N556" s="76" t="s">
        <v>25</v>
      </c>
      <c r="O556" s="76" t="s">
        <v>25</v>
      </c>
      <c r="P556" s="76">
        <v>0</v>
      </c>
      <c r="Q556" s="76">
        <v>0</v>
      </c>
      <c r="R556" s="76" t="s">
        <v>2076</v>
      </c>
      <c r="S556" s="76"/>
    </row>
    <row r="557" spans="1:19" x14ac:dyDescent="0.3">
      <c r="A557" s="76">
        <v>408</v>
      </c>
      <c r="B557" s="76" t="s">
        <v>2074</v>
      </c>
      <c r="C557" s="76" t="s">
        <v>1627</v>
      </c>
      <c r="D557" s="76" t="s">
        <v>21</v>
      </c>
      <c r="E557" s="76" t="s">
        <v>22</v>
      </c>
      <c r="F557" s="77">
        <v>45657</v>
      </c>
      <c r="G557" s="76">
        <v>2024</v>
      </c>
      <c r="H557" s="76" t="s">
        <v>27</v>
      </c>
      <c r="I557" s="76" t="s">
        <v>36</v>
      </c>
      <c r="J557" s="76">
        <v>200</v>
      </c>
      <c r="K557" s="76">
        <v>100</v>
      </c>
      <c r="L557" s="78">
        <f t="shared" si="70"/>
        <v>0.5</v>
      </c>
      <c r="M557" s="78">
        <f t="shared" si="71"/>
        <v>0.5</v>
      </c>
      <c r="N557" s="76" t="s">
        <v>25</v>
      </c>
      <c r="O557" s="76" t="s">
        <v>25</v>
      </c>
      <c r="P557" s="76">
        <v>0</v>
      </c>
      <c r="Q557" s="76">
        <v>0</v>
      </c>
      <c r="R557" s="76" t="s">
        <v>2078</v>
      </c>
      <c r="S557" s="76"/>
    </row>
    <row r="558" spans="1:19" x14ac:dyDescent="0.3">
      <c r="A558" s="76">
        <v>409</v>
      </c>
      <c r="B558" s="76" t="s">
        <v>2081</v>
      </c>
      <c r="C558" s="76" t="s">
        <v>1303</v>
      </c>
      <c r="D558" s="76" t="s">
        <v>39</v>
      </c>
      <c r="E558" s="76" t="s">
        <v>22</v>
      </c>
      <c r="F558" s="77">
        <v>45291</v>
      </c>
      <c r="G558" s="76">
        <v>2023</v>
      </c>
      <c r="H558" s="76" t="s">
        <v>27</v>
      </c>
      <c r="I558" s="76" t="s">
        <v>32</v>
      </c>
      <c r="J558" s="76">
        <v>160</v>
      </c>
      <c r="K558" s="76">
        <v>203.71885459278539</v>
      </c>
      <c r="L558" s="78">
        <f t="shared" si="70"/>
        <v>1.2732428412049086</v>
      </c>
      <c r="M558" s="78">
        <f t="shared" si="71"/>
        <v>1.2732428412049086</v>
      </c>
      <c r="N558" s="76" t="s">
        <v>25</v>
      </c>
      <c r="O558" s="76" t="s">
        <v>25</v>
      </c>
      <c r="P558" s="76">
        <v>0</v>
      </c>
      <c r="Q558" s="76">
        <v>0</v>
      </c>
      <c r="R558" s="76" t="s">
        <v>2085</v>
      </c>
      <c r="S558" s="76"/>
    </row>
    <row r="559" spans="1:19" x14ac:dyDescent="0.3">
      <c r="A559" s="76">
        <v>409</v>
      </c>
      <c r="B559" s="76" t="s">
        <v>2081</v>
      </c>
      <c r="C559" s="76" t="s">
        <v>1303</v>
      </c>
      <c r="D559" s="76" t="s">
        <v>39</v>
      </c>
      <c r="E559" s="76" t="s">
        <v>22</v>
      </c>
      <c r="F559" s="77">
        <v>45657</v>
      </c>
      <c r="G559" s="76">
        <v>2024</v>
      </c>
      <c r="H559" s="76" t="s">
        <v>27</v>
      </c>
      <c r="I559" s="76" t="s">
        <v>36</v>
      </c>
      <c r="J559" s="76">
        <v>380</v>
      </c>
      <c r="K559" s="76">
        <v>390.09846852194312</v>
      </c>
      <c r="L559" s="78">
        <f t="shared" si="70"/>
        <v>1.0265749171630083</v>
      </c>
      <c r="M559" s="78">
        <f t="shared" si="71"/>
        <v>1.0265749171630083</v>
      </c>
      <c r="N559" s="76" t="s">
        <v>25</v>
      </c>
      <c r="O559" s="76" t="s">
        <v>25</v>
      </c>
      <c r="P559" s="76">
        <v>0</v>
      </c>
      <c r="Q559" s="76">
        <v>0</v>
      </c>
      <c r="R559" s="76" t="s">
        <v>2089</v>
      </c>
      <c r="S559" s="76"/>
    </row>
    <row r="560" spans="1:19" x14ac:dyDescent="0.3">
      <c r="A560" s="37">
        <v>410</v>
      </c>
      <c r="B560" s="37" t="s">
        <v>2091</v>
      </c>
      <c r="C560" s="37" t="s">
        <v>1303</v>
      </c>
      <c r="D560" s="37" t="s">
        <v>39</v>
      </c>
      <c r="E560" s="37" t="s">
        <v>22</v>
      </c>
      <c r="F560" s="42">
        <v>45291</v>
      </c>
      <c r="G560" s="37">
        <v>2023</v>
      </c>
      <c r="H560" s="37" t="s">
        <v>27</v>
      </c>
      <c r="I560" s="39" t="s">
        <v>32</v>
      </c>
      <c r="J560" s="37">
        <v>90</v>
      </c>
      <c r="K560" s="37">
        <v>100</v>
      </c>
      <c r="L560" s="65">
        <f t="shared" si="70"/>
        <v>1.1111111111111112</v>
      </c>
      <c r="M560" s="65">
        <f t="shared" si="71"/>
        <v>1.1111111111111112</v>
      </c>
      <c r="N560" s="37" t="s">
        <v>25</v>
      </c>
      <c r="O560" s="37" t="s">
        <v>25</v>
      </c>
      <c r="P560" s="37">
        <v>0</v>
      </c>
      <c r="Q560" s="37">
        <v>0</v>
      </c>
      <c r="R560" s="37" t="s">
        <v>3537</v>
      </c>
      <c r="S560" s="37"/>
    </row>
    <row r="561" spans="1:19" x14ac:dyDescent="0.3">
      <c r="A561" s="37">
        <v>411</v>
      </c>
      <c r="B561" s="37" t="s">
        <v>2093</v>
      </c>
      <c r="C561" s="37" t="s">
        <v>1998</v>
      </c>
      <c r="D561" s="37" t="s">
        <v>21</v>
      </c>
      <c r="E561" s="37" t="s">
        <v>22</v>
      </c>
      <c r="F561" s="42">
        <v>45291</v>
      </c>
      <c r="G561" s="37">
        <v>2023</v>
      </c>
      <c r="H561" s="37" t="s">
        <v>27</v>
      </c>
      <c r="I561" s="39" t="s">
        <v>32</v>
      </c>
      <c r="J561" s="37">
        <v>100</v>
      </c>
      <c r="K561" s="37">
        <v>100</v>
      </c>
      <c r="L561" s="65">
        <f t="shared" si="70"/>
        <v>1</v>
      </c>
      <c r="M561" s="65">
        <f t="shared" si="71"/>
        <v>1</v>
      </c>
      <c r="N561" s="37" t="s">
        <v>25</v>
      </c>
      <c r="O561" s="37" t="s">
        <v>25</v>
      </c>
      <c r="P561" s="37">
        <v>0</v>
      </c>
      <c r="Q561" s="37">
        <v>0</v>
      </c>
      <c r="R561" s="37" t="s">
        <v>2094</v>
      </c>
      <c r="S561" s="37"/>
    </row>
    <row r="562" spans="1:19" x14ac:dyDescent="0.3">
      <c r="A562" s="37">
        <v>412</v>
      </c>
      <c r="B562" s="37" t="s">
        <v>2095</v>
      </c>
      <c r="C562" s="37" t="s">
        <v>1998</v>
      </c>
      <c r="D562" s="37" t="s">
        <v>139</v>
      </c>
      <c r="E562" s="37" t="s">
        <v>22</v>
      </c>
      <c r="F562" s="42">
        <v>45291</v>
      </c>
      <c r="G562" s="37">
        <v>2023</v>
      </c>
      <c r="H562" s="37" t="s">
        <v>27</v>
      </c>
      <c r="I562" s="39" t="s">
        <v>32</v>
      </c>
      <c r="J562" s="37">
        <v>100</v>
      </c>
      <c r="K562" s="37">
        <v>100</v>
      </c>
      <c r="L562" s="65">
        <f t="shared" si="70"/>
        <v>1</v>
      </c>
      <c r="M562" s="65">
        <f t="shared" si="71"/>
        <v>1</v>
      </c>
      <c r="N562" s="37" t="s">
        <v>25</v>
      </c>
      <c r="O562" s="37" t="s">
        <v>25</v>
      </c>
      <c r="P562" s="37">
        <v>0</v>
      </c>
      <c r="Q562" s="37">
        <v>0</v>
      </c>
      <c r="R562" s="37" t="s">
        <v>2096</v>
      </c>
      <c r="S562" s="37"/>
    </row>
    <row r="563" spans="1:19" x14ac:dyDescent="0.3">
      <c r="A563" s="37">
        <v>412</v>
      </c>
      <c r="B563" s="37" t="s">
        <v>2097</v>
      </c>
      <c r="C563" s="37" t="s">
        <v>1998</v>
      </c>
      <c r="D563" s="37" t="s">
        <v>139</v>
      </c>
      <c r="E563" s="37" t="s">
        <v>22</v>
      </c>
      <c r="F563" s="42">
        <v>45657</v>
      </c>
      <c r="G563" s="37">
        <v>2024</v>
      </c>
      <c r="H563" s="37" t="s">
        <v>27</v>
      </c>
      <c r="I563" s="39" t="s">
        <v>36</v>
      </c>
      <c r="J563" s="37">
        <v>100</v>
      </c>
      <c r="K563" s="37">
        <v>100</v>
      </c>
      <c r="L563" s="65">
        <f t="shared" si="70"/>
        <v>1</v>
      </c>
      <c r="M563" s="65">
        <f t="shared" si="71"/>
        <v>1</v>
      </c>
      <c r="N563" s="37" t="s">
        <v>25</v>
      </c>
      <c r="O563" s="37" t="s">
        <v>25</v>
      </c>
      <c r="P563" s="37">
        <v>0</v>
      </c>
      <c r="Q563" s="37">
        <v>0</v>
      </c>
      <c r="R563" s="37" t="s">
        <v>2098</v>
      </c>
      <c r="S563" s="37"/>
    </row>
    <row r="564" spans="1:19" x14ac:dyDescent="0.3">
      <c r="A564" s="76">
        <v>413</v>
      </c>
      <c r="B564" s="76" t="s">
        <v>2101</v>
      </c>
      <c r="C564" s="76" t="s">
        <v>1998</v>
      </c>
      <c r="D564" s="76" t="s">
        <v>139</v>
      </c>
      <c r="E564" s="76" t="s">
        <v>22</v>
      </c>
      <c r="F564" s="77">
        <v>45291</v>
      </c>
      <c r="G564" s="76">
        <v>2023</v>
      </c>
      <c r="H564" s="76" t="s">
        <v>27</v>
      </c>
      <c r="I564" s="76" t="s">
        <v>32</v>
      </c>
      <c r="J564" s="76">
        <v>2</v>
      </c>
      <c r="K564" s="76">
        <v>2</v>
      </c>
      <c r="L564" s="78">
        <f t="shared" si="70"/>
        <v>1</v>
      </c>
      <c r="M564" s="78">
        <f t="shared" si="71"/>
        <v>1</v>
      </c>
      <c r="N564" s="76" t="s">
        <v>25</v>
      </c>
      <c r="O564" s="76" t="s">
        <v>25</v>
      </c>
      <c r="P564" s="76">
        <v>0</v>
      </c>
      <c r="Q564" s="76">
        <v>0</v>
      </c>
      <c r="R564" s="76" t="s">
        <v>2100</v>
      </c>
      <c r="S564" s="76"/>
    </row>
    <row r="565" spans="1:19" x14ac:dyDescent="0.3">
      <c r="A565" s="76">
        <v>413</v>
      </c>
      <c r="B565" s="76" t="s">
        <v>2101</v>
      </c>
      <c r="C565" s="76" t="s">
        <v>1998</v>
      </c>
      <c r="D565" s="76" t="s">
        <v>139</v>
      </c>
      <c r="E565" s="76" t="s">
        <v>22</v>
      </c>
      <c r="F565" s="77">
        <v>45657</v>
      </c>
      <c r="G565" s="76">
        <v>2024</v>
      </c>
      <c r="H565" s="76" t="s">
        <v>27</v>
      </c>
      <c r="I565" s="76" t="s">
        <v>36</v>
      </c>
      <c r="J565" s="76">
        <v>3</v>
      </c>
      <c r="K565" s="76">
        <v>3</v>
      </c>
      <c r="L565" s="78">
        <f t="shared" si="70"/>
        <v>1</v>
      </c>
      <c r="M565" s="78">
        <f t="shared" si="71"/>
        <v>1</v>
      </c>
      <c r="N565" s="76" t="s">
        <v>25</v>
      </c>
      <c r="O565" s="76" t="s">
        <v>25</v>
      </c>
      <c r="P565" s="76">
        <v>0</v>
      </c>
      <c r="Q565" s="76">
        <v>0</v>
      </c>
      <c r="R565" s="76" t="s">
        <v>2102</v>
      </c>
      <c r="S565" s="76"/>
    </row>
    <row r="566" spans="1:19" x14ac:dyDescent="0.3">
      <c r="A566" s="76">
        <v>414</v>
      </c>
      <c r="B566" s="76" t="s">
        <v>2103</v>
      </c>
      <c r="C566" s="76" t="s">
        <v>1263</v>
      </c>
      <c r="D566" s="76" t="s">
        <v>39</v>
      </c>
      <c r="E566" s="76" t="s">
        <v>22</v>
      </c>
      <c r="F566" s="77">
        <v>45291</v>
      </c>
      <c r="G566" s="76">
        <v>2023</v>
      </c>
      <c r="H566" s="76" t="s">
        <v>27</v>
      </c>
      <c r="I566" s="76" t="s">
        <v>32</v>
      </c>
      <c r="J566" s="76">
        <v>100</v>
      </c>
      <c r="K566" s="76">
        <v>96.28</v>
      </c>
      <c r="L566" s="78">
        <f t="shared" ref="L566:L575" si="72">IFERROR(IF(OR(J566=0,K566=""),"",IF(E566="Positivo",MIN(MAX(K566/J566,0),1),MIN(MAX(J566/K566,0),1))),"")</f>
        <v>0.96279999999999999</v>
      </c>
      <c r="M566" s="78">
        <f t="shared" ref="M566:M575" si="73">IFERROR(IF(OR(J566=0,K566=""),"",IF(E566="Positivo",MIN(MAX(K566/J566,0),1),MIN(MAX(J566/K566,0),1))),"")</f>
        <v>0.96279999999999999</v>
      </c>
      <c r="N566" s="76" t="s">
        <v>25</v>
      </c>
      <c r="O566" s="76" t="s">
        <v>25</v>
      </c>
      <c r="P566" s="76">
        <v>0</v>
      </c>
      <c r="Q566" s="76">
        <v>0</v>
      </c>
      <c r="R566" s="76" t="s">
        <v>2107</v>
      </c>
      <c r="S566" s="76"/>
    </row>
    <row r="567" spans="1:19" x14ac:dyDescent="0.3">
      <c r="A567" s="76">
        <v>414</v>
      </c>
      <c r="B567" s="76" t="s">
        <v>2103</v>
      </c>
      <c r="C567" s="76" t="s">
        <v>1263</v>
      </c>
      <c r="D567" s="76" t="s">
        <v>39</v>
      </c>
      <c r="E567" s="76" t="s">
        <v>22</v>
      </c>
      <c r="F567" s="77">
        <v>45657</v>
      </c>
      <c r="G567" s="76">
        <v>2024</v>
      </c>
      <c r="H567" s="76" t="s">
        <v>27</v>
      </c>
      <c r="I567" s="76" t="s">
        <v>36</v>
      </c>
      <c r="J567" s="76">
        <v>100</v>
      </c>
      <c r="K567" s="76">
        <v>98.78</v>
      </c>
      <c r="L567" s="78">
        <f t="shared" si="72"/>
        <v>0.98780000000000001</v>
      </c>
      <c r="M567" s="78">
        <f t="shared" si="73"/>
        <v>0.98780000000000001</v>
      </c>
      <c r="N567" s="76" t="s">
        <v>25</v>
      </c>
      <c r="O567" s="76" t="s">
        <v>25</v>
      </c>
      <c r="P567" s="76">
        <v>0</v>
      </c>
      <c r="Q567" s="76">
        <v>0</v>
      </c>
      <c r="R567" s="76" t="s">
        <v>2111</v>
      </c>
      <c r="S567" s="76"/>
    </row>
    <row r="568" spans="1:19" x14ac:dyDescent="0.3">
      <c r="A568" s="76">
        <v>415</v>
      </c>
      <c r="B568" s="76" t="s">
        <v>2116</v>
      </c>
      <c r="C568" s="76" t="s">
        <v>1263</v>
      </c>
      <c r="D568" s="76" t="s">
        <v>39</v>
      </c>
      <c r="E568" s="76" t="s">
        <v>22</v>
      </c>
      <c r="F568" s="77">
        <v>45291</v>
      </c>
      <c r="G568" s="76">
        <v>2023</v>
      </c>
      <c r="H568" s="76" t="s">
        <v>27</v>
      </c>
      <c r="I568" s="76" t="s">
        <v>32</v>
      </c>
      <c r="J568" s="76">
        <v>100</v>
      </c>
      <c r="K568" s="76">
        <v>96</v>
      </c>
      <c r="L568" s="78">
        <f t="shared" si="72"/>
        <v>0.96</v>
      </c>
      <c r="M568" s="78">
        <f t="shared" si="73"/>
        <v>0.96</v>
      </c>
      <c r="N568" s="76" t="s">
        <v>25</v>
      </c>
      <c r="O568" s="76" t="s">
        <v>25</v>
      </c>
      <c r="P568" s="76">
        <v>0</v>
      </c>
      <c r="Q568" s="76">
        <v>0</v>
      </c>
      <c r="R568" s="76" t="s">
        <v>2120</v>
      </c>
      <c r="S568" s="76"/>
    </row>
    <row r="569" spans="1:19" x14ac:dyDescent="0.3">
      <c r="A569" s="76">
        <v>415</v>
      </c>
      <c r="B569" s="76" t="s">
        <v>2116</v>
      </c>
      <c r="C569" s="76" t="s">
        <v>1263</v>
      </c>
      <c r="D569" s="76" t="s">
        <v>39</v>
      </c>
      <c r="E569" s="76" t="s">
        <v>22</v>
      </c>
      <c r="F569" s="77">
        <v>45657</v>
      </c>
      <c r="G569" s="76">
        <v>2024</v>
      </c>
      <c r="H569" s="76" t="s">
        <v>27</v>
      </c>
      <c r="I569" s="76" t="s">
        <v>36</v>
      </c>
      <c r="J569" s="76">
        <v>100</v>
      </c>
      <c r="K569" s="76">
        <v>98.36</v>
      </c>
      <c r="L569" s="78">
        <f t="shared" si="72"/>
        <v>0.98360000000000003</v>
      </c>
      <c r="M569" s="78">
        <f t="shared" si="73"/>
        <v>0.98360000000000003</v>
      </c>
      <c r="N569" s="76" t="s">
        <v>25</v>
      </c>
      <c r="O569" s="76" t="s">
        <v>25</v>
      </c>
      <c r="P569" s="76">
        <v>0</v>
      </c>
      <c r="Q569" s="76">
        <v>0</v>
      </c>
      <c r="R569" s="76" t="s">
        <v>2124</v>
      </c>
      <c r="S569" s="76"/>
    </row>
    <row r="570" spans="1:19" x14ac:dyDescent="0.3">
      <c r="A570" s="76">
        <v>416</v>
      </c>
      <c r="B570" s="76" t="s">
        <v>2129</v>
      </c>
      <c r="C570" s="76" t="s">
        <v>1263</v>
      </c>
      <c r="D570" s="76" t="s">
        <v>39</v>
      </c>
      <c r="E570" s="76" t="s">
        <v>22</v>
      </c>
      <c r="F570" s="77">
        <v>45291</v>
      </c>
      <c r="G570" s="76">
        <v>2023</v>
      </c>
      <c r="H570" s="76" t="s">
        <v>27</v>
      </c>
      <c r="I570" s="76" t="s">
        <v>32</v>
      </c>
      <c r="J570" s="76">
        <v>100</v>
      </c>
      <c r="K570" s="76">
        <v>98</v>
      </c>
      <c r="L570" s="78">
        <f t="shared" si="72"/>
        <v>0.98</v>
      </c>
      <c r="M570" s="78">
        <f t="shared" si="73"/>
        <v>0.98</v>
      </c>
      <c r="N570" s="76" t="s">
        <v>25</v>
      </c>
      <c r="O570" s="76" t="s">
        <v>25</v>
      </c>
      <c r="P570" s="76">
        <v>0</v>
      </c>
      <c r="Q570" s="76">
        <v>0</v>
      </c>
      <c r="R570" s="76" t="s">
        <v>2133</v>
      </c>
      <c r="S570" s="76"/>
    </row>
    <row r="571" spans="1:19" x14ac:dyDescent="0.3">
      <c r="A571" s="76">
        <v>416</v>
      </c>
      <c r="B571" s="76" t="s">
        <v>2129</v>
      </c>
      <c r="C571" s="76" t="s">
        <v>1263</v>
      </c>
      <c r="D571" s="76" t="s">
        <v>39</v>
      </c>
      <c r="E571" s="76" t="s">
        <v>22</v>
      </c>
      <c r="F571" s="77">
        <v>45657</v>
      </c>
      <c r="G571" s="76">
        <v>2024</v>
      </c>
      <c r="H571" s="76" t="s">
        <v>27</v>
      </c>
      <c r="I571" s="76" t="s">
        <v>36</v>
      </c>
      <c r="J571" s="76">
        <v>100</v>
      </c>
      <c r="K571" s="76">
        <v>100</v>
      </c>
      <c r="L571" s="78">
        <f t="shared" si="72"/>
        <v>1</v>
      </c>
      <c r="M571" s="78">
        <f t="shared" si="73"/>
        <v>1</v>
      </c>
      <c r="N571" s="76" t="s">
        <v>25</v>
      </c>
      <c r="O571" s="76" t="s">
        <v>25</v>
      </c>
      <c r="P571" s="76">
        <v>0</v>
      </c>
      <c r="Q571" s="76">
        <v>0</v>
      </c>
      <c r="R571" s="76" t="s">
        <v>2137</v>
      </c>
      <c r="S571" s="76"/>
    </row>
    <row r="572" spans="1:19" x14ac:dyDescent="0.3">
      <c r="A572" s="76">
        <v>417</v>
      </c>
      <c r="B572" s="76" t="s">
        <v>2142</v>
      </c>
      <c r="C572" s="76" t="s">
        <v>1263</v>
      </c>
      <c r="D572" s="76" t="s">
        <v>39</v>
      </c>
      <c r="E572" s="76" t="s">
        <v>22</v>
      </c>
      <c r="F572" s="77">
        <v>45291</v>
      </c>
      <c r="G572" s="76">
        <v>2023</v>
      </c>
      <c r="H572" s="76" t="s">
        <v>27</v>
      </c>
      <c r="I572" s="76" t="s">
        <v>32</v>
      </c>
      <c r="J572" s="76">
        <v>100</v>
      </c>
      <c r="K572" s="76">
        <v>94.39</v>
      </c>
      <c r="L572" s="78">
        <f t="shared" si="72"/>
        <v>0.94389999999999996</v>
      </c>
      <c r="M572" s="78">
        <f t="shared" si="73"/>
        <v>0.94389999999999996</v>
      </c>
      <c r="N572" s="76" t="s">
        <v>25</v>
      </c>
      <c r="O572" s="76" t="s">
        <v>25</v>
      </c>
      <c r="P572" s="76">
        <v>0</v>
      </c>
      <c r="Q572" s="76">
        <v>0</v>
      </c>
      <c r="R572" s="76" t="s">
        <v>2146</v>
      </c>
      <c r="S572" s="76"/>
    </row>
    <row r="573" spans="1:19" x14ac:dyDescent="0.3">
      <c r="A573" s="76">
        <v>417</v>
      </c>
      <c r="B573" s="76" t="s">
        <v>2142</v>
      </c>
      <c r="C573" s="76" t="s">
        <v>1263</v>
      </c>
      <c r="D573" s="76" t="s">
        <v>39</v>
      </c>
      <c r="E573" s="76" t="s">
        <v>22</v>
      </c>
      <c r="F573" s="77">
        <v>45657</v>
      </c>
      <c r="G573" s="76">
        <v>2024</v>
      </c>
      <c r="H573" s="76" t="s">
        <v>27</v>
      </c>
      <c r="I573" s="76" t="s">
        <v>36</v>
      </c>
      <c r="J573" s="76">
        <v>100</v>
      </c>
      <c r="K573" s="76">
        <v>98.83</v>
      </c>
      <c r="L573" s="78">
        <f t="shared" si="72"/>
        <v>0.98829999999999996</v>
      </c>
      <c r="M573" s="78">
        <f t="shared" si="73"/>
        <v>0.98829999999999996</v>
      </c>
      <c r="N573" s="76" t="s">
        <v>25</v>
      </c>
      <c r="O573" s="76" t="s">
        <v>25</v>
      </c>
      <c r="P573" s="76">
        <v>0</v>
      </c>
      <c r="Q573" s="76">
        <v>0</v>
      </c>
      <c r="R573" s="76" t="s">
        <v>2150</v>
      </c>
      <c r="S573" s="76"/>
    </row>
    <row r="574" spans="1:19" x14ac:dyDescent="0.3">
      <c r="A574" s="76">
        <v>418</v>
      </c>
      <c r="B574" s="76" t="s">
        <v>2155</v>
      </c>
      <c r="C574" s="76" t="s">
        <v>1263</v>
      </c>
      <c r="D574" s="76" t="s">
        <v>39</v>
      </c>
      <c r="E574" s="76" t="s">
        <v>22</v>
      </c>
      <c r="F574" s="77">
        <v>45291</v>
      </c>
      <c r="G574" s="76">
        <v>2023</v>
      </c>
      <c r="H574" s="76" t="s">
        <v>27</v>
      </c>
      <c r="I574" s="76" t="s">
        <v>32</v>
      </c>
      <c r="J574" s="76">
        <v>100</v>
      </c>
      <c r="K574" s="76">
        <v>95.802222222221999</v>
      </c>
      <c r="L574" s="78">
        <f t="shared" si="72"/>
        <v>0.95802222222222</v>
      </c>
      <c r="M574" s="78">
        <f t="shared" si="73"/>
        <v>0.95802222222222</v>
      </c>
      <c r="N574" s="76" t="s">
        <v>25</v>
      </c>
      <c r="O574" s="76" t="s">
        <v>25</v>
      </c>
      <c r="P574" s="76">
        <v>0</v>
      </c>
      <c r="Q574" s="76">
        <v>0</v>
      </c>
      <c r="R574" s="76" t="s">
        <v>2159</v>
      </c>
      <c r="S574" s="76"/>
    </row>
    <row r="575" spans="1:19" x14ac:dyDescent="0.3">
      <c r="A575" s="76">
        <v>418</v>
      </c>
      <c r="B575" s="76" t="s">
        <v>2155</v>
      </c>
      <c r="C575" s="76" t="s">
        <v>1263</v>
      </c>
      <c r="D575" s="76" t="s">
        <v>39</v>
      </c>
      <c r="E575" s="76" t="s">
        <v>22</v>
      </c>
      <c r="F575" s="77">
        <v>45657</v>
      </c>
      <c r="G575" s="76">
        <v>2024</v>
      </c>
      <c r="H575" s="76" t="s">
        <v>27</v>
      </c>
      <c r="I575" s="76" t="s">
        <v>36</v>
      </c>
      <c r="J575" s="76">
        <v>100</v>
      </c>
      <c r="K575" s="76">
        <v>97.78</v>
      </c>
      <c r="L575" s="78">
        <f t="shared" si="72"/>
        <v>0.9778</v>
      </c>
      <c r="M575" s="78">
        <f t="shared" si="73"/>
        <v>0.9778</v>
      </c>
      <c r="N575" s="76" t="s">
        <v>25</v>
      </c>
      <c r="O575" s="76" t="s">
        <v>25</v>
      </c>
      <c r="P575" s="76">
        <v>0</v>
      </c>
      <c r="Q575" s="76">
        <v>0</v>
      </c>
      <c r="R575" s="76" t="s">
        <v>2163</v>
      </c>
      <c r="S575" s="76"/>
    </row>
    <row r="576" spans="1:19" x14ac:dyDescent="0.3">
      <c r="A576" s="37">
        <v>419</v>
      </c>
      <c r="B576" s="37" t="s">
        <v>2168</v>
      </c>
      <c r="C576" s="37" t="s">
        <v>1263</v>
      </c>
      <c r="D576" s="37" t="s">
        <v>39</v>
      </c>
      <c r="E576" s="37" t="s">
        <v>22</v>
      </c>
      <c r="F576" s="42">
        <v>45291</v>
      </c>
      <c r="G576" s="37">
        <v>2023</v>
      </c>
      <c r="H576" s="37" t="s">
        <v>27</v>
      </c>
      <c r="I576" s="39" t="s">
        <v>32</v>
      </c>
      <c r="J576" s="37">
        <v>100</v>
      </c>
      <c r="K576" s="37">
        <v>93.56</v>
      </c>
      <c r="L576" s="65">
        <f>IFERROR(IF(OR(J576=0,K576=""),"",IF(E576="Positivo",MIN(MAX(K576/J576,0),1.3),MIN(MAX(J576/K576,0),1.3))),"")</f>
        <v>0.93559999999999999</v>
      </c>
      <c r="M576" s="65">
        <f>IFERROR(IF(OR(J576=0,K576=""),"",IF(E576="Positivo",MAX(K576/J576,0),MAX(J576/K576,0))),"")</f>
        <v>0.93559999999999999</v>
      </c>
      <c r="N576" s="37" t="s">
        <v>25</v>
      </c>
      <c r="O576" s="37" t="s">
        <v>25</v>
      </c>
      <c r="P576" s="37">
        <v>0</v>
      </c>
      <c r="Q576" s="37">
        <v>0</v>
      </c>
      <c r="R576" s="37" t="s">
        <v>2171</v>
      </c>
      <c r="S576" s="37"/>
    </row>
    <row r="577" spans="1:19" x14ac:dyDescent="0.3">
      <c r="A577" s="76">
        <v>420</v>
      </c>
      <c r="B577" s="76" t="s">
        <v>2172</v>
      </c>
      <c r="C577" s="76" t="s">
        <v>1263</v>
      </c>
      <c r="D577" s="76" t="s">
        <v>39</v>
      </c>
      <c r="E577" s="76" t="s">
        <v>22</v>
      </c>
      <c r="F577" s="77">
        <v>45291</v>
      </c>
      <c r="G577" s="76">
        <v>2023</v>
      </c>
      <c r="H577" s="76" t="s">
        <v>27</v>
      </c>
      <c r="I577" s="76" t="s">
        <v>32</v>
      </c>
      <c r="J577" s="76">
        <v>100</v>
      </c>
      <c r="K577" s="76">
        <v>100</v>
      </c>
      <c r="L577" s="78">
        <f>IFERROR(IF(OR(J577=0,K577=""),"",IF(E577="Positivo",MIN(MAX(K577/J577,0),1),MIN(MAX(J577/K577,0),1))),"")</f>
        <v>1</v>
      </c>
      <c r="M577" s="78">
        <f>IFERROR(IF(OR(J577=0,K577=""),"",IF(E577="Positivo",MIN(MAX(K577/J577,0),1),MIN(MAX(J577/K577,0),1))),"")</f>
        <v>1</v>
      </c>
      <c r="N577" s="76" t="s">
        <v>25</v>
      </c>
      <c r="O577" s="76" t="s">
        <v>25</v>
      </c>
      <c r="P577" s="76">
        <v>0</v>
      </c>
      <c r="Q577" s="76">
        <v>0</v>
      </c>
      <c r="R577" s="76" t="s">
        <v>2176</v>
      </c>
      <c r="S577" s="76"/>
    </row>
    <row r="578" spans="1:19" x14ac:dyDescent="0.3">
      <c r="A578" s="76">
        <v>420</v>
      </c>
      <c r="B578" s="76" t="s">
        <v>2172</v>
      </c>
      <c r="C578" s="76" t="s">
        <v>1263</v>
      </c>
      <c r="D578" s="76" t="s">
        <v>39</v>
      </c>
      <c r="E578" s="76" t="s">
        <v>22</v>
      </c>
      <c r="F578" s="77">
        <v>45657</v>
      </c>
      <c r="G578" s="76">
        <v>2024</v>
      </c>
      <c r="H578" s="76" t="s">
        <v>27</v>
      </c>
      <c r="I578" s="76" t="s">
        <v>36</v>
      </c>
      <c r="J578" s="76">
        <v>100</v>
      </c>
      <c r="K578" s="76">
        <v>96.67</v>
      </c>
      <c r="L578" s="78">
        <f>IFERROR(IF(OR(J578=0,K578=""),"",IF(E578="Positivo",MIN(MAX(K578/J578,0),1),MIN(MAX(J578/K578,0),1))),"")</f>
        <v>0.9667</v>
      </c>
      <c r="M578" s="78">
        <f>IFERROR(IF(OR(J578=0,K578=""),"",IF(E578="Positivo",MIN(MAX(K578/J578,0),1),MIN(MAX(J578/K578,0),1))),"")</f>
        <v>0.9667</v>
      </c>
      <c r="N578" s="76" t="s">
        <v>25</v>
      </c>
      <c r="O578" s="76" t="s">
        <v>25</v>
      </c>
      <c r="P578" s="76">
        <v>0</v>
      </c>
      <c r="Q578" s="76">
        <v>0</v>
      </c>
      <c r="R578" s="76" t="s">
        <v>2180</v>
      </c>
      <c r="S578" s="76"/>
    </row>
    <row r="579" spans="1:19" x14ac:dyDescent="0.3">
      <c r="A579" s="37">
        <v>421</v>
      </c>
      <c r="B579" s="37" t="s">
        <v>2185</v>
      </c>
      <c r="C579" s="37" t="s">
        <v>2186</v>
      </c>
      <c r="D579" s="37" t="s">
        <v>21</v>
      </c>
      <c r="E579" s="37" t="s">
        <v>22</v>
      </c>
      <c r="F579" s="42">
        <v>45291</v>
      </c>
      <c r="G579" s="37">
        <v>2023</v>
      </c>
      <c r="H579" s="37" t="s">
        <v>27</v>
      </c>
      <c r="I579" s="39" t="s">
        <v>32</v>
      </c>
      <c r="J579" s="37">
        <v>201272</v>
      </c>
      <c r="K579" s="37">
        <v>276201</v>
      </c>
      <c r="L579" s="65">
        <f t="shared" ref="L579:L600" si="74">IFERROR(IF(OR(J579=0,K579=""),"",IF(E579="Positivo",MIN(MAX(K579/J579,0),1.3),MIN(MAX(J579/K579,0),1.3))),"")</f>
        <v>1.3</v>
      </c>
      <c r="M579" s="65">
        <f t="shared" ref="M579:M600" si="75">IFERROR(IF(OR(J579=0,K579=""),"",IF(E579="Positivo",MAX(K579/J579,0),MAX(J579/K579,0))),"")</f>
        <v>1.3722773162685322</v>
      </c>
      <c r="N579" s="37" t="s">
        <v>203</v>
      </c>
      <c r="O579" s="37" t="s">
        <v>203</v>
      </c>
      <c r="P579" s="37">
        <v>0</v>
      </c>
      <c r="Q579" s="37">
        <v>0</v>
      </c>
      <c r="R579" s="37" t="s">
        <v>2188</v>
      </c>
      <c r="S579" s="37"/>
    </row>
    <row r="580" spans="1:19" x14ac:dyDescent="0.3">
      <c r="A580" s="37">
        <v>421</v>
      </c>
      <c r="B580" s="37" t="s">
        <v>2185</v>
      </c>
      <c r="C580" s="37" t="s">
        <v>2186</v>
      </c>
      <c r="D580" s="37" t="s">
        <v>21</v>
      </c>
      <c r="E580" s="37" t="s">
        <v>22</v>
      </c>
      <c r="F580" s="42">
        <v>45657</v>
      </c>
      <c r="G580" s="37">
        <v>2024</v>
      </c>
      <c r="H580" s="37" t="s">
        <v>27</v>
      </c>
      <c r="I580" s="39" t="s">
        <v>36</v>
      </c>
      <c r="J580" s="37">
        <v>100</v>
      </c>
      <c r="K580" s="37">
        <v>121.44</v>
      </c>
      <c r="L580" s="65">
        <f t="shared" si="74"/>
        <v>1.2143999999999999</v>
      </c>
      <c r="M580" s="65">
        <f t="shared" si="75"/>
        <v>1.2143999999999999</v>
      </c>
      <c r="N580" s="37" t="s">
        <v>203</v>
      </c>
      <c r="O580" s="37" t="s">
        <v>203</v>
      </c>
      <c r="P580" s="37">
        <v>0</v>
      </c>
      <c r="Q580" s="37">
        <v>0</v>
      </c>
      <c r="R580" s="37" t="s">
        <v>2190</v>
      </c>
      <c r="S580" s="37"/>
    </row>
    <row r="581" spans="1:19" x14ac:dyDescent="0.3">
      <c r="A581" s="76">
        <v>422</v>
      </c>
      <c r="B581" s="76" t="s">
        <v>2191</v>
      </c>
      <c r="C581" s="76" t="s">
        <v>2186</v>
      </c>
      <c r="D581" s="76" t="s">
        <v>21</v>
      </c>
      <c r="E581" s="76" t="s">
        <v>22</v>
      </c>
      <c r="F581" s="77">
        <v>45291</v>
      </c>
      <c r="G581" s="76">
        <v>2023</v>
      </c>
      <c r="H581" s="76" t="s">
        <v>27</v>
      </c>
      <c r="I581" s="76" t="s">
        <v>32</v>
      </c>
      <c r="J581" s="76">
        <v>10.5</v>
      </c>
      <c r="K581" s="76">
        <v>11.04</v>
      </c>
      <c r="L581" s="78">
        <f t="shared" si="74"/>
        <v>1.0514285714285714</v>
      </c>
      <c r="M581" s="78">
        <f t="shared" si="75"/>
        <v>1.0514285714285714</v>
      </c>
      <c r="N581" s="76" t="s">
        <v>25</v>
      </c>
      <c r="O581" s="76" t="s">
        <v>25</v>
      </c>
      <c r="P581" s="76">
        <v>0</v>
      </c>
      <c r="Q581" s="76">
        <v>0</v>
      </c>
      <c r="R581" s="76" t="s">
        <v>2193</v>
      </c>
      <c r="S581" s="76"/>
    </row>
    <row r="582" spans="1:19" x14ac:dyDescent="0.3">
      <c r="A582" s="76">
        <v>422</v>
      </c>
      <c r="B582" s="76" t="s">
        <v>2191</v>
      </c>
      <c r="C582" s="76" t="s">
        <v>2186</v>
      </c>
      <c r="D582" s="76" t="s">
        <v>21</v>
      </c>
      <c r="E582" s="76" t="s">
        <v>22</v>
      </c>
      <c r="F582" s="77">
        <v>45657</v>
      </c>
      <c r="G582" s="76">
        <v>2024</v>
      </c>
      <c r="H582" s="76" t="s">
        <v>27</v>
      </c>
      <c r="I582" s="76" t="s">
        <v>36</v>
      </c>
      <c r="J582" s="76">
        <v>8.01</v>
      </c>
      <c r="K582" s="76">
        <v>7.91</v>
      </c>
      <c r="L582" s="78">
        <f t="shared" si="74"/>
        <v>0.98751560549313366</v>
      </c>
      <c r="M582" s="78">
        <f t="shared" si="75"/>
        <v>0.98751560549313366</v>
      </c>
      <c r="N582" s="76" t="s">
        <v>25</v>
      </c>
      <c r="O582" s="76" t="s">
        <v>25</v>
      </c>
      <c r="P582" s="76">
        <v>0</v>
      </c>
      <c r="Q582" s="76">
        <v>0</v>
      </c>
      <c r="R582" s="76" t="s">
        <v>2195</v>
      </c>
      <c r="S582" s="76"/>
    </row>
    <row r="583" spans="1:19" x14ac:dyDescent="0.3">
      <c r="A583" s="76">
        <v>423</v>
      </c>
      <c r="B583" s="76" t="s">
        <v>2196</v>
      </c>
      <c r="C583" s="76" t="s">
        <v>2186</v>
      </c>
      <c r="D583" s="76" t="s">
        <v>139</v>
      </c>
      <c r="E583" s="76" t="s">
        <v>22</v>
      </c>
      <c r="F583" s="77">
        <v>45291</v>
      </c>
      <c r="G583" s="76">
        <v>2023</v>
      </c>
      <c r="H583" s="76" t="s">
        <v>27</v>
      </c>
      <c r="I583" s="76" t="s">
        <v>32</v>
      </c>
      <c r="J583" s="76">
        <v>1</v>
      </c>
      <c r="K583" s="76">
        <v>7.9</v>
      </c>
      <c r="L583" s="78">
        <f t="shared" si="74"/>
        <v>1.3</v>
      </c>
      <c r="M583" s="78">
        <f t="shared" si="75"/>
        <v>7.9</v>
      </c>
      <c r="N583" s="76" t="s">
        <v>25</v>
      </c>
      <c r="O583" s="76" t="s">
        <v>25</v>
      </c>
      <c r="P583" s="76">
        <v>0</v>
      </c>
      <c r="Q583" s="76">
        <v>0</v>
      </c>
      <c r="R583" s="76" t="s">
        <v>2197</v>
      </c>
      <c r="S583" s="76"/>
    </row>
    <row r="584" spans="1:19" x14ac:dyDescent="0.3">
      <c r="A584" s="76">
        <v>423</v>
      </c>
      <c r="B584" s="76" t="s">
        <v>2196</v>
      </c>
      <c r="C584" s="76" t="s">
        <v>2186</v>
      </c>
      <c r="D584" s="76" t="s">
        <v>139</v>
      </c>
      <c r="E584" s="76" t="s">
        <v>22</v>
      </c>
      <c r="F584" s="77">
        <v>45657</v>
      </c>
      <c r="G584" s="76">
        <v>2024</v>
      </c>
      <c r="H584" s="76" t="s">
        <v>27</v>
      </c>
      <c r="I584" s="76" t="s">
        <v>36</v>
      </c>
      <c r="J584" s="76">
        <v>1</v>
      </c>
      <c r="K584" s="76">
        <v>12.3</v>
      </c>
      <c r="L584" s="78">
        <f t="shared" si="74"/>
        <v>1.3</v>
      </c>
      <c r="M584" s="78">
        <f t="shared" si="75"/>
        <v>12.3</v>
      </c>
      <c r="N584" s="76" t="s">
        <v>25</v>
      </c>
      <c r="O584" s="76" t="s">
        <v>25</v>
      </c>
      <c r="P584" s="76">
        <v>0</v>
      </c>
      <c r="Q584" s="76">
        <v>0</v>
      </c>
      <c r="R584" s="76" t="s">
        <v>2198</v>
      </c>
      <c r="S584" s="76"/>
    </row>
    <row r="585" spans="1:19" x14ac:dyDescent="0.3">
      <c r="A585" s="76">
        <v>424</v>
      </c>
      <c r="B585" s="76" t="s">
        <v>2202</v>
      </c>
      <c r="C585" s="76" t="s">
        <v>2186</v>
      </c>
      <c r="D585" s="76" t="s">
        <v>139</v>
      </c>
      <c r="E585" s="76" t="s">
        <v>22</v>
      </c>
      <c r="F585" s="77">
        <v>45291</v>
      </c>
      <c r="G585" s="76">
        <v>2023</v>
      </c>
      <c r="H585" s="76" t="s">
        <v>27</v>
      </c>
      <c r="I585" s="76" t="s">
        <v>32</v>
      </c>
      <c r="J585" s="76">
        <v>1</v>
      </c>
      <c r="K585" s="76">
        <v>6</v>
      </c>
      <c r="L585" s="78">
        <f t="shared" si="74"/>
        <v>1.3</v>
      </c>
      <c r="M585" s="78">
        <f t="shared" si="75"/>
        <v>6</v>
      </c>
      <c r="N585" s="76" t="s">
        <v>25</v>
      </c>
      <c r="O585" s="76" t="s">
        <v>25</v>
      </c>
      <c r="P585" s="76">
        <v>0</v>
      </c>
      <c r="Q585" s="76">
        <v>0</v>
      </c>
      <c r="R585" s="76" t="s">
        <v>2200</v>
      </c>
      <c r="S585" s="76"/>
    </row>
    <row r="586" spans="1:19" x14ac:dyDescent="0.3">
      <c r="A586" s="76">
        <v>424</v>
      </c>
      <c r="B586" s="76" t="s">
        <v>2202</v>
      </c>
      <c r="C586" s="76" t="s">
        <v>2186</v>
      </c>
      <c r="D586" s="76" t="s">
        <v>139</v>
      </c>
      <c r="E586" s="76" t="s">
        <v>22</v>
      </c>
      <c r="F586" s="77">
        <v>45657</v>
      </c>
      <c r="G586" s="76">
        <v>2024</v>
      </c>
      <c r="H586" s="76" t="s">
        <v>27</v>
      </c>
      <c r="I586" s="76" t="s">
        <v>36</v>
      </c>
      <c r="J586" s="76">
        <v>1</v>
      </c>
      <c r="K586" s="76">
        <v>9</v>
      </c>
      <c r="L586" s="78">
        <f t="shared" si="74"/>
        <v>1.3</v>
      </c>
      <c r="M586" s="78">
        <f t="shared" si="75"/>
        <v>9</v>
      </c>
      <c r="N586" s="76" t="s">
        <v>25</v>
      </c>
      <c r="O586" s="76" t="s">
        <v>25</v>
      </c>
      <c r="P586" s="76">
        <v>0</v>
      </c>
      <c r="Q586" s="76">
        <v>0</v>
      </c>
      <c r="R586" s="76" t="s">
        <v>2201</v>
      </c>
      <c r="S586" s="76"/>
    </row>
    <row r="587" spans="1:19" x14ac:dyDescent="0.3">
      <c r="A587" s="37">
        <v>425</v>
      </c>
      <c r="B587" s="37" t="s">
        <v>2203</v>
      </c>
      <c r="C587" s="37" t="s">
        <v>1946</v>
      </c>
      <c r="D587" s="37" t="s">
        <v>139</v>
      </c>
      <c r="E587" s="37" t="s">
        <v>22</v>
      </c>
      <c r="F587" s="42">
        <v>45291</v>
      </c>
      <c r="G587" s="37">
        <v>2023</v>
      </c>
      <c r="H587" s="37" t="s">
        <v>27</v>
      </c>
      <c r="I587" s="39" t="s">
        <v>32</v>
      </c>
      <c r="J587" s="37">
        <v>5500</v>
      </c>
      <c r="K587" s="37">
        <v>5785</v>
      </c>
      <c r="L587" s="65">
        <f t="shared" si="74"/>
        <v>1.0518181818181818</v>
      </c>
      <c r="M587" s="65">
        <f t="shared" si="75"/>
        <v>1.0518181818181818</v>
      </c>
      <c r="N587" s="37" t="s">
        <v>203</v>
      </c>
      <c r="O587" s="37" t="s">
        <v>203</v>
      </c>
      <c r="P587" s="37">
        <v>0</v>
      </c>
      <c r="Q587" s="37">
        <v>0</v>
      </c>
      <c r="R587" s="37" t="s">
        <v>2204</v>
      </c>
      <c r="S587" s="37"/>
    </row>
    <row r="588" spans="1:19" x14ac:dyDescent="0.3">
      <c r="A588" s="37">
        <v>425</v>
      </c>
      <c r="B588" s="37" t="s">
        <v>2203</v>
      </c>
      <c r="C588" s="37" t="s">
        <v>1946</v>
      </c>
      <c r="D588" s="37" t="s">
        <v>21</v>
      </c>
      <c r="E588" s="37" t="s">
        <v>22</v>
      </c>
      <c r="F588" s="42">
        <v>45657</v>
      </c>
      <c r="G588" s="37">
        <v>2024</v>
      </c>
      <c r="H588" s="37" t="s">
        <v>27</v>
      </c>
      <c r="I588" s="39" t="s">
        <v>36</v>
      </c>
      <c r="J588" s="37">
        <v>100</v>
      </c>
      <c r="K588" s="37">
        <v>164.69</v>
      </c>
      <c r="L588" s="65">
        <f t="shared" si="74"/>
        <v>1.3</v>
      </c>
      <c r="M588" s="65">
        <f t="shared" si="75"/>
        <v>1.6469</v>
      </c>
      <c r="N588" s="37" t="s">
        <v>203</v>
      </c>
      <c r="O588" s="37" t="s">
        <v>203</v>
      </c>
      <c r="P588" s="37">
        <v>0</v>
      </c>
      <c r="Q588" s="37">
        <v>0</v>
      </c>
      <c r="R588" s="37" t="s">
        <v>2206</v>
      </c>
      <c r="S588" s="37"/>
    </row>
    <row r="589" spans="1:19" x14ac:dyDescent="0.3">
      <c r="A589" s="76">
        <v>426</v>
      </c>
      <c r="B589" s="76" t="s">
        <v>2207</v>
      </c>
      <c r="C589" s="76" t="s">
        <v>207</v>
      </c>
      <c r="D589" s="76" t="s">
        <v>21</v>
      </c>
      <c r="E589" s="76" t="s">
        <v>22</v>
      </c>
      <c r="F589" s="77">
        <v>45291</v>
      </c>
      <c r="G589" s="76">
        <v>2023</v>
      </c>
      <c r="H589" s="76" t="s">
        <v>27</v>
      </c>
      <c r="I589" s="76" t="s">
        <v>32</v>
      </c>
      <c r="J589" s="76">
        <v>489</v>
      </c>
      <c r="K589" s="76">
        <v>438.5</v>
      </c>
      <c r="L589" s="78">
        <f t="shared" si="74"/>
        <v>0.89672801635991817</v>
      </c>
      <c r="M589" s="78">
        <f t="shared" si="75"/>
        <v>0.89672801635991817</v>
      </c>
      <c r="N589" s="76" t="s">
        <v>25</v>
      </c>
      <c r="O589" s="76" t="s">
        <v>25</v>
      </c>
      <c r="P589" s="76">
        <v>0</v>
      </c>
      <c r="Q589" s="76">
        <v>0</v>
      </c>
      <c r="R589" s="76" t="s">
        <v>2209</v>
      </c>
      <c r="S589" s="76"/>
    </row>
    <row r="590" spans="1:19" x14ac:dyDescent="0.3">
      <c r="A590" s="76">
        <v>426</v>
      </c>
      <c r="B590" s="76" t="s">
        <v>2207</v>
      </c>
      <c r="C590" s="76" t="s">
        <v>207</v>
      </c>
      <c r="D590" s="76" t="s">
        <v>21</v>
      </c>
      <c r="E590" s="76" t="s">
        <v>22</v>
      </c>
      <c r="F590" s="77">
        <v>45657</v>
      </c>
      <c r="G590" s="76">
        <v>2024</v>
      </c>
      <c r="H590" s="76" t="s">
        <v>27</v>
      </c>
      <c r="I590" s="76" t="s">
        <v>36</v>
      </c>
      <c r="J590" s="76">
        <v>1148.5</v>
      </c>
      <c r="K590" s="76">
        <v>868.5</v>
      </c>
      <c r="L590" s="78">
        <f t="shared" si="74"/>
        <v>0.7562037440139312</v>
      </c>
      <c r="M590" s="78">
        <f t="shared" si="75"/>
        <v>0.7562037440139312</v>
      </c>
      <c r="N590" s="76" t="s">
        <v>25</v>
      </c>
      <c r="O590" s="76" t="s">
        <v>25</v>
      </c>
      <c r="P590" s="76">
        <v>0</v>
      </c>
      <c r="Q590" s="76">
        <v>0</v>
      </c>
      <c r="R590" s="76" t="s">
        <v>2211</v>
      </c>
      <c r="S590" s="76"/>
    </row>
    <row r="591" spans="1:19" x14ac:dyDescent="0.3">
      <c r="A591" s="76">
        <v>427</v>
      </c>
      <c r="B591" s="76" t="s">
        <v>2212</v>
      </c>
      <c r="C591" s="76" t="s">
        <v>251</v>
      </c>
      <c r="D591" s="76" t="s">
        <v>21</v>
      </c>
      <c r="E591" s="76" t="s">
        <v>56</v>
      </c>
      <c r="F591" s="77">
        <v>45291</v>
      </c>
      <c r="G591" s="76">
        <v>2023</v>
      </c>
      <c r="H591" s="76" t="s">
        <v>27</v>
      </c>
      <c r="I591" s="76" t="s">
        <v>32</v>
      </c>
      <c r="J591" s="76">
        <v>0.2</v>
      </c>
      <c r="K591" s="76">
        <v>0.168333333333335</v>
      </c>
      <c r="L591" s="78">
        <f t="shared" si="74"/>
        <v>1.1881188118811765</v>
      </c>
      <c r="M591" s="78">
        <f t="shared" si="75"/>
        <v>1.1881188118811765</v>
      </c>
      <c r="N591" s="76" t="s">
        <v>25</v>
      </c>
      <c r="O591" s="76" t="s">
        <v>25</v>
      </c>
      <c r="P591" s="76">
        <v>0</v>
      </c>
      <c r="Q591" s="76">
        <v>0</v>
      </c>
      <c r="R591" s="76" t="s">
        <v>2214</v>
      </c>
      <c r="S591" s="76"/>
    </row>
    <row r="592" spans="1:19" x14ac:dyDescent="0.3">
      <c r="A592" s="76">
        <v>427</v>
      </c>
      <c r="B592" s="76" t="s">
        <v>2212</v>
      </c>
      <c r="C592" s="76" t="s">
        <v>251</v>
      </c>
      <c r="D592" s="76" t="s">
        <v>21</v>
      </c>
      <c r="E592" s="76" t="s">
        <v>56</v>
      </c>
      <c r="F592" s="77">
        <v>45657</v>
      </c>
      <c r="G592" s="76">
        <v>2024</v>
      </c>
      <c r="H592" s="76" t="s">
        <v>27</v>
      </c>
      <c r="I592" s="76" t="s">
        <v>36</v>
      </c>
      <c r="J592" s="76">
        <v>0.2</v>
      </c>
      <c r="K592" s="76">
        <v>0.17</v>
      </c>
      <c r="L592" s="78">
        <f t="shared" si="74"/>
        <v>1.1764705882352942</v>
      </c>
      <c r="M592" s="78">
        <f t="shared" si="75"/>
        <v>1.1764705882352942</v>
      </c>
      <c r="N592" s="76" t="s">
        <v>25</v>
      </c>
      <c r="O592" s="76" t="s">
        <v>25</v>
      </c>
      <c r="P592" s="76">
        <v>0</v>
      </c>
      <c r="Q592" s="76">
        <v>0</v>
      </c>
      <c r="R592" s="76" t="s">
        <v>2216</v>
      </c>
      <c r="S592" s="76"/>
    </row>
    <row r="593" spans="1:19" x14ac:dyDescent="0.3">
      <c r="A593" s="76">
        <v>428</v>
      </c>
      <c r="B593" s="76" t="s">
        <v>2219</v>
      </c>
      <c r="C593" s="76" t="s">
        <v>251</v>
      </c>
      <c r="D593" s="76" t="s">
        <v>21</v>
      </c>
      <c r="E593" s="76" t="s">
        <v>56</v>
      </c>
      <c r="F593" s="77">
        <v>45291</v>
      </c>
      <c r="G593" s="76">
        <v>2023</v>
      </c>
      <c r="H593" s="76" t="s">
        <v>27</v>
      </c>
      <c r="I593" s="76" t="s">
        <v>32</v>
      </c>
      <c r="J593" s="76">
        <v>1</v>
      </c>
      <c r="K593" s="76">
        <v>18.11</v>
      </c>
      <c r="L593" s="78">
        <f t="shared" si="74"/>
        <v>5.5218111540585313E-2</v>
      </c>
      <c r="M593" s="78">
        <f t="shared" si="75"/>
        <v>5.5218111540585313E-2</v>
      </c>
      <c r="N593" s="76" t="s">
        <v>25</v>
      </c>
      <c r="O593" s="76" t="s">
        <v>25</v>
      </c>
      <c r="P593" s="76">
        <v>0</v>
      </c>
      <c r="Q593" s="76">
        <v>0</v>
      </c>
      <c r="R593" s="76" t="s">
        <v>2221</v>
      </c>
      <c r="S593" s="76"/>
    </row>
    <row r="594" spans="1:19" x14ac:dyDescent="0.3">
      <c r="A594" s="76">
        <v>428</v>
      </c>
      <c r="B594" s="76" t="s">
        <v>2219</v>
      </c>
      <c r="C594" s="76" t="s">
        <v>251</v>
      </c>
      <c r="D594" s="76" t="s">
        <v>21</v>
      </c>
      <c r="E594" s="76" t="s">
        <v>56</v>
      </c>
      <c r="F594" s="77">
        <v>45657</v>
      </c>
      <c r="G594" s="76">
        <v>2024</v>
      </c>
      <c r="H594" s="76" t="s">
        <v>27</v>
      </c>
      <c r="I594" s="76" t="s">
        <v>36</v>
      </c>
      <c r="J594" s="76">
        <v>1</v>
      </c>
      <c r="K594" s="76">
        <v>17.555</v>
      </c>
      <c r="L594" s="78">
        <f t="shared" si="74"/>
        <v>5.6963827969239531E-2</v>
      </c>
      <c r="M594" s="78">
        <f t="shared" si="75"/>
        <v>5.6963827969239531E-2</v>
      </c>
      <c r="N594" s="76" t="s">
        <v>25</v>
      </c>
      <c r="O594" s="76" t="s">
        <v>25</v>
      </c>
      <c r="P594" s="76">
        <v>0</v>
      </c>
      <c r="Q594" s="76">
        <v>0</v>
      </c>
      <c r="R594" s="76" t="s">
        <v>2223</v>
      </c>
      <c r="S594" s="76"/>
    </row>
    <row r="595" spans="1:19" x14ac:dyDescent="0.3">
      <c r="A595" s="76">
        <v>429</v>
      </c>
      <c r="B595" s="76" t="s">
        <v>2226</v>
      </c>
      <c r="C595" s="76" t="s">
        <v>251</v>
      </c>
      <c r="D595" s="76" t="s">
        <v>21</v>
      </c>
      <c r="E595" s="76" t="s">
        <v>56</v>
      </c>
      <c r="F595" s="77">
        <v>45291</v>
      </c>
      <c r="G595" s="76">
        <v>2023</v>
      </c>
      <c r="H595" s="76" t="s">
        <v>27</v>
      </c>
      <c r="I595" s="76" t="s">
        <v>32</v>
      </c>
      <c r="J595" s="76">
        <v>0.76</v>
      </c>
      <c r="K595" s="76">
        <v>0.53</v>
      </c>
      <c r="L595" s="78">
        <f t="shared" si="74"/>
        <v>1.3</v>
      </c>
      <c r="M595" s="78">
        <f t="shared" si="75"/>
        <v>1.4339622641509433</v>
      </c>
      <c r="N595" s="76" t="s">
        <v>25</v>
      </c>
      <c r="O595" s="76" t="s">
        <v>25</v>
      </c>
      <c r="P595" s="76">
        <v>0</v>
      </c>
      <c r="Q595" s="76">
        <v>0</v>
      </c>
      <c r="R595" s="76" t="s">
        <v>2228</v>
      </c>
      <c r="S595" s="76"/>
    </row>
    <row r="596" spans="1:19" x14ac:dyDescent="0.3">
      <c r="A596" s="76">
        <v>429</v>
      </c>
      <c r="B596" s="76" t="s">
        <v>2226</v>
      </c>
      <c r="C596" s="76" t="s">
        <v>251</v>
      </c>
      <c r="D596" s="76" t="s">
        <v>21</v>
      </c>
      <c r="E596" s="76" t="s">
        <v>56</v>
      </c>
      <c r="F596" s="77">
        <v>45657</v>
      </c>
      <c r="G596" s="76">
        <v>2024</v>
      </c>
      <c r="H596" s="76" t="s">
        <v>27</v>
      </c>
      <c r="I596" s="76" t="s">
        <v>36</v>
      </c>
      <c r="J596" s="76">
        <v>0.76</v>
      </c>
      <c r="K596" s="76">
        <v>0.66500000000000004</v>
      </c>
      <c r="L596" s="78">
        <f t="shared" si="74"/>
        <v>1.1428571428571428</v>
      </c>
      <c r="M596" s="78">
        <f t="shared" si="75"/>
        <v>1.1428571428571428</v>
      </c>
      <c r="N596" s="76" t="s">
        <v>25</v>
      </c>
      <c r="O596" s="76" t="s">
        <v>25</v>
      </c>
      <c r="P596" s="76">
        <v>0</v>
      </c>
      <c r="Q596" s="76">
        <v>0</v>
      </c>
      <c r="R596" s="76" t="s">
        <v>2230</v>
      </c>
      <c r="S596" s="76"/>
    </row>
    <row r="597" spans="1:19" x14ac:dyDescent="0.3">
      <c r="A597" s="76">
        <v>430</v>
      </c>
      <c r="B597" s="76" t="s">
        <v>2233</v>
      </c>
      <c r="C597" s="76" t="s">
        <v>210</v>
      </c>
      <c r="D597" s="76" t="s">
        <v>21</v>
      </c>
      <c r="E597" s="76" t="s">
        <v>22</v>
      </c>
      <c r="F597" s="77">
        <v>45291</v>
      </c>
      <c r="G597" s="76">
        <v>2023</v>
      </c>
      <c r="H597" s="76" t="s">
        <v>27</v>
      </c>
      <c r="I597" s="76" t="s">
        <v>32</v>
      </c>
      <c r="J597" s="76">
        <v>95</v>
      </c>
      <c r="K597" s="76">
        <v>101.39526345983001</v>
      </c>
      <c r="L597" s="78">
        <f t="shared" si="74"/>
        <v>1.0673185627350528</v>
      </c>
      <c r="M597" s="78">
        <f t="shared" si="75"/>
        <v>1.0673185627350528</v>
      </c>
      <c r="N597" s="76" t="s">
        <v>25</v>
      </c>
      <c r="O597" s="76" t="s">
        <v>25</v>
      </c>
      <c r="P597" s="76">
        <v>0</v>
      </c>
      <c r="Q597" s="76">
        <v>0</v>
      </c>
      <c r="R597" s="76" t="s">
        <v>2235</v>
      </c>
      <c r="S597" s="76"/>
    </row>
    <row r="598" spans="1:19" x14ac:dyDescent="0.3">
      <c r="A598" s="76">
        <v>430</v>
      </c>
      <c r="B598" s="76" t="s">
        <v>2233</v>
      </c>
      <c r="C598" s="76" t="s">
        <v>210</v>
      </c>
      <c r="D598" s="76" t="s">
        <v>21</v>
      </c>
      <c r="E598" s="76" t="s">
        <v>22</v>
      </c>
      <c r="F598" s="77">
        <v>45657</v>
      </c>
      <c r="G598" s="76">
        <v>2024</v>
      </c>
      <c r="H598" s="76" t="s">
        <v>27</v>
      </c>
      <c r="I598" s="76" t="s">
        <v>36</v>
      </c>
      <c r="J598" s="76">
        <v>95</v>
      </c>
      <c r="K598" s="76">
        <v>102.9374919710379</v>
      </c>
      <c r="L598" s="78">
        <f t="shared" si="74"/>
        <v>1.0835525470635567</v>
      </c>
      <c r="M598" s="78">
        <f t="shared" si="75"/>
        <v>1.0835525470635567</v>
      </c>
      <c r="N598" s="76" t="s">
        <v>25</v>
      </c>
      <c r="O598" s="76" t="s">
        <v>25</v>
      </c>
      <c r="P598" s="76">
        <v>0</v>
      </c>
      <c r="Q598" s="76">
        <v>0</v>
      </c>
      <c r="R598" s="76" t="s">
        <v>2237</v>
      </c>
      <c r="S598" s="76"/>
    </row>
    <row r="599" spans="1:19" x14ac:dyDescent="0.3">
      <c r="A599" s="76">
        <v>431</v>
      </c>
      <c r="B599" s="76" t="s">
        <v>2240</v>
      </c>
      <c r="C599" s="76" t="s">
        <v>138</v>
      </c>
      <c r="D599" s="76" t="s">
        <v>39</v>
      </c>
      <c r="E599" s="76" t="s">
        <v>22</v>
      </c>
      <c r="F599" s="77">
        <v>45291</v>
      </c>
      <c r="G599" s="76">
        <v>2023</v>
      </c>
      <c r="H599" s="76" t="s">
        <v>27</v>
      </c>
      <c r="I599" s="76" t="s">
        <v>32</v>
      </c>
      <c r="J599" s="76">
        <v>44.5</v>
      </c>
      <c r="K599" s="76">
        <v>44.5</v>
      </c>
      <c r="L599" s="78">
        <f t="shared" si="74"/>
        <v>1</v>
      </c>
      <c r="M599" s="78">
        <f t="shared" si="75"/>
        <v>1</v>
      </c>
      <c r="N599" s="76" t="s">
        <v>25</v>
      </c>
      <c r="O599" s="76" t="s">
        <v>25</v>
      </c>
      <c r="P599" s="76">
        <v>0</v>
      </c>
      <c r="Q599" s="76">
        <v>0</v>
      </c>
      <c r="R599" s="76" t="s">
        <v>2242</v>
      </c>
      <c r="S599" s="76"/>
    </row>
    <row r="600" spans="1:19" x14ac:dyDescent="0.3">
      <c r="A600" s="76">
        <v>431</v>
      </c>
      <c r="B600" s="76" t="s">
        <v>2240</v>
      </c>
      <c r="C600" s="76" t="s">
        <v>138</v>
      </c>
      <c r="D600" s="76" t="s">
        <v>39</v>
      </c>
      <c r="E600" s="76" t="s">
        <v>22</v>
      </c>
      <c r="F600" s="77">
        <v>45657</v>
      </c>
      <c r="G600" s="76">
        <v>2024</v>
      </c>
      <c r="H600" s="76" t="s">
        <v>27</v>
      </c>
      <c r="I600" s="76" t="s">
        <v>36</v>
      </c>
      <c r="J600" s="76">
        <v>28.5</v>
      </c>
      <c r="K600" s="76">
        <v>28.5</v>
      </c>
      <c r="L600" s="78">
        <f t="shared" si="74"/>
        <v>1</v>
      </c>
      <c r="M600" s="78">
        <f t="shared" si="75"/>
        <v>1</v>
      </c>
      <c r="N600" s="76" t="s">
        <v>25</v>
      </c>
      <c r="O600" s="76" t="s">
        <v>25</v>
      </c>
      <c r="P600" s="76">
        <v>0</v>
      </c>
      <c r="Q600" s="76">
        <v>0</v>
      </c>
      <c r="R600" s="76" t="s">
        <v>2246</v>
      </c>
      <c r="S600" s="76"/>
    </row>
    <row r="601" spans="1:19" x14ac:dyDescent="0.3">
      <c r="A601" s="76">
        <v>432</v>
      </c>
      <c r="B601" s="76" t="s">
        <v>2247</v>
      </c>
      <c r="C601" s="76" t="s">
        <v>138</v>
      </c>
      <c r="D601" s="76" t="s">
        <v>39</v>
      </c>
      <c r="E601" s="76" t="s">
        <v>22</v>
      </c>
      <c r="F601" s="77">
        <v>45291</v>
      </c>
      <c r="G601" s="76">
        <v>2023</v>
      </c>
      <c r="H601" s="76" t="s">
        <v>27</v>
      </c>
      <c r="I601" s="76" t="s">
        <v>32</v>
      </c>
      <c r="J601" s="76">
        <v>90</v>
      </c>
      <c r="K601" s="76">
        <v>99.382777777778003</v>
      </c>
      <c r="L601" s="78">
        <f t="shared" ref="L601:L619" si="76">IFERROR(IF(OR(J601=0,K601=""),"",IF(E601="Positivo",MIN(MAX(K601/J601,0),1.3),MIN(MAX(J601/K601,0),1.3))),"")</f>
        <v>1.1042530864197555</v>
      </c>
      <c r="M601" s="78">
        <f t="shared" ref="M601:M620" si="77">IFERROR(IF(OR(J601=0,K601=""),"",IF(E601="Positivo",MAX(K601/J601,0),MAX(J601/K601,0))),"")</f>
        <v>1.1042530864197555</v>
      </c>
      <c r="N601" s="76" t="s">
        <v>25</v>
      </c>
      <c r="O601" s="76" t="s">
        <v>25</v>
      </c>
      <c r="P601" s="76">
        <v>0</v>
      </c>
      <c r="Q601" s="76">
        <v>0</v>
      </c>
      <c r="R601" s="76" t="s">
        <v>2251</v>
      </c>
      <c r="S601" s="76"/>
    </row>
    <row r="602" spans="1:19" x14ac:dyDescent="0.3">
      <c r="A602" s="76">
        <v>432</v>
      </c>
      <c r="B602" s="76" t="s">
        <v>2247</v>
      </c>
      <c r="C602" s="76" t="s">
        <v>138</v>
      </c>
      <c r="D602" s="76" t="s">
        <v>39</v>
      </c>
      <c r="E602" s="76" t="s">
        <v>22</v>
      </c>
      <c r="F602" s="77">
        <v>45657</v>
      </c>
      <c r="G602" s="76">
        <v>2024</v>
      </c>
      <c r="H602" s="76" t="s">
        <v>27</v>
      </c>
      <c r="I602" s="76" t="s">
        <v>36</v>
      </c>
      <c r="J602" s="76">
        <v>90</v>
      </c>
      <c r="K602" s="76">
        <v>75</v>
      </c>
      <c r="L602" s="78">
        <f t="shared" si="76"/>
        <v>0.83333333333333337</v>
      </c>
      <c r="M602" s="78">
        <f t="shared" si="77"/>
        <v>0.83333333333333337</v>
      </c>
      <c r="N602" s="76" t="s">
        <v>25</v>
      </c>
      <c r="O602" s="76" t="s">
        <v>25</v>
      </c>
      <c r="P602" s="76">
        <v>0</v>
      </c>
      <c r="Q602" s="76">
        <v>0</v>
      </c>
      <c r="R602" s="76" t="s">
        <v>2255</v>
      </c>
      <c r="S602" s="76"/>
    </row>
    <row r="603" spans="1:19" x14ac:dyDescent="0.3">
      <c r="A603" s="76">
        <v>433</v>
      </c>
      <c r="B603" s="76" t="s">
        <v>2260</v>
      </c>
      <c r="C603" s="76" t="s">
        <v>251</v>
      </c>
      <c r="D603" s="76" t="s">
        <v>21</v>
      </c>
      <c r="E603" s="76" t="s">
        <v>56</v>
      </c>
      <c r="F603" s="77">
        <v>45291</v>
      </c>
      <c r="G603" s="76">
        <v>2023</v>
      </c>
      <c r="H603" s="76" t="s">
        <v>27</v>
      </c>
      <c r="I603" s="76" t="s">
        <v>32</v>
      </c>
      <c r="J603" s="76">
        <v>0.05</v>
      </c>
      <c r="K603" s="76">
        <v>3.5000000000000003E-2</v>
      </c>
      <c r="L603" s="78">
        <f t="shared" si="76"/>
        <v>1.3</v>
      </c>
      <c r="M603" s="78">
        <f t="shared" si="77"/>
        <v>1.4285714285714286</v>
      </c>
      <c r="N603" s="76" t="s">
        <v>25</v>
      </c>
      <c r="O603" s="76" t="s">
        <v>25</v>
      </c>
      <c r="P603" s="76">
        <v>0</v>
      </c>
      <c r="Q603" s="76">
        <v>0</v>
      </c>
      <c r="R603" s="76" t="s">
        <v>2262</v>
      </c>
      <c r="S603" s="76"/>
    </row>
    <row r="604" spans="1:19" x14ac:dyDescent="0.3">
      <c r="A604" s="76">
        <v>433</v>
      </c>
      <c r="B604" s="76" t="s">
        <v>2260</v>
      </c>
      <c r="C604" s="76" t="s">
        <v>251</v>
      </c>
      <c r="D604" s="76" t="s">
        <v>21</v>
      </c>
      <c r="E604" s="76" t="s">
        <v>56</v>
      </c>
      <c r="F604" s="77">
        <v>45657</v>
      </c>
      <c r="G604" s="76">
        <v>2024</v>
      </c>
      <c r="H604" s="76" t="s">
        <v>27</v>
      </c>
      <c r="I604" s="76" t="s">
        <v>36</v>
      </c>
      <c r="J604" s="76">
        <v>0.05</v>
      </c>
      <c r="K604" s="76">
        <v>0.105</v>
      </c>
      <c r="L604" s="78">
        <f t="shared" si="76"/>
        <v>0.47619047619047622</v>
      </c>
      <c r="M604" s="78">
        <f t="shared" si="77"/>
        <v>0.47619047619047622</v>
      </c>
      <c r="N604" s="76" t="s">
        <v>25</v>
      </c>
      <c r="O604" s="76" t="s">
        <v>25</v>
      </c>
      <c r="P604" s="76">
        <v>0</v>
      </c>
      <c r="Q604" s="76">
        <v>0</v>
      </c>
      <c r="R604" s="76" t="s">
        <v>2264</v>
      </c>
      <c r="S604" s="76"/>
    </row>
    <row r="605" spans="1:19" x14ac:dyDescent="0.3">
      <c r="A605" s="76">
        <v>434</v>
      </c>
      <c r="B605" s="76" t="s">
        <v>2267</v>
      </c>
      <c r="C605" s="76" t="s">
        <v>251</v>
      </c>
      <c r="D605" s="76" t="s">
        <v>73</v>
      </c>
      <c r="E605" s="76" t="s">
        <v>56</v>
      </c>
      <c r="F605" s="77">
        <v>45291</v>
      </c>
      <c r="G605" s="76">
        <v>2023</v>
      </c>
      <c r="H605" s="76" t="s">
        <v>27</v>
      </c>
      <c r="I605" s="76" t="s">
        <v>32</v>
      </c>
      <c r="J605" s="76">
        <v>2400</v>
      </c>
      <c r="K605" s="76">
        <v>2294.13</v>
      </c>
      <c r="L605" s="78">
        <f t="shared" si="76"/>
        <v>1.0461482130480835</v>
      </c>
      <c r="M605" s="78">
        <f t="shared" si="77"/>
        <v>1.0461482130480835</v>
      </c>
      <c r="N605" s="76" t="s">
        <v>25</v>
      </c>
      <c r="O605" s="76" t="s">
        <v>25</v>
      </c>
      <c r="P605" s="76">
        <v>0</v>
      </c>
      <c r="Q605" s="76">
        <v>0</v>
      </c>
      <c r="R605" s="76" t="s">
        <v>2279</v>
      </c>
      <c r="S605" s="76"/>
    </row>
    <row r="606" spans="1:19" x14ac:dyDescent="0.3">
      <c r="A606" s="76">
        <v>434</v>
      </c>
      <c r="B606" s="76" t="s">
        <v>2267</v>
      </c>
      <c r="C606" s="76" t="s">
        <v>251</v>
      </c>
      <c r="D606" s="76" t="s">
        <v>73</v>
      </c>
      <c r="E606" s="76" t="s">
        <v>56</v>
      </c>
      <c r="F606" s="77">
        <v>45657</v>
      </c>
      <c r="G606" s="76">
        <v>2024</v>
      </c>
      <c r="H606" s="76" t="s">
        <v>27</v>
      </c>
      <c r="I606" s="76" t="s">
        <v>36</v>
      </c>
      <c r="J606" s="76">
        <v>2400</v>
      </c>
      <c r="K606" s="76">
        <v>5427.24</v>
      </c>
      <c r="L606" s="78">
        <f t="shared" si="76"/>
        <v>0.44221372189179031</v>
      </c>
      <c r="M606" s="78">
        <f t="shared" si="77"/>
        <v>0.44221372189179031</v>
      </c>
      <c r="N606" s="76" t="s">
        <v>25</v>
      </c>
      <c r="O606" s="76" t="s">
        <v>25</v>
      </c>
      <c r="P606" s="76">
        <v>0</v>
      </c>
      <c r="Q606" s="76">
        <v>0</v>
      </c>
      <c r="R606" s="76" t="s">
        <v>2291</v>
      </c>
      <c r="S606" s="76"/>
    </row>
    <row r="607" spans="1:19" x14ac:dyDescent="0.3">
      <c r="A607" s="76">
        <v>435</v>
      </c>
      <c r="B607" s="76" t="s">
        <v>2304</v>
      </c>
      <c r="C607" s="76" t="s">
        <v>251</v>
      </c>
      <c r="D607" s="76" t="s">
        <v>21</v>
      </c>
      <c r="E607" s="76" t="s">
        <v>22</v>
      </c>
      <c r="F607" s="77">
        <v>45291</v>
      </c>
      <c r="G607" s="76">
        <v>2023</v>
      </c>
      <c r="H607" s="76" t="s">
        <v>27</v>
      </c>
      <c r="I607" s="76" t="s">
        <v>32</v>
      </c>
      <c r="J607" s="76">
        <v>100</v>
      </c>
      <c r="K607" s="76">
        <v>-111.57</v>
      </c>
      <c r="L607" s="78">
        <f t="shared" si="76"/>
        <v>0</v>
      </c>
      <c r="M607" s="78">
        <f t="shared" si="77"/>
        <v>0</v>
      </c>
      <c r="N607" s="76" t="s">
        <v>25</v>
      </c>
      <c r="O607" s="76" t="s">
        <v>25</v>
      </c>
      <c r="P607" s="76">
        <v>0</v>
      </c>
      <c r="Q607" s="76">
        <v>0</v>
      </c>
      <c r="R607" s="76" t="s">
        <v>2306</v>
      </c>
      <c r="S607" s="76"/>
    </row>
    <row r="608" spans="1:19" x14ac:dyDescent="0.3">
      <c r="A608" s="76">
        <v>435</v>
      </c>
      <c r="B608" s="76" t="s">
        <v>2304</v>
      </c>
      <c r="C608" s="76" t="s">
        <v>251</v>
      </c>
      <c r="D608" s="76" t="s">
        <v>21</v>
      </c>
      <c r="E608" s="76" t="s">
        <v>22</v>
      </c>
      <c r="F608" s="77">
        <v>45657</v>
      </c>
      <c r="G608" s="76">
        <v>2024</v>
      </c>
      <c r="H608" s="76" t="s">
        <v>27</v>
      </c>
      <c r="I608" s="76" t="s">
        <v>36</v>
      </c>
      <c r="J608" s="76">
        <v>100</v>
      </c>
      <c r="K608" s="76">
        <v>25.21</v>
      </c>
      <c r="L608" s="78">
        <f t="shared" si="76"/>
        <v>0.25209999999999999</v>
      </c>
      <c r="M608" s="78">
        <f t="shared" si="77"/>
        <v>0.25209999999999999</v>
      </c>
      <c r="N608" s="76" t="s">
        <v>25</v>
      </c>
      <c r="O608" s="76" t="s">
        <v>25</v>
      </c>
      <c r="P608" s="76">
        <v>0</v>
      </c>
      <c r="Q608" s="76">
        <v>0</v>
      </c>
      <c r="R608" s="76" t="s">
        <v>2308</v>
      </c>
      <c r="S608" s="76"/>
    </row>
    <row r="609" spans="1:19" x14ac:dyDescent="0.3">
      <c r="A609" s="76">
        <v>436</v>
      </c>
      <c r="B609" s="76" t="s">
        <v>2311</v>
      </c>
      <c r="C609" s="76" t="s">
        <v>258</v>
      </c>
      <c r="D609" s="76" t="s">
        <v>73</v>
      </c>
      <c r="E609" s="76" t="s">
        <v>56</v>
      </c>
      <c r="F609" s="77">
        <v>45291</v>
      </c>
      <c r="G609" s="76">
        <v>2023</v>
      </c>
      <c r="H609" s="76" t="s">
        <v>27</v>
      </c>
      <c r="I609" s="76" t="s">
        <v>32</v>
      </c>
      <c r="J609" s="76">
        <v>21</v>
      </c>
      <c r="K609" s="76">
        <v>11.06833333333333</v>
      </c>
      <c r="L609" s="78">
        <f t="shared" si="76"/>
        <v>1.3</v>
      </c>
      <c r="M609" s="78">
        <f t="shared" si="77"/>
        <v>1.8973046227977721</v>
      </c>
      <c r="N609" s="76" t="s">
        <v>25</v>
      </c>
      <c r="O609" s="76" t="s">
        <v>25</v>
      </c>
      <c r="P609" s="76">
        <v>0</v>
      </c>
      <c r="Q609" s="76">
        <v>0</v>
      </c>
      <c r="R609" s="76" t="s">
        <v>2323</v>
      </c>
      <c r="S609" s="76"/>
    </row>
    <row r="610" spans="1:19" x14ac:dyDescent="0.3">
      <c r="A610" s="76">
        <v>436</v>
      </c>
      <c r="B610" s="76" t="s">
        <v>2311</v>
      </c>
      <c r="C610" s="76" t="s">
        <v>258</v>
      </c>
      <c r="D610" s="76" t="s">
        <v>73</v>
      </c>
      <c r="E610" s="76" t="s">
        <v>56</v>
      </c>
      <c r="F610" s="77">
        <v>45657</v>
      </c>
      <c r="G610" s="76">
        <v>2024</v>
      </c>
      <c r="H610" s="76" t="s">
        <v>27</v>
      </c>
      <c r="I610" s="76" t="s">
        <v>36</v>
      </c>
      <c r="J610" s="76">
        <v>14</v>
      </c>
      <c r="K610" s="76">
        <v>11.06416666666667</v>
      </c>
      <c r="L610" s="78">
        <f t="shared" si="76"/>
        <v>1.2653460872184976</v>
      </c>
      <c r="M610" s="78">
        <f t="shared" si="77"/>
        <v>1.2653460872184976</v>
      </c>
      <c r="N610" s="76" t="s">
        <v>25</v>
      </c>
      <c r="O610" s="76" t="s">
        <v>25</v>
      </c>
      <c r="P610" s="76">
        <v>0</v>
      </c>
      <c r="Q610" s="76">
        <v>0</v>
      </c>
      <c r="R610" s="76" t="s">
        <v>2335</v>
      </c>
      <c r="S610" s="76"/>
    </row>
    <row r="611" spans="1:19" x14ac:dyDescent="0.3">
      <c r="A611" s="76">
        <v>437</v>
      </c>
      <c r="B611" s="76" t="s">
        <v>2349</v>
      </c>
      <c r="C611" s="76" t="s">
        <v>1490</v>
      </c>
      <c r="D611" s="76" t="s">
        <v>139</v>
      </c>
      <c r="E611" s="76" t="s">
        <v>22</v>
      </c>
      <c r="F611" s="77">
        <v>45291</v>
      </c>
      <c r="G611" s="76">
        <v>2023</v>
      </c>
      <c r="H611" s="76" t="s">
        <v>27</v>
      </c>
      <c r="I611" s="76" t="s">
        <v>32</v>
      </c>
      <c r="J611" s="76">
        <v>1</v>
      </c>
      <c r="K611" s="76">
        <v>96</v>
      </c>
      <c r="L611" s="78">
        <f t="shared" si="76"/>
        <v>1.3</v>
      </c>
      <c r="M611" s="78">
        <f t="shared" si="77"/>
        <v>96</v>
      </c>
      <c r="N611" s="76" t="s">
        <v>25</v>
      </c>
      <c r="O611" s="76" t="s">
        <v>25</v>
      </c>
      <c r="P611" s="76">
        <v>0</v>
      </c>
      <c r="Q611" s="76">
        <v>0</v>
      </c>
      <c r="R611" s="76" t="s">
        <v>2350</v>
      </c>
      <c r="S611" s="76"/>
    </row>
    <row r="612" spans="1:19" x14ac:dyDescent="0.3">
      <c r="A612" s="76">
        <v>437</v>
      </c>
      <c r="B612" s="76" t="s">
        <v>2349</v>
      </c>
      <c r="C612" s="76" t="s">
        <v>1490</v>
      </c>
      <c r="D612" s="76" t="s">
        <v>139</v>
      </c>
      <c r="E612" s="76" t="s">
        <v>22</v>
      </c>
      <c r="F612" s="77">
        <v>45657</v>
      </c>
      <c r="G612" s="76">
        <v>2024</v>
      </c>
      <c r="H612" s="76" t="s">
        <v>27</v>
      </c>
      <c r="I612" s="76" t="s">
        <v>36</v>
      </c>
      <c r="J612" s="76">
        <v>1</v>
      </c>
      <c r="K612" s="76">
        <v>84</v>
      </c>
      <c r="L612" s="78">
        <f t="shared" si="76"/>
        <v>1.3</v>
      </c>
      <c r="M612" s="78">
        <f t="shared" si="77"/>
        <v>84</v>
      </c>
      <c r="N612" s="76" t="s">
        <v>25</v>
      </c>
      <c r="O612" s="76" t="s">
        <v>25</v>
      </c>
      <c r="P612" s="76">
        <v>0</v>
      </c>
      <c r="Q612" s="76">
        <v>0</v>
      </c>
      <c r="R612" s="76" t="s">
        <v>2351</v>
      </c>
      <c r="S612" s="76"/>
    </row>
    <row r="613" spans="1:19" x14ac:dyDescent="0.3">
      <c r="A613" s="37">
        <v>438</v>
      </c>
      <c r="B613" s="37" t="s">
        <v>2352</v>
      </c>
      <c r="C613" s="37" t="s">
        <v>1801</v>
      </c>
      <c r="D613" s="37" t="s">
        <v>21</v>
      </c>
      <c r="E613" s="37" t="s">
        <v>22</v>
      </c>
      <c r="F613" s="42">
        <v>45291</v>
      </c>
      <c r="G613" s="37">
        <v>2023</v>
      </c>
      <c r="H613" s="37" t="s">
        <v>27</v>
      </c>
      <c r="I613" s="39" t="s">
        <v>32</v>
      </c>
      <c r="J613" s="37">
        <v>100</v>
      </c>
      <c r="K613" s="37">
        <v>100</v>
      </c>
      <c r="L613" s="65">
        <f t="shared" si="76"/>
        <v>1</v>
      </c>
      <c r="M613" s="65">
        <f t="shared" si="77"/>
        <v>1</v>
      </c>
      <c r="N613" s="37" t="s">
        <v>203</v>
      </c>
      <c r="O613" s="37" t="s">
        <v>203</v>
      </c>
      <c r="P613" s="37">
        <v>0</v>
      </c>
      <c r="Q613" s="37">
        <v>0</v>
      </c>
      <c r="R613" s="37" t="s">
        <v>2353</v>
      </c>
      <c r="S613" s="37"/>
    </row>
    <row r="614" spans="1:19" x14ac:dyDescent="0.3">
      <c r="A614" s="76">
        <v>439</v>
      </c>
      <c r="B614" s="76" t="s">
        <v>2354</v>
      </c>
      <c r="C614" s="76" t="s">
        <v>1801</v>
      </c>
      <c r="D614" s="76" t="s">
        <v>21</v>
      </c>
      <c r="E614" s="76" t="s">
        <v>22</v>
      </c>
      <c r="F614" s="77">
        <v>45291</v>
      </c>
      <c r="G614" s="76">
        <v>2023</v>
      </c>
      <c r="H614" s="76" t="s">
        <v>27</v>
      </c>
      <c r="I614" s="76" t="s">
        <v>32</v>
      </c>
      <c r="J614" s="76">
        <v>100</v>
      </c>
      <c r="K614" s="76">
        <v>100</v>
      </c>
      <c r="L614" s="78">
        <f t="shared" si="76"/>
        <v>1</v>
      </c>
      <c r="M614" s="78">
        <f t="shared" si="77"/>
        <v>1</v>
      </c>
      <c r="N614" s="76" t="s">
        <v>25</v>
      </c>
      <c r="O614" s="76" t="s">
        <v>25</v>
      </c>
      <c r="P614" s="76">
        <v>0</v>
      </c>
      <c r="Q614" s="76">
        <v>0</v>
      </c>
      <c r="R614" s="76" t="s">
        <v>2356</v>
      </c>
      <c r="S614" s="76"/>
    </row>
    <row r="615" spans="1:19" x14ac:dyDescent="0.3">
      <c r="A615" s="76">
        <v>439</v>
      </c>
      <c r="B615" s="76" t="s">
        <v>2354</v>
      </c>
      <c r="C615" s="76" t="s">
        <v>1801</v>
      </c>
      <c r="D615" s="76" t="s">
        <v>21</v>
      </c>
      <c r="E615" s="76" t="s">
        <v>22</v>
      </c>
      <c r="F615" s="77">
        <v>45657</v>
      </c>
      <c r="G615" s="76">
        <v>2024</v>
      </c>
      <c r="H615" s="76" t="s">
        <v>27</v>
      </c>
      <c r="I615" s="76" t="s">
        <v>36</v>
      </c>
      <c r="J615" s="76">
        <v>100</v>
      </c>
      <c r="K615" s="76">
        <v>100</v>
      </c>
      <c r="L615" s="78">
        <f t="shared" si="76"/>
        <v>1</v>
      </c>
      <c r="M615" s="78">
        <f t="shared" si="77"/>
        <v>1</v>
      </c>
      <c r="N615" s="76" t="s">
        <v>25</v>
      </c>
      <c r="O615" s="76" t="s">
        <v>25</v>
      </c>
      <c r="P615" s="76">
        <v>0</v>
      </c>
      <c r="Q615" s="76">
        <v>0</v>
      </c>
      <c r="R615" s="76" t="s">
        <v>2358</v>
      </c>
      <c r="S615" s="76"/>
    </row>
    <row r="616" spans="1:19" x14ac:dyDescent="0.3">
      <c r="A616" s="76">
        <v>440</v>
      </c>
      <c r="B616" s="76" t="s">
        <v>2361</v>
      </c>
      <c r="C616" s="76" t="s">
        <v>1801</v>
      </c>
      <c r="D616" s="76" t="s">
        <v>21</v>
      </c>
      <c r="E616" s="76" t="s">
        <v>22</v>
      </c>
      <c r="F616" s="77">
        <v>45291</v>
      </c>
      <c r="G616" s="76">
        <v>2023</v>
      </c>
      <c r="H616" s="76" t="s">
        <v>27</v>
      </c>
      <c r="I616" s="76" t="s">
        <v>32</v>
      </c>
      <c r="J616" s="76">
        <v>98</v>
      </c>
      <c r="K616" s="76">
        <v>97.746062537526996</v>
      </c>
      <c r="L616" s="78">
        <f t="shared" si="76"/>
        <v>0.99740880140333665</v>
      </c>
      <c r="M616" s="78">
        <f t="shared" si="77"/>
        <v>0.99740880140333665</v>
      </c>
      <c r="N616" s="76" t="s">
        <v>25</v>
      </c>
      <c r="O616" s="76" t="s">
        <v>25</v>
      </c>
      <c r="P616" s="76">
        <v>0</v>
      </c>
      <c r="Q616" s="76">
        <v>0</v>
      </c>
      <c r="R616" s="76" t="s">
        <v>2363</v>
      </c>
      <c r="S616" s="76"/>
    </row>
    <row r="617" spans="1:19" x14ac:dyDescent="0.3">
      <c r="A617" s="76">
        <v>440</v>
      </c>
      <c r="B617" s="76" t="s">
        <v>2361</v>
      </c>
      <c r="C617" s="76" t="s">
        <v>1801</v>
      </c>
      <c r="D617" s="76" t="s">
        <v>21</v>
      </c>
      <c r="E617" s="76" t="s">
        <v>22</v>
      </c>
      <c r="F617" s="77">
        <v>45657</v>
      </c>
      <c r="G617" s="76">
        <v>2024</v>
      </c>
      <c r="H617" s="76" t="s">
        <v>27</v>
      </c>
      <c r="I617" s="76" t="s">
        <v>36</v>
      </c>
      <c r="J617" s="76">
        <v>196</v>
      </c>
      <c r="K617" s="76">
        <v>198.97</v>
      </c>
      <c r="L617" s="78">
        <f t="shared" si="76"/>
        <v>1.0151530612244899</v>
      </c>
      <c r="M617" s="78">
        <f t="shared" si="77"/>
        <v>1.0151530612244899</v>
      </c>
      <c r="N617" s="76" t="s">
        <v>25</v>
      </c>
      <c r="O617" s="76" t="s">
        <v>25</v>
      </c>
      <c r="P617" s="76">
        <v>0</v>
      </c>
      <c r="Q617" s="76">
        <v>0</v>
      </c>
      <c r="R617" s="76" t="s">
        <v>2365</v>
      </c>
      <c r="S617" s="76"/>
    </row>
    <row r="618" spans="1:19" x14ac:dyDescent="0.3">
      <c r="A618" s="37">
        <v>441</v>
      </c>
      <c r="B618" s="37" t="s">
        <v>2368</v>
      </c>
      <c r="C618" s="37" t="s">
        <v>1096</v>
      </c>
      <c r="D618" s="37" t="s">
        <v>73</v>
      </c>
      <c r="E618" s="37" t="s">
        <v>22</v>
      </c>
      <c r="F618" s="42">
        <v>45657</v>
      </c>
      <c r="G618" s="37">
        <v>2024</v>
      </c>
      <c r="H618" s="37" t="s">
        <v>27</v>
      </c>
      <c r="I618" s="39" t="s">
        <v>36</v>
      </c>
      <c r="J618" s="37">
        <v>90</v>
      </c>
      <c r="K618" s="37">
        <v>99.919935948759004</v>
      </c>
      <c r="L618" s="65">
        <f t="shared" si="76"/>
        <v>1.1102215105417668</v>
      </c>
      <c r="M618" s="65">
        <f t="shared" si="77"/>
        <v>1.1102215105417668</v>
      </c>
      <c r="N618" s="37"/>
      <c r="O618" s="37"/>
      <c r="P618" s="37">
        <v>0</v>
      </c>
      <c r="Q618" s="37">
        <v>0</v>
      </c>
      <c r="R618" s="37" t="s">
        <v>2380</v>
      </c>
      <c r="S618" s="37"/>
    </row>
    <row r="619" spans="1:19" x14ac:dyDescent="0.3">
      <c r="A619" s="37">
        <v>442</v>
      </c>
      <c r="B619" s="37" t="s">
        <v>2381</v>
      </c>
      <c r="C619" s="37" t="s">
        <v>454</v>
      </c>
      <c r="D619" s="37" t="s">
        <v>21</v>
      </c>
      <c r="E619" s="37" t="s">
        <v>22</v>
      </c>
      <c r="F619" s="42">
        <v>45657</v>
      </c>
      <c r="G619" s="37">
        <v>2024</v>
      </c>
      <c r="H619" s="37" t="s">
        <v>27</v>
      </c>
      <c r="I619" s="39" t="s">
        <v>36</v>
      </c>
      <c r="J619" s="37">
        <v>100</v>
      </c>
      <c r="K619" s="37">
        <v>145</v>
      </c>
      <c r="L619" s="65">
        <f t="shared" si="76"/>
        <v>1.3</v>
      </c>
      <c r="M619" s="65">
        <f t="shared" si="77"/>
        <v>1.45</v>
      </c>
      <c r="N619" s="37"/>
      <c r="O619" s="37"/>
      <c r="P619" s="37">
        <v>0</v>
      </c>
      <c r="Q619" s="37">
        <v>0</v>
      </c>
      <c r="R619" s="37" t="s">
        <v>2383</v>
      </c>
      <c r="S619" s="37"/>
    </row>
    <row r="620" spans="1:19" x14ac:dyDescent="0.3">
      <c r="A620" s="37">
        <v>443</v>
      </c>
      <c r="B620" s="37" t="s">
        <v>2384</v>
      </c>
      <c r="C620" s="37" t="s">
        <v>454</v>
      </c>
      <c r="D620" s="37" t="s">
        <v>21</v>
      </c>
      <c r="E620" s="37" t="s">
        <v>22</v>
      </c>
      <c r="F620" s="42">
        <v>45657</v>
      </c>
      <c r="G620" s="37">
        <v>2024</v>
      </c>
      <c r="H620" s="37" t="s">
        <v>27</v>
      </c>
      <c r="I620" s="39" t="s">
        <v>36</v>
      </c>
      <c r="J620" s="37">
        <v>100</v>
      </c>
      <c r="K620" s="37">
        <v>209</v>
      </c>
      <c r="L620" s="65">
        <f t="shared" ref="L620" si="78">IFERROR(IF(OR(J620=0,K620=""),"",IF(E620="Positivo",MIN(MAX(K620/J620,0),1.3),MIN(MAX(J620/K620,0),1.3))),"")</f>
        <v>1.3</v>
      </c>
      <c r="M620" s="65">
        <f t="shared" si="77"/>
        <v>2.09</v>
      </c>
      <c r="N620" s="37"/>
      <c r="O620" s="37"/>
      <c r="P620" s="37">
        <v>0</v>
      </c>
      <c r="Q620" s="37">
        <v>0</v>
      </c>
      <c r="R620" s="37" t="s">
        <v>2386</v>
      </c>
      <c r="S620" s="37"/>
    </row>
    <row r="621" spans="1:19" x14ac:dyDescent="0.3">
      <c r="A621" s="76">
        <v>444</v>
      </c>
      <c r="B621" s="76" t="s">
        <v>2387</v>
      </c>
      <c r="C621" s="76" t="s">
        <v>1215</v>
      </c>
      <c r="D621" s="76" t="s">
        <v>21</v>
      </c>
      <c r="E621" s="76" t="s">
        <v>56</v>
      </c>
      <c r="F621" s="77">
        <v>45657</v>
      </c>
      <c r="G621" s="76">
        <v>2024</v>
      </c>
      <c r="H621" s="76" t="s">
        <v>27</v>
      </c>
      <c r="I621" s="76" t="s">
        <v>36</v>
      </c>
      <c r="J621" s="76"/>
      <c r="K621" s="76">
        <v>2.1</v>
      </c>
      <c r="L621" s="78"/>
      <c r="M621" s="78"/>
      <c r="N621" s="76" t="s">
        <v>25</v>
      </c>
      <c r="O621" s="76" t="s">
        <v>25</v>
      </c>
      <c r="P621" s="76">
        <v>0</v>
      </c>
      <c r="Q621" s="76">
        <v>0</v>
      </c>
      <c r="R621" s="76" t="s">
        <v>2388</v>
      </c>
      <c r="S621" s="76"/>
    </row>
    <row r="622" spans="1:19" x14ac:dyDescent="0.3">
      <c r="A622" s="76">
        <v>445</v>
      </c>
      <c r="B622" s="76" t="s">
        <v>2389</v>
      </c>
      <c r="C622" s="76" t="s">
        <v>1215</v>
      </c>
      <c r="D622" s="76" t="s">
        <v>21</v>
      </c>
      <c r="E622" s="76" t="s">
        <v>22</v>
      </c>
      <c r="F622" s="77">
        <v>45657</v>
      </c>
      <c r="G622" s="76">
        <v>2024</v>
      </c>
      <c r="H622" s="76" t="s">
        <v>27</v>
      </c>
      <c r="I622" s="76" t="s">
        <v>36</v>
      </c>
      <c r="J622" s="76">
        <v>67.5</v>
      </c>
      <c r="K622" s="76">
        <v>70.849999999999994</v>
      </c>
      <c r="L622" s="78">
        <f t="shared" ref="L622:L625" si="79">IFERROR(IF(OR(J622=0,K622=""),"",IF(E622="Positivo",MIN(MAX(K622/J622,0),1.3),MIN(MAX(J622/K622,0),1.3))),"")</f>
        <v>1.0496296296296295</v>
      </c>
      <c r="M622" s="78">
        <f t="shared" ref="M622:M625" si="80">IFERROR(IF(OR(J622=0,K622=""),"",IF(E622="Positivo",MAX(K622/J622,0),MAX(J622/K622,0))),"")</f>
        <v>1.0496296296296295</v>
      </c>
      <c r="N622" s="76" t="s">
        <v>25</v>
      </c>
      <c r="O622" s="76" t="s">
        <v>25</v>
      </c>
      <c r="P622" s="76">
        <v>0</v>
      </c>
      <c r="Q622" s="76">
        <v>0</v>
      </c>
      <c r="R622" s="76" t="s">
        <v>2391</v>
      </c>
      <c r="S622" s="76"/>
    </row>
    <row r="623" spans="1:19" x14ac:dyDescent="0.3">
      <c r="A623" s="76">
        <v>447</v>
      </c>
      <c r="B623" s="76" t="s">
        <v>1481</v>
      </c>
      <c r="C623" s="76" t="s">
        <v>461</v>
      </c>
      <c r="D623" s="76" t="s">
        <v>21</v>
      </c>
      <c r="E623" s="76" t="s">
        <v>22</v>
      </c>
      <c r="F623" s="77">
        <v>45657</v>
      </c>
      <c r="G623" s="76">
        <v>2024</v>
      </c>
      <c r="H623" s="76" t="s">
        <v>27</v>
      </c>
      <c r="I623" s="76" t="s">
        <v>36</v>
      </c>
      <c r="J623" s="76">
        <v>15</v>
      </c>
      <c r="K623" s="76">
        <v>16.16</v>
      </c>
      <c r="L623" s="78">
        <f t="shared" si="79"/>
        <v>1.0773333333333333</v>
      </c>
      <c r="M623" s="78">
        <f t="shared" si="80"/>
        <v>1.0773333333333333</v>
      </c>
      <c r="N623" s="76" t="s">
        <v>25</v>
      </c>
      <c r="O623" s="76" t="s">
        <v>25</v>
      </c>
      <c r="P623" s="76">
        <v>0</v>
      </c>
      <c r="Q623" s="76">
        <v>0</v>
      </c>
      <c r="R623" s="76" t="s">
        <v>2393</v>
      </c>
      <c r="S623" s="76"/>
    </row>
    <row r="624" spans="1:19" x14ac:dyDescent="0.3">
      <c r="A624" s="76">
        <v>448</v>
      </c>
      <c r="B624" s="76" t="s">
        <v>2394</v>
      </c>
      <c r="C624" s="76" t="s">
        <v>461</v>
      </c>
      <c r="D624" s="76" t="s">
        <v>21</v>
      </c>
      <c r="E624" s="76" t="s">
        <v>22</v>
      </c>
      <c r="F624" s="77">
        <v>45657</v>
      </c>
      <c r="G624" s="76">
        <v>2024</v>
      </c>
      <c r="H624" s="76" t="s">
        <v>27</v>
      </c>
      <c r="I624" s="76" t="s">
        <v>36</v>
      </c>
      <c r="J624" s="76">
        <v>9</v>
      </c>
      <c r="K624" s="76">
        <v>9.32</v>
      </c>
      <c r="L624" s="78">
        <f t="shared" si="79"/>
        <v>1.0355555555555556</v>
      </c>
      <c r="M624" s="78">
        <f t="shared" si="80"/>
        <v>1.0355555555555556</v>
      </c>
      <c r="N624" s="76" t="s">
        <v>25</v>
      </c>
      <c r="O624" s="76" t="s">
        <v>25</v>
      </c>
      <c r="P624" s="76">
        <v>0</v>
      </c>
      <c r="Q624" s="76">
        <v>0</v>
      </c>
      <c r="R624" s="76" t="s">
        <v>2396</v>
      </c>
      <c r="S624" s="76"/>
    </row>
    <row r="625" spans="1:19" x14ac:dyDescent="0.3">
      <c r="A625" s="37">
        <v>449</v>
      </c>
      <c r="B625" s="37" t="s">
        <v>2397</v>
      </c>
      <c r="C625" s="37" t="s">
        <v>1490</v>
      </c>
      <c r="D625" s="37" t="s">
        <v>39</v>
      </c>
      <c r="E625" s="37" t="s">
        <v>22</v>
      </c>
      <c r="F625" s="42">
        <v>45657</v>
      </c>
      <c r="G625" s="37">
        <v>2024</v>
      </c>
      <c r="H625" s="37" t="s">
        <v>27</v>
      </c>
      <c r="I625" s="39" t="s">
        <v>36</v>
      </c>
      <c r="J625" s="37">
        <v>100</v>
      </c>
      <c r="K625" s="37">
        <v>100</v>
      </c>
      <c r="L625" s="65">
        <f t="shared" si="79"/>
        <v>1</v>
      </c>
      <c r="M625" s="65">
        <f t="shared" si="80"/>
        <v>1</v>
      </c>
      <c r="N625" s="37" t="s">
        <v>25</v>
      </c>
      <c r="O625" s="37" t="s">
        <v>25</v>
      </c>
      <c r="P625" s="37">
        <v>0</v>
      </c>
      <c r="Q625" s="37">
        <v>0</v>
      </c>
      <c r="R625" s="37" t="s">
        <v>2400</v>
      </c>
      <c r="S625" s="37"/>
    </row>
    <row r="626" spans="1:19" x14ac:dyDescent="0.3">
      <c r="A626" s="76">
        <v>451</v>
      </c>
      <c r="B626" s="76" t="s">
        <v>2404</v>
      </c>
      <c r="C626" s="76" t="s">
        <v>1998</v>
      </c>
      <c r="D626" s="76" t="s">
        <v>21</v>
      </c>
      <c r="E626" s="76" t="s">
        <v>22</v>
      </c>
      <c r="F626" s="77">
        <v>45657</v>
      </c>
      <c r="G626" s="76">
        <v>2024</v>
      </c>
      <c r="H626" s="76" t="s">
        <v>27</v>
      </c>
      <c r="I626" s="76" t="s">
        <v>36</v>
      </c>
      <c r="J626" s="76"/>
      <c r="K626" s="76">
        <v>38.799999999999997</v>
      </c>
      <c r="L626" s="78"/>
      <c r="M626" s="78"/>
      <c r="N626" s="76" t="s">
        <v>25</v>
      </c>
      <c r="O626" s="76" t="s">
        <v>25</v>
      </c>
      <c r="P626" s="76">
        <v>0</v>
      </c>
      <c r="Q626" s="76">
        <v>0</v>
      </c>
      <c r="R626" s="76" t="s">
        <v>2403</v>
      </c>
      <c r="S626" s="76"/>
    </row>
    <row r="627" spans="1:19" x14ac:dyDescent="0.3">
      <c r="A627" s="76">
        <v>452</v>
      </c>
      <c r="B627" s="76" t="s">
        <v>2405</v>
      </c>
      <c r="C627" s="76" t="s">
        <v>1998</v>
      </c>
      <c r="D627" s="76" t="s">
        <v>21</v>
      </c>
      <c r="E627" s="76" t="s">
        <v>22</v>
      </c>
      <c r="F627" s="77">
        <v>45657</v>
      </c>
      <c r="G627" s="76">
        <v>2024</v>
      </c>
      <c r="H627" s="76" t="s">
        <v>27</v>
      </c>
      <c r="I627" s="76" t="s">
        <v>36</v>
      </c>
      <c r="J627" s="76">
        <v>46</v>
      </c>
      <c r="K627" s="76">
        <v>61</v>
      </c>
      <c r="L627" s="78">
        <f t="shared" ref="L627:L632" si="81">IFERROR(IF(OR(J627=0,K627=""),"",IF(E627="Positivo",MIN(MAX(K627/J627,0),1.3),MIN(MAX(J627/K627,0),1.3))),"")</f>
        <v>1.3</v>
      </c>
      <c r="M627" s="78">
        <f t="shared" ref="M627:M632" si="82">IFERROR(IF(OR(J627=0,K627=""),"",IF(E627="Positivo",MAX(K627/J627,0),MAX(J627/K627,0))),"")</f>
        <v>1.326086956521739</v>
      </c>
      <c r="N627" s="76" t="s">
        <v>25</v>
      </c>
      <c r="O627" s="76" t="s">
        <v>25</v>
      </c>
      <c r="P627" s="76">
        <v>0</v>
      </c>
      <c r="Q627" s="76">
        <v>0</v>
      </c>
      <c r="R627" s="76" t="s">
        <v>2407</v>
      </c>
      <c r="S627" s="76"/>
    </row>
    <row r="628" spans="1:19" x14ac:dyDescent="0.3">
      <c r="A628" s="76">
        <v>453</v>
      </c>
      <c r="B628" s="76" t="s">
        <v>2408</v>
      </c>
      <c r="C628" s="76" t="s">
        <v>2018</v>
      </c>
      <c r="D628" s="76" t="s">
        <v>39</v>
      </c>
      <c r="E628" s="76" t="s">
        <v>22</v>
      </c>
      <c r="F628" s="77">
        <v>45657</v>
      </c>
      <c r="G628" s="76">
        <v>2024</v>
      </c>
      <c r="H628" s="76" t="s">
        <v>27</v>
      </c>
      <c r="I628" s="76" t="s">
        <v>36</v>
      </c>
      <c r="J628" s="76">
        <v>100</v>
      </c>
      <c r="K628" s="76">
        <v>160</v>
      </c>
      <c r="L628" s="78">
        <f t="shared" si="81"/>
        <v>1.3</v>
      </c>
      <c r="M628" s="78">
        <f t="shared" si="82"/>
        <v>1.6</v>
      </c>
      <c r="N628" s="76" t="s">
        <v>25</v>
      </c>
      <c r="O628" s="76" t="s">
        <v>25</v>
      </c>
      <c r="P628" s="76">
        <v>0</v>
      </c>
      <c r="Q628" s="76">
        <v>0</v>
      </c>
      <c r="R628" s="76" t="s">
        <v>2412</v>
      </c>
      <c r="S628" s="76"/>
    </row>
    <row r="629" spans="1:19" x14ac:dyDescent="0.3">
      <c r="A629" s="37">
        <v>454</v>
      </c>
      <c r="B629" s="37" t="s">
        <v>2413</v>
      </c>
      <c r="C629" s="37" t="s">
        <v>2018</v>
      </c>
      <c r="D629" s="37" t="s">
        <v>39</v>
      </c>
      <c r="E629" s="37" t="s">
        <v>22</v>
      </c>
      <c r="F629" s="42">
        <v>45657</v>
      </c>
      <c r="G629" s="37">
        <v>2024</v>
      </c>
      <c r="H629" s="37" t="s">
        <v>27</v>
      </c>
      <c r="I629" s="39" t="s">
        <v>36</v>
      </c>
      <c r="J629" s="37">
        <v>0</v>
      </c>
      <c r="K629" s="37">
        <v>88</v>
      </c>
      <c r="L629" s="65" t="str">
        <f t="shared" si="81"/>
        <v/>
      </c>
      <c r="M629" s="65" t="str">
        <f t="shared" si="82"/>
        <v/>
      </c>
      <c r="N629" s="37" t="s">
        <v>25</v>
      </c>
      <c r="O629" s="37" t="s">
        <v>25</v>
      </c>
      <c r="P629" s="37">
        <v>0</v>
      </c>
      <c r="Q629" s="37">
        <v>0</v>
      </c>
      <c r="R629" s="37" t="s">
        <v>2415</v>
      </c>
      <c r="S629" s="37"/>
    </row>
    <row r="630" spans="1:19" x14ac:dyDescent="0.3">
      <c r="A630" s="76">
        <v>455</v>
      </c>
      <c r="B630" s="76" t="s">
        <v>2416</v>
      </c>
      <c r="C630" s="76" t="s">
        <v>2018</v>
      </c>
      <c r="D630" s="76" t="s">
        <v>39</v>
      </c>
      <c r="E630" s="76" t="s">
        <v>22</v>
      </c>
      <c r="F630" s="77">
        <v>45657</v>
      </c>
      <c r="G630" s="76">
        <v>2024</v>
      </c>
      <c r="H630" s="76" t="s">
        <v>27</v>
      </c>
      <c r="I630" s="76" t="s">
        <v>36</v>
      </c>
      <c r="J630" s="76">
        <v>12.5</v>
      </c>
      <c r="K630" s="76">
        <v>12.5</v>
      </c>
      <c r="L630" s="78">
        <f t="shared" si="81"/>
        <v>1</v>
      </c>
      <c r="M630" s="78">
        <f t="shared" si="82"/>
        <v>1</v>
      </c>
      <c r="N630" s="76" t="s">
        <v>25</v>
      </c>
      <c r="O630" s="76" t="s">
        <v>25</v>
      </c>
      <c r="P630" s="76">
        <v>0</v>
      </c>
      <c r="Q630" s="76">
        <v>0</v>
      </c>
      <c r="R630" s="76" t="s">
        <v>2418</v>
      </c>
      <c r="S630" s="76"/>
    </row>
    <row r="631" spans="1:19" x14ac:dyDescent="0.3">
      <c r="A631" s="76">
        <v>456</v>
      </c>
      <c r="B631" s="76" t="s">
        <v>2419</v>
      </c>
      <c r="C631" s="76" t="s">
        <v>207</v>
      </c>
      <c r="D631" s="76" t="s">
        <v>21</v>
      </c>
      <c r="E631" s="76" t="s">
        <v>22</v>
      </c>
      <c r="F631" s="77">
        <v>45657</v>
      </c>
      <c r="G631" s="76">
        <v>2024</v>
      </c>
      <c r="H631" s="76" t="s">
        <v>27</v>
      </c>
      <c r="I631" s="76" t="s">
        <v>36</v>
      </c>
      <c r="J631" s="76">
        <v>100</v>
      </c>
      <c r="K631" s="76">
        <v>97.344999999999999</v>
      </c>
      <c r="L631" s="78">
        <f t="shared" si="81"/>
        <v>0.97345000000000004</v>
      </c>
      <c r="M631" s="78">
        <f t="shared" si="82"/>
        <v>0.97345000000000004</v>
      </c>
      <c r="N631" s="76" t="s">
        <v>25</v>
      </c>
      <c r="O631" s="76" t="s">
        <v>25</v>
      </c>
      <c r="P631" s="76">
        <v>0</v>
      </c>
      <c r="Q631" s="76">
        <v>0</v>
      </c>
      <c r="R631" s="76" t="s">
        <v>2421</v>
      </c>
      <c r="S631" s="76"/>
    </row>
    <row r="632" spans="1:19" x14ac:dyDescent="0.3">
      <c r="A632" s="76">
        <v>457</v>
      </c>
      <c r="B632" s="76" t="s">
        <v>2426</v>
      </c>
      <c r="C632" s="76" t="s">
        <v>207</v>
      </c>
      <c r="D632" s="76" t="s">
        <v>21</v>
      </c>
      <c r="E632" s="76" t="s">
        <v>22</v>
      </c>
      <c r="F632" s="77">
        <v>45657</v>
      </c>
      <c r="G632" s="76">
        <v>2024</v>
      </c>
      <c r="H632" s="76" t="s">
        <v>27</v>
      </c>
      <c r="I632" s="76" t="s">
        <v>36</v>
      </c>
      <c r="J632" s="76">
        <v>100</v>
      </c>
      <c r="K632" s="76">
        <v>80</v>
      </c>
      <c r="L632" s="78">
        <f t="shared" si="81"/>
        <v>0.8</v>
      </c>
      <c r="M632" s="78">
        <f t="shared" si="82"/>
        <v>0.8</v>
      </c>
      <c r="N632" s="76" t="s">
        <v>25</v>
      </c>
      <c r="O632" s="76" t="s">
        <v>25</v>
      </c>
      <c r="P632" s="76">
        <v>0</v>
      </c>
      <c r="Q632" s="76">
        <v>0</v>
      </c>
      <c r="R632" s="76" t="s">
        <v>2428</v>
      </c>
      <c r="S632" s="76"/>
    </row>
    <row r="633" spans="1:19" x14ac:dyDescent="0.3">
      <c r="A633" s="37">
        <v>459</v>
      </c>
      <c r="B633" s="37" t="s">
        <v>2433</v>
      </c>
      <c r="C633" s="37" t="s">
        <v>1998</v>
      </c>
      <c r="D633" s="37" t="s">
        <v>39</v>
      </c>
      <c r="E633" s="37" t="s">
        <v>22</v>
      </c>
      <c r="F633" s="42">
        <v>45657</v>
      </c>
      <c r="G633" s="37">
        <v>2024</v>
      </c>
      <c r="H633" s="37" t="s">
        <v>27</v>
      </c>
      <c r="I633" s="39" t="s">
        <v>36</v>
      </c>
      <c r="J633" s="37">
        <v>100</v>
      </c>
      <c r="K633" s="37"/>
      <c r="L633" s="65"/>
      <c r="M633" s="65"/>
      <c r="N633" s="37" t="s">
        <v>25</v>
      </c>
      <c r="O633" s="37" t="s">
        <v>25</v>
      </c>
      <c r="P633" s="37">
        <v>0</v>
      </c>
      <c r="Q633" s="37">
        <v>0</v>
      </c>
      <c r="R633" s="37" t="s">
        <v>3545</v>
      </c>
      <c r="S633" s="37"/>
    </row>
    <row r="634" spans="1:19" x14ac:dyDescent="0.3">
      <c r="A634" s="76">
        <v>460</v>
      </c>
      <c r="B634" s="76" t="s">
        <v>2436</v>
      </c>
      <c r="C634" s="76" t="s">
        <v>55</v>
      </c>
      <c r="D634" s="76" t="s">
        <v>139</v>
      </c>
      <c r="E634" s="76" t="s">
        <v>22</v>
      </c>
      <c r="F634" s="77">
        <v>45657</v>
      </c>
      <c r="G634" s="76">
        <v>2024</v>
      </c>
      <c r="H634" s="76" t="s">
        <v>27</v>
      </c>
      <c r="I634" s="76" t="s">
        <v>36</v>
      </c>
      <c r="J634" s="76">
        <v>80</v>
      </c>
      <c r="K634" s="76">
        <v>91.439688715953324</v>
      </c>
      <c r="L634" s="78">
        <f t="shared" ref="L634:L640" si="83">IFERROR(IF(OR(J634=0,K634=""),"",IF(E634="Positivo",MIN(MAX(K634/J634,0),1.3),MIN(MAX(J634/K634,0),1.3))),"")</f>
        <v>1.1429961089494165</v>
      </c>
      <c r="M634" s="78">
        <f t="shared" ref="M634:M640" si="84">IFERROR(IF(OR(J634=0,K634=""),"",IF(E634="Positivo",MAX(K634/J634,0),MAX(J634/K634,0))),"")</f>
        <v>1.1429961089494165</v>
      </c>
      <c r="N634" s="76" t="s">
        <v>25</v>
      </c>
      <c r="O634" s="76" t="s">
        <v>25</v>
      </c>
      <c r="P634" s="76">
        <v>0</v>
      </c>
      <c r="Q634" s="76">
        <v>0</v>
      </c>
      <c r="R634" s="76" t="s">
        <v>2437</v>
      </c>
      <c r="S634" s="76"/>
    </row>
    <row r="635" spans="1:19" x14ac:dyDescent="0.3">
      <c r="A635" s="37">
        <v>462</v>
      </c>
      <c r="B635" s="37" t="s">
        <v>2438</v>
      </c>
      <c r="C635" s="37" t="s">
        <v>546</v>
      </c>
      <c r="D635" s="37" t="s">
        <v>21</v>
      </c>
      <c r="E635" s="37" t="s">
        <v>22</v>
      </c>
      <c r="F635" s="42">
        <v>45657</v>
      </c>
      <c r="G635" s="37">
        <v>2024</v>
      </c>
      <c r="H635" s="37" t="s">
        <v>27</v>
      </c>
      <c r="I635" s="39" t="s">
        <v>36</v>
      </c>
      <c r="J635" s="37">
        <v>85</v>
      </c>
      <c r="K635" s="37">
        <v>100</v>
      </c>
      <c r="L635" s="65">
        <f t="shared" si="83"/>
        <v>1.1764705882352942</v>
      </c>
      <c r="M635" s="65">
        <f t="shared" si="84"/>
        <v>1.1764705882352942</v>
      </c>
      <c r="N635" s="37" t="s">
        <v>25</v>
      </c>
      <c r="O635" s="37" t="s">
        <v>25</v>
      </c>
      <c r="P635" s="37">
        <v>0</v>
      </c>
      <c r="Q635" s="37">
        <v>0</v>
      </c>
      <c r="R635" s="37" t="s">
        <v>2440</v>
      </c>
      <c r="S635" s="37"/>
    </row>
    <row r="636" spans="1:19" x14ac:dyDescent="0.3">
      <c r="A636" s="37">
        <v>463</v>
      </c>
      <c r="B636" s="37" t="s">
        <v>2441</v>
      </c>
      <c r="C636" s="37" t="s">
        <v>55</v>
      </c>
      <c r="D636" s="37" t="s">
        <v>21</v>
      </c>
      <c r="E636" s="37" t="s">
        <v>22</v>
      </c>
      <c r="F636" s="42">
        <v>45657</v>
      </c>
      <c r="G636" s="37">
        <v>2024</v>
      </c>
      <c r="H636" s="37" t="s">
        <v>27</v>
      </c>
      <c r="I636" s="39" t="s">
        <v>36</v>
      </c>
      <c r="J636" s="37">
        <v>100</v>
      </c>
      <c r="K636" s="37">
        <v>100</v>
      </c>
      <c r="L636" s="65">
        <f t="shared" si="83"/>
        <v>1</v>
      </c>
      <c r="M636" s="65">
        <f t="shared" si="84"/>
        <v>1</v>
      </c>
      <c r="N636" s="37" t="s">
        <v>25</v>
      </c>
      <c r="O636" s="37" t="s">
        <v>25</v>
      </c>
      <c r="P636" s="37">
        <v>0</v>
      </c>
      <c r="Q636" s="37">
        <v>0</v>
      </c>
      <c r="R636" s="37" t="s">
        <v>2443</v>
      </c>
      <c r="S636" s="37"/>
    </row>
    <row r="637" spans="1:19" x14ac:dyDescent="0.3">
      <c r="A637" s="37">
        <v>465</v>
      </c>
      <c r="B637" s="37" t="s">
        <v>2444</v>
      </c>
      <c r="C637" s="37" t="s">
        <v>1758</v>
      </c>
      <c r="D637" s="37" t="s">
        <v>21</v>
      </c>
      <c r="E637" s="37" t="s">
        <v>22</v>
      </c>
      <c r="F637" s="42">
        <v>45657</v>
      </c>
      <c r="G637" s="37">
        <v>2024</v>
      </c>
      <c r="H637" s="37" t="s">
        <v>27</v>
      </c>
      <c r="I637" s="39" t="s">
        <v>36</v>
      </c>
      <c r="J637" s="37">
        <v>100</v>
      </c>
      <c r="K637" s="37">
        <v>56.83</v>
      </c>
      <c r="L637" s="65">
        <f t="shared" si="83"/>
        <v>0.56830000000000003</v>
      </c>
      <c r="M637" s="65">
        <f t="shared" si="84"/>
        <v>0.56830000000000003</v>
      </c>
      <c r="N637" s="37" t="s">
        <v>25</v>
      </c>
      <c r="O637" s="37" t="s">
        <v>25</v>
      </c>
      <c r="P637" s="37">
        <v>0</v>
      </c>
      <c r="Q637" s="37">
        <v>0</v>
      </c>
      <c r="R637" s="37" t="s">
        <v>2446</v>
      </c>
      <c r="S637" s="37"/>
    </row>
    <row r="638" spans="1:19" x14ac:dyDescent="0.3">
      <c r="A638" s="76">
        <v>466</v>
      </c>
      <c r="B638" s="76" t="s">
        <v>2447</v>
      </c>
      <c r="C638" s="76" t="s">
        <v>1376</v>
      </c>
      <c r="D638" s="76" t="s">
        <v>21</v>
      </c>
      <c r="E638" s="76" t="s">
        <v>22</v>
      </c>
      <c r="F638" s="77">
        <v>45657</v>
      </c>
      <c r="G638" s="76">
        <v>2024</v>
      </c>
      <c r="H638" s="76" t="s">
        <v>27</v>
      </c>
      <c r="I638" s="76" t="s">
        <v>36</v>
      </c>
      <c r="J638" s="76">
        <v>50</v>
      </c>
      <c r="K638" s="76">
        <v>56.7</v>
      </c>
      <c r="L638" s="78">
        <f t="shared" si="83"/>
        <v>1.1340000000000001</v>
      </c>
      <c r="M638" s="78">
        <f t="shared" si="84"/>
        <v>1.1340000000000001</v>
      </c>
      <c r="N638" s="76" t="s">
        <v>25</v>
      </c>
      <c r="O638" s="76" t="s">
        <v>25</v>
      </c>
      <c r="P638" s="76">
        <v>0</v>
      </c>
      <c r="Q638" s="76">
        <v>0</v>
      </c>
      <c r="R638" s="76" t="s">
        <v>2449</v>
      </c>
      <c r="S638" s="76"/>
    </row>
    <row r="639" spans="1:19" x14ac:dyDescent="0.3">
      <c r="A639" s="76">
        <v>467</v>
      </c>
      <c r="B639" s="76" t="s">
        <v>2450</v>
      </c>
      <c r="C639" s="76" t="s">
        <v>1376</v>
      </c>
      <c r="D639" s="76" t="s">
        <v>21</v>
      </c>
      <c r="E639" s="76" t="s">
        <v>22</v>
      </c>
      <c r="F639" s="77">
        <v>45657</v>
      </c>
      <c r="G639" s="76">
        <v>2024</v>
      </c>
      <c r="H639" s="76" t="s">
        <v>27</v>
      </c>
      <c r="I639" s="76" t="s">
        <v>36</v>
      </c>
      <c r="J639" s="76">
        <v>60</v>
      </c>
      <c r="K639" s="76">
        <v>72.924999999999997</v>
      </c>
      <c r="L639" s="78">
        <f t="shared" si="83"/>
        <v>1.2154166666666666</v>
      </c>
      <c r="M639" s="78">
        <f t="shared" si="84"/>
        <v>1.2154166666666666</v>
      </c>
      <c r="N639" s="76" t="s">
        <v>25</v>
      </c>
      <c r="O639" s="76" t="s">
        <v>25</v>
      </c>
      <c r="P639" s="76">
        <v>0</v>
      </c>
      <c r="Q639" s="76">
        <v>0</v>
      </c>
      <c r="R639" s="76" t="s">
        <v>2452</v>
      </c>
      <c r="S639" s="76"/>
    </row>
    <row r="640" spans="1:19" x14ac:dyDescent="0.3">
      <c r="A640" s="76">
        <v>468</v>
      </c>
      <c r="B640" s="76" t="s">
        <v>2453</v>
      </c>
      <c r="C640" s="76" t="s">
        <v>1376</v>
      </c>
      <c r="D640" s="76" t="s">
        <v>21</v>
      </c>
      <c r="E640" s="76" t="s">
        <v>56</v>
      </c>
      <c r="F640" s="77">
        <v>45657</v>
      </c>
      <c r="G640" s="76">
        <v>2024</v>
      </c>
      <c r="H640" s="76" t="s">
        <v>27</v>
      </c>
      <c r="I640" s="76" t="s">
        <v>36</v>
      </c>
      <c r="J640" s="76">
        <v>3</v>
      </c>
      <c r="K640" s="76">
        <v>2.7250000000000001</v>
      </c>
      <c r="L640" s="78">
        <f t="shared" si="83"/>
        <v>1.1009174311926606</v>
      </c>
      <c r="M640" s="78">
        <f t="shared" si="84"/>
        <v>1.1009174311926606</v>
      </c>
      <c r="N640" s="76" t="s">
        <v>25</v>
      </c>
      <c r="O640" s="76" t="s">
        <v>25</v>
      </c>
      <c r="P640" s="76">
        <v>0</v>
      </c>
      <c r="Q640" s="76">
        <v>0</v>
      </c>
      <c r="R640" s="76" t="s">
        <v>2455</v>
      </c>
      <c r="S640" s="76"/>
    </row>
    <row r="641" spans="1:19" x14ac:dyDescent="0.3">
      <c r="A641" s="76">
        <v>469</v>
      </c>
      <c r="B641" s="76" t="s">
        <v>2168</v>
      </c>
      <c r="C641" s="76" t="s">
        <v>1263</v>
      </c>
      <c r="D641" s="76" t="s">
        <v>39</v>
      </c>
      <c r="E641" s="76" t="s">
        <v>22</v>
      </c>
      <c r="F641" s="77">
        <v>45657</v>
      </c>
      <c r="G641" s="76">
        <v>2024</v>
      </c>
      <c r="H641" s="76" t="s">
        <v>27</v>
      </c>
      <c r="I641" s="76" t="s">
        <v>36</v>
      </c>
      <c r="J641" s="76">
        <v>100</v>
      </c>
      <c r="K641" s="76">
        <v>99.7</v>
      </c>
      <c r="L641" s="78">
        <f t="shared" ref="L641:L643" si="85">IFERROR(IF(OR(J641=0,K641=""),"",IF(E641="Positivo",MIN(MAX(K641/J641,0),1),MIN(MAX(J641/K641,0),1))),"")</f>
        <v>0.997</v>
      </c>
      <c r="M641" s="78">
        <f t="shared" ref="M641:M643" si="86">IFERROR(IF(OR(J641=0,K641=""),"",IF(E641="Positivo",MIN(MAX(K641/J641,0),1),MIN(MAX(J641/K641,0),1))),"")</f>
        <v>0.997</v>
      </c>
      <c r="N641" s="76" t="s">
        <v>25</v>
      </c>
      <c r="O641" s="76" t="s">
        <v>25</v>
      </c>
      <c r="P641" s="76">
        <v>0</v>
      </c>
      <c r="Q641" s="76">
        <v>0</v>
      </c>
      <c r="R641" s="76" t="s">
        <v>2460</v>
      </c>
      <c r="S641" s="76"/>
    </row>
    <row r="642" spans="1:19" x14ac:dyDescent="0.3">
      <c r="A642" s="76">
        <v>470</v>
      </c>
      <c r="B642" s="76" t="s">
        <v>2465</v>
      </c>
      <c r="C642" s="76" t="s">
        <v>1263</v>
      </c>
      <c r="D642" s="76" t="s">
        <v>39</v>
      </c>
      <c r="E642" s="76" t="s">
        <v>22</v>
      </c>
      <c r="F642" s="77">
        <v>45657</v>
      </c>
      <c r="G642" s="76">
        <v>2024</v>
      </c>
      <c r="H642" s="76" t="s">
        <v>27</v>
      </c>
      <c r="I642" s="76" t="s">
        <v>36</v>
      </c>
      <c r="J642" s="76">
        <v>100</v>
      </c>
      <c r="K642" s="76">
        <v>100</v>
      </c>
      <c r="L642" s="78">
        <f t="shared" si="85"/>
        <v>1</v>
      </c>
      <c r="M642" s="78">
        <f t="shared" si="86"/>
        <v>1</v>
      </c>
      <c r="N642" s="76" t="s">
        <v>25</v>
      </c>
      <c r="O642" s="76" t="s">
        <v>25</v>
      </c>
      <c r="P642" s="76">
        <v>0</v>
      </c>
      <c r="Q642" s="76">
        <v>0</v>
      </c>
      <c r="R642" s="76" t="s">
        <v>2469</v>
      </c>
      <c r="S642" s="76"/>
    </row>
    <row r="643" spans="1:19" x14ac:dyDescent="0.3">
      <c r="A643" s="76">
        <v>471</v>
      </c>
      <c r="B643" s="76" t="s">
        <v>2474</v>
      </c>
      <c r="C643" s="76" t="s">
        <v>1263</v>
      </c>
      <c r="D643" s="76" t="s">
        <v>39</v>
      </c>
      <c r="E643" s="76" t="s">
        <v>22</v>
      </c>
      <c r="F643" s="77">
        <v>45657</v>
      </c>
      <c r="G643" s="76">
        <v>2024</v>
      </c>
      <c r="H643" s="76" t="s">
        <v>27</v>
      </c>
      <c r="I643" s="76" t="s">
        <v>36</v>
      </c>
      <c r="J643" s="76">
        <v>100</v>
      </c>
      <c r="K643" s="76">
        <v>99</v>
      </c>
      <c r="L643" s="78">
        <f t="shared" si="85"/>
        <v>0.99</v>
      </c>
      <c r="M643" s="78">
        <f t="shared" si="86"/>
        <v>0.99</v>
      </c>
      <c r="N643" s="76" t="s">
        <v>25</v>
      </c>
      <c r="O643" s="76" t="s">
        <v>25</v>
      </c>
      <c r="P643" s="76">
        <v>0</v>
      </c>
      <c r="Q643" s="76">
        <v>0</v>
      </c>
      <c r="R643" s="76" t="s">
        <v>2478</v>
      </c>
      <c r="S643" s="76"/>
    </row>
    <row r="644" spans="1:19" x14ac:dyDescent="0.3">
      <c r="A644" s="37">
        <v>472</v>
      </c>
      <c r="B644" s="37" t="s">
        <v>2483</v>
      </c>
      <c r="C644" s="37" t="s">
        <v>1758</v>
      </c>
      <c r="D644" s="37" t="s">
        <v>21</v>
      </c>
      <c r="E644" s="37" t="s">
        <v>22</v>
      </c>
      <c r="F644" s="42">
        <v>45657</v>
      </c>
      <c r="G644" s="37">
        <v>2024</v>
      </c>
      <c r="H644" s="37" t="s">
        <v>27</v>
      </c>
      <c r="I644" s="39" t="s">
        <v>36</v>
      </c>
      <c r="J644" s="37">
        <v>100</v>
      </c>
      <c r="K644" s="37">
        <v>100</v>
      </c>
      <c r="L644" s="65">
        <f>IFERROR(IF(OR(J644=0,K644=""),"",IF(E644="Positivo",MIN(MAX(K644/J644,0),1.3),MIN(MAX(J644/K644,0),1.3))),"")</f>
        <v>1</v>
      </c>
      <c r="M644" s="65">
        <f>IFERROR(IF(OR(J644=0,K644=""),"",IF(E644="Positivo",MAX(K644/J644,0),MAX(J644/K644,0))),"")</f>
        <v>1</v>
      </c>
      <c r="N644" s="37" t="s">
        <v>25</v>
      </c>
      <c r="O644" s="37" t="s">
        <v>25</v>
      </c>
      <c r="P644" s="37">
        <v>0</v>
      </c>
      <c r="Q644" s="37">
        <v>0</v>
      </c>
      <c r="R644" s="37" t="s">
        <v>2485</v>
      </c>
      <c r="S644" s="37"/>
    </row>
    <row r="645" spans="1:19" x14ac:dyDescent="0.3">
      <c r="A645" s="76">
        <v>473</v>
      </c>
      <c r="B645" s="76" t="s">
        <v>2488</v>
      </c>
      <c r="C645" s="76" t="s">
        <v>1234</v>
      </c>
      <c r="D645" s="76" t="s">
        <v>21</v>
      </c>
      <c r="E645" s="76" t="s">
        <v>22</v>
      </c>
      <c r="F645" s="77">
        <v>45657</v>
      </c>
      <c r="G645" s="76">
        <v>2024</v>
      </c>
      <c r="H645" s="76" t="s">
        <v>27</v>
      </c>
      <c r="I645" s="76" t="s">
        <v>36</v>
      </c>
      <c r="J645" s="76">
        <v>100</v>
      </c>
      <c r="K645" s="76">
        <v>100</v>
      </c>
      <c r="L645" s="78">
        <f>IFERROR(IF(OR(J645=0,K645=""),"",IF(E645="Positivo",MIN(MAX(K645/J645,0),1.3),MIN(MAX(J645/K645,0),1.3))),"")</f>
        <v>1</v>
      </c>
      <c r="M645" s="78">
        <f>IFERROR(IF(OR(J645=0,K645=""),"",IF(E645="Positivo",MAX(K645/J645,0),MAX(J645/K645,0))),"")</f>
        <v>1</v>
      </c>
      <c r="N645" s="76" t="s">
        <v>25</v>
      </c>
      <c r="O645" s="76" t="s">
        <v>25</v>
      </c>
      <c r="P645" s="76">
        <v>0</v>
      </c>
      <c r="Q645" s="76">
        <v>0</v>
      </c>
      <c r="R645" s="76" t="s">
        <v>2489</v>
      </c>
      <c r="S645" s="76"/>
    </row>
    <row r="646" spans="1:19" x14ac:dyDescent="0.3">
      <c r="A646" s="76">
        <v>474</v>
      </c>
      <c r="B646" s="76" t="s">
        <v>2494</v>
      </c>
      <c r="C646" s="76" t="s">
        <v>1969</v>
      </c>
      <c r="D646" s="76" t="s">
        <v>21</v>
      </c>
      <c r="E646" s="76" t="s">
        <v>22</v>
      </c>
      <c r="F646" s="77">
        <v>45657</v>
      </c>
      <c r="G646" s="76">
        <v>2024</v>
      </c>
      <c r="H646" s="76" t="s">
        <v>27</v>
      </c>
      <c r="I646" s="76" t="s">
        <v>36</v>
      </c>
      <c r="J646" s="76">
        <v>100</v>
      </c>
      <c r="K646" s="76">
        <v>100</v>
      </c>
      <c r="L646" s="78">
        <f>IFERROR(IF(OR(J646=0,K646=""),"",IF(E646="Positivo",MIN(MAX(K646/J646,0),1.3),MIN(MAX(J646/K646,0),1.3))),"")</f>
        <v>1</v>
      </c>
      <c r="M646" s="78">
        <f>IFERROR(IF(OR(J646=0,K646=""),"",IF(E646="Positivo",MAX(K646/J646,0),MAX(J646/K646,0))),"")</f>
        <v>1</v>
      </c>
      <c r="N646" s="76" t="s">
        <v>25</v>
      </c>
      <c r="O646" s="76" t="s">
        <v>25</v>
      </c>
      <c r="P646" s="76">
        <v>0</v>
      </c>
      <c r="Q646" s="76">
        <v>0</v>
      </c>
      <c r="R646" s="76" t="s">
        <v>2495</v>
      </c>
      <c r="S646" s="76"/>
    </row>
    <row r="647" spans="1:19" x14ac:dyDescent="0.3">
      <c r="A647" s="76">
        <v>475</v>
      </c>
      <c r="B647" s="76" t="s">
        <v>2496</v>
      </c>
      <c r="C647" s="76" t="s">
        <v>1627</v>
      </c>
      <c r="D647" s="76" t="s">
        <v>21</v>
      </c>
      <c r="E647" s="76" t="s">
        <v>22</v>
      </c>
      <c r="F647" s="77">
        <v>45657</v>
      </c>
      <c r="G647" s="76">
        <v>2024</v>
      </c>
      <c r="H647" s="76" t="s">
        <v>27</v>
      </c>
      <c r="I647" s="76" t="s">
        <v>36</v>
      </c>
      <c r="J647" s="76">
        <v>10</v>
      </c>
      <c r="K647" s="76">
        <v>14</v>
      </c>
      <c r="L647" s="78">
        <f t="shared" ref="L647:L650" si="87">IFERROR(IF(OR(J647=0,K647=""),"",IF(E647="Positivo",MIN(MAX(K647/J647,0),1.3),MIN(MAX(J647/K647,0),1.3))),"")</f>
        <v>1.3</v>
      </c>
      <c r="M647" s="78">
        <f t="shared" ref="M647:M650" si="88">IFERROR(IF(OR(J647=0,K647=""),"",IF(E647="Positivo",MAX(K647/J647,0),MAX(J647/K647,0))),"")</f>
        <v>1.4</v>
      </c>
      <c r="N647" s="76" t="s">
        <v>25</v>
      </c>
      <c r="O647" s="76" t="s">
        <v>25</v>
      </c>
      <c r="P647" s="76">
        <v>0</v>
      </c>
      <c r="Q647" s="76">
        <v>0</v>
      </c>
      <c r="R647" s="76" t="s">
        <v>2498</v>
      </c>
      <c r="S647" s="76"/>
    </row>
    <row r="648" spans="1:19" x14ac:dyDescent="0.3">
      <c r="A648" s="76">
        <v>476</v>
      </c>
      <c r="B648" s="76" t="s">
        <v>2499</v>
      </c>
      <c r="C648" s="76" t="s">
        <v>1234</v>
      </c>
      <c r="D648" s="76" t="s">
        <v>21</v>
      </c>
      <c r="E648" s="76" t="s">
        <v>22</v>
      </c>
      <c r="F648" s="77">
        <v>45657</v>
      </c>
      <c r="G648" s="76">
        <v>2024</v>
      </c>
      <c r="H648" s="76" t="s">
        <v>27</v>
      </c>
      <c r="I648" s="76" t="s">
        <v>36</v>
      </c>
      <c r="J648" s="76">
        <v>100</v>
      </c>
      <c r="K648" s="76">
        <v>100</v>
      </c>
      <c r="L648" s="78">
        <f t="shared" si="87"/>
        <v>1</v>
      </c>
      <c r="M648" s="78">
        <f t="shared" si="88"/>
        <v>1</v>
      </c>
      <c r="N648" s="76" t="s">
        <v>25</v>
      </c>
      <c r="O648" s="76" t="s">
        <v>25</v>
      </c>
      <c r="P648" s="76">
        <v>0</v>
      </c>
      <c r="Q648" s="76">
        <v>0</v>
      </c>
      <c r="R648" s="76" t="s">
        <v>2501</v>
      </c>
      <c r="S648" s="76"/>
    </row>
    <row r="649" spans="1:19" x14ac:dyDescent="0.3">
      <c r="A649" s="76">
        <v>477</v>
      </c>
      <c r="B649" s="76" t="s">
        <v>2504</v>
      </c>
      <c r="C649" s="76" t="s">
        <v>1969</v>
      </c>
      <c r="D649" s="76" t="s">
        <v>21</v>
      </c>
      <c r="E649" s="76" t="s">
        <v>22</v>
      </c>
      <c r="F649" s="77">
        <v>45657</v>
      </c>
      <c r="G649" s="76">
        <v>2024</v>
      </c>
      <c r="H649" s="76" t="s">
        <v>27</v>
      </c>
      <c r="I649" s="76" t="s">
        <v>36</v>
      </c>
      <c r="J649" s="76">
        <v>200</v>
      </c>
      <c r="K649" s="76">
        <v>200</v>
      </c>
      <c r="L649" s="78">
        <f t="shared" si="87"/>
        <v>1</v>
      </c>
      <c r="M649" s="78">
        <f t="shared" si="88"/>
        <v>1</v>
      </c>
      <c r="N649" s="76" t="s">
        <v>25</v>
      </c>
      <c r="O649" s="76" t="s">
        <v>25</v>
      </c>
      <c r="P649" s="76">
        <v>0</v>
      </c>
      <c r="Q649" s="76">
        <v>0</v>
      </c>
      <c r="R649" s="76" t="s">
        <v>2506</v>
      </c>
      <c r="S649" s="76"/>
    </row>
    <row r="650" spans="1:19" x14ac:dyDescent="0.3">
      <c r="A650" s="76">
        <v>478</v>
      </c>
      <c r="B650" s="76" t="s">
        <v>2507</v>
      </c>
      <c r="C650" s="76" t="s">
        <v>1969</v>
      </c>
      <c r="D650" s="76" t="s">
        <v>21</v>
      </c>
      <c r="E650" s="76" t="s">
        <v>22</v>
      </c>
      <c r="F650" s="77">
        <v>45657</v>
      </c>
      <c r="G650" s="76">
        <v>2024</v>
      </c>
      <c r="H650" s="76" t="s">
        <v>27</v>
      </c>
      <c r="I650" s="76" t="s">
        <v>36</v>
      </c>
      <c r="J650" s="76">
        <v>200</v>
      </c>
      <c r="K650" s="76">
        <v>100</v>
      </c>
      <c r="L650" s="78">
        <f t="shared" si="87"/>
        <v>0.5</v>
      </c>
      <c r="M650" s="78">
        <f t="shared" si="88"/>
        <v>0.5</v>
      </c>
      <c r="N650" s="76" t="s">
        <v>25</v>
      </c>
      <c r="O650" s="76" t="s">
        <v>25</v>
      </c>
      <c r="P650" s="76">
        <v>0</v>
      </c>
      <c r="Q650" s="76">
        <v>0</v>
      </c>
      <c r="R650" s="76" t="s">
        <v>2509</v>
      </c>
      <c r="S650" s="76"/>
    </row>
    <row r="651" spans="1:19" x14ac:dyDescent="0.3">
      <c r="A651" s="76">
        <v>479</v>
      </c>
      <c r="B651" s="76" t="s">
        <v>2510</v>
      </c>
      <c r="C651" s="76" t="s">
        <v>1969</v>
      </c>
      <c r="D651" s="76" t="s">
        <v>21</v>
      </c>
      <c r="E651" s="76" t="s">
        <v>22</v>
      </c>
      <c r="F651" s="77">
        <v>45657</v>
      </c>
      <c r="G651" s="76">
        <v>2024</v>
      </c>
      <c r="H651" s="76" t="s">
        <v>27</v>
      </c>
      <c r="I651" s="76" t="s">
        <v>36</v>
      </c>
      <c r="J651" s="76">
        <v>200</v>
      </c>
      <c r="K651" s="76">
        <v>200</v>
      </c>
      <c r="L651" s="78">
        <f t="shared" ref="L651:L656" si="89">IFERROR(IF(OR(J651=0,K651=""),"",IF(E651="Positivo",MIN(MAX(K651/J651,0),1.3),MIN(MAX(J651/K651,0),1.3))),"")</f>
        <v>1</v>
      </c>
      <c r="M651" s="78">
        <f t="shared" ref="M651:M656" si="90">IFERROR(IF(OR(J651=0,K651=""),"",IF(E651="Positivo",MAX(K651/J651,0),MAX(J651/K651,0))),"")</f>
        <v>1</v>
      </c>
      <c r="N651" s="76" t="s">
        <v>25</v>
      </c>
      <c r="O651" s="76" t="s">
        <v>25</v>
      </c>
      <c r="P651" s="76">
        <v>0</v>
      </c>
      <c r="Q651" s="76">
        <v>0</v>
      </c>
      <c r="R651" s="76" t="s">
        <v>2512</v>
      </c>
      <c r="S651" s="76"/>
    </row>
    <row r="652" spans="1:19" x14ac:dyDescent="0.3">
      <c r="A652" s="76">
        <v>480</v>
      </c>
      <c r="B652" s="76" t="s">
        <v>2513</v>
      </c>
      <c r="C652" s="76" t="s">
        <v>1969</v>
      </c>
      <c r="D652" s="76" t="s">
        <v>21</v>
      </c>
      <c r="E652" s="76" t="s">
        <v>22</v>
      </c>
      <c r="F652" s="77">
        <v>45657</v>
      </c>
      <c r="G652" s="76">
        <v>2024</v>
      </c>
      <c r="H652" s="76" t="s">
        <v>27</v>
      </c>
      <c r="I652" s="76" t="s">
        <v>36</v>
      </c>
      <c r="J652" s="76">
        <v>200</v>
      </c>
      <c r="K652" s="76">
        <v>200</v>
      </c>
      <c r="L652" s="78">
        <f t="shared" si="89"/>
        <v>1</v>
      </c>
      <c r="M652" s="78">
        <f t="shared" si="90"/>
        <v>1</v>
      </c>
      <c r="N652" s="76" t="s">
        <v>25</v>
      </c>
      <c r="O652" s="76" t="s">
        <v>25</v>
      </c>
      <c r="P652" s="76">
        <v>0</v>
      </c>
      <c r="Q652" s="76">
        <v>0</v>
      </c>
      <c r="R652" s="76" t="s">
        <v>2515</v>
      </c>
      <c r="S652" s="76"/>
    </row>
    <row r="653" spans="1:19" x14ac:dyDescent="0.3">
      <c r="A653" s="76">
        <v>481</v>
      </c>
      <c r="B653" s="76" t="s">
        <v>2516</v>
      </c>
      <c r="C653" s="76" t="s">
        <v>1234</v>
      </c>
      <c r="D653" s="76" t="s">
        <v>21</v>
      </c>
      <c r="E653" s="76" t="s">
        <v>22</v>
      </c>
      <c r="F653" s="77">
        <v>45657</v>
      </c>
      <c r="G653" s="76">
        <v>2024</v>
      </c>
      <c r="H653" s="76" t="s">
        <v>27</v>
      </c>
      <c r="I653" s="76" t="s">
        <v>36</v>
      </c>
      <c r="J653" s="76">
        <v>100</v>
      </c>
      <c r="K653" s="76">
        <v>100</v>
      </c>
      <c r="L653" s="78">
        <f t="shared" si="89"/>
        <v>1</v>
      </c>
      <c r="M653" s="78">
        <f t="shared" si="90"/>
        <v>1</v>
      </c>
      <c r="N653" s="76" t="s">
        <v>25</v>
      </c>
      <c r="O653" s="76" t="s">
        <v>25</v>
      </c>
      <c r="P653" s="76">
        <v>0</v>
      </c>
      <c r="Q653" s="76">
        <v>0</v>
      </c>
      <c r="R653" s="76" t="s">
        <v>2518</v>
      </c>
      <c r="S653" s="76"/>
    </row>
    <row r="654" spans="1:19" x14ac:dyDescent="0.3">
      <c r="A654" s="37">
        <v>483</v>
      </c>
      <c r="B654" s="37" t="s">
        <v>2519</v>
      </c>
      <c r="C654" s="37" t="s">
        <v>1984</v>
      </c>
      <c r="D654" s="37" t="s">
        <v>139</v>
      </c>
      <c r="E654" s="37" t="s">
        <v>22</v>
      </c>
      <c r="F654" s="42">
        <v>45657</v>
      </c>
      <c r="G654" s="37">
        <v>2024</v>
      </c>
      <c r="H654" s="37" t="s">
        <v>27</v>
      </c>
      <c r="I654" s="39" t="s">
        <v>36</v>
      </c>
      <c r="J654" s="37">
        <v>10</v>
      </c>
      <c r="K654" s="37">
        <v>91.65</v>
      </c>
      <c r="L654" s="65">
        <f t="shared" si="89"/>
        <v>1.3</v>
      </c>
      <c r="M654" s="65">
        <f t="shared" si="90"/>
        <v>9.1650000000000009</v>
      </c>
      <c r="N654" s="37" t="s">
        <v>203</v>
      </c>
      <c r="O654" s="37" t="s">
        <v>203</v>
      </c>
      <c r="P654" s="37">
        <v>0</v>
      </c>
      <c r="Q654" s="37">
        <v>0</v>
      </c>
      <c r="R654" s="37" t="s">
        <v>2520</v>
      </c>
      <c r="S654" s="37"/>
    </row>
    <row r="655" spans="1:19" x14ac:dyDescent="0.3">
      <c r="A655" s="76">
        <v>484</v>
      </c>
      <c r="B655" s="76" t="s">
        <v>2521</v>
      </c>
      <c r="C655" s="76" t="s">
        <v>138</v>
      </c>
      <c r="D655" s="76" t="s">
        <v>39</v>
      </c>
      <c r="E655" s="76" t="s">
        <v>22</v>
      </c>
      <c r="F655" s="77">
        <v>45657</v>
      </c>
      <c r="G655" s="76">
        <v>2024</v>
      </c>
      <c r="H655" s="76" t="s">
        <v>27</v>
      </c>
      <c r="I655" s="76" t="s">
        <v>36</v>
      </c>
      <c r="J655" s="76">
        <v>13.66666666666667</v>
      </c>
      <c r="K655" s="76">
        <v>13.66666666666667</v>
      </c>
      <c r="L655" s="78">
        <f t="shared" si="89"/>
        <v>1</v>
      </c>
      <c r="M655" s="78">
        <f t="shared" si="90"/>
        <v>1</v>
      </c>
      <c r="N655" s="76" t="s">
        <v>25</v>
      </c>
      <c r="O655" s="76" t="s">
        <v>25</v>
      </c>
      <c r="P655" s="76">
        <v>0</v>
      </c>
      <c r="Q655" s="76">
        <v>0</v>
      </c>
      <c r="R655" s="76" t="s">
        <v>2524</v>
      </c>
      <c r="S655" s="76"/>
    </row>
    <row r="656" spans="1:19" x14ac:dyDescent="0.3">
      <c r="A656" s="76">
        <v>485</v>
      </c>
      <c r="B656" s="76" t="s">
        <v>2525</v>
      </c>
      <c r="C656" s="76" t="s">
        <v>258</v>
      </c>
      <c r="D656" s="76" t="s">
        <v>73</v>
      </c>
      <c r="E656" s="76" t="s">
        <v>22</v>
      </c>
      <c r="F656" s="77">
        <v>45657</v>
      </c>
      <c r="G656" s="76">
        <v>2024</v>
      </c>
      <c r="H656" s="76" t="s">
        <v>27</v>
      </c>
      <c r="I656" s="76" t="s">
        <v>36</v>
      </c>
      <c r="J656" s="76">
        <v>80</v>
      </c>
      <c r="K656" s="76">
        <v>91.666666666666657</v>
      </c>
      <c r="L656" s="78">
        <f t="shared" si="89"/>
        <v>1.1458333333333333</v>
      </c>
      <c r="M656" s="78">
        <f t="shared" si="90"/>
        <v>1.1458333333333333</v>
      </c>
      <c r="N656" s="76" t="s">
        <v>25</v>
      </c>
      <c r="O656" s="76" t="s">
        <v>25</v>
      </c>
      <c r="P656" s="76">
        <v>0</v>
      </c>
      <c r="Q656" s="76">
        <v>0</v>
      </c>
      <c r="R656" s="76" t="s">
        <v>2536</v>
      </c>
      <c r="S656" s="76"/>
    </row>
    <row r="657" spans="1:19" x14ac:dyDescent="0.3">
      <c r="A657" s="76">
        <v>486</v>
      </c>
      <c r="B657" s="76" t="s">
        <v>2549</v>
      </c>
      <c r="C657" s="76" t="s">
        <v>207</v>
      </c>
      <c r="D657" s="76" t="s">
        <v>21</v>
      </c>
      <c r="E657" s="76" t="s">
        <v>22</v>
      </c>
      <c r="F657" s="77">
        <v>45657</v>
      </c>
      <c r="G657" s="76">
        <v>2024</v>
      </c>
      <c r="H657" s="76" t="s">
        <v>27</v>
      </c>
      <c r="I657" s="76" t="s">
        <v>36</v>
      </c>
      <c r="J657" s="76"/>
      <c r="K657" s="76">
        <v>7600000</v>
      </c>
      <c r="L657" s="78"/>
      <c r="M657" s="78"/>
      <c r="N657" s="76" t="s">
        <v>25</v>
      </c>
      <c r="O657" s="76" t="s">
        <v>25</v>
      </c>
      <c r="P657" s="76">
        <v>0</v>
      </c>
      <c r="Q657" s="76">
        <v>0</v>
      </c>
      <c r="R657" s="76" t="s">
        <v>2551</v>
      </c>
      <c r="S657" s="76"/>
    </row>
    <row r="658" spans="1:19" x14ac:dyDescent="0.3">
      <c r="A658" s="76">
        <v>487</v>
      </c>
      <c r="B658" s="76" t="s">
        <v>2554</v>
      </c>
      <c r="C658" s="76" t="s">
        <v>1336</v>
      </c>
      <c r="D658" s="76" t="s">
        <v>139</v>
      </c>
      <c r="E658" s="76" t="s">
        <v>22</v>
      </c>
      <c r="F658" s="77">
        <v>45657</v>
      </c>
      <c r="G658" s="76">
        <v>2024</v>
      </c>
      <c r="H658" s="76" t="s">
        <v>27</v>
      </c>
      <c r="I658" s="76" t="s">
        <v>36</v>
      </c>
      <c r="J658" s="76"/>
      <c r="K658" s="76">
        <v>6.06</v>
      </c>
      <c r="L658" s="78"/>
      <c r="M658" s="78"/>
      <c r="N658" s="76" t="s">
        <v>25</v>
      </c>
      <c r="O658" s="76" t="s">
        <v>25</v>
      </c>
      <c r="P658" s="76">
        <v>0</v>
      </c>
      <c r="Q658" s="76">
        <v>0</v>
      </c>
      <c r="R658" s="76" t="s">
        <v>2553</v>
      </c>
      <c r="S658" s="76"/>
    </row>
    <row r="659" spans="1:19" x14ac:dyDescent="0.3">
      <c r="A659" s="76">
        <v>488</v>
      </c>
      <c r="B659" s="76" t="s">
        <v>2555</v>
      </c>
      <c r="C659" s="76" t="s">
        <v>258</v>
      </c>
      <c r="D659" s="76" t="s">
        <v>73</v>
      </c>
      <c r="E659" s="76" t="s">
        <v>22</v>
      </c>
      <c r="F659" s="77">
        <v>45657</v>
      </c>
      <c r="G659" s="76">
        <v>2024</v>
      </c>
      <c r="H659" s="76" t="s">
        <v>27</v>
      </c>
      <c r="I659" s="76" t="s">
        <v>36</v>
      </c>
      <c r="J659" s="76">
        <v>85</v>
      </c>
      <c r="K659" s="76">
        <v>92.961288460795018</v>
      </c>
      <c r="L659" s="78">
        <f t="shared" ref="L659:L678" si="91">IFERROR(IF(OR(J659=0,K659=""),"",IF(E659="Positivo",MIN(MAX(K659/J659,0),1.3),MIN(MAX(J659/K659,0),1.3))),"")</f>
        <v>1.0936622171858237</v>
      </c>
      <c r="M659" s="78">
        <f t="shared" ref="M659:M678" si="92">IFERROR(IF(OR(J659=0,K659=""),"",IF(E659="Positivo",MAX(K659/J659,0),MAX(J659/K659,0))),"")</f>
        <v>1.0936622171858237</v>
      </c>
      <c r="N659" s="76" t="s">
        <v>25</v>
      </c>
      <c r="O659" s="76" t="s">
        <v>25</v>
      </c>
      <c r="P659" s="76">
        <v>0</v>
      </c>
      <c r="Q659" s="76">
        <v>0</v>
      </c>
      <c r="R659" s="76" t="s">
        <v>2567</v>
      </c>
      <c r="S659" s="76"/>
    </row>
    <row r="660" spans="1:19" x14ac:dyDescent="0.3">
      <c r="A660" s="37">
        <v>489</v>
      </c>
      <c r="B660" s="37" t="s">
        <v>2580</v>
      </c>
      <c r="C660" s="37" t="s">
        <v>258</v>
      </c>
      <c r="D660" s="37" t="s">
        <v>73</v>
      </c>
      <c r="E660" s="37" t="s">
        <v>22</v>
      </c>
      <c r="F660" s="42">
        <v>45657</v>
      </c>
      <c r="G660" s="37">
        <v>2024</v>
      </c>
      <c r="H660" s="37" t="s">
        <v>27</v>
      </c>
      <c r="I660" s="39" t="s">
        <v>36</v>
      </c>
      <c r="J660" s="37">
        <v>80</v>
      </c>
      <c r="K660" s="37">
        <v>100</v>
      </c>
      <c r="L660" s="65">
        <f t="shared" si="91"/>
        <v>1.25</v>
      </c>
      <c r="M660" s="65">
        <f t="shared" si="92"/>
        <v>1.25</v>
      </c>
      <c r="N660" s="37" t="s">
        <v>25</v>
      </c>
      <c r="O660" s="37" t="s">
        <v>25</v>
      </c>
      <c r="P660" s="37">
        <v>0</v>
      </c>
      <c r="Q660" s="37">
        <v>0</v>
      </c>
      <c r="R660" s="37" t="s">
        <v>2583</v>
      </c>
      <c r="S660" s="37"/>
    </row>
    <row r="661" spans="1:19" x14ac:dyDescent="0.3">
      <c r="A661" s="76">
        <v>490</v>
      </c>
      <c r="B661" s="76" t="s">
        <v>2584</v>
      </c>
      <c r="C661" s="76" t="s">
        <v>1263</v>
      </c>
      <c r="D661" s="76" t="s">
        <v>139</v>
      </c>
      <c r="E661" s="76" t="s">
        <v>22</v>
      </c>
      <c r="F661" s="77">
        <v>45657</v>
      </c>
      <c r="G661" s="76">
        <v>2024</v>
      </c>
      <c r="H661" s="76" t="s">
        <v>27</v>
      </c>
      <c r="I661" s="76" t="s">
        <v>36</v>
      </c>
      <c r="J661" s="76">
        <v>80</v>
      </c>
      <c r="K661" s="76">
        <v>88</v>
      </c>
      <c r="L661" s="78">
        <f t="shared" si="91"/>
        <v>1.1000000000000001</v>
      </c>
      <c r="M661" s="78">
        <f t="shared" si="92"/>
        <v>1.1000000000000001</v>
      </c>
      <c r="N661" s="76" t="s">
        <v>25</v>
      </c>
      <c r="O661" s="76" t="s">
        <v>223</v>
      </c>
      <c r="P661" s="76">
        <v>0</v>
      </c>
      <c r="Q661" s="76">
        <v>0</v>
      </c>
      <c r="R661" s="76" t="s">
        <v>2585</v>
      </c>
      <c r="S661" s="76" t="s">
        <v>223</v>
      </c>
    </row>
    <row r="662" spans="1:19" x14ac:dyDescent="0.3">
      <c r="A662" s="76">
        <v>491</v>
      </c>
      <c r="B662" s="76" t="s">
        <v>2586</v>
      </c>
      <c r="C662" s="76" t="s">
        <v>1096</v>
      </c>
      <c r="D662" s="76" t="s">
        <v>139</v>
      </c>
      <c r="E662" s="76" t="s">
        <v>22</v>
      </c>
      <c r="F662" s="77">
        <v>45657</v>
      </c>
      <c r="G662" s="76">
        <v>2024</v>
      </c>
      <c r="H662" s="76" t="s">
        <v>27</v>
      </c>
      <c r="I662" s="76" t="s">
        <v>36</v>
      </c>
      <c r="J662" s="76">
        <v>80</v>
      </c>
      <c r="K662" s="76">
        <v>88</v>
      </c>
      <c r="L662" s="78">
        <f t="shared" si="91"/>
        <v>1.1000000000000001</v>
      </c>
      <c r="M662" s="78">
        <f t="shared" si="92"/>
        <v>1.1000000000000001</v>
      </c>
      <c r="N662" s="76" t="s">
        <v>25</v>
      </c>
      <c r="O662" s="76" t="s">
        <v>223</v>
      </c>
      <c r="P662" s="76">
        <v>0</v>
      </c>
      <c r="Q662" s="76">
        <v>0</v>
      </c>
      <c r="R662" s="76" t="s">
        <v>2587</v>
      </c>
      <c r="S662" s="76" t="s">
        <v>223</v>
      </c>
    </row>
    <row r="663" spans="1:19" x14ac:dyDescent="0.3">
      <c r="A663" s="76">
        <v>492</v>
      </c>
      <c r="B663" s="76" t="s">
        <v>2588</v>
      </c>
      <c r="C663" s="76" t="s">
        <v>1241</v>
      </c>
      <c r="D663" s="76" t="s">
        <v>139</v>
      </c>
      <c r="E663" s="76" t="s">
        <v>22</v>
      </c>
      <c r="F663" s="77">
        <v>45657</v>
      </c>
      <c r="G663" s="76">
        <v>2024</v>
      </c>
      <c r="H663" s="76" t="s">
        <v>27</v>
      </c>
      <c r="I663" s="76" t="s">
        <v>36</v>
      </c>
      <c r="J663" s="76">
        <v>80</v>
      </c>
      <c r="K663" s="76">
        <v>83</v>
      </c>
      <c r="L663" s="78">
        <f t="shared" si="91"/>
        <v>1.0375000000000001</v>
      </c>
      <c r="M663" s="78">
        <f t="shared" si="92"/>
        <v>1.0375000000000001</v>
      </c>
      <c r="N663" s="76" t="s">
        <v>25</v>
      </c>
      <c r="O663" s="76" t="s">
        <v>223</v>
      </c>
      <c r="P663" s="76">
        <v>0</v>
      </c>
      <c r="Q663" s="76">
        <v>0</v>
      </c>
      <c r="R663" s="76" t="s">
        <v>2589</v>
      </c>
      <c r="S663" s="76" t="s">
        <v>223</v>
      </c>
    </row>
    <row r="664" spans="1:19" x14ac:dyDescent="0.3">
      <c r="A664" s="76">
        <v>493</v>
      </c>
      <c r="B664" s="76" t="s">
        <v>2590</v>
      </c>
      <c r="C664" s="76" t="s">
        <v>1303</v>
      </c>
      <c r="D664" s="76" t="s">
        <v>139</v>
      </c>
      <c r="E664" s="76" t="s">
        <v>22</v>
      </c>
      <c r="F664" s="77">
        <v>45657</v>
      </c>
      <c r="G664" s="76">
        <v>2024</v>
      </c>
      <c r="H664" s="76" t="s">
        <v>27</v>
      </c>
      <c r="I664" s="76" t="s">
        <v>36</v>
      </c>
      <c r="J664" s="76">
        <v>1</v>
      </c>
      <c r="K664" s="76">
        <v>81</v>
      </c>
      <c r="L664" s="78">
        <f t="shared" si="91"/>
        <v>1.3</v>
      </c>
      <c r="M664" s="78">
        <f t="shared" si="92"/>
        <v>81</v>
      </c>
      <c r="N664" s="76" t="s">
        <v>25</v>
      </c>
      <c r="O664" s="76" t="s">
        <v>25</v>
      </c>
      <c r="P664" s="76">
        <v>0</v>
      </c>
      <c r="Q664" s="76">
        <v>0</v>
      </c>
      <c r="R664" s="76" t="s">
        <v>2591</v>
      </c>
      <c r="S664" s="76"/>
    </row>
    <row r="665" spans="1:19" x14ac:dyDescent="0.3">
      <c r="A665" s="76">
        <v>494</v>
      </c>
      <c r="B665" s="76" t="s">
        <v>2592</v>
      </c>
      <c r="C665" s="76" t="s">
        <v>1501</v>
      </c>
      <c r="D665" s="76" t="s">
        <v>139</v>
      </c>
      <c r="E665" s="76" t="s">
        <v>22</v>
      </c>
      <c r="F665" s="77">
        <v>45657</v>
      </c>
      <c r="G665" s="76">
        <v>2024</v>
      </c>
      <c r="H665" s="76" t="s">
        <v>27</v>
      </c>
      <c r="I665" s="76" t="s">
        <v>36</v>
      </c>
      <c r="J665" s="76">
        <v>1</v>
      </c>
      <c r="K665" s="76">
        <v>89</v>
      </c>
      <c r="L665" s="78">
        <f t="shared" si="91"/>
        <v>1.3</v>
      </c>
      <c r="M665" s="78">
        <f t="shared" si="92"/>
        <v>89</v>
      </c>
      <c r="N665" s="76" t="s">
        <v>25</v>
      </c>
      <c r="O665" s="76" t="s">
        <v>25</v>
      </c>
      <c r="P665" s="76">
        <v>0</v>
      </c>
      <c r="Q665" s="76">
        <v>0</v>
      </c>
      <c r="R665" s="76" t="s">
        <v>2593</v>
      </c>
      <c r="S665" s="76"/>
    </row>
    <row r="666" spans="1:19" x14ac:dyDescent="0.3">
      <c r="A666" s="76">
        <v>495</v>
      </c>
      <c r="B666" s="76" t="s">
        <v>2594</v>
      </c>
      <c r="C666" s="76" t="s">
        <v>1721</v>
      </c>
      <c r="D666" s="76" t="s">
        <v>139</v>
      </c>
      <c r="E666" s="76" t="s">
        <v>22</v>
      </c>
      <c r="F666" s="77">
        <v>45657</v>
      </c>
      <c r="G666" s="76">
        <v>2024</v>
      </c>
      <c r="H666" s="76" t="s">
        <v>27</v>
      </c>
      <c r="I666" s="76" t="s">
        <v>36</v>
      </c>
      <c r="J666" s="76">
        <v>1</v>
      </c>
      <c r="K666" s="76">
        <v>92</v>
      </c>
      <c r="L666" s="78">
        <f t="shared" si="91"/>
        <v>1.3</v>
      </c>
      <c r="M666" s="78">
        <f t="shared" si="92"/>
        <v>92</v>
      </c>
      <c r="N666" s="76" t="s">
        <v>25</v>
      </c>
      <c r="O666" s="76" t="s">
        <v>25</v>
      </c>
      <c r="P666" s="76">
        <v>0</v>
      </c>
      <c r="Q666" s="76">
        <v>0</v>
      </c>
      <c r="R666" s="76" t="s">
        <v>2595</v>
      </c>
      <c r="S666" s="76"/>
    </row>
    <row r="667" spans="1:19" x14ac:dyDescent="0.3">
      <c r="A667" s="76">
        <v>496</v>
      </c>
      <c r="B667" s="76" t="s">
        <v>2596</v>
      </c>
      <c r="C667" s="76" t="s">
        <v>210</v>
      </c>
      <c r="D667" s="76" t="s">
        <v>139</v>
      </c>
      <c r="E667" s="76" t="s">
        <v>22</v>
      </c>
      <c r="F667" s="77">
        <v>45657</v>
      </c>
      <c r="G667" s="76">
        <v>2024</v>
      </c>
      <c r="H667" s="76" t="s">
        <v>27</v>
      </c>
      <c r="I667" s="76" t="s">
        <v>36</v>
      </c>
      <c r="J667" s="76">
        <v>1</v>
      </c>
      <c r="K667" s="76">
        <v>88</v>
      </c>
      <c r="L667" s="78">
        <f t="shared" si="91"/>
        <v>1.3</v>
      </c>
      <c r="M667" s="78">
        <f t="shared" si="92"/>
        <v>88</v>
      </c>
      <c r="N667" s="76" t="s">
        <v>25</v>
      </c>
      <c r="O667" s="76" t="s">
        <v>25</v>
      </c>
      <c r="P667" s="76">
        <v>0</v>
      </c>
      <c r="Q667" s="76">
        <v>0</v>
      </c>
      <c r="R667" s="76" t="s">
        <v>2597</v>
      </c>
      <c r="S667" s="76"/>
    </row>
    <row r="668" spans="1:19" x14ac:dyDescent="0.3">
      <c r="A668" s="76">
        <v>497</v>
      </c>
      <c r="B668" s="76" t="s">
        <v>2598</v>
      </c>
      <c r="C668" s="76" t="s">
        <v>1765</v>
      </c>
      <c r="D668" s="76" t="s">
        <v>139</v>
      </c>
      <c r="E668" s="76" t="s">
        <v>22</v>
      </c>
      <c r="F668" s="77">
        <v>45657</v>
      </c>
      <c r="G668" s="76">
        <v>2024</v>
      </c>
      <c r="H668" s="76" t="s">
        <v>27</v>
      </c>
      <c r="I668" s="76" t="s">
        <v>36</v>
      </c>
      <c r="J668" s="76">
        <v>1</v>
      </c>
      <c r="K668" s="76">
        <v>83</v>
      </c>
      <c r="L668" s="78">
        <f t="shared" si="91"/>
        <v>1.3</v>
      </c>
      <c r="M668" s="78">
        <f t="shared" si="92"/>
        <v>83</v>
      </c>
      <c r="N668" s="76" t="s">
        <v>25</v>
      </c>
      <c r="O668" s="76" t="s">
        <v>25</v>
      </c>
      <c r="P668" s="76">
        <v>0</v>
      </c>
      <c r="Q668" s="76">
        <v>0</v>
      </c>
      <c r="R668" s="76" t="s">
        <v>2599</v>
      </c>
      <c r="S668" s="76"/>
    </row>
    <row r="669" spans="1:19" x14ac:dyDescent="0.3">
      <c r="A669" s="76">
        <v>498</v>
      </c>
      <c r="B669" s="76" t="s">
        <v>2600</v>
      </c>
      <c r="C669" s="76" t="s">
        <v>1336</v>
      </c>
      <c r="D669" s="76" t="s">
        <v>139</v>
      </c>
      <c r="E669" s="76" t="s">
        <v>22</v>
      </c>
      <c r="F669" s="77">
        <v>45657</v>
      </c>
      <c r="G669" s="76">
        <v>2024</v>
      </c>
      <c r="H669" s="76" t="s">
        <v>27</v>
      </c>
      <c r="I669" s="76" t="s">
        <v>36</v>
      </c>
      <c r="J669" s="76">
        <v>1</v>
      </c>
      <c r="K669" s="76">
        <v>92</v>
      </c>
      <c r="L669" s="78">
        <f t="shared" si="91"/>
        <v>1.3</v>
      </c>
      <c r="M669" s="78">
        <f t="shared" si="92"/>
        <v>92</v>
      </c>
      <c r="N669" s="76" t="s">
        <v>25</v>
      </c>
      <c r="O669" s="76" t="s">
        <v>25</v>
      </c>
      <c r="P669" s="76">
        <v>0</v>
      </c>
      <c r="Q669" s="76">
        <v>0</v>
      </c>
      <c r="R669" s="76" t="s">
        <v>2601</v>
      </c>
      <c r="S669" s="76"/>
    </row>
    <row r="670" spans="1:19" x14ac:dyDescent="0.3">
      <c r="A670" s="76">
        <v>499</v>
      </c>
      <c r="B670" s="76" t="s">
        <v>2602</v>
      </c>
      <c r="C670" s="76" t="s">
        <v>1758</v>
      </c>
      <c r="D670" s="76" t="s">
        <v>139</v>
      </c>
      <c r="E670" s="76" t="s">
        <v>22</v>
      </c>
      <c r="F670" s="77">
        <v>45657</v>
      </c>
      <c r="G670" s="76">
        <v>2024</v>
      </c>
      <c r="H670" s="76" t="s">
        <v>27</v>
      </c>
      <c r="I670" s="76" t="s">
        <v>36</v>
      </c>
      <c r="J670" s="76">
        <v>1</v>
      </c>
      <c r="K670" s="76">
        <v>87</v>
      </c>
      <c r="L670" s="78">
        <f t="shared" si="91"/>
        <v>1.3</v>
      </c>
      <c r="M670" s="78">
        <f t="shared" si="92"/>
        <v>87</v>
      </c>
      <c r="N670" s="76" t="s">
        <v>25</v>
      </c>
      <c r="O670" s="76" t="s">
        <v>25</v>
      </c>
      <c r="P670" s="76">
        <v>0</v>
      </c>
      <c r="Q670" s="76">
        <v>0</v>
      </c>
      <c r="R670" s="76" t="s">
        <v>2603</v>
      </c>
      <c r="S670" s="76"/>
    </row>
    <row r="671" spans="1:19" x14ac:dyDescent="0.3">
      <c r="A671" s="76">
        <v>500</v>
      </c>
      <c r="B671" s="76" t="s">
        <v>2604</v>
      </c>
      <c r="C671" s="76" t="s">
        <v>1528</v>
      </c>
      <c r="D671" s="76" t="s">
        <v>139</v>
      </c>
      <c r="E671" s="76" t="s">
        <v>22</v>
      </c>
      <c r="F671" s="77">
        <v>45657</v>
      </c>
      <c r="G671" s="76">
        <v>2024</v>
      </c>
      <c r="H671" s="76" t="s">
        <v>27</v>
      </c>
      <c r="I671" s="76" t="s">
        <v>36</v>
      </c>
      <c r="J671" s="76">
        <v>1</v>
      </c>
      <c r="K671" s="76">
        <v>89</v>
      </c>
      <c r="L671" s="78">
        <f t="shared" si="91"/>
        <v>1.3</v>
      </c>
      <c r="M671" s="78">
        <f t="shared" si="92"/>
        <v>89</v>
      </c>
      <c r="N671" s="76" t="s">
        <v>25</v>
      </c>
      <c r="O671" s="76" t="s">
        <v>25</v>
      </c>
      <c r="P671" s="76">
        <v>0</v>
      </c>
      <c r="Q671" s="76">
        <v>0</v>
      </c>
      <c r="R671" s="76" t="s">
        <v>2605</v>
      </c>
      <c r="S671" s="76"/>
    </row>
    <row r="672" spans="1:19" x14ac:dyDescent="0.3">
      <c r="A672" s="76">
        <v>501</v>
      </c>
      <c r="B672" s="76" t="s">
        <v>2606</v>
      </c>
      <c r="C672" s="76" t="s">
        <v>1234</v>
      </c>
      <c r="D672" s="76" t="s">
        <v>139</v>
      </c>
      <c r="E672" s="76" t="s">
        <v>22</v>
      </c>
      <c r="F672" s="77">
        <v>45657</v>
      </c>
      <c r="G672" s="76">
        <v>2024</v>
      </c>
      <c r="H672" s="76" t="s">
        <v>27</v>
      </c>
      <c r="I672" s="76" t="s">
        <v>36</v>
      </c>
      <c r="J672" s="76">
        <v>1</v>
      </c>
      <c r="K672" s="76">
        <v>88</v>
      </c>
      <c r="L672" s="78">
        <f t="shared" si="91"/>
        <v>1.3</v>
      </c>
      <c r="M672" s="78">
        <f t="shared" si="92"/>
        <v>88</v>
      </c>
      <c r="N672" s="76" t="s">
        <v>25</v>
      </c>
      <c r="O672" s="76" t="s">
        <v>25</v>
      </c>
      <c r="P672" s="76">
        <v>0</v>
      </c>
      <c r="Q672" s="76">
        <v>0</v>
      </c>
      <c r="R672" s="76" t="s">
        <v>2607</v>
      </c>
      <c r="S672" s="76"/>
    </row>
    <row r="673" spans="1:19" x14ac:dyDescent="0.3">
      <c r="A673" s="76">
        <v>502</v>
      </c>
      <c r="B673" s="76" t="s">
        <v>2608</v>
      </c>
      <c r="C673" s="76" t="s">
        <v>509</v>
      </c>
      <c r="D673" s="76" t="s">
        <v>139</v>
      </c>
      <c r="E673" s="76" t="s">
        <v>22</v>
      </c>
      <c r="F673" s="77">
        <v>45657</v>
      </c>
      <c r="G673" s="76">
        <v>2024</v>
      </c>
      <c r="H673" s="76" t="s">
        <v>27</v>
      </c>
      <c r="I673" s="76" t="s">
        <v>36</v>
      </c>
      <c r="J673" s="76">
        <v>1</v>
      </c>
      <c r="K673" s="76">
        <v>90</v>
      </c>
      <c r="L673" s="78">
        <f t="shared" si="91"/>
        <v>1.3</v>
      </c>
      <c r="M673" s="78">
        <f t="shared" si="92"/>
        <v>90</v>
      </c>
      <c r="N673" s="76" t="s">
        <v>25</v>
      </c>
      <c r="O673" s="76" t="s">
        <v>25</v>
      </c>
      <c r="P673" s="76">
        <v>0</v>
      </c>
      <c r="Q673" s="76">
        <v>0</v>
      </c>
      <c r="R673" s="76" t="s">
        <v>2609</v>
      </c>
      <c r="S673" s="76"/>
    </row>
    <row r="674" spans="1:19" x14ac:dyDescent="0.3">
      <c r="A674" s="76">
        <v>503</v>
      </c>
      <c r="B674" s="76" t="s">
        <v>2610</v>
      </c>
      <c r="C674" s="76" t="s">
        <v>1969</v>
      </c>
      <c r="D674" s="76" t="s">
        <v>139</v>
      </c>
      <c r="E674" s="76" t="s">
        <v>22</v>
      </c>
      <c r="F674" s="77">
        <v>45657</v>
      </c>
      <c r="G674" s="76">
        <v>2024</v>
      </c>
      <c r="H674" s="76" t="s">
        <v>27</v>
      </c>
      <c r="I674" s="76" t="s">
        <v>36</v>
      </c>
      <c r="J674" s="76">
        <v>1</v>
      </c>
      <c r="K674" s="76">
        <v>86</v>
      </c>
      <c r="L674" s="78">
        <f t="shared" si="91"/>
        <v>1.3</v>
      </c>
      <c r="M674" s="78">
        <f t="shared" si="92"/>
        <v>86</v>
      </c>
      <c r="N674" s="76" t="s">
        <v>25</v>
      </c>
      <c r="O674" s="76" t="s">
        <v>25</v>
      </c>
      <c r="P674" s="76">
        <v>0</v>
      </c>
      <c r="Q674" s="76">
        <v>0</v>
      </c>
      <c r="R674" s="76" t="s">
        <v>2611</v>
      </c>
      <c r="S674" s="76"/>
    </row>
    <row r="675" spans="1:19" x14ac:dyDescent="0.3">
      <c r="A675" s="76">
        <v>504</v>
      </c>
      <c r="B675" s="76" t="s">
        <v>2612</v>
      </c>
      <c r="C675" s="76" t="s">
        <v>2044</v>
      </c>
      <c r="D675" s="76" t="s">
        <v>139</v>
      </c>
      <c r="E675" s="76" t="s">
        <v>22</v>
      </c>
      <c r="F675" s="77">
        <v>45657</v>
      </c>
      <c r="G675" s="76">
        <v>2024</v>
      </c>
      <c r="H675" s="76" t="s">
        <v>27</v>
      </c>
      <c r="I675" s="76" t="s">
        <v>36</v>
      </c>
      <c r="J675" s="76">
        <v>1</v>
      </c>
      <c r="K675" s="76">
        <v>88</v>
      </c>
      <c r="L675" s="78">
        <f t="shared" si="91"/>
        <v>1.3</v>
      </c>
      <c r="M675" s="78">
        <f t="shared" si="92"/>
        <v>88</v>
      </c>
      <c r="N675" s="76" t="s">
        <v>25</v>
      </c>
      <c r="O675" s="76" t="s">
        <v>25</v>
      </c>
      <c r="P675" s="76">
        <v>0</v>
      </c>
      <c r="Q675" s="76">
        <v>0</v>
      </c>
      <c r="R675" s="76" t="s">
        <v>2613</v>
      </c>
      <c r="S675" s="76"/>
    </row>
    <row r="676" spans="1:19" x14ac:dyDescent="0.3">
      <c r="A676" s="76">
        <v>505</v>
      </c>
      <c r="B676" s="76" t="s">
        <v>2614</v>
      </c>
      <c r="C676" s="76" t="s">
        <v>2186</v>
      </c>
      <c r="D676" s="76" t="s">
        <v>139</v>
      </c>
      <c r="E676" s="76" t="s">
        <v>22</v>
      </c>
      <c r="F676" s="77">
        <v>45657</v>
      </c>
      <c r="G676" s="76">
        <v>2024</v>
      </c>
      <c r="H676" s="76" t="s">
        <v>27</v>
      </c>
      <c r="I676" s="76" t="s">
        <v>36</v>
      </c>
      <c r="J676" s="76">
        <v>1</v>
      </c>
      <c r="K676" s="76">
        <v>85</v>
      </c>
      <c r="L676" s="78">
        <f t="shared" si="91"/>
        <v>1.3</v>
      </c>
      <c r="M676" s="78">
        <f t="shared" si="92"/>
        <v>85</v>
      </c>
      <c r="N676" s="76" t="s">
        <v>25</v>
      </c>
      <c r="O676" s="76" t="s">
        <v>25</v>
      </c>
      <c r="P676" s="76">
        <v>0</v>
      </c>
      <c r="Q676" s="76">
        <v>0</v>
      </c>
      <c r="R676" s="76" t="s">
        <v>2615</v>
      </c>
      <c r="S676" s="76"/>
    </row>
    <row r="677" spans="1:19" x14ac:dyDescent="0.3">
      <c r="A677" s="76">
        <v>506</v>
      </c>
      <c r="B677" s="76" t="s">
        <v>2616</v>
      </c>
      <c r="C677" s="76" t="s">
        <v>1781</v>
      </c>
      <c r="D677" s="76" t="s">
        <v>139</v>
      </c>
      <c r="E677" s="76" t="s">
        <v>22</v>
      </c>
      <c r="F677" s="77">
        <v>45657</v>
      </c>
      <c r="G677" s="76">
        <v>2024</v>
      </c>
      <c r="H677" s="76" t="s">
        <v>27</v>
      </c>
      <c r="I677" s="76" t="s">
        <v>36</v>
      </c>
      <c r="J677" s="76">
        <v>1</v>
      </c>
      <c r="K677" s="76">
        <v>67</v>
      </c>
      <c r="L677" s="78">
        <f t="shared" si="91"/>
        <v>1.3</v>
      </c>
      <c r="M677" s="78">
        <f t="shared" si="92"/>
        <v>67</v>
      </c>
      <c r="N677" s="76" t="s">
        <v>25</v>
      </c>
      <c r="O677" s="76" t="s">
        <v>25</v>
      </c>
      <c r="P677" s="76">
        <v>0</v>
      </c>
      <c r="Q677" s="76">
        <v>0</v>
      </c>
      <c r="R677" s="76" t="s">
        <v>2617</v>
      </c>
      <c r="S677" s="76"/>
    </row>
    <row r="678" spans="1:19" x14ac:dyDescent="0.3">
      <c r="A678" s="76">
        <v>507</v>
      </c>
      <c r="B678" s="76" t="s">
        <v>2618</v>
      </c>
      <c r="C678" s="76" t="s">
        <v>1460</v>
      </c>
      <c r="D678" s="76" t="s">
        <v>139</v>
      </c>
      <c r="E678" s="76" t="s">
        <v>22</v>
      </c>
      <c r="F678" s="77">
        <v>45657</v>
      </c>
      <c r="G678" s="76">
        <v>2024</v>
      </c>
      <c r="H678" s="76" t="s">
        <v>27</v>
      </c>
      <c r="I678" s="76" t="s">
        <v>36</v>
      </c>
      <c r="J678" s="76">
        <v>1</v>
      </c>
      <c r="K678" s="76">
        <v>77</v>
      </c>
      <c r="L678" s="78">
        <f t="shared" si="91"/>
        <v>1.3</v>
      </c>
      <c r="M678" s="78">
        <f t="shared" si="92"/>
        <v>77</v>
      </c>
      <c r="N678" s="76" t="s">
        <v>25</v>
      </c>
      <c r="O678" s="76" t="s">
        <v>25</v>
      </c>
      <c r="P678" s="76">
        <v>0</v>
      </c>
      <c r="Q678" s="76">
        <v>0</v>
      </c>
      <c r="R678" s="76" t="s">
        <v>2619</v>
      </c>
      <c r="S678" s="76"/>
    </row>
    <row r="679" spans="1:19" x14ac:dyDescent="0.3">
      <c r="A679" s="76">
        <v>508</v>
      </c>
      <c r="B679" s="76" t="s">
        <v>2620</v>
      </c>
      <c r="C679" s="76" t="s">
        <v>2018</v>
      </c>
      <c r="D679" s="76" t="s">
        <v>139</v>
      </c>
      <c r="E679" s="76" t="s">
        <v>22</v>
      </c>
      <c r="F679" s="77">
        <v>45657</v>
      </c>
      <c r="G679" s="76">
        <v>2024</v>
      </c>
      <c r="H679" s="76" t="s">
        <v>27</v>
      </c>
      <c r="I679" s="76" t="s">
        <v>36</v>
      </c>
      <c r="J679" s="76">
        <v>1</v>
      </c>
      <c r="K679" s="76">
        <v>88</v>
      </c>
      <c r="L679" s="78">
        <f>IFERROR(IF(OR(J679=0,K679=""),"",IF(E679="Positivo",MIN(MAX(K679/J679,0),1.3),MIN(MAX(J679/K679,0),1.3))),"")</f>
        <v>1.3</v>
      </c>
      <c r="M679" s="78">
        <f>IFERROR(IF(OR(J679=0,K679=""),"",IF(E679="Positivo",MAX(K679/J679,0),MAX(J679/K679,0))),"")</f>
        <v>88</v>
      </c>
      <c r="N679" s="76" t="s">
        <v>25</v>
      </c>
      <c r="O679" s="76" t="s">
        <v>25</v>
      </c>
      <c r="P679" s="76">
        <v>0</v>
      </c>
      <c r="Q679" s="76">
        <v>0</v>
      </c>
      <c r="R679" s="76" t="s">
        <v>2621</v>
      </c>
      <c r="S679" s="76"/>
    </row>
    <row r="680" spans="1:19" x14ac:dyDescent="0.3">
      <c r="A680" s="76" t="s">
        <v>2726</v>
      </c>
      <c r="B680" s="76" t="s">
        <v>2727</v>
      </c>
      <c r="C680" s="76" t="s">
        <v>625</v>
      </c>
      <c r="D680" s="76" t="s">
        <v>21</v>
      </c>
      <c r="E680" s="76" t="s">
        <v>22</v>
      </c>
      <c r="F680" s="77">
        <v>45291</v>
      </c>
      <c r="G680" s="76">
        <v>2023</v>
      </c>
      <c r="H680" s="76" t="s">
        <v>27</v>
      </c>
      <c r="I680" s="76" t="s">
        <v>32</v>
      </c>
      <c r="J680" s="76">
        <v>51688</v>
      </c>
      <c r="K680" s="76">
        <v>51499</v>
      </c>
      <c r="L680" s="78">
        <f t="shared" ref="L680:L684" si="93">IFERROR(IF(OR(J680=0,K680=""),"",IF(E680="Positivo",MIN(MAX(K680/J680,0),1.3),MIN(MAX(J680/K680,0),1.3))),"")</f>
        <v>0.99634344528710728</v>
      </c>
      <c r="M680" s="78">
        <f t="shared" ref="M680:M684" si="94">IFERROR(IF(OR(J680=0,K680=""),"",IF(E680="Positivo",MAX(K680/J680,0),MAX(J680/K680,0))),"")</f>
        <v>0.99634344528710728</v>
      </c>
      <c r="N680" s="76" t="s">
        <v>25</v>
      </c>
      <c r="O680" s="76" t="s">
        <v>25</v>
      </c>
      <c r="P680" s="76">
        <v>0</v>
      </c>
      <c r="Q680" s="76">
        <v>0</v>
      </c>
      <c r="R680" s="76" t="s">
        <v>2729</v>
      </c>
      <c r="S680" s="76"/>
    </row>
    <row r="681" spans="1:19" x14ac:dyDescent="0.3">
      <c r="A681" s="76" t="s">
        <v>2731</v>
      </c>
      <c r="B681" s="76" t="s">
        <v>2732</v>
      </c>
      <c r="C681" s="76" t="s">
        <v>625</v>
      </c>
      <c r="D681" s="76" t="s">
        <v>21</v>
      </c>
      <c r="E681" s="76" t="s">
        <v>22</v>
      </c>
      <c r="F681" s="77">
        <v>45291</v>
      </c>
      <c r="G681" s="76">
        <v>2023</v>
      </c>
      <c r="H681" s="76" t="s">
        <v>27</v>
      </c>
      <c r="I681" s="76" t="s">
        <v>32</v>
      </c>
      <c r="J681" s="76">
        <v>7620</v>
      </c>
      <c r="K681" s="76">
        <v>8054</v>
      </c>
      <c r="L681" s="78">
        <f t="shared" si="93"/>
        <v>1.0569553805774279</v>
      </c>
      <c r="M681" s="78">
        <f t="shared" si="94"/>
        <v>1.0569553805774279</v>
      </c>
      <c r="N681" s="76" t="s">
        <v>203</v>
      </c>
      <c r="O681" s="76" t="s">
        <v>203</v>
      </c>
      <c r="P681" s="76">
        <v>0</v>
      </c>
      <c r="Q681" s="76">
        <v>0</v>
      </c>
      <c r="R681" s="76" t="s">
        <v>2734</v>
      </c>
      <c r="S681" s="76"/>
    </row>
    <row r="682" spans="1:19" x14ac:dyDescent="0.3">
      <c r="A682" s="76" t="s">
        <v>2736</v>
      </c>
      <c r="B682" s="76" t="s">
        <v>2737</v>
      </c>
      <c r="C682" s="76" t="s">
        <v>625</v>
      </c>
      <c r="D682" s="76" t="s">
        <v>21</v>
      </c>
      <c r="E682" s="76" t="s">
        <v>22</v>
      </c>
      <c r="F682" s="77">
        <v>45291</v>
      </c>
      <c r="G682" s="76">
        <v>2023</v>
      </c>
      <c r="H682" s="76" t="s">
        <v>27</v>
      </c>
      <c r="I682" s="76" t="s">
        <v>32</v>
      </c>
      <c r="J682" s="76">
        <v>44067</v>
      </c>
      <c r="K682" s="76">
        <v>43445</v>
      </c>
      <c r="L682" s="78">
        <f t="shared" si="93"/>
        <v>0.98588512946195561</v>
      </c>
      <c r="M682" s="78">
        <f t="shared" si="94"/>
        <v>0.98588512946195561</v>
      </c>
      <c r="N682" s="76" t="s">
        <v>203</v>
      </c>
      <c r="O682" s="76" t="s">
        <v>203</v>
      </c>
      <c r="P682" s="76">
        <v>0</v>
      </c>
      <c r="Q682" s="76">
        <v>0</v>
      </c>
      <c r="R682" s="76" t="s">
        <v>2739</v>
      </c>
      <c r="S682" s="76"/>
    </row>
    <row r="683" spans="1:19" x14ac:dyDescent="0.3">
      <c r="A683" s="76" t="s">
        <v>2741</v>
      </c>
      <c r="B683" s="76" t="s">
        <v>2742</v>
      </c>
      <c r="C683" s="76" t="s">
        <v>625</v>
      </c>
      <c r="D683" s="76" t="s">
        <v>21</v>
      </c>
      <c r="E683" s="76" t="s">
        <v>22</v>
      </c>
      <c r="F683" s="77">
        <v>45291</v>
      </c>
      <c r="G683" s="76">
        <v>2023</v>
      </c>
      <c r="H683" s="76" t="s">
        <v>27</v>
      </c>
      <c r="I683" s="76" t="s">
        <v>32</v>
      </c>
      <c r="J683" s="76">
        <v>48890</v>
      </c>
      <c r="K683" s="76">
        <v>48144</v>
      </c>
      <c r="L683" s="78">
        <f t="shared" si="93"/>
        <v>0.98474125588054817</v>
      </c>
      <c r="M683" s="78">
        <f t="shared" si="94"/>
        <v>0.98474125588054817</v>
      </c>
      <c r="N683" s="76" t="s">
        <v>203</v>
      </c>
      <c r="O683" s="76" t="s">
        <v>203</v>
      </c>
      <c r="P683" s="76">
        <v>0</v>
      </c>
      <c r="Q683" s="76">
        <v>0</v>
      </c>
      <c r="R683" s="76" t="s">
        <v>2744</v>
      </c>
      <c r="S683" s="76"/>
    </row>
    <row r="684" spans="1:19" x14ac:dyDescent="0.3">
      <c r="A684" s="76" t="s">
        <v>2746</v>
      </c>
      <c r="B684" s="76" t="s">
        <v>2747</v>
      </c>
      <c r="C684" s="76" t="s">
        <v>625</v>
      </c>
      <c r="D684" s="76" t="s">
        <v>21</v>
      </c>
      <c r="E684" s="76" t="s">
        <v>22</v>
      </c>
      <c r="F684" s="77">
        <v>45291</v>
      </c>
      <c r="G684" s="76">
        <v>2023</v>
      </c>
      <c r="H684" s="76" t="s">
        <v>27</v>
      </c>
      <c r="I684" s="76" t="s">
        <v>32</v>
      </c>
      <c r="J684" s="76">
        <v>2797</v>
      </c>
      <c r="K684" s="76">
        <v>3355</v>
      </c>
      <c r="L684" s="78">
        <f t="shared" si="93"/>
        <v>1.1994994637111192</v>
      </c>
      <c r="M684" s="78">
        <f t="shared" si="94"/>
        <v>1.1994994637111192</v>
      </c>
      <c r="N684" s="76" t="s">
        <v>203</v>
      </c>
      <c r="O684" s="76" t="s">
        <v>203</v>
      </c>
      <c r="P684" s="76">
        <v>0</v>
      </c>
      <c r="Q684" s="76">
        <v>0</v>
      </c>
      <c r="R684" s="76" t="s">
        <v>2749</v>
      </c>
      <c r="S684" s="76"/>
    </row>
    <row r="685" spans="1:19" x14ac:dyDescent="0.3">
      <c r="A685" s="76" t="s">
        <v>2751</v>
      </c>
      <c r="B685" s="76" t="s">
        <v>2752</v>
      </c>
      <c r="C685" s="76" t="s">
        <v>1263</v>
      </c>
      <c r="D685" s="76" t="s">
        <v>39</v>
      </c>
      <c r="E685" s="76" t="s">
        <v>22</v>
      </c>
      <c r="F685" s="77">
        <v>45291</v>
      </c>
      <c r="G685" s="76">
        <v>2023</v>
      </c>
      <c r="H685" s="76" t="s">
        <v>27</v>
      </c>
      <c r="I685" s="76" t="s">
        <v>32</v>
      </c>
      <c r="J685" s="76">
        <v>100</v>
      </c>
      <c r="K685" s="76">
        <v>98</v>
      </c>
      <c r="L685" s="78">
        <f t="shared" ref="L685:L696" si="95">IFERROR(IF(OR(J685=0,K685=""),"",IF(E685="Positivo",MIN(MAX(K685/J685,0),1.3),MIN(MAX(J685/K685,0),1.3))),"")</f>
        <v>0.98</v>
      </c>
      <c r="M685" s="78">
        <f t="shared" ref="M685:M696" si="96">IFERROR(IF(OR(J685=0,K685=""),"",IF(E685="Positivo",MAX(K685/J685,0),MAX(J685/K685,0))),"")</f>
        <v>0.98</v>
      </c>
      <c r="N685" s="76" t="s">
        <v>25</v>
      </c>
      <c r="O685" s="76" t="s">
        <v>25</v>
      </c>
      <c r="P685" s="76">
        <v>0</v>
      </c>
      <c r="Q685" s="76">
        <v>0</v>
      </c>
      <c r="R685" s="76" t="s">
        <v>2755</v>
      </c>
      <c r="S685" s="76"/>
    </row>
    <row r="686" spans="1:19" x14ac:dyDescent="0.3">
      <c r="A686" s="76" t="s">
        <v>2751</v>
      </c>
      <c r="B686" s="76" t="s">
        <v>2752</v>
      </c>
      <c r="C686" s="76" t="s">
        <v>1263</v>
      </c>
      <c r="D686" s="76" t="s">
        <v>39</v>
      </c>
      <c r="E686" s="76" t="s">
        <v>22</v>
      </c>
      <c r="F686" s="77">
        <v>45657</v>
      </c>
      <c r="G686" s="76">
        <v>2024</v>
      </c>
      <c r="H686" s="76" t="s">
        <v>27</v>
      </c>
      <c r="I686" s="76" t="s">
        <v>36</v>
      </c>
      <c r="J686" s="76">
        <v>100</v>
      </c>
      <c r="K686" s="76">
        <v>98</v>
      </c>
      <c r="L686" s="78">
        <f t="shared" si="95"/>
        <v>0.98</v>
      </c>
      <c r="M686" s="78">
        <f t="shared" si="96"/>
        <v>0.98</v>
      </c>
      <c r="N686" s="76" t="s">
        <v>25</v>
      </c>
      <c r="O686" s="76" t="s">
        <v>25</v>
      </c>
      <c r="P686" s="76">
        <v>0</v>
      </c>
      <c r="Q686" s="76">
        <v>0</v>
      </c>
      <c r="R686" s="76" t="s">
        <v>2757</v>
      </c>
      <c r="S686" s="76"/>
    </row>
    <row r="687" spans="1:19" x14ac:dyDescent="0.3">
      <c r="A687" s="76" t="s">
        <v>2758</v>
      </c>
      <c r="B687" s="76" t="s">
        <v>2759</v>
      </c>
      <c r="C687" s="76" t="s">
        <v>1263</v>
      </c>
      <c r="D687" s="76" t="s">
        <v>39</v>
      </c>
      <c r="E687" s="76" t="s">
        <v>22</v>
      </c>
      <c r="F687" s="77">
        <v>45291</v>
      </c>
      <c r="G687" s="76">
        <v>2023</v>
      </c>
      <c r="H687" s="76" t="s">
        <v>27</v>
      </c>
      <c r="I687" s="76" t="s">
        <v>32</v>
      </c>
      <c r="J687" s="76">
        <v>100</v>
      </c>
      <c r="K687" s="76">
        <v>98</v>
      </c>
      <c r="L687" s="78">
        <f t="shared" si="95"/>
        <v>0.98</v>
      </c>
      <c r="M687" s="78">
        <f t="shared" si="96"/>
        <v>0.98</v>
      </c>
      <c r="N687" s="76" t="s">
        <v>25</v>
      </c>
      <c r="O687" s="76" t="s">
        <v>25</v>
      </c>
      <c r="P687" s="76">
        <v>0</v>
      </c>
      <c r="Q687" s="76">
        <v>0</v>
      </c>
      <c r="R687" s="76" t="s">
        <v>2762</v>
      </c>
      <c r="S687" s="76"/>
    </row>
    <row r="688" spans="1:19" x14ac:dyDescent="0.3">
      <c r="A688" s="76" t="s">
        <v>2758</v>
      </c>
      <c r="B688" s="76" t="s">
        <v>2759</v>
      </c>
      <c r="C688" s="76" t="s">
        <v>1263</v>
      </c>
      <c r="D688" s="76" t="s">
        <v>39</v>
      </c>
      <c r="E688" s="76" t="s">
        <v>22</v>
      </c>
      <c r="F688" s="77">
        <v>45657</v>
      </c>
      <c r="G688" s="76">
        <v>2024</v>
      </c>
      <c r="H688" s="76" t="s">
        <v>27</v>
      </c>
      <c r="I688" s="76" t="s">
        <v>36</v>
      </c>
      <c r="J688" s="76">
        <v>100</v>
      </c>
      <c r="K688" s="76">
        <v>100</v>
      </c>
      <c r="L688" s="78">
        <f t="shared" si="95"/>
        <v>1</v>
      </c>
      <c r="M688" s="78">
        <f t="shared" si="96"/>
        <v>1</v>
      </c>
      <c r="N688" s="76" t="s">
        <v>25</v>
      </c>
      <c r="O688" s="76" t="s">
        <v>25</v>
      </c>
      <c r="P688" s="76">
        <v>0</v>
      </c>
      <c r="Q688" s="76">
        <v>0</v>
      </c>
      <c r="R688" s="76" t="s">
        <v>2764</v>
      </c>
      <c r="S688" s="76"/>
    </row>
    <row r="689" spans="1:19" x14ac:dyDescent="0.3">
      <c r="A689" s="76" t="s">
        <v>2765</v>
      </c>
      <c r="B689" s="76" t="s">
        <v>2766</v>
      </c>
      <c r="C689" s="76" t="s">
        <v>1263</v>
      </c>
      <c r="D689" s="76" t="s">
        <v>39</v>
      </c>
      <c r="E689" s="76" t="s">
        <v>22</v>
      </c>
      <c r="F689" s="77">
        <v>45291</v>
      </c>
      <c r="G689" s="76">
        <v>2023</v>
      </c>
      <c r="H689" s="76" t="s">
        <v>27</v>
      </c>
      <c r="I689" s="76" t="s">
        <v>32</v>
      </c>
      <c r="J689" s="76">
        <v>100</v>
      </c>
      <c r="K689" s="76">
        <v>95</v>
      </c>
      <c r="L689" s="78">
        <f t="shared" si="95"/>
        <v>0.95</v>
      </c>
      <c r="M689" s="78">
        <f t="shared" si="96"/>
        <v>0.95</v>
      </c>
      <c r="N689" s="76" t="s">
        <v>25</v>
      </c>
      <c r="O689" s="76" t="s">
        <v>25</v>
      </c>
      <c r="P689" s="76">
        <v>0</v>
      </c>
      <c r="Q689" s="76">
        <v>0</v>
      </c>
      <c r="R689" s="76" t="s">
        <v>2769</v>
      </c>
      <c r="S689" s="76"/>
    </row>
    <row r="690" spans="1:19" x14ac:dyDescent="0.3">
      <c r="A690" s="76" t="s">
        <v>2765</v>
      </c>
      <c r="B690" s="76" t="s">
        <v>2766</v>
      </c>
      <c r="C690" s="76" t="s">
        <v>1263</v>
      </c>
      <c r="D690" s="76" t="s">
        <v>39</v>
      </c>
      <c r="E690" s="76" t="s">
        <v>22</v>
      </c>
      <c r="F690" s="77">
        <v>45657</v>
      </c>
      <c r="G690" s="76">
        <v>2024</v>
      </c>
      <c r="H690" s="76" t="s">
        <v>27</v>
      </c>
      <c r="I690" s="76" t="s">
        <v>36</v>
      </c>
      <c r="J690" s="76">
        <v>100</v>
      </c>
      <c r="K690" s="76">
        <v>99</v>
      </c>
      <c r="L690" s="78">
        <f t="shared" si="95"/>
        <v>0.99</v>
      </c>
      <c r="M690" s="78">
        <f t="shared" si="96"/>
        <v>0.99</v>
      </c>
      <c r="N690" s="76" t="s">
        <v>25</v>
      </c>
      <c r="O690" s="76" t="s">
        <v>25</v>
      </c>
      <c r="P690" s="76">
        <v>0</v>
      </c>
      <c r="Q690" s="76">
        <v>0</v>
      </c>
      <c r="R690" s="76" t="s">
        <v>2771</v>
      </c>
      <c r="S690" s="76"/>
    </row>
    <row r="691" spans="1:19" x14ac:dyDescent="0.3">
      <c r="A691" s="76" t="s">
        <v>2772</v>
      </c>
      <c r="B691" s="76" t="s">
        <v>2773</v>
      </c>
      <c r="C691" s="76" t="s">
        <v>1263</v>
      </c>
      <c r="D691" s="76" t="s">
        <v>39</v>
      </c>
      <c r="E691" s="76" t="s">
        <v>22</v>
      </c>
      <c r="F691" s="77">
        <v>45291</v>
      </c>
      <c r="G691" s="76">
        <v>2023</v>
      </c>
      <c r="H691" s="76" t="s">
        <v>27</v>
      </c>
      <c r="I691" s="76" t="s">
        <v>32</v>
      </c>
      <c r="J691" s="76">
        <v>100</v>
      </c>
      <c r="K691" s="76">
        <v>96</v>
      </c>
      <c r="L691" s="78">
        <f t="shared" si="95"/>
        <v>0.96</v>
      </c>
      <c r="M691" s="78">
        <f t="shared" si="96"/>
        <v>0.96</v>
      </c>
      <c r="N691" s="76" t="s">
        <v>25</v>
      </c>
      <c r="O691" s="76" t="s">
        <v>25</v>
      </c>
      <c r="P691" s="76">
        <v>0</v>
      </c>
      <c r="Q691" s="76">
        <v>0</v>
      </c>
      <c r="R691" s="76" t="s">
        <v>2776</v>
      </c>
      <c r="S691" s="76"/>
    </row>
    <row r="692" spans="1:19" x14ac:dyDescent="0.3">
      <c r="A692" s="76" t="s">
        <v>2772</v>
      </c>
      <c r="B692" s="76" t="s">
        <v>2773</v>
      </c>
      <c r="C692" s="76" t="s">
        <v>1263</v>
      </c>
      <c r="D692" s="76" t="s">
        <v>39</v>
      </c>
      <c r="E692" s="76" t="s">
        <v>22</v>
      </c>
      <c r="F692" s="77">
        <v>45657</v>
      </c>
      <c r="G692" s="76">
        <v>2024</v>
      </c>
      <c r="H692" s="76" t="s">
        <v>27</v>
      </c>
      <c r="I692" s="76" t="s">
        <v>36</v>
      </c>
      <c r="J692" s="76">
        <v>100</v>
      </c>
      <c r="K692" s="76">
        <v>99</v>
      </c>
      <c r="L692" s="78">
        <f t="shared" si="95"/>
        <v>0.99</v>
      </c>
      <c r="M692" s="78">
        <f t="shared" si="96"/>
        <v>0.99</v>
      </c>
      <c r="N692" s="76" t="s">
        <v>25</v>
      </c>
      <c r="O692" s="76" t="s">
        <v>25</v>
      </c>
      <c r="P692" s="76">
        <v>0</v>
      </c>
      <c r="Q692" s="76">
        <v>0</v>
      </c>
      <c r="R692" s="76" t="s">
        <v>2778</v>
      </c>
      <c r="S692" s="76"/>
    </row>
    <row r="693" spans="1:19" x14ac:dyDescent="0.3">
      <c r="A693" s="76" t="s">
        <v>2779</v>
      </c>
      <c r="B693" s="76" t="s">
        <v>2780</v>
      </c>
      <c r="C693" s="76" t="s">
        <v>1263</v>
      </c>
      <c r="D693" s="76" t="s">
        <v>39</v>
      </c>
      <c r="E693" s="76" t="s">
        <v>22</v>
      </c>
      <c r="F693" s="77">
        <v>45291</v>
      </c>
      <c r="G693" s="76">
        <v>2023</v>
      </c>
      <c r="H693" s="76" t="s">
        <v>27</v>
      </c>
      <c r="I693" s="76" t="s">
        <v>32</v>
      </c>
      <c r="J693" s="76">
        <v>100</v>
      </c>
      <c r="K693" s="76">
        <v>99</v>
      </c>
      <c r="L693" s="78">
        <f t="shared" si="95"/>
        <v>0.99</v>
      </c>
      <c r="M693" s="78">
        <f t="shared" si="96"/>
        <v>0.99</v>
      </c>
      <c r="N693" s="76" t="s">
        <v>25</v>
      </c>
      <c r="O693" s="76" t="s">
        <v>25</v>
      </c>
      <c r="P693" s="76">
        <v>0</v>
      </c>
      <c r="Q693" s="76">
        <v>0</v>
      </c>
      <c r="R693" s="76" t="s">
        <v>2783</v>
      </c>
      <c r="S693" s="76"/>
    </row>
    <row r="694" spans="1:19" x14ac:dyDescent="0.3">
      <c r="A694" s="76" t="s">
        <v>2779</v>
      </c>
      <c r="B694" s="76" t="s">
        <v>2780</v>
      </c>
      <c r="C694" s="76" t="s">
        <v>1263</v>
      </c>
      <c r="D694" s="76" t="s">
        <v>39</v>
      </c>
      <c r="E694" s="76" t="s">
        <v>22</v>
      </c>
      <c r="F694" s="77">
        <v>45657</v>
      </c>
      <c r="G694" s="76">
        <v>2024</v>
      </c>
      <c r="H694" s="76" t="s">
        <v>27</v>
      </c>
      <c r="I694" s="76" t="s">
        <v>36</v>
      </c>
      <c r="J694" s="76">
        <v>100</v>
      </c>
      <c r="K694" s="76">
        <v>97</v>
      </c>
      <c r="L694" s="78">
        <f t="shared" si="95"/>
        <v>0.97</v>
      </c>
      <c r="M694" s="78">
        <f t="shared" si="96"/>
        <v>0.97</v>
      </c>
      <c r="N694" s="76" t="s">
        <v>25</v>
      </c>
      <c r="O694" s="76" t="s">
        <v>25</v>
      </c>
      <c r="P694" s="76">
        <v>0</v>
      </c>
      <c r="Q694" s="76">
        <v>0</v>
      </c>
      <c r="R694" s="76" t="s">
        <v>2787</v>
      </c>
      <c r="S694" s="76"/>
    </row>
    <row r="695" spans="1:19" x14ac:dyDescent="0.3">
      <c r="A695" s="76" t="s">
        <v>2788</v>
      </c>
      <c r="B695" s="76" t="s">
        <v>2789</v>
      </c>
      <c r="C695" s="76" t="s">
        <v>1263</v>
      </c>
      <c r="D695" s="76" t="s">
        <v>39</v>
      </c>
      <c r="E695" s="76" t="s">
        <v>22</v>
      </c>
      <c r="F695" s="77">
        <v>45291</v>
      </c>
      <c r="G695" s="76">
        <v>2023</v>
      </c>
      <c r="H695" s="76" t="s">
        <v>27</v>
      </c>
      <c r="I695" s="76" t="s">
        <v>32</v>
      </c>
      <c r="J695" s="76">
        <v>100</v>
      </c>
      <c r="K695" s="76">
        <v>97</v>
      </c>
      <c r="L695" s="78">
        <f t="shared" si="95"/>
        <v>0.97</v>
      </c>
      <c r="M695" s="78">
        <f t="shared" si="96"/>
        <v>0.97</v>
      </c>
      <c r="N695" s="76" t="s">
        <v>25</v>
      </c>
      <c r="O695" s="76" t="s">
        <v>25</v>
      </c>
      <c r="P695" s="76">
        <v>0</v>
      </c>
      <c r="Q695" s="76">
        <v>0</v>
      </c>
      <c r="R695" s="76" t="s">
        <v>2792</v>
      </c>
      <c r="S695" s="76"/>
    </row>
    <row r="696" spans="1:19" x14ac:dyDescent="0.3">
      <c r="A696" s="76" t="s">
        <v>2788</v>
      </c>
      <c r="B696" s="76" t="s">
        <v>2789</v>
      </c>
      <c r="C696" s="76" t="s">
        <v>1263</v>
      </c>
      <c r="D696" s="76" t="s">
        <v>39</v>
      </c>
      <c r="E696" s="76" t="s">
        <v>22</v>
      </c>
      <c r="F696" s="77">
        <v>45657</v>
      </c>
      <c r="G696" s="76">
        <v>2024</v>
      </c>
      <c r="H696" s="76" t="s">
        <v>27</v>
      </c>
      <c r="I696" s="76" t="s">
        <v>36</v>
      </c>
      <c r="J696" s="76">
        <v>100</v>
      </c>
      <c r="K696" s="76">
        <v>99</v>
      </c>
      <c r="L696" s="78">
        <f t="shared" si="95"/>
        <v>0.99</v>
      </c>
      <c r="M696" s="78">
        <f t="shared" si="96"/>
        <v>0.99</v>
      </c>
      <c r="N696" s="76" t="s">
        <v>25</v>
      </c>
      <c r="O696" s="76" t="s">
        <v>25</v>
      </c>
      <c r="P696" s="76">
        <v>0</v>
      </c>
      <c r="Q696" s="76">
        <v>0</v>
      </c>
      <c r="R696" s="76" t="s">
        <v>2794</v>
      </c>
      <c r="S696" s="76"/>
    </row>
    <row r="697" spans="1:19" x14ac:dyDescent="0.3">
      <c r="A697" s="76" t="s">
        <v>2795</v>
      </c>
      <c r="B697" s="76" t="s">
        <v>2796</v>
      </c>
      <c r="C697" s="76" t="s">
        <v>1263</v>
      </c>
      <c r="D697" s="76" t="s">
        <v>39</v>
      </c>
      <c r="E697" s="76" t="s">
        <v>22</v>
      </c>
      <c r="F697" s="77">
        <v>45291</v>
      </c>
      <c r="G697" s="76">
        <v>2023</v>
      </c>
      <c r="H697" s="76" t="s">
        <v>27</v>
      </c>
      <c r="I697" s="76" t="s">
        <v>32</v>
      </c>
      <c r="J697" s="76">
        <v>100</v>
      </c>
      <c r="K697" s="76">
        <v>100</v>
      </c>
      <c r="L697" s="78">
        <f t="shared" ref="L697:L728" si="97">IFERROR(IF(OR(J697=0,K697=""),"",IF(E697="Positivo",MIN(MAX(K697/J697,0),1),MIN(MAX(J697/K697,0),1))),"")</f>
        <v>1</v>
      </c>
      <c r="M697" s="78">
        <f t="shared" ref="M697:M728" si="98">IFERROR(IF(OR(J697=0,K697=""),"",IF(E697="Positivo",MIN(MAX(K697/J697,0),1),MIN(MAX(J697/K697,0),1))),"")</f>
        <v>1</v>
      </c>
      <c r="N697" s="76" t="s">
        <v>25</v>
      </c>
      <c r="O697" s="76" t="s">
        <v>25</v>
      </c>
      <c r="P697" s="76">
        <v>0</v>
      </c>
      <c r="Q697" s="76">
        <v>0</v>
      </c>
      <c r="R697" s="76" t="s">
        <v>2799</v>
      </c>
      <c r="S697" s="76"/>
    </row>
    <row r="698" spans="1:19" x14ac:dyDescent="0.3">
      <c r="A698" s="76" t="s">
        <v>2795</v>
      </c>
      <c r="B698" s="76" t="s">
        <v>2796</v>
      </c>
      <c r="C698" s="76" t="s">
        <v>1263</v>
      </c>
      <c r="D698" s="76" t="s">
        <v>39</v>
      </c>
      <c r="E698" s="76" t="s">
        <v>22</v>
      </c>
      <c r="F698" s="77">
        <v>45657</v>
      </c>
      <c r="G698" s="76">
        <v>2024</v>
      </c>
      <c r="H698" s="76" t="s">
        <v>27</v>
      </c>
      <c r="I698" s="76" t="s">
        <v>36</v>
      </c>
      <c r="J698" s="76">
        <v>100</v>
      </c>
      <c r="K698" s="76">
        <v>100</v>
      </c>
      <c r="L698" s="78">
        <f t="shared" si="97"/>
        <v>1</v>
      </c>
      <c r="M698" s="78">
        <f t="shared" si="98"/>
        <v>1</v>
      </c>
      <c r="N698" s="76" t="s">
        <v>25</v>
      </c>
      <c r="O698" s="76" t="s">
        <v>25</v>
      </c>
      <c r="P698" s="76">
        <v>0</v>
      </c>
      <c r="Q698" s="76">
        <v>0</v>
      </c>
      <c r="R698" s="76" t="s">
        <v>2804</v>
      </c>
      <c r="S698" s="76"/>
    </row>
    <row r="699" spans="1:19" x14ac:dyDescent="0.3">
      <c r="A699" s="76" t="s">
        <v>2805</v>
      </c>
      <c r="B699" s="76" t="s">
        <v>2806</v>
      </c>
      <c r="C699" s="76" t="s">
        <v>1263</v>
      </c>
      <c r="D699" s="76" t="s">
        <v>39</v>
      </c>
      <c r="E699" s="76" t="s">
        <v>22</v>
      </c>
      <c r="F699" s="77">
        <v>45291</v>
      </c>
      <c r="G699" s="76">
        <v>2023</v>
      </c>
      <c r="H699" s="76" t="s">
        <v>27</v>
      </c>
      <c r="I699" s="76" t="s">
        <v>32</v>
      </c>
      <c r="J699" s="76">
        <v>100</v>
      </c>
      <c r="K699" s="76">
        <v>98.75</v>
      </c>
      <c r="L699" s="78">
        <f t="shared" si="97"/>
        <v>0.98750000000000004</v>
      </c>
      <c r="M699" s="78">
        <f t="shared" si="98"/>
        <v>0.98750000000000004</v>
      </c>
      <c r="N699" s="76" t="s">
        <v>25</v>
      </c>
      <c r="O699" s="76" t="s">
        <v>25</v>
      </c>
      <c r="P699" s="76">
        <v>0</v>
      </c>
      <c r="Q699" s="76">
        <v>0</v>
      </c>
      <c r="R699" s="76" t="s">
        <v>2809</v>
      </c>
      <c r="S699" s="76"/>
    </row>
    <row r="700" spans="1:19" x14ac:dyDescent="0.3">
      <c r="A700" s="76" t="s">
        <v>2805</v>
      </c>
      <c r="B700" s="76" t="s">
        <v>2806</v>
      </c>
      <c r="C700" s="76" t="s">
        <v>1263</v>
      </c>
      <c r="D700" s="76" t="s">
        <v>39</v>
      </c>
      <c r="E700" s="76" t="s">
        <v>22</v>
      </c>
      <c r="F700" s="77">
        <v>45657</v>
      </c>
      <c r="G700" s="76">
        <v>2024</v>
      </c>
      <c r="H700" s="76" t="s">
        <v>27</v>
      </c>
      <c r="I700" s="76" t="s">
        <v>36</v>
      </c>
      <c r="J700" s="76">
        <v>100</v>
      </c>
      <c r="K700" s="76">
        <v>100</v>
      </c>
      <c r="L700" s="78">
        <f t="shared" si="97"/>
        <v>1</v>
      </c>
      <c r="M700" s="78">
        <f t="shared" si="98"/>
        <v>1</v>
      </c>
      <c r="N700" s="76" t="s">
        <v>25</v>
      </c>
      <c r="O700" s="76" t="s">
        <v>25</v>
      </c>
      <c r="P700" s="76">
        <v>0</v>
      </c>
      <c r="Q700" s="76">
        <v>0</v>
      </c>
      <c r="R700" s="76" t="s">
        <v>2813</v>
      </c>
      <c r="S700" s="76"/>
    </row>
    <row r="701" spans="1:19" x14ac:dyDescent="0.3">
      <c r="A701" s="76" t="s">
        <v>2814</v>
      </c>
      <c r="B701" s="76" t="s">
        <v>2815</v>
      </c>
      <c r="C701" s="76" t="s">
        <v>1263</v>
      </c>
      <c r="D701" s="76" t="s">
        <v>39</v>
      </c>
      <c r="E701" s="76" t="s">
        <v>22</v>
      </c>
      <c r="F701" s="77">
        <v>45291</v>
      </c>
      <c r="G701" s="76">
        <v>2023</v>
      </c>
      <c r="H701" s="76" t="s">
        <v>27</v>
      </c>
      <c r="I701" s="76" t="s">
        <v>32</v>
      </c>
      <c r="J701" s="76">
        <v>100</v>
      </c>
      <c r="K701" s="76">
        <v>100</v>
      </c>
      <c r="L701" s="78">
        <f t="shared" si="97"/>
        <v>1</v>
      </c>
      <c r="M701" s="78">
        <f t="shared" si="98"/>
        <v>1</v>
      </c>
      <c r="N701" s="76" t="s">
        <v>25</v>
      </c>
      <c r="O701" s="76" t="s">
        <v>25</v>
      </c>
      <c r="P701" s="76">
        <v>0</v>
      </c>
      <c r="Q701" s="76">
        <v>0</v>
      </c>
      <c r="R701" s="76" t="s">
        <v>2818</v>
      </c>
      <c r="S701" s="76"/>
    </row>
    <row r="702" spans="1:19" x14ac:dyDescent="0.3">
      <c r="A702" s="76" t="s">
        <v>2814</v>
      </c>
      <c r="B702" s="76" t="s">
        <v>2815</v>
      </c>
      <c r="C702" s="76" t="s">
        <v>1263</v>
      </c>
      <c r="D702" s="76" t="s">
        <v>39</v>
      </c>
      <c r="E702" s="76" t="s">
        <v>22</v>
      </c>
      <c r="F702" s="77">
        <v>45657</v>
      </c>
      <c r="G702" s="76">
        <v>2024</v>
      </c>
      <c r="H702" s="76" t="s">
        <v>27</v>
      </c>
      <c r="I702" s="76" t="s">
        <v>36</v>
      </c>
      <c r="J702" s="76">
        <v>100</v>
      </c>
      <c r="K702" s="76">
        <v>100</v>
      </c>
      <c r="L702" s="78">
        <f t="shared" si="97"/>
        <v>1</v>
      </c>
      <c r="M702" s="78">
        <f t="shared" si="98"/>
        <v>1</v>
      </c>
      <c r="N702" s="76" t="s">
        <v>25</v>
      </c>
      <c r="O702" s="76" t="s">
        <v>25</v>
      </c>
      <c r="P702" s="76">
        <v>0</v>
      </c>
      <c r="Q702" s="76">
        <v>0</v>
      </c>
      <c r="R702" s="76" t="s">
        <v>2822</v>
      </c>
      <c r="S702" s="76"/>
    </row>
    <row r="703" spans="1:19" x14ac:dyDescent="0.3">
      <c r="A703" s="76" t="s">
        <v>2823</v>
      </c>
      <c r="B703" s="76" t="s">
        <v>2824</v>
      </c>
      <c r="C703" s="76" t="s">
        <v>1263</v>
      </c>
      <c r="D703" s="76" t="s">
        <v>39</v>
      </c>
      <c r="E703" s="76" t="s">
        <v>22</v>
      </c>
      <c r="F703" s="77">
        <v>45291</v>
      </c>
      <c r="G703" s="76">
        <v>2023</v>
      </c>
      <c r="H703" s="76" t="s">
        <v>27</v>
      </c>
      <c r="I703" s="76" t="s">
        <v>32</v>
      </c>
      <c r="J703" s="76">
        <v>100</v>
      </c>
      <c r="K703" s="76">
        <v>100</v>
      </c>
      <c r="L703" s="78">
        <f t="shared" si="97"/>
        <v>1</v>
      </c>
      <c r="M703" s="78">
        <f t="shared" si="98"/>
        <v>1</v>
      </c>
      <c r="N703" s="76" t="s">
        <v>25</v>
      </c>
      <c r="O703" s="76" t="s">
        <v>25</v>
      </c>
      <c r="P703" s="76">
        <v>0</v>
      </c>
      <c r="Q703" s="76">
        <v>0</v>
      </c>
      <c r="R703" s="76" t="s">
        <v>2827</v>
      </c>
      <c r="S703" s="76"/>
    </row>
    <row r="704" spans="1:19" x14ac:dyDescent="0.3">
      <c r="A704" s="76" t="s">
        <v>2823</v>
      </c>
      <c r="B704" s="76" t="s">
        <v>2824</v>
      </c>
      <c r="C704" s="76" t="s">
        <v>1263</v>
      </c>
      <c r="D704" s="76" t="s">
        <v>39</v>
      </c>
      <c r="E704" s="76" t="s">
        <v>22</v>
      </c>
      <c r="F704" s="77">
        <v>45657</v>
      </c>
      <c r="G704" s="76">
        <v>2024</v>
      </c>
      <c r="H704" s="76" t="s">
        <v>27</v>
      </c>
      <c r="I704" s="76" t="s">
        <v>36</v>
      </c>
      <c r="J704" s="76">
        <v>100</v>
      </c>
      <c r="K704" s="76">
        <v>100</v>
      </c>
      <c r="L704" s="78">
        <f t="shared" si="97"/>
        <v>1</v>
      </c>
      <c r="M704" s="78">
        <f t="shared" si="98"/>
        <v>1</v>
      </c>
      <c r="N704" s="76" t="s">
        <v>25</v>
      </c>
      <c r="O704" s="76" t="s">
        <v>25</v>
      </c>
      <c r="P704" s="76">
        <v>0</v>
      </c>
      <c r="Q704" s="76">
        <v>0</v>
      </c>
      <c r="R704" s="76" t="s">
        <v>2831</v>
      </c>
      <c r="S704" s="76"/>
    </row>
    <row r="705" spans="1:19" x14ac:dyDescent="0.3">
      <c r="A705" s="76" t="s">
        <v>2832</v>
      </c>
      <c r="B705" s="76" t="s">
        <v>2833</v>
      </c>
      <c r="C705" s="76" t="s">
        <v>1263</v>
      </c>
      <c r="D705" s="76" t="s">
        <v>39</v>
      </c>
      <c r="E705" s="76" t="s">
        <v>22</v>
      </c>
      <c r="F705" s="77">
        <v>45291</v>
      </c>
      <c r="G705" s="76">
        <v>2023</v>
      </c>
      <c r="H705" s="76" t="s">
        <v>27</v>
      </c>
      <c r="I705" s="76" t="s">
        <v>32</v>
      </c>
      <c r="J705" s="76">
        <v>100</v>
      </c>
      <c r="K705" s="76">
        <v>100</v>
      </c>
      <c r="L705" s="78">
        <f t="shared" si="97"/>
        <v>1</v>
      </c>
      <c r="M705" s="78">
        <f t="shared" si="98"/>
        <v>1</v>
      </c>
      <c r="N705" s="76" t="s">
        <v>25</v>
      </c>
      <c r="O705" s="76" t="s">
        <v>25</v>
      </c>
      <c r="P705" s="76">
        <v>0</v>
      </c>
      <c r="Q705" s="76">
        <v>0</v>
      </c>
      <c r="R705" s="76" t="s">
        <v>2836</v>
      </c>
      <c r="S705" s="76"/>
    </row>
    <row r="706" spans="1:19" x14ac:dyDescent="0.3">
      <c r="A706" s="76" t="s">
        <v>2832</v>
      </c>
      <c r="B706" s="76" t="s">
        <v>2833</v>
      </c>
      <c r="C706" s="76" t="s">
        <v>1263</v>
      </c>
      <c r="D706" s="76" t="s">
        <v>39</v>
      </c>
      <c r="E706" s="76" t="s">
        <v>22</v>
      </c>
      <c r="F706" s="77">
        <v>45657</v>
      </c>
      <c r="G706" s="76">
        <v>2024</v>
      </c>
      <c r="H706" s="76" t="s">
        <v>27</v>
      </c>
      <c r="I706" s="76" t="s">
        <v>36</v>
      </c>
      <c r="J706" s="76">
        <v>100</v>
      </c>
      <c r="K706" s="76">
        <v>99</v>
      </c>
      <c r="L706" s="78">
        <f t="shared" si="97"/>
        <v>0.99</v>
      </c>
      <c r="M706" s="78">
        <f t="shared" si="98"/>
        <v>0.99</v>
      </c>
      <c r="N706" s="76" t="s">
        <v>25</v>
      </c>
      <c r="O706" s="76" t="s">
        <v>25</v>
      </c>
      <c r="P706" s="76">
        <v>0</v>
      </c>
      <c r="Q706" s="76">
        <v>0</v>
      </c>
      <c r="R706" s="76" t="s">
        <v>2840</v>
      </c>
      <c r="S706" s="76"/>
    </row>
    <row r="707" spans="1:19" x14ac:dyDescent="0.3">
      <c r="A707" s="76" t="s">
        <v>2841</v>
      </c>
      <c r="B707" s="76" t="s">
        <v>2842</v>
      </c>
      <c r="C707" s="76" t="s">
        <v>1263</v>
      </c>
      <c r="D707" s="76" t="s">
        <v>39</v>
      </c>
      <c r="E707" s="76" t="s">
        <v>22</v>
      </c>
      <c r="F707" s="77">
        <v>45291</v>
      </c>
      <c r="G707" s="76">
        <v>2023</v>
      </c>
      <c r="H707" s="76" t="s">
        <v>27</v>
      </c>
      <c r="I707" s="76" t="s">
        <v>32</v>
      </c>
      <c r="J707" s="76">
        <v>100</v>
      </c>
      <c r="K707" s="76">
        <v>99.38</v>
      </c>
      <c r="L707" s="78">
        <f t="shared" si="97"/>
        <v>0.99379999999999991</v>
      </c>
      <c r="M707" s="78">
        <f t="shared" si="98"/>
        <v>0.99379999999999991</v>
      </c>
      <c r="N707" s="76" t="s">
        <v>25</v>
      </c>
      <c r="O707" s="76" t="s">
        <v>25</v>
      </c>
      <c r="P707" s="76">
        <v>1</v>
      </c>
      <c r="Q707" s="76">
        <v>1</v>
      </c>
      <c r="R707" s="76" t="s">
        <v>2845</v>
      </c>
      <c r="S707" s="76"/>
    </row>
    <row r="708" spans="1:19" x14ac:dyDescent="0.3">
      <c r="A708" s="76" t="s">
        <v>2841</v>
      </c>
      <c r="B708" s="76" t="s">
        <v>2842</v>
      </c>
      <c r="C708" s="76" t="s">
        <v>1263</v>
      </c>
      <c r="D708" s="76" t="s">
        <v>39</v>
      </c>
      <c r="E708" s="76" t="s">
        <v>22</v>
      </c>
      <c r="F708" s="77">
        <v>45657</v>
      </c>
      <c r="G708" s="76">
        <v>2024</v>
      </c>
      <c r="H708" s="76" t="s">
        <v>27</v>
      </c>
      <c r="I708" s="76" t="s">
        <v>36</v>
      </c>
      <c r="J708" s="76">
        <v>100</v>
      </c>
      <c r="K708" s="76">
        <v>100</v>
      </c>
      <c r="L708" s="78">
        <f t="shared" si="97"/>
        <v>1</v>
      </c>
      <c r="M708" s="78">
        <f t="shared" si="98"/>
        <v>1</v>
      </c>
      <c r="N708" s="76" t="s">
        <v>25</v>
      </c>
      <c r="O708" s="76" t="s">
        <v>25</v>
      </c>
      <c r="P708" s="76">
        <v>1</v>
      </c>
      <c r="Q708" s="76">
        <v>1</v>
      </c>
      <c r="R708" s="76" t="s">
        <v>2849</v>
      </c>
      <c r="S708" s="76"/>
    </row>
    <row r="709" spans="1:19" x14ac:dyDescent="0.3">
      <c r="A709" s="76" t="s">
        <v>2850</v>
      </c>
      <c r="B709" s="76" t="s">
        <v>2851</v>
      </c>
      <c r="C709" s="76" t="s">
        <v>1263</v>
      </c>
      <c r="D709" s="76" t="s">
        <v>39</v>
      </c>
      <c r="E709" s="76" t="s">
        <v>22</v>
      </c>
      <c r="F709" s="77">
        <v>45291</v>
      </c>
      <c r="G709" s="76">
        <v>2023</v>
      </c>
      <c r="H709" s="76" t="s">
        <v>27</v>
      </c>
      <c r="I709" s="76" t="s">
        <v>32</v>
      </c>
      <c r="J709" s="76">
        <v>100</v>
      </c>
      <c r="K709" s="76">
        <v>100</v>
      </c>
      <c r="L709" s="78">
        <f t="shared" si="97"/>
        <v>1</v>
      </c>
      <c r="M709" s="78">
        <f t="shared" si="98"/>
        <v>1</v>
      </c>
      <c r="N709" s="76" t="s">
        <v>25</v>
      </c>
      <c r="O709" s="76" t="s">
        <v>25</v>
      </c>
      <c r="P709" s="76">
        <v>0</v>
      </c>
      <c r="Q709" s="76">
        <v>0</v>
      </c>
      <c r="R709" s="76" t="s">
        <v>2854</v>
      </c>
      <c r="S709" s="76"/>
    </row>
    <row r="710" spans="1:19" x14ac:dyDescent="0.3">
      <c r="A710" s="76" t="s">
        <v>2850</v>
      </c>
      <c r="B710" s="76" t="s">
        <v>2851</v>
      </c>
      <c r="C710" s="76" t="s">
        <v>1263</v>
      </c>
      <c r="D710" s="76" t="s">
        <v>39</v>
      </c>
      <c r="E710" s="76" t="s">
        <v>22</v>
      </c>
      <c r="F710" s="77">
        <v>45657</v>
      </c>
      <c r="G710" s="76">
        <v>2024</v>
      </c>
      <c r="H710" s="76" t="s">
        <v>27</v>
      </c>
      <c r="I710" s="76" t="s">
        <v>36</v>
      </c>
      <c r="J710" s="76">
        <v>100</v>
      </c>
      <c r="K710" s="76">
        <v>100</v>
      </c>
      <c r="L710" s="78">
        <f t="shared" si="97"/>
        <v>1</v>
      </c>
      <c r="M710" s="78">
        <f t="shared" si="98"/>
        <v>1</v>
      </c>
      <c r="N710" s="76" t="s">
        <v>25</v>
      </c>
      <c r="O710" s="76" t="s">
        <v>25</v>
      </c>
      <c r="P710" s="76">
        <v>0</v>
      </c>
      <c r="Q710" s="76">
        <v>0</v>
      </c>
      <c r="R710" s="76" t="s">
        <v>2858</v>
      </c>
      <c r="S710" s="76"/>
    </row>
    <row r="711" spans="1:19" x14ac:dyDescent="0.3">
      <c r="A711" s="76" t="s">
        <v>2859</v>
      </c>
      <c r="B711" s="76" t="s">
        <v>2860</v>
      </c>
      <c r="C711" s="76" t="s">
        <v>1263</v>
      </c>
      <c r="D711" s="76" t="s">
        <v>39</v>
      </c>
      <c r="E711" s="76" t="s">
        <v>22</v>
      </c>
      <c r="F711" s="77">
        <v>45291</v>
      </c>
      <c r="G711" s="76">
        <v>2023</v>
      </c>
      <c r="H711" s="76" t="s">
        <v>27</v>
      </c>
      <c r="I711" s="76" t="s">
        <v>32</v>
      </c>
      <c r="J711" s="76">
        <v>100</v>
      </c>
      <c r="K711" s="76">
        <v>92.86</v>
      </c>
      <c r="L711" s="78">
        <f t="shared" si="97"/>
        <v>0.92859999999999998</v>
      </c>
      <c r="M711" s="78">
        <f t="shared" si="98"/>
        <v>0.92859999999999998</v>
      </c>
      <c r="N711" s="76" t="s">
        <v>25</v>
      </c>
      <c r="O711" s="76" t="s">
        <v>25</v>
      </c>
      <c r="P711" s="76">
        <v>0</v>
      </c>
      <c r="Q711" s="76">
        <v>0</v>
      </c>
      <c r="R711" s="76" t="s">
        <v>2863</v>
      </c>
      <c r="S711" s="76"/>
    </row>
    <row r="712" spans="1:19" x14ac:dyDescent="0.3">
      <c r="A712" s="76" t="s">
        <v>2859</v>
      </c>
      <c r="B712" s="76" t="s">
        <v>2860</v>
      </c>
      <c r="C712" s="76" t="s">
        <v>1263</v>
      </c>
      <c r="D712" s="76" t="s">
        <v>39</v>
      </c>
      <c r="E712" s="76" t="s">
        <v>22</v>
      </c>
      <c r="F712" s="77">
        <v>45657</v>
      </c>
      <c r="G712" s="76">
        <v>2024</v>
      </c>
      <c r="H712" s="76" t="s">
        <v>27</v>
      </c>
      <c r="I712" s="76" t="s">
        <v>36</v>
      </c>
      <c r="J712" s="76">
        <v>100</v>
      </c>
      <c r="K712" s="76">
        <v>100</v>
      </c>
      <c r="L712" s="78">
        <f t="shared" si="97"/>
        <v>1</v>
      </c>
      <c r="M712" s="78">
        <f t="shared" si="98"/>
        <v>1</v>
      </c>
      <c r="N712" s="76" t="s">
        <v>25</v>
      </c>
      <c r="O712" s="76" t="s">
        <v>25</v>
      </c>
      <c r="P712" s="76">
        <v>0</v>
      </c>
      <c r="Q712" s="76">
        <v>0</v>
      </c>
      <c r="R712" s="76" t="s">
        <v>2867</v>
      </c>
      <c r="S712" s="76"/>
    </row>
    <row r="713" spans="1:19" x14ac:dyDescent="0.3">
      <c r="A713" s="76" t="s">
        <v>2868</v>
      </c>
      <c r="B713" s="76" t="s">
        <v>2869</v>
      </c>
      <c r="C713" s="76" t="s">
        <v>1263</v>
      </c>
      <c r="D713" s="76" t="s">
        <v>39</v>
      </c>
      <c r="E713" s="76" t="s">
        <v>22</v>
      </c>
      <c r="F713" s="77">
        <v>45291</v>
      </c>
      <c r="G713" s="76">
        <v>2023</v>
      </c>
      <c r="H713" s="76" t="s">
        <v>27</v>
      </c>
      <c r="I713" s="76" t="s">
        <v>32</v>
      </c>
      <c r="J713" s="76">
        <v>100</v>
      </c>
      <c r="K713" s="76">
        <v>100</v>
      </c>
      <c r="L713" s="78">
        <f t="shared" si="97"/>
        <v>1</v>
      </c>
      <c r="M713" s="78">
        <f t="shared" si="98"/>
        <v>1</v>
      </c>
      <c r="N713" s="76" t="s">
        <v>25</v>
      </c>
      <c r="O713" s="76" t="s">
        <v>25</v>
      </c>
      <c r="P713" s="76">
        <v>0</v>
      </c>
      <c r="Q713" s="76">
        <v>0</v>
      </c>
      <c r="R713" s="76" t="s">
        <v>2872</v>
      </c>
      <c r="S713" s="76"/>
    </row>
    <row r="714" spans="1:19" x14ac:dyDescent="0.3">
      <c r="A714" s="76" t="s">
        <v>2868</v>
      </c>
      <c r="B714" s="76" t="s">
        <v>2869</v>
      </c>
      <c r="C714" s="76" t="s">
        <v>1263</v>
      </c>
      <c r="D714" s="76" t="s">
        <v>39</v>
      </c>
      <c r="E714" s="76" t="s">
        <v>22</v>
      </c>
      <c r="F714" s="77">
        <v>45657</v>
      </c>
      <c r="G714" s="76">
        <v>2024</v>
      </c>
      <c r="H714" s="76" t="s">
        <v>27</v>
      </c>
      <c r="I714" s="76" t="s">
        <v>36</v>
      </c>
      <c r="J714" s="76">
        <v>100</v>
      </c>
      <c r="K714" s="76">
        <v>100</v>
      </c>
      <c r="L714" s="78">
        <f t="shared" si="97"/>
        <v>1</v>
      </c>
      <c r="M714" s="78">
        <f t="shared" si="98"/>
        <v>1</v>
      </c>
      <c r="N714" s="76" t="s">
        <v>25</v>
      </c>
      <c r="O714" s="76" t="s">
        <v>25</v>
      </c>
      <c r="P714" s="76">
        <v>0</v>
      </c>
      <c r="Q714" s="76">
        <v>0</v>
      </c>
      <c r="R714" s="76" t="s">
        <v>2876</v>
      </c>
      <c r="S714" s="76"/>
    </row>
    <row r="715" spans="1:19" x14ac:dyDescent="0.3">
      <c r="A715" s="76" t="s">
        <v>2877</v>
      </c>
      <c r="B715" s="76" t="s">
        <v>2878</v>
      </c>
      <c r="C715" s="76" t="s">
        <v>1263</v>
      </c>
      <c r="D715" s="76" t="s">
        <v>39</v>
      </c>
      <c r="E715" s="76" t="s">
        <v>22</v>
      </c>
      <c r="F715" s="77">
        <v>45291</v>
      </c>
      <c r="G715" s="76">
        <v>2023</v>
      </c>
      <c r="H715" s="76" t="s">
        <v>27</v>
      </c>
      <c r="I715" s="76" t="s">
        <v>32</v>
      </c>
      <c r="J715" s="76">
        <v>100</v>
      </c>
      <c r="K715" s="76">
        <v>100</v>
      </c>
      <c r="L715" s="78">
        <f t="shared" si="97"/>
        <v>1</v>
      </c>
      <c r="M715" s="78">
        <f t="shared" si="98"/>
        <v>1</v>
      </c>
      <c r="N715" s="76" t="s">
        <v>25</v>
      </c>
      <c r="O715" s="76" t="s">
        <v>25</v>
      </c>
      <c r="P715" s="76">
        <v>0</v>
      </c>
      <c r="Q715" s="76">
        <v>0</v>
      </c>
      <c r="R715" s="76" t="s">
        <v>2881</v>
      </c>
      <c r="S715" s="76"/>
    </row>
    <row r="716" spans="1:19" x14ac:dyDescent="0.3">
      <c r="A716" s="76" t="s">
        <v>2877</v>
      </c>
      <c r="B716" s="76" t="s">
        <v>2878</v>
      </c>
      <c r="C716" s="76" t="s">
        <v>1263</v>
      </c>
      <c r="D716" s="76" t="s">
        <v>39</v>
      </c>
      <c r="E716" s="76" t="s">
        <v>22</v>
      </c>
      <c r="F716" s="77">
        <v>45657</v>
      </c>
      <c r="G716" s="76">
        <v>2024</v>
      </c>
      <c r="H716" s="76" t="s">
        <v>27</v>
      </c>
      <c r="I716" s="76" t="s">
        <v>36</v>
      </c>
      <c r="J716" s="76">
        <v>100</v>
      </c>
      <c r="K716" s="76">
        <v>100</v>
      </c>
      <c r="L716" s="78">
        <f t="shared" si="97"/>
        <v>1</v>
      </c>
      <c r="M716" s="78">
        <f t="shared" si="98"/>
        <v>1</v>
      </c>
      <c r="N716" s="76" t="s">
        <v>25</v>
      </c>
      <c r="O716" s="76" t="s">
        <v>25</v>
      </c>
      <c r="P716" s="76">
        <v>0</v>
      </c>
      <c r="Q716" s="76">
        <v>0</v>
      </c>
      <c r="R716" s="76" t="s">
        <v>2885</v>
      </c>
      <c r="S716" s="76"/>
    </row>
    <row r="717" spans="1:19" x14ac:dyDescent="0.3">
      <c r="A717" s="76" t="s">
        <v>2886</v>
      </c>
      <c r="B717" s="76" t="s">
        <v>2887</v>
      </c>
      <c r="C717" s="76" t="s">
        <v>1263</v>
      </c>
      <c r="D717" s="76" t="s">
        <v>39</v>
      </c>
      <c r="E717" s="76" t="s">
        <v>22</v>
      </c>
      <c r="F717" s="77">
        <v>45291</v>
      </c>
      <c r="G717" s="76">
        <v>2023</v>
      </c>
      <c r="H717" s="76" t="s">
        <v>27</v>
      </c>
      <c r="I717" s="76" t="s">
        <v>32</v>
      </c>
      <c r="J717" s="76">
        <v>100</v>
      </c>
      <c r="K717" s="76">
        <v>100</v>
      </c>
      <c r="L717" s="78">
        <f t="shared" si="97"/>
        <v>1</v>
      </c>
      <c r="M717" s="78">
        <f t="shared" si="98"/>
        <v>1</v>
      </c>
      <c r="N717" s="76" t="s">
        <v>25</v>
      </c>
      <c r="O717" s="76" t="s">
        <v>25</v>
      </c>
      <c r="P717" s="76">
        <v>0</v>
      </c>
      <c r="Q717" s="76">
        <v>0</v>
      </c>
      <c r="R717" s="76" t="s">
        <v>2890</v>
      </c>
      <c r="S717" s="76"/>
    </row>
    <row r="718" spans="1:19" x14ac:dyDescent="0.3">
      <c r="A718" s="76" t="s">
        <v>2886</v>
      </c>
      <c r="B718" s="76" t="s">
        <v>2887</v>
      </c>
      <c r="C718" s="76" t="s">
        <v>1263</v>
      </c>
      <c r="D718" s="76" t="s">
        <v>39</v>
      </c>
      <c r="E718" s="76" t="s">
        <v>22</v>
      </c>
      <c r="F718" s="77">
        <v>45657</v>
      </c>
      <c r="G718" s="76">
        <v>2024</v>
      </c>
      <c r="H718" s="76" t="s">
        <v>27</v>
      </c>
      <c r="I718" s="76" t="s">
        <v>36</v>
      </c>
      <c r="J718" s="76">
        <v>100</v>
      </c>
      <c r="K718" s="76">
        <v>100</v>
      </c>
      <c r="L718" s="78">
        <f t="shared" si="97"/>
        <v>1</v>
      </c>
      <c r="M718" s="78">
        <f t="shared" si="98"/>
        <v>1</v>
      </c>
      <c r="N718" s="76" t="s">
        <v>25</v>
      </c>
      <c r="O718" s="76" t="s">
        <v>25</v>
      </c>
      <c r="P718" s="76">
        <v>0</v>
      </c>
      <c r="Q718" s="76">
        <v>0</v>
      </c>
      <c r="R718" s="76" t="s">
        <v>2894</v>
      </c>
      <c r="S718" s="76"/>
    </row>
    <row r="719" spans="1:19" x14ac:dyDescent="0.3">
      <c r="A719" s="76" t="s">
        <v>2895</v>
      </c>
      <c r="B719" s="76" t="s">
        <v>2896</v>
      </c>
      <c r="C719" s="76" t="s">
        <v>1263</v>
      </c>
      <c r="D719" s="76" t="s">
        <v>39</v>
      </c>
      <c r="E719" s="76" t="s">
        <v>22</v>
      </c>
      <c r="F719" s="77">
        <v>45291</v>
      </c>
      <c r="G719" s="76">
        <v>2023</v>
      </c>
      <c r="H719" s="76" t="s">
        <v>27</v>
      </c>
      <c r="I719" s="76" t="s">
        <v>32</v>
      </c>
      <c r="J719" s="76">
        <v>100</v>
      </c>
      <c r="K719" s="76">
        <v>100</v>
      </c>
      <c r="L719" s="78">
        <f t="shared" si="97"/>
        <v>1</v>
      </c>
      <c r="M719" s="78">
        <f t="shared" si="98"/>
        <v>1</v>
      </c>
      <c r="N719" s="76" t="s">
        <v>25</v>
      </c>
      <c r="O719" s="76" t="s">
        <v>25</v>
      </c>
      <c r="P719" s="76">
        <v>0</v>
      </c>
      <c r="Q719" s="76">
        <v>0</v>
      </c>
      <c r="R719" s="76" t="s">
        <v>2899</v>
      </c>
      <c r="S719" s="76"/>
    </row>
    <row r="720" spans="1:19" x14ac:dyDescent="0.3">
      <c r="A720" s="76" t="s">
        <v>2895</v>
      </c>
      <c r="B720" s="76" t="s">
        <v>2896</v>
      </c>
      <c r="C720" s="76" t="s">
        <v>1263</v>
      </c>
      <c r="D720" s="76" t="s">
        <v>39</v>
      </c>
      <c r="E720" s="76" t="s">
        <v>22</v>
      </c>
      <c r="F720" s="77">
        <v>45657</v>
      </c>
      <c r="G720" s="76">
        <v>2024</v>
      </c>
      <c r="H720" s="76" t="s">
        <v>27</v>
      </c>
      <c r="I720" s="76" t="s">
        <v>36</v>
      </c>
      <c r="J720" s="76">
        <v>100</v>
      </c>
      <c r="K720" s="76">
        <v>100</v>
      </c>
      <c r="L720" s="78">
        <f t="shared" si="97"/>
        <v>1</v>
      </c>
      <c r="M720" s="78">
        <f t="shared" si="98"/>
        <v>1</v>
      </c>
      <c r="N720" s="76" t="s">
        <v>25</v>
      </c>
      <c r="O720" s="76" t="s">
        <v>25</v>
      </c>
      <c r="P720" s="76">
        <v>0</v>
      </c>
      <c r="Q720" s="76">
        <v>0</v>
      </c>
      <c r="R720" s="76" t="s">
        <v>2903</v>
      </c>
      <c r="S720" s="76"/>
    </row>
    <row r="721" spans="1:19" x14ac:dyDescent="0.3">
      <c r="A721" s="76" t="s">
        <v>2904</v>
      </c>
      <c r="B721" s="76" t="s">
        <v>2905</v>
      </c>
      <c r="C721" s="76" t="s">
        <v>1263</v>
      </c>
      <c r="D721" s="76" t="s">
        <v>39</v>
      </c>
      <c r="E721" s="76" t="s">
        <v>22</v>
      </c>
      <c r="F721" s="77">
        <v>45291</v>
      </c>
      <c r="G721" s="76">
        <v>2023</v>
      </c>
      <c r="H721" s="76" t="s">
        <v>27</v>
      </c>
      <c r="I721" s="76" t="s">
        <v>32</v>
      </c>
      <c r="J721" s="76">
        <v>100</v>
      </c>
      <c r="K721" s="76">
        <v>99.75</v>
      </c>
      <c r="L721" s="78">
        <f t="shared" si="97"/>
        <v>0.99750000000000005</v>
      </c>
      <c r="M721" s="78">
        <f t="shared" si="98"/>
        <v>0.99750000000000005</v>
      </c>
      <c r="N721" s="76" t="s">
        <v>25</v>
      </c>
      <c r="O721" s="76" t="s">
        <v>25</v>
      </c>
      <c r="P721" s="76">
        <v>0</v>
      </c>
      <c r="Q721" s="76">
        <v>0</v>
      </c>
      <c r="R721" s="76" t="s">
        <v>2908</v>
      </c>
      <c r="S721" s="76"/>
    </row>
    <row r="722" spans="1:19" x14ac:dyDescent="0.3">
      <c r="A722" s="76" t="s">
        <v>2904</v>
      </c>
      <c r="B722" s="76" t="s">
        <v>2905</v>
      </c>
      <c r="C722" s="76" t="s">
        <v>1263</v>
      </c>
      <c r="D722" s="76" t="s">
        <v>39</v>
      </c>
      <c r="E722" s="76" t="s">
        <v>22</v>
      </c>
      <c r="F722" s="77">
        <v>45657</v>
      </c>
      <c r="G722" s="76">
        <v>2024</v>
      </c>
      <c r="H722" s="76" t="s">
        <v>27</v>
      </c>
      <c r="I722" s="76" t="s">
        <v>36</v>
      </c>
      <c r="J722" s="76">
        <v>100</v>
      </c>
      <c r="K722" s="76">
        <v>100</v>
      </c>
      <c r="L722" s="78">
        <f t="shared" si="97"/>
        <v>1</v>
      </c>
      <c r="M722" s="78">
        <f t="shared" si="98"/>
        <v>1</v>
      </c>
      <c r="N722" s="76" t="s">
        <v>25</v>
      </c>
      <c r="O722" s="76" t="s">
        <v>25</v>
      </c>
      <c r="P722" s="76">
        <v>0</v>
      </c>
      <c r="Q722" s="76">
        <v>0</v>
      </c>
      <c r="R722" s="76" t="s">
        <v>2912</v>
      </c>
      <c r="S722" s="76"/>
    </row>
    <row r="723" spans="1:19" x14ac:dyDescent="0.3">
      <c r="A723" s="76" t="s">
        <v>2913</v>
      </c>
      <c r="B723" s="76" t="s">
        <v>2914</v>
      </c>
      <c r="C723" s="76" t="s">
        <v>1263</v>
      </c>
      <c r="D723" s="76" t="s">
        <v>39</v>
      </c>
      <c r="E723" s="76" t="s">
        <v>22</v>
      </c>
      <c r="F723" s="77">
        <v>45291</v>
      </c>
      <c r="G723" s="76">
        <v>2023</v>
      </c>
      <c r="H723" s="76" t="s">
        <v>27</v>
      </c>
      <c r="I723" s="76" t="s">
        <v>32</v>
      </c>
      <c r="J723" s="76">
        <v>100</v>
      </c>
      <c r="K723" s="76">
        <v>97.4</v>
      </c>
      <c r="L723" s="78">
        <f t="shared" si="97"/>
        <v>0.97400000000000009</v>
      </c>
      <c r="M723" s="78">
        <f t="shared" si="98"/>
        <v>0.97400000000000009</v>
      </c>
      <c r="N723" s="76" t="s">
        <v>25</v>
      </c>
      <c r="O723" s="76" t="s">
        <v>25</v>
      </c>
      <c r="P723" s="76">
        <v>0</v>
      </c>
      <c r="Q723" s="76">
        <v>0</v>
      </c>
      <c r="R723" s="76" t="s">
        <v>2917</v>
      </c>
      <c r="S723" s="76"/>
    </row>
    <row r="724" spans="1:19" x14ac:dyDescent="0.3">
      <c r="A724" s="76" t="s">
        <v>2913</v>
      </c>
      <c r="B724" s="76" t="s">
        <v>2914</v>
      </c>
      <c r="C724" s="76" t="s">
        <v>1263</v>
      </c>
      <c r="D724" s="76" t="s">
        <v>39</v>
      </c>
      <c r="E724" s="76" t="s">
        <v>22</v>
      </c>
      <c r="F724" s="77">
        <v>45657</v>
      </c>
      <c r="G724" s="76">
        <v>2024</v>
      </c>
      <c r="H724" s="76" t="s">
        <v>27</v>
      </c>
      <c r="I724" s="76" t="s">
        <v>36</v>
      </c>
      <c r="J724" s="76">
        <v>100</v>
      </c>
      <c r="K724" s="76">
        <v>100</v>
      </c>
      <c r="L724" s="78">
        <f t="shared" si="97"/>
        <v>1</v>
      </c>
      <c r="M724" s="78">
        <f t="shared" si="98"/>
        <v>1</v>
      </c>
      <c r="N724" s="76" t="s">
        <v>25</v>
      </c>
      <c r="O724" s="76" t="s">
        <v>25</v>
      </c>
      <c r="P724" s="76">
        <v>0</v>
      </c>
      <c r="Q724" s="76">
        <v>0</v>
      </c>
      <c r="R724" s="76" t="s">
        <v>2921</v>
      </c>
      <c r="S724" s="76"/>
    </row>
    <row r="725" spans="1:19" x14ac:dyDescent="0.3">
      <c r="A725" s="76" t="s">
        <v>2922</v>
      </c>
      <c r="B725" s="76" t="s">
        <v>2923</v>
      </c>
      <c r="C725" s="76" t="s">
        <v>1263</v>
      </c>
      <c r="D725" s="76" t="s">
        <v>39</v>
      </c>
      <c r="E725" s="76" t="s">
        <v>22</v>
      </c>
      <c r="F725" s="77">
        <v>45291</v>
      </c>
      <c r="G725" s="76">
        <v>2023</v>
      </c>
      <c r="H725" s="76" t="s">
        <v>27</v>
      </c>
      <c r="I725" s="76" t="s">
        <v>32</v>
      </c>
      <c r="J725" s="76">
        <v>100</v>
      </c>
      <c r="K725" s="76">
        <v>98.83</v>
      </c>
      <c r="L725" s="78">
        <f t="shared" si="97"/>
        <v>0.98829999999999996</v>
      </c>
      <c r="M725" s="78">
        <f t="shared" si="98"/>
        <v>0.98829999999999996</v>
      </c>
      <c r="N725" s="76" t="s">
        <v>25</v>
      </c>
      <c r="O725" s="76" t="s">
        <v>25</v>
      </c>
      <c r="P725" s="76">
        <v>0</v>
      </c>
      <c r="Q725" s="76">
        <v>0</v>
      </c>
      <c r="R725" s="76" t="s">
        <v>2926</v>
      </c>
      <c r="S725" s="76"/>
    </row>
    <row r="726" spans="1:19" x14ac:dyDescent="0.3">
      <c r="A726" s="76" t="s">
        <v>2922</v>
      </c>
      <c r="B726" s="76" t="s">
        <v>2923</v>
      </c>
      <c r="C726" s="76" t="s">
        <v>1263</v>
      </c>
      <c r="D726" s="76" t="s">
        <v>39</v>
      </c>
      <c r="E726" s="76" t="s">
        <v>22</v>
      </c>
      <c r="F726" s="77">
        <v>45657</v>
      </c>
      <c r="G726" s="76">
        <v>2024</v>
      </c>
      <c r="H726" s="76" t="s">
        <v>27</v>
      </c>
      <c r="I726" s="76" t="s">
        <v>36</v>
      </c>
      <c r="J726" s="76">
        <v>100</v>
      </c>
      <c r="K726" s="76">
        <v>100</v>
      </c>
      <c r="L726" s="78">
        <f t="shared" si="97"/>
        <v>1</v>
      </c>
      <c r="M726" s="78">
        <f t="shared" si="98"/>
        <v>1</v>
      </c>
      <c r="N726" s="76" t="s">
        <v>25</v>
      </c>
      <c r="O726" s="76" t="s">
        <v>25</v>
      </c>
      <c r="P726" s="76">
        <v>0</v>
      </c>
      <c r="Q726" s="76">
        <v>0</v>
      </c>
      <c r="R726" s="76" t="s">
        <v>2930</v>
      </c>
      <c r="S726" s="76"/>
    </row>
    <row r="727" spans="1:19" x14ac:dyDescent="0.3">
      <c r="A727" s="76" t="s">
        <v>2931</v>
      </c>
      <c r="B727" s="76" t="s">
        <v>2932</v>
      </c>
      <c r="C727" s="76" t="s">
        <v>1263</v>
      </c>
      <c r="D727" s="76" t="s">
        <v>39</v>
      </c>
      <c r="E727" s="76" t="s">
        <v>22</v>
      </c>
      <c r="F727" s="77">
        <v>45291</v>
      </c>
      <c r="G727" s="76">
        <v>2023</v>
      </c>
      <c r="H727" s="76" t="s">
        <v>27</v>
      </c>
      <c r="I727" s="76" t="s">
        <v>32</v>
      </c>
      <c r="J727" s="76">
        <v>100</v>
      </c>
      <c r="K727" s="76">
        <v>100</v>
      </c>
      <c r="L727" s="78">
        <f t="shared" si="97"/>
        <v>1</v>
      </c>
      <c r="M727" s="78">
        <f t="shared" si="98"/>
        <v>1</v>
      </c>
      <c r="N727" s="76" t="s">
        <v>25</v>
      </c>
      <c r="O727" s="76" t="s">
        <v>25</v>
      </c>
      <c r="P727" s="76">
        <v>0</v>
      </c>
      <c r="Q727" s="76">
        <v>0</v>
      </c>
      <c r="R727" s="76" t="s">
        <v>2935</v>
      </c>
      <c r="S727" s="76"/>
    </row>
    <row r="728" spans="1:19" x14ac:dyDescent="0.3">
      <c r="A728" s="76" t="s">
        <v>2931</v>
      </c>
      <c r="B728" s="76" t="s">
        <v>2932</v>
      </c>
      <c r="C728" s="76" t="s">
        <v>1263</v>
      </c>
      <c r="D728" s="76" t="s">
        <v>39</v>
      </c>
      <c r="E728" s="76" t="s">
        <v>22</v>
      </c>
      <c r="F728" s="77">
        <v>45657</v>
      </c>
      <c r="G728" s="76">
        <v>2024</v>
      </c>
      <c r="H728" s="76" t="s">
        <v>27</v>
      </c>
      <c r="I728" s="76" t="s">
        <v>36</v>
      </c>
      <c r="J728" s="76">
        <v>100</v>
      </c>
      <c r="K728" s="76">
        <v>100</v>
      </c>
      <c r="L728" s="78">
        <f t="shared" si="97"/>
        <v>1</v>
      </c>
      <c r="M728" s="78">
        <f t="shared" si="98"/>
        <v>1</v>
      </c>
      <c r="N728" s="76" t="s">
        <v>25</v>
      </c>
      <c r="O728" s="76" t="s">
        <v>25</v>
      </c>
      <c r="P728" s="76">
        <v>0</v>
      </c>
      <c r="Q728" s="76">
        <v>0</v>
      </c>
      <c r="R728" s="76" t="s">
        <v>2939</v>
      </c>
      <c r="S728" s="76"/>
    </row>
    <row r="729" spans="1:19" x14ac:dyDescent="0.3">
      <c r="A729" s="76" t="s">
        <v>2940</v>
      </c>
      <c r="B729" s="76" t="s">
        <v>2941</v>
      </c>
      <c r="C729" s="76" t="s">
        <v>1263</v>
      </c>
      <c r="D729" s="76" t="s">
        <v>39</v>
      </c>
      <c r="E729" s="76" t="s">
        <v>22</v>
      </c>
      <c r="F729" s="77">
        <v>45291</v>
      </c>
      <c r="G729" s="76">
        <v>2023</v>
      </c>
      <c r="H729" s="76" t="s">
        <v>27</v>
      </c>
      <c r="I729" s="76" t="s">
        <v>32</v>
      </c>
      <c r="J729" s="76">
        <v>100</v>
      </c>
      <c r="K729" s="76">
        <v>94.51</v>
      </c>
      <c r="L729" s="78">
        <f t="shared" ref="L729:L759" si="99">IFERROR(IF(OR(J729=0,K729=""),"",IF(E729="Positivo",MIN(MAX(K729/J729,0),1),MIN(MAX(J729/K729,0),1))),"")</f>
        <v>0.94510000000000005</v>
      </c>
      <c r="M729" s="78">
        <f t="shared" ref="M729:M759" si="100">IFERROR(IF(OR(J729=0,K729=""),"",IF(E729="Positivo",MIN(MAX(K729/J729,0),1),MIN(MAX(J729/K729,0),1))),"")</f>
        <v>0.94510000000000005</v>
      </c>
      <c r="N729" s="76" t="s">
        <v>25</v>
      </c>
      <c r="O729" s="76" t="s">
        <v>25</v>
      </c>
      <c r="P729" s="76">
        <v>0</v>
      </c>
      <c r="Q729" s="76">
        <v>0</v>
      </c>
      <c r="R729" s="76" t="s">
        <v>2944</v>
      </c>
      <c r="S729" s="76"/>
    </row>
    <row r="730" spans="1:19" x14ac:dyDescent="0.3">
      <c r="A730" s="76" t="s">
        <v>2940</v>
      </c>
      <c r="B730" s="76" t="s">
        <v>2941</v>
      </c>
      <c r="C730" s="76" t="s">
        <v>1263</v>
      </c>
      <c r="D730" s="76" t="s">
        <v>39</v>
      </c>
      <c r="E730" s="76" t="s">
        <v>22</v>
      </c>
      <c r="F730" s="77">
        <v>45657</v>
      </c>
      <c r="G730" s="76">
        <v>2024</v>
      </c>
      <c r="H730" s="76" t="s">
        <v>27</v>
      </c>
      <c r="I730" s="76" t="s">
        <v>36</v>
      </c>
      <c r="J730" s="76">
        <v>100</v>
      </c>
      <c r="K730" s="76">
        <v>99</v>
      </c>
      <c r="L730" s="78">
        <f t="shared" si="99"/>
        <v>0.99</v>
      </c>
      <c r="M730" s="78">
        <f t="shared" si="100"/>
        <v>0.99</v>
      </c>
      <c r="N730" s="76" t="s">
        <v>25</v>
      </c>
      <c r="O730" s="76" t="s">
        <v>25</v>
      </c>
      <c r="P730" s="76">
        <v>0</v>
      </c>
      <c r="Q730" s="76">
        <v>0</v>
      </c>
      <c r="R730" s="76" t="s">
        <v>2948</v>
      </c>
      <c r="S730" s="76"/>
    </row>
    <row r="731" spans="1:19" x14ac:dyDescent="0.3">
      <c r="A731" s="76" t="s">
        <v>2949</v>
      </c>
      <c r="B731" s="76" t="s">
        <v>2950</v>
      </c>
      <c r="C731" s="76" t="s">
        <v>1263</v>
      </c>
      <c r="D731" s="76" t="s">
        <v>39</v>
      </c>
      <c r="E731" s="76" t="s">
        <v>22</v>
      </c>
      <c r="F731" s="77">
        <v>45291</v>
      </c>
      <c r="G731" s="76">
        <v>2023</v>
      </c>
      <c r="H731" s="76" t="s">
        <v>27</v>
      </c>
      <c r="I731" s="76" t="s">
        <v>32</v>
      </c>
      <c r="J731" s="76">
        <v>100</v>
      </c>
      <c r="K731" s="76">
        <v>86.43</v>
      </c>
      <c r="L731" s="78">
        <f t="shared" si="99"/>
        <v>0.86430000000000007</v>
      </c>
      <c r="M731" s="78">
        <f t="shared" si="100"/>
        <v>0.86430000000000007</v>
      </c>
      <c r="N731" s="76" t="s">
        <v>25</v>
      </c>
      <c r="O731" s="76" t="s">
        <v>25</v>
      </c>
      <c r="P731" s="76">
        <v>0</v>
      </c>
      <c r="Q731" s="76">
        <v>0</v>
      </c>
      <c r="R731" s="76" t="s">
        <v>2953</v>
      </c>
      <c r="S731" s="76"/>
    </row>
    <row r="732" spans="1:19" x14ac:dyDescent="0.3">
      <c r="A732" s="76" t="s">
        <v>2949</v>
      </c>
      <c r="B732" s="76" t="s">
        <v>2950</v>
      </c>
      <c r="C732" s="76" t="s">
        <v>1263</v>
      </c>
      <c r="D732" s="76" t="s">
        <v>39</v>
      </c>
      <c r="E732" s="76" t="s">
        <v>22</v>
      </c>
      <c r="F732" s="77">
        <v>45657</v>
      </c>
      <c r="G732" s="76">
        <v>2024</v>
      </c>
      <c r="H732" s="76" t="s">
        <v>27</v>
      </c>
      <c r="I732" s="76" t="s">
        <v>36</v>
      </c>
      <c r="J732" s="76">
        <v>100</v>
      </c>
      <c r="K732" s="76">
        <v>94</v>
      </c>
      <c r="L732" s="78">
        <f t="shared" si="99"/>
        <v>0.94</v>
      </c>
      <c r="M732" s="78">
        <f t="shared" si="100"/>
        <v>0.94</v>
      </c>
      <c r="N732" s="76" t="s">
        <v>25</v>
      </c>
      <c r="O732" s="76" t="s">
        <v>25</v>
      </c>
      <c r="P732" s="76">
        <v>0</v>
      </c>
      <c r="Q732" s="76">
        <v>0</v>
      </c>
      <c r="R732" s="76" t="s">
        <v>2957</v>
      </c>
      <c r="S732" s="76"/>
    </row>
    <row r="733" spans="1:19" x14ac:dyDescent="0.3">
      <c r="A733" s="76" t="s">
        <v>2958</v>
      </c>
      <c r="B733" s="76" t="s">
        <v>2959</v>
      </c>
      <c r="C733" s="76" t="s">
        <v>1263</v>
      </c>
      <c r="D733" s="76" t="s">
        <v>39</v>
      </c>
      <c r="E733" s="76" t="s">
        <v>22</v>
      </c>
      <c r="F733" s="77">
        <v>45291</v>
      </c>
      <c r="G733" s="76">
        <v>2023</v>
      </c>
      <c r="H733" s="76" t="s">
        <v>27</v>
      </c>
      <c r="I733" s="76" t="s">
        <v>32</v>
      </c>
      <c r="J733" s="76">
        <v>100</v>
      </c>
      <c r="K733" s="76">
        <v>94.6</v>
      </c>
      <c r="L733" s="78">
        <f t="shared" si="99"/>
        <v>0.94599999999999995</v>
      </c>
      <c r="M733" s="78">
        <f t="shared" si="100"/>
        <v>0.94599999999999995</v>
      </c>
      <c r="N733" s="76" t="s">
        <v>25</v>
      </c>
      <c r="O733" s="76" t="s">
        <v>25</v>
      </c>
      <c r="P733" s="76">
        <v>0</v>
      </c>
      <c r="Q733" s="76">
        <v>0</v>
      </c>
      <c r="R733" s="76" t="s">
        <v>2962</v>
      </c>
      <c r="S733" s="76"/>
    </row>
    <row r="734" spans="1:19" x14ac:dyDescent="0.3">
      <c r="A734" s="76" t="s">
        <v>2958</v>
      </c>
      <c r="B734" s="76" t="s">
        <v>2959</v>
      </c>
      <c r="C734" s="76" t="s">
        <v>1263</v>
      </c>
      <c r="D734" s="76" t="s">
        <v>39</v>
      </c>
      <c r="E734" s="76" t="s">
        <v>22</v>
      </c>
      <c r="F734" s="77">
        <v>45657</v>
      </c>
      <c r="G734" s="76">
        <v>2024</v>
      </c>
      <c r="H734" s="76" t="s">
        <v>27</v>
      </c>
      <c r="I734" s="76" t="s">
        <v>36</v>
      </c>
      <c r="J734" s="76">
        <v>100</v>
      </c>
      <c r="K734" s="76">
        <v>100</v>
      </c>
      <c r="L734" s="78">
        <f t="shared" si="99"/>
        <v>1</v>
      </c>
      <c r="M734" s="78">
        <f t="shared" si="100"/>
        <v>1</v>
      </c>
      <c r="N734" s="76" t="s">
        <v>25</v>
      </c>
      <c r="O734" s="76" t="s">
        <v>25</v>
      </c>
      <c r="P734" s="76">
        <v>0</v>
      </c>
      <c r="Q734" s="76">
        <v>0</v>
      </c>
      <c r="R734" s="76" t="s">
        <v>2966</v>
      </c>
      <c r="S734" s="76"/>
    </row>
    <row r="735" spans="1:19" x14ac:dyDescent="0.3">
      <c r="A735" s="36" t="s">
        <v>2967</v>
      </c>
      <c r="B735" s="19" t="s">
        <v>2968</v>
      </c>
      <c r="C735" s="3" t="s">
        <v>1303</v>
      </c>
      <c r="D735" s="37" t="s">
        <v>39</v>
      </c>
      <c r="E735" s="37" t="s">
        <v>22</v>
      </c>
      <c r="F735" s="42">
        <v>45291</v>
      </c>
      <c r="G735" s="40">
        <v>2023</v>
      </c>
      <c r="H735" s="39" t="s">
        <v>27</v>
      </c>
      <c r="I735" s="39" t="s">
        <v>32</v>
      </c>
      <c r="J735" s="3">
        <v>100</v>
      </c>
      <c r="K735" s="3">
        <v>94.6</v>
      </c>
      <c r="L735" s="65">
        <f t="shared" si="99"/>
        <v>0.94599999999999995</v>
      </c>
      <c r="M735" s="65">
        <f t="shared" si="100"/>
        <v>0.94599999999999995</v>
      </c>
      <c r="N735" s="37" t="s">
        <v>25</v>
      </c>
      <c r="O735" s="37" t="s">
        <v>25</v>
      </c>
      <c r="P735" s="37">
        <v>0</v>
      </c>
      <c r="Q735" s="37">
        <v>0</v>
      </c>
      <c r="R735" s="37" t="s">
        <v>2970</v>
      </c>
      <c r="S735" s="37"/>
    </row>
    <row r="736" spans="1:19" x14ac:dyDescent="0.3">
      <c r="A736" s="76" t="s">
        <v>2967</v>
      </c>
      <c r="B736" s="76" t="s">
        <v>2971</v>
      </c>
      <c r="C736" s="76" t="s">
        <v>1263</v>
      </c>
      <c r="D736" s="76" t="s">
        <v>39</v>
      </c>
      <c r="E736" s="76" t="s">
        <v>22</v>
      </c>
      <c r="F736" s="77">
        <v>45657</v>
      </c>
      <c r="G736" s="76">
        <v>2024</v>
      </c>
      <c r="H736" s="76" t="s">
        <v>27</v>
      </c>
      <c r="I736" s="76" t="s">
        <v>36</v>
      </c>
      <c r="J736" s="76">
        <v>100</v>
      </c>
      <c r="K736" s="76">
        <v>96</v>
      </c>
      <c r="L736" s="78">
        <f t="shared" si="99"/>
        <v>0.96</v>
      </c>
      <c r="M736" s="78">
        <f t="shared" si="100"/>
        <v>0.96</v>
      </c>
      <c r="N736" s="76" t="s">
        <v>25</v>
      </c>
      <c r="O736" s="76" t="s">
        <v>25</v>
      </c>
      <c r="P736" s="76">
        <v>0</v>
      </c>
      <c r="Q736" s="76">
        <v>0</v>
      </c>
      <c r="R736" s="76" t="s">
        <v>2975</v>
      </c>
      <c r="S736" s="76"/>
    </row>
    <row r="737" spans="1:19" x14ac:dyDescent="0.3">
      <c r="A737" s="76" t="s">
        <v>2976</v>
      </c>
      <c r="B737" s="76" t="s">
        <v>2977</v>
      </c>
      <c r="C737" s="76" t="s">
        <v>1263</v>
      </c>
      <c r="D737" s="76" t="s">
        <v>39</v>
      </c>
      <c r="E737" s="76" t="s">
        <v>22</v>
      </c>
      <c r="F737" s="77">
        <v>45291</v>
      </c>
      <c r="G737" s="76">
        <v>2023</v>
      </c>
      <c r="H737" s="76" t="s">
        <v>27</v>
      </c>
      <c r="I737" s="76" t="s">
        <v>32</v>
      </c>
      <c r="J737" s="76">
        <v>100</v>
      </c>
      <c r="K737" s="76">
        <v>98.75</v>
      </c>
      <c r="L737" s="78">
        <f t="shared" si="99"/>
        <v>0.98750000000000004</v>
      </c>
      <c r="M737" s="78">
        <f t="shared" si="100"/>
        <v>0.98750000000000004</v>
      </c>
      <c r="N737" s="76" t="s">
        <v>25</v>
      </c>
      <c r="O737" s="76" t="s">
        <v>25</v>
      </c>
      <c r="P737" s="76">
        <v>0</v>
      </c>
      <c r="Q737" s="76">
        <v>0</v>
      </c>
      <c r="R737" s="76" t="s">
        <v>2980</v>
      </c>
      <c r="S737" s="76"/>
    </row>
    <row r="738" spans="1:19" x14ac:dyDescent="0.3">
      <c r="A738" s="76" t="s">
        <v>2976</v>
      </c>
      <c r="B738" s="76" t="s">
        <v>2977</v>
      </c>
      <c r="C738" s="76" t="s">
        <v>1263</v>
      </c>
      <c r="D738" s="76" t="s">
        <v>39</v>
      </c>
      <c r="E738" s="76" t="s">
        <v>22</v>
      </c>
      <c r="F738" s="77">
        <v>45657</v>
      </c>
      <c r="G738" s="76">
        <v>2024</v>
      </c>
      <c r="H738" s="76" t="s">
        <v>27</v>
      </c>
      <c r="I738" s="76" t="s">
        <v>36</v>
      </c>
      <c r="J738" s="76">
        <v>100</v>
      </c>
      <c r="K738" s="76">
        <v>100</v>
      </c>
      <c r="L738" s="78">
        <f t="shared" si="99"/>
        <v>1</v>
      </c>
      <c r="M738" s="78">
        <f t="shared" si="100"/>
        <v>1</v>
      </c>
      <c r="N738" s="76" t="s">
        <v>25</v>
      </c>
      <c r="O738" s="76" t="s">
        <v>25</v>
      </c>
      <c r="P738" s="76">
        <v>0</v>
      </c>
      <c r="Q738" s="76">
        <v>0</v>
      </c>
      <c r="R738" s="76" t="s">
        <v>2984</v>
      </c>
      <c r="S738" s="76"/>
    </row>
    <row r="739" spans="1:19" x14ac:dyDescent="0.3">
      <c r="A739" s="76" t="s">
        <v>2985</v>
      </c>
      <c r="B739" s="76" t="s">
        <v>2986</v>
      </c>
      <c r="C739" s="76" t="s">
        <v>1263</v>
      </c>
      <c r="D739" s="76" t="s">
        <v>39</v>
      </c>
      <c r="E739" s="76" t="s">
        <v>22</v>
      </c>
      <c r="F739" s="77">
        <v>45291</v>
      </c>
      <c r="G739" s="76">
        <v>2023</v>
      </c>
      <c r="H739" s="76" t="s">
        <v>27</v>
      </c>
      <c r="I739" s="76" t="s">
        <v>32</v>
      </c>
      <c r="J739" s="76">
        <v>100</v>
      </c>
      <c r="K739" s="76">
        <v>100</v>
      </c>
      <c r="L739" s="78">
        <f t="shared" si="99"/>
        <v>1</v>
      </c>
      <c r="M739" s="78">
        <f t="shared" si="100"/>
        <v>1</v>
      </c>
      <c r="N739" s="76" t="s">
        <v>25</v>
      </c>
      <c r="O739" s="76" t="s">
        <v>25</v>
      </c>
      <c r="P739" s="76">
        <v>0</v>
      </c>
      <c r="Q739" s="76">
        <v>0</v>
      </c>
      <c r="R739" s="76" t="s">
        <v>2989</v>
      </c>
      <c r="S739" s="76"/>
    </row>
    <row r="740" spans="1:19" x14ac:dyDescent="0.3">
      <c r="A740" s="76" t="s">
        <v>2985</v>
      </c>
      <c r="B740" s="76" t="s">
        <v>2986</v>
      </c>
      <c r="C740" s="76" t="s">
        <v>1263</v>
      </c>
      <c r="D740" s="76" t="s">
        <v>39</v>
      </c>
      <c r="E740" s="76" t="s">
        <v>22</v>
      </c>
      <c r="F740" s="77">
        <v>45657</v>
      </c>
      <c r="G740" s="76">
        <v>2024</v>
      </c>
      <c r="H740" s="76" t="s">
        <v>27</v>
      </c>
      <c r="I740" s="76" t="s">
        <v>36</v>
      </c>
      <c r="J740" s="76">
        <v>100</v>
      </c>
      <c r="K740" s="76">
        <v>100</v>
      </c>
      <c r="L740" s="78">
        <f t="shared" si="99"/>
        <v>1</v>
      </c>
      <c r="M740" s="78">
        <f t="shared" si="100"/>
        <v>1</v>
      </c>
      <c r="N740" s="76" t="s">
        <v>25</v>
      </c>
      <c r="O740" s="76" t="s">
        <v>25</v>
      </c>
      <c r="P740" s="76">
        <v>0</v>
      </c>
      <c r="Q740" s="76">
        <v>0</v>
      </c>
      <c r="R740" s="76" t="s">
        <v>2993</v>
      </c>
      <c r="S740" s="76"/>
    </row>
    <row r="741" spans="1:19" x14ac:dyDescent="0.3">
      <c r="A741" s="36" t="s">
        <v>2994</v>
      </c>
      <c r="B741" s="12" t="s">
        <v>2995</v>
      </c>
      <c r="C741" s="37" t="s">
        <v>94</v>
      </c>
      <c r="D741" s="37" t="s">
        <v>39</v>
      </c>
      <c r="E741" s="37" t="s">
        <v>22</v>
      </c>
      <c r="F741" s="42">
        <v>45291</v>
      </c>
      <c r="G741" s="40">
        <v>2023</v>
      </c>
      <c r="H741" s="39" t="s">
        <v>27</v>
      </c>
      <c r="I741" s="39" t="s">
        <v>32</v>
      </c>
      <c r="J741" s="37">
        <v>100</v>
      </c>
      <c r="K741" s="37">
        <v>84.33</v>
      </c>
      <c r="L741" s="65">
        <f t="shared" si="99"/>
        <v>0.84329999999999994</v>
      </c>
      <c r="M741" s="65">
        <f t="shared" si="100"/>
        <v>0.84329999999999994</v>
      </c>
      <c r="N741" s="37" t="s">
        <v>25</v>
      </c>
      <c r="O741" s="37" t="s">
        <v>25</v>
      </c>
      <c r="P741" s="37">
        <v>0</v>
      </c>
      <c r="Q741" s="37">
        <v>0</v>
      </c>
      <c r="R741" s="37" t="s">
        <v>2997</v>
      </c>
      <c r="S741" s="37"/>
    </row>
    <row r="742" spans="1:19" x14ac:dyDescent="0.3">
      <c r="A742" s="76" t="s">
        <v>2994</v>
      </c>
      <c r="B742" s="76" t="s">
        <v>2998</v>
      </c>
      <c r="C742" s="76" t="s">
        <v>1263</v>
      </c>
      <c r="D742" s="76" t="s">
        <v>39</v>
      </c>
      <c r="E742" s="76" t="s">
        <v>22</v>
      </c>
      <c r="F742" s="77">
        <v>45657</v>
      </c>
      <c r="G742" s="76">
        <v>2024</v>
      </c>
      <c r="H742" s="76" t="s">
        <v>27</v>
      </c>
      <c r="I742" s="76" t="s">
        <v>36</v>
      </c>
      <c r="J742" s="76">
        <v>100</v>
      </c>
      <c r="K742" s="76">
        <v>100</v>
      </c>
      <c r="L742" s="78">
        <f t="shared" si="99"/>
        <v>1</v>
      </c>
      <c r="M742" s="78">
        <f t="shared" si="100"/>
        <v>1</v>
      </c>
      <c r="N742" s="76" t="s">
        <v>25</v>
      </c>
      <c r="O742" s="76" t="s">
        <v>25</v>
      </c>
      <c r="P742" s="76">
        <v>0</v>
      </c>
      <c r="Q742" s="76">
        <v>0</v>
      </c>
      <c r="R742" s="76" t="s">
        <v>3002</v>
      </c>
      <c r="S742" s="76"/>
    </row>
    <row r="743" spans="1:19" x14ac:dyDescent="0.3">
      <c r="A743" s="76" t="s">
        <v>3003</v>
      </c>
      <c r="B743" s="76" t="s">
        <v>3004</v>
      </c>
      <c r="C743" s="76" t="s">
        <v>1263</v>
      </c>
      <c r="D743" s="76" t="s">
        <v>39</v>
      </c>
      <c r="E743" s="76" t="s">
        <v>22</v>
      </c>
      <c r="F743" s="77">
        <v>45657</v>
      </c>
      <c r="G743" s="76">
        <v>2024</v>
      </c>
      <c r="H743" s="76" t="s">
        <v>27</v>
      </c>
      <c r="I743" s="76" t="s">
        <v>36</v>
      </c>
      <c r="J743" s="76">
        <v>100</v>
      </c>
      <c r="K743" s="76">
        <v>100</v>
      </c>
      <c r="L743" s="78">
        <f t="shared" si="99"/>
        <v>1</v>
      </c>
      <c r="M743" s="78">
        <f t="shared" si="100"/>
        <v>1</v>
      </c>
      <c r="N743" s="76" t="s">
        <v>25</v>
      </c>
      <c r="O743" s="76" t="s">
        <v>25</v>
      </c>
      <c r="P743" s="76">
        <v>0</v>
      </c>
      <c r="Q743" s="76">
        <v>0</v>
      </c>
      <c r="R743" s="76" t="s">
        <v>3008</v>
      </c>
      <c r="S743" s="76"/>
    </row>
    <row r="744" spans="1:19" x14ac:dyDescent="0.3">
      <c r="A744" s="76" t="s">
        <v>3009</v>
      </c>
      <c r="B744" s="76" t="s">
        <v>3010</v>
      </c>
      <c r="C744" s="76" t="s">
        <v>1263</v>
      </c>
      <c r="D744" s="76" t="s">
        <v>39</v>
      </c>
      <c r="E744" s="76" t="s">
        <v>22</v>
      </c>
      <c r="F744" s="77">
        <v>45657</v>
      </c>
      <c r="G744" s="76">
        <v>2024</v>
      </c>
      <c r="H744" s="76" t="s">
        <v>27</v>
      </c>
      <c r="I744" s="76" t="s">
        <v>36</v>
      </c>
      <c r="J744" s="76">
        <v>100</v>
      </c>
      <c r="K744" s="76">
        <v>100</v>
      </c>
      <c r="L744" s="78">
        <f t="shared" si="99"/>
        <v>1</v>
      </c>
      <c r="M744" s="78">
        <f t="shared" si="100"/>
        <v>1</v>
      </c>
      <c r="N744" s="76" t="s">
        <v>25</v>
      </c>
      <c r="O744" s="76" t="s">
        <v>25</v>
      </c>
      <c r="P744" s="76">
        <v>0</v>
      </c>
      <c r="Q744" s="76">
        <v>0</v>
      </c>
      <c r="R744" s="76" t="s">
        <v>3014</v>
      </c>
      <c r="S744" s="76"/>
    </row>
    <row r="745" spans="1:19" x14ac:dyDescent="0.3">
      <c r="A745" s="76" t="s">
        <v>3015</v>
      </c>
      <c r="B745" s="76" t="s">
        <v>3016</v>
      </c>
      <c r="C745" s="76" t="s">
        <v>1263</v>
      </c>
      <c r="D745" s="76" t="s">
        <v>39</v>
      </c>
      <c r="E745" s="76" t="s">
        <v>22</v>
      </c>
      <c r="F745" s="77">
        <v>45657</v>
      </c>
      <c r="G745" s="76">
        <v>2024</v>
      </c>
      <c r="H745" s="76" t="s">
        <v>27</v>
      </c>
      <c r="I745" s="76" t="s">
        <v>36</v>
      </c>
      <c r="J745" s="76">
        <v>100</v>
      </c>
      <c r="K745" s="76">
        <v>100</v>
      </c>
      <c r="L745" s="78">
        <f t="shared" si="99"/>
        <v>1</v>
      </c>
      <c r="M745" s="78">
        <f t="shared" si="100"/>
        <v>1</v>
      </c>
      <c r="N745" s="76" t="s">
        <v>25</v>
      </c>
      <c r="O745" s="76" t="s">
        <v>25</v>
      </c>
      <c r="P745" s="76">
        <v>0</v>
      </c>
      <c r="Q745" s="76">
        <v>0</v>
      </c>
      <c r="R745" s="76" t="s">
        <v>3020</v>
      </c>
      <c r="S745" s="76"/>
    </row>
    <row r="746" spans="1:19" x14ac:dyDescent="0.3">
      <c r="A746" s="76" t="s">
        <v>3021</v>
      </c>
      <c r="B746" s="76" t="s">
        <v>3022</v>
      </c>
      <c r="C746" s="76" t="s">
        <v>1263</v>
      </c>
      <c r="D746" s="76" t="s">
        <v>39</v>
      </c>
      <c r="E746" s="76" t="s">
        <v>22</v>
      </c>
      <c r="F746" s="77">
        <v>45291</v>
      </c>
      <c r="G746" s="76">
        <v>2023</v>
      </c>
      <c r="H746" s="76" t="s">
        <v>27</v>
      </c>
      <c r="I746" s="76" t="s">
        <v>32</v>
      </c>
      <c r="J746" s="76">
        <v>100</v>
      </c>
      <c r="K746" s="76">
        <v>100</v>
      </c>
      <c r="L746" s="78">
        <f t="shared" si="99"/>
        <v>1</v>
      </c>
      <c r="M746" s="78">
        <f t="shared" si="100"/>
        <v>1</v>
      </c>
      <c r="N746" s="76" t="s">
        <v>25</v>
      </c>
      <c r="O746" s="76" t="s">
        <v>25</v>
      </c>
      <c r="P746" s="76">
        <v>0</v>
      </c>
      <c r="Q746" s="76">
        <v>0</v>
      </c>
      <c r="R746" s="76" t="s">
        <v>3025</v>
      </c>
      <c r="S746" s="76"/>
    </row>
    <row r="747" spans="1:19" x14ac:dyDescent="0.3">
      <c r="A747" s="76" t="s">
        <v>3021</v>
      </c>
      <c r="B747" s="76" t="s">
        <v>3022</v>
      </c>
      <c r="C747" s="76" t="s">
        <v>1263</v>
      </c>
      <c r="D747" s="76" t="s">
        <v>39</v>
      </c>
      <c r="E747" s="76" t="s">
        <v>22</v>
      </c>
      <c r="F747" s="77">
        <v>45657</v>
      </c>
      <c r="G747" s="76">
        <v>2024</v>
      </c>
      <c r="H747" s="76" t="s">
        <v>27</v>
      </c>
      <c r="I747" s="76" t="s">
        <v>36</v>
      </c>
      <c r="J747" s="76">
        <v>100</v>
      </c>
      <c r="K747" s="76">
        <v>97</v>
      </c>
      <c r="L747" s="78">
        <f t="shared" si="99"/>
        <v>0.97</v>
      </c>
      <c r="M747" s="78">
        <f t="shared" si="100"/>
        <v>0.97</v>
      </c>
      <c r="N747" s="76" t="s">
        <v>25</v>
      </c>
      <c r="O747" s="76" t="s">
        <v>25</v>
      </c>
      <c r="P747" s="76">
        <v>0</v>
      </c>
      <c r="Q747" s="76">
        <v>0</v>
      </c>
      <c r="R747" s="76" t="s">
        <v>3029</v>
      </c>
      <c r="S747" s="76"/>
    </row>
    <row r="748" spans="1:19" x14ac:dyDescent="0.3">
      <c r="A748" s="76" t="s">
        <v>3030</v>
      </c>
      <c r="B748" s="76" t="s">
        <v>3031</v>
      </c>
      <c r="C748" s="76" t="s">
        <v>1263</v>
      </c>
      <c r="D748" s="76" t="s">
        <v>39</v>
      </c>
      <c r="E748" s="76" t="s">
        <v>22</v>
      </c>
      <c r="F748" s="77">
        <v>45291</v>
      </c>
      <c r="G748" s="76">
        <v>2023</v>
      </c>
      <c r="H748" s="76" t="s">
        <v>27</v>
      </c>
      <c r="I748" s="76" t="s">
        <v>32</v>
      </c>
      <c r="J748" s="76">
        <v>100</v>
      </c>
      <c r="K748" s="76">
        <v>100</v>
      </c>
      <c r="L748" s="78">
        <f t="shared" si="99"/>
        <v>1</v>
      </c>
      <c r="M748" s="78">
        <f t="shared" si="100"/>
        <v>1</v>
      </c>
      <c r="N748" s="76" t="s">
        <v>25</v>
      </c>
      <c r="O748" s="76" t="s">
        <v>25</v>
      </c>
      <c r="P748" s="76">
        <v>0</v>
      </c>
      <c r="Q748" s="76">
        <v>0</v>
      </c>
      <c r="R748" s="76" t="s">
        <v>3034</v>
      </c>
      <c r="S748" s="76"/>
    </row>
    <row r="749" spans="1:19" x14ac:dyDescent="0.3">
      <c r="A749" s="76" t="s">
        <v>3030</v>
      </c>
      <c r="B749" s="76" t="s">
        <v>3031</v>
      </c>
      <c r="C749" s="76" t="s">
        <v>1263</v>
      </c>
      <c r="D749" s="76" t="s">
        <v>39</v>
      </c>
      <c r="E749" s="76" t="s">
        <v>22</v>
      </c>
      <c r="F749" s="77">
        <v>45657</v>
      </c>
      <c r="G749" s="76">
        <v>2024</v>
      </c>
      <c r="H749" s="76" t="s">
        <v>27</v>
      </c>
      <c r="I749" s="76" t="s">
        <v>36</v>
      </c>
      <c r="J749" s="76">
        <v>100</v>
      </c>
      <c r="K749" s="76">
        <v>100</v>
      </c>
      <c r="L749" s="78">
        <f t="shared" si="99"/>
        <v>1</v>
      </c>
      <c r="M749" s="78">
        <f t="shared" si="100"/>
        <v>1</v>
      </c>
      <c r="N749" s="76" t="s">
        <v>25</v>
      </c>
      <c r="O749" s="76" t="s">
        <v>25</v>
      </c>
      <c r="P749" s="76">
        <v>0</v>
      </c>
      <c r="Q749" s="76">
        <v>0</v>
      </c>
      <c r="R749" s="76" t="s">
        <v>3038</v>
      </c>
      <c r="S749" s="76"/>
    </row>
    <row r="750" spans="1:19" x14ac:dyDescent="0.3">
      <c r="A750" s="76" t="s">
        <v>3039</v>
      </c>
      <c r="B750" s="76" t="s">
        <v>3040</v>
      </c>
      <c r="C750" s="76" t="s">
        <v>1263</v>
      </c>
      <c r="D750" s="76" t="s">
        <v>39</v>
      </c>
      <c r="E750" s="76" t="s">
        <v>22</v>
      </c>
      <c r="F750" s="77">
        <v>45291</v>
      </c>
      <c r="G750" s="76">
        <v>2023</v>
      </c>
      <c r="H750" s="76" t="s">
        <v>27</v>
      </c>
      <c r="I750" s="76" t="s">
        <v>32</v>
      </c>
      <c r="J750" s="76">
        <v>100</v>
      </c>
      <c r="K750" s="76">
        <v>84</v>
      </c>
      <c r="L750" s="78">
        <f t="shared" si="99"/>
        <v>0.84</v>
      </c>
      <c r="M750" s="78">
        <f t="shared" si="100"/>
        <v>0.84</v>
      </c>
      <c r="N750" s="76" t="s">
        <v>25</v>
      </c>
      <c r="O750" s="76" t="s">
        <v>25</v>
      </c>
      <c r="P750" s="76">
        <v>0</v>
      </c>
      <c r="Q750" s="76">
        <v>0</v>
      </c>
      <c r="R750" s="76" t="s">
        <v>3043</v>
      </c>
      <c r="S750" s="76"/>
    </row>
    <row r="751" spans="1:19" x14ac:dyDescent="0.3">
      <c r="A751" s="76" t="s">
        <v>3039</v>
      </c>
      <c r="B751" s="76" t="s">
        <v>3040</v>
      </c>
      <c r="C751" s="76" t="s">
        <v>1263</v>
      </c>
      <c r="D751" s="76" t="s">
        <v>39</v>
      </c>
      <c r="E751" s="76" t="s">
        <v>22</v>
      </c>
      <c r="F751" s="77">
        <v>45657</v>
      </c>
      <c r="G751" s="76">
        <v>2024</v>
      </c>
      <c r="H751" s="76" t="s">
        <v>27</v>
      </c>
      <c r="I751" s="76" t="s">
        <v>36</v>
      </c>
      <c r="J751" s="76">
        <v>100</v>
      </c>
      <c r="K751" s="76">
        <v>94</v>
      </c>
      <c r="L751" s="78">
        <f t="shared" si="99"/>
        <v>0.94</v>
      </c>
      <c r="M751" s="78">
        <f t="shared" si="100"/>
        <v>0.94</v>
      </c>
      <c r="N751" s="76" t="s">
        <v>25</v>
      </c>
      <c r="O751" s="76" t="s">
        <v>25</v>
      </c>
      <c r="P751" s="76">
        <v>0</v>
      </c>
      <c r="Q751" s="76">
        <v>0</v>
      </c>
      <c r="R751" s="76" t="s">
        <v>3047</v>
      </c>
      <c r="S751" s="76"/>
    </row>
    <row r="752" spans="1:19" x14ac:dyDescent="0.3">
      <c r="A752" s="76" t="s">
        <v>3048</v>
      </c>
      <c r="B752" s="76" t="s">
        <v>3049</v>
      </c>
      <c r="C752" s="76" t="s">
        <v>1263</v>
      </c>
      <c r="D752" s="76" t="s">
        <v>39</v>
      </c>
      <c r="E752" s="76" t="s">
        <v>22</v>
      </c>
      <c r="F752" s="77">
        <v>45291</v>
      </c>
      <c r="G752" s="76">
        <v>2023</v>
      </c>
      <c r="H752" s="76" t="s">
        <v>27</v>
      </c>
      <c r="I752" s="76" t="s">
        <v>32</v>
      </c>
      <c r="J752" s="76">
        <v>100</v>
      </c>
      <c r="K752" s="76">
        <v>98</v>
      </c>
      <c r="L752" s="78">
        <f t="shared" si="99"/>
        <v>0.98</v>
      </c>
      <c r="M752" s="78">
        <f t="shared" si="100"/>
        <v>0.98</v>
      </c>
      <c r="N752" s="76" t="s">
        <v>25</v>
      </c>
      <c r="O752" s="76" t="s">
        <v>25</v>
      </c>
      <c r="P752" s="76">
        <v>0</v>
      </c>
      <c r="Q752" s="76">
        <v>0</v>
      </c>
      <c r="R752" s="76" t="s">
        <v>3052</v>
      </c>
      <c r="S752" s="76"/>
    </row>
    <row r="753" spans="1:19" x14ac:dyDescent="0.3">
      <c r="A753" s="76" t="s">
        <v>3048</v>
      </c>
      <c r="B753" s="76" t="s">
        <v>3049</v>
      </c>
      <c r="C753" s="76" t="s">
        <v>1263</v>
      </c>
      <c r="D753" s="76" t="s">
        <v>39</v>
      </c>
      <c r="E753" s="76" t="s">
        <v>22</v>
      </c>
      <c r="F753" s="77">
        <v>45657</v>
      </c>
      <c r="G753" s="76">
        <v>2024</v>
      </c>
      <c r="H753" s="76" t="s">
        <v>27</v>
      </c>
      <c r="I753" s="76" t="s">
        <v>36</v>
      </c>
      <c r="J753" s="76">
        <v>100</v>
      </c>
      <c r="K753" s="76">
        <v>95</v>
      </c>
      <c r="L753" s="78">
        <f t="shared" si="99"/>
        <v>0.95</v>
      </c>
      <c r="M753" s="78">
        <f t="shared" si="100"/>
        <v>0.95</v>
      </c>
      <c r="N753" s="76" t="s">
        <v>25</v>
      </c>
      <c r="O753" s="76" t="s">
        <v>25</v>
      </c>
      <c r="P753" s="76">
        <v>0</v>
      </c>
      <c r="Q753" s="76">
        <v>0</v>
      </c>
      <c r="R753" s="76" t="s">
        <v>3056</v>
      </c>
      <c r="S753" s="76"/>
    </row>
    <row r="754" spans="1:19" x14ac:dyDescent="0.3">
      <c r="A754" s="76" t="s">
        <v>3057</v>
      </c>
      <c r="B754" s="76" t="s">
        <v>3058</v>
      </c>
      <c r="C754" s="76" t="s">
        <v>1263</v>
      </c>
      <c r="D754" s="76" t="s">
        <v>39</v>
      </c>
      <c r="E754" s="76" t="s">
        <v>22</v>
      </c>
      <c r="F754" s="77">
        <v>45291</v>
      </c>
      <c r="G754" s="76">
        <v>2023</v>
      </c>
      <c r="H754" s="76" t="s">
        <v>27</v>
      </c>
      <c r="I754" s="76" t="s">
        <v>32</v>
      </c>
      <c r="J754" s="76">
        <v>100</v>
      </c>
      <c r="K754" s="76">
        <v>100</v>
      </c>
      <c r="L754" s="78">
        <f t="shared" si="99"/>
        <v>1</v>
      </c>
      <c r="M754" s="78">
        <f t="shared" si="100"/>
        <v>1</v>
      </c>
      <c r="N754" s="76" t="s">
        <v>25</v>
      </c>
      <c r="O754" s="76" t="s">
        <v>25</v>
      </c>
      <c r="P754" s="76">
        <v>0</v>
      </c>
      <c r="Q754" s="76">
        <v>0</v>
      </c>
      <c r="R754" s="76" t="s">
        <v>3061</v>
      </c>
      <c r="S754" s="76"/>
    </row>
    <row r="755" spans="1:19" x14ac:dyDescent="0.3">
      <c r="A755" s="76" t="s">
        <v>3057</v>
      </c>
      <c r="B755" s="76" t="s">
        <v>3058</v>
      </c>
      <c r="C755" s="76" t="s">
        <v>1263</v>
      </c>
      <c r="D755" s="76" t="s">
        <v>39</v>
      </c>
      <c r="E755" s="76" t="s">
        <v>22</v>
      </c>
      <c r="F755" s="77">
        <v>45657</v>
      </c>
      <c r="G755" s="76">
        <v>2024</v>
      </c>
      <c r="H755" s="76" t="s">
        <v>27</v>
      </c>
      <c r="I755" s="76" t="s">
        <v>36</v>
      </c>
      <c r="J755" s="76">
        <v>100</v>
      </c>
      <c r="K755" s="76">
        <v>100</v>
      </c>
      <c r="L755" s="78">
        <f t="shared" si="99"/>
        <v>1</v>
      </c>
      <c r="M755" s="78">
        <f t="shared" si="100"/>
        <v>1</v>
      </c>
      <c r="N755" s="76" t="s">
        <v>25</v>
      </c>
      <c r="O755" s="76" t="s">
        <v>25</v>
      </c>
      <c r="P755" s="76">
        <v>0</v>
      </c>
      <c r="Q755" s="76">
        <v>0</v>
      </c>
      <c r="R755" s="76" t="s">
        <v>3065</v>
      </c>
      <c r="S755" s="76"/>
    </row>
    <row r="756" spans="1:19" x14ac:dyDescent="0.3">
      <c r="A756" s="76" t="s">
        <v>3066</v>
      </c>
      <c r="B756" s="76" t="s">
        <v>3067</v>
      </c>
      <c r="C756" s="76" t="s">
        <v>1263</v>
      </c>
      <c r="D756" s="76" t="s">
        <v>39</v>
      </c>
      <c r="E756" s="76" t="s">
        <v>22</v>
      </c>
      <c r="F756" s="77">
        <v>45291</v>
      </c>
      <c r="G756" s="76">
        <v>2023</v>
      </c>
      <c r="H756" s="76" t="s">
        <v>27</v>
      </c>
      <c r="I756" s="76" t="s">
        <v>32</v>
      </c>
      <c r="J756" s="76">
        <v>100</v>
      </c>
      <c r="K756" s="76">
        <v>90</v>
      </c>
      <c r="L756" s="78">
        <f t="shared" si="99"/>
        <v>0.9</v>
      </c>
      <c r="M756" s="78">
        <f t="shared" si="100"/>
        <v>0.9</v>
      </c>
      <c r="N756" s="76" t="s">
        <v>25</v>
      </c>
      <c r="O756" s="76" t="s">
        <v>25</v>
      </c>
      <c r="P756" s="76">
        <v>0</v>
      </c>
      <c r="Q756" s="76">
        <v>0</v>
      </c>
      <c r="R756" s="76" t="s">
        <v>3070</v>
      </c>
      <c r="S756" s="76"/>
    </row>
    <row r="757" spans="1:19" x14ac:dyDescent="0.3">
      <c r="A757" s="76" t="s">
        <v>3066</v>
      </c>
      <c r="B757" s="76" t="s">
        <v>3067</v>
      </c>
      <c r="C757" s="76" t="s">
        <v>1263</v>
      </c>
      <c r="D757" s="76" t="s">
        <v>39</v>
      </c>
      <c r="E757" s="76" t="s">
        <v>22</v>
      </c>
      <c r="F757" s="77">
        <v>45657</v>
      </c>
      <c r="G757" s="76">
        <v>2024</v>
      </c>
      <c r="H757" s="76" t="s">
        <v>27</v>
      </c>
      <c r="I757" s="76" t="s">
        <v>36</v>
      </c>
      <c r="J757" s="76">
        <v>100</v>
      </c>
      <c r="K757" s="76">
        <v>100</v>
      </c>
      <c r="L757" s="78">
        <f t="shared" si="99"/>
        <v>1</v>
      </c>
      <c r="M757" s="78">
        <f t="shared" si="100"/>
        <v>1</v>
      </c>
      <c r="N757" s="76" t="s">
        <v>25</v>
      </c>
      <c r="O757" s="76" t="s">
        <v>25</v>
      </c>
      <c r="P757" s="76">
        <v>0</v>
      </c>
      <c r="Q757" s="76">
        <v>0</v>
      </c>
      <c r="R757" s="76" t="s">
        <v>3074</v>
      </c>
      <c r="S757" s="76"/>
    </row>
    <row r="758" spans="1:19" x14ac:dyDescent="0.3">
      <c r="A758" s="76" t="s">
        <v>3075</v>
      </c>
      <c r="B758" s="76" t="s">
        <v>3076</v>
      </c>
      <c r="C758" s="76" t="s">
        <v>1263</v>
      </c>
      <c r="D758" s="76" t="s">
        <v>39</v>
      </c>
      <c r="E758" s="76" t="s">
        <v>22</v>
      </c>
      <c r="F758" s="77">
        <v>45291</v>
      </c>
      <c r="G758" s="76">
        <v>2023</v>
      </c>
      <c r="H758" s="76" t="s">
        <v>27</v>
      </c>
      <c r="I758" s="76" t="s">
        <v>32</v>
      </c>
      <c r="J758" s="76">
        <v>0</v>
      </c>
      <c r="K758" s="76">
        <v>0</v>
      </c>
      <c r="L758" s="78" t="str">
        <f t="shared" si="99"/>
        <v/>
      </c>
      <c r="M758" s="78" t="str">
        <f t="shared" si="100"/>
        <v/>
      </c>
      <c r="N758" s="76" t="s">
        <v>25</v>
      </c>
      <c r="O758" s="76" t="s">
        <v>25</v>
      </c>
      <c r="P758" s="76">
        <v>0</v>
      </c>
      <c r="Q758" s="76">
        <v>0</v>
      </c>
      <c r="R758" s="76" t="s">
        <v>3077</v>
      </c>
      <c r="S758" s="76"/>
    </row>
    <row r="759" spans="1:19" x14ac:dyDescent="0.3">
      <c r="A759" s="76" t="s">
        <v>3075</v>
      </c>
      <c r="B759" s="76" t="s">
        <v>3076</v>
      </c>
      <c r="C759" s="76" t="s">
        <v>1263</v>
      </c>
      <c r="D759" s="76" t="s">
        <v>39</v>
      </c>
      <c r="E759" s="76" t="s">
        <v>22</v>
      </c>
      <c r="F759" s="77">
        <v>45657</v>
      </c>
      <c r="G759" s="76">
        <v>2024</v>
      </c>
      <c r="H759" s="76" t="s">
        <v>27</v>
      </c>
      <c r="I759" s="76" t="s">
        <v>36</v>
      </c>
      <c r="J759" s="76">
        <v>100</v>
      </c>
      <c r="K759" s="76">
        <v>97</v>
      </c>
      <c r="L759" s="78">
        <f t="shared" si="99"/>
        <v>0.97</v>
      </c>
      <c r="M759" s="78">
        <f t="shared" si="100"/>
        <v>0.97</v>
      </c>
      <c r="N759" s="76" t="s">
        <v>25</v>
      </c>
      <c r="O759" s="76" t="s">
        <v>25</v>
      </c>
      <c r="P759" s="76">
        <v>0</v>
      </c>
      <c r="Q759" s="76">
        <v>0</v>
      </c>
      <c r="R759" s="76" t="s">
        <v>3081</v>
      </c>
      <c r="S759" s="76"/>
    </row>
    <row r="760" spans="1:19" x14ac:dyDescent="0.3">
      <c r="A760" s="76" t="s">
        <v>3082</v>
      </c>
      <c r="B760" s="76" t="s">
        <v>3083</v>
      </c>
      <c r="C760" s="76" t="s">
        <v>1263</v>
      </c>
      <c r="D760" s="76" t="s">
        <v>39</v>
      </c>
      <c r="E760" s="76" t="s">
        <v>22</v>
      </c>
      <c r="F760" s="77">
        <v>45657</v>
      </c>
      <c r="G760" s="76">
        <v>2024</v>
      </c>
      <c r="H760" s="76" t="s">
        <v>27</v>
      </c>
      <c r="I760" s="76" t="s">
        <v>36</v>
      </c>
      <c r="J760" s="76">
        <v>100</v>
      </c>
      <c r="K760" s="76">
        <v>100</v>
      </c>
      <c r="L760" s="78">
        <f t="shared" ref="L760:L789" si="101">IFERROR(IF(OR(J760=0,K760=""),"",IF(E760="Positivo",MIN(MAX(K760/J760,0),1),MIN(MAX(J760/K760,0),1))),"")</f>
        <v>1</v>
      </c>
      <c r="M760" s="78">
        <f t="shared" ref="M760:M789" si="102">IFERROR(IF(OR(J760=0,K760=""),"",IF(E760="Positivo",MIN(MAX(K760/J760,0),1),MIN(MAX(J760/K760,0),1))),"")</f>
        <v>1</v>
      </c>
      <c r="N760" s="76" t="s">
        <v>25</v>
      </c>
      <c r="O760" s="76" t="s">
        <v>25</v>
      </c>
      <c r="P760" s="76">
        <v>0</v>
      </c>
      <c r="Q760" s="76">
        <v>0</v>
      </c>
      <c r="R760" s="76" t="s">
        <v>3087</v>
      </c>
      <c r="S760" s="76"/>
    </row>
    <row r="761" spans="1:19" x14ac:dyDescent="0.3">
      <c r="A761" s="76" t="s">
        <v>3088</v>
      </c>
      <c r="B761" s="76" t="s">
        <v>3089</v>
      </c>
      <c r="C761" s="76" t="s">
        <v>1263</v>
      </c>
      <c r="D761" s="76" t="s">
        <v>39</v>
      </c>
      <c r="E761" s="76" t="s">
        <v>22</v>
      </c>
      <c r="F761" s="77">
        <v>45657</v>
      </c>
      <c r="G761" s="76">
        <v>2024</v>
      </c>
      <c r="H761" s="76" t="s">
        <v>27</v>
      </c>
      <c r="I761" s="76" t="s">
        <v>36</v>
      </c>
      <c r="J761" s="76">
        <v>100</v>
      </c>
      <c r="K761" s="76">
        <v>94</v>
      </c>
      <c r="L761" s="78">
        <f t="shared" si="101"/>
        <v>0.94</v>
      </c>
      <c r="M761" s="78">
        <f t="shared" si="102"/>
        <v>0.94</v>
      </c>
      <c r="N761" s="76" t="s">
        <v>25</v>
      </c>
      <c r="O761" s="76" t="s">
        <v>25</v>
      </c>
      <c r="P761" s="76">
        <v>0</v>
      </c>
      <c r="Q761" s="76">
        <v>0</v>
      </c>
      <c r="R761" s="76" t="s">
        <v>3093</v>
      </c>
      <c r="S761" s="76"/>
    </row>
    <row r="762" spans="1:19" x14ac:dyDescent="0.3">
      <c r="A762" s="76" t="s">
        <v>3094</v>
      </c>
      <c r="B762" s="76" t="s">
        <v>3095</v>
      </c>
      <c r="C762" s="76" t="s">
        <v>1263</v>
      </c>
      <c r="D762" s="76" t="s">
        <v>39</v>
      </c>
      <c r="E762" s="76" t="s">
        <v>22</v>
      </c>
      <c r="F762" s="77">
        <v>45291</v>
      </c>
      <c r="G762" s="76">
        <v>2023</v>
      </c>
      <c r="H762" s="76" t="s">
        <v>27</v>
      </c>
      <c r="I762" s="76" t="s">
        <v>32</v>
      </c>
      <c r="J762" s="76">
        <v>100</v>
      </c>
      <c r="K762" s="76">
        <v>100</v>
      </c>
      <c r="L762" s="78">
        <f t="shared" si="101"/>
        <v>1</v>
      </c>
      <c r="M762" s="78">
        <f t="shared" si="102"/>
        <v>1</v>
      </c>
      <c r="N762" s="76" t="s">
        <v>25</v>
      </c>
      <c r="O762" s="76" t="s">
        <v>25</v>
      </c>
      <c r="P762" s="76">
        <v>0</v>
      </c>
      <c r="Q762" s="76">
        <v>0</v>
      </c>
      <c r="R762" s="76" t="s">
        <v>3098</v>
      </c>
      <c r="S762" s="76"/>
    </row>
    <row r="763" spans="1:19" x14ac:dyDescent="0.3">
      <c r="A763" s="76" t="s">
        <v>3094</v>
      </c>
      <c r="B763" s="76" t="s">
        <v>3095</v>
      </c>
      <c r="C763" s="76" t="s">
        <v>1263</v>
      </c>
      <c r="D763" s="76" t="s">
        <v>39</v>
      </c>
      <c r="E763" s="76" t="s">
        <v>22</v>
      </c>
      <c r="F763" s="77">
        <v>45657</v>
      </c>
      <c r="G763" s="76">
        <v>2024</v>
      </c>
      <c r="H763" s="76" t="s">
        <v>27</v>
      </c>
      <c r="I763" s="76" t="s">
        <v>36</v>
      </c>
      <c r="J763" s="76">
        <v>100</v>
      </c>
      <c r="K763" s="76">
        <v>100</v>
      </c>
      <c r="L763" s="78">
        <f t="shared" si="101"/>
        <v>1</v>
      </c>
      <c r="M763" s="78">
        <f t="shared" si="102"/>
        <v>1</v>
      </c>
      <c r="N763" s="76" t="s">
        <v>25</v>
      </c>
      <c r="O763" s="76" t="s">
        <v>25</v>
      </c>
      <c r="P763" s="76">
        <v>0</v>
      </c>
      <c r="Q763" s="76">
        <v>0</v>
      </c>
      <c r="R763" s="76" t="s">
        <v>3102</v>
      </c>
      <c r="S763" s="76"/>
    </row>
    <row r="764" spans="1:19" x14ac:dyDescent="0.3">
      <c r="A764" s="76" t="s">
        <v>3103</v>
      </c>
      <c r="B764" s="76" t="s">
        <v>3104</v>
      </c>
      <c r="C764" s="76" t="s">
        <v>1263</v>
      </c>
      <c r="D764" s="76" t="s">
        <v>39</v>
      </c>
      <c r="E764" s="76" t="s">
        <v>22</v>
      </c>
      <c r="F764" s="77">
        <v>45291</v>
      </c>
      <c r="G764" s="76">
        <v>2023</v>
      </c>
      <c r="H764" s="76" t="s">
        <v>27</v>
      </c>
      <c r="I764" s="76" t="s">
        <v>32</v>
      </c>
      <c r="J764" s="76">
        <v>100</v>
      </c>
      <c r="K764" s="76">
        <v>96</v>
      </c>
      <c r="L764" s="78">
        <f t="shared" si="101"/>
        <v>0.96</v>
      </c>
      <c r="M764" s="78">
        <f t="shared" si="102"/>
        <v>0.96</v>
      </c>
      <c r="N764" s="76" t="s">
        <v>25</v>
      </c>
      <c r="O764" s="76" t="s">
        <v>25</v>
      </c>
      <c r="P764" s="76">
        <v>0</v>
      </c>
      <c r="Q764" s="76">
        <v>0</v>
      </c>
      <c r="R764" s="76" t="s">
        <v>3107</v>
      </c>
      <c r="S764" s="76"/>
    </row>
    <row r="765" spans="1:19" x14ac:dyDescent="0.3">
      <c r="A765" s="76" t="s">
        <v>3103</v>
      </c>
      <c r="B765" s="76" t="s">
        <v>3104</v>
      </c>
      <c r="C765" s="76" t="s">
        <v>1263</v>
      </c>
      <c r="D765" s="76" t="s">
        <v>39</v>
      </c>
      <c r="E765" s="76" t="s">
        <v>22</v>
      </c>
      <c r="F765" s="77">
        <v>45657</v>
      </c>
      <c r="G765" s="76">
        <v>2024</v>
      </c>
      <c r="H765" s="76" t="s">
        <v>27</v>
      </c>
      <c r="I765" s="76" t="s">
        <v>36</v>
      </c>
      <c r="J765" s="76">
        <v>100</v>
      </c>
      <c r="K765" s="76">
        <v>100</v>
      </c>
      <c r="L765" s="78">
        <f t="shared" si="101"/>
        <v>1</v>
      </c>
      <c r="M765" s="78">
        <f t="shared" si="102"/>
        <v>1</v>
      </c>
      <c r="N765" s="76" t="s">
        <v>25</v>
      </c>
      <c r="O765" s="76" t="s">
        <v>25</v>
      </c>
      <c r="P765" s="76">
        <v>0</v>
      </c>
      <c r="Q765" s="76">
        <v>0</v>
      </c>
      <c r="R765" s="76" t="s">
        <v>3111</v>
      </c>
      <c r="S765" s="76"/>
    </row>
    <row r="766" spans="1:19" x14ac:dyDescent="0.3">
      <c r="A766" s="76" t="s">
        <v>3112</v>
      </c>
      <c r="B766" s="76" t="s">
        <v>3113</v>
      </c>
      <c r="C766" s="76" t="s">
        <v>1263</v>
      </c>
      <c r="D766" s="76" t="s">
        <v>39</v>
      </c>
      <c r="E766" s="76" t="s">
        <v>22</v>
      </c>
      <c r="F766" s="77">
        <v>45657</v>
      </c>
      <c r="G766" s="76">
        <v>2024</v>
      </c>
      <c r="H766" s="76" t="s">
        <v>27</v>
      </c>
      <c r="I766" s="76" t="s">
        <v>36</v>
      </c>
      <c r="J766" s="76">
        <v>100</v>
      </c>
      <c r="K766" s="76">
        <v>100</v>
      </c>
      <c r="L766" s="78">
        <f t="shared" si="101"/>
        <v>1</v>
      </c>
      <c r="M766" s="78">
        <f t="shared" si="102"/>
        <v>1</v>
      </c>
      <c r="N766" s="76" t="s">
        <v>25</v>
      </c>
      <c r="O766" s="76" t="s">
        <v>25</v>
      </c>
      <c r="P766" s="76">
        <v>0</v>
      </c>
      <c r="Q766" s="76">
        <v>0</v>
      </c>
      <c r="R766" s="76" t="s">
        <v>3117</v>
      </c>
      <c r="S766" s="76"/>
    </row>
    <row r="767" spans="1:19" x14ac:dyDescent="0.3">
      <c r="A767" s="76" t="s">
        <v>3118</v>
      </c>
      <c r="B767" s="76" t="s">
        <v>3119</v>
      </c>
      <c r="C767" s="76" t="s">
        <v>1263</v>
      </c>
      <c r="D767" s="76" t="s">
        <v>39</v>
      </c>
      <c r="E767" s="76" t="s">
        <v>22</v>
      </c>
      <c r="F767" s="77">
        <v>45657</v>
      </c>
      <c r="G767" s="76">
        <v>2024</v>
      </c>
      <c r="H767" s="76" t="s">
        <v>27</v>
      </c>
      <c r="I767" s="76" t="s">
        <v>36</v>
      </c>
      <c r="J767" s="76">
        <v>100</v>
      </c>
      <c r="K767" s="76">
        <v>100</v>
      </c>
      <c r="L767" s="78">
        <f t="shared" si="101"/>
        <v>1</v>
      </c>
      <c r="M767" s="78">
        <f t="shared" si="102"/>
        <v>1</v>
      </c>
      <c r="N767" s="76" t="s">
        <v>25</v>
      </c>
      <c r="O767" s="76" t="s">
        <v>25</v>
      </c>
      <c r="P767" s="76">
        <v>0</v>
      </c>
      <c r="Q767" s="76">
        <v>0</v>
      </c>
      <c r="R767" s="76" t="s">
        <v>3123</v>
      </c>
      <c r="S767" s="76"/>
    </row>
    <row r="768" spans="1:19" x14ac:dyDescent="0.3">
      <c r="A768" s="76" t="s">
        <v>3124</v>
      </c>
      <c r="B768" s="76" t="s">
        <v>3125</v>
      </c>
      <c r="C768" s="76" t="s">
        <v>1263</v>
      </c>
      <c r="D768" s="76" t="s">
        <v>39</v>
      </c>
      <c r="E768" s="76" t="s">
        <v>22</v>
      </c>
      <c r="F768" s="77">
        <v>45657</v>
      </c>
      <c r="G768" s="76">
        <v>2024</v>
      </c>
      <c r="H768" s="76" t="s">
        <v>27</v>
      </c>
      <c r="I768" s="76" t="s">
        <v>36</v>
      </c>
      <c r="J768" s="76">
        <v>100</v>
      </c>
      <c r="K768" s="76">
        <v>100</v>
      </c>
      <c r="L768" s="78">
        <f t="shared" si="101"/>
        <v>1</v>
      </c>
      <c r="M768" s="78">
        <f t="shared" si="102"/>
        <v>1</v>
      </c>
      <c r="N768" s="76" t="s">
        <v>25</v>
      </c>
      <c r="O768" s="76" t="s">
        <v>25</v>
      </c>
      <c r="P768" s="76">
        <v>0</v>
      </c>
      <c r="Q768" s="76">
        <v>0</v>
      </c>
      <c r="R768" s="76" t="s">
        <v>3129</v>
      </c>
      <c r="S768" s="76"/>
    </row>
    <row r="769" spans="1:19" x14ac:dyDescent="0.3">
      <c r="A769" s="76" t="s">
        <v>3130</v>
      </c>
      <c r="B769" s="76" t="s">
        <v>3131</v>
      </c>
      <c r="C769" s="76" t="s">
        <v>1263</v>
      </c>
      <c r="D769" s="76" t="s">
        <v>39</v>
      </c>
      <c r="E769" s="76" t="s">
        <v>22</v>
      </c>
      <c r="F769" s="77">
        <v>45657</v>
      </c>
      <c r="G769" s="76">
        <v>2024</v>
      </c>
      <c r="H769" s="76" t="s">
        <v>27</v>
      </c>
      <c r="I769" s="76" t="s">
        <v>36</v>
      </c>
      <c r="J769" s="76">
        <v>100</v>
      </c>
      <c r="K769" s="76">
        <v>100</v>
      </c>
      <c r="L769" s="78">
        <f t="shared" si="101"/>
        <v>1</v>
      </c>
      <c r="M769" s="78">
        <f t="shared" si="102"/>
        <v>1</v>
      </c>
      <c r="N769" s="76" t="s">
        <v>25</v>
      </c>
      <c r="O769" s="76" t="s">
        <v>25</v>
      </c>
      <c r="P769" s="76">
        <v>0</v>
      </c>
      <c r="Q769" s="76">
        <v>0</v>
      </c>
      <c r="R769" s="76" t="s">
        <v>3135</v>
      </c>
      <c r="S769" s="76"/>
    </row>
    <row r="770" spans="1:19" x14ac:dyDescent="0.3">
      <c r="A770" s="76" t="s">
        <v>3136</v>
      </c>
      <c r="B770" s="76" t="s">
        <v>3137</v>
      </c>
      <c r="C770" s="76" t="s">
        <v>1263</v>
      </c>
      <c r="D770" s="76" t="s">
        <v>39</v>
      </c>
      <c r="E770" s="76" t="s">
        <v>22</v>
      </c>
      <c r="F770" s="77">
        <v>45291</v>
      </c>
      <c r="G770" s="76">
        <v>2023</v>
      </c>
      <c r="H770" s="76" t="s">
        <v>27</v>
      </c>
      <c r="I770" s="76" t="s">
        <v>32</v>
      </c>
      <c r="J770" s="76">
        <v>100</v>
      </c>
      <c r="K770" s="76">
        <v>94</v>
      </c>
      <c r="L770" s="78">
        <f t="shared" si="101"/>
        <v>0.94</v>
      </c>
      <c r="M770" s="78">
        <f t="shared" si="102"/>
        <v>0.94</v>
      </c>
      <c r="N770" s="76" t="s">
        <v>25</v>
      </c>
      <c r="O770" s="76" t="s">
        <v>25</v>
      </c>
      <c r="P770" s="76">
        <v>0</v>
      </c>
      <c r="Q770" s="76">
        <v>0</v>
      </c>
      <c r="R770" s="76" t="s">
        <v>3140</v>
      </c>
      <c r="S770" s="76"/>
    </row>
    <row r="771" spans="1:19" x14ac:dyDescent="0.3">
      <c r="A771" s="76" t="s">
        <v>3136</v>
      </c>
      <c r="B771" s="76" t="s">
        <v>3137</v>
      </c>
      <c r="C771" s="76" t="s">
        <v>1263</v>
      </c>
      <c r="D771" s="76" t="s">
        <v>39</v>
      </c>
      <c r="E771" s="76" t="s">
        <v>22</v>
      </c>
      <c r="F771" s="77">
        <v>45657</v>
      </c>
      <c r="G771" s="76">
        <v>2024</v>
      </c>
      <c r="H771" s="76" t="s">
        <v>27</v>
      </c>
      <c r="I771" s="76" t="s">
        <v>36</v>
      </c>
      <c r="J771" s="76">
        <v>100</v>
      </c>
      <c r="K771" s="76">
        <v>100</v>
      </c>
      <c r="L771" s="78">
        <f t="shared" si="101"/>
        <v>1</v>
      </c>
      <c r="M771" s="78">
        <f t="shared" si="102"/>
        <v>1</v>
      </c>
      <c r="N771" s="76" t="s">
        <v>25</v>
      </c>
      <c r="O771" s="76" t="s">
        <v>25</v>
      </c>
      <c r="P771" s="76">
        <v>0</v>
      </c>
      <c r="Q771" s="76">
        <v>0</v>
      </c>
      <c r="R771" s="76" t="s">
        <v>3144</v>
      </c>
      <c r="S771" s="76"/>
    </row>
    <row r="772" spans="1:19" x14ac:dyDescent="0.3">
      <c r="A772" s="76" t="s">
        <v>3145</v>
      </c>
      <c r="B772" s="76" t="s">
        <v>3146</v>
      </c>
      <c r="C772" s="76" t="s">
        <v>1263</v>
      </c>
      <c r="D772" s="76" t="s">
        <v>39</v>
      </c>
      <c r="E772" s="76" t="s">
        <v>22</v>
      </c>
      <c r="F772" s="77">
        <v>45291</v>
      </c>
      <c r="G772" s="76">
        <v>2023</v>
      </c>
      <c r="H772" s="76" t="s">
        <v>27</v>
      </c>
      <c r="I772" s="76" t="s">
        <v>32</v>
      </c>
      <c r="J772" s="76">
        <v>100</v>
      </c>
      <c r="K772" s="76">
        <v>86.67</v>
      </c>
      <c r="L772" s="78">
        <f t="shared" si="101"/>
        <v>0.86670000000000003</v>
      </c>
      <c r="M772" s="78">
        <f t="shared" si="102"/>
        <v>0.86670000000000003</v>
      </c>
      <c r="N772" s="76" t="s">
        <v>25</v>
      </c>
      <c r="O772" s="76" t="s">
        <v>25</v>
      </c>
      <c r="P772" s="76">
        <v>0</v>
      </c>
      <c r="Q772" s="76">
        <v>0</v>
      </c>
      <c r="R772" s="76" t="s">
        <v>3149</v>
      </c>
      <c r="S772" s="76"/>
    </row>
    <row r="773" spans="1:19" x14ac:dyDescent="0.3">
      <c r="A773" s="76" t="s">
        <v>3145</v>
      </c>
      <c r="B773" s="76" t="s">
        <v>3146</v>
      </c>
      <c r="C773" s="76" t="s">
        <v>1263</v>
      </c>
      <c r="D773" s="76" t="s">
        <v>39</v>
      </c>
      <c r="E773" s="76" t="s">
        <v>22</v>
      </c>
      <c r="F773" s="77">
        <v>45657</v>
      </c>
      <c r="G773" s="76">
        <v>2024</v>
      </c>
      <c r="H773" s="76" t="s">
        <v>27</v>
      </c>
      <c r="I773" s="76" t="s">
        <v>36</v>
      </c>
      <c r="J773" s="76">
        <v>100</v>
      </c>
      <c r="K773" s="76">
        <v>100</v>
      </c>
      <c r="L773" s="78">
        <f t="shared" si="101"/>
        <v>1</v>
      </c>
      <c r="M773" s="78">
        <f t="shared" si="102"/>
        <v>1</v>
      </c>
      <c r="N773" s="76" t="s">
        <v>25</v>
      </c>
      <c r="O773" s="76" t="s">
        <v>25</v>
      </c>
      <c r="P773" s="76">
        <v>0</v>
      </c>
      <c r="Q773" s="76">
        <v>0</v>
      </c>
      <c r="R773" s="76" t="s">
        <v>3153</v>
      </c>
      <c r="S773" s="76"/>
    </row>
    <row r="774" spans="1:19" x14ac:dyDescent="0.3">
      <c r="A774" s="76" t="s">
        <v>3154</v>
      </c>
      <c r="B774" s="76" t="s">
        <v>3155</v>
      </c>
      <c r="C774" s="76" t="s">
        <v>1263</v>
      </c>
      <c r="D774" s="76" t="s">
        <v>39</v>
      </c>
      <c r="E774" s="76" t="s">
        <v>22</v>
      </c>
      <c r="F774" s="77">
        <v>45291</v>
      </c>
      <c r="G774" s="76">
        <v>2023</v>
      </c>
      <c r="H774" s="76" t="s">
        <v>27</v>
      </c>
      <c r="I774" s="76" t="s">
        <v>32</v>
      </c>
      <c r="J774" s="76">
        <v>100</v>
      </c>
      <c r="K774" s="76">
        <v>93.75</v>
      </c>
      <c r="L774" s="78">
        <f t="shared" si="101"/>
        <v>0.9375</v>
      </c>
      <c r="M774" s="78">
        <f t="shared" si="102"/>
        <v>0.9375</v>
      </c>
      <c r="N774" s="76" t="s">
        <v>25</v>
      </c>
      <c r="O774" s="76" t="s">
        <v>25</v>
      </c>
      <c r="P774" s="76">
        <v>0</v>
      </c>
      <c r="Q774" s="76">
        <v>0</v>
      </c>
      <c r="R774" s="76" t="s">
        <v>3158</v>
      </c>
      <c r="S774" s="76"/>
    </row>
    <row r="775" spans="1:19" x14ac:dyDescent="0.3">
      <c r="A775" s="76" t="s">
        <v>3154</v>
      </c>
      <c r="B775" s="76" t="s">
        <v>3155</v>
      </c>
      <c r="C775" s="76" t="s">
        <v>1263</v>
      </c>
      <c r="D775" s="76" t="s">
        <v>39</v>
      </c>
      <c r="E775" s="76" t="s">
        <v>22</v>
      </c>
      <c r="F775" s="77">
        <v>45657</v>
      </c>
      <c r="G775" s="76">
        <v>2024</v>
      </c>
      <c r="H775" s="76" t="s">
        <v>27</v>
      </c>
      <c r="I775" s="76" t="s">
        <v>36</v>
      </c>
      <c r="J775" s="76">
        <v>100</v>
      </c>
      <c r="K775" s="76">
        <v>100</v>
      </c>
      <c r="L775" s="78">
        <f t="shared" si="101"/>
        <v>1</v>
      </c>
      <c r="M775" s="78">
        <f t="shared" si="102"/>
        <v>1</v>
      </c>
      <c r="N775" s="76" t="s">
        <v>25</v>
      </c>
      <c r="O775" s="76" t="s">
        <v>25</v>
      </c>
      <c r="P775" s="76">
        <v>0</v>
      </c>
      <c r="Q775" s="76">
        <v>0</v>
      </c>
      <c r="R775" s="76" t="s">
        <v>3162</v>
      </c>
      <c r="S775" s="76"/>
    </row>
    <row r="776" spans="1:19" x14ac:dyDescent="0.3">
      <c r="A776" s="76" t="s">
        <v>3163</v>
      </c>
      <c r="B776" s="76" t="s">
        <v>3164</v>
      </c>
      <c r="C776" s="76" t="s">
        <v>1263</v>
      </c>
      <c r="D776" s="76" t="s">
        <v>39</v>
      </c>
      <c r="E776" s="76" t="s">
        <v>22</v>
      </c>
      <c r="F776" s="77">
        <v>45291</v>
      </c>
      <c r="G776" s="76">
        <v>2023</v>
      </c>
      <c r="H776" s="76" t="s">
        <v>27</v>
      </c>
      <c r="I776" s="76" t="s">
        <v>32</v>
      </c>
      <c r="J776" s="76">
        <v>100</v>
      </c>
      <c r="K776" s="76">
        <v>94.17</v>
      </c>
      <c r="L776" s="78">
        <f t="shared" si="101"/>
        <v>0.94169999999999998</v>
      </c>
      <c r="M776" s="78">
        <f t="shared" si="102"/>
        <v>0.94169999999999998</v>
      </c>
      <c r="N776" s="76" t="s">
        <v>25</v>
      </c>
      <c r="O776" s="76" t="s">
        <v>25</v>
      </c>
      <c r="P776" s="76">
        <v>0</v>
      </c>
      <c r="Q776" s="76">
        <v>0</v>
      </c>
      <c r="R776" s="76" t="s">
        <v>3167</v>
      </c>
      <c r="S776" s="76"/>
    </row>
    <row r="777" spans="1:19" x14ac:dyDescent="0.3">
      <c r="A777" s="76" t="s">
        <v>3163</v>
      </c>
      <c r="B777" s="76" t="s">
        <v>3164</v>
      </c>
      <c r="C777" s="76" t="s">
        <v>1263</v>
      </c>
      <c r="D777" s="76" t="s">
        <v>39</v>
      </c>
      <c r="E777" s="76" t="s">
        <v>22</v>
      </c>
      <c r="F777" s="77">
        <v>45657</v>
      </c>
      <c r="G777" s="76">
        <v>2024</v>
      </c>
      <c r="H777" s="76" t="s">
        <v>27</v>
      </c>
      <c r="I777" s="76" t="s">
        <v>36</v>
      </c>
      <c r="J777" s="76">
        <v>100</v>
      </c>
      <c r="K777" s="76">
        <v>97</v>
      </c>
      <c r="L777" s="78">
        <f t="shared" si="101"/>
        <v>0.97</v>
      </c>
      <c r="M777" s="78">
        <f t="shared" si="102"/>
        <v>0.97</v>
      </c>
      <c r="N777" s="76" t="s">
        <v>25</v>
      </c>
      <c r="O777" s="76" t="s">
        <v>25</v>
      </c>
      <c r="P777" s="76">
        <v>0</v>
      </c>
      <c r="Q777" s="76">
        <v>0</v>
      </c>
      <c r="R777" s="76" t="s">
        <v>3171</v>
      </c>
      <c r="S777" s="76"/>
    </row>
    <row r="778" spans="1:19" x14ac:dyDescent="0.3">
      <c r="A778" s="76" t="s">
        <v>3172</v>
      </c>
      <c r="B778" s="76" t="s">
        <v>3173</v>
      </c>
      <c r="C778" s="76" t="s">
        <v>1263</v>
      </c>
      <c r="D778" s="76" t="s">
        <v>39</v>
      </c>
      <c r="E778" s="76" t="s">
        <v>22</v>
      </c>
      <c r="F778" s="77">
        <v>45291</v>
      </c>
      <c r="G778" s="76">
        <v>2023</v>
      </c>
      <c r="H778" s="76" t="s">
        <v>27</v>
      </c>
      <c r="I778" s="76" t="s">
        <v>32</v>
      </c>
      <c r="J778" s="76">
        <v>100</v>
      </c>
      <c r="K778" s="76">
        <v>99</v>
      </c>
      <c r="L778" s="78">
        <f t="shared" si="101"/>
        <v>0.99</v>
      </c>
      <c r="M778" s="78">
        <f t="shared" si="102"/>
        <v>0.99</v>
      </c>
      <c r="N778" s="76" t="s">
        <v>25</v>
      </c>
      <c r="O778" s="76" t="s">
        <v>25</v>
      </c>
      <c r="P778" s="76">
        <v>0</v>
      </c>
      <c r="Q778" s="76">
        <v>0</v>
      </c>
      <c r="R778" s="76" t="s">
        <v>3176</v>
      </c>
      <c r="S778" s="76"/>
    </row>
    <row r="779" spans="1:19" x14ac:dyDescent="0.3">
      <c r="A779" s="76" t="s">
        <v>3172</v>
      </c>
      <c r="B779" s="76" t="s">
        <v>3173</v>
      </c>
      <c r="C779" s="76" t="s">
        <v>1263</v>
      </c>
      <c r="D779" s="76" t="s">
        <v>39</v>
      </c>
      <c r="E779" s="76" t="s">
        <v>22</v>
      </c>
      <c r="F779" s="77">
        <v>45657</v>
      </c>
      <c r="G779" s="76">
        <v>2024</v>
      </c>
      <c r="H779" s="76" t="s">
        <v>27</v>
      </c>
      <c r="I779" s="76" t="s">
        <v>36</v>
      </c>
      <c r="J779" s="76">
        <v>100</v>
      </c>
      <c r="K779" s="76">
        <v>99</v>
      </c>
      <c r="L779" s="78">
        <f t="shared" si="101"/>
        <v>0.99</v>
      </c>
      <c r="M779" s="78">
        <f t="shared" si="102"/>
        <v>0.99</v>
      </c>
      <c r="N779" s="76" t="s">
        <v>25</v>
      </c>
      <c r="O779" s="76" t="s">
        <v>25</v>
      </c>
      <c r="P779" s="76">
        <v>0</v>
      </c>
      <c r="Q779" s="76">
        <v>0</v>
      </c>
      <c r="R779" s="76" t="s">
        <v>3180</v>
      </c>
      <c r="S779" s="76"/>
    </row>
    <row r="780" spans="1:19" x14ac:dyDescent="0.3">
      <c r="A780" s="76" t="s">
        <v>3181</v>
      </c>
      <c r="B780" s="76" t="s">
        <v>3182</v>
      </c>
      <c r="C780" s="76" t="s">
        <v>1263</v>
      </c>
      <c r="D780" s="76" t="s">
        <v>39</v>
      </c>
      <c r="E780" s="76" t="s">
        <v>22</v>
      </c>
      <c r="F780" s="77">
        <v>45291</v>
      </c>
      <c r="G780" s="76">
        <v>2023</v>
      </c>
      <c r="H780" s="76" t="s">
        <v>27</v>
      </c>
      <c r="I780" s="76" t="s">
        <v>32</v>
      </c>
      <c r="J780" s="76">
        <v>100</v>
      </c>
      <c r="K780" s="76">
        <v>98.75</v>
      </c>
      <c r="L780" s="78">
        <f t="shared" si="101"/>
        <v>0.98750000000000004</v>
      </c>
      <c r="M780" s="78">
        <f t="shared" si="102"/>
        <v>0.98750000000000004</v>
      </c>
      <c r="N780" s="76" t="s">
        <v>25</v>
      </c>
      <c r="O780" s="76" t="s">
        <v>25</v>
      </c>
      <c r="P780" s="76">
        <v>0</v>
      </c>
      <c r="Q780" s="76">
        <v>0</v>
      </c>
      <c r="R780" s="76" t="s">
        <v>3185</v>
      </c>
      <c r="S780" s="76"/>
    </row>
    <row r="781" spans="1:19" x14ac:dyDescent="0.3">
      <c r="A781" s="76" t="s">
        <v>3181</v>
      </c>
      <c r="B781" s="76" t="s">
        <v>3182</v>
      </c>
      <c r="C781" s="76" t="s">
        <v>1263</v>
      </c>
      <c r="D781" s="76" t="s">
        <v>39</v>
      </c>
      <c r="E781" s="76" t="s">
        <v>22</v>
      </c>
      <c r="F781" s="77">
        <v>45657</v>
      </c>
      <c r="G781" s="76">
        <v>2024</v>
      </c>
      <c r="H781" s="76" t="s">
        <v>27</v>
      </c>
      <c r="I781" s="76" t="s">
        <v>36</v>
      </c>
      <c r="J781" s="76">
        <v>100</v>
      </c>
      <c r="K781" s="76">
        <v>97</v>
      </c>
      <c r="L781" s="78">
        <f t="shared" si="101"/>
        <v>0.97</v>
      </c>
      <c r="M781" s="78">
        <f t="shared" si="102"/>
        <v>0.97</v>
      </c>
      <c r="N781" s="76" t="s">
        <v>25</v>
      </c>
      <c r="O781" s="76" t="s">
        <v>25</v>
      </c>
      <c r="P781" s="76">
        <v>0</v>
      </c>
      <c r="Q781" s="76">
        <v>0</v>
      </c>
      <c r="R781" s="76" t="s">
        <v>3189</v>
      </c>
      <c r="S781" s="76"/>
    </row>
    <row r="782" spans="1:19" x14ac:dyDescent="0.3">
      <c r="A782" s="76" t="s">
        <v>3190</v>
      </c>
      <c r="B782" s="76" t="s">
        <v>3191</v>
      </c>
      <c r="C782" s="76" t="s">
        <v>1263</v>
      </c>
      <c r="D782" s="76" t="s">
        <v>39</v>
      </c>
      <c r="E782" s="76" t="s">
        <v>22</v>
      </c>
      <c r="F782" s="77">
        <v>45291</v>
      </c>
      <c r="G782" s="76">
        <v>2023</v>
      </c>
      <c r="H782" s="76" t="s">
        <v>27</v>
      </c>
      <c r="I782" s="76" t="s">
        <v>32</v>
      </c>
      <c r="J782" s="76">
        <v>100</v>
      </c>
      <c r="K782" s="76">
        <v>87.5</v>
      </c>
      <c r="L782" s="78">
        <f t="shared" si="101"/>
        <v>0.875</v>
      </c>
      <c r="M782" s="78">
        <f t="shared" si="102"/>
        <v>0.875</v>
      </c>
      <c r="N782" s="76" t="s">
        <v>25</v>
      </c>
      <c r="O782" s="76" t="s">
        <v>25</v>
      </c>
      <c r="P782" s="76">
        <v>0</v>
      </c>
      <c r="Q782" s="76">
        <v>0</v>
      </c>
      <c r="R782" s="76" t="s">
        <v>3194</v>
      </c>
      <c r="S782" s="76"/>
    </row>
    <row r="783" spans="1:19" x14ac:dyDescent="0.3">
      <c r="A783" s="76" t="s">
        <v>3190</v>
      </c>
      <c r="B783" s="76" t="s">
        <v>3191</v>
      </c>
      <c r="C783" s="76" t="s">
        <v>1263</v>
      </c>
      <c r="D783" s="76" t="s">
        <v>39</v>
      </c>
      <c r="E783" s="76" t="s">
        <v>22</v>
      </c>
      <c r="F783" s="77">
        <v>45657</v>
      </c>
      <c r="G783" s="76">
        <v>2024</v>
      </c>
      <c r="H783" s="76" t="s">
        <v>27</v>
      </c>
      <c r="I783" s="76" t="s">
        <v>36</v>
      </c>
      <c r="J783" s="76">
        <v>100</v>
      </c>
      <c r="K783" s="76">
        <v>100</v>
      </c>
      <c r="L783" s="78">
        <f t="shared" si="101"/>
        <v>1</v>
      </c>
      <c r="M783" s="78">
        <f t="shared" si="102"/>
        <v>1</v>
      </c>
      <c r="N783" s="76" t="s">
        <v>25</v>
      </c>
      <c r="O783" s="76" t="s">
        <v>25</v>
      </c>
      <c r="P783" s="76">
        <v>0</v>
      </c>
      <c r="Q783" s="76">
        <v>0</v>
      </c>
      <c r="R783" s="76" t="s">
        <v>3198</v>
      </c>
      <c r="S783" s="76"/>
    </row>
    <row r="784" spans="1:19" x14ac:dyDescent="0.3">
      <c r="A784" s="76" t="s">
        <v>3199</v>
      </c>
      <c r="B784" s="76" t="s">
        <v>3200</v>
      </c>
      <c r="C784" s="76" t="s">
        <v>1263</v>
      </c>
      <c r="D784" s="76" t="s">
        <v>39</v>
      </c>
      <c r="E784" s="76" t="s">
        <v>22</v>
      </c>
      <c r="F784" s="77">
        <v>45291</v>
      </c>
      <c r="G784" s="76">
        <v>2023</v>
      </c>
      <c r="H784" s="76" t="s">
        <v>27</v>
      </c>
      <c r="I784" s="76" t="s">
        <v>32</v>
      </c>
      <c r="J784" s="76">
        <v>100</v>
      </c>
      <c r="K784" s="76">
        <v>90.95</v>
      </c>
      <c r="L784" s="78">
        <f t="shared" si="101"/>
        <v>0.90949999999999998</v>
      </c>
      <c r="M784" s="78">
        <f t="shared" si="102"/>
        <v>0.90949999999999998</v>
      </c>
      <c r="N784" s="76" t="s">
        <v>25</v>
      </c>
      <c r="O784" s="76" t="s">
        <v>25</v>
      </c>
      <c r="P784" s="76">
        <v>0</v>
      </c>
      <c r="Q784" s="76">
        <v>0</v>
      </c>
      <c r="R784" s="76" t="s">
        <v>3203</v>
      </c>
      <c r="S784" s="76"/>
    </row>
    <row r="785" spans="1:19" x14ac:dyDescent="0.3">
      <c r="A785" s="76" t="s">
        <v>3199</v>
      </c>
      <c r="B785" s="76" t="s">
        <v>3200</v>
      </c>
      <c r="C785" s="76" t="s">
        <v>1263</v>
      </c>
      <c r="D785" s="76" t="s">
        <v>39</v>
      </c>
      <c r="E785" s="76" t="s">
        <v>22</v>
      </c>
      <c r="F785" s="77">
        <v>45657</v>
      </c>
      <c r="G785" s="76">
        <v>2024</v>
      </c>
      <c r="H785" s="76" t="s">
        <v>27</v>
      </c>
      <c r="I785" s="76" t="s">
        <v>36</v>
      </c>
      <c r="J785" s="76">
        <v>100</v>
      </c>
      <c r="K785" s="76">
        <v>80</v>
      </c>
      <c r="L785" s="78">
        <f t="shared" si="101"/>
        <v>0.8</v>
      </c>
      <c r="M785" s="78">
        <f t="shared" si="102"/>
        <v>0.8</v>
      </c>
      <c r="N785" s="76" t="s">
        <v>25</v>
      </c>
      <c r="O785" s="76" t="s">
        <v>25</v>
      </c>
      <c r="P785" s="76">
        <v>0</v>
      </c>
      <c r="Q785" s="76">
        <v>0</v>
      </c>
      <c r="R785" s="76" t="s">
        <v>3207</v>
      </c>
      <c r="S785" s="76"/>
    </row>
    <row r="786" spans="1:19" x14ac:dyDescent="0.3">
      <c r="A786" s="76" t="s">
        <v>3208</v>
      </c>
      <c r="B786" s="76" t="s">
        <v>3209</v>
      </c>
      <c r="C786" s="76" t="s">
        <v>1263</v>
      </c>
      <c r="D786" s="76" t="s">
        <v>39</v>
      </c>
      <c r="E786" s="76" t="s">
        <v>22</v>
      </c>
      <c r="F786" s="77">
        <v>45291</v>
      </c>
      <c r="G786" s="76">
        <v>2023</v>
      </c>
      <c r="H786" s="76" t="s">
        <v>27</v>
      </c>
      <c r="I786" s="76" t="s">
        <v>32</v>
      </c>
      <c r="J786" s="76">
        <v>100</v>
      </c>
      <c r="K786" s="76">
        <v>99.78</v>
      </c>
      <c r="L786" s="78">
        <f t="shared" si="101"/>
        <v>0.99780000000000002</v>
      </c>
      <c r="M786" s="78">
        <f t="shared" si="102"/>
        <v>0.99780000000000002</v>
      </c>
      <c r="N786" s="76" t="s">
        <v>25</v>
      </c>
      <c r="O786" s="76" t="s">
        <v>25</v>
      </c>
      <c r="P786" s="76">
        <v>0</v>
      </c>
      <c r="Q786" s="76">
        <v>0</v>
      </c>
      <c r="R786" s="76" t="s">
        <v>3212</v>
      </c>
      <c r="S786" s="76"/>
    </row>
    <row r="787" spans="1:19" x14ac:dyDescent="0.3">
      <c r="A787" s="76" t="s">
        <v>3208</v>
      </c>
      <c r="B787" s="76" t="s">
        <v>3209</v>
      </c>
      <c r="C787" s="76" t="s">
        <v>1263</v>
      </c>
      <c r="D787" s="76" t="s">
        <v>39</v>
      </c>
      <c r="E787" s="76" t="s">
        <v>22</v>
      </c>
      <c r="F787" s="77">
        <v>45657</v>
      </c>
      <c r="G787" s="76">
        <v>2024</v>
      </c>
      <c r="H787" s="76" t="s">
        <v>27</v>
      </c>
      <c r="I787" s="76" t="s">
        <v>36</v>
      </c>
      <c r="J787" s="76">
        <v>100</v>
      </c>
      <c r="K787" s="76">
        <v>100</v>
      </c>
      <c r="L787" s="78">
        <f t="shared" si="101"/>
        <v>1</v>
      </c>
      <c r="M787" s="78">
        <f t="shared" si="102"/>
        <v>1</v>
      </c>
      <c r="N787" s="76" t="s">
        <v>25</v>
      </c>
      <c r="O787" s="76" t="s">
        <v>25</v>
      </c>
      <c r="P787" s="76">
        <v>0</v>
      </c>
      <c r="Q787" s="76">
        <v>0</v>
      </c>
      <c r="R787" s="76" t="s">
        <v>3216</v>
      </c>
      <c r="S787" s="76"/>
    </row>
    <row r="788" spans="1:19" x14ac:dyDescent="0.3">
      <c r="A788" s="76" t="s">
        <v>3217</v>
      </c>
      <c r="B788" s="76" t="s">
        <v>3218</v>
      </c>
      <c r="C788" s="76" t="s">
        <v>1263</v>
      </c>
      <c r="D788" s="76" t="s">
        <v>39</v>
      </c>
      <c r="E788" s="76" t="s">
        <v>22</v>
      </c>
      <c r="F788" s="77">
        <v>45291</v>
      </c>
      <c r="G788" s="76">
        <v>2023</v>
      </c>
      <c r="H788" s="76" t="s">
        <v>27</v>
      </c>
      <c r="I788" s="76" t="s">
        <v>32</v>
      </c>
      <c r="J788" s="76">
        <v>100</v>
      </c>
      <c r="K788" s="76">
        <v>100</v>
      </c>
      <c r="L788" s="78">
        <f t="shared" si="101"/>
        <v>1</v>
      </c>
      <c r="M788" s="78">
        <f t="shared" si="102"/>
        <v>1</v>
      </c>
      <c r="N788" s="76" t="s">
        <v>25</v>
      </c>
      <c r="O788" s="76" t="s">
        <v>25</v>
      </c>
      <c r="P788" s="76">
        <v>0</v>
      </c>
      <c r="Q788" s="76">
        <v>0</v>
      </c>
      <c r="R788" s="76" t="s">
        <v>3221</v>
      </c>
      <c r="S788" s="76"/>
    </row>
    <row r="789" spans="1:19" x14ac:dyDescent="0.3">
      <c r="A789" s="76" t="s">
        <v>3217</v>
      </c>
      <c r="B789" s="76" t="s">
        <v>3218</v>
      </c>
      <c r="C789" s="76" t="s">
        <v>1263</v>
      </c>
      <c r="D789" s="76" t="s">
        <v>39</v>
      </c>
      <c r="E789" s="76" t="s">
        <v>22</v>
      </c>
      <c r="F789" s="77">
        <v>45657</v>
      </c>
      <c r="G789" s="76">
        <v>2024</v>
      </c>
      <c r="H789" s="76" t="s">
        <v>27</v>
      </c>
      <c r="I789" s="76" t="s">
        <v>36</v>
      </c>
      <c r="J789" s="76">
        <v>100</v>
      </c>
      <c r="K789" s="76">
        <v>100</v>
      </c>
      <c r="L789" s="78">
        <f t="shared" si="101"/>
        <v>1</v>
      </c>
      <c r="M789" s="78">
        <f t="shared" si="102"/>
        <v>1</v>
      </c>
      <c r="N789" s="76" t="s">
        <v>25</v>
      </c>
      <c r="O789" s="76" t="s">
        <v>25</v>
      </c>
      <c r="P789" s="76">
        <v>0</v>
      </c>
      <c r="Q789" s="76">
        <v>0</v>
      </c>
      <c r="R789" s="76" t="s">
        <v>3225</v>
      </c>
      <c r="S789" s="76"/>
    </row>
    <row r="790" spans="1:19" x14ac:dyDescent="0.3">
      <c r="A790" s="76" t="s">
        <v>3226</v>
      </c>
      <c r="B790" s="76" t="s">
        <v>3227</v>
      </c>
      <c r="C790" s="76" t="s">
        <v>1263</v>
      </c>
      <c r="D790" s="76" t="s">
        <v>39</v>
      </c>
      <c r="E790" s="76" t="s">
        <v>22</v>
      </c>
      <c r="F790" s="77">
        <v>45291</v>
      </c>
      <c r="G790" s="76">
        <v>2023</v>
      </c>
      <c r="H790" s="76" t="s">
        <v>27</v>
      </c>
      <c r="I790" s="76" t="s">
        <v>32</v>
      </c>
      <c r="J790" s="76">
        <v>100</v>
      </c>
      <c r="K790" s="76">
        <v>100</v>
      </c>
      <c r="L790" s="78">
        <f t="shared" ref="L790:L809" si="103">IFERROR(IF(OR(J790=0,K790=""),"",IF(E790="Positivo",MIN(MAX(K790/J790,0),1),MIN(MAX(J790/K790,0),1))),"")</f>
        <v>1</v>
      </c>
      <c r="M790" s="78">
        <f t="shared" ref="M790:M809" si="104">IFERROR(IF(OR(J790=0,K790=""),"",IF(E790="Positivo",MIN(MAX(K790/J790,0),1),MIN(MAX(J790/K790,0),1))),"")</f>
        <v>1</v>
      </c>
      <c r="N790" s="76" t="s">
        <v>25</v>
      </c>
      <c r="O790" s="76" t="s">
        <v>25</v>
      </c>
      <c r="P790" s="76">
        <v>0</v>
      </c>
      <c r="Q790" s="76">
        <v>0</v>
      </c>
      <c r="R790" s="76" t="s">
        <v>3230</v>
      </c>
      <c r="S790" s="76"/>
    </row>
    <row r="791" spans="1:19" x14ac:dyDescent="0.3">
      <c r="A791" s="76" t="s">
        <v>3226</v>
      </c>
      <c r="B791" s="76" t="s">
        <v>3227</v>
      </c>
      <c r="C791" s="76" t="s">
        <v>1263</v>
      </c>
      <c r="D791" s="76" t="s">
        <v>39</v>
      </c>
      <c r="E791" s="76" t="s">
        <v>22</v>
      </c>
      <c r="F791" s="77">
        <v>45657</v>
      </c>
      <c r="G791" s="76">
        <v>2024</v>
      </c>
      <c r="H791" s="76" t="s">
        <v>27</v>
      </c>
      <c r="I791" s="76" t="s">
        <v>36</v>
      </c>
      <c r="J791" s="76">
        <v>100</v>
      </c>
      <c r="K791" s="76">
        <v>100</v>
      </c>
      <c r="L791" s="78">
        <f t="shared" si="103"/>
        <v>1</v>
      </c>
      <c r="M791" s="78">
        <f t="shared" si="104"/>
        <v>1</v>
      </c>
      <c r="N791" s="76" t="s">
        <v>25</v>
      </c>
      <c r="O791" s="76" t="s">
        <v>25</v>
      </c>
      <c r="P791" s="76">
        <v>0</v>
      </c>
      <c r="Q791" s="76">
        <v>0</v>
      </c>
      <c r="R791" s="76" t="s">
        <v>3234</v>
      </c>
      <c r="S791" s="76"/>
    </row>
    <row r="792" spans="1:19" x14ac:dyDescent="0.3">
      <c r="A792" s="76" t="s">
        <v>3235</v>
      </c>
      <c r="B792" s="76" t="s">
        <v>3236</v>
      </c>
      <c r="C792" s="76" t="s">
        <v>1263</v>
      </c>
      <c r="D792" s="76" t="s">
        <v>39</v>
      </c>
      <c r="E792" s="76" t="s">
        <v>22</v>
      </c>
      <c r="F792" s="77">
        <v>45291</v>
      </c>
      <c r="G792" s="76">
        <v>2023</v>
      </c>
      <c r="H792" s="76" t="s">
        <v>27</v>
      </c>
      <c r="I792" s="76" t="s">
        <v>32</v>
      </c>
      <c r="J792" s="76">
        <v>100</v>
      </c>
      <c r="K792" s="76">
        <v>100</v>
      </c>
      <c r="L792" s="78">
        <f t="shared" si="103"/>
        <v>1</v>
      </c>
      <c r="M792" s="78">
        <f t="shared" si="104"/>
        <v>1</v>
      </c>
      <c r="N792" s="76" t="s">
        <v>25</v>
      </c>
      <c r="O792" s="76" t="s">
        <v>25</v>
      </c>
      <c r="P792" s="76">
        <v>0</v>
      </c>
      <c r="Q792" s="76">
        <v>0</v>
      </c>
      <c r="R792" s="76" t="s">
        <v>3239</v>
      </c>
      <c r="S792" s="76"/>
    </row>
    <row r="793" spans="1:19" x14ac:dyDescent="0.3">
      <c r="A793" s="76" t="s">
        <v>3235</v>
      </c>
      <c r="B793" s="76" t="s">
        <v>3236</v>
      </c>
      <c r="C793" s="76" t="s">
        <v>1263</v>
      </c>
      <c r="D793" s="76" t="s">
        <v>39</v>
      </c>
      <c r="E793" s="76" t="s">
        <v>22</v>
      </c>
      <c r="F793" s="77">
        <v>45657</v>
      </c>
      <c r="G793" s="76">
        <v>2024</v>
      </c>
      <c r="H793" s="76" t="s">
        <v>27</v>
      </c>
      <c r="I793" s="76" t="s">
        <v>36</v>
      </c>
      <c r="J793" s="76">
        <v>100</v>
      </c>
      <c r="K793" s="76">
        <v>100</v>
      </c>
      <c r="L793" s="78">
        <f t="shared" si="103"/>
        <v>1</v>
      </c>
      <c r="M793" s="78">
        <f t="shared" si="104"/>
        <v>1</v>
      </c>
      <c r="N793" s="76" t="s">
        <v>25</v>
      </c>
      <c r="O793" s="76" t="s">
        <v>25</v>
      </c>
      <c r="P793" s="76">
        <v>0</v>
      </c>
      <c r="Q793" s="76">
        <v>0</v>
      </c>
      <c r="R793" s="76" t="s">
        <v>3243</v>
      </c>
      <c r="S793" s="76"/>
    </row>
    <row r="794" spans="1:19" x14ac:dyDescent="0.3">
      <c r="A794" s="76" t="s">
        <v>3244</v>
      </c>
      <c r="B794" s="76" t="s">
        <v>3245</v>
      </c>
      <c r="C794" s="76" t="s">
        <v>1263</v>
      </c>
      <c r="D794" s="76" t="s">
        <v>39</v>
      </c>
      <c r="E794" s="76" t="s">
        <v>22</v>
      </c>
      <c r="F794" s="77">
        <v>45291</v>
      </c>
      <c r="G794" s="76">
        <v>2023</v>
      </c>
      <c r="H794" s="76" t="s">
        <v>27</v>
      </c>
      <c r="I794" s="76" t="s">
        <v>32</v>
      </c>
      <c r="J794" s="76">
        <v>100</v>
      </c>
      <c r="K794" s="76">
        <v>97.74</v>
      </c>
      <c r="L794" s="78">
        <f t="shared" si="103"/>
        <v>0.97739999999999994</v>
      </c>
      <c r="M794" s="78">
        <f t="shared" si="104"/>
        <v>0.97739999999999994</v>
      </c>
      <c r="N794" s="76" t="s">
        <v>25</v>
      </c>
      <c r="O794" s="76" t="s">
        <v>25</v>
      </c>
      <c r="P794" s="76">
        <v>0</v>
      </c>
      <c r="Q794" s="76">
        <v>0</v>
      </c>
      <c r="R794" s="76" t="s">
        <v>3248</v>
      </c>
      <c r="S794" s="76"/>
    </row>
    <row r="795" spans="1:19" x14ac:dyDescent="0.3">
      <c r="A795" s="76" t="s">
        <v>3244</v>
      </c>
      <c r="B795" s="76" t="s">
        <v>3245</v>
      </c>
      <c r="C795" s="76" t="s">
        <v>1263</v>
      </c>
      <c r="D795" s="76" t="s">
        <v>39</v>
      </c>
      <c r="E795" s="76" t="s">
        <v>22</v>
      </c>
      <c r="F795" s="77">
        <v>45657</v>
      </c>
      <c r="G795" s="76">
        <v>2024</v>
      </c>
      <c r="H795" s="76" t="s">
        <v>27</v>
      </c>
      <c r="I795" s="76" t="s">
        <v>36</v>
      </c>
      <c r="J795" s="76">
        <v>100</v>
      </c>
      <c r="K795" s="76">
        <v>100</v>
      </c>
      <c r="L795" s="78">
        <f t="shared" si="103"/>
        <v>1</v>
      </c>
      <c r="M795" s="78">
        <f t="shared" si="104"/>
        <v>1</v>
      </c>
      <c r="N795" s="76" t="s">
        <v>25</v>
      </c>
      <c r="O795" s="76" t="s">
        <v>25</v>
      </c>
      <c r="P795" s="76">
        <v>0</v>
      </c>
      <c r="Q795" s="76">
        <v>0</v>
      </c>
      <c r="R795" s="76" t="s">
        <v>3252</v>
      </c>
      <c r="S795" s="76"/>
    </row>
    <row r="796" spans="1:19" x14ac:dyDescent="0.3">
      <c r="A796" s="76" t="s">
        <v>3253</v>
      </c>
      <c r="B796" s="76" t="s">
        <v>3254</v>
      </c>
      <c r="C796" s="76" t="s">
        <v>1263</v>
      </c>
      <c r="D796" s="76" t="s">
        <v>39</v>
      </c>
      <c r="E796" s="76" t="s">
        <v>22</v>
      </c>
      <c r="F796" s="77">
        <v>45291</v>
      </c>
      <c r="G796" s="76">
        <v>2023</v>
      </c>
      <c r="H796" s="76" t="s">
        <v>27</v>
      </c>
      <c r="I796" s="76" t="s">
        <v>32</v>
      </c>
      <c r="J796" s="76">
        <v>100</v>
      </c>
      <c r="K796" s="76">
        <v>100</v>
      </c>
      <c r="L796" s="78">
        <f t="shared" si="103"/>
        <v>1</v>
      </c>
      <c r="M796" s="78">
        <f t="shared" si="104"/>
        <v>1</v>
      </c>
      <c r="N796" s="76" t="s">
        <v>25</v>
      </c>
      <c r="O796" s="76" t="s">
        <v>25</v>
      </c>
      <c r="P796" s="76">
        <v>0</v>
      </c>
      <c r="Q796" s="76">
        <v>0</v>
      </c>
      <c r="R796" s="76" t="s">
        <v>3257</v>
      </c>
      <c r="S796" s="76"/>
    </row>
    <row r="797" spans="1:19" x14ac:dyDescent="0.3">
      <c r="A797" s="76" t="s">
        <v>3253</v>
      </c>
      <c r="B797" s="76" t="s">
        <v>3254</v>
      </c>
      <c r="C797" s="76" t="s">
        <v>1263</v>
      </c>
      <c r="D797" s="76" t="s">
        <v>39</v>
      </c>
      <c r="E797" s="76" t="s">
        <v>22</v>
      </c>
      <c r="F797" s="77">
        <v>45657</v>
      </c>
      <c r="G797" s="76">
        <v>2024</v>
      </c>
      <c r="H797" s="76" t="s">
        <v>27</v>
      </c>
      <c r="I797" s="76" t="s">
        <v>36</v>
      </c>
      <c r="J797" s="76">
        <v>100</v>
      </c>
      <c r="K797" s="76">
        <v>100</v>
      </c>
      <c r="L797" s="78">
        <f t="shared" si="103"/>
        <v>1</v>
      </c>
      <c r="M797" s="78">
        <f t="shared" si="104"/>
        <v>1</v>
      </c>
      <c r="N797" s="76" t="s">
        <v>25</v>
      </c>
      <c r="O797" s="76" t="s">
        <v>25</v>
      </c>
      <c r="P797" s="76">
        <v>0</v>
      </c>
      <c r="Q797" s="76">
        <v>0</v>
      </c>
      <c r="R797" s="76" t="s">
        <v>3261</v>
      </c>
      <c r="S797" s="76"/>
    </row>
    <row r="798" spans="1:19" x14ac:dyDescent="0.3">
      <c r="A798" s="76" t="s">
        <v>3262</v>
      </c>
      <c r="B798" s="76" t="s">
        <v>3263</v>
      </c>
      <c r="C798" s="76" t="s">
        <v>1263</v>
      </c>
      <c r="D798" s="76" t="s">
        <v>39</v>
      </c>
      <c r="E798" s="76" t="s">
        <v>22</v>
      </c>
      <c r="F798" s="77">
        <v>45291</v>
      </c>
      <c r="G798" s="76">
        <v>2023</v>
      </c>
      <c r="H798" s="76" t="s">
        <v>27</v>
      </c>
      <c r="I798" s="76" t="s">
        <v>32</v>
      </c>
      <c r="J798" s="76">
        <v>100</v>
      </c>
      <c r="K798" s="76">
        <v>86.25</v>
      </c>
      <c r="L798" s="78">
        <f t="shared" si="103"/>
        <v>0.86250000000000004</v>
      </c>
      <c r="M798" s="78">
        <f t="shared" si="104"/>
        <v>0.86250000000000004</v>
      </c>
      <c r="N798" s="76" t="s">
        <v>25</v>
      </c>
      <c r="O798" s="76" t="s">
        <v>25</v>
      </c>
      <c r="P798" s="76">
        <v>0</v>
      </c>
      <c r="Q798" s="76">
        <v>0</v>
      </c>
      <c r="R798" s="76" t="s">
        <v>3266</v>
      </c>
      <c r="S798" s="76"/>
    </row>
    <row r="799" spans="1:19" x14ac:dyDescent="0.3">
      <c r="A799" s="76" t="s">
        <v>3262</v>
      </c>
      <c r="B799" s="76" t="s">
        <v>3263</v>
      </c>
      <c r="C799" s="76" t="s">
        <v>1263</v>
      </c>
      <c r="D799" s="76" t="s">
        <v>39</v>
      </c>
      <c r="E799" s="76" t="s">
        <v>22</v>
      </c>
      <c r="F799" s="77">
        <v>45657</v>
      </c>
      <c r="G799" s="76">
        <v>2024</v>
      </c>
      <c r="H799" s="76" t="s">
        <v>27</v>
      </c>
      <c r="I799" s="76" t="s">
        <v>36</v>
      </c>
      <c r="J799" s="76">
        <v>100</v>
      </c>
      <c r="K799" s="76">
        <v>100</v>
      </c>
      <c r="L799" s="78">
        <f t="shared" si="103"/>
        <v>1</v>
      </c>
      <c r="M799" s="78">
        <f t="shared" si="104"/>
        <v>1</v>
      </c>
      <c r="N799" s="76" t="s">
        <v>25</v>
      </c>
      <c r="O799" s="76" t="s">
        <v>25</v>
      </c>
      <c r="P799" s="76">
        <v>0</v>
      </c>
      <c r="Q799" s="76">
        <v>0</v>
      </c>
      <c r="R799" s="76" t="s">
        <v>3270</v>
      </c>
      <c r="S799" s="76"/>
    </row>
    <row r="800" spans="1:19" x14ac:dyDescent="0.3">
      <c r="A800" s="76" t="s">
        <v>3271</v>
      </c>
      <c r="B800" s="76" t="s">
        <v>3272</v>
      </c>
      <c r="C800" s="76" t="s">
        <v>1263</v>
      </c>
      <c r="D800" s="76" t="s">
        <v>39</v>
      </c>
      <c r="E800" s="76" t="s">
        <v>22</v>
      </c>
      <c r="F800" s="77">
        <v>45291</v>
      </c>
      <c r="G800" s="76">
        <v>2023</v>
      </c>
      <c r="H800" s="76" t="s">
        <v>27</v>
      </c>
      <c r="I800" s="76" t="s">
        <v>32</v>
      </c>
      <c r="J800" s="76">
        <v>100</v>
      </c>
      <c r="K800" s="76">
        <v>100</v>
      </c>
      <c r="L800" s="78">
        <f t="shared" si="103"/>
        <v>1</v>
      </c>
      <c r="M800" s="78">
        <f t="shared" si="104"/>
        <v>1</v>
      </c>
      <c r="N800" s="76" t="s">
        <v>25</v>
      </c>
      <c r="O800" s="76" t="s">
        <v>25</v>
      </c>
      <c r="P800" s="76">
        <v>0</v>
      </c>
      <c r="Q800" s="76">
        <v>0</v>
      </c>
      <c r="R800" s="76" t="s">
        <v>3275</v>
      </c>
      <c r="S800" s="76"/>
    </row>
    <row r="801" spans="1:19" x14ac:dyDescent="0.3">
      <c r="A801" s="76" t="s">
        <v>3271</v>
      </c>
      <c r="B801" s="76" t="s">
        <v>3272</v>
      </c>
      <c r="C801" s="76" t="s">
        <v>1263</v>
      </c>
      <c r="D801" s="76" t="s">
        <v>39</v>
      </c>
      <c r="E801" s="76" t="s">
        <v>22</v>
      </c>
      <c r="F801" s="77">
        <v>45657</v>
      </c>
      <c r="G801" s="76">
        <v>2024</v>
      </c>
      <c r="H801" s="76" t="s">
        <v>27</v>
      </c>
      <c r="I801" s="76" t="s">
        <v>36</v>
      </c>
      <c r="J801" s="76">
        <v>100</v>
      </c>
      <c r="K801" s="76">
        <v>100</v>
      </c>
      <c r="L801" s="78">
        <f t="shared" si="103"/>
        <v>1</v>
      </c>
      <c r="M801" s="78">
        <f t="shared" si="104"/>
        <v>1</v>
      </c>
      <c r="N801" s="76" t="s">
        <v>25</v>
      </c>
      <c r="O801" s="76" t="s">
        <v>25</v>
      </c>
      <c r="P801" s="76">
        <v>0</v>
      </c>
      <c r="Q801" s="76">
        <v>0</v>
      </c>
      <c r="R801" s="76" t="s">
        <v>3279</v>
      </c>
      <c r="S801" s="76"/>
    </row>
    <row r="802" spans="1:19" x14ac:dyDescent="0.3">
      <c r="A802" s="76" t="s">
        <v>3280</v>
      </c>
      <c r="B802" s="76" t="s">
        <v>3281</v>
      </c>
      <c r="C802" s="76" t="s">
        <v>1263</v>
      </c>
      <c r="D802" s="76" t="s">
        <v>39</v>
      </c>
      <c r="E802" s="76" t="s">
        <v>22</v>
      </c>
      <c r="F802" s="77">
        <v>45291</v>
      </c>
      <c r="G802" s="76">
        <v>2023</v>
      </c>
      <c r="H802" s="76" t="s">
        <v>27</v>
      </c>
      <c r="I802" s="76" t="s">
        <v>32</v>
      </c>
      <c r="J802" s="76">
        <v>100</v>
      </c>
      <c r="K802" s="76">
        <v>100</v>
      </c>
      <c r="L802" s="78">
        <f t="shared" si="103"/>
        <v>1</v>
      </c>
      <c r="M802" s="78">
        <f t="shared" si="104"/>
        <v>1</v>
      </c>
      <c r="N802" s="76" t="s">
        <v>25</v>
      </c>
      <c r="O802" s="76" t="s">
        <v>25</v>
      </c>
      <c r="P802" s="76">
        <v>0</v>
      </c>
      <c r="Q802" s="76">
        <v>0</v>
      </c>
      <c r="R802" s="76" t="s">
        <v>3284</v>
      </c>
      <c r="S802" s="76"/>
    </row>
    <row r="803" spans="1:19" x14ac:dyDescent="0.3">
      <c r="A803" s="76" t="s">
        <v>3280</v>
      </c>
      <c r="B803" s="76" t="s">
        <v>3281</v>
      </c>
      <c r="C803" s="76" t="s">
        <v>1263</v>
      </c>
      <c r="D803" s="76" t="s">
        <v>39</v>
      </c>
      <c r="E803" s="76" t="s">
        <v>22</v>
      </c>
      <c r="F803" s="77">
        <v>45657</v>
      </c>
      <c r="G803" s="76">
        <v>2024</v>
      </c>
      <c r="H803" s="76" t="s">
        <v>27</v>
      </c>
      <c r="I803" s="76" t="s">
        <v>36</v>
      </c>
      <c r="J803" s="76">
        <v>100</v>
      </c>
      <c r="K803" s="76">
        <v>100</v>
      </c>
      <c r="L803" s="78">
        <f t="shared" si="103"/>
        <v>1</v>
      </c>
      <c r="M803" s="78">
        <f t="shared" si="104"/>
        <v>1</v>
      </c>
      <c r="N803" s="76" t="s">
        <v>25</v>
      </c>
      <c r="O803" s="76" t="s">
        <v>25</v>
      </c>
      <c r="P803" s="76">
        <v>0</v>
      </c>
      <c r="Q803" s="76">
        <v>0</v>
      </c>
      <c r="R803" s="76" t="s">
        <v>3288</v>
      </c>
      <c r="S803" s="76"/>
    </row>
    <row r="804" spans="1:19" x14ac:dyDescent="0.3">
      <c r="A804" s="76" t="s">
        <v>3289</v>
      </c>
      <c r="B804" s="76" t="s">
        <v>3290</v>
      </c>
      <c r="C804" s="76" t="s">
        <v>1263</v>
      </c>
      <c r="D804" s="76" t="s">
        <v>39</v>
      </c>
      <c r="E804" s="76" t="s">
        <v>22</v>
      </c>
      <c r="F804" s="77">
        <v>45291</v>
      </c>
      <c r="G804" s="76">
        <v>2023</v>
      </c>
      <c r="H804" s="76" t="s">
        <v>27</v>
      </c>
      <c r="I804" s="76" t="s">
        <v>32</v>
      </c>
      <c r="J804" s="76">
        <v>100</v>
      </c>
      <c r="K804" s="76">
        <v>100</v>
      </c>
      <c r="L804" s="78">
        <f t="shared" si="103"/>
        <v>1</v>
      </c>
      <c r="M804" s="78">
        <f t="shared" si="104"/>
        <v>1</v>
      </c>
      <c r="N804" s="76" t="s">
        <v>25</v>
      </c>
      <c r="O804" s="76" t="s">
        <v>25</v>
      </c>
      <c r="P804" s="76">
        <v>0</v>
      </c>
      <c r="Q804" s="76">
        <v>0</v>
      </c>
      <c r="R804" s="76" t="s">
        <v>3293</v>
      </c>
      <c r="S804" s="76"/>
    </row>
    <row r="805" spans="1:19" x14ac:dyDescent="0.3">
      <c r="A805" s="76" t="s">
        <v>3289</v>
      </c>
      <c r="B805" s="76" t="s">
        <v>3290</v>
      </c>
      <c r="C805" s="76" t="s">
        <v>1263</v>
      </c>
      <c r="D805" s="76" t="s">
        <v>39</v>
      </c>
      <c r="E805" s="76" t="s">
        <v>22</v>
      </c>
      <c r="F805" s="77">
        <v>45657</v>
      </c>
      <c r="G805" s="76">
        <v>2024</v>
      </c>
      <c r="H805" s="76" t="s">
        <v>27</v>
      </c>
      <c r="I805" s="76" t="s">
        <v>36</v>
      </c>
      <c r="J805" s="76">
        <v>100</v>
      </c>
      <c r="K805" s="76">
        <v>100</v>
      </c>
      <c r="L805" s="78">
        <f t="shared" si="103"/>
        <v>1</v>
      </c>
      <c r="M805" s="78">
        <f t="shared" si="104"/>
        <v>1</v>
      </c>
      <c r="N805" s="76" t="s">
        <v>25</v>
      </c>
      <c r="O805" s="76" t="s">
        <v>25</v>
      </c>
      <c r="P805" s="76">
        <v>0</v>
      </c>
      <c r="Q805" s="76">
        <v>0</v>
      </c>
      <c r="R805" s="76" t="s">
        <v>3297</v>
      </c>
      <c r="S805" s="76"/>
    </row>
    <row r="806" spans="1:19" x14ac:dyDescent="0.3">
      <c r="A806" s="76" t="s">
        <v>3298</v>
      </c>
      <c r="B806" s="76" t="s">
        <v>3299</v>
      </c>
      <c r="C806" s="76" t="s">
        <v>1263</v>
      </c>
      <c r="D806" s="76" t="s">
        <v>39</v>
      </c>
      <c r="E806" s="76" t="s">
        <v>22</v>
      </c>
      <c r="F806" s="77">
        <v>45291</v>
      </c>
      <c r="G806" s="76">
        <v>2023</v>
      </c>
      <c r="H806" s="76" t="s">
        <v>27</v>
      </c>
      <c r="I806" s="76" t="s">
        <v>32</v>
      </c>
      <c r="J806" s="76">
        <v>100</v>
      </c>
      <c r="K806" s="76">
        <v>100</v>
      </c>
      <c r="L806" s="78">
        <f t="shared" si="103"/>
        <v>1</v>
      </c>
      <c r="M806" s="78">
        <f t="shared" si="104"/>
        <v>1</v>
      </c>
      <c r="N806" s="76" t="s">
        <v>25</v>
      </c>
      <c r="O806" s="76" t="s">
        <v>25</v>
      </c>
      <c r="P806" s="76">
        <v>0</v>
      </c>
      <c r="Q806" s="76">
        <v>0</v>
      </c>
      <c r="R806" s="76" t="s">
        <v>3302</v>
      </c>
      <c r="S806" s="76"/>
    </row>
    <row r="807" spans="1:19" x14ac:dyDescent="0.3">
      <c r="A807" s="76" t="s">
        <v>3298</v>
      </c>
      <c r="B807" s="76" t="s">
        <v>3299</v>
      </c>
      <c r="C807" s="76" t="s">
        <v>1263</v>
      </c>
      <c r="D807" s="76" t="s">
        <v>39</v>
      </c>
      <c r="E807" s="76" t="s">
        <v>22</v>
      </c>
      <c r="F807" s="77">
        <v>45657</v>
      </c>
      <c r="G807" s="76">
        <v>2024</v>
      </c>
      <c r="H807" s="76" t="s">
        <v>27</v>
      </c>
      <c r="I807" s="76" t="s">
        <v>36</v>
      </c>
      <c r="J807" s="76">
        <v>100</v>
      </c>
      <c r="K807" s="76">
        <v>80</v>
      </c>
      <c r="L807" s="78">
        <f t="shared" si="103"/>
        <v>0.8</v>
      </c>
      <c r="M807" s="78">
        <f t="shared" si="104"/>
        <v>0.8</v>
      </c>
      <c r="N807" s="76" t="s">
        <v>25</v>
      </c>
      <c r="O807" s="76" t="s">
        <v>25</v>
      </c>
      <c r="P807" s="76">
        <v>0</v>
      </c>
      <c r="Q807" s="76">
        <v>0</v>
      </c>
      <c r="R807" s="76" t="s">
        <v>3306</v>
      </c>
      <c r="S807" s="76"/>
    </row>
    <row r="808" spans="1:19" x14ac:dyDescent="0.3">
      <c r="A808" s="76" t="s">
        <v>3307</v>
      </c>
      <c r="B808" s="76" t="s">
        <v>3308</v>
      </c>
      <c r="C808" s="76" t="s">
        <v>1263</v>
      </c>
      <c r="D808" s="76" t="s">
        <v>39</v>
      </c>
      <c r="E808" s="76" t="s">
        <v>22</v>
      </c>
      <c r="F808" s="77">
        <v>45291</v>
      </c>
      <c r="G808" s="76">
        <v>2023</v>
      </c>
      <c r="H808" s="76" t="s">
        <v>27</v>
      </c>
      <c r="I808" s="76" t="s">
        <v>32</v>
      </c>
      <c r="J808" s="76">
        <v>100</v>
      </c>
      <c r="K808" s="76">
        <v>100</v>
      </c>
      <c r="L808" s="78">
        <f t="shared" si="103"/>
        <v>1</v>
      </c>
      <c r="M808" s="78">
        <f t="shared" si="104"/>
        <v>1</v>
      </c>
      <c r="N808" s="76" t="s">
        <v>25</v>
      </c>
      <c r="O808" s="76" t="s">
        <v>25</v>
      </c>
      <c r="P808" s="76">
        <v>0</v>
      </c>
      <c r="Q808" s="76">
        <v>0</v>
      </c>
      <c r="R808" s="76" t="s">
        <v>3311</v>
      </c>
      <c r="S808" s="76"/>
    </row>
    <row r="809" spans="1:19" x14ac:dyDescent="0.3">
      <c r="A809" s="76" t="s">
        <v>3307</v>
      </c>
      <c r="B809" s="76" t="s">
        <v>3308</v>
      </c>
      <c r="C809" s="76" t="s">
        <v>1263</v>
      </c>
      <c r="D809" s="76" t="s">
        <v>39</v>
      </c>
      <c r="E809" s="76" t="s">
        <v>22</v>
      </c>
      <c r="F809" s="77">
        <v>45657</v>
      </c>
      <c r="G809" s="76">
        <v>2024</v>
      </c>
      <c r="H809" s="76" t="s">
        <v>27</v>
      </c>
      <c r="I809" s="76" t="s">
        <v>36</v>
      </c>
      <c r="J809" s="76">
        <v>100</v>
      </c>
      <c r="K809" s="76">
        <v>100</v>
      </c>
      <c r="L809" s="78">
        <f t="shared" si="103"/>
        <v>1</v>
      </c>
      <c r="M809" s="78">
        <f t="shared" si="104"/>
        <v>1</v>
      </c>
      <c r="N809" s="76" t="s">
        <v>25</v>
      </c>
      <c r="O809" s="76" t="s">
        <v>25</v>
      </c>
      <c r="P809" s="76">
        <v>0</v>
      </c>
      <c r="Q809" s="76">
        <v>0</v>
      </c>
      <c r="R809" s="76" t="s">
        <v>3315</v>
      </c>
      <c r="S809" s="76"/>
    </row>
    <row r="810" spans="1:19" x14ac:dyDescent="0.3">
      <c r="A810" s="76" t="s">
        <v>3316</v>
      </c>
      <c r="B810" s="76" t="s">
        <v>3317</v>
      </c>
      <c r="C810" s="76" t="s">
        <v>1263</v>
      </c>
      <c r="D810" s="76" t="s">
        <v>39</v>
      </c>
      <c r="E810" s="76" t="s">
        <v>22</v>
      </c>
      <c r="F810" s="77">
        <v>45657</v>
      </c>
      <c r="G810" s="76">
        <v>2024</v>
      </c>
      <c r="H810" s="76" t="s">
        <v>27</v>
      </c>
      <c r="I810" s="76" t="s">
        <v>36</v>
      </c>
      <c r="J810" s="76">
        <v>100</v>
      </c>
      <c r="K810" s="76">
        <v>100</v>
      </c>
      <c r="L810" s="78">
        <f>IFERROR(IF(OR(J810=0,K810=""),"",IF(E810="Positivo",MIN(MAX(K810/J810,0),1.3),MIN(MAX(J810/K810,0),1.3))),"")</f>
        <v>1</v>
      </c>
      <c r="M810" s="78">
        <f>IFERROR(IF(OR(J810=0,K810=""),"",IF(E810="Positivo",MAX(K810/J810,0),MAX(J810/K810,0))),"")</f>
        <v>1</v>
      </c>
      <c r="N810" s="76" t="s">
        <v>25</v>
      </c>
      <c r="O810" s="76" t="s">
        <v>25</v>
      </c>
      <c r="P810" s="76">
        <v>0</v>
      </c>
      <c r="Q810" s="76">
        <v>0</v>
      </c>
      <c r="R810" s="76" t="s">
        <v>3321</v>
      </c>
      <c r="S810" s="76"/>
    </row>
    <row r="811" spans="1:19" x14ac:dyDescent="0.3">
      <c r="A811" s="76" t="s">
        <v>3322</v>
      </c>
      <c r="B811" s="76" t="s">
        <v>3323</v>
      </c>
      <c r="C811" s="76" t="s">
        <v>1263</v>
      </c>
      <c r="D811" s="76" t="s">
        <v>39</v>
      </c>
      <c r="E811" s="76" t="s">
        <v>22</v>
      </c>
      <c r="F811" s="77">
        <v>45657</v>
      </c>
      <c r="G811" s="76">
        <v>2024</v>
      </c>
      <c r="H811" s="76" t="s">
        <v>27</v>
      </c>
      <c r="I811" s="76" t="s">
        <v>36</v>
      </c>
      <c r="J811" s="76">
        <v>100</v>
      </c>
      <c r="K811" s="76">
        <v>100</v>
      </c>
      <c r="L811" s="78">
        <f t="shared" ref="L811:L821" si="105">IFERROR(IF(OR(J811=0,K811=""),"",IF(E811="Positivo",MIN(MAX(K811/J811,0),1),MIN(MAX(J811/K811,0),1))),"")</f>
        <v>1</v>
      </c>
      <c r="M811" s="78">
        <f t="shared" ref="M811:M821" si="106">IFERROR(IF(OR(J811=0,K811=""),"",IF(E811="Positivo",MIN(MAX(K811/J811,0),1),MIN(MAX(J811/K811,0),1))),"")</f>
        <v>1</v>
      </c>
      <c r="N811" s="76" t="s">
        <v>25</v>
      </c>
      <c r="O811" s="76" t="s">
        <v>25</v>
      </c>
      <c r="P811" s="76">
        <v>0</v>
      </c>
      <c r="Q811" s="76">
        <v>0</v>
      </c>
      <c r="R811" s="76" t="s">
        <v>3327</v>
      </c>
      <c r="S811" s="76"/>
    </row>
    <row r="812" spans="1:19" x14ac:dyDescent="0.3">
      <c r="A812" s="76" t="s">
        <v>3328</v>
      </c>
      <c r="B812" s="76" t="s">
        <v>3329</v>
      </c>
      <c r="C812" s="76" t="s">
        <v>1263</v>
      </c>
      <c r="D812" s="76" t="s">
        <v>39</v>
      </c>
      <c r="E812" s="76" t="s">
        <v>22</v>
      </c>
      <c r="F812" s="77">
        <v>45657</v>
      </c>
      <c r="G812" s="76">
        <v>2024</v>
      </c>
      <c r="H812" s="76" t="s">
        <v>27</v>
      </c>
      <c r="I812" s="76" t="s">
        <v>36</v>
      </c>
      <c r="J812" s="76">
        <v>100</v>
      </c>
      <c r="K812" s="76">
        <v>100</v>
      </c>
      <c r="L812" s="78">
        <f t="shared" si="105"/>
        <v>1</v>
      </c>
      <c r="M812" s="78">
        <f t="shared" si="106"/>
        <v>1</v>
      </c>
      <c r="N812" s="76" t="s">
        <v>25</v>
      </c>
      <c r="O812" s="76" t="s">
        <v>25</v>
      </c>
      <c r="P812" s="76">
        <v>0</v>
      </c>
      <c r="Q812" s="76">
        <v>0</v>
      </c>
      <c r="R812" s="76" t="s">
        <v>3333</v>
      </c>
      <c r="S812" s="76"/>
    </row>
    <row r="813" spans="1:19" x14ac:dyDescent="0.3">
      <c r="A813" s="76" t="s">
        <v>3334</v>
      </c>
      <c r="B813" s="76" t="s">
        <v>3335</v>
      </c>
      <c r="C813" s="76" t="s">
        <v>1263</v>
      </c>
      <c r="D813" s="76" t="s">
        <v>39</v>
      </c>
      <c r="E813" s="76" t="s">
        <v>22</v>
      </c>
      <c r="F813" s="77">
        <v>45657</v>
      </c>
      <c r="G813" s="76">
        <v>2024</v>
      </c>
      <c r="H813" s="76" t="s">
        <v>27</v>
      </c>
      <c r="I813" s="76" t="s">
        <v>36</v>
      </c>
      <c r="J813" s="76">
        <v>100</v>
      </c>
      <c r="K813" s="76">
        <v>100</v>
      </c>
      <c r="L813" s="78">
        <f t="shared" si="105"/>
        <v>1</v>
      </c>
      <c r="M813" s="78">
        <f t="shared" si="106"/>
        <v>1</v>
      </c>
      <c r="N813" s="76" t="s">
        <v>25</v>
      </c>
      <c r="O813" s="76" t="s">
        <v>25</v>
      </c>
      <c r="P813" s="76">
        <v>0</v>
      </c>
      <c r="Q813" s="76">
        <v>0</v>
      </c>
      <c r="R813" s="76" t="s">
        <v>3339</v>
      </c>
      <c r="S813" s="76"/>
    </row>
    <row r="814" spans="1:19" x14ac:dyDescent="0.3">
      <c r="A814" s="76" t="s">
        <v>3340</v>
      </c>
      <c r="B814" s="76" t="s">
        <v>3341</v>
      </c>
      <c r="C814" s="76" t="s">
        <v>1263</v>
      </c>
      <c r="D814" s="76" t="s">
        <v>39</v>
      </c>
      <c r="E814" s="76" t="s">
        <v>22</v>
      </c>
      <c r="F814" s="77">
        <v>45657</v>
      </c>
      <c r="G814" s="76">
        <v>2024</v>
      </c>
      <c r="H814" s="76" t="s">
        <v>27</v>
      </c>
      <c r="I814" s="76" t="s">
        <v>36</v>
      </c>
      <c r="J814" s="76">
        <v>100</v>
      </c>
      <c r="K814" s="76">
        <v>100</v>
      </c>
      <c r="L814" s="78">
        <f t="shared" si="105"/>
        <v>1</v>
      </c>
      <c r="M814" s="78">
        <f t="shared" si="106"/>
        <v>1</v>
      </c>
      <c r="N814" s="76" t="s">
        <v>25</v>
      </c>
      <c r="O814" s="76" t="s">
        <v>25</v>
      </c>
      <c r="P814" s="76">
        <v>0</v>
      </c>
      <c r="Q814" s="76">
        <v>0</v>
      </c>
      <c r="R814" s="76" t="s">
        <v>3345</v>
      </c>
      <c r="S814" s="76"/>
    </row>
    <row r="815" spans="1:19" x14ac:dyDescent="0.3">
      <c r="A815" s="76" t="s">
        <v>3346</v>
      </c>
      <c r="B815" s="76" t="s">
        <v>3347</v>
      </c>
      <c r="C815" s="76" t="s">
        <v>1263</v>
      </c>
      <c r="D815" s="76" t="s">
        <v>39</v>
      </c>
      <c r="E815" s="76" t="s">
        <v>22</v>
      </c>
      <c r="F815" s="77">
        <v>45657</v>
      </c>
      <c r="G815" s="76">
        <v>2024</v>
      </c>
      <c r="H815" s="76" t="s">
        <v>27</v>
      </c>
      <c r="I815" s="76" t="s">
        <v>36</v>
      </c>
      <c r="J815" s="76">
        <v>100</v>
      </c>
      <c r="K815" s="76">
        <v>100</v>
      </c>
      <c r="L815" s="78">
        <f t="shared" si="105"/>
        <v>1</v>
      </c>
      <c r="M815" s="78">
        <f t="shared" si="106"/>
        <v>1</v>
      </c>
      <c r="N815" s="76" t="s">
        <v>25</v>
      </c>
      <c r="O815" s="76" t="s">
        <v>25</v>
      </c>
      <c r="P815" s="76">
        <v>0</v>
      </c>
      <c r="Q815" s="76">
        <v>0</v>
      </c>
      <c r="R815" s="76" t="s">
        <v>3351</v>
      </c>
      <c r="S815" s="76"/>
    </row>
    <row r="816" spans="1:19" x14ac:dyDescent="0.3">
      <c r="A816" s="76" t="s">
        <v>3352</v>
      </c>
      <c r="B816" s="76" t="s">
        <v>3353</v>
      </c>
      <c r="C816" s="76" t="s">
        <v>1263</v>
      </c>
      <c r="D816" s="76" t="s">
        <v>39</v>
      </c>
      <c r="E816" s="76" t="s">
        <v>22</v>
      </c>
      <c r="F816" s="77">
        <v>45657</v>
      </c>
      <c r="G816" s="76">
        <v>2024</v>
      </c>
      <c r="H816" s="76" t="s">
        <v>27</v>
      </c>
      <c r="I816" s="76" t="s">
        <v>36</v>
      </c>
      <c r="J816" s="76">
        <v>100</v>
      </c>
      <c r="K816" s="76">
        <v>97</v>
      </c>
      <c r="L816" s="78">
        <f t="shared" si="105"/>
        <v>0.97</v>
      </c>
      <c r="M816" s="78">
        <f t="shared" si="106"/>
        <v>0.97</v>
      </c>
      <c r="N816" s="76" t="s">
        <v>25</v>
      </c>
      <c r="O816" s="76" t="s">
        <v>25</v>
      </c>
      <c r="P816" s="76">
        <v>0</v>
      </c>
      <c r="Q816" s="76">
        <v>0</v>
      </c>
      <c r="R816" s="76" t="s">
        <v>3357</v>
      </c>
      <c r="S816" s="76"/>
    </row>
    <row r="817" spans="1:19" x14ac:dyDescent="0.3">
      <c r="A817" s="76" t="s">
        <v>3358</v>
      </c>
      <c r="B817" s="76" t="s">
        <v>3359</v>
      </c>
      <c r="C817" s="76" t="s">
        <v>1263</v>
      </c>
      <c r="D817" s="76" t="s">
        <v>39</v>
      </c>
      <c r="E817" s="76" t="s">
        <v>22</v>
      </c>
      <c r="F817" s="77">
        <v>45657</v>
      </c>
      <c r="G817" s="76">
        <v>2024</v>
      </c>
      <c r="H817" s="76" t="s">
        <v>27</v>
      </c>
      <c r="I817" s="76" t="s">
        <v>36</v>
      </c>
      <c r="J817" s="76">
        <v>100</v>
      </c>
      <c r="K817" s="76">
        <v>100</v>
      </c>
      <c r="L817" s="78">
        <f t="shared" si="105"/>
        <v>1</v>
      </c>
      <c r="M817" s="78">
        <f t="shared" si="106"/>
        <v>1</v>
      </c>
      <c r="N817" s="76" t="s">
        <v>25</v>
      </c>
      <c r="O817" s="76" t="s">
        <v>25</v>
      </c>
      <c r="P817" s="76">
        <v>0</v>
      </c>
      <c r="Q817" s="76">
        <v>0</v>
      </c>
      <c r="R817" s="76" t="s">
        <v>3363</v>
      </c>
      <c r="S817" s="76"/>
    </row>
    <row r="818" spans="1:19" x14ac:dyDescent="0.3">
      <c r="A818" s="76" t="s">
        <v>3364</v>
      </c>
      <c r="B818" s="76" t="s">
        <v>3365</v>
      </c>
      <c r="C818" s="76" t="s">
        <v>1263</v>
      </c>
      <c r="D818" s="76" t="s">
        <v>39</v>
      </c>
      <c r="E818" s="76" t="s">
        <v>22</v>
      </c>
      <c r="F818" s="77">
        <v>45657</v>
      </c>
      <c r="G818" s="76">
        <v>2024</v>
      </c>
      <c r="H818" s="76" t="s">
        <v>27</v>
      </c>
      <c r="I818" s="76" t="s">
        <v>36</v>
      </c>
      <c r="J818" s="76">
        <v>100</v>
      </c>
      <c r="K818" s="76">
        <v>100</v>
      </c>
      <c r="L818" s="78">
        <f t="shared" si="105"/>
        <v>1</v>
      </c>
      <c r="M818" s="78">
        <f t="shared" si="106"/>
        <v>1</v>
      </c>
      <c r="N818" s="76" t="s">
        <v>25</v>
      </c>
      <c r="O818" s="76" t="s">
        <v>25</v>
      </c>
      <c r="P818" s="76">
        <v>0</v>
      </c>
      <c r="Q818" s="76">
        <v>0</v>
      </c>
      <c r="R818" s="76" t="s">
        <v>3369</v>
      </c>
      <c r="S818" s="76"/>
    </row>
    <row r="819" spans="1:19" x14ac:dyDescent="0.3">
      <c r="A819" s="76" t="s">
        <v>3370</v>
      </c>
      <c r="B819" s="76" t="s">
        <v>3371</v>
      </c>
      <c r="C819" s="76" t="s">
        <v>1263</v>
      </c>
      <c r="D819" s="76" t="s">
        <v>39</v>
      </c>
      <c r="E819" s="76" t="s">
        <v>22</v>
      </c>
      <c r="F819" s="77">
        <v>45657</v>
      </c>
      <c r="G819" s="76">
        <v>2024</v>
      </c>
      <c r="H819" s="76" t="s">
        <v>27</v>
      </c>
      <c r="I819" s="76" t="s">
        <v>36</v>
      </c>
      <c r="J819" s="76">
        <v>100</v>
      </c>
      <c r="K819" s="76">
        <v>100</v>
      </c>
      <c r="L819" s="78">
        <f t="shared" si="105"/>
        <v>1</v>
      </c>
      <c r="M819" s="78">
        <f t="shared" si="106"/>
        <v>1</v>
      </c>
      <c r="N819" s="76" t="s">
        <v>25</v>
      </c>
      <c r="O819" s="76" t="s">
        <v>25</v>
      </c>
      <c r="P819" s="76">
        <v>0</v>
      </c>
      <c r="Q819" s="76">
        <v>0</v>
      </c>
      <c r="R819" s="76" t="s">
        <v>3375</v>
      </c>
      <c r="S819" s="76"/>
    </row>
    <row r="820" spans="1:19" x14ac:dyDescent="0.3">
      <c r="A820" s="76" t="s">
        <v>3376</v>
      </c>
      <c r="B820" s="76" t="s">
        <v>3377</v>
      </c>
      <c r="C820" s="76" t="s">
        <v>1263</v>
      </c>
      <c r="D820" s="76" t="s">
        <v>39</v>
      </c>
      <c r="E820" s="76" t="s">
        <v>22</v>
      </c>
      <c r="F820" s="77">
        <v>45657</v>
      </c>
      <c r="G820" s="76">
        <v>2024</v>
      </c>
      <c r="H820" s="76" t="s">
        <v>27</v>
      </c>
      <c r="I820" s="76" t="s">
        <v>36</v>
      </c>
      <c r="J820" s="76">
        <v>100</v>
      </c>
      <c r="K820" s="76">
        <v>100</v>
      </c>
      <c r="L820" s="78">
        <f t="shared" si="105"/>
        <v>1</v>
      </c>
      <c r="M820" s="78">
        <f t="shared" si="106"/>
        <v>1</v>
      </c>
      <c r="N820" s="76" t="s">
        <v>25</v>
      </c>
      <c r="O820" s="76" t="s">
        <v>25</v>
      </c>
      <c r="P820" s="76">
        <v>0</v>
      </c>
      <c r="Q820" s="76">
        <v>0</v>
      </c>
      <c r="R820" s="76" t="s">
        <v>3381</v>
      </c>
      <c r="S820" s="76"/>
    </row>
    <row r="821" spans="1:19" x14ac:dyDescent="0.3">
      <c r="A821" s="76" t="s">
        <v>3382</v>
      </c>
      <c r="B821" s="76" t="s">
        <v>3383</v>
      </c>
      <c r="C821" s="76" t="s">
        <v>1263</v>
      </c>
      <c r="D821" s="76" t="s">
        <v>39</v>
      </c>
      <c r="E821" s="76" t="s">
        <v>22</v>
      </c>
      <c r="F821" s="77">
        <v>45657</v>
      </c>
      <c r="G821" s="76">
        <v>2024</v>
      </c>
      <c r="H821" s="76" t="s">
        <v>27</v>
      </c>
      <c r="I821" s="76" t="s">
        <v>36</v>
      </c>
      <c r="J821" s="76">
        <v>100</v>
      </c>
      <c r="K821" s="76">
        <v>100</v>
      </c>
      <c r="L821" s="78">
        <f t="shared" si="105"/>
        <v>1</v>
      </c>
      <c r="M821" s="78">
        <f t="shared" si="106"/>
        <v>1</v>
      </c>
      <c r="N821" s="76" t="s">
        <v>25</v>
      </c>
      <c r="O821" s="76" t="s">
        <v>25</v>
      </c>
      <c r="P821" s="76">
        <v>0</v>
      </c>
      <c r="Q821" s="76">
        <v>0</v>
      </c>
      <c r="R821" s="76" t="s">
        <v>3387</v>
      </c>
      <c r="S821" s="76"/>
    </row>
    <row r="822" spans="1:19" x14ac:dyDescent="0.3">
      <c r="A822" s="76" t="s">
        <v>3388</v>
      </c>
      <c r="B822" s="76" t="s">
        <v>3389</v>
      </c>
      <c r="C822" s="76" t="s">
        <v>1263</v>
      </c>
      <c r="D822" s="76" t="s">
        <v>39</v>
      </c>
      <c r="E822" s="76" t="s">
        <v>22</v>
      </c>
      <c r="F822" s="77">
        <v>45657</v>
      </c>
      <c r="G822" s="76">
        <v>2024</v>
      </c>
      <c r="H822" s="76" t="s">
        <v>27</v>
      </c>
      <c r="I822" s="76" t="s">
        <v>36</v>
      </c>
      <c r="J822" s="76">
        <v>100</v>
      </c>
      <c r="K822" s="76">
        <v>100</v>
      </c>
      <c r="L822" s="78">
        <f t="shared" ref="L822:L831" si="107">IFERROR(IF(OR(J822=0,K822=""),"",IF(E822="Positivo",MIN(MAX(K822/J822,0),1),MIN(MAX(J822/K822,0),1))),"")</f>
        <v>1</v>
      </c>
      <c r="M822" s="78">
        <f t="shared" ref="M822:M831" si="108">IFERROR(IF(OR(J822=0,K822=""),"",IF(E822="Positivo",MIN(MAX(K822/J822,0),1),MIN(MAX(J822/K822,0),1))),"")</f>
        <v>1</v>
      </c>
      <c r="N822" s="76" t="s">
        <v>25</v>
      </c>
      <c r="O822" s="76" t="s">
        <v>25</v>
      </c>
      <c r="P822" s="76">
        <v>0</v>
      </c>
      <c r="Q822" s="76">
        <v>0</v>
      </c>
      <c r="R822" s="76" t="s">
        <v>3393</v>
      </c>
      <c r="S822" s="76"/>
    </row>
    <row r="823" spans="1:19" x14ac:dyDescent="0.3">
      <c r="A823" s="76" t="s">
        <v>3394</v>
      </c>
      <c r="B823" s="76" t="s">
        <v>3395</v>
      </c>
      <c r="C823" s="76" t="s">
        <v>1263</v>
      </c>
      <c r="D823" s="76" t="s">
        <v>39</v>
      </c>
      <c r="E823" s="76" t="s">
        <v>22</v>
      </c>
      <c r="F823" s="77">
        <v>45657</v>
      </c>
      <c r="G823" s="76">
        <v>2024</v>
      </c>
      <c r="H823" s="76" t="s">
        <v>27</v>
      </c>
      <c r="I823" s="76" t="s">
        <v>36</v>
      </c>
      <c r="J823" s="76">
        <v>100</v>
      </c>
      <c r="K823" s="76">
        <v>100</v>
      </c>
      <c r="L823" s="78">
        <f t="shared" si="107"/>
        <v>1</v>
      </c>
      <c r="M823" s="78">
        <f t="shared" si="108"/>
        <v>1</v>
      </c>
      <c r="N823" s="76" t="s">
        <v>25</v>
      </c>
      <c r="O823" s="76" t="s">
        <v>25</v>
      </c>
      <c r="P823" s="76">
        <v>0</v>
      </c>
      <c r="Q823" s="76">
        <v>0</v>
      </c>
      <c r="R823" s="76" t="s">
        <v>3399</v>
      </c>
      <c r="S823" s="76"/>
    </row>
    <row r="824" spans="1:19" x14ac:dyDescent="0.3">
      <c r="A824" s="76" t="s">
        <v>3400</v>
      </c>
      <c r="B824" s="76" t="s">
        <v>3401</v>
      </c>
      <c r="C824" s="76" t="s">
        <v>1263</v>
      </c>
      <c r="D824" s="76" t="s">
        <v>39</v>
      </c>
      <c r="E824" s="76" t="s">
        <v>22</v>
      </c>
      <c r="F824" s="77">
        <v>45657</v>
      </c>
      <c r="G824" s="76">
        <v>2024</v>
      </c>
      <c r="H824" s="76" t="s">
        <v>27</v>
      </c>
      <c r="I824" s="76" t="s">
        <v>36</v>
      </c>
      <c r="J824" s="76">
        <v>100</v>
      </c>
      <c r="K824" s="76">
        <v>100</v>
      </c>
      <c r="L824" s="78">
        <f t="shared" si="107"/>
        <v>1</v>
      </c>
      <c r="M824" s="78">
        <f t="shared" si="108"/>
        <v>1</v>
      </c>
      <c r="N824" s="76" t="s">
        <v>25</v>
      </c>
      <c r="O824" s="76" t="s">
        <v>25</v>
      </c>
      <c r="P824" s="76">
        <v>0</v>
      </c>
      <c r="Q824" s="76">
        <v>0</v>
      </c>
      <c r="R824" s="76" t="s">
        <v>3405</v>
      </c>
      <c r="S824" s="76"/>
    </row>
    <row r="825" spans="1:19" x14ac:dyDescent="0.3">
      <c r="A825" s="76" t="s">
        <v>3406</v>
      </c>
      <c r="B825" s="76" t="s">
        <v>3407</v>
      </c>
      <c r="C825" s="76" t="s">
        <v>1263</v>
      </c>
      <c r="D825" s="76" t="s">
        <v>39</v>
      </c>
      <c r="E825" s="76" t="s">
        <v>22</v>
      </c>
      <c r="F825" s="77">
        <v>45657</v>
      </c>
      <c r="G825" s="76">
        <v>2024</v>
      </c>
      <c r="H825" s="76" t="s">
        <v>27</v>
      </c>
      <c r="I825" s="76" t="s">
        <v>36</v>
      </c>
      <c r="J825" s="76">
        <v>100</v>
      </c>
      <c r="K825" s="76">
        <v>97</v>
      </c>
      <c r="L825" s="78">
        <f t="shared" si="107"/>
        <v>0.97</v>
      </c>
      <c r="M825" s="78">
        <f t="shared" si="108"/>
        <v>0.97</v>
      </c>
      <c r="N825" s="76" t="s">
        <v>25</v>
      </c>
      <c r="O825" s="76" t="s">
        <v>25</v>
      </c>
      <c r="P825" s="76">
        <v>0</v>
      </c>
      <c r="Q825" s="76">
        <v>0</v>
      </c>
      <c r="R825" s="76" t="s">
        <v>3411</v>
      </c>
      <c r="S825" s="76"/>
    </row>
    <row r="826" spans="1:19" x14ac:dyDescent="0.3">
      <c r="A826" s="76" t="s">
        <v>3412</v>
      </c>
      <c r="B826" s="76" t="s">
        <v>3413</v>
      </c>
      <c r="C826" s="76" t="s">
        <v>1263</v>
      </c>
      <c r="D826" s="76" t="s">
        <v>39</v>
      </c>
      <c r="E826" s="76" t="s">
        <v>22</v>
      </c>
      <c r="F826" s="77">
        <v>45657</v>
      </c>
      <c r="G826" s="76">
        <v>2024</v>
      </c>
      <c r="H826" s="76" t="s">
        <v>27</v>
      </c>
      <c r="I826" s="76" t="s">
        <v>36</v>
      </c>
      <c r="J826" s="76">
        <v>100</v>
      </c>
      <c r="K826" s="76">
        <v>100</v>
      </c>
      <c r="L826" s="78">
        <f t="shared" si="107"/>
        <v>1</v>
      </c>
      <c r="M826" s="78">
        <f t="shared" si="108"/>
        <v>1</v>
      </c>
      <c r="N826" s="76" t="s">
        <v>25</v>
      </c>
      <c r="O826" s="76" t="s">
        <v>25</v>
      </c>
      <c r="P826" s="76">
        <v>0</v>
      </c>
      <c r="Q826" s="76">
        <v>0</v>
      </c>
      <c r="R826" s="76" t="s">
        <v>3417</v>
      </c>
      <c r="S826" s="76"/>
    </row>
    <row r="827" spans="1:19" x14ac:dyDescent="0.3">
      <c r="A827" s="76" t="s">
        <v>3418</v>
      </c>
      <c r="B827" s="76" t="s">
        <v>3419</v>
      </c>
      <c r="C827" s="76" t="s">
        <v>1263</v>
      </c>
      <c r="D827" s="76" t="s">
        <v>39</v>
      </c>
      <c r="E827" s="76" t="s">
        <v>22</v>
      </c>
      <c r="F827" s="77">
        <v>45657</v>
      </c>
      <c r="G827" s="76">
        <v>2024</v>
      </c>
      <c r="H827" s="76" t="s">
        <v>27</v>
      </c>
      <c r="I827" s="76" t="s">
        <v>36</v>
      </c>
      <c r="J827" s="76">
        <v>100</v>
      </c>
      <c r="K827" s="76">
        <v>100</v>
      </c>
      <c r="L827" s="78">
        <f t="shared" si="107"/>
        <v>1</v>
      </c>
      <c r="M827" s="78">
        <f t="shared" si="108"/>
        <v>1</v>
      </c>
      <c r="N827" s="76" t="s">
        <v>25</v>
      </c>
      <c r="O827" s="76" t="s">
        <v>25</v>
      </c>
      <c r="P827" s="76">
        <v>0</v>
      </c>
      <c r="Q827" s="76">
        <v>0</v>
      </c>
      <c r="R827" s="76" t="s">
        <v>3423</v>
      </c>
      <c r="S827" s="76"/>
    </row>
    <row r="828" spans="1:19" x14ac:dyDescent="0.3">
      <c r="A828" s="76" t="s">
        <v>3424</v>
      </c>
      <c r="B828" s="76" t="s">
        <v>3425</v>
      </c>
      <c r="C828" s="76" t="s">
        <v>1263</v>
      </c>
      <c r="D828" s="76" t="s">
        <v>39</v>
      </c>
      <c r="E828" s="76" t="s">
        <v>22</v>
      </c>
      <c r="F828" s="77">
        <v>45657</v>
      </c>
      <c r="G828" s="76">
        <v>2024</v>
      </c>
      <c r="H828" s="76" t="s">
        <v>27</v>
      </c>
      <c r="I828" s="76" t="s">
        <v>36</v>
      </c>
      <c r="J828" s="76">
        <v>100</v>
      </c>
      <c r="K828" s="76">
        <v>100</v>
      </c>
      <c r="L828" s="78">
        <f t="shared" si="107"/>
        <v>1</v>
      </c>
      <c r="M828" s="78">
        <f t="shared" si="108"/>
        <v>1</v>
      </c>
      <c r="N828" s="76" t="s">
        <v>25</v>
      </c>
      <c r="O828" s="76" t="s">
        <v>25</v>
      </c>
      <c r="P828" s="76">
        <v>0</v>
      </c>
      <c r="Q828" s="76">
        <v>0</v>
      </c>
      <c r="R828" s="76" t="s">
        <v>3429</v>
      </c>
      <c r="S828" s="76"/>
    </row>
    <row r="829" spans="1:19" x14ac:dyDescent="0.3">
      <c r="A829" s="76" t="s">
        <v>3430</v>
      </c>
      <c r="B829" s="76" t="s">
        <v>3431</v>
      </c>
      <c r="C829" s="76" t="s">
        <v>1263</v>
      </c>
      <c r="D829" s="76" t="s">
        <v>39</v>
      </c>
      <c r="E829" s="76" t="s">
        <v>22</v>
      </c>
      <c r="F829" s="77">
        <v>45657</v>
      </c>
      <c r="G829" s="76">
        <v>2024</v>
      </c>
      <c r="H829" s="76" t="s">
        <v>27</v>
      </c>
      <c r="I829" s="76" t="s">
        <v>36</v>
      </c>
      <c r="J829" s="76">
        <v>100</v>
      </c>
      <c r="K829" s="76">
        <v>100</v>
      </c>
      <c r="L829" s="78">
        <f t="shared" si="107"/>
        <v>1</v>
      </c>
      <c r="M829" s="78">
        <f t="shared" si="108"/>
        <v>1</v>
      </c>
      <c r="N829" s="76" t="s">
        <v>25</v>
      </c>
      <c r="O829" s="76" t="s">
        <v>25</v>
      </c>
      <c r="P829" s="76">
        <v>0</v>
      </c>
      <c r="Q829" s="76">
        <v>0</v>
      </c>
      <c r="R829" s="76" t="s">
        <v>3435</v>
      </c>
      <c r="S829" s="76"/>
    </row>
    <row r="830" spans="1:19" x14ac:dyDescent="0.3">
      <c r="A830" s="76" t="s">
        <v>3436</v>
      </c>
      <c r="B830" s="76" t="s">
        <v>3437</v>
      </c>
      <c r="C830" s="76" t="s">
        <v>1263</v>
      </c>
      <c r="D830" s="76" t="s">
        <v>39</v>
      </c>
      <c r="E830" s="76" t="s">
        <v>22</v>
      </c>
      <c r="F830" s="77">
        <v>45657</v>
      </c>
      <c r="G830" s="76">
        <v>2024</v>
      </c>
      <c r="H830" s="76" t="s">
        <v>27</v>
      </c>
      <c r="I830" s="76" t="s">
        <v>36</v>
      </c>
      <c r="J830" s="76">
        <v>100</v>
      </c>
      <c r="K830" s="76">
        <v>96</v>
      </c>
      <c r="L830" s="78">
        <f t="shared" si="107"/>
        <v>0.96</v>
      </c>
      <c r="M830" s="78">
        <f t="shared" si="108"/>
        <v>0.96</v>
      </c>
      <c r="N830" s="76" t="s">
        <v>25</v>
      </c>
      <c r="O830" s="76" t="s">
        <v>25</v>
      </c>
      <c r="P830" s="76">
        <v>0</v>
      </c>
      <c r="Q830" s="76">
        <v>0</v>
      </c>
      <c r="R830" s="76" t="s">
        <v>3441</v>
      </c>
      <c r="S830" s="76"/>
    </row>
    <row r="831" spans="1:19" x14ac:dyDescent="0.3">
      <c r="A831" s="76" t="s">
        <v>3442</v>
      </c>
      <c r="B831" s="76" t="s">
        <v>3443</v>
      </c>
      <c r="C831" s="76" t="s">
        <v>1263</v>
      </c>
      <c r="D831" s="76" t="s">
        <v>39</v>
      </c>
      <c r="E831" s="76" t="s">
        <v>22</v>
      </c>
      <c r="F831" s="77">
        <v>45657</v>
      </c>
      <c r="G831" s="76">
        <v>2024</v>
      </c>
      <c r="H831" s="76" t="s">
        <v>27</v>
      </c>
      <c r="I831" s="76" t="s">
        <v>36</v>
      </c>
      <c r="J831" s="76">
        <v>100</v>
      </c>
      <c r="K831" s="76">
        <v>100</v>
      </c>
      <c r="L831" s="78">
        <f t="shared" si="107"/>
        <v>1</v>
      </c>
      <c r="M831" s="78">
        <f t="shared" si="108"/>
        <v>1</v>
      </c>
      <c r="N831" s="76" t="s">
        <v>25</v>
      </c>
      <c r="O831" s="76" t="s">
        <v>25</v>
      </c>
      <c r="P831" s="76">
        <v>0</v>
      </c>
      <c r="Q831" s="76">
        <v>0</v>
      </c>
      <c r="R831" s="76" t="s">
        <v>3447</v>
      </c>
      <c r="S831" s="76"/>
    </row>
  </sheetData>
  <autoFilter ref="A1:S831" xr:uid="{00000000-0001-0000-0200-000000000000}"/>
  <conditionalFormatting sqref="A8">
    <cfRule type="duplicateValues" dxfId="75" priority="190"/>
  </conditionalFormatting>
  <conditionalFormatting sqref="B7">
    <cfRule type="duplicateValues" dxfId="74" priority="76"/>
    <cfRule type="duplicateValues" dxfId="73" priority="77"/>
  </conditionalFormatting>
  <conditionalFormatting sqref="A308:A309">
    <cfRule type="duplicateValues" dxfId="72" priority="211"/>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97"/>
  <sheetViews>
    <sheetView zoomScaleNormal="100" workbookViewId="0">
      <selection activeCell="G1" sqref="G1"/>
    </sheetView>
  </sheetViews>
  <sheetFormatPr baseColWidth="10" defaultColWidth="11.44140625" defaultRowHeight="14.4" outlineLevelCol="1" x14ac:dyDescent="0.3"/>
  <cols>
    <col min="2" max="2" width="47.109375" customWidth="1"/>
    <col min="3" max="3" width="17.6640625" customWidth="1" outlineLevel="1"/>
    <col min="4" max="5" width="10.88671875" customWidth="1" outlineLevel="1"/>
    <col min="6" max="6" width="11.33203125" customWidth="1"/>
    <col min="7" max="9" width="10.88671875" customWidth="1"/>
    <col min="10" max="11" width="18.33203125" customWidth="1"/>
    <col min="12" max="12" width="12.88671875" customWidth="1"/>
    <col min="13" max="13" width="12.88671875" style="23" customWidth="1"/>
    <col min="14" max="16" width="11.5546875" customWidth="1"/>
    <col min="17" max="17" width="13.109375" customWidth="1"/>
    <col min="18" max="18" width="11.5546875" customWidth="1"/>
  </cols>
  <sheetData>
    <row r="1" spans="1:18" ht="28.8" customHeight="1" x14ac:dyDescent="0.3">
      <c r="A1" s="17" t="s">
        <v>0</v>
      </c>
      <c r="B1" s="16" t="s">
        <v>1</v>
      </c>
      <c r="C1" s="16" t="s">
        <v>2</v>
      </c>
      <c r="D1" s="16" t="s">
        <v>3</v>
      </c>
      <c r="E1" s="16" t="s">
        <v>4</v>
      </c>
      <c r="F1" s="16" t="s">
        <v>5</v>
      </c>
      <c r="G1" s="16" t="s">
        <v>6</v>
      </c>
      <c r="H1" s="16" t="s">
        <v>7</v>
      </c>
      <c r="I1" s="16" t="s">
        <v>3485</v>
      </c>
      <c r="J1" s="1" t="s">
        <v>9</v>
      </c>
      <c r="K1" s="1" t="s">
        <v>10</v>
      </c>
      <c r="L1" s="4" t="s">
        <v>11</v>
      </c>
      <c r="M1" s="1" t="s">
        <v>12</v>
      </c>
      <c r="N1" s="1" t="s">
        <v>13</v>
      </c>
      <c r="O1" s="1" t="s">
        <v>14</v>
      </c>
      <c r="P1" s="21" t="s">
        <v>15</v>
      </c>
      <c r="Q1" s="21" t="s">
        <v>16</v>
      </c>
      <c r="R1" s="1" t="s">
        <v>3547</v>
      </c>
    </row>
    <row r="2" spans="1:18" x14ac:dyDescent="0.3">
      <c r="A2" s="5">
        <v>1</v>
      </c>
      <c r="B2" s="5" t="s">
        <v>3550</v>
      </c>
      <c r="C2" s="5" t="s">
        <v>1234</v>
      </c>
      <c r="D2" s="5" t="s">
        <v>73</v>
      </c>
      <c r="E2" s="5" t="s">
        <v>22</v>
      </c>
      <c r="F2" s="6">
        <v>46023</v>
      </c>
      <c r="G2" s="11" t="s">
        <v>3551</v>
      </c>
      <c r="H2" s="6" t="s">
        <v>3551</v>
      </c>
      <c r="I2" s="6" t="s">
        <v>3551</v>
      </c>
      <c r="J2" s="9">
        <v>100</v>
      </c>
      <c r="K2" s="9">
        <v>100</v>
      </c>
      <c r="L2" s="10">
        <f>IFERROR(IF((K2/J2)&gt;1.3,1.3,K2/J2),"")</f>
        <v>1</v>
      </c>
      <c r="M2" s="10">
        <f>IFERROR(K2/J2,"")</f>
        <v>1</v>
      </c>
      <c r="N2" s="5" t="s">
        <v>25</v>
      </c>
      <c r="O2" s="5" t="s">
        <v>25</v>
      </c>
      <c r="P2" s="5">
        <v>0</v>
      </c>
      <c r="Q2" s="5">
        <v>0</v>
      </c>
      <c r="R2" s="5" t="str">
        <f t="shared" ref="R2:R33" si="0">A2&amp;"-"&amp;YEAR(F2)&amp;"-"&amp;IF(LEN(MONTH(F2))=1,"0"&amp;MONTH(F2),MONTH(F2))&amp;"-"&amp;IF(LEN(DAY(F2))=1,"0"&amp;DAY(F2),DAY(F2))</f>
        <v>1-2026-01-01</v>
      </c>
    </row>
    <row r="3" spans="1:18" x14ac:dyDescent="0.3">
      <c r="A3" s="5">
        <v>2</v>
      </c>
      <c r="B3" s="5" t="s">
        <v>3552</v>
      </c>
      <c r="C3" s="5" t="s">
        <v>1096</v>
      </c>
      <c r="D3" s="5" t="s">
        <v>73</v>
      </c>
      <c r="E3" s="5" t="s">
        <v>22</v>
      </c>
      <c r="F3" s="6">
        <v>46023</v>
      </c>
      <c r="G3" s="11" t="s">
        <v>3551</v>
      </c>
      <c r="H3" s="6" t="s">
        <v>3551</v>
      </c>
      <c r="I3" s="6" t="s">
        <v>3551</v>
      </c>
      <c r="J3" s="5">
        <v>100</v>
      </c>
      <c r="K3" s="5">
        <v>100</v>
      </c>
      <c r="L3" s="10">
        <f>IFERROR(IF((K3/J3)&gt;1.3,1.3,K3/J3),"")</f>
        <v>1</v>
      </c>
      <c r="M3" s="10">
        <f>IFERROR(K3/J3,"")</f>
        <v>1</v>
      </c>
      <c r="N3" s="5" t="s">
        <v>25</v>
      </c>
      <c r="O3" s="5" t="s">
        <v>25</v>
      </c>
      <c r="P3" s="5">
        <v>0</v>
      </c>
      <c r="Q3" s="5">
        <v>0</v>
      </c>
      <c r="R3" s="5" t="str">
        <f t="shared" si="0"/>
        <v>2-2026-01-01</v>
      </c>
    </row>
    <row r="4" spans="1:18" x14ac:dyDescent="0.3">
      <c r="A4" s="5">
        <v>3</v>
      </c>
      <c r="B4" s="5" t="s">
        <v>3553</v>
      </c>
      <c r="C4" s="5" t="s">
        <v>258</v>
      </c>
      <c r="D4" s="5" t="s">
        <v>73</v>
      </c>
      <c r="E4" s="5" t="s">
        <v>22</v>
      </c>
      <c r="F4" s="6">
        <v>46023</v>
      </c>
      <c r="G4" s="11" t="s">
        <v>3551</v>
      </c>
      <c r="H4" s="6" t="s">
        <v>3551</v>
      </c>
      <c r="I4" s="6" t="s">
        <v>3551</v>
      </c>
      <c r="J4" s="9">
        <v>100</v>
      </c>
      <c r="K4" s="9">
        <v>100</v>
      </c>
      <c r="L4" s="10">
        <f>IFERROR(IF((K4/J4)&gt;1.3,1.3,K4/J4),"")</f>
        <v>1</v>
      </c>
      <c r="M4" s="10">
        <f>IFERROR(K4/J4,"")</f>
        <v>1</v>
      </c>
      <c r="N4" s="5" t="s">
        <v>25</v>
      </c>
      <c r="O4" s="5" t="s">
        <v>25</v>
      </c>
      <c r="P4" s="5">
        <v>0</v>
      </c>
      <c r="Q4" s="5">
        <v>0</v>
      </c>
      <c r="R4" s="5" t="str">
        <f t="shared" si="0"/>
        <v>3-2026-01-01</v>
      </c>
    </row>
    <row r="5" spans="1:18" x14ac:dyDescent="0.3">
      <c r="A5" s="5">
        <v>4</v>
      </c>
      <c r="B5" s="5" t="s">
        <v>3554</v>
      </c>
      <c r="C5" s="5" t="s">
        <v>3555</v>
      </c>
      <c r="D5" s="5" t="s">
        <v>73</v>
      </c>
      <c r="E5" s="5" t="s">
        <v>22</v>
      </c>
      <c r="F5" s="6">
        <v>46023</v>
      </c>
      <c r="G5" s="11" t="s">
        <v>3551</v>
      </c>
      <c r="H5" s="6" t="s">
        <v>3551</v>
      </c>
      <c r="I5" s="6" t="s">
        <v>3551</v>
      </c>
      <c r="J5" s="9">
        <v>100</v>
      </c>
      <c r="K5" s="9">
        <v>100</v>
      </c>
      <c r="L5" s="10">
        <f>IFERROR(IF((K5/J5)&gt;1.3,1.3,K5/J5),"")</f>
        <v>1</v>
      </c>
      <c r="M5" s="10">
        <f>IFERROR(K5/J5,"")</f>
        <v>1</v>
      </c>
      <c r="N5" s="5" t="s">
        <v>25</v>
      </c>
      <c r="O5" s="5" t="s">
        <v>25</v>
      </c>
      <c r="P5" s="5">
        <v>0</v>
      </c>
      <c r="Q5" s="5">
        <v>0</v>
      </c>
      <c r="R5" s="5" t="str">
        <f t="shared" si="0"/>
        <v>4-2026-01-01</v>
      </c>
    </row>
    <row r="6" spans="1:18" x14ac:dyDescent="0.3">
      <c r="A6" s="5">
        <v>5</v>
      </c>
      <c r="B6" s="5" t="s">
        <v>3556</v>
      </c>
      <c r="C6" s="5" t="s">
        <v>1796</v>
      </c>
      <c r="D6" s="5" t="s">
        <v>73</v>
      </c>
      <c r="E6" s="5" t="s">
        <v>22</v>
      </c>
      <c r="F6" s="6">
        <v>46023</v>
      </c>
      <c r="G6" s="11" t="s">
        <v>3551</v>
      </c>
      <c r="H6" s="6" t="s">
        <v>3551</v>
      </c>
      <c r="I6" s="6" t="s">
        <v>3551</v>
      </c>
      <c r="J6" s="9">
        <v>100</v>
      </c>
      <c r="K6" s="9">
        <v>100</v>
      </c>
      <c r="L6" s="10">
        <f>IFERROR(IF((K6/J6)&gt;1,1,K6/J6),"")</f>
        <v>1</v>
      </c>
      <c r="M6" s="10">
        <f>IFERROR(IF((K6/J6)&gt;1,1,K6/J6),"")</f>
        <v>1</v>
      </c>
      <c r="N6" s="5" t="s">
        <v>25</v>
      </c>
      <c r="O6" s="5" t="s">
        <v>25</v>
      </c>
      <c r="P6" s="5">
        <v>0</v>
      </c>
      <c r="Q6" s="5">
        <v>0</v>
      </c>
      <c r="R6" s="5" t="str">
        <f t="shared" si="0"/>
        <v>5-2026-01-01</v>
      </c>
    </row>
    <row r="7" spans="1:18" x14ac:dyDescent="0.3">
      <c r="A7" s="5">
        <v>6</v>
      </c>
      <c r="B7" s="5" t="s">
        <v>3557</v>
      </c>
      <c r="C7" s="5" t="s">
        <v>94</v>
      </c>
      <c r="D7" s="5" t="s">
        <v>73</v>
      </c>
      <c r="E7" s="5" t="s">
        <v>22</v>
      </c>
      <c r="F7" s="6">
        <v>46023</v>
      </c>
      <c r="G7" s="11" t="s">
        <v>3551</v>
      </c>
      <c r="H7" s="6" t="s">
        <v>3551</v>
      </c>
      <c r="I7" s="6" t="s">
        <v>3551</v>
      </c>
      <c r="J7" s="9">
        <v>100</v>
      </c>
      <c r="K7" s="9">
        <v>100</v>
      </c>
      <c r="L7" s="10">
        <f t="shared" ref="L7:L29" si="1">IFERROR(IF((K7/J7)&gt;1.3,1.3,K7/J7),"")</f>
        <v>1</v>
      </c>
      <c r="M7" s="10">
        <f t="shared" ref="M7:M29" si="2">IFERROR(K7/J7,"")</f>
        <v>1</v>
      </c>
      <c r="N7" s="5" t="s">
        <v>25</v>
      </c>
      <c r="O7" s="5" t="s">
        <v>25</v>
      </c>
      <c r="P7" s="5">
        <v>0</v>
      </c>
      <c r="Q7" s="5">
        <v>0</v>
      </c>
      <c r="R7" s="5" t="str">
        <f t="shared" si="0"/>
        <v>6-2026-01-01</v>
      </c>
    </row>
    <row r="8" spans="1:18" x14ac:dyDescent="0.3">
      <c r="A8" s="5">
        <v>7</v>
      </c>
      <c r="B8" s="5" t="s">
        <v>3558</v>
      </c>
      <c r="C8" s="5" t="s">
        <v>94</v>
      </c>
      <c r="D8" s="5" t="s">
        <v>73</v>
      </c>
      <c r="E8" s="5" t="s">
        <v>22</v>
      </c>
      <c r="F8" s="6">
        <v>46023</v>
      </c>
      <c r="G8" s="11" t="s">
        <v>3551</v>
      </c>
      <c r="H8" s="6" t="s">
        <v>3551</v>
      </c>
      <c r="I8" s="6" t="s">
        <v>3551</v>
      </c>
      <c r="J8" s="9">
        <v>100</v>
      </c>
      <c r="K8" s="9">
        <v>100</v>
      </c>
      <c r="L8" s="10">
        <f t="shared" si="1"/>
        <v>1</v>
      </c>
      <c r="M8" s="10">
        <f t="shared" si="2"/>
        <v>1</v>
      </c>
      <c r="N8" s="5" t="s">
        <v>25</v>
      </c>
      <c r="O8" s="5" t="s">
        <v>25</v>
      </c>
      <c r="P8" s="5">
        <v>0</v>
      </c>
      <c r="Q8" s="5">
        <v>0</v>
      </c>
      <c r="R8" s="5" t="str">
        <f t="shared" si="0"/>
        <v>7-2026-01-01</v>
      </c>
    </row>
    <row r="9" spans="1:18" x14ac:dyDescent="0.3">
      <c r="A9" s="5">
        <v>9</v>
      </c>
      <c r="B9" s="5" t="s">
        <v>3559</v>
      </c>
      <c r="C9" s="5" t="s">
        <v>94</v>
      </c>
      <c r="D9" s="5" t="s">
        <v>73</v>
      </c>
      <c r="E9" s="5" t="s">
        <v>22</v>
      </c>
      <c r="F9" s="6">
        <v>46023</v>
      </c>
      <c r="G9" s="11" t="s">
        <v>3551</v>
      </c>
      <c r="H9" s="6" t="s">
        <v>3551</v>
      </c>
      <c r="I9" s="6" t="s">
        <v>3551</v>
      </c>
      <c r="J9" s="9">
        <v>100</v>
      </c>
      <c r="K9" s="9">
        <v>100</v>
      </c>
      <c r="L9" s="10">
        <f t="shared" si="1"/>
        <v>1</v>
      </c>
      <c r="M9" s="10">
        <f t="shared" si="2"/>
        <v>1</v>
      </c>
      <c r="N9" s="5" t="s">
        <v>25</v>
      </c>
      <c r="O9" s="5" t="s">
        <v>25</v>
      </c>
      <c r="P9" s="5">
        <v>0</v>
      </c>
      <c r="Q9" s="5">
        <v>0</v>
      </c>
      <c r="R9" s="5" t="str">
        <f t="shared" si="0"/>
        <v>9-2026-01-01</v>
      </c>
    </row>
    <row r="10" spans="1:18" x14ac:dyDescent="0.3">
      <c r="A10" s="5">
        <v>10</v>
      </c>
      <c r="B10" s="5" t="s">
        <v>3560</v>
      </c>
      <c r="C10" s="5" t="s">
        <v>1627</v>
      </c>
      <c r="D10" s="5" t="s">
        <v>73</v>
      </c>
      <c r="E10" s="5" t="s">
        <v>22</v>
      </c>
      <c r="F10" s="6">
        <v>46023</v>
      </c>
      <c r="G10" s="11" t="s">
        <v>3551</v>
      </c>
      <c r="H10" s="6" t="s">
        <v>3551</v>
      </c>
      <c r="I10" s="6" t="s">
        <v>3551</v>
      </c>
      <c r="J10" s="9">
        <v>100</v>
      </c>
      <c r="K10" s="9">
        <v>100</v>
      </c>
      <c r="L10" s="10">
        <f t="shared" si="1"/>
        <v>1</v>
      </c>
      <c r="M10" s="10">
        <f t="shared" si="2"/>
        <v>1</v>
      </c>
      <c r="N10" s="5" t="s">
        <v>25</v>
      </c>
      <c r="O10" s="5" t="s">
        <v>25</v>
      </c>
      <c r="P10" s="5">
        <v>0</v>
      </c>
      <c r="Q10" s="5">
        <v>0</v>
      </c>
      <c r="R10" s="5" t="str">
        <f t="shared" si="0"/>
        <v>10-2026-01-01</v>
      </c>
    </row>
    <row r="11" spans="1:18" x14ac:dyDescent="0.3">
      <c r="A11" s="5">
        <v>11</v>
      </c>
      <c r="B11" s="12" t="s">
        <v>3561</v>
      </c>
      <c r="C11" s="5" t="s">
        <v>1303</v>
      </c>
      <c r="D11" s="5" t="s">
        <v>73</v>
      </c>
      <c r="E11" s="5" t="s">
        <v>22</v>
      </c>
      <c r="F11" s="6">
        <v>46023</v>
      </c>
      <c r="G11" s="11" t="s">
        <v>3551</v>
      </c>
      <c r="H11" s="6" t="s">
        <v>3551</v>
      </c>
      <c r="I11" s="6" t="s">
        <v>3551</v>
      </c>
      <c r="J11" s="9"/>
      <c r="K11" s="9"/>
      <c r="L11" s="10" t="str">
        <f t="shared" si="1"/>
        <v/>
      </c>
      <c r="M11" s="10" t="str">
        <f t="shared" si="2"/>
        <v/>
      </c>
      <c r="N11" s="5" t="s">
        <v>25</v>
      </c>
      <c r="O11" s="5" t="s">
        <v>25</v>
      </c>
      <c r="P11" s="5">
        <v>0</v>
      </c>
      <c r="Q11" s="5">
        <v>0</v>
      </c>
      <c r="R11" s="5" t="str">
        <f t="shared" si="0"/>
        <v>11-2026-01-01</v>
      </c>
    </row>
    <row r="12" spans="1:18" x14ac:dyDescent="0.3">
      <c r="A12" s="5">
        <v>12</v>
      </c>
      <c r="B12" s="12" t="s">
        <v>3562</v>
      </c>
      <c r="C12" s="5" t="s">
        <v>1303</v>
      </c>
      <c r="D12" s="5" t="s">
        <v>73</v>
      </c>
      <c r="E12" s="5" t="s">
        <v>22</v>
      </c>
      <c r="F12" s="6">
        <v>46023</v>
      </c>
      <c r="G12" s="11" t="s">
        <v>3551</v>
      </c>
      <c r="H12" s="6" t="s">
        <v>3551</v>
      </c>
      <c r="I12" s="6" t="s">
        <v>3551</v>
      </c>
      <c r="J12" s="9"/>
      <c r="K12" s="9"/>
      <c r="L12" s="10" t="str">
        <f t="shared" si="1"/>
        <v/>
      </c>
      <c r="M12" s="10" t="str">
        <f t="shared" si="2"/>
        <v/>
      </c>
      <c r="N12" s="5" t="s">
        <v>25</v>
      </c>
      <c r="O12" s="5" t="s">
        <v>25</v>
      </c>
      <c r="P12" s="5">
        <v>0</v>
      </c>
      <c r="Q12" s="5">
        <v>0</v>
      </c>
      <c r="R12" s="5" t="str">
        <f t="shared" si="0"/>
        <v>12-2026-01-01</v>
      </c>
    </row>
    <row r="13" spans="1:18" x14ac:dyDescent="0.3">
      <c r="A13" s="5">
        <v>13</v>
      </c>
      <c r="B13" s="5" t="s">
        <v>3563</v>
      </c>
      <c r="C13" s="5" t="s">
        <v>1792</v>
      </c>
      <c r="D13" s="5" t="s">
        <v>73</v>
      </c>
      <c r="E13" s="5" t="s">
        <v>22</v>
      </c>
      <c r="F13" s="6">
        <v>46023</v>
      </c>
      <c r="G13" s="11" t="s">
        <v>3551</v>
      </c>
      <c r="H13" s="6" t="s">
        <v>3551</v>
      </c>
      <c r="I13" s="6" t="s">
        <v>3551</v>
      </c>
      <c r="J13" s="5">
        <v>100</v>
      </c>
      <c r="K13" s="5">
        <v>100</v>
      </c>
      <c r="L13" s="10">
        <f t="shared" si="1"/>
        <v>1</v>
      </c>
      <c r="M13" s="10">
        <f t="shared" si="2"/>
        <v>1</v>
      </c>
      <c r="N13" s="5" t="s">
        <v>25</v>
      </c>
      <c r="O13" s="5" t="s">
        <v>25</v>
      </c>
      <c r="P13" s="5">
        <v>0</v>
      </c>
      <c r="Q13" s="5">
        <v>0</v>
      </c>
      <c r="R13" s="5" t="str">
        <f t="shared" si="0"/>
        <v>13-2026-01-01</v>
      </c>
    </row>
    <row r="14" spans="1:18" x14ac:dyDescent="0.3">
      <c r="A14" s="5">
        <v>14</v>
      </c>
      <c r="B14" s="5" t="s">
        <v>2727</v>
      </c>
      <c r="C14" s="5" t="s">
        <v>1208</v>
      </c>
      <c r="D14" s="5" t="s">
        <v>21</v>
      </c>
      <c r="E14" s="5" t="s">
        <v>22</v>
      </c>
      <c r="F14" s="6">
        <v>46023</v>
      </c>
      <c r="G14" s="11" t="s">
        <v>3551</v>
      </c>
      <c r="H14" s="6" t="s">
        <v>3551</v>
      </c>
      <c r="I14" s="6" t="s">
        <v>3551</v>
      </c>
      <c r="J14" s="5">
        <v>55756</v>
      </c>
      <c r="K14" s="15">
        <v>56807</v>
      </c>
      <c r="L14" s="10">
        <f t="shared" si="1"/>
        <v>1.0188499892388263</v>
      </c>
      <c r="M14" s="10">
        <f t="shared" si="2"/>
        <v>1.0188499892388263</v>
      </c>
      <c r="N14" s="5" t="s">
        <v>203</v>
      </c>
      <c r="O14" s="5" t="s">
        <v>203</v>
      </c>
      <c r="P14" s="5">
        <v>0</v>
      </c>
      <c r="Q14" s="5">
        <v>0</v>
      </c>
      <c r="R14" s="5" t="str">
        <f t="shared" si="0"/>
        <v>14-2026-01-01</v>
      </c>
    </row>
    <row r="15" spans="1:18" x14ac:dyDescent="0.3">
      <c r="A15" s="5">
        <v>77</v>
      </c>
      <c r="B15" s="5" t="s">
        <v>71</v>
      </c>
      <c r="C15" s="5" t="s">
        <v>72</v>
      </c>
      <c r="D15" s="5" t="s">
        <v>73</v>
      </c>
      <c r="E15" s="5" t="s">
        <v>22</v>
      </c>
      <c r="F15" s="6">
        <v>46023</v>
      </c>
      <c r="G15" s="11" t="s">
        <v>3551</v>
      </c>
      <c r="H15" s="11" t="s">
        <v>3551</v>
      </c>
      <c r="I15" s="11" t="s">
        <v>3551</v>
      </c>
      <c r="J15" s="5">
        <v>97</v>
      </c>
      <c r="K15" s="5">
        <v>97.66</v>
      </c>
      <c r="L15" s="10">
        <f t="shared" si="1"/>
        <v>1.0068041237113401</v>
      </c>
      <c r="M15" s="10">
        <f t="shared" si="2"/>
        <v>1.0068041237113401</v>
      </c>
      <c r="N15" s="5" t="s">
        <v>25</v>
      </c>
      <c r="O15" s="5" t="s">
        <v>25</v>
      </c>
      <c r="P15" s="5">
        <v>0</v>
      </c>
      <c r="Q15" s="5">
        <v>1</v>
      </c>
      <c r="R15" s="5" t="str">
        <f t="shared" si="0"/>
        <v>77-2026-01-01</v>
      </c>
    </row>
    <row r="16" spans="1:18" x14ac:dyDescent="0.3">
      <c r="A16" s="5">
        <v>96</v>
      </c>
      <c r="B16" s="12" t="s">
        <v>189</v>
      </c>
      <c r="C16" s="5" t="s">
        <v>190</v>
      </c>
      <c r="D16" s="5" t="s">
        <v>21</v>
      </c>
      <c r="E16" s="5" t="s">
        <v>22</v>
      </c>
      <c r="F16" s="6">
        <v>46023</v>
      </c>
      <c r="G16" s="11" t="s">
        <v>3551</v>
      </c>
      <c r="H16" s="6" t="s">
        <v>3551</v>
      </c>
      <c r="I16" s="6" t="s">
        <v>3551</v>
      </c>
      <c r="J16" s="5">
        <v>2531</v>
      </c>
      <c r="K16" s="5">
        <v>2383</v>
      </c>
      <c r="L16" s="10">
        <f t="shared" si="1"/>
        <v>0.94152508889766895</v>
      </c>
      <c r="M16" s="10">
        <f t="shared" si="2"/>
        <v>0.94152508889766895</v>
      </c>
      <c r="N16" s="5" t="s">
        <v>203</v>
      </c>
      <c r="O16" s="5" t="s">
        <v>203</v>
      </c>
      <c r="P16" s="5">
        <v>0</v>
      </c>
      <c r="Q16" s="5">
        <v>0</v>
      </c>
      <c r="R16" s="5" t="str">
        <f t="shared" si="0"/>
        <v>96-2026-01-01</v>
      </c>
    </row>
    <row r="17" spans="1:18" x14ac:dyDescent="0.3">
      <c r="A17" s="5">
        <v>97</v>
      </c>
      <c r="B17" s="5" t="s">
        <v>3564</v>
      </c>
      <c r="C17" s="5" t="s">
        <v>2186</v>
      </c>
      <c r="D17" s="5" t="s">
        <v>21</v>
      </c>
      <c r="E17" s="5" t="s">
        <v>22</v>
      </c>
      <c r="F17" s="6">
        <v>46023</v>
      </c>
      <c r="G17" s="11" t="s">
        <v>3551</v>
      </c>
      <c r="H17" s="11" t="s">
        <v>3551</v>
      </c>
      <c r="I17" s="11" t="s">
        <v>3551</v>
      </c>
      <c r="J17" s="5">
        <v>3</v>
      </c>
      <c r="K17" s="5">
        <v>3</v>
      </c>
      <c r="L17" s="10">
        <f t="shared" si="1"/>
        <v>1</v>
      </c>
      <c r="M17" s="10">
        <f t="shared" si="2"/>
        <v>1</v>
      </c>
      <c r="N17" s="5" t="s">
        <v>203</v>
      </c>
      <c r="O17" s="5" t="s">
        <v>203</v>
      </c>
      <c r="P17" s="5">
        <v>0</v>
      </c>
      <c r="Q17" s="5">
        <v>0</v>
      </c>
      <c r="R17" s="5" t="str">
        <f t="shared" si="0"/>
        <v>97-2026-01-01</v>
      </c>
    </row>
    <row r="18" spans="1:18" x14ac:dyDescent="0.3">
      <c r="A18" s="5">
        <v>98</v>
      </c>
      <c r="B18" s="5" t="s">
        <v>3565</v>
      </c>
      <c r="C18" s="5" t="s">
        <v>2186</v>
      </c>
      <c r="D18" s="5" t="s">
        <v>21</v>
      </c>
      <c r="E18" s="5" t="s">
        <v>22</v>
      </c>
      <c r="F18" s="6">
        <v>46023</v>
      </c>
      <c r="G18" s="11" t="s">
        <v>3551</v>
      </c>
      <c r="H18" s="11" t="s">
        <v>3551</v>
      </c>
      <c r="I18" s="11" t="s">
        <v>3551</v>
      </c>
      <c r="J18" s="5">
        <v>23</v>
      </c>
      <c r="K18" s="5">
        <v>23</v>
      </c>
      <c r="L18" s="10">
        <f t="shared" si="1"/>
        <v>1</v>
      </c>
      <c r="M18" s="10">
        <f t="shared" si="2"/>
        <v>1</v>
      </c>
      <c r="N18" s="5" t="s">
        <v>203</v>
      </c>
      <c r="O18" s="5" t="s">
        <v>203</v>
      </c>
      <c r="P18" s="5">
        <v>0</v>
      </c>
      <c r="Q18" s="5">
        <v>0</v>
      </c>
      <c r="R18" s="5" t="str">
        <f t="shared" si="0"/>
        <v>98-2026-01-01</v>
      </c>
    </row>
    <row r="19" spans="1:18" x14ac:dyDescent="0.3">
      <c r="A19" s="5">
        <v>109</v>
      </c>
      <c r="B19" s="5" t="s">
        <v>3548</v>
      </c>
      <c r="C19" s="5" t="s">
        <v>207</v>
      </c>
      <c r="D19" s="5" t="s">
        <v>139</v>
      </c>
      <c r="E19" s="5" t="s">
        <v>22</v>
      </c>
      <c r="F19" s="6">
        <v>46023</v>
      </c>
      <c r="G19" s="11" t="s">
        <v>3551</v>
      </c>
      <c r="H19" s="11" t="s">
        <v>3551</v>
      </c>
      <c r="I19" s="11" t="s">
        <v>3551</v>
      </c>
      <c r="J19" s="5">
        <v>80</v>
      </c>
      <c r="K19" s="5">
        <v>85</v>
      </c>
      <c r="L19" s="10">
        <f t="shared" si="1"/>
        <v>1.0625</v>
      </c>
      <c r="M19" s="10">
        <f t="shared" si="2"/>
        <v>1.0625</v>
      </c>
      <c r="N19" s="5" t="s">
        <v>25</v>
      </c>
      <c r="O19" s="5" t="s">
        <v>25</v>
      </c>
      <c r="P19" s="5">
        <v>0</v>
      </c>
      <c r="Q19" s="5">
        <v>0</v>
      </c>
      <c r="R19" s="5" t="str">
        <f t="shared" si="0"/>
        <v>109-2026-01-01</v>
      </c>
    </row>
    <row r="20" spans="1:18" x14ac:dyDescent="0.3">
      <c r="A20" s="5">
        <v>148</v>
      </c>
      <c r="B20" s="5" t="s">
        <v>527</v>
      </c>
      <c r="C20" s="5" t="s">
        <v>509</v>
      </c>
      <c r="D20" s="5" t="s">
        <v>21</v>
      </c>
      <c r="E20" s="5" t="s">
        <v>22</v>
      </c>
      <c r="F20" s="6">
        <v>46023</v>
      </c>
      <c r="G20" s="11" t="s">
        <v>3551</v>
      </c>
      <c r="H20" s="11" t="s">
        <v>3551</v>
      </c>
      <c r="I20" s="11" t="s">
        <v>3551</v>
      </c>
      <c r="J20" s="5">
        <v>5</v>
      </c>
      <c r="K20" s="5">
        <v>6.78</v>
      </c>
      <c r="L20" s="10">
        <f t="shared" si="1"/>
        <v>1.3</v>
      </c>
      <c r="M20" s="10">
        <f t="shared" si="2"/>
        <v>1.3560000000000001</v>
      </c>
      <c r="N20" s="5" t="s">
        <v>25</v>
      </c>
      <c r="O20" s="5" t="s">
        <v>25</v>
      </c>
      <c r="P20" s="5">
        <v>0</v>
      </c>
      <c r="Q20" s="5">
        <v>1</v>
      </c>
      <c r="R20" s="5" t="str">
        <f t="shared" si="0"/>
        <v>148-2026-01-01</v>
      </c>
    </row>
    <row r="21" spans="1:18" x14ac:dyDescent="0.3">
      <c r="A21" s="5">
        <v>193</v>
      </c>
      <c r="B21" s="28" t="s">
        <v>3549</v>
      </c>
      <c r="C21" s="5" t="s">
        <v>625</v>
      </c>
      <c r="D21" s="5" t="s">
        <v>21</v>
      </c>
      <c r="E21" s="5" t="s">
        <v>22</v>
      </c>
      <c r="F21" s="6">
        <v>46023</v>
      </c>
      <c r="G21" s="11" t="s">
        <v>3551</v>
      </c>
      <c r="H21" s="11" t="s">
        <v>3551</v>
      </c>
      <c r="I21" s="11" t="s">
        <v>3551</v>
      </c>
      <c r="J21" s="5">
        <v>94</v>
      </c>
      <c r="K21" s="5">
        <v>95</v>
      </c>
      <c r="L21" s="10">
        <f t="shared" si="1"/>
        <v>1.0106382978723405</v>
      </c>
      <c r="M21" s="10">
        <f t="shared" si="2"/>
        <v>1.0106382978723405</v>
      </c>
      <c r="N21" s="5" t="s">
        <v>25</v>
      </c>
      <c r="O21" s="5" t="s">
        <v>25</v>
      </c>
      <c r="P21" s="5">
        <v>1</v>
      </c>
      <c r="Q21" s="5">
        <v>1</v>
      </c>
      <c r="R21" s="5" t="str">
        <f t="shared" si="0"/>
        <v>193-2026-01-01</v>
      </c>
    </row>
    <row r="22" spans="1:18" x14ac:dyDescent="0.3">
      <c r="A22" s="5">
        <v>194</v>
      </c>
      <c r="B22" s="5" t="s">
        <v>633</v>
      </c>
      <c r="C22" s="5" t="s">
        <v>625</v>
      </c>
      <c r="D22" s="5" t="s">
        <v>21</v>
      </c>
      <c r="E22" s="5" t="s">
        <v>22</v>
      </c>
      <c r="F22" s="6">
        <v>46023</v>
      </c>
      <c r="G22" s="11" t="s">
        <v>3551</v>
      </c>
      <c r="H22" s="11" t="s">
        <v>3551</v>
      </c>
      <c r="I22" s="11" t="s">
        <v>3551</v>
      </c>
      <c r="J22" s="5">
        <v>85</v>
      </c>
      <c r="K22" s="5">
        <v>89.9</v>
      </c>
      <c r="L22" s="10">
        <f t="shared" si="1"/>
        <v>1.0576470588235294</v>
      </c>
      <c r="M22" s="10">
        <f t="shared" si="2"/>
        <v>1.0576470588235294</v>
      </c>
      <c r="N22" s="5" t="s">
        <v>25</v>
      </c>
      <c r="O22" s="5" t="s">
        <v>25</v>
      </c>
      <c r="P22" s="5">
        <v>0</v>
      </c>
      <c r="Q22" s="5">
        <v>0</v>
      </c>
      <c r="R22" s="5" t="str">
        <f t="shared" si="0"/>
        <v>194-2026-01-01</v>
      </c>
    </row>
    <row r="23" spans="1:18" x14ac:dyDescent="0.3">
      <c r="A23" s="5">
        <v>200</v>
      </c>
      <c r="B23" s="5" t="s">
        <v>668</v>
      </c>
      <c r="C23" s="5" t="s">
        <v>55</v>
      </c>
      <c r="D23" s="5" t="s">
        <v>139</v>
      </c>
      <c r="E23" s="5" t="s">
        <v>22</v>
      </c>
      <c r="F23" s="6">
        <v>46023</v>
      </c>
      <c r="G23" s="11" t="s">
        <v>3551</v>
      </c>
      <c r="H23" s="11" t="s">
        <v>3551</v>
      </c>
      <c r="I23" s="11" t="s">
        <v>3551</v>
      </c>
      <c r="J23" s="5">
        <v>87</v>
      </c>
      <c r="K23" s="5">
        <v>90.85</v>
      </c>
      <c r="L23" s="10">
        <f t="shared" si="1"/>
        <v>1.0442528735632184</v>
      </c>
      <c r="M23" s="10">
        <f t="shared" si="2"/>
        <v>1.0442528735632184</v>
      </c>
      <c r="N23" s="5" t="s">
        <v>25</v>
      </c>
      <c r="O23" s="5" t="s">
        <v>25</v>
      </c>
      <c r="P23" s="5">
        <v>0</v>
      </c>
      <c r="Q23" s="5">
        <v>1</v>
      </c>
      <c r="R23" s="5" t="str">
        <f t="shared" si="0"/>
        <v>200-2026-01-01</v>
      </c>
    </row>
    <row r="24" spans="1:18" x14ac:dyDescent="0.3">
      <c r="A24" s="5">
        <v>202</v>
      </c>
      <c r="B24" s="5" t="s">
        <v>673</v>
      </c>
      <c r="C24" s="5" t="s">
        <v>55</v>
      </c>
      <c r="D24" s="5" t="s">
        <v>139</v>
      </c>
      <c r="E24" s="5" t="s">
        <v>22</v>
      </c>
      <c r="F24" s="6">
        <v>46023</v>
      </c>
      <c r="G24" s="11" t="s">
        <v>3551</v>
      </c>
      <c r="H24" s="11" t="s">
        <v>3551</v>
      </c>
      <c r="I24" s="11" t="s">
        <v>3551</v>
      </c>
      <c r="J24" s="5">
        <v>68.7</v>
      </c>
      <c r="K24" s="5">
        <v>81</v>
      </c>
      <c r="L24" s="10">
        <f t="shared" si="1"/>
        <v>1.1790393013100435</v>
      </c>
      <c r="M24" s="10">
        <f t="shared" si="2"/>
        <v>1.1790393013100435</v>
      </c>
      <c r="N24" s="5" t="s">
        <v>197</v>
      </c>
      <c r="O24" s="5" t="s">
        <v>197</v>
      </c>
      <c r="P24" s="5">
        <v>1</v>
      </c>
      <c r="Q24" s="5">
        <v>0</v>
      </c>
      <c r="R24" s="5" t="str">
        <f t="shared" si="0"/>
        <v>202-2026-01-01</v>
      </c>
    </row>
    <row r="25" spans="1:18" x14ac:dyDescent="0.3">
      <c r="A25" s="5">
        <v>203</v>
      </c>
      <c r="B25" s="5" t="s">
        <v>676</v>
      </c>
      <c r="C25" s="5" t="s">
        <v>210</v>
      </c>
      <c r="D25" s="5" t="s">
        <v>21</v>
      </c>
      <c r="E25" s="5" t="s">
        <v>22</v>
      </c>
      <c r="F25" s="6">
        <v>46023</v>
      </c>
      <c r="G25" s="11" t="s">
        <v>3551</v>
      </c>
      <c r="H25" s="11" t="s">
        <v>3551</v>
      </c>
      <c r="I25" s="11" t="s">
        <v>3551</v>
      </c>
      <c r="J25" s="29" t="e">
        <f>+#REF!+#REF!+#REF!+#REF!</f>
        <v>#REF!</v>
      </c>
      <c r="K25" s="29" t="e">
        <f>+#REF!+#REF!+#REF!+#REF!</f>
        <v>#REF!</v>
      </c>
      <c r="L25" s="10" t="str">
        <f t="shared" si="1"/>
        <v/>
      </c>
      <c r="M25" s="10" t="str">
        <f t="shared" si="2"/>
        <v/>
      </c>
      <c r="N25" s="5" t="s">
        <v>264</v>
      </c>
      <c r="O25" s="5" t="s">
        <v>264</v>
      </c>
      <c r="P25" s="5">
        <v>0</v>
      </c>
      <c r="Q25" s="5">
        <v>0</v>
      </c>
      <c r="R25" s="5" t="str">
        <f t="shared" si="0"/>
        <v>203-2026-01-01</v>
      </c>
    </row>
    <row r="26" spans="1:18" x14ac:dyDescent="0.3">
      <c r="A26" s="5">
        <v>204</v>
      </c>
      <c r="B26" s="5" t="s">
        <v>685</v>
      </c>
      <c r="C26" s="5" t="s">
        <v>210</v>
      </c>
      <c r="D26" s="5" t="s">
        <v>21</v>
      </c>
      <c r="E26" s="5" t="s">
        <v>22</v>
      </c>
      <c r="F26" s="6">
        <v>46023</v>
      </c>
      <c r="G26" s="11" t="s">
        <v>3551</v>
      </c>
      <c r="H26" s="11" t="s">
        <v>3551</v>
      </c>
      <c r="I26" s="11" t="s">
        <v>3551</v>
      </c>
      <c r="J26" s="5">
        <v>128448.131182</v>
      </c>
      <c r="K26" s="5">
        <f>195548387375/1000000</f>
        <v>195548.38737499999</v>
      </c>
      <c r="L26" s="10">
        <f t="shared" si="1"/>
        <v>1.3</v>
      </c>
      <c r="M26" s="10">
        <f t="shared" si="2"/>
        <v>1.5223918446732765</v>
      </c>
      <c r="N26" s="5" t="s">
        <v>264</v>
      </c>
      <c r="O26" s="5" t="s">
        <v>264</v>
      </c>
      <c r="P26" s="5">
        <v>0</v>
      </c>
      <c r="Q26" s="5">
        <v>0</v>
      </c>
      <c r="R26" s="5" t="str">
        <f t="shared" si="0"/>
        <v>204-2026-01-01</v>
      </c>
    </row>
    <row r="27" spans="1:18" x14ac:dyDescent="0.3">
      <c r="A27" s="5">
        <v>205</v>
      </c>
      <c r="B27" s="5" t="s">
        <v>692</v>
      </c>
      <c r="C27" s="5" t="s">
        <v>210</v>
      </c>
      <c r="D27" s="5" t="s">
        <v>21</v>
      </c>
      <c r="E27" s="5" t="s">
        <v>22</v>
      </c>
      <c r="F27" s="6">
        <v>46023</v>
      </c>
      <c r="G27" s="11" t="s">
        <v>3551</v>
      </c>
      <c r="H27" s="11" t="s">
        <v>3551</v>
      </c>
      <c r="I27" s="11" t="s">
        <v>3551</v>
      </c>
      <c r="J27" s="8">
        <v>12114.161722000001</v>
      </c>
      <c r="K27" s="8">
        <v>22218.416439000001</v>
      </c>
      <c r="L27" s="10">
        <f t="shared" si="1"/>
        <v>1.3</v>
      </c>
      <c r="M27" s="10">
        <f t="shared" si="2"/>
        <v>1.8340861669900035</v>
      </c>
      <c r="N27" s="5" t="s">
        <v>264</v>
      </c>
      <c r="O27" s="5" t="s">
        <v>264</v>
      </c>
      <c r="P27" s="5">
        <v>0</v>
      </c>
      <c r="Q27" s="5">
        <v>0</v>
      </c>
      <c r="R27" s="5" t="str">
        <f t="shared" si="0"/>
        <v>205-2026-01-01</v>
      </c>
    </row>
    <row r="28" spans="1:18" x14ac:dyDescent="0.3">
      <c r="A28" s="5">
        <v>206</v>
      </c>
      <c r="B28" s="5" t="s">
        <v>3566</v>
      </c>
      <c r="C28" s="5" t="s">
        <v>210</v>
      </c>
      <c r="D28" s="5" t="s">
        <v>21</v>
      </c>
      <c r="E28" s="5" t="s">
        <v>22</v>
      </c>
      <c r="F28" s="6">
        <v>46023</v>
      </c>
      <c r="G28" s="11" t="s">
        <v>3551</v>
      </c>
      <c r="H28" s="6" t="s">
        <v>3551</v>
      </c>
      <c r="I28" s="6" t="s">
        <v>3551</v>
      </c>
      <c r="J28" s="7">
        <v>1</v>
      </c>
      <c r="K28" s="7">
        <v>1.37</v>
      </c>
      <c r="L28" s="10">
        <f t="shared" si="1"/>
        <v>1.3</v>
      </c>
      <c r="M28" s="10">
        <f t="shared" si="2"/>
        <v>1.37</v>
      </c>
      <c r="N28" s="5" t="s">
        <v>25</v>
      </c>
      <c r="O28" s="5" t="s">
        <v>25</v>
      </c>
      <c r="P28" s="5">
        <v>0</v>
      </c>
      <c r="Q28" s="5">
        <v>2</v>
      </c>
      <c r="R28" s="5" t="str">
        <f t="shared" si="0"/>
        <v>206-2026-01-01</v>
      </c>
    </row>
    <row r="29" spans="1:18" x14ac:dyDescent="0.3">
      <c r="A29" s="5">
        <v>207</v>
      </c>
      <c r="B29" s="5" t="s">
        <v>702</v>
      </c>
      <c r="C29" s="5" t="s">
        <v>210</v>
      </c>
      <c r="D29" s="5" t="s">
        <v>21</v>
      </c>
      <c r="E29" s="5" t="s">
        <v>56</v>
      </c>
      <c r="F29" s="6">
        <v>46023</v>
      </c>
      <c r="G29" s="11" t="s">
        <v>3551</v>
      </c>
      <c r="H29" s="11" t="s">
        <v>3551</v>
      </c>
      <c r="I29" s="11" t="s">
        <v>3551</v>
      </c>
      <c r="J29" s="5">
        <f>277178213544/1000000</f>
        <v>277178.213544</v>
      </c>
      <c r="K29" s="5">
        <f>306600939456/1000000</f>
        <v>306600.93945599999</v>
      </c>
      <c r="L29" s="10">
        <f t="shared" si="1"/>
        <v>1.1061509327728218</v>
      </c>
      <c r="M29" s="10">
        <f t="shared" si="2"/>
        <v>1.1061509327728218</v>
      </c>
      <c r="N29" s="5" t="s">
        <v>264</v>
      </c>
      <c r="O29" s="5" t="s">
        <v>264</v>
      </c>
      <c r="P29" s="5">
        <v>0</v>
      </c>
      <c r="Q29" s="5">
        <v>0</v>
      </c>
      <c r="R29" s="5" t="str">
        <f t="shared" si="0"/>
        <v>207-2026-01-01</v>
      </c>
    </row>
    <row r="30" spans="1:18" x14ac:dyDescent="0.3">
      <c r="A30" s="5">
        <v>244</v>
      </c>
      <c r="B30" s="5" t="s">
        <v>1204</v>
      </c>
      <c r="C30" s="5" t="s">
        <v>251</v>
      </c>
      <c r="D30" s="5" t="s">
        <v>139</v>
      </c>
      <c r="E30" s="5" t="s">
        <v>56</v>
      </c>
      <c r="F30" s="6">
        <v>46023</v>
      </c>
      <c r="G30" s="11" t="s">
        <v>3551</v>
      </c>
      <c r="H30" s="11" t="s">
        <v>3551</v>
      </c>
      <c r="I30" s="11" t="s">
        <v>3551</v>
      </c>
      <c r="J30" s="5">
        <v>25</v>
      </c>
      <c r="K30" s="5">
        <v>13</v>
      </c>
      <c r="L30" s="10">
        <f>IF(J30/K30&gt;1.3,1.3,J30/K30)</f>
        <v>1.3</v>
      </c>
      <c r="M30" s="10">
        <f>J30/K30</f>
        <v>1.9230769230769231</v>
      </c>
      <c r="N30" s="5" t="s">
        <v>203</v>
      </c>
      <c r="O30" s="5" t="s">
        <v>203</v>
      </c>
      <c r="P30" s="5">
        <v>0</v>
      </c>
      <c r="Q30" s="5">
        <v>0</v>
      </c>
      <c r="R30" s="5" t="str">
        <f t="shared" si="0"/>
        <v>244-2026-01-01</v>
      </c>
    </row>
    <row r="31" spans="1:18" x14ac:dyDescent="0.3">
      <c r="A31" s="5">
        <v>245</v>
      </c>
      <c r="B31" s="5" t="s">
        <v>1207</v>
      </c>
      <c r="C31" s="5" t="s">
        <v>1208</v>
      </c>
      <c r="D31" s="5" t="s">
        <v>21</v>
      </c>
      <c r="E31" s="5" t="s">
        <v>22</v>
      </c>
      <c r="F31" s="6">
        <v>46023</v>
      </c>
      <c r="G31" s="11" t="s">
        <v>3551</v>
      </c>
      <c r="H31" s="11" t="s">
        <v>3551</v>
      </c>
      <c r="I31" s="11" t="s">
        <v>3551</v>
      </c>
      <c r="J31" s="5">
        <v>86.1</v>
      </c>
      <c r="K31" s="5">
        <v>86.2</v>
      </c>
      <c r="L31" s="10">
        <f>IFERROR(IF((K31/J31)&gt;1.3,1.3,K31/J31),"")</f>
        <v>1.0011614401858304</v>
      </c>
      <c r="M31" s="10">
        <f>IFERROR(K31/J31,"")</f>
        <v>1.0011614401858304</v>
      </c>
      <c r="N31" s="5" t="s">
        <v>25</v>
      </c>
      <c r="O31" s="5" t="s">
        <v>25</v>
      </c>
      <c r="P31" s="5">
        <v>1</v>
      </c>
      <c r="Q31" s="5">
        <v>1</v>
      </c>
      <c r="R31" s="5" t="str">
        <f t="shared" si="0"/>
        <v>245-2026-01-01</v>
      </c>
    </row>
    <row r="32" spans="1:18" x14ac:dyDescent="0.3">
      <c r="A32" s="5">
        <v>248</v>
      </c>
      <c r="B32" s="5" t="s">
        <v>1233</v>
      </c>
      <c r="C32" s="5" t="s">
        <v>1234</v>
      </c>
      <c r="D32" s="5" t="s">
        <v>21</v>
      </c>
      <c r="E32" s="5" t="s">
        <v>22</v>
      </c>
      <c r="F32" s="6">
        <v>46023</v>
      </c>
      <c r="G32" s="11" t="s">
        <v>3551</v>
      </c>
      <c r="H32" s="6" t="s">
        <v>3551</v>
      </c>
      <c r="I32" s="6" t="s">
        <v>3551</v>
      </c>
      <c r="J32" s="5">
        <v>44</v>
      </c>
      <c r="K32" s="5">
        <v>44</v>
      </c>
      <c r="L32" s="10">
        <f>IFERROR(IF((K32/J32)&gt;1.3,1.3,K32/J32),"")</f>
        <v>1</v>
      </c>
      <c r="M32" s="10">
        <f>IFERROR(K32/J32,"")</f>
        <v>1</v>
      </c>
      <c r="N32" s="5" t="s">
        <v>203</v>
      </c>
      <c r="O32" s="5" t="s">
        <v>203</v>
      </c>
      <c r="P32" s="5">
        <v>0</v>
      </c>
      <c r="Q32" s="5">
        <v>0</v>
      </c>
      <c r="R32" s="5" t="str">
        <f t="shared" si="0"/>
        <v>248-2026-01-01</v>
      </c>
    </row>
    <row r="33" spans="1:18" x14ac:dyDescent="0.3">
      <c r="A33" s="5">
        <v>249</v>
      </c>
      <c r="B33" s="5" t="s">
        <v>1237</v>
      </c>
      <c r="C33" s="5" t="s">
        <v>1234</v>
      </c>
      <c r="D33" s="5" t="s">
        <v>21</v>
      </c>
      <c r="E33" s="5" t="s">
        <v>22</v>
      </c>
      <c r="F33" s="6">
        <v>46023</v>
      </c>
      <c r="G33" s="11" t="s">
        <v>3551</v>
      </c>
      <c r="H33" s="11" t="s">
        <v>3551</v>
      </c>
      <c r="I33" s="11" t="s">
        <v>3551</v>
      </c>
      <c r="J33" s="5">
        <v>98</v>
      </c>
      <c r="K33" s="5">
        <v>98</v>
      </c>
      <c r="L33" s="10">
        <f>IFERROR(IF((K33/J33)&gt;1.3,1.3,K33/J33),"")</f>
        <v>1</v>
      </c>
      <c r="M33" s="10">
        <f>IFERROR(K33/J33,"")</f>
        <v>1</v>
      </c>
      <c r="N33" s="5" t="s">
        <v>203</v>
      </c>
      <c r="O33" s="5" t="s">
        <v>203</v>
      </c>
      <c r="P33" s="5">
        <v>0</v>
      </c>
      <c r="Q33" s="5">
        <v>0</v>
      </c>
      <c r="R33" s="5" t="str">
        <f t="shared" si="0"/>
        <v>249-2026-01-01</v>
      </c>
    </row>
    <row r="34" spans="1:18" x14ac:dyDescent="0.3">
      <c r="A34" s="5">
        <v>274</v>
      </c>
      <c r="B34" s="5" t="s">
        <v>1369</v>
      </c>
      <c r="C34" s="5" t="s">
        <v>1292</v>
      </c>
      <c r="D34" s="5" t="s">
        <v>21</v>
      </c>
      <c r="E34" s="5" t="s">
        <v>22</v>
      </c>
      <c r="F34" s="6">
        <v>46023</v>
      </c>
      <c r="G34" s="11" t="s">
        <v>3551</v>
      </c>
      <c r="H34" s="6" t="s">
        <v>3551</v>
      </c>
      <c r="I34" s="6" t="s">
        <v>3551</v>
      </c>
      <c r="J34" s="7">
        <v>44737</v>
      </c>
      <c r="K34" s="7">
        <v>45583</v>
      </c>
      <c r="L34" s="10">
        <f>IFERROR(IF((K34/J34)&gt;1.3,1.3,K34/J34),"")</f>
        <v>1.0189105214922771</v>
      </c>
      <c r="M34" s="10">
        <f>IFERROR(K34/J34,"")</f>
        <v>1.0189105214922771</v>
      </c>
      <c r="N34" s="5" t="s">
        <v>203</v>
      </c>
      <c r="O34" s="5" t="s">
        <v>203</v>
      </c>
      <c r="P34" s="5">
        <v>0</v>
      </c>
      <c r="Q34" s="5">
        <v>0</v>
      </c>
      <c r="R34" s="5" t="str">
        <f t="shared" ref="R34:R65" si="3">A34&amp;"-"&amp;YEAR(F34)&amp;"-"&amp;IF(LEN(MONTH(F34))=1,"0"&amp;MONTH(F34),MONTH(F34))&amp;"-"&amp;IF(LEN(DAY(F34))=1,"0"&amp;DAY(F34),DAY(F34))</f>
        <v>274-2026-01-01</v>
      </c>
    </row>
    <row r="35" spans="1:18" x14ac:dyDescent="0.3">
      <c r="A35" s="5">
        <v>276</v>
      </c>
      <c r="B35" s="5" t="s">
        <v>1382</v>
      </c>
      <c r="C35" s="5" t="s">
        <v>1383</v>
      </c>
      <c r="D35" s="5" t="s">
        <v>21</v>
      </c>
      <c r="E35" s="5" t="s">
        <v>56</v>
      </c>
      <c r="F35" s="6">
        <v>46023</v>
      </c>
      <c r="G35" s="11" t="s">
        <v>3551</v>
      </c>
      <c r="H35" s="11" t="s">
        <v>3551</v>
      </c>
      <c r="I35" s="11" t="s">
        <v>3551</v>
      </c>
      <c r="J35" s="5">
        <v>81</v>
      </c>
      <c r="K35" s="5">
        <v>82.81</v>
      </c>
      <c r="L35" s="10">
        <f>IFERROR(IF((J35/K35)&gt;1,1,J35/K35),"")</f>
        <v>0.97814273638449456</v>
      </c>
      <c r="M35" s="10">
        <f>IFERROR(IF((J35/K35)&gt;J35/K35,1.3,J35/K35),"")</f>
        <v>0.97814273638449456</v>
      </c>
      <c r="N35" s="5" t="s">
        <v>203</v>
      </c>
      <c r="O35" s="5" t="s">
        <v>197</v>
      </c>
      <c r="P35" s="5">
        <v>0</v>
      </c>
      <c r="Q35" s="5">
        <v>1</v>
      </c>
      <c r="R35" s="5" t="str">
        <f t="shared" si="3"/>
        <v>276-2026-01-01</v>
      </c>
    </row>
    <row r="36" spans="1:18" x14ac:dyDescent="0.3">
      <c r="A36" s="5">
        <v>323</v>
      </c>
      <c r="B36" s="5" t="s">
        <v>1626</v>
      </c>
      <c r="C36" s="5" t="s">
        <v>1627</v>
      </c>
      <c r="D36" s="5" t="s">
        <v>21</v>
      </c>
      <c r="E36" s="5" t="s">
        <v>22</v>
      </c>
      <c r="F36" s="6">
        <v>46023</v>
      </c>
      <c r="G36" s="11" t="s">
        <v>3551</v>
      </c>
      <c r="H36" s="11" t="s">
        <v>3551</v>
      </c>
      <c r="I36" s="11" t="s">
        <v>3551</v>
      </c>
      <c r="J36" s="5">
        <v>21</v>
      </c>
      <c r="K36" s="5">
        <v>21</v>
      </c>
      <c r="L36" s="10">
        <f>IFERROR(IF((K36/J36)&gt;1.3,1.3,K36/J36),"")</f>
        <v>1</v>
      </c>
      <c r="M36" s="10">
        <f>IFERROR(K36/J36,"")</f>
        <v>1</v>
      </c>
      <c r="N36" s="5" t="s">
        <v>203</v>
      </c>
      <c r="O36" s="5" t="s">
        <v>203</v>
      </c>
      <c r="P36" s="5">
        <v>0</v>
      </c>
      <c r="Q36" s="5">
        <v>0</v>
      </c>
      <c r="R36" s="5" t="str">
        <f t="shared" si="3"/>
        <v>323-2026-01-01</v>
      </c>
    </row>
    <row r="37" spans="1:18" x14ac:dyDescent="0.3">
      <c r="A37" s="5">
        <v>325</v>
      </c>
      <c r="B37" s="5" t="s">
        <v>1637</v>
      </c>
      <c r="C37" s="5" t="s">
        <v>1627</v>
      </c>
      <c r="D37" s="5" t="s">
        <v>21</v>
      </c>
      <c r="E37" s="5" t="s">
        <v>22</v>
      </c>
      <c r="F37" s="6">
        <v>46023</v>
      </c>
      <c r="G37" s="11" t="s">
        <v>3551</v>
      </c>
      <c r="H37" s="6" t="s">
        <v>3551</v>
      </c>
      <c r="I37" s="6" t="s">
        <v>3551</v>
      </c>
      <c r="J37" s="5">
        <v>27</v>
      </c>
      <c r="K37" s="5">
        <v>27</v>
      </c>
      <c r="L37" s="10">
        <f>IFERROR(IF((K37/J37)&gt;1.3,1.3,K37/J37),"")</f>
        <v>1</v>
      </c>
      <c r="M37" s="10">
        <f>IFERROR(K37/J37,"")</f>
        <v>1</v>
      </c>
      <c r="N37" s="5" t="s">
        <v>203</v>
      </c>
      <c r="O37" s="5" t="s">
        <v>203</v>
      </c>
      <c r="P37" s="5">
        <v>0</v>
      </c>
      <c r="Q37" s="5">
        <v>0</v>
      </c>
      <c r="R37" s="5" t="str">
        <f t="shared" si="3"/>
        <v>325-2026-01-01</v>
      </c>
    </row>
    <row r="38" spans="1:18" x14ac:dyDescent="0.3">
      <c r="A38" s="5">
        <v>331</v>
      </c>
      <c r="B38" s="5" t="s">
        <v>1660</v>
      </c>
      <c r="C38" s="5" t="s">
        <v>1654</v>
      </c>
      <c r="D38" s="5" t="s">
        <v>139</v>
      </c>
      <c r="E38" s="5" t="s">
        <v>22</v>
      </c>
      <c r="F38" s="6">
        <v>46023</v>
      </c>
      <c r="G38" s="11" t="s">
        <v>3551</v>
      </c>
      <c r="H38" s="11" t="s">
        <v>3551</v>
      </c>
      <c r="I38" s="11" t="s">
        <v>3551</v>
      </c>
      <c r="J38" s="5"/>
      <c r="K38" s="5">
        <v>83</v>
      </c>
      <c r="L38" s="10" t="str">
        <f>IFERROR(IF((K38/J38)&gt;1.3,1.3,K38/J38),"")</f>
        <v/>
      </c>
      <c r="M38" s="10" t="str">
        <f>IFERROR(K38/J38,"")</f>
        <v/>
      </c>
      <c r="N38" s="5" t="s">
        <v>223</v>
      </c>
      <c r="O38" s="5" t="s">
        <v>25</v>
      </c>
      <c r="P38" s="5">
        <v>0</v>
      </c>
      <c r="Q38" s="5">
        <v>0</v>
      </c>
      <c r="R38" s="5" t="str">
        <f t="shared" si="3"/>
        <v>331-2026-01-01</v>
      </c>
    </row>
    <row r="39" spans="1:18" x14ac:dyDescent="0.3">
      <c r="A39" s="5">
        <v>332</v>
      </c>
      <c r="B39" s="5" t="s">
        <v>1663</v>
      </c>
      <c r="C39" s="5" t="s">
        <v>55</v>
      </c>
      <c r="D39" s="5" t="s">
        <v>21</v>
      </c>
      <c r="E39" s="5" t="s">
        <v>56</v>
      </c>
      <c r="F39" s="6">
        <v>46023</v>
      </c>
      <c r="G39" s="11" t="s">
        <v>3551</v>
      </c>
      <c r="H39" s="11" t="s">
        <v>3551</v>
      </c>
      <c r="I39" s="11" t="s">
        <v>3551</v>
      </c>
      <c r="J39" s="5">
        <v>1.18</v>
      </c>
      <c r="K39" s="5">
        <v>0.89</v>
      </c>
      <c r="L39" s="10">
        <f>IFERROR(IF((J39/K39)&gt;1.3,1.3,J39/K39),"")</f>
        <v>1.3</v>
      </c>
      <c r="M39" s="10">
        <f>IFERROR(IF((J39/K39)&gt;J39/K39,1.3,J39/K39),"")</f>
        <v>1.3258426966292134</v>
      </c>
      <c r="N39" s="5" t="s">
        <v>197</v>
      </c>
      <c r="O39" s="5" t="s">
        <v>197</v>
      </c>
      <c r="P39" s="5">
        <v>2</v>
      </c>
      <c r="Q39" s="5">
        <v>2</v>
      </c>
      <c r="R39" s="5" t="str">
        <f t="shared" si="3"/>
        <v>332-2026-01-01</v>
      </c>
    </row>
    <row r="40" spans="1:18" x14ac:dyDescent="0.3">
      <c r="A40" s="5">
        <v>334</v>
      </c>
      <c r="B40" s="5" t="s">
        <v>1668</v>
      </c>
      <c r="C40" s="5" t="s">
        <v>55</v>
      </c>
      <c r="D40" s="5" t="s">
        <v>139</v>
      </c>
      <c r="E40" s="5" t="s">
        <v>22</v>
      </c>
      <c r="F40" s="6">
        <v>46023</v>
      </c>
      <c r="G40" s="11" t="s">
        <v>3551</v>
      </c>
      <c r="H40" s="11" t="s">
        <v>3551</v>
      </c>
      <c r="I40" s="11" t="s">
        <v>3551</v>
      </c>
      <c r="J40" s="5">
        <v>89</v>
      </c>
      <c r="K40" s="5">
        <v>90.1</v>
      </c>
      <c r="L40" s="10">
        <f t="shared" ref="L40:L79" si="4">IFERROR(IF((K40/J40)&gt;1.3,1.3,K40/J40),"")</f>
        <v>1.0123595505617977</v>
      </c>
      <c r="M40" s="10">
        <f t="shared" ref="M40:M79" si="5">IFERROR(K40/J40,"")</f>
        <v>1.0123595505617977</v>
      </c>
      <c r="N40" s="5" t="s">
        <v>203</v>
      </c>
      <c r="O40" s="5" t="s">
        <v>197</v>
      </c>
      <c r="P40" s="5">
        <v>0</v>
      </c>
      <c r="Q40" s="5">
        <v>1</v>
      </c>
      <c r="R40" s="5" t="str">
        <f t="shared" si="3"/>
        <v>334-2026-01-01</v>
      </c>
    </row>
    <row r="41" spans="1:18" x14ac:dyDescent="0.3">
      <c r="A41" s="5">
        <v>335</v>
      </c>
      <c r="B41" s="5" t="s">
        <v>1671</v>
      </c>
      <c r="C41" s="5" t="s">
        <v>55</v>
      </c>
      <c r="D41" s="5" t="s">
        <v>139</v>
      </c>
      <c r="E41" s="5" t="s">
        <v>22</v>
      </c>
      <c r="F41" s="6">
        <v>46023</v>
      </c>
      <c r="G41" s="11" t="s">
        <v>3551</v>
      </c>
      <c r="H41" s="11" t="s">
        <v>3551</v>
      </c>
      <c r="I41" s="11" t="s">
        <v>3551</v>
      </c>
      <c r="J41" s="5">
        <v>82</v>
      </c>
      <c r="K41" s="5">
        <v>80.95</v>
      </c>
      <c r="L41" s="10">
        <f t="shared" si="4"/>
        <v>0.9871951219512195</v>
      </c>
      <c r="M41" s="10">
        <f t="shared" si="5"/>
        <v>0.9871951219512195</v>
      </c>
      <c r="N41" s="5" t="s">
        <v>25</v>
      </c>
      <c r="O41" s="5" t="s">
        <v>25</v>
      </c>
      <c r="P41" s="5">
        <v>0</v>
      </c>
      <c r="Q41" s="5">
        <v>0</v>
      </c>
      <c r="R41" s="5" t="str">
        <f t="shared" si="3"/>
        <v>335-2026-01-01</v>
      </c>
    </row>
    <row r="42" spans="1:18" x14ac:dyDescent="0.3">
      <c r="A42" s="5">
        <v>339</v>
      </c>
      <c r="B42" s="5" t="s">
        <v>3567</v>
      </c>
      <c r="C42" s="5" t="s">
        <v>1691</v>
      </c>
      <c r="D42" s="5" t="s">
        <v>139</v>
      </c>
      <c r="E42" s="5" t="s">
        <v>22</v>
      </c>
      <c r="F42" s="6">
        <v>46023</v>
      </c>
      <c r="G42" s="11" t="s">
        <v>3551</v>
      </c>
      <c r="H42" s="6" t="s">
        <v>3551</v>
      </c>
      <c r="I42" s="6" t="s">
        <v>3551</v>
      </c>
      <c r="J42" s="5">
        <v>30</v>
      </c>
      <c r="K42" s="5">
        <v>35.294117647058833</v>
      </c>
      <c r="L42" s="10">
        <f t="shared" si="4"/>
        <v>1.1764705882352944</v>
      </c>
      <c r="M42" s="10">
        <f t="shared" si="5"/>
        <v>1.1764705882352944</v>
      </c>
      <c r="N42" s="5" t="s">
        <v>25</v>
      </c>
      <c r="O42" s="5" t="s">
        <v>25</v>
      </c>
      <c r="P42" s="5">
        <v>0</v>
      </c>
      <c r="Q42" s="5">
        <v>1</v>
      </c>
      <c r="R42" s="5" t="str">
        <f t="shared" si="3"/>
        <v>339-2026-01-01</v>
      </c>
    </row>
    <row r="43" spans="1:18" x14ac:dyDescent="0.3">
      <c r="A43" s="5">
        <v>361</v>
      </c>
      <c r="B43" s="5" t="s">
        <v>1798</v>
      </c>
      <c r="C43" s="5" t="s">
        <v>1796</v>
      </c>
      <c r="D43" s="5" t="s">
        <v>139</v>
      </c>
      <c r="E43" s="5" t="s">
        <v>22</v>
      </c>
      <c r="F43" s="6">
        <v>46023</v>
      </c>
      <c r="G43" s="11" t="s">
        <v>3551</v>
      </c>
      <c r="H43" s="6" t="s">
        <v>3551</v>
      </c>
      <c r="I43" s="6" t="s">
        <v>3551</v>
      </c>
      <c r="J43" s="5">
        <v>4.5999999999999996</v>
      </c>
      <c r="K43" s="5">
        <v>4.78</v>
      </c>
      <c r="L43" s="10">
        <f t="shared" si="4"/>
        <v>1.0391304347826089</v>
      </c>
      <c r="M43" s="10">
        <f t="shared" si="5"/>
        <v>1.0391304347826089</v>
      </c>
      <c r="N43" s="5" t="s">
        <v>197</v>
      </c>
      <c r="O43" s="5" t="s">
        <v>197</v>
      </c>
      <c r="P43" s="5">
        <v>1</v>
      </c>
      <c r="Q43" s="5">
        <v>2</v>
      </c>
      <c r="R43" s="5" t="str">
        <f t="shared" si="3"/>
        <v>361-2026-01-01</v>
      </c>
    </row>
    <row r="44" spans="1:18" x14ac:dyDescent="0.3">
      <c r="A44" s="5">
        <v>364</v>
      </c>
      <c r="B44" s="5" t="s">
        <v>1812</v>
      </c>
      <c r="C44" s="5" t="s">
        <v>1796</v>
      </c>
      <c r="D44" s="5" t="s">
        <v>21</v>
      </c>
      <c r="E44" s="5" t="s">
        <v>22</v>
      </c>
      <c r="F44" s="6">
        <v>46023</v>
      </c>
      <c r="G44" s="11" t="s">
        <v>3551</v>
      </c>
      <c r="H44" s="11" t="s">
        <v>3551</v>
      </c>
      <c r="I44" s="11" t="s">
        <v>3551</v>
      </c>
      <c r="J44" s="5">
        <v>83197</v>
      </c>
      <c r="K44" s="5">
        <v>70233</v>
      </c>
      <c r="L44" s="10">
        <f t="shared" si="4"/>
        <v>0.84417707369256101</v>
      </c>
      <c r="M44" s="10">
        <f t="shared" si="5"/>
        <v>0.84417707369256101</v>
      </c>
      <c r="N44" s="5" t="s">
        <v>203</v>
      </c>
      <c r="O44" s="5" t="s">
        <v>203</v>
      </c>
      <c r="P44" s="5">
        <v>0</v>
      </c>
      <c r="Q44" s="5">
        <v>0</v>
      </c>
      <c r="R44" s="5" t="str">
        <f t="shared" si="3"/>
        <v>364-2026-01-01</v>
      </c>
    </row>
    <row r="45" spans="1:18" x14ac:dyDescent="0.3">
      <c r="A45" s="5">
        <v>367</v>
      </c>
      <c r="B45" s="5" t="s">
        <v>1822</v>
      </c>
      <c r="C45" s="5" t="s">
        <v>1796</v>
      </c>
      <c r="D45" s="5" t="s">
        <v>139</v>
      </c>
      <c r="E45" s="5" t="s">
        <v>22</v>
      </c>
      <c r="F45" s="6">
        <v>46023</v>
      </c>
      <c r="G45" s="11" t="s">
        <v>3551</v>
      </c>
      <c r="H45" s="11" t="s">
        <v>3551</v>
      </c>
      <c r="I45" s="11" t="s">
        <v>3551</v>
      </c>
      <c r="J45" s="5">
        <v>5</v>
      </c>
      <c r="K45" s="5">
        <v>5.4325000000000001</v>
      </c>
      <c r="L45" s="10">
        <f t="shared" si="4"/>
        <v>1.0865</v>
      </c>
      <c r="M45" s="10">
        <f t="shared" si="5"/>
        <v>1.0865</v>
      </c>
      <c r="N45" s="5" t="s">
        <v>25</v>
      </c>
      <c r="O45" s="5" t="s">
        <v>25</v>
      </c>
      <c r="P45" s="5">
        <v>0</v>
      </c>
      <c r="Q45" s="5">
        <v>2</v>
      </c>
      <c r="R45" s="5" t="str">
        <f t="shared" si="3"/>
        <v>367-2026-01-01</v>
      </c>
    </row>
    <row r="46" spans="1:18" x14ac:dyDescent="0.3">
      <c r="A46" s="5">
        <v>369</v>
      </c>
      <c r="B46" s="5" t="s">
        <v>1835</v>
      </c>
      <c r="C46" s="5" t="s">
        <v>1796</v>
      </c>
      <c r="D46" s="5" t="s">
        <v>21</v>
      </c>
      <c r="E46" s="5" t="s">
        <v>22</v>
      </c>
      <c r="F46" s="6">
        <v>46023</v>
      </c>
      <c r="G46" s="11" t="s">
        <v>3551</v>
      </c>
      <c r="H46" s="11" t="s">
        <v>3551</v>
      </c>
      <c r="I46" s="11" t="s">
        <v>3551</v>
      </c>
      <c r="J46" s="5">
        <v>378</v>
      </c>
      <c r="K46" s="5">
        <v>328</v>
      </c>
      <c r="L46" s="10">
        <f t="shared" si="4"/>
        <v>0.86772486772486768</v>
      </c>
      <c r="M46" s="10">
        <f t="shared" si="5"/>
        <v>0.86772486772486768</v>
      </c>
      <c r="N46" s="5" t="s">
        <v>203</v>
      </c>
      <c r="O46" s="5" t="s">
        <v>203</v>
      </c>
      <c r="P46" s="5">
        <v>0</v>
      </c>
      <c r="Q46" s="5">
        <v>0</v>
      </c>
      <c r="R46" s="5" t="str">
        <f t="shared" si="3"/>
        <v>369-2026-01-01</v>
      </c>
    </row>
    <row r="47" spans="1:18" x14ac:dyDescent="0.3">
      <c r="A47" s="5">
        <v>376</v>
      </c>
      <c r="B47" s="5" t="s">
        <v>1882</v>
      </c>
      <c r="C47" s="5" t="s">
        <v>210</v>
      </c>
      <c r="D47" s="5" t="s">
        <v>21</v>
      </c>
      <c r="E47" s="5" t="s">
        <v>22</v>
      </c>
      <c r="F47" s="6">
        <v>46023</v>
      </c>
      <c r="G47" s="11" t="s">
        <v>3551</v>
      </c>
      <c r="H47" s="11" t="s">
        <v>3551</v>
      </c>
      <c r="I47" s="11" t="s">
        <v>3551</v>
      </c>
      <c r="J47" s="5">
        <v>32126.4837455827</v>
      </c>
      <c r="K47" s="5">
        <f>37751457388/1000000</f>
        <v>37751.457388000003</v>
      </c>
      <c r="L47" s="10">
        <f t="shared" si="4"/>
        <v>1.1750883690528604</v>
      </c>
      <c r="M47" s="10">
        <f t="shared" si="5"/>
        <v>1.1750883690528604</v>
      </c>
      <c r="N47" s="5" t="s">
        <v>264</v>
      </c>
      <c r="O47" s="5" t="s">
        <v>264</v>
      </c>
      <c r="P47" s="5">
        <v>0</v>
      </c>
      <c r="Q47" s="5">
        <v>0</v>
      </c>
      <c r="R47" s="5" t="str">
        <f t="shared" si="3"/>
        <v>376-2026-01-01</v>
      </c>
    </row>
    <row r="48" spans="1:18" x14ac:dyDescent="0.3">
      <c r="A48" s="5">
        <v>377</v>
      </c>
      <c r="B48" s="5" t="s">
        <v>1884</v>
      </c>
      <c r="C48" s="5" t="s">
        <v>210</v>
      </c>
      <c r="D48" s="5" t="s">
        <v>21</v>
      </c>
      <c r="E48" s="5" t="s">
        <v>56</v>
      </c>
      <c r="F48" s="6">
        <v>46023</v>
      </c>
      <c r="G48" s="11" t="s">
        <v>3551</v>
      </c>
      <c r="H48" s="11" t="s">
        <v>3551</v>
      </c>
      <c r="I48" s="11" t="s">
        <v>3551</v>
      </c>
      <c r="J48" s="5">
        <f>10285243492.81/1000000</f>
        <v>10285.243492809999</v>
      </c>
      <c r="K48" s="5">
        <f>11016899103/1000000</f>
        <v>11016.899103</v>
      </c>
      <c r="L48" s="10">
        <f t="shared" si="4"/>
        <v>1.0711364403479093</v>
      </c>
      <c r="M48" s="10">
        <f t="shared" si="5"/>
        <v>1.0711364403479093</v>
      </c>
      <c r="N48" s="5" t="s">
        <v>264</v>
      </c>
      <c r="O48" s="5" t="s">
        <v>264</v>
      </c>
      <c r="P48" s="5">
        <v>0</v>
      </c>
      <c r="Q48" s="5">
        <v>0</v>
      </c>
      <c r="R48" s="5" t="str">
        <f t="shared" si="3"/>
        <v>377-2026-01-01</v>
      </c>
    </row>
    <row r="49" spans="1:18" x14ac:dyDescent="0.3">
      <c r="A49" s="5">
        <v>379</v>
      </c>
      <c r="B49" s="5" t="s">
        <v>1914</v>
      </c>
      <c r="C49" s="5" t="s">
        <v>1915</v>
      </c>
      <c r="D49" s="5" t="s">
        <v>21</v>
      </c>
      <c r="E49" s="5" t="s">
        <v>22</v>
      </c>
      <c r="F49" s="6">
        <v>46023</v>
      </c>
      <c r="G49" s="11" t="s">
        <v>3551</v>
      </c>
      <c r="H49" s="6" t="s">
        <v>3551</v>
      </c>
      <c r="I49" s="6" t="s">
        <v>3551</v>
      </c>
      <c r="J49" s="27">
        <v>90899</v>
      </c>
      <c r="K49" s="27">
        <v>92498</v>
      </c>
      <c r="L49" s="10">
        <f t="shared" si="4"/>
        <v>1.0175909525957381</v>
      </c>
      <c r="M49" s="10">
        <f t="shared" si="5"/>
        <v>1.0175909525957381</v>
      </c>
      <c r="N49" s="5" t="s">
        <v>203</v>
      </c>
      <c r="O49" s="5" t="s">
        <v>203</v>
      </c>
      <c r="P49" s="5">
        <v>0</v>
      </c>
      <c r="Q49" s="5">
        <v>0</v>
      </c>
      <c r="R49" s="5" t="str">
        <f t="shared" si="3"/>
        <v>379-2026-01-01</v>
      </c>
    </row>
    <row r="50" spans="1:18" x14ac:dyDescent="0.3">
      <c r="A50" s="5">
        <v>385</v>
      </c>
      <c r="B50" s="5" t="s">
        <v>1945</v>
      </c>
      <c r="C50" s="5" t="s">
        <v>1946</v>
      </c>
      <c r="D50" s="5" t="s">
        <v>21</v>
      </c>
      <c r="E50" s="5" t="s">
        <v>22</v>
      </c>
      <c r="F50" s="6">
        <v>46023</v>
      </c>
      <c r="G50" s="11" t="s">
        <v>3551</v>
      </c>
      <c r="H50" s="11" t="s">
        <v>3551</v>
      </c>
      <c r="I50" s="11" t="s">
        <v>3551</v>
      </c>
      <c r="J50" s="7" t="e">
        <f>+#REF!+#REF!+#REF!+#REF!</f>
        <v>#REF!</v>
      </c>
      <c r="K50" s="7" t="e">
        <f>+#REF!+#REF!+#REF!+#REF!</f>
        <v>#REF!</v>
      </c>
      <c r="L50" s="10" t="str">
        <f t="shared" si="4"/>
        <v/>
      </c>
      <c r="M50" s="10" t="str">
        <f t="shared" si="5"/>
        <v/>
      </c>
      <c r="N50" s="5" t="s">
        <v>264</v>
      </c>
      <c r="O50" s="5" t="s">
        <v>264</v>
      </c>
      <c r="P50" s="5">
        <v>0</v>
      </c>
      <c r="Q50" s="5">
        <v>0</v>
      </c>
      <c r="R50" s="5" t="str">
        <f t="shared" si="3"/>
        <v>385-2026-01-01</v>
      </c>
    </row>
    <row r="51" spans="1:18" x14ac:dyDescent="0.3">
      <c r="A51" s="5">
        <v>423</v>
      </c>
      <c r="B51" s="5" t="s">
        <v>2196</v>
      </c>
      <c r="C51" s="5" t="s">
        <v>2186</v>
      </c>
      <c r="D51" s="5" t="s">
        <v>139</v>
      </c>
      <c r="E51" s="5" t="s">
        <v>22</v>
      </c>
      <c r="F51" s="6">
        <v>46023</v>
      </c>
      <c r="G51" s="11" t="s">
        <v>3551</v>
      </c>
      <c r="H51" s="11" t="s">
        <v>3551</v>
      </c>
      <c r="I51" s="11" t="s">
        <v>3551</v>
      </c>
      <c r="J51" s="5">
        <v>12</v>
      </c>
      <c r="K51" s="5">
        <v>15.1</v>
      </c>
      <c r="L51" s="10">
        <f t="shared" si="4"/>
        <v>1.2583333333333333</v>
      </c>
      <c r="M51" s="10">
        <f t="shared" si="5"/>
        <v>1.2583333333333333</v>
      </c>
      <c r="N51" s="5" t="s">
        <v>197</v>
      </c>
      <c r="O51" s="5" t="s">
        <v>197</v>
      </c>
      <c r="P51" s="5">
        <v>1</v>
      </c>
      <c r="Q51" s="5">
        <v>1</v>
      </c>
      <c r="R51" s="5" t="str">
        <f t="shared" si="3"/>
        <v>423-2026-01-01</v>
      </c>
    </row>
    <row r="52" spans="1:18" x14ac:dyDescent="0.3">
      <c r="A52" s="5">
        <v>424</v>
      </c>
      <c r="B52" s="5" t="s">
        <v>2199</v>
      </c>
      <c r="C52" s="5" t="s">
        <v>2186</v>
      </c>
      <c r="D52" s="5" t="s">
        <v>139</v>
      </c>
      <c r="E52" s="5" t="s">
        <v>22</v>
      </c>
      <c r="F52" s="6">
        <v>46023</v>
      </c>
      <c r="G52" s="11" t="s">
        <v>3551</v>
      </c>
      <c r="H52" s="11" t="s">
        <v>3551</v>
      </c>
      <c r="I52" s="11" t="s">
        <v>3551</v>
      </c>
      <c r="J52" s="5">
        <v>9</v>
      </c>
      <c r="K52" s="5">
        <v>11</v>
      </c>
      <c r="L52" s="10">
        <f t="shared" si="4"/>
        <v>1.2222222222222223</v>
      </c>
      <c r="M52" s="10">
        <f t="shared" si="5"/>
        <v>1.2222222222222223</v>
      </c>
      <c r="N52" s="5" t="s">
        <v>203</v>
      </c>
      <c r="O52" s="5" t="s">
        <v>203</v>
      </c>
      <c r="P52" s="5">
        <v>0</v>
      </c>
      <c r="Q52" s="5">
        <v>0</v>
      </c>
      <c r="R52" s="5" t="str">
        <f t="shared" si="3"/>
        <v>424-2026-01-01</v>
      </c>
    </row>
    <row r="53" spans="1:18" x14ac:dyDescent="0.3">
      <c r="A53" s="5">
        <v>460</v>
      </c>
      <c r="B53" s="5" t="s">
        <v>2436</v>
      </c>
      <c r="C53" s="5" t="s">
        <v>55</v>
      </c>
      <c r="D53" s="5" t="s">
        <v>139</v>
      </c>
      <c r="E53" s="5" t="s">
        <v>22</v>
      </c>
      <c r="F53" s="6">
        <v>46023</v>
      </c>
      <c r="G53" s="11" t="s">
        <v>3551</v>
      </c>
      <c r="H53" s="6" t="s">
        <v>3551</v>
      </c>
      <c r="I53" s="6" t="s">
        <v>3551</v>
      </c>
      <c r="J53" s="5">
        <v>80</v>
      </c>
      <c r="K53" s="5">
        <v>84.18</v>
      </c>
      <c r="L53" s="10">
        <f t="shared" si="4"/>
        <v>1.0522500000000001</v>
      </c>
      <c r="M53" s="10">
        <f t="shared" si="5"/>
        <v>1.0522500000000001</v>
      </c>
      <c r="N53" s="22" t="s">
        <v>25</v>
      </c>
      <c r="O53" s="22" t="s">
        <v>25</v>
      </c>
      <c r="P53" s="5">
        <v>0</v>
      </c>
      <c r="Q53" s="5">
        <v>1</v>
      </c>
      <c r="R53" s="5" t="str">
        <f t="shared" si="3"/>
        <v>460-2026-01-01</v>
      </c>
    </row>
    <row r="54" spans="1:18" x14ac:dyDescent="0.3">
      <c r="A54" s="5">
        <v>463</v>
      </c>
      <c r="B54" s="5" t="s">
        <v>2441</v>
      </c>
      <c r="C54" s="5" t="s">
        <v>55</v>
      </c>
      <c r="D54" s="5" t="s">
        <v>21</v>
      </c>
      <c r="E54" s="5" t="s">
        <v>22</v>
      </c>
      <c r="F54" s="6">
        <v>46023</v>
      </c>
      <c r="G54" s="11" t="s">
        <v>3551</v>
      </c>
      <c r="H54" s="6" t="s">
        <v>3551</v>
      </c>
      <c r="I54" s="6" t="s">
        <v>3551</v>
      </c>
      <c r="J54" s="5">
        <v>100</v>
      </c>
      <c r="K54" s="5">
        <v>100</v>
      </c>
      <c r="L54" s="10">
        <f t="shared" si="4"/>
        <v>1</v>
      </c>
      <c r="M54" s="10">
        <f t="shared" si="5"/>
        <v>1</v>
      </c>
      <c r="N54" s="5" t="s">
        <v>25</v>
      </c>
      <c r="O54" s="5" t="s">
        <v>25</v>
      </c>
      <c r="P54" s="5">
        <v>0</v>
      </c>
      <c r="Q54" s="5">
        <v>0</v>
      </c>
      <c r="R54" s="5" t="str">
        <f t="shared" si="3"/>
        <v>463-2026-01-01</v>
      </c>
    </row>
    <row r="55" spans="1:18" x14ac:dyDescent="0.3">
      <c r="A55" s="5">
        <v>465</v>
      </c>
      <c r="B55" s="5" t="s">
        <v>2444</v>
      </c>
      <c r="C55" s="5" t="s">
        <v>1758</v>
      </c>
      <c r="D55" s="5" t="s">
        <v>21</v>
      </c>
      <c r="E55" s="5" t="s">
        <v>22</v>
      </c>
      <c r="F55" s="6">
        <v>46023</v>
      </c>
      <c r="G55" s="11" t="s">
        <v>3551</v>
      </c>
      <c r="H55" s="11" t="s">
        <v>3551</v>
      </c>
      <c r="I55" s="11" t="s">
        <v>3551</v>
      </c>
      <c r="J55" s="5">
        <v>100</v>
      </c>
      <c r="K55" s="5">
        <v>56.83</v>
      </c>
      <c r="L55" s="10">
        <f t="shared" si="4"/>
        <v>0.56830000000000003</v>
      </c>
      <c r="M55" s="10">
        <f t="shared" si="5"/>
        <v>0.56830000000000003</v>
      </c>
      <c r="N55" s="5" t="s">
        <v>25</v>
      </c>
      <c r="O55" s="5" t="s">
        <v>25</v>
      </c>
      <c r="P55" s="5">
        <v>0</v>
      </c>
      <c r="Q55" s="5">
        <v>0</v>
      </c>
      <c r="R55" s="5" t="str">
        <f t="shared" si="3"/>
        <v>465-2026-01-01</v>
      </c>
    </row>
    <row r="56" spans="1:18" x14ac:dyDescent="0.3">
      <c r="A56" s="5">
        <v>466</v>
      </c>
      <c r="B56" s="5" t="s">
        <v>2447</v>
      </c>
      <c r="C56" s="5" t="s">
        <v>625</v>
      </c>
      <c r="D56" s="5" t="s">
        <v>21</v>
      </c>
      <c r="E56" s="5" t="s">
        <v>22</v>
      </c>
      <c r="F56" s="6">
        <v>46023</v>
      </c>
      <c r="G56" s="11" t="s">
        <v>3551</v>
      </c>
      <c r="H56" s="11" t="s">
        <v>3551</v>
      </c>
      <c r="I56" s="11" t="s">
        <v>3551</v>
      </c>
      <c r="J56" s="5">
        <v>55</v>
      </c>
      <c r="K56" s="5">
        <v>58.6</v>
      </c>
      <c r="L56" s="10">
        <f t="shared" si="4"/>
        <v>1.0654545454545454</v>
      </c>
      <c r="M56" s="10">
        <f t="shared" si="5"/>
        <v>1.0654545454545454</v>
      </c>
      <c r="N56" s="5" t="s">
        <v>203</v>
      </c>
      <c r="O56" s="5" t="s">
        <v>197</v>
      </c>
      <c r="P56" s="5">
        <v>1</v>
      </c>
      <c r="Q56" s="5">
        <v>1</v>
      </c>
      <c r="R56" s="5" t="str">
        <f t="shared" si="3"/>
        <v>466-2026-01-01</v>
      </c>
    </row>
    <row r="57" spans="1:18" x14ac:dyDescent="0.3">
      <c r="A57" s="5">
        <v>472</v>
      </c>
      <c r="B57" s="5" t="s">
        <v>2483</v>
      </c>
      <c r="C57" s="5" t="s">
        <v>1758</v>
      </c>
      <c r="D57" s="5" t="s">
        <v>21</v>
      </c>
      <c r="E57" s="5" t="s">
        <v>22</v>
      </c>
      <c r="F57" s="6">
        <v>46023</v>
      </c>
      <c r="G57" s="11" t="s">
        <v>3551</v>
      </c>
      <c r="H57" s="11" t="s">
        <v>3551</v>
      </c>
      <c r="I57" s="11" t="s">
        <v>3551</v>
      </c>
      <c r="J57" s="5">
        <v>100</v>
      </c>
      <c r="K57" s="5">
        <v>100</v>
      </c>
      <c r="L57" s="10">
        <f t="shared" si="4"/>
        <v>1</v>
      </c>
      <c r="M57" s="10">
        <f t="shared" si="5"/>
        <v>1</v>
      </c>
      <c r="N57" s="5" t="s">
        <v>25</v>
      </c>
      <c r="O57" s="5" t="s">
        <v>25</v>
      </c>
      <c r="P57" s="5">
        <v>0</v>
      </c>
      <c r="Q57" s="5">
        <v>0</v>
      </c>
      <c r="R57" s="5" t="str">
        <f t="shared" si="3"/>
        <v>472-2026-01-01</v>
      </c>
    </row>
    <row r="58" spans="1:18" x14ac:dyDescent="0.3">
      <c r="A58" s="14">
        <v>473</v>
      </c>
      <c r="B58" s="12" t="s">
        <v>2488</v>
      </c>
      <c r="C58" s="5" t="s">
        <v>1234</v>
      </c>
      <c r="D58" s="5" t="s">
        <v>21</v>
      </c>
      <c r="E58" s="5" t="s">
        <v>22</v>
      </c>
      <c r="F58" s="6">
        <v>46023</v>
      </c>
      <c r="G58" s="11" t="s">
        <v>3551</v>
      </c>
      <c r="H58" s="6" t="s">
        <v>3551</v>
      </c>
      <c r="I58" s="6" t="s">
        <v>3551</v>
      </c>
      <c r="J58" s="5">
        <v>33</v>
      </c>
      <c r="K58" s="5">
        <v>33</v>
      </c>
      <c r="L58" s="10">
        <f t="shared" si="4"/>
        <v>1</v>
      </c>
      <c r="M58" s="10">
        <f t="shared" si="5"/>
        <v>1</v>
      </c>
      <c r="N58" s="5" t="s">
        <v>203</v>
      </c>
      <c r="O58" s="5" t="s">
        <v>203</v>
      </c>
      <c r="P58" s="5">
        <v>0</v>
      </c>
      <c r="Q58" s="5">
        <v>0</v>
      </c>
      <c r="R58" s="5" t="str">
        <f t="shared" si="3"/>
        <v>473-2026-01-01</v>
      </c>
    </row>
    <row r="59" spans="1:18" x14ac:dyDescent="0.3">
      <c r="A59" s="14">
        <v>900</v>
      </c>
      <c r="B59" s="12" t="s">
        <v>3568</v>
      </c>
      <c r="C59" s="5" t="s">
        <v>1376</v>
      </c>
      <c r="D59" s="5" t="s">
        <v>73</v>
      </c>
      <c r="E59" s="5" t="s">
        <v>22</v>
      </c>
      <c r="F59" s="6">
        <v>46023</v>
      </c>
      <c r="G59" s="11" t="s">
        <v>3551</v>
      </c>
      <c r="H59" s="6" t="s">
        <v>3551</v>
      </c>
      <c r="I59" s="6" t="s">
        <v>3551</v>
      </c>
      <c r="J59" s="8">
        <v>100</v>
      </c>
      <c r="K59" s="8">
        <v>100</v>
      </c>
      <c r="L59" s="10">
        <f t="shared" si="4"/>
        <v>1</v>
      </c>
      <c r="M59" s="10">
        <f t="shared" si="5"/>
        <v>1</v>
      </c>
      <c r="N59" s="5" t="s">
        <v>25</v>
      </c>
      <c r="O59" s="5" t="s">
        <v>25</v>
      </c>
      <c r="P59" s="5">
        <v>0</v>
      </c>
      <c r="Q59" s="5">
        <v>0</v>
      </c>
      <c r="R59" s="5" t="str">
        <f t="shared" si="3"/>
        <v>900-2026-01-01</v>
      </c>
    </row>
    <row r="60" spans="1:18" x14ac:dyDescent="0.3">
      <c r="A60" s="14">
        <v>901</v>
      </c>
      <c r="B60" s="12" t="s">
        <v>3569</v>
      </c>
      <c r="C60" s="5" t="s">
        <v>2801</v>
      </c>
      <c r="D60" s="5" t="s">
        <v>73</v>
      </c>
      <c r="E60" s="5" t="s">
        <v>22</v>
      </c>
      <c r="F60" s="6">
        <v>46023</v>
      </c>
      <c r="G60" s="11" t="s">
        <v>3551</v>
      </c>
      <c r="H60" s="6" t="s">
        <v>3551</v>
      </c>
      <c r="I60" s="6" t="s">
        <v>3551</v>
      </c>
      <c r="J60" s="15"/>
      <c r="K60" s="15"/>
      <c r="L60" s="10" t="str">
        <f t="shared" si="4"/>
        <v/>
      </c>
      <c r="M60" s="10" t="str">
        <f t="shared" si="5"/>
        <v/>
      </c>
      <c r="N60" s="5" t="s">
        <v>25</v>
      </c>
      <c r="O60" s="5" t="s">
        <v>25</v>
      </c>
      <c r="P60" s="5">
        <v>0</v>
      </c>
      <c r="Q60" s="5">
        <v>0</v>
      </c>
      <c r="R60" s="5" t="str">
        <f t="shared" si="3"/>
        <v>901-2026-01-01</v>
      </c>
    </row>
    <row r="61" spans="1:18" x14ac:dyDescent="0.3">
      <c r="A61" s="14">
        <v>902</v>
      </c>
      <c r="B61" s="12" t="s">
        <v>3570</v>
      </c>
      <c r="C61" s="5" t="s">
        <v>461</v>
      </c>
      <c r="D61" s="5" t="s">
        <v>73</v>
      </c>
      <c r="E61" s="5" t="s">
        <v>22</v>
      </c>
      <c r="F61" s="6">
        <v>46023</v>
      </c>
      <c r="G61" s="11" t="s">
        <v>3551</v>
      </c>
      <c r="H61" s="6" t="s">
        <v>3551</v>
      </c>
      <c r="I61" s="6" t="s">
        <v>3551</v>
      </c>
      <c r="J61" s="8">
        <v>100</v>
      </c>
      <c r="K61" s="8">
        <v>100</v>
      </c>
      <c r="L61" s="10">
        <f t="shared" si="4"/>
        <v>1</v>
      </c>
      <c r="M61" s="10">
        <f t="shared" si="5"/>
        <v>1</v>
      </c>
      <c r="N61" s="5" t="s">
        <v>25</v>
      </c>
      <c r="O61" s="5" t="s">
        <v>25</v>
      </c>
      <c r="P61" s="5">
        <v>0</v>
      </c>
      <c r="Q61" s="5">
        <v>0</v>
      </c>
      <c r="R61" s="5" t="str">
        <f t="shared" si="3"/>
        <v>902-2026-01-01</v>
      </c>
    </row>
    <row r="62" spans="1:18" x14ac:dyDescent="0.3">
      <c r="A62" s="14">
        <v>903</v>
      </c>
      <c r="B62" s="12" t="s">
        <v>3571</v>
      </c>
      <c r="C62" s="5" t="s">
        <v>224</v>
      </c>
      <c r="D62" s="5" t="s">
        <v>73</v>
      </c>
      <c r="E62" s="5" t="s">
        <v>22</v>
      </c>
      <c r="F62" s="6">
        <v>46023</v>
      </c>
      <c r="G62" s="11" t="s">
        <v>3551</v>
      </c>
      <c r="H62" s="6" t="s">
        <v>3551</v>
      </c>
      <c r="I62" s="6" t="s">
        <v>3551</v>
      </c>
      <c r="J62" s="8">
        <v>100</v>
      </c>
      <c r="K62" s="8">
        <v>99</v>
      </c>
      <c r="L62" s="10">
        <f t="shared" si="4"/>
        <v>0.99</v>
      </c>
      <c r="M62" s="10">
        <f t="shared" si="5"/>
        <v>0.99</v>
      </c>
      <c r="N62" s="5" t="s">
        <v>25</v>
      </c>
      <c r="O62" s="5" t="s">
        <v>25</v>
      </c>
      <c r="P62" s="5">
        <v>0</v>
      </c>
      <c r="Q62" s="5">
        <v>0</v>
      </c>
      <c r="R62" s="5" t="str">
        <f t="shared" si="3"/>
        <v>903-2026-01-01</v>
      </c>
    </row>
    <row r="63" spans="1:18" x14ac:dyDescent="0.3">
      <c r="A63" s="14">
        <v>904</v>
      </c>
      <c r="B63" s="12" t="s">
        <v>3572</v>
      </c>
      <c r="C63" s="5" t="s">
        <v>1654</v>
      </c>
      <c r="D63" s="5" t="s">
        <v>73</v>
      </c>
      <c r="E63" s="5" t="s">
        <v>22</v>
      </c>
      <c r="F63" s="6">
        <v>46023</v>
      </c>
      <c r="G63" s="11" t="s">
        <v>3551</v>
      </c>
      <c r="H63" s="6" t="s">
        <v>3551</v>
      </c>
      <c r="I63" s="6" t="s">
        <v>3551</v>
      </c>
      <c r="J63" s="8">
        <v>98</v>
      </c>
      <c r="K63" s="8">
        <v>96</v>
      </c>
      <c r="L63" s="10">
        <f t="shared" si="4"/>
        <v>0.97959183673469385</v>
      </c>
      <c r="M63" s="10">
        <f t="shared" si="5"/>
        <v>0.97959183673469385</v>
      </c>
      <c r="N63" s="5" t="s">
        <v>25</v>
      </c>
      <c r="O63" s="5" t="s">
        <v>25</v>
      </c>
      <c r="P63" s="5">
        <v>0</v>
      </c>
      <c r="Q63" s="5">
        <v>0</v>
      </c>
      <c r="R63" s="5" t="str">
        <f t="shared" si="3"/>
        <v>904-2026-01-01</v>
      </c>
    </row>
    <row r="64" spans="1:18" x14ac:dyDescent="0.3">
      <c r="A64" s="14">
        <v>905</v>
      </c>
      <c r="B64" s="12" t="s">
        <v>3573</v>
      </c>
      <c r="C64" s="5" t="s">
        <v>2801</v>
      </c>
      <c r="D64" s="5" t="s">
        <v>73</v>
      </c>
      <c r="E64" s="5" t="s">
        <v>22</v>
      </c>
      <c r="F64" s="6">
        <v>46023</v>
      </c>
      <c r="G64" s="11" t="s">
        <v>3551</v>
      </c>
      <c r="H64" s="6" t="s">
        <v>3551</v>
      </c>
      <c r="I64" s="6" t="s">
        <v>3551</v>
      </c>
      <c r="J64" s="8">
        <v>100</v>
      </c>
      <c r="K64" s="8">
        <v>100</v>
      </c>
      <c r="L64" s="10">
        <f t="shared" si="4"/>
        <v>1</v>
      </c>
      <c r="M64" s="10">
        <f t="shared" si="5"/>
        <v>1</v>
      </c>
      <c r="N64" s="5" t="s">
        <v>25</v>
      </c>
      <c r="O64" s="5" t="s">
        <v>25</v>
      </c>
      <c r="P64" s="5">
        <v>0</v>
      </c>
      <c r="Q64" s="5">
        <v>0</v>
      </c>
      <c r="R64" s="5" t="str">
        <f t="shared" si="3"/>
        <v>905-2026-01-01</v>
      </c>
    </row>
    <row r="65" spans="1:18" x14ac:dyDescent="0.3">
      <c r="A65" s="14">
        <v>906</v>
      </c>
      <c r="B65" s="12" t="s">
        <v>3574</v>
      </c>
      <c r="C65" s="5" t="s">
        <v>2801</v>
      </c>
      <c r="D65" s="5" t="s">
        <v>73</v>
      </c>
      <c r="E65" s="5" t="s">
        <v>22</v>
      </c>
      <c r="F65" s="6">
        <v>46023</v>
      </c>
      <c r="G65" s="11" t="s">
        <v>3551</v>
      </c>
      <c r="H65" s="6" t="s">
        <v>3551</v>
      </c>
      <c r="I65" s="6" t="s">
        <v>3551</v>
      </c>
      <c r="J65" s="8">
        <v>100</v>
      </c>
      <c r="K65" s="8">
        <v>100</v>
      </c>
      <c r="L65" s="10">
        <f t="shared" si="4"/>
        <v>1</v>
      </c>
      <c r="M65" s="10">
        <f t="shared" si="5"/>
        <v>1</v>
      </c>
      <c r="N65" s="5" t="s">
        <v>25</v>
      </c>
      <c r="O65" s="5" t="s">
        <v>25</v>
      </c>
      <c r="P65" s="5">
        <v>0</v>
      </c>
      <c r="Q65" s="5">
        <v>0</v>
      </c>
      <c r="R65" s="5" t="str">
        <f t="shared" si="3"/>
        <v>906-2026-01-01</v>
      </c>
    </row>
    <row r="66" spans="1:18" x14ac:dyDescent="0.3">
      <c r="A66" s="14">
        <v>907</v>
      </c>
      <c r="B66" s="12" t="s">
        <v>3575</v>
      </c>
      <c r="C66" s="5" t="s">
        <v>2801</v>
      </c>
      <c r="D66" s="5" t="s">
        <v>73</v>
      </c>
      <c r="E66" s="5" t="s">
        <v>22</v>
      </c>
      <c r="F66" s="6">
        <v>46023</v>
      </c>
      <c r="G66" s="11" t="s">
        <v>3551</v>
      </c>
      <c r="H66" s="6" t="s">
        <v>3551</v>
      </c>
      <c r="I66" s="6" t="s">
        <v>3551</v>
      </c>
      <c r="J66" s="8">
        <v>100</v>
      </c>
      <c r="K66" s="8">
        <v>100</v>
      </c>
      <c r="L66" s="10">
        <f t="shared" si="4"/>
        <v>1</v>
      </c>
      <c r="M66" s="10">
        <f t="shared" si="5"/>
        <v>1</v>
      </c>
      <c r="N66" s="5" t="s">
        <v>25</v>
      </c>
      <c r="O66" s="5" t="s">
        <v>25</v>
      </c>
      <c r="P66" s="5">
        <v>0</v>
      </c>
      <c r="Q66" s="5">
        <v>0</v>
      </c>
      <c r="R66" s="5" t="str">
        <f t="shared" ref="R66:R97" si="6">A66&amp;"-"&amp;YEAR(F66)&amp;"-"&amp;IF(LEN(MONTH(F66))=1,"0"&amp;MONTH(F66),MONTH(F66))&amp;"-"&amp;IF(LEN(DAY(F66))=1,"0"&amp;DAY(F66),DAY(F66))</f>
        <v>907-2026-01-01</v>
      </c>
    </row>
    <row r="67" spans="1:18" x14ac:dyDescent="0.3">
      <c r="A67" s="14">
        <v>908</v>
      </c>
      <c r="B67" s="12" t="s">
        <v>3576</v>
      </c>
      <c r="C67" s="5" t="s">
        <v>2186</v>
      </c>
      <c r="D67" s="5" t="s">
        <v>73</v>
      </c>
      <c r="E67" s="5" t="s">
        <v>22</v>
      </c>
      <c r="F67" s="6">
        <v>46023</v>
      </c>
      <c r="G67" s="11" t="s">
        <v>3551</v>
      </c>
      <c r="H67" s="6" t="s">
        <v>3551</v>
      </c>
      <c r="I67" s="6" t="s">
        <v>3551</v>
      </c>
      <c r="J67" s="8">
        <v>100</v>
      </c>
      <c r="K67" s="8">
        <v>100</v>
      </c>
      <c r="L67" s="10">
        <f t="shared" si="4"/>
        <v>1</v>
      </c>
      <c r="M67" s="10">
        <f t="shared" si="5"/>
        <v>1</v>
      </c>
      <c r="N67" s="5" t="s">
        <v>25</v>
      </c>
      <c r="O67" s="5" t="s">
        <v>25</v>
      </c>
      <c r="P67" s="5">
        <v>0</v>
      </c>
      <c r="Q67" s="5">
        <v>0</v>
      </c>
      <c r="R67" s="5" t="str">
        <f t="shared" si="6"/>
        <v>908-2026-01-01</v>
      </c>
    </row>
    <row r="68" spans="1:18" x14ac:dyDescent="0.3">
      <c r="A68" s="5" t="s">
        <v>3577</v>
      </c>
      <c r="B68" s="5" t="s">
        <v>3578</v>
      </c>
      <c r="C68" s="5" t="s">
        <v>1364</v>
      </c>
      <c r="D68" s="5" t="s">
        <v>73</v>
      </c>
      <c r="E68" s="5" t="s">
        <v>22</v>
      </c>
      <c r="F68" s="6">
        <v>46023</v>
      </c>
      <c r="G68" s="11" t="s">
        <v>3551</v>
      </c>
      <c r="H68" s="6" t="s">
        <v>3551</v>
      </c>
      <c r="I68" s="6" t="s">
        <v>3551</v>
      </c>
      <c r="J68" s="5">
        <v>100</v>
      </c>
      <c r="K68" s="5">
        <v>100</v>
      </c>
      <c r="L68" s="10">
        <f t="shared" si="4"/>
        <v>1</v>
      </c>
      <c r="M68" s="10">
        <f t="shared" si="5"/>
        <v>1</v>
      </c>
      <c r="N68" s="5" t="s">
        <v>25</v>
      </c>
      <c r="O68" s="5" t="s">
        <v>25</v>
      </c>
      <c r="P68" s="5">
        <v>0</v>
      </c>
      <c r="Q68" s="5">
        <v>0</v>
      </c>
      <c r="R68" s="5" t="str">
        <f t="shared" si="6"/>
        <v>10.1-2026-01-01</v>
      </c>
    </row>
    <row r="69" spans="1:18" x14ac:dyDescent="0.3">
      <c r="A69" s="14" t="s">
        <v>3579</v>
      </c>
      <c r="B69" s="12" t="s">
        <v>3580</v>
      </c>
      <c r="C69" s="5" t="s">
        <v>1303</v>
      </c>
      <c r="D69" s="5" t="s">
        <v>21</v>
      </c>
      <c r="E69" s="5" t="s">
        <v>22</v>
      </c>
      <c r="F69" s="6">
        <v>46023</v>
      </c>
      <c r="G69" s="11" t="s">
        <v>3551</v>
      </c>
      <c r="H69" s="6" t="s">
        <v>3551</v>
      </c>
      <c r="I69" s="6" t="s">
        <v>3551</v>
      </c>
      <c r="J69" s="5">
        <v>5</v>
      </c>
      <c r="K69" s="5">
        <v>3</v>
      </c>
      <c r="L69" s="10">
        <f t="shared" si="4"/>
        <v>0.6</v>
      </c>
      <c r="M69" s="10">
        <f t="shared" si="5"/>
        <v>0.6</v>
      </c>
      <c r="N69" s="5" t="s">
        <v>203</v>
      </c>
      <c r="O69" s="5" t="s">
        <v>203</v>
      </c>
      <c r="P69" s="5">
        <v>0</v>
      </c>
      <c r="Q69" s="5">
        <v>0</v>
      </c>
      <c r="R69" s="5" t="str">
        <f t="shared" si="6"/>
        <v>11.1-2026-01-01</v>
      </c>
    </row>
    <row r="70" spans="1:18" x14ac:dyDescent="0.3">
      <c r="A70" s="5" t="s">
        <v>3581</v>
      </c>
      <c r="B70" s="5" t="s">
        <v>3582</v>
      </c>
      <c r="C70" s="5" t="s">
        <v>1096</v>
      </c>
      <c r="D70" s="5" t="s">
        <v>73</v>
      </c>
      <c r="E70" s="5" t="s">
        <v>22</v>
      </c>
      <c r="F70" s="6">
        <v>46023</v>
      </c>
      <c r="G70" s="11" t="s">
        <v>3551</v>
      </c>
      <c r="H70" s="6" t="s">
        <v>3551</v>
      </c>
      <c r="I70" s="6" t="s">
        <v>3551</v>
      </c>
      <c r="J70" s="5">
        <v>100</v>
      </c>
      <c r="K70" s="5">
        <v>100</v>
      </c>
      <c r="L70" s="10">
        <f t="shared" si="4"/>
        <v>1</v>
      </c>
      <c r="M70" s="10">
        <f t="shared" si="5"/>
        <v>1</v>
      </c>
      <c r="N70" s="5" t="s">
        <v>25</v>
      </c>
      <c r="O70" s="5" t="s">
        <v>25</v>
      </c>
      <c r="P70" s="5">
        <v>0</v>
      </c>
      <c r="Q70" s="5">
        <v>0</v>
      </c>
      <c r="R70" s="5" t="str">
        <f t="shared" si="6"/>
        <v>13.1-2026-01-01</v>
      </c>
    </row>
    <row r="71" spans="1:18" x14ac:dyDescent="0.3">
      <c r="A71" s="13" t="s">
        <v>2731</v>
      </c>
      <c r="B71" s="12" t="s">
        <v>2732</v>
      </c>
      <c r="C71" s="5" t="s">
        <v>1208</v>
      </c>
      <c r="D71" s="5" t="s">
        <v>21</v>
      </c>
      <c r="E71" s="5" t="s">
        <v>22</v>
      </c>
      <c r="F71" s="6">
        <v>46023</v>
      </c>
      <c r="G71" s="11" t="s">
        <v>3551</v>
      </c>
      <c r="H71" s="11" t="s">
        <v>3551</v>
      </c>
      <c r="I71" s="11" t="s">
        <v>3551</v>
      </c>
      <c r="J71" s="5">
        <v>16671</v>
      </c>
      <c r="K71" s="5">
        <v>17478</v>
      </c>
      <c r="L71" s="10">
        <f t="shared" si="4"/>
        <v>1.0484074140723412</v>
      </c>
      <c r="M71" s="10">
        <f t="shared" si="5"/>
        <v>1.0484074140723412</v>
      </c>
      <c r="N71" s="5" t="s">
        <v>203</v>
      </c>
      <c r="O71" s="5" t="s">
        <v>203</v>
      </c>
      <c r="P71" s="5">
        <v>0</v>
      </c>
      <c r="Q71" s="5">
        <v>0</v>
      </c>
      <c r="R71" s="5" t="str">
        <f t="shared" si="6"/>
        <v>14.1-2026-01-01</v>
      </c>
    </row>
    <row r="72" spans="1:18" x14ac:dyDescent="0.3">
      <c r="A72" s="13" t="s">
        <v>2736</v>
      </c>
      <c r="B72" s="12" t="s">
        <v>2737</v>
      </c>
      <c r="C72" s="5" t="s">
        <v>1208</v>
      </c>
      <c r="D72" s="5" t="s">
        <v>21</v>
      </c>
      <c r="E72" s="5" t="s">
        <v>22</v>
      </c>
      <c r="F72" s="6">
        <v>46023</v>
      </c>
      <c r="G72" s="11" t="s">
        <v>3551</v>
      </c>
      <c r="H72" s="6" t="s">
        <v>3551</v>
      </c>
      <c r="I72" s="6" t="s">
        <v>3551</v>
      </c>
      <c r="J72" s="5">
        <v>92409</v>
      </c>
      <c r="K72" s="5">
        <v>95834</v>
      </c>
      <c r="L72" s="10">
        <f t="shared" si="4"/>
        <v>1.0370634894869548</v>
      </c>
      <c r="M72" s="10">
        <f t="shared" si="5"/>
        <v>1.0370634894869548</v>
      </c>
      <c r="N72" s="5" t="s">
        <v>203</v>
      </c>
      <c r="O72" s="5" t="s">
        <v>203</v>
      </c>
      <c r="P72" s="5">
        <v>0</v>
      </c>
      <c r="Q72" s="5">
        <v>0</v>
      </c>
      <c r="R72" s="5" t="str">
        <f t="shared" si="6"/>
        <v>14.2-2026-01-01</v>
      </c>
    </row>
    <row r="73" spans="1:18" x14ac:dyDescent="0.3">
      <c r="A73" s="13" t="s">
        <v>2741</v>
      </c>
      <c r="B73" s="12" t="s">
        <v>2742</v>
      </c>
      <c r="C73" s="5" t="s">
        <v>1208</v>
      </c>
      <c r="D73" s="5" t="s">
        <v>21</v>
      </c>
      <c r="E73" s="5" t="s">
        <v>22</v>
      </c>
      <c r="F73" s="6">
        <v>46023</v>
      </c>
      <c r="G73" s="11" t="s">
        <v>3551</v>
      </c>
      <c r="H73" s="11" t="s">
        <v>3551</v>
      </c>
      <c r="I73" s="11" t="s">
        <v>3551</v>
      </c>
      <c r="J73" s="5">
        <v>98816</v>
      </c>
      <c r="K73" s="5">
        <v>104271</v>
      </c>
      <c r="L73" s="10">
        <f t="shared" si="4"/>
        <v>1.0552036107512954</v>
      </c>
      <c r="M73" s="10">
        <f t="shared" si="5"/>
        <v>1.0552036107512954</v>
      </c>
      <c r="N73" s="5" t="s">
        <v>203</v>
      </c>
      <c r="O73" s="5" t="s">
        <v>203</v>
      </c>
      <c r="P73" s="5">
        <v>0</v>
      </c>
      <c r="Q73" s="5">
        <v>0</v>
      </c>
      <c r="R73" s="5" t="str">
        <f t="shared" si="6"/>
        <v>14.3-2026-01-01</v>
      </c>
    </row>
    <row r="74" spans="1:18" x14ac:dyDescent="0.3">
      <c r="A74" s="13" t="s">
        <v>2746</v>
      </c>
      <c r="B74" s="12" t="s">
        <v>2747</v>
      </c>
      <c r="C74" s="5" t="s">
        <v>1208</v>
      </c>
      <c r="D74" s="5" t="s">
        <v>21</v>
      </c>
      <c r="E74" s="5" t="s">
        <v>22</v>
      </c>
      <c r="F74" s="6">
        <v>46023</v>
      </c>
      <c r="G74" s="11" t="s">
        <v>3551</v>
      </c>
      <c r="H74" s="11" t="s">
        <v>3551</v>
      </c>
      <c r="I74" s="11" t="s">
        <v>3551</v>
      </c>
      <c r="J74" s="5">
        <v>7856</v>
      </c>
      <c r="K74" s="5">
        <v>9041</v>
      </c>
      <c r="L74" s="10">
        <f t="shared" si="4"/>
        <v>1.1508401221995928</v>
      </c>
      <c r="M74" s="10">
        <f t="shared" si="5"/>
        <v>1.1508401221995928</v>
      </c>
      <c r="N74" s="5" t="s">
        <v>203</v>
      </c>
      <c r="O74" s="5" t="s">
        <v>203</v>
      </c>
      <c r="P74" s="5">
        <v>0</v>
      </c>
      <c r="Q74" s="5">
        <v>0</v>
      </c>
      <c r="R74" s="5" t="str">
        <f t="shared" si="6"/>
        <v>14.4-2026-01-01</v>
      </c>
    </row>
    <row r="75" spans="1:18" x14ac:dyDescent="0.3">
      <c r="A75" s="14" t="s">
        <v>3583</v>
      </c>
      <c r="B75" s="12" t="s">
        <v>3584</v>
      </c>
      <c r="C75" s="5" t="s">
        <v>1946</v>
      </c>
      <c r="D75" s="5" t="s">
        <v>21</v>
      </c>
      <c r="E75" s="5" t="s">
        <v>22</v>
      </c>
      <c r="F75" s="6">
        <v>46023</v>
      </c>
      <c r="G75" s="11" t="s">
        <v>3551</v>
      </c>
      <c r="H75" s="11" t="s">
        <v>3551</v>
      </c>
      <c r="I75" s="11" t="s">
        <v>3551</v>
      </c>
      <c r="J75" s="25">
        <v>9719.0247152000011</v>
      </c>
      <c r="K75" s="25">
        <v>15764.228111</v>
      </c>
      <c r="L75" s="10">
        <f t="shared" si="4"/>
        <v>1.3</v>
      </c>
      <c r="M75" s="10">
        <f t="shared" si="5"/>
        <v>1.621996915631426</v>
      </c>
      <c r="N75" s="5" t="s">
        <v>264</v>
      </c>
      <c r="O75" s="5" t="s">
        <v>264</v>
      </c>
      <c r="P75" s="5">
        <v>0</v>
      </c>
      <c r="Q75" s="5">
        <v>0</v>
      </c>
      <c r="R75" s="5" t="str">
        <f t="shared" si="6"/>
        <v>386.1-2026-01-01</v>
      </c>
    </row>
    <row r="76" spans="1:18" x14ac:dyDescent="0.3">
      <c r="A76" s="14" t="s">
        <v>3585</v>
      </c>
      <c r="B76" s="5" t="s">
        <v>3586</v>
      </c>
      <c r="C76" s="5" t="s">
        <v>1946</v>
      </c>
      <c r="D76" s="5" t="s">
        <v>21</v>
      </c>
      <c r="E76" s="5" t="s">
        <v>22</v>
      </c>
      <c r="F76" s="6">
        <v>46023</v>
      </c>
      <c r="G76" s="11" t="s">
        <v>3551</v>
      </c>
      <c r="H76" s="11" t="s">
        <v>3551</v>
      </c>
      <c r="I76" s="11" t="s">
        <v>3551</v>
      </c>
      <c r="J76" s="7">
        <v>27575.2022841</v>
      </c>
      <c r="K76" s="7">
        <v>26848.239661</v>
      </c>
      <c r="L76" s="10">
        <f t="shared" si="4"/>
        <v>0.97363708829366702</v>
      </c>
      <c r="M76" s="10">
        <f t="shared" si="5"/>
        <v>0.97363708829366702</v>
      </c>
      <c r="N76" s="5" t="s">
        <v>264</v>
      </c>
      <c r="O76" s="5" t="s">
        <v>264</v>
      </c>
      <c r="P76" s="5">
        <v>0</v>
      </c>
      <c r="Q76" s="5">
        <v>0</v>
      </c>
      <c r="R76" s="5" t="str">
        <f t="shared" si="6"/>
        <v>386.2-2026-01-01</v>
      </c>
    </row>
    <row r="77" spans="1:18" x14ac:dyDescent="0.3">
      <c r="A77" s="14" t="s">
        <v>3587</v>
      </c>
      <c r="B77" s="12" t="s">
        <v>3588</v>
      </c>
      <c r="C77" s="5" t="s">
        <v>1946</v>
      </c>
      <c r="D77" s="5" t="s">
        <v>21</v>
      </c>
      <c r="E77" s="5" t="s">
        <v>22</v>
      </c>
      <c r="F77" s="6">
        <v>46023</v>
      </c>
      <c r="G77" s="11" t="s">
        <v>3551</v>
      </c>
      <c r="H77" s="11" t="s">
        <v>3551</v>
      </c>
      <c r="I77" s="11" t="s">
        <v>3551</v>
      </c>
      <c r="J77" s="7">
        <v>19404.541402700001</v>
      </c>
      <c r="K77" s="7">
        <v>18628.315503000002</v>
      </c>
      <c r="L77" s="10">
        <f t="shared" si="4"/>
        <v>0.95999771993622107</v>
      </c>
      <c r="M77" s="10">
        <f t="shared" si="5"/>
        <v>0.95999771993622107</v>
      </c>
      <c r="N77" s="5" t="s">
        <v>264</v>
      </c>
      <c r="O77" s="5" t="s">
        <v>264</v>
      </c>
      <c r="P77" s="5">
        <v>0</v>
      </c>
      <c r="Q77" s="5">
        <v>0</v>
      </c>
      <c r="R77" s="5" t="str">
        <f t="shared" si="6"/>
        <v>386.3-2026-01-01</v>
      </c>
    </row>
    <row r="78" spans="1:18" x14ac:dyDescent="0.3">
      <c r="A78" s="14" t="s">
        <v>3589</v>
      </c>
      <c r="B78" s="5" t="s">
        <v>3590</v>
      </c>
      <c r="C78" s="5" t="s">
        <v>2801</v>
      </c>
      <c r="D78" s="5" t="s">
        <v>21</v>
      </c>
      <c r="E78" s="5" t="s">
        <v>22</v>
      </c>
      <c r="F78" s="6">
        <v>46023</v>
      </c>
      <c r="G78" s="11" t="s">
        <v>3551</v>
      </c>
      <c r="H78" s="6" t="s">
        <v>3551</v>
      </c>
      <c r="I78" s="6" t="s">
        <v>3551</v>
      </c>
      <c r="J78" s="5"/>
      <c r="K78" s="5"/>
      <c r="L78" s="10" t="str">
        <f t="shared" si="4"/>
        <v/>
      </c>
      <c r="M78" s="10" t="str">
        <f t="shared" si="5"/>
        <v/>
      </c>
      <c r="N78" s="5" t="s">
        <v>1078</v>
      </c>
      <c r="O78" s="5" t="s">
        <v>1078</v>
      </c>
      <c r="P78" s="5">
        <v>0</v>
      </c>
      <c r="Q78" s="5">
        <v>0</v>
      </c>
      <c r="R78" s="5" t="str">
        <f t="shared" si="6"/>
        <v>Prov-1-2026-01-01</v>
      </c>
    </row>
    <row r="79" spans="1:18" x14ac:dyDescent="0.3">
      <c r="A79" s="14" t="s">
        <v>3591</v>
      </c>
      <c r="B79" s="5" t="s">
        <v>3592</v>
      </c>
      <c r="C79" s="5" t="s">
        <v>2801</v>
      </c>
      <c r="D79" s="5" t="s">
        <v>21</v>
      </c>
      <c r="E79" s="5" t="s">
        <v>22</v>
      </c>
      <c r="F79" s="6">
        <v>46023</v>
      </c>
      <c r="G79" s="11" t="s">
        <v>3551</v>
      </c>
      <c r="H79" s="6" t="s">
        <v>3551</v>
      </c>
      <c r="I79" s="6" t="s">
        <v>3551</v>
      </c>
      <c r="J79" s="5"/>
      <c r="K79" s="5"/>
      <c r="L79" s="10" t="str">
        <f t="shared" si="4"/>
        <v/>
      </c>
      <c r="M79" s="10" t="str">
        <f t="shared" si="5"/>
        <v/>
      </c>
      <c r="N79" s="5" t="s">
        <v>1078</v>
      </c>
      <c r="O79" s="5" t="s">
        <v>1078</v>
      </c>
      <c r="P79" s="5">
        <v>0</v>
      </c>
      <c r="Q79" s="5">
        <v>0</v>
      </c>
      <c r="R79" s="5" t="str">
        <f t="shared" si="6"/>
        <v>Prov-2-2026-01-01</v>
      </c>
    </row>
    <row r="80" spans="1:18" x14ac:dyDescent="0.3">
      <c r="A80" s="5">
        <v>8</v>
      </c>
      <c r="B80" s="5" t="s">
        <v>3593</v>
      </c>
      <c r="C80" s="5" t="s">
        <v>1234</v>
      </c>
      <c r="D80" s="5" t="s">
        <v>73</v>
      </c>
      <c r="E80" s="5" t="s">
        <v>22</v>
      </c>
      <c r="F80" s="6">
        <v>46023</v>
      </c>
      <c r="G80" s="11" t="s">
        <v>3551</v>
      </c>
      <c r="H80" s="11" t="s">
        <v>3551</v>
      </c>
      <c r="I80" s="11" t="s">
        <v>3551</v>
      </c>
      <c r="J80" s="9">
        <v>100</v>
      </c>
      <c r="K80" s="9">
        <v>100</v>
      </c>
      <c r="L80" s="10">
        <f>IFERROR(IF((K80/J80)&gt;1,1,K80/J80),"")</f>
        <v>1</v>
      </c>
      <c r="M80" s="10">
        <f>IFERROR(IF((K80/J80)&gt;1,1,K80/J80),"")</f>
        <v>1</v>
      </c>
      <c r="N80" s="5" t="s">
        <v>25</v>
      </c>
      <c r="O80" s="5" t="s">
        <v>25</v>
      </c>
      <c r="P80" s="5">
        <v>0</v>
      </c>
      <c r="Q80" s="5">
        <v>0</v>
      </c>
      <c r="R80" s="5" t="str">
        <f t="shared" si="6"/>
        <v>8-2026-01-01</v>
      </c>
    </row>
    <row r="81" spans="1:18" x14ac:dyDescent="0.3">
      <c r="A81" s="5">
        <v>909</v>
      </c>
      <c r="B81" s="5" t="s">
        <v>3594</v>
      </c>
      <c r="C81" s="5" t="s">
        <v>1364</v>
      </c>
      <c r="D81" s="5" t="s">
        <v>73</v>
      </c>
      <c r="E81" s="5" t="s">
        <v>22</v>
      </c>
      <c r="F81" s="6">
        <v>46023</v>
      </c>
      <c r="G81" s="11" t="s">
        <v>3551</v>
      </c>
      <c r="H81" s="11" t="s">
        <v>3551</v>
      </c>
      <c r="I81" s="11" t="s">
        <v>3551</v>
      </c>
      <c r="J81" s="5">
        <v>67</v>
      </c>
      <c r="K81" s="5">
        <v>66</v>
      </c>
      <c r="L81" s="10">
        <f t="shared" ref="L81:L91" si="7">IFERROR(IF((K81/J81)&gt;1.3,1.3,K81/J81),"")</f>
        <v>0.9850746268656716</v>
      </c>
      <c r="M81" s="10">
        <f t="shared" ref="M81:M91" si="8">IFERROR(K81/J81,"")</f>
        <v>0.9850746268656716</v>
      </c>
      <c r="N81" s="5" t="s">
        <v>25</v>
      </c>
      <c r="O81" s="5" t="s">
        <v>25</v>
      </c>
      <c r="P81" s="5">
        <v>0</v>
      </c>
      <c r="Q81" s="5">
        <v>0</v>
      </c>
      <c r="R81" s="5" t="str">
        <f t="shared" si="6"/>
        <v>909-2026-01-01</v>
      </c>
    </row>
    <row r="82" spans="1:18" x14ac:dyDescent="0.3">
      <c r="A82" s="5">
        <v>910</v>
      </c>
      <c r="B82" s="5" t="s">
        <v>3595</v>
      </c>
      <c r="C82" s="5" t="s">
        <v>190</v>
      </c>
      <c r="D82" s="5" t="s">
        <v>73</v>
      </c>
      <c r="E82" s="5" t="s">
        <v>22</v>
      </c>
      <c r="F82" s="6">
        <v>46023</v>
      </c>
      <c r="G82" s="11" t="s">
        <v>3551</v>
      </c>
      <c r="H82" s="11" t="s">
        <v>3551</v>
      </c>
      <c r="I82" s="11" t="s">
        <v>3551</v>
      </c>
      <c r="J82" s="5">
        <v>48</v>
      </c>
      <c r="K82" s="5">
        <v>47</v>
      </c>
      <c r="L82" s="10">
        <f t="shared" si="7"/>
        <v>0.97916666666666663</v>
      </c>
      <c r="M82" s="10">
        <f t="shared" si="8"/>
        <v>0.97916666666666663</v>
      </c>
      <c r="N82" s="5" t="s">
        <v>25</v>
      </c>
      <c r="O82" s="5" t="s">
        <v>25</v>
      </c>
      <c r="P82" s="5">
        <v>0</v>
      </c>
      <c r="Q82" s="5">
        <v>0</v>
      </c>
      <c r="R82" s="5" t="str">
        <f t="shared" si="6"/>
        <v>910-2026-01-01</v>
      </c>
    </row>
    <row r="83" spans="1:18" x14ac:dyDescent="0.3">
      <c r="A83" s="5">
        <v>911</v>
      </c>
      <c r="B83" s="5" t="s">
        <v>3453</v>
      </c>
      <c r="C83" s="5" t="s">
        <v>1383</v>
      </c>
      <c r="D83" s="5" t="s">
        <v>73</v>
      </c>
      <c r="E83" s="5" t="s">
        <v>22</v>
      </c>
      <c r="F83" s="6">
        <v>46023</v>
      </c>
      <c r="G83" s="11" t="s">
        <v>3551</v>
      </c>
      <c r="H83" s="11" t="s">
        <v>3551</v>
      </c>
      <c r="I83" s="11" t="s">
        <v>3551</v>
      </c>
      <c r="J83" s="5">
        <v>76</v>
      </c>
      <c r="K83" s="5">
        <v>75</v>
      </c>
      <c r="L83" s="10">
        <f t="shared" si="7"/>
        <v>0.98684210526315785</v>
      </c>
      <c r="M83" s="10">
        <f t="shared" si="8"/>
        <v>0.98684210526315785</v>
      </c>
      <c r="N83" s="5" t="s">
        <v>25</v>
      </c>
      <c r="O83" s="5" t="s">
        <v>25</v>
      </c>
      <c r="P83" s="5">
        <v>0</v>
      </c>
      <c r="Q83" s="5">
        <v>0</v>
      </c>
      <c r="R83" s="5" t="str">
        <f t="shared" si="6"/>
        <v>911-2026-01-01</v>
      </c>
    </row>
    <row r="84" spans="1:18" x14ac:dyDescent="0.3">
      <c r="A84" s="5">
        <v>912</v>
      </c>
      <c r="B84" s="5" t="s">
        <v>3596</v>
      </c>
      <c r="C84" s="5" t="s">
        <v>1234</v>
      </c>
      <c r="D84" s="5" t="s">
        <v>73</v>
      </c>
      <c r="E84" s="5" t="s">
        <v>22</v>
      </c>
      <c r="F84" s="6">
        <v>46023</v>
      </c>
      <c r="G84" s="11" t="s">
        <v>3551</v>
      </c>
      <c r="H84" s="11" t="s">
        <v>3551</v>
      </c>
      <c r="I84" s="11" t="s">
        <v>3551</v>
      </c>
      <c r="J84" s="5">
        <v>46</v>
      </c>
      <c r="K84" s="5">
        <v>46</v>
      </c>
      <c r="L84" s="10">
        <f t="shared" si="7"/>
        <v>1</v>
      </c>
      <c r="M84" s="10">
        <f t="shared" si="8"/>
        <v>1</v>
      </c>
      <c r="N84" s="5" t="s">
        <v>25</v>
      </c>
      <c r="O84" s="5" t="s">
        <v>25</v>
      </c>
      <c r="P84" s="5">
        <v>0</v>
      </c>
      <c r="Q84" s="5">
        <v>0</v>
      </c>
      <c r="R84" s="5" t="str">
        <f t="shared" si="6"/>
        <v>912-2026-01-01</v>
      </c>
    </row>
    <row r="85" spans="1:18" x14ac:dyDescent="0.3">
      <c r="A85" s="5">
        <v>913</v>
      </c>
      <c r="B85" s="5" t="s">
        <v>3597</v>
      </c>
      <c r="C85" s="5" t="s">
        <v>1303</v>
      </c>
      <c r="D85" s="5" t="s">
        <v>73</v>
      </c>
      <c r="E85" s="5" t="s">
        <v>22</v>
      </c>
      <c r="F85" s="6">
        <v>46023</v>
      </c>
      <c r="G85" s="11" t="s">
        <v>3551</v>
      </c>
      <c r="H85" s="11" t="s">
        <v>3551</v>
      </c>
      <c r="I85" s="11" t="s">
        <v>3551</v>
      </c>
      <c r="J85" s="5">
        <v>75</v>
      </c>
      <c r="K85" s="5">
        <v>81</v>
      </c>
      <c r="L85" s="10">
        <f t="shared" si="7"/>
        <v>1.08</v>
      </c>
      <c r="M85" s="10">
        <f t="shared" si="8"/>
        <v>1.08</v>
      </c>
      <c r="N85" s="5" t="s">
        <v>25</v>
      </c>
      <c r="O85" s="5" t="s">
        <v>25</v>
      </c>
      <c r="P85" s="5">
        <v>0</v>
      </c>
      <c r="Q85" s="5">
        <v>0</v>
      </c>
      <c r="R85" s="5" t="str">
        <f t="shared" si="6"/>
        <v>913-2026-01-01</v>
      </c>
    </row>
    <row r="86" spans="1:18" x14ac:dyDescent="0.3">
      <c r="A86" s="5">
        <v>914</v>
      </c>
      <c r="B86" s="5" t="s">
        <v>3598</v>
      </c>
      <c r="C86" s="5" t="s">
        <v>55</v>
      </c>
      <c r="D86" s="5" t="s">
        <v>73</v>
      </c>
      <c r="E86" s="5" t="s">
        <v>22</v>
      </c>
      <c r="F86" s="6">
        <v>46023</v>
      </c>
      <c r="G86" s="11" t="s">
        <v>3551</v>
      </c>
      <c r="H86" s="11" t="s">
        <v>3551</v>
      </c>
      <c r="I86" s="11" t="s">
        <v>3551</v>
      </c>
      <c r="J86" s="5">
        <v>41</v>
      </c>
      <c r="K86" s="5">
        <v>39</v>
      </c>
      <c r="L86" s="10">
        <f t="shared" si="7"/>
        <v>0.95121951219512191</v>
      </c>
      <c r="M86" s="10">
        <f t="shared" si="8"/>
        <v>0.95121951219512191</v>
      </c>
      <c r="N86" s="5" t="s">
        <v>25</v>
      </c>
      <c r="O86" s="5" t="s">
        <v>25</v>
      </c>
      <c r="P86" s="5">
        <v>0</v>
      </c>
      <c r="Q86" s="5">
        <v>0</v>
      </c>
      <c r="R86" s="5" t="str">
        <f t="shared" si="6"/>
        <v>914-2026-01-01</v>
      </c>
    </row>
    <row r="87" spans="1:18" x14ac:dyDescent="0.3">
      <c r="A87" s="5">
        <v>915</v>
      </c>
      <c r="B87" s="5" t="s">
        <v>3461</v>
      </c>
      <c r="C87" s="5" t="s">
        <v>1758</v>
      </c>
      <c r="D87" s="5" t="s">
        <v>73</v>
      </c>
      <c r="E87" s="5" t="s">
        <v>22</v>
      </c>
      <c r="F87" s="6">
        <v>46023</v>
      </c>
      <c r="G87" s="11" t="s">
        <v>3551</v>
      </c>
      <c r="H87" s="11" t="s">
        <v>3551</v>
      </c>
      <c r="I87" s="11" t="s">
        <v>3551</v>
      </c>
      <c r="J87" s="5">
        <v>12</v>
      </c>
      <c r="K87" s="5">
        <v>56</v>
      </c>
      <c r="L87" s="10">
        <f t="shared" si="7"/>
        <v>1.3</v>
      </c>
      <c r="M87" s="10">
        <f t="shared" si="8"/>
        <v>4.666666666666667</v>
      </c>
      <c r="N87" s="5" t="s">
        <v>25</v>
      </c>
      <c r="O87" s="5" t="s">
        <v>25</v>
      </c>
      <c r="P87" s="5">
        <v>0</v>
      </c>
      <c r="Q87" s="5">
        <v>0</v>
      </c>
      <c r="R87" s="5" t="str">
        <f t="shared" si="6"/>
        <v>915-2026-01-01</v>
      </c>
    </row>
    <row r="88" spans="1:18" x14ac:dyDescent="0.3">
      <c r="A88" s="5">
        <v>916</v>
      </c>
      <c r="B88" s="5" t="s">
        <v>3463</v>
      </c>
      <c r="C88" s="5" t="s">
        <v>258</v>
      </c>
      <c r="D88" s="5" t="s">
        <v>73</v>
      </c>
      <c r="E88" s="5" t="s">
        <v>22</v>
      </c>
      <c r="F88" s="6">
        <v>46023</v>
      </c>
      <c r="G88" s="11" t="s">
        <v>3551</v>
      </c>
      <c r="H88" s="11" t="s">
        <v>3551</v>
      </c>
      <c r="I88" s="11" t="s">
        <v>3551</v>
      </c>
      <c r="J88" s="5">
        <v>26</v>
      </c>
      <c r="K88" s="5">
        <v>24</v>
      </c>
      <c r="L88" s="10">
        <f t="shared" si="7"/>
        <v>0.92307692307692313</v>
      </c>
      <c r="M88" s="10">
        <f t="shared" si="8"/>
        <v>0.92307692307692313</v>
      </c>
      <c r="N88" s="5" t="s">
        <v>25</v>
      </c>
      <c r="O88" s="5" t="s">
        <v>25</v>
      </c>
      <c r="P88" s="5">
        <v>0</v>
      </c>
      <c r="Q88" s="5">
        <v>0</v>
      </c>
      <c r="R88" s="5" t="str">
        <f t="shared" si="6"/>
        <v>916-2026-01-01</v>
      </c>
    </row>
    <row r="89" spans="1:18" x14ac:dyDescent="0.3">
      <c r="A89" s="5">
        <v>917</v>
      </c>
      <c r="B89" s="5" t="s">
        <v>3599</v>
      </c>
      <c r="C89" s="5" t="s">
        <v>625</v>
      </c>
      <c r="D89" s="5" t="s">
        <v>73</v>
      </c>
      <c r="E89" s="5" t="s">
        <v>22</v>
      </c>
      <c r="F89" s="6">
        <v>46023</v>
      </c>
      <c r="G89" s="11" t="s">
        <v>3551</v>
      </c>
      <c r="H89" s="11" t="s">
        <v>3551</v>
      </c>
      <c r="I89" s="11" t="s">
        <v>3551</v>
      </c>
      <c r="J89" s="5">
        <v>90</v>
      </c>
      <c r="K89" s="5">
        <v>90</v>
      </c>
      <c r="L89" s="10">
        <f t="shared" si="7"/>
        <v>1</v>
      </c>
      <c r="M89" s="10">
        <f t="shared" si="8"/>
        <v>1</v>
      </c>
      <c r="N89" s="5" t="s">
        <v>25</v>
      </c>
      <c r="O89" s="5" t="s">
        <v>25</v>
      </c>
      <c r="P89" s="5">
        <v>0</v>
      </c>
      <c r="Q89" s="5">
        <v>0</v>
      </c>
      <c r="R89" s="5" t="str">
        <f t="shared" si="6"/>
        <v>917-2026-01-01</v>
      </c>
    </row>
    <row r="90" spans="1:18" x14ac:dyDescent="0.3">
      <c r="A90" s="5">
        <v>918</v>
      </c>
      <c r="B90" s="5" t="s">
        <v>3600</v>
      </c>
      <c r="C90" s="5" t="s">
        <v>94</v>
      </c>
      <c r="D90" s="5" t="s">
        <v>73</v>
      </c>
      <c r="E90" s="5" t="s">
        <v>22</v>
      </c>
      <c r="F90" s="6">
        <v>46023</v>
      </c>
      <c r="G90" s="11" t="s">
        <v>3551</v>
      </c>
      <c r="H90" s="11" t="s">
        <v>3551</v>
      </c>
      <c r="I90" s="11" t="s">
        <v>3551</v>
      </c>
      <c r="J90" s="5">
        <v>77</v>
      </c>
      <c r="K90" s="5">
        <v>81</v>
      </c>
      <c r="L90" s="10">
        <f t="shared" si="7"/>
        <v>1.051948051948052</v>
      </c>
      <c r="M90" s="10">
        <f t="shared" si="8"/>
        <v>1.051948051948052</v>
      </c>
      <c r="N90" s="5" t="s">
        <v>25</v>
      </c>
      <c r="O90" s="5" t="s">
        <v>25</v>
      </c>
      <c r="P90" s="5">
        <v>0</v>
      </c>
      <c r="Q90" s="5">
        <v>0</v>
      </c>
      <c r="R90" s="5" t="str">
        <f t="shared" si="6"/>
        <v>918-2026-01-01</v>
      </c>
    </row>
    <row r="91" spans="1:18" x14ac:dyDescent="0.3">
      <c r="A91" s="5">
        <v>919</v>
      </c>
      <c r="B91" s="5" t="s">
        <v>3601</v>
      </c>
      <c r="C91" s="5" t="s">
        <v>1801</v>
      </c>
      <c r="D91" s="5" t="s">
        <v>73</v>
      </c>
      <c r="E91" s="5" t="s">
        <v>22</v>
      </c>
      <c r="F91" s="6">
        <v>46023</v>
      </c>
      <c r="G91" s="11" t="s">
        <v>3551</v>
      </c>
      <c r="H91" s="11" t="s">
        <v>3551</v>
      </c>
      <c r="I91" s="11" t="s">
        <v>3551</v>
      </c>
      <c r="J91" s="5">
        <v>95</v>
      </c>
      <c r="K91" s="5">
        <v>92</v>
      </c>
      <c r="L91" s="10">
        <f t="shared" si="7"/>
        <v>0.96842105263157896</v>
      </c>
      <c r="M91" s="10">
        <f t="shared" si="8"/>
        <v>0.96842105263157896</v>
      </c>
      <c r="N91" s="5" t="s">
        <v>25</v>
      </c>
      <c r="O91" s="5" t="s">
        <v>25</v>
      </c>
      <c r="P91" s="5">
        <v>0</v>
      </c>
      <c r="Q91" s="5">
        <v>0</v>
      </c>
      <c r="R91" s="5" t="str">
        <f t="shared" si="6"/>
        <v>919-2026-01-01</v>
      </c>
    </row>
    <row r="92" spans="1:18" x14ac:dyDescent="0.3">
      <c r="A92" s="5">
        <v>921</v>
      </c>
      <c r="B92" s="5" t="s">
        <v>3602</v>
      </c>
      <c r="C92" s="5" t="s">
        <v>94</v>
      </c>
      <c r="D92" s="5" t="s">
        <v>73</v>
      </c>
      <c r="E92" s="5" t="s">
        <v>22</v>
      </c>
      <c r="F92" s="6">
        <v>46023</v>
      </c>
      <c r="G92" s="11" t="s">
        <v>3551</v>
      </c>
      <c r="H92" s="11" t="s">
        <v>3551</v>
      </c>
      <c r="I92" s="11" t="s">
        <v>3551</v>
      </c>
      <c r="J92" s="5">
        <v>100</v>
      </c>
      <c r="K92" s="5">
        <v>100</v>
      </c>
      <c r="L92" s="10">
        <v>1</v>
      </c>
      <c r="M92" s="10">
        <v>1</v>
      </c>
      <c r="N92" s="5" t="s">
        <v>25</v>
      </c>
      <c r="O92" s="5" t="s">
        <v>25</v>
      </c>
      <c r="P92" s="5">
        <v>0</v>
      </c>
      <c r="Q92" s="5">
        <v>0</v>
      </c>
      <c r="R92" s="5" t="str">
        <f t="shared" si="6"/>
        <v>921-2026-01-01</v>
      </c>
    </row>
    <row r="93" spans="1:18" x14ac:dyDescent="0.3">
      <c r="A93" s="5">
        <v>920</v>
      </c>
      <c r="B93" s="5" t="s">
        <v>3603</v>
      </c>
      <c r="C93" s="5" t="s">
        <v>94</v>
      </c>
      <c r="D93" s="5" t="s">
        <v>73</v>
      </c>
      <c r="E93" s="5" t="s">
        <v>22</v>
      </c>
      <c r="F93" s="6">
        <v>46023</v>
      </c>
      <c r="G93" s="11" t="s">
        <v>3551</v>
      </c>
      <c r="H93" s="11" t="s">
        <v>3551</v>
      </c>
      <c r="I93" s="11" t="s">
        <v>3551</v>
      </c>
      <c r="J93" s="5">
        <v>100</v>
      </c>
      <c r="K93" s="5">
        <v>100</v>
      </c>
      <c r="L93" s="10">
        <v>1</v>
      </c>
      <c r="M93" s="10">
        <v>1</v>
      </c>
      <c r="N93" s="5" t="s">
        <v>25</v>
      </c>
      <c r="O93" s="5" t="s">
        <v>25</v>
      </c>
      <c r="P93" s="5">
        <v>0</v>
      </c>
      <c r="Q93" s="5">
        <v>0</v>
      </c>
      <c r="R93" s="5" t="str">
        <f t="shared" si="6"/>
        <v>920-2026-01-01</v>
      </c>
    </row>
    <row r="94" spans="1:18" x14ac:dyDescent="0.3">
      <c r="A94" s="5">
        <v>922</v>
      </c>
      <c r="B94" s="5" t="s">
        <v>3604</v>
      </c>
      <c r="C94" s="5" t="s">
        <v>1208</v>
      </c>
      <c r="D94" s="5" t="s">
        <v>73</v>
      </c>
      <c r="E94" s="5" t="s">
        <v>22</v>
      </c>
      <c r="F94" s="6">
        <v>46023</v>
      </c>
      <c r="G94" s="11" t="s">
        <v>3551</v>
      </c>
      <c r="H94" s="11" t="s">
        <v>3551</v>
      </c>
      <c r="I94" s="11" t="s">
        <v>3551</v>
      </c>
      <c r="J94" s="5">
        <v>100</v>
      </c>
      <c r="K94" s="5">
        <v>99</v>
      </c>
      <c r="L94" s="10">
        <v>0.95604395604395609</v>
      </c>
      <c r="M94" s="10">
        <v>0.95604395604395609</v>
      </c>
      <c r="N94" s="5" t="s">
        <v>25</v>
      </c>
      <c r="O94" s="5" t="s">
        <v>25</v>
      </c>
      <c r="P94" s="5">
        <v>0</v>
      </c>
      <c r="Q94" s="5">
        <v>0</v>
      </c>
      <c r="R94" s="5" t="str">
        <f t="shared" si="6"/>
        <v>922-2026-01-01</v>
      </c>
    </row>
    <row r="95" spans="1:18" x14ac:dyDescent="0.3">
      <c r="A95" s="5">
        <v>925</v>
      </c>
      <c r="B95" s="5" t="s">
        <v>3605</v>
      </c>
      <c r="C95" s="5" t="s">
        <v>210</v>
      </c>
      <c r="D95" s="5" t="s">
        <v>73</v>
      </c>
      <c r="E95" s="5" t="s">
        <v>22</v>
      </c>
      <c r="F95" s="6">
        <v>46023</v>
      </c>
      <c r="G95" s="11" t="s">
        <v>3551</v>
      </c>
      <c r="H95" s="11" t="s">
        <v>3551</v>
      </c>
      <c r="I95" s="11" t="s">
        <v>3551</v>
      </c>
      <c r="J95" s="15">
        <v>100</v>
      </c>
      <c r="K95" s="15">
        <v>100</v>
      </c>
      <c r="L95" s="10">
        <v>1</v>
      </c>
      <c r="M95" s="10">
        <v>1</v>
      </c>
      <c r="N95" s="5" t="s">
        <v>25</v>
      </c>
      <c r="O95" s="5" t="s">
        <v>25</v>
      </c>
      <c r="P95" s="5">
        <v>0</v>
      </c>
      <c r="Q95" s="5">
        <v>0</v>
      </c>
      <c r="R95" s="5" t="str">
        <f t="shared" si="6"/>
        <v>925-2026-01-01</v>
      </c>
    </row>
    <row r="96" spans="1:18" x14ac:dyDescent="0.3">
      <c r="A96" s="5">
        <v>923</v>
      </c>
      <c r="B96" s="5" t="s">
        <v>3606</v>
      </c>
      <c r="C96" s="5" t="s">
        <v>2801</v>
      </c>
      <c r="D96" s="5" t="s">
        <v>73</v>
      </c>
      <c r="E96" s="5" t="s">
        <v>22</v>
      </c>
      <c r="F96" s="6">
        <v>46023</v>
      </c>
      <c r="G96" s="11" t="s">
        <v>3551</v>
      </c>
      <c r="H96" s="11" t="s">
        <v>3551</v>
      </c>
      <c r="I96" s="11" t="s">
        <v>3551</v>
      </c>
      <c r="J96" s="5">
        <v>100</v>
      </c>
      <c r="K96" s="5">
        <v>98</v>
      </c>
      <c r="L96" s="10">
        <v>0.98</v>
      </c>
      <c r="M96" s="10">
        <v>0.98</v>
      </c>
      <c r="N96" s="5" t="s">
        <v>25</v>
      </c>
      <c r="O96" s="5" t="s">
        <v>25</v>
      </c>
      <c r="P96" s="5">
        <v>0</v>
      </c>
      <c r="Q96" s="5">
        <v>0</v>
      </c>
      <c r="R96" s="5" t="str">
        <f t="shared" si="6"/>
        <v>923-2026-01-01</v>
      </c>
    </row>
    <row r="97" spans="1:18" x14ac:dyDescent="0.3">
      <c r="A97" s="5">
        <v>924</v>
      </c>
      <c r="B97" s="5" t="s">
        <v>3472</v>
      </c>
      <c r="C97" s="5" t="s">
        <v>1654</v>
      </c>
      <c r="D97" s="5" t="s">
        <v>73</v>
      </c>
      <c r="E97" s="5" t="s">
        <v>22</v>
      </c>
      <c r="F97" s="6">
        <v>46023</v>
      </c>
      <c r="G97" s="11" t="s">
        <v>3551</v>
      </c>
      <c r="H97" s="11" t="s">
        <v>3551</v>
      </c>
      <c r="I97" s="11" t="s">
        <v>3551</v>
      </c>
      <c r="J97" s="5">
        <v>65</v>
      </c>
      <c r="K97" s="5">
        <v>65</v>
      </c>
      <c r="L97" s="10">
        <v>1</v>
      </c>
      <c r="M97" s="10">
        <v>1</v>
      </c>
      <c r="N97" s="5" t="s">
        <v>25</v>
      </c>
      <c r="O97" s="5" t="s">
        <v>25</v>
      </c>
      <c r="P97" s="5">
        <v>0</v>
      </c>
      <c r="Q97" s="5">
        <v>0</v>
      </c>
      <c r="R97" s="5" t="str">
        <f t="shared" si="6"/>
        <v>924-2026-01-01</v>
      </c>
    </row>
  </sheetData>
  <autoFilter ref="A1:R97" xr:uid="{00000000-0009-0000-0000-000003000000}"/>
  <conditionalFormatting sqref="A21">
    <cfRule type="duplicateValues" dxfId="71" priority="91"/>
    <cfRule type="duplicateValues" dxfId="70" priority="92"/>
  </conditionalFormatting>
  <conditionalFormatting sqref="A66">
    <cfRule type="duplicateValues" dxfId="69" priority="85"/>
    <cfRule type="duplicateValues" dxfId="68" priority="87"/>
    <cfRule type="duplicateValues" dxfId="67" priority="88"/>
    <cfRule type="duplicateValues" dxfId="66" priority="89"/>
  </conditionalFormatting>
  <conditionalFormatting sqref="A67">
    <cfRule type="duplicateValues" dxfId="65" priority="79"/>
    <cfRule type="duplicateValues" dxfId="64" priority="81"/>
    <cfRule type="duplicateValues" dxfId="63" priority="82"/>
    <cfRule type="duplicateValues" dxfId="62" priority="83"/>
  </conditionalFormatting>
  <conditionalFormatting sqref="A68">
    <cfRule type="duplicateValues" dxfId="61" priority="73"/>
    <cfRule type="duplicateValues" dxfId="60" priority="75"/>
    <cfRule type="duplicateValues" dxfId="59" priority="76"/>
    <cfRule type="duplicateValues" dxfId="58" priority="77"/>
  </conditionalFormatting>
  <conditionalFormatting sqref="A69">
    <cfRule type="duplicateValues" dxfId="57" priority="67"/>
    <cfRule type="duplicateValues" dxfId="56" priority="69"/>
    <cfRule type="duplicateValues" dxfId="55" priority="70"/>
    <cfRule type="duplicateValues" dxfId="54" priority="71"/>
  </conditionalFormatting>
  <conditionalFormatting sqref="A70">
    <cfRule type="duplicateValues" dxfId="53" priority="61"/>
    <cfRule type="duplicateValues" dxfId="52" priority="63"/>
    <cfRule type="duplicateValues" dxfId="51" priority="64"/>
    <cfRule type="duplicateValues" dxfId="50" priority="65"/>
  </conditionalFormatting>
  <conditionalFormatting sqref="A71">
    <cfRule type="duplicateValues" dxfId="49" priority="55"/>
    <cfRule type="duplicateValues" dxfId="48" priority="57"/>
    <cfRule type="duplicateValues" dxfId="47" priority="58"/>
    <cfRule type="duplicateValues" dxfId="46" priority="59"/>
  </conditionalFormatting>
  <conditionalFormatting sqref="A72">
    <cfRule type="duplicateValues" dxfId="45" priority="49"/>
    <cfRule type="duplicateValues" dxfId="44" priority="51"/>
    <cfRule type="duplicateValues" dxfId="43" priority="52"/>
    <cfRule type="duplicateValues" dxfId="42" priority="53"/>
  </conditionalFormatting>
  <conditionalFormatting sqref="A73">
    <cfRule type="duplicateValues" dxfId="41" priority="43"/>
    <cfRule type="duplicateValues" dxfId="40" priority="45"/>
    <cfRule type="duplicateValues" dxfId="39" priority="46"/>
    <cfRule type="duplicateValues" dxfId="38" priority="47"/>
  </conditionalFormatting>
  <conditionalFormatting sqref="A74">
    <cfRule type="duplicateValues" dxfId="37" priority="37"/>
    <cfRule type="duplicateValues" dxfId="36" priority="39"/>
    <cfRule type="duplicateValues" dxfId="35" priority="40"/>
    <cfRule type="duplicateValues" dxfId="34" priority="41"/>
  </conditionalFormatting>
  <conditionalFormatting sqref="A75">
    <cfRule type="duplicateValues" dxfId="33" priority="102"/>
    <cfRule type="duplicateValues" dxfId="32" priority="103"/>
    <cfRule type="duplicateValues" dxfId="31" priority="104"/>
    <cfRule type="duplicateValues" dxfId="30" priority="105"/>
  </conditionalFormatting>
  <conditionalFormatting sqref="A76">
    <cfRule type="duplicateValues" dxfId="29" priority="29"/>
    <cfRule type="duplicateValues" dxfId="28" priority="30"/>
    <cfRule type="duplicateValues" dxfId="27" priority="31"/>
    <cfRule type="duplicateValues" dxfId="26" priority="32"/>
  </conditionalFormatting>
  <conditionalFormatting sqref="A79">
    <cfRule type="duplicateValues" dxfId="25" priority="15"/>
    <cfRule type="duplicateValues" dxfId="24" priority="17"/>
    <cfRule type="duplicateValues" dxfId="23" priority="18"/>
    <cfRule type="duplicateValues" dxfId="22" priority="19"/>
  </conditionalFormatting>
  <conditionalFormatting sqref="B66">
    <cfRule type="duplicateValues" dxfId="21" priority="86"/>
    <cfRule type="duplicateValues" dxfId="20" priority="90"/>
  </conditionalFormatting>
  <conditionalFormatting sqref="B67">
    <cfRule type="duplicateValues" dxfId="19" priority="80"/>
    <cfRule type="duplicateValues" dxfId="18" priority="84"/>
  </conditionalFormatting>
  <conditionalFormatting sqref="B68">
    <cfRule type="duplicateValues" dxfId="17" priority="74"/>
    <cfRule type="duplicateValues" dxfId="16" priority="78"/>
  </conditionalFormatting>
  <conditionalFormatting sqref="B69">
    <cfRule type="duplicateValues" dxfId="15" priority="68"/>
    <cfRule type="duplicateValues" dxfId="14" priority="72"/>
  </conditionalFormatting>
  <conditionalFormatting sqref="B70">
    <cfRule type="duplicateValues" dxfId="13" priority="62"/>
    <cfRule type="duplicateValues" dxfId="12" priority="66"/>
  </conditionalFormatting>
  <conditionalFormatting sqref="B71">
    <cfRule type="duplicateValues" dxfId="11" priority="56"/>
    <cfRule type="duplicateValues" dxfId="10" priority="60"/>
  </conditionalFormatting>
  <conditionalFormatting sqref="B72">
    <cfRule type="duplicateValues" dxfId="9" priority="50"/>
    <cfRule type="duplicateValues" dxfId="8" priority="54"/>
  </conditionalFormatting>
  <conditionalFormatting sqref="B73">
    <cfRule type="duplicateValues" dxfId="7" priority="44"/>
    <cfRule type="duplicateValues" dxfId="6" priority="48"/>
  </conditionalFormatting>
  <conditionalFormatting sqref="B74">
    <cfRule type="duplicateValues" dxfId="5" priority="38"/>
    <cfRule type="duplicateValues" dxfId="4" priority="42"/>
  </conditionalFormatting>
  <conditionalFormatting sqref="B75">
    <cfRule type="duplicateValues" dxfId="3" priority="106"/>
    <cfRule type="duplicateValues" dxfId="2" priority="107"/>
  </conditionalFormatting>
  <conditionalFormatting sqref="B79">
    <cfRule type="duplicateValues" dxfId="1" priority="16"/>
    <cfRule type="duplicateValues" dxfId="0" priority="20"/>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
  <sheetViews>
    <sheetView workbookViewId="0">
      <selection activeCell="A2" sqref="A2"/>
    </sheetView>
  </sheetViews>
  <sheetFormatPr baseColWidth="10" defaultRowHeight="14.4" x14ac:dyDescent="0.3"/>
  <cols>
    <col min="1" max="1" width="20.6640625" style="31" customWidth="1"/>
    <col min="2" max="2" width="19.6640625" style="31" bestFit="1" customWidth="1"/>
    <col min="3" max="3" width="24.88671875" style="31" bestFit="1" customWidth="1"/>
    <col min="4" max="4" width="11.5546875" style="31" customWidth="1"/>
    <col min="5" max="5" width="44.88671875" style="31" bestFit="1" customWidth="1"/>
    <col min="6" max="6" width="49.88671875" style="31" customWidth="1"/>
    <col min="7" max="7" width="2.5546875" style="31" customWidth="1"/>
    <col min="8" max="8" width="24.88671875" style="31" bestFit="1" customWidth="1"/>
    <col min="9" max="9" width="11.5546875" style="31" customWidth="1"/>
    <col min="10" max="10" width="46.109375" style="31" customWidth="1"/>
    <col min="11" max="11" width="35.77734375" style="31" customWidth="1"/>
    <col min="12" max="14" width="11.5546875" style="31" customWidth="1"/>
    <col min="15" max="16384" width="11.5546875" style="31"/>
  </cols>
  <sheetData>
    <row r="1" spans="1:11" x14ac:dyDescent="0.3">
      <c r="A1" s="32"/>
      <c r="B1" s="32"/>
      <c r="C1" s="84" t="s">
        <v>3607</v>
      </c>
      <c r="D1" s="85"/>
      <c r="E1" s="85"/>
      <c r="F1" s="85"/>
      <c r="H1" s="86" t="s">
        <v>3608</v>
      </c>
      <c r="I1" s="87"/>
      <c r="J1" s="87"/>
      <c r="K1" s="88"/>
    </row>
    <row r="2" spans="1:11" x14ac:dyDescent="0.3">
      <c r="A2" s="32" t="s">
        <v>3609</v>
      </c>
      <c r="B2" s="32" t="s">
        <v>3610</v>
      </c>
      <c r="C2" s="32" t="s">
        <v>3611</v>
      </c>
      <c r="D2" s="32" t="s">
        <v>3612</v>
      </c>
      <c r="E2" s="32" t="s">
        <v>3613</v>
      </c>
      <c r="F2" s="32" t="s">
        <v>3614</v>
      </c>
      <c r="H2" s="35" t="s">
        <v>3611</v>
      </c>
      <c r="I2" s="35" t="s">
        <v>3612</v>
      </c>
      <c r="J2" s="35" t="s">
        <v>3613</v>
      </c>
      <c r="K2" s="35" t="s">
        <v>3615</v>
      </c>
    </row>
    <row r="3" spans="1:11" ht="28.8" customHeight="1" x14ac:dyDescent="0.3">
      <c r="A3" s="81" t="s">
        <v>3616</v>
      </c>
      <c r="B3" s="81" t="s">
        <v>3617</v>
      </c>
      <c r="C3" s="34" t="s">
        <v>3618</v>
      </c>
      <c r="D3" s="34" t="s">
        <v>9</v>
      </c>
      <c r="E3" s="34" t="s">
        <v>3619</v>
      </c>
      <c r="F3" s="34" t="s">
        <v>3620</v>
      </c>
      <c r="H3" s="33" t="s">
        <v>3618</v>
      </c>
      <c r="I3" s="33" t="s">
        <v>9</v>
      </c>
      <c r="J3" s="33" t="s">
        <v>3619</v>
      </c>
      <c r="K3" s="33" t="s">
        <v>3621</v>
      </c>
    </row>
    <row r="4" spans="1:11" ht="28.8" customHeight="1" x14ac:dyDescent="0.3">
      <c r="A4" s="82"/>
      <c r="B4" s="82"/>
      <c r="C4" s="34" t="s">
        <v>3618</v>
      </c>
      <c r="D4" s="34" t="s">
        <v>3622</v>
      </c>
      <c r="E4" s="34" t="s">
        <v>3623</v>
      </c>
      <c r="F4" s="34" t="s">
        <v>3624</v>
      </c>
      <c r="H4" s="33" t="s">
        <v>3618</v>
      </c>
      <c r="I4" s="33" t="s">
        <v>3622</v>
      </c>
      <c r="J4" s="33" t="s">
        <v>3623</v>
      </c>
      <c r="K4" s="33" t="s">
        <v>3625</v>
      </c>
    </row>
    <row r="5" spans="1:11" ht="43.2" customHeight="1" x14ac:dyDescent="0.3">
      <c r="A5" s="82"/>
      <c r="B5" s="83"/>
      <c r="C5" s="34" t="s">
        <v>3626</v>
      </c>
      <c r="D5" s="34"/>
      <c r="E5" s="34" t="s">
        <v>3627</v>
      </c>
      <c r="F5" s="34" t="s">
        <v>3628</v>
      </c>
      <c r="H5" s="33" t="s">
        <v>3626</v>
      </c>
      <c r="I5" s="33"/>
      <c r="J5" s="33" t="s">
        <v>3627</v>
      </c>
      <c r="K5" s="33" t="s">
        <v>3629</v>
      </c>
    </row>
    <row r="6" spans="1:11" ht="57.6" customHeight="1" x14ac:dyDescent="0.3">
      <c r="A6" s="82"/>
      <c r="B6" s="81" t="s">
        <v>3630</v>
      </c>
      <c r="C6" s="34" t="s">
        <v>3617</v>
      </c>
      <c r="D6" s="34" t="s">
        <v>9</v>
      </c>
      <c r="E6" s="34" t="s">
        <v>3631</v>
      </c>
      <c r="F6" s="34" t="s">
        <v>3631</v>
      </c>
      <c r="H6" s="33" t="s">
        <v>3617</v>
      </c>
      <c r="I6" s="33" t="s">
        <v>9</v>
      </c>
      <c r="J6" s="33" t="s">
        <v>3631</v>
      </c>
      <c r="K6" s="33" t="s">
        <v>3631</v>
      </c>
    </row>
    <row r="7" spans="1:11" ht="57.6" customHeight="1" x14ac:dyDescent="0.3">
      <c r="A7" s="82"/>
      <c r="B7" s="83"/>
      <c r="C7" s="34" t="s">
        <v>3617</v>
      </c>
      <c r="D7" s="34" t="s">
        <v>3622</v>
      </c>
      <c r="E7" s="34" t="s">
        <v>3632</v>
      </c>
      <c r="F7" s="34" t="s">
        <v>3632</v>
      </c>
      <c r="H7" s="33" t="s">
        <v>3617</v>
      </c>
      <c r="I7" s="33" t="s">
        <v>3622</v>
      </c>
      <c r="J7" s="33" t="s">
        <v>3632</v>
      </c>
      <c r="K7" s="33" t="s">
        <v>3632</v>
      </c>
    </row>
    <row r="8" spans="1:11" ht="57.6" customHeight="1" x14ac:dyDescent="0.3">
      <c r="A8" s="82"/>
      <c r="B8" s="81" t="s">
        <v>3633</v>
      </c>
      <c r="C8" s="34" t="s">
        <v>3617</v>
      </c>
      <c r="D8" s="34" t="s">
        <v>9</v>
      </c>
      <c r="E8" s="34" t="s">
        <v>3634</v>
      </c>
      <c r="F8" s="34" t="s">
        <v>3634</v>
      </c>
      <c r="H8" s="33" t="s">
        <v>3617</v>
      </c>
      <c r="I8" s="33" t="s">
        <v>9</v>
      </c>
      <c r="J8" s="33" t="s">
        <v>3634</v>
      </c>
      <c r="K8" s="33" t="s">
        <v>3634</v>
      </c>
    </row>
    <row r="9" spans="1:11" ht="57.6" customHeight="1" x14ac:dyDescent="0.3">
      <c r="A9" s="83"/>
      <c r="B9" s="83"/>
      <c r="C9" s="34" t="s">
        <v>3617</v>
      </c>
      <c r="D9" s="34" t="s">
        <v>3622</v>
      </c>
      <c r="E9" s="34" t="s">
        <v>3635</v>
      </c>
      <c r="F9" s="34" t="s">
        <v>3635</v>
      </c>
      <c r="H9" s="33" t="s">
        <v>3617</v>
      </c>
      <c r="I9" s="33" t="s">
        <v>3622</v>
      </c>
      <c r="J9" s="33" t="s">
        <v>3635</v>
      </c>
      <c r="K9" s="33" t="s">
        <v>3635</v>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H349"/>
  <sheetViews>
    <sheetView workbookViewId="0">
      <selection activeCell="A287" sqref="A287"/>
    </sheetView>
  </sheetViews>
  <sheetFormatPr baseColWidth="10" defaultColWidth="8.88671875" defaultRowHeight="14.4" x14ac:dyDescent="0.3"/>
  <cols>
    <col min="7" max="7" width="96" bestFit="1" customWidth="1"/>
  </cols>
  <sheetData>
    <row r="1" spans="1:8" x14ac:dyDescent="0.3">
      <c r="A1" t="s">
        <v>0</v>
      </c>
      <c r="B1" t="s">
        <v>1</v>
      </c>
      <c r="C1" t="s">
        <v>2</v>
      </c>
      <c r="D1" t="s">
        <v>3</v>
      </c>
      <c r="E1" t="s">
        <v>4</v>
      </c>
      <c r="F1" t="s">
        <v>3636</v>
      </c>
      <c r="G1" t="s">
        <v>3637</v>
      </c>
      <c r="H1" t="s">
        <v>3638</v>
      </c>
    </row>
    <row r="2" spans="1:8" hidden="1" x14ac:dyDescent="0.3">
      <c r="A2">
        <v>77</v>
      </c>
      <c r="B2" t="s">
        <v>71</v>
      </c>
      <c r="C2" t="s">
        <v>72</v>
      </c>
      <c r="D2" t="s">
        <v>73</v>
      </c>
      <c r="E2" t="s">
        <v>22</v>
      </c>
      <c r="F2" t="s">
        <v>3639</v>
      </c>
      <c r="G2" t="s">
        <v>3640</v>
      </c>
      <c r="H2" t="s">
        <v>3622</v>
      </c>
    </row>
    <row r="3" spans="1:8" hidden="1" x14ac:dyDescent="0.3">
      <c r="A3">
        <v>121</v>
      </c>
      <c r="B3" t="s">
        <v>263</v>
      </c>
      <c r="C3" t="s">
        <v>55</v>
      </c>
      <c r="D3" t="s">
        <v>73</v>
      </c>
      <c r="E3" t="s">
        <v>56</v>
      </c>
      <c r="F3" t="s">
        <v>3641</v>
      </c>
      <c r="G3" t="s">
        <v>3642</v>
      </c>
      <c r="H3" t="s">
        <v>3622</v>
      </c>
    </row>
    <row r="4" spans="1:8" hidden="1" x14ac:dyDescent="0.3">
      <c r="A4">
        <v>121</v>
      </c>
      <c r="B4" t="s">
        <v>263</v>
      </c>
      <c r="C4" t="s">
        <v>55</v>
      </c>
      <c r="D4" t="s">
        <v>73</v>
      </c>
      <c r="E4" t="s">
        <v>56</v>
      </c>
      <c r="F4" t="s">
        <v>3643</v>
      </c>
      <c r="G4" t="s">
        <v>3644</v>
      </c>
      <c r="H4" t="s">
        <v>9</v>
      </c>
    </row>
    <row r="5" spans="1:8" hidden="1" x14ac:dyDescent="0.3">
      <c r="A5">
        <v>121</v>
      </c>
      <c r="B5" t="s">
        <v>263</v>
      </c>
      <c r="C5" t="s">
        <v>55</v>
      </c>
      <c r="D5" t="s">
        <v>73</v>
      </c>
      <c r="E5" t="s">
        <v>56</v>
      </c>
      <c r="F5" t="s">
        <v>3645</v>
      </c>
      <c r="G5" t="s">
        <v>3646</v>
      </c>
      <c r="H5" t="s">
        <v>3622</v>
      </c>
    </row>
    <row r="6" spans="1:8" hidden="1" x14ac:dyDescent="0.3">
      <c r="A6">
        <v>121</v>
      </c>
      <c r="B6" t="s">
        <v>263</v>
      </c>
      <c r="C6" t="s">
        <v>55</v>
      </c>
      <c r="D6" t="s">
        <v>73</v>
      </c>
      <c r="E6" t="s">
        <v>56</v>
      </c>
      <c r="F6" t="s">
        <v>3647</v>
      </c>
      <c r="G6" t="s">
        <v>3648</v>
      </c>
      <c r="H6" t="s">
        <v>9</v>
      </c>
    </row>
    <row r="7" spans="1:8" hidden="1" x14ac:dyDescent="0.3">
      <c r="A7">
        <v>124</v>
      </c>
      <c r="B7" t="s">
        <v>335</v>
      </c>
      <c r="C7" t="s">
        <v>138</v>
      </c>
      <c r="D7" t="s">
        <v>73</v>
      </c>
      <c r="E7" t="s">
        <v>56</v>
      </c>
      <c r="F7" t="s">
        <v>3649</v>
      </c>
      <c r="G7" t="s">
        <v>3650</v>
      </c>
      <c r="H7" t="s">
        <v>3651</v>
      </c>
    </row>
    <row r="8" spans="1:8" hidden="1" x14ac:dyDescent="0.3">
      <c r="A8">
        <v>124</v>
      </c>
      <c r="B8" t="s">
        <v>335</v>
      </c>
      <c r="C8" t="s">
        <v>138</v>
      </c>
      <c r="D8" t="s">
        <v>73</v>
      </c>
      <c r="E8" t="s">
        <v>56</v>
      </c>
      <c r="F8" t="s">
        <v>3652</v>
      </c>
      <c r="G8" t="s">
        <v>3653</v>
      </c>
      <c r="H8" t="s">
        <v>3651</v>
      </c>
    </row>
    <row r="9" spans="1:8" hidden="1" x14ac:dyDescent="0.3">
      <c r="A9">
        <v>125</v>
      </c>
      <c r="B9" t="s">
        <v>372</v>
      </c>
      <c r="C9" t="s">
        <v>138</v>
      </c>
      <c r="D9" t="s">
        <v>73</v>
      </c>
      <c r="E9" t="s">
        <v>56</v>
      </c>
      <c r="F9" t="s">
        <v>3654</v>
      </c>
      <c r="G9" t="s">
        <v>3655</v>
      </c>
      <c r="H9" t="s">
        <v>3651</v>
      </c>
    </row>
    <row r="10" spans="1:8" hidden="1" x14ac:dyDescent="0.3">
      <c r="A10">
        <v>125</v>
      </c>
      <c r="B10" t="s">
        <v>372</v>
      </c>
      <c r="C10" t="s">
        <v>138</v>
      </c>
      <c r="D10" t="s">
        <v>73</v>
      </c>
      <c r="E10" t="s">
        <v>56</v>
      </c>
      <c r="F10" t="s">
        <v>3656</v>
      </c>
      <c r="G10" t="s">
        <v>3657</v>
      </c>
      <c r="H10" t="s">
        <v>3651</v>
      </c>
    </row>
    <row r="11" spans="1:8" hidden="1" x14ac:dyDescent="0.3">
      <c r="A11">
        <v>128</v>
      </c>
      <c r="B11" t="s">
        <v>417</v>
      </c>
      <c r="C11" t="s">
        <v>138</v>
      </c>
      <c r="D11" t="s">
        <v>73</v>
      </c>
      <c r="E11" t="s">
        <v>56</v>
      </c>
      <c r="F11" t="s">
        <v>3658</v>
      </c>
      <c r="G11" t="s">
        <v>3659</v>
      </c>
      <c r="H11" t="s">
        <v>3651</v>
      </c>
    </row>
    <row r="12" spans="1:8" hidden="1" x14ac:dyDescent="0.3">
      <c r="A12">
        <v>128</v>
      </c>
      <c r="B12" t="s">
        <v>417</v>
      </c>
      <c r="C12" t="s">
        <v>138</v>
      </c>
      <c r="D12" t="s">
        <v>73</v>
      </c>
      <c r="E12" t="s">
        <v>56</v>
      </c>
      <c r="F12" t="s">
        <v>3660</v>
      </c>
      <c r="G12" t="s">
        <v>3661</v>
      </c>
      <c r="H12" t="s">
        <v>3651</v>
      </c>
    </row>
    <row r="13" spans="1:8" hidden="1" x14ac:dyDescent="0.3">
      <c r="A13">
        <v>172</v>
      </c>
      <c r="B13" t="s">
        <v>564</v>
      </c>
      <c r="C13" t="s">
        <v>258</v>
      </c>
      <c r="D13" t="s">
        <v>73</v>
      </c>
      <c r="E13" t="s">
        <v>22</v>
      </c>
      <c r="F13" t="s">
        <v>3662</v>
      </c>
      <c r="G13" t="s">
        <v>3663</v>
      </c>
      <c r="H13" t="s">
        <v>3622</v>
      </c>
    </row>
    <row r="14" spans="1:8" hidden="1" x14ac:dyDescent="0.3">
      <c r="A14">
        <v>172</v>
      </c>
      <c r="B14" t="s">
        <v>564</v>
      </c>
      <c r="C14" t="s">
        <v>258</v>
      </c>
      <c r="D14" t="s">
        <v>73</v>
      </c>
      <c r="E14" t="s">
        <v>22</v>
      </c>
      <c r="F14" t="s">
        <v>3664</v>
      </c>
      <c r="G14" t="s">
        <v>3665</v>
      </c>
      <c r="H14" t="s">
        <v>9</v>
      </c>
    </row>
    <row r="15" spans="1:8" hidden="1" x14ac:dyDescent="0.3">
      <c r="A15">
        <v>122</v>
      </c>
      <c r="B15" t="s">
        <v>301</v>
      </c>
      <c r="C15" t="s">
        <v>258</v>
      </c>
      <c r="D15" t="s">
        <v>73</v>
      </c>
      <c r="E15" t="s">
        <v>22</v>
      </c>
      <c r="F15" t="s">
        <v>3666</v>
      </c>
      <c r="G15" t="s">
        <v>3667</v>
      </c>
      <c r="H15" t="s">
        <v>3622</v>
      </c>
    </row>
    <row r="16" spans="1:8" hidden="1" x14ac:dyDescent="0.3">
      <c r="A16">
        <v>122</v>
      </c>
      <c r="B16" t="s">
        <v>301</v>
      </c>
      <c r="C16" t="s">
        <v>258</v>
      </c>
      <c r="D16" t="s">
        <v>73</v>
      </c>
      <c r="E16" t="s">
        <v>22</v>
      </c>
      <c r="F16" t="s">
        <v>3668</v>
      </c>
      <c r="G16" t="s">
        <v>3669</v>
      </c>
      <c r="H16" t="s">
        <v>9</v>
      </c>
    </row>
    <row r="17" spans="1:8" hidden="1" x14ac:dyDescent="0.3">
      <c r="A17">
        <v>167</v>
      </c>
      <c r="B17" t="s">
        <v>556</v>
      </c>
      <c r="C17" t="s">
        <v>55</v>
      </c>
      <c r="D17" t="s">
        <v>39</v>
      </c>
      <c r="E17" t="s">
        <v>22</v>
      </c>
      <c r="F17" t="s">
        <v>3670</v>
      </c>
      <c r="G17" t="s">
        <v>3671</v>
      </c>
      <c r="H17" t="s">
        <v>3622</v>
      </c>
    </row>
    <row r="18" spans="1:8" hidden="1" x14ac:dyDescent="0.3">
      <c r="A18">
        <v>199</v>
      </c>
      <c r="B18" t="s">
        <v>661</v>
      </c>
      <c r="C18" t="s">
        <v>55</v>
      </c>
      <c r="D18" t="s">
        <v>39</v>
      </c>
      <c r="E18" t="s">
        <v>22</v>
      </c>
      <c r="F18" t="s">
        <v>3672</v>
      </c>
      <c r="G18" t="s">
        <v>3673</v>
      </c>
      <c r="H18" t="s">
        <v>3651</v>
      </c>
    </row>
    <row r="19" spans="1:8" hidden="1" x14ac:dyDescent="0.3">
      <c r="A19">
        <v>199</v>
      </c>
      <c r="B19" t="s">
        <v>661</v>
      </c>
      <c r="C19" t="s">
        <v>55</v>
      </c>
      <c r="D19" t="s">
        <v>39</v>
      </c>
      <c r="E19" t="s">
        <v>22</v>
      </c>
      <c r="F19" t="s">
        <v>3674</v>
      </c>
      <c r="G19" t="s">
        <v>3675</v>
      </c>
      <c r="H19" t="s">
        <v>3651</v>
      </c>
    </row>
    <row r="20" spans="1:8" hidden="1" x14ac:dyDescent="0.3">
      <c r="A20">
        <v>199</v>
      </c>
      <c r="B20" t="s">
        <v>661</v>
      </c>
      <c r="C20" t="s">
        <v>55</v>
      </c>
      <c r="D20" t="s">
        <v>39</v>
      </c>
      <c r="E20" t="s">
        <v>22</v>
      </c>
      <c r="F20" t="s">
        <v>3676</v>
      </c>
      <c r="G20" t="s">
        <v>3677</v>
      </c>
      <c r="H20" t="s">
        <v>3651</v>
      </c>
    </row>
    <row r="21" spans="1:8" hidden="1" x14ac:dyDescent="0.3">
      <c r="A21">
        <v>69</v>
      </c>
      <c r="B21" t="s">
        <v>38</v>
      </c>
      <c r="C21" t="s">
        <v>20</v>
      </c>
      <c r="D21" t="s">
        <v>21</v>
      </c>
      <c r="E21" t="s">
        <v>22</v>
      </c>
      <c r="F21" t="s">
        <v>3678</v>
      </c>
      <c r="G21" t="s">
        <v>3679</v>
      </c>
      <c r="H21" t="s">
        <v>3622</v>
      </c>
    </row>
    <row r="22" spans="1:8" hidden="1" x14ac:dyDescent="0.3">
      <c r="A22">
        <v>69</v>
      </c>
      <c r="B22" t="s">
        <v>38</v>
      </c>
      <c r="C22" t="s">
        <v>20</v>
      </c>
      <c r="D22" t="s">
        <v>21</v>
      </c>
      <c r="E22" t="s">
        <v>22</v>
      </c>
      <c r="F22" t="s">
        <v>3680</v>
      </c>
      <c r="G22" t="s">
        <v>3681</v>
      </c>
      <c r="H22" t="s">
        <v>9</v>
      </c>
    </row>
    <row r="23" spans="1:8" hidden="1" x14ac:dyDescent="0.3">
      <c r="A23">
        <v>197</v>
      </c>
      <c r="B23" t="s">
        <v>648</v>
      </c>
      <c r="C23" t="s">
        <v>224</v>
      </c>
      <c r="D23" t="s">
        <v>21</v>
      </c>
      <c r="E23" t="s">
        <v>22</v>
      </c>
      <c r="F23" t="s">
        <v>3682</v>
      </c>
      <c r="G23" t="s">
        <v>3683</v>
      </c>
      <c r="H23" t="s">
        <v>3622</v>
      </c>
    </row>
    <row r="24" spans="1:8" hidden="1" x14ac:dyDescent="0.3">
      <c r="A24">
        <v>197</v>
      </c>
      <c r="B24" t="s">
        <v>648</v>
      </c>
      <c r="C24" t="s">
        <v>224</v>
      </c>
      <c r="D24" t="s">
        <v>21</v>
      </c>
      <c r="E24" t="s">
        <v>22</v>
      </c>
      <c r="F24" t="s">
        <v>3684</v>
      </c>
      <c r="G24" t="s">
        <v>3685</v>
      </c>
      <c r="H24" t="s">
        <v>9</v>
      </c>
    </row>
    <row r="25" spans="1:8" hidden="1" x14ac:dyDescent="0.3">
      <c r="A25">
        <v>68</v>
      </c>
      <c r="B25" t="s">
        <v>19</v>
      </c>
      <c r="C25" t="s">
        <v>20</v>
      </c>
      <c r="D25" t="s">
        <v>39</v>
      </c>
      <c r="E25" t="s">
        <v>22</v>
      </c>
      <c r="F25" t="s">
        <v>3686</v>
      </c>
      <c r="G25" t="s">
        <v>3687</v>
      </c>
      <c r="H25" t="s">
        <v>3622</v>
      </c>
    </row>
    <row r="26" spans="1:8" hidden="1" x14ac:dyDescent="0.3">
      <c r="A26">
        <v>73</v>
      </c>
      <c r="B26" t="s">
        <v>54</v>
      </c>
      <c r="C26" t="s">
        <v>55</v>
      </c>
      <c r="D26" t="s">
        <v>39</v>
      </c>
      <c r="E26" t="s">
        <v>56</v>
      </c>
      <c r="F26" t="s">
        <v>3688</v>
      </c>
      <c r="G26" t="s">
        <v>3689</v>
      </c>
      <c r="H26" t="s">
        <v>3622</v>
      </c>
    </row>
    <row r="27" spans="1:8" hidden="1" x14ac:dyDescent="0.3">
      <c r="A27">
        <v>74</v>
      </c>
      <c r="B27" t="s">
        <v>64</v>
      </c>
      <c r="C27" t="s">
        <v>55</v>
      </c>
      <c r="D27" t="s">
        <v>39</v>
      </c>
      <c r="E27" t="s">
        <v>22</v>
      </c>
      <c r="F27" t="s">
        <v>3690</v>
      </c>
      <c r="G27" t="s">
        <v>3691</v>
      </c>
      <c r="H27" t="s">
        <v>3651</v>
      </c>
    </row>
    <row r="28" spans="1:8" hidden="1" x14ac:dyDescent="0.3">
      <c r="A28">
        <v>74</v>
      </c>
      <c r="B28" t="s">
        <v>64</v>
      </c>
      <c r="C28" t="s">
        <v>55</v>
      </c>
      <c r="D28" t="s">
        <v>39</v>
      </c>
      <c r="E28" t="s">
        <v>22</v>
      </c>
      <c r="F28" t="s">
        <v>3692</v>
      </c>
      <c r="G28" t="s">
        <v>3693</v>
      </c>
      <c r="H28" t="s">
        <v>3651</v>
      </c>
    </row>
    <row r="29" spans="1:8" hidden="1" x14ac:dyDescent="0.3">
      <c r="A29">
        <v>86</v>
      </c>
      <c r="B29" t="s">
        <v>147</v>
      </c>
      <c r="C29" t="s">
        <v>138</v>
      </c>
      <c r="D29" t="s">
        <v>39</v>
      </c>
      <c r="E29" t="s">
        <v>22</v>
      </c>
      <c r="F29" t="s">
        <v>3694</v>
      </c>
      <c r="G29" t="s">
        <v>3695</v>
      </c>
      <c r="H29" t="s">
        <v>3622</v>
      </c>
    </row>
    <row r="30" spans="1:8" hidden="1" x14ac:dyDescent="0.3">
      <c r="A30">
        <v>86</v>
      </c>
      <c r="B30" t="s">
        <v>147</v>
      </c>
      <c r="C30" t="s">
        <v>138</v>
      </c>
      <c r="D30" t="s">
        <v>39</v>
      </c>
      <c r="E30" t="s">
        <v>22</v>
      </c>
      <c r="F30" t="s">
        <v>3696</v>
      </c>
      <c r="G30" t="s">
        <v>3697</v>
      </c>
      <c r="H30" t="s">
        <v>3622</v>
      </c>
    </row>
    <row r="31" spans="1:8" hidden="1" x14ac:dyDescent="0.3">
      <c r="A31">
        <v>95</v>
      </c>
      <c r="B31" t="s">
        <v>182</v>
      </c>
      <c r="C31" t="s">
        <v>138</v>
      </c>
      <c r="D31" t="s">
        <v>39</v>
      </c>
      <c r="E31" t="s">
        <v>22</v>
      </c>
      <c r="F31" t="s">
        <v>3698</v>
      </c>
      <c r="G31" t="s">
        <v>3699</v>
      </c>
      <c r="H31" t="s">
        <v>3622</v>
      </c>
    </row>
    <row r="32" spans="1:8" hidden="1" x14ac:dyDescent="0.3">
      <c r="A32">
        <v>95</v>
      </c>
      <c r="B32" t="s">
        <v>182</v>
      </c>
      <c r="C32" t="s">
        <v>138</v>
      </c>
      <c r="D32" t="s">
        <v>39</v>
      </c>
      <c r="E32" t="s">
        <v>22</v>
      </c>
      <c r="F32" t="s">
        <v>3700</v>
      </c>
      <c r="G32" t="s">
        <v>3701</v>
      </c>
      <c r="H32" t="s">
        <v>9</v>
      </c>
    </row>
    <row r="33" spans="1:8" hidden="1" x14ac:dyDescent="0.3">
      <c r="A33">
        <v>143</v>
      </c>
      <c r="B33" t="s">
        <v>494</v>
      </c>
      <c r="C33" t="s">
        <v>190</v>
      </c>
      <c r="D33" t="s">
        <v>39</v>
      </c>
      <c r="E33" t="s">
        <v>22</v>
      </c>
      <c r="F33" t="s">
        <v>3702</v>
      </c>
      <c r="G33" t="s">
        <v>3703</v>
      </c>
      <c r="H33" t="s">
        <v>3622</v>
      </c>
    </row>
    <row r="34" spans="1:8" hidden="1" x14ac:dyDescent="0.3">
      <c r="A34">
        <v>145</v>
      </c>
      <c r="B34" t="s">
        <v>508</v>
      </c>
      <c r="C34" t="s">
        <v>509</v>
      </c>
      <c r="D34" t="s">
        <v>39</v>
      </c>
      <c r="E34" t="s">
        <v>22</v>
      </c>
      <c r="F34" t="s">
        <v>3704</v>
      </c>
      <c r="G34" t="s">
        <v>3705</v>
      </c>
      <c r="H34" t="s">
        <v>3651</v>
      </c>
    </row>
    <row r="35" spans="1:8" hidden="1" x14ac:dyDescent="0.3">
      <c r="A35">
        <v>145</v>
      </c>
      <c r="B35" t="s">
        <v>508</v>
      </c>
      <c r="C35" t="s">
        <v>509</v>
      </c>
      <c r="D35" t="s">
        <v>39</v>
      </c>
      <c r="E35" t="s">
        <v>22</v>
      </c>
      <c r="F35" t="s">
        <v>3706</v>
      </c>
      <c r="G35" t="s">
        <v>3707</v>
      </c>
      <c r="H35" t="s">
        <v>3651</v>
      </c>
    </row>
    <row r="36" spans="1:8" hidden="1" x14ac:dyDescent="0.3">
      <c r="A36">
        <v>146</v>
      </c>
      <c r="B36" t="s">
        <v>516</v>
      </c>
      <c r="C36" t="s">
        <v>190</v>
      </c>
      <c r="D36" t="s">
        <v>39</v>
      </c>
      <c r="E36" t="s">
        <v>22</v>
      </c>
      <c r="F36" t="s">
        <v>3708</v>
      </c>
      <c r="G36" t="s">
        <v>3709</v>
      </c>
      <c r="H36" t="s">
        <v>3622</v>
      </c>
    </row>
    <row r="37" spans="1:8" hidden="1" x14ac:dyDescent="0.3">
      <c r="A37">
        <v>146</v>
      </c>
      <c r="B37" t="s">
        <v>516</v>
      </c>
      <c r="C37" t="s">
        <v>190</v>
      </c>
      <c r="D37" t="s">
        <v>39</v>
      </c>
      <c r="E37" t="s">
        <v>22</v>
      </c>
      <c r="F37" t="s">
        <v>3710</v>
      </c>
      <c r="G37" t="s">
        <v>3711</v>
      </c>
      <c r="H37" t="s">
        <v>9</v>
      </c>
    </row>
    <row r="38" spans="1:8" hidden="1" x14ac:dyDescent="0.3">
      <c r="A38">
        <v>148</v>
      </c>
      <c r="B38" t="s">
        <v>527</v>
      </c>
      <c r="C38" t="s">
        <v>509</v>
      </c>
      <c r="D38" t="s">
        <v>39</v>
      </c>
      <c r="E38" t="s">
        <v>22</v>
      </c>
      <c r="F38" t="s">
        <v>3712</v>
      </c>
      <c r="G38" t="s">
        <v>527</v>
      </c>
      <c r="H38" t="s">
        <v>3651</v>
      </c>
    </row>
    <row r="39" spans="1:8" hidden="1" x14ac:dyDescent="0.3">
      <c r="A39">
        <v>148</v>
      </c>
      <c r="B39" t="s">
        <v>527</v>
      </c>
      <c r="C39" t="s">
        <v>509</v>
      </c>
      <c r="D39" t="s">
        <v>39</v>
      </c>
      <c r="E39" t="s">
        <v>22</v>
      </c>
      <c r="F39" t="s">
        <v>3713</v>
      </c>
      <c r="G39" t="s">
        <v>3714</v>
      </c>
      <c r="H39" t="s">
        <v>3651</v>
      </c>
    </row>
    <row r="40" spans="1:8" hidden="1" x14ac:dyDescent="0.3">
      <c r="A40">
        <v>159</v>
      </c>
      <c r="B40" t="s">
        <v>206</v>
      </c>
      <c r="C40" t="s">
        <v>546</v>
      </c>
      <c r="D40" t="s">
        <v>39</v>
      </c>
      <c r="E40" t="s">
        <v>22</v>
      </c>
      <c r="F40" t="s">
        <v>3715</v>
      </c>
      <c r="G40" t="s">
        <v>206</v>
      </c>
      <c r="H40" t="s">
        <v>3622</v>
      </c>
    </row>
    <row r="41" spans="1:8" hidden="1" x14ac:dyDescent="0.3">
      <c r="A41">
        <v>144</v>
      </c>
      <c r="B41" t="s">
        <v>503</v>
      </c>
      <c r="C41" t="s">
        <v>190</v>
      </c>
      <c r="D41" t="s">
        <v>139</v>
      </c>
      <c r="E41" t="s">
        <v>22</v>
      </c>
      <c r="F41" t="s">
        <v>3716</v>
      </c>
      <c r="G41" t="s">
        <v>3717</v>
      </c>
      <c r="H41" t="s">
        <v>3651</v>
      </c>
    </row>
    <row r="42" spans="1:8" hidden="1" x14ac:dyDescent="0.3">
      <c r="A42">
        <v>144</v>
      </c>
      <c r="B42" t="s">
        <v>503</v>
      </c>
      <c r="C42" t="s">
        <v>190</v>
      </c>
      <c r="D42" t="s">
        <v>139</v>
      </c>
      <c r="E42" t="s">
        <v>22</v>
      </c>
      <c r="F42" t="s">
        <v>3718</v>
      </c>
      <c r="G42" t="s">
        <v>3719</v>
      </c>
      <c r="H42" t="s">
        <v>3651</v>
      </c>
    </row>
    <row r="43" spans="1:8" hidden="1" x14ac:dyDescent="0.3">
      <c r="A43">
        <v>111</v>
      </c>
      <c r="B43" t="s">
        <v>206</v>
      </c>
      <c r="C43" t="s">
        <v>20</v>
      </c>
      <c r="D43" t="s">
        <v>21</v>
      </c>
      <c r="E43" t="s">
        <v>22</v>
      </c>
      <c r="F43" t="s">
        <v>3720</v>
      </c>
      <c r="G43" t="s">
        <v>3721</v>
      </c>
      <c r="H43" t="s">
        <v>3622</v>
      </c>
    </row>
    <row r="44" spans="1:8" hidden="1" x14ac:dyDescent="0.3">
      <c r="A44">
        <v>112</v>
      </c>
      <c r="B44" t="s">
        <v>206</v>
      </c>
      <c r="C44" t="s">
        <v>224</v>
      </c>
      <c r="D44" t="s">
        <v>139</v>
      </c>
      <c r="E44" t="s">
        <v>22</v>
      </c>
      <c r="F44" t="s">
        <v>3722</v>
      </c>
      <c r="G44" t="s">
        <v>3723</v>
      </c>
      <c r="H44" t="s">
        <v>3622</v>
      </c>
    </row>
    <row r="45" spans="1:8" hidden="1" x14ac:dyDescent="0.3">
      <c r="A45">
        <v>113</v>
      </c>
      <c r="B45" t="s">
        <v>206</v>
      </c>
      <c r="C45" t="s">
        <v>55</v>
      </c>
      <c r="D45" t="s">
        <v>139</v>
      </c>
      <c r="E45" t="s">
        <v>22</v>
      </c>
      <c r="F45" t="s">
        <v>3724</v>
      </c>
      <c r="G45" t="s">
        <v>3725</v>
      </c>
      <c r="H45" t="s">
        <v>3622</v>
      </c>
    </row>
    <row r="46" spans="1:8" hidden="1" x14ac:dyDescent="0.3">
      <c r="A46">
        <v>114</v>
      </c>
      <c r="B46" t="s">
        <v>206</v>
      </c>
      <c r="C46" t="s">
        <v>72</v>
      </c>
      <c r="D46" t="s">
        <v>139</v>
      </c>
      <c r="E46" t="s">
        <v>22</v>
      </c>
      <c r="F46" t="s">
        <v>3726</v>
      </c>
      <c r="G46" t="s">
        <v>3727</v>
      </c>
      <c r="H46" t="s">
        <v>3622</v>
      </c>
    </row>
    <row r="47" spans="1:8" hidden="1" x14ac:dyDescent="0.3">
      <c r="A47">
        <v>115</v>
      </c>
      <c r="B47" t="s">
        <v>206</v>
      </c>
      <c r="C47" t="s">
        <v>138</v>
      </c>
      <c r="D47" t="s">
        <v>139</v>
      </c>
      <c r="E47" t="s">
        <v>22</v>
      </c>
      <c r="F47" t="s">
        <v>3728</v>
      </c>
      <c r="G47" t="s">
        <v>3729</v>
      </c>
      <c r="H47" t="s">
        <v>3622</v>
      </c>
    </row>
    <row r="48" spans="1:8" hidden="1" x14ac:dyDescent="0.3">
      <c r="A48">
        <v>117</v>
      </c>
      <c r="B48" t="s">
        <v>206</v>
      </c>
      <c r="C48" t="s">
        <v>251</v>
      </c>
      <c r="D48" t="s">
        <v>139</v>
      </c>
      <c r="E48" t="s">
        <v>22</v>
      </c>
      <c r="F48" t="s">
        <v>3730</v>
      </c>
      <c r="G48" t="s">
        <v>3731</v>
      </c>
      <c r="H48" t="s">
        <v>3622</v>
      </c>
    </row>
    <row r="49" spans="1:8" hidden="1" x14ac:dyDescent="0.3">
      <c r="A49">
        <v>118</v>
      </c>
      <c r="B49" t="s">
        <v>257</v>
      </c>
      <c r="C49" t="s">
        <v>258</v>
      </c>
      <c r="D49" t="s">
        <v>139</v>
      </c>
      <c r="E49" t="s">
        <v>22</v>
      </c>
      <c r="F49" t="s">
        <v>3732</v>
      </c>
      <c r="G49" t="s">
        <v>3733</v>
      </c>
      <c r="H49" t="s">
        <v>3622</v>
      </c>
    </row>
    <row r="50" spans="1:8" hidden="1" x14ac:dyDescent="0.3">
      <c r="A50">
        <v>133</v>
      </c>
      <c r="B50" t="s">
        <v>206</v>
      </c>
      <c r="C50" t="s">
        <v>454</v>
      </c>
      <c r="D50" t="s">
        <v>139</v>
      </c>
      <c r="E50" t="s">
        <v>22</v>
      </c>
      <c r="F50" t="s">
        <v>3734</v>
      </c>
      <c r="G50" t="s">
        <v>3735</v>
      </c>
      <c r="H50" t="s">
        <v>3622</v>
      </c>
    </row>
    <row r="51" spans="1:8" hidden="1" x14ac:dyDescent="0.3">
      <c r="A51">
        <v>150</v>
      </c>
      <c r="B51" t="s">
        <v>540</v>
      </c>
      <c r="C51" t="s">
        <v>190</v>
      </c>
      <c r="D51" t="s">
        <v>139</v>
      </c>
      <c r="E51" t="s">
        <v>22</v>
      </c>
      <c r="F51" t="s">
        <v>3736</v>
      </c>
      <c r="G51" t="s">
        <v>206</v>
      </c>
      <c r="H51" t="s">
        <v>3622</v>
      </c>
    </row>
    <row r="52" spans="1:8" hidden="1" x14ac:dyDescent="0.3">
      <c r="A52">
        <v>151</v>
      </c>
      <c r="B52" t="s">
        <v>206</v>
      </c>
      <c r="C52" t="s">
        <v>461</v>
      </c>
      <c r="D52" t="s">
        <v>139</v>
      </c>
      <c r="E52" t="s">
        <v>22</v>
      </c>
      <c r="F52" t="s">
        <v>3737</v>
      </c>
      <c r="G52" t="s">
        <v>206</v>
      </c>
      <c r="H52" t="s">
        <v>3622</v>
      </c>
    </row>
    <row r="53" spans="1:8" hidden="1" x14ac:dyDescent="0.3">
      <c r="A53">
        <v>84</v>
      </c>
      <c r="B53" t="s">
        <v>137</v>
      </c>
      <c r="C53" t="s">
        <v>138</v>
      </c>
      <c r="D53" t="s">
        <v>139</v>
      </c>
      <c r="E53" t="s">
        <v>22</v>
      </c>
      <c r="F53" t="s">
        <v>3738</v>
      </c>
      <c r="G53" t="s">
        <v>3739</v>
      </c>
      <c r="H53" t="s">
        <v>3651</v>
      </c>
    </row>
    <row r="54" spans="1:8" hidden="1" x14ac:dyDescent="0.3">
      <c r="A54">
        <v>84</v>
      </c>
      <c r="B54" t="s">
        <v>137</v>
      </c>
      <c r="C54" t="s">
        <v>138</v>
      </c>
      <c r="D54" t="s">
        <v>139</v>
      </c>
      <c r="E54" t="s">
        <v>22</v>
      </c>
      <c r="F54" t="s">
        <v>3740</v>
      </c>
      <c r="G54" t="s">
        <v>3741</v>
      </c>
      <c r="H54" t="s">
        <v>3651</v>
      </c>
    </row>
    <row r="55" spans="1:8" hidden="1" x14ac:dyDescent="0.3">
      <c r="A55">
        <v>85</v>
      </c>
      <c r="B55" t="s">
        <v>143</v>
      </c>
      <c r="C55" t="s">
        <v>138</v>
      </c>
      <c r="D55" t="s">
        <v>139</v>
      </c>
      <c r="E55" t="s">
        <v>22</v>
      </c>
      <c r="F55" t="s">
        <v>3742</v>
      </c>
      <c r="G55" t="s">
        <v>3743</v>
      </c>
      <c r="H55" t="s">
        <v>3622</v>
      </c>
    </row>
    <row r="56" spans="1:8" hidden="1" x14ac:dyDescent="0.3">
      <c r="A56">
        <v>85</v>
      </c>
      <c r="B56" t="s">
        <v>143</v>
      </c>
      <c r="C56" t="s">
        <v>138</v>
      </c>
      <c r="D56" t="s">
        <v>139</v>
      </c>
      <c r="E56" t="s">
        <v>22</v>
      </c>
      <c r="F56" t="s">
        <v>3744</v>
      </c>
      <c r="G56" t="s">
        <v>3745</v>
      </c>
      <c r="H56" t="s">
        <v>9</v>
      </c>
    </row>
    <row r="57" spans="1:8" hidden="1" x14ac:dyDescent="0.3">
      <c r="A57">
        <v>87</v>
      </c>
      <c r="B57" t="s">
        <v>154</v>
      </c>
      <c r="C57" t="s">
        <v>138</v>
      </c>
      <c r="D57" t="s">
        <v>139</v>
      </c>
      <c r="E57" t="s">
        <v>22</v>
      </c>
      <c r="F57" t="s">
        <v>3746</v>
      </c>
      <c r="G57" t="s">
        <v>3747</v>
      </c>
      <c r="H57" t="s">
        <v>3622</v>
      </c>
    </row>
    <row r="58" spans="1:8" hidden="1" x14ac:dyDescent="0.3">
      <c r="A58">
        <v>88</v>
      </c>
      <c r="B58" t="s">
        <v>158</v>
      </c>
      <c r="C58" t="s">
        <v>138</v>
      </c>
      <c r="D58" t="s">
        <v>139</v>
      </c>
      <c r="E58" t="s">
        <v>22</v>
      </c>
      <c r="F58" t="s">
        <v>3748</v>
      </c>
      <c r="G58" t="s">
        <v>3749</v>
      </c>
      <c r="H58" t="s">
        <v>3622</v>
      </c>
    </row>
    <row r="59" spans="1:8" hidden="1" x14ac:dyDescent="0.3">
      <c r="A59">
        <v>88</v>
      </c>
      <c r="B59" t="s">
        <v>158</v>
      </c>
      <c r="C59" t="s">
        <v>138</v>
      </c>
      <c r="D59" t="s">
        <v>139</v>
      </c>
      <c r="E59" t="s">
        <v>22</v>
      </c>
      <c r="F59" t="s">
        <v>3750</v>
      </c>
      <c r="G59" t="s">
        <v>3751</v>
      </c>
      <c r="H59" t="s">
        <v>9</v>
      </c>
    </row>
    <row r="60" spans="1:8" hidden="1" x14ac:dyDescent="0.3">
      <c r="A60">
        <v>89</v>
      </c>
      <c r="B60" t="s">
        <v>162</v>
      </c>
      <c r="C60" t="s">
        <v>138</v>
      </c>
      <c r="D60" t="s">
        <v>139</v>
      </c>
      <c r="E60" t="s">
        <v>22</v>
      </c>
      <c r="F60" t="s">
        <v>3752</v>
      </c>
      <c r="G60" t="s">
        <v>3753</v>
      </c>
      <c r="H60" t="s">
        <v>3622</v>
      </c>
    </row>
    <row r="61" spans="1:8" hidden="1" x14ac:dyDescent="0.3">
      <c r="A61">
        <v>89</v>
      </c>
      <c r="B61" t="s">
        <v>162</v>
      </c>
      <c r="C61" t="s">
        <v>138</v>
      </c>
      <c r="D61" t="s">
        <v>139</v>
      </c>
      <c r="E61" t="s">
        <v>22</v>
      </c>
      <c r="F61" t="s">
        <v>3754</v>
      </c>
      <c r="G61" t="s">
        <v>3755</v>
      </c>
      <c r="H61" t="s">
        <v>9</v>
      </c>
    </row>
    <row r="62" spans="1:8" hidden="1" x14ac:dyDescent="0.3">
      <c r="A62">
        <v>90</v>
      </c>
      <c r="B62" t="s">
        <v>166</v>
      </c>
      <c r="C62" t="s">
        <v>138</v>
      </c>
      <c r="D62" t="s">
        <v>139</v>
      </c>
      <c r="E62" t="s">
        <v>22</v>
      </c>
      <c r="F62" t="s">
        <v>3756</v>
      </c>
      <c r="G62" t="s">
        <v>3757</v>
      </c>
      <c r="H62" t="s">
        <v>3622</v>
      </c>
    </row>
    <row r="63" spans="1:8" hidden="1" x14ac:dyDescent="0.3">
      <c r="A63">
        <v>90</v>
      </c>
      <c r="B63" t="s">
        <v>166</v>
      </c>
      <c r="C63" t="s">
        <v>138</v>
      </c>
      <c r="D63" t="s">
        <v>139</v>
      </c>
      <c r="E63" t="s">
        <v>22</v>
      </c>
      <c r="F63" t="s">
        <v>3758</v>
      </c>
      <c r="G63" t="s">
        <v>3759</v>
      </c>
      <c r="H63" t="s">
        <v>9</v>
      </c>
    </row>
    <row r="64" spans="1:8" hidden="1" x14ac:dyDescent="0.3">
      <c r="A64">
        <v>91</v>
      </c>
      <c r="B64" t="s">
        <v>170</v>
      </c>
      <c r="C64" t="s">
        <v>138</v>
      </c>
      <c r="D64" t="s">
        <v>139</v>
      </c>
      <c r="E64" t="s">
        <v>22</v>
      </c>
      <c r="F64" t="s">
        <v>3760</v>
      </c>
      <c r="G64" t="s">
        <v>3761</v>
      </c>
      <c r="H64" t="s">
        <v>3622</v>
      </c>
    </row>
    <row r="65" spans="1:8" hidden="1" x14ac:dyDescent="0.3">
      <c r="A65">
        <v>91</v>
      </c>
      <c r="B65" t="s">
        <v>170</v>
      </c>
      <c r="C65" t="s">
        <v>138</v>
      </c>
      <c r="D65" t="s">
        <v>139</v>
      </c>
      <c r="E65" t="s">
        <v>22</v>
      </c>
      <c r="F65" t="s">
        <v>3762</v>
      </c>
      <c r="G65" t="s">
        <v>3763</v>
      </c>
      <c r="H65" t="s">
        <v>9</v>
      </c>
    </row>
    <row r="66" spans="1:8" hidden="1" x14ac:dyDescent="0.3">
      <c r="A66">
        <v>92</v>
      </c>
      <c r="B66" t="s">
        <v>174</v>
      </c>
      <c r="C66" t="s">
        <v>138</v>
      </c>
      <c r="D66" t="s">
        <v>139</v>
      </c>
      <c r="E66" t="s">
        <v>22</v>
      </c>
      <c r="F66" t="s">
        <v>3764</v>
      </c>
      <c r="G66" t="s">
        <v>3765</v>
      </c>
      <c r="H66" t="s">
        <v>3651</v>
      </c>
    </row>
    <row r="67" spans="1:8" hidden="1" x14ac:dyDescent="0.3">
      <c r="A67">
        <v>92</v>
      </c>
      <c r="B67" t="s">
        <v>174</v>
      </c>
      <c r="C67" t="s">
        <v>138</v>
      </c>
      <c r="D67" t="s">
        <v>139</v>
      </c>
      <c r="E67" t="s">
        <v>22</v>
      </c>
      <c r="F67" t="s">
        <v>3766</v>
      </c>
      <c r="G67" t="s">
        <v>3767</v>
      </c>
      <c r="H67" t="s">
        <v>3651</v>
      </c>
    </row>
    <row r="68" spans="1:8" hidden="1" x14ac:dyDescent="0.3">
      <c r="A68">
        <v>94</v>
      </c>
      <c r="B68" t="s">
        <v>178</v>
      </c>
      <c r="C68" t="s">
        <v>138</v>
      </c>
      <c r="D68" t="s">
        <v>139</v>
      </c>
      <c r="E68" t="s">
        <v>22</v>
      </c>
      <c r="F68" t="s">
        <v>3768</v>
      </c>
      <c r="G68" t="s">
        <v>3769</v>
      </c>
      <c r="H68" t="s">
        <v>3651</v>
      </c>
    </row>
    <row r="69" spans="1:8" hidden="1" x14ac:dyDescent="0.3">
      <c r="A69">
        <v>94</v>
      </c>
      <c r="B69" t="s">
        <v>178</v>
      </c>
      <c r="C69" t="s">
        <v>138</v>
      </c>
      <c r="D69" t="s">
        <v>139</v>
      </c>
      <c r="E69" t="s">
        <v>22</v>
      </c>
      <c r="F69" t="s">
        <v>3770</v>
      </c>
      <c r="G69" t="s">
        <v>3771</v>
      </c>
      <c r="H69" t="s">
        <v>3651</v>
      </c>
    </row>
    <row r="70" spans="1:8" hidden="1" x14ac:dyDescent="0.3">
      <c r="A70">
        <v>100</v>
      </c>
      <c r="B70" t="s">
        <v>192</v>
      </c>
      <c r="C70" t="s">
        <v>138</v>
      </c>
      <c r="D70" t="s">
        <v>139</v>
      </c>
      <c r="E70" t="s">
        <v>22</v>
      </c>
      <c r="F70" t="s">
        <v>3772</v>
      </c>
      <c r="G70" t="s">
        <v>3773</v>
      </c>
      <c r="H70" t="s">
        <v>3622</v>
      </c>
    </row>
    <row r="71" spans="1:8" hidden="1" x14ac:dyDescent="0.3">
      <c r="A71">
        <v>104</v>
      </c>
      <c r="B71" t="s">
        <v>196</v>
      </c>
      <c r="C71" t="s">
        <v>138</v>
      </c>
      <c r="D71" t="s">
        <v>139</v>
      </c>
      <c r="E71" t="s">
        <v>56</v>
      </c>
      <c r="F71" t="s">
        <v>3774</v>
      </c>
      <c r="G71" t="s">
        <v>3775</v>
      </c>
      <c r="H71" t="s">
        <v>3651</v>
      </c>
    </row>
    <row r="72" spans="1:8" hidden="1" x14ac:dyDescent="0.3">
      <c r="A72">
        <v>104</v>
      </c>
      <c r="B72" t="s">
        <v>196</v>
      </c>
      <c r="C72" t="s">
        <v>138</v>
      </c>
      <c r="D72" t="s">
        <v>139</v>
      </c>
      <c r="E72" t="s">
        <v>56</v>
      </c>
      <c r="F72" t="s">
        <v>3776</v>
      </c>
      <c r="G72" t="s">
        <v>3777</v>
      </c>
      <c r="H72" t="s">
        <v>3651</v>
      </c>
    </row>
    <row r="73" spans="1:8" hidden="1" x14ac:dyDescent="0.3">
      <c r="A73">
        <v>106</v>
      </c>
      <c r="B73" t="s">
        <v>201</v>
      </c>
      <c r="C73" t="s">
        <v>138</v>
      </c>
      <c r="D73" t="s">
        <v>139</v>
      </c>
      <c r="E73" t="s">
        <v>56</v>
      </c>
      <c r="F73" t="s">
        <v>3778</v>
      </c>
      <c r="G73" t="s">
        <v>3779</v>
      </c>
      <c r="H73" t="s">
        <v>3651</v>
      </c>
    </row>
    <row r="74" spans="1:8" hidden="1" x14ac:dyDescent="0.3">
      <c r="A74">
        <v>106</v>
      </c>
      <c r="B74" t="s">
        <v>201</v>
      </c>
      <c r="C74" t="s">
        <v>138</v>
      </c>
      <c r="D74" t="s">
        <v>139</v>
      </c>
      <c r="E74" t="s">
        <v>56</v>
      </c>
      <c r="F74" t="s">
        <v>3780</v>
      </c>
      <c r="G74" t="s">
        <v>3781</v>
      </c>
      <c r="H74" t="s">
        <v>3651</v>
      </c>
    </row>
    <row r="75" spans="1:8" hidden="1" x14ac:dyDescent="0.3">
      <c r="A75">
        <v>126</v>
      </c>
      <c r="B75" t="s">
        <v>409</v>
      </c>
      <c r="C75" t="s">
        <v>138</v>
      </c>
      <c r="D75" t="s">
        <v>139</v>
      </c>
      <c r="E75" t="s">
        <v>56</v>
      </c>
      <c r="F75" t="s">
        <v>3782</v>
      </c>
      <c r="G75" t="s">
        <v>3783</v>
      </c>
      <c r="H75" t="s">
        <v>3651</v>
      </c>
    </row>
    <row r="76" spans="1:8" hidden="1" x14ac:dyDescent="0.3">
      <c r="A76">
        <v>126</v>
      </c>
      <c r="B76" t="s">
        <v>409</v>
      </c>
      <c r="C76" t="s">
        <v>138</v>
      </c>
      <c r="D76" t="s">
        <v>139</v>
      </c>
      <c r="E76" t="s">
        <v>56</v>
      </c>
      <c r="F76" t="s">
        <v>3784</v>
      </c>
      <c r="G76" t="s">
        <v>3785</v>
      </c>
      <c r="H76" t="s">
        <v>3651</v>
      </c>
    </row>
    <row r="77" spans="1:8" hidden="1" x14ac:dyDescent="0.3">
      <c r="A77">
        <v>127</v>
      </c>
      <c r="B77" t="s">
        <v>413</v>
      </c>
      <c r="C77" t="s">
        <v>138</v>
      </c>
      <c r="D77" t="s">
        <v>139</v>
      </c>
      <c r="E77" t="s">
        <v>56</v>
      </c>
      <c r="F77" t="s">
        <v>3786</v>
      </c>
      <c r="G77" t="s">
        <v>3787</v>
      </c>
      <c r="H77" t="s">
        <v>3651</v>
      </c>
    </row>
    <row r="78" spans="1:8" hidden="1" x14ac:dyDescent="0.3">
      <c r="A78">
        <v>147</v>
      </c>
      <c r="B78" t="s">
        <v>523</v>
      </c>
      <c r="C78" t="s">
        <v>190</v>
      </c>
      <c r="D78" t="s">
        <v>139</v>
      </c>
      <c r="E78" t="s">
        <v>22</v>
      </c>
      <c r="F78" t="s">
        <v>3788</v>
      </c>
      <c r="G78" t="s">
        <v>3789</v>
      </c>
      <c r="H78" t="s">
        <v>3622</v>
      </c>
    </row>
    <row r="79" spans="1:8" hidden="1" x14ac:dyDescent="0.3">
      <c r="A79">
        <v>147</v>
      </c>
      <c r="B79" t="s">
        <v>523</v>
      </c>
      <c r="C79" t="s">
        <v>190</v>
      </c>
      <c r="D79" t="s">
        <v>139</v>
      </c>
      <c r="E79" t="s">
        <v>22</v>
      </c>
      <c r="F79" t="s">
        <v>3790</v>
      </c>
      <c r="G79" t="s">
        <v>3791</v>
      </c>
      <c r="H79" t="s">
        <v>9</v>
      </c>
    </row>
    <row r="80" spans="1:8" hidden="1" x14ac:dyDescent="0.3">
      <c r="A80">
        <v>200</v>
      </c>
      <c r="B80" t="s">
        <v>668</v>
      </c>
      <c r="C80" t="s">
        <v>55</v>
      </c>
      <c r="D80" t="s">
        <v>139</v>
      </c>
      <c r="E80" t="s">
        <v>22</v>
      </c>
      <c r="F80" t="s">
        <v>3792</v>
      </c>
      <c r="G80" t="s">
        <v>3793</v>
      </c>
      <c r="H80" t="s">
        <v>3622</v>
      </c>
    </row>
    <row r="81" spans="1:8" hidden="1" x14ac:dyDescent="0.3">
      <c r="A81">
        <v>244</v>
      </c>
      <c r="B81" t="s">
        <v>1204</v>
      </c>
      <c r="C81" t="s">
        <v>251</v>
      </c>
      <c r="D81" t="s">
        <v>139</v>
      </c>
      <c r="E81" t="s">
        <v>56</v>
      </c>
      <c r="F81" t="s">
        <v>3794</v>
      </c>
      <c r="G81" t="s">
        <v>3795</v>
      </c>
      <c r="H81" t="s">
        <v>3622</v>
      </c>
    </row>
    <row r="82" spans="1:8" hidden="1" x14ac:dyDescent="0.3">
      <c r="A82">
        <v>272</v>
      </c>
      <c r="B82" t="s">
        <v>1360</v>
      </c>
      <c r="C82" t="s">
        <v>138</v>
      </c>
      <c r="D82" t="s">
        <v>139</v>
      </c>
      <c r="E82" t="s">
        <v>56</v>
      </c>
      <c r="F82" t="s">
        <v>3796</v>
      </c>
      <c r="G82" t="s">
        <v>3797</v>
      </c>
      <c r="H82" t="s">
        <v>3651</v>
      </c>
    </row>
    <row r="83" spans="1:8" hidden="1" x14ac:dyDescent="0.3">
      <c r="A83">
        <v>272</v>
      </c>
      <c r="B83" t="s">
        <v>1360</v>
      </c>
      <c r="C83" t="s">
        <v>138</v>
      </c>
      <c r="D83" t="s">
        <v>139</v>
      </c>
      <c r="E83" t="s">
        <v>56</v>
      </c>
      <c r="F83" t="s">
        <v>3798</v>
      </c>
      <c r="G83" t="s">
        <v>3781</v>
      </c>
      <c r="H83" t="s">
        <v>3651</v>
      </c>
    </row>
    <row r="84" spans="1:8" hidden="1" x14ac:dyDescent="0.3">
      <c r="A84">
        <v>334</v>
      </c>
      <c r="B84" t="s">
        <v>1668</v>
      </c>
      <c r="C84" t="s">
        <v>55</v>
      </c>
      <c r="D84" t="s">
        <v>139</v>
      </c>
      <c r="E84" t="s">
        <v>22</v>
      </c>
      <c r="F84" t="s">
        <v>3799</v>
      </c>
      <c r="G84" t="s">
        <v>3800</v>
      </c>
      <c r="H84" t="s">
        <v>3622</v>
      </c>
    </row>
    <row r="85" spans="1:8" hidden="1" x14ac:dyDescent="0.3">
      <c r="A85">
        <v>241</v>
      </c>
      <c r="B85" t="s">
        <v>1153</v>
      </c>
      <c r="C85" t="s">
        <v>1096</v>
      </c>
      <c r="D85" t="s">
        <v>73</v>
      </c>
      <c r="E85" t="s">
        <v>22</v>
      </c>
      <c r="F85" t="s">
        <v>3801</v>
      </c>
      <c r="G85" t="s">
        <v>3802</v>
      </c>
      <c r="H85" t="s">
        <v>3622</v>
      </c>
    </row>
    <row r="86" spans="1:8" hidden="1" x14ac:dyDescent="0.3">
      <c r="A86">
        <v>241</v>
      </c>
      <c r="B86" t="s">
        <v>1153</v>
      </c>
      <c r="C86" t="s">
        <v>1096</v>
      </c>
      <c r="D86" t="s">
        <v>73</v>
      </c>
      <c r="E86" t="s">
        <v>22</v>
      </c>
      <c r="F86" t="s">
        <v>3803</v>
      </c>
      <c r="G86" t="s">
        <v>3804</v>
      </c>
      <c r="H86" t="s">
        <v>9</v>
      </c>
    </row>
    <row r="87" spans="1:8" hidden="1" x14ac:dyDescent="0.3">
      <c r="A87">
        <v>233</v>
      </c>
      <c r="B87" t="s">
        <v>1053</v>
      </c>
      <c r="C87" t="s">
        <v>251</v>
      </c>
      <c r="D87" t="s">
        <v>21</v>
      </c>
      <c r="E87" t="s">
        <v>22</v>
      </c>
      <c r="F87" t="s">
        <v>3805</v>
      </c>
      <c r="G87" t="s">
        <v>3806</v>
      </c>
      <c r="H87" t="s">
        <v>3651</v>
      </c>
    </row>
    <row r="88" spans="1:8" hidden="1" x14ac:dyDescent="0.3">
      <c r="A88">
        <v>233</v>
      </c>
      <c r="B88" t="s">
        <v>1053</v>
      </c>
      <c r="C88" t="s">
        <v>251</v>
      </c>
      <c r="D88" t="s">
        <v>21</v>
      </c>
      <c r="E88" t="s">
        <v>22</v>
      </c>
      <c r="F88" t="s">
        <v>3807</v>
      </c>
      <c r="G88" t="s">
        <v>3808</v>
      </c>
      <c r="H88" t="s">
        <v>3651</v>
      </c>
    </row>
    <row r="89" spans="1:8" hidden="1" x14ac:dyDescent="0.3">
      <c r="A89">
        <v>234</v>
      </c>
      <c r="B89" t="s">
        <v>1062</v>
      </c>
      <c r="C89" t="s">
        <v>251</v>
      </c>
      <c r="D89" t="s">
        <v>21</v>
      </c>
      <c r="E89" t="s">
        <v>22</v>
      </c>
      <c r="F89" t="s">
        <v>3809</v>
      </c>
      <c r="G89" t="s">
        <v>3810</v>
      </c>
      <c r="H89" t="s">
        <v>3651</v>
      </c>
    </row>
    <row r="90" spans="1:8" hidden="1" x14ac:dyDescent="0.3">
      <c r="A90">
        <v>234</v>
      </c>
      <c r="B90" t="s">
        <v>1062</v>
      </c>
      <c r="C90" t="s">
        <v>251</v>
      </c>
      <c r="D90" t="s">
        <v>21</v>
      </c>
      <c r="E90" t="s">
        <v>22</v>
      </c>
      <c r="F90" t="s">
        <v>3811</v>
      </c>
      <c r="G90" t="s">
        <v>3812</v>
      </c>
      <c r="H90" t="s">
        <v>3651</v>
      </c>
    </row>
    <row r="91" spans="1:8" hidden="1" x14ac:dyDescent="0.3">
      <c r="A91">
        <v>240</v>
      </c>
      <c r="B91" t="s">
        <v>1144</v>
      </c>
      <c r="C91" t="s">
        <v>1096</v>
      </c>
      <c r="D91" t="s">
        <v>21</v>
      </c>
      <c r="E91" t="s">
        <v>22</v>
      </c>
      <c r="F91" t="s">
        <v>3813</v>
      </c>
      <c r="G91" t="s">
        <v>3814</v>
      </c>
      <c r="H91" t="s">
        <v>3622</v>
      </c>
    </row>
    <row r="92" spans="1:8" hidden="1" x14ac:dyDescent="0.3">
      <c r="A92">
        <v>240</v>
      </c>
      <c r="B92" t="s">
        <v>1144</v>
      </c>
      <c r="C92" t="s">
        <v>1096</v>
      </c>
      <c r="D92" t="s">
        <v>21</v>
      </c>
      <c r="E92" t="s">
        <v>22</v>
      </c>
      <c r="F92" t="s">
        <v>3815</v>
      </c>
      <c r="G92" t="s">
        <v>3816</v>
      </c>
      <c r="H92" t="s">
        <v>9</v>
      </c>
    </row>
    <row r="93" spans="1:8" hidden="1" x14ac:dyDescent="0.3">
      <c r="A93">
        <v>254</v>
      </c>
      <c r="B93" t="s">
        <v>1262</v>
      </c>
      <c r="C93" t="s">
        <v>1263</v>
      </c>
      <c r="D93" t="s">
        <v>21</v>
      </c>
      <c r="E93" t="s">
        <v>22</v>
      </c>
      <c r="F93" t="s">
        <v>3817</v>
      </c>
      <c r="G93" t="s">
        <v>3818</v>
      </c>
      <c r="H93" t="s">
        <v>3622</v>
      </c>
    </row>
    <row r="94" spans="1:8" hidden="1" x14ac:dyDescent="0.3">
      <c r="A94">
        <v>254</v>
      </c>
      <c r="B94" t="s">
        <v>1262</v>
      </c>
      <c r="C94" t="s">
        <v>1263</v>
      </c>
      <c r="D94" t="s">
        <v>21</v>
      </c>
      <c r="E94" t="s">
        <v>22</v>
      </c>
      <c r="F94" t="s">
        <v>3819</v>
      </c>
      <c r="G94" t="s">
        <v>3820</v>
      </c>
      <c r="H94" t="s">
        <v>9</v>
      </c>
    </row>
    <row r="95" spans="1:8" hidden="1" x14ac:dyDescent="0.3">
      <c r="A95">
        <v>263</v>
      </c>
      <c r="B95" t="s">
        <v>1309</v>
      </c>
      <c r="C95" t="s">
        <v>1303</v>
      </c>
      <c r="D95" t="s">
        <v>21</v>
      </c>
      <c r="E95" t="s">
        <v>22</v>
      </c>
      <c r="F95" t="s">
        <v>3821</v>
      </c>
      <c r="G95" t="s">
        <v>3822</v>
      </c>
      <c r="H95" t="s">
        <v>3651</v>
      </c>
    </row>
    <row r="96" spans="1:8" hidden="1" x14ac:dyDescent="0.3">
      <c r="A96">
        <v>263</v>
      </c>
      <c r="B96" t="s">
        <v>1309</v>
      </c>
      <c r="C96" t="s">
        <v>1303</v>
      </c>
      <c r="D96" t="s">
        <v>21</v>
      </c>
      <c r="E96" t="s">
        <v>22</v>
      </c>
      <c r="F96" t="s">
        <v>3823</v>
      </c>
      <c r="G96" t="s">
        <v>3824</v>
      </c>
      <c r="H96" t="s">
        <v>3651</v>
      </c>
    </row>
    <row r="97" spans="1:8" hidden="1" x14ac:dyDescent="0.3">
      <c r="A97">
        <v>265</v>
      </c>
      <c r="B97" t="s">
        <v>1327</v>
      </c>
      <c r="C97" t="s">
        <v>1303</v>
      </c>
      <c r="D97" t="s">
        <v>21</v>
      </c>
      <c r="E97" t="s">
        <v>22</v>
      </c>
      <c r="F97" t="s">
        <v>3825</v>
      </c>
      <c r="G97" t="s">
        <v>3826</v>
      </c>
      <c r="H97" t="s">
        <v>3651</v>
      </c>
    </row>
    <row r="98" spans="1:8" hidden="1" x14ac:dyDescent="0.3">
      <c r="A98">
        <v>265</v>
      </c>
      <c r="B98" t="s">
        <v>1327</v>
      </c>
      <c r="C98" t="s">
        <v>1303</v>
      </c>
      <c r="D98" t="s">
        <v>21</v>
      </c>
      <c r="E98" t="s">
        <v>22</v>
      </c>
      <c r="F98" t="s">
        <v>3827</v>
      </c>
      <c r="G98" t="s">
        <v>3828</v>
      </c>
      <c r="H98" t="s">
        <v>3651</v>
      </c>
    </row>
    <row r="99" spans="1:8" hidden="1" x14ac:dyDescent="0.3">
      <c r="A99">
        <v>266</v>
      </c>
      <c r="B99" t="s">
        <v>1330</v>
      </c>
      <c r="C99" t="s">
        <v>1303</v>
      </c>
      <c r="D99" t="s">
        <v>21</v>
      </c>
      <c r="E99" t="s">
        <v>22</v>
      </c>
      <c r="F99" t="s">
        <v>3829</v>
      </c>
      <c r="G99" t="s">
        <v>3830</v>
      </c>
      <c r="H99" t="s">
        <v>3651</v>
      </c>
    </row>
    <row r="100" spans="1:8" hidden="1" x14ac:dyDescent="0.3">
      <c r="A100">
        <v>266</v>
      </c>
      <c r="B100" t="s">
        <v>1330</v>
      </c>
      <c r="C100" t="s">
        <v>1303</v>
      </c>
      <c r="D100" t="s">
        <v>21</v>
      </c>
      <c r="E100" t="s">
        <v>22</v>
      </c>
      <c r="F100" t="s">
        <v>3831</v>
      </c>
      <c r="G100" t="s">
        <v>3832</v>
      </c>
      <c r="H100" t="s">
        <v>3651</v>
      </c>
    </row>
    <row r="101" spans="1:8" hidden="1" x14ac:dyDescent="0.3">
      <c r="A101">
        <v>300</v>
      </c>
      <c r="B101" t="s">
        <v>1500</v>
      </c>
      <c r="C101" t="s">
        <v>1501</v>
      </c>
      <c r="D101" t="s">
        <v>21</v>
      </c>
      <c r="E101" t="s">
        <v>22</v>
      </c>
      <c r="F101" t="s">
        <v>3833</v>
      </c>
      <c r="G101" t="s">
        <v>3834</v>
      </c>
      <c r="H101" t="s">
        <v>3622</v>
      </c>
    </row>
    <row r="102" spans="1:8" hidden="1" x14ac:dyDescent="0.3">
      <c r="A102">
        <v>300</v>
      </c>
      <c r="B102" t="s">
        <v>1500</v>
      </c>
      <c r="C102" t="s">
        <v>1501</v>
      </c>
      <c r="D102" t="s">
        <v>21</v>
      </c>
      <c r="E102" t="s">
        <v>22</v>
      </c>
      <c r="F102" t="s">
        <v>3835</v>
      </c>
      <c r="G102" t="s">
        <v>3836</v>
      </c>
      <c r="H102" t="s">
        <v>9</v>
      </c>
    </row>
    <row r="103" spans="1:8" hidden="1" x14ac:dyDescent="0.3">
      <c r="A103">
        <v>301</v>
      </c>
      <c r="B103" t="s">
        <v>1510</v>
      </c>
      <c r="C103" t="s">
        <v>1501</v>
      </c>
      <c r="D103" t="s">
        <v>21</v>
      </c>
      <c r="E103" t="s">
        <v>22</v>
      </c>
      <c r="F103" t="s">
        <v>3837</v>
      </c>
      <c r="G103" t="s">
        <v>3838</v>
      </c>
      <c r="H103" t="s">
        <v>3622</v>
      </c>
    </row>
    <row r="104" spans="1:8" hidden="1" x14ac:dyDescent="0.3">
      <c r="A104">
        <v>301</v>
      </c>
      <c r="B104" t="s">
        <v>1510</v>
      </c>
      <c r="C104" t="s">
        <v>1501</v>
      </c>
      <c r="D104" t="s">
        <v>21</v>
      </c>
      <c r="E104" t="s">
        <v>22</v>
      </c>
      <c r="F104" t="s">
        <v>3839</v>
      </c>
      <c r="G104" t="s">
        <v>3840</v>
      </c>
      <c r="H104" t="s">
        <v>9</v>
      </c>
    </row>
    <row r="105" spans="1:8" hidden="1" x14ac:dyDescent="0.3">
      <c r="A105">
        <v>347</v>
      </c>
      <c r="B105" t="s">
        <v>1720</v>
      </c>
      <c r="C105" t="s">
        <v>1721</v>
      </c>
      <c r="D105" t="s">
        <v>21</v>
      </c>
      <c r="E105" t="s">
        <v>56</v>
      </c>
      <c r="F105" t="s">
        <v>3841</v>
      </c>
      <c r="G105" t="s">
        <v>3842</v>
      </c>
      <c r="H105" t="s">
        <v>3651</v>
      </c>
    </row>
    <row r="106" spans="1:8" hidden="1" x14ac:dyDescent="0.3">
      <c r="A106">
        <v>348</v>
      </c>
      <c r="B106" t="s">
        <v>1730</v>
      </c>
      <c r="C106" t="s">
        <v>1721</v>
      </c>
      <c r="D106" t="s">
        <v>21</v>
      </c>
      <c r="E106" t="s">
        <v>22</v>
      </c>
      <c r="F106" t="s">
        <v>3843</v>
      </c>
      <c r="G106" t="s">
        <v>3844</v>
      </c>
      <c r="H106" t="s">
        <v>3651</v>
      </c>
    </row>
    <row r="107" spans="1:8" hidden="1" x14ac:dyDescent="0.3">
      <c r="A107">
        <v>348</v>
      </c>
      <c r="B107" t="s">
        <v>1730</v>
      </c>
      <c r="C107" t="s">
        <v>1721</v>
      </c>
      <c r="D107" t="s">
        <v>21</v>
      </c>
      <c r="E107" t="s">
        <v>22</v>
      </c>
      <c r="F107" t="s">
        <v>3845</v>
      </c>
      <c r="G107" t="s">
        <v>3846</v>
      </c>
      <c r="H107" t="s">
        <v>3651</v>
      </c>
    </row>
    <row r="108" spans="1:8" hidden="1" x14ac:dyDescent="0.3">
      <c r="A108">
        <v>351</v>
      </c>
      <c r="B108" t="s">
        <v>1739</v>
      </c>
      <c r="C108" t="s">
        <v>1721</v>
      </c>
      <c r="D108" t="s">
        <v>21</v>
      </c>
      <c r="E108" t="s">
        <v>56</v>
      </c>
      <c r="F108" t="s">
        <v>3847</v>
      </c>
      <c r="G108" t="s">
        <v>3848</v>
      </c>
      <c r="H108" t="s">
        <v>3651</v>
      </c>
    </row>
    <row r="109" spans="1:8" hidden="1" x14ac:dyDescent="0.3">
      <c r="A109">
        <v>351</v>
      </c>
      <c r="B109" t="s">
        <v>1739</v>
      </c>
      <c r="C109" t="s">
        <v>1721</v>
      </c>
      <c r="D109" t="s">
        <v>21</v>
      </c>
      <c r="E109" t="s">
        <v>56</v>
      </c>
      <c r="F109" t="s">
        <v>3849</v>
      </c>
      <c r="G109" t="s">
        <v>3850</v>
      </c>
      <c r="H109" t="s">
        <v>3651</v>
      </c>
    </row>
    <row r="110" spans="1:8" hidden="1" x14ac:dyDescent="0.3">
      <c r="A110">
        <v>352</v>
      </c>
      <c r="B110" t="s">
        <v>1748</v>
      </c>
      <c r="C110" t="s">
        <v>1721</v>
      </c>
      <c r="D110" t="s">
        <v>21</v>
      </c>
      <c r="E110" t="s">
        <v>56</v>
      </c>
      <c r="F110" t="s">
        <v>3851</v>
      </c>
      <c r="G110" t="s">
        <v>3852</v>
      </c>
      <c r="H110" t="s">
        <v>3651</v>
      </c>
    </row>
    <row r="111" spans="1:8" hidden="1" x14ac:dyDescent="0.3">
      <c r="A111">
        <v>352</v>
      </c>
      <c r="B111" t="s">
        <v>1748</v>
      </c>
      <c r="C111" t="s">
        <v>1721</v>
      </c>
      <c r="D111" t="s">
        <v>21</v>
      </c>
      <c r="E111" t="s">
        <v>56</v>
      </c>
      <c r="F111" t="s">
        <v>3853</v>
      </c>
      <c r="G111" t="s">
        <v>3854</v>
      </c>
      <c r="H111" t="s">
        <v>3651</v>
      </c>
    </row>
    <row r="112" spans="1:8" hidden="1" x14ac:dyDescent="0.3">
      <c r="A112">
        <v>394</v>
      </c>
      <c r="B112" t="s">
        <v>1997</v>
      </c>
      <c r="C112" t="s">
        <v>1998</v>
      </c>
      <c r="D112" t="s">
        <v>21</v>
      </c>
      <c r="E112" t="s">
        <v>22</v>
      </c>
      <c r="F112" t="s">
        <v>3855</v>
      </c>
      <c r="G112" t="s">
        <v>3856</v>
      </c>
      <c r="H112" t="s">
        <v>3622</v>
      </c>
    </row>
    <row r="113" spans="1:8" hidden="1" x14ac:dyDescent="0.3">
      <c r="A113">
        <v>394</v>
      </c>
      <c r="B113" t="s">
        <v>1997</v>
      </c>
      <c r="C113" t="s">
        <v>1998</v>
      </c>
      <c r="D113" t="s">
        <v>21</v>
      </c>
      <c r="E113" t="s">
        <v>22</v>
      </c>
      <c r="F113" t="s">
        <v>3857</v>
      </c>
      <c r="G113" t="s">
        <v>3858</v>
      </c>
      <c r="H113" t="s">
        <v>9</v>
      </c>
    </row>
    <row r="114" spans="1:8" hidden="1" x14ac:dyDescent="0.3">
      <c r="A114">
        <v>395</v>
      </c>
      <c r="B114" t="s">
        <v>2007</v>
      </c>
      <c r="C114" t="s">
        <v>1998</v>
      </c>
      <c r="D114" t="s">
        <v>21</v>
      </c>
      <c r="E114" t="s">
        <v>22</v>
      </c>
      <c r="F114" t="s">
        <v>3859</v>
      </c>
      <c r="G114" t="s">
        <v>3860</v>
      </c>
      <c r="H114" t="s">
        <v>3622</v>
      </c>
    </row>
    <row r="115" spans="1:8" hidden="1" x14ac:dyDescent="0.3">
      <c r="A115">
        <v>395</v>
      </c>
      <c r="B115" t="s">
        <v>2007</v>
      </c>
      <c r="C115" t="s">
        <v>1998</v>
      </c>
      <c r="D115" t="s">
        <v>21</v>
      </c>
      <c r="E115" t="s">
        <v>22</v>
      </c>
      <c r="F115" t="s">
        <v>3861</v>
      </c>
      <c r="G115" t="s">
        <v>3862</v>
      </c>
      <c r="H115" t="s">
        <v>9</v>
      </c>
    </row>
    <row r="116" spans="1:8" hidden="1" x14ac:dyDescent="0.3">
      <c r="A116">
        <v>116</v>
      </c>
      <c r="B116" t="s">
        <v>206</v>
      </c>
      <c r="C116" t="s">
        <v>120</v>
      </c>
      <c r="D116" t="s">
        <v>139</v>
      </c>
      <c r="E116" t="s">
        <v>22</v>
      </c>
      <c r="F116" t="s">
        <v>3863</v>
      </c>
      <c r="G116" t="s">
        <v>3864</v>
      </c>
      <c r="H116" t="s">
        <v>3622</v>
      </c>
    </row>
    <row r="117" spans="1:8" hidden="1" x14ac:dyDescent="0.3">
      <c r="A117">
        <v>193</v>
      </c>
      <c r="B117" t="s">
        <v>632</v>
      </c>
      <c r="C117" t="s">
        <v>625</v>
      </c>
      <c r="D117" t="s">
        <v>39</v>
      </c>
      <c r="E117" t="s">
        <v>22</v>
      </c>
      <c r="F117" t="s">
        <v>3865</v>
      </c>
      <c r="G117" t="s">
        <v>3866</v>
      </c>
      <c r="H117" t="s">
        <v>3651</v>
      </c>
    </row>
    <row r="118" spans="1:8" hidden="1" x14ac:dyDescent="0.3">
      <c r="A118">
        <v>193</v>
      </c>
      <c r="B118" t="s">
        <v>632</v>
      </c>
      <c r="C118" t="s">
        <v>625</v>
      </c>
      <c r="D118" t="s">
        <v>39</v>
      </c>
      <c r="E118" t="s">
        <v>22</v>
      </c>
      <c r="F118" t="s">
        <v>3867</v>
      </c>
      <c r="G118" t="s">
        <v>3868</v>
      </c>
      <c r="H118" t="s">
        <v>3651</v>
      </c>
    </row>
    <row r="119" spans="1:8" hidden="1" x14ac:dyDescent="0.3">
      <c r="A119">
        <v>204</v>
      </c>
      <c r="B119" t="s">
        <v>685</v>
      </c>
      <c r="C119" t="s">
        <v>210</v>
      </c>
      <c r="D119" t="s">
        <v>39</v>
      </c>
      <c r="E119" t="s">
        <v>22</v>
      </c>
      <c r="F119" t="s">
        <v>3869</v>
      </c>
      <c r="G119" t="s">
        <v>3870</v>
      </c>
      <c r="H119" t="s">
        <v>3622</v>
      </c>
    </row>
    <row r="120" spans="1:8" hidden="1" x14ac:dyDescent="0.3">
      <c r="A120">
        <v>204</v>
      </c>
      <c r="B120" t="s">
        <v>685</v>
      </c>
      <c r="C120" t="s">
        <v>210</v>
      </c>
      <c r="D120" t="s">
        <v>39</v>
      </c>
      <c r="E120" t="s">
        <v>22</v>
      </c>
      <c r="F120" t="s">
        <v>3871</v>
      </c>
      <c r="G120" t="s">
        <v>3872</v>
      </c>
      <c r="H120" t="s">
        <v>9</v>
      </c>
    </row>
    <row r="121" spans="1:8" hidden="1" x14ac:dyDescent="0.3">
      <c r="A121">
        <v>205</v>
      </c>
      <c r="B121" t="s">
        <v>692</v>
      </c>
      <c r="C121" t="s">
        <v>210</v>
      </c>
      <c r="D121" t="s">
        <v>39</v>
      </c>
      <c r="E121" t="s">
        <v>22</v>
      </c>
      <c r="F121" t="s">
        <v>3873</v>
      </c>
      <c r="G121" t="s">
        <v>3874</v>
      </c>
      <c r="H121" t="s">
        <v>3622</v>
      </c>
    </row>
    <row r="122" spans="1:8" hidden="1" x14ac:dyDescent="0.3">
      <c r="A122">
        <v>205</v>
      </c>
      <c r="B122" t="s">
        <v>692</v>
      </c>
      <c r="C122" t="s">
        <v>210</v>
      </c>
      <c r="D122" t="s">
        <v>39</v>
      </c>
      <c r="E122" t="s">
        <v>22</v>
      </c>
      <c r="F122" t="s">
        <v>3875</v>
      </c>
      <c r="G122" t="s">
        <v>3876</v>
      </c>
      <c r="H122" t="s">
        <v>9</v>
      </c>
    </row>
    <row r="123" spans="1:8" hidden="1" x14ac:dyDescent="0.3">
      <c r="A123">
        <v>207</v>
      </c>
      <c r="B123" t="s">
        <v>702</v>
      </c>
      <c r="C123" t="s">
        <v>210</v>
      </c>
      <c r="D123" t="s">
        <v>39</v>
      </c>
      <c r="E123" t="s">
        <v>56</v>
      </c>
      <c r="F123" t="s">
        <v>3877</v>
      </c>
      <c r="G123" t="s">
        <v>3878</v>
      </c>
      <c r="H123" t="s">
        <v>3622</v>
      </c>
    </row>
    <row r="124" spans="1:8" hidden="1" x14ac:dyDescent="0.3">
      <c r="A124">
        <v>207</v>
      </c>
      <c r="B124" t="s">
        <v>702</v>
      </c>
      <c r="C124" t="s">
        <v>210</v>
      </c>
      <c r="D124" t="s">
        <v>39</v>
      </c>
      <c r="E124" t="s">
        <v>56</v>
      </c>
      <c r="F124" t="s">
        <v>3879</v>
      </c>
      <c r="G124" t="s">
        <v>3880</v>
      </c>
      <c r="H124" t="s">
        <v>9</v>
      </c>
    </row>
    <row r="125" spans="1:8" hidden="1" x14ac:dyDescent="0.3">
      <c r="A125">
        <v>230</v>
      </c>
      <c r="B125" t="s">
        <v>1038</v>
      </c>
      <c r="C125" t="s">
        <v>251</v>
      </c>
      <c r="D125" t="s">
        <v>39</v>
      </c>
      <c r="E125" t="s">
        <v>22</v>
      </c>
      <c r="F125" t="s">
        <v>3881</v>
      </c>
      <c r="G125" t="s">
        <v>3882</v>
      </c>
      <c r="H125" t="s">
        <v>3651</v>
      </c>
    </row>
    <row r="126" spans="1:8" hidden="1" x14ac:dyDescent="0.3">
      <c r="A126">
        <v>230</v>
      </c>
      <c r="B126" t="s">
        <v>1038</v>
      </c>
      <c r="C126" t="s">
        <v>251</v>
      </c>
      <c r="D126" t="s">
        <v>39</v>
      </c>
      <c r="E126" t="s">
        <v>22</v>
      </c>
      <c r="F126" t="s">
        <v>3883</v>
      </c>
      <c r="G126" t="s">
        <v>3884</v>
      </c>
      <c r="H126" t="s">
        <v>3651</v>
      </c>
    </row>
    <row r="127" spans="1:8" hidden="1" x14ac:dyDescent="0.3">
      <c r="A127">
        <v>231</v>
      </c>
      <c r="B127" t="s">
        <v>1043</v>
      </c>
      <c r="C127" t="s">
        <v>251</v>
      </c>
      <c r="D127" t="s">
        <v>39</v>
      </c>
      <c r="E127" t="s">
        <v>22</v>
      </c>
      <c r="F127" t="s">
        <v>3885</v>
      </c>
      <c r="G127" t="s">
        <v>3886</v>
      </c>
      <c r="H127" t="s">
        <v>3622</v>
      </c>
    </row>
    <row r="128" spans="1:8" hidden="1" x14ac:dyDescent="0.3">
      <c r="A128">
        <v>231</v>
      </c>
      <c r="B128" t="s">
        <v>1043</v>
      </c>
      <c r="C128" t="s">
        <v>251</v>
      </c>
      <c r="D128" t="s">
        <v>39</v>
      </c>
      <c r="E128" t="s">
        <v>22</v>
      </c>
      <c r="F128" t="s">
        <v>3887</v>
      </c>
      <c r="G128" t="s">
        <v>3888</v>
      </c>
      <c r="H128" t="s">
        <v>9</v>
      </c>
    </row>
    <row r="129" spans="1:8" hidden="1" x14ac:dyDescent="0.3">
      <c r="A129">
        <v>232</v>
      </c>
      <c r="B129" t="s">
        <v>1048</v>
      </c>
      <c r="C129" t="s">
        <v>251</v>
      </c>
      <c r="D129" t="s">
        <v>39</v>
      </c>
      <c r="E129" t="s">
        <v>22</v>
      </c>
      <c r="F129" t="s">
        <v>3889</v>
      </c>
      <c r="G129" t="s">
        <v>3890</v>
      </c>
      <c r="H129" t="s">
        <v>3622</v>
      </c>
    </row>
    <row r="130" spans="1:8" hidden="1" x14ac:dyDescent="0.3">
      <c r="A130">
        <v>232</v>
      </c>
      <c r="B130" t="s">
        <v>1048</v>
      </c>
      <c r="C130" t="s">
        <v>251</v>
      </c>
      <c r="D130" t="s">
        <v>39</v>
      </c>
      <c r="E130" t="s">
        <v>22</v>
      </c>
      <c r="F130" t="s">
        <v>3891</v>
      </c>
      <c r="G130" t="s">
        <v>3892</v>
      </c>
      <c r="H130" t="s">
        <v>9</v>
      </c>
    </row>
    <row r="131" spans="1:8" hidden="1" x14ac:dyDescent="0.3">
      <c r="A131">
        <v>245</v>
      </c>
      <c r="B131" t="s">
        <v>1213</v>
      </c>
      <c r="C131" t="s">
        <v>1208</v>
      </c>
      <c r="D131" t="s">
        <v>39</v>
      </c>
      <c r="E131" t="s">
        <v>22</v>
      </c>
      <c r="F131" t="s">
        <v>3893</v>
      </c>
      <c r="G131" t="s">
        <v>3894</v>
      </c>
      <c r="H131" t="s">
        <v>9</v>
      </c>
    </row>
    <row r="132" spans="1:8" hidden="1" x14ac:dyDescent="0.3">
      <c r="A132">
        <v>245</v>
      </c>
      <c r="B132" t="s">
        <v>1213</v>
      </c>
      <c r="C132" t="s">
        <v>1208</v>
      </c>
      <c r="D132" t="s">
        <v>39</v>
      </c>
      <c r="E132" t="s">
        <v>22</v>
      </c>
      <c r="F132" t="s">
        <v>3895</v>
      </c>
      <c r="G132" t="s">
        <v>3896</v>
      </c>
      <c r="H132" t="s">
        <v>3622</v>
      </c>
    </row>
    <row r="133" spans="1:8" hidden="1" x14ac:dyDescent="0.3">
      <c r="A133">
        <v>252</v>
      </c>
      <c r="B133" t="s">
        <v>1255</v>
      </c>
      <c r="C133" t="s">
        <v>1208</v>
      </c>
      <c r="D133" t="s">
        <v>39</v>
      </c>
      <c r="E133" t="s">
        <v>22</v>
      </c>
      <c r="F133" t="s">
        <v>3897</v>
      </c>
      <c r="G133" t="s">
        <v>3898</v>
      </c>
      <c r="H133" t="s">
        <v>9</v>
      </c>
    </row>
    <row r="134" spans="1:8" hidden="1" x14ac:dyDescent="0.3">
      <c r="A134">
        <v>252</v>
      </c>
      <c r="B134" t="s">
        <v>1255</v>
      </c>
      <c r="C134" t="s">
        <v>1208</v>
      </c>
      <c r="D134" t="s">
        <v>39</v>
      </c>
      <c r="E134" t="s">
        <v>22</v>
      </c>
      <c r="F134" t="s">
        <v>3899</v>
      </c>
      <c r="G134" t="s">
        <v>3900</v>
      </c>
      <c r="H134" t="s">
        <v>3622</v>
      </c>
    </row>
    <row r="135" spans="1:8" hidden="1" x14ac:dyDescent="0.3">
      <c r="A135">
        <v>256</v>
      </c>
      <c r="B135" t="s">
        <v>1277</v>
      </c>
      <c r="C135" t="s">
        <v>546</v>
      </c>
      <c r="D135" t="s">
        <v>39</v>
      </c>
      <c r="E135" t="s">
        <v>22</v>
      </c>
      <c r="F135" t="s">
        <v>3901</v>
      </c>
      <c r="G135" t="s">
        <v>3902</v>
      </c>
      <c r="H135" t="s">
        <v>3622</v>
      </c>
    </row>
    <row r="136" spans="1:8" hidden="1" x14ac:dyDescent="0.3">
      <c r="A136">
        <v>256</v>
      </c>
      <c r="B136" t="s">
        <v>1277</v>
      </c>
      <c r="C136" t="s">
        <v>546</v>
      </c>
      <c r="D136" t="s">
        <v>39</v>
      </c>
      <c r="E136" t="s">
        <v>22</v>
      </c>
      <c r="F136" t="s">
        <v>3903</v>
      </c>
      <c r="G136" t="s">
        <v>3904</v>
      </c>
      <c r="H136" t="s">
        <v>9</v>
      </c>
    </row>
    <row r="137" spans="1:8" hidden="1" x14ac:dyDescent="0.3">
      <c r="A137">
        <v>260</v>
      </c>
      <c r="B137" t="s">
        <v>1291</v>
      </c>
      <c r="C137" t="s">
        <v>1292</v>
      </c>
      <c r="D137" t="s">
        <v>39</v>
      </c>
      <c r="E137" t="s">
        <v>56</v>
      </c>
      <c r="F137" t="s">
        <v>3905</v>
      </c>
      <c r="G137" t="s">
        <v>3906</v>
      </c>
      <c r="H137" t="s">
        <v>3622</v>
      </c>
    </row>
    <row r="138" spans="1:8" hidden="1" x14ac:dyDescent="0.3">
      <c r="A138">
        <v>261</v>
      </c>
      <c r="B138" t="s">
        <v>1297</v>
      </c>
      <c r="C138" t="s">
        <v>625</v>
      </c>
      <c r="D138" t="s">
        <v>39</v>
      </c>
      <c r="E138" t="s">
        <v>56</v>
      </c>
      <c r="F138" t="s">
        <v>3907</v>
      </c>
      <c r="G138" t="s">
        <v>3908</v>
      </c>
      <c r="H138" t="s">
        <v>3622</v>
      </c>
    </row>
    <row r="139" spans="1:8" hidden="1" x14ac:dyDescent="0.3">
      <c r="A139">
        <v>262</v>
      </c>
      <c r="B139" t="s">
        <v>1306</v>
      </c>
      <c r="C139" t="s">
        <v>1303</v>
      </c>
      <c r="D139" t="s">
        <v>39</v>
      </c>
      <c r="E139" t="s">
        <v>56</v>
      </c>
      <c r="F139" t="s">
        <v>3909</v>
      </c>
      <c r="G139" t="s">
        <v>3910</v>
      </c>
      <c r="H139" t="s">
        <v>3651</v>
      </c>
    </row>
    <row r="140" spans="1:8" hidden="1" x14ac:dyDescent="0.3">
      <c r="A140">
        <v>262</v>
      </c>
      <c r="B140" t="s">
        <v>1306</v>
      </c>
      <c r="C140" t="s">
        <v>1303</v>
      </c>
      <c r="D140" t="s">
        <v>39</v>
      </c>
      <c r="E140" t="s">
        <v>56</v>
      </c>
      <c r="F140" t="s">
        <v>3911</v>
      </c>
      <c r="G140" t="s">
        <v>3912</v>
      </c>
      <c r="H140" t="s">
        <v>3651</v>
      </c>
    </row>
    <row r="141" spans="1:8" hidden="1" x14ac:dyDescent="0.3">
      <c r="A141">
        <v>268</v>
      </c>
      <c r="B141" t="s">
        <v>1341</v>
      </c>
      <c r="C141" t="s">
        <v>1336</v>
      </c>
      <c r="D141" t="s">
        <v>39</v>
      </c>
      <c r="E141" t="s">
        <v>22</v>
      </c>
      <c r="F141" t="s">
        <v>3913</v>
      </c>
      <c r="G141" t="s">
        <v>3914</v>
      </c>
      <c r="H141" t="s">
        <v>3622</v>
      </c>
    </row>
    <row r="142" spans="1:8" hidden="1" x14ac:dyDescent="0.3">
      <c r="A142">
        <v>269</v>
      </c>
      <c r="B142" t="s">
        <v>1347</v>
      </c>
      <c r="C142" t="s">
        <v>1336</v>
      </c>
      <c r="D142" t="s">
        <v>39</v>
      </c>
      <c r="E142" t="s">
        <v>22</v>
      </c>
      <c r="F142" t="s">
        <v>3915</v>
      </c>
      <c r="G142" t="s">
        <v>3916</v>
      </c>
      <c r="H142" t="s">
        <v>3651</v>
      </c>
    </row>
    <row r="143" spans="1:8" hidden="1" x14ac:dyDescent="0.3">
      <c r="A143">
        <v>269</v>
      </c>
      <c r="B143" t="s">
        <v>1347</v>
      </c>
      <c r="C143" t="s">
        <v>1336</v>
      </c>
      <c r="D143" t="s">
        <v>39</v>
      </c>
      <c r="E143" t="s">
        <v>22</v>
      </c>
      <c r="F143" t="s">
        <v>3917</v>
      </c>
      <c r="G143" t="s">
        <v>3918</v>
      </c>
      <c r="H143" t="s">
        <v>3651</v>
      </c>
    </row>
    <row r="144" spans="1:8" hidden="1" x14ac:dyDescent="0.3">
      <c r="A144">
        <v>270</v>
      </c>
      <c r="B144" t="s">
        <v>1353</v>
      </c>
      <c r="C144" t="s">
        <v>1336</v>
      </c>
      <c r="D144" t="s">
        <v>39</v>
      </c>
      <c r="E144" t="s">
        <v>22</v>
      </c>
      <c r="F144" t="s">
        <v>3919</v>
      </c>
      <c r="G144" t="s">
        <v>3920</v>
      </c>
      <c r="H144" t="s">
        <v>3651</v>
      </c>
    </row>
    <row r="145" spans="1:8" hidden="1" x14ac:dyDescent="0.3">
      <c r="A145">
        <v>270</v>
      </c>
      <c r="B145" t="s">
        <v>1353</v>
      </c>
      <c r="C145" t="s">
        <v>1336</v>
      </c>
      <c r="D145" t="s">
        <v>39</v>
      </c>
      <c r="E145" t="s">
        <v>22</v>
      </c>
      <c r="F145" t="s">
        <v>3921</v>
      </c>
      <c r="G145" t="s">
        <v>3918</v>
      </c>
      <c r="H145" t="s">
        <v>3651</v>
      </c>
    </row>
    <row r="146" spans="1:8" hidden="1" x14ac:dyDescent="0.3">
      <c r="A146">
        <v>271</v>
      </c>
      <c r="B146" t="s">
        <v>1358</v>
      </c>
      <c r="C146" t="s">
        <v>1336</v>
      </c>
      <c r="D146" t="s">
        <v>39</v>
      </c>
      <c r="E146" t="s">
        <v>22</v>
      </c>
      <c r="F146" t="s">
        <v>3922</v>
      </c>
      <c r="G146" t="s">
        <v>1354</v>
      </c>
      <c r="H146" t="s">
        <v>3651</v>
      </c>
    </row>
    <row r="147" spans="1:8" hidden="1" x14ac:dyDescent="0.3">
      <c r="A147">
        <v>271</v>
      </c>
      <c r="B147" t="s">
        <v>1358</v>
      </c>
      <c r="C147" t="s">
        <v>1336</v>
      </c>
      <c r="D147" t="s">
        <v>39</v>
      </c>
      <c r="E147" t="s">
        <v>22</v>
      </c>
      <c r="F147" t="s">
        <v>3923</v>
      </c>
      <c r="G147" t="s">
        <v>3924</v>
      </c>
      <c r="H147" t="s">
        <v>3651</v>
      </c>
    </row>
    <row r="148" spans="1:8" hidden="1" x14ac:dyDescent="0.3">
      <c r="A148">
        <v>273</v>
      </c>
      <c r="B148" t="s">
        <v>1363</v>
      </c>
      <c r="C148" t="s">
        <v>1364</v>
      </c>
      <c r="D148" t="s">
        <v>39</v>
      </c>
      <c r="E148" t="s">
        <v>22</v>
      </c>
      <c r="F148" t="s">
        <v>3925</v>
      </c>
      <c r="G148" t="s">
        <v>3926</v>
      </c>
      <c r="H148" t="s">
        <v>3622</v>
      </c>
    </row>
    <row r="149" spans="1:8" hidden="1" x14ac:dyDescent="0.3">
      <c r="A149">
        <v>273</v>
      </c>
      <c r="B149" t="s">
        <v>1363</v>
      </c>
      <c r="C149" t="s">
        <v>1364</v>
      </c>
      <c r="D149" t="s">
        <v>39</v>
      </c>
      <c r="E149" t="s">
        <v>22</v>
      </c>
      <c r="F149" t="s">
        <v>3927</v>
      </c>
      <c r="G149" t="s">
        <v>3928</v>
      </c>
      <c r="H149" t="s">
        <v>9</v>
      </c>
    </row>
    <row r="150" spans="1:8" hidden="1" x14ac:dyDescent="0.3">
      <c r="A150">
        <v>276</v>
      </c>
      <c r="B150" t="s">
        <v>1382</v>
      </c>
      <c r="C150" t="s">
        <v>1383</v>
      </c>
      <c r="D150" t="s">
        <v>39</v>
      </c>
      <c r="E150" t="s">
        <v>56</v>
      </c>
      <c r="F150" t="s">
        <v>3929</v>
      </c>
      <c r="G150" t="s">
        <v>3930</v>
      </c>
      <c r="H150" t="s">
        <v>3651</v>
      </c>
    </row>
    <row r="151" spans="1:8" hidden="1" x14ac:dyDescent="0.3">
      <c r="A151">
        <v>276</v>
      </c>
      <c r="B151" t="s">
        <v>1382</v>
      </c>
      <c r="C151" t="s">
        <v>1383</v>
      </c>
      <c r="D151" t="s">
        <v>39</v>
      </c>
      <c r="E151" t="s">
        <v>56</v>
      </c>
      <c r="F151" t="s">
        <v>3931</v>
      </c>
      <c r="G151" t="s">
        <v>3932</v>
      </c>
      <c r="H151" t="s">
        <v>3651</v>
      </c>
    </row>
    <row r="152" spans="1:8" hidden="1" x14ac:dyDescent="0.3">
      <c r="A152">
        <v>277</v>
      </c>
      <c r="B152" t="s">
        <v>1393</v>
      </c>
      <c r="C152" t="s">
        <v>1383</v>
      </c>
      <c r="D152" t="s">
        <v>39</v>
      </c>
      <c r="E152" t="s">
        <v>56</v>
      </c>
      <c r="F152" t="s">
        <v>3933</v>
      </c>
      <c r="G152" t="s">
        <v>3934</v>
      </c>
      <c r="H152" t="s">
        <v>3651</v>
      </c>
    </row>
    <row r="153" spans="1:8" hidden="1" x14ac:dyDescent="0.3">
      <c r="A153">
        <v>282</v>
      </c>
      <c r="B153" t="s">
        <v>1410</v>
      </c>
      <c r="C153" t="s">
        <v>1383</v>
      </c>
      <c r="D153" t="s">
        <v>39</v>
      </c>
      <c r="E153" t="s">
        <v>22</v>
      </c>
      <c r="F153" t="s">
        <v>3935</v>
      </c>
      <c r="G153" t="s">
        <v>3936</v>
      </c>
      <c r="H153" t="s">
        <v>3622</v>
      </c>
    </row>
    <row r="154" spans="1:8" hidden="1" x14ac:dyDescent="0.3">
      <c r="A154">
        <v>282</v>
      </c>
      <c r="B154" t="s">
        <v>1410</v>
      </c>
      <c r="C154" t="s">
        <v>1383</v>
      </c>
      <c r="D154" t="s">
        <v>39</v>
      </c>
      <c r="E154" t="s">
        <v>22</v>
      </c>
      <c r="F154" t="s">
        <v>3937</v>
      </c>
      <c r="G154" t="s">
        <v>3938</v>
      </c>
      <c r="H154" t="s">
        <v>9</v>
      </c>
    </row>
    <row r="155" spans="1:8" hidden="1" x14ac:dyDescent="0.3">
      <c r="A155">
        <v>283</v>
      </c>
      <c r="B155" t="s">
        <v>1415</v>
      </c>
      <c r="C155" t="s">
        <v>1383</v>
      </c>
      <c r="D155" t="s">
        <v>39</v>
      </c>
      <c r="E155" t="s">
        <v>22</v>
      </c>
      <c r="F155" t="s">
        <v>3939</v>
      </c>
      <c r="G155" t="s">
        <v>3940</v>
      </c>
      <c r="H155" t="s">
        <v>3622</v>
      </c>
    </row>
    <row r="156" spans="1:8" hidden="1" x14ac:dyDescent="0.3">
      <c r="A156">
        <v>285</v>
      </c>
      <c r="B156" t="s">
        <v>1423</v>
      </c>
      <c r="C156" t="s">
        <v>1383</v>
      </c>
      <c r="D156" t="s">
        <v>39</v>
      </c>
      <c r="E156" t="s">
        <v>22</v>
      </c>
      <c r="F156" t="s">
        <v>3941</v>
      </c>
      <c r="G156" t="s">
        <v>3942</v>
      </c>
      <c r="H156" t="s">
        <v>3651</v>
      </c>
    </row>
    <row r="157" spans="1:8" hidden="1" x14ac:dyDescent="0.3">
      <c r="A157">
        <v>285</v>
      </c>
      <c r="B157" t="s">
        <v>1423</v>
      </c>
      <c r="C157" t="s">
        <v>1383</v>
      </c>
      <c r="D157" t="s">
        <v>39</v>
      </c>
      <c r="E157" t="s">
        <v>22</v>
      </c>
      <c r="F157" t="s">
        <v>3943</v>
      </c>
      <c r="G157" t="s">
        <v>3944</v>
      </c>
      <c r="H157" t="s">
        <v>3651</v>
      </c>
    </row>
    <row r="158" spans="1:8" hidden="1" x14ac:dyDescent="0.3">
      <c r="A158">
        <v>304</v>
      </c>
      <c r="B158" t="s">
        <v>1535</v>
      </c>
      <c r="C158" t="s">
        <v>1528</v>
      </c>
      <c r="D158" t="s">
        <v>39</v>
      </c>
      <c r="E158" t="s">
        <v>22</v>
      </c>
      <c r="F158" t="s">
        <v>3945</v>
      </c>
      <c r="G158" t="s">
        <v>3946</v>
      </c>
      <c r="H158" t="s">
        <v>3622</v>
      </c>
    </row>
    <row r="159" spans="1:8" hidden="1" x14ac:dyDescent="0.3">
      <c r="A159">
        <v>304</v>
      </c>
      <c r="B159" t="s">
        <v>1535</v>
      </c>
      <c r="C159" t="s">
        <v>1528</v>
      </c>
      <c r="D159" t="s">
        <v>39</v>
      </c>
      <c r="E159" t="s">
        <v>22</v>
      </c>
      <c r="F159" t="s">
        <v>3947</v>
      </c>
      <c r="G159" t="s">
        <v>3948</v>
      </c>
      <c r="H159" t="s">
        <v>9</v>
      </c>
    </row>
    <row r="160" spans="1:8" hidden="1" x14ac:dyDescent="0.3">
      <c r="A160">
        <v>323</v>
      </c>
      <c r="B160" t="s">
        <v>1626</v>
      </c>
      <c r="C160" t="s">
        <v>1627</v>
      </c>
      <c r="D160" t="s">
        <v>39</v>
      </c>
      <c r="E160" t="s">
        <v>22</v>
      </c>
      <c r="F160" t="s">
        <v>3949</v>
      </c>
      <c r="G160" t="s">
        <v>3950</v>
      </c>
      <c r="H160" t="s">
        <v>3622</v>
      </c>
    </row>
    <row r="161" spans="1:8" hidden="1" x14ac:dyDescent="0.3">
      <c r="A161">
        <v>323</v>
      </c>
      <c r="B161" t="s">
        <v>1626</v>
      </c>
      <c r="C161" t="s">
        <v>1627</v>
      </c>
      <c r="D161" t="s">
        <v>39</v>
      </c>
      <c r="E161" t="s">
        <v>22</v>
      </c>
      <c r="F161" t="s">
        <v>3951</v>
      </c>
      <c r="G161" t="s">
        <v>3952</v>
      </c>
      <c r="H161" t="s">
        <v>9</v>
      </c>
    </row>
    <row r="162" spans="1:8" hidden="1" x14ac:dyDescent="0.3">
      <c r="A162">
        <v>324</v>
      </c>
      <c r="B162" t="s">
        <v>1632</v>
      </c>
      <c r="C162" t="s">
        <v>1627</v>
      </c>
      <c r="D162" t="s">
        <v>39</v>
      </c>
      <c r="E162" t="s">
        <v>22</v>
      </c>
      <c r="F162" t="s">
        <v>3953</v>
      </c>
      <c r="G162" t="s">
        <v>3954</v>
      </c>
      <c r="H162" t="s">
        <v>3622</v>
      </c>
    </row>
    <row r="163" spans="1:8" hidden="1" x14ac:dyDescent="0.3">
      <c r="A163">
        <v>324</v>
      </c>
      <c r="B163" t="s">
        <v>1632</v>
      </c>
      <c r="C163" t="s">
        <v>1627</v>
      </c>
      <c r="D163" t="s">
        <v>39</v>
      </c>
      <c r="E163" t="s">
        <v>22</v>
      </c>
      <c r="F163" t="s">
        <v>3955</v>
      </c>
      <c r="G163" t="s">
        <v>3956</v>
      </c>
      <c r="H163" t="s">
        <v>9</v>
      </c>
    </row>
    <row r="164" spans="1:8" hidden="1" x14ac:dyDescent="0.3">
      <c r="A164">
        <v>325</v>
      </c>
      <c r="B164" t="s">
        <v>1642</v>
      </c>
      <c r="C164" t="s">
        <v>1627</v>
      </c>
      <c r="D164" t="s">
        <v>39</v>
      </c>
      <c r="E164" t="s">
        <v>22</v>
      </c>
      <c r="F164" t="s">
        <v>3957</v>
      </c>
      <c r="G164" t="s">
        <v>3958</v>
      </c>
      <c r="H164" t="s">
        <v>3622</v>
      </c>
    </row>
    <row r="165" spans="1:8" hidden="1" x14ac:dyDescent="0.3">
      <c r="A165">
        <v>325</v>
      </c>
      <c r="B165" t="s">
        <v>1642</v>
      </c>
      <c r="C165" t="s">
        <v>1627</v>
      </c>
      <c r="D165" t="s">
        <v>39</v>
      </c>
      <c r="E165" t="s">
        <v>22</v>
      </c>
      <c r="F165" t="s">
        <v>3959</v>
      </c>
      <c r="G165" t="s">
        <v>3960</v>
      </c>
      <c r="H165" t="s">
        <v>9</v>
      </c>
    </row>
    <row r="166" spans="1:8" hidden="1" x14ac:dyDescent="0.3">
      <c r="A166">
        <v>327</v>
      </c>
      <c r="B166" t="s">
        <v>1652</v>
      </c>
      <c r="C166" t="s">
        <v>1364</v>
      </c>
      <c r="D166" t="s">
        <v>39</v>
      </c>
      <c r="E166" t="s">
        <v>22</v>
      </c>
      <c r="F166" t="s">
        <v>3961</v>
      </c>
      <c r="G166" t="s">
        <v>3962</v>
      </c>
      <c r="H166" t="s">
        <v>3622</v>
      </c>
    </row>
    <row r="167" spans="1:8" hidden="1" x14ac:dyDescent="0.3">
      <c r="A167">
        <v>327</v>
      </c>
      <c r="B167" t="s">
        <v>1652</v>
      </c>
      <c r="C167" t="s">
        <v>1364</v>
      </c>
      <c r="D167" t="s">
        <v>39</v>
      </c>
      <c r="E167" t="s">
        <v>22</v>
      </c>
      <c r="F167" t="s">
        <v>3963</v>
      </c>
      <c r="G167" t="s">
        <v>3964</v>
      </c>
      <c r="H167" t="s">
        <v>9</v>
      </c>
    </row>
    <row r="168" spans="1:8" hidden="1" x14ac:dyDescent="0.3">
      <c r="A168">
        <v>332</v>
      </c>
      <c r="B168" t="s">
        <v>1663</v>
      </c>
      <c r="C168" t="s">
        <v>55</v>
      </c>
      <c r="D168" t="s">
        <v>39</v>
      </c>
      <c r="E168" t="s">
        <v>56</v>
      </c>
      <c r="F168" t="s">
        <v>3965</v>
      </c>
      <c r="G168" t="s">
        <v>3966</v>
      </c>
      <c r="H168" t="s">
        <v>3622</v>
      </c>
    </row>
    <row r="169" spans="1:8" hidden="1" x14ac:dyDescent="0.3">
      <c r="A169">
        <v>337</v>
      </c>
      <c r="B169" t="s">
        <v>1677</v>
      </c>
      <c r="C169" t="s">
        <v>1364</v>
      </c>
      <c r="D169" t="s">
        <v>39</v>
      </c>
      <c r="E169" t="s">
        <v>22</v>
      </c>
      <c r="F169" t="s">
        <v>3967</v>
      </c>
      <c r="G169" t="s">
        <v>3968</v>
      </c>
      <c r="H169" t="s">
        <v>3622</v>
      </c>
    </row>
    <row r="170" spans="1:8" hidden="1" x14ac:dyDescent="0.3">
      <c r="A170">
        <v>337</v>
      </c>
      <c r="B170" t="s">
        <v>1677</v>
      </c>
      <c r="C170" t="s">
        <v>1364</v>
      </c>
      <c r="D170" t="s">
        <v>39</v>
      </c>
      <c r="E170" t="s">
        <v>22</v>
      </c>
      <c r="F170" t="s">
        <v>3969</v>
      </c>
      <c r="G170" t="s">
        <v>3970</v>
      </c>
      <c r="H170" t="s">
        <v>9</v>
      </c>
    </row>
    <row r="171" spans="1:8" hidden="1" x14ac:dyDescent="0.3">
      <c r="A171">
        <v>338</v>
      </c>
      <c r="B171" t="s">
        <v>1685</v>
      </c>
      <c r="C171" t="s">
        <v>1364</v>
      </c>
      <c r="D171" t="s">
        <v>39</v>
      </c>
      <c r="E171" t="s">
        <v>22</v>
      </c>
      <c r="F171" t="s">
        <v>3971</v>
      </c>
      <c r="G171" t="s">
        <v>3958</v>
      </c>
      <c r="H171" t="s">
        <v>3622</v>
      </c>
    </row>
    <row r="172" spans="1:8" hidden="1" x14ac:dyDescent="0.3">
      <c r="A172">
        <v>338</v>
      </c>
      <c r="B172" t="s">
        <v>1685</v>
      </c>
      <c r="C172" t="s">
        <v>1364</v>
      </c>
      <c r="D172" t="s">
        <v>39</v>
      </c>
      <c r="E172" t="s">
        <v>22</v>
      </c>
      <c r="F172" t="s">
        <v>3972</v>
      </c>
      <c r="G172" t="s">
        <v>3960</v>
      </c>
      <c r="H172" t="s">
        <v>9</v>
      </c>
    </row>
    <row r="173" spans="1:8" hidden="1" x14ac:dyDescent="0.3">
      <c r="A173">
        <v>341</v>
      </c>
      <c r="B173" t="s">
        <v>1709</v>
      </c>
      <c r="C173" t="s">
        <v>20</v>
      </c>
      <c r="D173" t="s">
        <v>39</v>
      </c>
      <c r="E173" t="s">
        <v>22</v>
      </c>
      <c r="F173" t="s">
        <v>3973</v>
      </c>
      <c r="G173" t="s">
        <v>3974</v>
      </c>
      <c r="H173" t="s">
        <v>3622</v>
      </c>
    </row>
    <row r="174" spans="1:8" hidden="1" x14ac:dyDescent="0.3">
      <c r="A174">
        <v>341</v>
      </c>
      <c r="B174" t="s">
        <v>1709</v>
      </c>
      <c r="C174" t="s">
        <v>20</v>
      </c>
      <c r="D174" t="s">
        <v>39</v>
      </c>
      <c r="E174" t="s">
        <v>22</v>
      </c>
      <c r="F174" t="s">
        <v>3975</v>
      </c>
      <c r="G174" t="s">
        <v>3976</v>
      </c>
      <c r="H174" t="s">
        <v>9</v>
      </c>
    </row>
    <row r="175" spans="1:8" hidden="1" x14ac:dyDescent="0.3">
      <c r="A175">
        <v>344</v>
      </c>
      <c r="B175" t="s">
        <v>1710</v>
      </c>
      <c r="C175" t="s">
        <v>55</v>
      </c>
      <c r="D175" t="s">
        <v>39</v>
      </c>
      <c r="E175" t="s">
        <v>22</v>
      </c>
      <c r="F175" t="s">
        <v>3977</v>
      </c>
      <c r="G175" t="s">
        <v>3978</v>
      </c>
      <c r="H175" t="s">
        <v>3622</v>
      </c>
    </row>
    <row r="176" spans="1:8" hidden="1" x14ac:dyDescent="0.3">
      <c r="A176">
        <v>344</v>
      </c>
      <c r="B176" t="s">
        <v>1710</v>
      </c>
      <c r="C176" t="s">
        <v>55</v>
      </c>
      <c r="D176" t="s">
        <v>39</v>
      </c>
      <c r="E176" t="s">
        <v>22</v>
      </c>
      <c r="F176" t="s">
        <v>3979</v>
      </c>
      <c r="G176" t="s">
        <v>3980</v>
      </c>
      <c r="H176" t="s">
        <v>9</v>
      </c>
    </row>
    <row r="177" spans="1:8" hidden="1" x14ac:dyDescent="0.3">
      <c r="A177">
        <v>356</v>
      </c>
      <c r="B177" t="s">
        <v>1769</v>
      </c>
      <c r="C177" t="s">
        <v>1765</v>
      </c>
      <c r="D177" t="s">
        <v>39</v>
      </c>
      <c r="E177" t="s">
        <v>56</v>
      </c>
      <c r="F177" t="s">
        <v>3981</v>
      </c>
      <c r="G177" t="s">
        <v>3982</v>
      </c>
      <c r="H177" t="s">
        <v>3651</v>
      </c>
    </row>
    <row r="178" spans="1:8" hidden="1" x14ac:dyDescent="0.3">
      <c r="A178">
        <v>356</v>
      </c>
      <c r="B178" t="s">
        <v>1769</v>
      </c>
      <c r="C178" t="s">
        <v>1765</v>
      </c>
      <c r="D178" t="s">
        <v>39</v>
      </c>
      <c r="E178" t="s">
        <v>56</v>
      </c>
      <c r="F178" t="s">
        <v>3983</v>
      </c>
      <c r="G178" t="s">
        <v>3984</v>
      </c>
      <c r="H178" t="s">
        <v>3651</v>
      </c>
    </row>
    <row r="179" spans="1:8" hidden="1" x14ac:dyDescent="0.3">
      <c r="A179">
        <v>357</v>
      </c>
      <c r="B179" t="s">
        <v>1779</v>
      </c>
      <c r="C179" t="s">
        <v>1765</v>
      </c>
      <c r="D179" t="s">
        <v>39</v>
      </c>
      <c r="E179" t="s">
        <v>22</v>
      </c>
      <c r="F179" t="s">
        <v>3985</v>
      </c>
      <c r="G179" t="s">
        <v>3986</v>
      </c>
      <c r="H179" t="s">
        <v>3651</v>
      </c>
    </row>
    <row r="180" spans="1:8" hidden="1" x14ac:dyDescent="0.3">
      <c r="A180">
        <v>357</v>
      </c>
      <c r="B180" t="s">
        <v>1779</v>
      </c>
      <c r="C180" t="s">
        <v>1765</v>
      </c>
      <c r="D180" t="s">
        <v>39</v>
      </c>
      <c r="E180" t="s">
        <v>22</v>
      </c>
      <c r="F180" t="s">
        <v>3987</v>
      </c>
      <c r="G180" t="s">
        <v>3988</v>
      </c>
      <c r="H180" t="s">
        <v>3651</v>
      </c>
    </row>
    <row r="181" spans="1:8" hidden="1" x14ac:dyDescent="0.3">
      <c r="A181">
        <v>358</v>
      </c>
      <c r="B181" t="s">
        <v>1786</v>
      </c>
      <c r="C181" t="s">
        <v>1781</v>
      </c>
      <c r="D181" t="s">
        <v>39</v>
      </c>
      <c r="E181" t="s">
        <v>22</v>
      </c>
      <c r="F181" t="s">
        <v>3989</v>
      </c>
      <c r="G181" t="s">
        <v>3990</v>
      </c>
      <c r="H181" t="s">
        <v>3651</v>
      </c>
    </row>
    <row r="182" spans="1:8" hidden="1" x14ac:dyDescent="0.3">
      <c r="A182">
        <v>358</v>
      </c>
      <c r="B182" t="s">
        <v>1786</v>
      </c>
      <c r="C182" t="s">
        <v>1781</v>
      </c>
      <c r="D182" t="s">
        <v>39</v>
      </c>
      <c r="E182" t="s">
        <v>22</v>
      </c>
      <c r="F182" t="s">
        <v>3991</v>
      </c>
      <c r="G182" t="s">
        <v>3992</v>
      </c>
      <c r="H182" t="s">
        <v>3651</v>
      </c>
    </row>
    <row r="183" spans="1:8" hidden="1" x14ac:dyDescent="0.3">
      <c r="A183">
        <v>364</v>
      </c>
      <c r="B183" t="s">
        <v>1812</v>
      </c>
      <c r="C183" t="s">
        <v>1796</v>
      </c>
      <c r="D183" t="s">
        <v>39</v>
      </c>
      <c r="E183" t="s">
        <v>22</v>
      </c>
      <c r="F183" t="s">
        <v>3993</v>
      </c>
      <c r="G183" t="s">
        <v>3994</v>
      </c>
      <c r="H183" t="s">
        <v>3622</v>
      </c>
    </row>
    <row r="184" spans="1:8" hidden="1" x14ac:dyDescent="0.3">
      <c r="A184">
        <v>371</v>
      </c>
      <c r="B184" t="s">
        <v>1844</v>
      </c>
      <c r="C184" t="s">
        <v>1796</v>
      </c>
      <c r="D184" t="s">
        <v>39</v>
      </c>
      <c r="E184" t="s">
        <v>22</v>
      </c>
      <c r="F184" t="s">
        <v>3995</v>
      </c>
      <c r="G184" t="s">
        <v>3996</v>
      </c>
      <c r="H184" t="s">
        <v>3622</v>
      </c>
    </row>
    <row r="185" spans="1:8" hidden="1" x14ac:dyDescent="0.3">
      <c r="A185">
        <v>371</v>
      </c>
      <c r="B185" t="s">
        <v>1844</v>
      </c>
      <c r="C185" t="s">
        <v>1796</v>
      </c>
      <c r="D185" t="s">
        <v>39</v>
      </c>
      <c r="E185" t="s">
        <v>22</v>
      </c>
      <c r="F185" t="s">
        <v>3997</v>
      </c>
      <c r="G185" t="s">
        <v>3998</v>
      </c>
      <c r="H185" t="s">
        <v>9</v>
      </c>
    </row>
    <row r="186" spans="1:8" hidden="1" x14ac:dyDescent="0.3">
      <c r="A186">
        <v>376</v>
      </c>
      <c r="B186" t="s">
        <v>1882</v>
      </c>
      <c r="C186" t="s">
        <v>210</v>
      </c>
      <c r="D186" t="s">
        <v>39</v>
      </c>
      <c r="E186" t="s">
        <v>22</v>
      </c>
      <c r="F186" t="s">
        <v>3999</v>
      </c>
      <c r="G186" t="s">
        <v>4000</v>
      </c>
      <c r="H186" t="s">
        <v>3622</v>
      </c>
    </row>
    <row r="187" spans="1:8" hidden="1" x14ac:dyDescent="0.3">
      <c r="A187">
        <v>376</v>
      </c>
      <c r="B187" t="s">
        <v>1882</v>
      </c>
      <c r="C187" t="s">
        <v>210</v>
      </c>
      <c r="D187" t="s">
        <v>39</v>
      </c>
      <c r="E187" t="s">
        <v>22</v>
      </c>
      <c r="F187" t="s">
        <v>4001</v>
      </c>
      <c r="G187" t="s">
        <v>4002</v>
      </c>
      <c r="H187" t="s">
        <v>9</v>
      </c>
    </row>
    <row r="188" spans="1:8" hidden="1" x14ac:dyDescent="0.3">
      <c r="A188">
        <v>379</v>
      </c>
      <c r="B188" t="s">
        <v>1914</v>
      </c>
      <c r="C188" t="s">
        <v>1915</v>
      </c>
      <c r="D188" t="s">
        <v>39</v>
      </c>
      <c r="E188" t="s">
        <v>22</v>
      </c>
      <c r="F188" t="s">
        <v>4003</v>
      </c>
      <c r="G188" t="s">
        <v>4004</v>
      </c>
      <c r="H188" t="s">
        <v>3622</v>
      </c>
    </row>
    <row r="189" spans="1:8" hidden="1" x14ac:dyDescent="0.3">
      <c r="A189">
        <v>379</v>
      </c>
      <c r="B189" t="s">
        <v>1914</v>
      </c>
      <c r="C189" t="s">
        <v>1915</v>
      </c>
      <c r="D189" t="s">
        <v>39</v>
      </c>
      <c r="E189" t="s">
        <v>22</v>
      </c>
      <c r="F189" t="s">
        <v>4005</v>
      </c>
      <c r="G189" t="s">
        <v>4006</v>
      </c>
      <c r="H189" t="s">
        <v>9</v>
      </c>
    </row>
    <row r="190" spans="1:8" hidden="1" x14ac:dyDescent="0.3">
      <c r="A190">
        <v>381</v>
      </c>
      <c r="B190" t="s">
        <v>1925</v>
      </c>
      <c r="C190" t="s">
        <v>1915</v>
      </c>
      <c r="D190" t="s">
        <v>39</v>
      </c>
      <c r="E190" t="s">
        <v>22</v>
      </c>
      <c r="F190" t="s">
        <v>4007</v>
      </c>
      <c r="G190" t="s">
        <v>4008</v>
      </c>
      <c r="H190" t="s">
        <v>3622</v>
      </c>
    </row>
    <row r="191" spans="1:8" hidden="1" x14ac:dyDescent="0.3">
      <c r="A191">
        <v>381</v>
      </c>
      <c r="B191" t="s">
        <v>1925</v>
      </c>
      <c r="C191" t="s">
        <v>1915</v>
      </c>
      <c r="D191" t="s">
        <v>39</v>
      </c>
      <c r="E191" t="s">
        <v>22</v>
      </c>
      <c r="F191" t="s">
        <v>4009</v>
      </c>
      <c r="G191" t="s">
        <v>4010</v>
      </c>
      <c r="H191" t="s">
        <v>9</v>
      </c>
    </row>
    <row r="192" spans="1:8" hidden="1" x14ac:dyDescent="0.3">
      <c r="A192">
        <v>382</v>
      </c>
      <c r="B192" t="s">
        <v>1930</v>
      </c>
      <c r="C192" t="s">
        <v>1915</v>
      </c>
      <c r="D192" t="s">
        <v>39</v>
      </c>
      <c r="E192" t="s">
        <v>22</v>
      </c>
      <c r="F192" t="s">
        <v>4011</v>
      </c>
      <c r="G192" t="s">
        <v>4012</v>
      </c>
      <c r="H192" t="s">
        <v>3622</v>
      </c>
    </row>
    <row r="193" spans="1:8" hidden="1" x14ac:dyDescent="0.3">
      <c r="A193">
        <v>382</v>
      </c>
      <c r="B193" t="s">
        <v>1930</v>
      </c>
      <c r="C193" t="s">
        <v>1915</v>
      </c>
      <c r="D193" t="s">
        <v>39</v>
      </c>
      <c r="E193" t="s">
        <v>22</v>
      </c>
      <c r="F193" t="s">
        <v>4013</v>
      </c>
      <c r="G193" t="s">
        <v>4014</v>
      </c>
      <c r="H193" t="s">
        <v>9</v>
      </c>
    </row>
    <row r="194" spans="1:8" hidden="1" x14ac:dyDescent="0.3">
      <c r="A194">
        <v>383</v>
      </c>
      <c r="B194" t="s">
        <v>1935</v>
      </c>
      <c r="C194" t="s">
        <v>1915</v>
      </c>
      <c r="D194" t="s">
        <v>39</v>
      </c>
      <c r="E194" t="s">
        <v>22</v>
      </c>
      <c r="F194" t="s">
        <v>4015</v>
      </c>
      <c r="G194" t="s">
        <v>4016</v>
      </c>
      <c r="H194" t="s">
        <v>9</v>
      </c>
    </row>
    <row r="195" spans="1:8" hidden="1" x14ac:dyDescent="0.3">
      <c r="A195">
        <v>383</v>
      </c>
      <c r="B195" t="s">
        <v>1935</v>
      </c>
      <c r="C195" t="s">
        <v>1915</v>
      </c>
      <c r="D195" t="s">
        <v>39</v>
      </c>
      <c r="E195" t="s">
        <v>22</v>
      </c>
      <c r="F195" t="s">
        <v>4017</v>
      </c>
      <c r="G195" t="s">
        <v>4018</v>
      </c>
      <c r="H195" t="s">
        <v>3622</v>
      </c>
    </row>
    <row r="196" spans="1:8" hidden="1" x14ac:dyDescent="0.3">
      <c r="A196">
        <v>384</v>
      </c>
      <c r="B196" t="s">
        <v>1940</v>
      </c>
      <c r="C196" t="s">
        <v>1915</v>
      </c>
      <c r="D196" t="s">
        <v>39</v>
      </c>
      <c r="E196" t="s">
        <v>22</v>
      </c>
      <c r="F196" t="s">
        <v>4019</v>
      </c>
      <c r="G196" t="s">
        <v>4020</v>
      </c>
      <c r="H196" t="s">
        <v>3622</v>
      </c>
    </row>
    <row r="197" spans="1:8" hidden="1" x14ac:dyDescent="0.3">
      <c r="A197">
        <v>384</v>
      </c>
      <c r="B197" t="s">
        <v>1940</v>
      </c>
      <c r="C197" t="s">
        <v>1915</v>
      </c>
      <c r="D197" t="s">
        <v>39</v>
      </c>
      <c r="E197" t="s">
        <v>22</v>
      </c>
      <c r="F197" t="s">
        <v>4021</v>
      </c>
      <c r="G197" t="s">
        <v>4022</v>
      </c>
      <c r="H197" t="s">
        <v>9</v>
      </c>
    </row>
    <row r="198" spans="1:8" hidden="1" x14ac:dyDescent="0.3">
      <c r="A198">
        <v>385</v>
      </c>
      <c r="B198" t="s">
        <v>1945</v>
      </c>
      <c r="C198" t="s">
        <v>1946</v>
      </c>
      <c r="D198" t="s">
        <v>39</v>
      </c>
      <c r="E198" t="s">
        <v>22</v>
      </c>
      <c r="F198" t="s">
        <v>4023</v>
      </c>
      <c r="G198" t="s">
        <v>4024</v>
      </c>
      <c r="H198" t="s">
        <v>3622</v>
      </c>
    </row>
    <row r="199" spans="1:8" hidden="1" x14ac:dyDescent="0.3">
      <c r="A199">
        <v>385</v>
      </c>
      <c r="B199" t="s">
        <v>1945</v>
      </c>
      <c r="C199" t="s">
        <v>1946</v>
      </c>
      <c r="D199" t="s">
        <v>39</v>
      </c>
      <c r="E199" t="s">
        <v>22</v>
      </c>
      <c r="F199" t="s">
        <v>4025</v>
      </c>
      <c r="G199" t="s">
        <v>4026</v>
      </c>
      <c r="H199" t="s">
        <v>9</v>
      </c>
    </row>
    <row r="200" spans="1:8" hidden="1" x14ac:dyDescent="0.3">
      <c r="A200">
        <v>397</v>
      </c>
      <c r="B200" t="s">
        <v>2025</v>
      </c>
      <c r="C200" t="s">
        <v>2018</v>
      </c>
      <c r="D200" t="s">
        <v>39</v>
      </c>
      <c r="E200" t="s">
        <v>22</v>
      </c>
      <c r="F200" t="s">
        <v>4027</v>
      </c>
      <c r="G200" t="s">
        <v>4028</v>
      </c>
      <c r="H200" t="s">
        <v>3622</v>
      </c>
    </row>
    <row r="201" spans="1:8" hidden="1" x14ac:dyDescent="0.3">
      <c r="A201">
        <v>397</v>
      </c>
      <c r="B201" t="s">
        <v>2025</v>
      </c>
      <c r="C201" t="s">
        <v>2018</v>
      </c>
      <c r="D201" t="s">
        <v>39</v>
      </c>
      <c r="E201" t="s">
        <v>22</v>
      </c>
      <c r="F201" t="s">
        <v>4029</v>
      </c>
      <c r="G201" t="s">
        <v>4030</v>
      </c>
      <c r="H201" t="s">
        <v>9</v>
      </c>
    </row>
    <row r="202" spans="1:8" hidden="1" x14ac:dyDescent="0.3">
      <c r="A202">
        <v>398</v>
      </c>
      <c r="B202" t="s">
        <v>2026</v>
      </c>
      <c r="C202" t="s">
        <v>2027</v>
      </c>
      <c r="D202" t="s">
        <v>39</v>
      </c>
      <c r="E202" t="s">
        <v>22</v>
      </c>
      <c r="F202" t="s">
        <v>4031</v>
      </c>
      <c r="G202" t="s">
        <v>4032</v>
      </c>
      <c r="H202" t="s">
        <v>3622</v>
      </c>
    </row>
    <row r="203" spans="1:8" hidden="1" x14ac:dyDescent="0.3">
      <c r="A203">
        <v>398</v>
      </c>
      <c r="B203" t="s">
        <v>2026</v>
      </c>
      <c r="C203" t="s">
        <v>2027</v>
      </c>
      <c r="D203" t="s">
        <v>39</v>
      </c>
      <c r="E203" t="s">
        <v>22</v>
      </c>
      <c r="F203" t="s">
        <v>4033</v>
      </c>
      <c r="G203" t="s">
        <v>4034</v>
      </c>
      <c r="H203" t="s">
        <v>9</v>
      </c>
    </row>
    <row r="204" spans="1:8" hidden="1" x14ac:dyDescent="0.3">
      <c r="A204">
        <v>399</v>
      </c>
      <c r="B204" t="s">
        <v>2035</v>
      </c>
      <c r="C204" t="s">
        <v>2027</v>
      </c>
      <c r="D204" t="s">
        <v>39</v>
      </c>
      <c r="E204" t="s">
        <v>22</v>
      </c>
      <c r="F204" t="s">
        <v>4035</v>
      </c>
      <c r="G204" t="s">
        <v>4036</v>
      </c>
      <c r="H204" t="s">
        <v>9</v>
      </c>
    </row>
    <row r="205" spans="1:8" hidden="1" x14ac:dyDescent="0.3">
      <c r="A205">
        <v>399</v>
      </c>
      <c r="B205" t="s">
        <v>2035</v>
      </c>
      <c r="C205" t="s">
        <v>2027</v>
      </c>
      <c r="D205" t="s">
        <v>39</v>
      </c>
      <c r="E205" t="s">
        <v>22</v>
      </c>
      <c r="F205" t="s">
        <v>4037</v>
      </c>
      <c r="G205" t="s">
        <v>4038</v>
      </c>
      <c r="H205" t="s">
        <v>3622</v>
      </c>
    </row>
    <row r="206" spans="1:8" hidden="1" x14ac:dyDescent="0.3">
      <c r="A206">
        <v>400</v>
      </c>
      <c r="B206" t="s">
        <v>2038</v>
      </c>
      <c r="C206" t="s">
        <v>2027</v>
      </c>
      <c r="D206" t="s">
        <v>39</v>
      </c>
      <c r="E206" t="s">
        <v>22</v>
      </c>
      <c r="F206" t="s">
        <v>4039</v>
      </c>
      <c r="G206" t="s">
        <v>4040</v>
      </c>
      <c r="H206" t="s">
        <v>3622</v>
      </c>
    </row>
    <row r="207" spans="1:8" hidden="1" x14ac:dyDescent="0.3">
      <c r="A207">
        <v>400</v>
      </c>
      <c r="B207" t="s">
        <v>2038</v>
      </c>
      <c r="C207" t="s">
        <v>2027</v>
      </c>
      <c r="D207" t="s">
        <v>39</v>
      </c>
      <c r="E207" t="s">
        <v>22</v>
      </c>
      <c r="F207" t="s">
        <v>4041</v>
      </c>
      <c r="G207" t="s">
        <v>4042</v>
      </c>
      <c r="H207" t="s">
        <v>9</v>
      </c>
    </row>
    <row r="208" spans="1:8" hidden="1" x14ac:dyDescent="0.3">
      <c r="A208">
        <v>401</v>
      </c>
      <c r="B208" t="s">
        <v>2043</v>
      </c>
      <c r="C208" t="s">
        <v>2044</v>
      </c>
      <c r="D208" t="s">
        <v>39</v>
      </c>
      <c r="E208" t="s">
        <v>22</v>
      </c>
      <c r="F208" t="s">
        <v>4043</v>
      </c>
      <c r="G208" t="s">
        <v>4044</v>
      </c>
      <c r="H208" t="s">
        <v>3622</v>
      </c>
    </row>
    <row r="209" spans="1:8" hidden="1" x14ac:dyDescent="0.3">
      <c r="A209">
        <v>401</v>
      </c>
      <c r="B209" t="s">
        <v>2043</v>
      </c>
      <c r="C209" t="s">
        <v>2044</v>
      </c>
      <c r="D209" t="s">
        <v>39</v>
      </c>
      <c r="E209" t="s">
        <v>22</v>
      </c>
      <c r="F209" t="s">
        <v>4045</v>
      </c>
      <c r="G209" t="s">
        <v>4046</v>
      </c>
      <c r="H209" t="s">
        <v>9</v>
      </c>
    </row>
    <row r="210" spans="1:8" hidden="1" x14ac:dyDescent="0.3">
      <c r="A210">
        <v>403</v>
      </c>
      <c r="B210" t="s">
        <v>2057</v>
      </c>
      <c r="C210" t="s">
        <v>2044</v>
      </c>
      <c r="D210" t="s">
        <v>39</v>
      </c>
      <c r="E210" t="s">
        <v>22</v>
      </c>
      <c r="F210" t="s">
        <v>4047</v>
      </c>
      <c r="G210" t="s">
        <v>4048</v>
      </c>
      <c r="H210" t="s">
        <v>3622</v>
      </c>
    </row>
    <row r="211" spans="1:8" hidden="1" x14ac:dyDescent="0.3">
      <c r="A211">
        <v>422</v>
      </c>
      <c r="B211" t="s">
        <v>2191</v>
      </c>
      <c r="C211" t="s">
        <v>2186</v>
      </c>
      <c r="D211" t="s">
        <v>39</v>
      </c>
      <c r="E211" t="s">
        <v>22</v>
      </c>
      <c r="F211" t="s">
        <v>4049</v>
      </c>
      <c r="G211" t="s">
        <v>4050</v>
      </c>
      <c r="H211" t="s">
        <v>3651</v>
      </c>
    </row>
    <row r="212" spans="1:8" hidden="1" x14ac:dyDescent="0.3">
      <c r="A212">
        <v>422</v>
      </c>
      <c r="B212" t="s">
        <v>2191</v>
      </c>
      <c r="C212" t="s">
        <v>2186</v>
      </c>
      <c r="D212" t="s">
        <v>39</v>
      </c>
      <c r="E212" t="s">
        <v>22</v>
      </c>
      <c r="F212" t="s">
        <v>4051</v>
      </c>
      <c r="G212" t="s">
        <v>4052</v>
      </c>
      <c r="H212" t="s">
        <v>3651</v>
      </c>
    </row>
    <row r="213" spans="1:8" hidden="1" x14ac:dyDescent="0.3">
      <c r="A213">
        <v>426</v>
      </c>
      <c r="B213" t="s">
        <v>2207</v>
      </c>
      <c r="C213" t="s">
        <v>207</v>
      </c>
      <c r="D213" t="s">
        <v>39</v>
      </c>
      <c r="E213" t="s">
        <v>22</v>
      </c>
      <c r="F213" t="s">
        <v>4053</v>
      </c>
      <c r="G213" t="s">
        <v>4054</v>
      </c>
      <c r="H213" t="s">
        <v>3622</v>
      </c>
    </row>
    <row r="214" spans="1:8" hidden="1" x14ac:dyDescent="0.3">
      <c r="A214">
        <v>426</v>
      </c>
      <c r="B214" t="s">
        <v>2207</v>
      </c>
      <c r="C214" t="s">
        <v>207</v>
      </c>
      <c r="D214" t="s">
        <v>39</v>
      </c>
      <c r="E214" t="s">
        <v>22</v>
      </c>
      <c r="F214" t="s">
        <v>4055</v>
      </c>
      <c r="G214" t="s">
        <v>4056</v>
      </c>
      <c r="H214" t="s">
        <v>9</v>
      </c>
    </row>
    <row r="215" spans="1:8" hidden="1" x14ac:dyDescent="0.3">
      <c r="A215">
        <v>251</v>
      </c>
      <c r="B215" t="s">
        <v>1245</v>
      </c>
      <c r="C215" t="s">
        <v>1241</v>
      </c>
      <c r="D215" t="s">
        <v>21</v>
      </c>
      <c r="E215" t="s">
        <v>22</v>
      </c>
      <c r="F215" t="s">
        <v>4057</v>
      </c>
      <c r="G215" t="s">
        <v>4058</v>
      </c>
      <c r="H215" t="s">
        <v>3622</v>
      </c>
    </row>
    <row r="216" spans="1:8" hidden="1" x14ac:dyDescent="0.3">
      <c r="A216">
        <v>251</v>
      </c>
      <c r="B216" t="s">
        <v>1245</v>
      </c>
      <c r="C216" t="s">
        <v>1241</v>
      </c>
      <c r="D216" t="s">
        <v>21</v>
      </c>
      <c r="E216" t="s">
        <v>22</v>
      </c>
      <c r="F216" t="s">
        <v>4059</v>
      </c>
      <c r="G216" t="s">
        <v>4060</v>
      </c>
      <c r="H216" t="s">
        <v>9</v>
      </c>
    </row>
    <row r="217" spans="1:8" hidden="1" x14ac:dyDescent="0.3">
      <c r="A217">
        <v>206</v>
      </c>
      <c r="B217" t="s">
        <v>698</v>
      </c>
      <c r="C217" t="s">
        <v>210</v>
      </c>
      <c r="D217" t="s">
        <v>139</v>
      </c>
      <c r="E217" t="s">
        <v>22</v>
      </c>
      <c r="F217" t="s">
        <v>4061</v>
      </c>
      <c r="G217" t="s">
        <v>4062</v>
      </c>
      <c r="H217" t="s">
        <v>3651</v>
      </c>
    </row>
    <row r="218" spans="1:8" hidden="1" x14ac:dyDescent="0.3">
      <c r="A218">
        <v>206</v>
      </c>
      <c r="B218" t="s">
        <v>698</v>
      </c>
      <c r="C218" t="s">
        <v>210</v>
      </c>
      <c r="D218" t="s">
        <v>139</v>
      </c>
      <c r="E218" t="s">
        <v>22</v>
      </c>
      <c r="F218" t="s">
        <v>4063</v>
      </c>
      <c r="G218" t="s">
        <v>4064</v>
      </c>
      <c r="H218" t="s">
        <v>3651</v>
      </c>
    </row>
    <row r="219" spans="1:8" hidden="1" x14ac:dyDescent="0.3">
      <c r="A219">
        <v>288</v>
      </c>
      <c r="B219" t="s">
        <v>1436</v>
      </c>
      <c r="C219" t="s">
        <v>1383</v>
      </c>
      <c r="D219" t="s">
        <v>139</v>
      </c>
      <c r="E219" t="s">
        <v>22</v>
      </c>
      <c r="F219" t="s">
        <v>4065</v>
      </c>
      <c r="G219" t="s">
        <v>4066</v>
      </c>
      <c r="H219" t="s">
        <v>3622</v>
      </c>
    </row>
    <row r="220" spans="1:8" hidden="1" x14ac:dyDescent="0.3">
      <c r="A220">
        <v>288</v>
      </c>
      <c r="B220" t="s">
        <v>1436</v>
      </c>
      <c r="C220" t="s">
        <v>1383</v>
      </c>
      <c r="D220" t="s">
        <v>139</v>
      </c>
      <c r="E220" t="s">
        <v>22</v>
      </c>
      <c r="F220" t="s">
        <v>4067</v>
      </c>
      <c r="G220" t="s">
        <v>4068</v>
      </c>
      <c r="H220" t="s">
        <v>9</v>
      </c>
    </row>
    <row r="221" spans="1:8" hidden="1" x14ac:dyDescent="0.3">
      <c r="A221">
        <v>318</v>
      </c>
      <c r="B221" t="s">
        <v>1607</v>
      </c>
      <c r="C221" t="s">
        <v>454</v>
      </c>
      <c r="D221" t="s">
        <v>139</v>
      </c>
      <c r="E221" t="s">
        <v>22</v>
      </c>
      <c r="F221" t="s">
        <v>4069</v>
      </c>
      <c r="G221" t="s">
        <v>4070</v>
      </c>
      <c r="H221" t="s">
        <v>3622</v>
      </c>
    </row>
    <row r="222" spans="1:8" hidden="1" x14ac:dyDescent="0.3">
      <c r="A222">
        <v>318</v>
      </c>
      <c r="B222" t="s">
        <v>1607</v>
      </c>
      <c r="C222" t="s">
        <v>454</v>
      </c>
      <c r="D222" t="s">
        <v>139</v>
      </c>
      <c r="E222" t="s">
        <v>22</v>
      </c>
      <c r="F222" t="s">
        <v>4071</v>
      </c>
      <c r="G222" t="s">
        <v>4072</v>
      </c>
      <c r="H222" t="s">
        <v>9</v>
      </c>
    </row>
    <row r="223" spans="1:8" hidden="1" x14ac:dyDescent="0.3">
      <c r="A223">
        <v>355</v>
      </c>
      <c r="B223" t="s">
        <v>1764</v>
      </c>
      <c r="C223" t="s">
        <v>1765</v>
      </c>
      <c r="D223" t="s">
        <v>139</v>
      </c>
      <c r="E223" t="s">
        <v>22</v>
      </c>
      <c r="F223" t="s">
        <v>4073</v>
      </c>
      <c r="G223" t="s">
        <v>4074</v>
      </c>
      <c r="H223" t="s">
        <v>3651</v>
      </c>
    </row>
    <row r="224" spans="1:8" hidden="1" x14ac:dyDescent="0.3">
      <c r="A224">
        <v>355</v>
      </c>
      <c r="B224" t="s">
        <v>1764</v>
      </c>
      <c r="C224" t="s">
        <v>1765</v>
      </c>
      <c r="D224" t="s">
        <v>139</v>
      </c>
      <c r="E224" t="s">
        <v>22</v>
      </c>
      <c r="F224" t="s">
        <v>4075</v>
      </c>
      <c r="G224" t="s">
        <v>4076</v>
      </c>
      <c r="H224" t="s">
        <v>3651</v>
      </c>
    </row>
    <row r="225" spans="1:8" hidden="1" x14ac:dyDescent="0.3">
      <c r="A225">
        <v>377</v>
      </c>
      <c r="B225" t="s">
        <v>1884</v>
      </c>
      <c r="C225" t="s">
        <v>210</v>
      </c>
      <c r="D225" t="s">
        <v>139</v>
      </c>
      <c r="E225" t="s">
        <v>22</v>
      </c>
      <c r="F225" t="s">
        <v>4077</v>
      </c>
      <c r="G225" t="s">
        <v>4078</v>
      </c>
      <c r="H225" t="s">
        <v>3622</v>
      </c>
    </row>
    <row r="226" spans="1:8" hidden="1" x14ac:dyDescent="0.3">
      <c r="A226">
        <v>377</v>
      </c>
      <c r="B226" t="s">
        <v>1884</v>
      </c>
      <c r="C226" t="s">
        <v>210</v>
      </c>
      <c r="D226" t="s">
        <v>139</v>
      </c>
      <c r="E226" t="s">
        <v>22</v>
      </c>
      <c r="F226" t="s">
        <v>4079</v>
      </c>
      <c r="G226" t="s">
        <v>4080</v>
      </c>
      <c r="H226" t="s">
        <v>9</v>
      </c>
    </row>
    <row r="227" spans="1:8" hidden="1" x14ac:dyDescent="0.3">
      <c r="A227">
        <v>392</v>
      </c>
      <c r="B227" t="s">
        <v>1989</v>
      </c>
      <c r="C227" t="s">
        <v>1984</v>
      </c>
      <c r="D227" t="s">
        <v>139</v>
      </c>
      <c r="E227" t="s">
        <v>22</v>
      </c>
      <c r="F227" t="s">
        <v>4081</v>
      </c>
      <c r="G227" t="s">
        <v>4082</v>
      </c>
      <c r="H227" t="s">
        <v>3622</v>
      </c>
    </row>
    <row r="228" spans="1:8" hidden="1" x14ac:dyDescent="0.3">
      <c r="A228">
        <v>392</v>
      </c>
      <c r="B228" t="s">
        <v>1989</v>
      </c>
      <c r="C228" t="s">
        <v>1984</v>
      </c>
      <c r="D228" t="s">
        <v>139</v>
      </c>
      <c r="E228" t="s">
        <v>22</v>
      </c>
      <c r="F228" t="s">
        <v>4083</v>
      </c>
      <c r="G228" t="s">
        <v>4084</v>
      </c>
      <c r="H228" t="s">
        <v>9</v>
      </c>
    </row>
    <row r="229" spans="1:8" hidden="1" x14ac:dyDescent="0.3">
      <c r="A229">
        <v>368</v>
      </c>
      <c r="B229" t="s">
        <v>1826</v>
      </c>
      <c r="C229" t="s">
        <v>1834</v>
      </c>
      <c r="D229" t="s">
        <v>21</v>
      </c>
      <c r="E229" t="s">
        <v>22</v>
      </c>
      <c r="F229" t="s">
        <v>4085</v>
      </c>
      <c r="G229" t="s">
        <v>4086</v>
      </c>
      <c r="H229" t="s">
        <v>3622</v>
      </c>
    </row>
    <row r="230" spans="1:8" hidden="1" x14ac:dyDescent="0.3">
      <c r="A230">
        <v>372</v>
      </c>
      <c r="B230" t="s">
        <v>1849</v>
      </c>
      <c r="C230" t="s">
        <v>1834</v>
      </c>
      <c r="D230" t="s">
        <v>21</v>
      </c>
      <c r="E230" t="s">
        <v>22</v>
      </c>
      <c r="F230" t="s">
        <v>4087</v>
      </c>
      <c r="G230" t="s">
        <v>4088</v>
      </c>
      <c r="H230" t="s">
        <v>3622</v>
      </c>
    </row>
    <row r="231" spans="1:8" hidden="1" x14ac:dyDescent="0.3">
      <c r="A231">
        <v>431</v>
      </c>
      <c r="B231" t="s">
        <v>2240</v>
      </c>
      <c r="C231" t="s">
        <v>138</v>
      </c>
      <c r="D231" t="s">
        <v>21</v>
      </c>
      <c r="E231" t="s">
        <v>22</v>
      </c>
      <c r="F231" t="s">
        <v>4089</v>
      </c>
      <c r="G231" t="s">
        <v>4090</v>
      </c>
      <c r="H231" t="s">
        <v>3622</v>
      </c>
    </row>
    <row r="232" spans="1:8" hidden="1" x14ac:dyDescent="0.3">
      <c r="A232">
        <v>431</v>
      </c>
      <c r="B232" t="s">
        <v>2240</v>
      </c>
      <c r="C232" t="s">
        <v>138</v>
      </c>
      <c r="D232" t="s">
        <v>21</v>
      </c>
      <c r="E232" t="s">
        <v>22</v>
      </c>
      <c r="F232" t="s">
        <v>4091</v>
      </c>
      <c r="G232" t="s">
        <v>4092</v>
      </c>
      <c r="H232" t="s">
        <v>9</v>
      </c>
    </row>
    <row r="233" spans="1:8" hidden="1" x14ac:dyDescent="0.3">
      <c r="A233">
        <v>109</v>
      </c>
      <c r="B233" t="s">
        <v>206</v>
      </c>
      <c r="C233" t="s">
        <v>207</v>
      </c>
      <c r="D233" t="s">
        <v>139</v>
      </c>
      <c r="E233" t="s">
        <v>22</v>
      </c>
      <c r="F233" t="s">
        <v>4093</v>
      </c>
      <c r="G233" t="s">
        <v>4094</v>
      </c>
      <c r="H233" t="s">
        <v>3622</v>
      </c>
    </row>
    <row r="234" spans="1:8" hidden="1" x14ac:dyDescent="0.3">
      <c r="A234">
        <v>246</v>
      </c>
      <c r="B234" t="s">
        <v>1217</v>
      </c>
      <c r="C234" t="s">
        <v>1215</v>
      </c>
      <c r="D234" t="s">
        <v>39</v>
      </c>
      <c r="E234" t="s">
        <v>22</v>
      </c>
      <c r="F234" t="s">
        <v>4095</v>
      </c>
      <c r="G234" t="s">
        <v>4096</v>
      </c>
      <c r="H234" t="s">
        <v>3622</v>
      </c>
    </row>
    <row r="235" spans="1:8" hidden="1" x14ac:dyDescent="0.3">
      <c r="A235">
        <v>363</v>
      </c>
      <c r="B235" t="s">
        <v>1808</v>
      </c>
      <c r="C235" t="s">
        <v>1801</v>
      </c>
      <c r="D235" t="s">
        <v>39</v>
      </c>
      <c r="E235" t="s">
        <v>22</v>
      </c>
      <c r="F235" t="s">
        <v>4097</v>
      </c>
      <c r="G235" t="s">
        <v>4098</v>
      </c>
      <c r="H235" t="s">
        <v>3651</v>
      </c>
    </row>
    <row r="236" spans="1:8" hidden="1" x14ac:dyDescent="0.3">
      <c r="A236">
        <v>363</v>
      </c>
      <c r="B236" t="s">
        <v>1808</v>
      </c>
      <c r="C236" t="s">
        <v>1801</v>
      </c>
      <c r="D236" t="s">
        <v>39</v>
      </c>
      <c r="E236" t="s">
        <v>22</v>
      </c>
      <c r="F236" t="s">
        <v>4099</v>
      </c>
      <c r="G236" t="s">
        <v>4100</v>
      </c>
      <c r="H236" t="s">
        <v>3651</v>
      </c>
    </row>
    <row r="237" spans="1:8" hidden="1" x14ac:dyDescent="0.3">
      <c r="A237">
        <v>202</v>
      </c>
      <c r="B237" t="s">
        <v>673</v>
      </c>
      <c r="C237" t="s">
        <v>55</v>
      </c>
      <c r="D237" t="s">
        <v>139</v>
      </c>
      <c r="E237" t="s">
        <v>22</v>
      </c>
      <c r="F237" t="s">
        <v>4101</v>
      </c>
      <c r="G237" t="s">
        <v>4102</v>
      </c>
      <c r="H237" t="s">
        <v>3622</v>
      </c>
    </row>
    <row r="238" spans="1:8" hidden="1" x14ac:dyDescent="0.3">
      <c r="A238">
        <v>235</v>
      </c>
      <c r="B238" t="s">
        <v>1071</v>
      </c>
      <c r="C238" t="s">
        <v>251</v>
      </c>
      <c r="D238" t="s">
        <v>139</v>
      </c>
      <c r="E238" t="s">
        <v>22</v>
      </c>
      <c r="F238" t="s">
        <v>4103</v>
      </c>
      <c r="G238" t="s">
        <v>4104</v>
      </c>
      <c r="H238" t="s">
        <v>3622</v>
      </c>
    </row>
    <row r="239" spans="1:8" hidden="1" x14ac:dyDescent="0.3">
      <c r="A239">
        <v>235</v>
      </c>
      <c r="B239" t="s">
        <v>1071</v>
      </c>
      <c r="C239" t="s">
        <v>251</v>
      </c>
      <c r="D239" t="s">
        <v>139</v>
      </c>
      <c r="E239" t="s">
        <v>22</v>
      </c>
      <c r="F239" t="s">
        <v>4105</v>
      </c>
      <c r="G239" t="s">
        <v>4106</v>
      </c>
      <c r="H239" t="s">
        <v>9</v>
      </c>
    </row>
    <row r="240" spans="1:8" hidden="1" x14ac:dyDescent="0.3">
      <c r="A240">
        <v>236</v>
      </c>
      <c r="B240" t="s">
        <v>1074</v>
      </c>
      <c r="C240" t="s">
        <v>251</v>
      </c>
      <c r="D240" t="s">
        <v>139</v>
      </c>
      <c r="E240" t="s">
        <v>56</v>
      </c>
      <c r="F240" t="s">
        <v>4107</v>
      </c>
      <c r="G240" t="s">
        <v>4108</v>
      </c>
      <c r="H240" t="s">
        <v>3651</v>
      </c>
    </row>
    <row r="241" spans="1:8" hidden="1" x14ac:dyDescent="0.3">
      <c r="A241">
        <v>326</v>
      </c>
      <c r="B241" t="s">
        <v>1645</v>
      </c>
      <c r="C241" t="s">
        <v>1364</v>
      </c>
      <c r="D241" t="s">
        <v>139</v>
      </c>
      <c r="E241" t="s">
        <v>22</v>
      </c>
      <c r="F241" t="s">
        <v>4109</v>
      </c>
      <c r="G241" t="s">
        <v>4110</v>
      </c>
      <c r="H241" t="s">
        <v>3622</v>
      </c>
    </row>
    <row r="242" spans="1:8" hidden="1" x14ac:dyDescent="0.3">
      <c r="A242">
        <v>326</v>
      </c>
      <c r="B242" t="s">
        <v>1645</v>
      </c>
      <c r="C242" t="s">
        <v>1364</v>
      </c>
      <c r="D242" t="s">
        <v>139</v>
      </c>
      <c r="E242" t="s">
        <v>22</v>
      </c>
      <c r="F242" t="s">
        <v>4111</v>
      </c>
      <c r="G242" t="s">
        <v>4112</v>
      </c>
      <c r="H242" t="s">
        <v>9</v>
      </c>
    </row>
    <row r="243" spans="1:8" hidden="1" x14ac:dyDescent="0.3">
      <c r="A243">
        <v>336</v>
      </c>
      <c r="B243" t="s">
        <v>1674</v>
      </c>
      <c r="C243" t="s">
        <v>461</v>
      </c>
      <c r="D243" t="s">
        <v>139</v>
      </c>
      <c r="E243" t="s">
        <v>56</v>
      </c>
      <c r="F243" t="s">
        <v>4113</v>
      </c>
      <c r="G243" t="s">
        <v>4114</v>
      </c>
      <c r="H243" t="s">
        <v>3651</v>
      </c>
    </row>
    <row r="244" spans="1:8" hidden="1" x14ac:dyDescent="0.3">
      <c r="A244">
        <v>336</v>
      </c>
      <c r="B244" t="s">
        <v>1674</v>
      </c>
      <c r="C244" t="s">
        <v>461</v>
      </c>
      <c r="D244" t="s">
        <v>139</v>
      </c>
      <c r="E244" t="s">
        <v>56</v>
      </c>
      <c r="F244" t="s">
        <v>4115</v>
      </c>
      <c r="G244" t="s">
        <v>4116</v>
      </c>
      <c r="H244" t="s">
        <v>3651</v>
      </c>
    </row>
    <row r="245" spans="1:8" hidden="1" x14ac:dyDescent="0.3">
      <c r="A245">
        <v>339</v>
      </c>
      <c r="B245" t="s">
        <v>1690</v>
      </c>
      <c r="C245" t="s">
        <v>1691</v>
      </c>
      <c r="D245" t="s">
        <v>139</v>
      </c>
      <c r="E245" t="s">
        <v>22</v>
      </c>
      <c r="F245" t="s">
        <v>4117</v>
      </c>
      <c r="G245" t="s">
        <v>4118</v>
      </c>
      <c r="H245" t="s">
        <v>3651</v>
      </c>
    </row>
    <row r="246" spans="1:8" hidden="1" x14ac:dyDescent="0.3">
      <c r="A246">
        <v>339</v>
      </c>
      <c r="B246" t="s">
        <v>1690</v>
      </c>
      <c r="C246" t="s">
        <v>1691</v>
      </c>
      <c r="D246" t="s">
        <v>139</v>
      </c>
      <c r="E246" t="s">
        <v>22</v>
      </c>
      <c r="F246" t="s">
        <v>4119</v>
      </c>
      <c r="G246" t="s">
        <v>4120</v>
      </c>
      <c r="H246" t="s">
        <v>3651</v>
      </c>
    </row>
    <row r="247" spans="1:8" hidden="1" x14ac:dyDescent="0.3">
      <c r="A247">
        <v>346</v>
      </c>
      <c r="B247" t="s">
        <v>1717</v>
      </c>
      <c r="C247" t="s">
        <v>55</v>
      </c>
      <c r="D247" t="s">
        <v>139</v>
      </c>
      <c r="E247" t="s">
        <v>22</v>
      </c>
      <c r="F247" t="s">
        <v>4121</v>
      </c>
      <c r="G247" t="s">
        <v>4122</v>
      </c>
      <c r="H247" t="s">
        <v>3651</v>
      </c>
    </row>
    <row r="248" spans="1:8" hidden="1" x14ac:dyDescent="0.3">
      <c r="A248">
        <v>346</v>
      </c>
      <c r="B248" t="s">
        <v>1717</v>
      </c>
      <c r="C248" t="s">
        <v>55</v>
      </c>
      <c r="D248" t="s">
        <v>139</v>
      </c>
      <c r="E248" t="s">
        <v>22</v>
      </c>
      <c r="F248" t="s">
        <v>4123</v>
      </c>
      <c r="G248" t="s">
        <v>4124</v>
      </c>
      <c r="H248" t="s">
        <v>3651</v>
      </c>
    </row>
    <row r="249" spans="1:8" hidden="1" x14ac:dyDescent="0.3">
      <c r="A249">
        <v>361</v>
      </c>
      <c r="B249" t="s">
        <v>1798</v>
      </c>
      <c r="C249" t="s">
        <v>1796</v>
      </c>
      <c r="D249" t="s">
        <v>139</v>
      </c>
      <c r="E249" t="s">
        <v>22</v>
      </c>
      <c r="F249" t="s">
        <v>4125</v>
      </c>
      <c r="G249" t="s">
        <v>4126</v>
      </c>
      <c r="H249" t="s">
        <v>3622</v>
      </c>
    </row>
    <row r="250" spans="1:8" hidden="1" x14ac:dyDescent="0.3">
      <c r="A250">
        <v>366</v>
      </c>
      <c r="B250" t="s">
        <v>1819</v>
      </c>
      <c r="C250" t="s">
        <v>1801</v>
      </c>
      <c r="D250" t="s">
        <v>139</v>
      </c>
      <c r="E250" t="s">
        <v>22</v>
      </c>
      <c r="F250" t="s">
        <v>4127</v>
      </c>
      <c r="G250" t="s">
        <v>4128</v>
      </c>
      <c r="H250" t="s">
        <v>3651</v>
      </c>
    </row>
    <row r="251" spans="1:8" hidden="1" x14ac:dyDescent="0.3">
      <c r="A251">
        <v>366</v>
      </c>
      <c r="B251" t="s">
        <v>1819</v>
      </c>
      <c r="C251" t="s">
        <v>1801</v>
      </c>
      <c r="D251" t="s">
        <v>139</v>
      </c>
      <c r="E251" t="s">
        <v>22</v>
      </c>
      <c r="F251" t="s">
        <v>4129</v>
      </c>
      <c r="G251" t="s">
        <v>4130</v>
      </c>
      <c r="H251" t="s">
        <v>3651</v>
      </c>
    </row>
    <row r="252" spans="1:8" hidden="1" x14ac:dyDescent="0.3">
      <c r="A252">
        <v>367</v>
      </c>
      <c r="B252" t="s">
        <v>1824</v>
      </c>
      <c r="C252" t="s">
        <v>1796</v>
      </c>
      <c r="D252" t="s">
        <v>139</v>
      </c>
      <c r="E252" t="s">
        <v>22</v>
      </c>
      <c r="F252" t="s">
        <v>4131</v>
      </c>
      <c r="G252" t="s">
        <v>4132</v>
      </c>
      <c r="H252" t="s">
        <v>3651</v>
      </c>
    </row>
    <row r="253" spans="1:8" hidden="1" x14ac:dyDescent="0.3">
      <c r="A253">
        <v>367</v>
      </c>
      <c r="B253" t="s">
        <v>1824</v>
      </c>
      <c r="C253" t="s">
        <v>1796</v>
      </c>
      <c r="D253" t="s">
        <v>139</v>
      </c>
      <c r="E253" t="s">
        <v>22</v>
      </c>
      <c r="F253" t="s">
        <v>4133</v>
      </c>
      <c r="G253" t="s">
        <v>4134</v>
      </c>
      <c r="H253" t="s">
        <v>3651</v>
      </c>
    </row>
    <row r="254" spans="1:8" hidden="1" x14ac:dyDescent="0.3">
      <c r="A254">
        <v>393</v>
      </c>
      <c r="B254" t="s">
        <v>1994</v>
      </c>
      <c r="C254" t="s">
        <v>1984</v>
      </c>
      <c r="D254" t="s">
        <v>139</v>
      </c>
      <c r="E254" t="s">
        <v>56</v>
      </c>
      <c r="F254" t="s">
        <v>4135</v>
      </c>
      <c r="G254" t="s">
        <v>4136</v>
      </c>
      <c r="H254" t="s">
        <v>3622</v>
      </c>
    </row>
    <row r="255" spans="1:8" hidden="1" x14ac:dyDescent="0.3">
      <c r="A255">
        <v>402</v>
      </c>
      <c r="B255" t="s">
        <v>2049</v>
      </c>
      <c r="C255" t="s">
        <v>2044</v>
      </c>
      <c r="D255" t="s">
        <v>139</v>
      </c>
      <c r="E255" t="s">
        <v>22</v>
      </c>
      <c r="F255" t="s">
        <v>4137</v>
      </c>
      <c r="G255" t="s">
        <v>4138</v>
      </c>
      <c r="H255" t="s">
        <v>3651</v>
      </c>
    </row>
    <row r="256" spans="1:8" hidden="1" x14ac:dyDescent="0.3">
      <c r="A256">
        <v>402</v>
      </c>
      <c r="B256" t="s">
        <v>2049</v>
      </c>
      <c r="C256" t="s">
        <v>2044</v>
      </c>
      <c r="D256" t="s">
        <v>139</v>
      </c>
      <c r="E256" t="s">
        <v>22</v>
      </c>
      <c r="F256" t="s">
        <v>4139</v>
      </c>
      <c r="G256" t="s">
        <v>4140</v>
      </c>
      <c r="H256" t="s">
        <v>3651</v>
      </c>
    </row>
    <row r="257" spans="1:8" hidden="1" x14ac:dyDescent="0.3">
      <c r="A257">
        <v>413</v>
      </c>
      <c r="B257" t="s">
        <v>2101</v>
      </c>
      <c r="C257" t="s">
        <v>1998</v>
      </c>
      <c r="D257" t="s">
        <v>139</v>
      </c>
      <c r="E257" t="s">
        <v>22</v>
      </c>
      <c r="F257" t="s">
        <v>4141</v>
      </c>
      <c r="G257" t="s">
        <v>4142</v>
      </c>
      <c r="H257" t="s">
        <v>3622</v>
      </c>
    </row>
    <row r="258" spans="1:8" hidden="1" x14ac:dyDescent="0.3">
      <c r="A258">
        <v>413</v>
      </c>
      <c r="B258" t="s">
        <v>2101</v>
      </c>
      <c r="C258" t="s">
        <v>1998</v>
      </c>
      <c r="D258" t="s">
        <v>139</v>
      </c>
      <c r="E258" t="s">
        <v>22</v>
      </c>
      <c r="F258" t="s">
        <v>4143</v>
      </c>
      <c r="G258" t="s">
        <v>4144</v>
      </c>
      <c r="H258" t="s">
        <v>9</v>
      </c>
    </row>
    <row r="259" spans="1:8" hidden="1" x14ac:dyDescent="0.3">
      <c r="A259">
        <v>423</v>
      </c>
      <c r="B259" t="s">
        <v>2196</v>
      </c>
      <c r="C259" t="s">
        <v>2186</v>
      </c>
      <c r="D259" t="s">
        <v>139</v>
      </c>
      <c r="E259" t="s">
        <v>22</v>
      </c>
      <c r="F259" t="s">
        <v>4145</v>
      </c>
      <c r="G259" t="s">
        <v>4146</v>
      </c>
      <c r="H259" t="s">
        <v>3622</v>
      </c>
    </row>
    <row r="260" spans="1:8" hidden="1" x14ac:dyDescent="0.3">
      <c r="A260">
        <v>424</v>
      </c>
      <c r="B260" t="s">
        <v>2202</v>
      </c>
      <c r="C260" t="s">
        <v>2186</v>
      </c>
      <c r="D260" t="s">
        <v>139</v>
      </c>
      <c r="E260" t="s">
        <v>22</v>
      </c>
      <c r="F260" t="s">
        <v>4147</v>
      </c>
      <c r="G260" t="s">
        <v>4148</v>
      </c>
      <c r="H260" t="s">
        <v>3622</v>
      </c>
    </row>
    <row r="261" spans="1:8" hidden="1" x14ac:dyDescent="0.3">
      <c r="A261">
        <v>437</v>
      </c>
      <c r="B261" t="s">
        <v>2349</v>
      </c>
      <c r="C261" t="s">
        <v>1490</v>
      </c>
      <c r="D261" t="s">
        <v>139</v>
      </c>
      <c r="E261" t="s">
        <v>22</v>
      </c>
      <c r="F261" t="s">
        <v>4149</v>
      </c>
      <c r="G261" t="s">
        <v>4150</v>
      </c>
      <c r="H261" t="s">
        <v>3622</v>
      </c>
    </row>
    <row r="262" spans="1:8" hidden="1" x14ac:dyDescent="0.3">
      <c r="A262">
        <v>453</v>
      </c>
      <c r="B262" t="s">
        <v>2408</v>
      </c>
      <c r="C262" t="s">
        <v>2018</v>
      </c>
      <c r="D262" t="s">
        <v>21</v>
      </c>
      <c r="E262" t="s">
        <v>22</v>
      </c>
      <c r="F262" t="s">
        <v>4151</v>
      </c>
      <c r="G262" t="s">
        <v>2408</v>
      </c>
      <c r="H262" t="s">
        <v>3622</v>
      </c>
    </row>
    <row r="263" spans="1:8" hidden="1" x14ac:dyDescent="0.3">
      <c r="A263">
        <v>453</v>
      </c>
      <c r="B263" t="s">
        <v>2408</v>
      </c>
      <c r="C263" t="s">
        <v>2018</v>
      </c>
      <c r="D263" t="s">
        <v>21</v>
      </c>
      <c r="E263" t="s">
        <v>22</v>
      </c>
      <c r="F263" t="s">
        <v>4152</v>
      </c>
      <c r="G263" t="s">
        <v>4153</v>
      </c>
      <c r="H263" t="s">
        <v>9</v>
      </c>
    </row>
    <row r="264" spans="1:8" hidden="1" x14ac:dyDescent="0.3">
      <c r="A264">
        <v>359</v>
      </c>
      <c r="B264" t="s">
        <v>1787</v>
      </c>
      <c r="C264" t="s">
        <v>1376</v>
      </c>
      <c r="D264" t="s">
        <v>39</v>
      </c>
      <c r="E264" t="s">
        <v>22</v>
      </c>
      <c r="F264" t="s">
        <v>4154</v>
      </c>
      <c r="G264" t="s">
        <v>4155</v>
      </c>
      <c r="H264" t="s">
        <v>3622</v>
      </c>
    </row>
    <row r="265" spans="1:8" hidden="1" x14ac:dyDescent="0.3">
      <c r="A265">
        <v>364</v>
      </c>
      <c r="B265" t="s">
        <v>1812</v>
      </c>
      <c r="C265" t="s">
        <v>1796</v>
      </c>
      <c r="D265" t="s">
        <v>39</v>
      </c>
      <c r="E265" t="s">
        <v>22</v>
      </c>
      <c r="F265" t="s">
        <v>4156</v>
      </c>
      <c r="G265" t="s">
        <v>4157</v>
      </c>
      <c r="H265" t="s">
        <v>9</v>
      </c>
    </row>
    <row r="266" spans="1:8" hidden="1" x14ac:dyDescent="0.3">
      <c r="A266">
        <v>445</v>
      </c>
      <c r="B266" t="s">
        <v>2389</v>
      </c>
      <c r="C266" t="s">
        <v>1215</v>
      </c>
      <c r="D266" t="s">
        <v>39</v>
      </c>
      <c r="E266" t="s">
        <v>22</v>
      </c>
      <c r="F266" t="s">
        <v>4158</v>
      </c>
      <c r="G266" t="s">
        <v>4159</v>
      </c>
      <c r="H266" t="s">
        <v>3622</v>
      </c>
    </row>
    <row r="267" spans="1:8" hidden="1" x14ac:dyDescent="0.3">
      <c r="A267">
        <v>447</v>
      </c>
      <c r="B267" t="s">
        <v>1481</v>
      </c>
      <c r="C267" t="s">
        <v>461</v>
      </c>
      <c r="D267" t="s">
        <v>39</v>
      </c>
      <c r="E267" t="s">
        <v>22</v>
      </c>
      <c r="F267" t="s">
        <v>4160</v>
      </c>
      <c r="G267" t="s">
        <v>4161</v>
      </c>
      <c r="H267" t="s">
        <v>3651</v>
      </c>
    </row>
    <row r="268" spans="1:8" hidden="1" x14ac:dyDescent="0.3">
      <c r="A268">
        <v>447</v>
      </c>
      <c r="B268" t="s">
        <v>1481</v>
      </c>
      <c r="C268" t="s">
        <v>461</v>
      </c>
      <c r="D268" t="s">
        <v>39</v>
      </c>
      <c r="E268" t="s">
        <v>22</v>
      </c>
      <c r="F268" t="s">
        <v>4162</v>
      </c>
      <c r="G268" t="s">
        <v>4163</v>
      </c>
      <c r="H268" t="s">
        <v>3651</v>
      </c>
    </row>
    <row r="269" spans="1:8" hidden="1" x14ac:dyDescent="0.3">
      <c r="A269">
        <v>448</v>
      </c>
      <c r="B269" t="s">
        <v>2394</v>
      </c>
      <c r="C269" t="s">
        <v>461</v>
      </c>
      <c r="D269" t="s">
        <v>39</v>
      </c>
      <c r="E269" t="s">
        <v>22</v>
      </c>
      <c r="F269" t="s">
        <v>4164</v>
      </c>
      <c r="G269" t="s">
        <v>4161</v>
      </c>
      <c r="H269" t="s">
        <v>3651</v>
      </c>
    </row>
    <row r="270" spans="1:8" hidden="1" x14ac:dyDescent="0.3">
      <c r="A270">
        <v>448</v>
      </c>
      <c r="B270" t="s">
        <v>2394</v>
      </c>
      <c r="C270" t="s">
        <v>461</v>
      </c>
      <c r="D270" t="s">
        <v>39</v>
      </c>
      <c r="E270" t="s">
        <v>22</v>
      </c>
      <c r="F270" t="s">
        <v>4165</v>
      </c>
      <c r="G270" t="s">
        <v>4163</v>
      </c>
      <c r="H270" t="s">
        <v>3651</v>
      </c>
    </row>
    <row r="271" spans="1:8" hidden="1" x14ac:dyDescent="0.3">
      <c r="A271">
        <v>451</v>
      </c>
      <c r="B271" t="s">
        <v>2404</v>
      </c>
      <c r="C271" t="s">
        <v>1998</v>
      </c>
      <c r="D271" t="s">
        <v>39</v>
      </c>
      <c r="E271" t="s">
        <v>22</v>
      </c>
      <c r="F271" t="s">
        <v>4166</v>
      </c>
      <c r="G271" t="s">
        <v>2401</v>
      </c>
      <c r="H271" t="s">
        <v>3622</v>
      </c>
    </row>
    <row r="272" spans="1:8" hidden="1" x14ac:dyDescent="0.3">
      <c r="A272">
        <v>452</v>
      </c>
      <c r="B272" t="s">
        <v>2405</v>
      </c>
      <c r="C272" t="s">
        <v>1998</v>
      </c>
      <c r="D272" t="s">
        <v>39</v>
      </c>
      <c r="E272" t="s">
        <v>22</v>
      </c>
      <c r="F272" t="s">
        <v>4167</v>
      </c>
      <c r="G272" t="s">
        <v>4168</v>
      </c>
      <c r="H272" t="s">
        <v>3622</v>
      </c>
    </row>
    <row r="273" spans="1:8" hidden="1" x14ac:dyDescent="0.3">
      <c r="A273">
        <v>452</v>
      </c>
      <c r="B273" t="s">
        <v>2405</v>
      </c>
      <c r="C273" t="s">
        <v>1998</v>
      </c>
      <c r="D273" t="s">
        <v>39</v>
      </c>
      <c r="E273" t="s">
        <v>22</v>
      </c>
      <c r="F273" t="s">
        <v>4169</v>
      </c>
      <c r="G273" t="s">
        <v>4170</v>
      </c>
      <c r="H273" t="s">
        <v>9</v>
      </c>
    </row>
    <row r="274" spans="1:8" hidden="1" x14ac:dyDescent="0.3">
      <c r="A274">
        <v>466</v>
      </c>
      <c r="B274" t="s">
        <v>2447</v>
      </c>
      <c r="C274" t="s">
        <v>1376</v>
      </c>
      <c r="D274" t="s">
        <v>39</v>
      </c>
      <c r="E274" t="s">
        <v>22</v>
      </c>
      <c r="F274" t="s">
        <v>4171</v>
      </c>
      <c r="G274" t="s">
        <v>4172</v>
      </c>
      <c r="H274" t="s">
        <v>3622</v>
      </c>
    </row>
    <row r="275" spans="1:8" hidden="1" x14ac:dyDescent="0.3">
      <c r="A275">
        <v>466</v>
      </c>
      <c r="B275" t="s">
        <v>2447</v>
      </c>
      <c r="C275" t="s">
        <v>1376</v>
      </c>
      <c r="D275" t="s">
        <v>39</v>
      </c>
      <c r="E275" t="s">
        <v>22</v>
      </c>
      <c r="F275" t="s">
        <v>4173</v>
      </c>
      <c r="G275" t="s">
        <v>4174</v>
      </c>
      <c r="H275" t="s">
        <v>9</v>
      </c>
    </row>
    <row r="276" spans="1:8" hidden="1" x14ac:dyDescent="0.3">
      <c r="A276">
        <v>467</v>
      </c>
      <c r="B276" t="s">
        <v>2450</v>
      </c>
      <c r="C276" t="s">
        <v>1376</v>
      </c>
      <c r="D276" t="s">
        <v>39</v>
      </c>
      <c r="E276" t="s">
        <v>22</v>
      </c>
      <c r="F276" t="s">
        <v>4175</v>
      </c>
      <c r="G276" t="s">
        <v>4176</v>
      </c>
      <c r="H276" t="s">
        <v>3622</v>
      </c>
    </row>
    <row r="277" spans="1:8" hidden="1" x14ac:dyDescent="0.3">
      <c r="A277">
        <v>467</v>
      </c>
      <c r="B277" t="s">
        <v>2450</v>
      </c>
      <c r="C277" t="s">
        <v>1376</v>
      </c>
      <c r="D277" t="s">
        <v>39</v>
      </c>
      <c r="E277" t="s">
        <v>22</v>
      </c>
      <c r="F277" t="s">
        <v>4177</v>
      </c>
      <c r="G277" t="s">
        <v>4178</v>
      </c>
      <c r="H277" t="s">
        <v>9</v>
      </c>
    </row>
    <row r="278" spans="1:8" hidden="1" x14ac:dyDescent="0.3">
      <c r="A278">
        <v>468</v>
      </c>
      <c r="B278" t="s">
        <v>2453</v>
      </c>
      <c r="C278" t="s">
        <v>1376</v>
      </c>
      <c r="D278" t="s">
        <v>39</v>
      </c>
      <c r="E278" t="s">
        <v>56</v>
      </c>
      <c r="F278" t="s">
        <v>4179</v>
      </c>
      <c r="G278" t="s">
        <v>4180</v>
      </c>
      <c r="H278" t="s">
        <v>3622</v>
      </c>
    </row>
    <row r="279" spans="1:8" hidden="1" x14ac:dyDescent="0.3">
      <c r="A279">
        <v>468</v>
      </c>
      <c r="B279" t="s">
        <v>2453</v>
      </c>
      <c r="C279" t="s">
        <v>1376</v>
      </c>
      <c r="D279" t="s">
        <v>39</v>
      </c>
      <c r="E279" t="s">
        <v>56</v>
      </c>
      <c r="F279" t="s">
        <v>4181</v>
      </c>
      <c r="G279" t="s">
        <v>4182</v>
      </c>
      <c r="H279" t="s">
        <v>9</v>
      </c>
    </row>
    <row r="280" spans="1:8" hidden="1" x14ac:dyDescent="0.3">
      <c r="A280">
        <v>475</v>
      </c>
      <c r="B280" t="s">
        <v>2496</v>
      </c>
      <c r="C280" t="s">
        <v>1627</v>
      </c>
      <c r="D280" t="s">
        <v>39</v>
      </c>
      <c r="E280" t="s">
        <v>22</v>
      </c>
      <c r="F280" t="s">
        <v>4183</v>
      </c>
      <c r="G280" t="s">
        <v>4184</v>
      </c>
      <c r="H280" t="s">
        <v>9</v>
      </c>
    </row>
    <row r="281" spans="1:8" hidden="1" x14ac:dyDescent="0.3">
      <c r="A281">
        <v>475</v>
      </c>
      <c r="B281" t="s">
        <v>2496</v>
      </c>
      <c r="C281" t="s">
        <v>1627</v>
      </c>
      <c r="D281" t="s">
        <v>39</v>
      </c>
      <c r="E281" t="s">
        <v>22</v>
      </c>
      <c r="F281" t="s">
        <v>4185</v>
      </c>
      <c r="G281" t="s">
        <v>4186</v>
      </c>
      <c r="H281" t="s">
        <v>3622</v>
      </c>
    </row>
    <row r="282" spans="1:8" hidden="1" x14ac:dyDescent="0.3">
      <c r="A282">
        <v>486</v>
      </c>
      <c r="B282" t="s">
        <v>2549</v>
      </c>
      <c r="C282" t="s">
        <v>207</v>
      </c>
      <c r="D282" t="s">
        <v>39</v>
      </c>
      <c r="E282" t="s">
        <v>22</v>
      </c>
      <c r="F282" t="s">
        <v>4187</v>
      </c>
      <c r="G282" t="s">
        <v>4188</v>
      </c>
      <c r="H282" t="s">
        <v>3651</v>
      </c>
    </row>
    <row r="283" spans="1:8" hidden="1" x14ac:dyDescent="0.3">
      <c r="A283">
        <v>484</v>
      </c>
      <c r="B283" t="s">
        <v>2521</v>
      </c>
      <c r="C283" t="s">
        <v>138</v>
      </c>
      <c r="D283" t="s">
        <v>21</v>
      </c>
      <c r="E283" t="s">
        <v>22</v>
      </c>
      <c r="F283" t="s">
        <v>4189</v>
      </c>
      <c r="G283" t="s">
        <v>4190</v>
      </c>
      <c r="H283" t="s">
        <v>3622</v>
      </c>
    </row>
    <row r="284" spans="1:8" hidden="1" x14ac:dyDescent="0.3">
      <c r="A284">
        <v>484</v>
      </c>
      <c r="B284" t="s">
        <v>2521</v>
      </c>
      <c r="C284" t="s">
        <v>138</v>
      </c>
      <c r="D284" t="s">
        <v>21</v>
      </c>
      <c r="E284" t="s">
        <v>22</v>
      </c>
      <c r="F284" t="s">
        <v>4191</v>
      </c>
      <c r="G284" t="s">
        <v>4192</v>
      </c>
      <c r="H284" t="s">
        <v>9</v>
      </c>
    </row>
    <row r="285" spans="1:8" hidden="1" x14ac:dyDescent="0.3">
      <c r="A285">
        <v>455</v>
      </c>
      <c r="B285" t="s">
        <v>2416</v>
      </c>
      <c r="C285" t="s">
        <v>2018</v>
      </c>
      <c r="D285" t="s">
        <v>21</v>
      </c>
      <c r="E285" t="s">
        <v>22</v>
      </c>
      <c r="F285" t="s">
        <v>4193</v>
      </c>
      <c r="G285" t="s">
        <v>4194</v>
      </c>
      <c r="H285" t="s">
        <v>9</v>
      </c>
    </row>
    <row r="286" spans="1:8" hidden="1" x14ac:dyDescent="0.3">
      <c r="A286">
        <v>455</v>
      </c>
      <c r="B286" t="s">
        <v>2416</v>
      </c>
      <c r="C286" t="s">
        <v>2018</v>
      </c>
      <c r="D286" t="s">
        <v>21</v>
      </c>
      <c r="E286" t="s">
        <v>22</v>
      </c>
      <c r="F286" t="s">
        <v>4195</v>
      </c>
      <c r="G286" t="s">
        <v>4196</v>
      </c>
      <c r="H286" t="s">
        <v>3622</v>
      </c>
    </row>
    <row r="287" spans="1:8" x14ac:dyDescent="0.3">
      <c r="A287">
        <v>444</v>
      </c>
      <c r="B287" t="s">
        <v>2387</v>
      </c>
      <c r="C287" t="s">
        <v>1215</v>
      </c>
      <c r="D287" t="s">
        <v>39</v>
      </c>
      <c r="E287" t="s">
        <v>56</v>
      </c>
      <c r="F287" t="s">
        <v>4197</v>
      </c>
      <c r="G287" t="s">
        <v>2387</v>
      </c>
      <c r="H287" t="s">
        <v>3651</v>
      </c>
    </row>
    <row r="288" spans="1:8" hidden="1" x14ac:dyDescent="0.3">
      <c r="A288">
        <v>506</v>
      </c>
      <c r="B288" t="s">
        <v>2616</v>
      </c>
      <c r="C288" t="s">
        <v>1781</v>
      </c>
      <c r="D288" t="s">
        <v>39</v>
      </c>
      <c r="E288" t="s">
        <v>22</v>
      </c>
      <c r="F288" t="s">
        <v>4198</v>
      </c>
      <c r="G288" t="s">
        <v>4199</v>
      </c>
      <c r="H288" t="s">
        <v>3622</v>
      </c>
    </row>
    <row r="289" spans="1:8" hidden="1" x14ac:dyDescent="0.3">
      <c r="A289">
        <v>507</v>
      </c>
      <c r="B289" t="s">
        <v>2618</v>
      </c>
      <c r="C289" t="s">
        <v>1460</v>
      </c>
      <c r="D289" t="s">
        <v>39</v>
      </c>
      <c r="E289" t="s">
        <v>22</v>
      </c>
      <c r="F289" t="s">
        <v>4200</v>
      </c>
      <c r="G289" t="s">
        <v>4199</v>
      </c>
      <c r="H289" t="s">
        <v>3622</v>
      </c>
    </row>
    <row r="290" spans="1:8" hidden="1" x14ac:dyDescent="0.3">
      <c r="A290">
        <v>460</v>
      </c>
      <c r="B290" t="s">
        <v>2436</v>
      </c>
      <c r="C290" t="s">
        <v>55</v>
      </c>
      <c r="D290" t="s">
        <v>139</v>
      </c>
      <c r="E290" t="s">
        <v>22</v>
      </c>
      <c r="F290" t="s">
        <v>4201</v>
      </c>
      <c r="G290" t="s">
        <v>4202</v>
      </c>
      <c r="H290" t="s">
        <v>3651</v>
      </c>
    </row>
    <row r="291" spans="1:8" hidden="1" x14ac:dyDescent="0.3">
      <c r="A291">
        <v>460</v>
      </c>
      <c r="B291" t="s">
        <v>2436</v>
      </c>
      <c r="C291" t="s">
        <v>55</v>
      </c>
      <c r="D291" t="s">
        <v>139</v>
      </c>
      <c r="E291" t="s">
        <v>22</v>
      </c>
      <c r="F291" t="s">
        <v>4203</v>
      </c>
      <c r="G291" t="s">
        <v>4204</v>
      </c>
      <c r="H291" t="s">
        <v>3651</v>
      </c>
    </row>
    <row r="292" spans="1:8" hidden="1" x14ac:dyDescent="0.3">
      <c r="A292">
        <v>487</v>
      </c>
      <c r="B292" t="s">
        <v>2554</v>
      </c>
      <c r="C292" t="s">
        <v>1336</v>
      </c>
      <c r="D292" t="s">
        <v>139</v>
      </c>
      <c r="E292" t="s">
        <v>22</v>
      </c>
      <c r="F292" t="s">
        <v>4205</v>
      </c>
      <c r="G292" t="s">
        <v>4206</v>
      </c>
      <c r="H292" t="s">
        <v>3651</v>
      </c>
    </row>
    <row r="293" spans="1:8" hidden="1" x14ac:dyDescent="0.3">
      <c r="A293">
        <v>487</v>
      </c>
      <c r="B293" t="s">
        <v>2554</v>
      </c>
      <c r="C293" t="s">
        <v>1336</v>
      </c>
      <c r="D293" t="s">
        <v>139</v>
      </c>
      <c r="E293" t="s">
        <v>22</v>
      </c>
      <c r="F293" t="s">
        <v>4207</v>
      </c>
      <c r="G293" t="s">
        <v>4208</v>
      </c>
      <c r="H293" t="s">
        <v>3651</v>
      </c>
    </row>
    <row r="294" spans="1:8" hidden="1" x14ac:dyDescent="0.3">
      <c r="A294">
        <v>490</v>
      </c>
      <c r="B294" t="s">
        <v>2584</v>
      </c>
      <c r="C294" t="s">
        <v>1263</v>
      </c>
      <c r="D294" t="s">
        <v>139</v>
      </c>
      <c r="E294" t="s">
        <v>22</v>
      </c>
      <c r="F294" t="s">
        <v>4209</v>
      </c>
      <c r="G294" t="s">
        <v>4199</v>
      </c>
      <c r="H294" t="s">
        <v>3622</v>
      </c>
    </row>
    <row r="295" spans="1:8" hidden="1" x14ac:dyDescent="0.3">
      <c r="A295">
        <v>491</v>
      </c>
      <c r="B295" t="s">
        <v>2586</v>
      </c>
      <c r="C295" t="s">
        <v>1096</v>
      </c>
      <c r="D295" t="s">
        <v>139</v>
      </c>
      <c r="E295" t="s">
        <v>22</v>
      </c>
      <c r="F295" t="s">
        <v>4210</v>
      </c>
      <c r="G295" t="s">
        <v>4199</v>
      </c>
      <c r="H295" t="s">
        <v>3622</v>
      </c>
    </row>
    <row r="296" spans="1:8" hidden="1" x14ac:dyDescent="0.3">
      <c r="A296">
        <v>492</v>
      </c>
      <c r="B296" t="s">
        <v>2588</v>
      </c>
      <c r="C296" t="s">
        <v>1241</v>
      </c>
      <c r="D296" t="s">
        <v>139</v>
      </c>
      <c r="E296" t="s">
        <v>22</v>
      </c>
      <c r="F296" t="s">
        <v>4211</v>
      </c>
      <c r="G296" t="s">
        <v>4199</v>
      </c>
      <c r="H296" t="s">
        <v>3622</v>
      </c>
    </row>
    <row r="297" spans="1:8" hidden="1" x14ac:dyDescent="0.3">
      <c r="A297">
        <v>493</v>
      </c>
      <c r="B297" t="s">
        <v>2590</v>
      </c>
      <c r="C297" t="s">
        <v>1303</v>
      </c>
      <c r="D297" t="s">
        <v>139</v>
      </c>
      <c r="E297" t="s">
        <v>22</v>
      </c>
      <c r="F297" t="s">
        <v>4212</v>
      </c>
      <c r="G297" t="s">
        <v>4199</v>
      </c>
      <c r="H297" t="s">
        <v>3622</v>
      </c>
    </row>
    <row r="298" spans="1:8" hidden="1" x14ac:dyDescent="0.3">
      <c r="A298">
        <v>494</v>
      </c>
      <c r="B298" t="s">
        <v>2592</v>
      </c>
      <c r="C298" t="s">
        <v>1501</v>
      </c>
      <c r="D298" t="s">
        <v>139</v>
      </c>
      <c r="E298" t="s">
        <v>22</v>
      </c>
      <c r="F298" t="s">
        <v>4213</v>
      </c>
      <c r="G298" t="s">
        <v>4199</v>
      </c>
      <c r="H298" t="s">
        <v>3622</v>
      </c>
    </row>
    <row r="299" spans="1:8" hidden="1" x14ac:dyDescent="0.3">
      <c r="A299">
        <v>495</v>
      </c>
      <c r="B299" t="s">
        <v>2594</v>
      </c>
      <c r="C299" t="s">
        <v>1721</v>
      </c>
      <c r="D299" t="s">
        <v>139</v>
      </c>
      <c r="E299" t="s">
        <v>22</v>
      </c>
      <c r="F299" t="s">
        <v>4214</v>
      </c>
      <c r="G299" t="s">
        <v>4199</v>
      </c>
      <c r="H299" t="s">
        <v>3622</v>
      </c>
    </row>
    <row r="300" spans="1:8" hidden="1" x14ac:dyDescent="0.3">
      <c r="A300">
        <v>496</v>
      </c>
      <c r="B300" t="s">
        <v>2596</v>
      </c>
      <c r="C300" t="s">
        <v>210</v>
      </c>
      <c r="D300" t="s">
        <v>139</v>
      </c>
      <c r="E300" t="s">
        <v>22</v>
      </c>
      <c r="F300" t="s">
        <v>4215</v>
      </c>
      <c r="G300" t="s">
        <v>4199</v>
      </c>
      <c r="H300" t="s">
        <v>3622</v>
      </c>
    </row>
    <row r="301" spans="1:8" hidden="1" x14ac:dyDescent="0.3">
      <c r="A301">
        <v>497</v>
      </c>
      <c r="B301" t="s">
        <v>2598</v>
      </c>
      <c r="C301" t="s">
        <v>1765</v>
      </c>
      <c r="D301" t="s">
        <v>139</v>
      </c>
      <c r="E301" t="s">
        <v>22</v>
      </c>
      <c r="F301" t="s">
        <v>4216</v>
      </c>
      <c r="G301" t="s">
        <v>4199</v>
      </c>
      <c r="H301" t="s">
        <v>3622</v>
      </c>
    </row>
    <row r="302" spans="1:8" hidden="1" x14ac:dyDescent="0.3">
      <c r="A302">
        <v>498</v>
      </c>
      <c r="B302" t="s">
        <v>2600</v>
      </c>
      <c r="C302" t="s">
        <v>1336</v>
      </c>
      <c r="D302" t="s">
        <v>139</v>
      </c>
      <c r="E302" t="s">
        <v>22</v>
      </c>
      <c r="F302" t="s">
        <v>4217</v>
      </c>
      <c r="G302" t="s">
        <v>4199</v>
      </c>
      <c r="H302" t="s">
        <v>3622</v>
      </c>
    </row>
    <row r="303" spans="1:8" hidden="1" x14ac:dyDescent="0.3">
      <c r="A303">
        <v>499</v>
      </c>
      <c r="B303" t="s">
        <v>2602</v>
      </c>
      <c r="C303" t="s">
        <v>1758</v>
      </c>
      <c r="D303" t="s">
        <v>139</v>
      </c>
      <c r="E303" t="s">
        <v>22</v>
      </c>
      <c r="F303" t="s">
        <v>4218</v>
      </c>
      <c r="G303" t="s">
        <v>4199</v>
      </c>
      <c r="H303" t="s">
        <v>3622</v>
      </c>
    </row>
    <row r="304" spans="1:8" hidden="1" x14ac:dyDescent="0.3">
      <c r="A304">
        <v>500</v>
      </c>
      <c r="B304" t="s">
        <v>2604</v>
      </c>
      <c r="C304" t="s">
        <v>1528</v>
      </c>
      <c r="D304" t="s">
        <v>139</v>
      </c>
      <c r="E304" t="s">
        <v>22</v>
      </c>
      <c r="F304" t="s">
        <v>4219</v>
      </c>
      <c r="G304" t="s">
        <v>4199</v>
      </c>
      <c r="H304" t="s">
        <v>3622</v>
      </c>
    </row>
    <row r="305" spans="1:8" hidden="1" x14ac:dyDescent="0.3">
      <c r="A305">
        <v>501</v>
      </c>
      <c r="B305" t="s">
        <v>2606</v>
      </c>
      <c r="C305" t="s">
        <v>1234</v>
      </c>
      <c r="D305" t="s">
        <v>139</v>
      </c>
      <c r="E305" t="s">
        <v>22</v>
      </c>
      <c r="F305" t="s">
        <v>4220</v>
      </c>
      <c r="G305" t="s">
        <v>4199</v>
      </c>
      <c r="H305" t="s">
        <v>3622</v>
      </c>
    </row>
    <row r="306" spans="1:8" hidden="1" x14ac:dyDescent="0.3">
      <c r="A306">
        <v>502</v>
      </c>
      <c r="B306" t="s">
        <v>2608</v>
      </c>
      <c r="C306" t="s">
        <v>509</v>
      </c>
      <c r="D306" t="s">
        <v>139</v>
      </c>
      <c r="E306" t="s">
        <v>22</v>
      </c>
      <c r="F306" t="s">
        <v>4221</v>
      </c>
      <c r="G306" t="s">
        <v>4199</v>
      </c>
      <c r="H306" t="s">
        <v>3622</v>
      </c>
    </row>
    <row r="307" spans="1:8" hidden="1" x14ac:dyDescent="0.3">
      <c r="A307">
        <v>503</v>
      </c>
      <c r="B307" t="s">
        <v>2610</v>
      </c>
      <c r="C307" t="s">
        <v>1969</v>
      </c>
      <c r="D307" t="s">
        <v>139</v>
      </c>
      <c r="E307" t="s">
        <v>22</v>
      </c>
      <c r="F307" t="s">
        <v>4222</v>
      </c>
      <c r="G307" t="s">
        <v>4199</v>
      </c>
      <c r="H307" t="s">
        <v>3622</v>
      </c>
    </row>
    <row r="308" spans="1:8" hidden="1" x14ac:dyDescent="0.3">
      <c r="A308">
        <v>504</v>
      </c>
      <c r="B308" t="s">
        <v>2612</v>
      </c>
      <c r="C308" t="s">
        <v>2044</v>
      </c>
      <c r="D308" t="s">
        <v>139</v>
      </c>
      <c r="E308" t="s">
        <v>22</v>
      </c>
      <c r="F308" t="s">
        <v>4223</v>
      </c>
      <c r="G308" t="s">
        <v>4199</v>
      </c>
      <c r="H308" t="s">
        <v>3622</v>
      </c>
    </row>
    <row r="309" spans="1:8" hidden="1" x14ac:dyDescent="0.3">
      <c r="A309">
        <v>505</v>
      </c>
      <c r="B309" t="s">
        <v>2614</v>
      </c>
      <c r="C309" t="s">
        <v>2186</v>
      </c>
      <c r="D309" t="s">
        <v>139</v>
      </c>
      <c r="E309" t="s">
        <v>22</v>
      </c>
      <c r="F309" t="s">
        <v>4224</v>
      </c>
      <c r="G309" t="s">
        <v>4199</v>
      </c>
      <c r="H309" t="s">
        <v>3622</v>
      </c>
    </row>
    <row r="310" spans="1:8" hidden="1" x14ac:dyDescent="0.3">
      <c r="A310">
        <v>508</v>
      </c>
      <c r="B310" t="s">
        <v>2620</v>
      </c>
      <c r="C310" t="s">
        <v>2018</v>
      </c>
      <c r="D310" t="s">
        <v>139</v>
      </c>
      <c r="E310" t="s">
        <v>22</v>
      </c>
      <c r="F310" t="s">
        <v>4225</v>
      </c>
      <c r="G310" t="s">
        <v>4199</v>
      </c>
      <c r="H310" t="s">
        <v>3622</v>
      </c>
    </row>
    <row r="311" spans="1:8" hidden="1" x14ac:dyDescent="0.3">
      <c r="A311">
        <v>513</v>
      </c>
      <c r="B311" t="s">
        <v>2644</v>
      </c>
      <c r="C311" t="s">
        <v>1490</v>
      </c>
      <c r="D311" t="s">
        <v>21</v>
      </c>
      <c r="E311" t="s">
        <v>22</v>
      </c>
      <c r="F311" t="s">
        <v>4226</v>
      </c>
      <c r="G311" t="s">
        <v>4227</v>
      </c>
      <c r="H311" t="s">
        <v>3622</v>
      </c>
    </row>
    <row r="312" spans="1:8" hidden="1" x14ac:dyDescent="0.3">
      <c r="A312">
        <v>513</v>
      </c>
      <c r="B312" t="s">
        <v>2644</v>
      </c>
      <c r="C312" t="s">
        <v>1490</v>
      </c>
      <c r="D312" t="s">
        <v>21</v>
      </c>
      <c r="E312" t="s">
        <v>22</v>
      </c>
      <c r="F312" t="s">
        <v>4228</v>
      </c>
      <c r="G312" t="s">
        <v>4229</v>
      </c>
      <c r="H312" t="s">
        <v>9</v>
      </c>
    </row>
    <row r="313" spans="1:8" hidden="1" x14ac:dyDescent="0.3">
      <c r="A313">
        <v>518</v>
      </c>
      <c r="B313" t="s">
        <v>119</v>
      </c>
      <c r="C313" t="s">
        <v>120</v>
      </c>
      <c r="D313" t="s">
        <v>21</v>
      </c>
      <c r="E313" t="s">
        <v>22</v>
      </c>
      <c r="F313" t="s">
        <v>4230</v>
      </c>
      <c r="G313" t="s">
        <v>4231</v>
      </c>
      <c r="H313" t="s">
        <v>3622</v>
      </c>
    </row>
    <row r="314" spans="1:8" hidden="1" x14ac:dyDescent="0.3">
      <c r="A314">
        <v>518</v>
      </c>
      <c r="B314" t="s">
        <v>119</v>
      </c>
      <c r="C314" t="s">
        <v>120</v>
      </c>
      <c r="D314" t="s">
        <v>21</v>
      </c>
      <c r="E314" t="s">
        <v>22</v>
      </c>
      <c r="F314" t="s">
        <v>4232</v>
      </c>
      <c r="G314" t="s">
        <v>4233</v>
      </c>
      <c r="H314" t="s">
        <v>9</v>
      </c>
    </row>
    <row r="315" spans="1:8" hidden="1" x14ac:dyDescent="0.3">
      <c r="A315">
        <v>451</v>
      </c>
      <c r="B315" t="s">
        <v>2404</v>
      </c>
      <c r="C315" t="s">
        <v>1998</v>
      </c>
      <c r="D315" t="s">
        <v>39</v>
      </c>
      <c r="E315" t="s">
        <v>22</v>
      </c>
      <c r="F315" t="s">
        <v>4234</v>
      </c>
      <c r="G315" t="s">
        <v>4235</v>
      </c>
      <c r="H315" t="s">
        <v>9</v>
      </c>
    </row>
    <row r="316" spans="1:8" hidden="1" x14ac:dyDescent="0.3">
      <c r="A316">
        <v>514</v>
      </c>
      <c r="B316" t="s">
        <v>2645</v>
      </c>
      <c r="C316" t="s">
        <v>1490</v>
      </c>
      <c r="D316" t="s">
        <v>39</v>
      </c>
      <c r="E316" t="s">
        <v>22</v>
      </c>
      <c r="F316" t="s">
        <v>4236</v>
      </c>
      <c r="G316" t="s">
        <v>4237</v>
      </c>
      <c r="H316" t="s">
        <v>3651</v>
      </c>
    </row>
    <row r="317" spans="1:8" hidden="1" x14ac:dyDescent="0.3">
      <c r="A317">
        <v>514</v>
      </c>
      <c r="B317" t="s">
        <v>2645</v>
      </c>
      <c r="C317" t="s">
        <v>1490</v>
      </c>
      <c r="D317" t="s">
        <v>39</v>
      </c>
      <c r="E317" t="s">
        <v>22</v>
      </c>
      <c r="F317" t="s">
        <v>4238</v>
      </c>
      <c r="G317" t="s">
        <v>4239</v>
      </c>
      <c r="H317" t="s">
        <v>3651</v>
      </c>
    </row>
    <row r="318" spans="1:8" hidden="1" x14ac:dyDescent="0.3">
      <c r="A318">
        <v>537</v>
      </c>
      <c r="B318" t="s">
        <v>2679</v>
      </c>
      <c r="C318" t="s">
        <v>625</v>
      </c>
      <c r="D318" t="s">
        <v>39</v>
      </c>
      <c r="E318" t="s">
        <v>22</v>
      </c>
      <c r="F318" t="s">
        <v>4240</v>
      </c>
      <c r="G318" t="s">
        <v>4241</v>
      </c>
      <c r="H318" t="s">
        <v>3651</v>
      </c>
    </row>
    <row r="319" spans="1:8" hidden="1" x14ac:dyDescent="0.3">
      <c r="A319">
        <v>537</v>
      </c>
      <c r="B319" t="s">
        <v>2679</v>
      </c>
      <c r="C319" t="s">
        <v>625</v>
      </c>
      <c r="D319" t="s">
        <v>39</v>
      </c>
      <c r="E319" t="s">
        <v>22</v>
      </c>
      <c r="F319" t="s">
        <v>4242</v>
      </c>
      <c r="G319" t="s">
        <v>4243</v>
      </c>
      <c r="H319" t="s">
        <v>3651</v>
      </c>
    </row>
    <row r="320" spans="1:8" hidden="1" x14ac:dyDescent="0.3">
      <c r="A320">
        <v>540</v>
      </c>
      <c r="B320" t="s">
        <v>2682</v>
      </c>
      <c r="C320" t="s">
        <v>1758</v>
      </c>
      <c r="D320" t="s">
        <v>39</v>
      </c>
      <c r="E320" t="s">
        <v>22</v>
      </c>
      <c r="F320" t="s">
        <v>4244</v>
      </c>
      <c r="G320" t="s">
        <v>4245</v>
      </c>
      <c r="H320" t="s">
        <v>3622</v>
      </c>
    </row>
    <row r="321" spans="1:8" hidden="1" x14ac:dyDescent="0.3">
      <c r="A321">
        <v>550</v>
      </c>
      <c r="B321" t="s">
        <v>2694</v>
      </c>
      <c r="C321" t="s">
        <v>2027</v>
      </c>
      <c r="D321" t="s">
        <v>39</v>
      </c>
      <c r="E321" t="s">
        <v>22</v>
      </c>
      <c r="F321" t="s">
        <v>4246</v>
      </c>
      <c r="G321" t="s">
        <v>4247</v>
      </c>
      <c r="H321" t="s">
        <v>3622</v>
      </c>
    </row>
    <row r="322" spans="1:8" hidden="1" x14ac:dyDescent="0.3">
      <c r="A322">
        <v>551</v>
      </c>
      <c r="B322" t="s">
        <v>2695</v>
      </c>
      <c r="C322" t="s">
        <v>2027</v>
      </c>
      <c r="D322" t="s">
        <v>39</v>
      </c>
      <c r="E322" t="s">
        <v>22</v>
      </c>
      <c r="F322" t="s">
        <v>4248</v>
      </c>
      <c r="G322" t="s">
        <v>4249</v>
      </c>
      <c r="H322" t="s">
        <v>3622</v>
      </c>
    </row>
    <row r="323" spans="1:8" hidden="1" x14ac:dyDescent="0.3">
      <c r="A323">
        <v>526</v>
      </c>
      <c r="B323" t="s">
        <v>2656</v>
      </c>
      <c r="C323" t="s">
        <v>1448</v>
      </c>
      <c r="D323" t="s">
        <v>21</v>
      </c>
      <c r="E323" t="s">
        <v>22</v>
      </c>
      <c r="F323" t="s">
        <v>4250</v>
      </c>
      <c r="G323" t="s">
        <v>4251</v>
      </c>
      <c r="H323" t="s">
        <v>3622</v>
      </c>
    </row>
    <row r="324" spans="1:8" hidden="1" x14ac:dyDescent="0.3">
      <c r="A324">
        <v>528</v>
      </c>
      <c r="B324" t="s">
        <v>2658</v>
      </c>
      <c r="C324" t="s">
        <v>1263</v>
      </c>
      <c r="D324" t="s">
        <v>139</v>
      </c>
      <c r="E324" t="s">
        <v>22</v>
      </c>
      <c r="F324" t="s">
        <v>4252</v>
      </c>
      <c r="G324" t="s">
        <v>4253</v>
      </c>
      <c r="H324" t="s">
        <v>9</v>
      </c>
    </row>
    <row r="325" spans="1:8" hidden="1" x14ac:dyDescent="0.3">
      <c r="A325">
        <v>528</v>
      </c>
      <c r="B325" t="s">
        <v>2658</v>
      </c>
      <c r="C325" t="s">
        <v>1263</v>
      </c>
      <c r="D325" t="s">
        <v>139</v>
      </c>
      <c r="E325" t="s">
        <v>22</v>
      </c>
      <c r="F325" t="s">
        <v>4254</v>
      </c>
      <c r="G325" t="s">
        <v>4255</v>
      </c>
      <c r="H325" t="s">
        <v>3622</v>
      </c>
    </row>
    <row r="326" spans="1:8" hidden="1" x14ac:dyDescent="0.3">
      <c r="A326">
        <v>552</v>
      </c>
      <c r="B326" t="s">
        <v>2696</v>
      </c>
      <c r="C326" t="s">
        <v>1796</v>
      </c>
      <c r="D326" t="s">
        <v>139</v>
      </c>
      <c r="E326" t="s">
        <v>22</v>
      </c>
      <c r="F326" t="s">
        <v>4256</v>
      </c>
      <c r="G326" t="s">
        <v>4257</v>
      </c>
      <c r="H326" t="s">
        <v>3622</v>
      </c>
    </row>
    <row r="327" spans="1:8" hidden="1" x14ac:dyDescent="0.3">
      <c r="A327">
        <v>515</v>
      </c>
      <c r="B327" t="s">
        <v>2646</v>
      </c>
      <c r="C327" t="s">
        <v>72</v>
      </c>
      <c r="D327" t="s">
        <v>39</v>
      </c>
      <c r="E327" t="s">
        <v>22</v>
      </c>
      <c r="F327" t="s">
        <v>4258</v>
      </c>
      <c r="G327" t="s">
        <v>4259</v>
      </c>
      <c r="H327" t="s">
        <v>3622</v>
      </c>
    </row>
    <row r="328" spans="1:8" hidden="1" x14ac:dyDescent="0.3">
      <c r="A328">
        <v>515</v>
      </c>
      <c r="B328" t="s">
        <v>2646</v>
      </c>
      <c r="C328" t="s">
        <v>72</v>
      </c>
      <c r="D328" t="s">
        <v>39</v>
      </c>
      <c r="E328" t="s">
        <v>22</v>
      </c>
      <c r="F328" t="s">
        <v>4260</v>
      </c>
      <c r="G328" t="s">
        <v>4261</v>
      </c>
      <c r="H328" t="s">
        <v>9</v>
      </c>
    </row>
    <row r="329" spans="1:8" hidden="1" x14ac:dyDescent="0.3">
      <c r="A329">
        <v>516</v>
      </c>
      <c r="B329" t="s">
        <v>2647</v>
      </c>
      <c r="C329" t="s">
        <v>72</v>
      </c>
      <c r="D329" t="s">
        <v>39</v>
      </c>
      <c r="E329" t="s">
        <v>22</v>
      </c>
      <c r="F329" t="s">
        <v>4262</v>
      </c>
      <c r="G329" t="s">
        <v>4263</v>
      </c>
      <c r="H329" t="s">
        <v>3622</v>
      </c>
    </row>
    <row r="330" spans="1:8" hidden="1" x14ac:dyDescent="0.3">
      <c r="A330">
        <v>516</v>
      </c>
      <c r="B330" t="s">
        <v>2647</v>
      </c>
      <c r="C330" t="s">
        <v>72</v>
      </c>
      <c r="D330" t="s">
        <v>39</v>
      </c>
      <c r="E330" t="s">
        <v>22</v>
      </c>
      <c r="F330" t="s">
        <v>4264</v>
      </c>
      <c r="G330" t="s">
        <v>4265</v>
      </c>
      <c r="H330" t="s">
        <v>9</v>
      </c>
    </row>
    <row r="331" spans="1:8" hidden="1" x14ac:dyDescent="0.3">
      <c r="A331">
        <v>530</v>
      </c>
      <c r="B331" t="s">
        <v>2662</v>
      </c>
      <c r="C331" t="s">
        <v>72</v>
      </c>
      <c r="D331" t="s">
        <v>39</v>
      </c>
      <c r="E331" t="s">
        <v>22</v>
      </c>
      <c r="F331" t="s">
        <v>4266</v>
      </c>
      <c r="G331" t="s">
        <v>4267</v>
      </c>
      <c r="H331" t="s">
        <v>3622</v>
      </c>
    </row>
    <row r="332" spans="1:8" hidden="1" x14ac:dyDescent="0.3">
      <c r="A332">
        <v>530</v>
      </c>
      <c r="B332" t="s">
        <v>2662</v>
      </c>
      <c r="C332" t="s">
        <v>72</v>
      </c>
      <c r="D332" t="s">
        <v>39</v>
      </c>
      <c r="E332" t="s">
        <v>22</v>
      </c>
      <c r="F332" t="s">
        <v>4268</v>
      </c>
      <c r="G332" t="s">
        <v>4269</v>
      </c>
      <c r="H332" t="s">
        <v>9</v>
      </c>
    </row>
    <row r="333" spans="1:8" hidden="1" x14ac:dyDescent="0.3">
      <c r="A333">
        <v>531</v>
      </c>
      <c r="B333" t="s">
        <v>2663</v>
      </c>
      <c r="C333" t="s">
        <v>72</v>
      </c>
      <c r="D333" t="s">
        <v>39</v>
      </c>
      <c r="E333" t="s">
        <v>22</v>
      </c>
      <c r="F333" t="s">
        <v>4270</v>
      </c>
      <c r="G333" t="s">
        <v>4271</v>
      </c>
      <c r="H333" t="s">
        <v>9</v>
      </c>
    </row>
    <row r="334" spans="1:8" hidden="1" x14ac:dyDescent="0.3">
      <c r="A334">
        <v>531</v>
      </c>
      <c r="B334" t="s">
        <v>2663</v>
      </c>
      <c r="C334" t="s">
        <v>72</v>
      </c>
      <c r="D334" t="s">
        <v>39</v>
      </c>
      <c r="E334" t="s">
        <v>22</v>
      </c>
      <c r="F334" t="s">
        <v>4272</v>
      </c>
      <c r="G334" t="s">
        <v>4273</v>
      </c>
      <c r="H334" t="s">
        <v>3622</v>
      </c>
    </row>
    <row r="335" spans="1:8" hidden="1" x14ac:dyDescent="0.3">
      <c r="A335">
        <v>538</v>
      </c>
      <c r="B335" t="s">
        <v>2680</v>
      </c>
      <c r="C335" t="s">
        <v>1215</v>
      </c>
      <c r="D335" t="s">
        <v>39</v>
      </c>
      <c r="E335" t="s">
        <v>22</v>
      </c>
      <c r="F335" t="s">
        <v>4274</v>
      </c>
      <c r="G335" t="s">
        <v>4275</v>
      </c>
      <c r="H335" t="s">
        <v>3651</v>
      </c>
    </row>
    <row r="336" spans="1:8" hidden="1" x14ac:dyDescent="0.3">
      <c r="A336">
        <v>538</v>
      </c>
      <c r="B336" t="s">
        <v>2680</v>
      </c>
      <c r="C336" t="s">
        <v>1215</v>
      </c>
      <c r="D336" t="s">
        <v>39</v>
      </c>
      <c r="E336" t="s">
        <v>22</v>
      </c>
      <c r="F336" t="s">
        <v>4276</v>
      </c>
      <c r="G336" t="s">
        <v>4277</v>
      </c>
      <c r="H336" t="s">
        <v>3622</v>
      </c>
    </row>
    <row r="337" spans="1:8" hidden="1" x14ac:dyDescent="0.3">
      <c r="A337">
        <v>539</v>
      </c>
      <c r="B337" t="s">
        <v>2681</v>
      </c>
      <c r="C337" t="s">
        <v>1215</v>
      </c>
      <c r="D337" t="s">
        <v>39</v>
      </c>
      <c r="E337" t="s">
        <v>56</v>
      </c>
      <c r="F337" t="s">
        <v>4278</v>
      </c>
      <c r="G337" t="s">
        <v>2681</v>
      </c>
      <c r="H337" t="s">
        <v>3622</v>
      </c>
    </row>
    <row r="338" spans="1:8" hidden="1" x14ac:dyDescent="0.3">
      <c r="A338">
        <v>554</v>
      </c>
      <c r="B338" t="s">
        <v>2698</v>
      </c>
      <c r="C338" t="s">
        <v>1208</v>
      </c>
      <c r="D338" t="s">
        <v>39</v>
      </c>
      <c r="E338" t="s">
        <v>22</v>
      </c>
      <c r="F338" t="s">
        <v>4279</v>
      </c>
      <c r="G338" t="s">
        <v>4280</v>
      </c>
      <c r="H338" t="s">
        <v>3622</v>
      </c>
    </row>
    <row r="339" spans="1:8" hidden="1" x14ac:dyDescent="0.3">
      <c r="A339">
        <v>555</v>
      </c>
      <c r="B339" t="s">
        <v>2699</v>
      </c>
      <c r="C339" t="s">
        <v>1946</v>
      </c>
      <c r="D339" t="s">
        <v>39</v>
      </c>
      <c r="E339" t="s">
        <v>22</v>
      </c>
      <c r="F339" t="s">
        <v>4281</v>
      </c>
      <c r="G339" t="s">
        <v>4282</v>
      </c>
      <c r="H339" t="s">
        <v>3622</v>
      </c>
    </row>
    <row r="340" spans="1:8" hidden="1" x14ac:dyDescent="0.3">
      <c r="A340">
        <v>522</v>
      </c>
      <c r="B340" t="s">
        <v>2651</v>
      </c>
      <c r="C340" t="s">
        <v>1234</v>
      </c>
      <c r="D340" t="s">
        <v>139</v>
      </c>
      <c r="E340" t="s">
        <v>22</v>
      </c>
      <c r="F340" t="s">
        <v>4283</v>
      </c>
      <c r="G340" t="s">
        <v>4284</v>
      </c>
      <c r="H340" t="s">
        <v>9</v>
      </c>
    </row>
    <row r="341" spans="1:8" hidden="1" x14ac:dyDescent="0.3">
      <c r="A341">
        <v>522</v>
      </c>
      <c r="B341" t="s">
        <v>2651</v>
      </c>
      <c r="C341" t="s">
        <v>1234</v>
      </c>
      <c r="D341" t="s">
        <v>139</v>
      </c>
      <c r="E341" t="s">
        <v>22</v>
      </c>
      <c r="F341" t="s">
        <v>4285</v>
      </c>
      <c r="G341" t="s">
        <v>4286</v>
      </c>
      <c r="H341" t="s">
        <v>3622</v>
      </c>
    </row>
    <row r="342" spans="1:8" hidden="1" x14ac:dyDescent="0.3">
      <c r="A342">
        <v>527</v>
      </c>
      <c r="B342" t="s">
        <v>2657</v>
      </c>
      <c r="C342" t="s">
        <v>1263</v>
      </c>
      <c r="D342" t="s">
        <v>139</v>
      </c>
      <c r="E342" t="s">
        <v>22</v>
      </c>
      <c r="F342" t="s">
        <v>4287</v>
      </c>
      <c r="G342" t="s">
        <v>4288</v>
      </c>
      <c r="H342" t="s">
        <v>3622</v>
      </c>
    </row>
    <row r="343" spans="1:8" hidden="1" x14ac:dyDescent="0.3">
      <c r="A343">
        <v>527</v>
      </c>
      <c r="B343" t="s">
        <v>2657</v>
      </c>
      <c r="C343" t="s">
        <v>1263</v>
      </c>
      <c r="D343" t="s">
        <v>139</v>
      </c>
      <c r="E343" t="s">
        <v>22</v>
      </c>
      <c r="F343" t="s">
        <v>4289</v>
      </c>
      <c r="G343" t="s">
        <v>4290</v>
      </c>
      <c r="H343" t="s">
        <v>9</v>
      </c>
    </row>
    <row r="344" spans="1:8" hidden="1" x14ac:dyDescent="0.3">
      <c r="A344">
        <v>541</v>
      </c>
      <c r="B344" t="s">
        <v>2683</v>
      </c>
      <c r="C344" t="s">
        <v>1654</v>
      </c>
      <c r="D344" t="s">
        <v>139</v>
      </c>
      <c r="E344" t="s">
        <v>22</v>
      </c>
      <c r="F344" t="s">
        <v>4291</v>
      </c>
      <c r="G344" t="s">
        <v>4292</v>
      </c>
      <c r="H344" t="s">
        <v>3651</v>
      </c>
    </row>
    <row r="345" spans="1:8" hidden="1" x14ac:dyDescent="0.3">
      <c r="A345">
        <v>541</v>
      </c>
      <c r="B345" t="s">
        <v>2683</v>
      </c>
      <c r="C345" t="s">
        <v>1654</v>
      </c>
      <c r="D345" t="s">
        <v>139</v>
      </c>
      <c r="E345" t="s">
        <v>22</v>
      </c>
      <c r="F345" t="s">
        <v>4293</v>
      </c>
      <c r="G345" t="s">
        <v>4294</v>
      </c>
      <c r="H345" t="s">
        <v>3651</v>
      </c>
    </row>
    <row r="346" spans="1:8" hidden="1" x14ac:dyDescent="0.3">
      <c r="A346">
        <v>547</v>
      </c>
      <c r="B346" t="s">
        <v>2693</v>
      </c>
      <c r="C346" t="s">
        <v>1654</v>
      </c>
      <c r="D346" t="s">
        <v>139</v>
      </c>
      <c r="E346" t="s">
        <v>22</v>
      </c>
      <c r="F346" t="s">
        <v>4295</v>
      </c>
      <c r="G346" t="s">
        <v>4296</v>
      </c>
      <c r="H346" t="s">
        <v>3622</v>
      </c>
    </row>
    <row r="347" spans="1:8" hidden="1" x14ac:dyDescent="0.3">
      <c r="A347">
        <v>553</v>
      </c>
      <c r="B347" t="s">
        <v>2697</v>
      </c>
      <c r="C347" t="s">
        <v>1915</v>
      </c>
      <c r="D347" t="s">
        <v>139</v>
      </c>
      <c r="E347" t="s">
        <v>22</v>
      </c>
      <c r="F347" t="s">
        <v>4297</v>
      </c>
      <c r="G347" t="s">
        <v>4298</v>
      </c>
      <c r="H347" t="s">
        <v>3622</v>
      </c>
    </row>
    <row r="348" spans="1:8" hidden="1" x14ac:dyDescent="0.3">
      <c r="A348">
        <v>556</v>
      </c>
      <c r="B348" t="s">
        <v>2700</v>
      </c>
      <c r="C348" t="s">
        <v>55</v>
      </c>
      <c r="D348" t="s">
        <v>139</v>
      </c>
      <c r="E348" t="s">
        <v>22</v>
      </c>
      <c r="F348" t="s">
        <v>4299</v>
      </c>
      <c r="G348" t="s">
        <v>4300</v>
      </c>
      <c r="H348" t="s">
        <v>3622</v>
      </c>
    </row>
    <row r="349" spans="1:8" hidden="1" x14ac:dyDescent="0.3">
      <c r="A349">
        <v>556</v>
      </c>
      <c r="B349" t="s">
        <v>2700</v>
      </c>
      <c r="C349" t="s">
        <v>55</v>
      </c>
      <c r="D349" t="s">
        <v>139</v>
      </c>
      <c r="E349" t="s">
        <v>22</v>
      </c>
      <c r="F349" t="s">
        <v>4301</v>
      </c>
      <c r="G349" t="s">
        <v>4302</v>
      </c>
      <c r="H349" t="s">
        <v>9</v>
      </c>
    </row>
  </sheetData>
  <autoFilter ref="A1:H349" xr:uid="{00000000-0009-0000-0000-000005000000}">
    <filterColumn colId="0">
      <filters>
        <filter val="444"/>
      </filters>
    </filterColumn>
  </autoFilter>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O3893"/>
  <sheetViews>
    <sheetView workbookViewId="0">
      <selection activeCell="A3529" sqref="A3529"/>
    </sheetView>
  </sheetViews>
  <sheetFormatPr baseColWidth="10" defaultColWidth="8.88671875" defaultRowHeight="14.4" x14ac:dyDescent="0.3"/>
  <sheetData>
    <row r="1" spans="1:171" x14ac:dyDescent="0.3">
      <c r="A1" t="s">
        <v>0</v>
      </c>
      <c r="B1" t="s">
        <v>1</v>
      </c>
      <c r="C1" t="s">
        <v>2</v>
      </c>
      <c r="D1" t="s">
        <v>3</v>
      </c>
      <c r="E1" t="s">
        <v>4</v>
      </c>
      <c r="F1" t="s">
        <v>4303</v>
      </c>
      <c r="G1" t="s">
        <v>17</v>
      </c>
      <c r="H1" t="s">
        <v>4304</v>
      </c>
      <c r="I1" t="s">
        <v>4305</v>
      </c>
      <c r="J1" t="s">
        <v>4306</v>
      </c>
      <c r="K1" t="s">
        <v>4307</v>
      </c>
      <c r="L1" t="s">
        <v>4308</v>
      </c>
      <c r="M1" t="s">
        <v>4309</v>
      </c>
      <c r="N1" t="s">
        <v>4310</v>
      </c>
      <c r="O1" t="s">
        <v>4311</v>
      </c>
      <c r="P1" t="s">
        <v>4312</v>
      </c>
      <c r="Q1" t="s">
        <v>4313</v>
      </c>
      <c r="R1" t="s">
        <v>4314</v>
      </c>
      <c r="S1" t="s">
        <v>4315</v>
      </c>
      <c r="T1" t="s">
        <v>4316</v>
      </c>
      <c r="U1" t="s">
        <v>4317</v>
      </c>
      <c r="V1" t="s">
        <v>4318</v>
      </c>
      <c r="W1" t="s">
        <v>4319</v>
      </c>
      <c r="X1" t="s">
        <v>4320</v>
      </c>
      <c r="Y1" t="s">
        <v>4321</v>
      </c>
      <c r="Z1" t="s">
        <v>4322</v>
      </c>
      <c r="AA1" t="s">
        <v>4323</v>
      </c>
      <c r="AB1" t="s">
        <v>4324</v>
      </c>
      <c r="AC1" t="s">
        <v>4325</v>
      </c>
      <c r="AD1" t="s">
        <v>4326</v>
      </c>
      <c r="AE1" t="s">
        <v>4327</v>
      </c>
      <c r="AF1" t="s">
        <v>4328</v>
      </c>
      <c r="AG1" t="s">
        <v>4329</v>
      </c>
      <c r="AH1" t="s">
        <v>4330</v>
      </c>
      <c r="AI1" t="s">
        <v>4331</v>
      </c>
      <c r="AJ1" t="s">
        <v>4332</v>
      </c>
      <c r="AK1" t="s">
        <v>4333</v>
      </c>
      <c r="AL1" t="s">
        <v>4334</v>
      </c>
      <c r="AM1" t="s">
        <v>4335</v>
      </c>
      <c r="AN1" t="s">
        <v>4336</v>
      </c>
      <c r="AO1" t="s">
        <v>4337</v>
      </c>
      <c r="AP1" t="s">
        <v>4338</v>
      </c>
      <c r="AQ1" t="s">
        <v>4339</v>
      </c>
      <c r="AR1" t="s">
        <v>4340</v>
      </c>
      <c r="AS1" t="s">
        <v>4341</v>
      </c>
      <c r="AT1" t="s">
        <v>4342</v>
      </c>
      <c r="AU1" t="s">
        <v>4343</v>
      </c>
      <c r="AV1" t="s">
        <v>4344</v>
      </c>
      <c r="AW1" t="s">
        <v>4345</v>
      </c>
      <c r="AX1" t="s">
        <v>4346</v>
      </c>
      <c r="AY1" t="s">
        <v>4347</v>
      </c>
      <c r="AZ1" t="s">
        <v>4348</v>
      </c>
      <c r="BA1" t="s">
        <v>4349</v>
      </c>
      <c r="BB1" t="s">
        <v>4350</v>
      </c>
      <c r="BC1" t="s">
        <v>4351</v>
      </c>
      <c r="BD1" t="s">
        <v>4352</v>
      </c>
      <c r="BE1" t="s">
        <v>4353</v>
      </c>
      <c r="BF1" t="s">
        <v>4354</v>
      </c>
      <c r="BG1" t="s">
        <v>4355</v>
      </c>
      <c r="BH1" t="s">
        <v>4356</v>
      </c>
      <c r="BI1" t="s">
        <v>4357</v>
      </c>
      <c r="BJ1" t="s">
        <v>4358</v>
      </c>
      <c r="BK1" t="s">
        <v>4359</v>
      </c>
      <c r="BL1" t="s">
        <v>4360</v>
      </c>
      <c r="BM1" t="s">
        <v>4361</v>
      </c>
      <c r="BN1" t="s">
        <v>4362</v>
      </c>
      <c r="BO1" t="s">
        <v>4363</v>
      </c>
      <c r="BP1" t="s">
        <v>4364</v>
      </c>
      <c r="BQ1" t="s">
        <v>4365</v>
      </c>
      <c r="BR1" t="s">
        <v>4366</v>
      </c>
      <c r="BS1" t="s">
        <v>4367</v>
      </c>
      <c r="BT1" t="s">
        <v>4368</v>
      </c>
      <c r="BU1" t="s">
        <v>4369</v>
      </c>
      <c r="BV1" t="s">
        <v>4370</v>
      </c>
      <c r="BW1" t="s">
        <v>4371</v>
      </c>
      <c r="BX1" t="s">
        <v>4372</v>
      </c>
      <c r="BY1" t="s">
        <v>4373</v>
      </c>
      <c r="BZ1" t="s">
        <v>4374</v>
      </c>
      <c r="CA1" t="s">
        <v>4375</v>
      </c>
      <c r="CB1" t="s">
        <v>4376</v>
      </c>
      <c r="CC1" t="s">
        <v>4377</v>
      </c>
      <c r="CD1" t="s">
        <v>4378</v>
      </c>
      <c r="CE1" t="s">
        <v>4379</v>
      </c>
      <c r="CF1" t="s">
        <v>4380</v>
      </c>
      <c r="CG1" t="s">
        <v>4381</v>
      </c>
      <c r="CH1" t="s">
        <v>4382</v>
      </c>
      <c r="CI1" t="s">
        <v>4383</v>
      </c>
      <c r="CJ1" t="s">
        <v>4384</v>
      </c>
      <c r="CK1" t="s">
        <v>4385</v>
      </c>
      <c r="CL1" t="s">
        <v>4386</v>
      </c>
      <c r="CM1" t="s">
        <v>4387</v>
      </c>
      <c r="CN1" t="s">
        <v>4388</v>
      </c>
      <c r="CO1" t="s">
        <v>4389</v>
      </c>
      <c r="CP1" t="s">
        <v>4390</v>
      </c>
      <c r="CQ1" t="s">
        <v>4391</v>
      </c>
      <c r="CR1" t="s">
        <v>4392</v>
      </c>
      <c r="CS1" t="s">
        <v>4393</v>
      </c>
      <c r="CT1" t="s">
        <v>4394</v>
      </c>
      <c r="CU1" t="s">
        <v>4395</v>
      </c>
      <c r="CV1" t="s">
        <v>4396</v>
      </c>
      <c r="CW1" t="s">
        <v>4397</v>
      </c>
      <c r="CX1" t="s">
        <v>4398</v>
      </c>
      <c r="CY1" t="s">
        <v>4399</v>
      </c>
      <c r="CZ1" t="s">
        <v>4400</v>
      </c>
      <c r="DA1" t="s">
        <v>4401</v>
      </c>
      <c r="DB1" t="s">
        <v>4402</v>
      </c>
      <c r="DC1" t="s">
        <v>4403</v>
      </c>
      <c r="DD1" t="s">
        <v>4404</v>
      </c>
      <c r="DE1" t="s">
        <v>4405</v>
      </c>
      <c r="DF1" t="s">
        <v>4406</v>
      </c>
      <c r="DG1" t="s">
        <v>4407</v>
      </c>
      <c r="DH1" t="s">
        <v>4408</v>
      </c>
      <c r="DI1" t="s">
        <v>4409</v>
      </c>
      <c r="DJ1" t="s">
        <v>4410</v>
      </c>
      <c r="DK1" t="s">
        <v>4411</v>
      </c>
      <c r="DL1" t="s">
        <v>4412</v>
      </c>
      <c r="DM1" t="s">
        <v>4413</v>
      </c>
      <c r="DN1" t="s">
        <v>4414</v>
      </c>
      <c r="DO1" t="s">
        <v>4415</v>
      </c>
      <c r="DP1" t="s">
        <v>4416</v>
      </c>
      <c r="DQ1" t="s">
        <v>4417</v>
      </c>
      <c r="DR1" t="s">
        <v>4418</v>
      </c>
      <c r="DS1" t="s">
        <v>4419</v>
      </c>
      <c r="DT1" t="s">
        <v>4420</v>
      </c>
      <c r="DU1" t="s">
        <v>4421</v>
      </c>
      <c r="DV1" t="s">
        <v>4422</v>
      </c>
      <c r="DW1" t="s">
        <v>4423</v>
      </c>
      <c r="DX1" t="s">
        <v>4424</v>
      </c>
      <c r="DY1" t="s">
        <v>4425</v>
      </c>
      <c r="DZ1" t="s">
        <v>4426</v>
      </c>
      <c r="EA1" t="s">
        <v>4427</v>
      </c>
      <c r="EB1" t="s">
        <v>4428</v>
      </c>
      <c r="EC1" t="s">
        <v>4429</v>
      </c>
      <c r="ED1" t="s">
        <v>4430</v>
      </c>
      <c r="EE1" t="s">
        <v>4431</v>
      </c>
      <c r="EF1" t="s">
        <v>4432</v>
      </c>
      <c r="EG1" t="s">
        <v>4433</v>
      </c>
      <c r="EH1" t="s">
        <v>4434</v>
      </c>
      <c r="EI1" t="s">
        <v>4435</v>
      </c>
      <c r="EJ1" t="s">
        <v>4436</v>
      </c>
      <c r="EK1" t="s">
        <v>4437</v>
      </c>
      <c r="EL1" t="s">
        <v>4438</v>
      </c>
      <c r="EM1" t="s">
        <v>4439</v>
      </c>
      <c r="EN1" t="s">
        <v>4440</v>
      </c>
      <c r="EO1" t="s">
        <v>4441</v>
      </c>
      <c r="EP1" t="s">
        <v>4442</v>
      </c>
      <c r="EQ1" t="s">
        <v>4443</v>
      </c>
      <c r="ER1" t="s">
        <v>4444</v>
      </c>
      <c r="ES1" t="s">
        <v>4445</v>
      </c>
      <c r="ET1" t="s">
        <v>4446</v>
      </c>
      <c r="EU1" t="s">
        <v>4447</v>
      </c>
      <c r="EV1" t="s">
        <v>4448</v>
      </c>
      <c r="EW1" t="s">
        <v>4449</v>
      </c>
      <c r="EX1" t="s">
        <v>4450</v>
      </c>
      <c r="EY1" t="s">
        <v>4451</v>
      </c>
      <c r="EZ1" t="s">
        <v>4452</v>
      </c>
      <c r="FA1" t="s">
        <v>4453</v>
      </c>
      <c r="FB1" t="s">
        <v>4454</v>
      </c>
      <c r="FC1" t="s">
        <v>4455</v>
      </c>
      <c r="FD1" t="s">
        <v>4456</v>
      </c>
      <c r="FE1" t="s">
        <v>4457</v>
      </c>
      <c r="FF1" t="s">
        <v>4458</v>
      </c>
      <c r="FG1" t="s">
        <v>4459</v>
      </c>
      <c r="FH1" t="s">
        <v>4460</v>
      </c>
      <c r="FI1" t="s">
        <v>4461</v>
      </c>
      <c r="FJ1" t="s">
        <v>4462</v>
      </c>
      <c r="FK1" t="s">
        <v>4463</v>
      </c>
      <c r="FL1" t="s">
        <v>4464</v>
      </c>
      <c r="FM1" t="s">
        <v>4465</v>
      </c>
      <c r="FN1" t="s">
        <v>4466</v>
      </c>
      <c r="FO1" t="s">
        <v>4467</v>
      </c>
    </row>
    <row r="2" spans="1:171" x14ac:dyDescent="0.3">
      <c r="A2">
        <v>208</v>
      </c>
      <c r="B2" t="s">
        <v>707</v>
      </c>
      <c r="C2" t="s">
        <v>251</v>
      </c>
      <c r="D2" t="s">
        <v>73</v>
      </c>
      <c r="E2" t="s">
        <v>56</v>
      </c>
      <c r="F2" s="30">
        <v>44592</v>
      </c>
      <c r="G2" t="s">
        <v>709</v>
      </c>
      <c r="H2" t="s">
        <v>4468</v>
      </c>
      <c r="I2">
        <v>1700</v>
      </c>
      <c r="J2">
        <v>451</v>
      </c>
      <c r="K2">
        <v>451</v>
      </c>
    </row>
    <row r="3" spans="1:171" x14ac:dyDescent="0.3">
      <c r="A3">
        <v>208</v>
      </c>
      <c r="B3" t="s">
        <v>707</v>
      </c>
      <c r="C3" t="s">
        <v>251</v>
      </c>
      <c r="D3" t="s">
        <v>73</v>
      </c>
      <c r="E3" t="s">
        <v>56</v>
      </c>
      <c r="F3" s="30">
        <v>44592</v>
      </c>
      <c r="G3" t="s">
        <v>709</v>
      </c>
      <c r="H3" t="s">
        <v>4469</v>
      </c>
      <c r="I3">
        <v>1700</v>
      </c>
      <c r="J3">
        <v>203</v>
      </c>
      <c r="K3">
        <v>203</v>
      </c>
    </row>
    <row r="4" spans="1:171" x14ac:dyDescent="0.3">
      <c r="A4">
        <v>214</v>
      </c>
      <c r="B4" t="s">
        <v>774</v>
      </c>
      <c r="C4" t="s">
        <v>251</v>
      </c>
      <c r="D4" t="s">
        <v>73</v>
      </c>
      <c r="E4" t="s">
        <v>56</v>
      </c>
      <c r="F4" s="30">
        <v>44592</v>
      </c>
      <c r="G4" t="s">
        <v>776</v>
      </c>
      <c r="H4" t="s">
        <v>4468</v>
      </c>
      <c r="I4">
        <v>7500</v>
      </c>
      <c r="J4">
        <v>777</v>
      </c>
      <c r="L4">
        <v>663</v>
      </c>
      <c r="M4">
        <v>114</v>
      </c>
    </row>
    <row r="5" spans="1:171" x14ac:dyDescent="0.3">
      <c r="A5">
        <v>218</v>
      </c>
      <c r="B5" t="s">
        <v>888</v>
      </c>
      <c r="C5" t="s">
        <v>251</v>
      </c>
      <c r="D5" t="s">
        <v>73</v>
      </c>
      <c r="E5" t="s">
        <v>56</v>
      </c>
      <c r="F5" s="30">
        <v>44592</v>
      </c>
      <c r="G5" t="s">
        <v>890</v>
      </c>
      <c r="H5" t="s">
        <v>4468</v>
      </c>
      <c r="I5">
        <v>172000</v>
      </c>
      <c r="J5">
        <v>51981</v>
      </c>
      <c r="N5">
        <v>51981.5</v>
      </c>
    </row>
    <row r="6" spans="1:171" x14ac:dyDescent="0.3">
      <c r="A6">
        <v>218</v>
      </c>
      <c r="B6" t="s">
        <v>888</v>
      </c>
      <c r="C6" t="s">
        <v>251</v>
      </c>
      <c r="D6" t="s">
        <v>73</v>
      </c>
      <c r="E6" t="s">
        <v>56</v>
      </c>
      <c r="F6" s="30">
        <v>44592</v>
      </c>
      <c r="G6" t="s">
        <v>890</v>
      </c>
      <c r="H6" t="s">
        <v>4470</v>
      </c>
      <c r="I6">
        <v>172000</v>
      </c>
      <c r="J6">
        <v>10260</v>
      </c>
      <c r="N6">
        <v>10260</v>
      </c>
    </row>
    <row r="7" spans="1:171" x14ac:dyDescent="0.3">
      <c r="A7">
        <v>218</v>
      </c>
      <c r="B7" t="s">
        <v>888</v>
      </c>
      <c r="C7" t="s">
        <v>251</v>
      </c>
      <c r="D7" t="s">
        <v>73</v>
      </c>
      <c r="E7" t="s">
        <v>56</v>
      </c>
      <c r="F7" s="30">
        <v>44592</v>
      </c>
      <c r="G7" t="s">
        <v>890</v>
      </c>
      <c r="H7" t="s">
        <v>4469</v>
      </c>
      <c r="I7">
        <v>172000</v>
      </c>
      <c r="J7">
        <v>15328</v>
      </c>
      <c r="N7">
        <v>15328</v>
      </c>
    </row>
    <row r="8" spans="1:171" x14ac:dyDescent="0.3">
      <c r="A8">
        <v>208</v>
      </c>
      <c r="B8" t="s">
        <v>707</v>
      </c>
      <c r="C8" t="s">
        <v>251</v>
      </c>
      <c r="D8" t="s">
        <v>73</v>
      </c>
      <c r="E8" t="s">
        <v>56</v>
      </c>
      <c r="F8" s="30">
        <v>44620</v>
      </c>
      <c r="G8" t="s">
        <v>710</v>
      </c>
      <c r="H8" t="s">
        <v>4468</v>
      </c>
      <c r="I8">
        <v>1700</v>
      </c>
      <c r="J8">
        <v>701</v>
      </c>
      <c r="K8">
        <v>701</v>
      </c>
    </row>
    <row r="9" spans="1:171" x14ac:dyDescent="0.3">
      <c r="A9">
        <v>208</v>
      </c>
      <c r="B9" t="s">
        <v>707</v>
      </c>
      <c r="C9" t="s">
        <v>251</v>
      </c>
      <c r="D9" t="s">
        <v>73</v>
      </c>
      <c r="E9" t="s">
        <v>56</v>
      </c>
      <c r="F9" s="30">
        <v>44620</v>
      </c>
      <c r="G9" t="s">
        <v>710</v>
      </c>
      <c r="H9" t="s">
        <v>4470</v>
      </c>
      <c r="I9">
        <v>1700</v>
      </c>
      <c r="J9">
        <v>156.5</v>
      </c>
      <c r="K9">
        <v>156.5</v>
      </c>
    </row>
    <row r="10" spans="1:171" x14ac:dyDescent="0.3">
      <c r="A10">
        <v>208</v>
      </c>
      <c r="B10" t="s">
        <v>707</v>
      </c>
      <c r="C10" t="s">
        <v>251</v>
      </c>
      <c r="D10" t="s">
        <v>73</v>
      </c>
      <c r="E10" t="s">
        <v>56</v>
      </c>
      <c r="F10" s="30">
        <v>44620</v>
      </c>
      <c r="G10" t="s">
        <v>710</v>
      </c>
      <c r="H10" t="s">
        <v>4469</v>
      </c>
      <c r="I10">
        <v>1700</v>
      </c>
      <c r="J10">
        <v>58</v>
      </c>
      <c r="K10">
        <v>58</v>
      </c>
    </row>
    <row r="11" spans="1:171" x14ac:dyDescent="0.3">
      <c r="A11">
        <v>214</v>
      </c>
      <c r="B11" t="s">
        <v>774</v>
      </c>
      <c r="C11" t="s">
        <v>251</v>
      </c>
      <c r="D11" t="s">
        <v>73</v>
      </c>
      <c r="E11" t="s">
        <v>56</v>
      </c>
      <c r="F11" s="30">
        <v>44620</v>
      </c>
      <c r="G11" t="s">
        <v>777</v>
      </c>
      <c r="H11" t="s">
        <v>4468</v>
      </c>
      <c r="I11">
        <v>7500</v>
      </c>
      <c r="J11">
        <v>992</v>
      </c>
      <c r="L11">
        <v>714</v>
      </c>
      <c r="M11">
        <v>278</v>
      </c>
    </row>
    <row r="12" spans="1:171" x14ac:dyDescent="0.3">
      <c r="A12">
        <v>218</v>
      </c>
      <c r="B12" t="s">
        <v>888</v>
      </c>
      <c r="C12" t="s">
        <v>251</v>
      </c>
      <c r="D12" t="s">
        <v>73</v>
      </c>
      <c r="E12" t="s">
        <v>56</v>
      </c>
      <c r="F12" s="30">
        <v>44620</v>
      </c>
      <c r="G12" t="s">
        <v>891</v>
      </c>
      <c r="H12" t="s">
        <v>4468</v>
      </c>
      <c r="I12">
        <v>172000</v>
      </c>
      <c r="J12">
        <v>65370</v>
      </c>
      <c r="N12">
        <v>65370.5</v>
      </c>
    </row>
    <row r="13" spans="1:171" x14ac:dyDescent="0.3">
      <c r="A13">
        <v>218</v>
      </c>
      <c r="B13" t="s">
        <v>888</v>
      </c>
      <c r="C13" t="s">
        <v>251</v>
      </c>
      <c r="D13" t="s">
        <v>73</v>
      </c>
      <c r="E13" t="s">
        <v>56</v>
      </c>
      <c r="F13" s="30">
        <v>44620</v>
      </c>
      <c r="G13" t="s">
        <v>891</v>
      </c>
      <c r="H13" t="s">
        <v>4470</v>
      </c>
      <c r="I13">
        <v>172000</v>
      </c>
      <c r="J13">
        <v>13680</v>
      </c>
      <c r="N13">
        <v>13680</v>
      </c>
    </row>
    <row r="14" spans="1:171" x14ac:dyDescent="0.3">
      <c r="A14">
        <v>218</v>
      </c>
      <c r="B14" t="s">
        <v>888</v>
      </c>
      <c r="C14" t="s">
        <v>251</v>
      </c>
      <c r="D14" t="s">
        <v>73</v>
      </c>
      <c r="E14" t="s">
        <v>56</v>
      </c>
      <c r="F14" s="30">
        <v>44620</v>
      </c>
      <c r="G14" t="s">
        <v>891</v>
      </c>
      <c r="H14" t="s">
        <v>4469</v>
      </c>
      <c r="I14">
        <v>172000</v>
      </c>
      <c r="J14">
        <v>9496</v>
      </c>
      <c r="N14">
        <v>9496</v>
      </c>
    </row>
    <row r="15" spans="1:171" x14ac:dyDescent="0.3">
      <c r="A15">
        <v>208</v>
      </c>
      <c r="B15" t="s">
        <v>707</v>
      </c>
      <c r="C15" t="s">
        <v>251</v>
      </c>
      <c r="D15" t="s">
        <v>73</v>
      </c>
      <c r="E15" t="s">
        <v>56</v>
      </c>
      <c r="F15" s="30">
        <v>44651</v>
      </c>
      <c r="G15" t="s">
        <v>711</v>
      </c>
      <c r="H15" t="s">
        <v>4468</v>
      </c>
      <c r="I15">
        <v>1700</v>
      </c>
      <c r="J15">
        <v>473</v>
      </c>
      <c r="K15">
        <v>473</v>
      </c>
    </row>
    <row r="16" spans="1:171" x14ac:dyDescent="0.3">
      <c r="A16">
        <v>208</v>
      </c>
      <c r="B16" t="s">
        <v>707</v>
      </c>
      <c r="C16" t="s">
        <v>251</v>
      </c>
      <c r="D16" t="s">
        <v>73</v>
      </c>
      <c r="E16" t="s">
        <v>56</v>
      </c>
      <c r="F16" s="30">
        <v>44651</v>
      </c>
      <c r="G16" t="s">
        <v>711</v>
      </c>
      <c r="H16" t="s">
        <v>4470</v>
      </c>
      <c r="I16">
        <v>1700</v>
      </c>
      <c r="J16">
        <v>156.5</v>
      </c>
      <c r="K16">
        <v>156.5</v>
      </c>
    </row>
    <row r="17" spans="1:14" x14ac:dyDescent="0.3">
      <c r="A17">
        <v>208</v>
      </c>
      <c r="B17" t="s">
        <v>707</v>
      </c>
      <c r="C17" t="s">
        <v>251</v>
      </c>
      <c r="D17" t="s">
        <v>73</v>
      </c>
      <c r="E17" t="s">
        <v>56</v>
      </c>
      <c r="F17" s="30">
        <v>44651</v>
      </c>
      <c r="G17" t="s">
        <v>711</v>
      </c>
      <c r="H17" t="s">
        <v>4469</v>
      </c>
      <c r="I17">
        <v>1700</v>
      </c>
      <c r="J17">
        <v>153</v>
      </c>
      <c r="K17">
        <v>153</v>
      </c>
    </row>
    <row r="18" spans="1:14" x14ac:dyDescent="0.3">
      <c r="A18">
        <v>214</v>
      </c>
      <c r="B18" t="s">
        <v>774</v>
      </c>
      <c r="C18" t="s">
        <v>251</v>
      </c>
      <c r="D18" t="s">
        <v>73</v>
      </c>
      <c r="E18" t="s">
        <v>56</v>
      </c>
      <c r="F18" s="30">
        <v>44651</v>
      </c>
      <c r="G18" t="s">
        <v>778</v>
      </c>
      <c r="H18" t="s">
        <v>4468</v>
      </c>
      <c r="I18">
        <v>7500</v>
      </c>
      <c r="J18">
        <v>1233</v>
      </c>
      <c r="L18">
        <v>731</v>
      </c>
      <c r="M18">
        <v>502</v>
      </c>
    </row>
    <row r="19" spans="1:14" x14ac:dyDescent="0.3">
      <c r="A19">
        <v>218</v>
      </c>
      <c r="B19" t="s">
        <v>888</v>
      </c>
      <c r="C19" t="s">
        <v>251</v>
      </c>
      <c r="D19" t="s">
        <v>73</v>
      </c>
      <c r="E19" t="s">
        <v>56</v>
      </c>
      <c r="F19" s="30">
        <v>44651</v>
      </c>
      <c r="G19" t="s">
        <v>892</v>
      </c>
      <c r="H19" t="s">
        <v>4468</v>
      </c>
      <c r="I19">
        <v>172000</v>
      </c>
      <c r="J19">
        <v>75093</v>
      </c>
      <c r="N19">
        <v>75093.5</v>
      </c>
    </row>
    <row r="20" spans="1:14" x14ac:dyDescent="0.3">
      <c r="A20">
        <v>218</v>
      </c>
      <c r="B20" t="s">
        <v>888</v>
      </c>
      <c r="C20" t="s">
        <v>251</v>
      </c>
      <c r="D20" t="s">
        <v>73</v>
      </c>
      <c r="E20" t="s">
        <v>56</v>
      </c>
      <c r="F20" s="30">
        <v>44651</v>
      </c>
      <c r="G20" t="s">
        <v>892</v>
      </c>
      <c r="H20" t="s">
        <v>4470</v>
      </c>
      <c r="I20">
        <v>172000</v>
      </c>
      <c r="J20">
        <v>13110</v>
      </c>
      <c r="N20">
        <v>13110</v>
      </c>
    </row>
    <row r="21" spans="1:14" x14ac:dyDescent="0.3">
      <c r="A21">
        <v>218</v>
      </c>
      <c r="B21" t="s">
        <v>888</v>
      </c>
      <c r="C21" t="s">
        <v>251</v>
      </c>
      <c r="D21" t="s">
        <v>73</v>
      </c>
      <c r="E21" t="s">
        <v>56</v>
      </c>
      <c r="F21" s="30">
        <v>44651</v>
      </c>
      <c r="G21" t="s">
        <v>892</v>
      </c>
      <c r="H21" t="s">
        <v>4469</v>
      </c>
      <c r="I21">
        <v>172000</v>
      </c>
      <c r="J21">
        <v>22508</v>
      </c>
      <c r="N21">
        <v>22508</v>
      </c>
    </row>
    <row r="22" spans="1:14" x14ac:dyDescent="0.3">
      <c r="A22">
        <v>208</v>
      </c>
      <c r="B22" t="s">
        <v>707</v>
      </c>
      <c r="C22" t="s">
        <v>251</v>
      </c>
      <c r="D22" t="s">
        <v>73</v>
      </c>
      <c r="E22" t="s">
        <v>56</v>
      </c>
      <c r="F22" s="30">
        <v>44681</v>
      </c>
      <c r="G22" t="s">
        <v>712</v>
      </c>
      <c r="H22" t="s">
        <v>4468</v>
      </c>
      <c r="I22">
        <v>1700</v>
      </c>
      <c r="J22">
        <v>842</v>
      </c>
      <c r="K22">
        <v>842</v>
      </c>
    </row>
    <row r="23" spans="1:14" x14ac:dyDescent="0.3">
      <c r="A23">
        <v>208</v>
      </c>
      <c r="B23" t="s">
        <v>707</v>
      </c>
      <c r="C23" t="s">
        <v>251</v>
      </c>
      <c r="D23" t="s">
        <v>73</v>
      </c>
      <c r="E23" t="s">
        <v>56</v>
      </c>
      <c r="F23" s="30">
        <v>44681</v>
      </c>
      <c r="G23" t="s">
        <v>712</v>
      </c>
      <c r="H23" t="s">
        <v>4470</v>
      </c>
      <c r="I23">
        <v>1700</v>
      </c>
      <c r="J23">
        <v>277</v>
      </c>
      <c r="K23">
        <v>277</v>
      </c>
    </row>
    <row r="24" spans="1:14" x14ac:dyDescent="0.3">
      <c r="A24">
        <v>208</v>
      </c>
      <c r="B24" t="s">
        <v>707</v>
      </c>
      <c r="C24" t="s">
        <v>251</v>
      </c>
      <c r="D24" t="s">
        <v>73</v>
      </c>
      <c r="E24" t="s">
        <v>56</v>
      </c>
      <c r="F24" s="30">
        <v>44681</v>
      </c>
      <c r="G24" t="s">
        <v>712</v>
      </c>
      <c r="H24" t="s">
        <v>4469</v>
      </c>
      <c r="I24">
        <v>1700</v>
      </c>
      <c r="J24">
        <v>177</v>
      </c>
      <c r="K24">
        <v>177</v>
      </c>
    </row>
    <row r="25" spans="1:14" x14ac:dyDescent="0.3">
      <c r="A25">
        <v>214</v>
      </c>
      <c r="B25" t="s">
        <v>774</v>
      </c>
      <c r="C25" t="s">
        <v>251</v>
      </c>
      <c r="D25" t="s">
        <v>73</v>
      </c>
      <c r="E25" t="s">
        <v>56</v>
      </c>
      <c r="F25" s="30">
        <v>44681</v>
      </c>
      <c r="G25" t="s">
        <v>779</v>
      </c>
      <c r="H25" t="s">
        <v>4468</v>
      </c>
      <c r="I25">
        <v>7500</v>
      </c>
      <c r="J25">
        <v>1176</v>
      </c>
      <c r="L25">
        <v>736</v>
      </c>
      <c r="M25">
        <v>440</v>
      </c>
    </row>
    <row r="26" spans="1:14" x14ac:dyDescent="0.3">
      <c r="A26">
        <v>218</v>
      </c>
      <c r="B26" t="s">
        <v>888</v>
      </c>
      <c r="C26" t="s">
        <v>251</v>
      </c>
      <c r="D26" t="s">
        <v>73</v>
      </c>
      <c r="E26" t="s">
        <v>56</v>
      </c>
      <c r="F26" s="30">
        <v>44681</v>
      </c>
      <c r="G26" t="s">
        <v>893</v>
      </c>
      <c r="H26" t="s">
        <v>4468</v>
      </c>
      <c r="I26">
        <v>172000</v>
      </c>
      <c r="J26">
        <v>63239</v>
      </c>
      <c r="N26">
        <v>63239.3</v>
      </c>
    </row>
    <row r="27" spans="1:14" x14ac:dyDescent="0.3">
      <c r="A27">
        <v>218</v>
      </c>
      <c r="B27" t="s">
        <v>888</v>
      </c>
      <c r="C27" t="s">
        <v>251</v>
      </c>
      <c r="D27" t="s">
        <v>73</v>
      </c>
      <c r="E27" t="s">
        <v>56</v>
      </c>
      <c r="F27" s="30">
        <v>44681</v>
      </c>
      <c r="G27" t="s">
        <v>893</v>
      </c>
      <c r="H27" t="s">
        <v>4470</v>
      </c>
      <c r="I27">
        <v>172000</v>
      </c>
      <c r="J27">
        <v>13110</v>
      </c>
      <c r="N27">
        <v>13110</v>
      </c>
    </row>
    <row r="28" spans="1:14" x14ac:dyDescent="0.3">
      <c r="A28">
        <v>218</v>
      </c>
      <c r="B28" t="s">
        <v>888</v>
      </c>
      <c r="C28" t="s">
        <v>251</v>
      </c>
      <c r="D28" t="s">
        <v>73</v>
      </c>
      <c r="E28" t="s">
        <v>56</v>
      </c>
      <c r="F28" s="30">
        <v>44681</v>
      </c>
      <c r="G28" t="s">
        <v>893</v>
      </c>
      <c r="H28" t="s">
        <v>4469</v>
      </c>
      <c r="I28">
        <v>172000</v>
      </c>
      <c r="J28">
        <v>28801</v>
      </c>
      <c r="N28">
        <v>28801</v>
      </c>
    </row>
    <row r="29" spans="1:14" x14ac:dyDescent="0.3">
      <c r="A29">
        <v>208</v>
      </c>
      <c r="B29" t="s">
        <v>707</v>
      </c>
      <c r="C29" t="s">
        <v>251</v>
      </c>
      <c r="D29" t="s">
        <v>73</v>
      </c>
      <c r="E29" t="s">
        <v>56</v>
      </c>
      <c r="F29" s="30">
        <v>44712</v>
      </c>
      <c r="G29" t="s">
        <v>713</v>
      </c>
      <c r="H29" t="s">
        <v>4468</v>
      </c>
      <c r="I29">
        <v>1700</v>
      </c>
      <c r="J29">
        <v>866</v>
      </c>
      <c r="K29">
        <v>866</v>
      </c>
    </row>
    <row r="30" spans="1:14" x14ac:dyDescent="0.3">
      <c r="A30">
        <v>208</v>
      </c>
      <c r="B30" t="s">
        <v>707</v>
      </c>
      <c r="C30" t="s">
        <v>251</v>
      </c>
      <c r="D30" t="s">
        <v>73</v>
      </c>
      <c r="E30" t="s">
        <v>56</v>
      </c>
      <c r="F30" s="30">
        <v>44712</v>
      </c>
      <c r="G30" t="s">
        <v>713</v>
      </c>
      <c r="H30" t="s">
        <v>4470</v>
      </c>
      <c r="I30">
        <v>1700</v>
      </c>
      <c r="J30">
        <v>277</v>
      </c>
      <c r="K30">
        <v>277</v>
      </c>
    </row>
    <row r="31" spans="1:14" x14ac:dyDescent="0.3">
      <c r="A31">
        <v>208</v>
      </c>
      <c r="B31" t="s">
        <v>707</v>
      </c>
      <c r="C31" t="s">
        <v>251</v>
      </c>
      <c r="D31" t="s">
        <v>73</v>
      </c>
      <c r="E31" t="s">
        <v>56</v>
      </c>
      <c r="F31" s="30">
        <v>44712</v>
      </c>
      <c r="G31" t="s">
        <v>713</v>
      </c>
      <c r="H31" t="s">
        <v>4469</v>
      </c>
      <c r="I31">
        <v>1700</v>
      </c>
      <c r="J31">
        <v>108</v>
      </c>
      <c r="K31">
        <v>108</v>
      </c>
    </row>
    <row r="32" spans="1:14" x14ac:dyDescent="0.3">
      <c r="A32">
        <v>214</v>
      </c>
      <c r="B32" t="s">
        <v>774</v>
      </c>
      <c r="C32" t="s">
        <v>251</v>
      </c>
      <c r="D32" t="s">
        <v>73</v>
      </c>
      <c r="E32" t="s">
        <v>56</v>
      </c>
      <c r="F32" s="30">
        <v>44712</v>
      </c>
      <c r="G32" t="s">
        <v>780</v>
      </c>
      <c r="H32" t="s">
        <v>4468</v>
      </c>
      <c r="I32">
        <v>7500</v>
      </c>
      <c r="J32">
        <v>811</v>
      </c>
      <c r="L32">
        <v>694</v>
      </c>
      <c r="M32">
        <v>117</v>
      </c>
    </row>
    <row r="33" spans="1:26" x14ac:dyDescent="0.3">
      <c r="A33">
        <v>218</v>
      </c>
      <c r="B33" t="s">
        <v>888</v>
      </c>
      <c r="C33" t="s">
        <v>251</v>
      </c>
      <c r="D33" t="s">
        <v>73</v>
      </c>
      <c r="E33" t="s">
        <v>56</v>
      </c>
      <c r="F33" s="30">
        <v>44712</v>
      </c>
      <c r="G33" t="s">
        <v>894</v>
      </c>
      <c r="H33" t="s">
        <v>4468</v>
      </c>
      <c r="I33">
        <v>172000</v>
      </c>
      <c r="J33">
        <v>74261</v>
      </c>
      <c r="N33">
        <v>74261</v>
      </c>
    </row>
    <row r="34" spans="1:26" x14ac:dyDescent="0.3">
      <c r="A34">
        <v>218</v>
      </c>
      <c r="B34" t="s">
        <v>888</v>
      </c>
      <c r="C34" t="s">
        <v>251</v>
      </c>
      <c r="D34" t="s">
        <v>73</v>
      </c>
      <c r="E34" t="s">
        <v>56</v>
      </c>
      <c r="F34" s="30">
        <v>44712</v>
      </c>
      <c r="G34" t="s">
        <v>894</v>
      </c>
      <c r="H34" t="s">
        <v>4470</v>
      </c>
      <c r="I34">
        <v>172000</v>
      </c>
      <c r="J34">
        <v>11970</v>
      </c>
      <c r="N34">
        <v>11970</v>
      </c>
    </row>
    <row r="35" spans="1:26" x14ac:dyDescent="0.3">
      <c r="A35">
        <v>218</v>
      </c>
      <c r="B35" t="s">
        <v>888</v>
      </c>
      <c r="C35" t="s">
        <v>251</v>
      </c>
      <c r="D35" t="s">
        <v>73</v>
      </c>
      <c r="E35" t="s">
        <v>56</v>
      </c>
      <c r="F35" s="30">
        <v>44712</v>
      </c>
      <c r="G35" t="s">
        <v>894</v>
      </c>
      <c r="H35" t="s">
        <v>4469</v>
      </c>
      <c r="I35">
        <v>172000</v>
      </c>
      <c r="J35">
        <v>24585</v>
      </c>
      <c r="N35">
        <v>24585</v>
      </c>
    </row>
    <row r="36" spans="1:26" x14ac:dyDescent="0.3">
      <c r="A36">
        <v>208</v>
      </c>
      <c r="B36" t="s">
        <v>707</v>
      </c>
      <c r="C36" t="s">
        <v>251</v>
      </c>
      <c r="D36" t="s">
        <v>73</v>
      </c>
      <c r="E36" t="s">
        <v>56</v>
      </c>
      <c r="F36" s="30">
        <v>44742</v>
      </c>
      <c r="G36" t="s">
        <v>714</v>
      </c>
      <c r="H36" t="s">
        <v>4468</v>
      </c>
      <c r="I36">
        <v>1700</v>
      </c>
      <c r="J36">
        <v>734</v>
      </c>
      <c r="K36">
        <v>734</v>
      </c>
    </row>
    <row r="37" spans="1:26" x14ac:dyDescent="0.3">
      <c r="A37">
        <v>208</v>
      </c>
      <c r="B37" t="s">
        <v>707</v>
      </c>
      <c r="C37" t="s">
        <v>251</v>
      </c>
      <c r="D37" t="s">
        <v>73</v>
      </c>
      <c r="E37" t="s">
        <v>56</v>
      </c>
      <c r="F37" s="30">
        <v>44742</v>
      </c>
      <c r="G37" t="s">
        <v>714</v>
      </c>
      <c r="H37" t="s">
        <v>4470</v>
      </c>
      <c r="I37">
        <v>1700</v>
      </c>
      <c r="J37">
        <v>355.5</v>
      </c>
      <c r="K37">
        <v>355.5</v>
      </c>
    </row>
    <row r="38" spans="1:26" x14ac:dyDescent="0.3">
      <c r="A38">
        <v>208</v>
      </c>
      <c r="B38" t="s">
        <v>707</v>
      </c>
      <c r="C38" t="s">
        <v>251</v>
      </c>
      <c r="D38" t="s">
        <v>73</v>
      </c>
      <c r="E38" t="s">
        <v>56</v>
      </c>
      <c r="F38" s="30">
        <v>44742</v>
      </c>
      <c r="G38" t="s">
        <v>714</v>
      </c>
      <c r="H38" t="s">
        <v>4469</v>
      </c>
      <c r="I38">
        <v>1700</v>
      </c>
      <c r="J38">
        <v>140</v>
      </c>
      <c r="K38">
        <v>140</v>
      </c>
    </row>
    <row r="39" spans="1:26" x14ac:dyDescent="0.3">
      <c r="A39">
        <v>214</v>
      </c>
      <c r="B39" t="s">
        <v>774</v>
      </c>
      <c r="C39" t="s">
        <v>251</v>
      </c>
      <c r="D39" t="s">
        <v>73</v>
      </c>
      <c r="E39" t="s">
        <v>56</v>
      </c>
      <c r="F39" s="30">
        <v>44742</v>
      </c>
      <c r="G39" t="s">
        <v>781</v>
      </c>
      <c r="H39" t="s">
        <v>4468</v>
      </c>
      <c r="I39">
        <v>7500</v>
      </c>
      <c r="J39">
        <v>895</v>
      </c>
      <c r="L39">
        <v>727</v>
      </c>
      <c r="M39">
        <v>168</v>
      </c>
    </row>
    <row r="40" spans="1:26" x14ac:dyDescent="0.3">
      <c r="A40">
        <v>218</v>
      </c>
      <c r="B40" t="s">
        <v>888</v>
      </c>
      <c r="C40" t="s">
        <v>251</v>
      </c>
      <c r="D40" t="s">
        <v>73</v>
      </c>
      <c r="E40" t="s">
        <v>56</v>
      </c>
      <c r="F40" s="30">
        <v>44742</v>
      </c>
      <c r="G40" t="s">
        <v>895</v>
      </c>
      <c r="H40" t="s">
        <v>4468</v>
      </c>
      <c r="I40">
        <v>172000</v>
      </c>
      <c r="J40">
        <v>61046</v>
      </c>
      <c r="N40">
        <v>61046</v>
      </c>
    </row>
    <row r="41" spans="1:26" x14ac:dyDescent="0.3">
      <c r="A41">
        <v>218</v>
      </c>
      <c r="B41" t="s">
        <v>888</v>
      </c>
      <c r="C41" t="s">
        <v>251</v>
      </c>
      <c r="D41" t="s">
        <v>73</v>
      </c>
      <c r="E41" t="s">
        <v>56</v>
      </c>
      <c r="F41" s="30">
        <v>44742</v>
      </c>
      <c r="G41" t="s">
        <v>895</v>
      </c>
      <c r="H41" t="s">
        <v>4470</v>
      </c>
      <c r="I41">
        <v>172000</v>
      </c>
      <c r="J41">
        <v>13110</v>
      </c>
      <c r="N41">
        <v>13110</v>
      </c>
    </row>
    <row r="42" spans="1:26" x14ac:dyDescent="0.3">
      <c r="A42">
        <v>218</v>
      </c>
      <c r="B42" t="s">
        <v>888</v>
      </c>
      <c r="C42" t="s">
        <v>251</v>
      </c>
      <c r="D42" t="s">
        <v>73</v>
      </c>
      <c r="E42" t="s">
        <v>56</v>
      </c>
      <c r="F42" s="30">
        <v>44742</v>
      </c>
      <c r="G42" t="s">
        <v>895</v>
      </c>
      <c r="H42" t="s">
        <v>4469</v>
      </c>
      <c r="I42">
        <v>172000</v>
      </c>
      <c r="J42">
        <v>24285</v>
      </c>
      <c r="N42">
        <v>24285</v>
      </c>
    </row>
    <row r="43" spans="1:26" x14ac:dyDescent="0.3">
      <c r="A43">
        <v>219</v>
      </c>
      <c r="B43" t="s">
        <v>938</v>
      </c>
      <c r="C43" t="s">
        <v>251</v>
      </c>
      <c r="D43" t="s">
        <v>39</v>
      </c>
      <c r="E43" t="s">
        <v>22</v>
      </c>
      <c r="F43" s="30">
        <v>44742</v>
      </c>
      <c r="G43" t="s">
        <v>939</v>
      </c>
      <c r="H43" t="s">
        <v>4468</v>
      </c>
      <c r="I43">
        <v>1</v>
      </c>
      <c r="J43">
        <v>-0.49000000953674322</v>
      </c>
      <c r="O43">
        <v>2094</v>
      </c>
      <c r="P43">
        <v>2617</v>
      </c>
      <c r="Q43">
        <v>18383</v>
      </c>
      <c r="R43">
        <v>78</v>
      </c>
      <c r="S43">
        <v>1853</v>
      </c>
      <c r="T43">
        <v>2410</v>
      </c>
      <c r="U43">
        <v>17040</v>
      </c>
      <c r="V43">
        <v>0</v>
      </c>
      <c r="W43">
        <v>390991</v>
      </c>
      <c r="X43">
        <v>357717</v>
      </c>
    </row>
    <row r="44" spans="1:26" x14ac:dyDescent="0.3">
      <c r="A44">
        <v>219</v>
      </c>
      <c r="B44" t="s">
        <v>938</v>
      </c>
      <c r="C44" t="s">
        <v>251</v>
      </c>
      <c r="D44" t="s">
        <v>39</v>
      </c>
      <c r="E44" t="s">
        <v>22</v>
      </c>
      <c r="F44" s="30">
        <v>44742</v>
      </c>
      <c r="G44" t="s">
        <v>939</v>
      </c>
      <c r="H44" t="s">
        <v>4470</v>
      </c>
      <c r="I44">
        <v>1</v>
      </c>
      <c r="J44">
        <v>57.259998321533203</v>
      </c>
      <c r="O44">
        <v>651</v>
      </c>
      <c r="P44">
        <v>45</v>
      </c>
      <c r="Q44">
        <v>5974</v>
      </c>
      <c r="R44">
        <v>2317</v>
      </c>
      <c r="S44">
        <v>756</v>
      </c>
      <c r="T44">
        <v>42</v>
      </c>
      <c r="U44">
        <v>2590</v>
      </c>
      <c r="V44">
        <v>2550</v>
      </c>
      <c r="W44">
        <v>75240</v>
      </c>
      <c r="X44">
        <v>116306</v>
      </c>
    </row>
    <row r="45" spans="1:26" x14ac:dyDescent="0.3">
      <c r="A45">
        <v>220</v>
      </c>
      <c r="B45" t="s">
        <v>947</v>
      </c>
      <c r="C45" t="s">
        <v>251</v>
      </c>
      <c r="D45" t="s">
        <v>39</v>
      </c>
      <c r="E45" t="s">
        <v>22</v>
      </c>
      <c r="F45" s="30">
        <v>44742</v>
      </c>
      <c r="G45" t="s">
        <v>948</v>
      </c>
      <c r="H45" t="s">
        <v>4468</v>
      </c>
      <c r="I45">
        <v>1</v>
      </c>
      <c r="J45">
        <v>-125.2399978637695</v>
      </c>
      <c r="O45">
        <v>2094</v>
      </c>
      <c r="P45">
        <v>2617</v>
      </c>
      <c r="Q45">
        <v>18383</v>
      </c>
      <c r="R45">
        <v>78</v>
      </c>
      <c r="S45">
        <v>1853</v>
      </c>
      <c r="T45">
        <v>2410</v>
      </c>
      <c r="U45">
        <v>17040</v>
      </c>
      <c r="V45">
        <v>0</v>
      </c>
      <c r="Y45">
        <v>4067</v>
      </c>
      <c r="Z45">
        <v>1660</v>
      </c>
    </row>
    <row r="46" spans="1:26" x14ac:dyDescent="0.3">
      <c r="A46">
        <v>220</v>
      </c>
      <c r="B46" t="s">
        <v>947</v>
      </c>
      <c r="C46" t="s">
        <v>251</v>
      </c>
      <c r="D46" t="s">
        <v>39</v>
      </c>
      <c r="E46" t="s">
        <v>22</v>
      </c>
      <c r="F46" s="30">
        <v>44742</v>
      </c>
      <c r="G46" t="s">
        <v>948</v>
      </c>
      <c r="H46" t="s">
        <v>4470</v>
      </c>
      <c r="I46">
        <v>1</v>
      </c>
      <c r="J46">
        <v>-3.029999971389771</v>
      </c>
      <c r="O46">
        <v>651</v>
      </c>
      <c r="P46">
        <v>45</v>
      </c>
      <c r="Q46">
        <v>5974</v>
      </c>
      <c r="R46">
        <v>2317</v>
      </c>
      <c r="S46">
        <v>756</v>
      </c>
      <c r="T46">
        <v>42</v>
      </c>
      <c r="U46">
        <v>2590</v>
      </c>
      <c r="V46">
        <v>2550</v>
      </c>
      <c r="Y46">
        <v>867</v>
      </c>
      <c r="Z46">
        <v>556</v>
      </c>
    </row>
    <row r="47" spans="1:26" x14ac:dyDescent="0.3">
      <c r="A47">
        <v>428</v>
      </c>
      <c r="B47" t="s">
        <v>2219</v>
      </c>
      <c r="C47" t="s">
        <v>251</v>
      </c>
      <c r="D47" t="s">
        <v>39</v>
      </c>
      <c r="E47" t="s">
        <v>56</v>
      </c>
      <c r="F47" s="30">
        <v>44742</v>
      </c>
      <c r="G47" t="s">
        <v>4471</v>
      </c>
      <c r="H47" t="s">
        <v>4468</v>
      </c>
      <c r="I47">
        <v>22</v>
      </c>
      <c r="J47">
        <v>16.870000839233398</v>
      </c>
      <c r="O47">
        <v>2094</v>
      </c>
      <c r="P47">
        <v>2617</v>
      </c>
      <c r="Q47">
        <v>18383</v>
      </c>
      <c r="R47">
        <v>78</v>
      </c>
      <c r="W47">
        <v>390991</v>
      </c>
    </row>
    <row r="48" spans="1:26" x14ac:dyDescent="0.3">
      <c r="A48">
        <v>428</v>
      </c>
      <c r="B48" t="s">
        <v>2219</v>
      </c>
      <c r="C48" t="s">
        <v>251</v>
      </c>
      <c r="D48" t="s">
        <v>39</v>
      </c>
      <c r="E48" t="s">
        <v>56</v>
      </c>
      <c r="F48" s="30">
        <v>44742</v>
      </c>
      <c r="G48" t="s">
        <v>4471</v>
      </c>
      <c r="H48" t="s">
        <v>4470</v>
      </c>
      <c r="I48">
        <v>25</v>
      </c>
      <c r="J48">
        <v>8.369999885559082</v>
      </c>
      <c r="O48">
        <v>651</v>
      </c>
      <c r="P48">
        <v>45</v>
      </c>
      <c r="Q48">
        <v>5974</v>
      </c>
      <c r="R48">
        <v>2317</v>
      </c>
      <c r="W48">
        <v>75240</v>
      </c>
    </row>
    <row r="49" spans="1:28" x14ac:dyDescent="0.3">
      <c r="A49">
        <v>428</v>
      </c>
      <c r="B49" t="s">
        <v>2219</v>
      </c>
      <c r="C49" t="s">
        <v>251</v>
      </c>
      <c r="D49" t="s">
        <v>39</v>
      </c>
      <c r="E49" t="s">
        <v>56</v>
      </c>
      <c r="F49" s="30">
        <v>44742</v>
      </c>
      <c r="G49" t="s">
        <v>4471</v>
      </c>
      <c r="H49" t="s">
        <v>4469</v>
      </c>
      <c r="I49">
        <v>11</v>
      </c>
      <c r="J49">
        <v>9.9399995803833008</v>
      </c>
      <c r="O49">
        <v>277</v>
      </c>
      <c r="P49">
        <v>815</v>
      </c>
      <c r="Q49">
        <v>11401</v>
      </c>
      <c r="R49">
        <v>88</v>
      </c>
      <c r="W49">
        <v>125003</v>
      </c>
    </row>
    <row r="50" spans="1:28" x14ac:dyDescent="0.3">
      <c r="A50">
        <v>429</v>
      </c>
      <c r="B50" t="s">
        <v>2226</v>
      </c>
      <c r="C50" t="s">
        <v>251</v>
      </c>
      <c r="D50" t="s">
        <v>39</v>
      </c>
      <c r="E50" t="s">
        <v>56</v>
      </c>
      <c r="F50" s="30">
        <v>44742</v>
      </c>
      <c r="G50" t="s">
        <v>4472</v>
      </c>
      <c r="H50" t="s">
        <v>4468</v>
      </c>
      <c r="I50">
        <v>0.4</v>
      </c>
      <c r="J50">
        <v>0.25</v>
      </c>
      <c r="O50">
        <v>2094</v>
      </c>
      <c r="P50">
        <v>2617</v>
      </c>
      <c r="Q50">
        <v>18383</v>
      </c>
      <c r="R50">
        <v>78</v>
      </c>
      <c r="AA50">
        <v>4265</v>
      </c>
      <c r="AB50">
        <v>1619</v>
      </c>
    </row>
    <row r="51" spans="1:28" x14ac:dyDescent="0.3">
      <c r="A51">
        <v>208</v>
      </c>
      <c r="B51" t="s">
        <v>707</v>
      </c>
      <c r="C51" t="s">
        <v>251</v>
      </c>
      <c r="D51" t="s">
        <v>73</v>
      </c>
      <c r="E51" t="s">
        <v>56</v>
      </c>
      <c r="F51" s="30">
        <v>44773</v>
      </c>
      <c r="G51" t="s">
        <v>715</v>
      </c>
      <c r="H51" t="s">
        <v>4468</v>
      </c>
      <c r="I51">
        <v>1700</v>
      </c>
      <c r="J51">
        <v>890</v>
      </c>
      <c r="K51">
        <v>890</v>
      </c>
    </row>
    <row r="52" spans="1:28" x14ac:dyDescent="0.3">
      <c r="A52">
        <v>208</v>
      </c>
      <c r="B52" t="s">
        <v>707</v>
      </c>
      <c r="C52" t="s">
        <v>251</v>
      </c>
      <c r="D52" t="s">
        <v>73</v>
      </c>
      <c r="E52" t="s">
        <v>56</v>
      </c>
      <c r="F52" s="30">
        <v>44773</v>
      </c>
      <c r="G52" t="s">
        <v>715</v>
      </c>
      <c r="H52" t="s">
        <v>4470</v>
      </c>
      <c r="I52">
        <v>1700</v>
      </c>
      <c r="J52">
        <v>355.5</v>
      </c>
      <c r="K52">
        <v>355.5</v>
      </c>
    </row>
    <row r="53" spans="1:28" x14ac:dyDescent="0.3">
      <c r="A53">
        <v>208</v>
      </c>
      <c r="B53" t="s">
        <v>707</v>
      </c>
      <c r="C53" t="s">
        <v>251</v>
      </c>
      <c r="D53" t="s">
        <v>73</v>
      </c>
      <c r="E53" t="s">
        <v>56</v>
      </c>
      <c r="F53" s="30">
        <v>44773</v>
      </c>
      <c r="G53" t="s">
        <v>715</v>
      </c>
      <c r="H53" t="s">
        <v>4469</v>
      </c>
      <c r="I53">
        <v>1700</v>
      </c>
      <c r="J53">
        <v>117</v>
      </c>
      <c r="K53">
        <v>117</v>
      </c>
    </row>
    <row r="54" spans="1:28" x14ac:dyDescent="0.3">
      <c r="A54">
        <v>214</v>
      </c>
      <c r="B54" t="s">
        <v>774</v>
      </c>
      <c r="C54" t="s">
        <v>251</v>
      </c>
      <c r="D54" t="s">
        <v>73</v>
      </c>
      <c r="E54" t="s">
        <v>56</v>
      </c>
      <c r="F54" s="30">
        <v>44773</v>
      </c>
      <c r="G54" t="s">
        <v>782</v>
      </c>
      <c r="H54" t="s">
        <v>4468</v>
      </c>
      <c r="I54">
        <v>7500</v>
      </c>
      <c r="J54">
        <v>725</v>
      </c>
      <c r="L54">
        <v>428</v>
      </c>
      <c r="M54">
        <v>297</v>
      </c>
    </row>
    <row r="55" spans="1:28" x14ac:dyDescent="0.3">
      <c r="A55">
        <v>218</v>
      </c>
      <c r="B55" t="s">
        <v>888</v>
      </c>
      <c r="C55" t="s">
        <v>251</v>
      </c>
      <c r="D55" t="s">
        <v>73</v>
      </c>
      <c r="E55" t="s">
        <v>56</v>
      </c>
      <c r="F55" s="30">
        <v>44773</v>
      </c>
      <c r="G55" t="s">
        <v>896</v>
      </c>
      <c r="H55" t="s">
        <v>4468</v>
      </c>
      <c r="I55">
        <v>172000</v>
      </c>
      <c r="J55">
        <v>60208</v>
      </c>
      <c r="N55">
        <v>60208</v>
      </c>
    </row>
    <row r="56" spans="1:28" x14ac:dyDescent="0.3">
      <c r="A56">
        <v>218</v>
      </c>
      <c r="B56" t="s">
        <v>888</v>
      </c>
      <c r="C56" t="s">
        <v>251</v>
      </c>
      <c r="D56" t="s">
        <v>73</v>
      </c>
      <c r="E56" t="s">
        <v>56</v>
      </c>
      <c r="F56" s="30">
        <v>44773</v>
      </c>
      <c r="G56" t="s">
        <v>896</v>
      </c>
      <c r="H56" t="s">
        <v>4470</v>
      </c>
      <c r="I56">
        <v>172000</v>
      </c>
      <c r="J56">
        <v>18240</v>
      </c>
      <c r="N56">
        <v>18240</v>
      </c>
    </row>
    <row r="57" spans="1:28" x14ac:dyDescent="0.3">
      <c r="A57">
        <v>218</v>
      </c>
      <c r="B57" t="s">
        <v>888</v>
      </c>
      <c r="C57" t="s">
        <v>251</v>
      </c>
      <c r="D57" t="s">
        <v>73</v>
      </c>
      <c r="E57" t="s">
        <v>56</v>
      </c>
      <c r="F57" s="30">
        <v>44773</v>
      </c>
      <c r="G57" t="s">
        <v>896</v>
      </c>
      <c r="H57" t="s">
        <v>4469</v>
      </c>
      <c r="I57">
        <v>172000</v>
      </c>
      <c r="J57">
        <v>1527</v>
      </c>
      <c r="N57">
        <v>1527</v>
      </c>
    </row>
    <row r="58" spans="1:28" x14ac:dyDescent="0.3">
      <c r="A58">
        <v>208</v>
      </c>
      <c r="B58" t="s">
        <v>707</v>
      </c>
      <c r="C58" t="s">
        <v>251</v>
      </c>
      <c r="D58" t="s">
        <v>73</v>
      </c>
      <c r="E58" t="s">
        <v>56</v>
      </c>
      <c r="F58" s="30">
        <v>44804</v>
      </c>
      <c r="G58" t="s">
        <v>716</v>
      </c>
      <c r="H58" t="s">
        <v>4468</v>
      </c>
      <c r="I58">
        <v>1700</v>
      </c>
      <c r="J58">
        <v>960</v>
      </c>
      <c r="K58">
        <v>960</v>
      </c>
    </row>
    <row r="59" spans="1:28" x14ac:dyDescent="0.3">
      <c r="A59">
        <v>208</v>
      </c>
      <c r="B59" t="s">
        <v>707</v>
      </c>
      <c r="C59" t="s">
        <v>251</v>
      </c>
      <c r="D59" t="s">
        <v>73</v>
      </c>
      <c r="E59" t="s">
        <v>56</v>
      </c>
      <c r="F59" s="30">
        <v>44804</v>
      </c>
      <c r="G59" t="s">
        <v>716</v>
      </c>
      <c r="H59" t="s">
        <v>4470</v>
      </c>
      <c r="I59">
        <v>1700</v>
      </c>
      <c r="J59">
        <v>303.5</v>
      </c>
      <c r="K59">
        <v>303.5</v>
      </c>
    </row>
    <row r="60" spans="1:28" x14ac:dyDescent="0.3">
      <c r="A60">
        <v>208</v>
      </c>
      <c r="B60" t="s">
        <v>707</v>
      </c>
      <c r="C60" t="s">
        <v>251</v>
      </c>
      <c r="D60" t="s">
        <v>73</v>
      </c>
      <c r="E60" t="s">
        <v>56</v>
      </c>
      <c r="F60" s="30">
        <v>44804</v>
      </c>
      <c r="G60" t="s">
        <v>716</v>
      </c>
      <c r="H60" t="s">
        <v>4469</v>
      </c>
      <c r="I60">
        <v>1700</v>
      </c>
      <c r="J60">
        <v>65</v>
      </c>
      <c r="K60">
        <v>65</v>
      </c>
    </row>
    <row r="61" spans="1:28" x14ac:dyDescent="0.3">
      <c r="A61">
        <v>214</v>
      </c>
      <c r="B61" t="s">
        <v>774</v>
      </c>
      <c r="C61" t="s">
        <v>251</v>
      </c>
      <c r="D61" t="s">
        <v>73</v>
      </c>
      <c r="E61" t="s">
        <v>56</v>
      </c>
      <c r="F61" s="30">
        <v>44804</v>
      </c>
      <c r="G61" t="s">
        <v>783</v>
      </c>
      <c r="H61" t="s">
        <v>4468</v>
      </c>
      <c r="I61">
        <v>7500</v>
      </c>
      <c r="J61">
        <v>383</v>
      </c>
      <c r="L61">
        <v>0</v>
      </c>
      <c r="M61">
        <v>383</v>
      </c>
    </row>
    <row r="62" spans="1:28" x14ac:dyDescent="0.3">
      <c r="A62">
        <v>218</v>
      </c>
      <c r="B62" t="s">
        <v>888</v>
      </c>
      <c r="C62" t="s">
        <v>251</v>
      </c>
      <c r="D62" t="s">
        <v>73</v>
      </c>
      <c r="E62" t="s">
        <v>56</v>
      </c>
      <c r="F62" s="30">
        <v>44804</v>
      </c>
      <c r="G62" t="s">
        <v>897</v>
      </c>
      <c r="H62" t="s">
        <v>4468</v>
      </c>
      <c r="I62">
        <v>172000</v>
      </c>
      <c r="J62">
        <v>72221</v>
      </c>
      <c r="N62">
        <v>72221</v>
      </c>
    </row>
    <row r="63" spans="1:28" x14ac:dyDescent="0.3">
      <c r="A63">
        <v>218</v>
      </c>
      <c r="B63" t="s">
        <v>888</v>
      </c>
      <c r="C63" t="s">
        <v>251</v>
      </c>
      <c r="D63" t="s">
        <v>73</v>
      </c>
      <c r="E63" t="s">
        <v>56</v>
      </c>
      <c r="F63" s="30">
        <v>44804</v>
      </c>
      <c r="G63" t="s">
        <v>897</v>
      </c>
      <c r="H63" t="s">
        <v>4470</v>
      </c>
      <c r="I63">
        <v>172000</v>
      </c>
      <c r="J63">
        <v>84360</v>
      </c>
      <c r="N63">
        <v>84360</v>
      </c>
    </row>
    <row r="64" spans="1:28" x14ac:dyDescent="0.3">
      <c r="A64">
        <v>218</v>
      </c>
      <c r="B64" t="s">
        <v>888</v>
      </c>
      <c r="C64" t="s">
        <v>251</v>
      </c>
      <c r="D64" t="s">
        <v>73</v>
      </c>
      <c r="E64" t="s">
        <v>56</v>
      </c>
      <c r="F64" s="30">
        <v>44804</v>
      </c>
      <c r="G64" t="s">
        <v>897</v>
      </c>
      <c r="H64" t="s">
        <v>4469</v>
      </c>
      <c r="I64">
        <v>172000</v>
      </c>
      <c r="J64">
        <v>16993</v>
      </c>
      <c r="N64">
        <v>16993</v>
      </c>
    </row>
    <row r="65" spans="1:14" x14ac:dyDescent="0.3">
      <c r="A65">
        <v>208</v>
      </c>
      <c r="B65" t="s">
        <v>707</v>
      </c>
      <c r="C65" t="s">
        <v>251</v>
      </c>
      <c r="D65" t="s">
        <v>73</v>
      </c>
      <c r="E65" t="s">
        <v>56</v>
      </c>
      <c r="F65" s="30">
        <v>44834</v>
      </c>
      <c r="G65" t="s">
        <v>717</v>
      </c>
      <c r="H65" t="s">
        <v>4468</v>
      </c>
      <c r="I65">
        <v>1700</v>
      </c>
      <c r="J65">
        <v>1208</v>
      </c>
      <c r="K65">
        <v>1208</v>
      </c>
    </row>
    <row r="66" spans="1:14" x14ac:dyDescent="0.3">
      <c r="A66">
        <v>208</v>
      </c>
      <c r="B66" t="s">
        <v>707</v>
      </c>
      <c r="C66" t="s">
        <v>251</v>
      </c>
      <c r="D66" t="s">
        <v>73</v>
      </c>
      <c r="E66" t="s">
        <v>56</v>
      </c>
      <c r="F66" s="30">
        <v>44834</v>
      </c>
      <c r="G66" t="s">
        <v>717</v>
      </c>
      <c r="H66" t="s">
        <v>4470</v>
      </c>
      <c r="I66">
        <v>1700</v>
      </c>
      <c r="J66">
        <v>303.5</v>
      </c>
      <c r="K66">
        <v>303.5</v>
      </c>
    </row>
    <row r="67" spans="1:14" x14ac:dyDescent="0.3">
      <c r="A67">
        <v>208</v>
      </c>
      <c r="B67" t="s">
        <v>707</v>
      </c>
      <c r="C67" t="s">
        <v>251</v>
      </c>
      <c r="D67" t="s">
        <v>73</v>
      </c>
      <c r="E67" t="s">
        <v>56</v>
      </c>
      <c r="F67" s="30">
        <v>44834</v>
      </c>
      <c r="G67" t="s">
        <v>717</v>
      </c>
      <c r="H67" t="s">
        <v>4469</v>
      </c>
      <c r="I67">
        <v>1700</v>
      </c>
      <c r="J67">
        <v>176</v>
      </c>
      <c r="K67">
        <v>176</v>
      </c>
    </row>
    <row r="68" spans="1:14" x14ac:dyDescent="0.3">
      <c r="A68">
        <v>214</v>
      </c>
      <c r="B68" t="s">
        <v>774</v>
      </c>
      <c r="C68" t="s">
        <v>251</v>
      </c>
      <c r="D68" t="s">
        <v>73</v>
      </c>
      <c r="E68" t="s">
        <v>56</v>
      </c>
      <c r="F68" s="30">
        <v>44834</v>
      </c>
      <c r="G68" t="s">
        <v>784</v>
      </c>
      <c r="H68" t="s">
        <v>4468</v>
      </c>
      <c r="I68">
        <v>7500</v>
      </c>
      <c r="J68">
        <v>1553</v>
      </c>
      <c r="L68">
        <v>787</v>
      </c>
      <c r="M68">
        <v>766</v>
      </c>
    </row>
    <row r="69" spans="1:14" x14ac:dyDescent="0.3">
      <c r="A69">
        <v>218</v>
      </c>
      <c r="B69" t="s">
        <v>888</v>
      </c>
      <c r="C69" t="s">
        <v>251</v>
      </c>
      <c r="D69" t="s">
        <v>73</v>
      </c>
      <c r="E69" t="s">
        <v>56</v>
      </c>
      <c r="F69" s="30">
        <v>44834</v>
      </c>
      <c r="G69" t="s">
        <v>898</v>
      </c>
      <c r="H69" t="s">
        <v>4468</v>
      </c>
      <c r="I69">
        <v>172000</v>
      </c>
      <c r="J69">
        <v>70112</v>
      </c>
      <c r="N69">
        <v>70112</v>
      </c>
    </row>
    <row r="70" spans="1:14" x14ac:dyDescent="0.3">
      <c r="A70">
        <v>218</v>
      </c>
      <c r="B70" t="s">
        <v>888</v>
      </c>
      <c r="C70" t="s">
        <v>251</v>
      </c>
      <c r="D70" t="s">
        <v>73</v>
      </c>
      <c r="E70" t="s">
        <v>56</v>
      </c>
      <c r="F70" s="30">
        <v>44834</v>
      </c>
      <c r="G70" t="s">
        <v>898</v>
      </c>
      <c r="H70" t="s">
        <v>4470</v>
      </c>
      <c r="I70">
        <v>172000</v>
      </c>
      <c r="J70">
        <v>60420</v>
      </c>
      <c r="N70">
        <v>60420</v>
      </c>
    </row>
    <row r="71" spans="1:14" x14ac:dyDescent="0.3">
      <c r="A71">
        <v>218</v>
      </c>
      <c r="B71" t="s">
        <v>888</v>
      </c>
      <c r="C71" t="s">
        <v>251</v>
      </c>
      <c r="D71" t="s">
        <v>73</v>
      </c>
      <c r="E71" t="s">
        <v>56</v>
      </c>
      <c r="F71" s="30">
        <v>44834</v>
      </c>
      <c r="G71" t="s">
        <v>898</v>
      </c>
      <c r="H71" t="s">
        <v>4469</v>
      </c>
      <c r="I71">
        <v>172000</v>
      </c>
      <c r="J71">
        <v>26843</v>
      </c>
      <c r="N71">
        <v>26843</v>
      </c>
    </row>
    <row r="72" spans="1:14" x14ac:dyDescent="0.3">
      <c r="A72">
        <v>208</v>
      </c>
      <c r="B72" t="s">
        <v>707</v>
      </c>
      <c r="C72" t="s">
        <v>251</v>
      </c>
      <c r="D72" t="s">
        <v>73</v>
      </c>
      <c r="E72" t="s">
        <v>56</v>
      </c>
      <c r="F72" s="30">
        <v>44865</v>
      </c>
      <c r="G72" t="s">
        <v>718</v>
      </c>
      <c r="H72" t="s">
        <v>4468</v>
      </c>
      <c r="I72">
        <v>1700</v>
      </c>
      <c r="J72">
        <v>1199</v>
      </c>
      <c r="K72">
        <v>1199</v>
      </c>
    </row>
    <row r="73" spans="1:14" x14ac:dyDescent="0.3">
      <c r="A73">
        <v>208</v>
      </c>
      <c r="B73" t="s">
        <v>707</v>
      </c>
      <c r="C73" t="s">
        <v>251</v>
      </c>
      <c r="D73" t="s">
        <v>73</v>
      </c>
      <c r="E73" t="s">
        <v>56</v>
      </c>
      <c r="F73" s="30">
        <v>44865</v>
      </c>
      <c r="G73" t="s">
        <v>718</v>
      </c>
      <c r="H73" t="s">
        <v>4470</v>
      </c>
      <c r="I73">
        <v>1700</v>
      </c>
      <c r="J73">
        <v>264</v>
      </c>
      <c r="K73">
        <v>264</v>
      </c>
    </row>
    <row r="74" spans="1:14" x14ac:dyDescent="0.3">
      <c r="A74">
        <v>208</v>
      </c>
      <c r="B74" t="s">
        <v>707</v>
      </c>
      <c r="C74" t="s">
        <v>251</v>
      </c>
      <c r="D74" t="s">
        <v>73</v>
      </c>
      <c r="E74" t="s">
        <v>56</v>
      </c>
      <c r="F74" s="30">
        <v>44865</v>
      </c>
      <c r="G74" t="s">
        <v>718</v>
      </c>
      <c r="H74" t="s">
        <v>4469</v>
      </c>
      <c r="I74">
        <v>1700</v>
      </c>
      <c r="J74">
        <v>224</v>
      </c>
      <c r="K74">
        <v>224</v>
      </c>
    </row>
    <row r="75" spans="1:14" x14ac:dyDescent="0.3">
      <c r="A75">
        <v>214</v>
      </c>
      <c r="B75" t="s">
        <v>774</v>
      </c>
      <c r="C75" t="s">
        <v>251</v>
      </c>
      <c r="D75" t="s">
        <v>73</v>
      </c>
      <c r="E75" t="s">
        <v>56</v>
      </c>
      <c r="F75" s="30">
        <v>44865</v>
      </c>
      <c r="G75" t="s">
        <v>785</v>
      </c>
      <c r="H75" t="s">
        <v>4468</v>
      </c>
      <c r="I75">
        <v>7500</v>
      </c>
      <c r="J75">
        <v>1236</v>
      </c>
      <c r="L75">
        <v>699</v>
      </c>
      <c r="M75">
        <v>537</v>
      </c>
    </row>
    <row r="76" spans="1:14" x14ac:dyDescent="0.3">
      <c r="A76">
        <v>214</v>
      </c>
      <c r="B76" t="s">
        <v>774</v>
      </c>
      <c r="C76" t="s">
        <v>251</v>
      </c>
      <c r="D76" t="s">
        <v>73</v>
      </c>
      <c r="E76" t="s">
        <v>56</v>
      </c>
      <c r="F76" s="30">
        <v>44865</v>
      </c>
      <c r="G76" t="s">
        <v>785</v>
      </c>
      <c r="H76" t="s">
        <v>4470</v>
      </c>
      <c r="I76">
        <v>7500</v>
      </c>
      <c r="J76">
        <v>520</v>
      </c>
      <c r="L76">
        <v>0</v>
      </c>
      <c r="M76">
        <v>520</v>
      </c>
    </row>
    <row r="77" spans="1:14" x14ac:dyDescent="0.3">
      <c r="A77">
        <v>218</v>
      </c>
      <c r="B77" t="s">
        <v>888</v>
      </c>
      <c r="C77" t="s">
        <v>251</v>
      </c>
      <c r="D77" t="s">
        <v>73</v>
      </c>
      <c r="E77" t="s">
        <v>56</v>
      </c>
      <c r="F77" s="30">
        <v>44865</v>
      </c>
      <c r="G77" t="s">
        <v>899</v>
      </c>
      <c r="H77" t="s">
        <v>4468</v>
      </c>
      <c r="I77">
        <v>172000</v>
      </c>
      <c r="J77">
        <v>68242</v>
      </c>
      <c r="N77">
        <v>68242</v>
      </c>
    </row>
    <row r="78" spans="1:14" x14ac:dyDescent="0.3">
      <c r="A78">
        <v>218</v>
      </c>
      <c r="B78" t="s">
        <v>888</v>
      </c>
      <c r="C78" t="s">
        <v>251</v>
      </c>
      <c r="D78" t="s">
        <v>73</v>
      </c>
      <c r="E78" t="s">
        <v>56</v>
      </c>
      <c r="F78" s="30">
        <v>44865</v>
      </c>
      <c r="G78" t="s">
        <v>899</v>
      </c>
      <c r="H78" t="s">
        <v>4470</v>
      </c>
      <c r="I78">
        <v>172000</v>
      </c>
      <c r="J78">
        <v>48450</v>
      </c>
      <c r="N78">
        <v>48450</v>
      </c>
    </row>
    <row r="79" spans="1:14" x14ac:dyDescent="0.3">
      <c r="A79">
        <v>218</v>
      </c>
      <c r="B79" t="s">
        <v>888</v>
      </c>
      <c r="C79" t="s">
        <v>251</v>
      </c>
      <c r="D79" t="s">
        <v>73</v>
      </c>
      <c r="E79" t="s">
        <v>56</v>
      </c>
      <c r="F79" s="30">
        <v>44865</v>
      </c>
      <c r="G79" t="s">
        <v>899</v>
      </c>
      <c r="H79" t="s">
        <v>4469</v>
      </c>
      <c r="I79">
        <v>172000</v>
      </c>
      <c r="J79">
        <v>32565</v>
      </c>
      <c r="N79">
        <v>32565</v>
      </c>
    </row>
    <row r="80" spans="1:14" x14ac:dyDescent="0.3">
      <c r="A80">
        <v>208</v>
      </c>
      <c r="B80" t="s">
        <v>707</v>
      </c>
      <c r="C80" t="s">
        <v>251</v>
      </c>
      <c r="D80" t="s">
        <v>73</v>
      </c>
      <c r="E80" t="s">
        <v>56</v>
      </c>
      <c r="F80" s="30">
        <v>44895</v>
      </c>
      <c r="G80" t="s">
        <v>719</v>
      </c>
      <c r="H80" t="s">
        <v>4468</v>
      </c>
      <c r="I80">
        <v>1700</v>
      </c>
      <c r="J80">
        <v>1050</v>
      </c>
      <c r="K80">
        <v>1050</v>
      </c>
    </row>
    <row r="81" spans="1:30" x14ac:dyDescent="0.3">
      <c r="A81">
        <v>208</v>
      </c>
      <c r="B81" t="s">
        <v>707</v>
      </c>
      <c r="C81" t="s">
        <v>251</v>
      </c>
      <c r="D81" t="s">
        <v>73</v>
      </c>
      <c r="E81" t="s">
        <v>56</v>
      </c>
      <c r="F81" s="30">
        <v>44895</v>
      </c>
      <c r="G81" t="s">
        <v>719</v>
      </c>
      <c r="H81" t="s">
        <v>4470</v>
      </c>
      <c r="I81">
        <v>1700</v>
      </c>
      <c r="J81">
        <v>264</v>
      </c>
      <c r="K81">
        <v>264</v>
      </c>
    </row>
    <row r="82" spans="1:30" x14ac:dyDescent="0.3">
      <c r="A82">
        <v>208</v>
      </c>
      <c r="B82" t="s">
        <v>707</v>
      </c>
      <c r="C82" t="s">
        <v>251</v>
      </c>
      <c r="D82" t="s">
        <v>73</v>
      </c>
      <c r="E82" t="s">
        <v>56</v>
      </c>
      <c r="F82" s="30">
        <v>44895</v>
      </c>
      <c r="G82" t="s">
        <v>719</v>
      </c>
      <c r="H82" t="s">
        <v>4469</v>
      </c>
      <c r="I82">
        <v>1700</v>
      </c>
      <c r="J82">
        <v>180</v>
      </c>
      <c r="K82">
        <v>180</v>
      </c>
    </row>
    <row r="83" spans="1:30" x14ac:dyDescent="0.3">
      <c r="A83">
        <v>214</v>
      </c>
      <c r="B83" t="s">
        <v>774</v>
      </c>
      <c r="C83" t="s">
        <v>251</v>
      </c>
      <c r="D83" t="s">
        <v>73</v>
      </c>
      <c r="E83" t="s">
        <v>56</v>
      </c>
      <c r="F83" s="30">
        <v>44895</v>
      </c>
      <c r="G83" t="s">
        <v>786</v>
      </c>
      <c r="H83" t="s">
        <v>4468</v>
      </c>
      <c r="I83">
        <v>7500</v>
      </c>
      <c r="J83">
        <v>1119</v>
      </c>
      <c r="L83">
        <v>563</v>
      </c>
      <c r="M83">
        <v>556</v>
      </c>
    </row>
    <row r="84" spans="1:30" x14ac:dyDescent="0.3">
      <c r="A84">
        <v>214</v>
      </c>
      <c r="B84" t="s">
        <v>774</v>
      </c>
      <c r="C84" t="s">
        <v>251</v>
      </c>
      <c r="D84" t="s">
        <v>73</v>
      </c>
      <c r="E84" t="s">
        <v>56</v>
      </c>
      <c r="F84" s="30">
        <v>44895</v>
      </c>
      <c r="G84" t="s">
        <v>786</v>
      </c>
      <c r="H84" t="s">
        <v>4470</v>
      </c>
      <c r="I84">
        <v>7500</v>
      </c>
      <c r="J84">
        <v>667.79998779296875</v>
      </c>
      <c r="L84">
        <v>0</v>
      </c>
      <c r="M84">
        <v>667.8</v>
      </c>
    </row>
    <row r="85" spans="1:30" x14ac:dyDescent="0.3">
      <c r="A85">
        <v>218</v>
      </c>
      <c r="B85" t="s">
        <v>888</v>
      </c>
      <c r="C85" t="s">
        <v>251</v>
      </c>
      <c r="D85" t="s">
        <v>73</v>
      </c>
      <c r="E85" t="s">
        <v>56</v>
      </c>
      <c r="F85" s="30">
        <v>44895</v>
      </c>
      <c r="G85" t="s">
        <v>900</v>
      </c>
      <c r="H85" t="s">
        <v>4468</v>
      </c>
      <c r="I85">
        <v>172000</v>
      </c>
      <c r="J85">
        <v>67753</v>
      </c>
      <c r="N85">
        <v>67753</v>
      </c>
    </row>
    <row r="86" spans="1:30" x14ac:dyDescent="0.3">
      <c r="A86">
        <v>218</v>
      </c>
      <c r="B86" t="s">
        <v>888</v>
      </c>
      <c r="C86" t="s">
        <v>251</v>
      </c>
      <c r="D86" t="s">
        <v>73</v>
      </c>
      <c r="E86" t="s">
        <v>56</v>
      </c>
      <c r="F86" s="30">
        <v>44895</v>
      </c>
      <c r="G86" t="s">
        <v>900</v>
      </c>
      <c r="H86" t="s">
        <v>4470</v>
      </c>
      <c r="I86">
        <v>172000</v>
      </c>
      <c r="J86">
        <v>48450</v>
      </c>
      <c r="N86">
        <v>48450</v>
      </c>
    </row>
    <row r="87" spans="1:30" x14ac:dyDescent="0.3">
      <c r="A87">
        <v>218</v>
      </c>
      <c r="B87" t="s">
        <v>888</v>
      </c>
      <c r="C87" t="s">
        <v>251</v>
      </c>
      <c r="D87" t="s">
        <v>73</v>
      </c>
      <c r="E87" t="s">
        <v>56</v>
      </c>
      <c r="F87" s="30">
        <v>44895</v>
      </c>
      <c r="G87" t="s">
        <v>900</v>
      </c>
      <c r="H87" t="s">
        <v>4469</v>
      </c>
      <c r="I87">
        <v>172000</v>
      </c>
      <c r="J87">
        <v>28011</v>
      </c>
      <c r="N87">
        <v>28011</v>
      </c>
    </row>
    <row r="88" spans="1:30" x14ac:dyDescent="0.3">
      <c r="A88">
        <v>208</v>
      </c>
      <c r="B88" t="s">
        <v>707</v>
      </c>
      <c r="C88" t="s">
        <v>251</v>
      </c>
      <c r="D88" t="s">
        <v>73</v>
      </c>
      <c r="E88" t="s">
        <v>56</v>
      </c>
      <c r="F88" s="30">
        <v>44926</v>
      </c>
      <c r="G88" t="s">
        <v>720</v>
      </c>
      <c r="H88" t="s">
        <v>4468</v>
      </c>
      <c r="I88">
        <v>1700</v>
      </c>
      <c r="J88">
        <v>469</v>
      </c>
      <c r="K88">
        <v>469</v>
      </c>
    </row>
    <row r="89" spans="1:30" x14ac:dyDescent="0.3">
      <c r="A89">
        <v>208</v>
      </c>
      <c r="B89" t="s">
        <v>707</v>
      </c>
      <c r="C89" t="s">
        <v>251</v>
      </c>
      <c r="D89" t="s">
        <v>73</v>
      </c>
      <c r="E89" t="s">
        <v>56</v>
      </c>
      <c r="F89" s="30">
        <v>44926</v>
      </c>
      <c r="G89" t="s">
        <v>720</v>
      </c>
      <c r="H89" t="s">
        <v>4470</v>
      </c>
      <c r="I89">
        <v>1700</v>
      </c>
      <c r="J89">
        <v>348</v>
      </c>
      <c r="K89">
        <v>348</v>
      </c>
    </row>
    <row r="90" spans="1:30" x14ac:dyDescent="0.3">
      <c r="A90">
        <v>208</v>
      </c>
      <c r="B90" t="s">
        <v>707</v>
      </c>
      <c r="C90" t="s">
        <v>251</v>
      </c>
      <c r="D90" t="s">
        <v>73</v>
      </c>
      <c r="E90" t="s">
        <v>56</v>
      </c>
      <c r="F90" s="30">
        <v>44926</v>
      </c>
      <c r="G90" t="s">
        <v>720</v>
      </c>
      <c r="H90" t="s">
        <v>4469</v>
      </c>
      <c r="I90">
        <v>1700</v>
      </c>
      <c r="J90">
        <v>193</v>
      </c>
      <c r="K90">
        <v>193</v>
      </c>
    </row>
    <row r="91" spans="1:30" x14ac:dyDescent="0.3">
      <c r="A91">
        <v>214</v>
      </c>
      <c r="B91" t="s">
        <v>774</v>
      </c>
      <c r="C91" t="s">
        <v>251</v>
      </c>
      <c r="D91" t="s">
        <v>73</v>
      </c>
      <c r="E91" t="s">
        <v>56</v>
      </c>
      <c r="F91" s="30">
        <v>44926</v>
      </c>
      <c r="G91" t="s">
        <v>787</v>
      </c>
      <c r="H91" t="s">
        <v>4468</v>
      </c>
      <c r="I91">
        <v>7500</v>
      </c>
      <c r="J91">
        <v>872</v>
      </c>
      <c r="L91">
        <v>586</v>
      </c>
      <c r="M91">
        <v>286</v>
      </c>
    </row>
    <row r="92" spans="1:30" x14ac:dyDescent="0.3">
      <c r="A92">
        <v>214</v>
      </c>
      <c r="B92" t="s">
        <v>774</v>
      </c>
      <c r="C92" t="s">
        <v>251</v>
      </c>
      <c r="D92" t="s">
        <v>73</v>
      </c>
      <c r="E92" t="s">
        <v>56</v>
      </c>
      <c r="F92" s="30">
        <v>44926</v>
      </c>
      <c r="G92" t="s">
        <v>787</v>
      </c>
      <c r="H92" t="s">
        <v>4470</v>
      </c>
      <c r="I92">
        <v>7500</v>
      </c>
      <c r="J92">
        <v>266.14999389648438</v>
      </c>
      <c r="L92">
        <v>0</v>
      </c>
      <c r="M92">
        <v>266.14999999999998</v>
      </c>
    </row>
    <row r="93" spans="1:30" x14ac:dyDescent="0.3">
      <c r="A93">
        <v>218</v>
      </c>
      <c r="B93" t="s">
        <v>888</v>
      </c>
      <c r="C93" t="s">
        <v>251</v>
      </c>
      <c r="D93" t="s">
        <v>73</v>
      </c>
      <c r="E93" t="s">
        <v>56</v>
      </c>
      <c r="F93" s="30">
        <v>44926</v>
      </c>
      <c r="G93" t="s">
        <v>901</v>
      </c>
      <c r="H93" t="s">
        <v>4468</v>
      </c>
      <c r="I93">
        <v>172000</v>
      </c>
      <c r="J93">
        <v>52713</v>
      </c>
      <c r="N93">
        <v>52713</v>
      </c>
    </row>
    <row r="94" spans="1:30" x14ac:dyDescent="0.3">
      <c r="A94">
        <v>218</v>
      </c>
      <c r="B94" t="s">
        <v>888</v>
      </c>
      <c r="C94" t="s">
        <v>251</v>
      </c>
      <c r="D94" t="s">
        <v>73</v>
      </c>
      <c r="E94" t="s">
        <v>56</v>
      </c>
      <c r="F94" s="30">
        <v>44926</v>
      </c>
      <c r="G94" t="s">
        <v>901</v>
      </c>
      <c r="H94" t="s">
        <v>4470</v>
      </c>
      <c r="I94">
        <v>172000</v>
      </c>
      <c r="J94">
        <v>45030</v>
      </c>
      <c r="N94">
        <v>45030</v>
      </c>
    </row>
    <row r="95" spans="1:30" x14ac:dyDescent="0.3">
      <c r="A95">
        <v>218</v>
      </c>
      <c r="B95" t="s">
        <v>888</v>
      </c>
      <c r="C95" t="s">
        <v>251</v>
      </c>
      <c r="D95" t="s">
        <v>73</v>
      </c>
      <c r="E95" t="s">
        <v>56</v>
      </c>
      <c r="F95" s="30">
        <v>44926</v>
      </c>
      <c r="G95" t="s">
        <v>901</v>
      </c>
      <c r="H95" t="s">
        <v>4469</v>
      </c>
      <c r="I95">
        <v>172000</v>
      </c>
      <c r="J95">
        <v>27821</v>
      </c>
      <c r="N95">
        <v>27821</v>
      </c>
    </row>
    <row r="96" spans="1:30" x14ac:dyDescent="0.3">
      <c r="A96">
        <v>215</v>
      </c>
      <c r="B96" t="s">
        <v>824</v>
      </c>
      <c r="C96" t="s">
        <v>251</v>
      </c>
      <c r="D96" t="s">
        <v>39</v>
      </c>
      <c r="E96" t="s">
        <v>22</v>
      </c>
      <c r="F96" s="30">
        <v>44926</v>
      </c>
      <c r="G96" t="s">
        <v>828</v>
      </c>
      <c r="H96" t="s">
        <v>4468</v>
      </c>
      <c r="I96">
        <v>1</v>
      </c>
      <c r="J96">
        <v>-23.629999160766602</v>
      </c>
      <c r="AC96">
        <v>2.37</v>
      </c>
      <c r="AD96">
        <v>2.93</v>
      </c>
    </row>
    <row r="97" spans="1:32" x14ac:dyDescent="0.3">
      <c r="A97">
        <v>219</v>
      </c>
      <c r="B97" t="s">
        <v>938</v>
      </c>
      <c r="C97" t="s">
        <v>251</v>
      </c>
      <c r="D97" t="s">
        <v>39</v>
      </c>
      <c r="E97" t="s">
        <v>22</v>
      </c>
      <c r="F97" s="30">
        <v>44926</v>
      </c>
      <c r="G97" t="s">
        <v>940</v>
      </c>
      <c r="H97" t="s">
        <v>4468</v>
      </c>
      <c r="I97">
        <v>1</v>
      </c>
      <c r="J97">
        <v>-66.709999084472656</v>
      </c>
      <c r="O97">
        <v>1844</v>
      </c>
      <c r="P97">
        <v>2699</v>
      </c>
      <c r="Q97">
        <v>9366</v>
      </c>
      <c r="R97">
        <v>0</v>
      </c>
      <c r="S97">
        <v>2094</v>
      </c>
      <c r="T97">
        <v>2617</v>
      </c>
      <c r="U97">
        <v>18383</v>
      </c>
      <c r="V97">
        <v>78</v>
      </c>
      <c r="W97">
        <v>391250</v>
      </c>
      <c r="X97">
        <v>390991</v>
      </c>
    </row>
    <row r="98" spans="1:32" x14ac:dyDescent="0.3">
      <c r="A98">
        <v>219</v>
      </c>
      <c r="B98" t="s">
        <v>938</v>
      </c>
      <c r="C98" t="s">
        <v>251</v>
      </c>
      <c r="D98" t="s">
        <v>39</v>
      </c>
      <c r="E98" t="s">
        <v>22</v>
      </c>
      <c r="F98" s="30">
        <v>44926</v>
      </c>
      <c r="G98" t="s">
        <v>940</v>
      </c>
      <c r="H98" t="s">
        <v>4470</v>
      </c>
      <c r="I98">
        <v>1</v>
      </c>
      <c r="J98">
        <v>-185.92999267578119</v>
      </c>
      <c r="O98">
        <v>717</v>
      </c>
      <c r="P98">
        <v>34</v>
      </c>
      <c r="Q98">
        <v>9553</v>
      </c>
      <c r="R98">
        <v>2435</v>
      </c>
      <c r="S98">
        <v>651</v>
      </c>
      <c r="T98">
        <v>45</v>
      </c>
      <c r="U98">
        <v>5974</v>
      </c>
      <c r="V98">
        <v>2317</v>
      </c>
      <c r="W98">
        <v>304950</v>
      </c>
      <c r="X98">
        <v>75240</v>
      </c>
    </row>
    <row r="99" spans="1:32" x14ac:dyDescent="0.3">
      <c r="A99">
        <v>219</v>
      </c>
      <c r="B99" t="s">
        <v>938</v>
      </c>
      <c r="C99" t="s">
        <v>251</v>
      </c>
      <c r="D99" t="s">
        <v>39</v>
      </c>
      <c r="E99" t="s">
        <v>22</v>
      </c>
      <c r="F99" s="30">
        <v>44926</v>
      </c>
      <c r="G99" t="s">
        <v>940</v>
      </c>
      <c r="H99" t="s">
        <v>4469</v>
      </c>
      <c r="I99">
        <v>1</v>
      </c>
      <c r="J99">
        <v>-27.469999313354489</v>
      </c>
      <c r="O99">
        <v>260</v>
      </c>
      <c r="P99">
        <v>798</v>
      </c>
      <c r="Q99">
        <v>9398</v>
      </c>
      <c r="R99">
        <v>105</v>
      </c>
      <c r="S99">
        <v>277</v>
      </c>
      <c r="T99">
        <v>815</v>
      </c>
      <c r="U99">
        <v>11401</v>
      </c>
      <c r="V99">
        <v>88</v>
      </c>
      <c r="W99">
        <v>133760</v>
      </c>
      <c r="X99">
        <v>125003</v>
      </c>
    </row>
    <row r="100" spans="1:32" x14ac:dyDescent="0.3">
      <c r="A100">
        <v>220</v>
      </c>
      <c r="B100" t="s">
        <v>947</v>
      </c>
      <c r="C100" t="s">
        <v>251</v>
      </c>
      <c r="D100" t="s">
        <v>39</v>
      </c>
      <c r="E100" t="s">
        <v>22</v>
      </c>
      <c r="F100" s="30">
        <v>44926</v>
      </c>
      <c r="G100" t="s">
        <v>949</v>
      </c>
      <c r="H100" t="s">
        <v>4468</v>
      </c>
      <c r="I100">
        <v>1</v>
      </c>
      <c r="J100">
        <v>-136.6000061035156</v>
      </c>
      <c r="O100">
        <v>1844</v>
      </c>
      <c r="P100">
        <v>2699</v>
      </c>
      <c r="Q100">
        <v>9366</v>
      </c>
      <c r="R100">
        <v>0</v>
      </c>
      <c r="S100">
        <v>2094</v>
      </c>
      <c r="T100">
        <v>2617</v>
      </c>
      <c r="U100">
        <v>18383</v>
      </c>
      <c r="V100">
        <v>78</v>
      </c>
      <c r="Y100">
        <v>5776</v>
      </c>
      <c r="Z100">
        <v>4067</v>
      </c>
    </row>
    <row r="101" spans="1:32" x14ac:dyDescent="0.3">
      <c r="A101">
        <v>220</v>
      </c>
      <c r="B101" t="s">
        <v>947</v>
      </c>
      <c r="C101" t="s">
        <v>251</v>
      </c>
      <c r="D101" t="s">
        <v>39</v>
      </c>
      <c r="E101" t="s">
        <v>22</v>
      </c>
      <c r="F101" s="30">
        <v>44926</v>
      </c>
      <c r="G101" t="s">
        <v>949</v>
      </c>
      <c r="H101" t="s">
        <v>4470</v>
      </c>
      <c r="I101">
        <v>1</v>
      </c>
      <c r="J101">
        <v>-78.519996643066406</v>
      </c>
      <c r="O101">
        <v>717</v>
      </c>
      <c r="P101">
        <v>34</v>
      </c>
      <c r="Q101">
        <v>9553</v>
      </c>
      <c r="R101">
        <v>2435</v>
      </c>
      <c r="S101">
        <v>651</v>
      </c>
      <c r="T101">
        <v>45</v>
      </c>
      <c r="U101">
        <v>5974</v>
      </c>
      <c r="V101">
        <v>2317</v>
      </c>
      <c r="Y101">
        <v>2194</v>
      </c>
      <c r="Z101">
        <v>867</v>
      </c>
    </row>
    <row r="102" spans="1:32" x14ac:dyDescent="0.3">
      <c r="A102">
        <v>220</v>
      </c>
      <c r="B102" t="s">
        <v>947</v>
      </c>
      <c r="C102" t="s">
        <v>251</v>
      </c>
      <c r="D102" t="s">
        <v>39</v>
      </c>
      <c r="E102" t="s">
        <v>22</v>
      </c>
      <c r="F102" s="30">
        <v>44926</v>
      </c>
      <c r="G102" t="s">
        <v>949</v>
      </c>
      <c r="H102" t="s">
        <v>4469</v>
      </c>
      <c r="I102">
        <v>1</v>
      </c>
      <c r="J102">
        <v>-35.599998474121087</v>
      </c>
      <c r="O102">
        <v>260</v>
      </c>
      <c r="P102">
        <v>798</v>
      </c>
      <c r="Q102">
        <v>9398</v>
      </c>
      <c r="R102">
        <v>105</v>
      </c>
      <c r="S102">
        <v>277</v>
      </c>
      <c r="T102">
        <v>815</v>
      </c>
      <c r="U102">
        <v>11401</v>
      </c>
      <c r="V102">
        <v>88</v>
      </c>
      <c r="Y102">
        <v>955</v>
      </c>
      <c r="Z102">
        <v>839</v>
      </c>
    </row>
    <row r="103" spans="1:32" x14ac:dyDescent="0.3">
      <c r="A103">
        <v>427</v>
      </c>
      <c r="B103" t="s">
        <v>2212</v>
      </c>
      <c r="C103" t="s">
        <v>251</v>
      </c>
      <c r="D103" t="s">
        <v>39</v>
      </c>
      <c r="E103" t="s">
        <v>56</v>
      </c>
      <c r="F103" s="30">
        <v>44926</v>
      </c>
      <c r="G103" t="s">
        <v>4473</v>
      </c>
      <c r="H103" t="s">
        <v>4468</v>
      </c>
      <c r="I103">
        <v>0.3</v>
      </c>
      <c r="J103">
        <v>0.41999998688697809</v>
      </c>
      <c r="O103">
        <v>1844</v>
      </c>
      <c r="P103">
        <v>2699</v>
      </c>
      <c r="Q103">
        <v>9366</v>
      </c>
      <c r="R103">
        <v>0</v>
      </c>
      <c r="Y103">
        <v>5776</v>
      </c>
    </row>
    <row r="104" spans="1:32" x14ac:dyDescent="0.3">
      <c r="A104">
        <v>427</v>
      </c>
      <c r="B104" t="s">
        <v>2212</v>
      </c>
      <c r="C104" t="s">
        <v>251</v>
      </c>
      <c r="D104" t="s">
        <v>39</v>
      </c>
      <c r="E104" t="s">
        <v>56</v>
      </c>
      <c r="F104" s="30">
        <v>44926</v>
      </c>
      <c r="G104" t="s">
        <v>4473</v>
      </c>
      <c r="H104" t="s">
        <v>4470</v>
      </c>
      <c r="I104">
        <v>0.15</v>
      </c>
      <c r="J104">
        <v>0.17000000178813929</v>
      </c>
      <c r="O104">
        <v>717</v>
      </c>
      <c r="P104">
        <v>34</v>
      </c>
      <c r="Q104">
        <v>9553</v>
      </c>
      <c r="R104">
        <v>2435</v>
      </c>
      <c r="Y104">
        <v>2194</v>
      </c>
    </row>
    <row r="105" spans="1:32" x14ac:dyDescent="0.3">
      <c r="A105">
        <v>427</v>
      </c>
      <c r="B105" t="s">
        <v>2212</v>
      </c>
      <c r="C105" t="s">
        <v>251</v>
      </c>
      <c r="D105" t="s">
        <v>39</v>
      </c>
      <c r="E105" t="s">
        <v>56</v>
      </c>
      <c r="F105" s="30">
        <v>44926</v>
      </c>
      <c r="G105" t="s">
        <v>4473</v>
      </c>
      <c r="H105" t="s">
        <v>4469</v>
      </c>
      <c r="I105">
        <v>0.1</v>
      </c>
      <c r="J105">
        <v>9.0000003576278687E-2</v>
      </c>
      <c r="O105">
        <v>260</v>
      </c>
      <c r="P105">
        <v>798</v>
      </c>
      <c r="Q105">
        <v>9398</v>
      </c>
      <c r="R105">
        <v>105</v>
      </c>
      <c r="Y105">
        <v>955</v>
      </c>
    </row>
    <row r="106" spans="1:32" x14ac:dyDescent="0.3">
      <c r="A106">
        <v>428</v>
      </c>
      <c r="B106" t="s">
        <v>2219</v>
      </c>
      <c r="C106" t="s">
        <v>251</v>
      </c>
      <c r="D106" t="s">
        <v>39</v>
      </c>
      <c r="E106" t="s">
        <v>56</v>
      </c>
      <c r="F106" s="30">
        <v>44926</v>
      </c>
      <c r="G106" t="s">
        <v>4474</v>
      </c>
      <c r="H106" t="s">
        <v>4468</v>
      </c>
      <c r="I106">
        <v>22</v>
      </c>
      <c r="J106">
        <v>28.129999160766602</v>
      </c>
      <c r="O106">
        <v>1844</v>
      </c>
      <c r="P106">
        <v>2699</v>
      </c>
      <c r="Q106">
        <v>9366</v>
      </c>
      <c r="R106">
        <v>0</v>
      </c>
      <c r="W106">
        <v>391250</v>
      </c>
    </row>
    <row r="107" spans="1:32" x14ac:dyDescent="0.3">
      <c r="A107">
        <v>428</v>
      </c>
      <c r="B107" t="s">
        <v>2219</v>
      </c>
      <c r="C107" t="s">
        <v>251</v>
      </c>
      <c r="D107" t="s">
        <v>39</v>
      </c>
      <c r="E107" t="s">
        <v>56</v>
      </c>
      <c r="F107" s="30">
        <v>44926</v>
      </c>
      <c r="G107" t="s">
        <v>4474</v>
      </c>
      <c r="H107" t="s">
        <v>4470</v>
      </c>
      <c r="I107">
        <v>25</v>
      </c>
      <c r="J107">
        <v>23.940000534057621</v>
      </c>
      <c r="O107">
        <v>717</v>
      </c>
      <c r="P107">
        <v>34</v>
      </c>
      <c r="Q107">
        <v>9553</v>
      </c>
      <c r="R107">
        <v>2435</v>
      </c>
      <c r="W107">
        <v>304950</v>
      </c>
    </row>
    <row r="108" spans="1:32" x14ac:dyDescent="0.3">
      <c r="A108">
        <v>428</v>
      </c>
      <c r="B108" t="s">
        <v>2219</v>
      </c>
      <c r="C108" t="s">
        <v>251</v>
      </c>
      <c r="D108" t="s">
        <v>39</v>
      </c>
      <c r="E108" t="s">
        <v>56</v>
      </c>
      <c r="F108" s="30">
        <v>44926</v>
      </c>
      <c r="G108" t="s">
        <v>4474</v>
      </c>
      <c r="H108" t="s">
        <v>4469</v>
      </c>
      <c r="I108">
        <v>11</v>
      </c>
      <c r="J108">
        <v>12.670000076293951</v>
      </c>
      <c r="O108">
        <v>260</v>
      </c>
      <c r="P108">
        <v>798</v>
      </c>
      <c r="Q108">
        <v>9398</v>
      </c>
      <c r="R108">
        <v>105</v>
      </c>
      <c r="W108">
        <v>133760</v>
      </c>
    </row>
    <row r="109" spans="1:32" x14ac:dyDescent="0.3">
      <c r="A109">
        <v>429</v>
      </c>
      <c r="B109" t="s">
        <v>2226</v>
      </c>
      <c r="C109" t="s">
        <v>251</v>
      </c>
      <c r="D109" t="s">
        <v>39</v>
      </c>
      <c r="E109" t="s">
        <v>56</v>
      </c>
      <c r="F109" s="30">
        <v>44926</v>
      </c>
      <c r="G109" t="s">
        <v>4475</v>
      </c>
      <c r="H109" t="s">
        <v>4468</v>
      </c>
      <c r="I109">
        <v>0.4</v>
      </c>
      <c r="J109">
        <v>0.41999998688697809</v>
      </c>
      <c r="O109">
        <v>1844</v>
      </c>
      <c r="P109">
        <v>2699</v>
      </c>
      <c r="Q109">
        <v>9366</v>
      </c>
      <c r="R109">
        <v>0</v>
      </c>
      <c r="AA109">
        <v>3063</v>
      </c>
      <c r="AB109">
        <v>2825</v>
      </c>
    </row>
    <row r="110" spans="1:32" x14ac:dyDescent="0.3">
      <c r="A110">
        <v>429</v>
      </c>
      <c r="B110" t="s">
        <v>2226</v>
      </c>
      <c r="C110" t="s">
        <v>251</v>
      </c>
      <c r="D110" t="s">
        <v>39</v>
      </c>
      <c r="E110" t="s">
        <v>56</v>
      </c>
      <c r="F110" s="30">
        <v>44926</v>
      </c>
      <c r="G110" t="s">
        <v>4475</v>
      </c>
      <c r="H110" t="s">
        <v>4470</v>
      </c>
      <c r="I110">
        <v>0.38</v>
      </c>
      <c r="J110">
        <v>0.10999999940395359</v>
      </c>
      <c r="O110">
        <v>717</v>
      </c>
      <c r="P110">
        <v>34</v>
      </c>
      <c r="Q110">
        <v>9553</v>
      </c>
      <c r="R110">
        <v>2435</v>
      </c>
      <c r="AA110">
        <v>0</v>
      </c>
      <c r="AB110">
        <v>1453.95</v>
      </c>
    </row>
    <row r="111" spans="1:32" x14ac:dyDescent="0.3">
      <c r="A111">
        <v>216</v>
      </c>
      <c r="B111" t="s">
        <v>835</v>
      </c>
      <c r="C111" t="s">
        <v>251</v>
      </c>
      <c r="D111" t="s">
        <v>139</v>
      </c>
      <c r="E111" t="s">
        <v>22</v>
      </c>
      <c r="F111" s="30">
        <v>44926</v>
      </c>
      <c r="G111" t="s">
        <v>836</v>
      </c>
      <c r="H111" t="s">
        <v>4468</v>
      </c>
      <c r="I111">
        <v>100</v>
      </c>
      <c r="J111">
        <v>100</v>
      </c>
      <c r="AE111">
        <v>1067</v>
      </c>
      <c r="AF111">
        <v>1067</v>
      </c>
    </row>
    <row r="112" spans="1:32" x14ac:dyDescent="0.3">
      <c r="A112">
        <v>216</v>
      </c>
      <c r="B112" t="s">
        <v>835</v>
      </c>
      <c r="C112" t="s">
        <v>251</v>
      </c>
      <c r="D112" t="s">
        <v>139</v>
      </c>
      <c r="E112" t="s">
        <v>22</v>
      </c>
      <c r="F112" s="30">
        <v>44926</v>
      </c>
      <c r="G112" t="s">
        <v>836</v>
      </c>
      <c r="H112" t="s">
        <v>4470</v>
      </c>
      <c r="I112">
        <v>100</v>
      </c>
      <c r="J112">
        <v>100</v>
      </c>
      <c r="AE112">
        <v>14.08</v>
      </c>
      <c r="AF112">
        <v>14.08</v>
      </c>
    </row>
    <row r="113" spans="1:44" x14ac:dyDescent="0.3">
      <c r="A113">
        <v>216</v>
      </c>
      <c r="B113" t="s">
        <v>835</v>
      </c>
      <c r="C113" t="s">
        <v>251</v>
      </c>
      <c r="D113" t="s">
        <v>139</v>
      </c>
      <c r="E113" t="s">
        <v>22</v>
      </c>
      <c r="F113" s="30">
        <v>44926</v>
      </c>
      <c r="G113" t="s">
        <v>836</v>
      </c>
      <c r="H113" t="s">
        <v>4469</v>
      </c>
      <c r="I113">
        <v>100</v>
      </c>
      <c r="J113">
        <v>100</v>
      </c>
      <c r="AE113">
        <v>60.81</v>
      </c>
      <c r="AF113">
        <v>60.81</v>
      </c>
    </row>
    <row r="114" spans="1:44" x14ac:dyDescent="0.3">
      <c r="A114">
        <v>221</v>
      </c>
      <c r="B114" t="s">
        <v>956</v>
      </c>
      <c r="C114" t="s">
        <v>251</v>
      </c>
      <c r="D114" t="s">
        <v>139</v>
      </c>
      <c r="E114" t="s">
        <v>22</v>
      </c>
      <c r="F114" s="30">
        <v>44926</v>
      </c>
      <c r="G114" t="s">
        <v>957</v>
      </c>
      <c r="H114" t="s">
        <v>4468</v>
      </c>
      <c r="I114">
        <v>100</v>
      </c>
      <c r="J114">
        <v>100</v>
      </c>
      <c r="AG114">
        <v>10</v>
      </c>
      <c r="AH114">
        <v>10</v>
      </c>
    </row>
    <row r="115" spans="1:44" x14ac:dyDescent="0.3">
      <c r="A115">
        <v>221</v>
      </c>
      <c r="B115" t="s">
        <v>956</v>
      </c>
      <c r="C115" t="s">
        <v>251</v>
      </c>
      <c r="D115" t="s">
        <v>139</v>
      </c>
      <c r="E115" t="s">
        <v>22</v>
      </c>
      <c r="F115" s="30">
        <v>44926</v>
      </c>
      <c r="G115" t="s">
        <v>957</v>
      </c>
      <c r="H115" t="s">
        <v>4470</v>
      </c>
      <c r="I115">
        <v>100</v>
      </c>
      <c r="J115">
        <v>100</v>
      </c>
      <c r="AG115">
        <v>4</v>
      </c>
      <c r="AH115">
        <v>4</v>
      </c>
    </row>
    <row r="116" spans="1:44" x14ac:dyDescent="0.3">
      <c r="A116">
        <v>222</v>
      </c>
      <c r="B116" t="s">
        <v>961</v>
      </c>
      <c r="C116" t="s">
        <v>251</v>
      </c>
      <c r="D116" t="s">
        <v>139</v>
      </c>
      <c r="E116" t="s">
        <v>22</v>
      </c>
      <c r="F116" s="30">
        <v>44926</v>
      </c>
      <c r="G116" t="s">
        <v>962</v>
      </c>
      <c r="H116" t="s">
        <v>4468</v>
      </c>
      <c r="I116">
        <v>90</v>
      </c>
      <c r="J116">
        <v>93.75</v>
      </c>
      <c r="AI116">
        <v>30</v>
      </c>
      <c r="AJ116">
        <v>32</v>
      </c>
    </row>
    <row r="117" spans="1:44" x14ac:dyDescent="0.3">
      <c r="A117">
        <v>224</v>
      </c>
      <c r="B117" t="s">
        <v>971</v>
      </c>
      <c r="C117" t="s">
        <v>251</v>
      </c>
      <c r="D117" t="s">
        <v>139</v>
      </c>
      <c r="E117" t="s">
        <v>22</v>
      </c>
      <c r="F117" s="30">
        <v>44926</v>
      </c>
      <c r="G117" t="s">
        <v>972</v>
      </c>
      <c r="H117" t="s">
        <v>4468</v>
      </c>
      <c r="I117">
        <v>100</v>
      </c>
      <c r="J117">
        <v>81.819999694824219</v>
      </c>
      <c r="AK117">
        <v>9</v>
      </c>
      <c r="AL117">
        <v>11</v>
      </c>
    </row>
    <row r="118" spans="1:44" x14ac:dyDescent="0.3">
      <c r="A118">
        <v>224</v>
      </c>
      <c r="B118" t="s">
        <v>971</v>
      </c>
      <c r="C118" t="s">
        <v>251</v>
      </c>
      <c r="D118" t="s">
        <v>139</v>
      </c>
      <c r="E118" t="s">
        <v>22</v>
      </c>
      <c r="F118" s="30">
        <v>44926</v>
      </c>
      <c r="G118" t="s">
        <v>972</v>
      </c>
      <c r="H118" t="s">
        <v>4470</v>
      </c>
      <c r="I118">
        <v>100</v>
      </c>
      <c r="J118">
        <v>33.330001831054688</v>
      </c>
      <c r="AK118">
        <v>1</v>
      </c>
      <c r="AL118">
        <v>3</v>
      </c>
    </row>
    <row r="119" spans="1:44" x14ac:dyDescent="0.3">
      <c r="A119">
        <v>226</v>
      </c>
      <c r="B119" t="s">
        <v>1025</v>
      </c>
      <c r="C119" t="s">
        <v>251</v>
      </c>
      <c r="D119" t="s">
        <v>139</v>
      </c>
      <c r="E119" t="s">
        <v>22</v>
      </c>
      <c r="F119" s="30">
        <v>44926</v>
      </c>
      <c r="G119" t="s">
        <v>1026</v>
      </c>
      <c r="H119" t="s">
        <v>4470</v>
      </c>
      <c r="I119">
        <v>2</v>
      </c>
      <c r="J119">
        <v>105.19000244140619</v>
      </c>
      <c r="AM119">
        <v>105.19</v>
      </c>
    </row>
    <row r="120" spans="1:44" x14ac:dyDescent="0.3">
      <c r="A120">
        <v>226</v>
      </c>
      <c r="B120" t="s">
        <v>1025</v>
      </c>
      <c r="C120" t="s">
        <v>251</v>
      </c>
      <c r="D120" t="s">
        <v>139</v>
      </c>
      <c r="E120" t="s">
        <v>22</v>
      </c>
      <c r="F120" s="30">
        <v>44926</v>
      </c>
      <c r="G120" t="s">
        <v>1026</v>
      </c>
      <c r="H120" t="s">
        <v>4468</v>
      </c>
      <c r="I120">
        <v>2</v>
      </c>
      <c r="J120">
        <v>268.64999389648438</v>
      </c>
      <c r="AM120">
        <v>268.64999999999998</v>
      </c>
    </row>
    <row r="121" spans="1:44" x14ac:dyDescent="0.3">
      <c r="A121">
        <v>226</v>
      </c>
      <c r="B121" t="s">
        <v>1025</v>
      </c>
      <c r="C121" t="s">
        <v>251</v>
      </c>
      <c r="D121" t="s">
        <v>139</v>
      </c>
      <c r="E121" t="s">
        <v>22</v>
      </c>
      <c r="F121" s="30">
        <v>44926</v>
      </c>
      <c r="G121" t="s">
        <v>1026</v>
      </c>
      <c r="H121" t="s">
        <v>4476</v>
      </c>
      <c r="I121">
        <v>2</v>
      </c>
      <c r="J121">
        <v>4.8299999237060547</v>
      </c>
      <c r="AM121">
        <v>4.83</v>
      </c>
    </row>
    <row r="122" spans="1:44" x14ac:dyDescent="0.3">
      <c r="A122">
        <v>226</v>
      </c>
      <c r="B122" t="s">
        <v>1025</v>
      </c>
      <c r="C122" t="s">
        <v>251</v>
      </c>
      <c r="D122" t="s">
        <v>139</v>
      </c>
      <c r="E122" t="s">
        <v>22</v>
      </c>
      <c r="F122" s="30">
        <v>44926</v>
      </c>
      <c r="G122" t="s">
        <v>1026</v>
      </c>
      <c r="H122" t="s">
        <v>4469</v>
      </c>
      <c r="I122">
        <v>2</v>
      </c>
      <c r="J122">
        <v>97.819999694824219</v>
      </c>
      <c r="AM122">
        <v>97.82</v>
      </c>
    </row>
    <row r="123" spans="1:44" x14ac:dyDescent="0.3">
      <c r="A123">
        <v>227</v>
      </c>
      <c r="B123" t="s">
        <v>1029</v>
      </c>
      <c r="C123" t="s">
        <v>251</v>
      </c>
      <c r="D123" t="s">
        <v>139</v>
      </c>
      <c r="E123" t="s">
        <v>56</v>
      </c>
      <c r="F123" s="30">
        <v>44926</v>
      </c>
      <c r="G123" t="s">
        <v>1030</v>
      </c>
      <c r="H123" t="s">
        <v>4468</v>
      </c>
      <c r="I123">
        <v>0.3</v>
      </c>
      <c r="J123">
        <v>9.9999997764825821E-3</v>
      </c>
      <c r="AM123">
        <v>268.64999999999998</v>
      </c>
      <c r="AN123">
        <v>3938</v>
      </c>
      <c r="AO123">
        <v>5316</v>
      </c>
      <c r="AP123">
        <v>27750</v>
      </c>
      <c r="AQ123">
        <v>78</v>
      </c>
    </row>
    <row r="124" spans="1:44" x14ac:dyDescent="0.3">
      <c r="A124">
        <v>227</v>
      </c>
      <c r="B124" t="s">
        <v>1029</v>
      </c>
      <c r="C124" t="s">
        <v>251</v>
      </c>
      <c r="D124" t="s">
        <v>139</v>
      </c>
      <c r="E124" t="s">
        <v>56</v>
      </c>
      <c r="F124" s="30">
        <v>44926</v>
      </c>
      <c r="G124" t="s">
        <v>1030</v>
      </c>
      <c r="H124" t="s">
        <v>4470</v>
      </c>
      <c r="I124">
        <v>0.3</v>
      </c>
      <c r="AM124">
        <v>105.19</v>
      </c>
      <c r="AN124">
        <v>1368</v>
      </c>
      <c r="AO124">
        <v>76</v>
      </c>
      <c r="AP124">
        <v>15526</v>
      </c>
      <c r="AQ124">
        <v>4752</v>
      </c>
    </row>
    <row r="125" spans="1:44" x14ac:dyDescent="0.3">
      <c r="A125">
        <v>227</v>
      </c>
      <c r="B125" t="s">
        <v>1029</v>
      </c>
      <c r="C125" t="s">
        <v>251</v>
      </c>
      <c r="D125" t="s">
        <v>139</v>
      </c>
      <c r="E125" t="s">
        <v>56</v>
      </c>
      <c r="F125" s="30">
        <v>44926</v>
      </c>
      <c r="G125" t="s">
        <v>1030</v>
      </c>
      <c r="H125" t="s">
        <v>4469</v>
      </c>
      <c r="I125">
        <v>0.3</v>
      </c>
      <c r="AM125">
        <v>97.82</v>
      </c>
      <c r="AN125">
        <v>537</v>
      </c>
      <c r="AO125">
        <v>1613</v>
      </c>
      <c r="AP125">
        <v>20799</v>
      </c>
      <c r="AQ125">
        <v>193</v>
      </c>
    </row>
    <row r="126" spans="1:44" x14ac:dyDescent="0.3">
      <c r="A126">
        <v>227</v>
      </c>
      <c r="B126" t="s">
        <v>1029</v>
      </c>
      <c r="C126" t="s">
        <v>251</v>
      </c>
      <c r="D126" t="s">
        <v>139</v>
      </c>
      <c r="E126" t="s">
        <v>56</v>
      </c>
      <c r="F126" s="30">
        <v>44926</v>
      </c>
      <c r="G126" t="s">
        <v>1030</v>
      </c>
      <c r="H126" t="s">
        <v>4476</v>
      </c>
      <c r="I126">
        <v>0.3</v>
      </c>
      <c r="AM126">
        <v>4.83</v>
      </c>
      <c r="AN126">
        <v>33</v>
      </c>
      <c r="AO126">
        <v>43</v>
      </c>
      <c r="AP126">
        <v>4268</v>
      </c>
      <c r="AQ126">
        <v>0</v>
      </c>
    </row>
    <row r="127" spans="1:44" x14ac:dyDescent="0.3">
      <c r="A127">
        <v>228</v>
      </c>
      <c r="B127" t="s">
        <v>1033</v>
      </c>
      <c r="C127" t="s">
        <v>251</v>
      </c>
      <c r="D127" t="s">
        <v>139</v>
      </c>
      <c r="E127" t="s">
        <v>22</v>
      </c>
      <c r="F127" s="30">
        <v>44926</v>
      </c>
      <c r="G127" t="s">
        <v>1035</v>
      </c>
      <c r="H127" t="s">
        <v>4476</v>
      </c>
      <c r="I127">
        <v>100</v>
      </c>
      <c r="J127">
        <v>100</v>
      </c>
      <c r="AM127">
        <v>4.83</v>
      </c>
      <c r="AR127">
        <v>4.83</v>
      </c>
    </row>
    <row r="128" spans="1:44" x14ac:dyDescent="0.3">
      <c r="A128">
        <v>228</v>
      </c>
      <c r="B128" t="s">
        <v>1033</v>
      </c>
      <c r="C128" t="s">
        <v>251</v>
      </c>
      <c r="D128" t="s">
        <v>139</v>
      </c>
      <c r="E128" t="s">
        <v>22</v>
      </c>
      <c r="F128" s="30">
        <v>44926</v>
      </c>
      <c r="G128" t="s">
        <v>1035</v>
      </c>
      <c r="H128" t="s">
        <v>4468</v>
      </c>
      <c r="I128">
        <v>100</v>
      </c>
      <c r="J128">
        <v>100.19000244140619</v>
      </c>
      <c r="AM128">
        <v>268.64999999999998</v>
      </c>
      <c r="AR128">
        <v>269.16000000000003</v>
      </c>
    </row>
    <row r="129" spans="1:45" x14ac:dyDescent="0.3">
      <c r="A129">
        <v>208</v>
      </c>
      <c r="B129" t="s">
        <v>707</v>
      </c>
      <c r="C129" t="s">
        <v>251</v>
      </c>
      <c r="D129" t="s">
        <v>73</v>
      </c>
      <c r="E129" t="s">
        <v>56</v>
      </c>
      <c r="F129" s="30">
        <v>44957</v>
      </c>
      <c r="G129" t="s">
        <v>721</v>
      </c>
      <c r="H129" t="s">
        <v>4468</v>
      </c>
      <c r="I129">
        <v>1</v>
      </c>
      <c r="J129">
        <v>617</v>
      </c>
      <c r="K129">
        <v>616.79999999999995</v>
      </c>
    </row>
    <row r="130" spans="1:45" x14ac:dyDescent="0.3">
      <c r="A130">
        <v>208</v>
      </c>
      <c r="B130" t="s">
        <v>707</v>
      </c>
      <c r="C130" t="s">
        <v>251</v>
      </c>
      <c r="D130" t="s">
        <v>73</v>
      </c>
      <c r="E130" t="s">
        <v>56</v>
      </c>
      <c r="F130" s="30">
        <v>44957</v>
      </c>
      <c r="G130" t="s">
        <v>721</v>
      </c>
      <c r="H130" t="s">
        <v>4470</v>
      </c>
      <c r="I130">
        <v>1</v>
      </c>
      <c r="J130">
        <v>324</v>
      </c>
      <c r="K130">
        <v>324</v>
      </c>
    </row>
    <row r="131" spans="1:45" x14ac:dyDescent="0.3">
      <c r="A131">
        <v>208</v>
      </c>
      <c r="B131" t="s">
        <v>707</v>
      </c>
      <c r="C131" t="s">
        <v>251</v>
      </c>
      <c r="D131" t="s">
        <v>73</v>
      </c>
      <c r="E131" t="s">
        <v>56</v>
      </c>
      <c r="F131" s="30">
        <v>44957</v>
      </c>
      <c r="G131" t="s">
        <v>721</v>
      </c>
      <c r="H131" t="s">
        <v>4477</v>
      </c>
      <c r="I131">
        <v>1</v>
      </c>
      <c r="J131">
        <v>0</v>
      </c>
      <c r="K131">
        <v>0</v>
      </c>
    </row>
    <row r="132" spans="1:45" x14ac:dyDescent="0.3">
      <c r="A132">
        <v>208</v>
      </c>
      <c r="B132" t="s">
        <v>707</v>
      </c>
      <c r="C132" t="s">
        <v>251</v>
      </c>
      <c r="D132" t="s">
        <v>73</v>
      </c>
      <c r="E132" t="s">
        <v>56</v>
      </c>
      <c r="F132" s="30">
        <v>44957</v>
      </c>
      <c r="G132" t="s">
        <v>721</v>
      </c>
      <c r="H132" t="s">
        <v>4469</v>
      </c>
      <c r="I132">
        <v>1</v>
      </c>
      <c r="J132">
        <v>78</v>
      </c>
      <c r="K132">
        <v>78</v>
      </c>
    </row>
    <row r="133" spans="1:45" x14ac:dyDescent="0.3">
      <c r="A133">
        <v>208</v>
      </c>
      <c r="B133" t="s">
        <v>707</v>
      </c>
      <c r="C133" t="s">
        <v>251</v>
      </c>
      <c r="D133" t="s">
        <v>73</v>
      </c>
      <c r="E133" t="s">
        <v>56</v>
      </c>
      <c r="F133" s="30">
        <v>44957</v>
      </c>
      <c r="G133" t="s">
        <v>721</v>
      </c>
      <c r="H133" t="s">
        <v>4476</v>
      </c>
      <c r="I133">
        <v>0</v>
      </c>
      <c r="J133">
        <v>0</v>
      </c>
      <c r="K133">
        <v>0</v>
      </c>
    </row>
    <row r="134" spans="1:45" x14ac:dyDescent="0.3">
      <c r="A134">
        <v>208</v>
      </c>
      <c r="B134" t="s">
        <v>707</v>
      </c>
      <c r="C134" t="s">
        <v>251</v>
      </c>
      <c r="D134" t="s">
        <v>73</v>
      </c>
      <c r="E134" t="s">
        <v>56</v>
      </c>
      <c r="F134" s="30">
        <v>44957</v>
      </c>
      <c r="G134" t="s">
        <v>721</v>
      </c>
      <c r="H134" t="s">
        <v>4478</v>
      </c>
      <c r="I134">
        <v>1</v>
      </c>
      <c r="J134">
        <v>0</v>
      </c>
      <c r="K134">
        <v>0</v>
      </c>
    </row>
    <row r="135" spans="1:45" x14ac:dyDescent="0.3">
      <c r="A135">
        <v>214</v>
      </c>
      <c r="B135" t="s">
        <v>774</v>
      </c>
      <c r="C135" t="s">
        <v>251</v>
      </c>
      <c r="D135" t="s">
        <v>73</v>
      </c>
      <c r="E135" t="s">
        <v>56</v>
      </c>
      <c r="F135" s="30">
        <v>44957</v>
      </c>
      <c r="G135" t="s">
        <v>788</v>
      </c>
      <c r="H135" t="s">
        <v>4468</v>
      </c>
      <c r="I135">
        <v>7500</v>
      </c>
      <c r="J135">
        <v>978</v>
      </c>
      <c r="L135">
        <v>785</v>
      </c>
      <c r="M135">
        <v>193</v>
      </c>
    </row>
    <row r="136" spans="1:45" x14ac:dyDescent="0.3">
      <c r="A136">
        <v>214</v>
      </c>
      <c r="B136" t="s">
        <v>774</v>
      </c>
      <c r="C136" t="s">
        <v>251</v>
      </c>
      <c r="D136" t="s">
        <v>73</v>
      </c>
      <c r="E136" t="s">
        <v>56</v>
      </c>
      <c r="F136" s="30">
        <v>44957</v>
      </c>
      <c r="G136" t="s">
        <v>788</v>
      </c>
      <c r="H136" t="s">
        <v>4470</v>
      </c>
      <c r="I136">
        <v>7500</v>
      </c>
      <c r="J136">
        <v>421.54998779296881</v>
      </c>
      <c r="L136">
        <v>0</v>
      </c>
      <c r="M136">
        <v>421.55</v>
      </c>
    </row>
    <row r="137" spans="1:45" x14ac:dyDescent="0.3">
      <c r="A137">
        <v>214</v>
      </c>
      <c r="B137" t="s">
        <v>774</v>
      </c>
      <c r="C137" t="s">
        <v>251</v>
      </c>
      <c r="D137" t="s">
        <v>73</v>
      </c>
      <c r="E137" t="s">
        <v>56</v>
      </c>
      <c r="F137" s="30">
        <v>44957</v>
      </c>
      <c r="G137" t="s">
        <v>788</v>
      </c>
      <c r="H137" t="s">
        <v>4477</v>
      </c>
      <c r="I137">
        <v>7500</v>
      </c>
      <c r="J137">
        <v>0</v>
      </c>
      <c r="L137">
        <v>0</v>
      </c>
      <c r="M137">
        <v>0</v>
      </c>
    </row>
    <row r="138" spans="1:45" x14ac:dyDescent="0.3">
      <c r="A138">
        <v>214</v>
      </c>
      <c r="B138" t="s">
        <v>774</v>
      </c>
      <c r="C138" t="s">
        <v>251</v>
      </c>
      <c r="D138" t="s">
        <v>73</v>
      </c>
      <c r="E138" t="s">
        <v>56</v>
      </c>
      <c r="F138" s="30">
        <v>44957</v>
      </c>
      <c r="G138" t="s">
        <v>788</v>
      </c>
      <c r="H138" t="s">
        <v>4469</v>
      </c>
      <c r="I138">
        <v>7500</v>
      </c>
      <c r="J138">
        <v>0</v>
      </c>
      <c r="L138">
        <v>0</v>
      </c>
      <c r="M138">
        <v>0</v>
      </c>
    </row>
    <row r="139" spans="1:45" x14ac:dyDescent="0.3">
      <c r="A139">
        <v>214</v>
      </c>
      <c r="B139" t="s">
        <v>774</v>
      </c>
      <c r="C139" t="s">
        <v>251</v>
      </c>
      <c r="D139" t="s">
        <v>73</v>
      </c>
      <c r="E139" t="s">
        <v>56</v>
      </c>
      <c r="F139" s="30">
        <v>44957</v>
      </c>
      <c r="G139" t="s">
        <v>788</v>
      </c>
      <c r="H139" t="s">
        <v>4476</v>
      </c>
      <c r="I139">
        <v>1</v>
      </c>
      <c r="J139">
        <v>0</v>
      </c>
      <c r="L139">
        <v>0</v>
      </c>
      <c r="M139">
        <v>0</v>
      </c>
    </row>
    <row r="140" spans="1:45" x14ac:dyDescent="0.3">
      <c r="A140">
        <v>214</v>
      </c>
      <c r="B140" t="s">
        <v>774</v>
      </c>
      <c r="C140" t="s">
        <v>251</v>
      </c>
      <c r="D140" t="s">
        <v>73</v>
      </c>
      <c r="E140" t="s">
        <v>56</v>
      </c>
      <c r="F140" s="30">
        <v>44957</v>
      </c>
      <c r="G140" t="s">
        <v>788</v>
      </c>
      <c r="H140" t="s">
        <v>4478</v>
      </c>
      <c r="I140">
        <v>1</v>
      </c>
      <c r="J140">
        <v>0</v>
      </c>
      <c r="L140">
        <v>0</v>
      </c>
      <c r="M140">
        <v>0</v>
      </c>
    </row>
    <row r="141" spans="1:45" x14ac:dyDescent="0.3">
      <c r="A141">
        <v>217</v>
      </c>
      <c r="B141" t="s">
        <v>840</v>
      </c>
      <c r="C141" t="s">
        <v>251</v>
      </c>
      <c r="D141" t="s">
        <v>73</v>
      </c>
      <c r="E141" t="s">
        <v>22</v>
      </c>
      <c r="F141" s="30">
        <v>44957</v>
      </c>
      <c r="G141" t="s">
        <v>852</v>
      </c>
      <c r="H141" t="s">
        <v>4468</v>
      </c>
      <c r="I141">
        <v>20</v>
      </c>
      <c r="J141">
        <v>80.269996643066406</v>
      </c>
      <c r="L141">
        <v>785</v>
      </c>
      <c r="M141">
        <v>193</v>
      </c>
      <c r="AS141">
        <v>785</v>
      </c>
    </row>
    <row r="142" spans="1:45" x14ac:dyDescent="0.3">
      <c r="A142">
        <v>217</v>
      </c>
      <c r="B142" t="s">
        <v>840</v>
      </c>
      <c r="C142" t="s">
        <v>251</v>
      </c>
      <c r="D142" t="s">
        <v>73</v>
      </c>
      <c r="E142" t="s">
        <v>22</v>
      </c>
      <c r="F142" s="30">
        <v>44957</v>
      </c>
      <c r="G142" t="s">
        <v>852</v>
      </c>
      <c r="H142" t="s">
        <v>4470</v>
      </c>
      <c r="I142">
        <v>20</v>
      </c>
      <c r="J142">
        <v>0</v>
      </c>
      <c r="L142">
        <v>0</v>
      </c>
      <c r="M142">
        <v>421.55</v>
      </c>
      <c r="AS142">
        <v>0</v>
      </c>
    </row>
    <row r="143" spans="1:45" x14ac:dyDescent="0.3">
      <c r="A143">
        <v>217</v>
      </c>
      <c r="B143" t="s">
        <v>840</v>
      </c>
      <c r="C143" t="s">
        <v>251</v>
      </c>
      <c r="D143" t="s">
        <v>73</v>
      </c>
      <c r="E143" t="s">
        <v>22</v>
      </c>
      <c r="F143" s="30">
        <v>44957</v>
      </c>
      <c r="G143" t="s">
        <v>852</v>
      </c>
      <c r="H143" t="s">
        <v>4477</v>
      </c>
      <c r="I143">
        <v>20</v>
      </c>
      <c r="J143">
        <v>0</v>
      </c>
      <c r="L143">
        <v>0</v>
      </c>
      <c r="M143">
        <v>0</v>
      </c>
      <c r="AS143">
        <v>0</v>
      </c>
    </row>
    <row r="144" spans="1:45" x14ac:dyDescent="0.3">
      <c r="A144">
        <v>217</v>
      </c>
      <c r="B144" t="s">
        <v>840</v>
      </c>
      <c r="C144" t="s">
        <v>251</v>
      </c>
      <c r="D144" t="s">
        <v>73</v>
      </c>
      <c r="E144" t="s">
        <v>22</v>
      </c>
      <c r="F144" s="30">
        <v>44957</v>
      </c>
      <c r="G144" t="s">
        <v>852</v>
      </c>
      <c r="H144" t="s">
        <v>4469</v>
      </c>
      <c r="I144">
        <v>20</v>
      </c>
      <c r="J144">
        <v>0</v>
      </c>
      <c r="L144">
        <v>0</v>
      </c>
      <c r="M144">
        <v>0</v>
      </c>
      <c r="AS144">
        <v>0</v>
      </c>
    </row>
    <row r="145" spans="1:47" x14ac:dyDescent="0.3">
      <c r="A145">
        <v>217</v>
      </c>
      <c r="B145" t="s">
        <v>840</v>
      </c>
      <c r="C145" t="s">
        <v>251</v>
      </c>
      <c r="D145" t="s">
        <v>73</v>
      </c>
      <c r="E145" t="s">
        <v>22</v>
      </c>
      <c r="F145" s="30">
        <v>44957</v>
      </c>
      <c r="G145" t="s">
        <v>852</v>
      </c>
      <c r="H145" t="s">
        <v>4476</v>
      </c>
      <c r="I145">
        <v>20</v>
      </c>
      <c r="J145">
        <v>0</v>
      </c>
      <c r="L145">
        <v>0</v>
      </c>
      <c r="M145">
        <v>0</v>
      </c>
      <c r="AS145">
        <v>0</v>
      </c>
    </row>
    <row r="146" spans="1:47" x14ac:dyDescent="0.3">
      <c r="A146">
        <v>217</v>
      </c>
      <c r="B146" t="s">
        <v>840</v>
      </c>
      <c r="C146" t="s">
        <v>251</v>
      </c>
      <c r="D146" t="s">
        <v>73</v>
      </c>
      <c r="E146" t="s">
        <v>22</v>
      </c>
      <c r="F146" s="30">
        <v>44957</v>
      </c>
      <c r="G146" t="s">
        <v>852</v>
      </c>
      <c r="H146" t="s">
        <v>4478</v>
      </c>
      <c r="I146">
        <v>20</v>
      </c>
      <c r="J146">
        <v>0</v>
      </c>
      <c r="L146">
        <v>0</v>
      </c>
      <c r="M146">
        <v>0</v>
      </c>
      <c r="AS146">
        <v>0</v>
      </c>
    </row>
    <row r="147" spans="1:47" x14ac:dyDescent="0.3">
      <c r="A147">
        <v>218</v>
      </c>
      <c r="B147" t="s">
        <v>888</v>
      </c>
      <c r="C147" t="s">
        <v>251</v>
      </c>
      <c r="D147" t="s">
        <v>73</v>
      </c>
      <c r="E147" t="s">
        <v>56</v>
      </c>
      <c r="F147" s="30">
        <v>44957</v>
      </c>
      <c r="G147" t="s">
        <v>902</v>
      </c>
      <c r="H147" t="s">
        <v>4468</v>
      </c>
      <c r="I147">
        <v>172000</v>
      </c>
      <c r="J147">
        <v>54265</v>
      </c>
      <c r="N147">
        <v>54265</v>
      </c>
    </row>
    <row r="148" spans="1:47" x14ac:dyDescent="0.3">
      <c r="A148">
        <v>218</v>
      </c>
      <c r="B148" t="s">
        <v>888</v>
      </c>
      <c r="C148" t="s">
        <v>251</v>
      </c>
      <c r="D148" t="s">
        <v>73</v>
      </c>
      <c r="E148" t="s">
        <v>56</v>
      </c>
      <c r="F148" s="30">
        <v>44957</v>
      </c>
      <c r="G148" t="s">
        <v>902</v>
      </c>
      <c r="H148" t="s">
        <v>4470</v>
      </c>
      <c r="I148">
        <v>172000</v>
      </c>
      <c r="J148">
        <v>47880</v>
      </c>
      <c r="N148">
        <v>47880</v>
      </c>
    </row>
    <row r="149" spans="1:47" x14ac:dyDescent="0.3">
      <c r="A149">
        <v>218</v>
      </c>
      <c r="B149" t="s">
        <v>888</v>
      </c>
      <c r="C149" t="s">
        <v>251</v>
      </c>
      <c r="D149" t="s">
        <v>73</v>
      </c>
      <c r="E149" t="s">
        <v>56</v>
      </c>
      <c r="F149" s="30">
        <v>44957</v>
      </c>
      <c r="G149" t="s">
        <v>902</v>
      </c>
      <c r="H149" t="s">
        <v>4477</v>
      </c>
      <c r="I149">
        <v>172000</v>
      </c>
      <c r="J149">
        <v>0</v>
      </c>
      <c r="N149">
        <v>0</v>
      </c>
    </row>
    <row r="150" spans="1:47" x14ac:dyDescent="0.3">
      <c r="A150">
        <v>218</v>
      </c>
      <c r="B150" t="s">
        <v>888</v>
      </c>
      <c r="C150" t="s">
        <v>251</v>
      </c>
      <c r="D150" t="s">
        <v>73</v>
      </c>
      <c r="E150" t="s">
        <v>56</v>
      </c>
      <c r="F150" s="30">
        <v>44957</v>
      </c>
      <c r="G150" t="s">
        <v>902</v>
      </c>
      <c r="H150" t="s">
        <v>4469</v>
      </c>
      <c r="I150">
        <v>172000</v>
      </c>
      <c r="J150">
        <v>15464</v>
      </c>
      <c r="N150">
        <v>15464</v>
      </c>
    </row>
    <row r="151" spans="1:47" x14ac:dyDescent="0.3">
      <c r="A151">
        <v>218</v>
      </c>
      <c r="B151" t="s">
        <v>888</v>
      </c>
      <c r="C151" t="s">
        <v>251</v>
      </c>
      <c r="D151" t="s">
        <v>73</v>
      </c>
      <c r="E151" t="s">
        <v>56</v>
      </c>
      <c r="F151" s="30">
        <v>44957</v>
      </c>
      <c r="G151" t="s">
        <v>902</v>
      </c>
      <c r="H151" t="s">
        <v>4476</v>
      </c>
      <c r="I151">
        <v>172000</v>
      </c>
      <c r="J151">
        <v>2280</v>
      </c>
      <c r="N151">
        <v>2280</v>
      </c>
    </row>
    <row r="152" spans="1:47" x14ac:dyDescent="0.3">
      <c r="A152">
        <v>218</v>
      </c>
      <c r="B152" t="s">
        <v>888</v>
      </c>
      <c r="C152" t="s">
        <v>251</v>
      </c>
      <c r="D152" t="s">
        <v>73</v>
      </c>
      <c r="E152" t="s">
        <v>56</v>
      </c>
      <c r="F152" s="30">
        <v>44957</v>
      </c>
      <c r="G152" t="s">
        <v>902</v>
      </c>
      <c r="H152" t="s">
        <v>4478</v>
      </c>
      <c r="I152">
        <v>172000</v>
      </c>
      <c r="J152">
        <v>969</v>
      </c>
      <c r="N152">
        <v>969</v>
      </c>
    </row>
    <row r="153" spans="1:47" x14ac:dyDescent="0.3">
      <c r="A153">
        <v>225</v>
      </c>
      <c r="B153" t="s">
        <v>976</v>
      </c>
      <c r="C153" t="s">
        <v>251</v>
      </c>
      <c r="D153" t="s">
        <v>73</v>
      </c>
      <c r="E153" t="s">
        <v>22</v>
      </c>
      <c r="F153" s="30">
        <v>44957</v>
      </c>
      <c r="G153" t="s">
        <v>989</v>
      </c>
      <c r="H153" t="s">
        <v>4468</v>
      </c>
      <c r="I153">
        <v>1</v>
      </c>
      <c r="J153">
        <v>9</v>
      </c>
      <c r="AT153">
        <v>9</v>
      </c>
    </row>
    <row r="154" spans="1:47" x14ac:dyDescent="0.3">
      <c r="A154">
        <v>225</v>
      </c>
      <c r="B154" t="s">
        <v>976</v>
      </c>
      <c r="C154" t="s">
        <v>251</v>
      </c>
      <c r="D154" t="s">
        <v>73</v>
      </c>
      <c r="E154" t="s">
        <v>22</v>
      </c>
      <c r="F154" s="30">
        <v>44957</v>
      </c>
      <c r="G154" t="s">
        <v>989</v>
      </c>
      <c r="H154" t="s">
        <v>4470</v>
      </c>
      <c r="I154">
        <v>1</v>
      </c>
      <c r="J154">
        <v>4</v>
      </c>
      <c r="AT154">
        <v>4</v>
      </c>
    </row>
    <row r="155" spans="1:47" x14ac:dyDescent="0.3">
      <c r="A155">
        <v>225</v>
      </c>
      <c r="B155" t="s">
        <v>976</v>
      </c>
      <c r="C155" t="s">
        <v>251</v>
      </c>
      <c r="D155" t="s">
        <v>73</v>
      </c>
      <c r="E155" t="s">
        <v>22</v>
      </c>
      <c r="F155" s="30">
        <v>44957</v>
      </c>
      <c r="G155" t="s">
        <v>989</v>
      </c>
      <c r="H155" t="s">
        <v>4477</v>
      </c>
      <c r="I155">
        <v>1</v>
      </c>
      <c r="J155">
        <v>0</v>
      </c>
      <c r="AT155">
        <v>0</v>
      </c>
    </row>
    <row r="156" spans="1:47" x14ac:dyDescent="0.3">
      <c r="A156">
        <v>225</v>
      </c>
      <c r="B156" t="s">
        <v>976</v>
      </c>
      <c r="C156" t="s">
        <v>251</v>
      </c>
      <c r="D156" t="s">
        <v>73</v>
      </c>
      <c r="E156" t="s">
        <v>22</v>
      </c>
      <c r="F156" s="30">
        <v>44957</v>
      </c>
      <c r="G156" t="s">
        <v>989</v>
      </c>
      <c r="H156" t="s">
        <v>4469</v>
      </c>
      <c r="I156">
        <v>1</v>
      </c>
      <c r="J156">
        <v>10</v>
      </c>
      <c r="AT156">
        <v>10</v>
      </c>
    </row>
    <row r="157" spans="1:47" x14ac:dyDescent="0.3">
      <c r="A157">
        <v>225</v>
      </c>
      <c r="B157" t="s">
        <v>976</v>
      </c>
      <c r="C157" t="s">
        <v>251</v>
      </c>
      <c r="D157" t="s">
        <v>73</v>
      </c>
      <c r="E157" t="s">
        <v>22</v>
      </c>
      <c r="F157" s="30">
        <v>44957</v>
      </c>
      <c r="G157" t="s">
        <v>989</v>
      </c>
      <c r="H157" t="s">
        <v>4476</v>
      </c>
      <c r="I157">
        <v>1</v>
      </c>
      <c r="J157">
        <v>1</v>
      </c>
      <c r="AT157">
        <v>1</v>
      </c>
    </row>
    <row r="158" spans="1:47" x14ac:dyDescent="0.3">
      <c r="A158">
        <v>225</v>
      </c>
      <c r="B158" t="s">
        <v>976</v>
      </c>
      <c r="C158" t="s">
        <v>251</v>
      </c>
      <c r="D158" t="s">
        <v>73</v>
      </c>
      <c r="E158" t="s">
        <v>22</v>
      </c>
      <c r="F158" s="30">
        <v>44957</v>
      </c>
      <c r="G158" t="s">
        <v>989</v>
      </c>
      <c r="H158" t="s">
        <v>4478</v>
      </c>
      <c r="I158">
        <v>1</v>
      </c>
      <c r="J158">
        <v>1</v>
      </c>
      <c r="AT158">
        <v>1</v>
      </c>
    </row>
    <row r="159" spans="1:47" x14ac:dyDescent="0.3">
      <c r="A159">
        <v>239</v>
      </c>
      <c r="B159" t="s">
        <v>1095</v>
      </c>
      <c r="C159" t="s">
        <v>1096</v>
      </c>
      <c r="D159" t="s">
        <v>73</v>
      </c>
      <c r="E159" t="s">
        <v>22</v>
      </c>
      <c r="F159" s="30">
        <v>44957</v>
      </c>
      <c r="G159" t="s">
        <v>1110</v>
      </c>
      <c r="H159" t="s">
        <v>4479</v>
      </c>
      <c r="J159">
        <v>4</v>
      </c>
      <c r="AU159">
        <v>4</v>
      </c>
    </row>
    <row r="160" spans="1:47" x14ac:dyDescent="0.3">
      <c r="A160">
        <v>239</v>
      </c>
      <c r="B160" t="s">
        <v>1095</v>
      </c>
      <c r="C160" t="s">
        <v>1096</v>
      </c>
      <c r="D160" t="s">
        <v>73</v>
      </c>
      <c r="E160" t="s">
        <v>22</v>
      </c>
      <c r="F160" s="30">
        <v>44957</v>
      </c>
      <c r="G160" t="s">
        <v>1110</v>
      </c>
      <c r="H160" t="s">
        <v>3622</v>
      </c>
      <c r="J160">
        <v>5</v>
      </c>
      <c r="AU160">
        <v>5</v>
      </c>
    </row>
    <row r="161" spans="1:48" x14ac:dyDescent="0.3">
      <c r="A161">
        <v>239</v>
      </c>
      <c r="B161" t="s">
        <v>1095</v>
      </c>
      <c r="C161" t="s">
        <v>1096</v>
      </c>
      <c r="D161" t="s">
        <v>73</v>
      </c>
      <c r="E161" t="s">
        <v>22</v>
      </c>
      <c r="F161" s="30">
        <v>44957</v>
      </c>
      <c r="G161" t="s">
        <v>1110</v>
      </c>
      <c r="H161" t="s">
        <v>4480</v>
      </c>
      <c r="J161">
        <v>1</v>
      </c>
      <c r="AU161">
        <v>1</v>
      </c>
    </row>
    <row r="162" spans="1:48" x14ac:dyDescent="0.3">
      <c r="A162">
        <v>239</v>
      </c>
      <c r="B162" t="s">
        <v>1095</v>
      </c>
      <c r="C162" t="s">
        <v>1096</v>
      </c>
      <c r="D162" t="s">
        <v>73</v>
      </c>
      <c r="E162" t="s">
        <v>22</v>
      </c>
      <c r="F162" s="30">
        <v>44957</v>
      </c>
      <c r="G162" t="s">
        <v>1110</v>
      </c>
      <c r="H162" t="s">
        <v>4481</v>
      </c>
      <c r="J162">
        <v>2</v>
      </c>
      <c r="AU162">
        <v>2</v>
      </c>
    </row>
    <row r="163" spans="1:48" x14ac:dyDescent="0.3">
      <c r="A163">
        <v>434</v>
      </c>
      <c r="B163" t="s">
        <v>2267</v>
      </c>
      <c r="C163" t="s">
        <v>251</v>
      </c>
      <c r="D163" t="s">
        <v>73</v>
      </c>
      <c r="E163" t="s">
        <v>56</v>
      </c>
      <c r="F163" s="30">
        <v>44957</v>
      </c>
      <c r="G163" t="s">
        <v>2268</v>
      </c>
      <c r="H163" t="s">
        <v>4468</v>
      </c>
      <c r="I163">
        <v>200</v>
      </c>
      <c r="J163">
        <v>1</v>
      </c>
      <c r="AV163">
        <v>1</v>
      </c>
    </row>
    <row r="164" spans="1:48" x14ac:dyDescent="0.3">
      <c r="A164">
        <v>434</v>
      </c>
      <c r="B164" t="s">
        <v>2267</v>
      </c>
      <c r="C164" t="s">
        <v>251</v>
      </c>
      <c r="D164" t="s">
        <v>73</v>
      </c>
      <c r="E164" t="s">
        <v>56</v>
      </c>
      <c r="F164" s="30">
        <v>44957</v>
      </c>
      <c r="G164" t="s">
        <v>2268</v>
      </c>
      <c r="H164" t="s">
        <v>4470</v>
      </c>
      <c r="I164">
        <v>200</v>
      </c>
      <c r="J164">
        <v>0</v>
      </c>
      <c r="AV164">
        <v>0</v>
      </c>
    </row>
    <row r="165" spans="1:48" x14ac:dyDescent="0.3">
      <c r="A165">
        <v>434</v>
      </c>
      <c r="B165" t="s">
        <v>2267</v>
      </c>
      <c r="C165" t="s">
        <v>251</v>
      </c>
      <c r="D165" t="s">
        <v>73</v>
      </c>
      <c r="E165" t="s">
        <v>56</v>
      </c>
      <c r="F165" s="30">
        <v>44957</v>
      </c>
      <c r="G165" t="s">
        <v>2268</v>
      </c>
      <c r="H165" t="s">
        <v>4477</v>
      </c>
      <c r="I165">
        <v>200</v>
      </c>
      <c r="J165">
        <v>0</v>
      </c>
      <c r="AV165">
        <v>0</v>
      </c>
    </row>
    <row r="166" spans="1:48" x14ac:dyDescent="0.3">
      <c r="A166">
        <v>434</v>
      </c>
      <c r="B166" t="s">
        <v>2267</v>
      </c>
      <c r="C166" t="s">
        <v>251</v>
      </c>
      <c r="D166" t="s">
        <v>73</v>
      </c>
      <c r="E166" t="s">
        <v>56</v>
      </c>
      <c r="F166" s="30">
        <v>44957</v>
      </c>
      <c r="G166" t="s">
        <v>2268</v>
      </c>
      <c r="H166" t="s">
        <v>4469</v>
      </c>
      <c r="I166">
        <v>200</v>
      </c>
      <c r="J166">
        <v>6</v>
      </c>
      <c r="AV166">
        <v>6</v>
      </c>
    </row>
    <row r="167" spans="1:48" x14ac:dyDescent="0.3">
      <c r="A167">
        <v>434</v>
      </c>
      <c r="B167" t="s">
        <v>2267</v>
      </c>
      <c r="C167" t="s">
        <v>251</v>
      </c>
      <c r="D167" t="s">
        <v>73</v>
      </c>
      <c r="E167" t="s">
        <v>56</v>
      </c>
      <c r="F167" s="30">
        <v>44957</v>
      </c>
      <c r="G167" t="s">
        <v>2268</v>
      </c>
      <c r="H167" t="s">
        <v>4476</v>
      </c>
      <c r="I167">
        <v>200</v>
      </c>
      <c r="J167">
        <v>0</v>
      </c>
      <c r="AV167">
        <v>0</v>
      </c>
    </row>
    <row r="168" spans="1:48" x14ac:dyDescent="0.3">
      <c r="A168">
        <v>434</v>
      </c>
      <c r="B168" t="s">
        <v>2267</v>
      </c>
      <c r="C168" t="s">
        <v>251</v>
      </c>
      <c r="D168" t="s">
        <v>73</v>
      </c>
      <c r="E168" t="s">
        <v>56</v>
      </c>
      <c r="F168" s="30">
        <v>44957</v>
      </c>
      <c r="G168" t="s">
        <v>2268</v>
      </c>
      <c r="H168" t="s">
        <v>4478</v>
      </c>
      <c r="I168">
        <v>200</v>
      </c>
      <c r="J168">
        <v>0</v>
      </c>
      <c r="AV168">
        <v>0</v>
      </c>
    </row>
    <row r="169" spans="1:48" x14ac:dyDescent="0.3">
      <c r="A169">
        <v>208</v>
      </c>
      <c r="B169" t="s">
        <v>707</v>
      </c>
      <c r="C169" t="s">
        <v>251</v>
      </c>
      <c r="D169" t="s">
        <v>73</v>
      </c>
      <c r="E169" t="s">
        <v>56</v>
      </c>
      <c r="F169" s="30">
        <v>44985</v>
      </c>
      <c r="G169" t="s">
        <v>722</v>
      </c>
      <c r="H169" t="s">
        <v>4468</v>
      </c>
      <c r="I169">
        <v>1</v>
      </c>
      <c r="J169">
        <v>456</v>
      </c>
      <c r="K169">
        <v>456</v>
      </c>
    </row>
    <row r="170" spans="1:48" x14ac:dyDescent="0.3">
      <c r="A170">
        <v>208</v>
      </c>
      <c r="B170" t="s">
        <v>707</v>
      </c>
      <c r="C170" t="s">
        <v>251</v>
      </c>
      <c r="D170" t="s">
        <v>73</v>
      </c>
      <c r="E170" t="s">
        <v>56</v>
      </c>
      <c r="F170" s="30">
        <v>44985</v>
      </c>
      <c r="G170" t="s">
        <v>722</v>
      </c>
      <c r="H170" t="s">
        <v>4470</v>
      </c>
      <c r="I170">
        <v>1</v>
      </c>
      <c r="J170">
        <v>324</v>
      </c>
      <c r="K170">
        <v>324</v>
      </c>
    </row>
    <row r="171" spans="1:48" x14ac:dyDescent="0.3">
      <c r="A171">
        <v>208</v>
      </c>
      <c r="B171" t="s">
        <v>707</v>
      </c>
      <c r="C171" t="s">
        <v>251</v>
      </c>
      <c r="D171" t="s">
        <v>73</v>
      </c>
      <c r="E171" t="s">
        <v>56</v>
      </c>
      <c r="F171" s="30">
        <v>44985</v>
      </c>
      <c r="G171" t="s">
        <v>722</v>
      </c>
      <c r="H171" t="s">
        <v>4477</v>
      </c>
      <c r="I171">
        <v>1</v>
      </c>
      <c r="J171">
        <v>0</v>
      </c>
      <c r="K171">
        <v>0</v>
      </c>
    </row>
    <row r="172" spans="1:48" x14ac:dyDescent="0.3">
      <c r="A172">
        <v>208</v>
      </c>
      <c r="B172" t="s">
        <v>707</v>
      </c>
      <c r="C172" t="s">
        <v>251</v>
      </c>
      <c r="D172" t="s">
        <v>73</v>
      </c>
      <c r="E172" t="s">
        <v>56</v>
      </c>
      <c r="F172" s="30">
        <v>44985</v>
      </c>
      <c r="G172" t="s">
        <v>722</v>
      </c>
      <c r="H172" t="s">
        <v>4469</v>
      </c>
      <c r="I172">
        <v>1</v>
      </c>
      <c r="J172">
        <v>111</v>
      </c>
      <c r="K172">
        <v>111</v>
      </c>
    </row>
    <row r="173" spans="1:48" x14ac:dyDescent="0.3">
      <c r="A173">
        <v>208</v>
      </c>
      <c r="B173" t="s">
        <v>707</v>
      </c>
      <c r="C173" t="s">
        <v>251</v>
      </c>
      <c r="D173" t="s">
        <v>73</v>
      </c>
      <c r="E173" t="s">
        <v>56</v>
      </c>
      <c r="F173" s="30">
        <v>44985</v>
      </c>
      <c r="G173" t="s">
        <v>722</v>
      </c>
      <c r="H173" t="s">
        <v>4476</v>
      </c>
      <c r="I173">
        <v>0</v>
      </c>
      <c r="J173">
        <v>0</v>
      </c>
      <c r="K173">
        <v>0</v>
      </c>
    </row>
    <row r="174" spans="1:48" x14ac:dyDescent="0.3">
      <c r="A174">
        <v>208</v>
      </c>
      <c r="B174" t="s">
        <v>707</v>
      </c>
      <c r="C174" t="s">
        <v>251</v>
      </c>
      <c r="D174" t="s">
        <v>73</v>
      </c>
      <c r="E174" t="s">
        <v>56</v>
      </c>
      <c r="F174" s="30">
        <v>44985</v>
      </c>
      <c r="G174" t="s">
        <v>722</v>
      </c>
      <c r="H174" t="s">
        <v>4478</v>
      </c>
      <c r="I174">
        <v>1</v>
      </c>
      <c r="J174">
        <v>5</v>
      </c>
      <c r="K174">
        <v>5</v>
      </c>
    </row>
    <row r="175" spans="1:48" x14ac:dyDescent="0.3">
      <c r="A175">
        <v>214</v>
      </c>
      <c r="B175" t="s">
        <v>774</v>
      </c>
      <c r="C175" t="s">
        <v>251</v>
      </c>
      <c r="D175" t="s">
        <v>73</v>
      </c>
      <c r="E175" t="s">
        <v>56</v>
      </c>
      <c r="F175" s="30">
        <v>44985</v>
      </c>
      <c r="G175" t="s">
        <v>789</v>
      </c>
      <c r="H175" t="s">
        <v>4468</v>
      </c>
      <c r="I175">
        <v>7500</v>
      </c>
      <c r="J175">
        <v>1004</v>
      </c>
      <c r="L175">
        <v>579</v>
      </c>
      <c r="M175">
        <v>425</v>
      </c>
    </row>
    <row r="176" spans="1:48" x14ac:dyDescent="0.3">
      <c r="A176">
        <v>214</v>
      </c>
      <c r="B176" t="s">
        <v>774</v>
      </c>
      <c r="C176" t="s">
        <v>251</v>
      </c>
      <c r="D176" t="s">
        <v>73</v>
      </c>
      <c r="E176" t="s">
        <v>56</v>
      </c>
      <c r="F176" s="30">
        <v>44985</v>
      </c>
      <c r="G176" t="s">
        <v>789</v>
      </c>
      <c r="H176" t="s">
        <v>4470</v>
      </c>
      <c r="I176">
        <v>7500</v>
      </c>
      <c r="J176">
        <v>607.8599853515625</v>
      </c>
      <c r="L176">
        <v>0</v>
      </c>
      <c r="M176">
        <v>607.86</v>
      </c>
    </row>
    <row r="177" spans="1:45" x14ac:dyDescent="0.3">
      <c r="A177">
        <v>214</v>
      </c>
      <c r="B177" t="s">
        <v>774</v>
      </c>
      <c r="C177" t="s">
        <v>251</v>
      </c>
      <c r="D177" t="s">
        <v>73</v>
      </c>
      <c r="E177" t="s">
        <v>56</v>
      </c>
      <c r="F177" s="30">
        <v>44985</v>
      </c>
      <c r="G177" t="s">
        <v>789</v>
      </c>
      <c r="H177" t="s">
        <v>4477</v>
      </c>
      <c r="I177">
        <v>7500</v>
      </c>
      <c r="J177">
        <v>0</v>
      </c>
      <c r="L177">
        <v>0</v>
      </c>
      <c r="M177">
        <v>0</v>
      </c>
    </row>
    <row r="178" spans="1:45" x14ac:dyDescent="0.3">
      <c r="A178">
        <v>214</v>
      </c>
      <c r="B178" t="s">
        <v>774</v>
      </c>
      <c r="C178" t="s">
        <v>251</v>
      </c>
      <c r="D178" t="s">
        <v>73</v>
      </c>
      <c r="E178" t="s">
        <v>56</v>
      </c>
      <c r="F178" s="30">
        <v>44985</v>
      </c>
      <c r="G178" t="s">
        <v>789</v>
      </c>
      <c r="H178" t="s">
        <v>4469</v>
      </c>
      <c r="I178">
        <v>7500</v>
      </c>
      <c r="J178">
        <v>643.79998779296875</v>
      </c>
      <c r="L178">
        <v>0</v>
      </c>
      <c r="M178">
        <v>643.79999999999995</v>
      </c>
    </row>
    <row r="179" spans="1:45" x14ac:dyDescent="0.3">
      <c r="A179">
        <v>214</v>
      </c>
      <c r="B179" t="s">
        <v>774</v>
      </c>
      <c r="C179" t="s">
        <v>251</v>
      </c>
      <c r="D179" t="s">
        <v>73</v>
      </c>
      <c r="E179" t="s">
        <v>56</v>
      </c>
      <c r="F179" s="30">
        <v>44985</v>
      </c>
      <c r="G179" t="s">
        <v>789</v>
      </c>
      <c r="H179" t="s">
        <v>4476</v>
      </c>
      <c r="I179">
        <v>1</v>
      </c>
      <c r="J179">
        <v>0</v>
      </c>
      <c r="L179">
        <v>0</v>
      </c>
      <c r="M179">
        <v>0</v>
      </c>
    </row>
    <row r="180" spans="1:45" x14ac:dyDescent="0.3">
      <c r="A180">
        <v>214</v>
      </c>
      <c r="B180" t="s">
        <v>774</v>
      </c>
      <c r="C180" t="s">
        <v>251</v>
      </c>
      <c r="D180" t="s">
        <v>73</v>
      </c>
      <c r="E180" t="s">
        <v>56</v>
      </c>
      <c r="F180" s="30">
        <v>44985</v>
      </c>
      <c r="G180" t="s">
        <v>789</v>
      </c>
      <c r="H180" t="s">
        <v>4478</v>
      </c>
      <c r="I180">
        <v>1</v>
      </c>
      <c r="J180">
        <v>0</v>
      </c>
      <c r="L180">
        <v>0</v>
      </c>
      <c r="M180">
        <v>0</v>
      </c>
    </row>
    <row r="181" spans="1:45" x14ac:dyDescent="0.3">
      <c r="A181">
        <v>217</v>
      </c>
      <c r="B181" t="s">
        <v>840</v>
      </c>
      <c r="C181" t="s">
        <v>251</v>
      </c>
      <c r="D181" t="s">
        <v>73</v>
      </c>
      <c r="E181" t="s">
        <v>22</v>
      </c>
      <c r="F181" s="30">
        <v>44985</v>
      </c>
      <c r="G181" t="s">
        <v>853</v>
      </c>
      <c r="H181" t="s">
        <v>4468</v>
      </c>
      <c r="I181">
        <v>20</v>
      </c>
      <c r="J181">
        <v>57.669998168945313</v>
      </c>
      <c r="L181">
        <v>579</v>
      </c>
      <c r="M181">
        <v>425</v>
      </c>
      <c r="AS181">
        <v>579</v>
      </c>
    </row>
    <row r="182" spans="1:45" x14ac:dyDescent="0.3">
      <c r="A182">
        <v>217</v>
      </c>
      <c r="B182" t="s">
        <v>840</v>
      </c>
      <c r="C182" t="s">
        <v>251</v>
      </c>
      <c r="D182" t="s">
        <v>73</v>
      </c>
      <c r="E182" t="s">
        <v>22</v>
      </c>
      <c r="F182" s="30">
        <v>44985</v>
      </c>
      <c r="G182" t="s">
        <v>853</v>
      </c>
      <c r="H182" t="s">
        <v>4470</v>
      </c>
      <c r="I182">
        <v>20</v>
      </c>
      <c r="J182">
        <v>0</v>
      </c>
      <c r="L182">
        <v>0</v>
      </c>
      <c r="M182">
        <v>607.86</v>
      </c>
      <c r="AS182">
        <v>0</v>
      </c>
    </row>
    <row r="183" spans="1:45" x14ac:dyDescent="0.3">
      <c r="A183">
        <v>217</v>
      </c>
      <c r="B183" t="s">
        <v>840</v>
      </c>
      <c r="C183" t="s">
        <v>251</v>
      </c>
      <c r="D183" t="s">
        <v>73</v>
      </c>
      <c r="E183" t="s">
        <v>22</v>
      </c>
      <c r="F183" s="30">
        <v>44985</v>
      </c>
      <c r="G183" t="s">
        <v>853</v>
      </c>
      <c r="H183" t="s">
        <v>4477</v>
      </c>
      <c r="I183">
        <v>20</v>
      </c>
      <c r="J183">
        <v>0</v>
      </c>
      <c r="L183">
        <v>0</v>
      </c>
      <c r="M183">
        <v>0</v>
      </c>
      <c r="AS183">
        <v>0</v>
      </c>
    </row>
    <row r="184" spans="1:45" x14ac:dyDescent="0.3">
      <c r="A184">
        <v>217</v>
      </c>
      <c r="B184" t="s">
        <v>840</v>
      </c>
      <c r="C184" t="s">
        <v>251</v>
      </c>
      <c r="D184" t="s">
        <v>73</v>
      </c>
      <c r="E184" t="s">
        <v>22</v>
      </c>
      <c r="F184" s="30">
        <v>44985</v>
      </c>
      <c r="G184" t="s">
        <v>853</v>
      </c>
      <c r="H184" t="s">
        <v>4469</v>
      </c>
      <c r="I184">
        <v>20</v>
      </c>
      <c r="J184">
        <v>0</v>
      </c>
      <c r="L184">
        <v>0</v>
      </c>
      <c r="M184">
        <v>643.79999999999995</v>
      </c>
      <c r="AS184">
        <v>0</v>
      </c>
    </row>
    <row r="185" spans="1:45" x14ac:dyDescent="0.3">
      <c r="A185">
        <v>217</v>
      </c>
      <c r="B185" t="s">
        <v>840</v>
      </c>
      <c r="C185" t="s">
        <v>251</v>
      </c>
      <c r="D185" t="s">
        <v>73</v>
      </c>
      <c r="E185" t="s">
        <v>22</v>
      </c>
      <c r="F185" s="30">
        <v>44985</v>
      </c>
      <c r="G185" t="s">
        <v>853</v>
      </c>
      <c r="H185" t="s">
        <v>4476</v>
      </c>
      <c r="I185">
        <v>20</v>
      </c>
      <c r="J185">
        <v>0</v>
      </c>
      <c r="L185">
        <v>0</v>
      </c>
      <c r="M185">
        <v>0</v>
      </c>
      <c r="AS185">
        <v>0</v>
      </c>
    </row>
    <row r="186" spans="1:45" x14ac:dyDescent="0.3">
      <c r="A186">
        <v>217</v>
      </c>
      <c r="B186" t="s">
        <v>840</v>
      </c>
      <c r="C186" t="s">
        <v>251</v>
      </c>
      <c r="D186" t="s">
        <v>73</v>
      </c>
      <c r="E186" t="s">
        <v>22</v>
      </c>
      <c r="F186" s="30">
        <v>44985</v>
      </c>
      <c r="G186" t="s">
        <v>853</v>
      </c>
      <c r="H186" t="s">
        <v>4478</v>
      </c>
      <c r="I186">
        <v>20</v>
      </c>
      <c r="J186">
        <v>0</v>
      </c>
      <c r="L186">
        <v>0</v>
      </c>
      <c r="M186">
        <v>0</v>
      </c>
      <c r="AS186">
        <v>0</v>
      </c>
    </row>
    <row r="187" spans="1:45" x14ac:dyDescent="0.3">
      <c r="A187">
        <v>218</v>
      </c>
      <c r="B187" t="s">
        <v>888</v>
      </c>
      <c r="C187" t="s">
        <v>251</v>
      </c>
      <c r="D187" t="s">
        <v>73</v>
      </c>
      <c r="E187" t="s">
        <v>56</v>
      </c>
      <c r="F187" s="30">
        <v>44985</v>
      </c>
      <c r="G187" t="s">
        <v>903</v>
      </c>
      <c r="H187" t="s">
        <v>4468</v>
      </c>
      <c r="I187">
        <v>172000</v>
      </c>
      <c r="J187">
        <v>63291</v>
      </c>
      <c r="N187">
        <v>63291</v>
      </c>
    </row>
    <row r="188" spans="1:45" x14ac:dyDescent="0.3">
      <c r="A188">
        <v>218</v>
      </c>
      <c r="B188" t="s">
        <v>888</v>
      </c>
      <c r="C188" t="s">
        <v>251</v>
      </c>
      <c r="D188" t="s">
        <v>73</v>
      </c>
      <c r="E188" t="s">
        <v>56</v>
      </c>
      <c r="F188" s="30">
        <v>44985</v>
      </c>
      <c r="G188" t="s">
        <v>903</v>
      </c>
      <c r="H188" t="s">
        <v>4470</v>
      </c>
      <c r="I188">
        <v>172000</v>
      </c>
      <c r="J188">
        <v>37050</v>
      </c>
      <c r="N188">
        <v>37050</v>
      </c>
    </row>
    <row r="189" spans="1:45" x14ac:dyDescent="0.3">
      <c r="A189">
        <v>218</v>
      </c>
      <c r="B189" t="s">
        <v>888</v>
      </c>
      <c r="C189" t="s">
        <v>251</v>
      </c>
      <c r="D189" t="s">
        <v>73</v>
      </c>
      <c r="E189" t="s">
        <v>56</v>
      </c>
      <c r="F189" s="30">
        <v>44985</v>
      </c>
      <c r="G189" t="s">
        <v>903</v>
      </c>
      <c r="H189" t="s">
        <v>4477</v>
      </c>
      <c r="I189">
        <v>172000</v>
      </c>
      <c r="J189">
        <v>0</v>
      </c>
      <c r="N189">
        <v>0</v>
      </c>
    </row>
    <row r="190" spans="1:45" x14ac:dyDescent="0.3">
      <c r="A190">
        <v>218</v>
      </c>
      <c r="B190" t="s">
        <v>888</v>
      </c>
      <c r="C190" t="s">
        <v>251</v>
      </c>
      <c r="D190" t="s">
        <v>73</v>
      </c>
      <c r="E190" t="s">
        <v>56</v>
      </c>
      <c r="F190" s="30">
        <v>44985</v>
      </c>
      <c r="G190" t="s">
        <v>903</v>
      </c>
      <c r="H190" t="s">
        <v>4469</v>
      </c>
      <c r="I190">
        <v>172000</v>
      </c>
      <c r="J190">
        <v>9350</v>
      </c>
      <c r="N190">
        <v>9350</v>
      </c>
    </row>
    <row r="191" spans="1:45" x14ac:dyDescent="0.3">
      <c r="A191">
        <v>218</v>
      </c>
      <c r="B191" t="s">
        <v>888</v>
      </c>
      <c r="C191" t="s">
        <v>251</v>
      </c>
      <c r="D191" t="s">
        <v>73</v>
      </c>
      <c r="E191" t="s">
        <v>56</v>
      </c>
      <c r="F191" s="30">
        <v>44985</v>
      </c>
      <c r="G191" t="s">
        <v>903</v>
      </c>
      <c r="H191" t="s">
        <v>4476</v>
      </c>
      <c r="I191">
        <v>172000</v>
      </c>
      <c r="J191">
        <v>1320</v>
      </c>
      <c r="N191">
        <v>1320</v>
      </c>
    </row>
    <row r="192" spans="1:45" x14ac:dyDescent="0.3">
      <c r="A192">
        <v>218</v>
      </c>
      <c r="B192" t="s">
        <v>888</v>
      </c>
      <c r="C192" t="s">
        <v>251</v>
      </c>
      <c r="D192" t="s">
        <v>73</v>
      </c>
      <c r="E192" t="s">
        <v>56</v>
      </c>
      <c r="F192" s="30">
        <v>44985</v>
      </c>
      <c r="G192" t="s">
        <v>903</v>
      </c>
      <c r="H192" t="s">
        <v>4478</v>
      </c>
      <c r="I192">
        <v>172000</v>
      </c>
      <c r="J192">
        <v>857</v>
      </c>
      <c r="N192">
        <v>857</v>
      </c>
    </row>
    <row r="193" spans="1:47" x14ac:dyDescent="0.3">
      <c r="A193">
        <v>225</v>
      </c>
      <c r="B193" t="s">
        <v>976</v>
      </c>
      <c r="C193" t="s">
        <v>251</v>
      </c>
      <c r="D193" t="s">
        <v>73</v>
      </c>
      <c r="E193" t="s">
        <v>22</v>
      </c>
      <c r="F193" s="30">
        <v>44985</v>
      </c>
      <c r="G193" t="s">
        <v>990</v>
      </c>
      <c r="H193" t="s">
        <v>4468</v>
      </c>
      <c r="I193">
        <v>1</v>
      </c>
      <c r="J193">
        <v>6</v>
      </c>
      <c r="AT193">
        <v>6</v>
      </c>
    </row>
    <row r="194" spans="1:47" x14ac:dyDescent="0.3">
      <c r="A194">
        <v>225</v>
      </c>
      <c r="B194" t="s">
        <v>976</v>
      </c>
      <c r="C194" t="s">
        <v>251</v>
      </c>
      <c r="D194" t="s">
        <v>73</v>
      </c>
      <c r="E194" t="s">
        <v>22</v>
      </c>
      <c r="F194" s="30">
        <v>44985</v>
      </c>
      <c r="G194" t="s">
        <v>990</v>
      </c>
      <c r="H194" t="s">
        <v>4470</v>
      </c>
      <c r="I194">
        <v>1</v>
      </c>
      <c r="J194">
        <v>2</v>
      </c>
      <c r="AT194">
        <v>2</v>
      </c>
    </row>
    <row r="195" spans="1:47" x14ac:dyDescent="0.3">
      <c r="A195">
        <v>225</v>
      </c>
      <c r="B195" t="s">
        <v>976</v>
      </c>
      <c r="C195" t="s">
        <v>251</v>
      </c>
      <c r="D195" t="s">
        <v>73</v>
      </c>
      <c r="E195" t="s">
        <v>22</v>
      </c>
      <c r="F195" s="30">
        <v>44985</v>
      </c>
      <c r="G195" t="s">
        <v>990</v>
      </c>
      <c r="H195" t="s">
        <v>4477</v>
      </c>
      <c r="I195">
        <v>1</v>
      </c>
      <c r="J195">
        <v>0</v>
      </c>
      <c r="AT195">
        <v>0</v>
      </c>
    </row>
    <row r="196" spans="1:47" x14ac:dyDescent="0.3">
      <c r="A196">
        <v>225</v>
      </c>
      <c r="B196" t="s">
        <v>976</v>
      </c>
      <c r="C196" t="s">
        <v>251</v>
      </c>
      <c r="D196" t="s">
        <v>73</v>
      </c>
      <c r="E196" t="s">
        <v>22</v>
      </c>
      <c r="F196" s="30">
        <v>44985</v>
      </c>
      <c r="G196" t="s">
        <v>990</v>
      </c>
      <c r="H196" t="s">
        <v>4469</v>
      </c>
      <c r="I196">
        <v>1</v>
      </c>
      <c r="J196">
        <v>10</v>
      </c>
      <c r="AT196">
        <v>10</v>
      </c>
    </row>
    <row r="197" spans="1:47" x14ac:dyDescent="0.3">
      <c r="A197">
        <v>225</v>
      </c>
      <c r="B197" t="s">
        <v>976</v>
      </c>
      <c r="C197" t="s">
        <v>251</v>
      </c>
      <c r="D197" t="s">
        <v>73</v>
      </c>
      <c r="E197" t="s">
        <v>22</v>
      </c>
      <c r="F197" s="30">
        <v>44985</v>
      </c>
      <c r="G197" t="s">
        <v>990</v>
      </c>
      <c r="H197" t="s">
        <v>4476</v>
      </c>
      <c r="I197">
        <v>1</v>
      </c>
      <c r="J197">
        <v>1</v>
      </c>
      <c r="AT197">
        <v>1</v>
      </c>
    </row>
    <row r="198" spans="1:47" x14ac:dyDescent="0.3">
      <c r="A198">
        <v>225</v>
      </c>
      <c r="B198" t="s">
        <v>976</v>
      </c>
      <c r="C198" t="s">
        <v>251</v>
      </c>
      <c r="D198" t="s">
        <v>73</v>
      </c>
      <c r="E198" t="s">
        <v>22</v>
      </c>
      <c r="F198" s="30">
        <v>44985</v>
      </c>
      <c r="G198" t="s">
        <v>990</v>
      </c>
      <c r="H198" t="s">
        <v>4478</v>
      </c>
      <c r="I198">
        <v>1</v>
      </c>
      <c r="J198">
        <v>1</v>
      </c>
      <c r="AT198">
        <v>1</v>
      </c>
    </row>
    <row r="199" spans="1:47" x14ac:dyDescent="0.3">
      <c r="A199">
        <v>239</v>
      </c>
      <c r="B199" t="s">
        <v>1095</v>
      </c>
      <c r="C199" t="s">
        <v>1096</v>
      </c>
      <c r="D199" t="s">
        <v>73</v>
      </c>
      <c r="E199" t="s">
        <v>22</v>
      </c>
      <c r="F199" s="30">
        <v>44985</v>
      </c>
      <c r="G199" t="s">
        <v>1111</v>
      </c>
      <c r="H199" t="s">
        <v>4479</v>
      </c>
      <c r="J199">
        <v>6</v>
      </c>
      <c r="AU199">
        <v>6</v>
      </c>
    </row>
    <row r="200" spans="1:47" x14ac:dyDescent="0.3">
      <c r="A200">
        <v>239</v>
      </c>
      <c r="B200" t="s">
        <v>1095</v>
      </c>
      <c r="C200" t="s">
        <v>1096</v>
      </c>
      <c r="D200" t="s">
        <v>73</v>
      </c>
      <c r="E200" t="s">
        <v>22</v>
      </c>
      <c r="F200" s="30">
        <v>44985</v>
      </c>
      <c r="G200" t="s">
        <v>1111</v>
      </c>
      <c r="H200" t="s">
        <v>3622</v>
      </c>
      <c r="J200">
        <v>7</v>
      </c>
      <c r="AU200">
        <v>7</v>
      </c>
    </row>
    <row r="201" spans="1:47" x14ac:dyDescent="0.3">
      <c r="A201">
        <v>239</v>
      </c>
      <c r="B201" t="s">
        <v>1095</v>
      </c>
      <c r="C201" t="s">
        <v>1096</v>
      </c>
      <c r="D201" t="s">
        <v>73</v>
      </c>
      <c r="E201" t="s">
        <v>22</v>
      </c>
      <c r="F201" s="30">
        <v>44985</v>
      </c>
      <c r="G201" t="s">
        <v>1111</v>
      </c>
      <c r="H201" t="s">
        <v>4481</v>
      </c>
      <c r="J201">
        <v>5</v>
      </c>
      <c r="AU201">
        <v>5</v>
      </c>
    </row>
    <row r="202" spans="1:47" x14ac:dyDescent="0.3">
      <c r="A202">
        <v>208</v>
      </c>
      <c r="B202" t="s">
        <v>707</v>
      </c>
      <c r="C202" t="s">
        <v>251</v>
      </c>
      <c r="D202" t="s">
        <v>73</v>
      </c>
      <c r="E202" t="s">
        <v>56</v>
      </c>
      <c r="F202" s="30">
        <v>45016</v>
      </c>
      <c r="G202" t="s">
        <v>723</v>
      </c>
      <c r="H202" t="s">
        <v>4470</v>
      </c>
      <c r="I202">
        <v>1</v>
      </c>
      <c r="J202">
        <v>317</v>
      </c>
      <c r="K202">
        <v>317</v>
      </c>
    </row>
    <row r="203" spans="1:47" x14ac:dyDescent="0.3">
      <c r="A203">
        <v>208</v>
      </c>
      <c r="B203" t="s">
        <v>707</v>
      </c>
      <c r="C203" t="s">
        <v>251</v>
      </c>
      <c r="D203" t="s">
        <v>73</v>
      </c>
      <c r="E203" t="s">
        <v>56</v>
      </c>
      <c r="F203" s="30">
        <v>45016</v>
      </c>
      <c r="G203" t="s">
        <v>723</v>
      </c>
      <c r="H203" t="s">
        <v>4477</v>
      </c>
      <c r="I203">
        <v>1</v>
      </c>
      <c r="J203">
        <v>0</v>
      </c>
      <c r="K203">
        <v>0</v>
      </c>
    </row>
    <row r="204" spans="1:47" x14ac:dyDescent="0.3">
      <c r="A204">
        <v>208</v>
      </c>
      <c r="B204" t="s">
        <v>707</v>
      </c>
      <c r="C204" t="s">
        <v>251</v>
      </c>
      <c r="D204" t="s">
        <v>73</v>
      </c>
      <c r="E204" t="s">
        <v>56</v>
      </c>
      <c r="F204" s="30">
        <v>45016</v>
      </c>
      <c r="G204" t="s">
        <v>723</v>
      </c>
      <c r="H204" t="s">
        <v>4469</v>
      </c>
      <c r="I204">
        <v>1</v>
      </c>
      <c r="J204">
        <v>183</v>
      </c>
      <c r="K204">
        <v>183</v>
      </c>
    </row>
    <row r="205" spans="1:47" x14ac:dyDescent="0.3">
      <c r="A205">
        <v>208</v>
      </c>
      <c r="B205" t="s">
        <v>707</v>
      </c>
      <c r="C205" t="s">
        <v>251</v>
      </c>
      <c r="D205" t="s">
        <v>73</v>
      </c>
      <c r="E205" t="s">
        <v>56</v>
      </c>
      <c r="F205" s="30">
        <v>45016</v>
      </c>
      <c r="G205" t="s">
        <v>723</v>
      </c>
      <c r="H205" t="s">
        <v>4476</v>
      </c>
      <c r="I205">
        <v>0</v>
      </c>
      <c r="J205">
        <v>0</v>
      </c>
      <c r="K205">
        <v>0</v>
      </c>
    </row>
    <row r="206" spans="1:47" x14ac:dyDescent="0.3">
      <c r="A206">
        <v>208</v>
      </c>
      <c r="B206" t="s">
        <v>707</v>
      </c>
      <c r="C206" t="s">
        <v>251</v>
      </c>
      <c r="D206" t="s">
        <v>73</v>
      </c>
      <c r="E206" t="s">
        <v>56</v>
      </c>
      <c r="F206" s="30">
        <v>45016</v>
      </c>
      <c r="G206" t="s">
        <v>723</v>
      </c>
      <c r="H206" t="s">
        <v>4478</v>
      </c>
      <c r="I206">
        <v>1</v>
      </c>
      <c r="J206">
        <v>9</v>
      </c>
      <c r="K206">
        <v>9</v>
      </c>
    </row>
    <row r="207" spans="1:47" x14ac:dyDescent="0.3">
      <c r="A207">
        <v>208</v>
      </c>
      <c r="B207" t="s">
        <v>707</v>
      </c>
      <c r="C207" t="s">
        <v>251</v>
      </c>
      <c r="D207" t="s">
        <v>73</v>
      </c>
      <c r="E207" t="s">
        <v>56</v>
      </c>
      <c r="F207" s="30">
        <v>45016</v>
      </c>
      <c r="G207" t="s">
        <v>723</v>
      </c>
      <c r="H207" t="s">
        <v>4468</v>
      </c>
      <c r="I207">
        <v>1</v>
      </c>
      <c r="J207">
        <v>452.70001220703119</v>
      </c>
      <c r="K207">
        <v>452.7</v>
      </c>
    </row>
    <row r="208" spans="1:47" x14ac:dyDescent="0.3">
      <c r="A208">
        <v>214</v>
      </c>
      <c r="B208" t="s">
        <v>774</v>
      </c>
      <c r="C208" t="s">
        <v>251</v>
      </c>
      <c r="D208" t="s">
        <v>73</v>
      </c>
      <c r="E208" t="s">
        <v>56</v>
      </c>
      <c r="F208" s="30">
        <v>45016</v>
      </c>
      <c r="G208" t="s">
        <v>790</v>
      </c>
      <c r="H208" t="s">
        <v>4468</v>
      </c>
      <c r="I208">
        <v>7500</v>
      </c>
      <c r="J208">
        <v>1330</v>
      </c>
      <c r="L208">
        <v>714</v>
      </c>
      <c r="M208">
        <v>616</v>
      </c>
    </row>
    <row r="209" spans="1:45" x14ac:dyDescent="0.3">
      <c r="A209">
        <v>214</v>
      </c>
      <c r="B209" t="s">
        <v>774</v>
      </c>
      <c r="C209" t="s">
        <v>251</v>
      </c>
      <c r="D209" t="s">
        <v>73</v>
      </c>
      <c r="E209" t="s">
        <v>56</v>
      </c>
      <c r="F209" s="30">
        <v>45016</v>
      </c>
      <c r="G209" t="s">
        <v>790</v>
      </c>
      <c r="H209" t="s">
        <v>4470</v>
      </c>
      <c r="I209">
        <v>7500</v>
      </c>
      <c r="J209">
        <v>791.4000244140625</v>
      </c>
      <c r="L209">
        <v>0</v>
      </c>
      <c r="M209">
        <v>791.4</v>
      </c>
    </row>
    <row r="210" spans="1:45" x14ac:dyDescent="0.3">
      <c r="A210">
        <v>214</v>
      </c>
      <c r="B210" t="s">
        <v>774</v>
      </c>
      <c r="C210" t="s">
        <v>251</v>
      </c>
      <c r="D210" t="s">
        <v>73</v>
      </c>
      <c r="E210" t="s">
        <v>56</v>
      </c>
      <c r="F210" s="30">
        <v>45016</v>
      </c>
      <c r="G210" t="s">
        <v>790</v>
      </c>
      <c r="H210" t="s">
        <v>4477</v>
      </c>
      <c r="I210">
        <v>7500</v>
      </c>
      <c r="J210">
        <v>0</v>
      </c>
      <c r="L210">
        <v>0</v>
      </c>
      <c r="M210">
        <v>0</v>
      </c>
    </row>
    <row r="211" spans="1:45" x14ac:dyDescent="0.3">
      <c r="A211">
        <v>214</v>
      </c>
      <c r="B211" t="s">
        <v>774</v>
      </c>
      <c r="C211" t="s">
        <v>251</v>
      </c>
      <c r="D211" t="s">
        <v>73</v>
      </c>
      <c r="E211" t="s">
        <v>56</v>
      </c>
      <c r="F211" s="30">
        <v>45016</v>
      </c>
      <c r="G211" t="s">
        <v>790</v>
      </c>
      <c r="H211" t="s">
        <v>4469</v>
      </c>
      <c r="I211">
        <v>7500</v>
      </c>
      <c r="J211">
        <v>635.5999755859375</v>
      </c>
      <c r="L211">
        <v>0</v>
      </c>
      <c r="M211">
        <v>635.6</v>
      </c>
    </row>
    <row r="212" spans="1:45" x14ac:dyDescent="0.3">
      <c r="A212">
        <v>214</v>
      </c>
      <c r="B212" t="s">
        <v>774</v>
      </c>
      <c r="C212" t="s">
        <v>251</v>
      </c>
      <c r="D212" t="s">
        <v>73</v>
      </c>
      <c r="E212" t="s">
        <v>56</v>
      </c>
      <c r="F212" s="30">
        <v>45016</v>
      </c>
      <c r="G212" t="s">
        <v>790</v>
      </c>
      <c r="H212" t="s">
        <v>4476</v>
      </c>
      <c r="I212">
        <v>1</v>
      </c>
      <c r="J212">
        <v>0</v>
      </c>
      <c r="L212">
        <v>0</v>
      </c>
      <c r="M212">
        <v>0</v>
      </c>
    </row>
    <row r="213" spans="1:45" x14ac:dyDescent="0.3">
      <c r="A213">
        <v>214</v>
      </c>
      <c r="B213" t="s">
        <v>774</v>
      </c>
      <c r="C213" t="s">
        <v>251</v>
      </c>
      <c r="D213" t="s">
        <v>73</v>
      </c>
      <c r="E213" t="s">
        <v>56</v>
      </c>
      <c r="F213" s="30">
        <v>45016</v>
      </c>
      <c r="G213" t="s">
        <v>790</v>
      </c>
      <c r="H213" t="s">
        <v>4478</v>
      </c>
      <c r="I213">
        <v>1</v>
      </c>
      <c r="J213">
        <v>0</v>
      </c>
      <c r="L213">
        <v>0</v>
      </c>
      <c r="M213">
        <v>0</v>
      </c>
    </row>
    <row r="214" spans="1:45" x14ac:dyDescent="0.3">
      <c r="A214">
        <v>217</v>
      </c>
      <c r="B214" t="s">
        <v>840</v>
      </c>
      <c r="C214" t="s">
        <v>251</v>
      </c>
      <c r="D214" t="s">
        <v>73</v>
      </c>
      <c r="E214" t="s">
        <v>22</v>
      </c>
      <c r="F214" s="30">
        <v>45016</v>
      </c>
      <c r="G214" t="s">
        <v>854</v>
      </c>
      <c r="H214" t="s">
        <v>4468</v>
      </c>
      <c r="I214">
        <v>20</v>
      </c>
      <c r="J214">
        <v>53.680000305175781</v>
      </c>
      <c r="L214">
        <v>714</v>
      </c>
      <c r="M214">
        <v>616</v>
      </c>
      <c r="AS214">
        <v>714</v>
      </c>
    </row>
    <row r="215" spans="1:45" x14ac:dyDescent="0.3">
      <c r="A215">
        <v>217</v>
      </c>
      <c r="B215" t="s">
        <v>840</v>
      </c>
      <c r="C215" t="s">
        <v>251</v>
      </c>
      <c r="D215" t="s">
        <v>73</v>
      </c>
      <c r="E215" t="s">
        <v>22</v>
      </c>
      <c r="F215" s="30">
        <v>45016</v>
      </c>
      <c r="G215" t="s">
        <v>854</v>
      </c>
      <c r="H215" t="s">
        <v>4470</v>
      </c>
      <c r="I215">
        <v>20</v>
      </c>
      <c r="J215">
        <v>0</v>
      </c>
      <c r="L215">
        <v>0</v>
      </c>
      <c r="M215">
        <v>791.4</v>
      </c>
      <c r="AS215">
        <v>0</v>
      </c>
    </row>
    <row r="216" spans="1:45" x14ac:dyDescent="0.3">
      <c r="A216">
        <v>217</v>
      </c>
      <c r="B216" t="s">
        <v>840</v>
      </c>
      <c r="C216" t="s">
        <v>251</v>
      </c>
      <c r="D216" t="s">
        <v>73</v>
      </c>
      <c r="E216" t="s">
        <v>22</v>
      </c>
      <c r="F216" s="30">
        <v>45016</v>
      </c>
      <c r="G216" t="s">
        <v>854</v>
      </c>
      <c r="H216" t="s">
        <v>4477</v>
      </c>
      <c r="I216">
        <v>20</v>
      </c>
      <c r="J216">
        <v>0</v>
      </c>
      <c r="L216">
        <v>0</v>
      </c>
      <c r="M216">
        <v>0</v>
      </c>
      <c r="AS216">
        <v>0</v>
      </c>
    </row>
    <row r="217" spans="1:45" x14ac:dyDescent="0.3">
      <c r="A217">
        <v>217</v>
      </c>
      <c r="B217" t="s">
        <v>840</v>
      </c>
      <c r="C217" t="s">
        <v>251</v>
      </c>
      <c r="D217" t="s">
        <v>73</v>
      </c>
      <c r="E217" t="s">
        <v>22</v>
      </c>
      <c r="F217" s="30">
        <v>45016</v>
      </c>
      <c r="G217" t="s">
        <v>854</v>
      </c>
      <c r="H217" t="s">
        <v>4469</v>
      </c>
      <c r="I217">
        <v>20</v>
      </c>
      <c r="J217">
        <v>0</v>
      </c>
      <c r="L217">
        <v>0</v>
      </c>
      <c r="M217">
        <v>635.6</v>
      </c>
      <c r="AS217">
        <v>0</v>
      </c>
    </row>
    <row r="218" spans="1:45" x14ac:dyDescent="0.3">
      <c r="A218">
        <v>217</v>
      </c>
      <c r="B218" t="s">
        <v>840</v>
      </c>
      <c r="C218" t="s">
        <v>251</v>
      </c>
      <c r="D218" t="s">
        <v>73</v>
      </c>
      <c r="E218" t="s">
        <v>22</v>
      </c>
      <c r="F218" s="30">
        <v>45016</v>
      </c>
      <c r="G218" t="s">
        <v>854</v>
      </c>
      <c r="H218" t="s">
        <v>4476</v>
      </c>
      <c r="I218">
        <v>20</v>
      </c>
      <c r="J218">
        <v>0</v>
      </c>
      <c r="L218">
        <v>0</v>
      </c>
      <c r="M218">
        <v>0</v>
      </c>
      <c r="AS218">
        <v>0</v>
      </c>
    </row>
    <row r="219" spans="1:45" x14ac:dyDescent="0.3">
      <c r="A219">
        <v>217</v>
      </c>
      <c r="B219" t="s">
        <v>840</v>
      </c>
      <c r="C219" t="s">
        <v>251</v>
      </c>
      <c r="D219" t="s">
        <v>73</v>
      </c>
      <c r="E219" t="s">
        <v>22</v>
      </c>
      <c r="F219" s="30">
        <v>45016</v>
      </c>
      <c r="G219" t="s">
        <v>854</v>
      </c>
      <c r="H219" t="s">
        <v>4478</v>
      </c>
      <c r="I219">
        <v>20</v>
      </c>
      <c r="J219">
        <v>0</v>
      </c>
      <c r="L219">
        <v>0</v>
      </c>
      <c r="M219">
        <v>0</v>
      </c>
      <c r="AS219">
        <v>0</v>
      </c>
    </row>
    <row r="220" spans="1:45" x14ac:dyDescent="0.3">
      <c r="A220">
        <v>218</v>
      </c>
      <c r="B220" t="s">
        <v>888</v>
      </c>
      <c r="C220" t="s">
        <v>251</v>
      </c>
      <c r="D220" t="s">
        <v>73</v>
      </c>
      <c r="E220" t="s">
        <v>56</v>
      </c>
      <c r="F220" s="30">
        <v>45016</v>
      </c>
      <c r="G220" t="s">
        <v>904</v>
      </c>
      <c r="H220" t="s">
        <v>4468</v>
      </c>
      <c r="I220">
        <v>172000</v>
      </c>
      <c r="J220">
        <v>72373.3984375</v>
      </c>
      <c r="N220">
        <v>72373.41</v>
      </c>
    </row>
    <row r="221" spans="1:45" x14ac:dyDescent="0.3">
      <c r="A221">
        <v>218</v>
      </c>
      <c r="B221" t="s">
        <v>888</v>
      </c>
      <c r="C221" t="s">
        <v>251</v>
      </c>
      <c r="D221" t="s">
        <v>73</v>
      </c>
      <c r="E221" t="s">
        <v>56</v>
      </c>
      <c r="F221" s="30">
        <v>45016</v>
      </c>
      <c r="G221" t="s">
        <v>904</v>
      </c>
      <c r="H221" t="s">
        <v>4470</v>
      </c>
      <c r="I221">
        <v>172000</v>
      </c>
      <c r="J221">
        <v>54150</v>
      </c>
      <c r="N221">
        <v>54150</v>
      </c>
    </row>
    <row r="222" spans="1:45" x14ac:dyDescent="0.3">
      <c r="A222">
        <v>218</v>
      </c>
      <c r="B222" t="s">
        <v>888</v>
      </c>
      <c r="C222" t="s">
        <v>251</v>
      </c>
      <c r="D222" t="s">
        <v>73</v>
      </c>
      <c r="E222" t="s">
        <v>56</v>
      </c>
      <c r="F222" s="30">
        <v>45016</v>
      </c>
      <c r="G222" t="s">
        <v>904</v>
      </c>
      <c r="H222" t="s">
        <v>4477</v>
      </c>
      <c r="I222">
        <v>172000</v>
      </c>
      <c r="J222">
        <v>0</v>
      </c>
      <c r="N222">
        <v>0</v>
      </c>
    </row>
    <row r="223" spans="1:45" x14ac:dyDescent="0.3">
      <c r="A223">
        <v>218</v>
      </c>
      <c r="B223" t="s">
        <v>888</v>
      </c>
      <c r="C223" t="s">
        <v>251</v>
      </c>
      <c r="D223" t="s">
        <v>73</v>
      </c>
      <c r="E223" t="s">
        <v>56</v>
      </c>
      <c r="F223" s="30">
        <v>45016</v>
      </c>
      <c r="G223" t="s">
        <v>904</v>
      </c>
      <c r="H223" t="s">
        <v>4469</v>
      </c>
      <c r="I223">
        <v>172000</v>
      </c>
      <c r="J223">
        <v>20304</v>
      </c>
      <c r="N223">
        <v>20304</v>
      </c>
    </row>
    <row r="224" spans="1:45" x14ac:dyDescent="0.3">
      <c r="A224">
        <v>218</v>
      </c>
      <c r="B224" t="s">
        <v>888</v>
      </c>
      <c r="C224" t="s">
        <v>251</v>
      </c>
      <c r="D224" t="s">
        <v>73</v>
      </c>
      <c r="E224" t="s">
        <v>56</v>
      </c>
      <c r="F224" s="30">
        <v>45016</v>
      </c>
      <c r="G224" t="s">
        <v>904</v>
      </c>
      <c r="H224" t="s">
        <v>4476</v>
      </c>
      <c r="I224">
        <v>172000</v>
      </c>
      <c r="J224">
        <v>3360</v>
      </c>
      <c r="N224">
        <v>3360</v>
      </c>
    </row>
    <row r="225" spans="1:48" x14ac:dyDescent="0.3">
      <c r="A225">
        <v>218</v>
      </c>
      <c r="B225" t="s">
        <v>888</v>
      </c>
      <c r="C225" t="s">
        <v>251</v>
      </c>
      <c r="D225" t="s">
        <v>73</v>
      </c>
      <c r="E225" t="s">
        <v>56</v>
      </c>
      <c r="F225" s="30">
        <v>45016</v>
      </c>
      <c r="G225" t="s">
        <v>904</v>
      </c>
      <c r="H225" t="s">
        <v>4478</v>
      </c>
      <c r="I225">
        <v>172000</v>
      </c>
      <c r="J225">
        <v>1254</v>
      </c>
      <c r="N225">
        <v>1254</v>
      </c>
    </row>
    <row r="226" spans="1:48" x14ac:dyDescent="0.3">
      <c r="A226">
        <v>225</v>
      </c>
      <c r="B226" t="s">
        <v>976</v>
      </c>
      <c r="C226" t="s">
        <v>251</v>
      </c>
      <c r="D226" t="s">
        <v>73</v>
      </c>
      <c r="E226" t="s">
        <v>22</v>
      </c>
      <c r="F226" s="30">
        <v>45016</v>
      </c>
      <c r="G226" t="s">
        <v>991</v>
      </c>
      <c r="H226" t="s">
        <v>4468</v>
      </c>
      <c r="I226">
        <v>1</v>
      </c>
      <c r="J226">
        <v>5</v>
      </c>
      <c r="AT226">
        <v>5</v>
      </c>
    </row>
    <row r="227" spans="1:48" x14ac:dyDescent="0.3">
      <c r="A227">
        <v>225</v>
      </c>
      <c r="B227" t="s">
        <v>976</v>
      </c>
      <c r="C227" t="s">
        <v>251</v>
      </c>
      <c r="D227" t="s">
        <v>73</v>
      </c>
      <c r="E227" t="s">
        <v>22</v>
      </c>
      <c r="F227" s="30">
        <v>45016</v>
      </c>
      <c r="G227" t="s">
        <v>991</v>
      </c>
      <c r="H227" t="s">
        <v>4470</v>
      </c>
      <c r="I227">
        <v>1</v>
      </c>
      <c r="J227">
        <v>2</v>
      </c>
      <c r="AT227">
        <v>2</v>
      </c>
    </row>
    <row r="228" spans="1:48" x14ac:dyDescent="0.3">
      <c r="A228">
        <v>225</v>
      </c>
      <c r="B228" t="s">
        <v>976</v>
      </c>
      <c r="C228" t="s">
        <v>251</v>
      </c>
      <c r="D228" t="s">
        <v>73</v>
      </c>
      <c r="E228" t="s">
        <v>22</v>
      </c>
      <c r="F228" s="30">
        <v>45016</v>
      </c>
      <c r="G228" t="s">
        <v>991</v>
      </c>
      <c r="H228" t="s">
        <v>4477</v>
      </c>
      <c r="I228">
        <v>1</v>
      </c>
      <c r="J228">
        <v>0</v>
      </c>
      <c r="AT228">
        <v>0</v>
      </c>
    </row>
    <row r="229" spans="1:48" x14ac:dyDescent="0.3">
      <c r="A229">
        <v>225</v>
      </c>
      <c r="B229" t="s">
        <v>976</v>
      </c>
      <c r="C229" t="s">
        <v>251</v>
      </c>
      <c r="D229" t="s">
        <v>73</v>
      </c>
      <c r="E229" t="s">
        <v>22</v>
      </c>
      <c r="F229" s="30">
        <v>45016</v>
      </c>
      <c r="G229" t="s">
        <v>991</v>
      </c>
      <c r="H229" t="s">
        <v>4469</v>
      </c>
      <c r="I229">
        <v>1</v>
      </c>
      <c r="J229">
        <v>10</v>
      </c>
      <c r="AT229">
        <v>10</v>
      </c>
    </row>
    <row r="230" spans="1:48" x14ac:dyDescent="0.3">
      <c r="A230">
        <v>225</v>
      </c>
      <c r="B230" t="s">
        <v>976</v>
      </c>
      <c r="C230" t="s">
        <v>251</v>
      </c>
      <c r="D230" t="s">
        <v>73</v>
      </c>
      <c r="E230" t="s">
        <v>22</v>
      </c>
      <c r="F230" s="30">
        <v>45016</v>
      </c>
      <c r="G230" t="s">
        <v>991</v>
      </c>
      <c r="H230" t="s">
        <v>4476</v>
      </c>
      <c r="I230">
        <v>1</v>
      </c>
      <c r="J230">
        <v>1</v>
      </c>
      <c r="AT230">
        <v>1</v>
      </c>
    </row>
    <row r="231" spans="1:48" x14ac:dyDescent="0.3">
      <c r="A231">
        <v>225</v>
      </c>
      <c r="B231" t="s">
        <v>976</v>
      </c>
      <c r="C231" t="s">
        <v>251</v>
      </c>
      <c r="D231" t="s">
        <v>73</v>
      </c>
      <c r="E231" t="s">
        <v>22</v>
      </c>
      <c r="F231" s="30">
        <v>45016</v>
      </c>
      <c r="G231" t="s">
        <v>991</v>
      </c>
      <c r="H231" t="s">
        <v>4478</v>
      </c>
      <c r="I231">
        <v>1</v>
      </c>
      <c r="J231">
        <v>1</v>
      </c>
      <c r="AT231">
        <v>1</v>
      </c>
    </row>
    <row r="232" spans="1:48" x14ac:dyDescent="0.3">
      <c r="A232">
        <v>239</v>
      </c>
      <c r="B232" t="s">
        <v>1095</v>
      </c>
      <c r="C232" t="s">
        <v>1096</v>
      </c>
      <c r="D232" t="s">
        <v>73</v>
      </c>
      <c r="E232" t="s">
        <v>22</v>
      </c>
      <c r="F232" s="30">
        <v>45016</v>
      </c>
      <c r="G232" t="s">
        <v>1112</v>
      </c>
      <c r="H232" t="s">
        <v>4479</v>
      </c>
      <c r="J232">
        <v>6</v>
      </c>
      <c r="AU232">
        <v>6</v>
      </c>
    </row>
    <row r="233" spans="1:48" x14ac:dyDescent="0.3">
      <c r="A233">
        <v>239</v>
      </c>
      <c r="B233" t="s">
        <v>1095</v>
      </c>
      <c r="C233" t="s">
        <v>1096</v>
      </c>
      <c r="D233" t="s">
        <v>73</v>
      </c>
      <c r="E233" t="s">
        <v>22</v>
      </c>
      <c r="F233" s="30">
        <v>45016</v>
      </c>
      <c r="G233" t="s">
        <v>1112</v>
      </c>
      <c r="H233" t="s">
        <v>3622</v>
      </c>
      <c r="J233">
        <v>6</v>
      </c>
      <c r="AU233">
        <v>6</v>
      </c>
    </row>
    <row r="234" spans="1:48" x14ac:dyDescent="0.3">
      <c r="A234">
        <v>239</v>
      </c>
      <c r="B234" t="s">
        <v>1095</v>
      </c>
      <c r="C234" t="s">
        <v>1096</v>
      </c>
      <c r="D234" t="s">
        <v>73</v>
      </c>
      <c r="E234" t="s">
        <v>22</v>
      </c>
      <c r="F234" s="30">
        <v>45016</v>
      </c>
      <c r="G234" t="s">
        <v>1112</v>
      </c>
      <c r="H234" t="s">
        <v>4480</v>
      </c>
      <c r="J234">
        <v>1</v>
      </c>
      <c r="AU234">
        <v>1</v>
      </c>
    </row>
    <row r="235" spans="1:48" x14ac:dyDescent="0.3">
      <c r="A235">
        <v>239</v>
      </c>
      <c r="B235" t="s">
        <v>1095</v>
      </c>
      <c r="C235" t="s">
        <v>1096</v>
      </c>
      <c r="D235" t="s">
        <v>73</v>
      </c>
      <c r="E235" t="s">
        <v>22</v>
      </c>
      <c r="F235" s="30">
        <v>45016</v>
      </c>
      <c r="G235" t="s">
        <v>1112</v>
      </c>
      <c r="H235" t="s">
        <v>4481</v>
      </c>
      <c r="J235">
        <v>5</v>
      </c>
      <c r="AU235">
        <v>5</v>
      </c>
    </row>
    <row r="236" spans="1:48" x14ac:dyDescent="0.3">
      <c r="A236">
        <v>434</v>
      </c>
      <c r="B236" t="s">
        <v>2267</v>
      </c>
      <c r="C236" t="s">
        <v>251</v>
      </c>
      <c r="D236" t="s">
        <v>73</v>
      </c>
      <c r="E236" t="s">
        <v>56</v>
      </c>
      <c r="F236" s="30">
        <v>45016</v>
      </c>
      <c r="G236" t="s">
        <v>2270</v>
      </c>
      <c r="H236" t="s">
        <v>4468</v>
      </c>
      <c r="I236">
        <v>200</v>
      </c>
      <c r="J236">
        <v>1</v>
      </c>
      <c r="AV236">
        <v>1</v>
      </c>
    </row>
    <row r="237" spans="1:48" x14ac:dyDescent="0.3">
      <c r="A237">
        <v>434</v>
      </c>
      <c r="B237" t="s">
        <v>2267</v>
      </c>
      <c r="C237" t="s">
        <v>251</v>
      </c>
      <c r="D237" t="s">
        <v>73</v>
      </c>
      <c r="E237" t="s">
        <v>56</v>
      </c>
      <c r="F237" s="30">
        <v>45016</v>
      </c>
      <c r="G237" t="s">
        <v>2270</v>
      </c>
      <c r="H237" t="s">
        <v>4470</v>
      </c>
      <c r="I237">
        <v>200</v>
      </c>
      <c r="J237">
        <v>0</v>
      </c>
      <c r="AV237">
        <v>0</v>
      </c>
    </row>
    <row r="238" spans="1:48" x14ac:dyDescent="0.3">
      <c r="A238">
        <v>434</v>
      </c>
      <c r="B238" t="s">
        <v>2267</v>
      </c>
      <c r="C238" t="s">
        <v>251</v>
      </c>
      <c r="D238" t="s">
        <v>73</v>
      </c>
      <c r="E238" t="s">
        <v>56</v>
      </c>
      <c r="F238" s="30">
        <v>45016</v>
      </c>
      <c r="G238" t="s">
        <v>2270</v>
      </c>
      <c r="H238" t="s">
        <v>4477</v>
      </c>
      <c r="I238">
        <v>200</v>
      </c>
      <c r="J238">
        <v>0</v>
      </c>
      <c r="AV238">
        <v>0</v>
      </c>
    </row>
    <row r="239" spans="1:48" x14ac:dyDescent="0.3">
      <c r="A239">
        <v>434</v>
      </c>
      <c r="B239" t="s">
        <v>2267</v>
      </c>
      <c r="C239" t="s">
        <v>251</v>
      </c>
      <c r="D239" t="s">
        <v>73</v>
      </c>
      <c r="E239" t="s">
        <v>56</v>
      </c>
      <c r="F239" s="30">
        <v>45016</v>
      </c>
      <c r="G239" t="s">
        <v>2270</v>
      </c>
      <c r="H239" t="s">
        <v>4469</v>
      </c>
      <c r="I239">
        <v>200</v>
      </c>
      <c r="J239">
        <v>0</v>
      </c>
      <c r="AV239">
        <v>0</v>
      </c>
    </row>
    <row r="240" spans="1:48" x14ac:dyDescent="0.3">
      <c r="A240">
        <v>434</v>
      </c>
      <c r="B240" t="s">
        <v>2267</v>
      </c>
      <c r="C240" t="s">
        <v>251</v>
      </c>
      <c r="D240" t="s">
        <v>73</v>
      </c>
      <c r="E240" t="s">
        <v>56</v>
      </c>
      <c r="F240" s="30">
        <v>45016</v>
      </c>
      <c r="G240" t="s">
        <v>2270</v>
      </c>
      <c r="H240" t="s">
        <v>4476</v>
      </c>
      <c r="I240">
        <v>200</v>
      </c>
      <c r="J240">
        <v>0</v>
      </c>
      <c r="AV240">
        <v>0</v>
      </c>
    </row>
    <row r="241" spans="1:52" x14ac:dyDescent="0.3">
      <c r="A241">
        <v>434</v>
      </c>
      <c r="B241" t="s">
        <v>2267</v>
      </c>
      <c r="C241" t="s">
        <v>251</v>
      </c>
      <c r="D241" t="s">
        <v>73</v>
      </c>
      <c r="E241" t="s">
        <v>56</v>
      </c>
      <c r="F241" s="30">
        <v>45016</v>
      </c>
      <c r="G241" t="s">
        <v>2270</v>
      </c>
      <c r="H241" t="s">
        <v>4478</v>
      </c>
      <c r="I241">
        <v>200</v>
      </c>
      <c r="J241">
        <v>0</v>
      </c>
      <c r="AV241">
        <v>0</v>
      </c>
    </row>
    <row r="242" spans="1:52" x14ac:dyDescent="0.3">
      <c r="A242">
        <v>213</v>
      </c>
      <c r="B242" t="s">
        <v>757</v>
      </c>
      <c r="C242" t="s">
        <v>251</v>
      </c>
      <c r="D242" t="s">
        <v>21</v>
      </c>
      <c r="E242" t="s">
        <v>22</v>
      </c>
      <c r="F242" s="30">
        <v>45016</v>
      </c>
      <c r="G242" t="s">
        <v>762</v>
      </c>
      <c r="H242" t="s">
        <v>4482</v>
      </c>
      <c r="I242">
        <v>90</v>
      </c>
      <c r="J242">
        <v>100</v>
      </c>
      <c r="AW242">
        <v>9</v>
      </c>
      <c r="AX242">
        <v>9</v>
      </c>
    </row>
    <row r="243" spans="1:52" x14ac:dyDescent="0.3">
      <c r="A243">
        <v>213</v>
      </c>
      <c r="B243" t="s">
        <v>757</v>
      </c>
      <c r="C243" t="s">
        <v>251</v>
      </c>
      <c r="D243" t="s">
        <v>21</v>
      </c>
      <c r="E243" t="s">
        <v>22</v>
      </c>
      <c r="F243" s="30">
        <v>45016</v>
      </c>
      <c r="G243" t="s">
        <v>762</v>
      </c>
      <c r="H243" t="s">
        <v>4483</v>
      </c>
      <c r="I243">
        <v>90</v>
      </c>
      <c r="J243">
        <v>100</v>
      </c>
      <c r="AW243">
        <v>17</v>
      </c>
      <c r="AX243">
        <v>17</v>
      </c>
    </row>
    <row r="244" spans="1:52" x14ac:dyDescent="0.3">
      <c r="A244">
        <v>213</v>
      </c>
      <c r="B244" t="s">
        <v>757</v>
      </c>
      <c r="C244" t="s">
        <v>251</v>
      </c>
      <c r="D244" t="s">
        <v>21</v>
      </c>
      <c r="E244" t="s">
        <v>22</v>
      </c>
      <c r="F244" s="30">
        <v>45016</v>
      </c>
      <c r="G244" t="s">
        <v>762</v>
      </c>
      <c r="H244" t="s">
        <v>4484</v>
      </c>
      <c r="I244">
        <v>90</v>
      </c>
      <c r="J244">
        <v>100</v>
      </c>
      <c r="AW244">
        <v>3</v>
      </c>
      <c r="AX244">
        <v>3</v>
      </c>
    </row>
    <row r="245" spans="1:52" x14ac:dyDescent="0.3">
      <c r="A245">
        <v>213</v>
      </c>
      <c r="B245" t="s">
        <v>757</v>
      </c>
      <c r="C245" t="s">
        <v>251</v>
      </c>
      <c r="D245" t="s">
        <v>21</v>
      </c>
      <c r="E245" t="s">
        <v>22</v>
      </c>
      <c r="F245" s="30">
        <v>45016</v>
      </c>
      <c r="G245" t="s">
        <v>762</v>
      </c>
      <c r="H245" t="s">
        <v>4485</v>
      </c>
      <c r="I245">
        <v>90</v>
      </c>
      <c r="J245">
        <v>100</v>
      </c>
      <c r="AW245">
        <v>18</v>
      </c>
      <c r="AX245">
        <v>18</v>
      </c>
    </row>
    <row r="246" spans="1:52" x14ac:dyDescent="0.3">
      <c r="A246">
        <v>213</v>
      </c>
      <c r="B246" t="s">
        <v>757</v>
      </c>
      <c r="C246" t="s">
        <v>251</v>
      </c>
      <c r="D246" t="s">
        <v>21</v>
      </c>
      <c r="E246" t="s">
        <v>22</v>
      </c>
      <c r="F246" s="30">
        <v>45016</v>
      </c>
      <c r="G246" t="s">
        <v>762</v>
      </c>
      <c r="H246" t="s">
        <v>4486</v>
      </c>
      <c r="I246">
        <v>90</v>
      </c>
      <c r="J246">
        <v>100</v>
      </c>
      <c r="AW246">
        <v>13</v>
      </c>
      <c r="AX246">
        <v>13</v>
      </c>
    </row>
    <row r="247" spans="1:52" x14ac:dyDescent="0.3">
      <c r="A247">
        <v>213</v>
      </c>
      <c r="B247" t="s">
        <v>757</v>
      </c>
      <c r="C247" t="s">
        <v>251</v>
      </c>
      <c r="D247" t="s">
        <v>21</v>
      </c>
      <c r="E247" t="s">
        <v>22</v>
      </c>
      <c r="F247" s="30">
        <v>45016</v>
      </c>
      <c r="G247" t="s">
        <v>762</v>
      </c>
      <c r="H247" t="s">
        <v>4487</v>
      </c>
      <c r="I247">
        <v>90</v>
      </c>
      <c r="J247">
        <v>100</v>
      </c>
      <c r="AW247">
        <v>31</v>
      </c>
      <c r="AX247">
        <v>31</v>
      </c>
    </row>
    <row r="248" spans="1:52" x14ac:dyDescent="0.3">
      <c r="A248">
        <v>238</v>
      </c>
      <c r="B248" t="s">
        <v>1077</v>
      </c>
      <c r="C248" t="s">
        <v>251</v>
      </c>
      <c r="D248" t="s">
        <v>21</v>
      </c>
      <c r="E248" t="s">
        <v>22</v>
      </c>
      <c r="F248" s="30">
        <v>45016</v>
      </c>
      <c r="G248" t="s">
        <v>1083</v>
      </c>
      <c r="H248" t="s">
        <v>4488</v>
      </c>
      <c r="I248">
        <v>90</v>
      </c>
      <c r="J248">
        <v>100</v>
      </c>
      <c r="AY248">
        <v>1</v>
      </c>
      <c r="AZ248">
        <v>1</v>
      </c>
    </row>
    <row r="249" spans="1:52" x14ac:dyDescent="0.3">
      <c r="A249">
        <v>238</v>
      </c>
      <c r="B249" t="s">
        <v>1077</v>
      </c>
      <c r="C249" t="s">
        <v>251</v>
      </c>
      <c r="D249" t="s">
        <v>21</v>
      </c>
      <c r="E249" t="s">
        <v>22</v>
      </c>
      <c r="F249" s="30">
        <v>45016</v>
      </c>
      <c r="G249" t="s">
        <v>1083</v>
      </c>
      <c r="H249" t="s">
        <v>4489</v>
      </c>
      <c r="I249">
        <v>90</v>
      </c>
      <c r="J249">
        <v>83.330001831054688</v>
      </c>
      <c r="AY249">
        <v>5</v>
      </c>
      <c r="AZ249">
        <v>6</v>
      </c>
    </row>
    <row r="250" spans="1:52" x14ac:dyDescent="0.3">
      <c r="A250">
        <v>238</v>
      </c>
      <c r="B250" t="s">
        <v>1077</v>
      </c>
      <c r="C250" t="s">
        <v>251</v>
      </c>
      <c r="D250" t="s">
        <v>21</v>
      </c>
      <c r="E250" t="s">
        <v>22</v>
      </c>
      <c r="F250" s="30">
        <v>45016</v>
      </c>
      <c r="G250" t="s">
        <v>1083</v>
      </c>
      <c r="H250" t="s">
        <v>4490</v>
      </c>
      <c r="I250">
        <v>90</v>
      </c>
      <c r="J250">
        <v>100</v>
      </c>
      <c r="AY250">
        <v>3</v>
      </c>
      <c r="AZ250">
        <v>3</v>
      </c>
    </row>
    <row r="251" spans="1:52" x14ac:dyDescent="0.3">
      <c r="A251">
        <v>238</v>
      </c>
      <c r="B251" t="s">
        <v>1077</v>
      </c>
      <c r="C251" t="s">
        <v>251</v>
      </c>
      <c r="D251" t="s">
        <v>21</v>
      </c>
      <c r="E251" t="s">
        <v>22</v>
      </c>
      <c r="F251" s="30">
        <v>45016</v>
      </c>
      <c r="G251" t="s">
        <v>1083</v>
      </c>
      <c r="H251" t="s">
        <v>4491</v>
      </c>
      <c r="I251">
        <v>90</v>
      </c>
      <c r="J251">
        <v>100</v>
      </c>
      <c r="AY251">
        <v>3</v>
      </c>
      <c r="AZ251">
        <v>3</v>
      </c>
    </row>
    <row r="252" spans="1:52" x14ac:dyDescent="0.3">
      <c r="A252">
        <v>238</v>
      </c>
      <c r="B252" t="s">
        <v>1077</v>
      </c>
      <c r="C252" t="s">
        <v>251</v>
      </c>
      <c r="D252" t="s">
        <v>21</v>
      </c>
      <c r="E252" t="s">
        <v>22</v>
      </c>
      <c r="F252" s="30">
        <v>45016</v>
      </c>
      <c r="G252" t="s">
        <v>1083</v>
      </c>
      <c r="H252" t="s">
        <v>4492</v>
      </c>
      <c r="I252">
        <v>90</v>
      </c>
      <c r="J252">
        <v>100</v>
      </c>
      <c r="AY252">
        <v>3</v>
      </c>
      <c r="AZ252">
        <v>3</v>
      </c>
    </row>
    <row r="253" spans="1:52" x14ac:dyDescent="0.3">
      <c r="A253">
        <v>238</v>
      </c>
      <c r="B253" t="s">
        <v>1077</v>
      </c>
      <c r="C253" t="s">
        <v>251</v>
      </c>
      <c r="D253" t="s">
        <v>21</v>
      </c>
      <c r="E253" t="s">
        <v>22</v>
      </c>
      <c r="F253" s="30">
        <v>45016</v>
      </c>
      <c r="G253" t="s">
        <v>1083</v>
      </c>
      <c r="H253" t="s">
        <v>4493</v>
      </c>
      <c r="I253">
        <v>90</v>
      </c>
      <c r="J253">
        <v>100</v>
      </c>
      <c r="AY253">
        <v>2</v>
      </c>
      <c r="AZ253">
        <v>2</v>
      </c>
    </row>
    <row r="254" spans="1:52" x14ac:dyDescent="0.3">
      <c r="A254">
        <v>208</v>
      </c>
      <c r="B254" t="s">
        <v>707</v>
      </c>
      <c r="C254" t="s">
        <v>251</v>
      </c>
      <c r="D254" t="s">
        <v>73</v>
      </c>
      <c r="E254" t="s">
        <v>56</v>
      </c>
      <c r="F254" s="30">
        <v>45046</v>
      </c>
      <c r="G254" t="s">
        <v>724</v>
      </c>
      <c r="H254" t="s">
        <v>4470</v>
      </c>
      <c r="I254">
        <v>1</v>
      </c>
      <c r="J254">
        <v>317</v>
      </c>
      <c r="K254">
        <v>317</v>
      </c>
    </row>
    <row r="255" spans="1:52" x14ac:dyDescent="0.3">
      <c r="A255">
        <v>208</v>
      </c>
      <c r="B255" t="s">
        <v>707</v>
      </c>
      <c r="C255" t="s">
        <v>251</v>
      </c>
      <c r="D255" t="s">
        <v>73</v>
      </c>
      <c r="E255" t="s">
        <v>56</v>
      </c>
      <c r="F255" s="30">
        <v>45046</v>
      </c>
      <c r="G255" t="s">
        <v>724</v>
      </c>
      <c r="H255" t="s">
        <v>4477</v>
      </c>
      <c r="I255">
        <v>1</v>
      </c>
      <c r="J255">
        <v>0</v>
      </c>
      <c r="K255">
        <v>0</v>
      </c>
    </row>
    <row r="256" spans="1:52" x14ac:dyDescent="0.3">
      <c r="A256">
        <v>208</v>
      </c>
      <c r="B256" t="s">
        <v>707</v>
      </c>
      <c r="C256" t="s">
        <v>251</v>
      </c>
      <c r="D256" t="s">
        <v>73</v>
      </c>
      <c r="E256" t="s">
        <v>56</v>
      </c>
      <c r="F256" s="30">
        <v>45046</v>
      </c>
      <c r="G256" t="s">
        <v>724</v>
      </c>
      <c r="H256" t="s">
        <v>4469</v>
      </c>
      <c r="I256">
        <v>1</v>
      </c>
      <c r="J256">
        <v>178</v>
      </c>
      <c r="K256">
        <v>178</v>
      </c>
    </row>
    <row r="257" spans="1:45" x14ac:dyDescent="0.3">
      <c r="A257">
        <v>208</v>
      </c>
      <c r="B257" t="s">
        <v>707</v>
      </c>
      <c r="C257" t="s">
        <v>251</v>
      </c>
      <c r="D257" t="s">
        <v>73</v>
      </c>
      <c r="E257" t="s">
        <v>56</v>
      </c>
      <c r="F257" s="30">
        <v>45046</v>
      </c>
      <c r="G257" t="s">
        <v>724</v>
      </c>
      <c r="H257" t="s">
        <v>4476</v>
      </c>
      <c r="I257">
        <v>0</v>
      </c>
      <c r="J257">
        <v>0</v>
      </c>
      <c r="K257">
        <v>0</v>
      </c>
    </row>
    <row r="258" spans="1:45" x14ac:dyDescent="0.3">
      <c r="A258">
        <v>208</v>
      </c>
      <c r="B258" t="s">
        <v>707</v>
      </c>
      <c r="C258" t="s">
        <v>251</v>
      </c>
      <c r="D258" t="s">
        <v>73</v>
      </c>
      <c r="E258" t="s">
        <v>56</v>
      </c>
      <c r="F258" s="30">
        <v>45046</v>
      </c>
      <c r="G258" t="s">
        <v>724</v>
      </c>
      <c r="H258" t="s">
        <v>4478</v>
      </c>
      <c r="I258">
        <v>1</v>
      </c>
      <c r="J258">
        <v>10</v>
      </c>
      <c r="K258">
        <v>10</v>
      </c>
    </row>
    <row r="259" spans="1:45" x14ac:dyDescent="0.3">
      <c r="A259">
        <v>208</v>
      </c>
      <c r="B259" t="s">
        <v>707</v>
      </c>
      <c r="C259" t="s">
        <v>251</v>
      </c>
      <c r="D259" t="s">
        <v>73</v>
      </c>
      <c r="E259" t="s">
        <v>56</v>
      </c>
      <c r="F259" s="30">
        <v>45046</v>
      </c>
      <c r="G259" t="s">
        <v>724</v>
      </c>
      <c r="H259" t="s">
        <v>4468</v>
      </c>
      <c r="I259">
        <v>1</v>
      </c>
      <c r="J259">
        <v>452.60000610351563</v>
      </c>
      <c r="K259">
        <v>452.6</v>
      </c>
    </row>
    <row r="260" spans="1:45" x14ac:dyDescent="0.3">
      <c r="A260">
        <v>214</v>
      </c>
      <c r="B260" t="s">
        <v>774</v>
      </c>
      <c r="C260" t="s">
        <v>251</v>
      </c>
      <c r="D260" t="s">
        <v>73</v>
      </c>
      <c r="E260" t="s">
        <v>56</v>
      </c>
      <c r="F260" s="30">
        <v>45046</v>
      </c>
      <c r="G260" t="s">
        <v>791</v>
      </c>
      <c r="H260" t="s">
        <v>4468</v>
      </c>
      <c r="I260">
        <v>7500</v>
      </c>
      <c r="J260">
        <v>1124</v>
      </c>
      <c r="L260">
        <v>734</v>
      </c>
      <c r="M260">
        <v>390</v>
      </c>
    </row>
    <row r="261" spans="1:45" x14ac:dyDescent="0.3">
      <c r="A261">
        <v>214</v>
      </c>
      <c r="B261" t="s">
        <v>774</v>
      </c>
      <c r="C261" t="s">
        <v>251</v>
      </c>
      <c r="D261" t="s">
        <v>73</v>
      </c>
      <c r="E261" t="s">
        <v>56</v>
      </c>
      <c r="F261" s="30">
        <v>45046</v>
      </c>
      <c r="G261" t="s">
        <v>791</v>
      </c>
      <c r="H261" t="s">
        <v>4470</v>
      </c>
      <c r="I261">
        <v>7500</v>
      </c>
      <c r="J261">
        <v>717.20001220703125</v>
      </c>
      <c r="L261">
        <v>0</v>
      </c>
      <c r="M261">
        <v>717.2</v>
      </c>
    </row>
    <row r="262" spans="1:45" x14ac:dyDescent="0.3">
      <c r="A262">
        <v>214</v>
      </c>
      <c r="B262" t="s">
        <v>774</v>
      </c>
      <c r="C262" t="s">
        <v>251</v>
      </c>
      <c r="D262" t="s">
        <v>73</v>
      </c>
      <c r="E262" t="s">
        <v>56</v>
      </c>
      <c r="F262" s="30">
        <v>45046</v>
      </c>
      <c r="G262" t="s">
        <v>791</v>
      </c>
      <c r="H262" t="s">
        <v>4477</v>
      </c>
      <c r="I262">
        <v>7500</v>
      </c>
      <c r="J262">
        <v>0</v>
      </c>
      <c r="L262">
        <v>0</v>
      </c>
      <c r="M262">
        <v>0</v>
      </c>
    </row>
    <row r="263" spans="1:45" x14ac:dyDescent="0.3">
      <c r="A263">
        <v>214</v>
      </c>
      <c r="B263" t="s">
        <v>774</v>
      </c>
      <c r="C263" t="s">
        <v>251</v>
      </c>
      <c r="D263" t="s">
        <v>73</v>
      </c>
      <c r="E263" t="s">
        <v>56</v>
      </c>
      <c r="F263" s="30">
        <v>45046</v>
      </c>
      <c r="G263" t="s">
        <v>791</v>
      </c>
      <c r="H263" t="s">
        <v>4469</v>
      </c>
      <c r="I263">
        <v>7500</v>
      </c>
      <c r="J263">
        <v>472.29998779296881</v>
      </c>
      <c r="L263">
        <v>0</v>
      </c>
      <c r="M263">
        <v>472.3</v>
      </c>
    </row>
    <row r="264" spans="1:45" x14ac:dyDescent="0.3">
      <c r="A264">
        <v>214</v>
      </c>
      <c r="B264" t="s">
        <v>774</v>
      </c>
      <c r="C264" t="s">
        <v>251</v>
      </c>
      <c r="D264" t="s">
        <v>73</v>
      </c>
      <c r="E264" t="s">
        <v>56</v>
      </c>
      <c r="F264" s="30">
        <v>45046</v>
      </c>
      <c r="G264" t="s">
        <v>791</v>
      </c>
      <c r="H264" t="s">
        <v>4476</v>
      </c>
      <c r="I264">
        <v>1</v>
      </c>
      <c r="J264">
        <v>0</v>
      </c>
      <c r="L264">
        <v>0</v>
      </c>
      <c r="M264">
        <v>0</v>
      </c>
    </row>
    <row r="265" spans="1:45" x14ac:dyDescent="0.3">
      <c r="A265">
        <v>214</v>
      </c>
      <c r="B265" t="s">
        <v>774</v>
      </c>
      <c r="C265" t="s">
        <v>251</v>
      </c>
      <c r="D265" t="s">
        <v>73</v>
      </c>
      <c r="E265" t="s">
        <v>56</v>
      </c>
      <c r="F265" s="30">
        <v>45046</v>
      </c>
      <c r="G265" t="s">
        <v>791</v>
      </c>
      <c r="H265" t="s">
        <v>4478</v>
      </c>
      <c r="I265">
        <v>1</v>
      </c>
      <c r="J265">
        <v>0</v>
      </c>
      <c r="L265">
        <v>0</v>
      </c>
      <c r="M265">
        <v>0</v>
      </c>
    </row>
    <row r="266" spans="1:45" x14ac:dyDescent="0.3">
      <c r="A266">
        <v>217</v>
      </c>
      <c r="B266" t="s">
        <v>840</v>
      </c>
      <c r="C266" t="s">
        <v>251</v>
      </c>
      <c r="D266" t="s">
        <v>73</v>
      </c>
      <c r="E266" t="s">
        <v>22</v>
      </c>
      <c r="F266" s="30">
        <v>45046</v>
      </c>
      <c r="G266" t="s">
        <v>855</v>
      </c>
      <c r="H266" t="s">
        <v>4468</v>
      </c>
      <c r="I266">
        <v>20</v>
      </c>
      <c r="J266">
        <v>65.300003051757813</v>
      </c>
      <c r="L266">
        <v>734</v>
      </c>
      <c r="M266">
        <v>390</v>
      </c>
      <c r="AS266">
        <v>734</v>
      </c>
    </row>
    <row r="267" spans="1:45" x14ac:dyDescent="0.3">
      <c r="A267">
        <v>217</v>
      </c>
      <c r="B267" t="s">
        <v>840</v>
      </c>
      <c r="C267" t="s">
        <v>251</v>
      </c>
      <c r="D267" t="s">
        <v>73</v>
      </c>
      <c r="E267" t="s">
        <v>22</v>
      </c>
      <c r="F267" s="30">
        <v>45046</v>
      </c>
      <c r="G267" t="s">
        <v>855</v>
      </c>
      <c r="H267" t="s">
        <v>4470</v>
      </c>
      <c r="I267">
        <v>20</v>
      </c>
      <c r="J267">
        <v>0</v>
      </c>
      <c r="L267">
        <v>0</v>
      </c>
      <c r="M267">
        <v>717.2</v>
      </c>
      <c r="AS267">
        <v>0</v>
      </c>
    </row>
    <row r="268" spans="1:45" x14ac:dyDescent="0.3">
      <c r="A268">
        <v>217</v>
      </c>
      <c r="B268" t="s">
        <v>840</v>
      </c>
      <c r="C268" t="s">
        <v>251</v>
      </c>
      <c r="D268" t="s">
        <v>73</v>
      </c>
      <c r="E268" t="s">
        <v>22</v>
      </c>
      <c r="F268" s="30">
        <v>45046</v>
      </c>
      <c r="G268" t="s">
        <v>855</v>
      </c>
      <c r="H268" t="s">
        <v>4477</v>
      </c>
      <c r="I268">
        <v>20</v>
      </c>
      <c r="J268">
        <v>0</v>
      </c>
      <c r="L268">
        <v>0</v>
      </c>
      <c r="M268">
        <v>0</v>
      </c>
      <c r="AS268">
        <v>0</v>
      </c>
    </row>
    <row r="269" spans="1:45" x14ac:dyDescent="0.3">
      <c r="A269">
        <v>217</v>
      </c>
      <c r="B269" t="s">
        <v>840</v>
      </c>
      <c r="C269" t="s">
        <v>251</v>
      </c>
      <c r="D269" t="s">
        <v>73</v>
      </c>
      <c r="E269" t="s">
        <v>22</v>
      </c>
      <c r="F269" s="30">
        <v>45046</v>
      </c>
      <c r="G269" t="s">
        <v>855</v>
      </c>
      <c r="H269" t="s">
        <v>4469</v>
      </c>
      <c r="I269">
        <v>20</v>
      </c>
      <c r="J269">
        <v>0</v>
      </c>
      <c r="L269">
        <v>0</v>
      </c>
      <c r="M269">
        <v>472.3</v>
      </c>
      <c r="AS269">
        <v>0</v>
      </c>
    </row>
    <row r="270" spans="1:45" x14ac:dyDescent="0.3">
      <c r="A270">
        <v>217</v>
      </c>
      <c r="B270" t="s">
        <v>840</v>
      </c>
      <c r="C270" t="s">
        <v>251</v>
      </c>
      <c r="D270" t="s">
        <v>73</v>
      </c>
      <c r="E270" t="s">
        <v>22</v>
      </c>
      <c r="F270" s="30">
        <v>45046</v>
      </c>
      <c r="G270" t="s">
        <v>855</v>
      </c>
      <c r="H270" t="s">
        <v>4476</v>
      </c>
      <c r="I270">
        <v>20</v>
      </c>
      <c r="J270">
        <v>0</v>
      </c>
      <c r="L270">
        <v>0</v>
      </c>
      <c r="M270">
        <v>0</v>
      </c>
      <c r="AS270">
        <v>0</v>
      </c>
    </row>
    <row r="271" spans="1:45" x14ac:dyDescent="0.3">
      <c r="A271">
        <v>217</v>
      </c>
      <c r="B271" t="s">
        <v>840</v>
      </c>
      <c r="C271" t="s">
        <v>251</v>
      </c>
      <c r="D271" t="s">
        <v>73</v>
      </c>
      <c r="E271" t="s">
        <v>22</v>
      </c>
      <c r="F271" s="30">
        <v>45046</v>
      </c>
      <c r="G271" t="s">
        <v>855</v>
      </c>
      <c r="H271" t="s">
        <v>4478</v>
      </c>
      <c r="I271">
        <v>20</v>
      </c>
      <c r="J271">
        <v>0</v>
      </c>
      <c r="L271">
        <v>0</v>
      </c>
      <c r="M271">
        <v>0</v>
      </c>
      <c r="AS271">
        <v>0</v>
      </c>
    </row>
    <row r="272" spans="1:45" x14ac:dyDescent="0.3">
      <c r="A272">
        <v>218</v>
      </c>
      <c r="B272" t="s">
        <v>888</v>
      </c>
      <c r="C272" t="s">
        <v>251</v>
      </c>
      <c r="D272" t="s">
        <v>73</v>
      </c>
      <c r="E272" t="s">
        <v>56</v>
      </c>
      <c r="F272" s="30">
        <v>45046</v>
      </c>
      <c r="G272" t="s">
        <v>905</v>
      </c>
      <c r="H272" t="s">
        <v>4468</v>
      </c>
      <c r="I272">
        <v>172000</v>
      </c>
      <c r="J272">
        <v>62379</v>
      </c>
      <c r="N272">
        <v>62379</v>
      </c>
    </row>
    <row r="273" spans="1:48" x14ac:dyDescent="0.3">
      <c r="A273">
        <v>218</v>
      </c>
      <c r="B273" t="s">
        <v>888</v>
      </c>
      <c r="C273" t="s">
        <v>251</v>
      </c>
      <c r="D273" t="s">
        <v>73</v>
      </c>
      <c r="E273" t="s">
        <v>56</v>
      </c>
      <c r="F273" s="30">
        <v>45046</v>
      </c>
      <c r="G273" t="s">
        <v>905</v>
      </c>
      <c r="H273" t="s">
        <v>4470</v>
      </c>
      <c r="I273">
        <v>172000</v>
      </c>
      <c r="J273">
        <v>43890</v>
      </c>
      <c r="N273">
        <v>43890</v>
      </c>
    </row>
    <row r="274" spans="1:48" x14ac:dyDescent="0.3">
      <c r="A274">
        <v>218</v>
      </c>
      <c r="B274" t="s">
        <v>888</v>
      </c>
      <c r="C274" t="s">
        <v>251</v>
      </c>
      <c r="D274" t="s">
        <v>73</v>
      </c>
      <c r="E274" t="s">
        <v>56</v>
      </c>
      <c r="F274" s="30">
        <v>45046</v>
      </c>
      <c r="G274" t="s">
        <v>905</v>
      </c>
      <c r="H274" t="s">
        <v>4477</v>
      </c>
      <c r="I274">
        <v>172000</v>
      </c>
      <c r="J274">
        <v>0</v>
      </c>
      <c r="N274">
        <v>0</v>
      </c>
    </row>
    <row r="275" spans="1:48" x14ac:dyDescent="0.3">
      <c r="A275">
        <v>218</v>
      </c>
      <c r="B275" t="s">
        <v>888</v>
      </c>
      <c r="C275" t="s">
        <v>251</v>
      </c>
      <c r="D275" t="s">
        <v>73</v>
      </c>
      <c r="E275" t="s">
        <v>56</v>
      </c>
      <c r="F275" s="30">
        <v>45046</v>
      </c>
      <c r="G275" t="s">
        <v>905</v>
      </c>
      <c r="H275" t="s">
        <v>4469</v>
      </c>
      <c r="I275">
        <v>172000</v>
      </c>
      <c r="J275">
        <v>24750</v>
      </c>
      <c r="N275">
        <v>24750</v>
      </c>
    </row>
    <row r="276" spans="1:48" x14ac:dyDescent="0.3">
      <c r="A276">
        <v>218</v>
      </c>
      <c r="B276" t="s">
        <v>888</v>
      </c>
      <c r="C276" t="s">
        <v>251</v>
      </c>
      <c r="D276" t="s">
        <v>73</v>
      </c>
      <c r="E276" t="s">
        <v>56</v>
      </c>
      <c r="F276" s="30">
        <v>45046</v>
      </c>
      <c r="G276" t="s">
        <v>905</v>
      </c>
      <c r="H276" t="s">
        <v>4476</v>
      </c>
      <c r="I276">
        <v>172000</v>
      </c>
      <c r="J276">
        <v>4680</v>
      </c>
      <c r="N276">
        <v>4680</v>
      </c>
    </row>
    <row r="277" spans="1:48" x14ac:dyDescent="0.3">
      <c r="A277">
        <v>218</v>
      </c>
      <c r="B277" t="s">
        <v>888</v>
      </c>
      <c r="C277" t="s">
        <v>251</v>
      </c>
      <c r="D277" t="s">
        <v>73</v>
      </c>
      <c r="E277" t="s">
        <v>56</v>
      </c>
      <c r="F277" s="30">
        <v>45046</v>
      </c>
      <c r="G277" t="s">
        <v>905</v>
      </c>
      <c r="H277" t="s">
        <v>4478</v>
      </c>
      <c r="I277">
        <v>172000</v>
      </c>
      <c r="J277">
        <v>1380</v>
      </c>
      <c r="N277">
        <v>1380</v>
      </c>
    </row>
    <row r="278" spans="1:48" x14ac:dyDescent="0.3">
      <c r="A278">
        <v>225</v>
      </c>
      <c r="B278" t="s">
        <v>976</v>
      </c>
      <c r="C278" t="s">
        <v>251</v>
      </c>
      <c r="D278" t="s">
        <v>73</v>
      </c>
      <c r="E278" t="s">
        <v>22</v>
      </c>
      <c r="F278" s="30">
        <v>45046</v>
      </c>
      <c r="G278" t="s">
        <v>992</v>
      </c>
      <c r="H278" t="s">
        <v>4468</v>
      </c>
      <c r="I278">
        <v>1</v>
      </c>
      <c r="J278">
        <v>6</v>
      </c>
      <c r="AT278">
        <v>6</v>
      </c>
    </row>
    <row r="279" spans="1:48" x14ac:dyDescent="0.3">
      <c r="A279">
        <v>225</v>
      </c>
      <c r="B279" t="s">
        <v>976</v>
      </c>
      <c r="C279" t="s">
        <v>251</v>
      </c>
      <c r="D279" t="s">
        <v>73</v>
      </c>
      <c r="E279" t="s">
        <v>22</v>
      </c>
      <c r="F279" s="30">
        <v>45046</v>
      </c>
      <c r="G279" t="s">
        <v>992</v>
      </c>
      <c r="H279" t="s">
        <v>4470</v>
      </c>
      <c r="I279">
        <v>1</v>
      </c>
      <c r="J279">
        <v>2</v>
      </c>
      <c r="AT279">
        <v>2</v>
      </c>
    </row>
    <row r="280" spans="1:48" x14ac:dyDescent="0.3">
      <c r="A280">
        <v>225</v>
      </c>
      <c r="B280" t="s">
        <v>976</v>
      </c>
      <c r="C280" t="s">
        <v>251</v>
      </c>
      <c r="D280" t="s">
        <v>73</v>
      </c>
      <c r="E280" t="s">
        <v>22</v>
      </c>
      <c r="F280" s="30">
        <v>45046</v>
      </c>
      <c r="G280" t="s">
        <v>992</v>
      </c>
      <c r="H280" t="s">
        <v>4477</v>
      </c>
      <c r="I280">
        <v>1</v>
      </c>
      <c r="J280">
        <v>0</v>
      </c>
      <c r="AT280">
        <v>0</v>
      </c>
    </row>
    <row r="281" spans="1:48" x14ac:dyDescent="0.3">
      <c r="A281">
        <v>225</v>
      </c>
      <c r="B281" t="s">
        <v>976</v>
      </c>
      <c r="C281" t="s">
        <v>251</v>
      </c>
      <c r="D281" t="s">
        <v>73</v>
      </c>
      <c r="E281" t="s">
        <v>22</v>
      </c>
      <c r="F281" s="30">
        <v>45046</v>
      </c>
      <c r="G281" t="s">
        <v>992</v>
      </c>
      <c r="H281" t="s">
        <v>4469</v>
      </c>
      <c r="I281">
        <v>1</v>
      </c>
      <c r="J281">
        <v>10</v>
      </c>
      <c r="AT281">
        <v>10</v>
      </c>
    </row>
    <row r="282" spans="1:48" x14ac:dyDescent="0.3">
      <c r="A282">
        <v>225</v>
      </c>
      <c r="B282" t="s">
        <v>976</v>
      </c>
      <c r="C282" t="s">
        <v>251</v>
      </c>
      <c r="D282" t="s">
        <v>73</v>
      </c>
      <c r="E282" t="s">
        <v>22</v>
      </c>
      <c r="F282" s="30">
        <v>45046</v>
      </c>
      <c r="G282" t="s">
        <v>992</v>
      </c>
      <c r="H282" t="s">
        <v>4476</v>
      </c>
      <c r="I282">
        <v>1</v>
      </c>
      <c r="J282">
        <v>1</v>
      </c>
      <c r="AT282">
        <v>1</v>
      </c>
    </row>
    <row r="283" spans="1:48" x14ac:dyDescent="0.3">
      <c r="A283">
        <v>225</v>
      </c>
      <c r="B283" t="s">
        <v>976</v>
      </c>
      <c r="C283" t="s">
        <v>251</v>
      </c>
      <c r="D283" t="s">
        <v>73</v>
      </c>
      <c r="E283" t="s">
        <v>22</v>
      </c>
      <c r="F283" s="30">
        <v>45046</v>
      </c>
      <c r="G283" t="s">
        <v>992</v>
      </c>
      <c r="H283" t="s">
        <v>4478</v>
      </c>
      <c r="I283">
        <v>1</v>
      </c>
      <c r="J283">
        <v>1</v>
      </c>
      <c r="AT283">
        <v>1</v>
      </c>
    </row>
    <row r="284" spans="1:48" x14ac:dyDescent="0.3">
      <c r="A284">
        <v>239</v>
      </c>
      <c r="B284" t="s">
        <v>1095</v>
      </c>
      <c r="C284" t="s">
        <v>1096</v>
      </c>
      <c r="D284" t="s">
        <v>73</v>
      </c>
      <c r="E284" t="s">
        <v>22</v>
      </c>
      <c r="F284" s="30">
        <v>45046</v>
      </c>
      <c r="G284" t="s">
        <v>1113</v>
      </c>
      <c r="H284" t="s">
        <v>4479</v>
      </c>
      <c r="J284">
        <v>2</v>
      </c>
      <c r="AU284">
        <v>2</v>
      </c>
    </row>
    <row r="285" spans="1:48" x14ac:dyDescent="0.3">
      <c r="A285">
        <v>239</v>
      </c>
      <c r="B285" t="s">
        <v>1095</v>
      </c>
      <c r="C285" t="s">
        <v>1096</v>
      </c>
      <c r="D285" t="s">
        <v>73</v>
      </c>
      <c r="E285" t="s">
        <v>22</v>
      </c>
      <c r="F285" s="30">
        <v>45046</v>
      </c>
      <c r="G285" t="s">
        <v>1113</v>
      </c>
      <c r="H285" t="s">
        <v>3622</v>
      </c>
      <c r="J285">
        <v>11</v>
      </c>
      <c r="AU285">
        <v>11</v>
      </c>
    </row>
    <row r="286" spans="1:48" x14ac:dyDescent="0.3">
      <c r="A286">
        <v>239</v>
      </c>
      <c r="B286" t="s">
        <v>1095</v>
      </c>
      <c r="C286" t="s">
        <v>1096</v>
      </c>
      <c r="D286" t="s">
        <v>73</v>
      </c>
      <c r="E286" t="s">
        <v>22</v>
      </c>
      <c r="F286" s="30">
        <v>45046</v>
      </c>
      <c r="G286" t="s">
        <v>1113</v>
      </c>
      <c r="H286" t="s">
        <v>4481</v>
      </c>
      <c r="J286">
        <v>5</v>
      </c>
      <c r="AU286">
        <v>5</v>
      </c>
    </row>
    <row r="287" spans="1:48" x14ac:dyDescent="0.3">
      <c r="A287">
        <v>434</v>
      </c>
      <c r="B287" t="s">
        <v>2267</v>
      </c>
      <c r="C287" t="s">
        <v>251</v>
      </c>
      <c r="D287" t="s">
        <v>73</v>
      </c>
      <c r="E287" t="s">
        <v>56</v>
      </c>
      <c r="F287" s="30">
        <v>45046</v>
      </c>
      <c r="G287" t="s">
        <v>2271</v>
      </c>
      <c r="H287" t="s">
        <v>4468</v>
      </c>
      <c r="I287">
        <v>200</v>
      </c>
      <c r="J287">
        <v>0</v>
      </c>
      <c r="AV287">
        <v>0</v>
      </c>
    </row>
    <row r="288" spans="1:48" x14ac:dyDescent="0.3">
      <c r="A288">
        <v>434</v>
      </c>
      <c r="B288" t="s">
        <v>2267</v>
      </c>
      <c r="C288" t="s">
        <v>251</v>
      </c>
      <c r="D288" t="s">
        <v>73</v>
      </c>
      <c r="E288" t="s">
        <v>56</v>
      </c>
      <c r="F288" s="30">
        <v>45046</v>
      </c>
      <c r="G288" t="s">
        <v>2271</v>
      </c>
      <c r="H288" t="s">
        <v>4470</v>
      </c>
      <c r="I288">
        <v>200</v>
      </c>
      <c r="J288">
        <v>0</v>
      </c>
      <c r="AV288">
        <v>0</v>
      </c>
    </row>
    <row r="289" spans="1:48" x14ac:dyDescent="0.3">
      <c r="A289">
        <v>434</v>
      </c>
      <c r="B289" t="s">
        <v>2267</v>
      </c>
      <c r="C289" t="s">
        <v>251</v>
      </c>
      <c r="D289" t="s">
        <v>73</v>
      </c>
      <c r="E289" t="s">
        <v>56</v>
      </c>
      <c r="F289" s="30">
        <v>45046</v>
      </c>
      <c r="G289" t="s">
        <v>2271</v>
      </c>
      <c r="H289" t="s">
        <v>4477</v>
      </c>
      <c r="I289">
        <v>200</v>
      </c>
      <c r="J289">
        <v>0</v>
      </c>
      <c r="AV289">
        <v>0</v>
      </c>
    </row>
    <row r="290" spans="1:48" x14ac:dyDescent="0.3">
      <c r="A290">
        <v>434</v>
      </c>
      <c r="B290" t="s">
        <v>2267</v>
      </c>
      <c r="C290" t="s">
        <v>251</v>
      </c>
      <c r="D290" t="s">
        <v>73</v>
      </c>
      <c r="E290" t="s">
        <v>56</v>
      </c>
      <c r="F290" s="30">
        <v>45046</v>
      </c>
      <c r="G290" t="s">
        <v>2271</v>
      </c>
      <c r="H290" t="s">
        <v>4469</v>
      </c>
      <c r="I290">
        <v>200</v>
      </c>
      <c r="J290">
        <v>0.80000001192092896</v>
      </c>
      <c r="AV290">
        <v>0.8</v>
      </c>
    </row>
    <row r="291" spans="1:48" x14ac:dyDescent="0.3">
      <c r="A291">
        <v>434</v>
      </c>
      <c r="B291" t="s">
        <v>2267</v>
      </c>
      <c r="C291" t="s">
        <v>251</v>
      </c>
      <c r="D291" t="s">
        <v>73</v>
      </c>
      <c r="E291" t="s">
        <v>56</v>
      </c>
      <c r="F291" s="30">
        <v>45046</v>
      </c>
      <c r="G291" t="s">
        <v>2271</v>
      </c>
      <c r="H291" t="s">
        <v>4476</v>
      </c>
      <c r="I291">
        <v>200</v>
      </c>
      <c r="J291">
        <v>0</v>
      </c>
      <c r="AV291">
        <v>0</v>
      </c>
    </row>
    <row r="292" spans="1:48" x14ac:dyDescent="0.3">
      <c r="A292">
        <v>434</v>
      </c>
      <c r="B292" t="s">
        <v>2267</v>
      </c>
      <c r="C292" t="s">
        <v>251</v>
      </c>
      <c r="D292" t="s">
        <v>73</v>
      </c>
      <c r="E292" t="s">
        <v>56</v>
      </c>
      <c r="F292" s="30">
        <v>45046</v>
      </c>
      <c r="G292" t="s">
        <v>2271</v>
      </c>
      <c r="H292" t="s">
        <v>4478</v>
      </c>
      <c r="I292">
        <v>200</v>
      </c>
      <c r="J292">
        <v>0</v>
      </c>
      <c r="AV292">
        <v>0</v>
      </c>
    </row>
    <row r="293" spans="1:48" x14ac:dyDescent="0.3">
      <c r="A293">
        <v>208</v>
      </c>
      <c r="B293" t="s">
        <v>707</v>
      </c>
      <c r="C293" t="s">
        <v>251</v>
      </c>
      <c r="D293" t="s">
        <v>73</v>
      </c>
      <c r="E293" t="s">
        <v>56</v>
      </c>
      <c r="F293" s="30">
        <v>45077</v>
      </c>
      <c r="G293" t="s">
        <v>725</v>
      </c>
      <c r="H293" t="s">
        <v>4468</v>
      </c>
      <c r="I293">
        <v>1</v>
      </c>
      <c r="J293">
        <v>779</v>
      </c>
      <c r="K293">
        <v>779</v>
      </c>
    </row>
    <row r="294" spans="1:48" x14ac:dyDescent="0.3">
      <c r="A294">
        <v>208</v>
      </c>
      <c r="B294" t="s">
        <v>707</v>
      </c>
      <c r="C294" t="s">
        <v>251</v>
      </c>
      <c r="D294" t="s">
        <v>73</v>
      </c>
      <c r="E294" t="s">
        <v>56</v>
      </c>
      <c r="F294" s="30">
        <v>45077</v>
      </c>
      <c r="G294" t="s">
        <v>725</v>
      </c>
      <c r="H294" t="s">
        <v>4470</v>
      </c>
      <c r="I294">
        <v>1</v>
      </c>
      <c r="J294">
        <v>303</v>
      </c>
      <c r="K294">
        <v>303</v>
      </c>
    </row>
    <row r="295" spans="1:48" x14ac:dyDescent="0.3">
      <c r="A295">
        <v>208</v>
      </c>
      <c r="B295" t="s">
        <v>707</v>
      </c>
      <c r="C295" t="s">
        <v>251</v>
      </c>
      <c r="D295" t="s">
        <v>73</v>
      </c>
      <c r="E295" t="s">
        <v>56</v>
      </c>
      <c r="F295" s="30">
        <v>45077</v>
      </c>
      <c r="G295" t="s">
        <v>725</v>
      </c>
      <c r="H295" t="s">
        <v>4477</v>
      </c>
      <c r="I295">
        <v>1</v>
      </c>
      <c r="J295">
        <v>0</v>
      </c>
      <c r="K295">
        <v>0</v>
      </c>
    </row>
    <row r="296" spans="1:48" x14ac:dyDescent="0.3">
      <c r="A296">
        <v>208</v>
      </c>
      <c r="B296" t="s">
        <v>707</v>
      </c>
      <c r="C296" t="s">
        <v>251</v>
      </c>
      <c r="D296" t="s">
        <v>73</v>
      </c>
      <c r="E296" t="s">
        <v>56</v>
      </c>
      <c r="F296" s="30">
        <v>45077</v>
      </c>
      <c r="G296" t="s">
        <v>725</v>
      </c>
      <c r="H296" t="s">
        <v>4469</v>
      </c>
      <c r="I296">
        <v>1</v>
      </c>
      <c r="J296">
        <v>178</v>
      </c>
      <c r="K296">
        <v>178</v>
      </c>
    </row>
    <row r="297" spans="1:48" x14ac:dyDescent="0.3">
      <c r="A297">
        <v>208</v>
      </c>
      <c r="B297" t="s">
        <v>707</v>
      </c>
      <c r="C297" t="s">
        <v>251</v>
      </c>
      <c r="D297" t="s">
        <v>73</v>
      </c>
      <c r="E297" t="s">
        <v>56</v>
      </c>
      <c r="F297" s="30">
        <v>45077</v>
      </c>
      <c r="G297" t="s">
        <v>725</v>
      </c>
      <c r="H297" t="s">
        <v>4476</v>
      </c>
      <c r="I297">
        <v>0</v>
      </c>
      <c r="J297">
        <v>0</v>
      </c>
      <c r="K297">
        <v>0</v>
      </c>
    </row>
    <row r="298" spans="1:48" x14ac:dyDescent="0.3">
      <c r="A298">
        <v>208</v>
      </c>
      <c r="B298" t="s">
        <v>707</v>
      </c>
      <c r="C298" t="s">
        <v>251</v>
      </c>
      <c r="D298" t="s">
        <v>73</v>
      </c>
      <c r="E298" t="s">
        <v>56</v>
      </c>
      <c r="F298" s="30">
        <v>45077</v>
      </c>
      <c r="G298" t="s">
        <v>725</v>
      </c>
      <c r="H298" t="s">
        <v>4478</v>
      </c>
      <c r="I298">
        <v>1</v>
      </c>
      <c r="J298">
        <v>8</v>
      </c>
      <c r="K298">
        <v>8</v>
      </c>
    </row>
    <row r="299" spans="1:48" x14ac:dyDescent="0.3">
      <c r="A299">
        <v>214</v>
      </c>
      <c r="B299" t="s">
        <v>774</v>
      </c>
      <c r="C299" t="s">
        <v>251</v>
      </c>
      <c r="D299" t="s">
        <v>73</v>
      </c>
      <c r="E299" t="s">
        <v>56</v>
      </c>
      <c r="F299" s="30">
        <v>45077</v>
      </c>
      <c r="G299" t="s">
        <v>792</v>
      </c>
      <c r="H299" t="s">
        <v>4468</v>
      </c>
      <c r="I299">
        <v>7500</v>
      </c>
      <c r="J299">
        <v>1008</v>
      </c>
      <c r="L299">
        <v>397</v>
      </c>
      <c r="M299">
        <v>611</v>
      </c>
    </row>
    <row r="300" spans="1:48" x14ac:dyDescent="0.3">
      <c r="A300">
        <v>214</v>
      </c>
      <c r="B300" t="s">
        <v>774</v>
      </c>
      <c r="C300" t="s">
        <v>251</v>
      </c>
      <c r="D300" t="s">
        <v>73</v>
      </c>
      <c r="E300" t="s">
        <v>56</v>
      </c>
      <c r="F300" s="30">
        <v>45077</v>
      </c>
      <c r="G300" t="s">
        <v>792</v>
      </c>
      <c r="H300" t="s">
        <v>4470</v>
      </c>
      <c r="I300">
        <v>7500</v>
      </c>
      <c r="J300">
        <v>1012.830017089844</v>
      </c>
      <c r="L300">
        <v>0</v>
      </c>
      <c r="M300">
        <v>1012.83</v>
      </c>
    </row>
    <row r="301" spans="1:48" x14ac:dyDescent="0.3">
      <c r="A301">
        <v>214</v>
      </c>
      <c r="B301" t="s">
        <v>774</v>
      </c>
      <c r="C301" t="s">
        <v>251</v>
      </c>
      <c r="D301" t="s">
        <v>73</v>
      </c>
      <c r="E301" t="s">
        <v>56</v>
      </c>
      <c r="F301" s="30">
        <v>45077</v>
      </c>
      <c r="G301" t="s">
        <v>792</v>
      </c>
      <c r="H301" t="s">
        <v>4477</v>
      </c>
      <c r="I301">
        <v>7500</v>
      </c>
      <c r="J301">
        <v>0</v>
      </c>
      <c r="L301">
        <v>0</v>
      </c>
      <c r="M301">
        <v>0</v>
      </c>
    </row>
    <row r="302" spans="1:48" x14ac:dyDescent="0.3">
      <c r="A302">
        <v>214</v>
      </c>
      <c r="B302" t="s">
        <v>774</v>
      </c>
      <c r="C302" t="s">
        <v>251</v>
      </c>
      <c r="D302" t="s">
        <v>73</v>
      </c>
      <c r="E302" t="s">
        <v>56</v>
      </c>
      <c r="F302" s="30">
        <v>45077</v>
      </c>
      <c r="G302" t="s">
        <v>792</v>
      </c>
      <c r="H302" t="s">
        <v>4469</v>
      </c>
      <c r="I302">
        <v>7500</v>
      </c>
      <c r="J302">
        <v>611.20001220703125</v>
      </c>
      <c r="L302">
        <v>152.6</v>
      </c>
      <c r="M302">
        <v>458.6</v>
      </c>
    </row>
    <row r="303" spans="1:48" x14ac:dyDescent="0.3">
      <c r="A303">
        <v>214</v>
      </c>
      <c r="B303" t="s">
        <v>774</v>
      </c>
      <c r="C303" t="s">
        <v>251</v>
      </c>
      <c r="D303" t="s">
        <v>73</v>
      </c>
      <c r="E303" t="s">
        <v>56</v>
      </c>
      <c r="F303" s="30">
        <v>45077</v>
      </c>
      <c r="G303" t="s">
        <v>792</v>
      </c>
      <c r="H303" t="s">
        <v>4476</v>
      </c>
      <c r="I303">
        <v>1</v>
      </c>
      <c r="J303">
        <v>0</v>
      </c>
      <c r="L303">
        <v>0</v>
      </c>
      <c r="M303">
        <v>0</v>
      </c>
    </row>
    <row r="304" spans="1:48" x14ac:dyDescent="0.3">
      <c r="A304">
        <v>214</v>
      </c>
      <c r="B304" t="s">
        <v>774</v>
      </c>
      <c r="C304" t="s">
        <v>251</v>
      </c>
      <c r="D304" t="s">
        <v>73</v>
      </c>
      <c r="E304" t="s">
        <v>56</v>
      </c>
      <c r="F304" s="30">
        <v>45077</v>
      </c>
      <c r="G304" t="s">
        <v>792</v>
      </c>
      <c r="H304" t="s">
        <v>4478</v>
      </c>
      <c r="I304">
        <v>1</v>
      </c>
      <c r="J304">
        <v>0</v>
      </c>
      <c r="L304">
        <v>0</v>
      </c>
      <c r="M304">
        <v>0</v>
      </c>
    </row>
    <row r="305" spans="1:46" x14ac:dyDescent="0.3">
      <c r="A305">
        <v>217</v>
      </c>
      <c r="B305" t="s">
        <v>840</v>
      </c>
      <c r="C305" t="s">
        <v>251</v>
      </c>
      <c r="D305" t="s">
        <v>73</v>
      </c>
      <c r="E305" t="s">
        <v>22</v>
      </c>
      <c r="F305" s="30">
        <v>45077</v>
      </c>
      <c r="G305" t="s">
        <v>856</v>
      </c>
      <c r="H305" t="s">
        <v>4468</v>
      </c>
      <c r="I305">
        <v>20</v>
      </c>
      <c r="J305">
        <v>39.380001068115227</v>
      </c>
      <c r="L305">
        <v>397</v>
      </c>
      <c r="M305">
        <v>611</v>
      </c>
      <c r="AS305">
        <v>397</v>
      </c>
    </row>
    <row r="306" spans="1:46" x14ac:dyDescent="0.3">
      <c r="A306">
        <v>217</v>
      </c>
      <c r="B306" t="s">
        <v>840</v>
      </c>
      <c r="C306" t="s">
        <v>251</v>
      </c>
      <c r="D306" t="s">
        <v>73</v>
      </c>
      <c r="E306" t="s">
        <v>22</v>
      </c>
      <c r="F306" s="30">
        <v>45077</v>
      </c>
      <c r="G306" t="s">
        <v>856</v>
      </c>
      <c r="H306" t="s">
        <v>4470</v>
      </c>
      <c r="I306">
        <v>20</v>
      </c>
      <c r="J306">
        <v>0</v>
      </c>
      <c r="L306">
        <v>0</v>
      </c>
      <c r="M306">
        <v>1012.83</v>
      </c>
      <c r="AS306">
        <v>0</v>
      </c>
    </row>
    <row r="307" spans="1:46" x14ac:dyDescent="0.3">
      <c r="A307">
        <v>217</v>
      </c>
      <c r="B307" t="s">
        <v>840</v>
      </c>
      <c r="C307" t="s">
        <v>251</v>
      </c>
      <c r="D307" t="s">
        <v>73</v>
      </c>
      <c r="E307" t="s">
        <v>22</v>
      </c>
      <c r="F307" s="30">
        <v>45077</v>
      </c>
      <c r="G307" t="s">
        <v>856</v>
      </c>
      <c r="H307" t="s">
        <v>4477</v>
      </c>
      <c r="I307">
        <v>20</v>
      </c>
      <c r="J307">
        <v>0</v>
      </c>
      <c r="L307">
        <v>0</v>
      </c>
      <c r="M307">
        <v>0</v>
      </c>
      <c r="AS307">
        <v>0</v>
      </c>
    </row>
    <row r="308" spans="1:46" x14ac:dyDescent="0.3">
      <c r="A308">
        <v>217</v>
      </c>
      <c r="B308" t="s">
        <v>840</v>
      </c>
      <c r="C308" t="s">
        <v>251</v>
      </c>
      <c r="D308" t="s">
        <v>73</v>
      </c>
      <c r="E308" t="s">
        <v>22</v>
      </c>
      <c r="F308" s="30">
        <v>45077</v>
      </c>
      <c r="G308" t="s">
        <v>856</v>
      </c>
      <c r="H308" t="s">
        <v>4469</v>
      </c>
      <c r="I308">
        <v>20</v>
      </c>
      <c r="J308">
        <v>24.969999313354489</v>
      </c>
      <c r="L308">
        <v>152.6</v>
      </c>
      <c r="M308">
        <v>458.6</v>
      </c>
      <c r="AS308">
        <v>152.6</v>
      </c>
    </row>
    <row r="309" spans="1:46" x14ac:dyDescent="0.3">
      <c r="A309">
        <v>217</v>
      </c>
      <c r="B309" t="s">
        <v>840</v>
      </c>
      <c r="C309" t="s">
        <v>251</v>
      </c>
      <c r="D309" t="s">
        <v>73</v>
      </c>
      <c r="E309" t="s">
        <v>22</v>
      </c>
      <c r="F309" s="30">
        <v>45077</v>
      </c>
      <c r="G309" t="s">
        <v>856</v>
      </c>
      <c r="H309" t="s">
        <v>4476</v>
      </c>
      <c r="I309">
        <v>20</v>
      </c>
      <c r="J309">
        <v>0</v>
      </c>
      <c r="L309">
        <v>0</v>
      </c>
      <c r="M309">
        <v>0</v>
      </c>
      <c r="AS309">
        <v>0</v>
      </c>
    </row>
    <row r="310" spans="1:46" x14ac:dyDescent="0.3">
      <c r="A310">
        <v>217</v>
      </c>
      <c r="B310" t="s">
        <v>840</v>
      </c>
      <c r="C310" t="s">
        <v>251</v>
      </c>
      <c r="D310" t="s">
        <v>73</v>
      </c>
      <c r="E310" t="s">
        <v>22</v>
      </c>
      <c r="F310" s="30">
        <v>45077</v>
      </c>
      <c r="G310" t="s">
        <v>856</v>
      </c>
      <c r="H310" t="s">
        <v>4478</v>
      </c>
      <c r="I310">
        <v>20</v>
      </c>
      <c r="J310">
        <v>0</v>
      </c>
      <c r="L310">
        <v>0</v>
      </c>
      <c r="M310">
        <v>0</v>
      </c>
      <c r="AS310">
        <v>0</v>
      </c>
    </row>
    <row r="311" spans="1:46" x14ac:dyDescent="0.3">
      <c r="A311">
        <v>218</v>
      </c>
      <c r="B311" t="s">
        <v>888</v>
      </c>
      <c r="C311" t="s">
        <v>251</v>
      </c>
      <c r="D311" t="s">
        <v>73</v>
      </c>
      <c r="E311" t="s">
        <v>56</v>
      </c>
      <c r="F311" s="30">
        <v>45077</v>
      </c>
      <c r="G311" t="s">
        <v>906</v>
      </c>
      <c r="H311" t="s">
        <v>4468</v>
      </c>
      <c r="I311">
        <v>172000</v>
      </c>
      <c r="J311">
        <v>71125</v>
      </c>
      <c r="N311">
        <v>71125</v>
      </c>
    </row>
    <row r="312" spans="1:46" x14ac:dyDescent="0.3">
      <c r="A312">
        <v>218</v>
      </c>
      <c r="B312" t="s">
        <v>888</v>
      </c>
      <c r="C312" t="s">
        <v>251</v>
      </c>
      <c r="D312" t="s">
        <v>73</v>
      </c>
      <c r="E312" t="s">
        <v>56</v>
      </c>
      <c r="F312" s="30">
        <v>45077</v>
      </c>
      <c r="G312" t="s">
        <v>906</v>
      </c>
      <c r="H312" t="s">
        <v>4470</v>
      </c>
      <c r="I312">
        <v>172000</v>
      </c>
      <c r="J312">
        <v>50730</v>
      </c>
      <c r="N312">
        <v>50730</v>
      </c>
    </row>
    <row r="313" spans="1:46" x14ac:dyDescent="0.3">
      <c r="A313">
        <v>218</v>
      </c>
      <c r="B313" t="s">
        <v>888</v>
      </c>
      <c r="C313" t="s">
        <v>251</v>
      </c>
      <c r="D313" t="s">
        <v>73</v>
      </c>
      <c r="E313" t="s">
        <v>56</v>
      </c>
      <c r="F313" s="30">
        <v>45077</v>
      </c>
      <c r="G313" t="s">
        <v>906</v>
      </c>
      <c r="H313" t="s">
        <v>4477</v>
      </c>
      <c r="I313">
        <v>172000</v>
      </c>
      <c r="J313">
        <v>0</v>
      </c>
      <c r="N313">
        <v>0</v>
      </c>
    </row>
    <row r="314" spans="1:46" x14ac:dyDescent="0.3">
      <c r="A314">
        <v>218</v>
      </c>
      <c r="B314" t="s">
        <v>888</v>
      </c>
      <c r="C314" t="s">
        <v>251</v>
      </c>
      <c r="D314" t="s">
        <v>73</v>
      </c>
      <c r="E314" t="s">
        <v>56</v>
      </c>
      <c r="F314" s="30">
        <v>45077</v>
      </c>
      <c r="G314" t="s">
        <v>906</v>
      </c>
      <c r="H314" t="s">
        <v>4469</v>
      </c>
      <c r="I314">
        <v>172000</v>
      </c>
      <c r="J314">
        <v>20724</v>
      </c>
      <c r="N314">
        <v>20724</v>
      </c>
    </row>
    <row r="315" spans="1:46" x14ac:dyDescent="0.3">
      <c r="A315">
        <v>218</v>
      </c>
      <c r="B315" t="s">
        <v>888</v>
      </c>
      <c r="C315" t="s">
        <v>251</v>
      </c>
      <c r="D315" t="s">
        <v>73</v>
      </c>
      <c r="E315" t="s">
        <v>56</v>
      </c>
      <c r="F315" s="30">
        <v>45077</v>
      </c>
      <c r="G315" t="s">
        <v>906</v>
      </c>
      <c r="H315" t="s">
        <v>4476</v>
      </c>
      <c r="I315">
        <v>172000</v>
      </c>
      <c r="J315">
        <v>3600</v>
      </c>
      <c r="N315">
        <v>3600</v>
      </c>
    </row>
    <row r="316" spans="1:46" x14ac:dyDescent="0.3">
      <c r="A316">
        <v>218</v>
      </c>
      <c r="B316" t="s">
        <v>888</v>
      </c>
      <c r="C316" t="s">
        <v>251</v>
      </c>
      <c r="D316" t="s">
        <v>73</v>
      </c>
      <c r="E316" t="s">
        <v>56</v>
      </c>
      <c r="F316" s="30">
        <v>45077</v>
      </c>
      <c r="G316" t="s">
        <v>906</v>
      </c>
      <c r="H316" t="s">
        <v>4478</v>
      </c>
      <c r="I316">
        <v>172000</v>
      </c>
      <c r="J316">
        <v>1130</v>
      </c>
      <c r="N316">
        <v>1130</v>
      </c>
    </row>
    <row r="317" spans="1:46" x14ac:dyDescent="0.3">
      <c r="A317">
        <v>225</v>
      </c>
      <c r="B317" t="s">
        <v>976</v>
      </c>
      <c r="C317" t="s">
        <v>251</v>
      </c>
      <c r="D317" t="s">
        <v>73</v>
      </c>
      <c r="E317" t="s">
        <v>22</v>
      </c>
      <c r="F317" s="30">
        <v>45077</v>
      </c>
      <c r="G317" t="s">
        <v>993</v>
      </c>
      <c r="H317" t="s">
        <v>4468</v>
      </c>
      <c r="I317">
        <v>1</v>
      </c>
      <c r="J317">
        <v>9</v>
      </c>
      <c r="AT317">
        <v>9</v>
      </c>
    </row>
    <row r="318" spans="1:46" x14ac:dyDescent="0.3">
      <c r="A318">
        <v>225</v>
      </c>
      <c r="B318" t="s">
        <v>976</v>
      </c>
      <c r="C318" t="s">
        <v>251</v>
      </c>
      <c r="D318" t="s">
        <v>73</v>
      </c>
      <c r="E318" t="s">
        <v>22</v>
      </c>
      <c r="F318" s="30">
        <v>45077</v>
      </c>
      <c r="G318" t="s">
        <v>993</v>
      </c>
      <c r="H318" t="s">
        <v>4470</v>
      </c>
      <c r="I318">
        <v>1</v>
      </c>
      <c r="J318">
        <v>2</v>
      </c>
      <c r="AT318">
        <v>2</v>
      </c>
    </row>
    <row r="319" spans="1:46" x14ac:dyDescent="0.3">
      <c r="A319">
        <v>225</v>
      </c>
      <c r="B319" t="s">
        <v>976</v>
      </c>
      <c r="C319" t="s">
        <v>251</v>
      </c>
      <c r="D319" t="s">
        <v>73</v>
      </c>
      <c r="E319" t="s">
        <v>22</v>
      </c>
      <c r="F319" s="30">
        <v>45077</v>
      </c>
      <c r="G319" t="s">
        <v>993</v>
      </c>
      <c r="H319" t="s">
        <v>4477</v>
      </c>
      <c r="I319">
        <v>1</v>
      </c>
      <c r="J319">
        <v>0</v>
      </c>
      <c r="AT319">
        <v>0</v>
      </c>
    </row>
    <row r="320" spans="1:46" x14ac:dyDescent="0.3">
      <c r="A320">
        <v>225</v>
      </c>
      <c r="B320" t="s">
        <v>976</v>
      </c>
      <c r="C320" t="s">
        <v>251</v>
      </c>
      <c r="D320" t="s">
        <v>73</v>
      </c>
      <c r="E320" t="s">
        <v>22</v>
      </c>
      <c r="F320" s="30">
        <v>45077</v>
      </c>
      <c r="G320" t="s">
        <v>993</v>
      </c>
      <c r="H320" t="s">
        <v>4469</v>
      </c>
      <c r="I320">
        <v>1</v>
      </c>
      <c r="J320">
        <v>10</v>
      </c>
      <c r="AT320">
        <v>10</v>
      </c>
    </row>
    <row r="321" spans="1:48" x14ac:dyDescent="0.3">
      <c r="A321">
        <v>225</v>
      </c>
      <c r="B321" t="s">
        <v>976</v>
      </c>
      <c r="C321" t="s">
        <v>251</v>
      </c>
      <c r="D321" t="s">
        <v>73</v>
      </c>
      <c r="E321" t="s">
        <v>22</v>
      </c>
      <c r="F321" s="30">
        <v>45077</v>
      </c>
      <c r="G321" t="s">
        <v>993</v>
      </c>
      <c r="H321" t="s">
        <v>4476</v>
      </c>
      <c r="I321">
        <v>1</v>
      </c>
      <c r="J321">
        <v>1</v>
      </c>
      <c r="AT321">
        <v>1</v>
      </c>
    </row>
    <row r="322" spans="1:48" x14ac:dyDescent="0.3">
      <c r="A322">
        <v>225</v>
      </c>
      <c r="B322" t="s">
        <v>976</v>
      </c>
      <c r="C322" t="s">
        <v>251</v>
      </c>
      <c r="D322" t="s">
        <v>73</v>
      </c>
      <c r="E322" t="s">
        <v>22</v>
      </c>
      <c r="F322" s="30">
        <v>45077</v>
      </c>
      <c r="G322" t="s">
        <v>993</v>
      </c>
      <c r="H322" t="s">
        <v>4478</v>
      </c>
      <c r="I322">
        <v>1</v>
      </c>
      <c r="J322">
        <v>1</v>
      </c>
      <c r="AT322">
        <v>1</v>
      </c>
    </row>
    <row r="323" spans="1:48" x14ac:dyDescent="0.3">
      <c r="A323">
        <v>239</v>
      </c>
      <c r="B323" t="s">
        <v>1095</v>
      </c>
      <c r="C323" t="s">
        <v>1096</v>
      </c>
      <c r="D323" t="s">
        <v>73</v>
      </c>
      <c r="E323" t="s">
        <v>22</v>
      </c>
      <c r="F323" s="30">
        <v>45077</v>
      </c>
      <c r="G323" t="s">
        <v>1114</v>
      </c>
      <c r="H323" t="s">
        <v>4479</v>
      </c>
      <c r="J323">
        <v>2</v>
      </c>
      <c r="AU323">
        <v>2</v>
      </c>
    </row>
    <row r="324" spans="1:48" x14ac:dyDescent="0.3">
      <c r="A324">
        <v>239</v>
      </c>
      <c r="B324" t="s">
        <v>1095</v>
      </c>
      <c r="C324" t="s">
        <v>1096</v>
      </c>
      <c r="D324" t="s">
        <v>73</v>
      </c>
      <c r="E324" t="s">
        <v>22</v>
      </c>
      <c r="F324" s="30">
        <v>45077</v>
      </c>
      <c r="G324" t="s">
        <v>1114</v>
      </c>
      <c r="H324" t="s">
        <v>3622</v>
      </c>
      <c r="J324">
        <v>12</v>
      </c>
      <c r="AU324">
        <v>12</v>
      </c>
    </row>
    <row r="325" spans="1:48" x14ac:dyDescent="0.3">
      <c r="A325">
        <v>239</v>
      </c>
      <c r="B325" t="s">
        <v>1095</v>
      </c>
      <c r="C325" t="s">
        <v>1096</v>
      </c>
      <c r="D325" t="s">
        <v>73</v>
      </c>
      <c r="E325" t="s">
        <v>22</v>
      </c>
      <c r="F325" s="30">
        <v>45077</v>
      </c>
      <c r="G325" t="s">
        <v>1114</v>
      </c>
      <c r="H325" t="s">
        <v>4481</v>
      </c>
      <c r="J325">
        <v>5</v>
      </c>
      <c r="AU325">
        <v>5</v>
      </c>
    </row>
    <row r="326" spans="1:48" x14ac:dyDescent="0.3">
      <c r="A326">
        <v>434</v>
      </c>
      <c r="B326" t="s">
        <v>2267</v>
      </c>
      <c r="C326" t="s">
        <v>251</v>
      </c>
      <c r="D326" t="s">
        <v>73</v>
      </c>
      <c r="E326" t="s">
        <v>56</v>
      </c>
      <c r="F326" s="30">
        <v>45077</v>
      </c>
      <c r="G326" t="s">
        <v>2272</v>
      </c>
      <c r="H326" t="s">
        <v>4468</v>
      </c>
      <c r="I326">
        <v>200</v>
      </c>
      <c r="J326">
        <v>0</v>
      </c>
      <c r="AV326">
        <v>0</v>
      </c>
    </row>
    <row r="327" spans="1:48" x14ac:dyDescent="0.3">
      <c r="A327">
        <v>434</v>
      </c>
      <c r="B327" t="s">
        <v>2267</v>
      </c>
      <c r="C327" t="s">
        <v>251</v>
      </c>
      <c r="D327" t="s">
        <v>73</v>
      </c>
      <c r="E327" t="s">
        <v>56</v>
      </c>
      <c r="F327" s="30">
        <v>45077</v>
      </c>
      <c r="G327" t="s">
        <v>2272</v>
      </c>
      <c r="H327" t="s">
        <v>4470</v>
      </c>
      <c r="I327">
        <v>200</v>
      </c>
      <c r="J327">
        <v>0</v>
      </c>
      <c r="AV327">
        <v>0</v>
      </c>
    </row>
    <row r="328" spans="1:48" x14ac:dyDescent="0.3">
      <c r="A328">
        <v>434</v>
      </c>
      <c r="B328" t="s">
        <v>2267</v>
      </c>
      <c r="C328" t="s">
        <v>251</v>
      </c>
      <c r="D328" t="s">
        <v>73</v>
      </c>
      <c r="E328" t="s">
        <v>56</v>
      </c>
      <c r="F328" s="30">
        <v>45077</v>
      </c>
      <c r="G328" t="s">
        <v>2272</v>
      </c>
      <c r="H328" t="s">
        <v>4477</v>
      </c>
      <c r="I328">
        <v>200</v>
      </c>
      <c r="J328">
        <v>0</v>
      </c>
      <c r="AV328">
        <v>0</v>
      </c>
    </row>
    <row r="329" spans="1:48" x14ac:dyDescent="0.3">
      <c r="A329">
        <v>434</v>
      </c>
      <c r="B329" t="s">
        <v>2267</v>
      </c>
      <c r="C329" t="s">
        <v>251</v>
      </c>
      <c r="D329" t="s">
        <v>73</v>
      </c>
      <c r="E329" t="s">
        <v>56</v>
      </c>
      <c r="F329" s="30">
        <v>45077</v>
      </c>
      <c r="G329" t="s">
        <v>2272</v>
      </c>
      <c r="H329" t="s">
        <v>4469</v>
      </c>
      <c r="I329">
        <v>200</v>
      </c>
      <c r="J329">
        <v>4.5999999046325684</v>
      </c>
      <c r="AV329">
        <v>4.5999999999999996</v>
      </c>
    </row>
    <row r="330" spans="1:48" x14ac:dyDescent="0.3">
      <c r="A330">
        <v>434</v>
      </c>
      <c r="B330" t="s">
        <v>2267</v>
      </c>
      <c r="C330" t="s">
        <v>251</v>
      </c>
      <c r="D330" t="s">
        <v>73</v>
      </c>
      <c r="E330" t="s">
        <v>56</v>
      </c>
      <c r="F330" s="30">
        <v>45077</v>
      </c>
      <c r="G330" t="s">
        <v>2272</v>
      </c>
      <c r="H330" t="s">
        <v>4476</v>
      </c>
      <c r="I330">
        <v>200</v>
      </c>
      <c r="J330">
        <v>0</v>
      </c>
      <c r="AV330">
        <v>0</v>
      </c>
    </row>
    <row r="331" spans="1:48" x14ac:dyDescent="0.3">
      <c r="A331">
        <v>434</v>
      </c>
      <c r="B331" t="s">
        <v>2267</v>
      </c>
      <c r="C331" t="s">
        <v>251</v>
      </c>
      <c r="D331" t="s">
        <v>73</v>
      </c>
      <c r="E331" t="s">
        <v>56</v>
      </c>
      <c r="F331" s="30">
        <v>45077</v>
      </c>
      <c r="G331" t="s">
        <v>2272</v>
      </c>
      <c r="H331" t="s">
        <v>4478</v>
      </c>
      <c r="I331">
        <v>200</v>
      </c>
      <c r="J331">
        <v>0</v>
      </c>
      <c r="AV331">
        <v>0</v>
      </c>
    </row>
    <row r="332" spans="1:48" x14ac:dyDescent="0.3">
      <c r="A332">
        <v>208</v>
      </c>
      <c r="B332" t="s">
        <v>707</v>
      </c>
      <c r="C332" t="s">
        <v>251</v>
      </c>
      <c r="D332" t="s">
        <v>73</v>
      </c>
      <c r="E332" t="s">
        <v>56</v>
      </c>
      <c r="F332" s="30">
        <v>45107</v>
      </c>
      <c r="G332" t="s">
        <v>726</v>
      </c>
      <c r="H332" t="s">
        <v>4468</v>
      </c>
      <c r="I332">
        <v>1</v>
      </c>
      <c r="J332">
        <v>966</v>
      </c>
      <c r="K332">
        <v>966</v>
      </c>
    </row>
    <row r="333" spans="1:48" x14ac:dyDescent="0.3">
      <c r="A333">
        <v>208</v>
      </c>
      <c r="B333" t="s">
        <v>707</v>
      </c>
      <c r="C333" t="s">
        <v>251</v>
      </c>
      <c r="D333" t="s">
        <v>73</v>
      </c>
      <c r="E333" t="s">
        <v>56</v>
      </c>
      <c r="F333" s="30">
        <v>45107</v>
      </c>
      <c r="G333" t="s">
        <v>726</v>
      </c>
      <c r="H333" t="s">
        <v>4470</v>
      </c>
      <c r="I333">
        <v>1</v>
      </c>
      <c r="J333">
        <v>303</v>
      </c>
      <c r="K333">
        <v>303</v>
      </c>
    </row>
    <row r="334" spans="1:48" x14ac:dyDescent="0.3">
      <c r="A334">
        <v>208</v>
      </c>
      <c r="B334" t="s">
        <v>707</v>
      </c>
      <c r="C334" t="s">
        <v>251</v>
      </c>
      <c r="D334" t="s">
        <v>73</v>
      </c>
      <c r="E334" t="s">
        <v>56</v>
      </c>
      <c r="F334" s="30">
        <v>45107</v>
      </c>
      <c r="G334" t="s">
        <v>726</v>
      </c>
      <c r="H334" t="s">
        <v>4477</v>
      </c>
      <c r="I334">
        <v>1</v>
      </c>
      <c r="J334">
        <v>0</v>
      </c>
      <c r="K334">
        <v>0</v>
      </c>
    </row>
    <row r="335" spans="1:48" x14ac:dyDescent="0.3">
      <c r="A335">
        <v>208</v>
      </c>
      <c r="B335" t="s">
        <v>707</v>
      </c>
      <c r="C335" t="s">
        <v>251</v>
      </c>
      <c r="D335" t="s">
        <v>73</v>
      </c>
      <c r="E335" t="s">
        <v>56</v>
      </c>
      <c r="F335" s="30">
        <v>45107</v>
      </c>
      <c r="G335" t="s">
        <v>726</v>
      </c>
      <c r="H335" t="s">
        <v>4469</v>
      </c>
      <c r="I335">
        <v>1</v>
      </c>
      <c r="J335">
        <v>179</v>
      </c>
      <c r="K335">
        <v>179</v>
      </c>
    </row>
    <row r="336" spans="1:48" x14ac:dyDescent="0.3">
      <c r="A336">
        <v>208</v>
      </c>
      <c r="B336" t="s">
        <v>707</v>
      </c>
      <c r="C336" t="s">
        <v>251</v>
      </c>
      <c r="D336" t="s">
        <v>73</v>
      </c>
      <c r="E336" t="s">
        <v>56</v>
      </c>
      <c r="F336" s="30">
        <v>45107</v>
      </c>
      <c r="G336" t="s">
        <v>726</v>
      </c>
      <c r="H336" t="s">
        <v>4476</v>
      </c>
      <c r="I336">
        <v>0</v>
      </c>
      <c r="J336">
        <v>0</v>
      </c>
      <c r="K336">
        <v>0</v>
      </c>
    </row>
    <row r="337" spans="1:45" x14ac:dyDescent="0.3">
      <c r="A337">
        <v>208</v>
      </c>
      <c r="B337" t="s">
        <v>707</v>
      </c>
      <c r="C337" t="s">
        <v>251</v>
      </c>
      <c r="D337" t="s">
        <v>73</v>
      </c>
      <c r="E337" t="s">
        <v>56</v>
      </c>
      <c r="F337" s="30">
        <v>45107</v>
      </c>
      <c r="G337" t="s">
        <v>726</v>
      </c>
      <c r="H337" t="s">
        <v>4478</v>
      </c>
      <c r="I337">
        <v>1</v>
      </c>
      <c r="J337">
        <v>9</v>
      </c>
      <c r="K337">
        <v>9</v>
      </c>
    </row>
    <row r="338" spans="1:45" x14ac:dyDescent="0.3">
      <c r="A338">
        <v>214</v>
      </c>
      <c r="B338" t="s">
        <v>774</v>
      </c>
      <c r="C338" t="s">
        <v>251</v>
      </c>
      <c r="D338" t="s">
        <v>73</v>
      </c>
      <c r="E338" t="s">
        <v>56</v>
      </c>
      <c r="F338" s="30">
        <v>45107</v>
      </c>
      <c r="G338" t="s">
        <v>793</v>
      </c>
      <c r="H338" t="s">
        <v>4468</v>
      </c>
      <c r="I338">
        <v>7500</v>
      </c>
      <c r="J338">
        <v>984</v>
      </c>
      <c r="L338">
        <v>452</v>
      </c>
      <c r="M338">
        <v>532</v>
      </c>
    </row>
    <row r="339" spans="1:45" x14ac:dyDescent="0.3">
      <c r="A339">
        <v>214</v>
      </c>
      <c r="B339" t="s">
        <v>774</v>
      </c>
      <c r="C339" t="s">
        <v>251</v>
      </c>
      <c r="D339" t="s">
        <v>73</v>
      </c>
      <c r="E339" t="s">
        <v>56</v>
      </c>
      <c r="F339" s="30">
        <v>45107</v>
      </c>
      <c r="G339" t="s">
        <v>793</v>
      </c>
      <c r="H339" t="s">
        <v>4470</v>
      </c>
      <c r="I339">
        <v>7500</v>
      </c>
      <c r="J339">
        <v>644.80999755859375</v>
      </c>
      <c r="L339">
        <v>0</v>
      </c>
      <c r="M339">
        <v>644.80999999999995</v>
      </c>
    </row>
    <row r="340" spans="1:45" x14ac:dyDescent="0.3">
      <c r="A340">
        <v>214</v>
      </c>
      <c r="B340" t="s">
        <v>774</v>
      </c>
      <c r="C340" t="s">
        <v>251</v>
      </c>
      <c r="D340" t="s">
        <v>73</v>
      </c>
      <c r="E340" t="s">
        <v>56</v>
      </c>
      <c r="F340" s="30">
        <v>45107</v>
      </c>
      <c r="G340" t="s">
        <v>793</v>
      </c>
      <c r="H340" t="s">
        <v>4477</v>
      </c>
      <c r="I340">
        <v>7500</v>
      </c>
      <c r="J340">
        <v>0</v>
      </c>
      <c r="L340">
        <v>0</v>
      </c>
      <c r="M340">
        <v>0</v>
      </c>
    </row>
    <row r="341" spans="1:45" x14ac:dyDescent="0.3">
      <c r="A341">
        <v>214</v>
      </c>
      <c r="B341" t="s">
        <v>774</v>
      </c>
      <c r="C341" t="s">
        <v>251</v>
      </c>
      <c r="D341" t="s">
        <v>73</v>
      </c>
      <c r="E341" t="s">
        <v>56</v>
      </c>
      <c r="F341" s="30">
        <v>45107</v>
      </c>
      <c r="G341" t="s">
        <v>793</v>
      </c>
      <c r="H341" t="s">
        <v>4469</v>
      </c>
      <c r="I341">
        <v>7500</v>
      </c>
      <c r="J341">
        <v>666.70001220703125</v>
      </c>
      <c r="L341">
        <v>66</v>
      </c>
      <c r="M341">
        <v>600.70000000000005</v>
      </c>
    </row>
    <row r="342" spans="1:45" x14ac:dyDescent="0.3">
      <c r="A342">
        <v>214</v>
      </c>
      <c r="B342" t="s">
        <v>774</v>
      </c>
      <c r="C342" t="s">
        <v>251</v>
      </c>
      <c r="D342" t="s">
        <v>73</v>
      </c>
      <c r="E342" t="s">
        <v>56</v>
      </c>
      <c r="F342" s="30">
        <v>45107</v>
      </c>
      <c r="G342" t="s">
        <v>793</v>
      </c>
      <c r="H342" t="s">
        <v>4476</v>
      </c>
      <c r="I342">
        <v>1</v>
      </c>
      <c r="J342">
        <v>0</v>
      </c>
      <c r="L342">
        <v>0</v>
      </c>
      <c r="M342">
        <v>0</v>
      </c>
    </row>
    <row r="343" spans="1:45" x14ac:dyDescent="0.3">
      <c r="A343">
        <v>214</v>
      </c>
      <c r="B343" t="s">
        <v>774</v>
      </c>
      <c r="C343" t="s">
        <v>251</v>
      </c>
      <c r="D343" t="s">
        <v>73</v>
      </c>
      <c r="E343" t="s">
        <v>56</v>
      </c>
      <c r="F343" s="30">
        <v>45107</v>
      </c>
      <c r="G343" t="s">
        <v>793</v>
      </c>
      <c r="H343" t="s">
        <v>4478</v>
      </c>
      <c r="I343">
        <v>1</v>
      </c>
      <c r="J343">
        <v>0</v>
      </c>
      <c r="L343">
        <v>0</v>
      </c>
      <c r="M343">
        <v>0</v>
      </c>
    </row>
    <row r="344" spans="1:45" x14ac:dyDescent="0.3">
      <c r="A344">
        <v>217</v>
      </c>
      <c r="B344" t="s">
        <v>840</v>
      </c>
      <c r="C344" t="s">
        <v>251</v>
      </c>
      <c r="D344" t="s">
        <v>73</v>
      </c>
      <c r="E344" t="s">
        <v>22</v>
      </c>
      <c r="F344" s="30">
        <v>45107</v>
      </c>
      <c r="G344" t="s">
        <v>857</v>
      </c>
      <c r="H344" t="s">
        <v>4468</v>
      </c>
      <c r="I344">
        <v>20</v>
      </c>
      <c r="J344">
        <v>45.930000305175781</v>
      </c>
      <c r="L344">
        <v>452</v>
      </c>
      <c r="M344">
        <v>532</v>
      </c>
      <c r="AS344">
        <v>452</v>
      </c>
    </row>
    <row r="345" spans="1:45" x14ac:dyDescent="0.3">
      <c r="A345">
        <v>217</v>
      </c>
      <c r="B345" t="s">
        <v>840</v>
      </c>
      <c r="C345" t="s">
        <v>251</v>
      </c>
      <c r="D345" t="s">
        <v>73</v>
      </c>
      <c r="E345" t="s">
        <v>22</v>
      </c>
      <c r="F345" s="30">
        <v>45107</v>
      </c>
      <c r="G345" t="s">
        <v>857</v>
      </c>
      <c r="H345" t="s">
        <v>4470</v>
      </c>
      <c r="I345">
        <v>20</v>
      </c>
      <c r="J345">
        <v>0</v>
      </c>
      <c r="L345">
        <v>0</v>
      </c>
      <c r="M345">
        <v>644.80999999999995</v>
      </c>
      <c r="AS345">
        <v>0</v>
      </c>
    </row>
    <row r="346" spans="1:45" x14ac:dyDescent="0.3">
      <c r="A346">
        <v>217</v>
      </c>
      <c r="B346" t="s">
        <v>840</v>
      </c>
      <c r="C346" t="s">
        <v>251</v>
      </c>
      <c r="D346" t="s">
        <v>73</v>
      </c>
      <c r="E346" t="s">
        <v>22</v>
      </c>
      <c r="F346" s="30">
        <v>45107</v>
      </c>
      <c r="G346" t="s">
        <v>857</v>
      </c>
      <c r="H346" t="s">
        <v>4477</v>
      </c>
      <c r="I346">
        <v>20</v>
      </c>
      <c r="J346">
        <v>0</v>
      </c>
      <c r="L346">
        <v>0</v>
      </c>
      <c r="M346">
        <v>0</v>
      </c>
      <c r="AS346">
        <v>0</v>
      </c>
    </row>
    <row r="347" spans="1:45" x14ac:dyDescent="0.3">
      <c r="A347">
        <v>217</v>
      </c>
      <c r="B347" t="s">
        <v>840</v>
      </c>
      <c r="C347" t="s">
        <v>251</v>
      </c>
      <c r="D347" t="s">
        <v>73</v>
      </c>
      <c r="E347" t="s">
        <v>22</v>
      </c>
      <c r="F347" s="30">
        <v>45107</v>
      </c>
      <c r="G347" t="s">
        <v>857</v>
      </c>
      <c r="H347" t="s">
        <v>4469</v>
      </c>
      <c r="I347">
        <v>20</v>
      </c>
      <c r="J347">
        <v>9.8999996185302734</v>
      </c>
      <c r="L347">
        <v>66</v>
      </c>
      <c r="M347">
        <v>600.70000000000005</v>
      </c>
      <c r="AS347">
        <v>66</v>
      </c>
    </row>
    <row r="348" spans="1:45" x14ac:dyDescent="0.3">
      <c r="A348">
        <v>217</v>
      </c>
      <c r="B348" t="s">
        <v>840</v>
      </c>
      <c r="C348" t="s">
        <v>251</v>
      </c>
      <c r="D348" t="s">
        <v>73</v>
      </c>
      <c r="E348" t="s">
        <v>22</v>
      </c>
      <c r="F348" s="30">
        <v>45107</v>
      </c>
      <c r="G348" t="s">
        <v>857</v>
      </c>
      <c r="H348" t="s">
        <v>4476</v>
      </c>
      <c r="I348">
        <v>20</v>
      </c>
      <c r="J348">
        <v>0</v>
      </c>
      <c r="L348">
        <v>0</v>
      </c>
      <c r="M348">
        <v>0</v>
      </c>
      <c r="AS348">
        <v>0</v>
      </c>
    </row>
    <row r="349" spans="1:45" x14ac:dyDescent="0.3">
      <c r="A349">
        <v>217</v>
      </c>
      <c r="B349" t="s">
        <v>840</v>
      </c>
      <c r="C349" t="s">
        <v>251</v>
      </c>
      <c r="D349" t="s">
        <v>73</v>
      </c>
      <c r="E349" t="s">
        <v>22</v>
      </c>
      <c r="F349" s="30">
        <v>45107</v>
      </c>
      <c r="G349" t="s">
        <v>857</v>
      </c>
      <c r="H349" t="s">
        <v>4478</v>
      </c>
      <c r="I349">
        <v>20</v>
      </c>
      <c r="J349">
        <v>0</v>
      </c>
      <c r="L349">
        <v>0</v>
      </c>
      <c r="M349">
        <v>0</v>
      </c>
      <c r="AS349">
        <v>0</v>
      </c>
    </row>
    <row r="350" spans="1:45" x14ac:dyDescent="0.3">
      <c r="A350">
        <v>218</v>
      </c>
      <c r="B350" t="s">
        <v>888</v>
      </c>
      <c r="C350" t="s">
        <v>251</v>
      </c>
      <c r="D350" t="s">
        <v>73</v>
      </c>
      <c r="E350" t="s">
        <v>56</v>
      </c>
      <c r="F350" s="30">
        <v>45107</v>
      </c>
      <c r="G350" t="s">
        <v>907</v>
      </c>
      <c r="H350" t="s">
        <v>4468</v>
      </c>
      <c r="I350">
        <v>172000</v>
      </c>
      <c r="J350">
        <v>57471</v>
      </c>
      <c r="N350">
        <v>57471</v>
      </c>
    </row>
    <row r="351" spans="1:45" x14ac:dyDescent="0.3">
      <c r="A351">
        <v>218</v>
      </c>
      <c r="B351" t="s">
        <v>888</v>
      </c>
      <c r="C351" t="s">
        <v>251</v>
      </c>
      <c r="D351" t="s">
        <v>73</v>
      </c>
      <c r="E351" t="s">
        <v>56</v>
      </c>
      <c r="F351" s="30">
        <v>45107</v>
      </c>
      <c r="G351" t="s">
        <v>907</v>
      </c>
      <c r="H351" t="s">
        <v>4470</v>
      </c>
      <c r="I351">
        <v>172000</v>
      </c>
      <c r="J351">
        <v>51870</v>
      </c>
      <c r="N351">
        <v>51870</v>
      </c>
    </row>
    <row r="352" spans="1:45" x14ac:dyDescent="0.3">
      <c r="A352">
        <v>218</v>
      </c>
      <c r="B352" t="s">
        <v>888</v>
      </c>
      <c r="C352" t="s">
        <v>251</v>
      </c>
      <c r="D352" t="s">
        <v>73</v>
      </c>
      <c r="E352" t="s">
        <v>56</v>
      </c>
      <c r="F352" s="30">
        <v>45107</v>
      </c>
      <c r="G352" t="s">
        <v>907</v>
      </c>
      <c r="H352" t="s">
        <v>4477</v>
      </c>
      <c r="I352">
        <v>172000</v>
      </c>
      <c r="J352">
        <v>0</v>
      </c>
      <c r="N352">
        <v>0</v>
      </c>
    </row>
    <row r="353" spans="1:48" x14ac:dyDescent="0.3">
      <c r="A353">
        <v>218</v>
      </c>
      <c r="B353" t="s">
        <v>888</v>
      </c>
      <c r="C353" t="s">
        <v>251</v>
      </c>
      <c r="D353" t="s">
        <v>73</v>
      </c>
      <c r="E353" t="s">
        <v>56</v>
      </c>
      <c r="F353" s="30">
        <v>45107</v>
      </c>
      <c r="G353" t="s">
        <v>907</v>
      </c>
      <c r="H353" t="s">
        <v>4469</v>
      </c>
      <c r="I353">
        <v>172000</v>
      </c>
      <c r="J353">
        <v>25282</v>
      </c>
      <c r="N353">
        <v>25282</v>
      </c>
    </row>
    <row r="354" spans="1:48" x14ac:dyDescent="0.3">
      <c r="A354">
        <v>218</v>
      </c>
      <c r="B354" t="s">
        <v>888</v>
      </c>
      <c r="C354" t="s">
        <v>251</v>
      </c>
      <c r="D354" t="s">
        <v>73</v>
      </c>
      <c r="E354" t="s">
        <v>56</v>
      </c>
      <c r="F354" s="30">
        <v>45107</v>
      </c>
      <c r="G354" t="s">
        <v>907</v>
      </c>
      <c r="H354" t="s">
        <v>4476</v>
      </c>
      <c r="I354">
        <v>172000</v>
      </c>
      <c r="J354">
        <v>4320</v>
      </c>
      <c r="N354">
        <v>4320</v>
      </c>
    </row>
    <row r="355" spans="1:48" x14ac:dyDescent="0.3">
      <c r="A355">
        <v>218</v>
      </c>
      <c r="B355" t="s">
        <v>888</v>
      </c>
      <c r="C355" t="s">
        <v>251</v>
      </c>
      <c r="D355" t="s">
        <v>73</v>
      </c>
      <c r="E355" t="s">
        <v>56</v>
      </c>
      <c r="F355" s="30">
        <v>45107</v>
      </c>
      <c r="G355" t="s">
        <v>907</v>
      </c>
      <c r="H355" t="s">
        <v>4478</v>
      </c>
      <c r="I355">
        <v>172000</v>
      </c>
      <c r="J355">
        <v>1548</v>
      </c>
      <c r="N355">
        <v>1548</v>
      </c>
    </row>
    <row r="356" spans="1:48" x14ac:dyDescent="0.3">
      <c r="A356">
        <v>225</v>
      </c>
      <c r="B356" t="s">
        <v>976</v>
      </c>
      <c r="C356" t="s">
        <v>251</v>
      </c>
      <c r="D356" t="s">
        <v>73</v>
      </c>
      <c r="E356" t="s">
        <v>22</v>
      </c>
      <c r="F356" s="30">
        <v>45107</v>
      </c>
      <c r="G356" t="s">
        <v>994</v>
      </c>
      <c r="H356" t="s">
        <v>4468</v>
      </c>
      <c r="I356">
        <v>1</v>
      </c>
      <c r="J356">
        <v>6</v>
      </c>
      <c r="AT356">
        <v>6</v>
      </c>
    </row>
    <row r="357" spans="1:48" x14ac:dyDescent="0.3">
      <c r="A357">
        <v>225</v>
      </c>
      <c r="B357" t="s">
        <v>976</v>
      </c>
      <c r="C357" t="s">
        <v>251</v>
      </c>
      <c r="D357" t="s">
        <v>73</v>
      </c>
      <c r="E357" t="s">
        <v>22</v>
      </c>
      <c r="F357" s="30">
        <v>45107</v>
      </c>
      <c r="G357" t="s">
        <v>994</v>
      </c>
      <c r="H357" t="s">
        <v>4470</v>
      </c>
      <c r="I357">
        <v>1</v>
      </c>
      <c r="J357">
        <v>1</v>
      </c>
      <c r="AT357">
        <v>1</v>
      </c>
    </row>
    <row r="358" spans="1:48" x14ac:dyDescent="0.3">
      <c r="A358">
        <v>225</v>
      </c>
      <c r="B358" t="s">
        <v>976</v>
      </c>
      <c r="C358" t="s">
        <v>251</v>
      </c>
      <c r="D358" t="s">
        <v>73</v>
      </c>
      <c r="E358" t="s">
        <v>22</v>
      </c>
      <c r="F358" s="30">
        <v>45107</v>
      </c>
      <c r="G358" t="s">
        <v>994</v>
      </c>
      <c r="H358" t="s">
        <v>4477</v>
      </c>
      <c r="I358">
        <v>1</v>
      </c>
      <c r="J358">
        <v>0</v>
      </c>
      <c r="AT358">
        <v>0</v>
      </c>
    </row>
    <row r="359" spans="1:48" x14ac:dyDescent="0.3">
      <c r="A359">
        <v>225</v>
      </c>
      <c r="B359" t="s">
        <v>976</v>
      </c>
      <c r="C359" t="s">
        <v>251</v>
      </c>
      <c r="D359" t="s">
        <v>73</v>
      </c>
      <c r="E359" t="s">
        <v>22</v>
      </c>
      <c r="F359" s="30">
        <v>45107</v>
      </c>
      <c r="G359" t="s">
        <v>994</v>
      </c>
      <c r="H359" t="s">
        <v>4469</v>
      </c>
      <c r="I359">
        <v>1</v>
      </c>
      <c r="J359">
        <v>10</v>
      </c>
      <c r="AT359">
        <v>10</v>
      </c>
    </row>
    <row r="360" spans="1:48" x14ac:dyDescent="0.3">
      <c r="A360">
        <v>225</v>
      </c>
      <c r="B360" t="s">
        <v>976</v>
      </c>
      <c r="C360" t="s">
        <v>251</v>
      </c>
      <c r="D360" t="s">
        <v>73</v>
      </c>
      <c r="E360" t="s">
        <v>22</v>
      </c>
      <c r="F360" s="30">
        <v>45107</v>
      </c>
      <c r="G360" t="s">
        <v>994</v>
      </c>
      <c r="H360" t="s">
        <v>4476</v>
      </c>
      <c r="I360">
        <v>1</v>
      </c>
      <c r="J360">
        <v>1</v>
      </c>
      <c r="AT360">
        <v>1</v>
      </c>
    </row>
    <row r="361" spans="1:48" x14ac:dyDescent="0.3">
      <c r="A361">
        <v>225</v>
      </c>
      <c r="B361" t="s">
        <v>976</v>
      </c>
      <c r="C361" t="s">
        <v>251</v>
      </c>
      <c r="D361" t="s">
        <v>73</v>
      </c>
      <c r="E361" t="s">
        <v>22</v>
      </c>
      <c r="F361" s="30">
        <v>45107</v>
      </c>
      <c r="G361" t="s">
        <v>994</v>
      </c>
      <c r="H361" t="s">
        <v>4478</v>
      </c>
      <c r="I361">
        <v>1</v>
      </c>
      <c r="J361">
        <v>1</v>
      </c>
      <c r="AT361">
        <v>1</v>
      </c>
    </row>
    <row r="362" spans="1:48" x14ac:dyDescent="0.3">
      <c r="A362">
        <v>239</v>
      </c>
      <c r="B362" t="s">
        <v>1095</v>
      </c>
      <c r="C362" t="s">
        <v>1096</v>
      </c>
      <c r="D362" t="s">
        <v>73</v>
      </c>
      <c r="E362" t="s">
        <v>22</v>
      </c>
      <c r="F362" s="30">
        <v>45107</v>
      </c>
      <c r="G362" t="s">
        <v>1115</v>
      </c>
      <c r="H362" t="s">
        <v>4479</v>
      </c>
      <c r="J362">
        <v>2</v>
      </c>
      <c r="AU362">
        <v>2</v>
      </c>
    </row>
    <row r="363" spans="1:48" x14ac:dyDescent="0.3">
      <c r="A363">
        <v>239</v>
      </c>
      <c r="B363" t="s">
        <v>1095</v>
      </c>
      <c r="C363" t="s">
        <v>1096</v>
      </c>
      <c r="D363" t="s">
        <v>73</v>
      </c>
      <c r="E363" t="s">
        <v>22</v>
      </c>
      <c r="F363" s="30">
        <v>45107</v>
      </c>
      <c r="G363" t="s">
        <v>1115</v>
      </c>
      <c r="H363" t="s">
        <v>3622</v>
      </c>
      <c r="J363">
        <v>12</v>
      </c>
      <c r="AU363">
        <v>12</v>
      </c>
    </row>
    <row r="364" spans="1:48" x14ac:dyDescent="0.3">
      <c r="A364">
        <v>239</v>
      </c>
      <c r="B364" t="s">
        <v>1095</v>
      </c>
      <c r="C364" t="s">
        <v>1096</v>
      </c>
      <c r="D364" t="s">
        <v>73</v>
      </c>
      <c r="E364" t="s">
        <v>22</v>
      </c>
      <c r="F364" s="30">
        <v>45107</v>
      </c>
      <c r="G364" t="s">
        <v>1115</v>
      </c>
      <c r="H364" t="s">
        <v>4481</v>
      </c>
      <c r="J364">
        <v>5</v>
      </c>
      <c r="AU364">
        <v>5</v>
      </c>
    </row>
    <row r="365" spans="1:48" x14ac:dyDescent="0.3">
      <c r="A365">
        <v>434</v>
      </c>
      <c r="B365" t="s">
        <v>2267</v>
      </c>
      <c r="C365" t="s">
        <v>251</v>
      </c>
      <c r="D365" t="s">
        <v>73</v>
      </c>
      <c r="E365" t="s">
        <v>56</v>
      </c>
      <c r="F365" s="30">
        <v>45107</v>
      </c>
      <c r="G365" t="s">
        <v>2273</v>
      </c>
      <c r="H365" t="s">
        <v>4468</v>
      </c>
      <c r="I365">
        <v>200</v>
      </c>
      <c r="J365">
        <v>4</v>
      </c>
      <c r="AV365">
        <v>4</v>
      </c>
    </row>
    <row r="366" spans="1:48" x14ac:dyDescent="0.3">
      <c r="A366">
        <v>434</v>
      </c>
      <c r="B366" t="s">
        <v>2267</v>
      </c>
      <c r="C366" t="s">
        <v>251</v>
      </c>
      <c r="D366" t="s">
        <v>73</v>
      </c>
      <c r="E366" t="s">
        <v>56</v>
      </c>
      <c r="F366" s="30">
        <v>45107</v>
      </c>
      <c r="G366" t="s">
        <v>2273</v>
      </c>
      <c r="H366" t="s">
        <v>4470</v>
      </c>
      <c r="I366">
        <v>200</v>
      </c>
      <c r="J366">
        <v>0</v>
      </c>
      <c r="AV366">
        <v>0</v>
      </c>
    </row>
    <row r="367" spans="1:48" x14ac:dyDescent="0.3">
      <c r="A367">
        <v>434</v>
      </c>
      <c r="B367" t="s">
        <v>2267</v>
      </c>
      <c r="C367" t="s">
        <v>251</v>
      </c>
      <c r="D367" t="s">
        <v>73</v>
      </c>
      <c r="E367" t="s">
        <v>56</v>
      </c>
      <c r="F367" s="30">
        <v>45107</v>
      </c>
      <c r="G367" t="s">
        <v>2273</v>
      </c>
      <c r="H367" t="s">
        <v>4477</v>
      </c>
      <c r="I367">
        <v>200</v>
      </c>
      <c r="J367">
        <v>0</v>
      </c>
      <c r="AV367">
        <v>0</v>
      </c>
    </row>
    <row r="368" spans="1:48" x14ac:dyDescent="0.3">
      <c r="A368">
        <v>434</v>
      </c>
      <c r="B368" t="s">
        <v>2267</v>
      </c>
      <c r="C368" t="s">
        <v>251</v>
      </c>
      <c r="D368" t="s">
        <v>73</v>
      </c>
      <c r="E368" t="s">
        <v>56</v>
      </c>
      <c r="F368" s="30">
        <v>45107</v>
      </c>
      <c r="G368" t="s">
        <v>2273</v>
      </c>
      <c r="H368" t="s">
        <v>4469</v>
      </c>
      <c r="I368">
        <v>200</v>
      </c>
      <c r="J368">
        <v>0.89999997615814209</v>
      </c>
      <c r="AV368">
        <v>0.9</v>
      </c>
    </row>
    <row r="369" spans="1:54" x14ac:dyDescent="0.3">
      <c r="A369">
        <v>434</v>
      </c>
      <c r="B369" t="s">
        <v>2267</v>
      </c>
      <c r="C369" t="s">
        <v>251</v>
      </c>
      <c r="D369" t="s">
        <v>73</v>
      </c>
      <c r="E369" t="s">
        <v>56</v>
      </c>
      <c r="F369" s="30">
        <v>45107</v>
      </c>
      <c r="G369" t="s">
        <v>2273</v>
      </c>
      <c r="H369" t="s">
        <v>4476</v>
      </c>
      <c r="I369">
        <v>200</v>
      </c>
      <c r="J369">
        <v>0.20000000298023221</v>
      </c>
      <c r="AV369">
        <v>0.2</v>
      </c>
    </row>
    <row r="370" spans="1:54" x14ac:dyDescent="0.3">
      <c r="A370">
        <v>434</v>
      </c>
      <c r="B370" t="s">
        <v>2267</v>
      </c>
      <c r="C370" t="s">
        <v>251</v>
      </c>
      <c r="D370" t="s">
        <v>73</v>
      </c>
      <c r="E370" t="s">
        <v>56</v>
      </c>
      <c r="F370" s="30">
        <v>45107</v>
      </c>
      <c r="G370" t="s">
        <v>2273</v>
      </c>
      <c r="H370" t="s">
        <v>4478</v>
      </c>
      <c r="I370">
        <v>200</v>
      </c>
      <c r="J370">
        <v>0</v>
      </c>
      <c r="AV370">
        <v>0</v>
      </c>
    </row>
    <row r="371" spans="1:54" x14ac:dyDescent="0.3">
      <c r="A371">
        <v>203</v>
      </c>
      <c r="B371" t="s">
        <v>676</v>
      </c>
      <c r="C371" t="s">
        <v>210</v>
      </c>
      <c r="D371" t="s">
        <v>39</v>
      </c>
      <c r="E371" t="s">
        <v>22</v>
      </c>
      <c r="F371" s="30">
        <v>45107</v>
      </c>
      <c r="G371" t="s">
        <v>679</v>
      </c>
      <c r="H371" t="s">
        <v>4494</v>
      </c>
      <c r="I371">
        <v>95</v>
      </c>
      <c r="J371">
        <v>104.59999847412109</v>
      </c>
      <c r="BA371">
        <v>112954515401</v>
      </c>
      <c r="BB371">
        <v>118145493237</v>
      </c>
    </row>
    <row r="372" spans="1:54" x14ac:dyDescent="0.3">
      <c r="A372">
        <v>203</v>
      </c>
      <c r="B372" t="s">
        <v>676</v>
      </c>
      <c r="C372" t="s">
        <v>210</v>
      </c>
      <c r="D372" t="s">
        <v>39</v>
      </c>
      <c r="E372" t="s">
        <v>22</v>
      </c>
      <c r="F372" s="30">
        <v>45107</v>
      </c>
      <c r="G372" t="s">
        <v>679</v>
      </c>
      <c r="H372" t="s">
        <v>4495</v>
      </c>
      <c r="I372">
        <v>95</v>
      </c>
      <c r="J372">
        <v>102.65000152587891</v>
      </c>
      <c r="BA372">
        <v>5315206000</v>
      </c>
      <c r="BB372">
        <v>5455857145</v>
      </c>
    </row>
    <row r="373" spans="1:54" x14ac:dyDescent="0.3">
      <c r="A373">
        <v>203</v>
      </c>
      <c r="B373" t="s">
        <v>676</v>
      </c>
      <c r="C373" t="s">
        <v>210</v>
      </c>
      <c r="D373" t="s">
        <v>39</v>
      </c>
      <c r="E373" t="s">
        <v>22</v>
      </c>
      <c r="F373" s="30">
        <v>45107</v>
      </c>
      <c r="G373" t="s">
        <v>679</v>
      </c>
      <c r="H373" t="s">
        <v>4496</v>
      </c>
      <c r="I373">
        <v>95</v>
      </c>
      <c r="J373">
        <v>107.4599990844727</v>
      </c>
      <c r="BA373">
        <v>5195978459</v>
      </c>
      <c r="BB373">
        <v>5583719527</v>
      </c>
    </row>
    <row r="374" spans="1:54" x14ac:dyDescent="0.3">
      <c r="A374">
        <v>215</v>
      </c>
      <c r="B374" t="s">
        <v>824</v>
      </c>
      <c r="C374" t="s">
        <v>251</v>
      </c>
      <c r="D374" t="s">
        <v>39</v>
      </c>
      <c r="E374" t="s">
        <v>22</v>
      </c>
      <c r="F374" s="30">
        <v>45107</v>
      </c>
      <c r="G374" t="s">
        <v>829</v>
      </c>
      <c r="H374" t="s">
        <v>4468</v>
      </c>
      <c r="I374">
        <v>1</v>
      </c>
      <c r="J374">
        <v>0</v>
      </c>
      <c r="AC374">
        <v>0</v>
      </c>
      <c r="AD374">
        <v>0.36</v>
      </c>
    </row>
    <row r="375" spans="1:54" x14ac:dyDescent="0.3">
      <c r="A375">
        <v>215</v>
      </c>
      <c r="B375" t="s">
        <v>824</v>
      </c>
      <c r="C375" t="s">
        <v>251</v>
      </c>
      <c r="D375" t="s">
        <v>39</v>
      </c>
      <c r="E375" t="s">
        <v>22</v>
      </c>
      <c r="F375" s="30">
        <v>45107</v>
      </c>
      <c r="G375" t="s">
        <v>829</v>
      </c>
      <c r="H375" t="s">
        <v>4470</v>
      </c>
      <c r="I375">
        <v>1</v>
      </c>
      <c r="J375">
        <v>0</v>
      </c>
      <c r="AC375">
        <v>0</v>
      </c>
      <c r="AD375">
        <v>0.31</v>
      </c>
    </row>
    <row r="376" spans="1:54" x14ac:dyDescent="0.3">
      <c r="A376">
        <v>215</v>
      </c>
      <c r="B376" t="s">
        <v>824</v>
      </c>
      <c r="C376" t="s">
        <v>251</v>
      </c>
      <c r="D376" t="s">
        <v>39</v>
      </c>
      <c r="E376" t="s">
        <v>22</v>
      </c>
      <c r="F376" s="30">
        <v>45107</v>
      </c>
      <c r="G376" t="s">
        <v>829</v>
      </c>
      <c r="H376" t="s">
        <v>4477</v>
      </c>
      <c r="I376">
        <v>1</v>
      </c>
      <c r="J376">
        <v>0</v>
      </c>
      <c r="AC376">
        <v>0</v>
      </c>
      <c r="AD376">
        <v>0</v>
      </c>
    </row>
    <row r="377" spans="1:54" x14ac:dyDescent="0.3">
      <c r="A377">
        <v>215</v>
      </c>
      <c r="B377" t="s">
        <v>824</v>
      </c>
      <c r="C377" t="s">
        <v>251</v>
      </c>
      <c r="D377" t="s">
        <v>39</v>
      </c>
      <c r="E377" t="s">
        <v>22</v>
      </c>
      <c r="F377" s="30">
        <v>45107</v>
      </c>
      <c r="G377" t="s">
        <v>829</v>
      </c>
      <c r="H377" t="s">
        <v>4469</v>
      </c>
      <c r="I377">
        <v>0</v>
      </c>
      <c r="J377">
        <v>0</v>
      </c>
      <c r="AC377">
        <v>0</v>
      </c>
      <c r="AD377">
        <v>0.22</v>
      </c>
    </row>
    <row r="378" spans="1:54" x14ac:dyDescent="0.3">
      <c r="A378">
        <v>215</v>
      </c>
      <c r="B378" t="s">
        <v>824</v>
      </c>
      <c r="C378" t="s">
        <v>251</v>
      </c>
      <c r="D378" t="s">
        <v>39</v>
      </c>
      <c r="E378" t="s">
        <v>22</v>
      </c>
      <c r="F378" s="30">
        <v>45107</v>
      </c>
      <c r="G378" t="s">
        <v>829</v>
      </c>
      <c r="H378" t="s">
        <v>4476</v>
      </c>
      <c r="I378">
        <v>1</v>
      </c>
      <c r="J378">
        <v>0</v>
      </c>
      <c r="AC378">
        <v>0</v>
      </c>
      <c r="AD378">
        <v>0</v>
      </c>
    </row>
    <row r="379" spans="1:54" x14ac:dyDescent="0.3">
      <c r="A379">
        <v>215</v>
      </c>
      <c r="B379" t="s">
        <v>824</v>
      </c>
      <c r="C379" t="s">
        <v>251</v>
      </c>
      <c r="D379" t="s">
        <v>39</v>
      </c>
      <c r="E379" t="s">
        <v>22</v>
      </c>
      <c r="F379" s="30">
        <v>45107</v>
      </c>
      <c r="G379" t="s">
        <v>829</v>
      </c>
      <c r="H379" t="s">
        <v>4478</v>
      </c>
      <c r="I379">
        <v>1</v>
      </c>
      <c r="J379">
        <v>0</v>
      </c>
      <c r="AC379">
        <v>0</v>
      </c>
      <c r="AD379">
        <v>0</v>
      </c>
    </row>
    <row r="380" spans="1:54" x14ac:dyDescent="0.3">
      <c r="A380">
        <v>219</v>
      </c>
      <c r="B380" t="s">
        <v>938</v>
      </c>
      <c r="C380" t="s">
        <v>251</v>
      </c>
      <c r="D380" t="s">
        <v>39</v>
      </c>
      <c r="E380" t="s">
        <v>22</v>
      </c>
      <c r="F380" s="30">
        <v>45107</v>
      </c>
      <c r="G380" t="s">
        <v>941</v>
      </c>
      <c r="H380" t="s">
        <v>4468</v>
      </c>
      <c r="I380">
        <v>1</v>
      </c>
      <c r="J380">
        <v>26.879999160766602</v>
      </c>
      <c r="O380">
        <v>1872</v>
      </c>
      <c r="P380">
        <v>2992</v>
      </c>
      <c r="Q380">
        <v>13656</v>
      </c>
      <c r="R380">
        <v>0</v>
      </c>
      <c r="S380">
        <v>1844</v>
      </c>
      <c r="T380">
        <v>2699</v>
      </c>
      <c r="U380">
        <v>9366</v>
      </c>
      <c r="V380">
        <v>0</v>
      </c>
      <c r="W380">
        <v>380904</v>
      </c>
      <c r="X380">
        <v>391250</v>
      </c>
    </row>
    <row r="381" spans="1:54" x14ac:dyDescent="0.3">
      <c r="A381">
        <v>219</v>
      </c>
      <c r="B381" t="s">
        <v>938</v>
      </c>
      <c r="C381" t="s">
        <v>251</v>
      </c>
      <c r="D381" t="s">
        <v>39</v>
      </c>
      <c r="E381" t="s">
        <v>22</v>
      </c>
      <c r="F381" s="30">
        <v>45107</v>
      </c>
      <c r="G381" t="s">
        <v>941</v>
      </c>
      <c r="H381" t="s">
        <v>4470</v>
      </c>
      <c r="I381">
        <v>1</v>
      </c>
      <c r="J381">
        <v>13.10999965667725</v>
      </c>
      <c r="O381">
        <v>679</v>
      </c>
      <c r="P381">
        <v>30</v>
      </c>
      <c r="Q381">
        <v>11072</v>
      </c>
      <c r="R381">
        <v>1948</v>
      </c>
      <c r="S381">
        <v>717</v>
      </c>
      <c r="T381">
        <v>34</v>
      </c>
      <c r="U381">
        <v>9553</v>
      </c>
      <c r="V381">
        <v>2435</v>
      </c>
      <c r="W381">
        <v>285570</v>
      </c>
      <c r="X381">
        <v>304950</v>
      </c>
    </row>
    <row r="382" spans="1:54" x14ac:dyDescent="0.3">
      <c r="A382">
        <v>219</v>
      </c>
      <c r="B382" t="s">
        <v>938</v>
      </c>
      <c r="C382" t="s">
        <v>251</v>
      </c>
      <c r="D382" t="s">
        <v>39</v>
      </c>
      <c r="E382" t="s">
        <v>22</v>
      </c>
      <c r="F382" s="30">
        <v>45107</v>
      </c>
      <c r="G382" t="s">
        <v>941</v>
      </c>
      <c r="H382" t="s">
        <v>4469</v>
      </c>
      <c r="I382">
        <v>1</v>
      </c>
      <c r="J382">
        <v>18.930000305175781</v>
      </c>
      <c r="O382">
        <v>300</v>
      </c>
      <c r="P382">
        <v>828</v>
      </c>
      <c r="Q382">
        <v>12287</v>
      </c>
      <c r="R382">
        <v>144</v>
      </c>
      <c r="S382">
        <v>260</v>
      </c>
      <c r="T382">
        <v>798</v>
      </c>
      <c r="U382">
        <v>9398</v>
      </c>
      <c r="V382">
        <v>105</v>
      </c>
      <c r="W382">
        <v>139217</v>
      </c>
      <c r="X382">
        <v>133760</v>
      </c>
    </row>
    <row r="383" spans="1:54" x14ac:dyDescent="0.3">
      <c r="A383">
        <v>220</v>
      </c>
      <c r="B383" t="s">
        <v>947</v>
      </c>
      <c r="C383" t="s">
        <v>251</v>
      </c>
      <c r="D383" t="s">
        <v>39</v>
      </c>
      <c r="E383" t="s">
        <v>22</v>
      </c>
      <c r="F383" s="30">
        <v>45107</v>
      </c>
      <c r="G383" t="s">
        <v>950</v>
      </c>
      <c r="H383" t="s">
        <v>4468</v>
      </c>
      <c r="I383">
        <v>1</v>
      </c>
      <c r="J383">
        <v>51.590000152587891</v>
      </c>
      <c r="O383">
        <v>1872</v>
      </c>
      <c r="P383">
        <v>2992</v>
      </c>
      <c r="Q383">
        <v>13656</v>
      </c>
      <c r="R383">
        <v>0</v>
      </c>
      <c r="S383">
        <v>1844</v>
      </c>
      <c r="T383">
        <v>2699</v>
      </c>
      <c r="U383">
        <v>9366</v>
      </c>
      <c r="V383">
        <v>0</v>
      </c>
      <c r="Y383">
        <v>3723</v>
      </c>
      <c r="Z383">
        <v>5776</v>
      </c>
    </row>
    <row r="384" spans="1:54" x14ac:dyDescent="0.3">
      <c r="A384">
        <v>220</v>
      </c>
      <c r="B384" t="s">
        <v>947</v>
      </c>
      <c r="C384" t="s">
        <v>251</v>
      </c>
      <c r="D384" t="s">
        <v>39</v>
      </c>
      <c r="E384" t="s">
        <v>22</v>
      </c>
      <c r="F384" s="30">
        <v>45107</v>
      </c>
      <c r="G384" t="s">
        <v>950</v>
      </c>
      <c r="H384" t="s">
        <v>4470</v>
      </c>
      <c r="I384">
        <v>1</v>
      </c>
      <c r="J384">
        <v>20.14999961853027</v>
      </c>
      <c r="O384">
        <v>679</v>
      </c>
      <c r="P384">
        <v>30</v>
      </c>
      <c r="Q384">
        <v>11072</v>
      </c>
      <c r="R384">
        <v>1948</v>
      </c>
      <c r="S384">
        <v>717</v>
      </c>
      <c r="T384">
        <v>34</v>
      </c>
      <c r="U384">
        <v>9553</v>
      </c>
      <c r="V384">
        <v>2435</v>
      </c>
      <c r="Y384">
        <v>1888</v>
      </c>
      <c r="Z384">
        <v>2194</v>
      </c>
    </row>
    <row r="385" spans="1:62" x14ac:dyDescent="0.3">
      <c r="A385">
        <v>220</v>
      </c>
      <c r="B385" t="s">
        <v>947</v>
      </c>
      <c r="C385" t="s">
        <v>251</v>
      </c>
      <c r="D385" t="s">
        <v>39</v>
      </c>
      <c r="E385" t="s">
        <v>22</v>
      </c>
      <c r="F385" s="30">
        <v>45107</v>
      </c>
      <c r="G385" t="s">
        <v>950</v>
      </c>
      <c r="H385" t="s">
        <v>4469</v>
      </c>
      <c r="I385">
        <v>1</v>
      </c>
      <c r="J385">
        <v>26.030000686645511</v>
      </c>
      <c r="O385">
        <v>300</v>
      </c>
      <c r="P385">
        <v>828</v>
      </c>
      <c r="Q385">
        <v>12287</v>
      </c>
      <c r="R385">
        <v>144</v>
      </c>
      <c r="S385">
        <v>260</v>
      </c>
      <c r="T385">
        <v>798</v>
      </c>
      <c r="U385">
        <v>9398</v>
      </c>
      <c r="V385">
        <v>105</v>
      </c>
      <c r="Y385">
        <v>907</v>
      </c>
      <c r="Z385">
        <v>955</v>
      </c>
    </row>
    <row r="386" spans="1:62" x14ac:dyDescent="0.3">
      <c r="A386">
        <v>274</v>
      </c>
      <c r="B386" t="s">
        <v>1369</v>
      </c>
      <c r="C386" t="s">
        <v>1292</v>
      </c>
      <c r="D386" t="s">
        <v>39</v>
      </c>
      <c r="E386" t="s">
        <v>22</v>
      </c>
      <c r="F386" s="30">
        <v>45107</v>
      </c>
      <c r="G386" t="s">
        <v>1370</v>
      </c>
      <c r="H386" t="s">
        <v>4497</v>
      </c>
      <c r="I386">
        <v>100</v>
      </c>
      <c r="J386">
        <v>117.5100021362305</v>
      </c>
      <c r="BC386">
        <v>208</v>
      </c>
      <c r="BD386">
        <v>177</v>
      </c>
    </row>
    <row r="387" spans="1:62" x14ac:dyDescent="0.3">
      <c r="A387">
        <v>274</v>
      </c>
      <c r="B387" t="s">
        <v>1369</v>
      </c>
      <c r="C387" t="s">
        <v>1292</v>
      </c>
      <c r="D387" t="s">
        <v>39</v>
      </c>
      <c r="E387" t="s">
        <v>22</v>
      </c>
      <c r="F387" s="30">
        <v>45107</v>
      </c>
      <c r="G387" t="s">
        <v>1370</v>
      </c>
      <c r="H387" t="s">
        <v>4498</v>
      </c>
      <c r="I387">
        <v>100</v>
      </c>
      <c r="J387">
        <v>99.900001525878906</v>
      </c>
      <c r="BC387">
        <v>5905</v>
      </c>
      <c r="BD387">
        <v>5911</v>
      </c>
    </row>
    <row r="388" spans="1:62" x14ac:dyDescent="0.3">
      <c r="A388">
        <v>274</v>
      </c>
      <c r="B388" t="s">
        <v>1369</v>
      </c>
      <c r="C388" t="s">
        <v>1292</v>
      </c>
      <c r="D388" t="s">
        <v>39</v>
      </c>
      <c r="E388" t="s">
        <v>22</v>
      </c>
      <c r="F388" s="30">
        <v>45107</v>
      </c>
      <c r="G388" t="s">
        <v>1370</v>
      </c>
      <c r="H388" t="s">
        <v>4499</v>
      </c>
      <c r="I388">
        <v>100</v>
      </c>
      <c r="J388">
        <v>97.150001525878906</v>
      </c>
      <c r="BC388">
        <v>32055</v>
      </c>
      <c r="BD388">
        <v>32995</v>
      </c>
    </row>
    <row r="389" spans="1:62" x14ac:dyDescent="0.3">
      <c r="A389">
        <v>274</v>
      </c>
      <c r="B389" t="s">
        <v>1369</v>
      </c>
      <c r="C389" t="s">
        <v>1292</v>
      </c>
      <c r="D389" t="s">
        <v>39</v>
      </c>
      <c r="E389" t="s">
        <v>22</v>
      </c>
      <c r="F389" s="30">
        <v>45107</v>
      </c>
      <c r="G389" t="s">
        <v>1370</v>
      </c>
      <c r="H389" t="s">
        <v>4500</v>
      </c>
      <c r="I389">
        <v>100</v>
      </c>
      <c r="J389">
        <v>105.80999755859381</v>
      </c>
      <c r="BC389">
        <v>1020</v>
      </c>
      <c r="BD389">
        <v>964</v>
      </c>
    </row>
    <row r="390" spans="1:62" x14ac:dyDescent="0.3">
      <c r="A390">
        <v>278</v>
      </c>
      <c r="B390" t="s">
        <v>1399</v>
      </c>
      <c r="C390" t="s">
        <v>1383</v>
      </c>
      <c r="D390" t="s">
        <v>39</v>
      </c>
      <c r="E390" t="s">
        <v>22</v>
      </c>
      <c r="F390" s="30">
        <v>45107</v>
      </c>
      <c r="G390" t="s">
        <v>1395</v>
      </c>
      <c r="H390" t="s">
        <v>4501</v>
      </c>
      <c r="J390">
        <v>572</v>
      </c>
      <c r="BE390">
        <v>572</v>
      </c>
    </row>
    <row r="391" spans="1:62" x14ac:dyDescent="0.3">
      <c r="A391">
        <v>278</v>
      </c>
      <c r="B391" t="s">
        <v>1399</v>
      </c>
      <c r="C391" t="s">
        <v>1383</v>
      </c>
      <c r="D391" t="s">
        <v>39</v>
      </c>
      <c r="E391" t="s">
        <v>22</v>
      </c>
      <c r="F391" s="30">
        <v>45107</v>
      </c>
      <c r="G391" t="s">
        <v>1395</v>
      </c>
      <c r="H391" t="s">
        <v>4502</v>
      </c>
      <c r="J391">
        <v>203</v>
      </c>
      <c r="BE391">
        <v>203</v>
      </c>
    </row>
    <row r="392" spans="1:62" x14ac:dyDescent="0.3">
      <c r="A392">
        <v>278</v>
      </c>
      <c r="B392" t="s">
        <v>1399</v>
      </c>
      <c r="C392" t="s">
        <v>1383</v>
      </c>
      <c r="D392" t="s">
        <v>39</v>
      </c>
      <c r="E392" t="s">
        <v>22</v>
      </c>
      <c r="F392" s="30">
        <v>45107</v>
      </c>
      <c r="G392" t="s">
        <v>1395</v>
      </c>
      <c r="H392" t="s">
        <v>4503</v>
      </c>
      <c r="J392">
        <v>240</v>
      </c>
      <c r="BE392">
        <v>240</v>
      </c>
    </row>
    <row r="393" spans="1:62" x14ac:dyDescent="0.3">
      <c r="A393">
        <v>286</v>
      </c>
      <c r="B393" t="s">
        <v>1433</v>
      </c>
      <c r="C393" t="s">
        <v>1383</v>
      </c>
      <c r="D393" t="s">
        <v>39</v>
      </c>
      <c r="E393" t="s">
        <v>22</v>
      </c>
      <c r="F393" s="30">
        <v>45107</v>
      </c>
      <c r="G393" t="s">
        <v>1429</v>
      </c>
      <c r="H393" t="s">
        <v>4504</v>
      </c>
      <c r="J393">
        <v>52</v>
      </c>
      <c r="BF393">
        <v>52</v>
      </c>
    </row>
    <row r="394" spans="1:62" x14ac:dyDescent="0.3">
      <c r="A394">
        <v>286</v>
      </c>
      <c r="B394" t="s">
        <v>1433</v>
      </c>
      <c r="C394" t="s">
        <v>1383</v>
      </c>
      <c r="D394" t="s">
        <v>39</v>
      </c>
      <c r="E394" t="s">
        <v>22</v>
      </c>
      <c r="F394" s="30">
        <v>45107</v>
      </c>
      <c r="G394" t="s">
        <v>1429</v>
      </c>
      <c r="H394" t="s">
        <v>4505</v>
      </c>
      <c r="J394">
        <v>772</v>
      </c>
      <c r="BF394">
        <v>772</v>
      </c>
    </row>
    <row r="395" spans="1:62" x14ac:dyDescent="0.3">
      <c r="A395">
        <v>286</v>
      </c>
      <c r="B395" t="s">
        <v>1433</v>
      </c>
      <c r="C395" t="s">
        <v>1383</v>
      </c>
      <c r="D395" t="s">
        <v>39</v>
      </c>
      <c r="E395" t="s">
        <v>22</v>
      </c>
      <c r="F395" s="30">
        <v>45107</v>
      </c>
      <c r="G395" t="s">
        <v>1429</v>
      </c>
      <c r="H395" t="s">
        <v>4506</v>
      </c>
      <c r="J395">
        <v>129</v>
      </c>
      <c r="BF395">
        <v>128</v>
      </c>
    </row>
    <row r="396" spans="1:62" x14ac:dyDescent="0.3">
      <c r="A396">
        <v>286</v>
      </c>
      <c r="B396" t="s">
        <v>1433</v>
      </c>
      <c r="C396" t="s">
        <v>1383</v>
      </c>
      <c r="D396" t="s">
        <v>39</v>
      </c>
      <c r="E396" t="s">
        <v>22</v>
      </c>
      <c r="F396" s="30">
        <v>45107</v>
      </c>
      <c r="G396" t="s">
        <v>1429</v>
      </c>
      <c r="H396" t="s">
        <v>4507</v>
      </c>
      <c r="J396">
        <v>62</v>
      </c>
      <c r="BF396">
        <v>63</v>
      </c>
    </row>
    <row r="397" spans="1:62" x14ac:dyDescent="0.3">
      <c r="A397">
        <v>292</v>
      </c>
      <c r="B397" t="s">
        <v>1465</v>
      </c>
      <c r="C397" t="s">
        <v>1460</v>
      </c>
      <c r="D397" t="s">
        <v>39</v>
      </c>
      <c r="E397" t="s">
        <v>22</v>
      </c>
      <c r="F397" s="30">
        <v>45107</v>
      </c>
      <c r="G397" t="s">
        <v>1466</v>
      </c>
      <c r="H397" t="s">
        <v>4508</v>
      </c>
      <c r="I397">
        <v>3</v>
      </c>
      <c r="J397">
        <v>10.85999965667725</v>
      </c>
      <c r="BG397">
        <v>1368</v>
      </c>
      <c r="BH397">
        <v>1426</v>
      </c>
    </row>
    <row r="398" spans="1:62" x14ac:dyDescent="0.3">
      <c r="A398">
        <v>292</v>
      </c>
      <c r="B398" t="s">
        <v>1465</v>
      </c>
      <c r="C398" t="s">
        <v>1460</v>
      </c>
      <c r="D398" t="s">
        <v>39</v>
      </c>
      <c r="E398" t="s">
        <v>22</v>
      </c>
      <c r="F398" s="30">
        <v>45107</v>
      </c>
      <c r="G398" t="s">
        <v>1466</v>
      </c>
      <c r="H398" t="s">
        <v>4509</v>
      </c>
      <c r="I398">
        <v>3</v>
      </c>
      <c r="J398">
        <v>18.54000091552734</v>
      </c>
      <c r="BG398">
        <v>652</v>
      </c>
      <c r="BH398">
        <v>705</v>
      </c>
    </row>
    <row r="399" spans="1:62" x14ac:dyDescent="0.3">
      <c r="A399">
        <v>292</v>
      </c>
      <c r="B399" t="s">
        <v>1465</v>
      </c>
      <c r="C399" t="s">
        <v>1460</v>
      </c>
      <c r="D399" t="s">
        <v>39</v>
      </c>
      <c r="E399" t="s">
        <v>22</v>
      </c>
      <c r="F399" s="30">
        <v>45107</v>
      </c>
      <c r="G399" t="s">
        <v>1466</v>
      </c>
      <c r="H399" t="s">
        <v>4510</v>
      </c>
      <c r="I399">
        <v>3</v>
      </c>
      <c r="J399">
        <v>-2.0099999904632568</v>
      </c>
      <c r="BG399">
        <v>382</v>
      </c>
      <c r="BH399">
        <v>624</v>
      </c>
    </row>
    <row r="400" spans="1:62" x14ac:dyDescent="0.3">
      <c r="A400">
        <v>294</v>
      </c>
      <c r="B400" t="s">
        <v>1481</v>
      </c>
      <c r="C400" t="s">
        <v>1460</v>
      </c>
      <c r="D400" t="s">
        <v>39</v>
      </c>
      <c r="E400" t="s">
        <v>22</v>
      </c>
      <c r="F400" s="30">
        <v>45107</v>
      </c>
      <c r="G400" t="s">
        <v>1478</v>
      </c>
      <c r="H400" t="s">
        <v>4508</v>
      </c>
      <c r="I400">
        <v>3</v>
      </c>
      <c r="J400">
        <v>37.159999847412109</v>
      </c>
      <c r="BI400">
        <v>551</v>
      </c>
      <c r="BJ400">
        <v>437</v>
      </c>
    </row>
    <row r="401" spans="1:69" x14ac:dyDescent="0.3">
      <c r="A401">
        <v>294</v>
      </c>
      <c r="B401" t="s">
        <v>1481</v>
      </c>
      <c r="C401" t="s">
        <v>1460</v>
      </c>
      <c r="D401" t="s">
        <v>39</v>
      </c>
      <c r="E401" t="s">
        <v>22</v>
      </c>
      <c r="F401" s="30">
        <v>45107</v>
      </c>
      <c r="G401" t="s">
        <v>1478</v>
      </c>
      <c r="H401" t="s">
        <v>4509</v>
      </c>
      <c r="I401">
        <v>3</v>
      </c>
      <c r="J401">
        <v>5.8299999237060547</v>
      </c>
      <c r="BI401">
        <v>330</v>
      </c>
      <c r="BJ401">
        <v>342</v>
      </c>
    </row>
    <row r="402" spans="1:69" x14ac:dyDescent="0.3">
      <c r="A402">
        <v>294</v>
      </c>
      <c r="B402" t="s">
        <v>1481</v>
      </c>
      <c r="C402" t="s">
        <v>1460</v>
      </c>
      <c r="D402" t="s">
        <v>39</v>
      </c>
      <c r="E402" t="s">
        <v>22</v>
      </c>
      <c r="F402" s="30">
        <v>45107</v>
      </c>
      <c r="G402" t="s">
        <v>1478</v>
      </c>
      <c r="H402" t="s">
        <v>4510</v>
      </c>
      <c r="I402">
        <v>3</v>
      </c>
      <c r="J402">
        <v>91.360000610351563</v>
      </c>
      <c r="BI402">
        <v>196</v>
      </c>
      <c r="BJ402">
        <v>105</v>
      </c>
    </row>
    <row r="403" spans="1:69" x14ac:dyDescent="0.3">
      <c r="A403">
        <v>303</v>
      </c>
      <c r="B403" t="s">
        <v>1527</v>
      </c>
      <c r="C403" t="s">
        <v>1528</v>
      </c>
      <c r="D403" t="s">
        <v>39</v>
      </c>
      <c r="E403" t="s">
        <v>22</v>
      </c>
      <c r="F403" s="30">
        <v>45107</v>
      </c>
      <c r="G403" t="s">
        <v>1529</v>
      </c>
      <c r="H403" t="s">
        <v>4508</v>
      </c>
      <c r="I403">
        <v>100</v>
      </c>
      <c r="J403">
        <v>71.430000305175781</v>
      </c>
      <c r="BK403">
        <v>10</v>
      </c>
      <c r="BL403">
        <v>14</v>
      </c>
    </row>
    <row r="404" spans="1:69" x14ac:dyDescent="0.3">
      <c r="A404">
        <v>303</v>
      </c>
      <c r="B404" t="s">
        <v>1527</v>
      </c>
      <c r="C404" t="s">
        <v>1528</v>
      </c>
      <c r="D404" t="s">
        <v>39</v>
      </c>
      <c r="E404" t="s">
        <v>22</v>
      </c>
      <c r="F404" s="30">
        <v>45107</v>
      </c>
      <c r="G404" t="s">
        <v>1529</v>
      </c>
      <c r="H404" t="s">
        <v>4509</v>
      </c>
      <c r="I404">
        <v>100</v>
      </c>
      <c r="J404">
        <v>71.430000305175781</v>
      </c>
      <c r="BK404">
        <v>10</v>
      </c>
      <c r="BL404">
        <v>14</v>
      </c>
    </row>
    <row r="405" spans="1:69" x14ac:dyDescent="0.3">
      <c r="A405">
        <v>303</v>
      </c>
      <c r="B405" t="s">
        <v>1527</v>
      </c>
      <c r="C405" t="s">
        <v>1528</v>
      </c>
      <c r="D405" t="s">
        <v>39</v>
      </c>
      <c r="E405" t="s">
        <v>22</v>
      </c>
      <c r="F405" s="30">
        <v>45107</v>
      </c>
      <c r="G405" t="s">
        <v>1529</v>
      </c>
      <c r="H405" t="s">
        <v>4510</v>
      </c>
      <c r="I405">
        <v>100</v>
      </c>
      <c r="J405">
        <v>100</v>
      </c>
      <c r="BK405">
        <v>5</v>
      </c>
      <c r="BL405">
        <v>5</v>
      </c>
    </row>
    <row r="406" spans="1:69" x14ac:dyDescent="0.3">
      <c r="A406">
        <v>369</v>
      </c>
      <c r="B406" t="s">
        <v>1835</v>
      </c>
      <c r="C406" t="s">
        <v>1796</v>
      </c>
      <c r="D406" t="s">
        <v>39</v>
      </c>
      <c r="E406" t="s">
        <v>22</v>
      </c>
      <c r="F406" s="30">
        <v>45107</v>
      </c>
      <c r="G406" t="s">
        <v>1836</v>
      </c>
      <c r="H406" t="s">
        <v>4511</v>
      </c>
      <c r="J406">
        <v>0</v>
      </c>
      <c r="BM406">
        <v>9</v>
      </c>
      <c r="BN406">
        <v>0</v>
      </c>
    </row>
    <row r="407" spans="1:69" x14ac:dyDescent="0.3">
      <c r="A407">
        <v>369</v>
      </c>
      <c r="B407" t="s">
        <v>1835</v>
      </c>
      <c r="C407" t="s">
        <v>1796</v>
      </c>
      <c r="D407" t="s">
        <v>39</v>
      </c>
      <c r="E407" t="s">
        <v>22</v>
      </c>
      <c r="F407" s="30">
        <v>45107</v>
      </c>
      <c r="G407" t="s">
        <v>1836</v>
      </c>
      <c r="H407" t="s">
        <v>4512</v>
      </c>
      <c r="J407">
        <v>0</v>
      </c>
      <c r="BM407">
        <v>69</v>
      </c>
      <c r="BN407">
        <v>0</v>
      </c>
    </row>
    <row r="408" spans="1:69" x14ac:dyDescent="0.3">
      <c r="A408">
        <v>386</v>
      </c>
      <c r="B408" t="s">
        <v>1951</v>
      </c>
      <c r="C408" t="s">
        <v>1946</v>
      </c>
      <c r="D408" t="s">
        <v>39</v>
      </c>
      <c r="E408" t="s">
        <v>22</v>
      </c>
      <c r="F408" s="30">
        <v>45107</v>
      </c>
      <c r="G408" t="s">
        <v>1952</v>
      </c>
      <c r="H408" t="s">
        <v>3584</v>
      </c>
      <c r="I408">
        <v>100</v>
      </c>
      <c r="J408">
        <v>366.92999267578119</v>
      </c>
      <c r="BO408">
        <v>883810965</v>
      </c>
      <c r="BP408">
        <v>240869000</v>
      </c>
    </row>
    <row r="409" spans="1:69" x14ac:dyDescent="0.3">
      <c r="A409">
        <v>386</v>
      </c>
      <c r="B409" t="s">
        <v>1951</v>
      </c>
      <c r="C409" t="s">
        <v>1946</v>
      </c>
      <c r="D409" t="s">
        <v>39</v>
      </c>
      <c r="E409" t="s">
        <v>22</v>
      </c>
      <c r="F409" s="30">
        <v>45107</v>
      </c>
      <c r="G409" t="s">
        <v>1952</v>
      </c>
      <c r="H409" t="s">
        <v>4513</v>
      </c>
      <c r="I409">
        <v>100</v>
      </c>
      <c r="J409">
        <v>106.09999847412109</v>
      </c>
      <c r="BO409">
        <v>2406893437</v>
      </c>
      <c r="BP409">
        <v>2268507000</v>
      </c>
    </row>
    <row r="410" spans="1:69" x14ac:dyDescent="0.3">
      <c r="A410">
        <v>386</v>
      </c>
      <c r="B410" t="s">
        <v>1951</v>
      </c>
      <c r="C410" t="s">
        <v>1946</v>
      </c>
      <c r="D410" t="s">
        <v>39</v>
      </c>
      <c r="E410" t="s">
        <v>22</v>
      </c>
      <c r="F410" s="30">
        <v>45107</v>
      </c>
      <c r="G410" t="s">
        <v>1952</v>
      </c>
      <c r="H410" t="s">
        <v>3588</v>
      </c>
      <c r="I410">
        <v>100</v>
      </c>
      <c r="J410">
        <v>77.80999755859375</v>
      </c>
      <c r="BO410">
        <v>2183153357</v>
      </c>
      <c r="BP410">
        <v>2805830000</v>
      </c>
    </row>
    <row r="411" spans="1:69" x14ac:dyDescent="0.3">
      <c r="A411">
        <v>389</v>
      </c>
      <c r="B411" t="s">
        <v>1964</v>
      </c>
      <c r="C411" t="s">
        <v>1969</v>
      </c>
      <c r="D411" t="s">
        <v>39</v>
      </c>
      <c r="E411" t="s">
        <v>22</v>
      </c>
      <c r="F411" s="30">
        <v>45107</v>
      </c>
      <c r="G411" t="s">
        <v>1965</v>
      </c>
      <c r="H411" t="s">
        <v>4514</v>
      </c>
      <c r="I411">
        <v>91</v>
      </c>
      <c r="J411">
        <v>86.699996948242188</v>
      </c>
      <c r="BQ411">
        <v>86.7</v>
      </c>
    </row>
    <row r="412" spans="1:69" x14ac:dyDescent="0.3">
      <c r="A412">
        <v>389</v>
      </c>
      <c r="B412" t="s">
        <v>1964</v>
      </c>
      <c r="C412" t="s">
        <v>1969</v>
      </c>
      <c r="D412" t="s">
        <v>39</v>
      </c>
      <c r="E412" t="s">
        <v>22</v>
      </c>
      <c r="F412" s="30">
        <v>45107</v>
      </c>
      <c r="G412" t="s">
        <v>1965</v>
      </c>
      <c r="H412" t="s">
        <v>4515</v>
      </c>
      <c r="I412">
        <v>91</v>
      </c>
      <c r="J412">
        <v>85.699996948242188</v>
      </c>
      <c r="BQ412">
        <v>85.7</v>
      </c>
    </row>
    <row r="413" spans="1:69" x14ac:dyDescent="0.3">
      <c r="A413">
        <v>389</v>
      </c>
      <c r="B413" t="s">
        <v>1964</v>
      </c>
      <c r="C413" t="s">
        <v>1969</v>
      </c>
      <c r="D413" t="s">
        <v>39</v>
      </c>
      <c r="E413" t="s">
        <v>22</v>
      </c>
      <c r="F413" s="30">
        <v>45107</v>
      </c>
      <c r="G413" t="s">
        <v>1965</v>
      </c>
      <c r="H413" t="s">
        <v>4516</v>
      </c>
      <c r="I413">
        <v>91</v>
      </c>
      <c r="J413">
        <v>85.599998474121094</v>
      </c>
      <c r="BQ413">
        <v>85.6</v>
      </c>
    </row>
    <row r="414" spans="1:69" x14ac:dyDescent="0.3">
      <c r="A414">
        <v>389</v>
      </c>
      <c r="B414" t="s">
        <v>1964</v>
      </c>
      <c r="C414" t="s">
        <v>1969</v>
      </c>
      <c r="D414" t="s">
        <v>39</v>
      </c>
      <c r="E414" t="s">
        <v>22</v>
      </c>
      <c r="F414" s="30">
        <v>45107</v>
      </c>
      <c r="G414" t="s">
        <v>1965</v>
      </c>
      <c r="H414" t="s">
        <v>4517</v>
      </c>
      <c r="I414">
        <v>91</v>
      </c>
      <c r="J414">
        <v>82.5</v>
      </c>
      <c r="BQ414">
        <v>82.5</v>
      </c>
    </row>
    <row r="415" spans="1:69" x14ac:dyDescent="0.3">
      <c r="A415">
        <v>389</v>
      </c>
      <c r="B415" t="s">
        <v>1964</v>
      </c>
      <c r="C415" t="s">
        <v>1969</v>
      </c>
      <c r="D415" t="s">
        <v>39</v>
      </c>
      <c r="E415" t="s">
        <v>22</v>
      </c>
      <c r="F415" s="30">
        <v>45107</v>
      </c>
      <c r="G415" t="s">
        <v>1965</v>
      </c>
      <c r="H415" t="s">
        <v>4518</v>
      </c>
      <c r="I415">
        <v>91</v>
      </c>
      <c r="J415">
        <v>85.099998474121094</v>
      </c>
      <c r="BQ415">
        <v>85.1</v>
      </c>
    </row>
    <row r="416" spans="1:69" x14ac:dyDescent="0.3">
      <c r="A416">
        <v>389</v>
      </c>
      <c r="B416" t="s">
        <v>1964</v>
      </c>
      <c r="C416" t="s">
        <v>1969</v>
      </c>
      <c r="D416" t="s">
        <v>39</v>
      </c>
      <c r="E416" t="s">
        <v>22</v>
      </c>
      <c r="F416" s="30">
        <v>45107</v>
      </c>
      <c r="G416" t="s">
        <v>1965</v>
      </c>
      <c r="H416" t="s">
        <v>4519</v>
      </c>
      <c r="I416">
        <v>91</v>
      </c>
      <c r="J416">
        <v>85.400001525878906</v>
      </c>
      <c r="BQ416">
        <v>85.4</v>
      </c>
    </row>
    <row r="417" spans="1:71" x14ac:dyDescent="0.3">
      <c r="A417">
        <v>389</v>
      </c>
      <c r="B417" t="s">
        <v>1964</v>
      </c>
      <c r="C417" t="s">
        <v>1969</v>
      </c>
      <c r="D417" t="s">
        <v>39</v>
      </c>
      <c r="E417" t="s">
        <v>22</v>
      </c>
      <c r="F417" s="30">
        <v>45107</v>
      </c>
      <c r="G417" t="s">
        <v>1965</v>
      </c>
      <c r="H417" t="s">
        <v>4520</v>
      </c>
      <c r="I417">
        <v>91</v>
      </c>
      <c r="J417">
        <v>81.5</v>
      </c>
      <c r="BQ417">
        <v>81.5</v>
      </c>
    </row>
    <row r="418" spans="1:71" x14ac:dyDescent="0.3">
      <c r="A418">
        <v>389</v>
      </c>
      <c r="B418" t="s">
        <v>1964</v>
      </c>
      <c r="C418" t="s">
        <v>1969</v>
      </c>
      <c r="D418" t="s">
        <v>39</v>
      </c>
      <c r="E418" t="s">
        <v>22</v>
      </c>
      <c r="F418" s="30">
        <v>45107</v>
      </c>
      <c r="G418" t="s">
        <v>1965</v>
      </c>
      <c r="H418" t="s">
        <v>4521</v>
      </c>
      <c r="I418">
        <v>91</v>
      </c>
      <c r="J418">
        <v>90.099998474121094</v>
      </c>
      <c r="BQ418">
        <v>90.1</v>
      </c>
    </row>
    <row r="419" spans="1:71" x14ac:dyDescent="0.3">
      <c r="A419">
        <v>389</v>
      </c>
      <c r="B419" t="s">
        <v>1964</v>
      </c>
      <c r="C419" t="s">
        <v>1969</v>
      </c>
      <c r="D419" t="s">
        <v>39</v>
      </c>
      <c r="E419" t="s">
        <v>22</v>
      </c>
      <c r="F419" s="30">
        <v>45107</v>
      </c>
      <c r="G419" t="s">
        <v>1965</v>
      </c>
      <c r="H419" t="s">
        <v>4522</v>
      </c>
      <c r="I419">
        <v>91</v>
      </c>
      <c r="J419">
        <v>80.900001525878906</v>
      </c>
      <c r="BQ419">
        <v>80.900000000000006</v>
      </c>
    </row>
    <row r="420" spans="1:71" x14ac:dyDescent="0.3">
      <c r="A420">
        <v>389</v>
      </c>
      <c r="B420" t="s">
        <v>1964</v>
      </c>
      <c r="C420" t="s">
        <v>1969</v>
      </c>
      <c r="D420" t="s">
        <v>39</v>
      </c>
      <c r="E420" t="s">
        <v>22</v>
      </c>
      <c r="F420" s="30">
        <v>45107</v>
      </c>
      <c r="G420" t="s">
        <v>1965</v>
      </c>
      <c r="H420" t="s">
        <v>4523</v>
      </c>
      <c r="I420">
        <v>91</v>
      </c>
      <c r="J420">
        <v>81</v>
      </c>
      <c r="BQ420">
        <v>81</v>
      </c>
    </row>
    <row r="421" spans="1:71" x14ac:dyDescent="0.3">
      <c r="A421">
        <v>389</v>
      </c>
      <c r="B421" t="s">
        <v>1964</v>
      </c>
      <c r="C421" t="s">
        <v>1969</v>
      </c>
      <c r="D421" t="s">
        <v>39</v>
      </c>
      <c r="E421" t="s">
        <v>22</v>
      </c>
      <c r="F421" s="30">
        <v>45107</v>
      </c>
      <c r="G421" t="s">
        <v>1965</v>
      </c>
      <c r="H421" t="s">
        <v>4524</v>
      </c>
      <c r="I421">
        <v>91</v>
      </c>
      <c r="J421">
        <v>86.699996948242188</v>
      </c>
      <c r="BQ421">
        <v>86.7</v>
      </c>
    </row>
    <row r="422" spans="1:71" x14ac:dyDescent="0.3">
      <c r="A422">
        <v>389</v>
      </c>
      <c r="B422" t="s">
        <v>1964</v>
      </c>
      <c r="C422" t="s">
        <v>1969</v>
      </c>
      <c r="D422" t="s">
        <v>39</v>
      </c>
      <c r="E422" t="s">
        <v>22</v>
      </c>
      <c r="F422" s="30">
        <v>45107</v>
      </c>
      <c r="G422" t="s">
        <v>1965</v>
      </c>
      <c r="H422" t="s">
        <v>4525</v>
      </c>
      <c r="I422">
        <v>91</v>
      </c>
      <c r="J422">
        <v>86.199996948242188</v>
      </c>
      <c r="BQ422">
        <v>86.2</v>
      </c>
    </row>
    <row r="423" spans="1:71" x14ac:dyDescent="0.3">
      <c r="A423">
        <v>408</v>
      </c>
      <c r="B423" t="s">
        <v>2074</v>
      </c>
      <c r="C423" t="s">
        <v>1627</v>
      </c>
      <c r="D423" t="s">
        <v>39</v>
      </c>
      <c r="E423" t="s">
        <v>22</v>
      </c>
      <c r="F423" s="30">
        <v>45107</v>
      </c>
      <c r="G423" t="s">
        <v>2075</v>
      </c>
      <c r="H423" t="s">
        <v>4526</v>
      </c>
      <c r="I423">
        <v>100</v>
      </c>
      <c r="J423">
        <v>0</v>
      </c>
      <c r="BR423">
        <v>0</v>
      </c>
      <c r="BS423">
        <v>0</v>
      </c>
    </row>
    <row r="424" spans="1:71" x14ac:dyDescent="0.3">
      <c r="A424">
        <v>408</v>
      </c>
      <c r="B424" t="s">
        <v>2074</v>
      </c>
      <c r="C424" t="s">
        <v>1627</v>
      </c>
      <c r="D424" t="s">
        <v>39</v>
      </c>
      <c r="E424" t="s">
        <v>22</v>
      </c>
      <c r="F424" s="30">
        <v>45107</v>
      </c>
      <c r="G424" t="s">
        <v>2075</v>
      </c>
      <c r="H424" t="s">
        <v>4527</v>
      </c>
      <c r="I424">
        <v>100</v>
      </c>
      <c r="J424">
        <v>0</v>
      </c>
      <c r="BR424">
        <v>0</v>
      </c>
      <c r="BS424">
        <v>0</v>
      </c>
    </row>
    <row r="425" spans="1:71" x14ac:dyDescent="0.3">
      <c r="A425">
        <v>408</v>
      </c>
      <c r="B425" t="s">
        <v>2074</v>
      </c>
      <c r="C425" t="s">
        <v>1627</v>
      </c>
      <c r="D425" t="s">
        <v>39</v>
      </c>
      <c r="E425" t="s">
        <v>22</v>
      </c>
      <c r="F425" s="30">
        <v>45107</v>
      </c>
      <c r="G425" t="s">
        <v>2075</v>
      </c>
      <c r="H425" t="s">
        <v>4528</v>
      </c>
      <c r="I425">
        <v>100</v>
      </c>
      <c r="J425">
        <v>0</v>
      </c>
      <c r="BR425">
        <v>0</v>
      </c>
      <c r="BS425">
        <v>0</v>
      </c>
    </row>
    <row r="426" spans="1:71" x14ac:dyDescent="0.3">
      <c r="A426">
        <v>408</v>
      </c>
      <c r="B426" t="s">
        <v>2074</v>
      </c>
      <c r="C426" t="s">
        <v>1627</v>
      </c>
      <c r="D426" t="s">
        <v>39</v>
      </c>
      <c r="E426" t="s">
        <v>22</v>
      </c>
      <c r="F426" s="30">
        <v>45107</v>
      </c>
      <c r="G426" t="s">
        <v>2075</v>
      </c>
      <c r="H426" t="s">
        <v>4526</v>
      </c>
      <c r="I426">
        <v>100</v>
      </c>
      <c r="J426">
        <v>0</v>
      </c>
      <c r="BR426">
        <v>0</v>
      </c>
      <c r="BS426">
        <v>0</v>
      </c>
    </row>
    <row r="427" spans="1:71" x14ac:dyDescent="0.3">
      <c r="A427">
        <v>408</v>
      </c>
      <c r="B427" t="s">
        <v>2074</v>
      </c>
      <c r="C427" t="s">
        <v>1627</v>
      </c>
      <c r="D427" t="s">
        <v>39</v>
      </c>
      <c r="E427" t="s">
        <v>22</v>
      </c>
      <c r="F427" s="30">
        <v>45107</v>
      </c>
      <c r="G427" t="s">
        <v>2075</v>
      </c>
      <c r="H427" t="s">
        <v>4527</v>
      </c>
      <c r="I427">
        <v>100</v>
      </c>
      <c r="J427">
        <v>0</v>
      </c>
      <c r="BR427">
        <v>0</v>
      </c>
      <c r="BS427">
        <v>0</v>
      </c>
    </row>
    <row r="428" spans="1:71" x14ac:dyDescent="0.3">
      <c r="A428">
        <v>408</v>
      </c>
      <c r="B428" t="s">
        <v>2074</v>
      </c>
      <c r="C428" t="s">
        <v>1627</v>
      </c>
      <c r="D428" t="s">
        <v>39</v>
      </c>
      <c r="E428" t="s">
        <v>22</v>
      </c>
      <c r="F428" s="30">
        <v>45107</v>
      </c>
      <c r="G428" t="s">
        <v>2075</v>
      </c>
      <c r="H428" t="s">
        <v>4528</v>
      </c>
      <c r="I428">
        <v>100</v>
      </c>
      <c r="J428">
        <v>0</v>
      </c>
      <c r="BR428">
        <v>0</v>
      </c>
      <c r="BS428">
        <v>0</v>
      </c>
    </row>
    <row r="429" spans="1:71" x14ac:dyDescent="0.3">
      <c r="A429">
        <v>408</v>
      </c>
      <c r="B429" t="s">
        <v>2074</v>
      </c>
      <c r="C429" t="s">
        <v>1627</v>
      </c>
      <c r="D429" t="s">
        <v>39</v>
      </c>
      <c r="E429" t="s">
        <v>22</v>
      </c>
      <c r="F429" s="30">
        <v>45107</v>
      </c>
      <c r="G429" t="s">
        <v>2075</v>
      </c>
      <c r="H429" t="s">
        <v>4526</v>
      </c>
      <c r="I429">
        <v>100</v>
      </c>
      <c r="J429">
        <v>0</v>
      </c>
      <c r="BR429">
        <v>0</v>
      </c>
      <c r="BS429">
        <v>0</v>
      </c>
    </row>
    <row r="430" spans="1:71" x14ac:dyDescent="0.3">
      <c r="A430">
        <v>408</v>
      </c>
      <c r="B430" t="s">
        <v>2074</v>
      </c>
      <c r="C430" t="s">
        <v>1627</v>
      </c>
      <c r="D430" t="s">
        <v>39</v>
      </c>
      <c r="E430" t="s">
        <v>22</v>
      </c>
      <c r="F430" s="30">
        <v>45107</v>
      </c>
      <c r="G430" t="s">
        <v>2075</v>
      </c>
      <c r="H430" t="s">
        <v>4527</v>
      </c>
      <c r="I430">
        <v>100</v>
      </c>
      <c r="J430">
        <v>0</v>
      </c>
      <c r="BR430">
        <v>0</v>
      </c>
      <c r="BS430">
        <v>0</v>
      </c>
    </row>
    <row r="431" spans="1:71" x14ac:dyDescent="0.3">
      <c r="A431">
        <v>408</v>
      </c>
      <c r="B431" t="s">
        <v>2074</v>
      </c>
      <c r="C431" t="s">
        <v>1627</v>
      </c>
      <c r="D431" t="s">
        <v>39</v>
      </c>
      <c r="E431" t="s">
        <v>22</v>
      </c>
      <c r="F431" s="30">
        <v>45107</v>
      </c>
      <c r="G431" t="s">
        <v>2075</v>
      </c>
      <c r="H431" t="s">
        <v>4528</v>
      </c>
      <c r="I431">
        <v>100</v>
      </c>
      <c r="J431">
        <v>0</v>
      </c>
      <c r="BR431">
        <v>0</v>
      </c>
      <c r="BS431">
        <v>0</v>
      </c>
    </row>
    <row r="432" spans="1:71" x14ac:dyDescent="0.3">
      <c r="A432">
        <v>408</v>
      </c>
      <c r="B432" t="s">
        <v>2074</v>
      </c>
      <c r="C432" t="s">
        <v>1627</v>
      </c>
      <c r="D432" t="s">
        <v>39</v>
      </c>
      <c r="E432" t="s">
        <v>22</v>
      </c>
      <c r="F432" s="30">
        <v>45107</v>
      </c>
      <c r="G432" t="s">
        <v>2075</v>
      </c>
      <c r="H432" t="s">
        <v>4526</v>
      </c>
      <c r="I432">
        <v>100</v>
      </c>
      <c r="J432">
        <v>0</v>
      </c>
      <c r="BR432">
        <v>0</v>
      </c>
      <c r="BS432">
        <v>0</v>
      </c>
    </row>
    <row r="433" spans="1:71" x14ac:dyDescent="0.3">
      <c r="A433">
        <v>408</v>
      </c>
      <c r="B433" t="s">
        <v>2074</v>
      </c>
      <c r="C433" t="s">
        <v>1627</v>
      </c>
      <c r="D433" t="s">
        <v>39</v>
      </c>
      <c r="E433" t="s">
        <v>22</v>
      </c>
      <c r="F433" s="30">
        <v>45107</v>
      </c>
      <c r="G433" t="s">
        <v>2075</v>
      </c>
      <c r="H433" t="s">
        <v>4527</v>
      </c>
      <c r="I433">
        <v>100</v>
      </c>
      <c r="J433">
        <v>0</v>
      </c>
      <c r="BR433">
        <v>0</v>
      </c>
      <c r="BS433">
        <v>0</v>
      </c>
    </row>
    <row r="434" spans="1:71" x14ac:dyDescent="0.3">
      <c r="A434">
        <v>408</v>
      </c>
      <c r="B434" t="s">
        <v>2074</v>
      </c>
      <c r="C434" t="s">
        <v>1627</v>
      </c>
      <c r="D434" t="s">
        <v>39</v>
      </c>
      <c r="E434" t="s">
        <v>22</v>
      </c>
      <c r="F434" s="30">
        <v>45107</v>
      </c>
      <c r="G434" t="s">
        <v>2075</v>
      </c>
      <c r="H434" t="s">
        <v>4528</v>
      </c>
      <c r="I434">
        <v>100</v>
      </c>
      <c r="J434">
        <v>0</v>
      </c>
      <c r="BR434">
        <v>0</v>
      </c>
      <c r="BS434">
        <v>0</v>
      </c>
    </row>
    <row r="435" spans="1:71" x14ac:dyDescent="0.3">
      <c r="A435">
        <v>408</v>
      </c>
      <c r="B435" t="s">
        <v>2074</v>
      </c>
      <c r="C435" t="s">
        <v>1627</v>
      </c>
      <c r="D435" t="s">
        <v>39</v>
      </c>
      <c r="E435" t="s">
        <v>22</v>
      </c>
      <c r="F435" s="30">
        <v>45107</v>
      </c>
      <c r="G435" t="s">
        <v>2075</v>
      </c>
      <c r="H435" t="s">
        <v>4526</v>
      </c>
      <c r="I435">
        <v>100</v>
      </c>
      <c r="J435">
        <v>0</v>
      </c>
      <c r="BR435">
        <v>0</v>
      </c>
      <c r="BS435">
        <v>0</v>
      </c>
    </row>
    <row r="436" spans="1:71" x14ac:dyDescent="0.3">
      <c r="A436">
        <v>408</v>
      </c>
      <c r="B436" t="s">
        <v>2074</v>
      </c>
      <c r="C436" t="s">
        <v>1627</v>
      </c>
      <c r="D436" t="s">
        <v>39</v>
      </c>
      <c r="E436" t="s">
        <v>22</v>
      </c>
      <c r="F436" s="30">
        <v>45107</v>
      </c>
      <c r="G436" t="s">
        <v>2075</v>
      </c>
      <c r="H436" t="s">
        <v>4527</v>
      </c>
      <c r="I436">
        <v>100</v>
      </c>
      <c r="J436">
        <v>0</v>
      </c>
      <c r="BR436">
        <v>0</v>
      </c>
      <c r="BS436">
        <v>0</v>
      </c>
    </row>
    <row r="437" spans="1:71" x14ac:dyDescent="0.3">
      <c r="A437">
        <v>408</v>
      </c>
      <c r="B437" t="s">
        <v>2074</v>
      </c>
      <c r="C437" t="s">
        <v>1627</v>
      </c>
      <c r="D437" t="s">
        <v>39</v>
      </c>
      <c r="E437" t="s">
        <v>22</v>
      </c>
      <c r="F437" s="30">
        <v>45107</v>
      </c>
      <c r="G437" t="s">
        <v>2075</v>
      </c>
      <c r="H437" t="s">
        <v>4528</v>
      </c>
      <c r="I437">
        <v>100</v>
      </c>
      <c r="J437">
        <v>0</v>
      </c>
      <c r="BR437">
        <v>0</v>
      </c>
      <c r="BS437">
        <v>0</v>
      </c>
    </row>
    <row r="438" spans="1:71" x14ac:dyDescent="0.3">
      <c r="A438">
        <v>408</v>
      </c>
      <c r="B438" t="s">
        <v>2074</v>
      </c>
      <c r="C438" t="s">
        <v>1627</v>
      </c>
      <c r="D438" t="s">
        <v>39</v>
      </c>
      <c r="E438" t="s">
        <v>22</v>
      </c>
      <c r="F438" s="30">
        <v>45107</v>
      </c>
      <c r="G438" t="s">
        <v>2075</v>
      </c>
      <c r="H438" t="s">
        <v>4526</v>
      </c>
      <c r="I438">
        <v>100</v>
      </c>
      <c r="J438">
        <v>0</v>
      </c>
      <c r="BR438">
        <v>0</v>
      </c>
      <c r="BS438">
        <v>0</v>
      </c>
    </row>
    <row r="439" spans="1:71" x14ac:dyDescent="0.3">
      <c r="A439">
        <v>408</v>
      </c>
      <c r="B439" t="s">
        <v>2074</v>
      </c>
      <c r="C439" t="s">
        <v>1627</v>
      </c>
      <c r="D439" t="s">
        <v>39</v>
      </c>
      <c r="E439" t="s">
        <v>22</v>
      </c>
      <c r="F439" s="30">
        <v>45107</v>
      </c>
      <c r="G439" t="s">
        <v>2075</v>
      </c>
      <c r="H439" t="s">
        <v>4527</v>
      </c>
      <c r="I439">
        <v>100</v>
      </c>
      <c r="J439">
        <v>0</v>
      </c>
      <c r="BR439">
        <v>0</v>
      </c>
      <c r="BS439">
        <v>0</v>
      </c>
    </row>
    <row r="440" spans="1:71" x14ac:dyDescent="0.3">
      <c r="A440">
        <v>408</v>
      </c>
      <c r="B440" t="s">
        <v>2074</v>
      </c>
      <c r="C440" t="s">
        <v>1627</v>
      </c>
      <c r="D440" t="s">
        <v>39</v>
      </c>
      <c r="E440" t="s">
        <v>22</v>
      </c>
      <c r="F440" s="30">
        <v>45107</v>
      </c>
      <c r="G440" t="s">
        <v>2075</v>
      </c>
      <c r="H440" t="s">
        <v>4528</v>
      </c>
      <c r="I440">
        <v>100</v>
      </c>
      <c r="J440">
        <v>0</v>
      </c>
      <c r="BR440">
        <v>0</v>
      </c>
      <c r="BS440">
        <v>0</v>
      </c>
    </row>
    <row r="441" spans="1:71" x14ac:dyDescent="0.3">
      <c r="A441">
        <v>408</v>
      </c>
      <c r="B441" t="s">
        <v>2074</v>
      </c>
      <c r="C441" t="s">
        <v>1627</v>
      </c>
      <c r="D441" t="s">
        <v>39</v>
      </c>
      <c r="E441" t="s">
        <v>22</v>
      </c>
      <c r="F441" s="30">
        <v>45107</v>
      </c>
      <c r="G441" t="s">
        <v>2075</v>
      </c>
      <c r="H441" t="s">
        <v>4526</v>
      </c>
      <c r="I441">
        <v>100</v>
      </c>
      <c r="J441">
        <v>0</v>
      </c>
      <c r="BR441">
        <v>0</v>
      </c>
      <c r="BS441">
        <v>0</v>
      </c>
    </row>
    <row r="442" spans="1:71" x14ac:dyDescent="0.3">
      <c r="A442">
        <v>408</v>
      </c>
      <c r="B442" t="s">
        <v>2074</v>
      </c>
      <c r="C442" t="s">
        <v>1627</v>
      </c>
      <c r="D442" t="s">
        <v>39</v>
      </c>
      <c r="E442" t="s">
        <v>22</v>
      </c>
      <c r="F442" s="30">
        <v>45107</v>
      </c>
      <c r="G442" t="s">
        <v>2075</v>
      </c>
      <c r="H442" t="s">
        <v>4527</v>
      </c>
      <c r="I442">
        <v>100</v>
      </c>
      <c r="J442">
        <v>0</v>
      </c>
      <c r="BR442">
        <v>0</v>
      </c>
      <c r="BS442">
        <v>0</v>
      </c>
    </row>
    <row r="443" spans="1:71" x14ac:dyDescent="0.3">
      <c r="A443">
        <v>408</v>
      </c>
      <c r="B443" t="s">
        <v>2074</v>
      </c>
      <c r="C443" t="s">
        <v>1627</v>
      </c>
      <c r="D443" t="s">
        <v>39</v>
      </c>
      <c r="E443" t="s">
        <v>22</v>
      </c>
      <c r="F443" s="30">
        <v>45107</v>
      </c>
      <c r="G443" t="s">
        <v>2075</v>
      </c>
      <c r="H443" t="s">
        <v>4528</v>
      </c>
      <c r="I443">
        <v>100</v>
      </c>
      <c r="J443">
        <v>0</v>
      </c>
      <c r="BR443">
        <v>0</v>
      </c>
      <c r="BS443">
        <v>0</v>
      </c>
    </row>
    <row r="444" spans="1:71" x14ac:dyDescent="0.3">
      <c r="A444">
        <v>408</v>
      </c>
      <c r="B444" t="s">
        <v>2074</v>
      </c>
      <c r="C444" t="s">
        <v>1627</v>
      </c>
      <c r="D444" t="s">
        <v>39</v>
      </c>
      <c r="E444" t="s">
        <v>22</v>
      </c>
      <c r="F444" s="30">
        <v>45107</v>
      </c>
      <c r="G444" t="s">
        <v>2075</v>
      </c>
      <c r="H444" t="s">
        <v>4526</v>
      </c>
      <c r="I444">
        <v>100</v>
      </c>
      <c r="J444">
        <v>0</v>
      </c>
      <c r="BR444">
        <v>0</v>
      </c>
      <c r="BS444">
        <v>0</v>
      </c>
    </row>
    <row r="445" spans="1:71" x14ac:dyDescent="0.3">
      <c r="A445">
        <v>408</v>
      </c>
      <c r="B445" t="s">
        <v>2074</v>
      </c>
      <c r="C445" t="s">
        <v>1627</v>
      </c>
      <c r="D445" t="s">
        <v>39</v>
      </c>
      <c r="E445" t="s">
        <v>22</v>
      </c>
      <c r="F445" s="30">
        <v>45107</v>
      </c>
      <c r="G445" t="s">
        <v>2075</v>
      </c>
      <c r="H445" t="s">
        <v>4527</v>
      </c>
      <c r="I445">
        <v>100</v>
      </c>
      <c r="J445">
        <v>0</v>
      </c>
      <c r="BR445">
        <v>0</v>
      </c>
      <c r="BS445">
        <v>0</v>
      </c>
    </row>
    <row r="446" spans="1:71" x14ac:dyDescent="0.3">
      <c r="A446">
        <v>408</v>
      </c>
      <c r="B446" t="s">
        <v>2074</v>
      </c>
      <c r="C446" t="s">
        <v>1627</v>
      </c>
      <c r="D446" t="s">
        <v>39</v>
      </c>
      <c r="E446" t="s">
        <v>22</v>
      </c>
      <c r="F446" s="30">
        <v>45107</v>
      </c>
      <c r="G446" t="s">
        <v>2075</v>
      </c>
      <c r="H446" t="s">
        <v>4528</v>
      </c>
      <c r="I446">
        <v>100</v>
      </c>
      <c r="J446">
        <v>0</v>
      </c>
      <c r="BR446">
        <v>0</v>
      </c>
      <c r="BS446">
        <v>0</v>
      </c>
    </row>
    <row r="447" spans="1:71" x14ac:dyDescent="0.3">
      <c r="A447">
        <v>408</v>
      </c>
      <c r="B447" t="s">
        <v>2074</v>
      </c>
      <c r="C447" t="s">
        <v>1627</v>
      </c>
      <c r="D447" t="s">
        <v>39</v>
      </c>
      <c r="E447" t="s">
        <v>22</v>
      </c>
      <c r="F447" s="30">
        <v>45107</v>
      </c>
      <c r="G447" t="s">
        <v>2075</v>
      </c>
      <c r="H447" t="s">
        <v>4526</v>
      </c>
      <c r="I447">
        <v>100</v>
      </c>
      <c r="J447">
        <v>0</v>
      </c>
      <c r="BR447">
        <v>0</v>
      </c>
      <c r="BS447">
        <v>0</v>
      </c>
    </row>
    <row r="448" spans="1:71" x14ac:dyDescent="0.3">
      <c r="A448">
        <v>408</v>
      </c>
      <c r="B448" t="s">
        <v>2074</v>
      </c>
      <c r="C448" t="s">
        <v>1627</v>
      </c>
      <c r="D448" t="s">
        <v>39</v>
      </c>
      <c r="E448" t="s">
        <v>22</v>
      </c>
      <c r="F448" s="30">
        <v>45107</v>
      </c>
      <c r="G448" t="s">
        <v>2075</v>
      </c>
      <c r="H448" t="s">
        <v>4527</v>
      </c>
      <c r="I448">
        <v>100</v>
      </c>
      <c r="J448">
        <v>0</v>
      </c>
      <c r="BR448">
        <v>0</v>
      </c>
      <c r="BS448">
        <v>0</v>
      </c>
    </row>
    <row r="449" spans="1:71" x14ac:dyDescent="0.3">
      <c r="A449">
        <v>408</v>
      </c>
      <c r="B449" t="s">
        <v>2074</v>
      </c>
      <c r="C449" t="s">
        <v>1627</v>
      </c>
      <c r="D449" t="s">
        <v>39</v>
      </c>
      <c r="E449" t="s">
        <v>22</v>
      </c>
      <c r="F449" s="30">
        <v>45107</v>
      </c>
      <c r="G449" t="s">
        <v>2075</v>
      </c>
      <c r="H449" t="s">
        <v>4528</v>
      </c>
      <c r="I449">
        <v>100</v>
      </c>
      <c r="J449">
        <v>0</v>
      </c>
      <c r="BR449">
        <v>0</v>
      </c>
      <c r="BS449">
        <v>0</v>
      </c>
    </row>
    <row r="450" spans="1:71" x14ac:dyDescent="0.3">
      <c r="A450">
        <v>408</v>
      </c>
      <c r="B450" t="s">
        <v>2074</v>
      </c>
      <c r="C450" t="s">
        <v>1627</v>
      </c>
      <c r="D450" t="s">
        <v>39</v>
      </c>
      <c r="E450" t="s">
        <v>22</v>
      </c>
      <c r="F450" s="30">
        <v>45107</v>
      </c>
      <c r="G450" t="s">
        <v>2075</v>
      </c>
      <c r="H450" t="s">
        <v>4526</v>
      </c>
      <c r="I450">
        <v>100</v>
      </c>
      <c r="J450">
        <v>0</v>
      </c>
      <c r="BR450">
        <v>0</v>
      </c>
      <c r="BS450">
        <v>0</v>
      </c>
    </row>
    <row r="451" spans="1:71" x14ac:dyDescent="0.3">
      <c r="A451">
        <v>408</v>
      </c>
      <c r="B451" t="s">
        <v>2074</v>
      </c>
      <c r="C451" t="s">
        <v>1627</v>
      </c>
      <c r="D451" t="s">
        <v>39</v>
      </c>
      <c r="E451" t="s">
        <v>22</v>
      </c>
      <c r="F451" s="30">
        <v>45107</v>
      </c>
      <c r="G451" t="s">
        <v>2075</v>
      </c>
      <c r="H451" t="s">
        <v>4527</v>
      </c>
      <c r="I451">
        <v>100</v>
      </c>
      <c r="J451">
        <v>0</v>
      </c>
      <c r="BR451">
        <v>0</v>
      </c>
      <c r="BS451">
        <v>0</v>
      </c>
    </row>
    <row r="452" spans="1:71" x14ac:dyDescent="0.3">
      <c r="A452">
        <v>408</v>
      </c>
      <c r="B452" t="s">
        <v>2074</v>
      </c>
      <c r="C452" t="s">
        <v>1627</v>
      </c>
      <c r="D452" t="s">
        <v>39</v>
      </c>
      <c r="E452" t="s">
        <v>22</v>
      </c>
      <c r="F452" s="30">
        <v>45107</v>
      </c>
      <c r="G452" t="s">
        <v>2075</v>
      </c>
      <c r="H452" t="s">
        <v>4528</v>
      </c>
      <c r="I452">
        <v>100</v>
      </c>
      <c r="J452">
        <v>0</v>
      </c>
      <c r="BR452">
        <v>0</v>
      </c>
      <c r="BS452">
        <v>0</v>
      </c>
    </row>
    <row r="453" spans="1:71" x14ac:dyDescent="0.3">
      <c r="A453">
        <v>408</v>
      </c>
      <c r="B453" t="s">
        <v>2074</v>
      </c>
      <c r="C453" t="s">
        <v>1627</v>
      </c>
      <c r="D453" t="s">
        <v>39</v>
      </c>
      <c r="E453" t="s">
        <v>22</v>
      </c>
      <c r="F453" s="30">
        <v>45107</v>
      </c>
      <c r="G453" t="s">
        <v>2075</v>
      </c>
      <c r="H453" t="s">
        <v>4526</v>
      </c>
      <c r="I453">
        <v>100</v>
      </c>
      <c r="J453">
        <v>0</v>
      </c>
      <c r="BR453">
        <v>0</v>
      </c>
      <c r="BS453">
        <v>0</v>
      </c>
    </row>
    <row r="454" spans="1:71" x14ac:dyDescent="0.3">
      <c r="A454">
        <v>408</v>
      </c>
      <c r="B454" t="s">
        <v>2074</v>
      </c>
      <c r="C454" t="s">
        <v>1627</v>
      </c>
      <c r="D454" t="s">
        <v>39</v>
      </c>
      <c r="E454" t="s">
        <v>22</v>
      </c>
      <c r="F454" s="30">
        <v>45107</v>
      </c>
      <c r="G454" t="s">
        <v>2075</v>
      </c>
      <c r="H454" t="s">
        <v>4527</v>
      </c>
      <c r="I454">
        <v>100</v>
      </c>
      <c r="J454">
        <v>0</v>
      </c>
      <c r="BR454">
        <v>0</v>
      </c>
      <c r="BS454">
        <v>0</v>
      </c>
    </row>
    <row r="455" spans="1:71" x14ac:dyDescent="0.3">
      <c r="A455">
        <v>408</v>
      </c>
      <c r="B455" t="s">
        <v>2074</v>
      </c>
      <c r="C455" t="s">
        <v>1627</v>
      </c>
      <c r="D455" t="s">
        <v>39</v>
      </c>
      <c r="E455" t="s">
        <v>22</v>
      </c>
      <c r="F455" s="30">
        <v>45107</v>
      </c>
      <c r="G455" t="s">
        <v>2075</v>
      </c>
      <c r="H455" t="s">
        <v>4528</v>
      </c>
      <c r="I455">
        <v>100</v>
      </c>
      <c r="J455">
        <v>0</v>
      </c>
      <c r="BR455">
        <v>0</v>
      </c>
      <c r="BS455">
        <v>0</v>
      </c>
    </row>
    <row r="456" spans="1:71" x14ac:dyDescent="0.3">
      <c r="A456">
        <v>408</v>
      </c>
      <c r="B456" t="s">
        <v>2074</v>
      </c>
      <c r="C456" t="s">
        <v>1627</v>
      </c>
      <c r="D456" t="s">
        <v>39</v>
      </c>
      <c r="E456" t="s">
        <v>22</v>
      </c>
      <c r="F456" s="30">
        <v>45107</v>
      </c>
      <c r="G456" t="s">
        <v>2075</v>
      </c>
      <c r="H456" t="s">
        <v>4526</v>
      </c>
      <c r="I456">
        <v>100</v>
      </c>
      <c r="J456">
        <v>0</v>
      </c>
      <c r="BR456">
        <v>0</v>
      </c>
      <c r="BS456">
        <v>0</v>
      </c>
    </row>
    <row r="457" spans="1:71" x14ac:dyDescent="0.3">
      <c r="A457">
        <v>408</v>
      </c>
      <c r="B457" t="s">
        <v>2074</v>
      </c>
      <c r="C457" t="s">
        <v>1627</v>
      </c>
      <c r="D457" t="s">
        <v>39</v>
      </c>
      <c r="E457" t="s">
        <v>22</v>
      </c>
      <c r="F457" s="30">
        <v>45107</v>
      </c>
      <c r="G457" t="s">
        <v>2075</v>
      </c>
      <c r="H457" t="s">
        <v>4527</v>
      </c>
      <c r="I457">
        <v>100</v>
      </c>
      <c r="J457">
        <v>0</v>
      </c>
      <c r="BR457">
        <v>0</v>
      </c>
      <c r="BS457">
        <v>0</v>
      </c>
    </row>
    <row r="458" spans="1:71" x14ac:dyDescent="0.3">
      <c r="A458">
        <v>408</v>
      </c>
      <c r="B458" t="s">
        <v>2074</v>
      </c>
      <c r="C458" t="s">
        <v>1627</v>
      </c>
      <c r="D458" t="s">
        <v>39</v>
      </c>
      <c r="E458" t="s">
        <v>22</v>
      </c>
      <c r="F458" s="30">
        <v>45107</v>
      </c>
      <c r="G458" t="s">
        <v>2075</v>
      </c>
      <c r="H458" t="s">
        <v>4528</v>
      </c>
      <c r="I458">
        <v>100</v>
      </c>
      <c r="J458">
        <v>0</v>
      </c>
      <c r="BR458">
        <v>0</v>
      </c>
      <c r="BS458">
        <v>0</v>
      </c>
    </row>
    <row r="459" spans="1:71" x14ac:dyDescent="0.3">
      <c r="A459">
        <v>408</v>
      </c>
      <c r="B459" t="s">
        <v>2074</v>
      </c>
      <c r="C459" t="s">
        <v>1627</v>
      </c>
      <c r="D459" t="s">
        <v>39</v>
      </c>
      <c r="E459" t="s">
        <v>22</v>
      </c>
      <c r="F459" s="30">
        <v>45107</v>
      </c>
      <c r="G459" t="s">
        <v>2075</v>
      </c>
      <c r="H459" t="s">
        <v>4526</v>
      </c>
      <c r="I459">
        <v>100</v>
      </c>
      <c r="J459">
        <v>0</v>
      </c>
      <c r="BR459">
        <v>0</v>
      </c>
      <c r="BS459">
        <v>0</v>
      </c>
    </row>
    <row r="460" spans="1:71" x14ac:dyDescent="0.3">
      <c r="A460">
        <v>408</v>
      </c>
      <c r="B460" t="s">
        <v>2074</v>
      </c>
      <c r="C460" t="s">
        <v>1627</v>
      </c>
      <c r="D460" t="s">
        <v>39</v>
      </c>
      <c r="E460" t="s">
        <v>22</v>
      </c>
      <c r="F460" s="30">
        <v>45107</v>
      </c>
      <c r="G460" t="s">
        <v>2075</v>
      </c>
      <c r="H460" t="s">
        <v>4527</v>
      </c>
      <c r="I460">
        <v>100</v>
      </c>
      <c r="J460">
        <v>0</v>
      </c>
      <c r="BR460">
        <v>0</v>
      </c>
      <c r="BS460">
        <v>0</v>
      </c>
    </row>
    <row r="461" spans="1:71" x14ac:dyDescent="0.3">
      <c r="A461">
        <v>408</v>
      </c>
      <c r="B461" t="s">
        <v>2074</v>
      </c>
      <c r="C461" t="s">
        <v>1627</v>
      </c>
      <c r="D461" t="s">
        <v>39</v>
      </c>
      <c r="E461" t="s">
        <v>22</v>
      </c>
      <c r="F461" s="30">
        <v>45107</v>
      </c>
      <c r="G461" t="s">
        <v>2075</v>
      </c>
      <c r="H461" t="s">
        <v>4528</v>
      </c>
      <c r="I461">
        <v>100</v>
      </c>
      <c r="J461">
        <v>0</v>
      </c>
      <c r="BR461">
        <v>0</v>
      </c>
      <c r="BS461">
        <v>0</v>
      </c>
    </row>
    <row r="462" spans="1:71" x14ac:dyDescent="0.3">
      <c r="A462">
        <v>408</v>
      </c>
      <c r="B462" t="s">
        <v>2074</v>
      </c>
      <c r="C462" t="s">
        <v>1627</v>
      </c>
      <c r="D462" t="s">
        <v>39</v>
      </c>
      <c r="E462" t="s">
        <v>22</v>
      </c>
      <c r="F462" s="30">
        <v>45107</v>
      </c>
      <c r="G462" t="s">
        <v>2075</v>
      </c>
      <c r="H462" t="s">
        <v>4526</v>
      </c>
      <c r="I462">
        <v>100</v>
      </c>
      <c r="J462">
        <v>0</v>
      </c>
      <c r="BR462">
        <v>0</v>
      </c>
      <c r="BS462">
        <v>0</v>
      </c>
    </row>
    <row r="463" spans="1:71" x14ac:dyDescent="0.3">
      <c r="A463">
        <v>408</v>
      </c>
      <c r="B463" t="s">
        <v>2074</v>
      </c>
      <c r="C463" t="s">
        <v>1627</v>
      </c>
      <c r="D463" t="s">
        <v>39</v>
      </c>
      <c r="E463" t="s">
        <v>22</v>
      </c>
      <c r="F463" s="30">
        <v>45107</v>
      </c>
      <c r="G463" t="s">
        <v>2075</v>
      </c>
      <c r="H463" t="s">
        <v>4527</v>
      </c>
      <c r="I463">
        <v>100</v>
      </c>
      <c r="J463">
        <v>0</v>
      </c>
      <c r="BR463">
        <v>0</v>
      </c>
      <c r="BS463">
        <v>0</v>
      </c>
    </row>
    <row r="464" spans="1:71" x14ac:dyDescent="0.3">
      <c r="A464">
        <v>408</v>
      </c>
      <c r="B464" t="s">
        <v>2074</v>
      </c>
      <c r="C464" t="s">
        <v>1627</v>
      </c>
      <c r="D464" t="s">
        <v>39</v>
      </c>
      <c r="E464" t="s">
        <v>22</v>
      </c>
      <c r="F464" s="30">
        <v>45107</v>
      </c>
      <c r="G464" t="s">
        <v>2075</v>
      </c>
      <c r="H464" t="s">
        <v>4528</v>
      </c>
      <c r="I464">
        <v>100</v>
      </c>
      <c r="J464">
        <v>0</v>
      </c>
      <c r="BR464">
        <v>0</v>
      </c>
      <c r="BS464">
        <v>0</v>
      </c>
    </row>
    <row r="465" spans="1:71" x14ac:dyDescent="0.3">
      <c r="A465">
        <v>408</v>
      </c>
      <c r="B465" t="s">
        <v>2074</v>
      </c>
      <c r="C465" t="s">
        <v>1627</v>
      </c>
      <c r="D465" t="s">
        <v>39</v>
      </c>
      <c r="E465" t="s">
        <v>22</v>
      </c>
      <c r="F465" s="30">
        <v>45107</v>
      </c>
      <c r="G465" t="s">
        <v>2075</v>
      </c>
      <c r="H465" t="s">
        <v>4526</v>
      </c>
      <c r="I465">
        <v>100</v>
      </c>
      <c r="J465">
        <v>0</v>
      </c>
      <c r="BR465">
        <v>0</v>
      </c>
      <c r="BS465">
        <v>0</v>
      </c>
    </row>
    <row r="466" spans="1:71" x14ac:dyDescent="0.3">
      <c r="A466">
        <v>408</v>
      </c>
      <c r="B466" t="s">
        <v>2074</v>
      </c>
      <c r="C466" t="s">
        <v>1627</v>
      </c>
      <c r="D466" t="s">
        <v>39</v>
      </c>
      <c r="E466" t="s">
        <v>22</v>
      </c>
      <c r="F466" s="30">
        <v>45107</v>
      </c>
      <c r="G466" t="s">
        <v>2075</v>
      </c>
      <c r="H466" t="s">
        <v>4527</v>
      </c>
      <c r="I466">
        <v>100</v>
      </c>
      <c r="J466">
        <v>0</v>
      </c>
      <c r="BR466">
        <v>0</v>
      </c>
      <c r="BS466">
        <v>0</v>
      </c>
    </row>
    <row r="467" spans="1:71" x14ac:dyDescent="0.3">
      <c r="A467">
        <v>408</v>
      </c>
      <c r="B467" t="s">
        <v>2074</v>
      </c>
      <c r="C467" t="s">
        <v>1627</v>
      </c>
      <c r="D467" t="s">
        <v>39</v>
      </c>
      <c r="E467" t="s">
        <v>22</v>
      </c>
      <c r="F467" s="30">
        <v>45107</v>
      </c>
      <c r="G467" t="s">
        <v>2075</v>
      </c>
      <c r="H467" t="s">
        <v>4528</v>
      </c>
      <c r="I467">
        <v>100</v>
      </c>
      <c r="J467">
        <v>0</v>
      </c>
      <c r="BR467">
        <v>0</v>
      </c>
      <c r="BS467">
        <v>0</v>
      </c>
    </row>
    <row r="468" spans="1:71" x14ac:dyDescent="0.3">
      <c r="A468">
        <v>408</v>
      </c>
      <c r="B468" t="s">
        <v>2074</v>
      </c>
      <c r="C468" t="s">
        <v>1627</v>
      </c>
      <c r="D468" t="s">
        <v>39</v>
      </c>
      <c r="E468" t="s">
        <v>22</v>
      </c>
      <c r="F468" s="30">
        <v>45107</v>
      </c>
      <c r="G468" t="s">
        <v>2075</v>
      </c>
      <c r="H468" t="s">
        <v>4526</v>
      </c>
      <c r="I468">
        <v>100</v>
      </c>
      <c r="J468">
        <v>0</v>
      </c>
      <c r="BR468">
        <v>0</v>
      </c>
      <c r="BS468">
        <v>0</v>
      </c>
    </row>
    <row r="469" spans="1:71" x14ac:dyDescent="0.3">
      <c r="A469">
        <v>408</v>
      </c>
      <c r="B469" t="s">
        <v>2074</v>
      </c>
      <c r="C469" t="s">
        <v>1627</v>
      </c>
      <c r="D469" t="s">
        <v>39</v>
      </c>
      <c r="E469" t="s">
        <v>22</v>
      </c>
      <c r="F469" s="30">
        <v>45107</v>
      </c>
      <c r="G469" t="s">
        <v>2075</v>
      </c>
      <c r="H469" t="s">
        <v>4527</v>
      </c>
      <c r="I469">
        <v>100</v>
      </c>
      <c r="J469">
        <v>0</v>
      </c>
      <c r="BR469">
        <v>0</v>
      </c>
      <c r="BS469">
        <v>0</v>
      </c>
    </row>
    <row r="470" spans="1:71" x14ac:dyDescent="0.3">
      <c r="A470">
        <v>408</v>
      </c>
      <c r="B470" t="s">
        <v>2074</v>
      </c>
      <c r="C470" t="s">
        <v>1627</v>
      </c>
      <c r="D470" t="s">
        <v>39</v>
      </c>
      <c r="E470" t="s">
        <v>22</v>
      </c>
      <c r="F470" s="30">
        <v>45107</v>
      </c>
      <c r="G470" t="s">
        <v>2075</v>
      </c>
      <c r="H470" t="s">
        <v>4528</v>
      </c>
      <c r="I470">
        <v>100</v>
      </c>
      <c r="J470">
        <v>0</v>
      </c>
      <c r="BR470">
        <v>0</v>
      </c>
      <c r="BS470">
        <v>0</v>
      </c>
    </row>
    <row r="471" spans="1:71" x14ac:dyDescent="0.3">
      <c r="A471">
        <v>408</v>
      </c>
      <c r="B471" t="s">
        <v>2074</v>
      </c>
      <c r="C471" t="s">
        <v>1627</v>
      </c>
      <c r="D471" t="s">
        <v>39</v>
      </c>
      <c r="E471" t="s">
        <v>22</v>
      </c>
      <c r="F471" s="30">
        <v>45107</v>
      </c>
      <c r="G471" t="s">
        <v>2075</v>
      </c>
      <c r="H471" t="s">
        <v>4526</v>
      </c>
      <c r="I471">
        <v>100</v>
      </c>
      <c r="J471">
        <v>0</v>
      </c>
      <c r="BR471">
        <v>0</v>
      </c>
      <c r="BS471">
        <v>0</v>
      </c>
    </row>
    <row r="472" spans="1:71" x14ac:dyDescent="0.3">
      <c r="A472">
        <v>408</v>
      </c>
      <c r="B472" t="s">
        <v>2074</v>
      </c>
      <c r="C472" t="s">
        <v>1627</v>
      </c>
      <c r="D472" t="s">
        <v>39</v>
      </c>
      <c r="E472" t="s">
        <v>22</v>
      </c>
      <c r="F472" s="30">
        <v>45107</v>
      </c>
      <c r="G472" t="s">
        <v>2075</v>
      </c>
      <c r="H472" t="s">
        <v>4527</v>
      </c>
      <c r="I472">
        <v>100</v>
      </c>
      <c r="J472">
        <v>0</v>
      </c>
      <c r="BR472">
        <v>0</v>
      </c>
      <c r="BS472">
        <v>0</v>
      </c>
    </row>
    <row r="473" spans="1:71" x14ac:dyDescent="0.3">
      <c r="A473">
        <v>408</v>
      </c>
      <c r="B473" t="s">
        <v>2074</v>
      </c>
      <c r="C473" t="s">
        <v>1627</v>
      </c>
      <c r="D473" t="s">
        <v>39</v>
      </c>
      <c r="E473" t="s">
        <v>22</v>
      </c>
      <c r="F473" s="30">
        <v>45107</v>
      </c>
      <c r="G473" t="s">
        <v>2075</v>
      </c>
      <c r="H473" t="s">
        <v>4528</v>
      </c>
      <c r="I473">
        <v>100</v>
      </c>
      <c r="J473">
        <v>0</v>
      </c>
      <c r="BR473">
        <v>0</v>
      </c>
      <c r="BS473">
        <v>0</v>
      </c>
    </row>
    <row r="474" spans="1:71" x14ac:dyDescent="0.3">
      <c r="A474">
        <v>408</v>
      </c>
      <c r="B474" t="s">
        <v>2074</v>
      </c>
      <c r="C474" t="s">
        <v>1627</v>
      </c>
      <c r="D474" t="s">
        <v>39</v>
      </c>
      <c r="E474" t="s">
        <v>22</v>
      </c>
      <c r="F474" s="30">
        <v>45107</v>
      </c>
      <c r="G474" t="s">
        <v>2075</v>
      </c>
      <c r="H474" t="s">
        <v>4526</v>
      </c>
      <c r="I474">
        <v>100</v>
      </c>
      <c r="J474">
        <v>0</v>
      </c>
      <c r="BR474">
        <v>0</v>
      </c>
      <c r="BS474">
        <v>0</v>
      </c>
    </row>
    <row r="475" spans="1:71" x14ac:dyDescent="0.3">
      <c r="A475">
        <v>408</v>
      </c>
      <c r="B475" t="s">
        <v>2074</v>
      </c>
      <c r="C475" t="s">
        <v>1627</v>
      </c>
      <c r="D475" t="s">
        <v>39</v>
      </c>
      <c r="E475" t="s">
        <v>22</v>
      </c>
      <c r="F475" s="30">
        <v>45107</v>
      </c>
      <c r="G475" t="s">
        <v>2075</v>
      </c>
      <c r="H475" t="s">
        <v>4527</v>
      </c>
      <c r="I475">
        <v>100</v>
      </c>
      <c r="J475">
        <v>0</v>
      </c>
      <c r="BR475">
        <v>0</v>
      </c>
      <c r="BS475">
        <v>0</v>
      </c>
    </row>
    <row r="476" spans="1:71" x14ac:dyDescent="0.3">
      <c r="A476">
        <v>408</v>
      </c>
      <c r="B476" t="s">
        <v>2074</v>
      </c>
      <c r="C476" t="s">
        <v>1627</v>
      </c>
      <c r="D476" t="s">
        <v>39</v>
      </c>
      <c r="E476" t="s">
        <v>22</v>
      </c>
      <c r="F476" s="30">
        <v>45107</v>
      </c>
      <c r="G476" t="s">
        <v>2075</v>
      </c>
      <c r="H476" t="s">
        <v>4528</v>
      </c>
      <c r="I476">
        <v>100</v>
      </c>
      <c r="J476">
        <v>0</v>
      </c>
      <c r="BR476">
        <v>0</v>
      </c>
      <c r="BS476">
        <v>0</v>
      </c>
    </row>
    <row r="477" spans="1:71" x14ac:dyDescent="0.3">
      <c r="A477">
        <v>408</v>
      </c>
      <c r="B477" t="s">
        <v>2074</v>
      </c>
      <c r="C477" t="s">
        <v>1627</v>
      </c>
      <c r="D477" t="s">
        <v>39</v>
      </c>
      <c r="E477" t="s">
        <v>22</v>
      </c>
      <c r="F477" s="30">
        <v>45107</v>
      </c>
      <c r="G477" t="s">
        <v>2075</v>
      </c>
      <c r="H477" t="s">
        <v>4526</v>
      </c>
      <c r="I477">
        <v>100</v>
      </c>
      <c r="J477">
        <v>0</v>
      </c>
      <c r="BR477">
        <v>0</v>
      </c>
      <c r="BS477">
        <v>0</v>
      </c>
    </row>
    <row r="478" spans="1:71" x14ac:dyDescent="0.3">
      <c r="A478">
        <v>408</v>
      </c>
      <c r="B478" t="s">
        <v>2074</v>
      </c>
      <c r="C478" t="s">
        <v>1627</v>
      </c>
      <c r="D478" t="s">
        <v>39</v>
      </c>
      <c r="E478" t="s">
        <v>22</v>
      </c>
      <c r="F478" s="30">
        <v>45107</v>
      </c>
      <c r="G478" t="s">
        <v>2075</v>
      </c>
      <c r="H478" t="s">
        <v>4527</v>
      </c>
      <c r="I478">
        <v>100</v>
      </c>
      <c r="J478">
        <v>0</v>
      </c>
      <c r="BR478">
        <v>0</v>
      </c>
      <c r="BS478">
        <v>0</v>
      </c>
    </row>
    <row r="479" spans="1:71" x14ac:dyDescent="0.3">
      <c r="A479">
        <v>408</v>
      </c>
      <c r="B479" t="s">
        <v>2074</v>
      </c>
      <c r="C479" t="s">
        <v>1627</v>
      </c>
      <c r="D479" t="s">
        <v>39</v>
      </c>
      <c r="E479" t="s">
        <v>22</v>
      </c>
      <c r="F479" s="30">
        <v>45107</v>
      </c>
      <c r="G479" t="s">
        <v>2075</v>
      </c>
      <c r="H479" t="s">
        <v>4528</v>
      </c>
      <c r="I479">
        <v>100</v>
      </c>
      <c r="J479">
        <v>0</v>
      </c>
      <c r="BR479">
        <v>0</v>
      </c>
      <c r="BS479">
        <v>0</v>
      </c>
    </row>
    <row r="480" spans="1:71" x14ac:dyDescent="0.3">
      <c r="A480">
        <v>408</v>
      </c>
      <c r="B480" t="s">
        <v>2074</v>
      </c>
      <c r="C480" t="s">
        <v>1627</v>
      </c>
      <c r="D480" t="s">
        <v>39</v>
      </c>
      <c r="E480" t="s">
        <v>22</v>
      </c>
      <c r="F480" s="30">
        <v>45107</v>
      </c>
      <c r="G480" t="s">
        <v>2075</v>
      </c>
      <c r="H480" t="s">
        <v>4526</v>
      </c>
      <c r="I480">
        <v>100</v>
      </c>
      <c r="J480">
        <v>0</v>
      </c>
      <c r="BR480">
        <v>0</v>
      </c>
      <c r="BS480">
        <v>0</v>
      </c>
    </row>
    <row r="481" spans="1:71" x14ac:dyDescent="0.3">
      <c r="A481">
        <v>408</v>
      </c>
      <c r="B481" t="s">
        <v>2074</v>
      </c>
      <c r="C481" t="s">
        <v>1627</v>
      </c>
      <c r="D481" t="s">
        <v>39</v>
      </c>
      <c r="E481" t="s">
        <v>22</v>
      </c>
      <c r="F481" s="30">
        <v>45107</v>
      </c>
      <c r="G481" t="s">
        <v>2075</v>
      </c>
      <c r="H481" t="s">
        <v>4527</v>
      </c>
      <c r="I481">
        <v>100</v>
      </c>
      <c r="J481">
        <v>0</v>
      </c>
      <c r="BR481">
        <v>0</v>
      </c>
      <c r="BS481">
        <v>0</v>
      </c>
    </row>
    <row r="482" spans="1:71" x14ac:dyDescent="0.3">
      <c r="A482">
        <v>408</v>
      </c>
      <c r="B482" t="s">
        <v>2074</v>
      </c>
      <c r="C482" t="s">
        <v>1627</v>
      </c>
      <c r="D482" t="s">
        <v>39</v>
      </c>
      <c r="E482" t="s">
        <v>22</v>
      </c>
      <c r="F482" s="30">
        <v>45107</v>
      </c>
      <c r="G482" t="s">
        <v>2075</v>
      </c>
      <c r="H482" t="s">
        <v>4528</v>
      </c>
      <c r="I482">
        <v>100</v>
      </c>
      <c r="J482">
        <v>0</v>
      </c>
      <c r="BR482">
        <v>0</v>
      </c>
      <c r="BS482">
        <v>0</v>
      </c>
    </row>
    <row r="483" spans="1:71" x14ac:dyDescent="0.3">
      <c r="A483">
        <v>408</v>
      </c>
      <c r="B483" t="s">
        <v>2074</v>
      </c>
      <c r="C483" t="s">
        <v>1627</v>
      </c>
      <c r="D483" t="s">
        <v>39</v>
      </c>
      <c r="E483" t="s">
        <v>22</v>
      </c>
      <c r="F483" s="30">
        <v>45107</v>
      </c>
      <c r="G483" t="s">
        <v>2075</v>
      </c>
      <c r="H483" t="s">
        <v>4526</v>
      </c>
      <c r="I483">
        <v>100</v>
      </c>
      <c r="J483">
        <v>0</v>
      </c>
      <c r="BR483">
        <v>0</v>
      </c>
      <c r="BS483">
        <v>0</v>
      </c>
    </row>
    <row r="484" spans="1:71" x14ac:dyDescent="0.3">
      <c r="A484">
        <v>408</v>
      </c>
      <c r="B484" t="s">
        <v>2074</v>
      </c>
      <c r="C484" t="s">
        <v>1627</v>
      </c>
      <c r="D484" t="s">
        <v>39</v>
      </c>
      <c r="E484" t="s">
        <v>22</v>
      </c>
      <c r="F484" s="30">
        <v>45107</v>
      </c>
      <c r="G484" t="s">
        <v>2075</v>
      </c>
      <c r="H484" t="s">
        <v>4527</v>
      </c>
      <c r="I484">
        <v>100</v>
      </c>
      <c r="J484">
        <v>0</v>
      </c>
      <c r="BR484">
        <v>0</v>
      </c>
      <c r="BS484">
        <v>0</v>
      </c>
    </row>
    <row r="485" spans="1:71" x14ac:dyDescent="0.3">
      <c r="A485">
        <v>408</v>
      </c>
      <c r="B485" t="s">
        <v>2074</v>
      </c>
      <c r="C485" t="s">
        <v>1627</v>
      </c>
      <c r="D485" t="s">
        <v>39</v>
      </c>
      <c r="E485" t="s">
        <v>22</v>
      </c>
      <c r="F485" s="30">
        <v>45107</v>
      </c>
      <c r="G485" t="s">
        <v>2075</v>
      </c>
      <c r="H485" t="s">
        <v>4528</v>
      </c>
      <c r="I485">
        <v>100</v>
      </c>
      <c r="J485">
        <v>0</v>
      </c>
      <c r="BR485">
        <v>0</v>
      </c>
      <c r="BS485">
        <v>0</v>
      </c>
    </row>
    <row r="486" spans="1:71" x14ac:dyDescent="0.3">
      <c r="A486">
        <v>408</v>
      </c>
      <c r="B486" t="s">
        <v>2074</v>
      </c>
      <c r="C486" t="s">
        <v>1627</v>
      </c>
      <c r="D486" t="s">
        <v>39</v>
      </c>
      <c r="E486" t="s">
        <v>22</v>
      </c>
      <c r="F486" s="30">
        <v>45107</v>
      </c>
      <c r="G486" t="s">
        <v>2075</v>
      </c>
      <c r="H486" t="s">
        <v>4526</v>
      </c>
      <c r="I486">
        <v>100</v>
      </c>
      <c r="J486">
        <v>0</v>
      </c>
      <c r="BR486">
        <v>0</v>
      </c>
      <c r="BS486">
        <v>0</v>
      </c>
    </row>
    <row r="487" spans="1:71" x14ac:dyDescent="0.3">
      <c r="A487">
        <v>408</v>
      </c>
      <c r="B487" t="s">
        <v>2074</v>
      </c>
      <c r="C487" t="s">
        <v>1627</v>
      </c>
      <c r="D487" t="s">
        <v>39</v>
      </c>
      <c r="E487" t="s">
        <v>22</v>
      </c>
      <c r="F487" s="30">
        <v>45107</v>
      </c>
      <c r="G487" t="s">
        <v>2075</v>
      </c>
      <c r="H487" t="s">
        <v>4527</v>
      </c>
      <c r="I487">
        <v>100</v>
      </c>
      <c r="J487">
        <v>0</v>
      </c>
      <c r="BR487">
        <v>0</v>
      </c>
      <c r="BS487">
        <v>0</v>
      </c>
    </row>
    <row r="488" spans="1:71" x14ac:dyDescent="0.3">
      <c r="A488">
        <v>408</v>
      </c>
      <c r="B488" t="s">
        <v>2074</v>
      </c>
      <c r="C488" t="s">
        <v>1627</v>
      </c>
      <c r="D488" t="s">
        <v>39</v>
      </c>
      <c r="E488" t="s">
        <v>22</v>
      </c>
      <c r="F488" s="30">
        <v>45107</v>
      </c>
      <c r="G488" t="s">
        <v>2075</v>
      </c>
      <c r="H488" t="s">
        <v>4528</v>
      </c>
      <c r="I488">
        <v>100</v>
      </c>
      <c r="J488">
        <v>0</v>
      </c>
      <c r="BR488">
        <v>0</v>
      </c>
      <c r="BS488">
        <v>0</v>
      </c>
    </row>
    <row r="489" spans="1:71" x14ac:dyDescent="0.3">
      <c r="A489">
        <v>408</v>
      </c>
      <c r="B489" t="s">
        <v>2074</v>
      </c>
      <c r="C489" t="s">
        <v>1627</v>
      </c>
      <c r="D489" t="s">
        <v>39</v>
      </c>
      <c r="E489" t="s">
        <v>22</v>
      </c>
      <c r="F489" s="30">
        <v>45107</v>
      </c>
      <c r="G489" t="s">
        <v>2075</v>
      </c>
      <c r="H489" t="s">
        <v>4526</v>
      </c>
      <c r="I489">
        <v>100</v>
      </c>
      <c r="J489">
        <v>0</v>
      </c>
      <c r="BR489">
        <v>0</v>
      </c>
      <c r="BS489">
        <v>0</v>
      </c>
    </row>
    <row r="490" spans="1:71" x14ac:dyDescent="0.3">
      <c r="A490">
        <v>408</v>
      </c>
      <c r="B490" t="s">
        <v>2074</v>
      </c>
      <c r="C490" t="s">
        <v>1627</v>
      </c>
      <c r="D490" t="s">
        <v>39</v>
      </c>
      <c r="E490" t="s">
        <v>22</v>
      </c>
      <c r="F490" s="30">
        <v>45107</v>
      </c>
      <c r="G490" t="s">
        <v>2075</v>
      </c>
      <c r="H490" t="s">
        <v>4527</v>
      </c>
      <c r="I490">
        <v>100</v>
      </c>
      <c r="J490">
        <v>0</v>
      </c>
      <c r="BR490">
        <v>0</v>
      </c>
      <c r="BS490">
        <v>0</v>
      </c>
    </row>
    <row r="491" spans="1:71" x14ac:dyDescent="0.3">
      <c r="A491">
        <v>408</v>
      </c>
      <c r="B491" t="s">
        <v>2074</v>
      </c>
      <c r="C491" t="s">
        <v>1627</v>
      </c>
      <c r="D491" t="s">
        <v>39</v>
      </c>
      <c r="E491" t="s">
        <v>22</v>
      </c>
      <c r="F491" s="30">
        <v>45107</v>
      </c>
      <c r="G491" t="s">
        <v>2075</v>
      </c>
      <c r="H491" t="s">
        <v>4528</v>
      </c>
      <c r="I491">
        <v>100</v>
      </c>
      <c r="J491">
        <v>0</v>
      </c>
      <c r="BR491">
        <v>0</v>
      </c>
      <c r="BS491">
        <v>0</v>
      </c>
    </row>
    <row r="492" spans="1:71" x14ac:dyDescent="0.3">
      <c r="A492">
        <v>408</v>
      </c>
      <c r="B492" t="s">
        <v>2074</v>
      </c>
      <c r="C492" t="s">
        <v>1627</v>
      </c>
      <c r="D492" t="s">
        <v>39</v>
      </c>
      <c r="E492" t="s">
        <v>22</v>
      </c>
      <c r="F492" s="30">
        <v>45107</v>
      </c>
      <c r="G492" t="s">
        <v>2075</v>
      </c>
      <c r="H492" t="s">
        <v>4526</v>
      </c>
      <c r="I492">
        <v>100</v>
      </c>
      <c r="J492">
        <v>0</v>
      </c>
      <c r="BR492">
        <v>0</v>
      </c>
      <c r="BS492">
        <v>0</v>
      </c>
    </row>
    <row r="493" spans="1:71" x14ac:dyDescent="0.3">
      <c r="A493">
        <v>408</v>
      </c>
      <c r="B493" t="s">
        <v>2074</v>
      </c>
      <c r="C493" t="s">
        <v>1627</v>
      </c>
      <c r="D493" t="s">
        <v>39</v>
      </c>
      <c r="E493" t="s">
        <v>22</v>
      </c>
      <c r="F493" s="30">
        <v>45107</v>
      </c>
      <c r="G493" t="s">
        <v>2075</v>
      </c>
      <c r="H493" t="s">
        <v>4527</v>
      </c>
      <c r="I493">
        <v>100</v>
      </c>
      <c r="J493">
        <v>0</v>
      </c>
      <c r="BR493">
        <v>0</v>
      </c>
      <c r="BS493">
        <v>0</v>
      </c>
    </row>
    <row r="494" spans="1:71" x14ac:dyDescent="0.3">
      <c r="A494">
        <v>408</v>
      </c>
      <c r="B494" t="s">
        <v>2074</v>
      </c>
      <c r="C494" t="s">
        <v>1627</v>
      </c>
      <c r="D494" t="s">
        <v>39</v>
      </c>
      <c r="E494" t="s">
        <v>22</v>
      </c>
      <c r="F494" s="30">
        <v>45107</v>
      </c>
      <c r="G494" t="s">
        <v>2075</v>
      </c>
      <c r="H494" t="s">
        <v>4528</v>
      </c>
      <c r="I494">
        <v>100</v>
      </c>
      <c r="J494">
        <v>0</v>
      </c>
      <c r="BR494">
        <v>0</v>
      </c>
      <c r="BS494">
        <v>0</v>
      </c>
    </row>
    <row r="495" spans="1:71" x14ac:dyDescent="0.3">
      <c r="A495">
        <v>408</v>
      </c>
      <c r="B495" t="s">
        <v>2074</v>
      </c>
      <c r="C495" t="s">
        <v>1627</v>
      </c>
      <c r="D495" t="s">
        <v>39</v>
      </c>
      <c r="E495" t="s">
        <v>22</v>
      </c>
      <c r="F495" s="30">
        <v>45107</v>
      </c>
      <c r="G495" t="s">
        <v>2075</v>
      </c>
      <c r="H495" t="s">
        <v>4526</v>
      </c>
      <c r="I495">
        <v>100</v>
      </c>
      <c r="J495">
        <v>0</v>
      </c>
      <c r="BR495">
        <v>0</v>
      </c>
      <c r="BS495">
        <v>0</v>
      </c>
    </row>
    <row r="496" spans="1:71" x14ac:dyDescent="0.3">
      <c r="A496">
        <v>408</v>
      </c>
      <c r="B496" t="s">
        <v>2074</v>
      </c>
      <c r="C496" t="s">
        <v>1627</v>
      </c>
      <c r="D496" t="s">
        <v>39</v>
      </c>
      <c r="E496" t="s">
        <v>22</v>
      </c>
      <c r="F496" s="30">
        <v>45107</v>
      </c>
      <c r="G496" t="s">
        <v>2075</v>
      </c>
      <c r="H496" t="s">
        <v>4527</v>
      </c>
      <c r="I496">
        <v>100</v>
      </c>
      <c r="J496">
        <v>0</v>
      </c>
      <c r="BR496">
        <v>0</v>
      </c>
      <c r="BS496">
        <v>0</v>
      </c>
    </row>
    <row r="497" spans="1:73" x14ac:dyDescent="0.3">
      <c r="A497">
        <v>408</v>
      </c>
      <c r="B497" t="s">
        <v>2074</v>
      </c>
      <c r="C497" t="s">
        <v>1627</v>
      </c>
      <c r="D497" t="s">
        <v>39</v>
      </c>
      <c r="E497" t="s">
        <v>22</v>
      </c>
      <c r="F497" s="30">
        <v>45107</v>
      </c>
      <c r="G497" t="s">
        <v>2075</v>
      </c>
      <c r="H497" t="s">
        <v>4528</v>
      </c>
      <c r="I497">
        <v>100</v>
      </c>
      <c r="J497">
        <v>0</v>
      </c>
      <c r="BR497">
        <v>0</v>
      </c>
      <c r="BS497">
        <v>0</v>
      </c>
    </row>
    <row r="498" spans="1:73" x14ac:dyDescent="0.3">
      <c r="A498">
        <v>427</v>
      </c>
      <c r="B498" t="s">
        <v>2212</v>
      </c>
      <c r="C498" t="s">
        <v>251</v>
      </c>
      <c r="D498" t="s">
        <v>39</v>
      </c>
      <c r="E498" t="s">
        <v>56</v>
      </c>
      <c r="F498" s="30">
        <v>45107</v>
      </c>
      <c r="G498" t="s">
        <v>2213</v>
      </c>
      <c r="H498" t="s">
        <v>4468</v>
      </c>
      <c r="I498">
        <v>0.3</v>
      </c>
      <c r="J498">
        <v>0.20000000298023221</v>
      </c>
      <c r="O498">
        <v>1872</v>
      </c>
      <c r="P498">
        <v>2992</v>
      </c>
      <c r="Q498">
        <v>13656</v>
      </c>
      <c r="R498">
        <v>0</v>
      </c>
      <c r="Y498">
        <v>3723</v>
      </c>
    </row>
    <row r="499" spans="1:73" x14ac:dyDescent="0.3">
      <c r="A499">
        <v>427</v>
      </c>
      <c r="B499" t="s">
        <v>2212</v>
      </c>
      <c r="C499" t="s">
        <v>251</v>
      </c>
      <c r="D499" t="s">
        <v>39</v>
      </c>
      <c r="E499" t="s">
        <v>56</v>
      </c>
      <c r="F499" s="30">
        <v>45107</v>
      </c>
      <c r="G499" t="s">
        <v>2213</v>
      </c>
      <c r="H499" t="s">
        <v>4470</v>
      </c>
      <c r="I499">
        <v>0.15</v>
      </c>
      <c r="J499">
        <v>0.14000000059604639</v>
      </c>
      <c r="O499">
        <v>679</v>
      </c>
      <c r="P499">
        <v>30</v>
      </c>
      <c r="Q499">
        <v>11072</v>
      </c>
      <c r="R499">
        <v>1948</v>
      </c>
      <c r="Y499">
        <v>1888</v>
      </c>
    </row>
    <row r="500" spans="1:73" x14ac:dyDescent="0.3">
      <c r="A500">
        <v>427</v>
      </c>
      <c r="B500" t="s">
        <v>2212</v>
      </c>
      <c r="C500" t="s">
        <v>251</v>
      </c>
      <c r="D500" t="s">
        <v>39</v>
      </c>
      <c r="E500" t="s">
        <v>56</v>
      </c>
      <c r="F500" s="30">
        <v>45107</v>
      </c>
      <c r="G500" t="s">
        <v>2213</v>
      </c>
      <c r="H500" t="s">
        <v>4477</v>
      </c>
      <c r="I500">
        <v>0.2</v>
      </c>
      <c r="J500">
        <v>0</v>
      </c>
      <c r="O500">
        <v>0</v>
      </c>
      <c r="P500">
        <v>0</v>
      </c>
      <c r="Q500">
        <v>0</v>
      </c>
      <c r="R500">
        <v>0</v>
      </c>
      <c r="Y500">
        <v>0</v>
      </c>
    </row>
    <row r="501" spans="1:73" x14ac:dyDescent="0.3">
      <c r="A501">
        <v>427</v>
      </c>
      <c r="B501" t="s">
        <v>2212</v>
      </c>
      <c r="C501" t="s">
        <v>251</v>
      </c>
      <c r="D501" t="s">
        <v>39</v>
      </c>
      <c r="E501" t="s">
        <v>56</v>
      </c>
      <c r="F501" s="30">
        <v>45107</v>
      </c>
      <c r="G501" t="s">
        <v>2213</v>
      </c>
      <c r="H501" t="s">
        <v>4469</v>
      </c>
      <c r="I501">
        <v>0.1</v>
      </c>
      <c r="J501">
        <v>7.0000000298023224E-2</v>
      </c>
      <c r="O501">
        <v>300</v>
      </c>
      <c r="P501">
        <v>828</v>
      </c>
      <c r="Q501">
        <v>12287</v>
      </c>
      <c r="R501">
        <v>144</v>
      </c>
      <c r="Y501">
        <v>907</v>
      </c>
    </row>
    <row r="502" spans="1:73" x14ac:dyDescent="0.3">
      <c r="A502">
        <v>427</v>
      </c>
      <c r="B502" t="s">
        <v>2212</v>
      </c>
      <c r="C502" t="s">
        <v>251</v>
      </c>
      <c r="D502" t="s">
        <v>39</v>
      </c>
      <c r="E502" t="s">
        <v>56</v>
      </c>
      <c r="F502" s="30">
        <v>45107</v>
      </c>
      <c r="G502" t="s">
        <v>2213</v>
      </c>
      <c r="H502" t="s">
        <v>4478</v>
      </c>
      <c r="I502">
        <v>0.2</v>
      </c>
      <c r="J502">
        <v>0</v>
      </c>
      <c r="O502">
        <v>0</v>
      </c>
      <c r="P502">
        <v>0</v>
      </c>
      <c r="Q502">
        <v>0</v>
      </c>
      <c r="R502">
        <v>0</v>
      </c>
      <c r="Y502">
        <v>0</v>
      </c>
    </row>
    <row r="503" spans="1:73" x14ac:dyDescent="0.3">
      <c r="A503">
        <v>428</v>
      </c>
      <c r="B503" t="s">
        <v>2219</v>
      </c>
      <c r="C503" t="s">
        <v>251</v>
      </c>
      <c r="D503" t="s">
        <v>39</v>
      </c>
      <c r="E503" t="s">
        <v>56</v>
      </c>
      <c r="F503" s="30">
        <v>45107</v>
      </c>
      <c r="G503" t="s">
        <v>2220</v>
      </c>
      <c r="H503" t="s">
        <v>4470</v>
      </c>
      <c r="I503">
        <v>25</v>
      </c>
      <c r="J503">
        <v>20.79999923706055</v>
      </c>
      <c r="O503">
        <v>679</v>
      </c>
      <c r="P503">
        <v>30</v>
      </c>
      <c r="Q503">
        <v>11072</v>
      </c>
      <c r="R503">
        <v>1948</v>
      </c>
      <c r="W503">
        <v>285570</v>
      </c>
    </row>
    <row r="504" spans="1:73" x14ac:dyDescent="0.3">
      <c r="A504">
        <v>428</v>
      </c>
      <c r="B504" t="s">
        <v>2219</v>
      </c>
      <c r="C504" t="s">
        <v>251</v>
      </c>
      <c r="D504" t="s">
        <v>39</v>
      </c>
      <c r="E504" t="s">
        <v>56</v>
      </c>
      <c r="F504" s="30">
        <v>45107</v>
      </c>
      <c r="G504" t="s">
        <v>2220</v>
      </c>
      <c r="H504" t="s">
        <v>4468</v>
      </c>
      <c r="I504">
        <v>22</v>
      </c>
      <c r="J504">
        <v>20.569999694824219</v>
      </c>
      <c r="O504">
        <v>1872</v>
      </c>
      <c r="P504">
        <v>2992</v>
      </c>
      <c r="Q504">
        <v>13656</v>
      </c>
      <c r="R504">
        <v>0</v>
      </c>
      <c r="W504">
        <v>380904</v>
      </c>
    </row>
    <row r="505" spans="1:73" x14ac:dyDescent="0.3">
      <c r="A505">
        <v>428</v>
      </c>
      <c r="B505" t="s">
        <v>2219</v>
      </c>
      <c r="C505" t="s">
        <v>251</v>
      </c>
      <c r="D505" t="s">
        <v>39</v>
      </c>
      <c r="E505" t="s">
        <v>56</v>
      </c>
      <c r="F505" s="30">
        <v>45107</v>
      </c>
      <c r="G505" t="s">
        <v>2220</v>
      </c>
      <c r="H505" t="s">
        <v>4469</v>
      </c>
      <c r="I505">
        <v>11</v>
      </c>
      <c r="J505">
        <v>10.27000045776367</v>
      </c>
      <c r="O505">
        <v>300</v>
      </c>
      <c r="P505">
        <v>828</v>
      </c>
      <c r="Q505">
        <v>12287</v>
      </c>
      <c r="R505">
        <v>144</v>
      </c>
      <c r="W505">
        <v>139217</v>
      </c>
    </row>
    <row r="506" spans="1:73" x14ac:dyDescent="0.3">
      <c r="A506">
        <v>429</v>
      </c>
      <c r="B506" t="s">
        <v>2226</v>
      </c>
      <c r="C506" t="s">
        <v>251</v>
      </c>
      <c r="D506" t="s">
        <v>39</v>
      </c>
      <c r="E506" t="s">
        <v>56</v>
      </c>
      <c r="F506" s="30">
        <v>45107</v>
      </c>
      <c r="G506" t="s">
        <v>2227</v>
      </c>
      <c r="H506" t="s">
        <v>4468</v>
      </c>
      <c r="I506">
        <v>0.4</v>
      </c>
      <c r="J506">
        <v>0.36000001430511469</v>
      </c>
      <c r="O506">
        <v>1872</v>
      </c>
      <c r="P506">
        <v>2992</v>
      </c>
      <c r="Q506">
        <v>13656</v>
      </c>
      <c r="R506">
        <v>0</v>
      </c>
      <c r="AA506">
        <v>3880</v>
      </c>
      <c r="AB506">
        <v>2767</v>
      </c>
    </row>
    <row r="507" spans="1:73" x14ac:dyDescent="0.3">
      <c r="A507">
        <v>429</v>
      </c>
      <c r="B507" t="s">
        <v>2226</v>
      </c>
      <c r="C507" t="s">
        <v>251</v>
      </c>
      <c r="D507" t="s">
        <v>39</v>
      </c>
      <c r="E507" t="s">
        <v>56</v>
      </c>
      <c r="F507" s="30">
        <v>45107</v>
      </c>
      <c r="G507" t="s">
        <v>2227</v>
      </c>
      <c r="H507" t="s">
        <v>4469</v>
      </c>
      <c r="I507">
        <v>0.41</v>
      </c>
      <c r="J507">
        <v>0.2199999988079071</v>
      </c>
      <c r="O507">
        <v>300</v>
      </c>
      <c r="P507">
        <v>828</v>
      </c>
      <c r="Q507">
        <v>12287</v>
      </c>
      <c r="R507">
        <v>144</v>
      </c>
      <c r="AA507">
        <v>218.6</v>
      </c>
      <c r="AB507">
        <v>2811</v>
      </c>
    </row>
    <row r="508" spans="1:73" x14ac:dyDescent="0.3">
      <c r="A508">
        <v>429</v>
      </c>
      <c r="B508" t="s">
        <v>2226</v>
      </c>
      <c r="C508" t="s">
        <v>251</v>
      </c>
      <c r="D508" t="s">
        <v>39</v>
      </c>
      <c r="E508" t="s">
        <v>56</v>
      </c>
      <c r="F508" s="30">
        <v>45107</v>
      </c>
      <c r="G508" t="s">
        <v>2227</v>
      </c>
      <c r="H508" t="s">
        <v>4470</v>
      </c>
      <c r="I508">
        <v>0.38</v>
      </c>
      <c r="J508">
        <v>0.31000000238418579</v>
      </c>
      <c r="O508">
        <v>679</v>
      </c>
      <c r="P508">
        <v>30</v>
      </c>
      <c r="Q508">
        <v>11072</v>
      </c>
      <c r="R508">
        <v>1948</v>
      </c>
      <c r="AA508">
        <v>0</v>
      </c>
      <c r="AB508">
        <v>4195.6499999999996</v>
      </c>
    </row>
    <row r="509" spans="1:73" x14ac:dyDescent="0.3">
      <c r="A509">
        <v>430</v>
      </c>
      <c r="B509" t="s">
        <v>2233</v>
      </c>
      <c r="C509" t="s">
        <v>210</v>
      </c>
      <c r="D509" t="s">
        <v>39</v>
      </c>
      <c r="E509" t="s">
        <v>22</v>
      </c>
      <c r="F509" s="30">
        <v>45107</v>
      </c>
      <c r="G509" t="s">
        <v>2234</v>
      </c>
      <c r="H509" t="s">
        <v>4529</v>
      </c>
      <c r="I509">
        <v>95</v>
      </c>
      <c r="J509">
        <v>112.94000244140619</v>
      </c>
      <c r="BT509">
        <v>5818176483</v>
      </c>
      <c r="BU509">
        <v>6570768692</v>
      </c>
    </row>
    <row r="510" spans="1:73" x14ac:dyDescent="0.3">
      <c r="A510">
        <v>430</v>
      </c>
      <c r="B510" t="s">
        <v>2233</v>
      </c>
      <c r="C510" t="s">
        <v>210</v>
      </c>
      <c r="D510" t="s">
        <v>39</v>
      </c>
      <c r="E510" t="s">
        <v>22</v>
      </c>
      <c r="F510" s="30">
        <v>45107</v>
      </c>
      <c r="G510" t="s">
        <v>2234</v>
      </c>
      <c r="H510" t="s">
        <v>4530</v>
      </c>
      <c r="I510">
        <v>95</v>
      </c>
      <c r="J510">
        <v>101.8199996948242</v>
      </c>
      <c r="BT510">
        <v>18841137826</v>
      </c>
      <c r="BU510">
        <v>19183316854</v>
      </c>
    </row>
    <row r="511" spans="1:73" x14ac:dyDescent="0.3">
      <c r="A511">
        <v>430</v>
      </c>
      <c r="B511" t="s">
        <v>2233</v>
      </c>
      <c r="C511" t="s">
        <v>210</v>
      </c>
      <c r="D511" t="s">
        <v>39</v>
      </c>
      <c r="E511" t="s">
        <v>22</v>
      </c>
      <c r="F511" s="30">
        <v>45107</v>
      </c>
      <c r="G511" t="s">
        <v>2234</v>
      </c>
      <c r="H511" t="s">
        <v>4531</v>
      </c>
      <c r="I511">
        <v>95</v>
      </c>
      <c r="J511">
        <v>101.59999847412109</v>
      </c>
      <c r="BT511">
        <v>26555692613</v>
      </c>
      <c r="BU511">
        <v>26980344363</v>
      </c>
    </row>
    <row r="512" spans="1:73" x14ac:dyDescent="0.3">
      <c r="A512">
        <v>430</v>
      </c>
      <c r="B512" t="s">
        <v>2233</v>
      </c>
      <c r="C512" t="s">
        <v>210</v>
      </c>
      <c r="D512" t="s">
        <v>39</v>
      </c>
      <c r="E512" t="s">
        <v>22</v>
      </c>
      <c r="F512" s="30">
        <v>45107</v>
      </c>
      <c r="G512" t="s">
        <v>2234</v>
      </c>
      <c r="H512" t="s">
        <v>4532</v>
      </c>
      <c r="I512">
        <v>95</v>
      </c>
      <c r="J512">
        <v>105.9499969482422</v>
      </c>
      <c r="BT512">
        <v>61739508479</v>
      </c>
      <c r="BU512">
        <v>65411063328</v>
      </c>
    </row>
    <row r="513" spans="1:76" x14ac:dyDescent="0.3">
      <c r="A513">
        <v>433</v>
      </c>
      <c r="B513" t="s">
        <v>2260</v>
      </c>
      <c r="C513" t="s">
        <v>251</v>
      </c>
      <c r="D513" t="s">
        <v>39</v>
      </c>
      <c r="E513" t="s">
        <v>56</v>
      </c>
      <c r="F513" s="30">
        <v>45107</v>
      </c>
      <c r="G513" t="s">
        <v>2261</v>
      </c>
      <c r="H513" t="s">
        <v>4470</v>
      </c>
      <c r="I513">
        <v>0.05</v>
      </c>
      <c r="J513">
        <v>1.9999999552965161E-2</v>
      </c>
      <c r="O513">
        <v>679</v>
      </c>
      <c r="P513">
        <v>30</v>
      </c>
      <c r="Q513">
        <v>11072</v>
      </c>
      <c r="R513">
        <v>1948</v>
      </c>
      <c r="BV513">
        <v>225.8</v>
      </c>
    </row>
    <row r="514" spans="1:76" x14ac:dyDescent="0.3">
      <c r="A514">
        <v>433</v>
      </c>
      <c r="B514" t="s">
        <v>2260</v>
      </c>
      <c r="C514" t="s">
        <v>251</v>
      </c>
      <c r="D514" t="s">
        <v>39</v>
      </c>
      <c r="E514" t="s">
        <v>56</v>
      </c>
      <c r="F514" s="30">
        <v>45107</v>
      </c>
      <c r="G514" t="s">
        <v>2261</v>
      </c>
      <c r="H514" t="s">
        <v>4468</v>
      </c>
      <c r="I514">
        <v>0.05</v>
      </c>
      <c r="J514">
        <v>5.000000074505806E-2</v>
      </c>
      <c r="O514">
        <v>1872</v>
      </c>
      <c r="P514">
        <v>2992</v>
      </c>
      <c r="Q514">
        <v>13656</v>
      </c>
      <c r="R514">
        <v>0</v>
      </c>
      <c r="BV514">
        <v>864.5</v>
      </c>
    </row>
    <row r="515" spans="1:76" x14ac:dyDescent="0.3">
      <c r="A515">
        <v>433</v>
      </c>
      <c r="B515" t="s">
        <v>2260</v>
      </c>
      <c r="C515" t="s">
        <v>251</v>
      </c>
      <c r="D515" t="s">
        <v>39</v>
      </c>
      <c r="E515" t="s">
        <v>56</v>
      </c>
      <c r="F515" s="30">
        <v>45107</v>
      </c>
      <c r="G515" t="s">
        <v>2261</v>
      </c>
      <c r="H515" t="s">
        <v>4469</v>
      </c>
      <c r="I515">
        <v>0.05</v>
      </c>
      <c r="O515">
        <v>300</v>
      </c>
      <c r="P515">
        <v>828</v>
      </c>
      <c r="Q515">
        <v>12287</v>
      </c>
      <c r="R515">
        <v>144</v>
      </c>
      <c r="BV515">
        <v>12.1</v>
      </c>
    </row>
    <row r="516" spans="1:76" x14ac:dyDescent="0.3">
      <c r="A516">
        <v>435</v>
      </c>
      <c r="B516" t="s">
        <v>2304</v>
      </c>
      <c r="C516" t="s">
        <v>251</v>
      </c>
      <c r="D516" t="s">
        <v>39</v>
      </c>
      <c r="E516" t="s">
        <v>22</v>
      </c>
      <c r="F516" s="30">
        <v>45107</v>
      </c>
      <c r="G516" t="s">
        <v>2305</v>
      </c>
      <c r="H516" t="s">
        <v>4468</v>
      </c>
      <c r="I516">
        <v>100</v>
      </c>
      <c r="J516">
        <v>0</v>
      </c>
      <c r="BW516">
        <v>0</v>
      </c>
      <c r="BX516">
        <v>0.05</v>
      </c>
    </row>
    <row r="517" spans="1:76" x14ac:dyDescent="0.3">
      <c r="A517">
        <v>435</v>
      </c>
      <c r="B517" t="s">
        <v>2304</v>
      </c>
      <c r="C517" t="s">
        <v>251</v>
      </c>
      <c r="D517" t="s">
        <v>39</v>
      </c>
      <c r="E517" t="s">
        <v>22</v>
      </c>
      <c r="F517" s="30">
        <v>45107</v>
      </c>
      <c r="G517" t="s">
        <v>2305</v>
      </c>
      <c r="H517" t="s">
        <v>4470</v>
      </c>
      <c r="I517">
        <v>100</v>
      </c>
      <c r="J517">
        <v>0</v>
      </c>
      <c r="BW517">
        <v>0</v>
      </c>
      <c r="BX517">
        <v>0.02</v>
      </c>
    </row>
    <row r="518" spans="1:76" x14ac:dyDescent="0.3">
      <c r="A518">
        <v>435</v>
      </c>
      <c r="B518" t="s">
        <v>2304</v>
      </c>
      <c r="C518" t="s">
        <v>251</v>
      </c>
      <c r="D518" t="s">
        <v>39</v>
      </c>
      <c r="E518" t="s">
        <v>22</v>
      </c>
      <c r="F518" s="30">
        <v>45107</v>
      </c>
      <c r="G518" t="s">
        <v>2305</v>
      </c>
      <c r="H518" t="s">
        <v>4477</v>
      </c>
      <c r="I518">
        <v>100</v>
      </c>
      <c r="J518">
        <v>0</v>
      </c>
      <c r="BW518">
        <v>0</v>
      </c>
      <c r="BX518">
        <v>0</v>
      </c>
    </row>
    <row r="519" spans="1:76" x14ac:dyDescent="0.3">
      <c r="A519">
        <v>435</v>
      </c>
      <c r="B519" t="s">
        <v>2304</v>
      </c>
      <c r="C519" t="s">
        <v>251</v>
      </c>
      <c r="D519" t="s">
        <v>39</v>
      </c>
      <c r="E519" t="s">
        <v>22</v>
      </c>
      <c r="F519" s="30">
        <v>45107</v>
      </c>
      <c r="G519" t="s">
        <v>2305</v>
      </c>
      <c r="H519" t="s">
        <v>4469</v>
      </c>
      <c r="I519">
        <v>100</v>
      </c>
      <c r="J519">
        <v>0</v>
      </c>
      <c r="BW519">
        <v>0</v>
      </c>
      <c r="BX519">
        <v>8.9999999999999998E-4</v>
      </c>
    </row>
    <row r="520" spans="1:76" x14ac:dyDescent="0.3">
      <c r="A520">
        <v>435</v>
      </c>
      <c r="B520" t="s">
        <v>2304</v>
      </c>
      <c r="C520" t="s">
        <v>251</v>
      </c>
      <c r="D520" t="s">
        <v>39</v>
      </c>
      <c r="E520" t="s">
        <v>22</v>
      </c>
      <c r="F520" s="30">
        <v>45107</v>
      </c>
      <c r="G520" t="s">
        <v>2305</v>
      </c>
      <c r="H520" t="s">
        <v>4476</v>
      </c>
      <c r="I520">
        <v>100</v>
      </c>
      <c r="J520">
        <v>0</v>
      </c>
      <c r="BW520">
        <v>0</v>
      </c>
      <c r="BX520">
        <v>0</v>
      </c>
    </row>
    <row r="521" spans="1:76" x14ac:dyDescent="0.3">
      <c r="A521">
        <v>435</v>
      </c>
      <c r="B521" t="s">
        <v>2304</v>
      </c>
      <c r="C521" t="s">
        <v>251</v>
      </c>
      <c r="D521" t="s">
        <v>39</v>
      </c>
      <c r="E521" t="s">
        <v>22</v>
      </c>
      <c r="F521" s="30">
        <v>45107</v>
      </c>
      <c r="G521" t="s">
        <v>2305</v>
      </c>
      <c r="H521" t="s">
        <v>4478</v>
      </c>
      <c r="I521">
        <v>100</v>
      </c>
      <c r="J521">
        <v>0</v>
      </c>
      <c r="BW521">
        <v>0</v>
      </c>
      <c r="BX521">
        <v>0</v>
      </c>
    </row>
    <row r="522" spans="1:76" x14ac:dyDescent="0.3">
      <c r="A522">
        <v>213</v>
      </c>
      <c r="B522" t="s">
        <v>757</v>
      </c>
      <c r="C522" t="s">
        <v>251</v>
      </c>
      <c r="D522" t="s">
        <v>21</v>
      </c>
      <c r="E522" t="s">
        <v>22</v>
      </c>
      <c r="F522" s="30">
        <v>45107</v>
      </c>
      <c r="G522" t="s">
        <v>763</v>
      </c>
      <c r="H522" t="s">
        <v>4482</v>
      </c>
      <c r="I522">
        <v>90</v>
      </c>
      <c r="J522">
        <v>91.669998168945313</v>
      </c>
      <c r="AW522">
        <v>24</v>
      </c>
      <c r="AX522">
        <v>22</v>
      </c>
    </row>
    <row r="523" spans="1:76" x14ac:dyDescent="0.3">
      <c r="A523">
        <v>213</v>
      </c>
      <c r="B523" t="s">
        <v>757</v>
      </c>
      <c r="C523" t="s">
        <v>251</v>
      </c>
      <c r="D523" t="s">
        <v>21</v>
      </c>
      <c r="E523" t="s">
        <v>22</v>
      </c>
      <c r="F523" s="30">
        <v>45107</v>
      </c>
      <c r="G523" t="s">
        <v>763</v>
      </c>
      <c r="H523" t="s">
        <v>4483</v>
      </c>
      <c r="I523">
        <v>90</v>
      </c>
      <c r="J523">
        <v>91.669998168945313</v>
      </c>
      <c r="AW523">
        <v>24</v>
      </c>
      <c r="AX523">
        <v>22</v>
      </c>
    </row>
    <row r="524" spans="1:76" x14ac:dyDescent="0.3">
      <c r="A524">
        <v>213</v>
      </c>
      <c r="B524" t="s">
        <v>757</v>
      </c>
      <c r="C524" t="s">
        <v>251</v>
      </c>
      <c r="D524" t="s">
        <v>21</v>
      </c>
      <c r="E524" t="s">
        <v>22</v>
      </c>
      <c r="F524" s="30">
        <v>45107</v>
      </c>
      <c r="G524" t="s">
        <v>763</v>
      </c>
      <c r="H524" t="s">
        <v>4484</v>
      </c>
      <c r="I524">
        <v>90</v>
      </c>
      <c r="J524">
        <v>85.709999084472656</v>
      </c>
      <c r="AW524">
        <v>14</v>
      </c>
      <c r="AX524">
        <v>12</v>
      </c>
    </row>
    <row r="525" spans="1:76" x14ac:dyDescent="0.3">
      <c r="A525">
        <v>213</v>
      </c>
      <c r="B525" t="s">
        <v>757</v>
      </c>
      <c r="C525" t="s">
        <v>251</v>
      </c>
      <c r="D525" t="s">
        <v>21</v>
      </c>
      <c r="E525" t="s">
        <v>22</v>
      </c>
      <c r="F525" s="30">
        <v>45107</v>
      </c>
      <c r="G525" t="s">
        <v>763</v>
      </c>
      <c r="H525" t="s">
        <v>4533</v>
      </c>
      <c r="I525">
        <v>90</v>
      </c>
      <c r="J525">
        <v>100</v>
      </c>
      <c r="AW525">
        <v>3</v>
      </c>
      <c r="AX525">
        <v>3</v>
      </c>
    </row>
    <row r="526" spans="1:76" x14ac:dyDescent="0.3">
      <c r="A526">
        <v>213</v>
      </c>
      <c r="B526" t="s">
        <v>757</v>
      </c>
      <c r="C526" t="s">
        <v>251</v>
      </c>
      <c r="D526" t="s">
        <v>21</v>
      </c>
      <c r="E526" t="s">
        <v>22</v>
      </c>
      <c r="F526" s="30">
        <v>45107</v>
      </c>
      <c r="G526" t="s">
        <v>763</v>
      </c>
      <c r="H526" t="s">
        <v>4534</v>
      </c>
      <c r="I526">
        <v>90</v>
      </c>
      <c r="J526">
        <v>100</v>
      </c>
      <c r="AW526">
        <v>2</v>
      </c>
      <c r="AX526">
        <v>2</v>
      </c>
    </row>
    <row r="527" spans="1:76" x14ac:dyDescent="0.3">
      <c r="A527">
        <v>213</v>
      </c>
      <c r="B527" t="s">
        <v>757</v>
      </c>
      <c r="C527" t="s">
        <v>251</v>
      </c>
      <c r="D527" t="s">
        <v>21</v>
      </c>
      <c r="E527" t="s">
        <v>22</v>
      </c>
      <c r="F527" s="30">
        <v>45107</v>
      </c>
      <c r="G527" t="s">
        <v>763</v>
      </c>
      <c r="H527" t="s">
        <v>4485</v>
      </c>
      <c r="I527">
        <v>90</v>
      </c>
      <c r="J527">
        <v>91.300003051757813</v>
      </c>
      <c r="AW527">
        <v>46</v>
      </c>
      <c r="AX527">
        <v>42</v>
      </c>
    </row>
    <row r="528" spans="1:76" x14ac:dyDescent="0.3">
      <c r="A528">
        <v>213</v>
      </c>
      <c r="B528" t="s">
        <v>757</v>
      </c>
      <c r="C528" t="s">
        <v>251</v>
      </c>
      <c r="D528" t="s">
        <v>21</v>
      </c>
      <c r="E528" t="s">
        <v>22</v>
      </c>
      <c r="F528" s="30">
        <v>45107</v>
      </c>
      <c r="G528" t="s">
        <v>763</v>
      </c>
      <c r="H528" t="s">
        <v>4486</v>
      </c>
      <c r="I528">
        <v>90</v>
      </c>
      <c r="J528">
        <v>95.349998474121094</v>
      </c>
      <c r="AW528">
        <v>43</v>
      </c>
      <c r="AX528">
        <v>41</v>
      </c>
    </row>
    <row r="529" spans="1:79" x14ac:dyDescent="0.3">
      <c r="A529">
        <v>213</v>
      </c>
      <c r="B529" t="s">
        <v>757</v>
      </c>
      <c r="C529" t="s">
        <v>251</v>
      </c>
      <c r="D529" t="s">
        <v>21</v>
      </c>
      <c r="E529" t="s">
        <v>22</v>
      </c>
      <c r="F529" s="30">
        <v>45107</v>
      </c>
      <c r="G529" t="s">
        <v>763</v>
      </c>
      <c r="H529" t="s">
        <v>4487</v>
      </c>
      <c r="I529">
        <v>90</v>
      </c>
      <c r="J529">
        <v>90.910003662109375</v>
      </c>
      <c r="AW529">
        <v>55</v>
      </c>
      <c r="AX529">
        <v>50</v>
      </c>
    </row>
    <row r="530" spans="1:79" x14ac:dyDescent="0.3">
      <c r="A530">
        <v>238</v>
      </c>
      <c r="B530" t="s">
        <v>1077</v>
      </c>
      <c r="C530" t="s">
        <v>251</v>
      </c>
      <c r="D530" t="s">
        <v>21</v>
      </c>
      <c r="E530" t="s">
        <v>22</v>
      </c>
      <c r="F530" s="30">
        <v>45107</v>
      </c>
      <c r="G530" t="s">
        <v>1084</v>
      </c>
      <c r="H530" t="s">
        <v>4488</v>
      </c>
      <c r="I530">
        <v>90</v>
      </c>
      <c r="J530">
        <v>100</v>
      </c>
      <c r="AY530">
        <v>1</v>
      </c>
      <c r="AZ530">
        <v>1</v>
      </c>
    </row>
    <row r="531" spans="1:79" x14ac:dyDescent="0.3">
      <c r="A531">
        <v>238</v>
      </c>
      <c r="B531" t="s">
        <v>1077</v>
      </c>
      <c r="C531" t="s">
        <v>251</v>
      </c>
      <c r="D531" t="s">
        <v>21</v>
      </c>
      <c r="E531" t="s">
        <v>22</v>
      </c>
      <c r="F531" s="30">
        <v>45107</v>
      </c>
      <c r="G531" t="s">
        <v>1084</v>
      </c>
      <c r="H531" t="s">
        <v>4489</v>
      </c>
      <c r="I531">
        <v>90</v>
      </c>
      <c r="J531">
        <v>88.889999389648438</v>
      </c>
      <c r="AY531">
        <v>8</v>
      </c>
      <c r="AZ531">
        <v>9</v>
      </c>
    </row>
    <row r="532" spans="1:79" x14ac:dyDescent="0.3">
      <c r="A532">
        <v>238</v>
      </c>
      <c r="B532" t="s">
        <v>1077</v>
      </c>
      <c r="C532" t="s">
        <v>251</v>
      </c>
      <c r="D532" t="s">
        <v>21</v>
      </c>
      <c r="E532" t="s">
        <v>22</v>
      </c>
      <c r="F532" s="30">
        <v>45107</v>
      </c>
      <c r="G532" t="s">
        <v>1084</v>
      </c>
      <c r="H532" t="s">
        <v>4490</v>
      </c>
      <c r="I532">
        <v>90</v>
      </c>
      <c r="J532">
        <v>100</v>
      </c>
      <c r="AY532">
        <v>5</v>
      </c>
      <c r="AZ532">
        <v>5</v>
      </c>
    </row>
    <row r="533" spans="1:79" x14ac:dyDescent="0.3">
      <c r="A533">
        <v>238</v>
      </c>
      <c r="B533" t="s">
        <v>1077</v>
      </c>
      <c r="C533" t="s">
        <v>251</v>
      </c>
      <c r="D533" t="s">
        <v>21</v>
      </c>
      <c r="E533" t="s">
        <v>22</v>
      </c>
      <c r="F533" s="30">
        <v>45107</v>
      </c>
      <c r="G533" t="s">
        <v>1084</v>
      </c>
      <c r="H533" t="s">
        <v>4491</v>
      </c>
      <c r="I533">
        <v>90</v>
      </c>
      <c r="J533">
        <v>100</v>
      </c>
      <c r="AY533">
        <v>5</v>
      </c>
      <c r="AZ533">
        <v>5</v>
      </c>
    </row>
    <row r="534" spans="1:79" x14ac:dyDescent="0.3">
      <c r="A534">
        <v>238</v>
      </c>
      <c r="B534" t="s">
        <v>1077</v>
      </c>
      <c r="C534" t="s">
        <v>251</v>
      </c>
      <c r="D534" t="s">
        <v>21</v>
      </c>
      <c r="E534" t="s">
        <v>22</v>
      </c>
      <c r="F534" s="30">
        <v>45107</v>
      </c>
      <c r="G534" t="s">
        <v>1084</v>
      </c>
      <c r="H534" t="s">
        <v>4535</v>
      </c>
      <c r="I534">
        <v>90</v>
      </c>
      <c r="J534">
        <v>0</v>
      </c>
      <c r="AY534">
        <v>0</v>
      </c>
      <c r="AZ534">
        <v>0</v>
      </c>
    </row>
    <row r="535" spans="1:79" x14ac:dyDescent="0.3">
      <c r="A535">
        <v>238</v>
      </c>
      <c r="B535" t="s">
        <v>1077</v>
      </c>
      <c r="C535" t="s">
        <v>251</v>
      </c>
      <c r="D535" t="s">
        <v>21</v>
      </c>
      <c r="E535" t="s">
        <v>22</v>
      </c>
      <c r="F535" s="30">
        <v>45107</v>
      </c>
      <c r="G535" t="s">
        <v>1084</v>
      </c>
      <c r="H535" t="s">
        <v>4492</v>
      </c>
      <c r="I535">
        <v>90</v>
      </c>
      <c r="J535">
        <v>100</v>
      </c>
      <c r="AY535">
        <v>3</v>
      </c>
      <c r="AZ535">
        <v>3</v>
      </c>
    </row>
    <row r="536" spans="1:79" x14ac:dyDescent="0.3">
      <c r="A536">
        <v>238</v>
      </c>
      <c r="B536" t="s">
        <v>1077</v>
      </c>
      <c r="C536" t="s">
        <v>251</v>
      </c>
      <c r="D536" t="s">
        <v>21</v>
      </c>
      <c r="E536" t="s">
        <v>22</v>
      </c>
      <c r="F536" s="30">
        <v>45107</v>
      </c>
      <c r="G536" t="s">
        <v>1084</v>
      </c>
      <c r="H536" t="s">
        <v>4536</v>
      </c>
      <c r="I536">
        <v>90</v>
      </c>
      <c r="J536">
        <v>0</v>
      </c>
      <c r="AZ536">
        <v>0</v>
      </c>
    </row>
    <row r="537" spans="1:79" x14ac:dyDescent="0.3">
      <c r="A537">
        <v>238</v>
      </c>
      <c r="B537" t="s">
        <v>1077</v>
      </c>
      <c r="C537" t="s">
        <v>251</v>
      </c>
      <c r="D537" t="s">
        <v>21</v>
      </c>
      <c r="E537" t="s">
        <v>22</v>
      </c>
      <c r="F537" s="30">
        <v>45107</v>
      </c>
      <c r="G537" t="s">
        <v>1084</v>
      </c>
      <c r="H537" t="s">
        <v>4493</v>
      </c>
      <c r="I537">
        <v>90</v>
      </c>
      <c r="J537">
        <v>100</v>
      </c>
      <c r="AY537">
        <v>5</v>
      </c>
      <c r="AZ537">
        <v>5</v>
      </c>
    </row>
    <row r="538" spans="1:79" x14ac:dyDescent="0.3">
      <c r="A538">
        <v>306</v>
      </c>
      <c r="B538" t="s">
        <v>1543</v>
      </c>
      <c r="C538" t="s">
        <v>1241</v>
      </c>
      <c r="D538" t="s">
        <v>21</v>
      </c>
      <c r="E538" t="s">
        <v>22</v>
      </c>
      <c r="F538" s="30">
        <v>45107</v>
      </c>
      <c r="G538" t="s">
        <v>1545</v>
      </c>
      <c r="H538" t="s">
        <v>4537</v>
      </c>
      <c r="I538">
        <v>100</v>
      </c>
      <c r="J538">
        <v>173</v>
      </c>
      <c r="BY538">
        <v>173</v>
      </c>
    </row>
    <row r="539" spans="1:79" x14ac:dyDescent="0.3">
      <c r="A539">
        <v>306</v>
      </c>
      <c r="B539" t="s">
        <v>1543</v>
      </c>
      <c r="C539" t="s">
        <v>1241</v>
      </c>
      <c r="D539" t="s">
        <v>21</v>
      </c>
      <c r="E539" t="s">
        <v>22</v>
      </c>
      <c r="F539" s="30">
        <v>45107</v>
      </c>
      <c r="G539" t="s">
        <v>1545</v>
      </c>
      <c r="H539" t="s">
        <v>4538</v>
      </c>
      <c r="I539">
        <v>100</v>
      </c>
      <c r="J539">
        <v>97</v>
      </c>
      <c r="BY539">
        <v>97</v>
      </c>
    </row>
    <row r="540" spans="1:79" x14ac:dyDescent="0.3">
      <c r="A540">
        <v>306</v>
      </c>
      <c r="B540" t="s">
        <v>1543</v>
      </c>
      <c r="C540" t="s">
        <v>1241</v>
      </c>
      <c r="D540" t="s">
        <v>21</v>
      </c>
      <c r="E540" t="s">
        <v>22</v>
      </c>
      <c r="F540" s="30">
        <v>45107</v>
      </c>
      <c r="G540" t="s">
        <v>1545</v>
      </c>
      <c r="H540" t="s">
        <v>4539</v>
      </c>
      <c r="I540">
        <v>100</v>
      </c>
      <c r="J540">
        <v>99</v>
      </c>
      <c r="BY540">
        <v>99</v>
      </c>
    </row>
    <row r="541" spans="1:79" x14ac:dyDescent="0.3">
      <c r="A541">
        <v>306</v>
      </c>
      <c r="B541" t="s">
        <v>1543</v>
      </c>
      <c r="C541" t="s">
        <v>1241</v>
      </c>
      <c r="D541" t="s">
        <v>21</v>
      </c>
      <c r="E541" t="s">
        <v>22</v>
      </c>
      <c r="F541" s="30">
        <v>45107</v>
      </c>
      <c r="G541" t="s">
        <v>1545</v>
      </c>
      <c r="H541" t="s">
        <v>4540</v>
      </c>
      <c r="I541">
        <v>100</v>
      </c>
      <c r="J541">
        <v>148</v>
      </c>
      <c r="BY541">
        <v>148</v>
      </c>
    </row>
    <row r="542" spans="1:79" x14ac:dyDescent="0.3">
      <c r="A542">
        <v>306</v>
      </c>
      <c r="B542" t="s">
        <v>1543</v>
      </c>
      <c r="C542" t="s">
        <v>1241</v>
      </c>
      <c r="D542" t="s">
        <v>21</v>
      </c>
      <c r="E542" t="s">
        <v>22</v>
      </c>
      <c r="F542" s="30">
        <v>45107</v>
      </c>
      <c r="G542" t="s">
        <v>1545</v>
      </c>
      <c r="H542" t="s">
        <v>4541</v>
      </c>
      <c r="I542">
        <v>100</v>
      </c>
      <c r="J542">
        <v>101</v>
      </c>
      <c r="BY542">
        <v>101</v>
      </c>
    </row>
    <row r="543" spans="1:79" x14ac:dyDescent="0.3">
      <c r="A543">
        <v>306</v>
      </c>
      <c r="B543" t="s">
        <v>1543</v>
      </c>
      <c r="C543" t="s">
        <v>1241</v>
      </c>
      <c r="D543" t="s">
        <v>21</v>
      </c>
      <c r="E543" t="s">
        <v>22</v>
      </c>
      <c r="F543" s="30">
        <v>45107</v>
      </c>
      <c r="G543" t="s">
        <v>1545</v>
      </c>
      <c r="H543" t="s">
        <v>4542</v>
      </c>
      <c r="I543">
        <v>100</v>
      </c>
      <c r="J543">
        <v>105</v>
      </c>
      <c r="BY543">
        <v>105</v>
      </c>
    </row>
    <row r="544" spans="1:79" x14ac:dyDescent="0.3">
      <c r="A544">
        <v>373</v>
      </c>
      <c r="B544" t="s">
        <v>1856</v>
      </c>
      <c r="C544" t="s">
        <v>1263</v>
      </c>
      <c r="D544" t="s">
        <v>21</v>
      </c>
      <c r="E544" t="s">
        <v>22</v>
      </c>
      <c r="F544" s="30">
        <v>45107</v>
      </c>
      <c r="G544" t="s">
        <v>1858</v>
      </c>
      <c r="H544" t="s">
        <v>4542</v>
      </c>
      <c r="I544">
        <v>100</v>
      </c>
      <c r="J544">
        <v>113.55999755859381</v>
      </c>
      <c r="BZ544">
        <v>67</v>
      </c>
      <c r="CA544">
        <v>59</v>
      </c>
    </row>
    <row r="545" spans="1:81" x14ac:dyDescent="0.3">
      <c r="A545">
        <v>373</v>
      </c>
      <c r="B545" t="s">
        <v>1856</v>
      </c>
      <c r="C545" t="s">
        <v>1263</v>
      </c>
      <c r="D545" t="s">
        <v>21</v>
      </c>
      <c r="E545" t="s">
        <v>22</v>
      </c>
      <c r="F545" s="30">
        <v>45107</v>
      </c>
      <c r="G545" t="s">
        <v>1858</v>
      </c>
      <c r="H545" t="s">
        <v>4541</v>
      </c>
      <c r="I545">
        <v>100</v>
      </c>
      <c r="J545">
        <v>120.75</v>
      </c>
      <c r="BZ545">
        <v>64</v>
      </c>
      <c r="CA545">
        <v>53</v>
      </c>
    </row>
    <row r="546" spans="1:81" x14ac:dyDescent="0.3">
      <c r="A546">
        <v>373</v>
      </c>
      <c r="B546" t="s">
        <v>1856</v>
      </c>
      <c r="C546" t="s">
        <v>1263</v>
      </c>
      <c r="D546" t="s">
        <v>21</v>
      </c>
      <c r="E546" t="s">
        <v>22</v>
      </c>
      <c r="F546" s="30">
        <v>45107</v>
      </c>
      <c r="G546" t="s">
        <v>1858</v>
      </c>
      <c r="H546" t="s">
        <v>4540</v>
      </c>
      <c r="I546">
        <v>100</v>
      </c>
      <c r="J546">
        <v>95.589996337890625</v>
      </c>
      <c r="BZ546">
        <v>65</v>
      </c>
      <c r="CA546">
        <v>68</v>
      </c>
    </row>
    <row r="547" spans="1:81" x14ac:dyDescent="0.3">
      <c r="A547">
        <v>373</v>
      </c>
      <c r="B547" t="s">
        <v>1856</v>
      </c>
      <c r="C547" t="s">
        <v>1263</v>
      </c>
      <c r="D547" t="s">
        <v>21</v>
      </c>
      <c r="E547" t="s">
        <v>22</v>
      </c>
      <c r="F547" s="30">
        <v>45107</v>
      </c>
      <c r="G547" t="s">
        <v>1858</v>
      </c>
      <c r="H547" t="s">
        <v>4539</v>
      </c>
      <c r="I547">
        <v>100</v>
      </c>
      <c r="J547">
        <v>96.970001220703125</v>
      </c>
      <c r="BZ547">
        <v>64</v>
      </c>
      <c r="CA547">
        <v>66</v>
      </c>
    </row>
    <row r="548" spans="1:81" x14ac:dyDescent="0.3">
      <c r="A548">
        <v>373</v>
      </c>
      <c r="B548" t="s">
        <v>1856</v>
      </c>
      <c r="C548" t="s">
        <v>1263</v>
      </c>
      <c r="D548" t="s">
        <v>21</v>
      </c>
      <c r="E548" t="s">
        <v>22</v>
      </c>
      <c r="F548" s="30">
        <v>45107</v>
      </c>
      <c r="G548" t="s">
        <v>1858</v>
      </c>
      <c r="H548" t="s">
        <v>4538</v>
      </c>
      <c r="I548">
        <v>100</v>
      </c>
      <c r="J548">
        <v>101.63999938964839</v>
      </c>
      <c r="BZ548">
        <v>62</v>
      </c>
      <c r="CA548">
        <v>61</v>
      </c>
    </row>
    <row r="549" spans="1:81" x14ac:dyDescent="0.3">
      <c r="A549">
        <v>373</v>
      </c>
      <c r="B549" t="s">
        <v>1856</v>
      </c>
      <c r="C549" t="s">
        <v>1263</v>
      </c>
      <c r="D549" t="s">
        <v>21</v>
      </c>
      <c r="E549" t="s">
        <v>22</v>
      </c>
      <c r="F549" s="30">
        <v>45107</v>
      </c>
      <c r="G549" t="s">
        <v>1858</v>
      </c>
      <c r="H549" t="s">
        <v>4537</v>
      </c>
      <c r="I549">
        <v>100</v>
      </c>
      <c r="J549">
        <v>114.51999664306641</v>
      </c>
      <c r="BZ549">
        <v>71</v>
      </c>
      <c r="CA549">
        <v>62</v>
      </c>
    </row>
    <row r="550" spans="1:81" x14ac:dyDescent="0.3">
      <c r="A550">
        <v>390</v>
      </c>
      <c r="B550" t="s">
        <v>1970</v>
      </c>
      <c r="C550" t="s">
        <v>1263</v>
      </c>
      <c r="D550" t="s">
        <v>21</v>
      </c>
      <c r="E550" t="s">
        <v>22</v>
      </c>
      <c r="F550" s="30">
        <v>45107</v>
      </c>
      <c r="G550" t="s">
        <v>1972</v>
      </c>
      <c r="H550" t="s">
        <v>4514</v>
      </c>
      <c r="I550">
        <v>100</v>
      </c>
      <c r="J550">
        <v>105.1999969482422</v>
      </c>
      <c r="CB550">
        <v>66</v>
      </c>
      <c r="CC550">
        <v>62.74</v>
      </c>
    </row>
    <row r="551" spans="1:81" x14ac:dyDescent="0.3">
      <c r="A551">
        <v>390</v>
      </c>
      <c r="B551" t="s">
        <v>1970</v>
      </c>
      <c r="C551" t="s">
        <v>1263</v>
      </c>
      <c r="D551" t="s">
        <v>21</v>
      </c>
      <c r="E551" t="s">
        <v>22</v>
      </c>
      <c r="F551" s="30">
        <v>45107</v>
      </c>
      <c r="G551" t="s">
        <v>1972</v>
      </c>
      <c r="H551" t="s">
        <v>4515</v>
      </c>
      <c r="I551">
        <v>100</v>
      </c>
      <c r="J551">
        <v>110.0699996948242</v>
      </c>
      <c r="CB551">
        <v>73</v>
      </c>
      <c r="CC551">
        <v>66.319999999999993</v>
      </c>
    </row>
    <row r="552" spans="1:81" x14ac:dyDescent="0.3">
      <c r="A552">
        <v>390</v>
      </c>
      <c r="B552" t="s">
        <v>1970</v>
      </c>
      <c r="C552" t="s">
        <v>1263</v>
      </c>
      <c r="D552" t="s">
        <v>21</v>
      </c>
      <c r="E552" t="s">
        <v>22</v>
      </c>
      <c r="F552" s="30">
        <v>45107</v>
      </c>
      <c r="G552" t="s">
        <v>1972</v>
      </c>
      <c r="H552" t="s">
        <v>4516</v>
      </c>
      <c r="I552">
        <v>100</v>
      </c>
      <c r="J552">
        <v>114.2900009155273</v>
      </c>
      <c r="CB552">
        <v>77.5</v>
      </c>
      <c r="CC552">
        <v>67.81</v>
      </c>
    </row>
    <row r="553" spans="1:81" x14ac:dyDescent="0.3">
      <c r="A553">
        <v>390</v>
      </c>
      <c r="B553" t="s">
        <v>1970</v>
      </c>
      <c r="C553" t="s">
        <v>1263</v>
      </c>
      <c r="D553" t="s">
        <v>21</v>
      </c>
      <c r="E553" t="s">
        <v>22</v>
      </c>
      <c r="F553" s="30">
        <v>45107</v>
      </c>
      <c r="G553" t="s">
        <v>1972</v>
      </c>
      <c r="H553" t="s">
        <v>4517</v>
      </c>
      <c r="I553">
        <v>100</v>
      </c>
      <c r="J553">
        <v>120.73000335693359</v>
      </c>
      <c r="CB553">
        <v>78.33</v>
      </c>
      <c r="CC553">
        <v>64.88</v>
      </c>
    </row>
    <row r="554" spans="1:81" x14ac:dyDescent="0.3">
      <c r="A554">
        <v>390</v>
      </c>
      <c r="B554" t="s">
        <v>1970</v>
      </c>
      <c r="C554" t="s">
        <v>1263</v>
      </c>
      <c r="D554" t="s">
        <v>21</v>
      </c>
      <c r="E554" t="s">
        <v>22</v>
      </c>
      <c r="F554" s="30">
        <v>45107</v>
      </c>
      <c r="G554" t="s">
        <v>1972</v>
      </c>
      <c r="H554" t="s">
        <v>4518</v>
      </c>
      <c r="I554">
        <v>100</v>
      </c>
      <c r="J554">
        <v>104.94000244140619</v>
      </c>
      <c r="CB554">
        <v>53.93</v>
      </c>
      <c r="CC554">
        <v>51.39</v>
      </c>
    </row>
    <row r="555" spans="1:81" x14ac:dyDescent="0.3">
      <c r="A555">
        <v>390</v>
      </c>
      <c r="B555" t="s">
        <v>1970</v>
      </c>
      <c r="C555" t="s">
        <v>1263</v>
      </c>
      <c r="D555" t="s">
        <v>21</v>
      </c>
      <c r="E555" t="s">
        <v>22</v>
      </c>
      <c r="F555" s="30">
        <v>45107</v>
      </c>
      <c r="G555" t="s">
        <v>1972</v>
      </c>
      <c r="H555" t="s">
        <v>4519</v>
      </c>
      <c r="I555">
        <v>100</v>
      </c>
      <c r="J555">
        <v>123.3199996948242</v>
      </c>
      <c r="CB555">
        <v>67</v>
      </c>
      <c r="CC555">
        <v>54.33</v>
      </c>
    </row>
    <row r="556" spans="1:81" x14ac:dyDescent="0.3">
      <c r="A556">
        <v>390</v>
      </c>
      <c r="B556" t="s">
        <v>1970</v>
      </c>
      <c r="C556" t="s">
        <v>1263</v>
      </c>
      <c r="D556" t="s">
        <v>21</v>
      </c>
      <c r="E556" t="s">
        <v>22</v>
      </c>
      <c r="F556" s="30">
        <v>45107</v>
      </c>
      <c r="G556" t="s">
        <v>1972</v>
      </c>
      <c r="H556" t="s">
        <v>4520</v>
      </c>
      <c r="I556">
        <v>100</v>
      </c>
      <c r="J556">
        <v>121</v>
      </c>
      <c r="CB556">
        <v>73.06</v>
      </c>
      <c r="CC556">
        <v>60.38</v>
      </c>
    </row>
    <row r="557" spans="1:81" x14ac:dyDescent="0.3">
      <c r="A557">
        <v>390</v>
      </c>
      <c r="B557" t="s">
        <v>1970</v>
      </c>
      <c r="C557" t="s">
        <v>1263</v>
      </c>
      <c r="D557" t="s">
        <v>21</v>
      </c>
      <c r="E557" t="s">
        <v>22</v>
      </c>
      <c r="F557" s="30">
        <v>45107</v>
      </c>
      <c r="G557" t="s">
        <v>1972</v>
      </c>
      <c r="H557" t="s">
        <v>4521</v>
      </c>
      <c r="I557">
        <v>100</v>
      </c>
      <c r="J557">
        <v>98.709999084472656</v>
      </c>
      <c r="CB557">
        <v>68.75</v>
      </c>
      <c r="CC557">
        <v>69.650000000000006</v>
      </c>
    </row>
    <row r="558" spans="1:81" x14ac:dyDescent="0.3">
      <c r="A558">
        <v>390</v>
      </c>
      <c r="B558" t="s">
        <v>1970</v>
      </c>
      <c r="C558" t="s">
        <v>1263</v>
      </c>
      <c r="D558" t="s">
        <v>21</v>
      </c>
      <c r="E558" t="s">
        <v>22</v>
      </c>
      <c r="F558" s="30">
        <v>45107</v>
      </c>
      <c r="G558" t="s">
        <v>1972</v>
      </c>
      <c r="H558" t="s">
        <v>4522</v>
      </c>
      <c r="I558">
        <v>100</v>
      </c>
      <c r="J558">
        <v>110.1800003051758</v>
      </c>
      <c r="CB558">
        <v>67.67</v>
      </c>
      <c r="CC558">
        <v>61.42</v>
      </c>
    </row>
    <row r="559" spans="1:81" x14ac:dyDescent="0.3">
      <c r="A559">
        <v>390</v>
      </c>
      <c r="B559" t="s">
        <v>1970</v>
      </c>
      <c r="C559" t="s">
        <v>1263</v>
      </c>
      <c r="D559" t="s">
        <v>21</v>
      </c>
      <c r="E559" t="s">
        <v>22</v>
      </c>
      <c r="F559" s="30">
        <v>45107</v>
      </c>
      <c r="G559" t="s">
        <v>1972</v>
      </c>
      <c r="H559" t="s">
        <v>4523</v>
      </c>
      <c r="I559">
        <v>100</v>
      </c>
      <c r="J559">
        <v>113.0299987792969</v>
      </c>
      <c r="CB559">
        <v>58.57</v>
      </c>
      <c r="CC559">
        <v>51.82</v>
      </c>
    </row>
    <row r="560" spans="1:81" x14ac:dyDescent="0.3">
      <c r="A560">
        <v>390</v>
      </c>
      <c r="B560" t="s">
        <v>1970</v>
      </c>
      <c r="C560" t="s">
        <v>1263</v>
      </c>
      <c r="D560" t="s">
        <v>21</v>
      </c>
      <c r="E560" t="s">
        <v>22</v>
      </c>
      <c r="F560" s="30">
        <v>45107</v>
      </c>
      <c r="G560" t="s">
        <v>1972</v>
      </c>
      <c r="H560" t="s">
        <v>4524</v>
      </c>
      <c r="I560">
        <v>100</v>
      </c>
      <c r="J560">
        <v>105.9899978637695</v>
      </c>
      <c r="CB560">
        <v>73.75</v>
      </c>
      <c r="CC560">
        <v>69.58</v>
      </c>
    </row>
    <row r="561" spans="1:85" x14ac:dyDescent="0.3">
      <c r="A561">
        <v>390</v>
      </c>
      <c r="B561" t="s">
        <v>1970</v>
      </c>
      <c r="C561" t="s">
        <v>1263</v>
      </c>
      <c r="D561" t="s">
        <v>21</v>
      </c>
      <c r="E561" t="s">
        <v>22</v>
      </c>
      <c r="F561" s="30">
        <v>45107</v>
      </c>
      <c r="G561" t="s">
        <v>1972</v>
      </c>
      <c r="H561" t="s">
        <v>4525</v>
      </c>
      <c r="I561">
        <v>100</v>
      </c>
      <c r="J561">
        <v>97.150001525878906</v>
      </c>
      <c r="CB561">
        <v>70.209999999999994</v>
      </c>
      <c r="CC561">
        <v>72.27</v>
      </c>
    </row>
    <row r="562" spans="1:85" x14ac:dyDescent="0.3">
      <c r="A562">
        <v>414</v>
      </c>
      <c r="B562" t="s">
        <v>2103</v>
      </c>
      <c r="C562" t="s">
        <v>1263</v>
      </c>
      <c r="D562" t="s">
        <v>21</v>
      </c>
      <c r="E562" t="s">
        <v>22</v>
      </c>
      <c r="F562" s="30">
        <v>45107</v>
      </c>
      <c r="G562" t="s">
        <v>2105</v>
      </c>
      <c r="H562" t="s">
        <v>4543</v>
      </c>
      <c r="I562">
        <v>100</v>
      </c>
      <c r="J562">
        <v>109.86000061035161</v>
      </c>
      <c r="CD562">
        <v>78</v>
      </c>
      <c r="CE562">
        <v>71</v>
      </c>
    </row>
    <row r="563" spans="1:85" x14ac:dyDescent="0.3">
      <c r="A563">
        <v>414</v>
      </c>
      <c r="B563" t="s">
        <v>2103</v>
      </c>
      <c r="C563" t="s">
        <v>1263</v>
      </c>
      <c r="D563" t="s">
        <v>21</v>
      </c>
      <c r="E563" t="s">
        <v>22</v>
      </c>
      <c r="F563" s="30">
        <v>45107</v>
      </c>
      <c r="G563" t="s">
        <v>2105</v>
      </c>
      <c r="H563" t="s">
        <v>4544</v>
      </c>
      <c r="I563">
        <v>100</v>
      </c>
      <c r="J563">
        <v>60.810001373291023</v>
      </c>
      <c r="CD563">
        <v>45</v>
      </c>
      <c r="CE563">
        <v>74</v>
      </c>
    </row>
    <row r="564" spans="1:85" x14ac:dyDescent="0.3">
      <c r="A564">
        <v>414</v>
      </c>
      <c r="B564" t="s">
        <v>2103</v>
      </c>
      <c r="C564" t="s">
        <v>1263</v>
      </c>
      <c r="D564" t="s">
        <v>21</v>
      </c>
      <c r="E564" t="s">
        <v>22</v>
      </c>
      <c r="F564" s="30">
        <v>45107</v>
      </c>
      <c r="G564" t="s">
        <v>2105</v>
      </c>
      <c r="H564" t="s">
        <v>4545</v>
      </c>
      <c r="I564">
        <v>100</v>
      </c>
      <c r="J564">
        <v>125</v>
      </c>
      <c r="CD564">
        <v>65</v>
      </c>
      <c r="CE564">
        <v>52</v>
      </c>
    </row>
    <row r="565" spans="1:85" x14ac:dyDescent="0.3">
      <c r="A565">
        <v>414</v>
      </c>
      <c r="B565" t="s">
        <v>2103</v>
      </c>
      <c r="C565" t="s">
        <v>1263</v>
      </c>
      <c r="D565" t="s">
        <v>21</v>
      </c>
      <c r="E565" t="s">
        <v>22</v>
      </c>
      <c r="F565" s="30">
        <v>45107</v>
      </c>
      <c r="G565" t="s">
        <v>2105</v>
      </c>
      <c r="H565" t="s">
        <v>4546</v>
      </c>
      <c r="I565">
        <v>100</v>
      </c>
      <c r="J565">
        <v>120</v>
      </c>
      <c r="CD565">
        <v>84</v>
      </c>
      <c r="CE565">
        <v>70</v>
      </c>
    </row>
    <row r="566" spans="1:85" x14ac:dyDescent="0.3">
      <c r="A566">
        <v>414</v>
      </c>
      <c r="B566" t="s">
        <v>2103</v>
      </c>
      <c r="C566" t="s">
        <v>1263</v>
      </c>
      <c r="D566" t="s">
        <v>21</v>
      </c>
      <c r="E566" t="s">
        <v>22</v>
      </c>
      <c r="F566" s="30">
        <v>45107</v>
      </c>
      <c r="G566" t="s">
        <v>2105</v>
      </c>
      <c r="H566" t="s">
        <v>4547</v>
      </c>
      <c r="I566">
        <v>100</v>
      </c>
      <c r="J566">
        <v>131.71000671386719</v>
      </c>
      <c r="CD566">
        <v>54</v>
      </c>
      <c r="CE566">
        <v>41</v>
      </c>
    </row>
    <row r="567" spans="1:85" x14ac:dyDescent="0.3">
      <c r="A567">
        <v>414</v>
      </c>
      <c r="B567" t="s">
        <v>2103</v>
      </c>
      <c r="C567" t="s">
        <v>1263</v>
      </c>
      <c r="D567" t="s">
        <v>21</v>
      </c>
      <c r="E567" t="s">
        <v>22</v>
      </c>
      <c r="F567" s="30">
        <v>45107</v>
      </c>
      <c r="G567" t="s">
        <v>2105</v>
      </c>
      <c r="H567" t="s">
        <v>4548</v>
      </c>
      <c r="I567">
        <v>100</v>
      </c>
      <c r="J567">
        <v>125</v>
      </c>
      <c r="CD567">
        <v>70</v>
      </c>
      <c r="CE567">
        <v>56</v>
      </c>
    </row>
    <row r="568" spans="1:85" x14ac:dyDescent="0.3">
      <c r="A568">
        <v>414</v>
      </c>
      <c r="B568" t="s">
        <v>2103</v>
      </c>
      <c r="C568" t="s">
        <v>1263</v>
      </c>
      <c r="D568" t="s">
        <v>21</v>
      </c>
      <c r="E568" t="s">
        <v>22</v>
      </c>
      <c r="F568" s="30">
        <v>45107</v>
      </c>
      <c r="G568" t="s">
        <v>2105</v>
      </c>
      <c r="H568" t="s">
        <v>4549</v>
      </c>
      <c r="I568">
        <v>100</v>
      </c>
      <c r="J568">
        <v>107.69000244140619</v>
      </c>
      <c r="CD568">
        <v>56</v>
      </c>
      <c r="CE568">
        <v>52</v>
      </c>
    </row>
    <row r="569" spans="1:85" x14ac:dyDescent="0.3">
      <c r="A569">
        <v>414</v>
      </c>
      <c r="B569" t="s">
        <v>2103</v>
      </c>
      <c r="C569" t="s">
        <v>1263</v>
      </c>
      <c r="D569" t="s">
        <v>21</v>
      </c>
      <c r="E569" t="s">
        <v>22</v>
      </c>
      <c r="F569" s="30">
        <v>45107</v>
      </c>
      <c r="G569" t="s">
        <v>2105</v>
      </c>
      <c r="H569" t="s">
        <v>4550</v>
      </c>
      <c r="I569">
        <v>100</v>
      </c>
      <c r="J569">
        <v>100</v>
      </c>
      <c r="CD569">
        <v>66</v>
      </c>
      <c r="CE569">
        <v>66</v>
      </c>
    </row>
    <row r="570" spans="1:85" x14ac:dyDescent="0.3">
      <c r="A570">
        <v>415</v>
      </c>
      <c r="B570" t="s">
        <v>2116</v>
      </c>
      <c r="C570" t="s">
        <v>1263</v>
      </c>
      <c r="D570" t="s">
        <v>21</v>
      </c>
      <c r="E570" t="s">
        <v>22</v>
      </c>
      <c r="F570" s="30">
        <v>45107</v>
      </c>
      <c r="G570" t="s">
        <v>2118</v>
      </c>
      <c r="H570" t="s">
        <v>4551</v>
      </c>
      <c r="I570">
        <v>100</v>
      </c>
      <c r="J570">
        <v>82.540000915527344</v>
      </c>
      <c r="CF570">
        <v>52</v>
      </c>
      <c r="CG570">
        <v>63</v>
      </c>
    </row>
    <row r="571" spans="1:85" x14ac:dyDescent="0.3">
      <c r="A571">
        <v>415</v>
      </c>
      <c r="B571" t="s">
        <v>2116</v>
      </c>
      <c r="C571" t="s">
        <v>1263</v>
      </c>
      <c r="D571" t="s">
        <v>21</v>
      </c>
      <c r="E571" t="s">
        <v>22</v>
      </c>
      <c r="F571" s="30">
        <v>45107</v>
      </c>
      <c r="G571" t="s">
        <v>2118</v>
      </c>
      <c r="H571" t="s">
        <v>4552</v>
      </c>
      <c r="I571">
        <v>100</v>
      </c>
      <c r="J571">
        <v>106.8199996948242</v>
      </c>
      <c r="CF571">
        <v>94</v>
      </c>
      <c r="CG571">
        <v>88</v>
      </c>
    </row>
    <row r="572" spans="1:85" x14ac:dyDescent="0.3">
      <c r="A572">
        <v>415</v>
      </c>
      <c r="B572" t="s">
        <v>2116</v>
      </c>
      <c r="C572" t="s">
        <v>1263</v>
      </c>
      <c r="D572" t="s">
        <v>21</v>
      </c>
      <c r="E572" t="s">
        <v>22</v>
      </c>
      <c r="F572" s="30">
        <v>45107</v>
      </c>
      <c r="G572" t="s">
        <v>2118</v>
      </c>
      <c r="H572" t="s">
        <v>4553</v>
      </c>
      <c r="I572">
        <v>100</v>
      </c>
      <c r="J572">
        <v>63.790000915527337</v>
      </c>
      <c r="CF572">
        <v>37</v>
      </c>
      <c r="CG572">
        <v>58</v>
      </c>
    </row>
    <row r="573" spans="1:85" x14ac:dyDescent="0.3">
      <c r="A573">
        <v>415</v>
      </c>
      <c r="B573" t="s">
        <v>2116</v>
      </c>
      <c r="C573" t="s">
        <v>1263</v>
      </c>
      <c r="D573" t="s">
        <v>21</v>
      </c>
      <c r="E573" t="s">
        <v>22</v>
      </c>
      <c r="F573" s="30">
        <v>45107</v>
      </c>
      <c r="G573" t="s">
        <v>2118</v>
      </c>
      <c r="H573" t="s">
        <v>4554</v>
      </c>
      <c r="I573">
        <v>100</v>
      </c>
      <c r="J573">
        <v>86.209999084472656</v>
      </c>
      <c r="CF573">
        <v>50</v>
      </c>
      <c r="CG573">
        <v>58</v>
      </c>
    </row>
    <row r="574" spans="1:85" x14ac:dyDescent="0.3">
      <c r="A574">
        <v>415</v>
      </c>
      <c r="B574" t="s">
        <v>2116</v>
      </c>
      <c r="C574" t="s">
        <v>1263</v>
      </c>
      <c r="D574" t="s">
        <v>21</v>
      </c>
      <c r="E574" t="s">
        <v>22</v>
      </c>
      <c r="F574" s="30">
        <v>45107</v>
      </c>
      <c r="G574" t="s">
        <v>2118</v>
      </c>
      <c r="H574" t="s">
        <v>4555</v>
      </c>
      <c r="I574">
        <v>100</v>
      </c>
      <c r="J574">
        <v>120</v>
      </c>
      <c r="CF574">
        <v>24</v>
      </c>
      <c r="CG574">
        <v>20</v>
      </c>
    </row>
    <row r="575" spans="1:85" x14ac:dyDescent="0.3">
      <c r="A575">
        <v>415</v>
      </c>
      <c r="B575" t="s">
        <v>2116</v>
      </c>
      <c r="C575" t="s">
        <v>1263</v>
      </c>
      <c r="D575" t="s">
        <v>21</v>
      </c>
      <c r="E575" t="s">
        <v>22</v>
      </c>
      <c r="F575" s="30">
        <v>45107</v>
      </c>
      <c r="G575" t="s">
        <v>2118</v>
      </c>
      <c r="H575" t="s">
        <v>4556</v>
      </c>
      <c r="I575">
        <v>100</v>
      </c>
      <c r="J575">
        <v>116.6699981689453</v>
      </c>
      <c r="CF575">
        <v>63</v>
      </c>
      <c r="CG575">
        <v>54</v>
      </c>
    </row>
    <row r="576" spans="1:85" x14ac:dyDescent="0.3">
      <c r="A576">
        <v>415</v>
      </c>
      <c r="B576" t="s">
        <v>2116</v>
      </c>
      <c r="C576" t="s">
        <v>1263</v>
      </c>
      <c r="D576" t="s">
        <v>21</v>
      </c>
      <c r="E576" t="s">
        <v>22</v>
      </c>
      <c r="F576" s="30">
        <v>45107</v>
      </c>
      <c r="G576" t="s">
        <v>2118</v>
      </c>
      <c r="H576" t="s">
        <v>4557</v>
      </c>
      <c r="I576">
        <v>100</v>
      </c>
      <c r="J576">
        <v>82.260002136230469</v>
      </c>
      <c r="CF576">
        <v>51</v>
      </c>
      <c r="CG576">
        <v>62</v>
      </c>
    </row>
    <row r="577" spans="1:91" x14ac:dyDescent="0.3">
      <c r="A577">
        <v>416</v>
      </c>
      <c r="B577" t="s">
        <v>2129</v>
      </c>
      <c r="C577" t="s">
        <v>1263</v>
      </c>
      <c r="D577" t="s">
        <v>21</v>
      </c>
      <c r="E577" t="s">
        <v>22</v>
      </c>
      <c r="F577" s="30">
        <v>45107</v>
      </c>
      <c r="G577" t="s">
        <v>2131</v>
      </c>
      <c r="H577" t="s">
        <v>4558</v>
      </c>
      <c r="I577">
        <v>100</v>
      </c>
      <c r="J577">
        <v>98.410003662109375</v>
      </c>
      <c r="CH577">
        <v>62</v>
      </c>
      <c r="CI577">
        <v>63</v>
      </c>
    </row>
    <row r="578" spans="1:91" x14ac:dyDescent="0.3">
      <c r="A578">
        <v>416</v>
      </c>
      <c r="B578" t="s">
        <v>2129</v>
      </c>
      <c r="C578" t="s">
        <v>1263</v>
      </c>
      <c r="D578" t="s">
        <v>21</v>
      </c>
      <c r="E578" t="s">
        <v>22</v>
      </c>
      <c r="F578" s="30">
        <v>45107</v>
      </c>
      <c r="G578" t="s">
        <v>2131</v>
      </c>
      <c r="H578" t="s">
        <v>4559</v>
      </c>
      <c r="I578">
        <v>100</v>
      </c>
      <c r="J578">
        <v>93.589996337890625</v>
      </c>
      <c r="CH578">
        <v>73</v>
      </c>
      <c r="CI578">
        <v>78</v>
      </c>
    </row>
    <row r="579" spans="1:91" x14ac:dyDescent="0.3">
      <c r="A579">
        <v>417</v>
      </c>
      <c r="B579" t="s">
        <v>2142</v>
      </c>
      <c r="C579" t="s">
        <v>1263</v>
      </c>
      <c r="D579" t="s">
        <v>21</v>
      </c>
      <c r="E579" t="s">
        <v>22</v>
      </c>
      <c r="F579" s="30">
        <v>45107</v>
      </c>
      <c r="G579" t="s">
        <v>2144</v>
      </c>
      <c r="H579" t="s">
        <v>4560</v>
      </c>
      <c r="I579">
        <v>100</v>
      </c>
      <c r="J579">
        <v>112</v>
      </c>
      <c r="CJ579">
        <v>56</v>
      </c>
      <c r="CK579">
        <v>50</v>
      </c>
    </row>
    <row r="580" spans="1:91" x14ac:dyDescent="0.3">
      <c r="A580">
        <v>417</v>
      </c>
      <c r="B580" t="s">
        <v>2142</v>
      </c>
      <c r="C580" t="s">
        <v>1263</v>
      </c>
      <c r="D580" t="s">
        <v>21</v>
      </c>
      <c r="E580" t="s">
        <v>22</v>
      </c>
      <c r="F580" s="30">
        <v>45107</v>
      </c>
      <c r="G580" t="s">
        <v>2144</v>
      </c>
      <c r="H580" t="s">
        <v>4561</v>
      </c>
      <c r="I580">
        <v>100</v>
      </c>
      <c r="J580">
        <v>84.129997253417969</v>
      </c>
      <c r="CJ580">
        <v>53</v>
      </c>
      <c r="CK580">
        <v>63</v>
      </c>
    </row>
    <row r="581" spans="1:91" x14ac:dyDescent="0.3">
      <c r="A581">
        <v>417</v>
      </c>
      <c r="B581" t="s">
        <v>2142</v>
      </c>
      <c r="C581" t="s">
        <v>1263</v>
      </c>
      <c r="D581" t="s">
        <v>21</v>
      </c>
      <c r="E581" t="s">
        <v>22</v>
      </c>
      <c r="F581" s="30">
        <v>45107</v>
      </c>
      <c r="G581" t="s">
        <v>2144</v>
      </c>
      <c r="H581" t="s">
        <v>4562</v>
      </c>
      <c r="I581">
        <v>100</v>
      </c>
      <c r="J581">
        <v>132.13999938964841</v>
      </c>
      <c r="CJ581">
        <v>74</v>
      </c>
      <c r="CK581">
        <v>56</v>
      </c>
    </row>
    <row r="582" spans="1:91" x14ac:dyDescent="0.3">
      <c r="A582">
        <v>417</v>
      </c>
      <c r="B582" t="s">
        <v>2142</v>
      </c>
      <c r="C582" t="s">
        <v>1263</v>
      </c>
      <c r="D582" t="s">
        <v>21</v>
      </c>
      <c r="E582" t="s">
        <v>22</v>
      </c>
      <c r="F582" s="30">
        <v>45107</v>
      </c>
      <c r="G582" t="s">
        <v>2144</v>
      </c>
      <c r="H582" t="s">
        <v>4563</v>
      </c>
      <c r="I582">
        <v>100</v>
      </c>
      <c r="J582">
        <v>121.15000152587891</v>
      </c>
      <c r="CJ582">
        <v>63</v>
      </c>
      <c r="CK582">
        <v>52</v>
      </c>
    </row>
    <row r="583" spans="1:91" x14ac:dyDescent="0.3">
      <c r="A583">
        <v>417</v>
      </c>
      <c r="B583" t="s">
        <v>2142</v>
      </c>
      <c r="C583" t="s">
        <v>1263</v>
      </c>
      <c r="D583" t="s">
        <v>21</v>
      </c>
      <c r="E583" t="s">
        <v>22</v>
      </c>
      <c r="F583" s="30">
        <v>45107</v>
      </c>
      <c r="G583" t="s">
        <v>2144</v>
      </c>
      <c r="H583" t="s">
        <v>4564</v>
      </c>
      <c r="I583">
        <v>100</v>
      </c>
      <c r="J583">
        <v>111.36000061035161</v>
      </c>
      <c r="CJ583">
        <v>49</v>
      </c>
      <c r="CK583">
        <v>44</v>
      </c>
    </row>
    <row r="584" spans="1:91" x14ac:dyDescent="0.3">
      <c r="A584">
        <v>417</v>
      </c>
      <c r="B584" t="s">
        <v>2142</v>
      </c>
      <c r="C584" t="s">
        <v>1263</v>
      </c>
      <c r="D584" t="s">
        <v>21</v>
      </c>
      <c r="E584" t="s">
        <v>22</v>
      </c>
      <c r="F584" s="30">
        <v>45107</v>
      </c>
      <c r="G584" t="s">
        <v>2144</v>
      </c>
      <c r="H584" t="s">
        <v>4565</v>
      </c>
      <c r="I584">
        <v>100</v>
      </c>
      <c r="J584">
        <v>103.23000335693359</v>
      </c>
      <c r="CJ584">
        <v>64</v>
      </c>
      <c r="CK584">
        <v>62</v>
      </c>
    </row>
    <row r="585" spans="1:91" x14ac:dyDescent="0.3">
      <c r="A585">
        <v>418</v>
      </c>
      <c r="B585" t="s">
        <v>2155</v>
      </c>
      <c r="C585" t="s">
        <v>1263</v>
      </c>
      <c r="D585" t="s">
        <v>21</v>
      </c>
      <c r="E585" t="s">
        <v>22</v>
      </c>
      <c r="F585" s="30">
        <v>45107</v>
      </c>
      <c r="G585" t="s">
        <v>2157</v>
      </c>
      <c r="H585" t="s">
        <v>4566</v>
      </c>
      <c r="I585">
        <v>100</v>
      </c>
      <c r="J585">
        <v>106.98000335693359</v>
      </c>
      <c r="CL585">
        <v>46</v>
      </c>
      <c r="CM585">
        <v>43</v>
      </c>
    </row>
    <row r="586" spans="1:91" x14ac:dyDescent="0.3">
      <c r="A586">
        <v>418</v>
      </c>
      <c r="B586" t="s">
        <v>2155</v>
      </c>
      <c r="C586" t="s">
        <v>1263</v>
      </c>
      <c r="D586" t="s">
        <v>21</v>
      </c>
      <c r="E586" t="s">
        <v>22</v>
      </c>
      <c r="F586" s="30">
        <v>45107</v>
      </c>
      <c r="G586" t="s">
        <v>2157</v>
      </c>
      <c r="H586" t="s">
        <v>4567</v>
      </c>
      <c r="I586">
        <v>100</v>
      </c>
      <c r="J586">
        <v>51.279998779296882</v>
      </c>
      <c r="CL586">
        <v>20</v>
      </c>
      <c r="CM586">
        <v>39</v>
      </c>
    </row>
    <row r="587" spans="1:91" x14ac:dyDescent="0.3">
      <c r="A587">
        <v>418</v>
      </c>
      <c r="B587" t="s">
        <v>2155</v>
      </c>
      <c r="C587" t="s">
        <v>1263</v>
      </c>
      <c r="D587" t="s">
        <v>21</v>
      </c>
      <c r="E587" t="s">
        <v>22</v>
      </c>
      <c r="F587" s="30">
        <v>45107</v>
      </c>
      <c r="G587" t="s">
        <v>2157</v>
      </c>
      <c r="H587" t="s">
        <v>4568</v>
      </c>
      <c r="I587">
        <v>100</v>
      </c>
      <c r="J587">
        <v>112.5</v>
      </c>
      <c r="CL587">
        <v>63</v>
      </c>
      <c r="CM587">
        <v>56</v>
      </c>
    </row>
    <row r="588" spans="1:91" x14ac:dyDescent="0.3">
      <c r="A588">
        <v>418</v>
      </c>
      <c r="B588" t="s">
        <v>2155</v>
      </c>
      <c r="C588" t="s">
        <v>1263</v>
      </c>
      <c r="D588" t="s">
        <v>21</v>
      </c>
      <c r="E588" t="s">
        <v>22</v>
      </c>
      <c r="F588" s="30">
        <v>45107</v>
      </c>
      <c r="G588" t="s">
        <v>2157</v>
      </c>
      <c r="H588" t="s">
        <v>4569</v>
      </c>
      <c r="I588">
        <v>100</v>
      </c>
      <c r="J588">
        <v>91.040000915527344</v>
      </c>
      <c r="CL588">
        <v>61</v>
      </c>
      <c r="CM588">
        <v>67</v>
      </c>
    </row>
    <row r="589" spans="1:91" x14ac:dyDescent="0.3">
      <c r="A589">
        <v>418</v>
      </c>
      <c r="B589" t="s">
        <v>2155</v>
      </c>
      <c r="C589" t="s">
        <v>1263</v>
      </c>
      <c r="D589" t="s">
        <v>21</v>
      </c>
      <c r="E589" t="s">
        <v>22</v>
      </c>
      <c r="F589" s="30">
        <v>45107</v>
      </c>
      <c r="G589" t="s">
        <v>2157</v>
      </c>
      <c r="H589" t="s">
        <v>4570</v>
      </c>
      <c r="I589">
        <v>100</v>
      </c>
      <c r="J589">
        <v>125</v>
      </c>
      <c r="CL589">
        <v>70</v>
      </c>
      <c r="CM589">
        <v>56</v>
      </c>
    </row>
    <row r="590" spans="1:91" x14ac:dyDescent="0.3">
      <c r="A590">
        <v>418</v>
      </c>
      <c r="B590" t="s">
        <v>2155</v>
      </c>
      <c r="C590" t="s">
        <v>1263</v>
      </c>
      <c r="D590" t="s">
        <v>21</v>
      </c>
      <c r="E590" t="s">
        <v>22</v>
      </c>
      <c r="F590" s="30">
        <v>45107</v>
      </c>
      <c r="G590" t="s">
        <v>2157</v>
      </c>
      <c r="H590" t="s">
        <v>4571</v>
      </c>
      <c r="I590">
        <v>100</v>
      </c>
      <c r="J590">
        <v>117.86000061035161</v>
      </c>
      <c r="CL590">
        <v>66</v>
      </c>
      <c r="CM590">
        <v>56</v>
      </c>
    </row>
    <row r="591" spans="1:91" x14ac:dyDescent="0.3">
      <c r="A591">
        <v>418</v>
      </c>
      <c r="B591" t="s">
        <v>2155</v>
      </c>
      <c r="C591" t="s">
        <v>1263</v>
      </c>
      <c r="D591" t="s">
        <v>21</v>
      </c>
      <c r="E591" t="s">
        <v>22</v>
      </c>
      <c r="F591" s="30">
        <v>45107</v>
      </c>
      <c r="G591" t="s">
        <v>2157</v>
      </c>
      <c r="H591" t="s">
        <v>4572</v>
      </c>
      <c r="I591">
        <v>100</v>
      </c>
      <c r="J591">
        <v>113.11000061035161</v>
      </c>
      <c r="CL591">
        <v>69</v>
      </c>
      <c r="CM591">
        <v>61</v>
      </c>
    </row>
    <row r="592" spans="1:91" x14ac:dyDescent="0.3">
      <c r="A592">
        <v>418</v>
      </c>
      <c r="B592" t="s">
        <v>2155</v>
      </c>
      <c r="C592" t="s">
        <v>1263</v>
      </c>
      <c r="D592" t="s">
        <v>21</v>
      </c>
      <c r="E592" t="s">
        <v>22</v>
      </c>
      <c r="F592" s="30">
        <v>45107</v>
      </c>
      <c r="G592" t="s">
        <v>2157</v>
      </c>
      <c r="H592" t="s">
        <v>4573</v>
      </c>
      <c r="I592">
        <v>100</v>
      </c>
      <c r="J592">
        <v>103.129997253418</v>
      </c>
      <c r="CL592">
        <v>66</v>
      </c>
      <c r="CM592">
        <v>64</v>
      </c>
    </row>
    <row r="593" spans="1:93" x14ac:dyDescent="0.3">
      <c r="A593">
        <v>418</v>
      </c>
      <c r="B593" t="s">
        <v>2155</v>
      </c>
      <c r="C593" t="s">
        <v>1263</v>
      </c>
      <c r="D593" t="s">
        <v>21</v>
      </c>
      <c r="E593" t="s">
        <v>22</v>
      </c>
      <c r="F593" s="30">
        <v>45107</v>
      </c>
      <c r="G593" t="s">
        <v>2157</v>
      </c>
      <c r="H593" t="s">
        <v>4528</v>
      </c>
      <c r="I593">
        <v>100</v>
      </c>
      <c r="J593">
        <v>118.30999755859381</v>
      </c>
      <c r="CL593">
        <v>84</v>
      </c>
      <c r="CM593">
        <v>71</v>
      </c>
    </row>
    <row r="594" spans="1:93" x14ac:dyDescent="0.3">
      <c r="A594">
        <v>420</v>
      </c>
      <c r="B594" t="s">
        <v>2172</v>
      </c>
      <c r="C594" t="s">
        <v>1263</v>
      </c>
      <c r="D594" t="s">
        <v>21</v>
      </c>
      <c r="E594" t="s">
        <v>22</v>
      </c>
      <c r="F594" s="30">
        <v>45107</v>
      </c>
      <c r="G594" t="s">
        <v>2174</v>
      </c>
      <c r="H594" t="s">
        <v>4574</v>
      </c>
      <c r="I594">
        <v>100</v>
      </c>
      <c r="J594">
        <v>93.44000244140625</v>
      </c>
      <c r="CN594">
        <v>47.47</v>
      </c>
      <c r="CO594">
        <v>50.8</v>
      </c>
    </row>
    <row r="595" spans="1:93" x14ac:dyDescent="0.3">
      <c r="A595">
        <v>420</v>
      </c>
      <c r="B595" t="s">
        <v>2172</v>
      </c>
      <c r="C595" t="s">
        <v>1263</v>
      </c>
      <c r="D595" t="s">
        <v>21</v>
      </c>
      <c r="E595" t="s">
        <v>22</v>
      </c>
      <c r="F595" s="30">
        <v>45107</v>
      </c>
      <c r="G595" t="s">
        <v>2174</v>
      </c>
      <c r="H595" t="s">
        <v>4575</v>
      </c>
      <c r="I595">
        <v>100</v>
      </c>
      <c r="J595">
        <v>169.49000549316409</v>
      </c>
      <c r="CN595">
        <v>54</v>
      </c>
      <c r="CO595">
        <v>31.86</v>
      </c>
    </row>
    <row r="596" spans="1:93" x14ac:dyDescent="0.3">
      <c r="A596">
        <v>420</v>
      </c>
      <c r="B596" t="s">
        <v>2172</v>
      </c>
      <c r="C596" t="s">
        <v>1263</v>
      </c>
      <c r="D596" t="s">
        <v>21</v>
      </c>
      <c r="E596" t="s">
        <v>22</v>
      </c>
      <c r="F596" s="30">
        <v>45107</v>
      </c>
      <c r="G596" t="s">
        <v>2174</v>
      </c>
      <c r="H596" t="s">
        <v>4576</v>
      </c>
      <c r="I596">
        <v>100</v>
      </c>
      <c r="J596">
        <v>114.870002746582</v>
      </c>
      <c r="CN596">
        <v>17.3</v>
      </c>
      <c r="CO596">
        <v>15.06</v>
      </c>
    </row>
    <row r="597" spans="1:93" x14ac:dyDescent="0.3">
      <c r="A597">
        <v>420</v>
      </c>
      <c r="B597" t="s">
        <v>2172</v>
      </c>
      <c r="C597" t="s">
        <v>1263</v>
      </c>
      <c r="D597" t="s">
        <v>21</v>
      </c>
      <c r="E597" t="s">
        <v>22</v>
      </c>
      <c r="F597" s="30">
        <v>45107</v>
      </c>
      <c r="G597" t="s">
        <v>2174</v>
      </c>
      <c r="H597" t="s">
        <v>4577</v>
      </c>
      <c r="I597">
        <v>100</v>
      </c>
      <c r="J597">
        <v>82.519996643066406</v>
      </c>
      <c r="CN597">
        <v>47.72</v>
      </c>
      <c r="CO597">
        <v>57.83</v>
      </c>
    </row>
    <row r="598" spans="1:93" x14ac:dyDescent="0.3">
      <c r="A598">
        <v>420</v>
      </c>
      <c r="B598" t="s">
        <v>2172</v>
      </c>
      <c r="C598" t="s">
        <v>1263</v>
      </c>
      <c r="D598" t="s">
        <v>21</v>
      </c>
      <c r="E598" t="s">
        <v>22</v>
      </c>
      <c r="F598" s="30">
        <v>45107</v>
      </c>
      <c r="G598" t="s">
        <v>2174</v>
      </c>
      <c r="H598" t="s">
        <v>4578</v>
      </c>
      <c r="I598">
        <v>100</v>
      </c>
      <c r="J598">
        <v>104.51999664306641</v>
      </c>
      <c r="CN598">
        <v>41.15</v>
      </c>
      <c r="CO598">
        <v>39.369999999999997</v>
      </c>
    </row>
    <row r="599" spans="1:93" x14ac:dyDescent="0.3">
      <c r="A599">
        <v>208</v>
      </c>
      <c r="B599" t="s">
        <v>707</v>
      </c>
      <c r="C599" t="s">
        <v>251</v>
      </c>
      <c r="D599" t="s">
        <v>73</v>
      </c>
      <c r="E599" t="s">
        <v>56</v>
      </c>
      <c r="F599" s="30">
        <v>45138</v>
      </c>
      <c r="G599" t="s">
        <v>727</v>
      </c>
      <c r="H599" t="s">
        <v>4468</v>
      </c>
      <c r="I599">
        <v>1</v>
      </c>
      <c r="J599">
        <v>658</v>
      </c>
      <c r="K599">
        <v>658</v>
      </c>
    </row>
    <row r="600" spans="1:93" x14ac:dyDescent="0.3">
      <c r="A600">
        <v>208</v>
      </c>
      <c r="B600" t="s">
        <v>707</v>
      </c>
      <c r="C600" t="s">
        <v>251</v>
      </c>
      <c r="D600" t="s">
        <v>73</v>
      </c>
      <c r="E600" t="s">
        <v>56</v>
      </c>
      <c r="F600" s="30">
        <v>45138</v>
      </c>
      <c r="G600" t="s">
        <v>727</v>
      </c>
      <c r="H600" t="s">
        <v>4470</v>
      </c>
      <c r="I600">
        <v>1</v>
      </c>
      <c r="J600">
        <v>391</v>
      </c>
      <c r="K600">
        <v>391</v>
      </c>
    </row>
    <row r="601" spans="1:93" x14ac:dyDescent="0.3">
      <c r="A601">
        <v>208</v>
      </c>
      <c r="B601" t="s">
        <v>707</v>
      </c>
      <c r="C601" t="s">
        <v>251</v>
      </c>
      <c r="D601" t="s">
        <v>73</v>
      </c>
      <c r="E601" t="s">
        <v>56</v>
      </c>
      <c r="F601" s="30">
        <v>45138</v>
      </c>
      <c r="G601" t="s">
        <v>727</v>
      </c>
      <c r="H601" t="s">
        <v>4477</v>
      </c>
      <c r="I601">
        <v>1</v>
      </c>
      <c r="J601">
        <v>0</v>
      </c>
      <c r="K601">
        <v>0</v>
      </c>
    </row>
    <row r="602" spans="1:93" x14ac:dyDescent="0.3">
      <c r="A602">
        <v>208</v>
      </c>
      <c r="B602" t="s">
        <v>707</v>
      </c>
      <c r="C602" t="s">
        <v>251</v>
      </c>
      <c r="D602" t="s">
        <v>73</v>
      </c>
      <c r="E602" t="s">
        <v>56</v>
      </c>
      <c r="F602" s="30">
        <v>45138</v>
      </c>
      <c r="G602" t="s">
        <v>727</v>
      </c>
      <c r="H602" t="s">
        <v>4469</v>
      </c>
      <c r="I602">
        <v>1</v>
      </c>
      <c r="J602">
        <v>100</v>
      </c>
      <c r="K602">
        <v>100</v>
      </c>
    </row>
    <row r="603" spans="1:93" x14ac:dyDescent="0.3">
      <c r="A603">
        <v>208</v>
      </c>
      <c r="B603" t="s">
        <v>707</v>
      </c>
      <c r="C603" t="s">
        <v>251</v>
      </c>
      <c r="D603" t="s">
        <v>73</v>
      </c>
      <c r="E603" t="s">
        <v>56</v>
      </c>
      <c r="F603" s="30">
        <v>45138</v>
      </c>
      <c r="G603" t="s">
        <v>727</v>
      </c>
      <c r="H603" t="s">
        <v>4476</v>
      </c>
      <c r="I603">
        <v>0</v>
      </c>
      <c r="J603">
        <v>0</v>
      </c>
      <c r="K603">
        <v>0</v>
      </c>
    </row>
    <row r="604" spans="1:93" x14ac:dyDescent="0.3">
      <c r="A604">
        <v>208</v>
      </c>
      <c r="B604" t="s">
        <v>707</v>
      </c>
      <c r="C604" t="s">
        <v>251</v>
      </c>
      <c r="D604" t="s">
        <v>73</v>
      </c>
      <c r="E604" t="s">
        <v>56</v>
      </c>
      <c r="F604" s="30">
        <v>45138</v>
      </c>
      <c r="G604" t="s">
        <v>727</v>
      </c>
      <c r="H604" t="s">
        <v>4478</v>
      </c>
      <c r="I604">
        <v>1</v>
      </c>
      <c r="J604">
        <v>11</v>
      </c>
      <c r="K604">
        <v>11</v>
      </c>
    </row>
    <row r="605" spans="1:93" x14ac:dyDescent="0.3">
      <c r="A605">
        <v>214</v>
      </c>
      <c r="B605" t="s">
        <v>774</v>
      </c>
      <c r="C605" t="s">
        <v>251</v>
      </c>
      <c r="D605" t="s">
        <v>73</v>
      </c>
      <c r="E605" t="s">
        <v>56</v>
      </c>
      <c r="F605" s="30">
        <v>45138</v>
      </c>
      <c r="G605" t="s">
        <v>794</v>
      </c>
      <c r="H605" t="s">
        <v>4468</v>
      </c>
      <c r="I605">
        <v>7500</v>
      </c>
      <c r="J605">
        <v>1022.700012207031</v>
      </c>
      <c r="L605">
        <v>459</v>
      </c>
      <c r="M605">
        <v>563.70000000000005</v>
      </c>
    </row>
    <row r="606" spans="1:93" x14ac:dyDescent="0.3">
      <c r="A606">
        <v>214</v>
      </c>
      <c r="B606" t="s">
        <v>774</v>
      </c>
      <c r="C606" t="s">
        <v>251</v>
      </c>
      <c r="D606" t="s">
        <v>73</v>
      </c>
      <c r="E606" t="s">
        <v>56</v>
      </c>
      <c r="F606" s="30">
        <v>45138</v>
      </c>
      <c r="G606" t="s">
        <v>794</v>
      </c>
      <c r="H606" t="s">
        <v>4470</v>
      </c>
      <c r="I606">
        <v>7500</v>
      </c>
      <c r="J606">
        <v>472.29998779296881</v>
      </c>
      <c r="L606">
        <v>0</v>
      </c>
      <c r="M606">
        <v>472.3</v>
      </c>
    </row>
    <row r="607" spans="1:93" x14ac:dyDescent="0.3">
      <c r="A607">
        <v>214</v>
      </c>
      <c r="B607" t="s">
        <v>774</v>
      </c>
      <c r="C607" t="s">
        <v>251</v>
      </c>
      <c r="D607" t="s">
        <v>73</v>
      </c>
      <c r="E607" t="s">
        <v>56</v>
      </c>
      <c r="F607" s="30">
        <v>45138</v>
      </c>
      <c r="G607" t="s">
        <v>794</v>
      </c>
      <c r="H607" t="s">
        <v>4469</v>
      </c>
      <c r="I607">
        <v>7500</v>
      </c>
      <c r="J607">
        <v>662.5</v>
      </c>
      <c r="L607">
        <v>69.400000000000006</v>
      </c>
      <c r="M607">
        <v>593.1</v>
      </c>
    </row>
    <row r="608" spans="1:93" x14ac:dyDescent="0.3">
      <c r="A608">
        <v>217</v>
      </c>
      <c r="B608" t="s">
        <v>840</v>
      </c>
      <c r="C608" t="s">
        <v>251</v>
      </c>
      <c r="D608" t="s">
        <v>73</v>
      </c>
      <c r="E608" t="s">
        <v>22</v>
      </c>
      <c r="F608" s="30">
        <v>45138</v>
      </c>
      <c r="G608" t="s">
        <v>858</v>
      </c>
      <c r="H608" t="s">
        <v>4468</v>
      </c>
      <c r="I608">
        <v>20</v>
      </c>
      <c r="J608">
        <v>44.880001068115227</v>
      </c>
      <c r="L608">
        <v>459</v>
      </c>
      <c r="M608">
        <v>563.70000000000005</v>
      </c>
      <c r="AS608">
        <v>459</v>
      </c>
    </row>
    <row r="609" spans="1:47" x14ac:dyDescent="0.3">
      <c r="A609">
        <v>217</v>
      </c>
      <c r="B609" t="s">
        <v>840</v>
      </c>
      <c r="C609" t="s">
        <v>251</v>
      </c>
      <c r="D609" t="s">
        <v>73</v>
      </c>
      <c r="E609" t="s">
        <v>22</v>
      </c>
      <c r="F609" s="30">
        <v>45138</v>
      </c>
      <c r="G609" t="s">
        <v>858</v>
      </c>
      <c r="H609" t="s">
        <v>4470</v>
      </c>
      <c r="I609">
        <v>20</v>
      </c>
      <c r="J609">
        <v>0</v>
      </c>
      <c r="L609">
        <v>0</v>
      </c>
      <c r="M609">
        <v>472.3</v>
      </c>
      <c r="AS609">
        <v>0</v>
      </c>
    </row>
    <row r="610" spans="1:47" x14ac:dyDescent="0.3">
      <c r="A610">
        <v>217</v>
      </c>
      <c r="B610" t="s">
        <v>840</v>
      </c>
      <c r="C610" t="s">
        <v>251</v>
      </c>
      <c r="D610" t="s">
        <v>73</v>
      </c>
      <c r="E610" t="s">
        <v>22</v>
      </c>
      <c r="F610" s="30">
        <v>45138</v>
      </c>
      <c r="G610" t="s">
        <v>858</v>
      </c>
      <c r="H610" t="s">
        <v>4469</v>
      </c>
      <c r="I610">
        <v>20</v>
      </c>
      <c r="J610">
        <v>10.47999954223633</v>
      </c>
      <c r="L610">
        <v>69.400000000000006</v>
      </c>
      <c r="M610">
        <v>593.1</v>
      </c>
      <c r="AS610">
        <v>69.400000000000006</v>
      </c>
    </row>
    <row r="611" spans="1:47" x14ac:dyDescent="0.3">
      <c r="A611">
        <v>218</v>
      </c>
      <c r="B611" t="s">
        <v>888</v>
      </c>
      <c r="C611" t="s">
        <v>251</v>
      </c>
      <c r="D611" t="s">
        <v>73</v>
      </c>
      <c r="E611" t="s">
        <v>56</v>
      </c>
      <c r="F611" s="30">
        <v>45138</v>
      </c>
      <c r="G611" t="s">
        <v>908</v>
      </c>
      <c r="H611" t="s">
        <v>4468</v>
      </c>
      <c r="I611">
        <v>172000</v>
      </c>
      <c r="J611">
        <v>56025</v>
      </c>
      <c r="N611">
        <v>56025</v>
      </c>
    </row>
    <row r="612" spans="1:47" x14ac:dyDescent="0.3">
      <c r="A612">
        <v>218</v>
      </c>
      <c r="B612" t="s">
        <v>888</v>
      </c>
      <c r="C612" t="s">
        <v>251</v>
      </c>
      <c r="D612" t="s">
        <v>73</v>
      </c>
      <c r="E612" t="s">
        <v>56</v>
      </c>
      <c r="F612" s="30">
        <v>45138</v>
      </c>
      <c r="G612" t="s">
        <v>908</v>
      </c>
      <c r="H612" t="s">
        <v>4470</v>
      </c>
      <c r="I612">
        <v>172000</v>
      </c>
      <c r="J612">
        <v>41610</v>
      </c>
      <c r="N612">
        <v>41610</v>
      </c>
    </row>
    <row r="613" spans="1:47" x14ac:dyDescent="0.3">
      <c r="A613">
        <v>218</v>
      </c>
      <c r="B613" t="s">
        <v>888</v>
      </c>
      <c r="C613" t="s">
        <v>251</v>
      </c>
      <c r="D613" t="s">
        <v>73</v>
      </c>
      <c r="E613" t="s">
        <v>56</v>
      </c>
      <c r="F613" s="30">
        <v>45138</v>
      </c>
      <c r="G613" t="s">
        <v>908</v>
      </c>
      <c r="H613" t="s">
        <v>4469</v>
      </c>
      <c r="I613">
        <v>172000</v>
      </c>
      <c r="J613">
        <v>23343</v>
      </c>
      <c r="N613">
        <v>23343</v>
      </c>
    </row>
    <row r="614" spans="1:47" x14ac:dyDescent="0.3">
      <c r="A614">
        <v>218</v>
      </c>
      <c r="B614" t="s">
        <v>888</v>
      </c>
      <c r="C614" t="s">
        <v>251</v>
      </c>
      <c r="D614" t="s">
        <v>73</v>
      </c>
      <c r="E614" t="s">
        <v>56</v>
      </c>
      <c r="F614" s="30">
        <v>45138</v>
      </c>
      <c r="G614" t="s">
        <v>908</v>
      </c>
      <c r="H614" t="s">
        <v>4476</v>
      </c>
      <c r="I614">
        <v>172000</v>
      </c>
      <c r="J614">
        <v>3240</v>
      </c>
      <c r="N614">
        <v>3240</v>
      </c>
    </row>
    <row r="615" spans="1:47" x14ac:dyDescent="0.3">
      <c r="A615">
        <v>218</v>
      </c>
      <c r="B615" t="s">
        <v>888</v>
      </c>
      <c r="C615" t="s">
        <v>251</v>
      </c>
      <c r="D615" t="s">
        <v>73</v>
      </c>
      <c r="E615" t="s">
        <v>56</v>
      </c>
      <c r="F615" s="30">
        <v>45138</v>
      </c>
      <c r="G615" t="s">
        <v>908</v>
      </c>
      <c r="H615" t="s">
        <v>4478</v>
      </c>
      <c r="I615">
        <v>172000</v>
      </c>
      <c r="J615">
        <v>1268</v>
      </c>
      <c r="N615">
        <v>1268</v>
      </c>
    </row>
    <row r="616" spans="1:47" x14ac:dyDescent="0.3">
      <c r="A616">
        <v>225</v>
      </c>
      <c r="B616" t="s">
        <v>976</v>
      </c>
      <c r="C616" t="s">
        <v>251</v>
      </c>
      <c r="D616" t="s">
        <v>73</v>
      </c>
      <c r="E616" t="s">
        <v>22</v>
      </c>
      <c r="F616" s="30">
        <v>45138</v>
      </c>
      <c r="G616" t="s">
        <v>995</v>
      </c>
      <c r="H616" t="s">
        <v>4468</v>
      </c>
      <c r="I616">
        <v>1</v>
      </c>
      <c r="J616">
        <v>5</v>
      </c>
      <c r="AT616">
        <v>5</v>
      </c>
    </row>
    <row r="617" spans="1:47" x14ac:dyDescent="0.3">
      <c r="A617">
        <v>225</v>
      </c>
      <c r="B617" t="s">
        <v>976</v>
      </c>
      <c r="C617" t="s">
        <v>251</v>
      </c>
      <c r="D617" t="s">
        <v>73</v>
      </c>
      <c r="E617" t="s">
        <v>22</v>
      </c>
      <c r="F617" s="30">
        <v>45138</v>
      </c>
      <c r="G617" t="s">
        <v>995</v>
      </c>
      <c r="H617" t="s">
        <v>4470</v>
      </c>
      <c r="I617">
        <v>1</v>
      </c>
      <c r="J617">
        <v>3</v>
      </c>
      <c r="AT617">
        <v>3</v>
      </c>
    </row>
    <row r="618" spans="1:47" x14ac:dyDescent="0.3">
      <c r="A618">
        <v>225</v>
      </c>
      <c r="B618" t="s">
        <v>976</v>
      </c>
      <c r="C618" t="s">
        <v>251</v>
      </c>
      <c r="D618" t="s">
        <v>73</v>
      </c>
      <c r="E618" t="s">
        <v>22</v>
      </c>
      <c r="F618" s="30">
        <v>45138</v>
      </c>
      <c r="G618" t="s">
        <v>995</v>
      </c>
      <c r="H618" t="s">
        <v>4477</v>
      </c>
      <c r="I618">
        <v>1</v>
      </c>
      <c r="J618">
        <v>0</v>
      </c>
      <c r="AT618">
        <v>0</v>
      </c>
    </row>
    <row r="619" spans="1:47" x14ac:dyDescent="0.3">
      <c r="A619">
        <v>225</v>
      </c>
      <c r="B619" t="s">
        <v>976</v>
      </c>
      <c r="C619" t="s">
        <v>251</v>
      </c>
      <c r="D619" t="s">
        <v>73</v>
      </c>
      <c r="E619" t="s">
        <v>22</v>
      </c>
      <c r="F619" s="30">
        <v>45138</v>
      </c>
      <c r="G619" t="s">
        <v>995</v>
      </c>
      <c r="H619" t="s">
        <v>4469</v>
      </c>
      <c r="I619">
        <v>1</v>
      </c>
      <c r="J619">
        <v>10</v>
      </c>
      <c r="AT619">
        <v>10</v>
      </c>
    </row>
    <row r="620" spans="1:47" x14ac:dyDescent="0.3">
      <c r="A620">
        <v>225</v>
      </c>
      <c r="B620" t="s">
        <v>976</v>
      </c>
      <c r="C620" t="s">
        <v>251</v>
      </c>
      <c r="D620" t="s">
        <v>73</v>
      </c>
      <c r="E620" t="s">
        <v>22</v>
      </c>
      <c r="F620" s="30">
        <v>45138</v>
      </c>
      <c r="G620" t="s">
        <v>995</v>
      </c>
      <c r="H620" t="s">
        <v>4476</v>
      </c>
      <c r="I620">
        <v>1</v>
      </c>
      <c r="J620">
        <v>1</v>
      </c>
      <c r="AT620">
        <v>1</v>
      </c>
    </row>
    <row r="621" spans="1:47" x14ac:dyDescent="0.3">
      <c r="A621">
        <v>225</v>
      </c>
      <c r="B621" t="s">
        <v>976</v>
      </c>
      <c r="C621" t="s">
        <v>251</v>
      </c>
      <c r="D621" t="s">
        <v>73</v>
      </c>
      <c r="E621" t="s">
        <v>22</v>
      </c>
      <c r="F621" s="30">
        <v>45138</v>
      </c>
      <c r="G621" t="s">
        <v>995</v>
      </c>
      <c r="H621" t="s">
        <v>4478</v>
      </c>
      <c r="I621">
        <v>1</v>
      </c>
      <c r="J621">
        <v>1</v>
      </c>
      <c r="AT621">
        <v>1</v>
      </c>
    </row>
    <row r="622" spans="1:47" x14ac:dyDescent="0.3">
      <c r="A622">
        <v>239</v>
      </c>
      <c r="B622" t="s">
        <v>1095</v>
      </c>
      <c r="C622" t="s">
        <v>1096</v>
      </c>
      <c r="D622" t="s">
        <v>73</v>
      </c>
      <c r="E622" t="s">
        <v>22</v>
      </c>
      <c r="F622" s="30">
        <v>45138</v>
      </c>
      <c r="G622" t="s">
        <v>1116</v>
      </c>
      <c r="H622" t="s">
        <v>4479</v>
      </c>
      <c r="J622">
        <v>1</v>
      </c>
      <c r="AU622">
        <v>1</v>
      </c>
    </row>
    <row r="623" spans="1:47" x14ac:dyDescent="0.3">
      <c r="A623">
        <v>239</v>
      </c>
      <c r="B623" t="s">
        <v>1095</v>
      </c>
      <c r="C623" t="s">
        <v>1096</v>
      </c>
      <c r="D623" t="s">
        <v>73</v>
      </c>
      <c r="E623" t="s">
        <v>22</v>
      </c>
      <c r="F623" s="30">
        <v>45138</v>
      </c>
      <c r="G623" t="s">
        <v>1116</v>
      </c>
      <c r="H623" t="s">
        <v>3622</v>
      </c>
      <c r="J623">
        <v>12</v>
      </c>
      <c r="AU623">
        <v>12</v>
      </c>
    </row>
    <row r="624" spans="1:47" x14ac:dyDescent="0.3">
      <c r="A624">
        <v>239</v>
      </c>
      <c r="B624" t="s">
        <v>1095</v>
      </c>
      <c r="C624" t="s">
        <v>1096</v>
      </c>
      <c r="D624" t="s">
        <v>73</v>
      </c>
      <c r="E624" t="s">
        <v>22</v>
      </c>
      <c r="F624" s="30">
        <v>45138</v>
      </c>
      <c r="G624" t="s">
        <v>1116</v>
      </c>
      <c r="H624" t="s">
        <v>4481</v>
      </c>
      <c r="J624">
        <v>5</v>
      </c>
      <c r="AU624">
        <v>5</v>
      </c>
    </row>
    <row r="625" spans="1:94" x14ac:dyDescent="0.3">
      <c r="A625">
        <v>434</v>
      </c>
      <c r="B625" t="s">
        <v>2267</v>
      </c>
      <c r="C625" t="s">
        <v>251</v>
      </c>
      <c r="D625" t="s">
        <v>73</v>
      </c>
      <c r="E625" t="s">
        <v>56</v>
      </c>
      <c r="F625" s="30">
        <v>45138</v>
      </c>
      <c r="G625" t="s">
        <v>2274</v>
      </c>
      <c r="H625" t="s">
        <v>4468</v>
      </c>
      <c r="I625">
        <v>200</v>
      </c>
      <c r="J625">
        <v>0</v>
      </c>
      <c r="AV625">
        <v>0</v>
      </c>
    </row>
    <row r="626" spans="1:94" x14ac:dyDescent="0.3">
      <c r="A626">
        <v>434</v>
      </c>
      <c r="B626" t="s">
        <v>2267</v>
      </c>
      <c r="C626" t="s">
        <v>251</v>
      </c>
      <c r="D626" t="s">
        <v>73</v>
      </c>
      <c r="E626" t="s">
        <v>56</v>
      </c>
      <c r="F626" s="30">
        <v>45138</v>
      </c>
      <c r="G626" t="s">
        <v>2274</v>
      </c>
      <c r="H626" t="s">
        <v>4470</v>
      </c>
      <c r="I626">
        <v>200</v>
      </c>
      <c r="J626">
        <v>0</v>
      </c>
      <c r="AV626">
        <v>0</v>
      </c>
    </row>
    <row r="627" spans="1:94" x14ac:dyDescent="0.3">
      <c r="A627">
        <v>434</v>
      </c>
      <c r="B627" t="s">
        <v>2267</v>
      </c>
      <c r="C627" t="s">
        <v>251</v>
      </c>
      <c r="D627" t="s">
        <v>73</v>
      </c>
      <c r="E627" t="s">
        <v>56</v>
      </c>
      <c r="F627" s="30">
        <v>45138</v>
      </c>
      <c r="G627" t="s">
        <v>2274</v>
      </c>
      <c r="H627" t="s">
        <v>4477</v>
      </c>
      <c r="I627">
        <v>200</v>
      </c>
      <c r="J627">
        <v>0</v>
      </c>
      <c r="AV627">
        <v>0</v>
      </c>
    </row>
    <row r="628" spans="1:94" x14ac:dyDescent="0.3">
      <c r="A628">
        <v>434</v>
      </c>
      <c r="B628" t="s">
        <v>2267</v>
      </c>
      <c r="C628" t="s">
        <v>251</v>
      </c>
      <c r="D628" t="s">
        <v>73</v>
      </c>
      <c r="E628" t="s">
        <v>56</v>
      </c>
      <c r="F628" s="30">
        <v>45138</v>
      </c>
      <c r="G628" t="s">
        <v>2274</v>
      </c>
      <c r="H628" t="s">
        <v>4469</v>
      </c>
      <c r="I628">
        <v>200</v>
      </c>
      <c r="J628">
        <v>18.89999961853027</v>
      </c>
      <c r="AV628">
        <v>18.899999999999999</v>
      </c>
    </row>
    <row r="629" spans="1:94" x14ac:dyDescent="0.3">
      <c r="A629">
        <v>434</v>
      </c>
      <c r="B629" t="s">
        <v>2267</v>
      </c>
      <c r="C629" t="s">
        <v>251</v>
      </c>
      <c r="D629" t="s">
        <v>73</v>
      </c>
      <c r="E629" t="s">
        <v>56</v>
      </c>
      <c r="F629" s="30">
        <v>45138</v>
      </c>
      <c r="G629" t="s">
        <v>2274</v>
      </c>
      <c r="H629" t="s">
        <v>4476</v>
      </c>
      <c r="I629">
        <v>200</v>
      </c>
      <c r="J629">
        <v>0</v>
      </c>
      <c r="AV629">
        <v>0</v>
      </c>
    </row>
    <row r="630" spans="1:94" x14ac:dyDescent="0.3">
      <c r="A630">
        <v>434</v>
      </c>
      <c r="B630" t="s">
        <v>2267</v>
      </c>
      <c r="C630" t="s">
        <v>251</v>
      </c>
      <c r="D630" t="s">
        <v>73</v>
      </c>
      <c r="E630" t="s">
        <v>56</v>
      </c>
      <c r="F630" s="30">
        <v>45138</v>
      </c>
      <c r="G630" t="s">
        <v>2274</v>
      </c>
      <c r="H630" t="s">
        <v>4478</v>
      </c>
      <c r="I630">
        <v>200</v>
      </c>
      <c r="J630">
        <v>0</v>
      </c>
      <c r="AV630">
        <v>0</v>
      </c>
    </row>
    <row r="631" spans="1:94" x14ac:dyDescent="0.3">
      <c r="A631">
        <v>436</v>
      </c>
      <c r="B631" t="s">
        <v>2311</v>
      </c>
      <c r="C631" t="s">
        <v>258</v>
      </c>
      <c r="D631" t="s">
        <v>73</v>
      </c>
      <c r="E631" t="s">
        <v>56</v>
      </c>
      <c r="F631" s="30">
        <v>45138</v>
      </c>
      <c r="G631" t="s">
        <v>2318</v>
      </c>
      <c r="H631" t="s">
        <v>4579</v>
      </c>
      <c r="I631">
        <v>14</v>
      </c>
      <c r="J631">
        <v>3.5999999046325679</v>
      </c>
      <c r="CP631">
        <v>3.6</v>
      </c>
    </row>
    <row r="632" spans="1:94" x14ac:dyDescent="0.3">
      <c r="A632">
        <v>436</v>
      </c>
      <c r="B632" t="s">
        <v>2311</v>
      </c>
      <c r="C632" t="s">
        <v>258</v>
      </c>
      <c r="D632" t="s">
        <v>73</v>
      </c>
      <c r="E632" t="s">
        <v>56</v>
      </c>
      <c r="F632" s="30">
        <v>45138</v>
      </c>
      <c r="G632" t="s">
        <v>2318</v>
      </c>
      <c r="H632" t="s">
        <v>4580</v>
      </c>
      <c r="I632">
        <v>7</v>
      </c>
      <c r="J632">
        <v>8.1000003814697266</v>
      </c>
      <c r="CP632">
        <v>8.1</v>
      </c>
    </row>
    <row r="633" spans="1:94" x14ac:dyDescent="0.3">
      <c r="A633">
        <v>208</v>
      </c>
      <c r="B633" t="s">
        <v>707</v>
      </c>
      <c r="C633" t="s">
        <v>251</v>
      </c>
      <c r="D633" t="s">
        <v>73</v>
      </c>
      <c r="E633" t="s">
        <v>56</v>
      </c>
      <c r="F633" s="30">
        <v>45169</v>
      </c>
      <c r="G633" t="s">
        <v>728</v>
      </c>
      <c r="H633" t="s">
        <v>4468</v>
      </c>
      <c r="I633">
        <v>1</v>
      </c>
      <c r="J633">
        <v>740</v>
      </c>
      <c r="K633">
        <v>740</v>
      </c>
    </row>
    <row r="634" spans="1:94" x14ac:dyDescent="0.3">
      <c r="A634">
        <v>208</v>
      </c>
      <c r="B634" t="s">
        <v>707</v>
      </c>
      <c r="C634" t="s">
        <v>251</v>
      </c>
      <c r="D634" t="s">
        <v>73</v>
      </c>
      <c r="E634" t="s">
        <v>56</v>
      </c>
      <c r="F634" s="30">
        <v>45169</v>
      </c>
      <c r="G634" t="s">
        <v>728</v>
      </c>
      <c r="H634" t="s">
        <v>4470</v>
      </c>
      <c r="I634">
        <v>1</v>
      </c>
      <c r="J634">
        <v>391</v>
      </c>
      <c r="K634">
        <v>391</v>
      </c>
    </row>
    <row r="635" spans="1:94" x14ac:dyDescent="0.3">
      <c r="A635">
        <v>208</v>
      </c>
      <c r="B635" t="s">
        <v>707</v>
      </c>
      <c r="C635" t="s">
        <v>251</v>
      </c>
      <c r="D635" t="s">
        <v>73</v>
      </c>
      <c r="E635" t="s">
        <v>56</v>
      </c>
      <c r="F635" s="30">
        <v>45169</v>
      </c>
      <c r="G635" t="s">
        <v>728</v>
      </c>
      <c r="H635" t="s">
        <v>4477</v>
      </c>
      <c r="I635">
        <v>1</v>
      </c>
      <c r="J635">
        <v>0</v>
      </c>
      <c r="K635">
        <v>0</v>
      </c>
    </row>
    <row r="636" spans="1:94" x14ac:dyDescent="0.3">
      <c r="A636">
        <v>208</v>
      </c>
      <c r="B636" t="s">
        <v>707</v>
      </c>
      <c r="C636" t="s">
        <v>251</v>
      </c>
      <c r="D636" t="s">
        <v>73</v>
      </c>
      <c r="E636" t="s">
        <v>56</v>
      </c>
      <c r="F636" s="30">
        <v>45169</v>
      </c>
      <c r="G636" t="s">
        <v>728</v>
      </c>
      <c r="H636" t="s">
        <v>4469</v>
      </c>
      <c r="I636">
        <v>1</v>
      </c>
      <c r="J636">
        <v>135</v>
      </c>
      <c r="K636">
        <v>135</v>
      </c>
    </row>
    <row r="637" spans="1:94" x14ac:dyDescent="0.3">
      <c r="A637">
        <v>208</v>
      </c>
      <c r="B637" t="s">
        <v>707</v>
      </c>
      <c r="C637" t="s">
        <v>251</v>
      </c>
      <c r="D637" t="s">
        <v>73</v>
      </c>
      <c r="E637" t="s">
        <v>56</v>
      </c>
      <c r="F637" s="30">
        <v>45169</v>
      </c>
      <c r="G637" t="s">
        <v>728</v>
      </c>
      <c r="H637" t="s">
        <v>4476</v>
      </c>
      <c r="I637">
        <v>0</v>
      </c>
      <c r="J637">
        <v>0</v>
      </c>
      <c r="K637">
        <v>0</v>
      </c>
    </row>
    <row r="638" spans="1:94" x14ac:dyDescent="0.3">
      <c r="A638">
        <v>208</v>
      </c>
      <c r="B638" t="s">
        <v>707</v>
      </c>
      <c r="C638" t="s">
        <v>251</v>
      </c>
      <c r="D638" t="s">
        <v>73</v>
      </c>
      <c r="E638" t="s">
        <v>56</v>
      </c>
      <c r="F638" s="30">
        <v>45169</v>
      </c>
      <c r="G638" t="s">
        <v>728</v>
      </c>
      <c r="H638" t="s">
        <v>4478</v>
      </c>
      <c r="I638">
        <v>1</v>
      </c>
      <c r="J638">
        <v>9</v>
      </c>
      <c r="K638">
        <v>9</v>
      </c>
    </row>
    <row r="639" spans="1:94" x14ac:dyDescent="0.3">
      <c r="A639">
        <v>214</v>
      </c>
      <c r="B639" t="s">
        <v>774</v>
      </c>
      <c r="C639" t="s">
        <v>251</v>
      </c>
      <c r="D639" t="s">
        <v>73</v>
      </c>
      <c r="E639" t="s">
        <v>56</v>
      </c>
      <c r="F639" s="30">
        <v>45169</v>
      </c>
      <c r="G639" t="s">
        <v>795</v>
      </c>
      <c r="H639" t="s">
        <v>4468</v>
      </c>
      <c r="I639">
        <v>7500</v>
      </c>
      <c r="J639">
        <v>5026</v>
      </c>
      <c r="L639">
        <v>1521</v>
      </c>
      <c r="M639">
        <v>3505</v>
      </c>
    </row>
    <row r="640" spans="1:94" x14ac:dyDescent="0.3">
      <c r="A640">
        <v>214</v>
      </c>
      <c r="B640" t="s">
        <v>774</v>
      </c>
      <c r="C640" t="s">
        <v>251</v>
      </c>
      <c r="D640" t="s">
        <v>73</v>
      </c>
      <c r="E640" t="s">
        <v>56</v>
      </c>
      <c r="F640" s="30">
        <v>45169</v>
      </c>
      <c r="G640" t="s">
        <v>795</v>
      </c>
      <c r="H640" t="s">
        <v>4470</v>
      </c>
      <c r="I640">
        <v>7500</v>
      </c>
      <c r="J640">
        <v>990.17999267578125</v>
      </c>
      <c r="L640">
        <v>0</v>
      </c>
      <c r="M640">
        <v>990.18</v>
      </c>
    </row>
    <row r="641" spans="1:46" x14ac:dyDescent="0.3">
      <c r="A641">
        <v>214</v>
      </c>
      <c r="B641" t="s">
        <v>774</v>
      </c>
      <c r="C641" t="s">
        <v>251</v>
      </c>
      <c r="D641" t="s">
        <v>73</v>
      </c>
      <c r="E641" t="s">
        <v>56</v>
      </c>
      <c r="F641" s="30">
        <v>45169</v>
      </c>
      <c r="G641" t="s">
        <v>795</v>
      </c>
      <c r="H641" t="s">
        <v>4477</v>
      </c>
      <c r="I641">
        <v>7500</v>
      </c>
      <c r="J641">
        <v>0</v>
      </c>
      <c r="L641">
        <v>0</v>
      </c>
      <c r="M641">
        <v>0</v>
      </c>
    </row>
    <row r="642" spans="1:46" x14ac:dyDescent="0.3">
      <c r="A642">
        <v>214</v>
      </c>
      <c r="B642" t="s">
        <v>774</v>
      </c>
      <c r="C642" t="s">
        <v>251</v>
      </c>
      <c r="D642" t="s">
        <v>73</v>
      </c>
      <c r="E642" t="s">
        <v>56</v>
      </c>
      <c r="F642" s="30">
        <v>45169</v>
      </c>
      <c r="G642" t="s">
        <v>795</v>
      </c>
      <c r="H642" t="s">
        <v>4469</v>
      </c>
      <c r="I642">
        <v>7500</v>
      </c>
      <c r="J642">
        <v>523.9000244140625</v>
      </c>
      <c r="L642">
        <v>207.7</v>
      </c>
      <c r="M642">
        <v>316.2</v>
      </c>
    </row>
    <row r="643" spans="1:46" x14ac:dyDescent="0.3">
      <c r="A643">
        <v>214</v>
      </c>
      <c r="B643" t="s">
        <v>774</v>
      </c>
      <c r="C643" t="s">
        <v>251</v>
      </c>
      <c r="D643" t="s">
        <v>73</v>
      </c>
      <c r="E643" t="s">
        <v>56</v>
      </c>
      <c r="F643" s="30">
        <v>45169</v>
      </c>
      <c r="G643" t="s">
        <v>795</v>
      </c>
      <c r="H643" t="s">
        <v>4476</v>
      </c>
      <c r="I643">
        <v>1</v>
      </c>
      <c r="J643">
        <v>0</v>
      </c>
      <c r="L643">
        <v>0</v>
      </c>
      <c r="M643">
        <v>0</v>
      </c>
    </row>
    <row r="644" spans="1:46" x14ac:dyDescent="0.3">
      <c r="A644">
        <v>214</v>
      </c>
      <c r="B644" t="s">
        <v>774</v>
      </c>
      <c r="C644" t="s">
        <v>251</v>
      </c>
      <c r="D644" t="s">
        <v>73</v>
      </c>
      <c r="E644" t="s">
        <v>56</v>
      </c>
      <c r="F644" s="30">
        <v>45169</v>
      </c>
      <c r="G644" t="s">
        <v>795</v>
      </c>
      <c r="H644" t="s">
        <v>4478</v>
      </c>
      <c r="I644">
        <v>1</v>
      </c>
      <c r="J644">
        <v>0</v>
      </c>
      <c r="L644">
        <v>0</v>
      </c>
      <c r="M644">
        <v>0</v>
      </c>
    </row>
    <row r="645" spans="1:46" x14ac:dyDescent="0.3">
      <c r="A645">
        <v>217</v>
      </c>
      <c r="B645" t="s">
        <v>840</v>
      </c>
      <c r="C645" t="s">
        <v>251</v>
      </c>
      <c r="D645" t="s">
        <v>73</v>
      </c>
      <c r="E645" t="s">
        <v>22</v>
      </c>
      <c r="F645" s="30">
        <v>45169</v>
      </c>
      <c r="G645" t="s">
        <v>859</v>
      </c>
      <c r="H645" t="s">
        <v>4468</v>
      </c>
      <c r="I645">
        <v>20</v>
      </c>
      <c r="J645">
        <v>30.260000228881839</v>
      </c>
      <c r="L645">
        <v>1521</v>
      </c>
      <c r="M645">
        <v>3505</v>
      </c>
      <c r="AS645">
        <v>1521</v>
      </c>
    </row>
    <row r="646" spans="1:46" x14ac:dyDescent="0.3">
      <c r="A646">
        <v>217</v>
      </c>
      <c r="B646" t="s">
        <v>840</v>
      </c>
      <c r="C646" t="s">
        <v>251</v>
      </c>
      <c r="D646" t="s">
        <v>73</v>
      </c>
      <c r="E646" t="s">
        <v>22</v>
      </c>
      <c r="F646" s="30">
        <v>45169</v>
      </c>
      <c r="G646" t="s">
        <v>859</v>
      </c>
      <c r="H646" t="s">
        <v>4470</v>
      </c>
      <c r="I646">
        <v>20</v>
      </c>
      <c r="J646">
        <v>0</v>
      </c>
      <c r="L646">
        <v>0</v>
      </c>
      <c r="M646">
        <v>990.18</v>
      </c>
      <c r="AS646">
        <v>0</v>
      </c>
    </row>
    <row r="647" spans="1:46" x14ac:dyDescent="0.3">
      <c r="A647">
        <v>217</v>
      </c>
      <c r="B647" t="s">
        <v>840</v>
      </c>
      <c r="C647" t="s">
        <v>251</v>
      </c>
      <c r="D647" t="s">
        <v>73</v>
      </c>
      <c r="E647" t="s">
        <v>22</v>
      </c>
      <c r="F647" s="30">
        <v>45169</v>
      </c>
      <c r="G647" t="s">
        <v>859</v>
      </c>
      <c r="H647" t="s">
        <v>4469</v>
      </c>
      <c r="I647">
        <v>20</v>
      </c>
      <c r="J647">
        <v>39.639999389648438</v>
      </c>
      <c r="L647">
        <v>207.7</v>
      </c>
      <c r="M647">
        <v>316.2</v>
      </c>
      <c r="AS647">
        <v>207.7</v>
      </c>
    </row>
    <row r="648" spans="1:46" x14ac:dyDescent="0.3">
      <c r="A648">
        <v>218</v>
      </c>
      <c r="B648" t="s">
        <v>888</v>
      </c>
      <c r="C648" t="s">
        <v>251</v>
      </c>
      <c r="D648" t="s">
        <v>73</v>
      </c>
      <c r="E648" t="s">
        <v>56</v>
      </c>
      <c r="F648" s="30">
        <v>45169</v>
      </c>
      <c r="G648" t="s">
        <v>909</v>
      </c>
      <c r="H648" t="s">
        <v>4468</v>
      </c>
      <c r="I648">
        <v>172000</v>
      </c>
      <c r="J648">
        <v>68974.703125</v>
      </c>
      <c r="N648">
        <v>68974.710000000006</v>
      </c>
    </row>
    <row r="649" spans="1:46" x14ac:dyDescent="0.3">
      <c r="A649">
        <v>218</v>
      </c>
      <c r="B649" t="s">
        <v>888</v>
      </c>
      <c r="C649" t="s">
        <v>251</v>
      </c>
      <c r="D649" t="s">
        <v>73</v>
      </c>
      <c r="E649" t="s">
        <v>56</v>
      </c>
      <c r="F649" s="30">
        <v>45169</v>
      </c>
      <c r="G649" t="s">
        <v>909</v>
      </c>
      <c r="H649" t="s">
        <v>4470</v>
      </c>
      <c r="I649">
        <v>172000</v>
      </c>
      <c r="J649">
        <v>56430</v>
      </c>
      <c r="N649">
        <v>56430</v>
      </c>
    </row>
    <row r="650" spans="1:46" x14ac:dyDescent="0.3">
      <c r="A650">
        <v>218</v>
      </c>
      <c r="B650" t="s">
        <v>888</v>
      </c>
      <c r="C650" t="s">
        <v>251</v>
      </c>
      <c r="D650" t="s">
        <v>73</v>
      </c>
      <c r="E650" t="s">
        <v>56</v>
      </c>
      <c r="F650" s="30">
        <v>45169</v>
      </c>
      <c r="G650" t="s">
        <v>909</v>
      </c>
      <c r="H650" t="s">
        <v>4477</v>
      </c>
      <c r="I650">
        <v>172000</v>
      </c>
      <c r="J650">
        <v>0</v>
      </c>
      <c r="N650">
        <v>0</v>
      </c>
    </row>
    <row r="651" spans="1:46" x14ac:dyDescent="0.3">
      <c r="A651">
        <v>218</v>
      </c>
      <c r="B651" t="s">
        <v>888</v>
      </c>
      <c r="C651" t="s">
        <v>251</v>
      </c>
      <c r="D651" t="s">
        <v>73</v>
      </c>
      <c r="E651" t="s">
        <v>56</v>
      </c>
      <c r="F651" s="30">
        <v>45169</v>
      </c>
      <c r="G651" t="s">
        <v>909</v>
      </c>
      <c r="H651" t="s">
        <v>4469</v>
      </c>
      <c r="I651">
        <v>172000</v>
      </c>
      <c r="J651">
        <v>13730</v>
      </c>
      <c r="N651">
        <v>13730</v>
      </c>
    </row>
    <row r="652" spans="1:46" x14ac:dyDescent="0.3">
      <c r="A652">
        <v>218</v>
      </c>
      <c r="B652" t="s">
        <v>888</v>
      </c>
      <c r="C652" t="s">
        <v>251</v>
      </c>
      <c r="D652" t="s">
        <v>73</v>
      </c>
      <c r="E652" t="s">
        <v>56</v>
      </c>
      <c r="F652" s="30">
        <v>45169</v>
      </c>
      <c r="G652" t="s">
        <v>909</v>
      </c>
      <c r="H652" t="s">
        <v>4476</v>
      </c>
      <c r="I652">
        <v>172000</v>
      </c>
      <c r="J652">
        <v>2520</v>
      </c>
      <c r="N652">
        <v>2520</v>
      </c>
    </row>
    <row r="653" spans="1:46" x14ac:dyDescent="0.3">
      <c r="A653">
        <v>218</v>
      </c>
      <c r="B653" t="s">
        <v>888</v>
      </c>
      <c r="C653" t="s">
        <v>251</v>
      </c>
      <c r="D653" t="s">
        <v>73</v>
      </c>
      <c r="E653" t="s">
        <v>56</v>
      </c>
      <c r="F653" s="30">
        <v>45169</v>
      </c>
      <c r="G653" t="s">
        <v>909</v>
      </c>
      <c r="H653" t="s">
        <v>4478</v>
      </c>
      <c r="I653">
        <v>172000</v>
      </c>
      <c r="J653">
        <v>1367</v>
      </c>
      <c r="N653">
        <v>1367</v>
      </c>
    </row>
    <row r="654" spans="1:46" x14ac:dyDescent="0.3">
      <c r="A654">
        <v>225</v>
      </c>
      <c r="B654" t="s">
        <v>976</v>
      </c>
      <c r="C654" t="s">
        <v>251</v>
      </c>
      <c r="D654" t="s">
        <v>73</v>
      </c>
      <c r="E654" t="s">
        <v>22</v>
      </c>
      <c r="F654" s="30">
        <v>45169</v>
      </c>
      <c r="G654" t="s">
        <v>996</v>
      </c>
      <c r="H654" t="s">
        <v>4468</v>
      </c>
      <c r="I654">
        <v>1</v>
      </c>
      <c r="J654">
        <v>6</v>
      </c>
      <c r="AT654">
        <v>6</v>
      </c>
    </row>
    <row r="655" spans="1:46" x14ac:dyDescent="0.3">
      <c r="A655">
        <v>225</v>
      </c>
      <c r="B655" t="s">
        <v>976</v>
      </c>
      <c r="C655" t="s">
        <v>251</v>
      </c>
      <c r="D655" t="s">
        <v>73</v>
      </c>
      <c r="E655" t="s">
        <v>22</v>
      </c>
      <c r="F655" s="30">
        <v>45169</v>
      </c>
      <c r="G655" t="s">
        <v>996</v>
      </c>
      <c r="H655" t="s">
        <v>4470</v>
      </c>
      <c r="I655">
        <v>1</v>
      </c>
      <c r="J655">
        <v>5</v>
      </c>
      <c r="AT655">
        <v>5</v>
      </c>
    </row>
    <row r="656" spans="1:46" x14ac:dyDescent="0.3">
      <c r="A656">
        <v>225</v>
      </c>
      <c r="B656" t="s">
        <v>976</v>
      </c>
      <c r="C656" t="s">
        <v>251</v>
      </c>
      <c r="D656" t="s">
        <v>73</v>
      </c>
      <c r="E656" t="s">
        <v>22</v>
      </c>
      <c r="F656" s="30">
        <v>45169</v>
      </c>
      <c r="G656" t="s">
        <v>996</v>
      </c>
      <c r="H656" t="s">
        <v>4477</v>
      </c>
      <c r="I656">
        <v>1</v>
      </c>
      <c r="J656">
        <v>0</v>
      </c>
      <c r="AT656">
        <v>0</v>
      </c>
    </row>
    <row r="657" spans="1:94" x14ac:dyDescent="0.3">
      <c r="A657">
        <v>225</v>
      </c>
      <c r="B657" t="s">
        <v>976</v>
      </c>
      <c r="C657" t="s">
        <v>251</v>
      </c>
      <c r="D657" t="s">
        <v>73</v>
      </c>
      <c r="E657" t="s">
        <v>22</v>
      </c>
      <c r="F657" s="30">
        <v>45169</v>
      </c>
      <c r="G657" t="s">
        <v>996</v>
      </c>
      <c r="H657" t="s">
        <v>4469</v>
      </c>
      <c r="I657">
        <v>1</v>
      </c>
      <c r="J657">
        <v>10</v>
      </c>
      <c r="AT657">
        <v>10</v>
      </c>
    </row>
    <row r="658" spans="1:94" x14ac:dyDescent="0.3">
      <c r="A658">
        <v>225</v>
      </c>
      <c r="B658" t="s">
        <v>976</v>
      </c>
      <c r="C658" t="s">
        <v>251</v>
      </c>
      <c r="D658" t="s">
        <v>73</v>
      </c>
      <c r="E658" t="s">
        <v>22</v>
      </c>
      <c r="F658" s="30">
        <v>45169</v>
      </c>
      <c r="G658" t="s">
        <v>996</v>
      </c>
      <c r="H658" t="s">
        <v>4476</v>
      </c>
      <c r="I658">
        <v>1</v>
      </c>
      <c r="J658">
        <v>1</v>
      </c>
      <c r="AT658">
        <v>1</v>
      </c>
    </row>
    <row r="659" spans="1:94" x14ac:dyDescent="0.3">
      <c r="A659">
        <v>225</v>
      </c>
      <c r="B659" t="s">
        <v>976</v>
      </c>
      <c r="C659" t="s">
        <v>251</v>
      </c>
      <c r="D659" t="s">
        <v>73</v>
      </c>
      <c r="E659" t="s">
        <v>22</v>
      </c>
      <c r="F659" s="30">
        <v>45169</v>
      </c>
      <c r="G659" t="s">
        <v>996</v>
      </c>
      <c r="H659" t="s">
        <v>4478</v>
      </c>
      <c r="I659">
        <v>1</v>
      </c>
      <c r="J659">
        <v>1</v>
      </c>
      <c r="AT659">
        <v>1</v>
      </c>
    </row>
    <row r="660" spans="1:94" x14ac:dyDescent="0.3">
      <c r="A660">
        <v>434</v>
      </c>
      <c r="B660" t="s">
        <v>2267</v>
      </c>
      <c r="C660" t="s">
        <v>251</v>
      </c>
      <c r="D660" t="s">
        <v>73</v>
      </c>
      <c r="E660" t="s">
        <v>56</v>
      </c>
      <c r="F660" s="30">
        <v>45169</v>
      </c>
      <c r="G660" t="s">
        <v>2275</v>
      </c>
      <c r="H660" t="s">
        <v>4468</v>
      </c>
      <c r="I660">
        <v>200</v>
      </c>
      <c r="J660">
        <v>0</v>
      </c>
      <c r="AV660">
        <v>0</v>
      </c>
    </row>
    <row r="661" spans="1:94" x14ac:dyDescent="0.3">
      <c r="A661">
        <v>434</v>
      </c>
      <c r="B661" t="s">
        <v>2267</v>
      </c>
      <c r="C661" t="s">
        <v>251</v>
      </c>
      <c r="D661" t="s">
        <v>73</v>
      </c>
      <c r="E661" t="s">
        <v>56</v>
      </c>
      <c r="F661" s="30">
        <v>45169</v>
      </c>
      <c r="G661" t="s">
        <v>2275</v>
      </c>
      <c r="H661" t="s">
        <v>4470</v>
      </c>
      <c r="I661">
        <v>200</v>
      </c>
      <c r="J661">
        <v>1.6000000238418579</v>
      </c>
      <c r="AV661">
        <v>1.6</v>
      </c>
    </row>
    <row r="662" spans="1:94" x14ac:dyDescent="0.3">
      <c r="A662">
        <v>434</v>
      </c>
      <c r="B662" t="s">
        <v>2267</v>
      </c>
      <c r="C662" t="s">
        <v>251</v>
      </c>
      <c r="D662" t="s">
        <v>73</v>
      </c>
      <c r="E662" t="s">
        <v>56</v>
      </c>
      <c r="F662" s="30">
        <v>45169</v>
      </c>
      <c r="G662" t="s">
        <v>2275</v>
      </c>
      <c r="H662" t="s">
        <v>4477</v>
      </c>
      <c r="I662">
        <v>200</v>
      </c>
      <c r="J662">
        <v>0</v>
      </c>
      <c r="AV662">
        <v>0</v>
      </c>
    </row>
    <row r="663" spans="1:94" x14ac:dyDescent="0.3">
      <c r="A663">
        <v>434</v>
      </c>
      <c r="B663" t="s">
        <v>2267</v>
      </c>
      <c r="C663" t="s">
        <v>251</v>
      </c>
      <c r="D663" t="s">
        <v>73</v>
      </c>
      <c r="E663" t="s">
        <v>56</v>
      </c>
      <c r="F663" s="30">
        <v>45169</v>
      </c>
      <c r="G663" t="s">
        <v>2275</v>
      </c>
      <c r="H663" t="s">
        <v>4469</v>
      </c>
      <c r="I663">
        <v>200</v>
      </c>
      <c r="J663">
        <v>19.29999923706055</v>
      </c>
      <c r="AV663">
        <v>19.3</v>
      </c>
    </row>
    <row r="664" spans="1:94" x14ac:dyDescent="0.3">
      <c r="A664">
        <v>434</v>
      </c>
      <c r="B664" t="s">
        <v>2267</v>
      </c>
      <c r="C664" t="s">
        <v>251</v>
      </c>
      <c r="D664" t="s">
        <v>73</v>
      </c>
      <c r="E664" t="s">
        <v>56</v>
      </c>
      <c r="F664" s="30">
        <v>45169</v>
      </c>
      <c r="G664" t="s">
        <v>2275</v>
      </c>
      <c r="H664" t="s">
        <v>4476</v>
      </c>
      <c r="I664">
        <v>200</v>
      </c>
      <c r="J664">
        <v>0</v>
      </c>
      <c r="AV664">
        <v>0</v>
      </c>
    </row>
    <row r="665" spans="1:94" x14ac:dyDescent="0.3">
      <c r="A665">
        <v>434</v>
      </c>
      <c r="B665" t="s">
        <v>2267</v>
      </c>
      <c r="C665" t="s">
        <v>251</v>
      </c>
      <c r="D665" t="s">
        <v>73</v>
      </c>
      <c r="E665" t="s">
        <v>56</v>
      </c>
      <c r="F665" s="30">
        <v>45169</v>
      </c>
      <c r="G665" t="s">
        <v>2275</v>
      </c>
      <c r="H665" t="s">
        <v>4478</v>
      </c>
      <c r="I665">
        <v>200</v>
      </c>
      <c r="J665">
        <v>0</v>
      </c>
      <c r="AV665">
        <v>0</v>
      </c>
    </row>
    <row r="666" spans="1:94" x14ac:dyDescent="0.3">
      <c r="A666">
        <v>436</v>
      </c>
      <c r="B666" t="s">
        <v>2311</v>
      </c>
      <c r="C666" t="s">
        <v>258</v>
      </c>
      <c r="D666" t="s">
        <v>73</v>
      </c>
      <c r="E666" t="s">
        <v>56</v>
      </c>
      <c r="F666" s="30">
        <v>45169</v>
      </c>
      <c r="G666" t="s">
        <v>2319</v>
      </c>
      <c r="H666" t="s">
        <v>4579</v>
      </c>
      <c r="I666">
        <v>14</v>
      </c>
      <c r="J666">
        <v>6.6999998092651367</v>
      </c>
      <c r="CP666">
        <v>6.7</v>
      </c>
    </row>
    <row r="667" spans="1:94" x14ac:dyDescent="0.3">
      <c r="A667">
        <v>436</v>
      </c>
      <c r="B667" t="s">
        <v>2311</v>
      </c>
      <c r="C667" t="s">
        <v>258</v>
      </c>
      <c r="D667" t="s">
        <v>73</v>
      </c>
      <c r="E667" t="s">
        <v>56</v>
      </c>
      <c r="F667" s="30">
        <v>45169</v>
      </c>
      <c r="G667" t="s">
        <v>2319</v>
      </c>
      <c r="H667" t="s">
        <v>4580</v>
      </c>
      <c r="I667">
        <v>7</v>
      </c>
      <c r="J667">
        <v>2</v>
      </c>
      <c r="CP667">
        <v>2</v>
      </c>
    </row>
    <row r="668" spans="1:94" x14ac:dyDescent="0.3">
      <c r="A668">
        <v>208</v>
      </c>
      <c r="B668" t="s">
        <v>707</v>
      </c>
      <c r="C668" t="s">
        <v>251</v>
      </c>
      <c r="D668" t="s">
        <v>73</v>
      </c>
      <c r="E668" t="s">
        <v>56</v>
      </c>
      <c r="F668" s="30">
        <v>45199</v>
      </c>
      <c r="G668" t="s">
        <v>729</v>
      </c>
      <c r="H668" t="s">
        <v>4468</v>
      </c>
      <c r="I668">
        <v>1</v>
      </c>
      <c r="J668">
        <v>675</v>
      </c>
      <c r="K668">
        <v>675</v>
      </c>
    </row>
    <row r="669" spans="1:94" x14ac:dyDescent="0.3">
      <c r="A669">
        <v>208</v>
      </c>
      <c r="B669" t="s">
        <v>707</v>
      </c>
      <c r="C669" t="s">
        <v>251</v>
      </c>
      <c r="D669" t="s">
        <v>73</v>
      </c>
      <c r="E669" t="s">
        <v>56</v>
      </c>
      <c r="F669" s="30">
        <v>45199</v>
      </c>
      <c r="G669" t="s">
        <v>729</v>
      </c>
      <c r="H669" t="s">
        <v>4470</v>
      </c>
      <c r="I669">
        <v>1</v>
      </c>
      <c r="J669">
        <v>364.5</v>
      </c>
      <c r="K669">
        <v>364.5</v>
      </c>
    </row>
    <row r="670" spans="1:94" x14ac:dyDescent="0.3">
      <c r="A670">
        <v>208</v>
      </c>
      <c r="B670" t="s">
        <v>707</v>
      </c>
      <c r="C670" t="s">
        <v>251</v>
      </c>
      <c r="D670" t="s">
        <v>73</v>
      </c>
      <c r="E670" t="s">
        <v>56</v>
      </c>
      <c r="F670" s="30">
        <v>45199</v>
      </c>
      <c r="G670" t="s">
        <v>729</v>
      </c>
      <c r="H670" t="s">
        <v>4477</v>
      </c>
      <c r="I670">
        <v>1</v>
      </c>
      <c r="J670">
        <v>0</v>
      </c>
      <c r="K670">
        <v>0</v>
      </c>
    </row>
    <row r="671" spans="1:94" x14ac:dyDescent="0.3">
      <c r="A671">
        <v>208</v>
      </c>
      <c r="B671" t="s">
        <v>707</v>
      </c>
      <c r="C671" t="s">
        <v>251</v>
      </c>
      <c r="D671" t="s">
        <v>73</v>
      </c>
      <c r="E671" t="s">
        <v>56</v>
      </c>
      <c r="F671" s="30">
        <v>45199</v>
      </c>
      <c r="G671" t="s">
        <v>729</v>
      </c>
      <c r="H671" t="s">
        <v>4469</v>
      </c>
      <c r="I671">
        <v>1</v>
      </c>
      <c r="J671">
        <v>396</v>
      </c>
      <c r="K671">
        <v>396</v>
      </c>
    </row>
    <row r="672" spans="1:94" x14ac:dyDescent="0.3">
      <c r="A672">
        <v>208</v>
      </c>
      <c r="B672" t="s">
        <v>707</v>
      </c>
      <c r="C672" t="s">
        <v>251</v>
      </c>
      <c r="D672" t="s">
        <v>73</v>
      </c>
      <c r="E672" t="s">
        <v>56</v>
      </c>
      <c r="F672" s="30">
        <v>45199</v>
      </c>
      <c r="G672" t="s">
        <v>729</v>
      </c>
      <c r="H672" t="s">
        <v>4476</v>
      </c>
      <c r="I672">
        <v>0</v>
      </c>
      <c r="J672">
        <v>0</v>
      </c>
      <c r="K672">
        <v>0</v>
      </c>
    </row>
    <row r="673" spans="1:46" x14ac:dyDescent="0.3">
      <c r="A673">
        <v>208</v>
      </c>
      <c r="B673" t="s">
        <v>707</v>
      </c>
      <c r="C673" t="s">
        <v>251</v>
      </c>
      <c r="D673" t="s">
        <v>73</v>
      </c>
      <c r="E673" t="s">
        <v>56</v>
      </c>
      <c r="F673" s="30">
        <v>45199</v>
      </c>
      <c r="G673" t="s">
        <v>729</v>
      </c>
      <c r="H673" t="s">
        <v>4478</v>
      </c>
      <c r="I673">
        <v>1</v>
      </c>
      <c r="J673">
        <v>18</v>
      </c>
      <c r="K673">
        <v>18</v>
      </c>
    </row>
    <row r="674" spans="1:46" x14ac:dyDescent="0.3">
      <c r="A674">
        <v>214</v>
      </c>
      <c r="B674" t="s">
        <v>774</v>
      </c>
      <c r="C674" t="s">
        <v>251</v>
      </c>
      <c r="D674" t="s">
        <v>73</v>
      </c>
      <c r="E674" t="s">
        <v>56</v>
      </c>
      <c r="F674" s="30">
        <v>45199</v>
      </c>
      <c r="G674" t="s">
        <v>796</v>
      </c>
      <c r="H674" t="s">
        <v>4468</v>
      </c>
      <c r="I674">
        <v>7500</v>
      </c>
      <c r="J674">
        <v>6229</v>
      </c>
      <c r="L674">
        <v>1765</v>
      </c>
      <c r="M674">
        <v>4464</v>
      </c>
    </row>
    <row r="675" spans="1:46" x14ac:dyDescent="0.3">
      <c r="A675">
        <v>214</v>
      </c>
      <c r="B675" t="s">
        <v>774</v>
      </c>
      <c r="C675" t="s">
        <v>251</v>
      </c>
      <c r="D675" t="s">
        <v>73</v>
      </c>
      <c r="E675" t="s">
        <v>56</v>
      </c>
      <c r="F675" s="30">
        <v>45199</v>
      </c>
      <c r="G675" t="s">
        <v>796</v>
      </c>
      <c r="H675" t="s">
        <v>4470</v>
      </c>
      <c r="I675">
        <v>7500</v>
      </c>
      <c r="J675">
        <v>573.08001708984375</v>
      </c>
      <c r="L675">
        <v>0</v>
      </c>
      <c r="M675">
        <v>573.08000000000004</v>
      </c>
    </row>
    <row r="676" spans="1:46" x14ac:dyDescent="0.3">
      <c r="A676">
        <v>214</v>
      </c>
      <c r="B676" t="s">
        <v>774</v>
      </c>
      <c r="C676" t="s">
        <v>251</v>
      </c>
      <c r="D676" t="s">
        <v>73</v>
      </c>
      <c r="E676" t="s">
        <v>56</v>
      </c>
      <c r="F676" s="30">
        <v>45199</v>
      </c>
      <c r="G676" t="s">
        <v>796</v>
      </c>
      <c r="H676" t="s">
        <v>4477</v>
      </c>
      <c r="I676">
        <v>7500</v>
      </c>
      <c r="J676">
        <v>0</v>
      </c>
      <c r="L676">
        <v>0</v>
      </c>
      <c r="M676">
        <v>0</v>
      </c>
    </row>
    <row r="677" spans="1:46" x14ac:dyDescent="0.3">
      <c r="A677">
        <v>214</v>
      </c>
      <c r="B677" t="s">
        <v>774</v>
      </c>
      <c r="C677" t="s">
        <v>251</v>
      </c>
      <c r="D677" t="s">
        <v>73</v>
      </c>
      <c r="E677" t="s">
        <v>56</v>
      </c>
      <c r="F677" s="30">
        <v>45199</v>
      </c>
      <c r="G677" t="s">
        <v>796</v>
      </c>
      <c r="H677" t="s">
        <v>4469</v>
      </c>
      <c r="I677">
        <v>7500</v>
      </c>
      <c r="J677">
        <v>1022.159973144531</v>
      </c>
      <c r="L677">
        <v>135.69999999999999</v>
      </c>
      <c r="M677">
        <v>886.46</v>
      </c>
    </row>
    <row r="678" spans="1:46" x14ac:dyDescent="0.3">
      <c r="A678">
        <v>214</v>
      </c>
      <c r="B678" t="s">
        <v>774</v>
      </c>
      <c r="C678" t="s">
        <v>251</v>
      </c>
      <c r="D678" t="s">
        <v>73</v>
      </c>
      <c r="E678" t="s">
        <v>56</v>
      </c>
      <c r="F678" s="30">
        <v>45199</v>
      </c>
      <c r="G678" t="s">
        <v>796</v>
      </c>
      <c r="H678" t="s">
        <v>4476</v>
      </c>
      <c r="I678">
        <v>1</v>
      </c>
      <c r="J678">
        <v>0</v>
      </c>
      <c r="L678">
        <v>0</v>
      </c>
      <c r="M678">
        <v>0</v>
      </c>
    </row>
    <row r="679" spans="1:46" x14ac:dyDescent="0.3">
      <c r="A679">
        <v>214</v>
      </c>
      <c r="B679" t="s">
        <v>774</v>
      </c>
      <c r="C679" t="s">
        <v>251</v>
      </c>
      <c r="D679" t="s">
        <v>73</v>
      </c>
      <c r="E679" t="s">
        <v>56</v>
      </c>
      <c r="F679" s="30">
        <v>45199</v>
      </c>
      <c r="G679" t="s">
        <v>796</v>
      </c>
      <c r="H679" t="s">
        <v>4478</v>
      </c>
      <c r="I679">
        <v>1</v>
      </c>
      <c r="J679">
        <v>0</v>
      </c>
      <c r="L679">
        <v>0</v>
      </c>
      <c r="M679">
        <v>0</v>
      </c>
    </row>
    <row r="680" spans="1:46" x14ac:dyDescent="0.3">
      <c r="A680">
        <v>217</v>
      </c>
      <c r="B680" t="s">
        <v>840</v>
      </c>
      <c r="C680" t="s">
        <v>251</v>
      </c>
      <c r="D680" t="s">
        <v>73</v>
      </c>
      <c r="E680" t="s">
        <v>22</v>
      </c>
      <c r="F680" s="30">
        <v>45199</v>
      </c>
      <c r="G680" t="s">
        <v>860</v>
      </c>
      <c r="H680" t="s">
        <v>4468</v>
      </c>
      <c r="I680">
        <v>20</v>
      </c>
      <c r="J680">
        <v>28.340000152587891</v>
      </c>
      <c r="L680">
        <v>1765</v>
      </c>
      <c r="M680">
        <v>4464</v>
      </c>
      <c r="AS680">
        <v>1765</v>
      </c>
    </row>
    <row r="681" spans="1:46" x14ac:dyDescent="0.3">
      <c r="A681">
        <v>217</v>
      </c>
      <c r="B681" t="s">
        <v>840</v>
      </c>
      <c r="C681" t="s">
        <v>251</v>
      </c>
      <c r="D681" t="s">
        <v>73</v>
      </c>
      <c r="E681" t="s">
        <v>22</v>
      </c>
      <c r="F681" s="30">
        <v>45199</v>
      </c>
      <c r="G681" t="s">
        <v>860</v>
      </c>
      <c r="H681" t="s">
        <v>4470</v>
      </c>
      <c r="I681">
        <v>20</v>
      </c>
      <c r="J681">
        <v>0</v>
      </c>
      <c r="L681">
        <v>0</v>
      </c>
      <c r="M681">
        <v>573.08000000000004</v>
      </c>
      <c r="AS681">
        <v>0</v>
      </c>
    </row>
    <row r="682" spans="1:46" x14ac:dyDescent="0.3">
      <c r="A682">
        <v>217</v>
      </c>
      <c r="B682" t="s">
        <v>840</v>
      </c>
      <c r="C682" t="s">
        <v>251</v>
      </c>
      <c r="D682" t="s">
        <v>73</v>
      </c>
      <c r="E682" t="s">
        <v>22</v>
      </c>
      <c r="F682" s="30">
        <v>45199</v>
      </c>
      <c r="G682" t="s">
        <v>860</v>
      </c>
      <c r="H682" t="s">
        <v>4469</v>
      </c>
      <c r="I682">
        <v>20</v>
      </c>
      <c r="J682">
        <v>13.27999973297119</v>
      </c>
      <c r="L682">
        <v>135.69999999999999</v>
      </c>
      <c r="M682">
        <v>886.46</v>
      </c>
      <c r="AS682">
        <v>135.69999999999999</v>
      </c>
    </row>
    <row r="683" spans="1:46" x14ac:dyDescent="0.3">
      <c r="A683">
        <v>218</v>
      </c>
      <c r="B683" t="s">
        <v>888</v>
      </c>
      <c r="C683" t="s">
        <v>251</v>
      </c>
      <c r="D683" t="s">
        <v>73</v>
      </c>
      <c r="E683" t="s">
        <v>56</v>
      </c>
      <c r="F683" s="30">
        <v>45199</v>
      </c>
      <c r="G683" t="s">
        <v>910</v>
      </c>
      <c r="H683" t="s">
        <v>4468</v>
      </c>
      <c r="I683">
        <v>172000</v>
      </c>
      <c r="J683">
        <v>69786.796875</v>
      </c>
      <c r="N683">
        <v>69786.83</v>
      </c>
    </row>
    <row r="684" spans="1:46" x14ac:dyDescent="0.3">
      <c r="A684">
        <v>218</v>
      </c>
      <c r="B684" t="s">
        <v>888</v>
      </c>
      <c r="C684" t="s">
        <v>251</v>
      </c>
      <c r="D684" t="s">
        <v>73</v>
      </c>
      <c r="E684" t="s">
        <v>56</v>
      </c>
      <c r="F684" s="30">
        <v>45199</v>
      </c>
      <c r="G684" t="s">
        <v>910</v>
      </c>
      <c r="H684" t="s">
        <v>4470</v>
      </c>
      <c r="I684">
        <v>172000</v>
      </c>
      <c r="J684">
        <v>50160</v>
      </c>
      <c r="N684">
        <v>50160</v>
      </c>
    </row>
    <row r="685" spans="1:46" x14ac:dyDescent="0.3">
      <c r="A685">
        <v>218</v>
      </c>
      <c r="B685" t="s">
        <v>888</v>
      </c>
      <c r="C685" t="s">
        <v>251</v>
      </c>
      <c r="D685" t="s">
        <v>73</v>
      </c>
      <c r="E685" t="s">
        <v>56</v>
      </c>
      <c r="F685" s="30">
        <v>45199</v>
      </c>
      <c r="G685" t="s">
        <v>910</v>
      </c>
      <c r="H685" t="s">
        <v>4469</v>
      </c>
      <c r="I685">
        <v>172000</v>
      </c>
      <c r="J685">
        <v>21840</v>
      </c>
      <c r="N685">
        <v>21840</v>
      </c>
    </row>
    <row r="686" spans="1:46" x14ac:dyDescent="0.3">
      <c r="A686">
        <v>218</v>
      </c>
      <c r="B686" t="s">
        <v>888</v>
      </c>
      <c r="C686" t="s">
        <v>251</v>
      </c>
      <c r="D686" t="s">
        <v>73</v>
      </c>
      <c r="E686" t="s">
        <v>56</v>
      </c>
      <c r="F686" s="30">
        <v>45199</v>
      </c>
      <c r="G686" t="s">
        <v>910</v>
      </c>
      <c r="H686" t="s">
        <v>4476</v>
      </c>
      <c r="I686">
        <v>172000</v>
      </c>
      <c r="J686">
        <v>3480</v>
      </c>
      <c r="N686">
        <v>3480</v>
      </c>
    </row>
    <row r="687" spans="1:46" x14ac:dyDescent="0.3">
      <c r="A687">
        <v>218</v>
      </c>
      <c r="B687" t="s">
        <v>888</v>
      </c>
      <c r="C687" t="s">
        <v>251</v>
      </c>
      <c r="D687" t="s">
        <v>73</v>
      </c>
      <c r="E687" t="s">
        <v>56</v>
      </c>
      <c r="F687" s="30">
        <v>45199</v>
      </c>
      <c r="G687" t="s">
        <v>910</v>
      </c>
      <c r="H687" t="s">
        <v>4478</v>
      </c>
      <c r="I687">
        <v>172000</v>
      </c>
      <c r="J687">
        <v>1480</v>
      </c>
      <c r="N687">
        <v>1480</v>
      </c>
    </row>
    <row r="688" spans="1:46" x14ac:dyDescent="0.3">
      <c r="A688">
        <v>225</v>
      </c>
      <c r="B688" t="s">
        <v>976</v>
      </c>
      <c r="C688" t="s">
        <v>251</v>
      </c>
      <c r="D688" t="s">
        <v>73</v>
      </c>
      <c r="E688" t="s">
        <v>22</v>
      </c>
      <c r="F688" s="30">
        <v>45199</v>
      </c>
      <c r="G688" t="s">
        <v>997</v>
      </c>
      <c r="H688" t="s">
        <v>4468</v>
      </c>
      <c r="I688">
        <v>1</v>
      </c>
      <c r="J688">
        <v>5</v>
      </c>
      <c r="AT688">
        <v>5</v>
      </c>
    </row>
    <row r="689" spans="1:94" x14ac:dyDescent="0.3">
      <c r="A689">
        <v>225</v>
      </c>
      <c r="B689" t="s">
        <v>976</v>
      </c>
      <c r="C689" t="s">
        <v>251</v>
      </c>
      <c r="D689" t="s">
        <v>73</v>
      </c>
      <c r="E689" t="s">
        <v>22</v>
      </c>
      <c r="F689" s="30">
        <v>45199</v>
      </c>
      <c r="G689" t="s">
        <v>997</v>
      </c>
      <c r="H689" t="s">
        <v>4470</v>
      </c>
      <c r="I689">
        <v>1</v>
      </c>
      <c r="J689">
        <v>4</v>
      </c>
      <c r="AT689">
        <v>4</v>
      </c>
    </row>
    <row r="690" spans="1:94" x14ac:dyDescent="0.3">
      <c r="A690">
        <v>225</v>
      </c>
      <c r="B690" t="s">
        <v>976</v>
      </c>
      <c r="C690" t="s">
        <v>251</v>
      </c>
      <c r="D690" t="s">
        <v>73</v>
      </c>
      <c r="E690" t="s">
        <v>22</v>
      </c>
      <c r="F690" s="30">
        <v>45199</v>
      </c>
      <c r="G690" t="s">
        <v>997</v>
      </c>
      <c r="H690" t="s">
        <v>4477</v>
      </c>
      <c r="I690">
        <v>1</v>
      </c>
      <c r="J690">
        <v>0</v>
      </c>
      <c r="AT690">
        <v>0</v>
      </c>
    </row>
    <row r="691" spans="1:94" x14ac:dyDescent="0.3">
      <c r="A691">
        <v>225</v>
      </c>
      <c r="B691" t="s">
        <v>976</v>
      </c>
      <c r="C691" t="s">
        <v>251</v>
      </c>
      <c r="D691" t="s">
        <v>73</v>
      </c>
      <c r="E691" t="s">
        <v>22</v>
      </c>
      <c r="F691" s="30">
        <v>45199</v>
      </c>
      <c r="G691" t="s">
        <v>997</v>
      </c>
      <c r="H691" t="s">
        <v>4469</v>
      </c>
      <c r="I691">
        <v>1</v>
      </c>
      <c r="J691">
        <v>10</v>
      </c>
      <c r="AT691">
        <v>10</v>
      </c>
    </row>
    <row r="692" spans="1:94" x14ac:dyDescent="0.3">
      <c r="A692">
        <v>225</v>
      </c>
      <c r="B692" t="s">
        <v>976</v>
      </c>
      <c r="C692" t="s">
        <v>251</v>
      </c>
      <c r="D692" t="s">
        <v>73</v>
      </c>
      <c r="E692" t="s">
        <v>22</v>
      </c>
      <c r="F692" s="30">
        <v>45199</v>
      </c>
      <c r="G692" t="s">
        <v>997</v>
      </c>
      <c r="H692" t="s">
        <v>4476</v>
      </c>
      <c r="I692">
        <v>1</v>
      </c>
      <c r="J692">
        <v>1</v>
      </c>
      <c r="AT692">
        <v>1</v>
      </c>
    </row>
    <row r="693" spans="1:94" x14ac:dyDescent="0.3">
      <c r="A693">
        <v>225</v>
      </c>
      <c r="B693" t="s">
        <v>976</v>
      </c>
      <c r="C693" t="s">
        <v>251</v>
      </c>
      <c r="D693" t="s">
        <v>73</v>
      </c>
      <c r="E693" t="s">
        <v>22</v>
      </c>
      <c r="F693" s="30">
        <v>45199</v>
      </c>
      <c r="G693" t="s">
        <v>997</v>
      </c>
      <c r="H693" t="s">
        <v>4478</v>
      </c>
      <c r="I693">
        <v>1</v>
      </c>
      <c r="J693">
        <v>1</v>
      </c>
      <c r="AT693">
        <v>1</v>
      </c>
    </row>
    <row r="694" spans="1:94" x14ac:dyDescent="0.3">
      <c r="A694">
        <v>434</v>
      </c>
      <c r="B694" t="s">
        <v>2267</v>
      </c>
      <c r="C694" t="s">
        <v>251</v>
      </c>
      <c r="D694" t="s">
        <v>73</v>
      </c>
      <c r="E694" t="s">
        <v>56</v>
      </c>
      <c r="F694" s="30">
        <v>45199</v>
      </c>
      <c r="G694" t="s">
        <v>2276</v>
      </c>
      <c r="H694" t="s">
        <v>4468</v>
      </c>
      <c r="I694">
        <v>200</v>
      </c>
      <c r="J694">
        <v>1159.319946289062</v>
      </c>
      <c r="AV694">
        <v>1159.32</v>
      </c>
    </row>
    <row r="695" spans="1:94" x14ac:dyDescent="0.3">
      <c r="A695">
        <v>434</v>
      </c>
      <c r="B695" t="s">
        <v>2267</v>
      </c>
      <c r="C695" t="s">
        <v>251</v>
      </c>
      <c r="D695" t="s">
        <v>73</v>
      </c>
      <c r="E695" t="s">
        <v>56</v>
      </c>
      <c r="F695" s="30">
        <v>45199</v>
      </c>
      <c r="G695" t="s">
        <v>2276</v>
      </c>
      <c r="H695" t="s">
        <v>4470</v>
      </c>
      <c r="I695">
        <v>200</v>
      </c>
      <c r="J695">
        <v>616.79998779296875</v>
      </c>
      <c r="AV695">
        <v>616.79999999999995</v>
      </c>
    </row>
    <row r="696" spans="1:94" x14ac:dyDescent="0.3">
      <c r="A696">
        <v>434</v>
      </c>
      <c r="B696" t="s">
        <v>2267</v>
      </c>
      <c r="C696" t="s">
        <v>251</v>
      </c>
      <c r="D696" t="s">
        <v>73</v>
      </c>
      <c r="E696" t="s">
        <v>56</v>
      </c>
      <c r="F696" s="30">
        <v>45199</v>
      </c>
      <c r="G696" t="s">
        <v>2276</v>
      </c>
      <c r="H696" t="s">
        <v>4477</v>
      </c>
      <c r="I696">
        <v>200</v>
      </c>
      <c r="J696">
        <v>0</v>
      </c>
      <c r="AV696">
        <v>0</v>
      </c>
    </row>
    <row r="697" spans="1:94" x14ac:dyDescent="0.3">
      <c r="A697">
        <v>434</v>
      </c>
      <c r="B697" t="s">
        <v>2267</v>
      </c>
      <c r="C697" t="s">
        <v>251</v>
      </c>
      <c r="D697" t="s">
        <v>73</v>
      </c>
      <c r="E697" t="s">
        <v>56</v>
      </c>
      <c r="F697" s="30">
        <v>45199</v>
      </c>
      <c r="G697" t="s">
        <v>2276</v>
      </c>
      <c r="H697" t="s">
        <v>4469</v>
      </c>
      <c r="I697">
        <v>200</v>
      </c>
      <c r="J697">
        <v>27.39999961853027</v>
      </c>
      <c r="AV697">
        <v>27.4</v>
      </c>
    </row>
    <row r="698" spans="1:94" x14ac:dyDescent="0.3">
      <c r="A698">
        <v>434</v>
      </c>
      <c r="B698" t="s">
        <v>2267</v>
      </c>
      <c r="C698" t="s">
        <v>251</v>
      </c>
      <c r="D698" t="s">
        <v>73</v>
      </c>
      <c r="E698" t="s">
        <v>56</v>
      </c>
      <c r="F698" s="30">
        <v>45199</v>
      </c>
      <c r="G698" t="s">
        <v>2276</v>
      </c>
      <c r="H698" t="s">
        <v>4476</v>
      </c>
      <c r="I698">
        <v>200</v>
      </c>
      <c r="J698">
        <v>0.20000000298023221</v>
      </c>
      <c r="AV698">
        <v>0.2</v>
      </c>
    </row>
    <row r="699" spans="1:94" x14ac:dyDescent="0.3">
      <c r="A699">
        <v>434</v>
      </c>
      <c r="B699" t="s">
        <v>2267</v>
      </c>
      <c r="C699" t="s">
        <v>251</v>
      </c>
      <c r="D699" t="s">
        <v>73</v>
      </c>
      <c r="E699" t="s">
        <v>56</v>
      </c>
      <c r="F699" s="30">
        <v>45199</v>
      </c>
      <c r="G699" t="s">
        <v>2276</v>
      </c>
      <c r="H699" t="s">
        <v>4478</v>
      </c>
      <c r="I699">
        <v>200</v>
      </c>
      <c r="J699">
        <v>0</v>
      </c>
      <c r="AV699">
        <v>0</v>
      </c>
    </row>
    <row r="700" spans="1:94" x14ac:dyDescent="0.3">
      <c r="A700">
        <v>436</v>
      </c>
      <c r="B700" t="s">
        <v>2311</v>
      </c>
      <c r="C700" t="s">
        <v>258</v>
      </c>
      <c r="D700" t="s">
        <v>73</v>
      </c>
      <c r="E700" t="s">
        <v>56</v>
      </c>
      <c r="F700" s="30">
        <v>45199</v>
      </c>
      <c r="G700" t="s">
        <v>2320</v>
      </c>
      <c r="H700" t="s">
        <v>4579</v>
      </c>
      <c r="I700">
        <v>14</v>
      </c>
      <c r="J700">
        <v>5.3000001907348633</v>
      </c>
      <c r="CP700">
        <v>5.3</v>
      </c>
    </row>
    <row r="701" spans="1:94" x14ac:dyDescent="0.3">
      <c r="A701">
        <v>436</v>
      </c>
      <c r="B701" t="s">
        <v>2311</v>
      </c>
      <c r="C701" t="s">
        <v>258</v>
      </c>
      <c r="D701" t="s">
        <v>73</v>
      </c>
      <c r="E701" t="s">
        <v>56</v>
      </c>
      <c r="F701" s="30">
        <v>45199</v>
      </c>
      <c r="G701" t="s">
        <v>2320</v>
      </c>
      <c r="H701" t="s">
        <v>4580</v>
      </c>
      <c r="I701">
        <v>7</v>
      </c>
      <c r="J701">
        <v>12</v>
      </c>
      <c r="CP701">
        <v>12</v>
      </c>
    </row>
    <row r="702" spans="1:94" x14ac:dyDescent="0.3">
      <c r="A702">
        <v>213</v>
      </c>
      <c r="B702" t="s">
        <v>757</v>
      </c>
      <c r="C702" t="s">
        <v>251</v>
      </c>
      <c r="D702" t="s">
        <v>21</v>
      </c>
      <c r="E702" t="s">
        <v>22</v>
      </c>
      <c r="F702" s="30">
        <v>45199</v>
      </c>
      <c r="G702" t="s">
        <v>764</v>
      </c>
      <c r="H702" t="s">
        <v>4534</v>
      </c>
      <c r="I702">
        <v>90</v>
      </c>
      <c r="J702">
        <v>37.5</v>
      </c>
      <c r="AW702">
        <v>8</v>
      </c>
      <c r="AX702">
        <v>3</v>
      </c>
    </row>
    <row r="703" spans="1:94" x14ac:dyDescent="0.3">
      <c r="A703">
        <v>213</v>
      </c>
      <c r="B703" t="s">
        <v>757</v>
      </c>
      <c r="C703" t="s">
        <v>251</v>
      </c>
      <c r="D703" t="s">
        <v>21</v>
      </c>
      <c r="E703" t="s">
        <v>22</v>
      </c>
      <c r="F703" s="30">
        <v>45199</v>
      </c>
      <c r="G703" t="s">
        <v>764</v>
      </c>
      <c r="H703" t="s">
        <v>4486</v>
      </c>
      <c r="I703">
        <v>90</v>
      </c>
      <c r="J703">
        <v>86.360000610351563</v>
      </c>
      <c r="AW703">
        <v>22</v>
      </c>
      <c r="AX703">
        <v>19</v>
      </c>
    </row>
    <row r="704" spans="1:94" x14ac:dyDescent="0.3">
      <c r="A704">
        <v>213</v>
      </c>
      <c r="B704" t="s">
        <v>757</v>
      </c>
      <c r="C704" t="s">
        <v>251</v>
      </c>
      <c r="D704" t="s">
        <v>21</v>
      </c>
      <c r="E704" t="s">
        <v>22</v>
      </c>
      <c r="F704" s="30">
        <v>45199</v>
      </c>
      <c r="G704" t="s">
        <v>764</v>
      </c>
      <c r="H704" t="s">
        <v>4483</v>
      </c>
      <c r="I704">
        <v>90</v>
      </c>
      <c r="J704">
        <v>87.5</v>
      </c>
      <c r="AW704">
        <v>24</v>
      </c>
      <c r="AX704">
        <v>21</v>
      </c>
    </row>
    <row r="705" spans="1:79" x14ac:dyDescent="0.3">
      <c r="A705">
        <v>213</v>
      </c>
      <c r="B705" t="s">
        <v>757</v>
      </c>
      <c r="C705" t="s">
        <v>251</v>
      </c>
      <c r="D705" t="s">
        <v>21</v>
      </c>
      <c r="E705" t="s">
        <v>22</v>
      </c>
      <c r="F705" s="30">
        <v>45199</v>
      </c>
      <c r="G705" t="s">
        <v>764</v>
      </c>
      <c r="H705" t="s">
        <v>4482</v>
      </c>
      <c r="I705">
        <v>90</v>
      </c>
      <c r="J705">
        <v>100</v>
      </c>
      <c r="AW705">
        <v>11</v>
      </c>
      <c r="AX705">
        <v>11</v>
      </c>
    </row>
    <row r="706" spans="1:79" x14ac:dyDescent="0.3">
      <c r="A706">
        <v>213</v>
      </c>
      <c r="B706" t="s">
        <v>757</v>
      </c>
      <c r="C706" t="s">
        <v>251</v>
      </c>
      <c r="D706" t="s">
        <v>21</v>
      </c>
      <c r="E706" t="s">
        <v>22</v>
      </c>
      <c r="F706" s="30">
        <v>45199</v>
      </c>
      <c r="G706" t="s">
        <v>764</v>
      </c>
      <c r="H706" t="s">
        <v>4484</v>
      </c>
      <c r="I706">
        <v>90</v>
      </c>
      <c r="J706">
        <v>85.709999084472656</v>
      </c>
      <c r="AW706">
        <v>14</v>
      </c>
      <c r="AX706">
        <v>12</v>
      </c>
    </row>
    <row r="707" spans="1:79" x14ac:dyDescent="0.3">
      <c r="A707">
        <v>213</v>
      </c>
      <c r="B707" t="s">
        <v>757</v>
      </c>
      <c r="C707" t="s">
        <v>251</v>
      </c>
      <c r="D707" t="s">
        <v>21</v>
      </c>
      <c r="E707" t="s">
        <v>22</v>
      </c>
      <c r="F707" s="30">
        <v>45199</v>
      </c>
      <c r="G707" t="s">
        <v>764</v>
      </c>
      <c r="H707" t="s">
        <v>4533</v>
      </c>
      <c r="I707">
        <v>90</v>
      </c>
      <c r="J707">
        <v>100</v>
      </c>
      <c r="AW707">
        <v>4</v>
      </c>
      <c r="AX707">
        <v>4</v>
      </c>
    </row>
    <row r="708" spans="1:79" x14ac:dyDescent="0.3">
      <c r="A708">
        <v>213</v>
      </c>
      <c r="B708" t="s">
        <v>757</v>
      </c>
      <c r="C708" t="s">
        <v>251</v>
      </c>
      <c r="D708" t="s">
        <v>21</v>
      </c>
      <c r="E708" t="s">
        <v>22</v>
      </c>
      <c r="F708" s="30">
        <v>45199</v>
      </c>
      <c r="G708" t="s">
        <v>764</v>
      </c>
      <c r="H708" t="s">
        <v>4485</v>
      </c>
      <c r="I708">
        <v>90</v>
      </c>
      <c r="J708">
        <v>97.620002746582031</v>
      </c>
      <c r="AW708">
        <v>42</v>
      </c>
      <c r="AX708">
        <v>41</v>
      </c>
    </row>
    <row r="709" spans="1:79" x14ac:dyDescent="0.3">
      <c r="A709">
        <v>213</v>
      </c>
      <c r="B709" t="s">
        <v>757</v>
      </c>
      <c r="C709" t="s">
        <v>251</v>
      </c>
      <c r="D709" t="s">
        <v>21</v>
      </c>
      <c r="E709" t="s">
        <v>22</v>
      </c>
      <c r="F709" s="30">
        <v>45199</v>
      </c>
      <c r="G709" t="s">
        <v>764</v>
      </c>
      <c r="H709" t="s">
        <v>4487</v>
      </c>
      <c r="I709">
        <v>90</v>
      </c>
      <c r="J709">
        <v>96.489997863769531</v>
      </c>
      <c r="AW709">
        <v>57</v>
      </c>
      <c r="AX709">
        <v>55</v>
      </c>
    </row>
    <row r="710" spans="1:79" x14ac:dyDescent="0.3">
      <c r="A710">
        <v>238</v>
      </c>
      <c r="B710" t="s">
        <v>1077</v>
      </c>
      <c r="C710" t="s">
        <v>251</v>
      </c>
      <c r="D710" t="s">
        <v>21</v>
      </c>
      <c r="E710" t="s">
        <v>22</v>
      </c>
      <c r="F710" s="30">
        <v>45199</v>
      </c>
      <c r="G710" t="s">
        <v>1085</v>
      </c>
      <c r="H710" t="s">
        <v>4488</v>
      </c>
      <c r="I710">
        <v>90</v>
      </c>
      <c r="J710">
        <v>0</v>
      </c>
      <c r="AY710">
        <v>0</v>
      </c>
      <c r="AZ710">
        <v>1</v>
      </c>
    </row>
    <row r="711" spans="1:79" x14ac:dyDescent="0.3">
      <c r="A711">
        <v>238</v>
      </c>
      <c r="B711" t="s">
        <v>1077</v>
      </c>
      <c r="C711" t="s">
        <v>251</v>
      </c>
      <c r="D711" t="s">
        <v>21</v>
      </c>
      <c r="E711" t="s">
        <v>22</v>
      </c>
      <c r="F711" s="30">
        <v>45199</v>
      </c>
      <c r="G711" t="s">
        <v>1085</v>
      </c>
      <c r="H711" t="s">
        <v>4489</v>
      </c>
      <c r="I711">
        <v>90</v>
      </c>
      <c r="J711">
        <v>71.430000305175781</v>
      </c>
      <c r="AY711">
        <v>5</v>
      </c>
      <c r="AZ711">
        <v>7</v>
      </c>
    </row>
    <row r="712" spans="1:79" x14ac:dyDescent="0.3">
      <c r="A712">
        <v>238</v>
      </c>
      <c r="B712" t="s">
        <v>1077</v>
      </c>
      <c r="C712" t="s">
        <v>251</v>
      </c>
      <c r="D712" t="s">
        <v>21</v>
      </c>
      <c r="E712" t="s">
        <v>22</v>
      </c>
      <c r="F712" s="30">
        <v>45199</v>
      </c>
      <c r="G712" t="s">
        <v>1085</v>
      </c>
      <c r="H712" t="s">
        <v>4490</v>
      </c>
      <c r="I712">
        <v>90</v>
      </c>
      <c r="J712">
        <v>100</v>
      </c>
      <c r="AY712">
        <v>3</v>
      </c>
      <c r="AZ712">
        <v>3</v>
      </c>
    </row>
    <row r="713" spans="1:79" x14ac:dyDescent="0.3">
      <c r="A713">
        <v>238</v>
      </c>
      <c r="B713" t="s">
        <v>1077</v>
      </c>
      <c r="C713" t="s">
        <v>251</v>
      </c>
      <c r="D713" t="s">
        <v>21</v>
      </c>
      <c r="E713" t="s">
        <v>22</v>
      </c>
      <c r="F713" s="30">
        <v>45199</v>
      </c>
      <c r="G713" t="s">
        <v>1085</v>
      </c>
      <c r="H713" t="s">
        <v>4491</v>
      </c>
      <c r="I713">
        <v>90</v>
      </c>
      <c r="J713">
        <v>100</v>
      </c>
      <c r="AY713">
        <v>3</v>
      </c>
      <c r="AZ713">
        <v>3</v>
      </c>
    </row>
    <row r="714" spans="1:79" x14ac:dyDescent="0.3">
      <c r="A714">
        <v>238</v>
      </c>
      <c r="B714" t="s">
        <v>1077</v>
      </c>
      <c r="C714" t="s">
        <v>251</v>
      </c>
      <c r="D714" t="s">
        <v>21</v>
      </c>
      <c r="E714" t="s">
        <v>22</v>
      </c>
      <c r="F714" s="30">
        <v>45199</v>
      </c>
      <c r="G714" t="s">
        <v>1085</v>
      </c>
      <c r="H714" t="s">
        <v>4535</v>
      </c>
      <c r="I714">
        <v>90</v>
      </c>
      <c r="J714">
        <v>0</v>
      </c>
      <c r="AY714">
        <v>0</v>
      </c>
      <c r="AZ714">
        <v>0</v>
      </c>
    </row>
    <row r="715" spans="1:79" x14ac:dyDescent="0.3">
      <c r="A715">
        <v>238</v>
      </c>
      <c r="B715" t="s">
        <v>1077</v>
      </c>
      <c r="C715" t="s">
        <v>251</v>
      </c>
      <c r="D715" t="s">
        <v>21</v>
      </c>
      <c r="E715" t="s">
        <v>22</v>
      </c>
      <c r="F715" s="30">
        <v>45199</v>
      </c>
      <c r="G715" t="s">
        <v>1085</v>
      </c>
      <c r="H715" t="s">
        <v>4492</v>
      </c>
      <c r="I715">
        <v>90</v>
      </c>
      <c r="J715">
        <v>100</v>
      </c>
      <c r="AY715">
        <v>3</v>
      </c>
      <c r="AZ715">
        <v>3</v>
      </c>
    </row>
    <row r="716" spans="1:79" x14ac:dyDescent="0.3">
      <c r="A716">
        <v>238</v>
      </c>
      <c r="B716" t="s">
        <v>1077</v>
      </c>
      <c r="C716" t="s">
        <v>251</v>
      </c>
      <c r="D716" t="s">
        <v>21</v>
      </c>
      <c r="E716" t="s">
        <v>22</v>
      </c>
      <c r="F716" s="30">
        <v>45199</v>
      </c>
      <c r="G716" t="s">
        <v>1085</v>
      </c>
      <c r="H716" t="s">
        <v>4536</v>
      </c>
      <c r="I716">
        <v>90</v>
      </c>
      <c r="J716">
        <v>0</v>
      </c>
      <c r="AY716">
        <v>0</v>
      </c>
      <c r="AZ716">
        <v>0</v>
      </c>
    </row>
    <row r="717" spans="1:79" x14ac:dyDescent="0.3">
      <c r="A717">
        <v>238</v>
      </c>
      <c r="B717" t="s">
        <v>1077</v>
      </c>
      <c r="C717" t="s">
        <v>251</v>
      </c>
      <c r="D717" t="s">
        <v>21</v>
      </c>
      <c r="E717" t="s">
        <v>22</v>
      </c>
      <c r="F717" s="30">
        <v>45199</v>
      </c>
      <c r="G717" t="s">
        <v>1085</v>
      </c>
      <c r="H717" t="s">
        <v>4493</v>
      </c>
      <c r="I717">
        <v>90</v>
      </c>
      <c r="J717">
        <v>100</v>
      </c>
      <c r="AY717">
        <v>2</v>
      </c>
      <c r="AZ717">
        <v>2</v>
      </c>
    </row>
    <row r="718" spans="1:79" x14ac:dyDescent="0.3">
      <c r="A718">
        <v>306</v>
      </c>
      <c r="B718" t="s">
        <v>1543</v>
      </c>
      <c r="C718" t="s">
        <v>1241</v>
      </c>
      <c r="D718" t="s">
        <v>21</v>
      </c>
      <c r="E718" t="s">
        <v>22</v>
      </c>
      <c r="F718" s="30">
        <v>45199</v>
      </c>
      <c r="G718" t="s">
        <v>1546</v>
      </c>
      <c r="H718" t="s">
        <v>4538</v>
      </c>
      <c r="I718">
        <v>100</v>
      </c>
      <c r="J718">
        <v>98</v>
      </c>
      <c r="BY718">
        <v>98</v>
      </c>
    </row>
    <row r="719" spans="1:79" x14ac:dyDescent="0.3">
      <c r="A719">
        <v>373</v>
      </c>
      <c r="B719" t="s">
        <v>1856</v>
      </c>
      <c r="C719" t="s">
        <v>1263</v>
      </c>
      <c r="D719" t="s">
        <v>21</v>
      </c>
      <c r="E719" t="s">
        <v>22</v>
      </c>
      <c r="F719" s="30">
        <v>45199</v>
      </c>
      <c r="G719" t="s">
        <v>1859</v>
      </c>
      <c r="H719" t="s">
        <v>4542</v>
      </c>
      <c r="I719">
        <v>100</v>
      </c>
      <c r="J719">
        <v>91.489997863769531</v>
      </c>
      <c r="BZ719">
        <v>86</v>
      </c>
      <c r="CA719">
        <v>94</v>
      </c>
    </row>
    <row r="720" spans="1:79" x14ac:dyDescent="0.3">
      <c r="A720">
        <v>373</v>
      </c>
      <c r="B720" t="s">
        <v>1856</v>
      </c>
      <c r="C720" t="s">
        <v>1263</v>
      </c>
      <c r="D720" t="s">
        <v>21</v>
      </c>
      <c r="E720" t="s">
        <v>22</v>
      </c>
      <c r="F720" s="30">
        <v>45199</v>
      </c>
      <c r="G720" t="s">
        <v>1859</v>
      </c>
      <c r="H720" t="s">
        <v>4541</v>
      </c>
      <c r="I720">
        <v>100</v>
      </c>
      <c r="J720">
        <v>90.629997253417969</v>
      </c>
      <c r="BZ720">
        <v>87</v>
      </c>
      <c r="CA720">
        <v>96</v>
      </c>
    </row>
    <row r="721" spans="1:81" x14ac:dyDescent="0.3">
      <c r="A721">
        <v>373</v>
      </c>
      <c r="B721" t="s">
        <v>1856</v>
      </c>
      <c r="C721" t="s">
        <v>1263</v>
      </c>
      <c r="D721" t="s">
        <v>21</v>
      </c>
      <c r="E721" t="s">
        <v>22</v>
      </c>
      <c r="F721" s="30">
        <v>45199</v>
      </c>
      <c r="G721" t="s">
        <v>1859</v>
      </c>
      <c r="H721" t="s">
        <v>4540</v>
      </c>
      <c r="I721">
        <v>100</v>
      </c>
      <c r="J721">
        <v>87.230003356933594</v>
      </c>
      <c r="BZ721">
        <v>82</v>
      </c>
      <c r="CA721">
        <v>94</v>
      </c>
    </row>
    <row r="722" spans="1:81" x14ac:dyDescent="0.3">
      <c r="A722">
        <v>373</v>
      </c>
      <c r="B722" t="s">
        <v>1856</v>
      </c>
      <c r="C722" t="s">
        <v>1263</v>
      </c>
      <c r="D722" t="s">
        <v>21</v>
      </c>
      <c r="E722" t="s">
        <v>22</v>
      </c>
      <c r="F722" s="30">
        <v>45199</v>
      </c>
      <c r="G722" t="s">
        <v>1859</v>
      </c>
      <c r="H722" t="s">
        <v>4539</v>
      </c>
      <c r="I722">
        <v>100</v>
      </c>
      <c r="J722">
        <v>90.430000305175781</v>
      </c>
      <c r="BZ722">
        <v>85</v>
      </c>
      <c r="CA722">
        <v>94</v>
      </c>
    </row>
    <row r="723" spans="1:81" x14ac:dyDescent="0.3">
      <c r="A723">
        <v>373</v>
      </c>
      <c r="B723" t="s">
        <v>1856</v>
      </c>
      <c r="C723" t="s">
        <v>1263</v>
      </c>
      <c r="D723" t="s">
        <v>21</v>
      </c>
      <c r="E723" t="s">
        <v>22</v>
      </c>
      <c r="F723" s="30">
        <v>45199</v>
      </c>
      <c r="G723" t="s">
        <v>1859</v>
      </c>
      <c r="H723" t="s">
        <v>4538</v>
      </c>
      <c r="I723">
        <v>100</v>
      </c>
      <c r="J723">
        <v>91.400001525878906</v>
      </c>
      <c r="BZ723">
        <v>85</v>
      </c>
      <c r="CA723">
        <v>93</v>
      </c>
    </row>
    <row r="724" spans="1:81" x14ac:dyDescent="0.3">
      <c r="A724">
        <v>373</v>
      </c>
      <c r="B724" t="s">
        <v>1856</v>
      </c>
      <c r="C724" t="s">
        <v>1263</v>
      </c>
      <c r="D724" t="s">
        <v>21</v>
      </c>
      <c r="E724" t="s">
        <v>22</v>
      </c>
      <c r="F724" s="30">
        <v>45199</v>
      </c>
      <c r="G724" t="s">
        <v>1859</v>
      </c>
      <c r="H724" t="s">
        <v>4537</v>
      </c>
      <c r="I724">
        <v>100</v>
      </c>
      <c r="J724">
        <v>97.870002746582031</v>
      </c>
      <c r="BZ724">
        <v>92</v>
      </c>
      <c r="CA724">
        <v>94</v>
      </c>
    </row>
    <row r="725" spans="1:81" x14ac:dyDescent="0.3">
      <c r="A725">
        <v>390</v>
      </c>
      <c r="B725" t="s">
        <v>1970</v>
      </c>
      <c r="C725" t="s">
        <v>1263</v>
      </c>
      <c r="D725" t="s">
        <v>21</v>
      </c>
      <c r="E725" t="s">
        <v>22</v>
      </c>
      <c r="F725" s="30">
        <v>45199</v>
      </c>
      <c r="G725" t="s">
        <v>1973</v>
      </c>
      <c r="H725" t="s">
        <v>4514</v>
      </c>
      <c r="I725">
        <v>100</v>
      </c>
      <c r="J725">
        <v>91.989997863769531</v>
      </c>
      <c r="CB725">
        <v>91.7</v>
      </c>
      <c r="CC725">
        <v>99.68</v>
      </c>
    </row>
    <row r="726" spans="1:81" x14ac:dyDescent="0.3">
      <c r="A726">
        <v>390</v>
      </c>
      <c r="B726" t="s">
        <v>1970</v>
      </c>
      <c r="C726" t="s">
        <v>1263</v>
      </c>
      <c r="D726" t="s">
        <v>21</v>
      </c>
      <c r="E726" t="s">
        <v>22</v>
      </c>
      <c r="F726" s="30">
        <v>45199</v>
      </c>
      <c r="G726" t="s">
        <v>1973</v>
      </c>
      <c r="H726" t="s">
        <v>4515</v>
      </c>
      <c r="I726">
        <v>100</v>
      </c>
      <c r="J726">
        <v>93.510002136230469</v>
      </c>
      <c r="CB726">
        <v>90.5</v>
      </c>
      <c r="CC726">
        <v>96.78</v>
      </c>
    </row>
    <row r="727" spans="1:81" x14ac:dyDescent="0.3">
      <c r="A727">
        <v>390</v>
      </c>
      <c r="B727" t="s">
        <v>1970</v>
      </c>
      <c r="C727" t="s">
        <v>1263</v>
      </c>
      <c r="D727" t="s">
        <v>21</v>
      </c>
      <c r="E727" t="s">
        <v>22</v>
      </c>
      <c r="F727" s="30">
        <v>45199</v>
      </c>
      <c r="G727" t="s">
        <v>1973</v>
      </c>
      <c r="H727" t="s">
        <v>4516</v>
      </c>
      <c r="I727">
        <v>100</v>
      </c>
      <c r="J727">
        <v>98.790000915527344</v>
      </c>
      <c r="CB727">
        <v>96.56</v>
      </c>
      <c r="CC727">
        <v>97.74</v>
      </c>
    </row>
    <row r="728" spans="1:81" x14ac:dyDescent="0.3">
      <c r="A728">
        <v>390</v>
      </c>
      <c r="B728" t="s">
        <v>1970</v>
      </c>
      <c r="C728" t="s">
        <v>1263</v>
      </c>
      <c r="D728" t="s">
        <v>21</v>
      </c>
      <c r="E728" t="s">
        <v>22</v>
      </c>
      <c r="F728" s="30">
        <v>45199</v>
      </c>
      <c r="G728" t="s">
        <v>1973</v>
      </c>
      <c r="H728" t="s">
        <v>4517</v>
      </c>
      <c r="I728">
        <v>100</v>
      </c>
      <c r="J728">
        <v>94</v>
      </c>
      <c r="CB728">
        <v>93.72</v>
      </c>
      <c r="CC728">
        <v>99.7</v>
      </c>
    </row>
    <row r="729" spans="1:81" x14ac:dyDescent="0.3">
      <c r="A729">
        <v>390</v>
      </c>
      <c r="B729" t="s">
        <v>1970</v>
      </c>
      <c r="C729" t="s">
        <v>1263</v>
      </c>
      <c r="D729" t="s">
        <v>21</v>
      </c>
      <c r="E729" t="s">
        <v>22</v>
      </c>
      <c r="F729" s="30">
        <v>45199</v>
      </c>
      <c r="G729" t="s">
        <v>1973</v>
      </c>
      <c r="H729" t="s">
        <v>4518</v>
      </c>
      <c r="I729">
        <v>100</v>
      </c>
      <c r="J729">
        <v>88.080001831054688</v>
      </c>
      <c r="CB729">
        <v>78.900000000000006</v>
      </c>
      <c r="CC729">
        <v>89.58</v>
      </c>
    </row>
    <row r="730" spans="1:81" x14ac:dyDescent="0.3">
      <c r="A730">
        <v>390</v>
      </c>
      <c r="B730" t="s">
        <v>1970</v>
      </c>
      <c r="C730" t="s">
        <v>1263</v>
      </c>
      <c r="D730" t="s">
        <v>21</v>
      </c>
      <c r="E730" t="s">
        <v>22</v>
      </c>
      <c r="F730" s="30">
        <v>45199</v>
      </c>
      <c r="G730" t="s">
        <v>1973</v>
      </c>
      <c r="H730" t="s">
        <v>4519</v>
      </c>
      <c r="I730">
        <v>100</v>
      </c>
      <c r="J730">
        <v>101.98000335693359</v>
      </c>
      <c r="CB730">
        <v>92</v>
      </c>
      <c r="CC730">
        <v>90.21</v>
      </c>
    </row>
    <row r="731" spans="1:81" x14ac:dyDescent="0.3">
      <c r="A731">
        <v>390</v>
      </c>
      <c r="B731" t="s">
        <v>1970</v>
      </c>
      <c r="C731" t="s">
        <v>1263</v>
      </c>
      <c r="D731" t="s">
        <v>21</v>
      </c>
      <c r="E731" t="s">
        <v>22</v>
      </c>
      <c r="F731" s="30">
        <v>45199</v>
      </c>
      <c r="G731" t="s">
        <v>1973</v>
      </c>
      <c r="H731" t="s">
        <v>4520</v>
      </c>
      <c r="I731">
        <v>100</v>
      </c>
      <c r="J731">
        <v>98.870002746582031</v>
      </c>
      <c r="CB731">
        <v>90.9</v>
      </c>
      <c r="CC731">
        <v>91.94</v>
      </c>
    </row>
    <row r="732" spans="1:81" x14ac:dyDescent="0.3">
      <c r="A732">
        <v>390</v>
      </c>
      <c r="B732" t="s">
        <v>1970</v>
      </c>
      <c r="C732" t="s">
        <v>1263</v>
      </c>
      <c r="D732" t="s">
        <v>21</v>
      </c>
      <c r="E732" t="s">
        <v>22</v>
      </c>
      <c r="F732" s="30">
        <v>45199</v>
      </c>
      <c r="G732" t="s">
        <v>1973</v>
      </c>
      <c r="H732" t="s">
        <v>4521</v>
      </c>
      <c r="I732">
        <v>100</v>
      </c>
      <c r="J732">
        <v>96.19000244140625</v>
      </c>
      <c r="CB732">
        <v>91.25</v>
      </c>
      <c r="CC732">
        <v>94.86</v>
      </c>
    </row>
    <row r="733" spans="1:81" x14ac:dyDescent="0.3">
      <c r="A733">
        <v>390</v>
      </c>
      <c r="B733" t="s">
        <v>1970</v>
      </c>
      <c r="C733" t="s">
        <v>1263</v>
      </c>
      <c r="D733" t="s">
        <v>21</v>
      </c>
      <c r="E733" t="s">
        <v>22</v>
      </c>
      <c r="F733" s="30">
        <v>45199</v>
      </c>
      <c r="G733" t="s">
        <v>1973</v>
      </c>
      <c r="H733" t="s">
        <v>4522</v>
      </c>
      <c r="I733">
        <v>100</v>
      </c>
      <c r="J733">
        <v>95.050003051757813</v>
      </c>
      <c r="CB733">
        <v>88.33</v>
      </c>
      <c r="CC733">
        <v>92.93</v>
      </c>
    </row>
    <row r="734" spans="1:81" x14ac:dyDescent="0.3">
      <c r="A734">
        <v>390</v>
      </c>
      <c r="B734" t="s">
        <v>1970</v>
      </c>
      <c r="C734" t="s">
        <v>1263</v>
      </c>
      <c r="D734" t="s">
        <v>21</v>
      </c>
      <c r="E734" t="s">
        <v>22</v>
      </c>
      <c r="F734" s="30">
        <v>45199</v>
      </c>
      <c r="G734" t="s">
        <v>1973</v>
      </c>
      <c r="H734" t="s">
        <v>4523</v>
      </c>
      <c r="I734">
        <v>100</v>
      </c>
      <c r="J734">
        <v>97.069999694824219</v>
      </c>
      <c r="CB734">
        <v>90</v>
      </c>
      <c r="CC734">
        <v>92.72</v>
      </c>
    </row>
    <row r="735" spans="1:81" x14ac:dyDescent="0.3">
      <c r="A735">
        <v>390</v>
      </c>
      <c r="B735" t="s">
        <v>1970</v>
      </c>
      <c r="C735" t="s">
        <v>1263</v>
      </c>
      <c r="D735" t="s">
        <v>21</v>
      </c>
      <c r="E735" t="s">
        <v>22</v>
      </c>
      <c r="F735" s="30">
        <v>45199</v>
      </c>
      <c r="G735" t="s">
        <v>1973</v>
      </c>
      <c r="H735" t="s">
        <v>4524</v>
      </c>
      <c r="I735">
        <v>100</v>
      </c>
      <c r="J735">
        <v>97.55999755859375</v>
      </c>
      <c r="CB735">
        <v>92.5</v>
      </c>
      <c r="CC735">
        <v>94.81</v>
      </c>
    </row>
    <row r="736" spans="1:81" x14ac:dyDescent="0.3">
      <c r="A736">
        <v>390</v>
      </c>
      <c r="B736" t="s">
        <v>1970</v>
      </c>
      <c r="C736" t="s">
        <v>1263</v>
      </c>
      <c r="D736" t="s">
        <v>21</v>
      </c>
      <c r="E736" t="s">
        <v>22</v>
      </c>
      <c r="F736" s="30">
        <v>45199</v>
      </c>
      <c r="G736" t="s">
        <v>1973</v>
      </c>
      <c r="H736" t="s">
        <v>4525</v>
      </c>
      <c r="I736">
        <v>100</v>
      </c>
      <c r="J736">
        <v>91.040000915527344</v>
      </c>
      <c r="CB736">
        <v>88.71</v>
      </c>
      <c r="CC736">
        <v>97.44</v>
      </c>
    </row>
    <row r="737" spans="1:96" x14ac:dyDescent="0.3">
      <c r="A737">
        <v>409</v>
      </c>
      <c r="B737" t="s">
        <v>2081</v>
      </c>
      <c r="C737" t="s">
        <v>1303</v>
      </c>
      <c r="D737" t="s">
        <v>21</v>
      </c>
      <c r="E737" t="s">
        <v>22</v>
      </c>
      <c r="F737" s="30">
        <v>45199</v>
      </c>
      <c r="G737" t="s">
        <v>2084</v>
      </c>
      <c r="H737" t="s">
        <v>4581</v>
      </c>
      <c r="I737">
        <v>80</v>
      </c>
      <c r="J737">
        <v>104</v>
      </c>
      <c r="CQ737">
        <v>2600</v>
      </c>
      <c r="CR737">
        <v>2500</v>
      </c>
    </row>
    <row r="738" spans="1:96" x14ac:dyDescent="0.3">
      <c r="A738">
        <v>409</v>
      </c>
      <c r="B738" t="s">
        <v>2081</v>
      </c>
      <c r="C738" t="s">
        <v>1303</v>
      </c>
      <c r="D738" t="s">
        <v>21</v>
      </c>
      <c r="E738" t="s">
        <v>22</v>
      </c>
      <c r="F738" s="30">
        <v>45199</v>
      </c>
      <c r="G738" t="s">
        <v>2084</v>
      </c>
      <c r="H738" t="s">
        <v>4582</v>
      </c>
      <c r="I738">
        <v>80</v>
      </c>
      <c r="J738">
        <v>100</v>
      </c>
      <c r="CQ738">
        <v>189</v>
      </c>
      <c r="CR738">
        <v>189</v>
      </c>
    </row>
    <row r="739" spans="1:96" x14ac:dyDescent="0.3">
      <c r="A739">
        <v>414</v>
      </c>
      <c r="B739" t="s">
        <v>2103</v>
      </c>
      <c r="C739" t="s">
        <v>1263</v>
      </c>
      <c r="D739" t="s">
        <v>21</v>
      </c>
      <c r="E739" t="s">
        <v>22</v>
      </c>
      <c r="F739" s="30">
        <v>45199</v>
      </c>
      <c r="G739" t="s">
        <v>2106</v>
      </c>
      <c r="H739" t="s">
        <v>4543</v>
      </c>
      <c r="I739">
        <v>100</v>
      </c>
      <c r="J739">
        <v>91.25</v>
      </c>
      <c r="CD739">
        <v>91.25</v>
      </c>
      <c r="CE739">
        <v>100</v>
      </c>
    </row>
    <row r="740" spans="1:96" x14ac:dyDescent="0.3">
      <c r="A740">
        <v>414</v>
      </c>
      <c r="B740" t="s">
        <v>2103</v>
      </c>
      <c r="C740" t="s">
        <v>1263</v>
      </c>
      <c r="D740" t="s">
        <v>21</v>
      </c>
      <c r="E740" t="s">
        <v>22</v>
      </c>
      <c r="F740" s="30">
        <v>45199</v>
      </c>
      <c r="G740" t="s">
        <v>2106</v>
      </c>
      <c r="H740" t="s">
        <v>4544</v>
      </c>
      <c r="I740">
        <v>100</v>
      </c>
      <c r="J740">
        <v>69.699996948242188</v>
      </c>
      <c r="CD740">
        <v>65.8</v>
      </c>
      <c r="CE740">
        <v>94.41</v>
      </c>
    </row>
    <row r="741" spans="1:96" x14ac:dyDescent="0.3">
      <c r="A741">
        <v>414</v>
      </c>
      <c r="B741" t="s">
        <v>2103</v>
      </c>
      <c r="C741" t="s">
        <v>1263</v>
      </c>
      <c r="D741" t="s">
        <v>21</v>
      </c>
      <c r="E741" t="s">
        <v>22</v>
      </c>
      <c r="F741" s="30">
        <v>45199</v>
      </c>
      <c r="G741" t="s">
        <v>2106</v>
      </c>
      <c r="H741" t="s">
        <v>4545</v>
      </c>
      <c r="I741">
        <v>100</v>
      </c>
      <c r="J741">
        <v>108.2900009155273</v>
      </c>
      <c r="CD741">
        <v>94.79</v>
      </c>
      <c r="CE741">
        <v>87.53</v>
      </c>
    </row>
    <row r="742" spans="1:96" x14ac:dyDescent="0.3">
      <c r="A742">
        <v>414</v>
      </c>
      <c r="B742" t="s">
        <v>2103</v>
      </c>
      <c r="C742" t="s">
        <v>1263</v>
      </c>
      <c r="D742" t="s">
        <v>21</v>
      </c>
      <c r="E742" t="s">
        <v>22</v>
      </c>
      <c r="F742" s="30">
        <v>45199</v>
      </c>
      <c r="G742" t="s">
        <v>2106</v>
      </c>
      <c r="H742" t="s">
        <v>4546</v>
      </c>
      <c r="I742">
        <v>100</v>
      </c>
      <c r="J742">
        <v>84.019996643066406</v>
      </c>
      <c r="CD742">
        <v>84.02</v>
      </c>
      <c r="CE742">
        <v>100</v>
      </c>
    </row>
    <row r="743" spans="1:96" x14ac:dyDescent="0.3">
      <c r="A743">
        <v>414</v>
      </c>
      <c r="B743" t="s">
        <v>2103</v>
      </c>
      <c r="C743" t="s">
        <v>1263</v>
      </c>
      <c r="D743" t="s">
        <v>21</v>
      </c>
      <c r="E743" t="s">
        <v>22</v>
      </c>
      <c r="F743" s="30">
        <v>45199</v>
      </c>
      <c r="G743" t="s">
        <v>2106</v>
      </c>
      <c r="H743" t="s">
        <v>4547</v>
      </c>
      <c r="I743">
        <v>100</v>
      </c>
      <c r="J743">
        <v>102.40000152587891</v>
      </c>
      <c r="CD743">
        <v>92.75</v>
      </c>
      <c r="CE743">
        <v>90.58</v>
      </c>
    </row>
    <row r="744" spans="1:96" x14ac:dyDescent="0.3">
      <c r="A744">
        <v>414</v>
      </c>
      <c r="B744" t="s">
        <v>2103</v>
      </c>
      <c r="C744" t="s">
        <v>1263</v>
      </c>
      <c r="D744" t="s">
        <v>21</v>
      </c>
      <c r="E744" t="s">
        <v>22</v>
      </c>
      <c r="F744" s="30">
        <v>45199</v>
      </c>
      <c r="G744" t="s">
        <v>2106</v>
      </c>
      <c r="H744" t="s">
        <v>4548</v>
      </c>
      <c r="I744">
        <v>100</v>
      </c>
      <c r="J744">
        <v>102.5299987792969</v>
      </c>
      <c r="CD744">
        <v>91.01</v>
      </c>
      <c r="CE744">
        <v>88.76</v>
      </c>
    </row>
    <row r="745" spans="1:96" x14ac:dyDescent="0.3">
      <c r="A745">
        <v>414</v>
      </c>
      <c r="B745" t="s">
        <v>2103</v>
      </c>
      <c r="C745" t="s">
        <v>1263</v>
      </c>
      <c r="D745" t="s">
        <v>21</v>
      </c>
      <c r="E745" t="s">
        <v>22</v>
      </c>
      <c r="F745" s="30">
        <v>45199</v>
      </c>
      <c r="G745" t="s">
        <v>2106</v>
      </c>
      <c r="H745" t="s">
        <v>4549</v>
      </c>
      <c r="I745">
        <v>100</v>
      </c>
      <c r="J745">
        <v>105.63999938964839</v>
      </c>
      <c r="CD745">
        <v>94.63</v>
      </c>
      <c r="CE745">
        <v>89.58</v>
      </c>
    </row>
    <row r="746" spans="1:96" x14ac:dyDescent="0.3">
      <c r="A746">
        <v>414</v>
      </c>
      <c r="B746" t="s">
        <v>2103</v>
      </c>
      <c r="C746" t="s">
        <v>1263</v>
      </c>
      <c r="D746" t="s">
        <v>21</v>
      </c>
      <c r="E746" t="s">
        <v>22</v>
      </c>
      <c r="F746" s="30">
        <v>45199</v>
      </c>
      <c r="G746" t="s">
        <v>2106</v>
      </c>
      <c r="H746" t="s">
        <v>4550</v>
      </c>
      <c r="I746">
        <v>100</v>
      </c>
      <c r="J746">
        <v>84.510002136230469</v>
      </c>
      <c r="CD746">
        <v>77.5</v>
      </c>
      <c r="CE746">
        <v>91.7</v>
      </c>
    </row>
    <row r="747" spans="1:96" x14ac:dyDescent="0.3">
      <c r="A747">
        <v>415</v>
      </c>
      <c r="B747" t="s">
        <v>2116</v>
      </c>
      <c r="C747" t="s">
        <v>1263</v>
      </c>
      <c r="D747" t="s">
        <v>21</v>
      </c>
      <c r="E747" t="s">
        <v>22</v>
      </c>
      <c r="F747" s="30">
        <v>45199</v>
      </c>
      <c r="G747" t="s">
        <v>2119</v>
      </c>
      <c r="H747" t="s">
        <v>4551</v>
      </c>
      <c r="I747">
        <v>100</v>
      </c>
      <c r="J747">
        <v>79.180000305175781</v>
      </c>
      <c r="CF747">
        <v>73.569999999999993</v>
      </c>
      <c r="CG747">
        <v>92.91</v>
      </c>
    </row>
    <row r="748" spans="1:96" x14ac:dyDescent="0.3">
      <c r="A748">
        <v>415</v>
      </c>
      <c r="B748" t="s">
        <v>2116</v>
      </c>
      <c r="C748" t="s">
        <v>1263</v>
      </c>
      <c r="D748" t="s">
        <v>21</v>
      </c>
      <c r="E748" t="s">
        <v>22</v>
      </c>
      <c r="F748" s="30">
        <v>45199</v>
      </c>
      <c r="G748" t="s">
        <v>2119</v>
      </c>
      <c r="H748" t="s">
        <v>4552</v>
      </c>
      <c r="I748">
        <v>100</v>
      </c>
      <c r="J748">
        <v>94.099998474121094</v>
      </c>
      <c r="CF748">
        <v>94.1</v>
      </c>
      <c r="CG748">
        <v>100</v>
      </c>
    </row>
    <row r="749" spans="1:96" x14ac:dyDescent="0.3">
      <c r="A749">
        <v>415</v>
      </c>
      <c r="B749" t="s">
        <v>2116</v>
      </c>
      <c r="C749" t="s">
        <v>1263</v>
      </c>
      <c r="D749" t="s">
        <v>21</v>
      </c>
      <c r="E749" t="s">
        <v>22</v>
      </c>
      <c r="F749" s="30">
        <v>45199</v>
      </c>
      <c r="G749" t="s">
        <v>2119</v>
      </c>
      <c r="H749" t="s">
        <v>4553</v>
      </c>
      <c r="I749">
        <v>100</v>
      </c>
      <c r="J749">
        <v>75.099998474121094</v>
      </c>
      <c r="CF749">
        <v>68.33</v>
      </c>
      <c r="CG749">
        <v>90.99</v>
      </c>
    </row>
    <row r="750" spans="1:96" x14ac:dyDescent="0.3">
      <c r="A750">
        <v>415</v>
      </c>
      <c r="B750" t="s">
        <v>2116</v>
      </c>
      <c r="C750" t="s">
        <v>1263</v>
      </c>
      <c r="D750" t="s">
        <v>21</v>
      </c>
      <c r="E750" t="s">
        <v>22</v>
      </c>
      <c r="F750" s="30">
        <v>45199</v>
      </c>
      <c r="G750" t="s">
        <v>2119</v>
      </c>
      <c r="H750" t="s">
        <v>4554</v>
      </c>
      <c r="I750">
        <v>100</v>
      </c>
      <c r="J750">
        <v>106.36000061035161</v>
      </c>
      <c r="CF750">
        <v>96.78</v>
      </c>
      <c r="CG750">
        <v>90.99</v>
      </c>
    </row>
    <row r="751" spans="1:96" x14ac:dyDescent="0.3">
      <c r="A751">
        <v>415</v>
      </c>
      <c r="B751" t="s">
        <v>2116</v>
      </c>
      <c r="C751" t="s">
        <v>1263</v>
      </c>
      <c r="D751" t="s">
        <v>21</v>
      </c>
      <c r="E751" t="s">
        <v>22</v>
      </c>
      <c r="F751" s="30">
        <v>45199</v>
      </c>
      <c r="G751" t="s">
        <v>2119</v>
      </c>
      <c r="H751" t="s">
        <v>4555</v>
      </c>
      <c r="I751">
        <v>100</v>
      </c>
      <c r="J751">
        <v>117.09999847412109</v>
      </c>
      <c r="CF751">
        <v>98.89</v>
      </c>
      <c r="CG751">
        <v>84.45</v>
      </c>
    </row>
    <row r="752" spans="1:96" x14ac:dyDescent="0.3">
      <c r="A752">
        <v>415</v>
      </c>
      <c r="B752" t="s">
        <v>2116</v>
      </c>
      <c r="C752" t="s">
        <v>1263</v>
      </c>
      <c r="D752" t="s">
        <v>21</v>
      </c>
      <c r="E752" t="s">
        <v>22</v>
      </c>
      <c r="F752" s="30">
        <v>45199</v>
      </c>
      <c r="G752" t="s">
        <v>2119</v>
      </c>
      <c r="H752" t="s">
        <v>4556</v>
      </c>
      <c r="I752">
        <v>100</v>
      </c>
      <c r="J752">
        <v>102.80999755859381</v>
      </c>
      <c r="CF752">
        <v>92.6</v>
      </c>
      <c r="CG752">
        <v>90.07</v>
      </c>
    </row>
    <row r="753" spans="1:91" x14ac:dyDescent="0.3">
      <c r="A753">
        <v>415</v>
      </c>
      <c r="B753" t="s">
        <v>2116</v>
      </c>
      <c r="C753" t="s">
        <v>1263</v>
      </c>
      <c r="D753" t="s">
        <v>21</v>
      </c>
      <c r="E753" t="s">
        <v>22</v>
      </c>
      <c r="F753" s="30">
        <v>45199</v>
      </c>
      <c r="G753" t="s">
        <v>2119</v>
      </c>
      <c r="H753" t="s">
        <v>4557</v>
      </c>
      <c r="I753">
        <v>100</v>
      </c>
      <c r="J753">
        <v>82.94000244140625</v>
      </c>
      <c r="CF753">
        <v>77.78</v>
      </c>
      <c r="CG753">
        <v>93.78</v>
      </c>
    </row>
    <row r="754" spans="1:91" x14ac:dyDescent="0.3">
      <c r="A754">
        <v>416</v>
      </c>
      <c r="B754" t="s">
        <v>2129</v>
      </c>
      <c r="C754" t="s">
        <v>1263</v>
      </c>
      <c r="D754" t="s">
        <v>21</v>
      </c>
      <c r="E754" t="s">
        <v>22</v>
      </c>
      <c r="F754" s="30">
        <v>45199</v>
      </c>
      <c r="G754" t="s">
        <v>2132</v>
      </c>
      <c r="H754" t="s">
        <v>4558</v>
      </c>
      <c r="I754">
        <v>100</v>
      </c>
      <c r="J754">
        <v>87.040000915527344</v>
      </c>
      <c r="CH754">
        <v>83.57</v>
      </c>
      <c r="CI754">
        <v>96.01</v>
      </c>
    </row>
    <row r="755" spans="1:91" x14ac:dyDescent="0.3">
      <c r="A755">
        <v>416</v>
      </c>
      <c r="B755" t="s">
        <v>2129</v>
      </c>
      <c r="C755" t="s">
        <v>1263</v>
      </c>
      <c r="D755" t="s">
        <v>21</v>
      </c>
      <c r="E755" t="s">
        <v>22</v>
      </c>
      <c r="F755" s="30">
        <v>45199</v>
      </c>
      <c r="G755" t="s">
        <v>2132</v>
      </c>
      <c r="H755" t="s">
        <v>4559</v>
      </c>
      <c r="I755">
        <v>100</v>
      </c>
      <c r="J755">
        <v>88.800003051757813</v>
      </c>
      <c r="CH755">
        <v>88.8</v>
      </c>
      <c r="CI755">
        <v>100</v>
      </c>
    </row>
    <row r="756" spans="1:91" x14ac:dyDescent="0.3">
      <c r="A756">
        <v>417</v>
      </c>
      <c r="B756" t="s">
        <v>2142</v>
      </c>
      <c r="C756" t="s">
        <v>1263</v>
      </c>
      <c r="D756" t="s">
        <v>21</v>
      </c>
      <c r="E756" t="s">
        <v>22</v>
      </c>
      <c r="F756" s="30">
        <v>45199</v>
      </c>
      <c r="G756" t="s">
        <v>2145</v>
      </c>
      <c r="H756" t="s">
        <v>4560</v>
      </c>
      <c r="I756">
        <v>100</v>
      </c>
      <c r="J756">
        <v>95.94000244140625</v>
      </c>
      <c r="CJ756">
        <v>85.5</v>
      </c>
      <c r="CK756">
        <v>89.12</v>
      </c>
    </row>
    <row r="757" spans="1:91" x14ac:dyDescent="0.3">
      <c r="A757">
        <v>417</v>
      </c>
      <c r="B757" t="s">
        <v>2142</v>
      </c>
      <c r="C757" t="s">
        <v>1263</v>
      </c>
      <c r="D757" t="s">
        <v>21</v>
      </c>
      <c r="E757" t="s">
        <v>22</v>
      </c>
      <c r="F757" s="30">
        <v>45199</v>
      </c>
      <c r="G757" t="s">
        <v>2145</v>
      </c>
      <c r="H757" t="s">
        <v>4561</v>
      </c>
      <c r="I757">
        <v>100</v>
      </c>
      <c r="J757">
        <v>79.099998474121094</v>
      </c>
      <c r="CJ757">
        <v>73.33</v>
      </c>
      <c r="CK757">
        <v>92.7</v>
      </c>
    </row>
    <row r="758" spans="1:91" x14ac:dyDescent="0.3">
      <c r="A758">
        <v>417</v>
      </c>
      <c r="B758" t="s">
        <v>2142</v>
      </c>
      <c r="C758" t="s">
        <v>1263</v>
      </c>
      <c r="D758" t="s">
        <v>21</v>
      </c>
      <c r="E758" t="s">
        <v>22</v>
      </c>
      <c r="F758" s="30">
        <v>45199</v>
      </c>
      <c r="G758" t="s">
        <v>2145</v>
      </c>
      <c r="H758" t="s">
        <v>4562</v>
      </c>
      <c r="I758">
        <v>100</v>
      </c>
      <c r="J758">
        <v>103.5899963378906</v>
      </c>
      <c r="CJ758">
        <v>93.75</v>
      </c>
      <c r="CK758">
        <v>90.5</v>
      </c>
    </row>
    <row r="759" spans="1:91" x14ac:dyDescent="0.3">
      <c r="A759">
        <v>417</v>
      </c>
      <c r="B759" t="s">
        <v>2142</v>
      </c>
      <c r="C759" t="s">
        <v>1263</v>
      </c>
      <c r="D759" t="s">
        <v>21</v>
      </c>
      <c r="E759" t="s">
        <v>22</v>
      </c>
      <c r="F759" s="30">
        <v>45199</v>
      </c>
      <c r="G759" t="s">
        <v>2145</v>
      </c>
      <c r="H759" t="s">
        <v>4563</v>
      </c>
      <c r="I759">
        <v>100</v>
      </c>
      <c r="J759">
        <v>102.3199996948242</v>
      </c>
      <c r="CJ759">
        <v>91.75</v>
      </c>
      <c r="CK759">
        <v>89.67</v>
      </c>
    </row>
    <row r="760" spans="1:91" x14ac:dyDescent="0.3">
      <c r="A760">
        <v>417</v>
      </c>
      <c r="B760" t="s">
        <v>2142</v>
      </c>
      <c r="C760" t="s">
        <v>1263</v>
      </c>
      <c r="D760" t="s">
        <v>21</v>
      </c>
      <c r="E760" t="s">
        <v>22</v>
      </c>
      <c r="F760" s="30">
        <v>45199</v>
      </c>
      <c r="G760" t="s">
        <v>2145</v>
      </c>
      <c r="H760" t="s">
        <v>4564</v>
      </c>
      <c r="I760">
        <v>100</v>
      </c>
      <c r="J760">
        <v>77.199996948242188</v>
      </c>
      <c r="CJ760">
        <v>61.16</v>
      </c>
      <c r="CK760">
        <v>79.22</v>
      </c>
    </row>
    <row r="761" spans="1:91" x14ac:dyDescent="0.3">
      <c r="A761">
        <v>417</v>
      </c>
      <c r="B761" t="s">
        <v>2142</v>
      </c>
      <c r="C761" t="s">
        <v>1263</v>
      </c>
      <c r="D761" t="s">
        <v>21</v>
      </c>
      <c r="E761" t="s">
        <v>22</v>
      </c>
      <c r="F761" s="30">
        <v>45199</v>
      </c>
      <c r="G761" t="s">
        <v>2145</v>
      </c>
      <c r="H761" t="s">
        <v>4565</v>
      </c>
      <c r="I761">
        <v>100</v>
      </c>
      <c r="J761">
        <v>104.38999938964839</v>
      </c>
      <c r="CJ761">
        <v>92.95</v>
      </c>
      <c r="CK761">
        <v>89.04</v>
      </c>
    </row>
    <row r="762" spans="1:91" x14ac:dyDescent="0.3">
      <c r="A762">
        <v>418</v>
      </c>
      <c r="B762" t="s">
        <v>2155</v>
      </c>
      <c r="C762" t="s">
        <v>1263</v>
      </c>
      <c r="D762" t="s">
        <v>21</v>
      </c>
      <c r="E762" t="s">
        <v>22</v>
      </c>
      <c r="F762" s="30">
        <v>45199</v>
      </c>
      <c r="G762" t="s">
        <v>2158</v>
      </c>
      <c r="H762" t="s">
        <v>4566</v>
      </c>
      <c r="I762">
        <v>100</v>
      </c>
      <c r="J762">
        <v>62.610000610351563</v>
      </c>
      <c r="CL762">
        <v>54.95</v>
      </c>
      <c r="CM762">
        <v>87.77</v>
      </c>
    </row>
    <row r="763" spans="1:91" x14ac:dyDescent="0.3">
      <c r="A763">
        <v>418</v>
      </c>
      <c r="B763" t="s">
        <v>2155</v>
      </c>
      <c r="C763" t="s">
        <v>1263</v>
      </c>
      <c r="D763" t="s">
        <v>21</v>
      </c>
      <c r="E763" t="s">
        <v>22</v>
      </c>
      <c r="F763" s="30">
        <v>45199</v>
      </c>
      <c r="G763" t="s">
        <v>2158</v>
      </c>
      <c r="H763" t="s">
        <v>4567</v>
      </c>
      <c r="I763">
        <v>100</v>
      </c>
      <c r="J763">
        <v>54.439998626708977</v>
      </c>
      <c r="CL763">
        <v>50.42</v>
      </c>
      <c r="CM763">
        <v>92.62</v>
      </c>
    </row>
    <row r="764" spans="1:91" x14ac:dyDescent="0.3">
      <c r="A764">
        <v>418</v>
      </c>
      <c r="B764" t="s">
        <v>2155</v>
      </c>
      <c r="C764" t="s">
        <v>1263</v>
      </c>
      <c r="D764" t="s">
        <v>21</v>
      </c>
      <c r="E764" t="s">
        <v>22</v>
      </c>
      <c r="F764" s="30">
        <v>45199</v>
      </c>
      <c r="G764" t="s">
        <v>2158</v>
      </c>
      <c r="H764" t="s">
        <v>4568</v>
      </c>
      <c r="I764">
        <v>100</v>
      </c>
      <c r="J764">
        <v>88.040000915527344</v>
      </c>
      <c r="CL764">
        <v>79.73</v>
      </c>
      <c r="CM764">
        <v>90.56</v>
      </c>
    </row>
    <row r="765" spans="1:91" x14ac:dyDescent="0.3">
      <c r="A765">
        <v>418</v>
      </c>
      <c r="B765" t="s">
        <v>2155</v>
      </c>
      <c r="C765" t="s">
        <v>1263</v>
      </c>
      <c r="D765" t="s">
        <v>21</v>
      </c>
      <c r="E765" t="s">
        <v>22</v>
      </c>
      <c r="F765" s="30">
        <v>45199</v>
      </c>
      <c r="G765" t="s">
        <v>2158</v>
      </c>
      <c r="H765" t="s">
        <v>4569</v>
      </c>
      <c r="I765">
        <v>100</v>
      </c>
      <c r="J765">
        <v>103.69000244140619</v>
      </c>
      <c r="CL765">
        <v>96</v>
      </c>
      <c r="CM765">
        <v>92.58</v>
      </c>
    </row>
    <row r="766" spans="1:91" x14ac:dyDescent="0.3">
      <c r="A766">
        <v>418</v>
      </c>
      <c r="B766" t="s">
        <v>2155</v>
      </c>
      <c r="C766" t="s">
        <v>1263</v>
      </c>
      <c r="D766" t="s">
        <v>21</v>
      </c>
      <c r="E766" t="s">
        <v>22</v>
      </c>
      <c r="F766" s="30">
        <v>45199</v>
      </c>
      <c r="G766" t="s">
        <v>2158</v>
      </c>
      <c r="H766" t="s">
        <v>4570</v>
      </c>
      <c r="I766">
        <v>100</v>
      </c>
      <c r="J766">
        <v>102.09999847412109</v>
      </c>
      <c r="CL766">
        <v>92.5</v>
      </c>
      <c r="CM766">
        <v>90.6</v>
      </c>
    </row>
    <row r="767" spans="1:91" x14ac:dyDescent="0.3">
      <c r="A767">
        <v>418</v>
      </c>
      <c r="B767" t="s">
        <v>2155</v>
      </c>
      <c r="C767" t="s">
        <v>1263</v>
      </c>
      <c r="D767" t="s">
        <v>21</v>
      </c>
      <c r="E767" t="s">
        <v>22</v>
      </c>
      <c r="F767" s="30">
        <v>45199</v>
      </c>
      <c r="G767" t="s">
        <v>2158</v>
      </c>
      <c r="H767" t="s">
        <v>4571</v>
      </c>
      <c r="I767">
        <v>100</v>
      </c>
      <c r="J767">
        <v>91.790000915527344</v>
      </c>
      <c r="CL767">
        <v>85.25</v>
      </c>
      <c r="CM767">
        <v>92.87</v>
      </c>
    </row>
    <row r="768" spans="1:91" x14ac:dyDescent="0.3">
      <c r="A768">
        <v>418</v>
      </c>
      <c r="B768" t="s">
        <v>2155</v>
      </c>
      <c r="C768" t="s">
        <v>1263</v>
      </c>
      <c r="D768" t="s">
        <v>21</v>
      </c>
      <c r="E768" t="s">
        <v>22</v>
      </c>
      <c r="F768" s="30">
        <v>45199</v>
      </c>
      <c r="G768" t="s">
        <v>2158</v>
      </c>
      <c r="H768" t="s">
        <v>4572</v>
      </c>
      <c r="I768">
        <v>100</v>
      </c>
      <c r="J768">
        <v>94.639999389648438</v>
      </c>
      <c r="CL768">
        <v>94.31</v>
      </c>
      <c r="CM768">
        <v>99.65</v>
      </c>
    </row>
    <row r="769" spans="1:98" x14ac:dyDescent="0.3">
      <c r="A769">
        <v>418</v>
      </c>
      <c r="B769" t="s">
        <v>2155</v>
      </c>
      <c r="C769" t="s">
        <v>1263</v>
      </c>
      <c r="D769" t="s">
        <v>21</v>
      </c>
      <c r="E769" t="s">
        <v>22</v>
      </c>
      <c r="F769" s="30">
        <v>45199</v>
      </c>
      <c r="G769" t="s">
        <v>2158</v>
      </c>
      <c r="H769" t="s">
        <v>4573</v>
      </c>
      <c r="I769">
        <v>100</v>
      </c>
      <c r="J769">
        <v>88.319999694824219</v>
      </c>
      <c r="CL769">
        <v>81.48</v>
      </c>
      <c r="CM769">
        <v>92.26</v>
      </c>
    </row>
    <row r="770" spans="1:98" x14ac:dyDescent="0.3">
      <c r="A770">
        <v>418</v>
      </c>
      <c r="B770" t="s">
        <v>2155</v>
      </c>
      <c r="C770" t="s">
        <v>1263</v>
      </c>
      <c r="D770" t="s">
        <v>21</v>
      </c>
      <c r="E770" t="s">
        <v>22</v>
      </c>
      <c r="F770" s="30">
        <v>45199</v>
      </c>
      <c r="G770" t="s">
        <v>2158</v>
      </c>
      <c r="H770" t="s">
        <v>4528</v>
      </c>
      <c r="I770">
        <v>100</v>
      </c>
      <c r="J770">
        <v>84.870002746582031</v>
      </c>
      <c r="CL770">
        <v>83.83</v>
      </c>
      <c r="CM770">
        <v>98.78</v>
      </c>
    </row>
    <row r="771" spans="1:98" x14ac:dyDescent="0.3">
      <c r="A771">
        <v>420</v>
      </c>
      <c r="B771" t="s">
        <v>2172</v>
      </c>
      <c r="C771" t="s">
        <v>1263</v>
      </c>
      <c r="D771" t="s">
        <v>21</v>
      </c>
      <c r="E771" t="s">
        <v>22</v>
      </c>
      <c r="F771" s="30">
        <v>45199</v>
      </c>
      <c r="G771" t="s">
        <v>2175</v>
      </c>
      <c r="H771" t="s">
        <v>4574</v>
      </c>
      <c r="I771">
        <v>100</v>
      </c>
      <c r="J771">
        <v>93.410003662109375</v>
      </c>
      <c r="CN771">
        <v>90.52</v>
      </c>
      <c r="CO771">
        <v>96.91</v>
      </c>
    </row>
    <row r="772" spans="1:98" x14ac:dyDescent="0.3">
      <c r="A772">
        <v>420</v>
      </c>
      <c r="B772" t="s">
        <v>2172</v>
      </c>
      <c r="C772" t="s">
        <v>1263</v>
      </c>
      <c r="D772" t="s">
        <v>21</v>
      </c>
      <c r="E772" t="s">
        <v>22</v>
      </c>
      <c r="F772" s="30">
        <v>45199</v>
      </c>
      <c r="G772" t="s">
        <v>2175</v>
      </c>
      <c r="H772" t="s">
        <v>4575</v>
      </c>
      <c r="I772">
        <v>100</v>
      </c>
      <c r="J772">
        <v>88.269996643066406</v>
      </c>
      <c r="CN772">
        <v>79</v>
      </c>
      <c r="CO772">
        <v>89.5</v>
      </c>
    </row>
    <row r="773" spans="1:98" x14ac:dyDescent="0.3">
      <c r="A773">
        <v>420</v>
      </c>
      <c r="B773" t="s">
        <v>2172</v>
      </c>
      <c r="C773" t="s">
        <v>1263</v>
      </c>
      <c r="D773" t="s">
        <v>21</v>
      </c>
      <c r="E773" t="s">
        <v>22</v>
      </c>
      <c r="F773" s="30">
        <v>45199</v>
      </c>
      <c r="G773" t="s">
        <v>2175</v>
      </c>
      <c r="H773" t="s">
        <v>4576</v>
      </c>
      <c r="I773">
        <v>100</v>
      </c>
      <c r="J773">
        <v>99.830001831054688</v>
      </c>
      <c r="CN773">
        <v>92</v>
      </c>
      <c r="CO773">
        <v>92.16</v>
      </c>
    </row>
    <row r="774" spans="1:98" x14ac:dyDescent="0.3">
      <c r="A774">
        <v>420</v>
      </c>
      <c r="B774" t="s">
        <v>2172</v>
      </c>
      <c r="C774" t="s">
        <v>1263</v>
      </c>
      <c r="D774" t="s">
        <v>21</v>
      </c>
      <c r="E774" t="s">
        <v>22</v>
      </c>
      <c r="F774" s="30">
        <v>45199</v>
      </c>
      <c r="G774" t="s">
        <v>2175</v>
      </c>
      <c r="H774" t="s">
        <v>4577</v>
      </c>
      <c r="I774">
        <v>100</v>
      </c>
      <c r="J774">
        <v>100</v>
      </c>
      <c r="CN774">
        <v>100</v>
      </c>
      <c r="CO774">
        <v>100</v>
      </c>
    </row>
    <row r="775" spans="1:98" x14ac:dyDescent="0.3">
      <c r="A775">
        <v>420</v>
      </c>
      <c r="B775" t="s">
        <v>2172</v>
      </c>
      <c r="C775" t="s">
        <v>1263</v>
      </c>
      <c r="D775" t="s">
        <v>21</v>
      </c>
      <c r="E775" t="s">
        <v>22</v>
      </c>
      <c r="F775" s="30">
        <v>45199</v>
      </c>
      <c r="G775" t="s">
        <v>2175</v>
      </c>
      <c r="H775" t="s">
        <v>4578</v>
      </c>
      <c r="I775">
        <v>100</v>
      </c>
      <c r="J775">
        <v>91.430000305175781</v>
      </c>
      <c r="CN775">
        <v>85.76</v>
      </c>
      <c r="CO775">
        <v>93.8</v>
      </c>
    </row>
    <row r="776" spans="1:98" x14ac:dyDescent="0.3">
      <c r="A776">
        <v>432</v>
      </c>
      <c r="B776" t="s">
        <v>2247</v>
      </c>
      <c r="C776" t="s">
        <v>138</v>
      </c>
      <c r="D776" t="s">
        <v>21</v>
      </c>
      <c r="E776" t="s">
        <v>22</v>
      </c>
      <c r="F776" s="30">
        <v>45199</v>
      </c>
      <c r="G776" t="s">
        <v>2250</v>
      </c>
      <c r="H776" t="s">
        <v>4583</v>
      </c>
      <c r="I776">
        <v>90</v>
      </c>
      <c r="J776">
        <v>100</v>
      </c>
      <c r="CS776">
        <v>4</v>
      </c>
      <c r="CT776">
        <v>4</v>
      </c>
    </row>
    <row r="777" spans="1:98" x14ac:dyDescent="0.3">
      <c r="A777">
        <v>432</v>
      </c>
      <c r="B777" t="s">
        <v>2247</v>
      </c>
      <c r="C777" t="s">
        <v>138</v>
      </c>
      <c r="D777" t="s">
        <v>21</v>
      </c>
      <c r="E777" t="s">
        <v>22</v>
      </c>
      <c r="F777" s="30">
        <v>45199</v>
      </c>
      <c r="G777" t="s">
        <v>2250</v>
      </c>
      <c r="H777" t="s">
        <v>4584</v>
      </c>
      <c r="I777">
        <v>90</v>
      </c>
      <c r="J777">
        <v>100</v>
      </c>
      <c r="CS777">
        <v>4</v>
      </c>
      <c r="CT777">
        <v>4</v>
      </c>
    </row>
    <row r="778" spans="1:98" x14ac:dyDescent="0.3">
      <c r="A778">
        <v>432</v>
      </c>
      <c r="B778" t="s">
        <v>2247</v>
      </c>
      <c r="C778" t="s">
        <v>138</v>
      </c>
      <c r="D778" t="s">
        <v>21</v>
      </c>
      <c r="E778" t="s">
        <v>22</v>
      </c>
      <c r="F778" s="30">
        <v>45199</v>
      </c>
      <c r="G778" t="s">
        <v>2250</v>
      </c>
      <c r="H778" t="s">
        <v>4585</v>
      </c>
      <c r="I778">
        <v>90</v>
      </c>
      <c r="J778">
        <v>100</v>
      </c>
      <c r="CS778">
        <v>3</v>
      </c>
      <c r="CT778">
        <v>3</v>
      </c>
    </row>
    <row r="779" spans="1:98" x14ac:dyDescent="0.3">
      <c r="A779">
        <v>432</v>
      </c>
      <c r="B779" t="s">
        <v>2247</v>
      </c>
      <c r="C779" t="s">
        <v>138</v>
      </c>
      <c r="D779" t="s">
        <v>21</v>
      </c>
      <c r="E779" t="s">
        <v>22</v>
      </c>
      <c r="F779" s="30">
        <v>45199</v>
      </c>
      <c r="G779" t="s">
        <v>2250</v>
      </c>
      <c r="H779" t="s">
        <v>4586</v>
      </c>
      <c r="I779">
        <v>90</v>
      </c>
      <c r="J779">
        <v>0</v>
      </c>
      <c r="CS779">
        <v>0</v>
      </c>
      <c r="CT779">
        <v>0</v>
      </c>
    </row>
    <row r="780" spans="1:98" x14ac:dyDescent="0.3">
      <c r="A780">
        <v>432</v>
      </c>
      <c r="B780" t="s">
        <v>2247</v>
      </c>
      <c r="C780" t="s">
        <v>138</v>
      </c>
      <c r="D780" t="s">
        <v>21</v>
      </c>
      <c r="E780" t="s">
        <v>22</v>
      </c>
      <c r="F780" s="30">
        <v>45199</v>
      </c>
      <c r="G780" t="s">
        <v>2250</v>
      </c>
      <c r="H780" t="s">
        <v>4587</v>
      </c>
      <c r="I780">
        <v>90</v>
      </c>
      <c r="J780">
        <v>100</v>
      </c>
      <c r="CS780">
        <v>2</v>
      </c>
      <c r="CT780">
        <v>2</v>
      </c>
    </row>
    <row r="781" spans="1:98" x14ac:dyDescent="0.3">
      <c r="A781">
        <v>432</v>
      </c>
      <c r="B781" t="s">
        <v>2247</v>
      </c>
      <c r="C781" t="s">
        <v>138</v>
      </c>
      <c r="D781" t="s">
        <v>21</v>
      </c>
      <c r="E781" t="s">
        <v>22</v>
      </c>
      <c r="F781" s="30">
        <v>45199</v>
      </c>
      <c r="G781" t="s">
        <v>2250</v>
      </c>
      <c r="H781" t="s">
        <v>4588</v>
      </c>
      <c r="I781">
        <v>90</v>
      </c>
      <c r="J781">
        <v>100</v>
      </c>
      <c r="CS781">
        <v>2</v>
      </c>
      <c r="CT781">
        <v>2</v>
      </c>
    </row>
    <row r="782" spans="1:98" x14ac:dyDescent="0.3">
      <c r="A782">
        <v>432</v>
      </c>
      <c r="B782" t="s">
        <v>2247</v>
      </c>
      <c r="C782" t="s">
        <v>138</v>
      </c>
      <c r="D782" t="s">
        <v>21</v>
      </c>
      <c r="E782" t="s">
        <v>22</v>
      </c>
      <c r="F782" s="30">
        <v>45199</v>
      </c>
      <c r="G782" t="s">
        <v>2250</v>
      </c>
      <c r="H782" t="s">
        <v>4589</v>
      </c>
      <c r="I782">
        <v>90</v>
      </c>
      <c r="J782">
        <v>100</v>
      </c>
      <c r="CS782">
        <v>1</v>
      </c>
      <c r="CT782">
        <v>1</v>
      </c>
    </row>
    <row r="783" spans="1:98" x14ac:dyDescent="0.3">
      <c r="A783">
        <v>432</v>
      </c>
      <c r="B783" t="s">
        <v>2247</v>
      </c>
      <c r="C783" t="s">
        <v>138</v>
      </c>
      <c r="D783" t="s">
        <v>21</v>
      </c>
      <c r="E783" t="s">
        <v>22</v>
      </c>
      <c r="F783" s="30">
        <v>45199</v>
      </c>
      <c r="G783" t="s">
        <v>2250</v>
      </c>
      <c r="H783" t="s">
        <v>4590</v>
      </c>
      <c r="I783">
        <v>90</v>
      </c>
      <c r="J783">
        <v>100</v>
      </c>
      <c r="CS783">
        <v>1</v>
      </c>
      <c r="CT783">
        <v>1</v>
      </c>
    </row>
    <row r="784" spans="1:98" x14ac:dyDescent="0.3">
      <c r="A784">
        <v>432</v>
      </c>
      <c r="B784" t="s">
        <v>2247</v>
      </c>
      <c r="C784" t="s">
        <v>138</v>
      </c>
      <c r="D784" t="s">
        <v>21</v>
      </c>
      <c r="E784" t="s">
        <v>22</v>
      </c>
      <c r="F784" s="30">
        <v>45199</v>
      </c>
      <c r="G784" t="s">
        <v>2250</v>
      </c>
      <c r="H784" t="s">
        <v>4591</v>
      </c>
      <c r="I784">
        <v>90</v>
      </c>
      <c r="J784">
        <v>100</v>
      </c>
      <c r="CS784">
        <v>3</v>
      </c>
      <c r="CT784">
        <v>3</v>
      </c>
    </row>
    <row r="785" spans="1:45" x14ac:dyDescent="0.3">
      <c r="A785">
        <v>208</v>
      </c>
      <c r="B785" t="s">
        <v>707</v>
      </c>
      <c r="C785" t="s">
        <v>251</v>
      </c>
      <c r="D785" t="s">
        <v>73</v>
      </c>
      <c r="E785" t="s">
        <v>56</v>
      </c>
      <c r="F785" s="30">
        <v>45230</v>
      </c>
      <c r="G785" t="s">
        <v>730</v>
      </c>
      <c r="H785" t="s">
        <v>4468</v>
      </c>
      <c r="I785">
        <v>1</v>
      </c>
      <c r="J785">
        <v>787</v>
      </c>
      <c r="K785">
        <v>787</v>
      </c>
    </row>
    <row r="786" spans="1:45" x14ac:dyDescent="0.3">
      <c r="A786">
        <v>208</v>
      </c>
      <c r="B786" t="s">
        <v>707</v>
      </c>
      <c r="C786" t="s">
        <v>251</v>
      </c>
      <c r="D786" t="s">
        <v>73</v>
      </c>
      <c r="E786" t="s">
        <v>56</v>
      </c>
      <c r="F786" s="30">
        <v>45230</v>
      </c>
      <c r="G786" t="s">
        <v>730</v>
      </c>
      <c r="H786" t="s">
        <v>4470</v>
      </c>
      <c r="I786">
        <v>1</v>
      </c>
      <c r="J786">
        <v>364.5</v>
      </c>
      <c r="K786">
        <v>364.5</v>
      </c>
    </row>
    <row r="787" spans="1:45" x14ac:dyDescent="0.3">
      <c r="A787">
        <v>208</v>
      </c>
      <c r="B787" t="s">
        <v>707</v>
      </c>
      <c r="C787" t="s">
        <v>251</v>
      </c>
      <c r="D787" t="s">
        <v>73</v>
      </c>
      <c r="E787" t="s">
        <v>56</v>
      </c>
      <c r="F787" s="30">
        <v>45230</v>
      </c>
      <c r="G787" t="s">
        <v>730</v>
      </c>
      <c r="H787" t="s">
        <v>4477</v>
      </c>
      <c r="I787">
        <v>1</v>
      </c>
      <c r="J787">
        <v>0</v>
      </c>
      <c r="K787">
        <v>0</v>
      </c>
    </row>
    <row r="788" spans="1:45" x14ac:dyDescent="0.3">
      <c r="A788">
        <v>208</v>
      </c>
      <c r="B788" t="s">
        <v>707</v>
      </c>
      <c r="C788" t="s">
        <v>251</v>
      </c>
      <c r="D788" t="s">
        <v>73</v>
      </c>
      <c r="E788" t="s">
        <v>56</v>
      </c>
      <c r="F788" s="30">
        <v>45230</v>
      </c>
      <c r="G788" t="s">
        <v>730</v>
      </c>
      <c r="H788" t="s">
        <v>4469</v>
      </c>
      <c r="I788">
        <v>1</v>
      </c>
      <c r="J788">
        <v>396</v>
      </c>
      <c r="K788">
        <v>396</v>
      </c>
    </row>
    <row r="789" spans="1:45" x14ac:dyDescent="0.3">
      <c r="A789">
        <v>208</v>
      </c>
      <c r="B789" t="s">
        <v>707</v>
      </c>
      <c r="C789" t="s">
        <v>251</v>
      </c>
      <c r="D789" t="s">
        <v>73</v>
      </c>
      <c r="E789" t="s">
        <v>56</v>
      </c>
      <c r="F789" s="30">
        <v>45230</v>
      </c>
      <c r="G789" t="s">
        <v>730</v>
      </c>
      <c r="H789" t="s">
        <v>4476</v>
      </c>
      <c r="I789">
        <v>0</v>
      </c>
      <c r="J789">
        <v>0</v>
      </c>
      <c r="K789">
        <v>0</v>
      </c>
    </row>
    <row r="790" spans="1:45" x14ac:dyDescent="0.3">
      <c r="A790">
        <v>208</v>
      </c>
      <c r="B790" t="s">
        <v>707</v>
      </c>
      <c r="C790" t="s">
        <v>251</v>
      </c>
      <c r="D790" t="s">
        <v>73</v>
      </c>
      <c r="E790" t="s">
        <v>56</v>
      </c>
      <c r="F790" s="30">
        <v>45230</v>
      </c>
      <c r="G790" t="s">
        <v>730</v>
      </c>
      <c r="H790" t="s">
        <v>4478</v>
      </c>
      <c r="I790">
        <v>1</v>
      </c>
      <c r="J790">
        <v>28.39999961853027</v>
      </c>
      <c r="K790">
        <v>28.4</v>
      </c>
    </row>
    <row r="791" spans="1:45" x14ac:dyDescent="0.3">
      <c r="A791">
        <v>214</v>
      </c>
      <c r="B791" t="s">
        <v>774</v>
      </c>
      <c r="C791" t="s">
        <v>251</v>
      </c>
      <c r="D791" t="s">
        <v>73</v>
      </c>
      <c r="E791" t="s">
        <v>56</v>
      </c>
      <c r="F791" s="30">
        <v>45230</v>
      </c>
      <c r="G791" t="s">
        <v>797</v>
      </c>
      <c r="H791" t="s">
        <v>4468</v>
      </c>
      <c r="I791">
        <v>7500</v>
      </c>
      <c r="J791">
        <v>4651</v>
      </c>
      <c r="L791">
        <v>893</v>
      </c>
      <c r="M791">
        <v>3758</v>
      </c>
    </row>
    <row r="792" spans="1:45" x14ac:dyDescent="0.3">
      <c r="A792">
        <v>214</v>
      </c>
      <c r="B792" t="s">
        <v>774</v>
      </c>
      <c r="C792" t="s">
        <v>251</v>
      </c>
      <c r="D792" t="s">
        <v>73</v>
      </c>
      <c r="E792" t="s">
        <v>56</v>
      </c>
      <c r="F792" s="30">
        <v>45230</v>
      </c>
      <c r="G792" t="s">
        <v>797</v>
      </c>
      <c r="H792" t="s">
        <v>4470</v>
      </c>
      <c r="I792">
        <v>7500</v>
      </c>
      <c r="J792">
        <v>927.1400146484375</v>
      </c>
      <c r="L792">
        <v>0</v>
      </c>
      <c r="M792">
        <v>927.14</v>
      </c>
    </row>
    <row r="793" spans="1:45" x14ac:dyDescent="0.3">
      <c r="A793">
        <v>214</v>
      </c>
      <c r="B793" t="s">
        <v>774</v>
      </c>
      <c r="C793" t="s">
        <v>251</v>
      </c>
      <c r="D793" t="s">
        <v>73</v>
      </c>
      <c r="E793" t="s">
        <v>56</v>
      </c>
      <c r="F793" s="30">
        <v>45230</v>
      </c>
      <c r="G793" t="s">
        <v>797</v>
      </c>
      <c r="H793" t="s">
        <v>4477</v>
      </c>
      <c r="I793">
        <v>7500</v>
      </c>
      <c r="J793">
        <v>0</v>
      </c>
      <c r="L793">
        <v>0</v>
      </c>
      <c r="M793">
        <v>0</v>
      </c>
    </row>
    <row r="794" spans="1:45" x14ac:dyDescent="0.3">
      <c r="A794">
        <v>214</v>
      </c>
      <c r="B794" t="s">
        <v>774</v>
      </c>
      <c r="C794" t="s">
        <v>251</v>
      </c>
      <c r="D794" t="s">
        <v>73</v>
      </c>
      <c r="E794" t="s">
        <v>56</v>
      </c>
      <c r="F794" s="30">
        <v>45230</v>
      </c>
      <c r="G794" t="s">
        <v>797</v>
      </c>
      <c r="H794" t="s">
        <v>4469</v>
      </c>
      <c r="I794">
        <v>7500</v>
      </c>
      <c r="J794">
        <v>587.0999755859375</v>
      </c>
      <c r="L794">
        <v>111.3</v>
      </c>
      <c r="M794">
        <v>475.8</v>
      </c>
    </row>
    <row r="795" spans="1:45" x14ac:dyDescent="0.3">
      <c r="A795">
        <v>214</v>
      </c>
      <c r="B795" t="s">
        <v>774</v>
      </c>
      <c r="C795" t="s">
        <v>251</v>
      </c>
      <c r="D795" t="s">
        <v>73</v>
      </c>
      <c r="E795" t="s">
        <v>56</v>
      </c>
      <c r="F795" s="30">
        <v>45230</v>
      </c>
      <c r="G795" t="s">
        <v>797</v>
      </c>
      <c r="H795" t="s">
        <v>4476</v>
      </c>
      <c r="I795">
        <v>1</v>
      </c>
      <c r="J795">
        <v>0</v>
      </c>
      <c r="L795">
        <v>0</v>
      </c>
      <c r="M795">
        <v>0</v>
      </c>
    </row>
    <row r="796" spans="1:45" x14ac:dyDescent="0.3">
      <c r="A796">
        <v>214</v>
      </c>
      <c r="B796" t="s">
        <v>774</v>
      </c>
      <c r="C796" t="s">
        <v>251</v>
      </c>
      <c r="D796" t="s">
        <v>73</v>
      </c>
      <c r="E796" t="s">
        <v>56</v>
      </c>
      <c r="F796" s="30">
        <v>45230</v>
      </c>
      <c r="G796" t="s">
        <v>797</v>
      </c>
      <c r="H796" t="s">
        <v>4478</v>
      </c>
      <c r="I796">
        <v>1</v>
      </c>
      <c r="J796">
        <v>0</v>
      </c>
      <c r="L796">
        <v>0</v>
      </c>
      <c r="M796">
        <v>0</v>
      </c>
    </row>
    <row r="797" spans="1:45" x14ac:dyDescent="0.3">
      <c r="A797">
        <v>217</v>
      </c>
      <c r="B797" t="s">
        <v>840</v>
      </c>
      <c r="C797" t="s">
        <v>251</v>
      </c>
      <c r="D797" t="s">
        <v>73</v>
      </c>
      <c r="E797" t="s">
        <v>22</v>
      </c>
      <c r="F797" s="30">
        <v>45230</v>
      </c>
      <c r="G797" t="s">
        <v>861</v>
      </c>
      <c r="H797" t="s">
        <v>4468</v>
      </c>
      <c r="I797">
        <v>20</v>
      </c>
      <c r="J797">
        <v>19.20000076293945</v>
      </c>
      <c r="L797">
        <v>893</v>
      </c>
      <c r="M797">
        <v>3758</v>
      </c>
      <c r="AS797">
        <v>893</v>
      </c>
    </row>
    <row r="798" spans="1:45" x14ac:dyDescent="0.3">
      <c r="A798">
        <v>217</v>
      </c>
      <c r="B798" t="s">
        <v>840</v>
      </c>
      <c r="C798" t="s">
        <v>251</v>
      </c>
      <c r="D798" t="s">
        <v>73</v>
      </c>
      <c r="E798" t="s">
        <v>22</v>
      </c>
      <c r="F798" s="30">
        <v>45230</v>
      </c>
      <c r="G798" t="s">
        <v>861</v>
      </c>
      <c r="H798" t="s">
        <v>4470</v>
      </c>
      <c r="I798">
        <v>20</v>
      </c>
      <c r="J798">
        <v>0</v>
      </c>
      <c r="L798">
        <v>0</v>
      </c>
      <c r="M798">
        <v>927.14</v>
      </c>
      <c r="AS798">
        <v>0</v>
      </c>
    </row>
    <row r="799" spans="1:45" x14ac:dyDescent="0.3">
      <c r="A799">
        <v>217</v>
      </c>
      <c r="B799" t="s">
        <v>840</v>
      </c>
      <c r="C799" t="s">
        <v>251</v>
      </c>
      <c r="D799" t="s">
        <v>73</v>
      </c>
      <c r="E799" t="s">
        <v>22</v>
      </c>
      <c r="F799" s="30">
        <v>45230</v>
      </c>
      <c r="G799" t="s">
        <v>861</v>
      </c>
      <c r="H799" t="s">
        <v>4477</v>
      </c>
      <c r="I799">
        <v>20</v>
      </c>
      <c r="J799">
        <v>0</v>
      </c>
      <c r="L799">
        <v>0</v>
      </c>
      <c r="M799">
        <v>0</v>
      </c>
      <c r="AS799">
        <v>0</v>
      </c>
    </row>
    <row r="800" spans="1:45" x14ac:dyDescent="0.3">
      <c r="A800">
        <v>217</v>
      </c>
      <c r="B800" t="s">
        <v>840</v>
      </c>
      <c r="C800" t="s">
        <v>251</v>
      </c>
      <c r="D800" t="s">
        <v>73</v>
      </c>
      <c r="E800" t="s">
        <v>22</v>
      </c>
      <c r="F800" s="30">
        <v>45230</v>
      </c>
      <c r="G800" t="s">
        <v>861</v>
      </c>
      <c r="H800" t="s">
        <v>4469</v>
      </c>
      <c r="I800">
        <v>20</v>
      </c>
      <c r="J800">
        <v>18.95999908447266</v>
      </c>
      <c r="L800">
        <v>111.3</v>
      </c>
      <c r="M800">
        <v>475.8</v>
      </c>
      <c r="AS800">
        <v>111.3</v>
      </c>
    </row>
    <row r="801" spans="1:48" x14ac:dyDescent="0.3">
      <c r="A801">
        <v>217</v>
      </c>
      <c r="B801" t="s">
        <v>840</v>
      </c>
      <c r="C801" t="s">
        <v>251</v>
      </c>
      <c r="D801" t="s">
        <v>73</v>
      </c>
      <c r="E801" t="s">
        <v>22</v>
      </c>
      <c r="F801" s="30">
        <v>45230</v>
      </c>
      <c r="G801" t="s">
        <v>861</v>
      </c>
      <c r="H801" t="s">
        <v>4476</v>
      </c>
      <c r="I801">
        <v>20</v>
      </c>
      <c r="J801">
        <v>0</v>
      </c>
      <c r="L801">
        <v>0</v>
      </c>
      <c r="M801">
        <v>0</v>
      </c>
      <c r="AS801">
        <v>0</v>
      </c>
    </row>
    <row r="802" spans="1:48" x14ac:dyDescent="0.3">
      <c r="A802">
        <v>217</v>
      </c>
      <c r="B802" t="s">
        <v>840</v>
      </c>
      <c r="C802" t="s">
        <v>251</v>
      </c>
      <c r="D802" t="s">
        <v>73</v>
      </c>
      <c r="E802" t="s">
        <v>22</v>
      </c>
      <c r="F802" s="30">
        <v>45230</v>
      </c>
      <c r="G802" t="s">
        <v>861</v>
      </c>
      <c r="H802" t="s">
        <v>4478</v>
      </c>
      <c r="I802">
        <v>20</v>
      </c>
      <c r="J802">
        <v>0</v>
      </c>
      <c r="L802">
        <v>0</v>
      </c>
      <c r="M802">
        <v>0</v>
      </c>
      <c r="AS802">
        <v>0</v>
      </c>
    </row>
    <row r="803" spans="1:48" x14ac:dyDescent="0.3">
      <c r="A803">
        <v>218</v>
      </c>
      <c r="B803" t="s">
        <v>888</v>
      </c>
      <c r="C803" t="s">
        <v>251</v>
      </c>
      <c r="D803" t="s">
        <v>73</v>
      </c>
      <c r="E803" t="s">
        <v>56</v>
      </c>
      <c r="F803" s="30">
        <v>45230</v>
      </c>
      <c r="G803" t="s">
        <v>911</v>
      </c>
      <c r="H803" t="s">
        <v>4468</v>
      </c>
      <c r="I803">
        <v>172000</v>
      </c>
      <c r="J803">
        <v>69598.6015625</v>
      </c>
      <c r="N803">
        <v>69598.58</v>
      </c>
    </row>
    <row r="804" spans="1:48" x14ac:dyDescent="0.3">
      <c r="A804">
        <v>218</v>
      </c>
      <c r="B804" t="s">
        <v>888</v>
      </c>
      <c r="C804" t="s">
        <v>251</v>
      </c>
      <c r="D804" t="s">
        <v>73</v>
      </c>
      <c r="E804" t="s">
        <v>56</v>
      </c>
      <c r="F804" s="30">
        <v>45230</v>
      </c>
      <c r="G804" t="s">
        <v>911</v>
      </c>
      <c r="H804" t="s">
        <v>4470</v>
      </c>
      <c r="I804">
        <v>172000</v>
      </c>
      <c r="J804">
        <v>54720</v>
      </c>
      <c r="N804">
        <v>54720</v>
      </c>
    </row>
    <row r="805" spans="1:48" x14ac:dyDescent="0.3">
      <c r="A805">
        <v>218</v>
      </c>
      <c r="B805" t="s">
        <v>888</v>
      </c>
      <c r="C805" t="s">
        <v>251</v>
      </c>
      <c r="D805" t="s">
        <v>73</v>
      </c>
      <c r="E805" t="s">
        <v>56</v>
      </c>
      <c r="F805" s="30">
        <v>45230</v>
      </c>
      <c r="G805" t="s">
        <v>911</v>
      </c>
      <c r="H805" t="s">
        <v>4477</v>
      </c>
      <c r="I805">
        <v>172000</v>
      </c>
      <c r="J805">
        <v>0</v>
      </c>
      <c r="N805">
        <v>0</v>
      </c>
    </row>
    <row r="806" spans="1:48" x14ac:dyDescent="0.3">
      <c r="A806">
        <v>218</v>
      </c>
      <c r="B806" t="s">
        <v>888</v>
      </c>
      <c r="C806" t="s">
        <v>251</v>
      </c>
      <c r="D806" t="s">
        <v>73</v>
      </c>
      <c r="E806" t="s">
        <v>56</v>
      </c>
      <c r="F806" s="30">
        <v>45230</v>
      </c>
      <c r="G806" t="s">
        <v>911</v>
      </c>
      <c r="H806" t="s">
        <v>4469</v>
      </c>
      <c r="I806">
        <v>172000</v>
      </c>
      <c r="J806">
        <v>9984.7001953125</v>
      </c>
      <c r="N806">
        <v>9984.7000000000007</v>
      </c>
    </row>
    <row r="807" spans="1:48" x14ac:dyDescent="0.3">
      <c r="A807">
        <v>218</v>
      </c>
      <c r="B807" t="s">
        <v>888</v>
      </c>
      <c r="C807" t="s">
        <v>251</v>
      </c>
      <c r="D807" t="s">
        <v>73</v>
      </c>
      <c r="E807" t="s">
        <v>56</v>
      </c>
      <c r="F807" s="30">
        <v>45230</v>
      </c>
      <c r="G807" t="s">
        <v>911</v>
      </c>
      <c r="H807" t="s">
        <v>4476</v>
      </c>
      <c r="I807">
        <v>172000</v>
      </c>
      <c r="J807">
        <v>5400</v>
      </c>
      <c r="N807">
        <v>5400</v>
      </c>
    </row>
    <row r="808" spans="1:48" x14ac:dyDescent="0.3">
      <c r="A808">
        <v>218</v>
      </c>
      <c r="B808" t="s">
        <v>888</v>
      </c>
      <c r="C808" t="s">
        <v>251</v>
      </c>
      <c r="D808" t="s">
        <v>73</v>
      </c>
      <c r="E808" t="s">
        <v>56</v>
      </c>
      <c r="F808" s="30">
        <v>45230</v>
      </c>
      <c r="G808" t="s">
        <v>911</v>
      </c>
      <c r="H808" t="s">
        <v>4478</v>
      </c>
      <c r="I808">
        <v>172000</v>
      </c>
      <c r="J808">
        <v>1755</v>
      </c>
      <c r="N808">
        <v>1755</v>
      </c>
    </row>
    <row r="809" spans="1:48" x14ac:dyDescent="0.3">
      <c r="A809">
        <v>225</v>
      </c>
      <c r="B809" t="s">
        <v>976</v>
      </c>
      <c r="C809" t="s">
        <v>251</v>
      </c>
      <c r="D809" t="s">
        <v>73</v>
      </c>
      <c r="E809" t="s">
        <v>22</v>
      </c>
      <c r="F809" s="30">
        <v>45230</v>
      </c>
      <c r="G809" t="s">
        <v>998</v>
      </c>
      <c r="H809" t="s">
        <v>4468</v>
      </c>
      <c r="I809">
        <v>1</v>
      </c>
      <c r="J809">
        <v>4</v>
      </c>
      <c r="AT809">
        <v>4</v>
      </c>
    </row>
    <row r="810" spans="1:48" x14ac:dyDescent="0.3">
      <c r="A810">
        <v>225</v>
      </c>
      <c r="B810" t="s">
        <v>976</v>
      </c>
      <c r="C810" t="s">
        <v>251</v>
      </c>
      <c r="D810" t="s">
        <v>73</v>
      </c>
      <c r="E810" t="s">
        <v>22</v>
      </c>
      <c r="F810" s="30">
        <v>45230</v>
      </c>
      <c r="G810" t="s">
        <v>998</v>
      </c>
      <c r="H810" t="s">
        <v>4470</v>
      </c>
      <c r="I810">
        <v>1</v>
      </c>
      <c r="J810">
        <v>3</v>
      </c>
      <c r="AT810">
        <v>3</v>
      </c>
    </row>
    <row r="811" spans="1:48" x14ac:dyDescent="0.3">
      <c r="A811">
        <v>225</v>
      </c>
      <c r="B811" t="s">
        <v>976</v>
      </c>
      <c r="C811" t="s">
        <v>251</v>
      </c>
      <c r="D811" t="s">
        <v>73</v>
      </c>
      <c r="E811" t="s">
        <v>22</v>
      </c>
      <c r="F811" s="30">
        <v>45230</v>
      </c>
      <c r="G811" t="s">
        <v>998</v>
      </c>
      <c r="H811" t="s">
        <v>4477</v>
      </c>
      <c r="I811">
        <v>1</v>
      </c>
      <c r="J811">
        <v>0</v>
      </c>
      <c r="AT811">
        <v>0</v>
      </c>
    </row>
    <row r="812" spans="1:48" x14ac:dyDescent="0.3">
      <c r="A812">
        <v>225</v>
      </c>
      <c r="B812" t="s">
        <v>976</v>
      </c>
      <c r="C812" t="s">
        <v>251</v>
      </c>
      <c r="D812" t="s">
        <v>73</v>
      </c>
      <c r="E812" t="s">
        <v>22</v>
      </c>
      <c r="F812" s="30">
        <v>45230</v>
      </c>
      <c r="G812" t="s">
        <v>998</v>
      </c>
      <c r="H812" t="s">
        <v>4469</v>
      </c>
      <c r="I812">
        <v>1</v>
      </c>
      <c r="J812">
        <v>10</v>
      </c>
      <c r="AT812">
        <v>10</v>
      </c>
    </row>
    <row r="813" spans="1:48" x14ac:dyDescent="0.3">
      <c r="A813">
        <v>225</v>
      </c>
      <c r="B813" t="s">
        <v>976</v>
      </c>
      <c r="C813" t="s">
        <v>251</v>
      </c>
      <c r="D813" t="s">
        <v>73</v>
      </c>
      <c r="E813" t="s">
        <v>22</v>
      </c>
      <c r="F813" s="30">
        <v>45230</v>
      </c>
      <c r="G813" t="s">
        <v>998</v>
      </c>
      <c r="H813" t="s">
        <v>4476</v>
      </c>
      <c r="I813">
        <v>1</v>
      </c>
      <c r="J813">
        <v>1</v>
      </c>
      <c r="AT813">
        <v>1</v>
      </c>
    </row>
    <row r="814" spans="1:48" x14ac:dyDescent="0.3">
      <c r="A814">
        <v>225</v>
      </c>
      <c r="B814" t="s">
        <v>976</v>
      </c>
      <c r="C814" t="s">
        <v>251</v>
      </c>
      <c r="D814" t="s">
        <v>73</v>
      </c>
      <c r="E814" t="s">
        <v>22</v>
      </c>
      <c r="F814" s="30">
        <v>45230</v>
      </c>
      <c r="G814" t="s">
        <v>998</v>
      </c>
      <c r="H814" t="s">
        <v>4478</v>
      </c>
      <c r="I814">
        <v>1</v>
      </c>
      <c r="J814">
        <v>1</v>
      </c>
      <c r="AT814">
        <v>1</v>
      </c>
    </row>
    <row r="815" spans="1:48" x14ac:dyDescent="0.3">
      <c r="A815">
        <v>434</v>
      </c>
      <c r="B815" t="s">
        <v>2267</v>
      </c>
      <c r="C815" t="s">
        <v>251</v>
      </c>
      <c r="D815" t="s">
        <v>73</v>
      </c>
      <c r="E815" t="s">
        <v>56</v>
      </c>
      <c r="F815" s="30">
        <v>45230</v>
      </c>
      <c r="G815" t="s">
        <v>2277</v>
      </c>
      <c r="H815" t="s">
        <v>4468</v>
      </c>
      <c r="I815">
        <v>200</v>
      </c>
      <c r="J815">
        <v>0</v>
      </c>
      <c r="AV815">
        <v>0</v>
      </c>
    </row>
    <row r="816" spans="1:48" x14ac:dyDescent="0.3">
      <c r="A816">
        <v>434</v>
      </c>
      <c r="B816" t="s">
        <v>2267</v>
      </c>
      <c r="C816" t="s">
        <v>251</v>
      </c>
      <c r="D816" t="s">
        <v>73</v>
      </c>
      <c r="E816" t="s">
        <v>56</v>
      </c>
      <c r="F816" s="30">
        <v>45230</v>
      </c>
      <c r="G816" t="s">
        <v>2277</v>
      </c>
      <c r="H816" t="s">
        <v>4470</v>
      </c>
      <c r="I816">
        <v>200</v>
      </c>
      <c r="J816">
        <v>0.20000000298023221</v>
      </c>
      <c r="AV816">
        <v>0.2</v>
      </c>
    </row>
    <row r="817" spans="1:94" x14ac:dyDescent="0.3">
      <c r="A817">
        <v>434</v>
      </c>
      <c r="B817" t="s">
        <v>2267</v>
      </c>
      <c r="C817" t="s">
        <v>251</v>
      </c>
      <c r="D817" t="s">
        <v>73</v>
      </c>
      <c r="E817" t="s">
        <v>56</v>
      </c>
      <c r="F817" s="30">
        <v>45230</v>
      </c>
      <c r="G817" t="s">
        <v>2277</v>
      </c>
      <c r="H817" t="s">
        <v>4477</v>
      </c>
      <c r="I817">
        <v>200</v>
      </c>
      <c r="J817">
        <v>0</v>
      </c>
      <c r="AV817">
        <v>0</v>
      </c>
    </row>
    <row r="818" spans="1:94" x14ac:dyDescent="0.3">
      <c r="A818">
        <v>434</v>
      </c>
      <c r="B818" t="s">
        <v>2267</v>
      </c>
      <c r="C818" t="s">
        <v>251</v>
      </c>
      <c r="D818" t="s">
        <v>73</v>
      </c>
      <c r="E818" t="s">
        <v>56</v>
      </c>
      <c r="F818" s="30">
        <v>45230</v>
      </c>
      <c r="G818" t="s">
        <v>2277</v>
      </c>
      <c r="H818" t="s">
        <v>4469</v>
      </c>
      <c r="I818">
        <v>200</v>
      </c>
      <c r="J818">
        <v>1.6000000238418579</v>
      </c>
      <c r="AV818">
        <v>1.6</v>
      </c>
    </row>
    <row r="819" spans="1:94" x14ac:dyDescent="0.3">
      <c r="A819">
        <v>434</v>
      </c>
      <c r="B819" t="s">
        <v>2267</v>
      </c>
      <c r="C819" t="s">
        <v>251</v>
      </c>
      <c r="D819" t="s">
        <v>73</v>
      </c>
      <c r="E819" t="s">
        <v>56</v>
      </c>
      <c r="F819" s="30">
        <v>45230</v>
      </c>
      <c r="G819" t="s">
        <v>2277</v>
      </c>
      <c r="H819" t="s">
        <v>4476</v>
      </c>
      <c r="I819">
        <v>200</v>
      </c>
      <c r="J819">
        <v>0.30000001192092901</v>
      </c>
      <c r="AV819">
        <v>0.3</v>
      </c>
    </row>
    <row r="820" spans="1:94" x14ac:dyDescent="0.3">
      <c r="A820">
        <v>434</v>
      </c>
      <c r="B820" t="s">
        <v>2267</v>
      </c>
      <c r="C820" t="s">
        <v>251</v>
      </c>
      <c r="D820" t="s">
        <v>73</v>
      </c>
      <c r="E820" t="s">
        <v>56</v>
      </c>
      <c r="F820" s="30">
        <v>45230</v>
      </c>
      <c r="G820" t="s">
        <v>2277</v>
      </c>
      <c r="H820" t="s">
        <v>4478</v>
      </c>
      <c r="I820">
        <v>200</v>
      </c>
      <c r="J820">
        <v>0</v>
      </c>
      <c r="AV820">
        <v>0</v>
      </c>
    </row>
    <row r="821" spans="1:94" x14ac:dyDescent="0.3">
      <c r="A821">
        <v>436</v>
      </c>
      <c r="B821" t="s">
        <v>2311</v>
      </c>
      <c r="C821" t="s">
        <v>258</v>
      </c>
      <c r="D821" t="s">
        <v>73</v>
      </c>
      <c r="E821" t="s">
        <v>56</v>
      </c>
      <c r="F821" s="30">
        <v>45230</v>
      </c>
      <c r="G821" t="s">
        <v>2321</v>
      </c>
      <c r="H821" t="s">
        <v>4579</v>
      </c>
      <c r="I821">
        <v>14</v>
      </c>
      <c r="J821">
        <v>2.0999999046325679</v>
      </c>
      <c r="CP821">
        <v>2.1</v>
      </c>
    </row>
    <row r="822" spans="1:94" x14ac:dyDescent="0.3">
      <c r="A822">
        <v>436</v>
      </c>
      <c r="B822" t="s">
        <v>2311</v>
      </c>
      <c r="C822" t="s">
        <v>258</v>
      </c>
      <c r="D822" t="s">
        <v>73</v>
      </c>
      <c r="E822" t="s">
        <v>56</v>
      </c>
      <c r="F822" s="30">
        <v>45230</v>
      </c>
      <c r="G822" t="s">
        <v>2321</v>
      </c>
      <c r="H822" t="s">
        <v>4580</v>
      </c>
      <c r="I822">
        <v>7</v>
      </c>
      <c r="J822">
        <v>3</v>
      </c>
      <c r="CP822">
        <v>3</v>
      </c>
    </row>
    <row r="823" spans="1:94" x14ac:dyDescent="0.3">
      <c r="A823">
        <v>208</v>
      </c>
      <c r="B823" t="s">
        <v>707</v>
      </c>
      <c r="C823" t="s">
        <v>251</v>
      </c>
      <c r="D823" t="s">
        <v>73</v>
      </c>
      <c r="E823" t="s">
        <v>56</v>
      </c>
      <c r="F823" s="30">
        <v>45260</v>
      </c>
      <c r="G823" t="s">
        <v>731</v>
      </c>
      <c r="H823" t="s">
        <v>4468</v>
      </c>
      <c r="I823">
        <v>1</v>
      </c>
      <c r="J823">
        <v>787</v>
      </c>
      <c r="K823">
        <v>787</v>
      </c>
    </row>
    <row r="824" spans="1:94" x14ac:dyDescent="0.3">
      <c r="A824">
        <v>208</v>
      </c>
      <c r="B824" t="s">
        <v>707</v>
      </c>
      <c r="C824" t="s">
        <v>251</v>
      </c>
      <c r="D824" t="s">
        <v>73</v>
      </c>
      <c r="E824" t="s">
        <v>56</v>
      </c>
      <c r="F824" s="30">
        <v>45260</v>
      </c>
      <c r="G824" t="s">
        <v>731</v>
      </c>
      <c r="H824" t="s">
        <v>4470</v>
      </c>
      <c r="I824">
        <v>1</v>
      </c>
      <c r="J824">
        <v>219</v>
      </c>
      <c r="K824">
        <v>219</v>
      </c>
    </row>
    <row r="825" spans="1:94" x14ac:dyDescent="0.3">
      <c r="A825">
        <v>208</v>
      </c>
      <c r="B825" t="s">
        <v>707</v>
      </c>
      <c r="C825" t="s">
        <v>251</v>
      </c>
      <c r="D825" t="s">
        <v>73</v>
      </c>
      <c r="E825" t="s">
        <v>56</v>
      </c>
      <c r="F825" s="30">
        <v>45260</v>
      </c>
      <c r="G825" t="s">
        <v>731</v>
      </c>
      <c r="H825" t="s">
        <v>4477</v>
      </c>
      <c r="I825">
        <v>1</v>
      </c>
      <c r="J825">
        <v>0</v>
      </c>
      <c r="K825">
        <v>0</v>
      </c>
    </row>
    <row r="826" spans="1:94" x14ac:dyDescent="0.3">
      <c r="A826">
        <v>208</v>
      </c>
      <c r="B826" t="s">
        <v>707</v>
      </c>
      <c r="C826" t="s">
        <v>251</v>
      </c>
      <c r="D826" t="s">
        <v>73</v>
      </c>
      <c r="E826" t="s">
        <v>56</v>
      </c>
      <c r="F826" s="30">
        <v>45260</v>
      </c>
      <c r="G826" t="s">
        <v>731</v>
      </c>
      <c r="H826" t="s">
        <v>4469</v>
      </c>
      <c r="I826">
        <v>1</v>
      </c>
      <c r="J826">
        <v>356</v>
      </c>
      <c r="K826">
        <v>356</v>
      </c>
    </row>
    <row r="827" spans="1:94" x14ac:dyDescent="0.3">
      <c r="A827">
        <v>208</v>
      </c>
      <c r="B827" t="s">
        <v>707</v>
      </c>
      <c r="C827" t="s">
        <v>251</v>
      </c>
      <c r="D827" t="s">
        <v>73</v>
      </c>
      <c r="E827" t="s">
        <v>56</v>
      </c>
      <c r="F827" s="30">
        <v>45260</v>
      </c>
      <c r="G827" t="s">
        <v>731</v>
      </c>
      <c r="H827" t="s">
        <v>4476</v>
      </c>
      <c r="I827">
        <v>0</v>
      </c>
      <c r="J827">
        <v>0</v>
      </c>
      <c r="K827">
        <v>0</v>
      </c>
    </row>
    <row r="828" spans="1:94" x14ac:dyDescent="0.3">
      <c r="A828">
        <v>208</v>
      </c>
      <c r="B828" t="s">
        <v>707</v>
      </c>
      <c r="C828" t="s">
        <v>251</v>
      </c>
      <c r="D828" t="s">
        <v>73</v>
      </c>
      <c r="E828" t="s">
        <v>56</v>
      </c>
      <c r="F828" s="30">
        <v>45260</v>
      </c>
      <c r="G828" t="s">
        <v>731</v>
      </c>
      <c r="H828" t="s">
        <v>4478</v>
      </c>
      <c r="I828">
        <v>1</v>
      </c>
      <c r="J828">
        <v>18</v>
      </c>
      <c r="K828">
        <v>18</v>
      </c>
    </row>
    <row r="829" spans="1:94" x14ac:dyDescent="0.3">
      <c r="A829">
        <v>214</v>
      </c>
      <c r="B829" t="s">
        <v>774</v>
      </c>
      <c r="C829" t="s">
        <v>251</v>
      </c>
      <c r="D829" t="s">
        <v>73</v>
      </c>
      <c r="E829" t="s">
        <v>56</v>
      </c>
      <c r="F829" s="30">
        <v>45260</v>
      </c>
      <c r="G829" t="s">
        <v>798</v>
      </c>
      <c r="H829" t="s">
        <v>4468</v>
      </c>
      <c r="I829">
        <v>7500</v>
      </c>
      <c r="J829">
        <v>3982</v>
      </c>
      <c r="L829">
        <v>560</v>
      </c>
      <c r="M829">
        <v>3422</v>
      </c>
    </row>
    <row r="830" spans="1:94" x14ac:dyDescent="0.3">
      <c r="A830">
        <v>214</v>
      </c>
      <c r="B830" t="s">
        <v>774</v>
      </c>
      <c r="C830" t="s">
        <v>251</v>
      </c>
      <c r="D830" t="s">
        <v>73</v>
      </c>
      <c r="E830" t="s">
        <v>56</v>
      </c>
      <c r="F830" s="30">
        <v>45260</v>
      </c>
      <c r="G830" t="s">
        <v>798</v>
      </c>
      <c r="H830" t="s">
        <v>4470</v>
      </c>
      <c r="I830">
        <v>7500</v>
      </c>
      <c r="J830">
        <v>1026.199951171875</v>
      </c>
      <c r="L830">
        <v>148.19999999999999</v>
      </c>
      <c r="M830">
        <v>878</v>
      </c>
    </row>
    <row r="831" spans="1:94" x14ac:dyDescent="0.3">
      <c r="A831">
        <v>214</v>
      </c>
      <c r="B831" t="s">
        <v>774</v>
      </c>
      <c r="C831" t="s">
        <v>251</v>
      </c>
      <c r="D831" t="s">
        <v>73</v>
      </c>
      <c r="E831" t="s">
        <v>56</v>
      </c>
      <c r="F831" s="30">
        <v>45260</v>
      </c>
      <c r="G831" t="s">
        <v>798</v>
      </c>
      <c r="H831" t="s">
        <v>4477</v>
      </c>
      <c r="I831">
        <v>7500</v>
      </c>
      <c r="J831">
        <v>0</v>
      </c>
      <c r="L831">
        <v>0</v>
      </c>
      <c r="M831">
        <v>0</v>
      </c>
    </row>
    <row r="832" spans="1:94" x14ac:dyDescent="0.3">
      <c r="A832">
        <v>214</v>
      </c>
      <c r="B832" t="s">
        <v>774</v>
      </c>
      <c r="C832" t="s">
        <v>251</v>
      </c>
      <c r="D832" t="s">
        <v>73</v>
      </c>
      <c r="E832" t="s">
        <v>56</v>
      </c>
      <c r="F832" s="30">
        <v>45260</v>
      </c>
      <c r="G832" t="s">
        <v>798</v>
      </c>
      <c r="H832" t="s">
        <v>4469</v>
      </c>
      <c r="I832">
        <v>7500</v>
      </c>
      <c r="J832">
        <v>1178.199951171875</v>
      </c>
      <c r="L832">
        <v>79.8</v>
      </c>
      <c r="M832">
        <v>1098.4000000000001</v>
      </c>
    </row>
    <row r="833" spans="1:46" x14ac:dyDescent="0.3">
      <c r="A833">
        <v>214</v>
      </c>
      <c r="B833" t="s">
        <v>774</v>
      </c>
      <c r="C833" t="s">
        <v>251</v>
      </c>
      <c r="D833" t="s">
        <v>73</v>
      </c>
      <c r="E833" t="s">
        <v>56</v>
      </c>
      <c r="F833" s="30">
        <v>45260</v>
      </c>
      <c r="G833" t="s">
        <v>798</v>
      </c>
      <c r="H833" t="s">
        <v>4476</v>
      </c>
      <c r="I833">
        <v>1</v>
      </c>
      <c r="J833">
        <v>0</v>
      </c>
      <c r="L833">
        <v>0</v>
      </c>
      <c r="M833">
        <v>0</v>
      </c>
    </row>
    <row r="834" spans="1:46" x14ac:dyDescent="0.3">
      <c r="A834">
        <v>214</v>
      </c>
      <c r="B834" t="s">
        <v>774</v>
      </c>
      <c r="C834" t="s">
        <v>251</v>
      </c>
      <c r="D834" t="s">
        <v>73</v>
      </c>
      <c r="E834" t="s">
        <v>56</v>
      </c>
      <c r="F834" s="30">
        <v>45260</v>
      </c>
      <c r="G834" t="s">
        <v>798</v>
      </c>
      <c r="H834" t="s">
        <v>4478</v>
      </c>
      <c r="I834">
        <v>1</v>
      </c>
      <c r="J834">
        <v>0</v>
      </c>
      <c r="L834">
        <v>0</v>
      </c>
      <c r="M834">
        <v>0</v>
      </c>
    </row>
    <row r="835" spans="1:46" x14ac:dyDescent="0.3">
      <c r="A835">
        <v>217</v>
      </c>
      <c r="B835" t="s">
        <v>840</v>
      </c>
      <c r="C835" t="s">
        <v>251</v>
      </c>
      <c r="D835" t="s">
        <v>73</v>
      </c>
      <c r="E835" t="s">
        <v>22</v>
      </c>
      <c r="F835" s="30">
        <v>45260</v>
      </c>
      <c r="G835" t="s">
        <v>862</v>
      </c>
      <c r="H835" t="s">
        <v>4468</v>
      </c>
      <c r="I835">
        <v>20</v>
      </c>
      <c r="J835">
        <v>14.060000419616699</v>
      </c>
      <c r="L835">
        <v>560</v>
      </c>
      <c r="M835">
        <v>3422</v>
      </c>
      <c r="AS835">
        <v>560</v>
      </c>
    </row>
    <row r="836" spans="1:46" x14ac:dyDescent="0.3">
      <c r="A836">
        <v>217</v>
      </c>
      <c r="B836" t="s">
        <v>840</v>
      </c>
      <c r="C836" t="s">
        <v>251</v>
      </c>
      <c r="D836" t="s">
        <v>73</v>
      </c>
      <c r="E836" t="s">
        <v>22</v>
      </c>
      <c r="F836" s="30">
        <v>45260</v>
      </c>
      <c r="G836" t="s">
        <v>862</v>
      </c>
      <c r="H836" t="s">
        <v>4470</v>
      </c>
      <c r="I836">
        <v>20</v>
      </c>
      <c r="J836">
        <v>14.439999580383301</v>
      </c>
      <c r="L836">
        <v>148.19999999999999</v>
      </c>
      <c r="M836">
        <v>878</v>
      </c>
      <c r="AS836">
        <v>148.19999999999999</v>
      </c>
    </row>
    <row r="837" spans="1:46" x14ac:dyDescent="0.3">
      <c r="A837">
        <v>217</v>
      </c>
      <c r="B837" t="s">
        <v>840</v>
      </c>
      <c r="C837" t="s">
        <v>251</v>
      </c>
      <c r="D837" t="s">
        <v>73</v>
      </c>
      <c r="E837" t="s">
        <v>22</v>
      </c>
      <c r="F837" s="30">
        <v>45260</v>
      </c>
      <c r="G837" t="s">
        <v>862</v>
      </c>
      <c r="H837" t="s">
        <v>4477</v>
      </c>
      <c r="I837">
        <v>20</v>
      </c>
      <c r="J837">
        <v>0</v>
      </c>
      <c r="L837">
        <v>0</v>
      </c>
      <c r="M837">
        <v>0</v>
      </c>
      <c r="AS837">
        <v>0</v>
      </c>
    </row>
    <row r="838" spans="1:46" x14ac:dyDescent="0.3">
      <c r="A838">
        <v>217</v>
      </c>
      <c r="B838" t="s">
        <v>840</v>
      </c>
      <c r="C838" t="s">
        <v>251</v>
      </c>
      <c r="D838" t="s">
        <v>73</v>
      </c>
      <c r="E838" t="s">
        <v>22</v>
      </c>
      <c r="F838" s="30">
        <v>45260</v>
      </c>
      <c r="G838" t="s">
        <v>862</v>
      </c>
      <c r="H838" t="s">
        <v>4469</v>
      </c>
      <c r="I838">
        <v>20</v>
      </c>
      <c r="J838">
        <v>6.7699999809265137</v>
      </c>
      <c r="L838">
        <v>79.8</v>
      </c>
      <c r="M838">
        <v>1098.4000000000001</v>
      </c>
      <c r="AS838">
        <v>79.8</v>
      </c>
    </row>
    <row r="839" spans="1:46" x14ac:dyDescent="0.3">
      <c r="A839">
        <v>217</v>
      </c>
      <c r="B839" t="s">
        <v>840</v>
      </c>
      <c r="C839" t="s">
        <v>251</v>
      </c>
      <c r="D839" t="s">
        <v>73</v>
      </c>
      <c r="E839" t="s">
        <v>22</v>
      </c>
      <c r="F839" s="30">
        <v>45260</v>
      </c>
      <c r="G839" t="s">
        <v>862</v>
      </c>
      <c r="H839" t="s">
        <v>4476</v>
      </c>
      <c r="I839">
        <v>20</v>
      </c>
      <c r="J839">
        <v>0</v>
      </c>
      <c r="L839">
        <v>0</v>
      </c>
      <c r="M839">
        <v>0</v>
      </c>
      <c r="AS839">
        <v>0</v>
      </c>
    </row>
    <row r="840" spans="1:46" x14ac:dyDescent="0.3">
      <c r="A840">
        <v>217</v>
      </c>
      <c r="B840" t="s">
        <v>840</v>
      </c>
      <c r="C840" t="s">
        <v>251</v>
      </c>
      <c r="D840" t="s">
        <v>73</v>
      </c>
      <c r="E840" t="s">
        <v>22</v>
      </c>
      <c r="F840" s="30">
        <v>45260</v>
      </c>
      <c r="G840" t="s">
        <v>862</v>
      </c>
      <c r="H840" t="s">
        <v>4478</v>
      </c>
      <c r="I840">
        <v>20</v>
      </c>
      <c r="J840">
        <v>0</v>
      </c>
      <c r="L840">
        <v>0</v>
      </c>
      <c r="M840">
        <v>0</v>
      </c>
      <c r="AS840">
        <v>0</v>
      </c>
    </row>
    <row r="841" spans="1:46" x14ac:dyDescent="0.3">
      <c r="A841">
        <v>218</v>
      </c>
      <c r="B841" t="s">
        <v>888</v>
      </c>
      <c r="C841" t="s">
        <v>251</v>
      </c>
      <c r="D841" t="s">
        <v>73</v>
      </c>
      <c r="E841" t="s">
        <v>56</v>
      </c>
      <c r="F841" s="30">
        <v>45260</v>
      </c>
      <c r="G841" t="s">
        <v>912</v>
      </c>
      <c r="H841" t="s">
        <v>4468</v>
      </c>
      <c r="I841">
        <v>172000</v>
      </c>
      <c r="J841">
        <v>73134</v>
      </c>
      <c r="N841">
        <v>73134</v>
      </c>
    </row>
    <row r="842" spans="1:46" x14ac:dyDescent="0.3">
      <c r="A842">
        <v>218</v>
      </c>
      <c r="B842" t="s">
        <v>888</v>
      </c>
      <c r="C842" t="s">
        <v>251</v>
      </c>
      <c r="D842" t="s">
        <v>73</v>
      </c>
      <c r="E842" t="s">
        <v>56</v>
      </c>
      <c r="F842" s="30">
        <v>45260</v>
      </c>
      <c r="G842" t="s">
        <v>912</v>
      </c>
      <c r="H842" t="s">
        <v>4470</v>
      </c>
      <c r="I842">
        <v>172000</v>
      </c>
      <c r="J842">
        <v>43890</v>
      </c>
      <c r="N842">
        <v>43890</v>
      </c>
    </row>
    <row r="843" spans="1:46" x14ac:dyDescent="0.3">
      <c r="A843">
        <v>218</v>
      </c>
      <c r="B843" t="s">
        <v>888</v>
      </c>
      <c r="C843" t="s">
        <v>251</v>
      </c>
      <c r="D843" t="s">
        <v>73</v>
      </c>
      <c r="E843" t="s">
        <v>56</v>
      </c>
      <c r="F843" s="30">
        <v>45260</v>
      </c>
      <c r="G843" t="s">
        <v>912</v>
      </c>
      <c r="H843" t="s">
        <v>4477</v>
      </c>
      <c r="I843">
        <v>172000</v>
      </c>
      <c r="J843">
        <v>0</v>
      </c>
      <c r="N843">
        <v>0</v>
      </c>
    </row>
    <row r="844" spans="1:46" x14ac:dyDescent="0.3">
      <c r="A844">
        <v>218</v>
      </c>
      <c r="B844" t="s">
        <v>888</v>
      </c>
      <c r="C844" t="s">
        <v>251</v>
      </c>
      <c r="D844" t="s">
        <v>73</v>
      </c>
      <c r="E844" t="s">
        <v>56</v>
      </c>
      <c r="F844" s="30">
        <v>45260</v>
      </c>
      <c r="G844" t="s">
        <v>912</v>
      </c>
      <c r="H844" t="s">
        <v>4469</v>
      </c>
      <c r="I844">
        <v>172000</v>
      </c>
      <c r="J844">
        <v>6267</v>
      </c>
      <c r="N844">
        <v>6267</v>
      </c>
    </row>
    <row r="845" spans="1:46" x14ac:dyDescent="0.3">
      <c r="A845">
        <v>218</v>
      </c>
      <c r="B845" t="s">
        <v>888</v>
      </c>
      <c r="C845" t="s">
        <v>251</v>
      </c>
      <c r="D845" t="s">
        <v>73</v>
      </c>
      <c r="E845" t="s">
        <v>56</v>
      </c>
      <c r="F845" s="30">
        <v>45260</v>
      </c>
      <c r="G845" t="s">
        <v>912</v>
      </c>
      <c r="H845" t="s">
        <v>4476</v>
      </c>
      <c r="I845">
        <v>172000</v>
      </c>
      <c r="J845">
        <v>4920</v>
      </c>
      <c r="N845">
        <v>4920</v>
      </c>
    </row>
    <row r="846" spans="1:46" x14ac:dyDescent="0.3">
      <c r="A846">
        <v>218</v>
      </c>
      <c r="B846" t="s">
        <v>888</v>
      </c>
      <c r="C846" t="s">
        <v>251</v>
      </c>
      <c r="D846" t="s">
        <v>73</v>
      </c>
      <c r="E846" t="s">
        <v>56</v>
      </c>
      <c r="F846" s="30">
        <v>45260</v>
      </c>
      <c r="G846" t="s">
        <v>912</v>
      </c>
      <c r="H846" t="s">
        <v>4478</v>
      </c>
      <c r="I846">
        <v>172000</v>
      </c>
      <c r="J846">
        <v>1559</v>
      </c>
      <c r="N846">
        <v>1559</v>
      </c>
    </row>
    <row r="847" spans="1:46" x14ac:dyDescent="0.3">
      <c r="A847">
        <v>225</v>
      </c>
      <c r="B847" t="s">
        <v>976</v>
      </c>
      <c r="C847" t="s">
        <v>251</v>
      </c>
      <c r="D847" t="s">
        <v>73</v>
      </c>
      <c r="E847" t="s">
        <v>22</v>
      </c>
      <c r="F847" s="30">
        <v>45260</v>
      </c>
      <c r="G847" t="s">
        <v>999</v>
      </c>
      <c r="H847" t="s">
        <v>4468</v>
      </c>
      <c r="I847">
        <v>1</v>
      </c>
      <c r="J847">
        <v>4</v>
      </c>
      <c r="AT847">
        <v>4</v>
      </c>
    </row>
    <row r="848" spans="1:46" x14ac:dyDescent="0.3">
      <c r="A848">
        <v>225</v>
      </c>
      <c r="B848" t="s">
        <v>976</v>
      </c>
      <c r="C848" t="s">
        <v>251</v>
      </c>
      <c r="D848" t="s">
        <v>73</v>
      </c>
      <c r="E848" t="s">
        <v>22</v>
      </c>
      <c r="F848" s="30">
        <v>45260</v>
      </c>
      <c r="G848" t="s">
        <v>999</v>
      </c>
      <c r="H848" t="s">
        <v>4470</v>
      </c>
      <c r="I848">
        <v>1</v>
      </c>
      <c r="J848">
        <v>2</v>
      </c>
      <c r="AT848">
        <v>2</v>
      </c>
    </row>
    <row r="849" spans="1:94" x14ac:dyDescent="0.3">
      <c r="A849">
        <v>225</v>
      </c>
      <c r="B849" t="s">
        <v>976</v>
      </c>
      <c r="C849" t="s">
        <v>251</v>
      </c>
      <c r="D849" t="s">
        <v>73</v>
      </c>
      <c r="E849" t="s">
        <v>22</v>
      </c>
      <c r="F849" s="30">
        <v>45260</v>
      </c>
      <c r="G849" t="s">
        <v>999</v>
      </c>
      <c r="H849" t="s">
        <v>4477</v>
      </c>
      <c r="I849">
        <v>1</v>
      </c>
      <c r="J849">
        <v>0</v>
      </c>
      <c r="AT849">
        <v>0</v>
      </c>
    </row>
    <row r="850" spans="1:94" x14ac:dyDescent="0.3">
      <c r="A850">
        <v>225</v>
      </c>
      <c r="B850" t="s">
        <v>976</v>
      </c>
      <c r="C850" t="s">
        <v>251</v>
      </c>
      <c r="D850" t="s">
        <v>73</v>
      </c>
      <c r="E850" t="s">
        <v>22</v>
      </c>
      <c r="F850" s="30">
        <v>45260</v>
      </c>
      <c r="G850" t="s">
        <v>999</v>
      </c>
      <c r="H850" t="s">
        <v>4469</v>
      </c>
      <c r="I850">
        <v>1</v>
      </c>
      <c r="J850">
        <v>10</v>
      </c>
      <c r="AT850">
        <v>10</v>
      </c>
    </row>
    <row r="851" spans="1:94" x14ac:dyDescent="0.3">
      <c r="A851">
        <v>225</v>
      </c>
      <c r="B851" t="s">
        <v>976</v>
      </c>
      <c r="C851" t="s">
        <v>251</v>
      </c>
      <c r="D851" t="s">
        <v>73</v>
      </c>
      <c r="E851" t="s">
        <v>22</v>
      </c>
      <c r="F851" s="30">
        <v>45260</v>
      </c>
      <c r="G851" t="s">
        <v>999</v>
      </c>
      <c r="H851" t="s">
        <v>4476</v>
      </c>
      <c r="I851">
        <v>1</v>
      </c>
      <c r="J851">
        <v>1</v>
      </c>
      <c r="AT851">
        <v>1</v>
      </c>
    </row>
    <row r="852" spans="1:94" x14ac:dyDescent="0.3">
      <c r="A852">
        <v>225</v>
      </c>
      <c r="B852" t="s">
        <v>976</v>
      </c>
      <c r="C852" t="s">
        <v>251</v>
      </c>
      <c r="D852" t="s">
        <v>73</v>
      </c>
      <c r="E852" t="s">
        <v>22</v>
      </c>
      <c r="F852" s="30">
        <v>45260</v>
      </c>
      <c r="G852" t="s">
        <v>999</v>
      </c>
      <c r="H852" t="s">
        <v>4478</v>
      </c>
      <c r="I852">
        <v>1</v>
      </c>
      <c r="J852">
        <v>1</v>
      </c>
      <c r="AT852">
        <v>1</v>
      </c>
    </row>
    <row r="853" spans="1:94" x14ac:dyDescent="0.3">
      <c r="A853">
        <v>434</v>
      </c>
      <c r="B853" t="s">
        <v>2267</v>
      </c>
      <c r="C853" t="s">
        <v>251</v>
      </c>
      <c r="D853" t="s">
        <v>73</v>
      </c>
      <c r="E853" t="s">
        <v>56</v>
      </c>
      <c r="F853" s="30">
        <v>45260</v>
      </c>
      <c r="G853" t="s">
        <v>2278</v>
      </c>
      <c r="H853" t="s">
        <v>4468</v>
      </c>
      <c r="I853">
        <v>200</v>
      </c>
      <c r="J853">
        <v>0</v>
      </c>
      <c r="AV853">
        <v>0</v>
      </c>
    </row>
    <row r="854" spans="1:94" x14ac:dyDescent="0.3">
      <c r="A854">
        <v>434</v>
      </c>
      <c r="B854" t="s">
        <v>2267</v>
      </c>
      <c r="C854" t="s">
        <v>251</v>
      </c>
      <c r="D854" t="s">
        <v>73</v>
      </c>
      <c r="E854" t="s">
        <v>56</v>
      </c>
      <c r="F854" s="30">
        <v>45260</v>
      </c>
      <c r="G854" t="s">
        <v>2278</v>
      </c>
      <c r="H854" t="s">
        <v>4470</v>
      </c>
      <c r="I854">
        <v>200</v>
      </c>
      <c r="J854">
        <v>1.110000014305115</v>
      </c>
      <c r="AV854">
        <v>1.1100000000000001</v>
      </c>
    </row>
    <row r="855" spans="1:94" x14ac:dyDescent="0.3">
      <c r="A855">
        <v>434</v>
      </c>
      <c r="B855" t="s">
        <v>2267</v>
      </c>
      <c r="C855" t="s">
        <v>251</v>
      </c>
      <c r="D855" t="s">
        <v>73</v>
      </c>
      <c r="E855" t="s">
        <v>56</v>
      </c>
      <c r="F855" s="30">
        <v>45260</v>
      </c>
      <c r="G855" t="s">
        <v>2278</v>
      </c>
      <c r="H855" t="s">
        <v>4477</v>
      </c>
      <c r="I855">
        <v>200</v>
      </c>
      <c r="J855">
        <v>0</v>
      </c>
      <c r="AV855">
        <v>0</v>
      </c>
    </row>
    <row r="856" spans="1:94" x14ac:dyDescent="0.3">
      <c r="A856">
        <v>434</v>
      </c>
      <c r="B856" t="s">
        <v>2267</v>
      </c>
      <c r="C856" t="s">
        <v>251</v>
      </c>
      <c r="D856" t="s">
        <v>73</v>
      </c>
      <c r="E856" t="s">
        <v>56</v>
      </c>
      <c r="F856" s="30">
        <v>45260</v>
      </c>
      <c r="G856" t="s">
        <v>2278</v>
      </c>
      <c r="H856" t="s">
        <v>4469</v>
      </c>
      <c r="I856">
        <v>200</v>
      </c>
      <c r="J856">
        <v>13</v>
      </c>
      <c r="AV856">
        <v>13</v>
      </c>
    </row>
    <row r="857" spans="1:94" x14ac:dyDescent="0.3">
      <c r="A857">
        <v>434</v>
      </c>
      <c r="B857" t="s">
        <v>2267</v>
      </c>
      <c r="C857" t="s">
        <v>251</v>
      </c>
      <c r="D857" t="s">
        <v>73</v>
      </c>
      <c r="E857" t="s">
        <v>56</v>
      </c>
      <c r="F857" s="30">
        <v>45260</v>
      </c>
      <c r="G857" t="s">
        <v>2278</v>
      </c>
      <c r="H857" t="s">
        <v>4476</v>
      </c>
      <c r="I857">
        <v>200</v>
      </c>
      <c r="J857">
        <v>0.20000000298023221</v>
      </c>
      <c r="AV857">
        <v>0.2</v>
      </c>
    </row>
    <row r="858" spans="1:94" x14ac:dyDescent="0.3">
      <c r="A858">
        <v>434</v>
      </c>
      <c r="B858" t="s">
        <v>2267</v>
      </c>
      <c r="C858" t="s">
        <v>251</v>
      </c>
      <c r="D858" t="s">
        <v>73</v>
      </c>
      <c r="E858" t="s">
        <v>56</v>
      </c>
      <c r="F858" s="30">
        <v>45260</v>
      </c>
      <c r="G858" t="s">
        <v>2278</v>
      </c>
      <c r="H858" t="s">
        <v>4478</v>
      </c>
      <c r="I858">
        <v>200</v>
      </c>
      <c r="J858">
        <v>0</v>
      </c>
      <c r="AV858">
        <v>0</v>
      </c>
    </row>
    <row r="859" spans="1:94" x14ac:dyDescent="0.3">
      <c r="A859">
        <v>436</v>
      </c>
      <c r="B859" t="s">
        <v>2311</v>
      </c>
      <c r="C859" t="s">
        <v>258</v>
      </c>
      <c r="D859" t="s">
        <v>73</v>
      </c>
      <c r="E859" t="s">
        <v>56</v>
      </c>
      <c r="F859" s="30">
        <v>45260</v>
      </c>
      <c r="G859" t="s">
        <v>2322</v>
      </c>
      <c r="H859" t="s">
        <v>4579</v>
      </c>
      <c r="I859">
        <v>14</v>
      </c>
      <c r="J859">
        <v>2.25</v>
      </c>
      <c r="CP859">
        <v>2.25</v>
      </c>
    </row>
    <row r="860" spans="1:94" x14ac:dyDescent="0.3">
      <c r="A860">
        <v>436</v>
      </c>
      <c r="B860" t="s">
        <v>2311</v>
      </c>
      <c r="C860" t="s">
        <v>258</v>
      </c>
      <c r="D860" t="s">
        <v>73</v>
      </c>
      <c r="E860" t="s">
        <v>56</v>
      </c>
      <c r="F860" s="30">
        <v>45260</v>
      </c>
      <c r="G860" t="s">
        <v>2322</v>
      </c>
      <c r="H860" t="s">
        <v>4580</v>
      </c>
      <c r="I860">
        <v>7</v>
      </c>
      <c r="J860">
        <v>8.6599998474121094</v>
      </c>
      <c r="CP860">
        <v>8.66</v>
      </c>
    </row>
    <row r="861" spans="1:94" x14ac:dyDescent="0.3">
      <c r="A861">
        <v>208</v>
      </c>
      <c r="B861" t="s">
        <v>707</v>
      </c>
      <c r="C861" t="s">
        <v>251</v>
      </c>
      <c r="D861" t="s">
        <v>73</v>
      </c>
      <c r="E861" t="s">
        <v>56</v>
      </c>
      <c r="F861" s="30">
        <v>45291</v>
      </c>
      <c r="G861" t="s">
        <v>732</v>
      </c>
      <c r="H861" t="s">
        <v>4468</v>
      </c>
      <c r="I861">
        <v>1</v>
      </c>
      <c r="J861">
        <v>787</v>
      </c>
      <c r="K861">
        <v>787</v>
      </c>
    </row>
    <row r="862" spans="1:94" x14ac:dyDescent="0.3">
      <c r="A862">
        <v>208</v>
      </c>
      <c r="B862" t="s">
        <v>707</v>
      </c>
      <c r="C862" t="s">
        <v>251</v>
      </c>
      <c r="D862" t="s">
        <v>73</v>
      </c>
      <c r="E862" t="s">
        <v>56</v>
      </c>
      <c r="F862" s="30">
        <v>45291</v>
      </c>
      <c r="G862" t="s">
        <v>732</v>
      </c>
      <c r="H862" t="s">
        <v>4470</v>
      </c>
      <c r="I862">
        <v>1</v>
      </c>
      <c r="J862">
        <v>219</v>
      </c>
      <c r="K862">
        <v>219</v>
      </c>
    </row>
    <row r="863" spans="1:94" x14ac:dyDescent="0.3">
      <c r="A863">
        <v>208</v>
      </c>
      <c r="B863" t="s">
        <v>707</v>
      </c>
      <c r="C863" t="s">
        <v>251</v>
      </c>
      <c r="D863" t="s">
        <v>73</v>
      </c>
      <c r="E863" t="s">
        <v>56</v>
      </c>
      <c r="F863" s="30">
        <v>45291</v>
      </c>
      <c r="G863" t="s">
        <v>732</v>
      </c>
      <c r="H863" t="s">
        <v>4477</v>
      </c>
      <c r="I863">
        <v>1</v>
      </c>
      <c r="J863">
        <v>0</v>
      </c>
      <c r="K863">
        <v>0</v>
      </c>
    </row>
    <row r="864" spans="1:94" x14ac:dyDescent="0.3">
      <c r="A864">
        <v>208</v>
      </c>
      <c r="B864" t="s">
        <v>707</v>
      </c>
      <c r="C864" t="s">
        <v>251</v>
      </c>
      <c r="D864" t="s">
        <v>73</v>
      </c>
      <c r="E864" t="s">
        <v>56</v>
      </c>
      <c r="F864" s="30">
        <v>45291</v>
      </c>
      <c r="G864" t="s">
        <v>732</v>
      </c>
      <c r="H864" t="s">
        <v>4469</v>
      </c>
      <c r="I864">
        <v>1</v>
      </c>
      <c r="J864">
        <v>310</v>
      </c>
      <c r="K864">
        <v>310</v>
      </c>
    </row>
    <row r="865" spans="1:45" x14ac:dyDescent="0.3">
      <c r="A865">
        <v>208</v>
      </c>
      <c r="B865" t="s">
        <v>707</v>
      </c>
      <c r="C865" t="s">
        <v>251</v>
      </c>
      <c r="D865" t="s">
        <v>73</v>
      </c>
      <c r="E865" t="s">
        <v>56</v>
      </c>
      <c r="F865" s="30">
        <v>45291</v>
      </c>
      <c r="G865" t="s">
        <v>732</v>
      </c>
      <c r="H865" t="s">
        <v>4476</v>
      </c>
      <c r="I865">
        <v>0</v>
      </c>
      <c r="J865">
        <v>0</v>
      </c>
      <c r="K865">
        <v>0</v>
      </c>
    </row>
    <row r="866" spans="1:45" x14ac:dyDescent="0.3">
      <c r="A866">
        <v>208</v>
      </c>
      <c r="B866" t="s">
        <v>707</v>
      </c>
      <c r="C866" t="s">
        <v>251</v>
      </c>
      <c r="D866" t="s">
        <v>73</v>
      </c>
      <c r="E866" t="s">
        <v>56</v>
      </c>
      <c r="F866" s="30">
        <v>45291</v>
      </c>
      <c r="G866" t="s">
        <v>732</v>
      </c>
      <c r="H866" t="s">
        <v>4478</v>
      </c>
      <c r="I866">
        <v>1</v>
      </c>
      <c r="J866">
        <v>20</v>
      </c>
      <c r="K866">
        <v>20</v>
      </c>
    </row>
    <row r="867" spans="1:45" x14ac:dyDescent="0.3">
      <c r="A867">
        <v>214</v>
      </c>
      <c r="B867" t="s">
        <v>774</v>
      </c>
      <c r="C867" t="s">
        <v>251</v>
      </c>
      <c r="D867" t="s">
        <v>73</v>
      </c>
      <c r="E867" t="s">
        <v>56</v>
      </c>
      <c r="F867" s="30">
        <v>45291</v>
      </c>
      <c r="G867" t="s">
        <v>799</v>
      </c>
      <c r="H867" t="s">
        <v>4468</v>
      </c>
      <c r="I867">
        <v>7500</v>
      </c>
      <c r="J867">
        <v>1184</v>
      </c>
      <c r="L867">
        <v>509</v>
      </c>
      <c r="M867">
        <v>675</v>
      </c>
    </row>
    <row r="868" spans="1:45" x14ac:dyDescent="0.3">
      <c r="A868">
        <v>214</v>
      </c>
      <c r="B868" t="s">
        <v>774</v>
      </c>
      <c r="C868" t="s">
        <v>251</v>
      </c>
      <c r="D868" t="s">
        <v>73</v>
      </c>
      <c r="E868" t="s">
        <v>56</v>
      </c>
      <c r="F868" s="30">
        <v>45291</v>
      </c>
      <c r="G868" t="s">
        <v>799</v>
      </c>
      <c r="H868" t="s">
        <v>4470</v>
      </c>
      <c r="I868">
        <v>7500</v>
      </c>
      <c r="J868">
        <v>449.79000854492188</v>
      </c>
      <c r="L868">
        <v>0</v>
      </c>
      <c r="M868">
        <v>449.79</v>
      </c>
    </row>
    <row r="869" spans="1:45" x14ac:dyDescent="0.3">
      <c r="A869">
        <v>214</v>
      </c>
      <c r="B869" t="s">
        <v>774</v>
      </c>
      <c r="C869" t="s">
        <v>251</v>
      </c>
      <c r="D869" t="s">
        <v>73</v>
      </c>
      <c r="E869" t="s">
        <v>56</v>
      </c>
      <c r="F869" s="30">
        <v>45291</v>
      </c>
      <c r="G869" t="s">
        <v>799</v>
      </c>
      <c r="H869" t="s">
        <v>4477</v>
      </c>
      <c r="I869">
        <v>7500</v>
      </c>
      <c r="J869">
        <v>0</v>
      </c>
      <c r="L869">
        <v>0</v>
      </c>
      <c r="M869">
        <v>0</v>
      </c>
    </row>
    <row r="870" spans="1:45" x14ac:dyDescent="0.3">
      <c r="A870">
        <v>214</v>
      </c>
      <c r="B870" t="s">
        <v>774</v>
      </c>
      <c r="C870" t="s">
        <v>251</v>
      </c>
      <c r="D870" t="s">
        <v>73</v>
      </c>
      <c r="E870" t="s">
        <v>56</v>
      </c>
      <c r="F870" s="30">
        <v>45291</v>
      </c>
      <c r="G870" t="s">
        <v>799</v>
      </c>
      <c r="H870" t="s">
        <v>4469</v>
      </c>
      <c r="I870">
        <v>7500</v>
      </c>
      <c r="J870">
        <v>495.79998779296881</v>
      </c>
      <c r="L870">
        <v>56.2</v>
      </c>
      <c r="M870">
        <v>439.6</v>
      </c>
    </row>
    <row r="871" spans="1:45" x14ac:dyDescent="0.3">
      <c r="A871">
        <v>214</v>
      </c>
      <c r="B871" t="s">
        <v>774</v>
      </c>
      <c r="C871" t="s">
        <v>251</v>
      </c>
      <c r="D871" t="s">
        <v>73</v>
      </c>
      <c r="E871" t="s">
        <v>56</v>
      </c>
      <c r="F871" s="30">
        <v>45291</v>
      </c>
      <c r="G871" t="s">
        <v>799</v>
      </c>
      <c r="H871" t="s">
        <v>4476</v>
      </c>
      <c r="I871">
        <v>1</v>
      </c>
      <c r="J871">
        <v>0</v>
      </c>
      <c r="L871">
        <v>0</v>
      </c>
      <c r="M871">
        <v>0</v>
      </c>
    </row>
    <row r="872" spans="1:45" x14ac:dyDescent="0.3">
      <c r="A872">
        <v>214</v>
      </c>
      <c r="B872" t="s">
        <v>774</v>
      </c>
      <c r="C872" t="s">
        <v>251</v>
      </c>
      <c r="D872" t="s">
        <v>73</v>
      </c>
      <c r="E872" t="s">
        <v>56</v>
      </c>
      <c r="F872" s="30">
        <v>45291</v>
      </c>
      <c r="G872" t="s">
        <v>799</v>
      </c>
      <c r="H872" t="s">
        <v>4478</v>
      </c>
      <c r="I872">
        <v>1</v>
      </c>
      <c r="J872">
        <v>0</v>
      </c>
      <c r="L872">
        <v>0</v>
      </c>
      <c r="M872">
        <v>0</v>
      </c>
    </row>
    <row r="873" spans="1:45" x14ac:dyDescent="0.3">
      <c r="A873">
        <v>217</v>
      </c>
      <c r="B873" t="s">
        <v>840</v>
      </c>
      <c r="C873" t="s">
        <v>251</v>
      </c>
      <c r="D873" t="s">
        <v>73</v>
      </c>
      <c r="E873" t="s">
        <v>22</v>
      </c>
      <c r="F873" s="30">
        <v>45291</v>
      </c>
      <c r="G873" t="s">
        <v>863</v>
      </c>
      <c r="H873" t="s">
        <v>4468</v>
      </c>
      <c r="I873">
        <v>20</v>
      </c>
      <c r="J873">
        <v>42.990001678466797</v>
      </c>
      <c r="L873">
        <v>509</v>
      </c>
      <c r="M873">
        <v>675</v>
      </c>
      <c r="AS873">
        <v>509</v>
      </c>
    </row>
    <row r="874" spans="1:45" x14ac:dyDescent="0.3">
      <c r="A874">
        <v>217</v>
      </c>
      <c r="B874" t="s">
        <v>840</v>
      </c>
      <c r="C874" t="s">
        <v>251</v>
      </c>
      <c r="D874" t="s">
        <v>73</v>
      </c>
      <c r="E874" t="s">
        <v>22</v>
      </c>
      <c r="F874" s="30">
        <v>45291</v>
      </c>
      <c r="G874" t="s">
        <v>863</v>
      </c>
      <c r="H874" t="s">
        <v>4470</v>
      </c>
      <c r="I874">
        <v>20</v>
      </c>
      <c r="J874">
        <v>0</v>
      </c>
      <c r="L874">
        <v>0</v>
      </c>
      <c r="M874">
        <v>449.79</v>
      </c>
      <c r="AS874">
        <v>0</v>
      </c>
    </row>
    <row r="875" spans="1:45" x14ac:dyDescent="0.3">
      <c r="A875">
        <v>217</v>
      </c>
      <c r="B875" t="s">
        <v>840</v>
      </c>
      <c r="C875" t="s">
        <v>251</v>
      </c>
      <c r="D875" t="s">
        <v>73</v>
      </c>
      <c r="E875" t="s">
        <v>22</v>
      </c>
      <c r="F875" s="30">
        <v>45291</v>
      </c>
      <c r="G875" t="s">
        <v>863</v>
      </c>
      <c r="H875" t="s">
        <v>4477</v>
      </c>
      <c r="I875">
        <v>20</v>
      </c>
      <c r="J875">
        <v>0</v>
      </c>
      <c r="L875">
        <v>0</v>
      </c>
      <c r="M875">
        <v>0</v>
      </c>
      <c r="AS875">
        <v>0</v>
      </c>
    </row>
    <row r="876" spans="1:45" x14ac:dyDescent="0.3">
      <c r="A876">
        <v>217</v>
      </c>
      <c r="B876" t="s">
        <v>840</v>
      </c>
      <c r="C876" t="s">
        <v>251</v>
      </c>
      <c r="D876" t="s">
        <v>73</v>
      </c>
      <c r="E876" t="s">
        <v>22</v>
      </c>
      <c r="F876" s="30">
        <v>45291</v>
      </c>
      <c r="G876" t="s">
        <v>863</v>
      </c>
      <c r="H876" t="s">
        <v>4469</v>
      </c>
      <c r="I876">
        <v>20</v>
      </c>
      <c r="J876">
        <v>11.340000152587891</v>
      </c>
      <c r="L876">
        <v>56.2</v>
      </c>
      <c r="M876">
        <v>439.6</v>
      </c>
      <c r="AS876">
        <v>56.2</v>
      </c>
    </row>
    <row r="877" spans="1:45" x14ac:dyDescent="0.3">
      <c r="A877">
        <v>217</v>
      </c>
      <c r="B877" t="s">
        <v>840</v>
      </c>
      <c r="C877" t="s">
        <v>251</v>
      </c>
      <c r="D877" t="s">
        <v>73</v>
      </c>
      <c r="E877" t="s">
        <v>22</v>
      </c>
      <c r="F877" s="30">
        <v>45291</v>
      </c>
      <c r="G877" t="s">
        <v>863</v>
      </c>
      <c r="H877" t="s">
        <v>4476</v>
      </c>
      <c r="I877">
        <v>20</v>
      </c>
      <c r="J877">
        <v>0</v>
      </c>
      <c r="L877">
        <v>0</v>
      </c>
      <c r="M877">
        <v>0</v>
      </c>
      <c r="AS877">
        <v>0</v>
      </c>
    </row>
    <row r="878" spans="1:45" x14ac:dyDescent="0.3">
      <c r="A878">
        <v>217</v>
      </c>
      <c r="B878" t="s">
        <v>840</v>
      </c>
      <c r="C878" t="s">
        <v>251</v>
      </c>
      <c r="D878" t="s">
        <v>73</v>
      </c>
      <c r="E878" t="s">
        <v>22</v>
      </c>
      <c r="F878" s="30">
        <v>45291</v>
      </c>
      <c r="G878" t="s">
        <v>863</v>
      </c>
      <c r="H878" t="s">
        <v>4478</v>
      </c>
      <c r="I878">
        <v>20</v>
      </c>
      <c r="J878">
        <v>0</v>
      </c>
      <c r="L878">
        <v>0</v>
      </c>
      <c r="M878">
        <v>0</v>
      </c>
      <c r="AS878">
        <v>0</v>
      </c>
    </row>
    <row r="879" spans="1:45" x14ac:dyDescent="0.3">
      <c r="A879">
        <v>218</v>
      </c>
      <c r="B879" t="s">
        <v>888</v>
      </c>
      <c r="C879" t="s">
        <v>251</v>
      </c>
      <c r="D879" t="s">
        <v>73</v>
      </c>
      <c r="E879" t="s">
        <v>56</v>
      </c>
      <c r="F879" s="30">
        <v>45291</v>
      </c>
      <c r="G879" t="s">
        <v>913</v>
      </c>
      <c r="H879" t="s">
        <v>4468</v>
      </c>
      <c r="I879">
        <v>172000</v>
      </c>
      <c r="J879">
        <v>53697</v>
      </c>
      <c r="N879">
        <v>53697</v>
      </c>
    </row>
    <row r="880" spans="1:45" x14ac:dyDescent="0.3">
      <c r="A880">
        <v>218</v>
      </c>
      <c r="B880" t="s">
        <v>888</v>
      </c>
      <c r="C880" t="s">
        <v>251</v>
      </c>
      <c r="D880" t="s">
        <v>73</v>
      </c>
      <c r="E880" t="s">
        <v>56</v>
      </c>
      <c r="F880" s="30">
        <v>45291</v>
      </c>
      <c r="G880" t="s">
        <v>913</v>
      </c>
      <c r="H880" t="s">
        <v>4470</v>
      </c>
      <c r="I880">
        <v>172000</v>
      </c>
      <c r="J880">
        <v>42750</v>
      </c>
      <c r="N880">
        <v>42750</v>
      </c>
    </row>
    <row r="881" spans="1:48" x14ac:dyDescent="0.3">
      <c r="A881">
        <v>218</v>
      </c>
      <c r="B881" t="s">
        <v>888</v>
      </c>
      <c r="C881" t="s">
        <v>251</v>
      </c>
      <c r="D881" t="s">
        <v>73</v>
      </c>
      <c r="E881" t="s">
        <v>56</v>
      </c>
      <c r="F881" s="30">
        <v>45291</v>
      </c>
      <c r="G881" t="s">
        <v>913</v>
      </c>
      <c r="H881" t="s">
        <v>4477</v>
      </c>
      <c r="I881">
        <v>172000</v>
      </c>
      <c r="J881">
        <v>0</v>
      </c>
      <c r="N881">
        <v>0</v>
      </c>
    </row>
    <row r="882" spans="1:48" x14ac:dyDescent="0.3">
      <c r="A882">
        <v>218</v>
      </c>
      <c r="B882" t="s">
        <v>888</v>
      </c>
      <c r="C882" t="s">
        <v>251</v>
      </c>
      <c r="D882" t="s">
        <v>73</v>
      </c>
      <c r="E882" t="s">
        <v>56</v>
      </c>
      <c r="F882" s="30">
        <v>45291</v>
      </c>
      <c r="G882" t="s">
        <v>913</v>
      </c>
      <c r="H882" t="s">
        <v>4469</v>
      </c>
      <c r="I882">
        <v>172000</v>
      </c>
      <c r="J882">
        <v>6887</v>
      </c>
      <c r="N882">
        <v>6887</v>
      </c>
    </row>
    <row r="883" spans="1:48" x14ac:dyDescent="0.3">
      <c r="A883">
        <v>218</v>
      </c>
      <c r="B883" t="s">
        <v>888</v>
      </c>
      <c r="C883" t="s">
        <v>251</v>
      </c>
      <c r="D883" t="s">
        <v>73</v>
      </c>
      <c r="E883" t="s">
        <v>56</v>
      </c>
      <c r="F883" s="30">
        <v>45291</v>
      </c>
      <c r="G883" t="s">
        <v>913</v>
      </c>
      <c r="H883" t="s">
        <v>4476</v>
      </c>
      <c r="I883">
        <v>172000</v>
      </c>
      <c r="J883">
        <v>4440</v>
      </c>
      <c r="N883">
        <v>4440</v>
      </c>
    </row>
    <row r="884" spans="1:48" x14ac:dyDescent="0.3">
      <c r="A884">
        <v>218</v>
      </c>
      <c r="B884" t="s">
        <v>888</v>
      </c>
      <c r="C884" t="s">
        <v>251</v>
      </c>
      <c r="D884" t="s">
        <v>73</v>
      </c>
      <c r="E884" t="s">
        <v>56</v>
      </c>
      <c r="F884" s="30">
        <v>45291</v>
      </c>
      <c r="G884" t="s">
        <v>913</v>
      </c>
      <c r="H884" t="s">
        <v>4478</v>
      </c>
      <c r="I884">
        <v>172000</v>
      </c>
      <c r="J884">
        <v>1396</v>
      </c>
      <c r="N884">
        <v>1396</v>
      </c>
    </row>
    <row r="885" spans="1:48" x14ac:dyDescent="0.3">
      <c r="A885">
        <v>225</v>
      </c>
      <c r="B885" t="s">
        <v>976</v>
      </c>
      <c r="C885" t="s">
        <v>251</v>
      </c>
      <c r="D885" t="s">
        <v>73</v>
      </c>
      <c r="E885" t="s">
        <v>22</v>
      </c>
      <c r="F885" s="30">
        <v>45291</v>
      </c>
      <c r="G885" t="s">
        <v>1000</v>
      </c>
      <c r="H885" t="s">
        <v>4468</v>
      </c>
      <c r="I885">
        <v>1</v>
      </c>
      <c r="J885">
        <v>4</v>
      </c>
      <c r="AT885">
        <v>4</v>
      </c>
    </row>
    <row r="886" spans="1:48" x14ac:dyDescent="0.3">
      <c r="A886">
        <v>225</v>
      </c>
      <c r="B886" t="s">
        <v>976</v>
      </c>
      <c r="C886" t="s">
        <v>251</v>
      </c>
      <c r="D886" t="s">
        <v>73</v>
      </c>
      <c r="E886" t="s">
        <v>22</v>
      </c>
      <c r="F886" s="30">
        <v>45291</v>
      </c>
      <c r="G886" t="s">
        <v>1000</v>
      </c>
      <c r="H886" t="s">
        <v>4470</v>
      </c>
      <c r="I886">
        <v>1</v>
      </c>
      <c r="J886">
        <v>2</v>
      </c>
      <c r="AT886">
        <v>2</v>
      </c>
    </row>
    <row r="887" spans="1:48" x14ac:dyDescent="0.3">
      <c r="A887">
        <v>225</v>
      </c>
      <c r="B887" t="s">
        <v>976</v>
      </c>
      <c r="C887" t="s">
        <v>251</v>
      </c>
      <c r="D887" t="s">
        <v>73</v>
      </c>
      <c r="E887" t="s">
        <v>22</v>
      </c>
      <c r="F887" s="30">
        <v>45291</v>
      </c>
      <c r="G887" t="s">
        <v>1000</v>
      </c>
      <c r="H887" t="s">
        <v>4477</v>
      </c>
      <c r="I887">
        <v>1</v>
      </c>
      <c r="J887">
        <v>0</v>
      </c>
      <c r="AT887">
        <v>0</v>
      </c>
    </row>
    <row r="888" spans="1:48" x14ac:dyDescent="0.3">
      <c r="A888">
        <v>225</v>
      </c>
      <c r="B888" t="s">
        <v>976</v>
      </c>
      <c r="C888" t="s">
        <v>251</v>
      </c>
      <c r="D888" t="s">
        <v>73</v>
      </c>
      <c r="E888" t="s">
        <v>22</v>
      </c>
      <c r="F888" s="30">
        <v>45291</v>
      </c>
      <c r="G888" t="s">
        <v>1000</v>
      </c>
      <c r="H888" t="s">
        <v>4469</v>
      </c>
      <c r="I888">
        <v>1</v>
      </c>
      <c r="J888">
        <v>10</v>
      </c>
      <c r="AT888">
        <v>10</v>
      </c>
    </row>
    <row r="889" spans="1:48" x14ac:dyDescent="0.3">
      <c r="A889">
        <v>225</v>
      </c>
      <c r="B889" t="s">
        <v>976</v>
      </c>
      <c r="C889" t="s">
        <v>251</v>
      </c>
      <c r="D889" t="s">
        <v>73</v>
      </c>
      <c r="E889" t="s">
        <v>22</v>
      </c>
      <c r="F889" s="30">
        <v>45291</v>
      </c>
      <c r="G889" t="s">
        <v>1000</v>
      </c>
      <c r="H889" t="s">
        <v>4476</v>
      </c>
      <c r="I889">
        <v>1</v>
      </c>
      <c r="J889">
        <v>1</v>
      </c>
      <c r="AT889">
        <v>1</v>
      </c>
    </row>
    <row r="890" spans="1:48" x14ac:dyDescent="0.3">
      <c r="A890">
        <v>225</v>
      </c>
      <c r="B890" t="s">
        <v>976</v>
      </c>
      <c r="C890" t="s">
        <v>251</v>
      </c>
      <c r="D890" t="s">
        <v>73</v>
      </c>
      <c r="E890" t="s">
        <v>22</v>
      </c>
      <c r="F890" s="30">
        <v>45291</v>
      </c>
      <c r="G890" t="s">
        <v>1000</v>
      </c>
      <c r="H890" t="s">
        <v>4478</v>
      </c>
      <c r="I890">
        <v>1</v>
      </c>
      <c r="J890">
        <v>1</v>
      </c>
      <c r="AT890">
        <v>1</v>
      </c>
    </row>
    <row r="891" spans="1:48" x14ac:dyDescent="0.3">
      <c r="A891">
        <v>434</v>
      </c>
      <c r="B891" t="s">
        <v>2267</v>
      </c>
      <c r="C891" t="s">
        <v>251</v>
      </c>
      <c r="D891" t="s">
        <v>73</v>
      </c>
      <c r="E891" t="s">
        <v>56</v>
      </c>
      <c r="F891" s="30">
        <v>45291</v>
      </c>
      <c r="G891" t="s">
        <v>2279</v>
      </c>
      <c r="H891" t="s">
        <v>4468</v>
      </c>
      <c r="I891">
        <v>200</v>
      </c>
      <c r="J891">
        <v>404.89999389648438</v>
      </c>
      <c r="AV891">
        <v>404.9</v>
      </c>
    </row>
    <row r="892" spans="1:48" x14ac:dyDescent="0.3">
      <c r="A892">
        <v>434</v>
      </c>
      <c r="B892" t="s">
        <v>2267</v>
      </c>
      <c r="C892" t="s">
        <v>251</v>
      </c>
      <c r="D892" t="s">
        <v>73</v>
      </c>
      <c r="E892" t="s">
        <v>56</v>
      </c>
      <c r="F892" s="30">
        <v>45291</v>
      </c>
      <c r="G892" t="s">
        <v>2279</v>
      </c>
      <c r="H892" t="s">
        <v>4470</v>
      </c>
      <c r="I892">
        <v>200</v>
      </c>
      <c r="J892">
        <v>0</v>
      </c>
      <c r="AV892">
        <v>0</v>
      </c>
    </row>
    <row r="893" spans="1:48" x14ac:dyDescent="0.3">
      <c r="A893">
        <v>434</v>
      </c>
      <c r="B893" t="s">
        <v>2267</v>
      </c>
      <c r="C893" t="s">
        <v>251</v>
      </c>
      <c r="D893" t="s">
        <v>73</v>
      </c>
      <c r="E893" t="s">
        <v>56</v>
      </c>
      <c r="F893" s="30">
        <v>45291</v>
      </c>
      <c r="G893" t="s">
        <v>2279</v>
      </c>
      <c r="H893" t="s">
        <v>4477</v>
      </c>
      <c r="I893">
        <v>200</v>
      </c>
      <c r="J893">
        <v>0</v>
      </c>
      <c r="AV893">
        <v>0</v>
      </c>
    </row>
    <row r="894" spans="1:48" x14ac:dyDescent="0.3">
      <c r="A894">
        <v>434</v>
      </c>
      <c r="B894" t="s">
        <v>2267</v>
      </c>
      <c r="C894" t="s">
        <v>251</v>
      </c>
      <c r="D894" t="s">
        <v>73</v>
      </c>
      <c r="E894" t="s">
        <v>56</v>
      </c>
      <c r="F894" s="30">
        <v>45291</v>
      </c>
      <c r="G894" t="s">
        <v>2279</v>
      </c>
      <c r="H894" t="s">
        <v>4469</v>
      </c>
      <c r="I894">
        <v>200</v>
      </c>
      <c r="J894">
        <v>10.5</v>
      </c>
      <c r="AV894">
        <v>10.5</v>
      </c>
    </row>
    <row r="895" spans="1:48" x14ac:dyDescent="0.3">
      <c r="A895">
        <v>434</v>
      </c>
      <c r="B895" t="s">
        <v>2267</v>
      </c>
      <c r="C895" t="s">
        <v>251</v>
      </c>
      <c r="D895" t="s">
        <v>73</v>
      </c>
      <c r="E895" t="s">
        <v>56</v>
      </c>
      <c r="F895" s="30">
        <v>45291</v>
      </c>
      <c r="G895" t="s">
        <v>2279</v>
      </c>
      <c r="H895" t="s">
        <v>4476</v>
      </c>
      <c r="I895">
        <v>200</v>
      </c>
      <c r="J895">
        <v>0.30000001192092901</v>
      </c>
      <c r="AV895">
        <v>0.3</v>
      </c>
    </row>
    <row r="896" spans="1:48" x14ac:dyDescent="0.3">
      <c r="A896">
        <v>434</v>
      </c>
      <c r="B896" t="s">
        <v>2267</v>
      </c>
      <c r="C896" t="s">
        <v>251</v>
      </c>
      <c r="D896" t="s">
        <v>73</v>
      </c>
      <c r="E896" t="s">
        <v>56</v>
      </c>
      <c r="F896" s="30">
        <v>45291</v>
      </c>
      <c r="G896" t="s">
        <v>2279</v>
      </c>
      <c r="H896" t="s">
        <v>4478</v>
      </c>
      <c r="I896">
        <v>200</v>
      </c>
      <c r="J896">
        <v>0</v>
      </c>
      <c r="AV896">
        <v>0</v>
      </c>
    </row>
    <row r="897" spans="1:94" x14ac:dyDescent="0.3">
      <c r="A897">
        <v>436</v>
      </c>
      <c r="B897" t="s">
        <v>2311</v>
      </c>
      <c r="C897" t="s">
        <v>258</v>
      </c>
      <c r="D897" t="s">
        <v>73</v>
      </c>
      <c r="E897" t="s">
        <v>56</v>
      </c>
      <c r="F897" s="30">
        <v>45291</v>
      </c>
      <c r="G897" t="s">
        <v>2323</v>
      </c>
      <c r="H897" t="s">
        <v>4579</v>
      </c>
      <c r="I897">
        <v>14</v>
      </c>
      <c r="J897">
        <v>9.1999998092651367</v>
      </c>
      <c r="CP897">
        <v>9.1999999999999993</v>
      </c>
    </row>
    <row r="898" spans="1:94" x14ac:dyDescent="0.3">
      <c r="A898">
        <v>436</v>
      </c>
      <c r="B898" t="s">
        <v>2311</v>
      </c>
      <c r="C898" t="s">
        <v>258</v>
      </c>
      <c r="D898" t="s">
        <v>73</v>
      </c>
      <c r="E898" t="s">
        <v>56</v>
      </c>
      <c r="F898" s="30">
        <v>45291</v>
      </c>
      <c r="G898" t="s">
        <v>2323</v>
      </c>
      <c r="H898" t="s">
        <v>4580</v>
      </c>
      <c r="I898">
        <v>7</v>
      </c>
      <c r="J898">
        <v>3.5</v>
      </c>
      <c r="CP898">
        <v>3.5</v>
      </c>
    </row>
    <row r="899" spans="1:94" x14ac:dyDescent="0.3">
      <c r="A899">
        <v>203</v>
      </c>
      <c r="B899" t="s">
        <v>676</v>
      </c>
      <c r="C899" t="s">
        <v>210</v>
      </c>
      <c r="D899" t="s">
        <v>39</v>
      </c>
      <c r="E899" t="s">
        <v>22</v>
      </c>
      <c r="F899" s="30">
        <v>45291</v>
      </c>
      <c r="G899" t="s">
        <v>680</v>
      </c>
      <c r="H899" t="s">
        <v>4494</v>
      </c>
      <c r="I899">
        <v>95</v>
      </c>
      <c r="J899">
        <v>101.40000152587891</v>
      </c>
      <c r="BA899">
        <v>240231931855</v>
      </c>
      <c r="BB899">
        <v>243589577604</v>
      </c>
    </row>
    <row r="900" spans="1:94" x14ac:dyDescent="0.3">
      <c r="A900">
        <v>203</v>
      </c>
      <c r="B900" t="s">
        <v>676</v>
      </c>
      <c r="C900" t="s">
        <v>210</v>
      </c>
      <c r="D900" t="s">
        <v>39</v>
      </c>
      <c r="E900" t="s">
        <v>22</v>
      </c>
      <c r="F900" s="30">
        <v>45291</v>
      </c>
      <c r="G900" t="s">
        <v>680</v>
      </c>
      <c r="H900" t="s">
        <v>4495</v>
      </c>
      <c r="I900">
        <v>95</v>
      </c>
      <c r="J900">
        <v>125.5400009155273</v>
      </c>
      <c r="BA900">
        <v>14097721000</v>
      </c>
      <c r="BB900">
        <v>17697585527</v>
      </c>
    </row>
    <row r="901" spans="1:94" x14ac:dyDescent="0.3">
      <c r="A901">
        <v>203</v>
      </c>
      <c r="B901" t="s">
        <v>676</v>
      </c>
      <c r="C901" t="s">
        <v>210</v>
      </c>
      <c r="D901" t="s">
        <v>39</v>
      </c>
      <c r="E901" t="s">
        <v>22</v>
      </c>
      <c r="F901" s="30">
        <v>45291</v>
      </c>
      <c r="G901" t="s">
        <v>680</v>
      </c>
      <c r="H901" t="s">
        <v>4496</v>
      </c>
      <c r="I901">
        <v>95</v>
      </c>
      <c r="J901">
        <v>118.65000152587891</v>
      </c>
      <c r="BA901">
        <v>10514786421</v>
      </c>
      <c r="BB901">
        <v>12475657870</v>
      </c>
    </row>
    <row r="902" spans="1:94" x14ac:dyDescent="0.3">
      <c r="A902">
        <v>215</v>
      </c>
      <c r="B902" t="s">
        <v>824</v>
      </c>
      <c r="C902" t="s">
        <v>251</v>
      </c>
      <c r="D902" t="s">
        <v>39</v>
      </c>
      <c r="E902" t="s">
        <v>22</v>
      </c>
      <c r="F902" s="30">
        <v>45291</v>
      </c>
      <c r="G902" t="s">
        <v>830</v>
      </c>
      <c r="H902" t="s">
        <v>4477</v>
      </c>
      <c r="I902">
        <v>1</v>
      </c>
      <c r="J902">
        <v>0</v>
      </c>
      <c r="AC902">
        <v>0</v>
      </c>
      <c r="AD902">
        <v>0</v>
      </c>
    </row>
    <row r="903" spans="1:94" x14ac:dyDescent="0.3">
      <c r="A903">
        <v>215</v>
      </c>
      <c r="B903" t="s">
        <v>824</v>
      </c>
      <c r="C903" t="s">
        <v>251</v>
      </c>
      <c r="D903" t="s">
        <v>39</v>
      </c>
      <c r="E903" t="s">
        <v>22</v>
      </c>
      <c r="F903" s="30">
        <v>45291</v>
      </c>
      <c r="G903" t="s">
        <v>830</v>
      </c>
      <c r="H903" t="s">
        <v>4476</v>
      </c>
      <c r="I903">
        <v>1</v>
      </c>
      <c r="J903">
        <v>0</v>
      </c>
      <c r="AC903">
        <v>0</v>
      </c>
      <c r="AD903">
        <v>0</v>
      </c>
    </row>
    <row r="904" spans="1:94" x14ac:dyDescent="0.3">
      <c r="A904">
        <v>215</v>
      </c>
      <c r="B904" t="s">
        <v>824</v>
      </c>
      <c r="C904" t="s">
        <v>251</v>
      </c>
      <c r="D904" t="s">
        <v>39</v>
      </c>
      <c r="E904" t="s">
        <v>22</v>
      </c>
      <c r="F904" s="30">
        <v>45291</v>
      </c>
      <c r="G904" t="s">
        <v>830</v>
      </c>
      <c r="H904" t="s">
        <v>4478</v>
      </c>
      <c r="I904">
        <v>1</v>
      </c>
      <c r="J904">
        <v>0</v>
      </c>
      <c r="AC904">
        <v>0</v>
      </c>
      <c r="AD904">
        <v>0</v>
      </c>
    </row>
    <row r="905" spans="1:94" x14ac:dyDescent="0.3">
      <c r="A905">
        <v>215</v>
      </c>
      <c r="B905" t="s">
        <v>824</v>
      </c>
      <c r="C905" t="s">
        <v>251</v>
      </c>
      <c r="D905" t="s">
        <v>39</v>
      </c>
      <c r="E905" t="s">
        <v>22</v>
      </c>
      <c r="F905" s="30">
        <v>45291</v>
      </c>
      <c r="G905" t="s">
        <v>830</v>
      </c>
      <c r="H905" t="s">
        <v>4468</v>
      </c>
      <c r="I905">
        <v>1</v>
      </c>
      <c r="J905">
        <v>-236.11000061035159</v>
      </c>
      <c r="AC905">
        <v>0.36</v>
      </c>
      <c r="AD905">
        <v>1.21</v>
      </c>
    </row>
    <row r="906" spans="1:94" x14ac:dyDescent="0.3">
      <c r="A906">
        <v>215</v>
      </c>
      <c r="B906" t="s">
        <v>824</v>
      </c>
      <c r="C906" t="s">
        <v>251</v>
      </c>
      <c r="D906" t="s">
        <v>39</v>
      </c>
      <c r="E906" t="s">
        <v>22</v>
      </c>
      <c r="F906" s="30">
        <v>45291</v>
      </c>
      <c r="G906" t="s">
        <v>830</v>
      </c>
      <c r="H906" t="s">
        <v>4470</v>
      </c>
      <c r="I906">
        <v>1</v>
      </c>
      <c r="J906">
        <v>-22.579999923706051</v>
      </c>
      <c r="AC906">
        <v>0.31</v>
      </c>
      <c r="AD906">
        <v>0.38</v>
      </c>
    </row>
    <row r="907" spans="1:94" x14ac:dyDescent="0.3">
      <c r="A907">
        <v>215</v>
      </c>
      <c r="B907" t="s">
        <v>824</v>
      </c>
      <c r="C907" t="s">
        <v>251</v>
      </c>
      <c r="D907" t="s">
        <v>39</v>
      </c>
      <c r="E907" t="s">
        <v>22</v>
      </c>
      <c r="F907" s="30">
        <v>45291</v>
      </c>
      <c r="G907" t="s">
        <v>830</v>
      </c>
      <c r="H907" t="s">
        <v>4469</v>
      </c>
      <c r="I907">
        <v>0</v>
      </c>
      <c r="J907">
        <v>-86.360000610351563</v>
      </c>
      <c r="AC907">
        <v>0.22</v>
      </c>
      <c r="AD907">
        <v>0.41</v>
      </c>
    </row>
    <row r="908" spans="1:94" x14ac:dyDescent="0.3">
      <c r="A908">
        <v>219</v>
      </c>
      <c r="B908" t="s">
        <v>938</v>
      </c>
      <c r="C908" t="s">
        <v>251</v>
      </c>
      <c r="D908" t="s">
        <v>39</v>
      </c>
      <c r="E908" t="s">
        <v>22</v>
      </c>
      <c r="F908" s="30">
        <v>45291</v>
      </c>
      <c r="G908" t="s">
        <v>942</v>
      </c>
      <c r="H908" t="s">
        <v>4470</v>
      </c>
      <c r="I908">
        <v>1</v>
      </c>
      <c r="J908">
        <v>-18.979999542236332</v>
      </c>
      <c r="O908">
        <v>583</v>
      </c>
      <c r="P908">
        <v>29</v>
      </c>
      <c r="Q908">
        <v>8166</v>
      </c>
      <c r="R908">
        <v>2922</v>
      </c>
      <c r="S908">
        <v>679</v>
      </c>
      <c r="T908">
        <v>30</v>
      </c>
      <c r="U908">
        <v>11072</v>
      </c>
      <c r="V908">
        <v>1948</v>
      </c>
      <c r="W908">
        <v>289560</v>
      </c>
      <c r="X908">
        <v>285570</v>
      </c>
    </row>
    <row r="909" spans="1:94" x14ac:dyDescent="0.3">
      <c r="A909">
        <v>219</v>
      </c>
      <c r="B909" t="s">
        <v>938</v>
      </c>
      <c r="C909" t="s">
        <v>251</v>
      </c>
      <c r="D909" t="s">
        <v>39</v>
      </c>
      <c r="E909" t="s">
        <v>22</v>
      </c>
      <c r="F909" s="30">
        <v>45291</v>
      </c>
      <c r="G909" t="s">
        <v>942</v>
      </c>
      <c r="H909" t="s">
        <v>4469</v>
      </c>
      <c r="I909">
        <v>1</v>
      </c>
      <c r="J909">
        <v>27.430000305175781</v>
      </c>
      <c r="O909">
        <v>312</v>
      </c>
      <c r="P909">
        <v>867</v>
      </c>
      <c r="Q909">
        <v>9662</v>
      </c>
      <c r="R909">
        <v>171</v>
      </c>
      <c r="S909">
        <v>300</v>
      </c>
      <c r="T909">
        <v>828</v>
      </c>
      <c r="U909">
        <v>12287</v>
      </c>
      <c r="V909">
        <v>144</v>
      </c>
      <c r="W909">
        <v>82051.05</v>
      </c>
      <c r="X909">
        <v>139217</v>
      </c>
    </row>
    <row r="910" spans="1:94" x14ac:dyDescent="0.3">
      <c r="A910">
        <v>219</v>
      </c>
      <c r="B910" t="s">
        <v>938</v>
      </c>
      <c r="C910" t="s">
        <v>251</v>
      </c>
      <c r="D910" t="s">
        <v>39</v>
      </c>
      <c r="E910" t="s">
        <v>22</v>
      </c>
      <c r="F910" s="30">
        <v>45291</v>
      </c>
      <c r="G910" t="s">
        <v>942</v>
      </c>
      <c r="H910" t="s">
        <v>4476</v>
      </c>
      <c r="I910">
        <v>1</v>
      </c>
      <c r="J910">
        <v>0</v>
      </c>
      <c r="O910">
        <v>0</v>
      </c>
      <c r="P910">
        <v>0</v>
      </c>
      <c r="Q910">
        <v>0</v>
      </c>
      <c r="R910">
        <v>0</v>
      </c>
      <c r="S910">
        <v>0</v>
      </c>
      <c r="T910">
        <v>0</v>
      </c>
      <c r="U910">
        <v>0</v>
      </c>
      <c r="V910">
        <v>0</v>
      </c>
      <c r="W910">
        <v>24000</v>
      </c>
      <c r="X910">
        <v>0</v>
      </c>
    </row>
    <row r="911" spans="1:94" x14ac:dyDescent="0.3">
      <c r="A911">
        <v>219</v>
      </c>
      <c r="B911" t="s">
        <v>938</v>
      </c>
      <c r="C911" t="s">
        <v>251</v>
      </c>
      <c r="D911" t="s">
        <v>39</v>
      </c>
      <c r="E911" t="s">
        <v>22</v>
      </c>
      <c r="F911" s="30">
        <v>45291</v>
      </c>
      <c r="G911" t="s">
        <v>942</v>
      </c>
      <c r="H911" t="s">
        <v>4478</v>
      </c>
      <c r="I911">
        <v>1</v>
      </c>
      <c r="J911">
        <v>0</v>
      </c>
      <c r="O911">
        <v>0</v>
      </c>
      <c r="P911">
        <v>0</v>
      </c>
      <c r="Q911">
        <v>0</v>
      </c>
      <c r="R911">
        <v>0</v>
      </c>
      <c r="S911">
        <v>0</v>
      </c>
      <c r="T911">
        <v>0</v>
      </c>
      <c r="U911">
        <v>0</v>
      </c>
      <c r="V911">
        <v>0</v>
      </c>
      <c r="W911">
        <v>0</v>
      </c>
      <c r="X911">
        <v>0</v>
      </c>
    </row>
    <row r="912" spans="1:94" x14ac:dyDescent="0.3">
      <c r="A912">
        <v>219</v>
      </c>
      <c r="B912" t="s">
        <v>938</v>
      </c>
      <c r="C912" t="s">
        <v>251</v>
      </c>
      <c r="D912" t="s">
        <v>39</v>
      </c>
      <c r="E912" t="s">
        <v>22</v>
      </c>
      <c r="F912" s="30">
        <v>45291</v>
      </c>
      <c r="G912" t="s">
        <v>942</v>
      </c>
      <c r="H912" t="s">
        <v>4468</v>
      </c>
      <c r="I912">
        <v>1</v>
      </c>
      <c r="J912">
        <v>-4.2600002288818359</v>
      </c>
      <c r="O912">
        <v>1859</v>
      </c>
      <c r="P912">
        <v>3240</v>
      </c>
      <c r="Q912">
        <v>13146</v>
      </c>
      <c r="R912">
        <v>0</v>
      </c>
      <c r="S912">
        <v>1872</v>
      </c>
      <c r="T912">
        <v>2992</v>
      </c>
      <c r="U912">
        <v>13656</v>
      </c>
      <c r="V912">
        <v>0</v>
      </c>
      <c r="W912">
        <v>391217</v>
      </c>
      <c r="X912">
        <v>380904</v>
      </c>
    </row>
    <row r="913" spans="1:62" x14ac:dyDescent="0.3">
      <c r="A913">
        <v>274</v>
      </c>
      <c r="B913" t="s">
        <v>1369</v>
      </c>
      <c r="C913" t="s">
        <v>1292</v>
      </c>
      <c r="D913" t="s">
        <v>39</v>
      </c>
      <c r="E913" t="s">
        <v>22</v>
      </c>
      <c r="F913" s="30">
        <v>45291</v>
      </c>
      <c r="G913" t="s">
        <v>1371</v>
      </c>
      <c r="H913" t="s">
        <v>4497</v>
      </c>
      <c r="I913">
        <v>100</v>
      </c>
      <c r="J913">
        <v>115.2200012207031</v>
      </c>
      <c r="BC913">
        <v>333</v>
      </c>
      <c r="BD913">
        <v>289</v>
      </c>
    </row>
    <row r="914" spans="1:62" x14ac:dyDescent="0.3">
      <c r="A914">
        <v>274</v>
      </c>
      <c r="B914" t="s">
        <v>1369</v>
      </c>
      <c r="C914" t="s">
        <v>1292</v>
      </c>
      <c r="D914" t="s">
        <v>39</v>
      </c>
      <c r="E914" t="s">
        <v>22</v>
      </c>
      <c r="F914" s="30">
        <v>45291</v>
      </c>
      <c r="G914" t="s">
        <v>1371</v>
      </c>
      <c r="H914" t="s">
        <v>4498</v>
      </c>
      <c r="I914">
        <v>100</v>
      </c>
      <c r="J914">
        <v>103.34999847412109</v>
      </c>
      <c r="BC914">
        <v>6168</v>
      </c>
      <c r="BD914">
        <v>5968</v>
      </c>
    </row>
    <row r="915" spans="1:62" x14ac:dyDescent="0.3">
      <c r="A915">
        <v>274</v>
      </c>
      <c r="B915" t="s">
        <v>1369</v>
      </c>
      <c r="C915" t="s">
        <v>1292</v>
      </c>
      <c r="D915" t="s">
        <v>39</v>
      </c>
      <c r="E915" t="s">
        <v>22</v>
      </c>
      <c r="F915" s="30">
        <v>45291</v>
      </c>
      <c r="G915" t="s">
        <v>1371</v>
      </c>
      <c r="H915" t="s">
        <v>4499</v>
      </c>
      <c r="I915">
        <v>100</v>
      </c>
      <c r="J915">
        <v>96.089996337890625</v>
      </c>
      <c r="BC915">
        <v>32803</v>
      </c>
      <c r="BD915">
        <v>34138</v>
      </c>
    </row>
    <row r="916" spans="1:62" x14ac:dyDescent="0.3">
      <c r="A916">
        <v>274</v>
      </c>
      <c r="B916" t="s">
        <v>1369</v>
      </c>
      <c r="C916" t="s">
        <v>1292</v>
      </c>
      <c r="D916" t="s">
        <v>39</v>
      </c>
      <c r="E916" t="s">
        <v>22</v>
      </c>
      <c r="F916" s="30">
        <v>45291</v>
      </c>
      <c r="G916" t="s">
        <v>1371</v>
      </c>
      <c r="H916" t="s">
        <v>4500</v>
      </c>
      <c r="I916">
        <v>100</v>
      </c>
      <c r="J916">
        <v>103.38999938964839</v>
      </c>
      <c r="BC916">
        <v>1465</v>
      </c>
      <c r="BD916">
        <v>1417</v>
      </c>
    </row>
    <row r="917" spans="1:62" x14ac:dyDescent="0.3">
      <c r="A917">
        <v>278</v>
      </c>
      <c r="B917" t="s">
        <v>1399</v>
      </c>
      <c r="C917" t="s">
        <v>1383</v>
      </c>
      <c r="D917" t="s">
        <v>39</v>
      </c>
      <c r="E917" t="s">
        <v>22</v>
      </c>
      <c r="F917" s="30">
        <v>45291</v>
      </c>
      <c r="G917" t="s">
        <v>1396</v>
      </c>
      <c r="H917" t="s">
        <v>4501</v>
      </c>
      <c r="J917">
        <v>608</v>
      </c>
      <c r="BE917">
        <v>608</v>
      </c>
    </row>
    <row r="918" spans="1:62" x14ac:dyDescent="0.3">
      <c r="A918">
        <v>278</v>
      </c>
      <c r="B918" t="s">
        <v>1399</v>
      </c>
      <c r="C918" t="s">
        <v>1383</v>
      </c>
      <c r="D918" t="s">
        <v>39</v>
      </c>
      <c r="E918" t="s">
        <v>22</v>
      </c>
      <c r="F918" s="30">
        <v>45291</v>
      </c>
      <c r="G918" t="s">
        <v>1396</v>
      </c>
      <c r="H918" t="s">
        <v>4502</v>
      </c>
      <c r="J918">
        <v>186</v>
      </c>
      <c r="BE918">
        <v>186</v>
      </c>
    </row>
    <row r="919" spans="1:62" x14ac:dyDescent="0.3">
      <c r="A919">
        <v>278</v>
      </c>
      <c r="B919" t="s">
        <v>1399</v>
      </c>
      <c r="C919" t="s">
        <v>1383</v>
      </c>
      <c r="D919" t="s">
        <v>39</v>
      </c>
      <c r="E919" t="s">
        <v>22</v>
      </c>
      <c r="F919" s="30">
        <v>45291</v>
      </c>
      <c r="G919" t="s">
        <v>1396</v>
      </c>
      <c r="H919" t="s">
        <v>4503</v>
      </c>
      <c r="J919">
        <v>223</v>
      </c>
      <c r="BE919">
        <v>223</v>
      </c>
    </row>
    <row r="920" spans="1:62" x14ac:dyDescent="0.3">
      <c r="A920">
        <v>286</v>
      </c>
      <c r="B920" t="s">
        <v>1433</v>
      </c>
      <c r="C920" t="s">
        <v>1383</v>
      </c>
      <c r="D920" t="s">
        <v>39</v>
      </c>
      <c r="E920" t="s">
        <v>22</v>
      </c>
      <c r="F920" s="30">
        <v>45291</v>
      </c>
      <c r="G920" t="s">
        <v>1430</v>
      </c>
      <c r="H920" t="s">
        <v>4504</v>
      </c>
      <c r="J920">
        <v>62</v>
      </c>
      <c r="BF920">
        <v>62</v>
      </c>
    </row>
    <row r="921" spans="1:62" x14ac:dyDescent="0.3">
      <c r="A921">
        <v>286</v>
      </c>
      <c r="B921" t="s">
        <v>1433</v>
      </c>
      <c r="C921" t="s">
        <v>1383</v>
      </c>
      <c r="D921" t="s">
        <v>39</v>
      </c>
      <c r="E921" t="s">
        <v>22</v>
      </c>
      <c r="F921" s="30">
        <v>45291</v>
      </c>
      <c r="G921" t="s">
        <v>1430</v>
      </c>
      <c r="H921" t="s">
        <v>4505</v>
      </c>
      <c r="J921">
        <v>781</v>
      </c>
      <c r="BF921">
        <v>781</v>
      </c>
    </row>
    <row r="922" spans="1:62" x14ac:dyDescent="0.3">
      <c r="A922">
        <v>286</v>
      </c>
      <c r="B922" t="s">
        <v>1433</v>
      </c>
      <c r="C922" t="s">
        <v>1383</v>
      </c>
      <c r="D922" t="s">
        <v>39</v>
      </c>
      <c r="E922" t="s">
        <v>22</v>
      </c>
      <c r="F922" s="30">
        <v>45291</v>
      </c>
      <c r="G922" t="s">
        <v>1430</v>
      </c>
      <c r="H922" t="s">
        <v>4506</v>
      </c>
      <c r="J922">
        <v>108</v>
      </c>
      <c r="BF922">
        <v>108</v>
      </c>
    </row>
    <row r="923" spans="1:62" x14ac:dyDescent="0.3">
      <c r="A923">
        <v>286</v>
      </c>
      <c r="B923" t="s">
        <v>1433</v>
      </c>
      <c r="C923" t="s">
        <v>1383</v>
      </c>
      <c r="D923" t="s">
        <v>39</v>
      </c>
      <c r="E923" t="s">
        <v>22</v>
      </c>
      <c r="F923" s="30">
        <v>45291</v>
      </c>
      <c r="G923" t="s">
        <v>1430</v>
      </c>
      <c r="H923" t="s">
        <v>4507</v>
      </c>
      <c r="J923">
        <v>66</v>
      </c>
      <c r="BF923">
        <v>66</v>
      </c>
    </row>
    <row r="924" spans="1:62" x14ac:dyDescent="0.3">
      <c r="A924">
        <v>292</v>
      </c>
      <c r="B924" t="s">
        <v>1465</v>
      </c>
      <c r="C924" t="s">
        <v>1460</v>
      </c>
      <c r="D924" t="s">
        <v>39</v>
      </c>
      <c r="E924" t="s">
        <v>22</v>
      </c>
      <c r="F924" s="30">
        <v>45291</v>
      </c>
      <c r="G924" t="s">
        <v>1467</v>
      </c>
      <c r="H924" t="s">
        <v>4508</v>
      </c>
      <c r="I924">
        <v>3</v>
      </c>
      <c r="J924">
        <v>32.970001220703118</v>
      </c>
      <c r="BG924">
        <v>1566</v>
      </c>
      <c r="BH924">
        <v>1164</v>
      </c>
    </row>
    <row r="925" spans="1:62" x14ac:dyDescent="0.3">
      <c r="A925">
        <v>292</v>
      </c>
      <c r="B925" t="s">
        <v>1465</v>
      </c>
      <c r="C925" t="s">
        <v>1460</v>
      </c>
      <c r="D925" t="s">
        <v>39</v>
      </c>
      <c r="E925" t="s">
        <v>22</v>
      </c>
      <c r="F925" s="30">
        <v>45291</v>
      </c>
      <c r="G925" t="s">
        <v>1467</v>
      </c>
      <c r="H925" t="s">
        <v>4509</v>
      </c>
      <c r="I925">
        <v>3</v>
      </c>
      <c r="J925">
        <v>40.229999542236328</v>
      </c>
      <c r="BG925">
        <v>740</v>
      </c>
      <c r="BH925">
        <v>557</v>
      </c>
    </row>
    <row r="926" spans="1:62" x14ac:dyDescent="0.3">
      <c r="A926">
        <v>292</v>
      </c>
      <c r="B926" t="s">
        <v>1465</v>
      </c>
      <c r="C926" t="s">
        <v>1460</v>
      </c>
      <c r="D926" t="s">
        <v>39</v>
      </c>
      <c r="E926" t="s">
        <v>22</v>
      </c>
      <c r="F926" s="30">
        <v>45291</v>
      </c>
      <c r="G926" t="s">
        <v>1467</v>
      </c>
      <c r="H926" t="s">
        <v>4510</v>
      </c>
      <c r="I926">
        <v>3</v>
      </c>
      <c r="J926">
        <v>-12.930000305175779</v>
      </c>
      <c r="BG926">
        <v>309</v>
      </c>
      <c r="BH926">
        <v>344</v>
      </c>
    </row>
    <row r="927" spans="1:62" x14ac:dyDescent="0.3">
      <c r="A927">
        <v>294</v>
      </c>
      <c r="B927" t="s">
        <v>1481</v>
      </c>
      <c r="C927" t="s">
        <v>1460</v>
      </c>
      <c r="D927" t="s">
        <v>39</v>
      </c>
      <c r="E927" t="s">
        <v>22</v>
      </c>
      <c r="F927" s="30">
        <v>45291</v>
      </c>
      <c r="G927" t="s">
        <v>1479</v>
      </c>
      <c r="H927" t="s">
        <v>4508</v>
      </c>
      <c r="I927">
        <v>3</v>
      </c>
      <c r="J927">
        <v>39.290000915527337</v>
      </c>
      <c r="BI927">
        <v>537</v>
      </c>
      <c r="BJ927">
        <v>382</v>
      </c>
    </row>
    <row r="928" spans="1:62" x14ac:dyDescent="0.3">
      <c r="A928">
        <v>294</v>
      </c>
      <c r="B928" t="s">
        <v>1481</v>
      </c>
      <c r="C928" t="s">
        <v>1460</v>
      </c>
      <c r="D928" t="s">
        <v>39</v>
      </c>
      <c r="E928" t="s">
        <v>22</v>
      </c>
      <c r="F928" s="30">
        <v>45291</v>
      </c>
      <c r="G928" t="s">
        <v>1479</v>
      </c>
      <c r="H928" t="s">
        <v>4509</v>
      </c>
      <c r="I928">
        <v>3</v>
      </c>
      <c r="J928">
        <v>35.830001831054688</v>
      </c>
      <c r="BI928">
        <v>414</v>
      </c>
      <c r="BJ928">
        <v>305</v>
      </c>
    </row>
    <row r="929" spans="1:102" x14ac:dyDescent="0.3">
      <c r="A929">
        <v>294</v>
      </c>
      <c r="B929" t="s">
        <v>1481</v>
      </c>
      <c r="C929" t="s">
        <v>1460</v>
      </c>
      <c r="D929" t="s">
        <v>39</v>
      </c>
      <c r="E929" t="s">
        <v>22</v>
      </c>
      <c r="F929" s="30">
        <v>45291</v>
      </c>
      <c r="G929" t="s">
        <v>1479</v>
      </c>
      <c r="H929" t="s">
        <v>4510</v>
      </c>
      <c r="I929">
        <v>3</v>
      </c>
      <c r="J929">
        <v>76.19000244140625</v>
      </c>
      <c r="BI929">
        <v>158</v>
      </c>
      <c r="BJ929">
        <v>94</v>
      </c>
    </row>
    <row r="930" spans="1:102" x14ac:dyDescent="0.3">
      <c r="A930">
        <v>362</v>
      </c>
      <c r="B930" t="s">
        <v>1800</v>
      </c>
      <c r="C930" t="s">
        <v>1801</v>
      </c>
      <c r="D930" t="s">
        <v>39</v>
      </c>
      <c r="E930" t="s">
        <v>22</v>
      </c>
      <c r="F930" s="30">
        <v>45291</v>
      </c>
      <c r="G930" t="s">
        <v>1803</v>
      </c>
      <c r="H930" t="s">
        <v>4498</v>
      </c>
      <c r="I930">
        <v>100</v>
      </c>
      <c r="J930">
        <v>99.44000244140625</v>
      </c>
      <c r="CU930">
        <v>7464</v>
      </c>
      <c r="CV930">
        <v>7506</v>
      </c>
    </row>
    <row r="931" spans="1:102" x14ac:dyDescent="0.3">
      <c r="A931">
        <v>362</v>
      </c>
      <c r="B931" t="s">
        <v>1800</v>
      </c>
      <c r="C931" t="s">
        <v>1801</v>
      </c>
      <c r="D931" t="s">
        <v>39</v>
      </c>
      <c r="E931" t="s">
        <v>22</v>
      </c>
      <c r="F931" s="30">
        <v>45291</v>
      </c>
      <c r="G931" t="s">
        <v>1803</v>
      </c>
      <c r="H931" t="s">
        <v>4497</v>
      </c>
      <c r="I931">
        <v>100</v>
      </c>
      <c r="J931">
        <v>95.330001831054688</v>
      </c>
      <c r="CU931">
        <v>531</v>
      </c>
      <c r="CV931">
        <v>557</v>
      </c>
    </row>
    <row r="932" spans="1:102" x14ac:dyDescent="0.3">
      <c r="A932">
        <v>369</v>
      </c>
      <c r="B932" t="s">
        <v>1835</v>
      </c>
      <c r="C932" t="s">
        <v>1796</v>
      </c>
      <c r="D932" t="s">
        <v>39</v>
      </c>
      <c r="E932" t="s">
        <v>22</v>
      </c>
      <c r="F932" s="30">
        <v>45291</v>
      </c>
      <c r="G932" t="s">
        <v>1837</v>
      </c>
      <c r="H932" t="s">
        <v>4511</v>
      </c>
      <c r="J932">
        <v>0</v>
      </c>
      <c r="BM932">
        <v>0</v>
      </c>
      <c r="BN932">
        <v>0</v>
      </c>
    </row>
    <row r="933" spans="1:102" x14ac:dyDescent="0.3">
      <c r="A933">
        <v>369</v>
      </c>
      <c r="B933" t="s">
        <v>1835</v>
      </c>
      <c r="C933" t="s">
        <v>1796</v>
      </c>
      <c r="D933" t="s">
        <v>39</v>
      </c>
      <c r="E933" t="s">
        <v>22</v>
      </c>
      <c r="F933" s="30">
        <v>45291</v>
      </c>
      <c r="G933" t="s">
        <v>1837</v>
      </c>
      <c r="H933" t="s">
        <v>4512</v>
      </c>
      <c r="J933">
        <v>0</v>
      </c>
      <c r="BM933">
        <v>96</v>
      </c>
      <c r="BN933">
        <v>0</v>
      </c>
    </row>
    <row r="934" spans="1:102" x14ac:dyDescent="0.3">
      <c r="A934">
        <v>375</v>
      </c>
      <c r="B934" t="s">
        <v>1871</v>
      </c>
      <c r="C934" t="s">
        <v>1801</v>
      </c>
      <c r="D934" t="s">
        <v>39</v>
      </c>
      <c r="E934" t="s">
        <v>22</v>
      </c>
      <c r="F934" s="30">
        <v>45291</v>
      </c>
      <c r="G934" t="s">
        <v>1873</v>
      </c>
      <c r="H934" t="s">
        <v>4497</v>
      </c>
      <c r="I934">
        <v>100</v>
      </c>
      <c r="J934">
        <v>100</v>
      </c>
      <c r="CW934">
        <v>354</v>
      </c>
      <c r="CX934">
        <v>354</v>
      </c>
    </row>
    <row r="935" spans="1:102" x14ac:dyDescent="0.3">
      <c r="A935">
        <v>386</v>
      </c>
      <c r="B935" t="s">
        <v>1951</v>
      </c>
      <c r="C935" t="s">
        <v>1946</v>
      </c>
      <c r="D935" t="s">
        <v>39</v>
      </c>
      <c r="E935" t="s">
        <v>22</v>
      </c>
      <c r="F935" s="30">
        <v>45291</v>
      </c>
      <c r="G935" t="s">
        <v>1953</v>
      </c>
      <c r="H935" t="s">
        <v>3588</v>
      </c>
      <c r="I935">
        <v>100</v>
      </c>
      <c r="J935">
        <v>67.279998779296875</v>
      </c>
      <c r="BO935">
        <v>2035554540</v>
      </c>
      <c r="BP935">
        <v>3025360000</v>
      </c>
    </row>
    <row r="936" spans="1:102" x14ac:dyDescent="0.3">
      <c r="A936">
        <v>408</v>
      </c>
      <c r="B936" t="s">
        <v>2074</v>
      </c>
      <c r="C936" t="s">
        <v>1627</v>
      </c>
      <c r="D936" t="s">
        <v>39</v>
      </c>
      <c r="E936" t="s">
        <v>22</v>
      </c>
      <c r="F936" s="30">
        <v>45291</v>
      </c>
      <c r="G936" t="s">
        <v>2076</v>
      </c>
      <c r="H936" t="s">
        <v>4527</v>
      </c>
      <c r="I936">
        <v>100</v>
      </c>
      <c r="J936">
        <v>100</v>
      </c>
      <c r="BR936">
        <v>4</v>
      </c>
      <c r="BS936">
        <v>4</v>
      </c>
    </row>
    <row r="937" spans="1:102" x14ac:dyDescent="0.3">
      <c r="A937">
        <v>408</v>
      </c>
      <c r="B937" t="s">
        <v>2074</v>
      </c>
      <c r="C937" t="s">
        <v>1627</v>
      </c>
      <c r="D937" t="s">
        <v>39</v>
      </c>
      <c r="E937" t="s">
        <v>22</v>
      </c>
      <c r="F937" s="30">
        <v>45291</v>
      </c>
      <c r="G937" t="s">
        <v>2076</v>
      </c>
      <c r="H937" t="s">
        <v>4528</v>
      </c>
      <c r="I937">
        <v>100</v>
      </c>
      <c r="J937">
        <v>100</v>
      </c>
      <c r="BR937">
        <v>5</v>
      </c>
      <c r="BS937">
        <v>5</v>
      </c>
    </row>
    <row r="938" spans="1:102" x14ac:dyDescent="0.3">
      <c r="A938">
        <v>408</v>
      </c>
      <c r="B938" t="s">
        <v>2074</v>
      </c>
      <c r="C938" t="s">
        <v>1627</v>
      </c>
      <c r="D938" t="s">
        <v>39</v>
      </c>
      <c r="E938" t="s">
        <v>22</v>
      </c>
      <c r="F938" s="30">
        <v>45291</v>
      </c>
      <c r="G938" t="s">
        <v>2076</v>
      </c>
      <c r="H938" t="s">
        <v>4526</v>
      </c>
      <c r="I938">
        <v>100</v>
      </c>
      <c r="J938">
        <v>100</v>
      </c>
      <c r="BR938">
        <v>3</v>
      </c>
      <c r="BS938">
        <v>3</v>
      </c>
    </row>
    <row r="939" spans="1:102" x14ac:dyDescent="0.3">
      <c r="A939">
        <v>427</v>
      </c>
      <c r="B939" t="s">
        <v>2212</v>
      </c>
      <c r="C939" t="s">
        <v>251</v>
      </c>
      <c r="D939" t="s">
        <v>39</v>
      </c>
      <c r="E939" t="s">
        <v>56</v>
      </c>
      <c r="F939" s="30">
        <v>45291</v>
      </c>
      <c r="G939" t="s">
        <v>2214</v>
      </c>
      <c r="H939" t="s">
        <v>4468</v>
      </c>
      <c r="I939">
        <v>0.3</v>
      </c>
      <c r="J939">
        <v>0.239999994635582</v>
      </c>
      <c r="O939">
        <v>1859</v>
      </c>
      <c r="P939">
        <v>3240</v>
      </c>
      <c r="Q939">
        <v>13146</v>
      </c>
      <c r="R939">
        <v>0</v>
      </c>
      <c r="Y939">
        <v>4434</v>
      </c>
    </row>
    <row r="940" spans="1:102" x14ac:dyDescent="0.3">
      <c r="A940">
        <v>427</v>
      </c>
      <c r="B940" t="s">
        <v>2212</v>
      </c>
      <c r="C940" t="s">
        <v>251</v>
      </c>
      <c r="D940" t="s">
        <v>39</v>
      </c>
      <c r="E940" t="s">
        <v>56</v>
      </c>
      <c r="F940" s="30">
        <v>45291</v>
      </c>
      <c r="G940" t="s">
        <v>2214</v>
      </c>
      <c r="H940" t="s">
        <v>4477</v>
      </c>
      <c r="I940">
        <v>0.2</v>
      </c>
      <c r="J940">
        <v>0</v>
      </c>
      <c r="O940">
        <v>0</v>
      </c>
      <c r="P940">
        <v>0</v>
      </c>
      <c r="Q940">
        <v>0</v>
      </c>
      <c r="R940">
        <v>0</v>
      </c>
      <c r="Y940">
        <v>0</v>
      </c>
    </row>
    <row r="941" spans="1:102" x14ac:dyDescent="0.3">
      <c r="A941">
        <v>427</v>
      </c>
      <c r="B941" t="s">
        <v>2212</v>
      </c>
      <c r="C941" t="s">
        <v>251</v>
      </c>
      <c r="D941" t="s">
        <v>39</v>
      </c>
      <c r="E941" t="s">
        <v>56</v>
      </c>
      <c r="F941" s="30">
        <v>45291</v>
      </c>
      <c r="G941" t="s">
        <v>2214</v>
      </c>
      <c r="H941" t="s">
        <v>4469</v>
      </c>
      <c r="I941">
        <v>0.1</v>
      </c>
      <c r="J941">
        <v>0.15000000596046451</v>
      </c>
      <c r="O941">
        <v>312</v>
      </c>
      <c r="P941">
        <v>867</v>
      </c>
      <c r="Q941">
        <v>9662</v>
      </c>
      <c r="R941">
        <v>171</v>
      </c>
      <c r="Y941">
        <v>1693</v>
      </c>
    </row>
    <row r="942" spans="1:102" x14ac:dyDescent="0.3">
      <c r="A942">
        <v>427</v>
      </c>
      <c r="B942" t="s">
        <v>2212</v>
      </c>
      <c r="C942" t="s">
        <v>251</v>
      </c>
      <c r="D942" t="s">
        <v>39</v>
      </c>
      <c r="E942" t="s">
        <v>56</v>
      </c>
      <c r="F942" s="30">
        <v>45291</v>
      </c>
      <c r="G942" t="s">
        <v>2214</v>
      </c>
      <c r="H942" t="s">
        <v>4478</v>
      </c>
      <c r="I942">
        <v>0.2</v>
      </c>
      <c r="J942">
        <v>0</v>
      </c>
      <c r="O942">
        <v>0</v>
      </c>
      <c r="P942">
        <v>0</v>
      </c>
      <c r="Q942">
        <v>0</v>
      </c>
      <c r="R942">
        <v>0</v>
      </c>
      <c r="Y942">
        <v>0</v>
      </c>
    </row>
    <row r="943" spans="1:102" x14ac:dyDescent="0.3">
      <c r="A943">
        <v>427</v>
      </c>
      <c r="B943" t="s">
        <v>2212</v>
      </c>
      <c r="C943" t="s">
        <v>251</v>
      </c>
      <c r="D943" t="s">
        <v>39</v>
      </c>
      <c r="E943" t="s">
        <v>56</v>
      </c>
      <c r="F943" s="30">
        <v>45291</v>
      </c>
      <c r="G943" t="s">
        <v>2214</v>
      </c>
      <c r="H943" t="s">
        <v>4470</v>
      </c>
      <c r="I943">
        <v>0.15</v>
      </c>
      <c r="J943">
        <v>0.17000000178813929</v>
      </c>
      <c r="O943">
        <v>583</v>
      </c>
      <c r="P943">
        <v>29</v>
      </c>
      <c r="Q943">
        <v>8166</v>
      </c>
      <c r="R943">
        <v>2922</v>
      </c>
      <c r="Y943">
        <v>1949</v>
      </c>
    </row>
    <row r="944" spans="1:102" x14ac:dyDescent="0.3">
      <c r="A944">
        <v>428</v>
      </c>
      <c r="B944" t="s">
        <v>2219</v>
      </c>
      <c r="C944" t="s">
        <v>251</v>
      </c>
      <c r="D944" t="s">
        <v>39</v>
      </c>
      <c r="E944" t="s">
        <v>56</v>
      </c>
      <c r="F944" s="30">
        <v>45291</v>
      </c>
      <c r="G944" t="s">
        <v>2221</v>
      </c>
      <c r="H944" t="s">
        <v>4470</v>
      </c>
      <c r="I944">
        <v>25</v>
      </c>
      <c r="J944">
        <v>24.75</v>
      </c>
      <c r="O944">
        <v>583</v>
      </c>
      <c r="P944">
        <v>29</v>
      </c>
      <c r="Q944">
        <v>8166</v>
      </c>
      <c r="R944">
        <v>2922</v>
      </c>
      <c r="W944">
        <v>289560</v>
      </c>
    </row>
    <row r="945" spans="1:74" x14ac:dyDescent="0.3">
      <c r="A945">
        <v>428</v>
      </c>
      <c r="B945" t="s">
        <v>2219</v>
      </c>
      <c r="C945" t="s">
        <v>251</v>
      </c>
      <c r="D945" t="s">
        <v>39</v>
      </c>
      <c r="E945" t="s">
        <v>56</v>
      </c>
      <c r="F945" s="30">
        <v>45291</v>
      </c>
      <c r="G945" t="s">
        <v>2221</v>
      </c>
      <c r="H945" t="s">
        <v>4477</v>
      </c>
      <c r="I945">
        <v>1</v>
      </c>
      <c r="J945">
        <v>0</v>
      </c>
      <c r="O945">
        <v>0</v>
      </c>
      <c r="P945">
        <v>0</v>
      </c>
      <c r="Q945">
        <v>0</v>
      </c>
      <c r="R945">
        <v>0</v>
      </c>
      <c r="W945">
        <v>0</v>
      </c>
    </row>
    <row r="946" spans="1:74" x14ac:dyDescent="0.3">
      <c r="A946">
        <v>428</v>
      </c>
      <c r="B946" t="s">
        <v>2219</v>
      </c>
      <c r="C946" t="s">
        <v>251</v>
      </c>
      <c r="D946" t="s">
        <v>39</v>
      </c>
      <c r="E946" t="s">
        <v>56</v>
      </c>
      <c r="F946" s="30">
        <v>45291</v>
      </c>
      <c r="G946" t="s">
        <v>2221</v>
      </c>
      <c r="H946" t="s">
        <v>4469</v>
      </c>
      <c r="I946">
        <v>11</v>
      </c>
      <c r="J946">
        <v>7.4499998092651367</v>
      </c>
      <c r="O946">
        <v>312</v>
      </c>
      <c r="P946">
        <v>867</v>
      </c>
      <c r="Q946">
        <v>9662</v>
      </c>
      <c r="R946">
        <v>171</v>
      </c>
      <c r="W946">
        <v>82051.05</v>
      </c>
    </row>
    <row r="947" spans="1:74" x14ac:dyDescent="0.3">
      <c r="A947">
        <v>428</v>
      </c>
      <c r="B947" t="s">
        <v>2219</v>
      </c>
      <c r="C947" t="s">
        <v>251</v>
      </c>
      <c r="D947" t="s">
        <v>39</v>
      </c>
      <c r="E947" t="s">
        <v>56</v>
      </c>
      <c r="F947" s="30">
        <v>45291</v>
      </c>
      <c r="G947" t="s">
        <v>2221</v>
      </c>
      <c r="H947" t="s">
        <v>4476</v>
      </c>
      <c r="I947">
        <v>7</v>
      </c>
      <c r="O947">
        <v>0</v>
      </c>
      <c r="P947">
        <v>0</v>
      </c>
      <c r="Q947">
        <v>0</v>
      </c>
      <c r="R947">
        <v>0</v>
      </c>
      <c r="W947">
        <v>24000</v>
      </c>
    </row>
    <row r="948" spans="1:74" x14ac:dyDescent="0.3">
      <c r="A948">
        <v>428</v>
      </c>
      <c r="B948" t="s">
        <v>2219</v>
      </c>
      <c r="C948" t="s">
        <v>251</v>
      </c>
      <c r="D948" t="s">
        <v>39</v>
      </c>
      <c r="E948" t="s">
        <v>56</v>
      </c>
      <c r="F948" s="30">
        <v>45291</v>
      </c>
      <c r="G948" t="s">
        <v>2221</v>
      </c>
      <c r="H948" t="s">
        <v>4478</v>
      </c>
      <c r="I948">
        <v>1</v>
      </c>
      <c r="J948">
        <v>0</v>
      </c>
      <c r="O948">
        <v>0</v>
      </c>
      <c r="P948">
        <v>0</v>
      </c>
      <c r="Q948">
        <v>0</v>
      </c>
      <c r="R948">
        <v>0</v>
      </c>
      <c r="W948">
        <v>0</v>
      </c>
    </row>
    <row r="949" spans="1:74" x14ac:dyDescent="0.3">
      <c r="A949">
        <v>428</v>
      </c>
      <c r="B949" t="s">
        <v>2219</v>
      </c>
      <c r="C949" t="s">
        <v>251</v>
      </c>
      <c r="D949" t="s">
        <v>39</v>
      </c>
      <c r="E949" t="s">
        <v>56</v>
      </c>
      <c r="F949" s="30">
        <v>45291</v>
      </c>
      <c r="G949" t="s">
        <v>2221</v>
      </c>
      <c r="H949" t="s">
        <v>4468</v>
      </c>
      <c r="I949">
        <v>22</v>
      </c>
      <c r="J949">
        <v>21.440000534057621</v>
      </c>
      <c r="O949">
        <v>1859</v>
      </c>
      <c r="P949">
        <v>3240</v>
      </c>
      <c r="Q949">
        <v>13146</v>
      </c>
      <c r="R949">
        <v>0</v>
      </c>
      <c r="W949">
        <v>391217</v>
      </c>
    </row>
    <row r="950" spans="1:74" x14ac:dyDescent="0.3">
      <c r="A950">
        <v>429</v>
      </c>
      <c r="B950" t="s">
        <v>2226</v>
      </c>
      <c r="C950" t="s">
        <v>251</v>
      </c>
      <c r="D950" t="s">
        <v>39</v>
      </c>
      <c r="E950" t="s">
        <v>56</v>
      </c>
      <c r="F950" s="30">
        <v>45291</v>
      </c>
      <c r="G950" t="s">
        <v>2228</v>
      </c>
      <c r="H950" t="s">
        <v>4469</v>
      </c>
      <c r="I950">
        <v>0.41</v>
      </c>
      <c r="J950">
        <v>0.40999999642372131</v>
      </c>
      <c r="O950">
        <v>312</v>
      </c>
      <c r="P950">
        <v>867</v>
      </c>
      <c r="Q950">
        <v>9662</v>
      </c>
      <c r="R950">
        <v>171</v>
      </c>
      <c r="AA950">
        <v>660.1</v>
      </c>
      <c r="AB950">
        <v>3809.56</v>
      </c>
    </row>
    <row r="951" spans="1:74" x14ac:dyDescent="0.3">
      <c r="A951">
        <v>429</v>
      </c>
      <c r="B951" t="s">
        <v>2226</v>
      </c>
      <c r="C951" t="s">
        <v>251</v>
      </c>
      <c r="D951" t="s">
        <v>39</v>
      </c>
      <c r="E951" t="s">
        <v>56</v>
      </c>
      <c r="F951" s="30">
        <v>45291</v>
      </c>
      <c r="G951" t="s">
        <v>2228</v>
      </c>
      <c r="H951" t="s">
        <v>4468</v>
      </c>
      <c r="I951">
        <v>0.4</v>
      </c>
      <c r="J951">
        <v>1.2100000381469731</v>
      </c>
      <c r="O951">
        <v>1859</v>
      </c>
      <c r="P951">
        <v>3240</v>
      </c>
      <c r="Q951">
        <v>13146</v>
      </c>
      <c r="R951">
        <v>0</v>
      </c>
      <c r="AA951">
        <v>5707</v>
      </c>
      <c r="AB951">
        <v>16387.7</v>
      </c>
    </row>
    <row r="952" spans="1:74" x14ac:dyDescent="0.3">
      <c r="A952">
        <v>429</v>
      </c>
      <c r="B952" t="s">
        <v>2226</v>
      </c>
      <c r="C952" t="s">
        <v>251</v>
      </c>
      <c r="D952" t="s">
        <v>39</v>
      </c>
      <c r="E952" t="s">
        <v>56</v>
      </c>
      <c r="F952" s="30">
        <v>45291</v>
      </c>
      <c r="G952" t="s">
        <v>2228</v>
      </c>
      <c r="H952" t="s">
        <v>4470</v>
      </c>
      <c r="I952">
        <v>0.38</v>
      </c>
      <c r="J952">
        <v>0.37999999523162842</v>
      </c>
      <c r="O952">
        <v>583</v>
      </c>
      <c r="P952">
        <v>29</v>
      </c>
      <c r="Q952">
        <v>8166</v>
      </c>
      <c r="R952">
        <v>2922</v>
      </c>
      <c r="AA952">
        <v>148.19999999999999</v>
      </c>
      <c r="AB952">
        <v>4290.49</v>
      </c>
    </row>
    <row r="953" spans="1:74" x14ac:dyDescent="0.3">
      <c r="A953">
        <v>430</v>
      </c>
      <c r="B953" t="s">
        <v>2233</v>
      </c>
      <c r="C953" t="s">
        <v>210</v>
      </c>
      <c r="D953" t="s">
        <v>39</v>
      </c>
      <c r="E953" t="s">
        <v>22</v>
      </c>
      <c r="F953" s="30">
        <v>45291</v>
      </c>
      <c r="G953" t="s">
        <v>2235</v>
      </c>
      <c r="H953" t="s">
        <v>4529</v>
      </c>
      <c r="I953">
        <v>95</v>
      </c>
      <c r="J953">
        <v>109.98000335693359</v>
      </c>
      <c r="BT953">
        <v>11507768822</v>
      </c>
      <c r="BU953">
        <v>12656378158</v>
      </c>
    </row>
    <row r="954" spans="1:74" x14ac:dyDescent="0.3">
      <c r="A954">
        <v>430</v>
      </c>
      <c r="B954" t="s">
        <v>2233</v>
      </c>
      <c r="C954" t="s">
        <v>210</v>
      </c>
      <c r="D954" t="s">
        <v>39</v>
      </c>
      <c r="E954" t="s">
        <v>22</v>
      </c>
      <c r="F954" s="30">
        <v>45291</v>
      </c>
      <c r="G954" t="s">
        <v>2235</v>
      </c>
      <c r="H954" t="s">
        <v>4530</v>
      </c>
      <c r="I954">
        <v>95</v>
      </c>
      <c r="J954">
        <v>101.48000335693359</v>
      </c>
      <c r="BT954">
        <v>37876348281</v>
      </c>
      <c r="BU954">
        <v>38438253894</v>
      </c>
    </row>
    <row r="955" spans="1:74" x14ac:dyDescent="0.3">
      <c r="A955">
        <v>430</v>
      </c>
      <c r="B955" t="s">
        <v>2233</v>
      </c>
      <c r="C955" t="s">
        <v>210</v>
      </c>
      <c r="D955" t="s">
        <v>39</v>
      </c>
      <c r="E955" t="s">
        <v>22</v>
      </c>
      <c r="F955" s="30">
        <v>45291</v>
      </c>
      <c r="G955" t="s">
        <v>2235</v>
      </c>
      <c r="H955" t="s">
        <v>4531</v>
      </c>
      <c r="I955">
        <v>95</v>
      </c>
      <c r="J955">
        <v>99.629997253417969</v>
      </c>
      <c r="BT955">
        <v>56061657202</v>
      </c>
      <c r="BU955">
        <v>55854538738</v>
      </c>
    </row>
    <row r="956" spans="1:74" x14ac:dyDescent="0.3">
      <c r="A956">
        <v>430</v>
      </c>
      <c r="B956" t="s">
        <v>2233</v>
      </c>
      <c r="C956" t="s">
        <v>210</v>
      </c>
      <c r="D956" t="s">
        <v>39</v>
      </c>
      <c r="E956" t="s">
        <v>22</v>
      </c>
      <c r="F956" s="30">
        <v>45291</v>
      </c>
      <c r="G956" t="s">
        <v>2235</v>
      </c>
      <c r="H956" t="s">
        <v>4532</v>
      </c>
      <c r="I956">
        <v>95</v>
      </c>
      <c r="J956">
        <v>101.370002746582</v>
      </c>
      <c r="BT956">
        <v>134786157549</v>
      </c>
      <c r="BU956">
        <v>136634629428</v>
      </c>
    </row>
    <row r="957" spans="1:74" x14ac:dyDescent="0.3">
      <c r="A957">
        <v>433</v>
      </c>
      <c r="B957" t="s">
        <v>2260</v>
      </c>
      <c r="C957" t="s">
        <v>251</v>
      </c>
      <c r="D957" t="s">
        <v>39</v>
      </c>
      <c r="E957" t="s">
        <v>56</v>
      </c>
      <c r="F957" s="30">
        <v>45291</v>
      </c>
      <c r="G957" t="s">
        <v>2262</v>
      </c>
      <c r="H957" t="s">
        <v>4469</v>
      </c>
      <c r="I957">
        <v>0.05</v>
      </c>
      <c r="J957">
        <v>9.9999997764825821E-3</v>
      </c>
      <c r="O957">
        <v>312</v>
      </c>
      <c r="P957">
        <v>867</v>
      </c>
      <c r="Q957">
        <v>9662</v>
      </c>
      <c r="R957">
        <v>171</v>
      </c>
      <c r="BV957">
        <v>91</v>
      </c>
    </row>
    <row r="958" spans="1:74" x14ac:dyDescent="0.3">
      <c r="A958">
        <v>433</v>
      </c>
      <c r="B958" t="s">
        <v>2260</v>
      </c>
      <c r="C958" t="s">
        <v>251</v>
      </c>
      <c r="D958" t="s">
        <v>39</v>
      </c>
      <c r="E958" t="s">
        <v>56</v>
      </c>
      <c r="F958" s="30">
        <v>45291</v>
      </c>
      <c r="G958" t="s">
        <v>2262</v>
      </c>
      <c r="H958" t="s">
        <v>4470</v>
      </c>
      <c r="I958">
        <v>0.05</v>
      </c>
      <c r="J958">
        <v>5.000000074505806E-2</v>
      </c>
      <c r="O958">
        <v>583</v>
      </c>
      <c r="P958">
        <v>29</v>
      </c>
      <c r="Q958">
        <v>8166</v>
      </c>
      <c r="R958">
        <v>2922</v>
      </c>
      <c r="BV958">
        <v>619.71</v>
      </c>
    </row>
    <row r="959" spans="1:74" x14ac:dyDescent="0.3">
      <c r="A959">
        <v>433</v>
      </c>
      <c r="B959" t="s">
        <v>2260</v>
      </c>
      <c r="C959" t="s">
        <v>251</v>
      </c>
      <c r="D959" t="s">
        <v>39</v>
      </c>
      <c r="E959" t="s">
        <v>56</v>
      </c>
      <c r="F959" s="30">
        <v>45291</v>
      </c>
      <c r="G959" t="s">
        <v>2262</v>
      </c>
      <c r="H959" t="s">
        <v>4476</v>
      </c>
      <c r="I959">
        <v>0.05</v>
      </c>
      <c r="O959">
        <v>0</v>
      </c>
      <c r="P959">
        <v>0</v>
      </c>
      <c r="Q959">
        <v>0</v>
      </c>
      <c r="R959">
        <v>0</v>
      </c>
      <c r="BV959">
        <v>1</v>
      </c>
    </row>
    <row r="960" spans="1:74" x14ac:dyDescent="0.3">
      <c r="A960">
        <v>433</v>
      </c>
      <c r="B960" t="s">
        <v>2260</v>
      </c>
      <c r="C960" t="s">
        <v>251</v>
      </c>
      <c r="D960" t="s">
        <v>39</v>
      </c>
      <c r="E960" t="s">
        <v>56</v>
      </c>
      <c r="F960" s="30">
        <v>45291</v>
      </c>
      <c r="G960" t="s">
        <v>2262</v>
      </c>
      <c r="H960" t="s">
        <v>4468</v>
      </c>
      <c r="I960">
        <v>0.05</v>
      </c>
      <c r="J960">
        <v>9.0000003576278687E-2</v>
      </c>
      <c r="O960">
        <v>1859</v>
      </c>
      <c r="P960">
        <v>3240</v>
      </c>
      <c r="Q960">
        <v>13146</v>
      </c>
      <c r="R960">
        <v>0</v>
      </c>
      <c r="BV960">
        <v>1564.22</v>
      </c>
    </row>
    <row r="961" spans="1:106" x14ac:dyDescent="0.3">
      <c r="A961">
        <v>435</v>
      </c>
      <c r="B961" t="s">
        <v>2304</v>
      </c>
      <c r="C961" t="s">
        <v>251</v>
      </c>
      <c r="D961" t="s">
        <v>39</v>
      </c>
      <c r="E961" t="s">
        <v>22</v>
      </c>
      <c r="F961" s="30">
        <v>45291</v>
      </c>
      <c r="G961" t="s">
        <v>2306</v>
      </c>
      <c r="H961" t="s">
        <v>4477</v>
      </c>
      <c r="I961">
        <v>100</v>
      </c>
      <c r="J961">
        <v>0</v>
      </c>
      <c r="BW961">
        <v>0</v>
      </c>
      <c r="BX961">
        <v>0</v>
      </c>
    </row>
    <row r="962" spans="1:106" x14ac:dyDescent="0.3">
      <c r="A962">
        <v>435</v>
      </c>
      <c r="B962" t="s">
        <v>2304</v>
      </c>
      <c r="C962" t="s">
        <v>251</v>
      </c>
      <c r="D962" t="s">
        <v>39</v>
      </c>
      <c r="E962" t="s">
        <v>22</v>
      </c>
      <c r="F962" s="30">
        <v>45291</v>
      </c>
      <c r="G962" t="s">
        <v>2306</v>
      </c>
      <c r="H962" t="s">
        <v>4476</v>
      </c>
      <c r="I962">
        <v>100</v>
      </c>
      <c r="J962">
        <v>0</v>
      </c>
      <c r="BW962">
        <v>0</v>
      </c>
      <c r="BX962">
        <v>0</v>
      </c>
    </row>
    <row r="963" spans="1:106" x14ac:dyDescent="0.3">
      <c r="A963">
        <v>435</v>
      </c>
      <c r="B963" t="s">
        <v>2304</v>
      </c>
      <c r="C963" t="s">
        <v>251</v>
      </c>
      <c r="D963" t="s">
        <v>39</v>
      </c>
      <c r="E963" t="s">
        <v>22</v>
      </c>
      <c r="F963" s="30">
        <v>45291</v>
      </c>
      <c r="G963" t="s">
        <v>2306</v>
      </c>
      <c r="H963" t="s">
        <v>4478</v>
      </c>
      <c r="I963">
        <v>100</v>
      </c>
      <c r="J963">
        <v>0</v>
      </c>
      <c r="BW963">
        <v>0</v>
      </c>
      <c r="BX963">
        <v>0</v>
      </c>
    </row>
    <row r="964" spans="1:106" x14ac:dyDescent="0.3">
      <c r="A964">
        <v>435</v>
      </c>
      <c r="B964" t="s">
        <v>2304</v>
      </c>
      <c r="C964" t="s">
        <v>251</v>
      </c>
      <c r="D964" t="s">
        <v>39</v>
      </c>
      <c r="E964" t="s">
        <v>22</v>
      </c>
      <c r="F964" s="30">
        <v>45291</v>
      </c>
      <c r="G964" t="s">
        <v>2306</v>
      </c>
      <c r="H964" t="s">
        <v>4468</v>
      </c>
      <c r="I964">
        <v>100</v>
      </c>
      <c r="J964">
        <v>-80</v>
      </c>
      <c r="BW964">
        <v>0.05</v>
      </c>
      <c r="BX964">
        <v>0.09</v>
      </c>
    </row>
    <row r="965" spans="1:106" x14ac:dyDescent="0.3">
      <c r="A965">
        <v>435</v>
      </c>
      <c r="B965" t="s">
        <v>2304</v>
      </c>
      <c r="C965" t="s">
        <v>251</v>
      </c>
      <c r="D965" t="s">
        <v>39</v>
      </c>
      <c r="E965" t="s">
        <v>22</v>
      </c>
      <c r="F965" s="30">
        <v>45291</v>
      </c>
      <c r="G965" t="s">
        <v>2306</v>
      </c>
      <c r="H965" t="s">
        <v>4469</v>
      </c>
      <c r="I965">
        <v>100</v>
      </c>
      <c r="J965">
        <v>-1011.109985351562</v>
      </c>
      <c r="BW965">
        <v>8.9999999999999998E-4</v>
      </c>
      <c r="BX965">
        <v>0.01</v>
      </c>
    </row>
    <row r="966" spans="1:106" x14ac:dyDescent="0.3">
      <c r="A966">
        <v>435</v>
      </c>
      <c r="B966" t="s">
        <v>2304</v>
      </c>
      <c r="C966" t="s">
        <v>251</v>
      </c>
      <c r="D966" t="s">
        <v>39</v>
      </c>
      <c r="E966" t="s">
        <v>22</v>
      </c>
      <c r="F966" s="30">
        <v>45291</v>
      </c>
      <c r="G966" t="s">
        <v>2306</v>
      </c>
      <c r="H966" t="s">
        <v>4470</v>
      </c>
      <c r="I966">
        <v>100</v>
      </c>
      <c r="J966">
        <v>-150</v>
      </c>
      <c r="BW966">
        <v>0.02</v>
      </c>
      <c r="BX966">
        <v>0.05</v>
      </c>
    </row>
    <row r="967" spans="1:106" x14ac:dyDescent="0.3">
      <c r="A967">
        <v>439</v>
      </c>
      <c r="B967" t="s">
        <v>2354</v>
      </c>
      <c r="C967" t="s">
        <v>1801</v>
      </c>
      <c r="D967" t="s">
        <v>39</v>
      </c>
      <c r="E967" t="s">
        <v>22</v>
      </c>
      <c r="F967" s="30">
        <v>45291</v>
      </c>
      <c r="G967" t="s">
        <v>2356</v>
      </c>
      <c r="H967" t="s">
        <v>4499</v>
      </c>
      <c r="I967">
        <v>100</v>
      </c>
      <c r="J967">
        <v>100</v>
      </c>
      <c r="CY967">
        <v>692</v>
      </c>
      <c r="CZ967">
        <v>692</v>
      </c>
    </row>
    <row r="968" spans="1:106" x14ac:dyDescent="0.3">
      <c r="A968">
        <v>439</v>
      </c>
      <c r="B968" t="s">
        <v>2354</v>
      </c>
      <c r="C968" t="s">
        <v>1801</v>
      </c>
      <c r="D968" t="s">
        <v>39</v>
      </c>
      <c r="E968" t="s">
        <v>22</v>
      </c>
      <c r="F968" s="30">
        <v>45291</v>
      </c>
      <c r="G968" t="s">
        <v>2356</v>
      </c>
      <c r="H968" t="s">
        <v>4500</v>
      </c>
      <c r="I968">
        <v>100</v>
      </c>
      <c r="J968">
        <v>100</v>
      </c>
      <c r="CY968">
        <v>223</v>
      </c>
      <c r="CZ968">
        <v>223</v>
      </c>
    </row>
    <row r="969" spans="1:106" x14ac:dyDescent="0.3">
      <c r="A969">
        <v>440</v>
      </c>
      <c r="B969" t="s">
        <v>2361</v>
      </c>
      <c r="C969" t="s">
        <v>1801</v>
      </c>
      <c r="D969" t="s">
        <v>39</v>
      </c>
      <c r="E969" t="s">
        <v>22</v>
      </c>
      <c r="F969" s="30">
        <v>45291</v>
      </c>
      <c r="G969" t="s">
        <v>2363</v>
      </c>
      <c r="H969" t="s">
        <v>4499</v>
      </c>
      <c r="I969">
        <v>98</v>
      </c>
      <c r="J969">
        <v>97.660003662109375</v>
      </c>
      <c r="DA969">
        <v>39580</v>
      </c>
      <c r="DB969">
        <v>40528</v>
      </c>
    </row>
    <row r="970" spans="1:106" x14ac:dyDescent="0.3">
      <c r="A970">
        <v>440</v>
      </c>
      <c r="B970" t="s">
        <v>2361</v>
      </c>
      <c r="C970" t="s">
        <v>1801</v>
      </c>
      <c r="D970" t="s">
        <v>39</v>
      </c>
      <c r="E970" t="s">
        <v>22</v>
      </c>
      <c r="F970" s="30">
        <v>45291</v>
      </c>
      <c r="G970" t="s">
        <v>2363</v>
      </c>
      <c r="H970" t="s">
        <v>4500</v>
      </c>
      <c r="I970">
        <v>98</v>
      </c>
      <c r="J970">
        <v>98.989997863769531</v>
      </c>
      <c r="DA970">
        <v>2746</v>
      </c>
      <c r="DB970">
        <v>2774</v>
      </c>
    </row>
    <row r="971" spans="1:106" x14ac:dyDescent="0.3">
      <c r="A971">
        <v>213</v>
      </c>
      <c r="B971" t="s">
        <v>757</v>
      </c>
      <c r="C971" t="s">
        <v>251</v>
      </c>
      <c r="D971" t="s">
        <v>21</v>
      </c>
      <c r="E971" t="s">
        <v>22</v>
      </c>
      <c r="F971" s="30">
        <v>45291</v>
      </c>
      <c r="G971" t="s">
        <v>765</v>
      </c>
      <c r="H971" t="s">
        <v>4487</v>
      </c>
      <c r="I971">
        <v>90</v>
      </c>
      <c r="J971">
        <v>100</v>
      </c>
      <c r="AW971">
        <v>66</v>
      </c>
      <c r="AX971">
        <v>66</v>
      </c>
    </row>
    <row r="972" spans="1:106" x14ac:dyDescent="0.3">
      <c r="A972">
        <v>213</v>
      </c>
      <c r="B972" t="s">
        <v>757</v>
      </c>
      <c r="C972" t="s">
        <v>251</v>
      </c>
      <c r="D972" t="s">
        <v>21</v>
      </c>
      <c r="E972" t="s">
        <v>22</v>
      </c>
      <c r="F972" s="30">
        <v>45291</v>
      </c>
      <c r="G972" t="s">
        <v>765</v>
      </c>
      <c r="H972" t="s">
        <v>4482</v>
      </c>
      <c r="I972">
        <v>90</v>
      </c>
      <c r="J972">
        <v>100</v>
      </c>
      <c r="AW972">
        <v>9</v>
      </c>
      <c r="AX972">
        <v>9</v>
      </c>
    </row>
    <row r="973" spans="1:106" x14ac:dyDescent="0.3">
      <c r="A973">
        <v>213</v>
      </c>
      <c r="B973" t="s">
        <v>757</v>
      </c>
      <c r="C973" t="s">
        <v>251</v>
      </c>
      <c r="D973" t="s">
        <v>21</v>
      </c>
      <c r="E973" t="s">
        <v>22</v>
      </c>
      <c r="F973" s="30">
        <v>45291</v>
      </c>
      <c r="G973" t="s">
        <v>765</v>
      </c>
      <c r="H973" t="s">
        <v>4483</v>
      </c>
      <c r="I973">
        <v>90</v>
      </c>
      <c r="J973">
        <v>100</v>
      </c>
      <c r="AW973">
        <v>16</v>
      </c>
      <c r="AX973">
        <v>16</v>
      </c>
    </row>
    <row r="974" spans="1:106" x14ac:dyDescent="0.3">
      <c r="A974">
        <v>213</v>
      </c>
      <c r="B974" t="s">
        <v>757</v>
      </c>
      <c r="C974" t="s">
        <v>251</v>
      </c>
      <c r="D974" t="s">
        <v>21</v>
      </c>
      <c r="E974" t="s">
        <v>22</v>
      </c>
      <c r="F974" s="30">
        <v>45291</v>
      </c>
      <c r="G974" t="s">
        <v>765</v>
      </c>
      <c r="H974" t="s">
        <v>4484</v>
      </c>
      <c r="I974">
        <v>90</v>
      </c>
      <c r="J974">
        <v>100</v>
      </c>
      <c r="AW974">
        <v>3</v>
      </c>
      <c r="AX974">
        <v>3</v>
      </c>
    </row>
    <row r="975" spans="1:106" x14ac:dyDescent="0.3">
      <c r="A975">
        <v>213</v>
      </c>
      <c r="B975" t="s">
        <v>757</v>
      </c>
      <c r="C975" t="s">
        <v>251</v>
      </c>
      <c r="D975" t="s">
        <v>21</v>
      </c>
      <c r="E975" t="s">
        <v>22</v>
      </c>
      <c r="F975" s="30">
        <v>45291</v>
      </c>
      <c r="G975" t="s">
        <v>765</v>
      </c>
      <c r="H975" t="s">
        <v>4533</v>
      </c>
      <c r="I975">
        <v>90</v>
      </c>
      <c r="J975">
        <v>100</v>
      </c>
      <c r="AW975">
        <v>3</v>
      </c>
      <c r="AX975">
        <v>3</v>
      </c>
    </row>
    <row r="976" spans="1:106" x14ac:dyDescent="0.3">
      <c r="A976">
        <v>213</v>
      </c>
      <c r="B976" t="s">
        <v>757</v>
      </c>
      <c r="C976" t="s">
        <v>251</v>
      </c>
      <c r="D976" t="s">
        <v>21</v>
      </c>
      <c r="E976" t="s">
        <v>22</v>
      </c>
      <c r="F976" s="30">
        <v>45291</v>
      </c>
      <c r="G976" t="s">
        <v>765</v>
      </c>
      <c r="H976" t="s">
        <v>4534</v>
      </c>
      <c r="I976">
        <v>90</v>
      </c>
      <c r="J976">
        <v>100</v>
      </c>
      <c r="AW976">
        <v>3</v>
      </c>
      <c r="AX976">
        <v>3</v>
      </c>
    </row>
    <row r="977" spans="1:79" x14ac:dyDescent="0.3">
      <c r="A977">
        <v>213</v>
      </c>
      <c r="B977" t="s">
        <v>757</v>
      </c>
      <c r="C977" t="s">
        <v>251</v>
      </c>
      <c r="D977" t="s">
        <v>21</v>
      </c>
      <c r="E977" t="s">
        <v>22</v>
      </c>
      <c r="F977" s="30">
        <v>45291</v>
      </c>
      <c r="G977" t="s">
        <v>765</v>
      </c>
      <c r="H977" t="s">
        <v>4485</v>
      </c>
      <c r="I977">
        <v>90</v>
      </c>
      <c r="J977">
        <v>100</v>
      </c>
      <c r="AW977">
        <v>25</v>
      </c>
      <c r="AX977">
        <v>25</v>
      </c>
    </row>
    <row r="978" spans="1:79" x14ac:dyDescent="0.3">
      <c r="A978">
        <v>213</v>
      </c>
      <c r="B978" t="s">
        <v>757</v>
      </c>
      <c r="C978" t="s">
        <v>251</v>
      </c>
      <c r="D978" t="s">
        <v>21</v>
      </c>
      <c r="E978" t="s">
        <v>22</v>
      </c>
      <c r="F978" s="30">
        <v>45291</v>
      </c>
      <c r="G978" t="s">
        <v>765</v>
      </c>
      <c r="H978" t="s">
        <v>4486</v>
      </c>
      <c r="I978">
        <v>90</v>
      </c>
      <c r="J978">
        <v>100</v>
      </c>
      <c r="AW978">
        <v>19</v>
      </c>
      <c r="AX978">
        <v>19</v>
      </c>
    </row>
    <row r="979" spans="1:79" x14ac:dyDescent="0.3">
      <c r="A979">
        <v>238</v>
      </c>
      <c r="B979" t="s">
        <v>1077</v>
      </c>
      <c r="C979" t="s">
        <v>251</v>
      </c>
      <c r="D979" t="s">
        <v>21</v>
      </c>
      <c r="E979" t="s">
        <v>22</v>
      </c>
      <c r="F979" s="30">
        <v>45291</v>
      </c>
      <c r="G979" t="s">
        <v>1086</v>
      </c>
      <c r="H979" t="s">
        <v>4488</v>
      </c>
      <c r="I979">
        <v>90</v>
      </c>
      <c r="J979">
        <v>100</v>
      </c>
      <c r="AY979">
        <v>1</v>
      </c>
      <c r="AZ979">
        <v>1</v>
      </c>
    </row>
    <row r="980" spans="1:79" x14ac:dyDescent="0.3">
      <c r="A980">
        <v>238</v>
      </c>
      <c r="B980" t="s">
        <v>1077</v>
      </c>
      <c r="C980" t="s">
        <v>251</v>
      </c>
      <c r="D980" t="s">
        <v>21</v>
      </c>
      <c r="E980" t="s">
        <v>22</v>
      </c>
      <c r="F980" s="30">
        <v>45291</v>
      </c>
      <c r="G980" t="s">
        <v>1086</v>
      </c>
      <c r="H980" t="s">
        <v>4489</v>
      </c>
      <c r="I980">
        <v>90</v>
      </c>
      <c r="J980">
        <v>64.290000915527344</v>
      </c>
      <c r="AY980">
        <v>9</v>
      </c>
      <c r="AZ980">
        <v>14</v>
      </c>
    </row>
    <row r="981" spans="1:79" x14ac:dyDescent="0.3">
      <c r="A981">
        <v>238</v>
      </c>
      <c r="B981" t="s">
        <v>1077</v>
      </c>
      <c r="C981" t="s">
        <v>251</v>
      </c>
      <c r="D981" t="s">
        <v>21</v>
      </c>
      <c r="E981" t="s">
        <v>22</v>
      </c>
      <c r="F981" s="30">
        <v>45291</v>
      </c>
      <c r="G981" t="s">
        <v>1086</v>
      </c>
      <c r="H981" t="s">
        <v>4490</v>
      </c>
      <c r="I981">
        <v>90</v>
      </c>
      <c r="J981">
        <v>80</v>
      </c>
      <c r="AY981">
        <v>4</v>
      </c>
      <c r="AZ981">
        <v>5</v>
      </c>
    </row>
    <row r="982" spans="1:79" x14ac:dyDescent="0.3">
      <c r="A982">
        <v>238</v>
      </c>
      <c r="B982" t="s">
        <v>1077</v>
      </c>
      <c r="C982" t="s">
        <v>251</v>
      </c>
      <c r="D982" t="s">
        <v>21</v>
      </c>
      <c r="E982" t="s">
        <v>22</v>
      </c>
      <c r="F982" s="30">
        <v>45291</v>
      </c>
      <c r="G982" t="s">
        <v>1086</v>
      </c>
      <c r="H982" t="s">
        <v>4491</v>
      </c>
      <c r="I982">
        <v>90</v>
      </c>
      <c r="J982">
        <v>71.430000305175781</v>
      </c>
      <c r="AY982">
        <v>5</v>
      </c>
      <c r="AZ982">
        <v>7</v>
      </c>
    </row>
    <row r="983" spans="1:79" x14ac:dyDescent="0.3">
      <c r="A983">
        <v>238</v>
      </c>
      <c r="B983" t="s">
        <v>1077</v>
      </c>
      <c r="C983" t="s">
        <v>251</v>
      </c>
      <c r="D983" t="s">
        <v>21</v>
      </c>
      <c r="E983" t="s">
        <v>22</v>
      </c>
      <c r="F983" s="30">
        <v>45291</v>
      </c>
      <c r="G983" t="s">
        <v>1086</v>
      </c>
      <c r="H983" t="s">
        <v>4535</v>
      </c>
      <c r="I983">
        <v>90</v>
      </c>
      <c r="J983">
        <v>50</v>
      </c>
      <c r="AY983">
        <v>1</v>
      </c>
      <c r="AZ983">
        <v>2</v>
      </c>
    </row>
    <row r="984" spans="1:79" x14ac:dyDescent="0.3">
      <c r="A984">
        <v>238</v>
      </c>
      <c r="B984" t="s">
        <v>1077</v>
      </c>
      <c r="C984" t="s">
        <v>251</v>
      </c>
      <c r="D984" t="s">
        <v>21</v>
      </c>
      <c r="E984" t="s">
        <v>22</v>
      </c>
      <c r="F984" s="30">
        <v>45291</v>
      </c>
      <c r="G984" t="s">
        <v>1086</v>
      </c>
      <c r="H984" t="s">
        <v>4492</v>
      </c>
      <c r="I984">
        <v>90</v>
      </c>
      <c r="J984">
        <v>100</v>
      </c>
      <c r="AY984">
        <v>3</v>
      </c>
      <c r="AZ984">
        <v>3</v>
      </c>
    </row>
    <row r="985" spans="1:79" x14ac:dyDescent="0.3">
      <c r="A985">
        <v>238</v>
      </c>
      <c r="B985" t="s">
        <v>1077</v>
      </c>
      <c r="C985" t="s">
        <v>251</v>
      </c>
      <c r="D985" t="s">
        <v>21</v>
      </c>
      <c r="E985" t="s">
        <v>22</v>
      </c>
      <c r="F985" s="30">
        <v>45291</v>
      </c>
      <c r="G985" t="s">
        <v>1086</v>
      </c>
      <c r="H985" t="s">
        <v>4536</v>
      </c>
      <c r="I985">
        <v>90</v>
      </c>
      <c r="J985">
        <v>100</v>
      </c>
      <c r="AY985">
        <v>3</v>
      </c>
      <c r="AZ985">
        <v>3</v>
      </c>
    </row>
    <row r="986" spans="1:79" x14ac:dyDescent="0.3">
      <c r="A986">
        <v>238</v>
      </c>
      <c r="B986" t="s">
        <v>1077</v>
      </c>
      <c r="C986" t="s">
        <v>251</v>
      </c>
      <c r="D986" t="s">
        <v>21</v>
      </c>
      <c r="E986" t="s">
        <v>22</v>
      </c>
      <c r="F986" s="30">
        <v>45291</v>
      </c>
      <c r="G986" t="s">
        <v>1086</v>
      </c>
      <c r="H986" t="s">
        <v>4493</v>
      </c>
      <c r="I986">
        <v>90</v>
      </c>
      <c r="J986">
        <v>80</v>
      </c>
      <c r="AY986">
        <v>4</v>
      </c>
      <c r="AZ986">
        <v>5</v>
      </c>
    </row>
    <row r="987" spans="1:79" x14ac:dyDescent="0.3">
      <c r="A987">
        <v>306</v>
      </c>
      <c r="B987" t="s">
        <v>1543</v>
      </c>
      <c r="C987" t="s">
        <v>1241</v>
      </c>
      <c r="D987" t="s">
        <v>21</v>
      </c>
      <c r="E987" t="s">
        <v>22</v>
      </c>
      <c r="F987" s="30">
        <v>45291</v>
      </c>
      <c r="G987" t="s">
        <v>1547</v>
      </c>
      <c r="H987" t="s">
        <v>4537</v>
      </c>
      <c r="I987">
        <v>100</v>
      </c>
      <c r="J987">
        <v>113</v>
      </c>
      <c r="BY987">
        <v>113</v>
      </c>
    </row>
    <row r="988" spans="1:79" x14ac:dyDescent="0.3">
      <c r="A988">
        <v>306</v>
      </c>
      <c r="B988" t="s">
        <v>1543</v>
      </c>
      <c r="C988" t="s">
        <v>1241</v>
      </c>
      <c r="D988" t="s">
        <v>21</v>
      </c>
      <c r="E988" t="s">
        <v>22</v>
      </c>
      <c r="F988" s="30">
        <v>45291</v>
      </c>
      <c r="G988" t="s">
        <v>1547</v>
      </c>
      <c r="H988" t="s">
        <v>4541</v>
      </c>
      <c r="I988">
        <v>100</v>
      </c>
      <c r="J988">
        <v>102</v>
      </c>
      <c r="BY988">
        <v>102</v>
      </c>
    </row>
    <row r="989" spans="1:79" x14ac:dyDescent="0.3">
      <c r="A989">
        <v>373</v>
      </c>
      <c r="B989" t="s">
        <v>1856</v>
      </c>
      <c r="C989" t="s">
        <v>1263</v>
      </c>
      <c r="D989" t="s">
        <v>21</v>
      </c>
      <c r="E989" t="s">
        <v>22</v>
      </c>
      <c r="F989" s="30">
        <v>45291</v>
      </c>
      <c r="G989" t="s">
        <v>1860</v>
      </c>
      <c r="H989" t="s">
        <v>4542</v>
      </c>
      <c r="I989">
        <v>100</v>
      </c>
      <c r="J989">
        <v>97</v>
      </c>
      <c r="BZ989">
        <v>97</v>
      </c>
      <c r="CA989">
        <v>100</v>
      </c>
    </row>
    <row r="990" spans="1:79" x14ac:dyDescent="0.3">
      <c r="A990">
        <v>373</v>
      </c>
      <c r="B990" t="s">
        <v>1856</v>
      </c>
      <c r="C990" t="s">
        <v>1263</v>
      </c>
      <c r="D990" t="s">
        <v>21</v>
      </c>
      <c r="E990" t="s">
        <v>22</v>
      </c>
      <c r="F990" s="30">
        <v>45291</v>
      </c>
      <c r="G990" t="s">
        <v>1860</v>
      </c>
      <c r="H990" t="s">
        <v>4541</v>
      </c>
      <c r="I990">
        <v>100</v>
      </c>
      <c r="J990">
        <v>98</v>
      </c>
      <c r="BZ990">
        <v>98</v>
      </c>
      <c r="CA990">
        <v>100</v>
      </c>
    </row>
    <row r="991" spans="1:79" x14ac:dyDescent="0.3">
      <c r="A991">
        <v>373</v>
      </c>
      <c r="B991" t="s">
        <v>1856</v>
      </c>
      <c r="C991" t="s">
        <v>1263</v>
      </c>
      <c r="D991" t="s">
        <v>21</v>
      </c>
      <c r="E991" t="s">
        <v>22</v>
      </c>
      <c r="F991" s="30">
        <v>45291</v>
      </c>
      <c r="G991" t="s">
        <v>1860</v>
      </c>
      <c r="H991" t="s">
        <v>4540</v>
      </c>
      <c r="I991">
        <v>100</v>
      </c>
      <c r="J991">
        <v>98</v>
      </c>
      <c r="BZ991">
        <v>98</v>
      </c>
      <c r="CA991">
        <v>100</v>
      </c>
    </row>
    <row r="992" spans="1:79" x14ac:dyDescent="0.3">
      <c r="A992">
        <v>373</v>
      </c>
      <c r="B992" t="s">
        <v>1856</v>
      </c>
      <c r="C992" t="s">
        <v>1263</v>
      </c>
      <c r="D992" t="s">
        <v>21</v>
      </c>
      <c r="E992" t="s">
        <v>22</v>
      </c>
      <c r="F992" s="30">
        <v>45291</v>
      </c>
      <c r="G992" t="s">
        <v>1860</v>
      </c>
      <c r="H992" t="s">
        <v>4539</v>
      </c>
      <c r="I992">
        <v>100</v>
      </c>
      <c r="J992">
        <v>95</v>
      </c>
      <c r="BZ992">
        <v>95</v>
      </c>
      <c r="CA992">
        <v>100</v>
      </c>
    </row>
    <row r="993" spans="1:96" x14ac:dyDescent="0.3">
      <c r="A993">
        <v>373</v>
      </c>
      <c r="B993" t="s">
        <v>1856</v>
      </c>
      <c r="C993" t="s">
        <v>1263</v>
      </c>
      <c r="D993" t="s">
        <v>21</v>
      </c>
      <c r="E993" t="s">
        <v>22</v>
      </c>
      <c r="F993" s="30">
        <v>45291</v>
      </c>
      <c r="G993" t="s">
        <v>1860</v>
      </c>
      <c r="H993" t="s">
        <v>4538</v>
      </c>
      <c r="I993">
        <v>100</v>
      </c>
      <c r="J993">
        <v>96</v>
      </c>
      <c r="BZ993">
        <v>96</v>
      </c>
      <c r="CA993">
        <v>100</v>
      </c>
    </row>
    <row r="994" spans="1:96" x14ac:dyDescent="0.3">
      <c r="A994">
        <v>373</v>
      </c>
      <c r="B994" t="s">
        <v>1856</v>
      </c>
      <c r="C994" t="s">
        <v>1263</v>
      </c>
      <c r="D994" t="s">
        <v>21</v>
      </c>
      <c r="E994" t="s">
        <v>22</v>
      </c>
      <c r="F994" s="30">
        <v>45291</v>
      </c>
      <c r="G994" t="s">
        <v>1860</v>
      </c>
      <c r="H994" t="s">
        <v>4537</v>
      </c>
      <c r="I994">
        <v>100</v>
      </c>
      <c r="J994">
        <v>99</v>
      </c>
      <c r="BZ994">
        <v>99</v>
      </c>
      <c r="CA994">
        <v>100</v>
      </c>
    </row>
    <row r="995" spans="1:96" x14ac:dyDescent="0.3">
      <c r="A995">
        <v>390</v>
      </c>
      <c r="B995" t="s">
        <v>1970</v>
      </c>
      <c r="C995" t="s">
        <v>1263</v>
      </c>
      <c r="D995" t="s">
        <v>21</v>
      </c>
      <c r="E995" t="s">
        <v>22</v>
      </c>
      <c r="F995" s="30">
        <v>45291</v>
      </c>
      <c r="G995" t="s">
        <v>1974</v>
      </c>
      <c r="H995" t="s">
        <v>4514</v>
      </c>
      <c r="I995">
        <v>100</v>
      </c>
      <c r="J995">
        <v>100</v>
      </c>
      <c r="CB995">
        <v>100</v>
      </c>
      <c r="CC995">
        <v>100</v>
      </c>
    </row>
    <row r="996" spans="1:96" x14ac:dyDescent="0.3">
      <c r="A996">
        <v>390</v>
      </c>
      <c r="B996" t="s">
        <v>1970</v>
      </c>
      <c r="C996" t="s">
        <v>1263</v>
      </c>
      <c r="D996" t="s">
        <v>21</v>
      </c>
      <c r="E996" t="s">
        <v>22</v>
      </c>
      <c r="F996" s="30">
        <v>45291</v>
      </c>
      <c r="G996" t="s">
        <v>1974</v>
      </c>
      <c r="H996" t="s">
        <v>4515</v>
      </c>
      <c r="I996">
        <v>100</v>
      </c>
      <c r="J996">
        <v>100</v>
      </c>
      <c r="CB996">
        <v>100</v>
      </c>
      <c r="CC996">
        <v>100</v>
      </c>
    </row>
    <row r="997" spans="1:96" x14ac:dyDescent="0.3">
      <c r="A997">
        <v>390</v>
      </c>
      <c r="B997" t="s">
        <v>1970</v>
      </c>
      <c r="C997" t="s">
        <v>1263</v>
      </c>
      <c r="D997" t="s">
        <v>21</v>
      </c>
      <c r="E997" t="s">
        <v>22</v>
      </c>
      <c r="F997" s="30">
        <v>45291</v>
      </c>
      <c r="G997" t="s">
        <v>1974</v>
      </c>
      <c r="H997" t="s">
        <v>4516</v>
      </c>
      <c r="I997">
        <v>100</v>
      </c>
      <c r="J997">
        <v>99.379997253417969</v>
      </c>
      <c r="CB997">
        <v>99.38</v>
      </c>
      <c r="CC997">
        <v>100</v>
      </c>
    </row>
    <row r="998" spans="1:96" x14ac:dyDescent="0.3">
      <c r="A998">
        <v>390</v>
      </c>
      <c r="B998" t="s">
        <v>1970</v>
      </c>
      <c r="C998" t="s">
        <v>1263</v>
      </c>
      <c r="D998" t="s">
        <v>21</v>
      </c>
      <c r="E998" t="s">
        <v>22</v>
      </c>
      <c r="F998" s="30">
        <v>45291</v>
      </c>
      <c r="G998" t="s">
        <v>1974</v>
      </c>
      <c r="H998" t="s">
        <v>4517</v>
      </c>
      <c r="I998">
        <v>100</v>
      </c>
      <c r="J998">
        <v>100</v>
      </c>
      <c r="CB998">
        <v>100</v>
      </c>
      <c r="CC998">
        <v>100</v>
      </c>
    </row>
    <row r="999" spans="1:96" x14ac:dyDescent="0.3">
      <c r="A999">
        <v>390</v>
      </c>
      <c r="B999" t="s">
        <v>1970</v>
      </c>
      <c r="C999" t="s">
        <v>1263</v>
      </c>
      <c r="D999" t="s">
        <v>21</v>
      </c>
      <c r="E999" t="s">
        <v>22</v>
      </c>
      <c r="F999" s="30">
        <v>45291</v>
      </c>
      <c r="G999" t="s">
        <v>1974</v>
      </c>
      <c r="H999" t="s">
        <v>4518</v>
      </c>
      <c r="I999">
        <v>100</v>
      </c>
      <c r="J999">
        <v>92.860000610351563</v>
      </c>
      <c r="CB999">
        <v>92.86</v>
      </c>
      <c r="CC999">
        <v>100</v>
      </c>
    </row>
    <row r="1000" spans="1:96" x14ac:dyDescent="0.3">
      <c r="A1000">
        <v>390</v>
      </c>
      <c r="B1000" t="s">
        <v>1970</v>
      </c>
      <c r="C1000" t="s">
        <v>1263</v>
      </c>
      <c r="D1000" t="s">
        <v>21</v>
      </c>
      <c r="E1000" t="s">
        <v>22</v>
      </c>
      <c r="F1000" s="30">
        <v>45291</v>
      </c>
      <c r="G1000" t="s">
        <v>1974</v>
      </c>
      <c r="H1000" t="s">
        <v>4519</v>
      </c>
      <c r="I1000">
        <v>100</v>
      </c>
      <c r="J1000">
        <v>100</v>
      </c>
      <c r="CB1000">
        <v>100</v>
      </c>
      <c r="CC1000">
        <v>100</v>
      </c>
    </row>
    <row r="1001" spans="1:96" x14ac:dyDescent="0.3">
      <c r="A1001">
        <v>390</v>
      </c>
      <c r="B1001" t="s">
        <v>1970</v>
      </c>
      <c r="C1001" t="s">
        <v>1263</v>
      </c>
      <c r="D1001" t="s">
        <v>21</v>
      </c>
      <c r="E1001" t="s">
        <v>22</v>
      </c>
      <c r="F1001" s="30">
        <v>45291</v>
      </c>
      <c r="G1001" t="s">
        <v>1974</v>
      </c>
      <c r="H1001" t="s">
        <v>4520</v>
      </c>
      <c r="I1001">
        <v>100</v>
      </c>
      <c r="J1001">
        <v>100</v>
      </c>
      <c r="CB1001">
        <v>100</v>
      </c>
      <c r="CC1001">
        <v>100</v>
      </c>
    </row>
    <row r="1002" spans="1:96" x14ac:dyDescent="0.3">
      <c r="A1002">
        <v>390</v>
      </c>
      <c r="B1002" t="s">
        <v>1970</v>
      </c>
      <c r="C1002" t="s">
        <v>1263</v>
      </c>
      <c r="D1002" t="s">
        <v>21</v>
      </c>
      <c r="E1002" t="s">
        <v>22</v>
      </c>
      <c r="F1002" s="30">
        <v>45291</v>
      </c>
      <c r="G1002" t="s">
        <v>1974</v>
      </c>
      <c r="H1002" t="s">
        <v>4521</v>
      </c>
      <c r="I1002">
        <v>100</v>
      </c>
      <c r="J1002">
        <v>100</v>
      </c>
      <c r="CB1002">
        <v>100</v>
      </c>
      <c r="CC1002">
        <v>100</v>
      </c>
    </row>
    <row r="1003" spans="1:96" x14ac:dyDescent="0.3">
      <c r="A1003">
        <v>390</v>
      </c>
      <c r="B1003" t="s">
        <v>1970</v>
      </c>
      <c r="C1003" t="s">
        <v>1263</v>
      </c>
      <c r="D1003" t="s">
        <v>21</v>
      </c>
      <c r="E1003" t="s">
        <v>22</v>
      </c>
      <c r="F1003" s="30">
        <v>45291</v>
      </c>
      <c r="G1003" t="s">
        <v>1974</v>
      </c>
      <c r="H1003" t="s">
        <v>4522</v>
      </c>
      <c r="I1003">
        <v>100</v>
      </c>
      <c r="J1003">
        <v>100</v>
      </c>
      <c r="CB1003">
        <v>100</v>
      </c>
      <c r="CC1003">
        <v>100</v>
      </c>
    </row>
    <row r="1004" spans="1:96" x14ac:dyDescent="0.3">
      <c r="A1004">
        <v>390</v>
      </c>
      <c r="B1004" t="s">
        <v>1970</v>
      </c>
      <c r="C1004" t="s">
        <v>1263</v>
      </c>
      <c r="D1004" t="s">
        <v>21</v>
      </c>
      <c r="E1004" t="s">
        <v>22</v>
      </c>
      <c r="F1004" s="30">
        <v>45291</v>
      </c>
      <c r="G1004" t="s">
        <v>1974</v>
      </c>
      <c r="H1004" t="s">
        <v>4523</v>
      </c>
      <c r="I1004">
        <v>100</v>
      </c>
      <c r="J1004">
        <v>100</v>
      </c>
      <c r="CB1004">
        <v>100</v>
      </c>
      <c r="CC1004">
        <v>100</v>
      </c>
    </row>
    <row r="1005" spans="1:96" x14ac:dyDescent="0.3">
      <c r="A1005">
        <v>390</v>
      </c>
      <c r="B1005" t="s">
        <v>1970</v>
      </c>
      <c r="C1005" t="s">
        <v>1263</v>
      </c>
      <c r="D1005" t="s">
        <v>21</v>
      </c>
      <c r="E1005" t="s">
        <v>22</v>
      </c>
      <c r="F1005" s="30">
        <v>45291</v>
      </c>
      <c r="G1005" t="s">
        <v>1974</v>
      </c>
      <c r="H1005" t="s">
        <v>4524</v>
      </c>
      <c r="I1005">
        <v>100</v>
      </c>
      <c r="J1005">
        <v>98.75</v>
      </c>
      <c r="CB1005">
        <v>98.75</v>
      </c>
      <c r="CC1005">
        <v>100</v>
      </c>
    </row>
    <row r="1006" spans="1:96" x14ac:dyDescent="0.3">
      <c r="A1006">
        <v>390</v>
      </c>
      <c r="B1006" t="s">
        <v>1970</v>
      </c>
      <c r="C1006" t="s">
        <v>1263</v>
      </c>
      <c r="D1006" t="s">
        <v>21</v>
      </c>
      <c r="E1006" t="s">
        <v>22</v>
      </c>
      <c r="F1006" s="30">
        <v>45291</v>
      </c>
      <c r="G1006" t="s">
        <v>1974</v>
      </c>
      <c r="H1006" t="s">
        <v>4525</v>
      </c>
      <c r="I1006">
        <v>100</v>
      </c>
      <c r="J1006">
        <v>100</v>
      </c>
      <c r="CB1006">
        <v>100</v>
      </c>
      <c r="CC1006">
        <v>100</v>
      </c>
    </row>
    <row r="1007" spans="1:96" x14ac:dyDescent="0.3">
      <c r="A1007">
        <v>409</v>
      </c>
      <c r="B1007" t="s">
        <v>2081</v>
      </c>
      <c r="C1007" t="s">
        <v>1303</v>
      </c>
      <c r="D1007" t="s">
        <v>21</v>
      </c>
      <c r="E1007" t="s">
        <v>22</v>
      </c>
      <c r="F1007" s="30">
        <v>45291</v>
      </c>
      <c r="G1007" t="s">
        <v>2085</v>
      </c>
      <c r="H1007" t="s">
        <v>4581</v>
      </c>
      <c r="I1007">
        <v>80</v>
      </c>
      <c r="J1007">
        <v>100</v>
      </c>
      <c r="CQ1007">
        <v>534</v>
      </c>
      <c r="CR1007">
        <v>534</v>
      </c>
    </row>
    <row r="1008" spans="1:96" x14ac:dyDescent="0.3">
      <c r="A1008">
        <v>409</v>
      </c>
      <c r="B1008" t="s">
        <v>2081</v>
      </c>
      <c r="C1008" t="s">
        <v>1303</v>
      </c>
      <c r="D1008" t="s">
        <v>21</v>
      </c>
      <c r="E1008" t="s">
        <v>22</v>
      </c>
      <c r="F1008" s="30">
        <v>45291</v>
      </c>
      <c r="G1008" t="s">
        <v>2085</v>
      </c>
      <c r="H1008" t="s">
        <v>4582</v>
      </c>
      <c r="I1008">
        <v>80</v>
      </c>
      <c r="J1008">
        <v>100</v>
      </c>
      <c r="CQ1008">
        <v>375</v>
      </c>
      <c r="CR1008">
        <v>375</v>
      </c>
    </row>
    <row r="1009" spans="1:85" x14ac:dyDescent="0.3">
      <c r="A1009">
        <v>414</v>
      </c>
      <c r="B1009" t="s">
        <v>2103</v>
      </c>
      <c r="C1009" t="s">
        <v>1263</v>
      </c>
      <c r="D1009" t="s">
        <v>21</v>
      </c>
      <c r="E1009" t="s">
        <v>22</v>
      </c>
      <c r="F1009" s="30">
        <v>45291</v>
      </c>
      <c r="G1009" t="s">
        <v>2107</v>
      </c>
      <c r="H1009" t="s">
        <v>4543</v>
      </c>
      <c r="I1009">
        <v>100</v>
      </c>
      <c r="J1009">
        <v>99.75</v>
      </c>
      <c r="CD1009">
        <v>99.75</v>
      </c>
      <c r="CE1009">
        <v>100</v>
      </c>
    </row>
    <row r="1010" spans="1:85" x14ac:dyDescent="0.3">
      <c r="A1010">
        <v>414</v>
      </c>
      <c r="B1010" t="s">
        <v>2103</v>
      </c>
      <c r="C1010" t="s">
        <v>1263</v>
      </c>
      <c r="D1010" t="s">
        <v>21</v>
      </c>
      <c r="E1010" t="s">
        <v>22</v>
      </c>
      <c r="F1010" s="30">
        <v>45291</v>
      </c>
      <c r="G1010" t="s">
        <v>2107</v>
      </c>
      <c r="H1010" t="s">
        <v>4546</v>
      </c>
      <c r="I1010">
        <v>100</v>
      </c>
      <c r="J1010">
        <v>98.75</v>
      </c>
      <c r="CD1010">
        <v>98.75</v>
      </c>
      <c r="CE1010">
        <v>100</v>
      </c>
    </row>
    <row r="1011" spans="1:85" x14ac:dyDescent="0.3">
      <c r="A1011">
        <v>414</v>
      </c>
      <c r="B1011" t="s">
        <v>2103</v>
      </c>
      <c r="C1011" t="s">
        <v>1263</v>
      </c>
      <c r="D1011" t="s">
        <v>21</v>
      </c>
      <c r="E1011" t="s">
        <v>22</v>
      </c>
      <c r="F1011" s="30">
        <v>45291</v>
      </c>
      <c r="G1011" t="s">
        <v>2107</v>
      </c>
      <c r="H1011" t="s">
        <v>4549</v>
      </c>
      <c r="I1011">
        <v>100</v>
      </c>
      <c r="J1011">
        <v>86.430000305175781</v>
      </c>
      <c r="CD1011">
        <v>86.43</v>
      </c>
      <c r="CE1011">
        <v>100</v>
      </c>
    </row>
    <row r="1012" spans="1:85" x14ac:dyDescent="0.3">
      <c r="A1012">
        <v>414</v>
      </c>
      <c r="B1012" t="s">
        <v>2103</v>
      </c>
      <c r="C1012" t="s">
        <v>1263</v>
      </c>
      <c r="D1012" t="s">
        <v>21</v>
      </c>
      <c r="E1012" t="s">
        <v>22</v>
      </c>
      <c r="F1012" s="30">
        <v>45291</v>
      </c>
      <c r="G1012" t="s">
        <v>2107</v>
      </c>
      <c r="H1012" t="s">
        <v>4547</v>
      </c>
      <c r="I1012">
        <v>100</v>
      </c>
      <c r="J1012">
        <v>100</v>
      </c>
      <c r="CD1012">
        <v>100</v>
      </c>
      <c r="CE1012">
        <v>100</v>
      </c>
    </row>
    <row r="1013" spans="1:85" x14ac:dyDescent="0.3">
      <c r="A1013">
        <v>414</v>
      </c>
      <c r="B1013" t="s">
        <v>2103</v>
      </c>
      <c r="C1013" t="s">
        <v>1263</v>
      </c>
      <c r="D1013" t="s">
        <v>21</v>
      </c>
      <c r="E1013" t="s">
        <v>22</v>
      </c>
      <c r="F1013" s="30">
        <v>45291</v>
      </c>
      <c r="G1013" t="s">
        <v>2107</v>
      </c>
      <c r="H1013" t="s">
        <v>4550</v>
      </c>
      <c r="I1013">
        <v>100</v>
      </c>
      <c r="J1013">
        <v>94.599998474121094</v>
      </c>
      <c r="CD1013">
        <v>94.6</v>
      </c>
      <c r="CE1013">
        <v>100</v>
      </c>
    </row>
    <row r="1014" spans="1:85" x14ac:dyDescent="0.3">
      <c r="A1014">
        <v>414</v>
      </c>
      <c r="B1014" t="s">
        <v>2103</v>
      </c>
      <c r="C1014" t="s">
        <v>1263</v>
      </c>
      <c r="D1014" t="s">
        <v>21</v>
      </c>
      <c r="E1014" t="s">
        <v>22</v>
      </c>
      <c r="F1014" s="30">
        <v>45291</v>
      </c>
      <c r="G1014" t="s">
        <v>2107</v>
      </c>
      <c r="H1014" t="s">
        <v>4548</v>
      </c>
      <c r="I1014">
        <v>100</v>
      </c>
      <c r="J1014">
        <v>94.510002136230469</v>
      </c>
      <c r="CD1014">
        <v>94.51</v>
      </c>
      <c r="CE1014">
        <v>100</v>
      </c>
    </row>
    <row r="1015" spans="1:85" x14ac:dyDescent="0.3">
      <c r="A1015">
        <v>414</v>
      </c>
      <c r="B1015" t="s">
        <v>2103</v>
      </c>
      <c r="C1015" t="s">
        <v>1263</v>
      </c>
      <c r="D1015" t="s">
        <v>21</v>
      </c>
      <c r="E1015" t="s">
        <v>22</v>
      </c>
      <c r="F1015" s="30">
        <v>45291</v>
      </c>
      <c r="G1015" t="s">
        <v>2107</v>
      </c>
      <c r="H1015" t="s">
        <v>4544</v>
      </c>
      <c r="I1015">
        <v>100</v>
      </c>
      <c r="J1015">
        <v>97.400001525878906</v>
      </c>
      <c r="CD1015">
        <v>97.4</v>
      </c>
      <c r="CE1015">
        <v>100</v>
      </c>
    </row>
    <row r="1016" spans="1:85" x14ac:dyDescent="0.3">
      <c r="A1016">
        <v>414</v>
      </c>
      <c r="B1016" t="s">
        <v>2103</v>
      </c>
      <c r="C1016" t="s">
        <v>1263</v>
      </c>
      <c r="D1016" t="s">
        <v>21</v>
      </c>
      <c r="E1016" t="s">
        <v>22</v>
      </c>
      <c r="F1016" s="30">
        <v>45291</v>
      </c>
      <c r="G1016" t="s">
        <v>2107</v>
      </c>
      <c r="H1016" t="s">
        <v>4545</v>
      </c>
      <c r="I1016">
        <v>100</v>
      </c>
      <c r="J1016">
        <v>98.830001831054688</v>
      </c>
      <c r="CD1016">
        <v>98.83</v>
      </c>
      <c r="CE1016">
        <v>100</v>
      </c>
    </row>
    <row r="1017" spans="1:85" x14ac:dyDescent="0.3">
      <c r="A1017">
        <v>415</v>
      </c>
      <c r="B1017" t="s">
        <v>2116</v>
      </c>
      <c r="C1017" t="s">
        <v>1263</v>
      </c>
      <c r="D1017" t="s">
        <v>21</v>
      </c>
      <c r="E1017" t="s">
        <v>22</v>
      </c>
      <c r="F1017" s="30">
        <v>45291</v>
      </c>
      <c r="G1017" t="s">
        <v>2120</v>
      </c>
      <c r="H1017" t="s">
        <v>4592</v>
      </c>
      <c r="I1017">
        <v>100</v>
      </c>
      <c r="J1017">
        <v>91.510002136230469</v>
      </c>
      <c r="CF1017">
        <v>0</v>
      </c>
      <c r="CG1017">
        <v>0</v>
      </c>
    </row>
    <row r="1018" spans="1:85" x14ac:dyDescent="0.3">
      <c r="A1018">
        <v>415</v>
      </c>
      <c r="B1018" t="s">
        <v>2116</v>
      </c>
      <c r="C1018" t="s">
        <v>1263</v>
      </c>
      <c r="D1018" t="s">
        <v>21</v>
      </c>
      <c r="E1018" t="s">
        <v>22</v>
      </c>
      <c r="F1018" s="30">
        <v>45291</v>
      </c>
      <c r="G1018" t="s">
        <v>2120</v>
      </c>
      <c r="H1018" t="s">
        <v>4557</v>
      </c>
      <c r="I1018">
        <v>100</v>
      </c>
      <c r="J1018">
        <v>100</v>
      </c>
      <c r="CF1018">
        <v>100</v>
      </c>
      <c r="CG1018">
        <v>100</v>
      </c>
    </row>
    <row r="1019" spans="1:85" x14ac:dyDescent="0.3">
      <c r="A1019">
        <v>415</v>
      </c>
      <c r="B1019" t="s">
        <v>2116</v>
      </c>
      <c r="C1019" t="s">
        <v>1263</v>
      </c>
      <c r="D1019" t="s">
        <v>21</v>
      </c>
      <c r="E1019" t="s">
        <v>22</v>
      </c>
      <c r="F1019" s="30">
        <v>45291</v>
      </c>
      <c r="G1019" t="s">
        <v>2120</v>
      </c>
      <c r="H1019" t="s">
        <v>4554</v>
      </c>
      <c r="I1019">
        <v>100</v>
      </c>
      <c r="J1019">
        <v>98</v>
      </c>
      <c r="CF1019">
        <v>98</v>
      </c>
      <c r="CG1019">
        <v>100</v>
      </c>
    </row>
    <row r="1020" spans="1:85" x14ac:dyDescent="0.3">
      <c r="A1020">
        <v>415</v>
      </c>
      <c r="B1020" t="s">
        <v>2116</v>
      </c>
      <c r="C1020" t="s">
        <v>1263</v>
      </c>
      <c r="D1020" t="s">
        <v>21</v>
      </c>
      <c r="E1020" t="s">
        <v>22</v>
      </c>
      <c r="F1020" s="30">
        <v>45291</v>
      </c>
      <c r="G1020" t="s">
        <v>2120</v>
      </c>
      <c r="H1020" t="s">
        <v>4551</v>
      </c>
      <c r="I1020">
        <v>100</v>
      </c>
      <c r="J1020">
        <v>100</v>
      </c>
      <c r="CF1020">
        <v>100</v>
      </c>
      <c r="CG1020">
        <v>100</v>
      </c>
    </row>
    <row r="1021" spans="1:85" x14ac:dyDescent="0.3">
      <c r="A1021">
        <v>415</v>
      </c>
      <c r="B1021" t="s">
        <v>2116</v>
      </c>
      <c r="C1021" t="s">
        <v>1263</v>
      </c>
      <c r="D1021" t="s">
        <v>21</v>
      </c>
      <c r="E1021" t="s">
        <v>22</v>
      </c>
      <c r="F1021" s="30">
        <v>45291</v>
      </c>
      <c r="G1021" t="s">
        <v>2120</v>
      </c>
      <c r="H1021" t="s">
        <v>4552</v>
      </c>
      <c r="I1021">
        <v>100</v>
      </c>
      <c r="J1021">
        <v>100</v>
      </c>
      <c r="CF1021">
        <v>100</v>
      </c>
      <c r="CG1021">
        <v>100</v>
      </c>
    </row>
    <row r="1022" spans="1:85" x14ac:dyDescent="0.3">
      <c r="A1022">
        <v>415</v>
      </c>
      <c r="B1022" t="s">
        <v>2116</v>
      </c>
      <c r="C1022" t="s">
        <v>1263</v>
      </c>
      <c r="D1022" t="s">
        <v>21</v>
      </c>
      <c r="E1022" t="s">
        <v>22</v>
      </c>
      <c r="F1022" s="30">
        <v>45291</v>
      </c>
      <c r="G1022" t="s">
        <v>2120</v>
      </c>
      <c r="H1022" t="s">
        <v>4553</v>
      </c>
      <c r="I1022">
        <v>100</v>
      </c>
      <c r="J1022">
        <v>84</v>
      </c>
      <c r="CF1022">
        <v>84</v>
      </c>
      <c r="CG1022">
        <v>100</v>
      </c>
    </row>
    <row r="1023" spans="1:85" x14ac:dyDescent="0.3">
      <c r="A1023">
        <v>415</v>
      </c>
      <c r="B1023" t="s">
        <v>2116</v>
      </c>
      <c r="C1023" t="s">
        <v>1263</v>
      </c>
      <c r="D1023" t="s">
        <v>21</v>
      </c>
      <c r="E1023" t="s">
        <v>22</v>
      </c>
      <c r="F1023" s="30">
        <v>45291</v>
      </c>
      <c r="G1023" t="s">
        <v>2120</v>
      </c>
      <c r="H1023" t="s">
        <v>4556</v>
      </c>
      <c r="I1023">
        <v>100</v>
      </c>
      <c r="J1023">
        <v>90</v>
      </c>
      <c r="CF1023">
        <v>90</v>
      </c>
      <c r="CG1023">
        <v>100</v>
      </c>
    </row>
    <row r="1024" spans="1:85" x14ac:dyDescent="0.3">
      <c r="A1024">
        <v>415</v>
      </c>
      <c r="B1024" t="s">
        <v>2116</v>
      </c>
      <c r="C1024" t="s">
        <v>1263</v>
      </c>
      <c r="D1024" t="s">
        <v>21</v>
      </c>
      <c r="E1024" t="s">
        <v>22</v>
      </c>
      <c r="F1024" s="30">
        <v>45291</v>
      </c>
      <c r="G1024" t="s">
        <v>2120</v>
      </c>
      <c r="H1024" t="s">
        <v>4555</v>
      </c>
      <c r="I1024">
        <v>100</v>
      </c>
      <c r="J1024">
        <v>100</v>
      </c>
      <c r="CF1024">
        <v>100</v>
      </c>
      <c r="CG1024">
        <v>100</v>
      </c>
    </row>
    <row r="1025" spans="1:91" x14ac:dyDescent="0.3">
      <c r="A1025">
        <v>416</v>
      </c>
      <c r="B1025" t="s">
        <v>2129</v>
      </c>
      <c r="C1025" t="s">
        <v>1263</v>
      </c>
      <c r="D1025" t="s">
        <v>21</v>
      </c>
      <c r="E1025" t="s">
        <v>22</v>
      </c>
      <c r="F1025" s="30">
        <v>45291</v>
      </c>
      <c r="G1025" t="s">
        <v>2133</v>
      </c>
      <c r="H1025" t="s">
        <v>4558</v>
      </c>
      <c r="I1025">
        <v>100</v>
      </c>
      <c r="J1025">
        <v>100</v>
      </c>
      <c r="CH1025">
        <v>100</v>
      </c>
      <c r="CI1025">
        <v>100</v>
      </c>
    </row>
    <row r="1026" spans="1:91" x14ac:dyDescent="0.3">
      <c r="A1026">
        <v>416</v>
      </c>
      <c r="B1026" t="s">
        <v>2129</v>
      </c>
      <c r="C1026" t="s">
        <v>1263</v>
      </c>
      <c r="D1026" t="s">
        <v>21</v>
      </c>
      <c r="E1026" t="s">
        <v>22</v>
      </c>
      <c r="F1026" s="30">
        <v>45291</v>
      </c>
      <c r="G1026" t="s">
        <v>2133</v>
      </c>
      <c r="H1026" t="s">
        <v>4559</v>
      </c>
      <c r="I1026">
        <v>100</v>
      </c>
      <c r="J1026">
        <v>96</v>
      </c>
      <c r="CH1026">
        <v>96</v>
      </c>
      <c r="CI1026">
        <v>100</v>
      </c>
    </row>
    <row r="1027" spans="1:91" x14ac:dyDescent="0.3">
      <c r="A1027">
        <v>417</v>
      </c>
      <c r="B1027" t="s">
        <v>2142</v>
      </c>
      <c r="C1027" t="s">
        <v>1263</v>
      </c>
      <c r="D1027" t="s">
        <v>21</v>
      </c>
      <c r="E1027" t="s">
        <v>22</v>
      </c>
      <c r="F1027" s="30">
        <v>45291</v>
      </c>
      <c r="G1027" t="s">
        <v>2146</v>
      </c>
      <c r="H1027" t="s">
        <v>4560</v>
      </c>
      <c r="I1027">
        <v>100</v>
      </c>
      <c r="J1027">
        <v>94</v>
      </c>
      <c r="CJ1027">
        <v>94</v>
      </c>
      <c r="CK1027">
        <v>100</v>
      </c>
    </row>
    <row r="1028" spans="1:91" x14ac:dyDescent="0.3">
      <c r="A1028">
        <v>417</v>
      </c>
      <c r="B1028" t="s">
        <v>2142</v>
      </c>
      <c r="C1028" t="s">
        <v>1263</v>
      </c>
      <c r="D1028" t="s">
        <v>21</v>
      </c>
      <c r="E1028" t="s">
        <v>22</v>
      </c>
      <c r="F1028" s="30">
        <v>45291</v>
      </c>
      <c r="G1028" t="s">
        <v>2146</v>
      </c>
      <c r="H1028" t="s">
        <v>4561</v>
      </c>
      <c r="I1028">
        <v>100</v>
      </c>
      <c r="J1028">
        <v>86.669998168945313</v>
      </c>
      <c r="CJ1028">
        <v>86.67</v>
      </c>
      <c r="CK1028">
        <v>100</v>
      </c>
    </row>
    <row r="1029" spans="1:91" x14ac:dyDescent="0.3">
      <c r="A1029">
        <v>417</v>
      </c>
      <c r="B1029" t="s">
        <v>2142</v>
      </c>
      <c r="C1029" t="s">
        <v>1263</v>
      </c>
      <c r="D1029" t="s">
        <v>21</v>
      </c>
      <c r="E1029" t="s">
        <v>22</v>
      </c>
      <c r="F1029" s="30">
        <v>45291</v>
      </c>
      <c r="G1029" t="s">
        <v>2146</v>
      </c>
      <c r="H1029" t="s">
        <v>4562</v>
      </c>
      <c r="I1029">
        <v>100</v>
      </c>
      <c r="J1029">
        <v>93.75</v>
      </c>
      <c r="CJ1029">
        <v>93.75</v>
      </c>
      <c r="CK1029">
        <v>100</v>
      </c>
    </row>
    <row r="1030" spans="1:91" x14ac:dyDescent="0.3">
      <c r="A1030">
        <v>417</v>
      </c>
      <c r="B1030" t="s">
        <v>2142</v>
      </c>
      <c r="C1030" t="s">
        <v>1263</v>
      </c>
      <c r="D1030" t="s">
        <v>21</v>
      </c>
      <c r="E1030" t="s">
        <v>22</v>
      </c>
      <c r="F1030" s="30">
        <v>45291</v>
      </c>
      <c r="G1030" t="s">
        <v>2146</v>
      </c>
      <c r="H1030" t="s">
        <v>4563</v>
      </c>
      <c r="I1030">
        <v>100</v>
      </c>
      <c r="J1030">
        <v>98.75</v>
      </c>
      <c r="CJ1030">
        <v>98.75</v>
      </c>
      <c r="CK1030">
        <v>100</v>
      </c>
    </row>
    <row r="1031" spans="1:91" x14ac:dyDescent="0.3">
      <c r="A1031">
        <v>417</v>
      </c>
      <c r="B1031" t="s">
        <v>2142</v>
      </c>
      <c r="C1031" t="s">
        <v>1263</v>
      </c>
      <c r="D1031" t="s">
        <v>21</v>
      </c>
      <c r="E1031" t="s">
        <v>22</v>
      </c>
      <c r="F1031" s="30">
        <v>45291</v>
      </c>
      <c r="G1031" t="s">
        <v>2146</v>
      </c>
      <c r="H1031" t="s">
        <v>4564</v>
      </c>
      <c r="I1031">
        <v>100</v>
      </c>
      <c r="J1031">
        <v>94.169998168945313</v>
      </c>
      <c r="CJ1031">
        <v>94.17</v>
      </c>
      <c r="CK1031">
        <v>100</v>
      </c>
    </row>
    <row r="1032" spans="1:91" x14ac:dyDescent="0.3">
      <c r="A1032">
        <v>417</v>
      </c>
      <c r="B1032" t="s">
        <v>2142</v>
      </c>
      <c r="C1032" t="s">
        <v>1263</v>
      </c>
      <c r="D1032" t="s">
        <v>21</v>
      </c>
      <c r="E1032" t="s">
        <v>22</v>
      </c>
      <c r="F1032" s="30">
        <v>45291</v>
      </c>
      <c r="G1032" t="s">
        <v>2146</v>
      </c>
      <c r="H1032" t="s">
        <v>4565</v>
      </c>
      <c r="I1032">
        <v>100</v>
      </c>
      <c r="J1032">
        <v>99</v>
      </c>
      <c r="CJ1032">
        <v>99</v>
      </c>
      <c r="CK1032">
        <v>100</v>
      </c>
    </row>
    <row r="1033" spans="1:91" x14ac:dyDescent="0.3">
      <c r="A1033">
        <v>418</v>
      </c>
      <c r="B1033" t="s">
        <v>2155</v>
      </c>
      <c r="C1033" t="s">
        <v>1263</v>
      </c>
      <c r="D1033" t="s">
        <v>21</v>
      </c>
      <c r="E1033" t="s">
        <v>22</v>
      </c>
      <c r="F1033" s="30">
        <v>45291</v>
      </c>
      <c r="G1033" t="s">
        <v>2159</v>
      </c>
      <c r="H1033" t="s">
        <v>4566</v>
      </c>
      <c r="I1033">
        <v>100</v>
      </c>
      <c r="J1033">
        <v>87.5</v>
      </c>
      <c r="CL1033">
        <v>87.5</v>
      </c>
      <c r="CM1033">
        <v>100</v>
      </c>
    </row>
    <row r="1034" spans="1:91" x14ac:dyDescent="0.3">
      <c r="A1034">
        <v>418</v>
      </c>
      <c r="B1034" t="s">
        <v>2155</v>
      </c>
      <c r="C1034" t="s">
        <v>1263</v>
      </c>
      <c r="D1034" t="s">
        <v>21</v>
      </c>
      <c r="E1034" t="s">
        <v>22</v>
      </c>
      <c r="F1034" s="30">
        <v>45291</v>
      </c>
      <c r="G1034" t="s">
        <v>2159</v>
      </c>
      <c r="H1034" t="s">
        <v>4567</v>
      </c>
      <c r="I1034">
        <v>100</v>
      </c>
      <c r="J1034">
        <v>86.25</v>
      </c>
      <c r="CL1034">
        <v>86.25</v>
      </c>
      <c r="CM1034">
        <v>100</v>
      </c>
    </row>
    <row r="1035" spans="1:91" x14ac:dyDescent="0.3">
      <c r="A1035">
        <v>418</v>
      </c>
      <c r="B1035" t="s">
        <v>2155</v>
      </c>
      <c r="C1035" t="s">
        <v>1263</v>
      </c>
      <c r="D1035" t="s">
        <v>21</v>
      </c>
      <c r="E1035" t="s">
        <v>22</v>
      </c>
      <c r="F1035" s="30">
        <v>45291</v>
      </c>
      <c r="G1035" t="s">
        <v>2159</v>
      </c>
      <c r="H1035" t="s">
        <v>4568</v>
      </c>
      <c r="I1035">
        <v>100</v>
      </c>
      <c r="J1035">
        <v>90.949996948242188</v>
      </c>
      <c r="CL1035">
        <v>90.95</v>
      </c>
      <c r="CM1035">
        <v>100</v>
      </c>
    </row>
    <row r="1036" spans="1:91" x14ac:dyDescent="0.3">
      <c r="A1036">
        <v>418</v>
      </c>
      <c r="B1036" t="s">
        <v>2155</v>
      </c>
      <c r="C1036" t="s">
        <v>1263</v>
      </c>
      <c r="D1036" t="s">
        <v>21</v>
      </c>
      <c r="E1036" t="s">
        <v>22</v>
      </c>
      <c r="F1036" s="30">
        <v>45291</v>
      </c>
      <c r="G1036" t="s">
        <v>2159</v>
      </c>
      <c r="H1036" t="s">
        <v>4569</v>
      </c>
      <c r="I1036">
        <v>100</v>
      </c>
      <c r="J1036">
        <v>99.779998779296875</v>
      </c>
      <c r="CL1036">
        <v>99.78</v>
      </c>
      <c r="CM1036">
        <v>100</v>
      </c>
    </row>
    <row r="1037" spans="1:91" x14ac:dyDescent="0.3">
      <c r="A1037">
        <v>418</v>
      </c>
      <c r="B1037" t="s">
        <v>2155</v>
      </c>
      <c r="C1037" t="s">
        <v>1263</v>
      </c>
      <c r="D1037" t="s">
        <v>21</v>
      </c>
      <c r="E1037" t="s">
        <v>22</v>
      </c>
      <c r="F1037" s="30">
        <v>45291</v>
      </c>
      <c r="G1037" t="s">
        <v>2159</v>
      </c>
      <c r="H1037" t="s">
        <v>4570</v>
      </c>
      <c r="I1037">
        <v>100</v>
      </c>
      <c r="J1037">
        <v>100</v>
      </c>
      <c r="CL1037">
        <v>100</v>
      </c>
      <c r="CM1037">
        <v>100</v>
      </c>
    </row>
    <row r="1038" spans="1:91" x14ac:dyDescent="0.3">
      <c r="A1038">
        <v>418</v>
      </c>
      <c r="B1038" t="s">
        <v>2155</v>
      </c>
      <c r="C1038" t="s">
        <v>1263</v>
      </c>
      <c r="D1038" t="s">
        <v>21</v>
      </c>
      <c r="E1038" t="s">
        <v>22</v>
      </c>
      <c r="F1038" s="30">
        <v>45291</v>
      </c>
      <c r="G1038" t="s">
        <v>2159</v>
      </c>
      <c r="H1038" t="s">
        <v>4571</v>
      </c>
      <c r="I1038">
        <v>100</v>
      </c>
      <c r="J1038">
        <v>100</v>
      </c>
      <c r="CL1038">
        <v>100</v>
      </c>
      <c r="CM1038">
        <v>100</v>
      </c>
    </row>
    <row r="1039" spans="1:91" x14ac:dyDescent="0.3">
      <c r="A1039">
        <v>418</v>
      </c>
      <c r="B1039" t="s">
        <v>2155</v>
      </c>
      <c r="C1039" t="s">
        <v>1263</v>
      </c>
      <c r="D1039" t="s">
        <v>21</v>
      </c>
      <c r="E1039" t="s">
        <v>22</v>
      </c>
      <c r="F1039" s="30">
        <v>45291</v>
      </c>
      <c r="G1039" t="s">
        <v>2159</v>
      </c>
      <c r="H1039" t="s">
        <v>4572</v>
      </c>
      <c r="I1039">
        <v>100</v>
      </c>
      <c r="J1039">
        <v>100</v>
      </c>
      <c r="CL1039">
        <v>100</v>
      </c>
      <c r="CM1039">
        <v>100</v>
      </c>
    </row>
    <row r="1040" spans="1:91" x14ac:dyDescent="0.3">
      <c r="A1040">
        <v>418</v>
      </c>
      <c r="B1040" t="s">
        <v>2155</v>
      </c>
      <c r="C1040" t="s">
        <v>1263</v>
      </c>
      <c r="D1040" t="s">
        <v>21</v>
      </c>
      <c r="E1040" t="s">
        <v>22</v>
      </c>
      <c r="F1040" s="30">
        <v>45291</v>
      </c>
      <c r="G1040" t="s">
        <v>2159</v>
      </c>
      <c r="H1040" t="s">
        <v>4573</v>
      </c>
      <c r="I1040">
        <v>100</v>
      </c>
      <c r="J1040">
        <v>97.739997863769531</v>
      </c>
      <c r="CL1040">
        <v>97.74</v>
      </c>
      <c r="CM1040">
        <v>100</v>
      </c>
    </row>
    <row r="1041" spans="1:98" x14ac:dyDescent="0.3">
      <c r="A1041">
        <v>418</v>
      </c>
      <c r="B1041" t="s">
        <v>2155</v>
      </c>
      <c r="C1041" t="s">
        <v>1263</v>
      </c>
      <c r="D1041" t="s">
        <v>21</v>
      </c>
      <c r="E1041" t="s">
        <v>22</v>
      </c>
      <c r="F1041" s="30">
        <v>45291</v>
      </c>
      <c r="G1041" t="s">
        <v>2159</v>
      </c>
      <c r="H1041" t="s">
        <v>4528</v>
      </c>
      <c r="I1041">
        <v>100</v>
      </c>
      <c r="J1041">
        <v>100</v>
      </c>
      <c r="CL1041">
        <v>100</v>
      </c>
      <c r="CM1041">
        <v>100</v>
      </c>
    </row>
    <row r="1042" spans="1:98" x14ac:dyDescent="0.3">
      <c r="A1042">
        <v>420</v>
      </c>
      <c r="B1042" t="s">
        <v>2172</v>
      </c>
      <c r="C1042" t="s">
        <v>1263</v>
      </c>
      <c r="D1042" t="s">
        <v>21</v>
      </c>
      <c r="E1042" t="s">
        <v>22</v>
      </c>
      <c r="F1042" s="30">
        <v>45291</v>
      </c>
      <c r="G1042" t="s">
        <v>2176</v>
      </c>
      <c r="H1042" t="s">
        <v>4574</v>
      </c>
      <c r="I1042">
        <v>100</v>
      </c>
      <c r="J1042">
        <v>100</v>
      </c>
      <c r="CN1042">
        <v>100</v>
      </c>
      <c r="CO1042">
        <v>100</v>
      </c>
    </row>
    <row r="1043" spans="1:98" x14ac:dyDescent="0.3">
      <c r="A1043">
        <v>420</v>
      </c>
      <c r="B1043" t="s">
        <v>2172</v>
      </c>
      <c r="C1043" t="s">
        <v>1263</v>
      </c>
      <c r="D1043" t="s">
        <v>21</v>
      </c>
      <c r="E1043" t="s">
        <v>22</v>
      </c>
      <c r="F1043" s="30">
        <v>45291</v>
      </c>
      <c r="G1043" t="s">
        <v>2176</v>
      </c>
      <c r="H1043" t="s">
        <v>4575</v>
      </c>
      <c r="I1043">
        <v>100</v>
      </c>
      <c r="J1043">
        <v>100</v>
      </c>
      <c r="CN1043">
        <v>100</v>
      </c>
      <c r="CO1043">
        <v>100</v>
      </c>
    </row>
    <row r="1044" spans="1:98" x14ac:dyDescent="0.3">
      <c r="A1044">
        <v>420</v>
      </c>
      <c r="B1044" t="s">
        <v>2172</v>
      </c>
      <c r="C1044" t="s">
        <v>1263</v>
      </c>
      <c r="D1044" t="s">
        <v>21</v>
      </c>
      <c r="E1044" t="s">
        <v>22</v>
      </c>
      <c r="F1044" s="30">
        <v>45291</v>
      </c>
      <c r="G1044" t="s">
        <v>2176</v>
      </c>
      <c r="H1044" t="s">
        <v>4576</v>
      </c>
      <c r="I1044">
        <v>100</v>
      </c>
      <c r="J1044">
        <v>100</v>
      </c>
      <c r="CN1044">
        <v>100</v>
      </c>
      <c r="CO1044">
        <v>100</v>
      </c>
    </row>
    <row r="1045" spans="1:98" x14ac:dyDescent="0.3">
      <c r="A1045">
        <v>420</v>
      </c>
      <c r="B1045" t="s">
        <v>2172</v>
      </c>
      <c r="C1045" t="s">
        <v>1263</v>
      </c>
      <c r="D1045" t="s">
        <v>21</v>
      </c>
      <c r="E1045" t="s">
        <v>22</v>
      </c>
      <c r="F1045" s="30">
        <v>45291</v>
      </c>
      <c r="G1045" t="s">
        <v>2176</v>
      </c>
      <c r="H1045" t="s">
        <v>4577</v>
      </c>
      <c r="I1045">
        <v>100</v>
      </c>
      <c r="J1045">
        <v>100</v>
      </c>
      <c r="CN1045">
        <v>100</v>
      </c>
      <c r="CO1045">
        <v>100</v>
      </c>
    </row>
    <row r="1046" spans="1:98" x14ac:dyDescent="0.3">
      <c r="A1046">
        <v>420</v>
      </c>
      <c r="B1046" t="s">
        <v>2172</v>
      </c>
      <c r="C1046" t="s">
        <v>1263</v>
      </c>
      <c r="D1046" t="s">
        <v>21</v>
      </c>
      <c r="E1046" t="s">
        <v>22</v>
      </c>
      <c r="F1046" s="30">
        <v>45291</v>
      </c>
      <c r="G1046" t="s">
        <v>2176</v>
      </c>
      <c r="H1046" t="s">
        <v>4578</v>
      </c>
      <c r="I1046">
        <v>100</v>
      </c>
      <c r="J1046">
        <v>100</v>
      </c>
      <c r="CN1046">
        <v>100</v>
      </c>
      <c r="CO1046">
        <v>100</v>
      </c>
    </row>
    <row r="1047" spans="1:98" x14ac:dyDescent="0.3">
      <c r="A1047">
        <v>432</v>
      </c>
      <c r="B1047" t="s">
        <v>2247</v>
      </c>
      <c r="C1047" t="s">
        <v>138</v>
      </c>
      <c r="D1047" t="s">
        <v>21</v>
      </c>
      <c r="E1047" t="s">
        <v>22</v>
      </c>
      <c r="F1047" s="30">
        <v>45291</v>
      </c>
      <c r="G1047" t="s">
        <v>2251</v>
      </c>
      <c r="H1047" t="s">
        <v>4583</v>
      </c>
      <c r="I1047">
        <v>90</v>
      </c>
      <c r="J1047">
        <v>100</v>
      </c>
      <c r="CS1047">
        <v>11</v>
      </c>
      <c r="CT1047">
        <v>11</v>
      </c>
    </row>
    <row r="1048" spans="1:98" x14ac:dyDescent="0.3">
      <c r="A1048">
        <v>432</v>
      </c>
      <c r="B1048" t="s">
        <v>2247</v>
      </c>
      <c r="C1048" t="s">
        <v>138</v>
      </c>
      <c r="D1048" t="s">
        <v>21</v>
      </c>
      <c r="E1048" t="s">
        <v>22</v>
      </c>
      <c r="F1048" s="30">
        <v>45291</v>
      </c>
      <c r="G1048" t="s">
        <v>2251</v>
      </c>
      <c r="H1048" t="s">
        <v>4584</v>
      </c>
      <c r="I1048">
        <v>90</v>
      </c>
      <c r="J1048">
        <v>88.889999389648438</v>
      </c>
      <c r="CS1048">
        <v>8</v>
      </c>
      <c r="CT1048">
        <v>9</v>
      </c>
    </row>
    <row r="1049" spans="1:98" x14ac:dyDescent="0.3">
      <c r="A1049">
        <v>432</v>
      </c>
      <c r="B1049" t="s">
        <v>2247</v>
      </c>
      <c r="C1049" t="s">
        <v>138</v>
      </c>
      <c r="D1049" t="s">
        <v>21</v>
      </c>
      <c r="E1049" t="s">
        <v>22</v>
      </c>
      <c r="F1049" s="30">
        <v>45291</v>
      </c>
      <c r="G1049" t="s">
        <v>2251</v>
      </c>
      <c r="H1049" t="s">
        <v>4585</v>
      </c>
      <c r="I1049">
        <v>90</v>
      </c>
      <c r="J1049">
        <v>100</v>
      </c>
      <c r="CS1049">
        <v>5</v>
      </c>
      <c r="CT1049">
        <v>5</v>
      </c>
    </row>
    <row r="1050" spans="1:98" x14ac:dyDescent="0.3">
      <c r="A1050">
        <v>432</v>
      </c>
      <c r="B1050" t="s">
        <v>2247</v>
      </c>
      <c r="C1050" t="s">
        <v>138</v>
      </c>
      <c r="D1050" t="s">
        <v>21</v>
      </c>
      <c r="E1050" t="s">
        <v>22</v>
      </c>
      <c r="F1050" s="30">
        <v>45291</v>
      </c>
      <c r="G1050" t="s">
        <v>2251</v>
      </c>
      <c r="H1050" t="s">
        <v>4586</v>
      </c>
      <c r="I1050">
        <v>90</v>
      </c>
      <c r="J1050">
        <v>100</v>
      </c>
      <c r="CS1050">
        <v>5</v>
      </c>
      <c r="CT1050">
        <v>5</v>
      </c>
    </row>
    <row r="1051" spans="1:98" x14ac:dyDescent="0.3">
      <c r="A1051">
        <v>432</v>
      </c>
      <c r="B1051" t="s">
        <v>2247</v>
      </c>
      <c r="C1051" t="s">
        <v>138</v>
      </c>
      <c r="D1051" t="s">
        <v>21</v>
      </c>
      <c r="E1051" t="s">
        <v>22</v>
      </c>
      <c r="F1051" s="30">
        <v>45291</v>
      </c>
      <c r="G1051" t="s">
        <v>2251</v>
      </c>
      <c r="H1051" t="s">
        <v>4587</v>
      </c>
      <c r="I1051">
        <v>90</v>
      </c>
      <c r="J1051">
        <v>100</v>
      </c>
      <c r="CS1051">
        <v>8</v>
      </c>
      <c r="CT1051">
        <v>8</v>
      </c>
    </row>
    <row r="1052" spans="1:98" x14ac:dyDescent="0.3">
      <c r="A1052">
        <v>432</v>
      </c>
      <c r="B1052" t="s">
        <v>2247</v>
      </c>
      <c r="C1052" t="s">
        <v>138</v>
      </c>
      <c r="D1052" t="s">
        <v>21</v>
      </c>
      <c r="E1052" t="s">
        <v>22</v>
      </c>
      <c r="F1052" s="30">
        <v>45291</v>
      </c>
      <c r="G1052" t="s">
        <v>2251</v>
      </c>
      <c r="H1052" t="s">
        <v>4588</v>
      </c>
      <c r="I1052">
        <v>90</v>
      </c>
      <c r="J1052">
        <v>100</v>
      </c>
      <c r="CS1052">
        <v>4</v>
      </c>
      <c r="CT1052">
        <v>4</v>
      </c>
    </row>
    <row r="1053" spans="1:98" x14ac:dyDescent="0.3">
      <c r="A1053">
        <v>432</v>
      </c>
      <c r="B1053" t="s">
        <v>2247</v>
      </c>
      <c r="C1053" t="s">
        <v>138</v>
      </c>
      <c r="D1053" t="s">
        <v>21</v>
      </c>
      <c r="E1053" t="s">
        <v>22</v>
      </c>
      <c r="F1053" s="30">
        <v>45291</v>
      </c>
      <c r="G1053" t="s">
        <v>2251</v>
      </c>
      <c r="H1053" t="s">
        <v>4589</v>
      </c>
      <c r="I1053">
        <v>90</v>
      </c>
      <c r="J1053">
        <v>100</v>
      </c>
      <c r="CS1053">
        <v>2</v>
      </c>
      <c r="CT1053">
        <v>2</v>
      </c>
    </row>
    <row r="1054" spans="1:98" x14ac:dyDescent="0.3">
      <c r="A1054">
        <v>432</v>
      </c>
      <c r="B1054" t="s">
        <v>2247</v>
      </c>
      <c r="C1054" t="s">
        <v>138</v>
      </c>
      <c r="D1054" t="s">
        <v>21</v>
      </c>
      <c r="E1054" t="s">
        <v>22</v>
      </c>
      <c r="F1054" s="30">
        <v>45291</v>
      </c>
      <c r="G1054" t="s">
        <v>2251</v>
      </c>
      <c r="H1054" t="s">
        <v>4590</v>
      </c>
      <c r="I1054">
        <v>90</v>
      </c>
      <c r="J1054">
        <v>100</v>
      </c>
      <c r="CS1054">
        <v>2</v>
      </c>
      <c r="CT1054">
        <v>2</v>
      </c>
    </row>
    <row r="1055" spans="1:98" x14ac:dyDescent="0.3">
      <c r="A1055">
        <v>432</v>
      </c>
      <c r="B1055" t="s">
        <v>2247</v>
      </c>
      <c r="C1055" t="s">
        <v>138</v>
      </c>
      <c r="D1055" t="s">
        <v>21</v>
      </c>
      <c r="E1055" t="s">
        <v>22</v>
      </c>
      <c r="F1055" s="30">
        <v>45291</v>
      </c>
      <c r="G1055" t="s">
        <v>2251</v>
      </c>
      <c r="H1055" t="s">
        <v>4591</v>
      </c>
      <c r="I1055">
        <v>90</v>
      </c>
      <c r="J1055">
        <v>100</v>
      </c>
      <c r="CS1055">
        <v>15</v>
      </c>
      <c r="CT1055">
        <v>15</v>
      </c>
    </row>
    <row r="1056" spans="1:98" x14ac:dyDescent="0.3">
      <c r="A1056">
        <v>216</v>
      </c>
      <c r="B1056" t="s">
        <v>835</v>
      </c>
      <c r="C1056" t="s">
        <v>251</v>
      </c>
      <c r="D1056" t="s">
        <v>139</v>
      </c>
      <c r="E1056" t="s">
        <v>22</v>
      </c>
      <c r="F1056" s="30">
        <v>45291</v>
      </c>
      <c r="G1056" t="s">
        <v>837</v>
      </c>
      <c r="H1056" t="s">
        <v>4468</v>
      </c>
      <c r="I1056">
        <v>100</v>
      </c>
      <c r="J1056">
        <v>100</v>
      </c>
      <c r="AE1056">
        <v>1570</v>
      </c>
      <c r="AF1056">
        <v>1570</v>
      </c>
    </row>
    <row r="1057" spans="1:108" x14ac:dyDescent="0.3">
      <c r="A1057">
        <v>216</v>
      </c>
      <c r="B1057" t="s">
        <v>835</v>
      </c>
      <c r="C1057" t="s">
        <v>251</v>
      </c>
      <c r="D1057" t="s">
        <v>139</v>
      </c>
      <c r="E1057" t="s">
        <v>22</v>
      </c>
      <c r="F1057" s="30">
        <v>45291</v>
      </c>
      <c r="G1057" t="s">
        <v>837</v>
      </c>
      <c r="H1057" t="s">
        <v>4470</v>
      </c>
      <c r="I1057">
        <v>100</v>
      </c>
      <c r="J1057">
        <v>100</v>
      </c>
      <c r="AE1057">
        <v>619.71</v>
      </c>
      <c r="AF1057">
        <v>619.71</v>
      </c>
    </row>
    <row r="1058" spans="1:108" x14ac:dyDescent="0.3">
      <c r="A1058">
        <v>216</v>
      </c>
      <c r="B1058" t="s">
        <v>835</v>
      </c>
      <c r="C1058" t="s">
        <v>251</v>
      </c>
      <c r="D1058" t="s">
        <v>139</v>
      </c>
      <c r="E1058" t="s">
        <v>22</v>
      </c>
      <c r="F1058" s="30">
        <v>45291</v>
      </c>
      <c r="G1058" t="s">
        <v>837</v>
      </c>
      <c r="H1058" t="s">
        <v>4476</v>
      </c>
      <c r="I1058">
        <v>100</v>
      </c>
      <c r="J1058">
        <v>100</v>
      </c>
      <c r="AE1058">
        <v>1.2</v>
      </c>
      <c r="AF1058">
        <v>1.2</v>
      </c>
    </row>
    <row r="1059" spans="1:108" x14ac:dyDescent="0.3">
      <c r="A1059">
        <v>216</v>
      </c>
      <c r="B1059" t="s">
        <v>835</v>
      </c>
      <c r="C1059" t="s">
        <v>251</v>
      </c>
      <c r="D1059" t="s">
        <v>139</v>
      </c>
      <c r="E1059" t="s">
        <v>22</v>
      </c>
      <c r="F1059" s="30">
        <v>45291</v>
      </c>
      <c r="G1059" t="s">
        <v>837</v>
      </c>
      <c r="H1059" t="s">
        <v>4469</v>
      </c>
      <c r="I1059">
        <v>100</v>
      </c>
      <c r="J1059">
        <v>100</v>
      </c>
      <c r="AE1059">
        <v>102.8</v>
      </c>
      <c r="AF1059">
        <v>102.8</v>
      </c>
    </row>
    <row r="1060" spans="1:108" x14ac:dyDescent="0.3">
      <c r="A1060">
        <v>221</v>
      </c>
      <c r="B1060" t="s">
        <v>956</v>
      </c>
      <c r="C1060" t="s">
        <v>251</v>
      </c>
      <c r="D1060" t="s">
        <v>139</v>
      </c>
      <c r="E1060" t="s">
        <v>22</v>
      </c>
      <c r="F1060" s="30">
        <v>45291</v>
      </c>
      <c r="G1060" t="s">
        <v>958</v>
      </c>
      <c r="H1060" t="s">
        <v>4468</v>
      </c>
      <c r="I1060">
        <v>100</v>
      </c>
      <c r="J1060">
        <v>100</v>
      </c>
      <c r="AG1060">
        <v>10</v>
      </c>
      <c r="AH1060">
        <v>10</v>
      </c>
    </row>
    <row r="1061" spans="1:108" x14ac:dyDescent="0.3">
      <c r="A1061">
        <v>221</v>
      </c>
      <c r="B1061" t="s">
        <v>956</v>
      </c>
      <c r="C1061" t="s">
        <v>251</v>
      </c>
      <c r="D1061" t="s">
        <v>139</v>
      </c>
      <c r="E1061" t="s">
        <v>22</v>
      </c>
      <c r="F1061" s="30">
        <v>45291</v>
      </c>
      <c r="G1061" t="s">
        <v>958</v>
      </c>
      <c r="H1061" t="s">
        <v>4470</v>
      </c>
      <c r="I1061">
        <v>100</v>
      </c>
      <c r="J1061">
        <v>100</v>
      </c>
      <c r="AG1061">
        <v>4</v>
      </c>
      <c r="AH1061">
        <v>4</v>
      </c>
    </row>
    <row r="1062" spans="1:108" x14ac:dyDescent="0.3">
      <c r="A1062">
        <v>221</v>
      </c>
      <c r="B1062" t="s">
        <v>956</v>
      </c>
      <c r="C1062" t="s">
        <v>251</v>
      </c>
      <c r="D1062" t="s">
        <v>139</v>
      </c>
      <c r="E1062" t="s">
        <v>22</v>
      </c>
      <c r="F1062" s="30">
        <v>45291</v>
      </c>
      <c r="G1062" t="s">
        <v>958</v>
      </c>
      <c r="H1062" t="s">
        <v>4469</v>
      </c>
      <c r="I1062">
        <v>100</v>
      </c>
      <c r="J1062">
        <v>100</v>
      </c>
      <c r="AG1062">
        <v>3</v>
      </c>
      <c r="AH1062">
        <v>3</v>
      </c>
    </row>
    <row r="1063" spans="1:108" x14ac:dyDescent="0.3">
      <c r="A1063">
        <v>222</v>
      </c>
      <c r="B1063" t="s">
        <v>961</v>
      </c>
      <c r="C1063" t="s">
        <v>251</v>
      </c>
      <c r="D1063" t="s">
        <v>139</v>
      </c>
      <c r="E1063" t="s">
        <v>22</v>
      </c>
      <c r="F1063" s="30">
        <v>45291</v>
      </c>
      <c r="G1063" t="s">
        <v>963</v>
      </c>
      <c r="H1063" t="s">
        <v>4468</v>
      </c>
      <c r="I1063">
        <v>90</v>
      </c>
      <c r="J1063">
        <v>68.75</v>
      </c>
      <c r="AI1063">
        <v>11</v>
      </c>
      <c r="AJ1063">
        <v>16</v>
      </c>
    </row>
    <row r="1064" spans="1:108" x14ac:dyDescent="0.3">
      <c r="A1064">
        <v>223</v>
      </c>
      <c r="B1064" t="s">
        <v>966</v>
      </c>
      <c r="C1064" t="s">
        <v>251</v>
      </c>
      <c r="D1064" t="s">
        <v>139</v>
      </c>
      <c r="E1064" t="s">
        <v>22</v>
      </c>
      <c r="F1064" s="30">
        <v>45291</v>
      </c>
      <c r="G1064" t="s">
        <v>968</v>
      </c>
      <c r="H1064" t="s">
        <v>4509</v>
      </c>
      <c r="I1064">
        <v>100</v>
      </c>
      <c r="J1064">
        <v>100</v>
      </c>
      <c r="DC1064">
        <v>3</v>
      </c>
      <c r="DD1064">
        <v>3</v>
      </c>
    </row>
    <row r="1065" spans="1:108" x14ac:dyDescent="0.3">
      <c r="A1065">
        <v>223</v>
      </c>
      <c r="B1065" t="s">
        <v>966</v>
      </c>
      <c r="C1065" t="s">
        <v>251</v>
      </c>
      <c r="D1065" t="s">
        <v>139</v>
      </c>
      <c r="E1065" t="s">
        <v>22</v>
      </c>
      <c r="F1065" s="30">
        <v>45291</v>
      </c>
      <c r="G1065" t="s">
        <v>968</v>
      </c>
      <c r="H1065" t="s">
        <v>4508</v>
      </c>
      <c r="I1065">
        <v>100</v>
      </c>
      <c r="J1065">
        <v>100</v>
      </c>
      <c r="DC1065">
        <v>13</v>
      </c>
      <c r="DD1065">
        <v>13</v>
      </c>
    </row>
    <row r="1066" spans="1:108" x14ac:dyDescent="0.3">
      <c r="A1066">
        <v>224</v>
      </c>
      <c r="B1066" t="s">
        <v>971</v>
      </c>
      <c r="C1066" t="s">
        <v>251</v>
      </c>
      <c r="D1066" t="s">
        <v>139</v>
      </c>
      <c r="E1066" t="s">
        <v>22</v>
      </c>
      <c r="F1066" s="30">
        <v>45291</v>
      </c>
      <c r="G1066" t="s">
        <v>973</v>
      </c>
      <c r="H1066" t="s">
        <v>4468</v>
      </c>
      <c r="I1066">
        <v>100</v>
      </c>
      <c r="J1066">
        <v>100</v>
      </c>
      <c r="AK1066">
        <v>3</v>
      </c>
      <c r="AL1066">
        <v>7</v>
      </c>
    </row>
    <row r="1067" spans="1:108" x14ac:dyDescent="0.3">
      <c r="A1067">
        <v>224</v>
      </c>
      <c r="B1067" t="s">
        <v>971</v>
      </c>
      <c r="C1067" t="s">
        <v>251</v>
      </c>
      <c r="D1067" t="s">
        <v>139</v>
      </c>
      <c r="E1067" t="s">
        <v>22</v>
      </c>
      <c r="F1067" s="30">
        <v>45291</v>
      </c>
      <c r="G1067" t="s">
        <v>973</v>
      </c>
      <c r="H1067" t="s">
        <v>4469</v>
      </c>
      <c r="I1067">
        <v>100</v>
      </c>
      <c r="AK1067">
        <v>0</v>
      </c>
      <c r="AL1067">
        <v>1</v>
      </c>
    </row>
    <row r="1068" spans="1:108" x14ac:dyDescent="0.3">
      <c r="A1068">
        <v>224</v>
      </c>
      <c r="B1068" t="s">
        <v>971</v>
      </c>
      <c r="C1068" t="s">
        <v>251</v>
      </c>
      <c r="D1068" t="s">
        <v>139</v>
      </c>
      <c r="E1068" t="s">
        <v>22</v>
      </c>
      <c r="F1068" s="30">
        <v>45291</v>
      </c>
      <c r="G1068" t="s">
        <v>973</v>
      </c>
      <c r="H1068" t="s">
        <v>4477</v>
      </c>
      <c r="I1068">
        <v>100</v>
      </c>
      <c r="J1068">
        <v>100</v>
      </c>
      <c r="AK1068">
        <v>0</v>
      </c>
      <c r="AL1068">
        <v>0</v>
      </c>
    </row>
    <row r="1069" spans="1:108" x14ac:dyDescent="0.3">
      <c r="A1069">
        <v>224</v>
      </c>
      <c r="B1069" t="s">
        <v>971</v>
      </c>
      <c r="C1069" t="s">
        <v>251</v>
      </c>
      <c r="D1069" t="s">
        <v>139</v>
      </c>
      <c r="E1069" t="s">
        <v>22</v>
      </c>
      <c r="F1069" s="30">
        <v>45291</v>
      </c>
      <c r="G1069" t="s">
        <v>973</v>
      </c>
      <c r="H1069" t="s">
        <v>4470</v>
      </c>
      <c r="I1069">
        <v>100</v>
      </c>
      <c r="J1069">
        <v>100</v>
      </c>
      <c r="AK1069">
        <v>1</v>
      </c>
      <c r="AL1069">
        <v>1</v>
      </c>
    </row>
    <row r="1070" spans="1:108" x14ac:dyDescent="0.3">
      <c r="A1070">
        <v>226</v>
      </c>
      <c r="B1070" t="s">
        <v>1025</v>
      </c>
      <c r="C1070" t="s">
        <v>251</v>
      </c>
      <c r="D1070" t="s">
        <v>139</v>
      </c>
      <c r="E1070" t="s">
        <v>22</v>
      </c>
      <c r="F1070" s="30">
        <v>45291</v>
      </c>
      <c r="G1070" t="s">
        <v>1027</v>
      </c>
      <c r="H1070" t="s">
        <v>4469</v>
      </c>
      <c r="I1070">
        <v>2</v>
      </c>
      <c r="J1070">
        <v>49.779998779296882</v>
      </c>
      <c r="AM1070">
        <v>49.78</v>
      </c>
    </row>
    <row r="1071" spans="1:108" x14ac:dyDescent="0.3">
      <c r="A1071">
        <v>226</v>
      </c>
      <c r="B1071" t="s">
        <v>1025</v>
      </c>
      <c r="C1071" t="s">
        <v>251</v>
      </c>
      <c r="D1071" t="s">
        <v>139</v>
      </c>
      <c r="E1071" t="s">
        <v>22</v>
      </c>
      <c r="F1071" s="30">
        <v>45291</v>
      </c>
      <c r="G1071" t="s">
        <v>1027</v>
      </c>
      <c r="H1071" t="s">
        <v>4470</v>
      </c>
      <c r="I1071">
        <v>1</v>
      </c>
      <c r="J1071">
        <v>117.40000152587891</v>
      </c>
      <c r="AM1071">
        <v>117.4</v>
      </c>
    </row>
    <row r="1072" spans="1:108" x14ac:dyDescent="0.3">
      <c r="A1072">
        <v>226</v>
      </c>
      <c r="B1072" t="s">
        <v>1025</v>
      </c>
      <c r="C1072" t="s">
        <v>251</v>
      </c>
      <c r="D1072" t="s">
        <v>139</v>
      </c>
      <c r="E1072" t="s">
        <v>22</v>
      </c>
      <c r="F1072" s="30">
        <v>45291</v>
      </c>
      <c r="G1072" t="s">
        <v>1027</v>
      </c>
      <c r="H1072" t="s">
        <v>4476</v>
      </c>
      <c r="I1072">
        <v>2</v>
      </c>
      <c r="J1072">
        <v>7.5300002098083496</v>
      </c>
      <c r="AM1072">
        <v>7.53</v>
      </c>
    </row>
    <row r="1073" spans="1:109" x14ac:dyDescent="0.3">
      <c r="A1073">
        <v>226</v>
      </c>
      <c r="B1073" t="s">
        <v>1025</v>
      </c>
      <c r="C1073" t="s">
        <v>251</v>
      </c>
      <c r="D1073" t="s">
        <v>139</v>
      </c>
      <c r="E1073" t="s">
        <v>22</v>
      </c>
      <c r="F1073" s="30">
        <v>45291</v>
      </c>
      <c r="G1073" t="s">
        <v>1027</v>
      </c>
      <c r="H1073" t="s">
        <v>4477</v>
      </c>
      <c r="I1073">
        <v>1</v>
      </c>
      <c r="J1073">
        <v>10.329999923706049</v>
      </c>
      <c r="AM1073">
        <v>10.33</v>
      </c>
    </row>
    <row r="1074" spans="1:109" x14ac:dyDescent="0.3">
      <c r="A1074">
        <v>226</v>
      </c>
      <c r="B1074" t="s">
        <v>1025</v>
      </c>
      <c r="C1074" t="s">
        <v>251</v>
      </c>
      <c r="D1074" t="s">
        <v>139</v>
      </c>
      <c r="E1074" t="s">
        <v>22</v>
      </c>
      <c r="F1074" s="30">
        <v>45291</v>
      </c>
      <c r="G1074" t="s">
        <v>1027</v>
      </c>
      <c r="H1074" t="s">
        <v>4468</v>
      </c>
      <c r="I1074">
        <v>1</v>
      </c>
      <c r="J1074">
        <v>437.64999389648438</v>
      </c>
      <c r="AM1074">
        <v>437.65</v>
      </c>
    </row>
    <row r="1075" spans="1:109" x14ac:dyDescent="0.3">
      <c r="A1075">
        <v>227</v>
      </c>
      <c r="B1075" t="s">
        <v>1029</v>
      </c>
      <c r="C1075" t="s">
        <v>251</v>
      </c>
      <c r="D1075" t="s">
        <v>139</v>
      </c>
      <c r="E1075" t="s">
        <v>56</v>
      </c>
      <c r="F1075" s="30">
        <v>45291</v>
      </c>
      <c r="G1075" t="s">
        <v>1031</v>
      </c>
      <c r="H1075" t="s">
        <v>4468</v>
      </c>
      <c r="I1075">
        <v>0.3</v>
      </c>
      <c r="J1075">
        <v>9.9999997764825821E-3</v>
      </c>
      <c r="AM1075">
        <v>437.65</v>
      </c>
      <c r="AN1075">
        <v>3731</v>
      </c>
      <c r="AO1075">
        <v>6232</v>
      </c>
      <c r="AP1075">
        <v>26802</v>
      </c>
      <c r="AQ1075">
        <v>0</v>
      </c>
    </row>
    <row r="1076" spans="1:109" x14ac:dyDescent="0.3">
      <c r="A1076">
        <v>227</v>
      </c>
      <c r="B1076" t="s">
        <v>1029</v>
      </c>
      <c r="C1076" t="s">
        <v>251</v>
      </c>
      <c r="D1076" t="s">
        <v>139</v>
      </c>
      <c r="E1076" t="s">
        <v>56</v>
      </c>
      <c r="F1076" s="30">
        <v>45291</v>
      </c>
      <c r="G1076" t="s">
        <v>1031</v>
      </c>
      <c r="H1076" t="s">
        <v>4469</v>
      </c>
      <c r="I1076">
        <v>0.3</v>
      </c>
      <c r="AM1076">
        <v>49.78</v>
      </c>
      <c r="AN1076">
        <v>612</v>
      </c>
      <c r="AO1076">
        <v>1695</v>
      </c>
      <c r="AP1076">
        <v>21949</v>
      </c>
      <c r="AQ1076">
        <v>315</v>
      </c>
    </row>
    <row r="1077" spans="1:109" x14ac:dyDescent="0.3">
      <c r="A1077">
        <v>227</v>
      </c>
      <c r="B1077" t="s">
        <v>1029</v>
      </c>
      <c r="C1077" t="s">
        <v>251</v>
      </c>
      <c r="D1077" t="s">
        <v>139</v>
      </c>
      <c r="E1077" t="s">
        <v>56</v>
      </c>
      <c r="F1077" s="30">
        <v>45291</v>
      </c>
      <c r="G1077" t="s">
        <v>1031</v>
      </c>
      <c r="H1077" t="s">
        <v>4470</v>
      </c>
      <c r="I1077">
        <v>0.3</v>
      </c>
      <c r="AM1077">
        <v>117.4</v>
      </c>
      <c r="AN1077">
        <v>1262</v>
      </c>
      <c r="AO1077">
        <v>59</v>
      </c>
      <c r="AP1077">
        <v>19238</v>
      </c>
      <c r="AQ1077">
        <v>4870</v>
      </c>
    </row>
    <row r="1078" spans="1:109" x14ac:dyDescent="0.3">
      <c r="A1078">
        <v>227</v>
      </c>
      <c r="B1078" t="s">
        <v>1029</v>
      </c>
      <c r="C1078" t="s">
        <v>251</v>
      </c>
      <c r="D1078" t="s">
        <v>139</v>
      </c>
      <c r="E1078" t="s">
        <v>56</v>
      </c>
      <c r="F1078" s="30">
        <v>45291</v>
      </c>
      <c r="G1078" t="s">
        <v>1031</v>
      </c>
      <c r="H1078" t="s">
        <v>4476</v>
      </c>
      <c r="I1078">
        <v>0.3</v>
      </c>
      <c r="AM1078">
        <v>7.53</v>
      </c>
      <c r="AN1078">
        <v>59</v>
      </c>
      <c r="AO1078">
        <v>2355</v>
      </c>
      <c r="AP1078">
        <v>5496</v>
      </c>
      <c r="AQ1078">
        <v>0</v>
      </c>
    </row>
    <row r="1079" spans="1:109" x14ac:dyDescent="0.3">
      <c r="A1079">
        <v>228</v>
      </c>
      <c r="B1079" t="s">
        <v>1033</v>
      </c>
      <c r="C1079" t="s">
        <v>251</v>
      </c>
      <c r="D1079" t="s">
        <v>139</v>
      </c>
      <c r="E1079" t="s">
        <v>22</v>
      </c>
      <c r="F1079" s="30">
        <v>45291</v>
      </c>
      <c r="G1079" t="s">
        <v>1036</v>
      </c>
      <c r="H1079" t="s">
        <v>4468</v>
      </c>
      <c r="I1079">
        <v>100</v>
      </c>
      <c r="J1079">
        <v>100</v>
      </c>
      <c r="AM1079">
        <v>437.65</v>
      </c>
      <c r="AR1079">
        <v>437.65</v>
      </c>
    </row>
    <row r="1080" spans="1:109" x14ac:dyDescent="0.3">
      <c r="A1080">
        <v>228</v>
      </c>
      <c r="B1080" t="s">
        <v>1033</v>
      </c>
      <c r="C1080" t="s">
        <v>251</v>
      </c>
      <c r="D1080" t="s">
        <v>139</v>
      </c>
      <c r="E1080" t="s">
        <v>22</v>
      </c>
      <c r="F1080" s="30">
        <v>45291</v>
      </c>
      <c r="G1080" t="s">
        <v>1036</v>
      </c>
      <c r="H1080" t="s">
        <v>4477</v>
      </c>
      <c r="I1080">
        <v>100</v>
      </c>
      <c r="J1080">
        <v>100</v>
      </c>
      <c r="AM1080">
        <v>10.33</v>
      </c>
      <c r="AR1080">
        <v>10.33</v>
      </c>
    </row>
    <row r="1081" spans="1:109" x14ac:dyDescent="0.3">
      <c r="A1081">
        <v>228</v>
      </c>
      <c r="B1081" t="s">
        <v>1033</v>
      </c>
      <c r="C1081" t="s">
        <v>251</v>
      </c>
      <c r="D1081" t="s">
        <v>139</v>
      </c>
      <c r="E1081" t="s">
        <v>22</v>
      </c>
      <c r="F1081" s="30">
        <v>45291</v>
      </c>
      <c r="G1081" t="s">
        <v>1036</v>
      </c>
      <c r="H1081" t="s">
        <v>4476</v>
      </c>
      <c r="I1081">
        <v>100</v>
      </c>
      <c r="J1081">
        <v>100</v>
      </c>
      <c r="AM1081">
        <v>7.53</v>
      </c>
      <c r="AR1081">
        <v>7.53</v>
      </c>
    </row>
    <row r="1082" spans="1:109" x14ac:dyDescent="0.3">
      <c r="A1082">
        <v>228</v>
      </c>
      <c r="B1082" t="s">
        <v>1033</v>
      </c>
      <c r="C1082" t="s">
        <v>251</v>
      </c>
      <c r="D1082" t="s">
        <v>139</v>
      </c>
      <c r="E1082" t="s">
        <v>22</v>
      </c>
      <c r="F1082" s="30">
        <v>45291</v>
      </c>
      <c r="G1082" t="s">
        <v>1036</v>
      </c>
      <c r="H1082" t="s">
        <v>4470</v>
      </c>
      <c r="I1082">
        <v>100</v>
      </c>
      <c r="J1082">
        <v>100</v>
      </c>
      <c r="AM1082">
        <v>117.4</v>
      </c>
      <c r="AR1082">
        <v>117.4</v>
      </c>
    </row>
    <row r="1083" spans="1:109" x14ac:dyDescent="0.3">
      <c r="A1083">
        <v>228</v>
      </c>
      <c r="B1083" t="s">
        <v>1033</v>
      </c>
      <c r="C1083" t="s">
        <v>251</v>
      </c>
      <c r="D1083" t="s">
        <v>139</v>
      </c>
      <c r="E1083" t="s">
        <v>22</v>
      </c>
      <c r="F1083" s="30">
        <v>45291</v>
      </c>
      <c r="G1083" t="s">
        <v>1036</v>
      </c>
      <c r="H1083" t="s">
        <v>4469</v>
      </c>
      <c r="I1083">
        <v>100</v>
      </c>
      <c r="J1083">
        <v>100</v>
      </c>
      <c r="AM1083">
        <v>49.78</v>
      </c>
      <c r="AR1083">
        <v>49.78</v>
      </c>
    </row>
    <row r="1084" spans="1:109" x14ac:dyDescent="0.3">
      <c r="A1084">
        <v>255</v>
      </c>
      <c r="B1084" t="s">
        <v>1276</v>
      </c>
      <c r="C1084" t="s">
        <v>546</v>
      </c>
      <c r="D1084" t="s">
        <v>139</v>
      </c>
      <c r="E1084" t="s">
        <v>22</v>
      </c>
      <c r="F1084" s="30">
        <v>45291</v>
      </c>
      <c r="G1084" t="s">
        <v>1274</v>
      </c>
      <c r="H1084" t="s">
        <v>4593</v>
      </c>
      <c r="I1084">
        <v>100</v>
      </c>
      <c r="J1084">
        <v>18</v>
      </c>
      <c r="DE1084">
        <v>18</v>
      </c>
    </row>
    <row r="1085" spans="1:109" x14ac:dyDescent="0.3">
      <c r="A1085">
        <v>255</v>
      </c>
      <c r="B1085" t="s">
        <v>1276</v>
      </c>
      <c r="C1085" t="s">
        <v>546</v>
      </c>
      <c r="D1085" t="s">
        <v>139</v>
      </c>
      <c r="E1085" t="s">
        <v>22</v>
      </c>
      <c r="F1085" s="30">
        <v>45291</v>
      </c>
      <c r="G1085" t="s">
        <v>1274</v>
      </c>
      <c r="H1085" t="s">
        <v>4594</v>
      </c>
      <c r="I1085">
        <v>100</v>
      </c>
      <c r="J1085">
        <v>0</v>
      </c>
      <c r="DE1085">
        <v>0</v>
      </c>
    </row>
    <row r="1086" spans="1:109" x14ac:dyDescent="0.3">
      <c r="A1086">
        <v>255</v>
      </c>
      <c r="B1086" t="s">
        <v>1276</v>
      </c>
      <c r="C1086" t="s">
        <v>546</v>
      </c>
      <c r="D1086" t="s">
        <v>139</v>
      </c>
      <c r="E1086" t="s">
        <v>22</v>
      </c>
      <c r="F1086" s="30">
        <v>45291</v>
      </c>
      <c r="G1086" t="s">
        <v>1274</v>
      </c>
      <c r="H1086" t="s">
        <v>4595</v>
      </c>
      <c r="I1086">
        <v>100</v>
      </c>
      <c r="J1086">
        <v>0</v>
      </c>
      <c r="DE1086">
        <v>0</v>
      </c>
    </row>
    <row r="1087" spans="1:109" x14ac:dyDescent="0.3">
      <c r="A1087">
        <v>255</v>
      </c>
      <c r="B1087" t="s">
        <v>1276</v>
      </c>
      <c r="C1087" t="s">
        <v>546</v>
      </c>
      <c r="D1087" t="s">
        <v>139</v>
      </c>
      <c r="E1087" t="s">
        <v>22</v>
      </c>
      <c r="F1087" s="30">
        <v>45291</v>
      </c>
      <c r="G1087" t="s">
        <v>1274</v>
      </c>
      <c r="H1087" t="s">
        <v>4596</v>
      </c>
      <c r="I1087">
        <v>100</v>
      </c>
      <c r="J1087">
        <v>0</v>
      </c>
      <c r="DE1087">
        <v>0</v>
      </c>
    </row>
    <row r="1088" spans="1:109" x14ac:dyDescent="0.3">
      <c r="A1088">
        <v>208</v>
      </c>
      <c r="B1088" t="s">
        <v>707</v>
      </c>
      <c r="C1088" t="s">
        <v>251</v>
      </c>
      <c r="D1088" t="s">
        <v>73</v>
      </c>
      <c r="E1088" t="s">
        <v>56</v>
      </c>
      <c r="F1088" s="30">
        <v>45322</v>
      </c>
      <c r="G1088" t="s">
        <v>733</v>
      </c>
      <c r="H1088" t="s">
        <v>4468</v>
      </c>
      <c r="I1088">
        <v>950</v>
      </c>
      <c r="J1088">
        <v>790</v>
      </c>
      <c r="K1088">
        <v>790</v>
      </c>
    </row>
    <row r="1089" spans="1:45" x14ac:dyDescent="0.3">
      <c r="A1089">
        <v>208</v>
      </c>
      <c r="B1089" t="s">
        <v>707</v>
      </c>
      <c r="C1089" t="s">
        <v>251</v>
      </c>
      <c r="D1089" t="s">
        <v>73</v>
      </c>
      <c r="E1089" t="s">
        <v>56</v>
      </c>
      <c r="F1089" s="30">
        <v>45322</v>
      </c>
      <c r="G1089" t="s">
        <v>733</v>
      </c>
      <c r="H1089" t="s">
        <v>4470</v>
      </c>
      <c r="I1089">
        <v>350</v>
      </c>
      <c r="J1089">
        <v>341</v>
      </c>
      <c r="K1089">
        <v>341</v>
      </c>
    </row>
    <row r="1090" spans="1:45" x14ac:dyDescent="0.3">
      <c r="A1090">
        <v>208</v>
      </c>
      <c r="B1090" t="s">
        <v>707</v>
      </c>
      <c r="C1090" t="s">
        <v>251</v>
      </c>
      <c r="D1090" t="s">
        <v>73</v>
      </c>
      <c r="E1090" t="s">
        <v>56</v>
      </c>
      <c r="F1090" s="30">
        <v>45322</v>
      </c>
      <c r="G1090" t="s">
        <v>733</v>
      </c>
      <c r="H1090" t="s">
        <v>4477</v>
      </c>
      <c r="I1090">
        <v>25</v>
      </c>
      <c r="J1090">
        <v>45</v>
      </c>
      <c r="K1090">
        <v>45</v>
      </c>
    </row>
    <row r="1091" spans="1:45" x14ac:dyDescent="0.3">
      <c r="A1091">
        <v>208</v>
      </c>
      <c r="B1091" t="s">
        <v>707</v>
      </c>
      <c r="C1091" t="s">
        <v>251</v>
      </c>
      <c r="D1091" t="s">
        <v>73</v>
      </c>
      <c r="E1091" t="s">
        <v>56</v>
      </c>
      <c r="F1091" s="30">
        <v>45322</v>
      </c>
      <c r="G1091" t="s">
        <v>733</v>
      </c>
      <c r="H1091" t="s">
        <v>4476</v>
      </c>
      <c r="I1091">
        <v>0</v>
      </c>
      <c r="J1091">
        <v>0</v>
      </c>
      <c r="K1091">
        <v>0</v>
      </c>
    </row>
    <row r="1092" spans="1:45" x14ac:dyDescent="0.3">
      <c r="A1092">
        <v>208</v>
      </c>
      <c r="B1092" t="s">
        <v>707</v>
      </c>
      <c r="C1092" t="s">
        <v>251</v>
      </c>
      <c r="D1092" t="s">
        <v>73</v>
      </c>
      <c r="E1092" t="s">
        <v>56</v>
      </c>
      <c r="F1092" s="30">
        <v>45322</v>
      </c>
      <c r="G1092" t="s">
        <v>733</v>
      </c>
      <c r="H1092" t="s">
        <v>4478</v>
      </c>
      <c r="I1092">
        <v>25</v>
      </c>
      <c r="J1092">
        <v>6</v>
      </c>
      <c r="K1092">
        <v>6</v>
      </c>
    </row>
    <row r="1093" spans="1:45" x14ac:dyDescent="0.3">
      <c r="A1093">
        <v>208</v>
      </c>
      <c r="B1093" t="s">
        <v>707</v>
      </c>
      <c r="C1093" t="s">
        <v>251</v>
      </c>
      <c r="D1093" t="s">
        <v>73</v>
      </c>
      <c r="E1093" t="s">
        <v>56</v>
      </c>
      <c r="F1093" s="30">
        <v>45322</v>
      </c>
      <c r="G1093" t="s">
        <v>733</v>
      </c>
      <c r="H1093" t="s">
        <v>4469</v>
      </c>
      <c r="I1093">
        <v>200</v>
      </c>
      <c r="J1093">
        <v>144</v>
      </c>
      <c r="K1093">
        <v>144</v>
      </c>
    </row>
    <row r="1094" spans="1:45" x14ac:dyDescent="0.3">
      <c r="A1094">
        <v>214</v>
      </c>
      <c r="B1094" t="s">
        <v>774</v>
      </c>
      <c r="C1094" t="s">
        <v>251</v>
      </c>
      <c r="D1094" t="s">
        <v>73</v>
      </c>
      <c r="E1094" t="s">
        <v>56</v>
      </c>
      <c r="F1094" s="30">
        <v>45322</v>
      </c>
      <c r="G1094" t="s">
        <v>800</v>
      </c>
      <c r="H1094" t="s">
        <v>4468</v>
      </c>
      <c r="I1094">
        <v>5500</v>
      </c>
      <c r="J1094">
        <v>2491</v>
      </c>
      <c r="L1094">
        <v>1817</v>
      </c>
      <c r="M1094">
        <v>674</v>
      </c>
    </row>
    <row r="1095" spans="1:45" x14ac:dyDescent="0.3">
      <c r="A1095">
        <v>214</v>
      </c>
      <c r="B1095" t="s">
        <v>774</v>
      </c>
      <c r="C1095" t="s">
        <v>251</v>
      </c>
      <c r="D1095" t="s">
        <v>73</v>
      </c>
      <c r="E1095" t="s">
        <v>56</v>
      </c>
      <c r="F1095" s="30">
        <v>45322</v>
      </c>
      <c r="G1095" t="s">
        <v>800</v>
      </c>
      <c r="H1095" t="s">
        <v>4470</v>
      </c>
      <c r="I1095">
        <v>1000</v>
      </c>
      <c r="J1095">
        <v>472.20001220703119</v>
      </c>
      <c r="L1095">
        <v>0</v>
      </c>
      <c r="M1095">
        <v>472.2</v>
      </c>
    </row>
    <row r="1096" spans="1:45" x14ac:dyDescent="0.3">
      <c r="A1096">
        <v>214</v>
      </c>
      <c r="B1096" t="s">
        <v>774</v>
      </c>
      <c r="C1096" t="s">
        <v>251</v>
      </c>
      <c r="D1096" t="s">
        <v>73</v>
      </c>
      <c r="E1096" t="s">
        <v>56</v>
      </c>
      <c r="F1096" s="30">
        <v>45322</v>
      </c>
      <c r="G1096" t="s">
        <v>800</v>
      </c>
      <c r="H1096" t="s">
        <v>4477</v>
      </c>
      <c r="I1096">
        <v>7500</v>
      </c>
      <c r="J1096">
        <v>0</v>
      </c>
      <c r="L1096">
        <v>0</v>
      </c>
      <c r="M1096">
        <v>0</v>
      </c>
    </row>
    <row r="1097" spans="1:45" x14ac:dyDescent="0.3">
      <c r="A1097">
        <v>214</v>
      </c>
      <c r="B1097" t="s">
        <v>774</v>
      </c>
      <c r="C1097" t="s">
        <v>251</v>
      </c>
      <c r="D1097" t="s">
        <v>73</v>
      </c>
      <c r="E1097" t="s">
        <v>56</v>
      </c>
      <c r="F1097" s="30">
        <v>45322</v>
      </c>
      <c r="G1097" t="s">
        <v>800</v>
      </c>
      <c r="H1097" t="s">
        <v>4469</v>
      </c>
      <c r="I1097">
        <v>1000</v>
      </c>
      <c r="J1097">
        <v>401.5</v>
      </c>
      <c r="L1097">
        <v>0</v>
      </c>
      <c r="M1097">
        <v>401.5</v>
      </c>
    </row>
    <row r="1098" spans="1:45" x14ac:dyDescent="0.3">
      <c r="A1098">
        <v>214</v>
      </c>
      <c r="B1098" t="s">
        <v>774</v>
      </c>
      <c r="C1098" t="s">
        <v>251</v>
      </c>
      <c r="D1098" t="s">
        <v>73</v>
      </c>
      <c r="E1098" t="s">
        <v>56</v>
      </c>
      <c r="F1098" s="30">
        <v>45322</v>
      </c>
      <c r="G1098" t="s">
        <v>800</v>
      </c>
      <c r="H1098" t="s">
        <v>4476</v>
      </c>
      <c r="I1098">
        <v>1</v>
      </c>
      <c r="J1098">
        <v>0</v>
      </c>
      <c r="L1098">
        <v>0</v>
      </c>
      <c r="M1098">
        <v>0</v>
      </c>
    </row>
    <row r="1099" spans="1:45" x14ac:dyDescent="0.3">
      <c r="A1099">
        <v>214</v>
      </c>
      <c r="B1099" t="s">
        <v>774</v>
      </c>
      <c r="C1099" t="s">
        <v>251</v>
      </c>
      <c r="D1099" t="s">
        <v>73</v>
      </c>
      <c r="E1099" t="s">
        <v>56</v>
      </c>
      <c r="F1099" s="30">
        <v>45322</v>
      </c>
      <c r="G1099" t="s">
        <v>800</v>
      </c>
      <c r="H1099" t="s">
        <v>4478</v>
      </c>
      <c r="I1099">
        <v>1</v>
      </c>
      <c r="J1099">
        <v>11</v>
      </c>
      <c r="L1099">
        <v>1</v>
      </c>
      <c r="M1099">
        <v>10</v>
      </c>
    </row>
    <row r="1100" spans="1:45" x14ac:dyDescent="0.3">
      <c r="A1100">
        <v>217</v>
      </c>
      <c r="B1100" t="s">
        <v>840</v>
      </c>
      <c r="C1100" t="s">
        <v>251</v>
      </c>
      <c r="D1100" t="s">
        <v>73</v>
      </c>
      <c r="E1100" t="s">
        <v>22</v>
      </c>
      <c r="F1100" s="30">
        <v>45322</v>
      </c>
      <c r="G1100" t="s">
        <v>864</v>
      </c>
      <c r="H1100" t="s">
        <v>4478</v>
      </c>
      <c r="I1100">
        <v>20</v>
      </c>
      <c r="J1100">
        <v>9.0900001525878906</v>
      </c>
      <c r="L1100">
        <v>1</v>
      </c>
      <c r="M1100">
        <v>10</v>
      </c>
      <c r="AS1100">
        <v>1</v>
      </c>
    </row>
    <row r="1101" spans="1:45" x14ac:dyDescent="0.3">
      <c r="A1101">
        <v>218</v>
      </c>
      <c r="B1101" t="s">
        <v>888</v>
      </c>
      <c r="C1101" t="s">
        <v>251</v>
      </c>
      <c r="D1101" t="s">
        <v>73</v>
      </c>
      <c r="E1101" t="s">
        <v>56</v>
      </c>
      <c r="F1101" s="30">
        <v>45322</v>
      </c>
      <c r="G1101" t="s">
        <v>914</v>
      </c>
      <c r="H1101" t="s">
        <v>4468</v>
      </c>
      <c r="I1101">
        <v>76000</v>
      </c>
      <c r="J1101">
        <v>55618.05859375</v>
      </c>
      <c r="N1101">
        <v>55618.06</v>
      </c>
    </row>
    <row r="1102" spans="1:45" x14ac:dyDescent="0.3">
      <c r="A1102">
        <v>218</v>
      </c>
      <c r="B1102" t="s">
        <v>888</v>
      </c>
      <c r="C1102" t="s">
        <v>251</v>
      </c>
      <c r="D1102" t="s">
        <v>73</v>
      </c>
      <c r="E1102" t="s">
        <v>56</v>
      </c>
      <c r="F1102" s="30">
        <v>45322</v>
      </c>
      <c r="G1102" t="s">
        <v>914</v>
      </c>
      <c r="H1102" t="s">
        <v>4470</v>
      </c>
      <c r="I1102">
        <v>76000</v>
      </c>
      <c r="J1102">
        <v>39330</v>
      </c>
      <c r="N1102">
        <v>39330</v>
      </c>
    </row>
    <row r="1103" spans="1:45" x14ac:dyDescent="0.3">
      <c r="A1103">
        <v>218</v>
      </c>
      <c r="B1103" t="s">
        <v>888</v>
      </c>
      <c r="C1103" t="s">
        <v>251</v>
      </c>
      <c r="D1103" t="s">
        <v>73</v>
      </c>
      <c r="E1103" t="s">
        <v>56</v>
      </c>
      <c r="F1103" s="30">
        <v>45322</v>
      </c>
      <c r="G1103" t="s">
        <v>914</v>
      </c>
      <c r="H1103" t="s">
        <v>4477</v>
      </c>
      <c r="I1103">
        <v>5000</v>
      </c>
      <c r="J1103">
        <v>3660</v>
      </c>
      <c r="N1103">
        <v>3660</v>
      </c>
    </row>
    <row r="1104" spans="1:45" x14ac:dyDescent="0.3">
      <c r="A1104">
        <v>218</v>
      </c>
      <c r="B1104" t="s">
        <v>888</v>
      </c>
      <c r="C1104" t="s">
        <v>251</v>
      </c>
      <c r="D1104" t="s">
        <v>73</v>
      </c>
      <c r="E1104" t="s">
        <v>56</v>
      </c>
      <c r="F1104" s="30">
        <v>45322</v>
      </c>
      <c r="G1104" t="s">
        <v>914</v>
      </c>
      <c r="H1104" t="s">
        <v>4469</v>
      </c>
      <c r="I1104">
        <v>24000</v>
      </c>
      <c r="J1104">
        <v>19856</v>
      </c>
      <c r="N1104">
        <v>19856</v>
      </c>
    </row>
    <row r="1105" spans="1:94" x14ac:dyDescent="0.3">
      <c r="A1105">
        <v>218</v>
      </c>
      <c r="B1105" t="s">
        <v>888</v>
      </c>
      <c r="C1105" t="s">
        <v>251</v>
      </c>
      <c r="D1105" t="s">
        <v>73</v>
      </c>
      <c r="E1105" t="s">
        <v>56</v>
      </c>
      <c r="F1105" s="30">
        <v>45322</v>
      </c>
      <c r="G1105" t="s">
        <v>914</v>
      </c>
      <c r="H1105" t="s">
        <v>4478</v>
      </c>
      <c r="I1105">
        <v>2000</v>
      </c>
      <c r="J1105">
        <v>1235</v>
      </c>
      <c r="N1105">
        <v>1235</v>
      </c>
    </row>
    <row r="1106" spans="1:94" x14ac:dyDescent="0.3">
      <c r="A1106">
        <v>218</v>
      </c>
      <c r="B1106" t="s">
        <v>888</v>
      </c>
      <c r="C1106" t="s">
        <v>251</v>
      </c>
      <c r="D1106" t="s">
        <v>73</v>
      </c>
      <c r="E1106" t="s">
        <v>56</v>
      </c>
      <c r="F1106" s="30">
        <v>45322</v>
      </c>
      <c r="G1106" t="s">
        <v>914</v>
      </c>
      <c r="H1106" t="s">
        <v>4476</v>
      </c>
      <c r="I1106">
        <v>5000</v>
      </c>
      <c r="J1106">
        <v>3240</v>
      </c>
      <c r="N1106">
        <v>3240</v>
      </c>
    </row>
    <row r="1107" spans="1:94" x14ac:dyDescent="0.3">
      <c r="A1107">
        <v>225</v>
      </c>
      <c r="B1107" t="s">
        <v>976</v>
      </c>
      <c r="C1107" t="s">
        <v>251</v>
      </c>
      <c r="D1107" t="s">
        <v>73</v>
      </c>
      <c r="E1107" t="s">
        <v>22</v>
      </c>
      <c r="F1107" s="30">
        <v>45322</v>
      </c>
      <c r="G1107" t="s">
        <v>1001</v>
      </c>
      <c r="H1107" t="s">
        <v>4476</v>
      </c>
      <c r="I1107">
        <v>1</v>
      </c>
      <c r="J1107">
        <v>1</v>
      </c>
      <c r="AT1107">
        <v>1</v>
      </c>
    </row>
    <row r="1108" spans="1:94" x14ac:dyDescent="0.3">
      <c r="A1108">
        <v>434</v>
      </c>
      <c r="B1108" t="s">
        <v>2267</v>
      </c>
      <c r="C1108" t="s">
        <v>251</v>
      </c>
      <c r="D1108" t="s">
        <v>73</v>
      </c>
      <c r="E1108" t="s">
        <v>56</v>
      </c>
      <c r="F1108" s="30">
        <v>45322</v>
      </c>
      <c r="G1108" t="s">
        <v>2280</v>
      </c>
      <c r="H1108" t="s">
        <v>4468</v>
      </c>
      <c r="I1108">
        <v>100</v>
      </c>
      <c r="J1108">
        <v>9.1999998092651367</v>
      </c>
      <c r="AV1108">
        <v>9.1999999999999993</v>
      </c>
    </row>
    <row r="1109" spans="1:94" x14ac:dyDescent="0.3">
      <c r="A1109">
        <v>434</v>
      </c>
      <c r="B1109" t="s">
        <v>2267</v>
      </c>
      <c r="C1109" t="s">
        <v>251</v>
      </c>
      <c r="D1109" t="s">
        <v>73</v>
      </c>
      <c r="E1109" t="s">
        <v>56</v>
      </c>
      <c r="F1109" s="30">
        <v>45322</v>
      </c>
      <c r="G1109" t="s">
        <v>2280</v>
      </c>
      <c r="H1109" t="s">
        <v>4470</v>
      </c>
      <c r="I1109">
        <v>25</v>
      </c>
      <c r="J1109">
        <v>0.44999998807907099</v>
      </c>
      <c r="AV1109">
        <v>0.45</v>
      </c>
    </row>
    <row r="1110" spans="1:94" x14ac:dyDescent="0.3">
      <c r="A1110">
        <v>434</v>
      </c>
      <c r="B1110" t="s">
        <v>2267</v>
      </c>
      <c r="C1110" t="s">
        <v>251</v>
      </c>
      <c r="D1110" t="s">
        <v>73</v>
      </c>
      <c r="E1110" t="s">
        <v>56</v>
      </c>
      <c r="F1110" s="30">
        <v>45322</v>
      </c>
      <c r="G1110" t="s">
        <v>2280</v>
      </c>
      <c r="H1110" t="s">
        <v>4477</v>
      </c>
      <c r="I1110">
        <v>200</v>
      </c>
      <c r="J1110">
        <v>0</v>
      </c>
      <c r="AV1110">
        <v>0</v>
      </c>
    </row>
    <row r="1111" spans="1:94" x14ac:dyDescent="0.3">
      <c r="A1111">
        <v>434</v>
      </c>
      <c r="B1111" t="s">
        <v>2267</v>
      </c>
      <c r="C1111" t="s">
        <v>251</v>
      </c>
      <c r="D1111" t="s">
        <v>73</v>
      </c>
      <c r="E1111" t="s">
        <v>56</v>
      </c>
      <c r="F1111" s="30">
        <v>45322</v>
      </c>
      <c r="G1111" t="s">
        <v>2280</v>
      </c>
      <c r="H1111" t="s">
        <v>4469</v>
      </c>
      <c r="I1111">
        <v>25</v>
      </c>
      <c r="J1111">
        <v>0</v>
      </c>
      <c r="AV1111">
        <v>0</v>
      </c>
    </row>
    <row r="1112" spans="1:94" x14ac:dyDescent="0.3">
      <c r="A1112">
        <v>434</v>
      </c>
      <c r="B1112" t="s">
        <v>2267</v>
      </c>
      <c r="C1112" t="s">
        <v>251</v>
      </c>
      <c r="D1112" t="s">
        <v>73</v>
      </c>
      <c r="E1112" t="s">
        <v>56</v>
      </c>
      <c r="F1112" s="30">
        <v>45322</v>
      </c>
      <c r="G1112" t="s">
        <v>2280</v>
      </c>
      <c r="H1112" t="s">
        <v>4476</v>
      </c>
      <c r="I1112">
        <v>10</v>
      </c>
      <c r="J1112">
        <v>0</v>
      </c>
      <c r="AV1112">
        <v>0</v>
      </c>
    </row>
    <row r="1113" spans="1:94" x14ac:dyDescent="0.3">
      <c r="A1113">
        <v>434</v>
      </c>
      <c r="B1113" t="s">
        <v>2267</v>
      </c>
      <c r="C1113" t="s">
        <v>251</v>
      </c>
      <c r="D1113" t="s">
        <v>73</v>
      </c>
      <c r="E1113" t="s">
        <v>56</v>
      </c>
      <c r="F1113" s="30">
        <v>45322</v>
      </c>
      <c r="G1113" t="s">
        <v>2280</v>
      </c>
      <c r="H1113" t="s">
        <v>4478</v>
      </c>
      <c r="I1113">
        <v>200</v>
      </c>
      <c r="J1113">
        <v>0</v>
      </c>
      <c r="AV1113">
        <v>0</v>
      </c>
    </row>
    <row r="1114" spans="1:94" x14ac:dyDescent="0.3">
      <c r="A1114">
        <v>436</v>
      </c>
      <c r="B1114" t="s">
        <v>2311</v>
      </c>
      <c r="C1114" t="s">
        <v>258</v>
      </c>
      <c r="D1114" t="s">
        <v>73</v>
      </c>
      <c r="E1114" t="s">
        <v>56</v>
      </c>
      <c r="F1114" s="30">
        <v>45322</v>
      </c>
      <c r="G1114" t="s">
        <v>2324</v>
      </c>
      <c r="H1114" t="s">
        <v>4580</v>
      </c>
      <c r="I1114">
        <v>7</v>
      </c>
      <c r="J1114">
        <v>5.6999998092651367</v>
      </c>
      <c r="CP1114">
        <v>5.7</v>
      </c>
    </row>
    <row r="1115" spans="1:94" x14ac:dyDescent="0.3">
      <c r="A1115">
        <v>436</v>
      </c>
      <c r="B1115" t="s">
        <v>2311</v>
      </c>
      <c r="C1115" t="s">
        <v>258</v>
      </c>
      <c r="D1115" t="s">
        <v>73</v>
      </c>
      <c r="E1115" t="s">
        <v>56</v>
      </c>
      <c r="F1115" s="30">
        <v>45322</v>
      </c>
      <c r="G1115" t="s">
        <v>2324</v>
      </c>
      <c r="H1115" t="s">
        <v>4579</v>
      </c>
      <c r="I1115">
        <v>14</v>
      </c>
      <c r="J1115">
        <v>4</v>
      </c>
      <c r="CP1115">
        <v>4</v>
      </c>
    </row>
    <row r="1116" spans="1:94" x14ac:dyDescent="0.3">
      <c r="A1116">
        <v>208</v>
      </c>
      <c r="B1116" t="s">
        <v>707</v>
      </c>
      <c r="C1116" t="s">
        <v>251</v>
      </c>
      <c r="D1116" t="s">
        <v>73</v>
      </c>
      <c r="E1116" t="s">
        <v>56</v>
      </c>
      <c r="F1116" s="30">
        <v>45351</v>
      </c>
      <c r="G1116" t="s">
        <v>734</v>
      </c>
      <c r="H1116" t="s">
        <v>4468</v>
      </c>
      <c r="I1116">
        <v>950</v>
      </c>
      <c r="J1116">
        <v>848</v>
      </c>
      <c r="K1116">
        <v>848</v>
      </c>
    </row>
    <row r="1117" spans="1:94" x14ac:dyDescent="0.3">
      <c r="A1117">
        <v>208</v>
      </c>
      <c r="B1117" t="s">
        <v>707</v>
      </c>
      <c r="C1117" t="s">
        <v>251</v>
      </c>
      <c r="D1117" t="s">
        <v>73</v>
      </c>
      <c r="E1117" t="s">
        <v>56</v>
      </c>
      <c r="F1117" s="30">
        <v>45351</v>
      </c>
      <c r="G1117" t="s">
        <v>734</v>
      </c>
      <c r="H1117" t="s">
        <v>4470</v>
      </c>
      <c r="I1117">
        <v>350</v>
      </c>
      <c r="J1117">
        <v>341</v>
      </c>
      <c r="K1117">
        <v>341</v>
      </c>
    </row>
    <row r="1118" spans="1:94" x14ac:dyDescent="0.3">
      <c r="A1118">
        <v>208</v>
      </c>
      <c r="B1118" t="s">
        <v>707</v>
      </c>
      <c r="C1118" t="s">
        <v>251</v>
      </c>
      <c r="D1118" t="s">
        <v>73</v>
      </c>
      <c r="E1118" t="s">
        <v>56</v>
      </c>
      <c r="F1118" s="30">
        <v>45351</v>
      </c>
      <c r="G1118" t="s">
        <v>734</v>
      </c>
      <c r="H1118" t="s">
        <v>4477</v>
      </c>
      <c r="I1118">
        <v>25</v>
      </c>
      <c r="J1118">
        <v>19</v>
      </c>
      <c r="K1118">
        <v>19</v>
      </c>
    </row>
    <row r="1119" spans="1:94" x14ac:dyDescent="0.3">
      <c r="A1119">
        <v>208</v>
      </c>
      <c r="B1119" t="s">
        <v>707</v>
      </c>
      <c r="C1119" t="s">
        <v>251</v>
      </c>
      <c r="D1119" t="s">
        <v>73</v>
      </c>
      <c r="E1119" t="s">
        <v>56</v>
      </c>
      <c r="F1119" s="30">
        <v>45351</v>
      </c>
      <c r="G1119" t="s">
        <v>734</v>
      </c>
      <c r="H1119" t="s">
        <v>4476</v>
      </c>
      <c r="I1119">
        <v>0</v>
      </c>
      <c r="J1119">
        <v>0</v>
      </c>
      <c r="K1119">
        <v>0</v>
      </c>
    </row>
    <row r="1120" spans="1:94" x14ac:dyDescent="0.3">
      <c r="A1120">
        <v>208</v>
      </c>
      <c r="B1120" t="s">
        <v>707</v>
      </c>
      <c r="C1120" t="s">
        <v>251</v>
      </c>
      <c r="D1120" t="s">
        <v>73</v>
      </c>
      <c r="E1120" t="s">
        <v>56</v>
      </c>
      <c r="F1120" s="30">
        <v>45351</v>
      </c>
      <c r="G1120" t="s">
        <v>734</v>
      </c>
      <c r="H1120" t="s">
        <v>4478</v>
      </c>
      <c r="I1120">
        <v>25</v>
      </c>
      <c r="J1120">
        <v>4</v>
      </c>
      <c r="K1120">
        <v>4</v>
      </c>
    </row>
    <row r="1121" spans="1:46" x14ac:dyDescent="0.3">
      <c r="A1121">
        <v>208</v>
      </c>
      <c r="B1121" t="s">
        <v>707</v>
      </c>
      <c r="C1121" t="s">
        <v>251</v>
      </c>
      <c r="D1121" t="s">
        <v>73</v>
      </c>
      <c r="E1121" t="s">
        <v>56</v>
      </c>
      <c r="F1121" s="30">
        <v>45351</v>
      </c>
      <c r="G1121" t="s">
        <v>734</v>
      </c>
      <c r="H1121" t="s">
        <v>4469</v>
      </c>
      <c r="I1121">
        <v>200</v>
      </c>
      <c r="J1121">
        <v>95</v>
      </c>
      <c r="K1121">
        <v>95</v>
      </c>
    </row>
    <row r="1122" spans="1:46" x14ac:dyDescent="0.3">
      <c r="A1122">
        <v>214</v>
      </c>
      <c r="B1122" t="s">
        <v>774</v>
      </c>
      <c r="C1122" t="s">
        <v>251</v>
      </c>
      <c r="D1122" t="s">
        <v>73</v>
      </c>
      <c r="E1122" t="s">
        <v>56</v>
      </c>
      <c r="F1122" s="30">
        <v>45351</v>
      </c>
      <c r="G1122" t="s">
        <v>801</v>
      </c>
      <c r="H1122" t="s">
        <v>4468</v>
      </c>
      <c r="I1122">
        <v>5500</v>
      </c>
      <c r="J1122">
        <v>3354</v>
      </c>
      <c r="L1122">
        <v>975</v>
      </c>
      <c r="M1122">
        <v>2379</v>
      </c>
    </row>
    <row r="1123" spans="1:46" x14ac:dyDescent="0.3">
      <c r="A1123">
        <v>214</v>
      </c>
      <c r="B1123" t="s">
        <v>774</v>
      </c>
      <c r="C1123" t="s">
        <v>251</v>
      </c>
      <c r="D1123" t="s">
        <v>73</v>
      </c>
      <c r="E1123" t="s">
        <v>56</v>
      </c>
      <c r="F1123" s="30">
        <v>45351</v>
      </c>
      <c r="G1123" t="s">
        <v>801</v>
      </c>
      <c r="H1123" t="s">
        <v>4470</v>
      </c>
      <c r="I1123">
        <v>1000</v>
      </c>
      <c r="J1123">
        <v>989.4000244140625</v>
      </c>
      <c r="L1123">
        <v>11.1</v>
      </c>
      <c r="M1123">
        <v>978.3</v>
      </c>
    </row>
    <row r="1124" spans="1:46" x14ac:dyDescent="0.3">
      <c r="A1124">
        <v>214</v>
      </c>
      <c r="B1124" t="s">
        <v>774</v>
      </c>
      <c r="C1124" t="s">
        <v>251</v>
      </c>
      <c r="D1124" t="s">
        <v>73</v>
      </c>
      <c r="E1124" t="s">
        <v>56</v>
      </c>
      <c r="F1124" s="30">
        <v>45351</v>
      </c>
      <c r="G1124" t="s">
        <v>801</v>
      </c>
      <c r="H1124" t="s">
        <v>4477</v>
      </c>
      <c r="I1124">
        <v>7500</v>
      </c>
      <c r="J1124">
        <v>0</v>
      </c>
      <c r="L1124">
        <v>0</v>
      </c>
      <c r="M1124">
        <v>0</v>
      </c>
    </row>
    <row r="1125" spans="1:46" x14ac:dyDescent="0.3">
      <c r="A1125">
        <v>214</v>
      </c>
      <c r="B1125" t="s">
        <v>774</v>
      </c>
      <c r="C1125" t="s">
        <v>251</v>
      </c>
      <c r="D1125" t="s">
        <v>73</v>
      </c>
      <c r="E1125" t="s">
        <v>56</v>
      </c>
      <c r="F1125" s="30">
        <v>45351</v>
      </c>
      <c r="G1125" t="s">
        <v>801</v>
      </c>
      <c r="H1125" t="s">
        <v>4469</v>
      </c>
      <c r="I1125">
        <v>1000</v>
      </c>
      <c r="J1125">
        <v>1770.5</v>
      </c>
      <c r="L1125">
        <v>149.30000000000001</v>
      </c>
      <c r="M1125">
        <v>1621.2</v>
      </c>
    </row>
    <row r="1126" spans="1:46" x14ac:dyDescent="0.3">
      <c r="A1126">
        <v>214</v>
      </c>
      <c r="B1126" t="s">
        <v>774</v>
      </c>
      <c r="C1126" t="s">
        <v>251</v>
      </c>
      <c r="D1126" t="s">
        <v>73</v>
      </c>
      <c r="E1126" t="s">
        <v>56</v>
      </c>
      <c r="F1126" s="30">
        <v>45351</v>
      </c>
      <c r="G1126" t="s">
        <v>801</v>
      </c>
      <c r="H1126" t="s">
        <v>4476</v>
      </c>
      <c r="I1126">
        <v>1</v>
      </c>
      <c r="J1126">
        <v>0</v>
      </c>
      <c r="L1126">
        <v>0</v>
      </c>
      <c r="M1126">
        <v>0</v>
      </c>
    </row>
    <row r="1127" spans="1:46" x14ac:dyDescent="0.3">
      <c r="A1127">
        <v>214</v>
      </c>
      <c r="B1127" t="s">
        <v>774</v>
      </c>
      <c r="C1127" t="s">
        <v>251</v>
      </c>
      <c r="D1127" t="s">
        <v>73</v>
      </c>
      <c r="E1127" t="s">
        <v>56</v>
      </c>
      <c r="F1127" s="30">
        <v>45351</v>
      </c>
      <c r="G1127" t="s">
        <v>801</v>
      </c>
      <c r="H1127" t="s">
        <v>4478</v>
      </c>
      <c r="I1127">
        <v>1</v>
      </c>
      <c r="J1127">
        <v>25</v>
      </c>
      <c r="L1127">
        <v>14</v>
      </c>
      <c r="M1127">
        <v>11</v>
      </c>
    </row>
    <row r="1128" spans="1:46" x14ac:dyDescent="0.3">
      <c r="A1128">
        <v>217</v>
      </c>
      <c r="B1128" t="s">
        <v>840</v>
      </c>
      <c r="C1128" t="s">
        <v>251</v>
      </c>
      <c r="D1128" t="s">
        <v>73</v>
      </c>
      <c r="E1128" t="s">
        <v>22</v>
      </c>
      <c r="F1128" s="30">
        <v>45351</v>
      </c>
      <c r="G1128" t="s">
        <v>865</v>
      </c>
      <c r="H1128" t="s">
        <v>4470</v>
      </c>
      <c r="I1128">
        <v>20</v>
      </c>
      <c r="J1128">
        <v>1.120000004768372</v>
      </c>
      <c r="L1128">
        <v>11.1</v>
      </c>
      <c r="M1128">
        <v>978.3</v>
      </c>
      <c r="AS1128">
        <v>11.1</v>
      </c>
    </row>
    <row r="1129" spans="1:46" x14ac:dyDescent="0.3">
      <c r="A1129">
        <v>217</v>
      </c>
      <c r="B1129" t="s">
        <v>840</v>
      </c>
      <c r="C1129" t="s">
        <v>251</v>
      </c>
      <c r="D1129" t="s">
        <v>73</v>
      </c>
      <c r="E1129" t="s">
        <v>22</v>
      </c>
      <c r="F1129" s="30">
        <v>45351</v>
      </c>
      <c r="G1129" t="s">
        <v>865</v>
      </c>
      <c r="H1129" t="s">
        <v>4478</v>
      </c>
      <c r="I1129">
        <v>20</v>
      </c>
      <c r="J1129">
        <v>56</v>
      </c>
      <c r="L1129">
        <v>14</v>
      </c>
      <c r="M1129">
        <v>11</v>
      </c>
      <c r="AS1129">
        <v>14</v>
      </c>
    </row>
    <row r="1130" spans="1:46" x14ac:dyDescent="0.3">
      <c r="A1130">
        <v>218</v>
      </c>
      <c r="B1130" t="s">
        <v>888</v>
      </c>
      <c r="C1130" t="s">
        <v>251</v>
      </c>
      <c r="D1130" t="s">
        <v>73</v>
      </c>
      <c r="E1130" t="s">
        <v>56</v>
      </c>
      <c r="F1130" s="30">
        <v>45351</v>
      </c>
      <c r="G1130" t="s">
        <v>915</v>
      </c>
      <c r="H1130" t="s">
        <v>4468</v>
      </c>
      <c r="I1130">
        <v>76000</v>
      </c>
      <c r="J1130">
        <v>70094.9921875</v>
      </c>
      <c r="N1130">
        <v>70094.990000000005</v>
      </c>
    </row>
    <row r="1131" spans="1:46" x14ac:dyDescent="0.3">
      <c r="A1131">
        <v>218</v>
      </c>
      <c r="B1131" t="s">
        <v>888</v>
      </c>
      <c r="C1131" t="s">
        <v>251</v>
      </c>
      <c r="D1131" t="s">
        <v>73</v>
      </c>
      <c r="E1131" t="s">
        <v>56</v>
      </c>
      <c r="F1131" s="30">
        <v>45351</v>
      </c>
      <c r="G1131" t="s">
        <v>915</v>
      </c>
      <c r="H1131" t="s">
        <v>4470</v>
      </c>
      <c r="I1131">
        <v>76000</v>
      </c>
      <c r="J1131">
        <v>48450</v>
      </c>
      <c r="N1131">
        <v>48450</v>
      </c>
    </row>
    <row r="1132" spans="1:46" x14ac:dyDescent="0.3">
      <c r="A1132">
        <v>218</v>
      </c>
      <c r="B1132" t="s">
        <v>888</v>
      </c>
      <c r="C1132" t="s">
        <v>251</v>
      </c>
      <c r="D1132" t="s">
        <v>73</v>
      </c>
      <c r="E1132" t="s">
        <v>56</v>
      </c>
      <c r="F1132" s="30">
        <v>45351</v>
      </c>
      <c r="G1132" t="s">
        <v>915</v>
      </c>
      <c r="H1132" t="s">
        <v>4477</v>
      </c>
      <c r="I1132">
        <v>5000</v>
      </c>
      <c r="J1132">
        <v>4140</v>
      </c>
      <c r="N1132">
        <v>4140</v>
      </c>
    </row>
    <row r="1133" spans="1:46" x14ac:dyDescent="0.3">
      <c r="A1133">
        <v>218</v>
      </c>
      <c r="B1133" t="s">
        <v>888</v>
      </c>
      <c r="C1133" t="s">
        <v>251</v>
      </c>
      <c r="D1133" t="s">
        <v>73</v>
      </c>
      <c r="E1133" t="s">
        <v>56</v>
      </c>
      <c r="F1133" s="30">
        <v>45351</v>
      </c>
      <c r="G1133" t="s">
        <v>915</v>
      </c>
      <c r="H1133" t="s">
        <v>4469</v>
      </c>
      <c r="I1133">
        <v>24000</v>
      </c>
      <c r="J1133">
        <v>10173</v>
      </c>
      <c r="N1133">
        <v>10173</v>
      </c>
    </row>
    <row r="1134" spans="1:46" x14ac:dyDescent="0.3">
      <c r="A1134">
        <v>218</v>
      </c>
      <c r="B1134" t="s">
        <v>888</v>
      </c>
      <c r="C1134" t="s">
        <v>251</v>
      </c>
      <c r="D1134" t="s">
        <v>73</v>
      </c>
      <c r="E1134" t="s">
        <v>56</v>
      </c>
      <c r="F1134" s="30">
        <v>45351</v>
      </c>
      <c r="G1134" t="s">
        <v>915</v>
      </c>
      <c r="H1134" t="s">
        <v>4476</v>
      </c>
      <c r="I1134">
        <v>5000</v>
      </c>
      <c r="J1134">
        <v>1680</v>
      </c>
      <c r="N1134">
        <v>1680</v>
      </c>
    </row>
    <row r="1135" spans="1:46" x14ac:dyDescent="0.3">
      <c r="A1135">
        <v>218</v>
      </c>
      <c r="B1135" t="s">
        <v>888</v>
      </c>
      <c r="C1135" t="s">
        <v>251</v>
      </c>
      <c r="D1135" t="s">
        <v>73</v>
      </c>
      <c r="E1135" t="s">
        <v>56</v>
      </c>
      <c r="F1135" s="30">
        <v>45351</v>
      </c>
      <c r="G1135" t="s">
        <v>915</v>
      </c>
      <c r="H1135" t="s">
        <v>4478</v>
      </c>
      <c r="I1135">
        <v>2000</v>
      </c>
      <c r="J1135">
        <v>1138</v>
      </c>
      <c r="N1135">
        <v>1138</v>
      </c>
    </row>
    <row r="1136" spans="1:46" x14ac:dyDescent="0.3">
      <c r="A1136">
        <v>225</v>
      </c>
      <c r="B1136" t="s">
        <v>976</v>
      </c>
      <c r="C1136" t="s">
        <v>251</v>
      </c>
      <c r="D1136" t="s">
        <v>73</v>
      </c>
      <c r="E1136" t="s">
        <v>22</v>
      </c>
      <c r="F1136" s="30">
        <v>45351</v>
      </c>
      <c r="G1136" t="s">
        <v>1002</v>
      </c>
      <c r="H1136" t="s">
        <v>4478</v>
      </c>
      <c r="I1136">
        <v>1</v>
      </c>
      <c r="J1136">
        <v>1</v>
      </c>
      <c r="AT1136">
        <v>1</v>
      </c>
    </row>
    <row r="1137" spans="1:94" x14ac:dyDescent="0.3">
      <c r="A1137">
        <v>434</v>
      </c>
      <c r="B1137" t="s">
        <v>2267</v>
      </c>
      <c r="C1137" t="s">
        <v>251</v>
      </c>
      <c r="D1137" t="s">
        <v>73</v>
      </c>
      <c r="E1137" t="s">
        <v>56</v>
      </c>
      <c r="F1137" s="30">
        <v>45351</v>
      </c>
      <c r="G1137" t="s">
        <v>2281</v>
      </c>
      <c r="H1137" t="s">
        <v>4468</v>
      </c>
      <c r="I1137">
        <v>100</v>
      </c>
      <c r="J1137">
        <v>95.849998474121094</v>
      </c>
      <c r="AV1137">
        <v>95.85</v>
      </c>
    </row>
    <row r="1138" spans="1:94" x14ac:dyDescent="0.3">
      <c r="A1138">
        <v>434</v>
      </c>
      <c r="B1138" t="s">
        <v>2267</v>
      </c>
      <c r="C1138" t="s">
        <v>251</v>
      </c>
      <c r="D1138" t="s">
        <v>73</v>
      </c>
      <c r="E1138" t="s">
        <v>56</v>
      </c>
      <c r="F1138" s="30">
        <v>45351</v>
      </c>
      <c r="G1138" t="s">
        <v>2281</v>
      </c>
      <c r="H1138" t="s">
        <v>4470</v>
      </c>
      <c r="I1138">
        <v>25</v>
      </c>
      <c r="J1138">
        <v>1.25</v>
      </c>
      <c r="AV1138">
        <v>1.25</v>
      </c>
    </row>
    <row r="1139" spans="1:94" x14ac:dyDescent="0.3">
      <c r="A1139">
        <v>434</v>
      </c>
      <c r="B1139" t="s">
        <v>2267</v>
      </c>
      <c r="C1139" t="s">
        <v>251</v>
      </c>
      <c r="D1139" t="s">
        <v>73</v>
      </c>
      <c r="E1139" t="s">
        <v>56</v>
      </c>
      <c r="F1139" s="30">
        <v>45351</v>
      </c>
      <c r="G1139" t="s">
        <v>2281</v>
      </c>
      <c r="H1139" t="s">
        <v>4477</v>
      </c>
      <c r="I1139">
        <v>200</v>
      </c>
      <c r="J1139">
        <v>0</v>
      </c>
      <c r="AV1139">
        <v>0</v>
      </c>
    </row>
    <row r="1140" spans="1:94" x14ac:dyDescent="0.3">
      <c r="A1140">
        <v>434</v>
      </c>
      <c r="B1140" t="s">
        <v>2267</v>
      </c>
      <c r="C1140" t="s">
        <v>251</v>
      </c>
      <c r="D1140" t="s">
        <v>73</v>
      </c>
      <c r="E1140" t="s">
        <v>56</v>
      </c>
      <c r="F1140" s="30">
        <v>45351</v>
      </c>
      <c r="G1140" t="s">
        <v>2281</v>
      </c>
      <c r="H1140" t="s">
        <v>4469</v>
      </c>
      <c r="I1140">
        <v>25</v>
      </c>
      <c r="J1140">
        <v>10.39999961853027</v>
      </c>
      <c r="AV1140">
        <v>10.4</v>
      </c>
    </row>
    <row r="1141" spans="1:94" x14ac:dyDescent="0.3">
      <c r="A1141">
        <v>434</v>
      </c>
      <c r="B1141" t="s">
        <v>2267</v>
      </c>
      <c r="C1141" t="s">
        <v>251</v>
      </c>
      <c r="D1141" t="s">
        <v>73</v>
      </c>
      <c r="E1141" t="s">
        <v>56</v>
      </c>
      <c r="F1141" s="30">
        <v>45351</v>
      </c>
      <c r="G1141" t="s">
        <v>2281</v>
      </c>
      <c r="H1141" t="s">
        <v>4476</v>
      </c>
      <c r="I1141">
        <v>10</v>
      </c>
      <c r="J1141">
        <v>0.20000000298023221</v>
      </c>
      <c r="AV1141">
        <v>0.2</v>
      </c>
    </row>
    <row r="1142" spans="1:94" x14ac:dyDescent="0.3">
      <c r="A1142">
        <v>434</v>
      </c>
      <c r="B1142" t="s">
        <v>2267</v>
      </c>
      <c r="C1142" t="s">
        <v>251</v>
      </c>
      <c r="D1142" t="s">
        <v>73</v>
      </c>
      <c r="E1142" t="s">
        <v>56</v>
      </c>
      <c r="F1142" s="30">
        <v>45351</v>
      </c>
      <c r="G1142" t="s">
        <v>2281</v>
      </c>
      <c r="H1142" t="s">
        <v>4478</v>
      </c>
      <c r="I1142">
        <v>200</v>
      </c>
      <c r="J1142">
        <v>0</v>
      </c>
      <c r="AV1142">
        <v>0</v>
      </c>
    </row>
    <row r="1143" spans="1:94" x14ac:dyDescent="0.3">
      <c r="A1143">
        <v>436</v>
      </c>
      <c r="B1143" t="s">
        <v>2311</v>
      </c>
      <c r="C1143" t="s">
        <v>258</v>
      </c>
      <c r="D1143" t="s">
        <v>73</v>
      </c>
      <c r="E1143" t="s">
        <v>56</v>
      </c>
      <c r="F1143" s="30">
        <v>45351</v>
      </c>
      <c r="G1143" t="s">
        <v>2325</v>
      </c>
      <c r="H1143" t="s">
        <v>4579</v>
      </c>
      <c r="I1143">
        <v>14</v>
      </c>
      <c r="J1143">
        <v>6.0999999046325684</v>
      </c>
      <c r="CP1143">
        <v>6.1</v>
      </c>
    </row>
    <row r="1144" spans="1:94" x14ac:dyDescent="0.3">
      <c r="A1144">
        <v>436</v>
      </c>
      <c r="B1144" t="s">
        <v>2311</v>
      </c>
      <c r="C1144" t="s">
        <v>258</v>
      </c>
      <c r="D1144" t="s">
        <v>73</v>
      </c>
      <c r="E1144" t="s">
        <v>56</v>
      </c>
      <c r="F1144" s="30">
        <v>45351</v>
      </c>
      <c r="G1144" t="s">
        <v>2325</v>
      </c>
      <c r="H1144" t="s">
        <v>4580</v>
      </c>
      <c r="I1144">
        <v>7</v>
      </c>
      <c r="J1144">
        <v>7.4000000953674316</v>
      </c>
      <c r="CP1144">
        <v>7.4</v>
      </c>
    </row>
    <row r="1145" spans="1:94" x14ac:dyDescent="0.3">
      <c r="A1145">
        <v>208</v>
      </c>
      <c r="B1145" t="s">
        <v>707</v>
      </c>
      <c r="C1145" t="s">
        <v>251</v>
      </c>
      <c r="D1145" t="s">
        <v>73</v>
      </c>
      <c r="E1145" t="s">
        <v>56</v>
      </c>
      <c r="F1145" s="30">
        <v>45382</v>
      </c>
      <c r="G1145" t="s">
        <v>735</v>
      </c>
      <c r="H1145" t="s">
        <v>4468</v>
      </c>
      <c r="I1145">
        <v>950</v>
      </c>
      <c r="J1145">
        <v>850</v>
      </c>
      <c r="K1145">
        <v>850</v>
      </c>
    </row>
    <row r="1146" spans="1:94" x14ac:dyDescent="0.3">
      <c r="A1146">
        <v>208</v>
      </c>
      <c r="B1146" t="s">
        <v>707</v>
      </c>
      <c r="C1146" t="s">
        <v>251</v>
      </c>
      <c r="D1146" t="s">
        <v>73</v>
      </c>
      <c r="E1146" t="s">
        <v>56</v>
      </c>
      <c r="F1146" s="30">
        <v>45382</v>
      </c>
      <c r="G1146" t="s">
        <v>735</v>
      </c>
      <c r="H1146" t="s">
        <v>4470</v>
      </c>
      <c r="I1146">
        <v>350</v>
      </c>
      <c r="J1146">
        <v>317.5</v>
      </c>
      <c r="K1146">
        <v>317.5</v>
      </c>
    </row>
    <row r="1147" spans="1:94" x14ac:dyDescent="0.3">
      <c r="A1147">
        <v>208</v>
      </c>
      <c r="B1147" t="s">
        <v>707</v>
      </c>
      <c r="C1147" t="s">
        <v>251</v>
      </c>
      <c r="D1147" t="s">
        <v>73</v>
      </c>
      <c r="E1147" t="s">
        <v>56</v>
      </c>
      <c r="F1147" s="30">
        <v>45382</v>
      </c>
      <c r="G1147" t="s">
        <v>735</v>
      </c>
      <c r="H1147" t="s">
        <v>4477</v>
      </c>
      <c r="I1147">
        <v>25</v>
      </c>
      <c r="J1147">
        <v>19</v>
      </c>
      <c r="K1147">
        <v>19</v>
      </c>
    </row>
    <row r="1148" spans="1:94" x14ac:dyDescent="0.3">
      <c r="A1148">
        <v>208</v>
      </c>
      <c r="B1148" t="s">
        <v>707</v>
      </c>
      <c r="C1148" t="s">
        <v>251</v>
      </c>
      <c r="D1148" t="s">
        <v>73</v>
      </c>
      <c r="E1148" t="s">
        <v>56</v>
      </c>
      <c r="F1148" s="30">
        <v>45382</v>
      </c>
      <c r="G1148" t="s">
        <v>735</v>
      </c>
      <c r="H1148" t="s">
        <v>4476</v>
      </c>
      <c r="I1148">
        <v>0</v>
      </c>
      <c r="J1148">
        <v>0</v>
      </c>
      <c r="K1148">
        <v>0</v>
      </c>
    </row>
    <row r="1149" spans="1:94" x14ac:dyDescent="0.3">
      <c r="A1149">
        <v>208</v>
      </c>
      <c r="B1149" t="s">
        <v>707</v>
      </c>
      <c r="C1149" t="s">
        <v>251</v>
      </c>
      <c r="D1149" t="s">
        <v>73</v>
      </c>
      <c r="E1149" t="s">
        <v>56</v>
      </c>
      <c r="F1149" s="30">
        <v>45382</v>
      </c>
      <c r="G1149" t="s">
        <v>735</v>
      </c>
      <c r="H1149" t="s">
        <v>4478</v>
      </c>
      <c r="I1149">
        <v>25</v>
      </c>
      <c r="J1149">
        <v>7</v>
      </c>
      <c r="K1149">
        <v>7</v>
      </c>
    </row>
    <row r="1150" spans="1:94" x14ac:dyDescent="0.3">
      <c r="A1150">
        <v>208</v>
      </c>
      <c r="B1150" t="s">
        <v>707</v>
      </c>
      <c r="C1150" t="s">
        <v>251</v>
      </c>
      <c r="D1150" t="s">
        <v>73</v>
      </c>
      <c r="E1150" t="s">
        <v>56</v>
      </c>
      <c r="F1150" s="30">
        <v>45382</v>
      </c>
      <c r="G1150" t="s">
        <v>735</v>
      </c>
      <c r="H1150" t="s">
        <v>4469</v>
      </c>
      <c r="I1150">
        <v>200</v>
      </c>
      <c r="J1150">
        <v>281</v>
      </c>
      <c r="K1150">
        <v>281</v>
      </c>
    </row>
    <row r="1151" spans="1:94" x14ac:dyDescent="0.3">
      <c r="A1151">
        <v>214</v>
      </c>
      <c r="B1151" t="s">
        <v>774</v>
      </c>
      <c r="C1151" t="s">
        <v>251</v>
      </c>
      <c r="D1151" t="s">
        <v>73</v>
      </c>
      <c r="E1151" t="s">
        <v>56</v>
      </c>
      <c r="F1151" s="30">
        <v>45382</v>
      </c>
      <c r="G1151" t="s">
        <v>802</v>
      </c>
      <c r="H1151" t="s">
        <v>4468</v>
      </c>
      <c r="I1151">
        <v>5500</v>
      </c>
      <c r="J1151">
        <v>3775</v>
      </c>
      <c r="L1151">
        <v>652</v>
      </c>
      <c r="M1151">
        <v>3112</v>
      </c>
    </row>
    <row r="1152" spans="1:94" x14ac:dyDescent="0.3">
      <c r="A1152">
        <v>214</v>
      </c>
      <c r="B1152" t="s">
        <v>774</v>
      </c>
      <c r="C1152" t="s">
        <v>251</v>
      </c>
      <c r="D1152" t="s">
        <v>73</v>
      </c>
      <c r="E1152" t="s">
        <v>56</v>
      </c>
      <c r="F1152" s="30">
        <v>45382</v>
      </c>
      <c r="G1152" t="s">
        <v>802</v>
      </c>
      <c r="H1152" t="s">
        <v>4470</v>
      </c>
      <c r="I1152">
        <v>1000</v>
      </c>
      <c r="J1152">
        <v>1023.840026855469</v>
      </c>
      <c r="L1152">
        <v>227.4</v>
      </c>
      <c r="M1152">
        <v>796.44</v>
      </c>
    </row>
    <row r="1153" spans="1:48" x14ac:dyDescent="0.3">
      <c r="A1153">
        <v>214</v>
      </c>
      <c r="B1153" t="s">
        <v>774</v>
      </c>
      <c r="C1153" t="s">
        <v>251</v>
      </c>
      <c r="D1153" t="s">
        <v>73</v>
      </c>
      <c r="E1153" t="s">
        <v>56</v>
      </c>
      <c r="F1153" s="30">
        <v>45382</v>
      </c>
      <c r="G1153" t="s">
        <v>802</v>
      </c>
      <c r="H1153" t="s">
        <v>4477</v>
      </c>
      <c r="I1153">
        <v>7500</v>
      </c>
      <c r="J1153">
        <v>0</v>
      </c>
      <c r="L1153">
        <v>0</v>
      </c>
      <c r="M1153">
        <v>0</v>
      </c>
    </row>
    <row r="1154" spans="1:48" x14ac:dyDescent="0.3">
      <c r="A1154">
        <v>214</v>
      </c>
      <c r="B1154" t="s">
        <v>774</v>
      </c>
      <c r="C1154" t="s">
        <v>251</v>
      </c>
      <c r="D1154" t="s">
        <v>73</v>
      </c>
      <c r="E1154" t="s">
        <v>56</v>
      </c>
      <c r="F1154" s="30">
        <v>45382</v>
      </c>
      <c r="G1154" t="s">
        <v>802</v>
      </c>
      <c r="H1154" t="s">
        <v>4469</v>
      </c>
      <c r="I1154">
        <v>1000</v>
      </c>
      <c r="J1154">
        <v>727.69000244140625</v>
      </c>
      <c r="L1154">
        <v>120.39</v>
      </c>
      <c r="M1154">
        <v>607.20000000000005</v>
      </c>
    </row>
    <row r="1155" spans="1:48" x14ac:dyDescent="0.3">
      <c r="A1155">
        <v>214</v>
      </c>
      <c r="B1155" t="s">
        <v>774</v>
      </c>
      <c r="C1155" t="s">
        <v>251</v>
      </c>
      <c r="D1155" t="s">
        <v>73</v>
      </c>
      <c r="E1155" t="s">
        <v>56</v>
      </c>
      <c r="F1155" s="30">
        <v>45382</v>
      </c>
      <c r="G1155" t="s">
        <v>802</v>
      </c>
      <c r="H1155" t="s">
        <v>4476</v>
      </c>
      <c r="I1155">
        <v>1</v>
      </c>
      <c r="J1155">
        <v>0</v>
      </c>
      <c r="L1155">
        <v>0</v>
      </c>
      <c r="M1155">
        <v>0</v>
      </c>
    </row>
    <row r="1156" spans="1:48" x14ac:dyDescent="0.3">
      <c r="A1156">
        <v>214</v>
      </c>
      <c r="B1156" t="s">
        <v>774</v>
      </c>
      <c r="C1156" t="s">
        <v>251</v>
      </c>
      <c r="D1156" t="s">
        <v>73</v>
      </c>
      <c r="E1156" t="s">
        <v>56</v>
      </c>
      <c r="F1156" s="30">
        <v>45382</v>
      </c>
      <c r="G1156" t="s">
        <v>802</v>
      </c>
      <c r="H1156" t="s">
        <v>4478</v>
      </c>
      <c r="I1156">
        <v>1</v>
      </c>
      <c r="J1156">
        <v>21.909999847412109</v>
      </c>
      <c r="L1156">
        <v>9.2799999999999994</v>
      </c>
      <c r="M1156">
        <v>12.63</v>
      </c>
    </row>
    <row r="1157" spans="1:48" x14ac:dyDescent="0.3">
      <c r="A1157">
        <v>217</v>
      </c>
      <c r="B1157" t="s">
        <v>840</v>
      </c>
      <c r="C1157" t="s">
        <v>251</v>
      </c>
      <c r="D1157" t="s">
        <v>73</v>
      </c>
      <c r="E1157" t="s">
        <v>22</v>
      </c>
      <c r="F1157" s="30">
        <v>45382</v>
      </c>
      <c r="G1157" t="s">
        <v>866</v>
      </c>
      <c r="H1157" t="s">
        <v>4470</v>
      </c>
      <c r="I1157">
        <v>20</v>
      </c>
      <c r="J1157">
        <v>22.20999908447266</v>
      </c>
      <c r="L1157">
        <v>227.4</v>
      </c>
      <c r="M1157">
        <v>796.44</v>
      </c>
      <c r="AS1157">
        <v>227.4</v>
      </c>
    </row>
    <row r="1158" spans="1:48" x14ac:dyDescent="0.3">
      <c r="A1158">
        <v>217</v>
      </c>
      <c r="B1158" t="s">
        <v>840</v>
      </c>
      <c r="C1158" t="s">
        <v>251</v>
      </c>
      <c r="D1158" t="s">
        <v>73</v>
      </c>
      <c r="E1158" t="s">
        <v>22</v>
      </c>
      <c r="F1158" s="30">
        <v>45382</v>
      </c>
      <c r="G1158" t="s">
        <v>866</v>
      </c>
      <c r="H1158" t="s">
        <v>4478</v>
      </c>
      <c r="I1158">
        <v>20</v>
      </c>
      <c r="J1158">
        <v>42.360000610351563</v>
      </c>
      <c r="L1158">
        <v>9.2799999999999994</v>
      </c>
      <c r="M1158">
        <v>12.63</v>
      </c>
      <c r="AS1158">
        <v>9.2799999999999994</v>
      </c>
    </row>
    <row r="1159" spans="1:48" x14ac:dyDescent="0.3">
      <c r="A1159">
        <v>218</v>
      </c>
      <c r="B1159" t="s">
        <v>888</v>
      </c>
      <c r="C1159" t="s">
        <v>251</v>
      </c>
      <c r="D1159" t="s">
        <v>73</v>
      </c>
      <c r="E1159" t="s">
        <v>56</v>
      </c>
      <c r="F1159" s="30">
        <v>45382</v>
      </c>
      <c r="G1159" t="s">
        <v>916</v>
      </c>
      <c r="H1159" t="s">
        <v>4468</v>
      </c>
      <c r="I1159">
        <v>76000</v>
      </c>
      <c r="J1159">
        <v>67615.7265625</v>
      </c>
      <c r="N1159">
        <v>67615.73</v>
      </c>
    </row>
    <row r="1160" spans="1:48" x14ac:dyDescent="0.3">
      <c r="A1160">
        <v>218</v>
      </c>
      <c r="B1160" t="s">
        <v>888</v>
      </c>
      <c r="C1160" t="s">
        <v>251</v>
      </c>
      <c r="D1160" t="s">
        <v>73</v>
      </c>
      <c r="E1160" t="s">
        <v>56</v>
      </c>
      <c r="F1160" s="30">
        <v>45382</v>
      </c>
      <c r="G1160" t="s">
        <v>916</v>
      </c>
      <c r="H1160" t="s">
        <v>4470</v>
      </c>
      <c r="I1160">
        <v>76000</v>
      </c>
      <c r="J1160">
        <v>51870</v>
      </c>
      <c r="N1160">
        <v>51870</v>
      </c>
    </row>
    <row r="1161" spans="1:48" x14ac:dyDescent="0.3">
      <c r="A1161">
        <v>218</v>
      </c>
      <c r="B1161" t="s">
        <v>888</v>
      </c>
      <c r="C1161" t="s">
        <v>251</v>
      </c>
      <c r="D1161" t="s">
        <v>73</v>
      </c>
      <c r="E1161" t="s">
        <v>56</v>
      </c>
      <c r="F1161" s="30">
        <v>45382</v>
      </c>
      <c r="G1161" t="s">
        <v>916</v>
      </c>
      <c r="H1161" t="s">
        <v>4477</v>
      </c>
      <c r="I1161">
        <v>5000</v>
      </c>
      <c r="J1161">
        <v>4680</v>
      </c>
      <c r="N1161">
        <v>4680</v>
      </c>
    </row>
    <row r="1162" spans="1:48" x14ac:dyDescent="0.3">
      <c r="A1162">
        <v>218</v>
      </c>
      <c r="B1162" t="s">
        <v>888</v>
      </c>
      <c r="C1162" t="s">
        <v>251</v>
      </c>
      <c r="D1162" t="s">
        <v>73</v>
      </c>
      <c r="E1162" t="s">
        <v>56</v>
      </c>
      <c r="F1162" s="30">
        <v>45382</v>
      </c>
      <c r="G1162" t="s">
        <v>916</v>
      </c>
      <c r="H1162" t="s">
        <v>4469</v>
      </c>
      <c r="I1162">
        <v>24000</v>
      </c>
      <c r="J1162">
        <v>24290</v>
      </c>
      <c r="N1162">
        <v>24290</v>
      </c>
    </row>
    <row r="1163" spans="1:48" x14ac:dyDescent="0.3">
      <c r="A1163">
        <v>218</v>
      </c>
      <c r="B1163" t="s">
        <v>888</v>
      </c>
      <c r="C1163" t="s">
        <v>251</v>
      </c>
      <c r="D1163" t="s">
        <v>73</v>
      </c>
      <c r="E1163" t="s">
        <v>56</v>
      </c>
      <c r="F1163" s="30">
        <v>45382</v>
      </c>
      <c r="G1163" t="s">
        <v>916</v>
      </c>
      <c r="H1163" t="s">
        <v>4478</v>
      </c>
      <c r="I1163">
        <v>2000</v>
      </c>
      <c r="J1163">
        <v>1453</v>
      </c>
      <c r="N1163">
        <v>1453</v>
      </c>
    </row>
    <row r="1164" spans="1:48" x14ac:dyDescent="0.3">
      <c r="A1164">
        <v>218</v>
      </c>
      <c r="B1164" t="s">
        <v>888</v>
      </c>
      <c r="C1164" t="s">
        <v>251</v>
      </c>
      <c r="D1164" t="s">
        <v>73</v>
      </c>
      <c r="E1164" t="s">
        <v>56</v>
      </c>
      <c r="F1164" s="30">
        <v>45382</v>
      </c>
      <c r="G1164" t="s">
        <v>916</v>
      </c>
      <c r="H1164" t="s">
        <v>4476</v>
      </c>
      <c r="I1164">
        <v>5000</v>
      </c>
      <c r="J1164">
        <v>3840</v>
      </c>
      <c r="N1164">
        <v>3840</v>
      </c>
    </row>
    <row r="1165" spans="1:48" x14ac:dyDescent="0.3">
      <c r="A1165">
        <v>434</v>
      </c>
      <c r="B1165" t="s">
        <v>2267</v>
      </c>
      <c r="C1165" t="s">
        <v>251</v>
      </c>
      <c r="D1165" t="s">
        <v>73</v>
      </c>
      <c r="E1165" t="s">
        <v>56</v>
      </c>
      <c r="F1165" s="30">
        <v>45382</v>
      </c>
      <c r="G1165" t="s">
        <v>2282</v>
      </c>
      <c r="H1165" t="s">
        <v>4468</v>
      </c>
      <c r="I1165">
        <v>100</v>
      </c>
      <c r="J1165">
        <v>19.04999923706055</v>
      </c>
      <c r="AV1165">
        <v>19.05</v>
      </c>
    </row>
    <row r="1166" spans="1:48" x14ac:dyDescent="0.3">
      <c r="A1166">
        <v>434</v>
      </c>
      <c r="B1166" t="s">
        <v>2267</v>
      </c>
      <c r="C1166" t="s">
        <v>251</v>
      </c>
      <c r="D1166" t="s">
        <v>73</v>
      </c>
      <c r="E1166" t="s">
        <v>56</v>
      </c>
      <c r="F1166" s="30">
        <v>45382</v>
      </c>
      <c r="G1166" t="s">
        <v>2282</v>
      </c>
      <c r="H1166" t="s">
        <v>4470</v>
      </c>
      <c r="I1166">
        <v>25</v>
      </c>
      <c r="J1166">
        <v>1.570000052452087</v>
      </c>
      <c r="AV1166">
        <v>1.57</v>
      </c>
    </row>
    <row r="1167" spans="1:48" x14ac:dyDescent="0.3">
      <c r="A1167">
        <v>434</v>
      </c>
      <c r="B1167" t="s">
        <v>2267</v>
      </c>
      <c r="C1167" t="s">
        <v>251</v>
      </c>
      <c r="D1167" t="s">
        <v>73</v>
      </c>
      <c r="E1167" t="s">
        <v>56</v>
      </c>
      <c r="F1167" s="30">
        <v>45382</v>
      </c>
      <c r="G1167" t="s">
        <v>2282</v>
      </c>
      <c r="H1167" t="s">
        <v>4477</v>
      </c>
      <c r="I1167">
        <v>200</v>
      </c>
      <c r="J1167">
        <v>0</v>
      </c>
      <c r="AV1167">
        <v>0</v>
      </c>
    </row>
    <row r="1168" spans="1:48" x14ac:dyDescent="0.3">
      <c r="A1168">
        <v>434</v>
      </c>
      <c r="B1168" t="s">
        <v>2267</v>
      </c>
      <c r="C1168" t="s">
        <v>251</v>
      </c>
      <c r="D1168" t="s">
        <v>73</v>
      </c>
      <c r="E1168" t="s">
        <v>56</v>
      </c>
      <c r="F1168" s="30">
        <v>45382</v>
      </c>
      <c r="G1168" t="s">
        <v>2282</v>
      </c>
      <c r="H1168" t="s">
        <v>4469</v>
      </c>
      <c r="I1168">
        <v>25</v>
      </c>
      <c r="J1168">
        <v>1.200000047683716</v>
      </c>
      <c r="AV1168">
        <v>1.2</v>
      </c>
    </row>
    <row r="1169" spans="1:94" x14ac:dyDescent="0.3">
      <c r="A1169">
        <v>434</v>
      </c>
      <c r="B1169" t="s">
        <v>2267</v>
      </c>
      <c r="C1169" t="s">
        <v>251</v>
      </c>
      <c r="D1169" t="s">
        <v>73</v>
      </c>
      <c r="E1169" t="s">
        <v>56</v>
      </c>
      <c r="F1169" s="30">
        <v>45382</v>
      </c>
      <c r="G1169" t="s">
        <v>2282</v>
      </c>
      <c r="H1169" t="s">
        <v>4476</v>
      </c>
      <c r="I1169">
        <v>10</v>
      </c>
      <c r="J1169">
        <v>0.20000000298023221</v>
      </c>
      <c r="AV1169">
        <v>0.2</v>
      </c>
    </row>
    <row r="1170" spans="1:94" x14ac:dyDescent="0.3">
      <c r="A1170">
        <v>434</v>
      </c>
      <c r="B1170" t="s">
        <v>2267</v>
      </c>
      <c r="C1170" t="s">
        <v>251</v>
      </c>
      <c r="D1170" t="s">
        <v>73</v>
      </c>
      <c r="E1170" t="s">
        <v>56</v>
      </c>
      <c r="F1170" s="30">
        <v>45382</v>
      </c>
      <c r="G1170" t="s">
        <v>2282</v>
      </c>
      <c r="H1170" t="s">
        <v>4478</v>
      </c>
      <c r="I1170">
        <v>200</v>
      </c>
      <c r="J1170">
        <v>0</v>
      </c>
      <c r="AV1170">
        <v>0</v>
      </c>
    </row>
    <row r="1171" spans="1:94" x14ac:dyDescent="0.3">
      <c r="A1171">
        <v>436</v>
      </c>
      <c r="B1171" t="s">
        <v>2311</v>
      </c>
      <c r="C1171" t="s">
        <v>258</v>
      </c>
      <c r="D1171" t="s">
        <v>73</v>
      </c>
      <c r="E1171" t="s">
        <v>56</v>
      </c>
      <c r="F1171" s="30">
        <v>45382</v>
      </c>
      <c r="G1171" t="s">
        <v>2326</v>
      </c>
      <c r="H1171" t="s">
        <v>4580</v>
      </c>
      <c r="I1171">
        <v>7</v>
      </c>
      <c r="J1171">
        <v>10.10000038146973</v>
      </c>
      <c r="CP1171">
        <v>10.1</v>
      </c>
    </row>
    <row r="1172" spans="1:94" x14ac:dyDescent="0.3">
      <c r="A1172">
        <v>213</v>
      </c>
      <c r="B1172" t="s">
        <v>757</v>
      </c>
      <c r="C1172" t="s">
        <v>251</v>
      </c>
      <c r="D1172" t="s">
        <v>21</v>
      </c>
      <c r="E1172" t="s">
        <v>22</v>
      </c>
      <c r="F1172" s="30">
        <v>45382</v>
      </c>
      <c r="G1172" t="s">
        <v>766</v>
      </c>
      <c r="H1172" t="s">
        <v>4487</v>
      </c>
      <c r="I1172">
        <v>90</v>
      </c>
      <c r="J1172">
        <v>100</v>
      </c>
      <c r="AW1172">
        <v>45</v>
      </c>
      <c r="AX1172">
        <v>45</v>
      </c>
    </row>
    <row r="1173" spans="1:94" x14ac:dyDescent="0.3">
      <c r="A1173">
        <v>213</v>
      </c>
      <c r="B1173" t="s">
        <v>757</v>
      </c>
      <c r="C1173" t="s">
        <v>251</v>
      </c>
      <c r="D1173" t="s">
        <v>21</v>
      </c>
      <c r="E1173" t="s">
        <v>22</v>
      </c>
      <c r="F1173" s="30">
        <v>45382</v>
      </c>
      <c r="G1173" t="s">
        <v>766</v>
      </c>
      <c r="H1173" t="s">
        <v>4482</v>
      </c>
      <c r="I1173">
        <v>90</v>
      </c>
      <c r="J1173">
        <v>100</v>
      </c>
      <c r="AW1173">
        <v>18</v>
      </c>
      <c r="AX1173">
        <v>18</v>
      </c>
    </row>
    <row r="1174" spans="1:94" x14ac:dyDescent="0.3">
      <c r="A1174">
        <v>213</v>
      </c>
      <c r="B1174" t="s">
        <v>757</v>
      </c>
      <c r="C1174" t="s">
        <v>251</v>
      </c>
      <c r="D1174" t="s">
        <v>21</v>
      </c>
      <c r="E1174" t="s">
        <v>22</v>
      </c>
      <c r="F1174" s="30">
        <v>45382</v>
      </c>
      <c r="G1174" t="s">
        <v>766</v>
      </c>
      <c r="H1174" t="s">
        <v>4483</v>
      </c>
      <c r="I1174">
        <v>90</v>
      </c>
      <c r="J1174">
        <v>100</v>
      </c>
      <c r="AW1174">
        <v>20</v>
      </c>
      <c r="AX1174">
        <v>20</v>
      </c>
    </row>
    <row r="1175" spans="1:94" x14ac:dyDescent="0.3">
      <c r="A1175">
        <v>213</v>
      </c>
      <c r="B1175" t="s">
        <v>757</v>
      </c>
      <c r="C1175" t="s">
        <v>251</v>
      </c>
      <c r="D1175" t="s">
        <v>21</v>
      </c>
      <c r="E1175" t="s">
        <v>22</v>
      </c>
      <c r="F1175" s="30">
        <v>45382</v>
      </c>
      <c r="G1175" t="s">
        <v>766</v>
      </c>
      <c r="H1175" t="s">
        <v>4533</v>
      </c>
      <c r="I1175">
        <v>90</v>
      </c>
      <c r="J1175">
        <v>100</v>
      </c>
      <c r="AW1175">
        <v>9</v>
      </c>
      <c r="AX1175">
        <v>9</v>
      </c>
    </row>
    <row r="1176" spans="1:94" x14ac:dyDescent="0.3">
      <c r="A1176">
        <v>213</v>
      </c>
      <c r="B1176" t="s">
        <v>757</v>
      </c>
      <c r="C1176" t="s">
        <v>251</v>
      </c>
      <c r="D1176" t="s">
        <v>21</v>
      </c>
      <c r="E1176" t="s">
        <v>22</v>
      </c>
      <c r="F1176" s="30">
        <v>45382</v>
      </c>
      <c r="G1176" t="s">
        <v>766</v>
      </c>
      <c r="H1176" t="s">
        <v>4534</v>
      </c>
      <c r="I1176">
        <v>90</v>
      </c>
      <c r="J1176">
        <v>0</v>
      </c>
      <c r="AW1176">
        <v>0</v>
      </c>
      <c r="AX1176">
        <v>0</v>
      </c>
    </row>
    <row r="1177" spans="1:94" x14ac:dyDescent="0.3">
      <c r="A1177">
        <v>213</v>
      </c>
      <c r="B1177" t="s">
        <v>757</v>
      </c>
      <c r="C1177" t="s">
        <v>251</v>
      </c>
      <c r="D1177" t="s">
        <v>21</v>
      </c>
      <c r="E1177" t="s">
        <v>22</v>
      </c>
      <c r="F1177" s="30">
        <v>45382</v>
      </c>
      <c r="G1177" t="s">
        <v>766</v>
      </c>
      <c r="H1177" t="s">
        <v>4485</v>
      </c>
      <c r="I1177">
        <v>90</v>
      </c>
      <c r="J1177">
        <v>100</v>
      </c>
      <c r="AW1177">
        <v>16</v>
      </c>
      <c r="AX1177">
        <v>16</v>
      </c>
    </row>
    <row r="1178" spans="1:94" x14ac:dyDescent="0.3">
      <c r="A1178">
        <v>213</v>
      </c>
      <c r="B1178" t="s">
        <v>757</v>
      </c>
      <c r="C1178" t="s">
        <v>251</v>
      </c>
      <c r="D1178" t="s">
        <v>21</v>
      </c>
      <c r="E1178" t="s">
        <v>22</v>
      </c>
      <c r="F1178" s="30">
        <v>45382</v>
      </c>
      <c r="G1178" t="s">
        <v>766</v>
      </c>
      <c r="H1178" t="s">
        <v>4486</v>
      </c>
      <c r="I1178">
        <v>90</v>
      </c>
      <c r="J1178">
        <v>100</v>
      </c>
      <c r="AW1178">
        <v>15</v>
      </c>
      <c r="AX1178">
        <v>15</v>
      </c>
    </row>
    <row r="1179" spans="1:94" x14ac:dyDescent="0.3">
      <c r="A1179">
        <v>213</v>
      </c>
      <c r="B1179" t="s">
        <v>757</v>
      </c>
      <c r="C1179" t="s">
        <v>251</v>
      </c>
      <c r="D1179" t="s">
        <v>21</v>
      </c>
      <c r="E1179" t="s">
        <v>22</v>
      </c>
      <c r="F1179" s="30">
        <v>45382</v>
      </c>
      <c r="G1179" t="s">
        <v>766</v>
      </c>
      <c r="H1179" t="s">
        <v>4484</v>
      </c>
      <c r="I1179">
        <v>90</v>
      </c>
      <c r="J1179">
        <v>100</v>
      </c>
      <c r="AW1179">
        <v>4</v>
      </c>
      <c r="AX1179">
        <v>4</v>
      </c>
    </row>
    <row r="1180" spans="1:94" x14ac:dyDescent="0.3">
      <c r="A1180">
        <v>238</v>
      </c>
      <c r="B1180" t="s">
        <v>1077</v>
      </c>
      <c r="C1180" t="s">
        <v>251</v>
      </c>
      <c r="D1180" t="s">
        <v>21</v>
      </c>
      <c r="E1180" t="s">
        <v>22</v>
      </c>
      <c r="F1180" s="30">
        <v>45382</v>
      </c>
      <c r="G1180" t="s">
        <v>1087</v>
      </c>
      <c r="H1180" t="s">
        <v>4488</v>
      </c>
      <c r="I1180">
        <v>90</v>
      </c>
      <c r="J1180">
        <v>100</v>
      </c>
      <c r="AY1180">
        <v>1</v>
      </c>
      <c r="AZ1180">
        <v>1</v>
      </c>
    </row>
    <row r="1181" spans="1:94" x14ac:dyDescent="0.3">
      <c r="A1181">
        <v>238</v>
      </c>
      <c r="B1181" t="s">
        <v>1077</v>
      </c>
      <c r="C1181" t="s">
        <v>251</v>
      </c>
      <c r="D1181" t="s">
        <v>21</v>
      </c>
      <c r="E1181" t="s">
        <v>22</v>
      </c>
      <c r="F1181" s="30">
        <v>45382</v>
      </c>
      <c r="G1181" t="s">
        <v>1087</v>
      </c>
      <c r="H1181" t="s">
        <v>4490</v>
      </c>
      <c r="I1181">
        <v>90</v>
      </c>
      <c r="J1181">
        <v>100</v>
      </c>
      <c r="AY1181">
        <v>3</v>
      </c>
      <c r="AZ1181">
        <v>3</v>
      </c>
    </row>
    <row r="1182" spans="1:94" x14ac:dyDescent="0.3">
      <c r="A1182">
        <v>238</v>
      </c>
      <c r="B1182" t="s">
        <v>1077</v>
      </c>
      <c r="C1182" t="s">
        <v>251</v>
      </c>
      <c r="D1182" t="s">
        <v>21</v>
      </c>
      <c r="E1182" t="s">
        <v>22</v>
      </c>
      <c r="F1182" s="30">
        <v>45382</v>
      </c>
      <c r="G1182" t="s">
        <v>1087</v>
      </c>
      <c r="H1182" t="s">
        <v>4491</v>
      </c>
      <c r="I1182">
        <v>90</v>
      </c>
      <c r="J1182">
        <v>33.330001831054688</v>
      </c>
      <c r="AY1182">
        <v>1</v>
      </c>
      <c r="AZ1182">
        <v>3</v>
      </c>
    </row>
    <row r="1183" spans="1:94" x14ac:dyDescent="0.3">
      <c r="A1183">
        <v>238</v>
      </c>
      <c r="B1183" t="s">
        <v>1077</v>
      </c>
      <c r="C1183" t="s">
        <v>251</v>
      </c>
      <c r="D1183" t="s">
        <v>21</v>
      </c>
      <c r="E1183" t="s">
        <v>22</v>
      </c>
      <c r="F1183" s="30">
        <v>45382</v>
      </c>
      <c r="G1183" t="s">
        <v>1087</v>
      </c>
      <c r="H1183" t="s">
        <v>4535</v>
      </c>
      <c r="I1183">
        <v>90</v>
      </c>
      <c r="J1183">
        <v>0</v>
      </c>
      <c r="AY1183">
        <v>0</v>
      </c>
      <c r="AZ1183">
        <v>0</v>
      </c>
    </row>
    <row r="1184" spans="1:94" x14ac:dyDescent="0.3">
      <c r="A1184">
        <v>238</v>
      </c>
      <c r="B1184" t="s">
        <v>1077</v>
      </c>
      <c r="C1184" t="s">
        <v>251</v>
      </c>
      <c r="D1184" t="s">
        <v>21</v>
      </c>
      <c r="E1184" t="s">
        <v>22</v>
      </c>
      <c r="F1184" s="30">
        <v>45382</v>
      </c>
      <c r="G1184" t="s">
        <v>1087</v>
      </c>
      <c r="H1184" t="s">
        <v>4492</v>
      </c>
      <c r="I1184">
        <v>90</v>
      </c>
      <c r="J1184">
        <v>100</v>
      </c>
      <c r="AY1184">
        <v>3</v>
      </c>
      <c r="AZ1184">
        <v>3</v>
      </c>
    </row>
    <row r="1185" spans="1:96" x14ac:dyDescent="0.3">
      <c r="A1185">
        <v>238</v>
      </c>
      <c r="B1185" t="s">
        <v>1077</v>
      </c>
      <c r="C1185" t="s">
        <v>251</v>
      </c>
      <c r="D1185" t="s">
        <v>21</v>
      </c>
      <c r="E1185" t="s">
        <v>22</v>
      </c>
      <c r="F1185" s="30">
        <v>45382</v>
      </c>
      <c r="G1185" t="s">
        <v>1087</v>
      </c>
      <c r="H1185" t="s">
        <v>4536</v>
      </c>
      <c r="I1185">
        <v>90</v>
      </c>
      <c r="J1185">
        <v>0</v>
      </c>
      <c r="AY1185">
        <v>0</v>
      </c>
      <c r="AZ1185">
        <v>0</v>
      </c>
    </row>
    <row r="1186" spans="1:96" x14ac:dyDescent="0.3">
      <c r="A1186">
        <v>238</v>
      </c>
      <c r="B1186" t="s">
        <v>1077</v>
      </c>
      <c r="C1186" t="s">
        <v>251</v>
      </c>
      <c r="D1186" t="s">
        <v>21</v>
      </c>
      <c r="E1186" t="s">
        <v>22</v>
      </c>
      <c r="F1186" s="30">
        <v>45382</v>
      </c>
      <c r="G1186" t="s">
        <v>1087</v>
      </c>
      <c r="H1186" t="s">
        <v>4493</v>
      </c>
      <c r="I1186">
        <v>90</v>
      </c>
      <c r="J1186">
        <v>50</v>
      </c>
      <c r="AY1186">
        <v>1</v>
      </c>
      <c r="AZ1186">
        <v>2</v>
      </c>
    </row>
    <row r="1187" spans="1:96" x14ac:dyDescent="0.3">
      <c r="A1187">
        <v>238</v>
      </c>
      <c r="B1187" t="s">
        <v>1077</v>
      </c>
      <c r="C1187" t="s">
        <v>251</v>
      </c>
      <c r="D1187" t="s">
        <v>21</v>
      </c>
      <c r="E1187" t="s">
        <v>22</v>
      </c>
      <c r="F1187" s="30">
        <v>45382</v>
      </c>
      <c r="G1187" t="s">
        <v>1087</v>
      </c>
      <c r="H1187" t="s">
        <v>4489</v>
      </c>
      <c r="I1187">
        <v>90</v>
      </c>
      <c r="J1187">
        <v>77.779998779296875</v>
      </c>
      <c r="AY1187">
        <v>7</v>
      </c>
      <c r="AZ1187">
        <v>9</v>
      </c>
    </row>
    <row r="1188" spans="1:96" x14ac:dyDescent="0.3">
      <c r="A1188">
        <v>373</v>
      </c>
      <c r="B1188" t="s">
        <v>1856</v>
      </c>
      <c r="C1188" t="s">
        <v>1263</v>
      </c>
      <c r="D1188" t="s">
        <v>21</v>
      </c>
      <c r="E1188" t="s">
        <v>22</v>
      </c>
      <c r="F1188" s="30">
        <v>45382</v>
      </c>
      <c r="G1188" t="s">
        <v>1861</v>
      </c>
      <c r="H1188" t="s">
        <v>4537</v>
      </c>
      <c r="I1188">
        <v>100</v>
      </c>
      <c r="J1188">
        <v>76.790000915527344</v>
      </c>
      <c r="BZ1188">
        <v>43</v>
      </c>
      <c r="CA1188">
        <v>56</v>
      </c>
    </row>
    <row r="1189" spans="1:96" x14ac:dyDescent="0.3">
      <c r="A1189">
        <v>390</v>
      </c>
      <c r="B1189" t="s">
        <v>1970</v>
      </c>
      <c r="C1189" t="s">
        <v>1263</v>
      </c>
      <c r="D1189" t="s">
        <v>21</v>
      </c>
      <c r="E1189" t="s">
        <v>22</v>
      </c>
      <c r="F1189" s="30">
        <v>45382</v>
      </c>
      <c r="G1189" t="s">
        <v>1975</v>
      </c>
      <c r="H1189" t="s">
        <v>4525</v>
      </c>
      <c r="I1189">
        <v>100</v>
      </c>
      <c r="J1189">
        <v>341.64999389648438</v>
      </c>
      <c r="CB1189">
        <v>23.95</v>
      </c>
      <c r="CC1189">
        <v>7.01</v>
      </c>
    </row>
    <row r="1190" spans="1:96" x14ac:dyDescent="0.3">
      <c r="A1190">
        <v>409</v>
      </c>
      <c r="B1190" t="s">
        <v>2081</v>
      </c>
      <c r="C1190" t="s">
        <v>1303</v>
      </c>
      <c r="D1190" t="s">
        <v>21</v>
      </c>
      <c r="E1190" t="s">
        <v>22</v>
      </c>
      <c r="F1190" s="30">
        <v>45382</v>
      </c>
      <c r="G1190" t="s">
        <v>2086</v>
      </c>
      <c r="H1190" t="s">
        <v>4581</v>
      </c>
      <c r="I1190">
        <v>95</v>
      </c>
      <c r="J1190">
        <v>95.169998168945313</v>
      </c>
      <c r="CQ1190">
        <v>138</v>
      </c>
      <c r="CR1190">
        <v>145</v>
      </c>
    </row>
    <row r="1191" spans="1:96" x14ac:dyDescent="0.3">
      <c r="A1191">
        <v>409</v>
      </c>
      <c r="B1191" t="s">
        <v>2081</v>
      </c>
      <c r="C1191" t="s">
        <v>1303</v>
      </c>
      <c r="D1191" t="s">
        <v>21</v>
      </c>
      <c r="E1191" t="s">
        <v>22</v>
      </c>
      <c r="F1191" s="30">
        <v>45382</v>
      </c>
      <c r="G1191" t="s">
        <v>2086</v>
      </c>
      <c r="H1191" t="s">
        <v>4582</v>
      </c>
      <c r="I1191">
        <v>95</v>
      </c>
      <c r="J1191">
        <v>100</v>
      </c>
      <c r="CQ1191">
        <v>209</v>
      </c>
      <c r="CR1191">
        <v>209</v>
      </c>
    </row>
    <row r="1192" spans="1:96" x14ac:dyDescent="0.3">
      <c r="A1192">
        <v>414</v>
      </c>
      <c r="B1192" t="s">
        <v>2103</v>
      </c>
      <c r="C1192" t="s">
        <v>1263</v>
      </c>
      <c r="D1192" t="s">
        <v>21</v>
      </c>
      <c r="E1192" t="s">
        <v>22</v>
      </c>
      <c r="F1192" s="30">
        <v>45382</v>
      </c>
      <c r="G1192" t="s">
        <v>2108</v>
      </c>
      <c r="H1192" t="s">
        <v>4545</v>
      </c>
      <c r="I1192">
        <v>100</v>
      </c>
      <c r="J1192">
        <v>83.330001831054688</v>
      </c>
      <c r="CD1192">
        <v>35</v>
      </c>
      <c r="CE1192">
        <v>42</v>
      </c>
    </row>
    <row r="1193" spans="1:96" x14ac:dyDescent="0.3">
      <c r="A1193">
        <v>414</v>
      </c>
      <c r="B1193" t="s">
        <v>2103</v>
      </c>
      <c r="C1193" t="s">
        <v>1263</v>
      </c>
      <c r="D1193" t="s">
        <v>21</v>
      </c>
      <c r="E1193" t="s">
        <v>22</v>
      </c>
      <c r="F1193" s="30">
        <v>45382</v>
      </c>
      <c r="G1193" t="s">
        <v>2108</v>
      </c>
      <c r="H1193" t="s">
        <v>4543</v>
      </c>
      <c r="I1193">
        <v>100</v>
      </c>
      <c r="J1193">
        <v>88.459999084472656</v>
      </c>
      <c r="CD1193">
        <v>23</v>
      </c>
      <c r="CE1193">
        <v>26</v>
      </c>
    </row>
    <row r="1194" spans="1:96" x14ac:dyDescent="0.3">
      <c r="A1194">
        <v>414</v>
      </c>
      <c r="B1194" t="s">
        <v>2103</v>
      </c>
      <c r="C1194" t="s">
        <v>1263</v>
      </c>
      <c r="D1194" t="s">
        <v>21</v>
      </c>
      <c r="E1194" t="s">
        <v>22</v>
      </c>
      <c r="F1194" s="30">
        <v>45382</v>
      </c>
      <c r="G1194" t="s">
        <v>2108</v>
      </c>
      <c r="H1194" t="s">
        <v>4548</v>
      </c>
      <c r="I1194">
        <v>100</v>
      </c>
      <c r="J1194">
        <v>118.75</v>
      </c>
      <c r="CD1194">
        <v>57</v>
      </c>
      <c r="CE1194">
        <v>48</v>
      </c>
    </row>
    <row r="1195" spans="1:96" x14ac:dyDescent="0.3">
      <c r="A1195">
        <v>414</v>
      </c>
      <c r="B1195" t="s">
        <v>2103</v>
      </c>
      <c r="C1195" t="s">
        <v>1263</v>
      </c>
      <c r="D1195" t="s">
        <v>21</v>
      </c>
      <c r="E1195" t="s">
        <v>22</v>
      </c>
      <c r="F1195" s="30">
        <v>45382</v>
      </c>
      <c r="G1195" t="s">
        <v>2108</v>
      </c>
      <c r="H1195" t="s">
        <v>4597</v>
      </c>
      <c r="I1195">
        <v>100</v>
      </c>
      <c r="J1195">
        <v>83.779998779296875</v>
      </c>
      <c r="CD1195">
        <v>31</v>
      </c>
      <c r="CE1195">
        <v>37</v>
      </c>
    </row>
    <row r="1196" spans="1:96" x14ac:dyDescent="0.3">
      <c r="A1196">
        <v>414</v>
      </c>
      <c r="B1196" t="s">
        <v>2103</v>
      </c>
      <c r="C1196" t="s">
        <v>1263</v>
      </c>
      <c r="D1196" t="s">
        <v>21</v>
      </c>
      <c r="E1196" t="s">
        <v>22</v>
      </c>
      <c r="F1196" s="30">
        <v>45382</v>
      </c>
      <c r="G1196" t="s">
        <v>2108</v>
      </c>
      <c r="H1196" t="s">
        <v>4544</v>
      </c>
      <c r="I1196">
        <v>100</v>
      </c>
      <c r="J1196">
        <v>91.669998168945313</v>
      </c>
      <c r="CD1196">
        <v>77</v>
      </c>
      <c r="CE1196">
        <v>84</v>
      </c>
    </row>
    <row r="1197" spans="1:96" x14ac:dyDescent="0.3">
      <c r="A1197">
        <v>414</v>
      </c>
      <c r="B1197" t="s">
        <v>2103</v>
      </c>
      <c r="C1197" t="s">
        <v>1263</v>
      </c>
      <c r="D1197" t="s">
        <v>21</v>
      </c>
      <c r="E1197" t="s">
        <v>22</v>
      </c>
      <c r="F1197" s="30">
        <v>45382</v>
      </c>
      <c r="G1197" t="s">
        <v>2108</v>
      </c>
      <c r="H1197" t="s">
        <v>4547</v>
      </c>
      <c r="I1197">
        <v>100</v>
      </c>
      <c r="J1197">
        <v>98.150001525878906</v>
      </c>
      <c r="CD1197">
        <v>53</v>
      </c>
      <c r="CE1197">
        <v>54</v>
      </c>
    </row>
    <row r="1198" spans="1:96" x14ac:dyDescent="0.3">
      <c r="A1198">
        <v>414</v>
      </c>
      <c r="B1198" t="s">
        <v>2103</v>
      </c>
      <c r="C1198" t="s">
        <v>1263</v>
      </c>
      <c r="D1198" t="s">
        <v>21</v>
      </c>
      <c r="E1198" t="s">
        <v>22</v>
      </c>
      <c r="F1198" s="30">
        <v>45382</v>
      </c>
      <c r="G1198" t="s">
        <v>2108</v>
      </c>
      <c r="H1198" t="s">
        <v>4546</v>
      </c>
      <c r="I1198">
        <v>100</v>
      </c>
      <c r="J1198">
        <v>106.84999847412109</v>
      </c>
      <c r="CD1198">
        <v>78</v>
      </c>
      <c r="CE1198">
        <v>73</v>
      </c>
    </row>
    <row r="1199" spans="1:96" x14ac:dyDescent="0.3">
      <c r="A1199">
        <v>414</v>
      </c>
      <c r="B1199" t="s">
        <v>2103</v>
      </c>
      <c r="C1199" t="s">
        <v>1263</v>
      </c>
      <c r="D1199" t="s">
        <v>21</v>
      </c>
      <c r="E1199" t="s">
        <v>22</v>
      </c>
      <c r="F1199" s="30">
        <v>45382</v>
      </c>
      <c r="G1199" t="s">
        <v>2108</v>
      </c>
      <c r="H1199" t="s">
        <v>4550</v>
      </c>
      <c r="I1199">
        <v>100</v>
      </c>
      <c r="J1199">
        <v>101.5899963378906</v>
      </c>
      <c r="CD1199">
        <v>64</v>
      </c>
      <c r="CE1199">
        <v>63</v>
      </c>
    </row>
    <row r="1200" spans="1:96" x14ac:dyDescent="0.3">
      <c r="A1200">
        <v>414</v>
      </c>
      <c r="B1200" t="s">
        <v>2103</v>
      </c>
      <c r="C1200" t="s">
        <v>1263</v>
      </c>
      <c r="D1200" t="s">
        <v>21</v>
      </c>
      <c r="E1200" t="s">
        <v>22</v>
      </c>
      <c r="F1200" s="30">
        <v>45382</v>
      </c>
      <c r="G1200" t="s">
        <v>2108</v>
      </c>
      <c r="H1200" t="s">
        <v>4549</v>
      </c>
      <c r="I1200">
        <v>100</v>
      </c>
      <c r="J1200">
        <v>121.15000152587891</v>
      </c>
      <c r="CD1200">
        <v>63</v>
      </c>
      <c r="CE1200">
        <v>52</v>
      </c>
    </row>
    <row r="1201" spans="1:87" x14ac:dyDescent="0.3">
      <c r="A1201">
        <v>415</v>
      </c>
      <c r="B1201" t="s">
        <v>2116</v>
      </c>
      <c r="C1201" t="s">
        <v>1263</v>
      </c>
      <c r="D1201" t="s">
        <v>21</v>
      </c>
      <c r="E1201" t="s">
        <v>22</v>
      </c>
      <c r="F1201" s="30">
        <v>45382</v>
      </c>
      <c r="G1201" t="s">
        <v>2121</v>
      </c>
      <c r="H1201" t="s">
        <v>4592</v>
      </c>
      <c r="I1201">
        <v>100</v>
      </c>
      <c r="J1201">
        <v>91.510002136230469</v>
      </c>
      <c r="CF1201">
        <v>18.75</v>
      </c>
      <c r="CG1201">
        <v>20.49</v>
      </c>
    </row>
    <row r="1202" spans="1:87" x14ac:dyDescent="0.3">
      <c r="A1202">
        <v>415</v>
      </c>
      <c r="B1202" t="s">
        <v>2116</v>
      </c>
      <c r="C1202" t="s">
        <v>1263</v>
      </c>
      <c r="D1202" t="s">
        <v>21</v>
      </c>
      <c r="E1202" t="s">
        <v>22</v>
      </c>
      <c r="F1202" s="30">
        <v>45382</v>
      </c>
      <c r="G1202" t="s">
        <v>2121</v>
      </c>
      <c r="H1202" t="s">
        <v>4552</v>
      </c>
      <c r="I1202">
        <v>100</v>
      </c>
      <c r="J1202">
        <v>92.150001525878906</v>
      </c>
      <c r="CF1202">
        <v>62.8</v>
      </c>
      <c r="CG1202">
        <v>68.150000000000006</v>
      </c>
    </row>
    <row r="1203" spans="1:87" x14ac:dyDescent="0.3">
      <c r="A1203">
        <v>415</v>
      </c>
      <c r="B1203" t="s">
        <v>2116</v>
      </c>
      <c r="C1203" t="s">
        <v>1263</v>
      </c>
      <c r="D1203" t="s">
        <v>21</v>
      </c>
      <c r="E1203" t="s">
        <v>22</v>
      </c>
      <c r="F1203" s="30">
        <v>45382</v>
      </c>
      <c r="G1203" t="s">
        <v>2121</v>
      </c>
      <c r="H1203" t="s">
        <v>4555</v>
      </c>
      <c r="I1203">
        <v>100</v>
      </c>
      <c r="J1203">
        <v>98.19000244140625</v>
      </c>
      <c r="CF1203">
        <v>37.33</v>
      </c>
      <c r="CG1203">
        <v>38.020000000000003</v>
      </c>
    </row>
    <row r="1204" spans="1:87" x14ac:dyDescent="0.3">
      <c r="A1204">
        <v>415</v>
      </c>
      <c r="B1204" t="s">
        <v>2116</v>
      </c>
      <c r="C1204" t="s">
        <v>1263</v>
      </c>
      <c r="D1204" t="s">
        <v>21</v>
      </c>
      <c r="E1204" t="s">
        <v>22</v>
      </c>
      <c r="F1204" s="30">
        <v>45382</v>
      </c>
      <c r="G1204" t="s">
        <v>2121</v>
      </c>
      <c r="H1204" t="s">
        <v>4598</v>
      </c>
      <c r="I1204">
        <v>100</v>
      </c>
      <c r="J1204">
        <v>75.430000305175781</v>
      </c>
      <c r="CF1204">
        <v>41.33</v>
      </c>
      <c r="CG1204">
        <v>54.79</v>
      </c>
    </row>
    <row r="1205" spans="1:87" x14ac:dyDescent="0.3">
      <c r="A1205">
        <v>415</v>
      </c>
      <c r="B1205" t="s">
        <v>2116</v>
      </c>
      <c r="C1205" t="s">
        <v>1263</v>
      </c>
      <c r="D1205" t="s">
        <v>21</v>
      </c>
      <c r="E1205" t="s">
        <v>22</v>
      </c>
      <c r="F1205" s="30">
        <v>45382</v>
      </c>
      <c r="G1205" t="s">
        <v>2121</v>
      </c>
      <c r="H1205" t="s">
        <v>4599</v>
      </c>
      <c r="I1205">
        <v>100</v>
      </c>
      <c r="J1205">
        <v>87.949996948242188</v>
      </c>
      <c r="CF1205">
        <v>73.34</v>
      </c>
      <c r="CG1205">
        <v>83.39</v>
      </c>
    </row>
    <row r="1206" spans="1:87" x14ac:dyDescent="0.3">
      <c r="A1206">
        <v>415</v>
      </c>
      <c r="B1206" t="s">
        <v>2116</v>
      </c>
      <c r="C1206" t="s">
        <v>1263</v>
      </c>
      <c r="D1206" t="s">
        <v>21</v>
      </c>
      <c r="E1206" t="s">
        <v>22</v>
      </c>
      <c r="F1206" s="30">
        <v>45382</v>
      </c>
      <c r="G1206" t="s">
        <v>2121</v>
      </c>
      <c r="H1206" t="s">
        <v>4556</v>
      </c>
      <c r="I1206">
        <v>100</v>
      </c>
      <c r="J1206">
        <v>115.13999938964839</v>
      </c>
      <c r="CF1206">
        <v>82.22</v>
      </c>
      <c r="CG1206">
        <v>71.41</v>
      </c>
    </row>
    <row r="1207" spans="1:87" x14ac:dyDescent="0.3">
      <c r="A1207">
        <v>415</v>
      </c>
      <c r="B1207" t="s">
        <v>2116</v>
      </c>
      <c r="C1207" t="s">
        <v>1263</v>
      </c>
      <c r="D1207" t="s">
        <v>21</v>
      </c>
      <c r="E1207" t="s">
        <v>22</v>
      </c>
      <c r="F1207" s="30">
        <v>45382</v>
      </c>
      <c r="G1207" t="s">
        <v>2121</v>
      </c>
      <c r="H1207" t="s">
        <v>4554</v>
      </c>
      <c r="I1207">
        <v>100</v>
      </c>
      <c r="J1207">
        <v>114.01999664306641</v>
      </c>
      <c r="CF1207">
        <v>37</v>
      </c>
      <c r="CG1207">
        <v>32.450000000000003</v>
      </c>
    </row>
    <row r="1208" spans="1:87" x14ac:dyDescent="0.3">
      <c r="A1208">
        <v>415</v>
      </c>
      <c r="B1208" t="s">
        <v>2116</v>
      </c>
      <c r="C1208" t="s">
        <v>1263</v>
      </c>
      <c r="D1208" t="s">
        <v>21</v>
      </c>
      <c r="E1208" t="s">
        <v>22</v>
      </c>
      <c r="F1208" s="30">
        <v>45382</v>
      </c>
      <c r="G1208" t="s">
        <v>2121</v>
      </c>
      <c r="H1208" t="s">
        <v>4551</v>
      </c>
      <c r="I1208">
        <v>100</v>
      </c>
      <c r="J1208">
        <v>67.209999084472656</v>
      </c>
      <c r="CF1208">
        <v>41</v>
      </c>
      <c r="CG1208">
        <v>61</v>
      </c>
    </row>
    <row r="1209" spans="1:87" x14ac:dyDescent="0.3">
      <c r="A1209">
        <v>415</v>
      </c>
      <c r="B1209" t="s">
        <v>2116</v>
      </c>
      <c r="C1209" t="s">
        <v>1263</v>
      </c>
      <c r="D1209" t="s">
        <v>21</v>
      </c>
      <c r="E1209" t="s">
        <v>22</v>
      </c>
      <c r="F1209" s="30">
        <v>45382</v>
      </c>
      <c r="G1209" t="s">
        <v>2121</v>
      </c>
      <c r="H1209" t="s">
        <v>4557</v>
      </c>
      <c r="I1209">
        <v>100</v>
      </c>
      <c r="J1209">
        <v>41.069999694824219</v>
      </c>
      <c r="CF1209">
        <v>23.33</v>
      </c>
      <c r="CG1209">
        <v>56.81</v>
      </c>
    </row>
    <row r="1210" spans="1:87" x14ac:dyDescent="0.3">
      <c r="A1210">
        <v>415</v>
      </c>
      <c r="B1210" t="s">
        <v>2116</v>
      </c>
      <c r="C1210" t="s">
        <v>1263</v>
      </c>
      <c r="D1210" t="s">
        <v>21</v>
      </c>
      <c r="E1210" t="s">
        <v>22</v>
      </c>
      <c r="F1210" s="30">
        <v>45382</v>
      </c>
      <c r="G1210" t="s">
        <v>2121</v>
      </c>
      <c r="H1210" t="s">
        <v>4600</v>
      </c>
      <c r="I1210">
        <v>100</v>
      </c>
      <c r="J1210">
        <v>84.75</v>
      </c>
      <c r="CF1210">
        <v>27.5</v>
      </c>
      <c r="CG1210">
        <v>32.450000000000003</v>
      </c>
    </row>
    <row r="1211" spans="1:87" x14ac:dyDescent="0.3">
      <c r="A1211">
        <v>415</v>
      </c>
      <c r="B1211" t="s">
        <v>2116</v>
      </c>
      <c r="C1211" t="s">
        <v>1263</v>
      </c>
      <c r="D1211" t="s">
        <v>21</v>
      </c>
      <c r="E1211" t="s">
        <v>22</v>
      </c>
      <c r="F1211" s="30">
        <v>45382</v>
      </c>
      <c r="G1211" t="s">
        <v>2121</v>
      </c>
      <c r="H1211" t="s">
        <v>4601</v>
      </c>
      <c r="I1211">
        <v>100</v>
      </c>
      <c r="J1211">
        <v>89.489997863769531</v>
      </c>
      <c r="CF1211">
        <v>29.2</v>
      </c>
      <c r="CG1211">
        <v>32.630000000000003</v>
      </c>
    </row>
    <row r="1212" spans="1:87" x14ac:dyDescent="0.3">
      <c r="A1212">
        <v>415</v>
      </c>
      <c r="B1212" t="s">
        <v>2116</v>
      </c>
      <c r="C1212" t="s">
        <v>1263</v>
      </c>
      <c r="D1212" t="s">
        <v>21</v>
      </c>
      <c r="E1212" t="s">
        <v>22</v>
      </c>
      <c r="F1212" s="30">
        <v>45382</v>
      </c>
      <c r="G1212" t="s">
        <v>2121</v>
      </c>
      <c r="H1212" t="s">
        <v>4602</v>
      </c>
      <c r="I1212">
        <v>100</v>
      </c>
      <c r="J1212">
        <v>93.410003662109375</v>
      </c>
      <c r="CF1212">
        <v>80</v>
      </c>
      <c r="CG1212">
        <v>85.64</v>
      </c>
    </row>
    <row r="1213" spans="1:87" x14ac:dyDescent="0.3">
      <c r="A1213">
        <v>415</v>
      </c>
      <c r="B1213" t="s">
        <v>2116</v>
      </c>
      <c r="C1213" t="s">
        <v>1263</v>
      </c>
      <c r="D1213" t="s">
        <v>21</v>
      </c>
      <c r="E1213" t="s">
        <v>22</v>
      </c>
      <c r="F1213" s="30">
        <v>45382</v>
      </c>
      <c r="G1213" t="s">
        <v>2121</v>
      </c>
      <c r="H1213" t="s">
        <v>4603</v>
      </c>
      <c r="I1213">
        <v>100</v>
      </c>
      <c r="J1213">
        <v>0</v>
      </c>
      <c r="CF1213">
        <v>0</v>
      </c>
      <c r="CG1213">
        <v>6.56</v>
      </c>
    </row>
    <row r="1214" spans="1:87" x14ac:dyDescent="0.3">
      <c r="A1214">
        <v>416</v>
      </c>
      <c r="B1214" t="s">
        <v>2129</v>
      </c>
      <c r="C1214" t="s">
        <v>1263</v>
      </c>
      <c r="D1214" t="s">
        <v>21</v>
      </c>
      <c r="E1214" t="s">
        <v>22</v>
      </c>
      <c r="F1214" s="30">
        <v>45382</v>
      </c>
      <c r="G1214" t="s">
        <v>2134</v>
      </c>
      <c r="H1214" t="s">
        <v>4604</v>
      </c>
      <c r="I1214">
        <v>100</v>
      </c>
      <c r="J1214">
        <v>126.9899978637695</v>
      </c>
      <c r="CH1214">
        <v>46.67</v>
      </c>
      <c r="CI1214">
        <v>36.75</v>
      </c>
    </row>
    <row r="1215" spans="1:87" x14ac:dyDescent="0.3">
      <c r="A1215">
        <v>416</v>
      </c>
      <c r="B1215" t="s">
        <v>2129</v>
      </c>
      <c r="C1215" t="s">
        <v>1263</v>
      </c>
      <c r="D1215" t="s">
        <v>21</v>
      </c>
      <c r="E1215" t="s">
        <v>22</v>
      </c>
      <c r="F1215" s="30">
        <v>45382</v>
      </c>
      <c r="G1215" t="s">
        <v>2134</v>
      </c>
      <c r="H1215" t="s">
        <v>4559</v>
      </c>
      <c r="I1215">
        <v>100</v>
      </c>
      <c r="J1215">
        <v>92.120002746582031</v>
      </c>
      <c r="CH1215">
        <v>20</v>
      </c>
      <c r="CI1215">
        <v>21.71</v>
      </c>
    </row>
    <row r="1216" spans="1:87" x14ac:dyDescent="0.3">
      <c r="A1216">
        <v>416</v>
      </c>
      <c r="B1216" t="s">
        <v>2129</v>
      </c>
      <c r="C1216" t="s">
        <v>1263</v>
      </c>
      <c r="D1216" t="s">
        <v>21</v>
      </c>
      <c r="E1216" t="s">
        <v>22</v>
      </c>
      <c r="F1216" s="30">
        <v>45382</v>
      </c>
      <c r="G1216" t="s">
        <v>2134</v>
      </c>
      <c r="H1216" t="s">
        <v>4605</v>
      </c>
      <c r="I1216">
        <v>100</v>
      </c>
      <c r="J1216">
        <v>318.47000122070313</v>
      </c>
      <c r="CH1216">
        <v>50</v>
      </c>
      <c r="CI1216">
        <v>15.7</v>
      </c>
    </row>
    <row r="1217" spans="1:91" x14ac:dyDescent="0.3">
      <c r="A1217">
        <v>416</v>
      </c>
      <c r="B1217" t="s">
        <v>2129</v>
      </c>
      <c r="C1217" t="s">
        <v>1263</v>
      </c>
      <c r="D1217" t="s">
        <v>21</v>
      </c>
      <c r="E1217" t="s">
        <v>22</v>
      </c>
      <c r="F1217" s="30">
        <v>45382</v>
      </c>
      <c r="G1217" t="s">
        <v>2134</v>
      </c>
      <c r="H1217" t="s">
        <v>4606</v>
      </c>
      <c r="I1217">
        <v>100</v>
      </c>
      <c r="J1217">
        <v>98.089996337890625</v>
      </c>
      <c r="CH1217">
        <v>52.5</v>
      </c>
      <c r="CI1217">
        <v>53.52</v>
      </c>
    </row>
    <row r="1218" spans="1:91" x14ac:dyDescent="0.3">
      <c r="A1218">
        <v>416</v>
      </c>
      <c r="B1218" t="s">
        <v>2129</v>
      </c>
      <c r="C1218" t="s">
        <v>1263</v>
      </c>
      <c r="D1218" t="s">
        <v>21</v>
      </c>
      <c r="E1218" t="s">
        <v>22</v>
      </c>
      <c r="F1218" s="30">
        <v>45382</v>
      </c>
      <c r="G1218" t="s">
        <v>2134</v>
      </c>
      <c r="H1218" t="s">
        <v>4558</v>
      </c>
      <c r="I1218">
        <v>100</v>
      </c>
      <c r="J1218">
        <v>81.019996643066406</v>
      </c>
      <c r="CH1218">
        <v>33</v>
      </c>
      <c r="CI1218">
        <v>40.729999999999997</v>
      </c>
    </row>
    <row r="1219" spans="1:91" x14ac:dyDescent="0.3">
      <c r="A1219">
        <v>416</v>
      </c>
      <c r="B1219" t="s">
        <v>2129</v>
      </c>
      <c r="C1219" t="s">
        <v>1263</v>
      </c>
      <c r="D1219" t="s">
        <v>21</v>
      </c>
      <c r="E1219" t="s">
        <v>22</v>
      </c>
      <c r="F1219" s="30">
        <v>45382</v>
      </c>
      <c r="G1219" t="s">
        <v>2134</v>
      </c>
      <c r="H1219" t="s">
        <v>4607</v>
      </c>
      <c r="I1219">
        <v>100</v>
      </c>
      <c r="J1219">
        <v>120.36000061035161</v>
      </c>
      <c r="CH1219">
        <v>17.5</v>
      </c>
      <c r="CI1219">
        <v>14.54</v>
      </c>
    </row>
    <row r="1220" spans="1:91" x14ac:dyDescent="0.3">
      <c r="A1220">
        <v>417</v>
      </c>
      <c r="B1220" t="s">
        <v>2142</v>
      </c>
      <c r="C1220" t="s">
        <v>1263</v>
      </c>
      <c r="D1220" t="s">
        <v>21</v>
      </c>
      <c r="E1220" t="s">
        <v>22</v>
      </c>
      <c r="F1220" s="30">
        <v>45382</v>
      </c>
      <c r="G1220" t="s">
        <v>2147</v>
      </c>
      <c r="H1220" t="s">
        <v>4561</v>
      </c>
      <c r="I1220">
        <v>100</v>
      </c>
      <c r="J1220">
        <v>109.09999847412109</v>
      </c>
      <c r="CJ1220">
        <v>66.67</v>
      </c>
      <c r="CK1220">
        <v>61.11</v>
      </c>
    </row>
    <row r="1221" spans="1:91" x14ac:dyDescent="0.3">
      <c r="A1221">
        <v>417</v>
      </c>
      <c r="B1221" t="s">
        <v>2142</v>
      </c>
      <c r="C1221" t="s">
        <v>1263</v>
      </c>
      <c r="D1221" t="s">
        <v>21</v>
      </c>
      <c r="E1221" t="s">
        <v>22</v>
      </c>
      <c r="F1221" s="30">
        <v>45382</v>
      </c>
      <c r="G1221" t="s">
        <v>2147</v>
      </c>
      <c r="H1221" t="s">
        <v>4564</v>
      </c>
      <c r="I1221">
        <v>100</v>
      </c>
      <c r="J1221">
        <v>109.4300003051758</v>
      </c>
      <c r="CJ1221">
        <v>52</v>
      </c>
      <c r="CK1221">
        <v>47.52</v>
      </c>
    </row>
    <row r="1222" spans="1:91" x14ac:dyDescent="0.3">
      <c r="A1222">
        <v>417</v>
      </c>
      <c r="B1222" t="s">
        <v>2142</v>
      </c>
      <c r="C1222" t="s">
        <v>1263</v>
      </c>
      <c r="D1222" t="s">
        <v>21</v>
      </c>
      <c r="E1222" t="s">
        <v>22</v>
      </c>
      <c r="F1222" s="30">
        <v>45382</v>
      </c>
      <c r="G1222" t="s">
        <v>2147</v>
      </c>
      <c r="H1222" t="s">
        <v>4563</v>
      </c>
      <c r="I1222">
        <v>100</v>
      </c>
      <c r="J1222">
        <v>99.970001220703125</v>
      </c>
      <c r="CJ1222">
        <v>28.75</v>
      </c>
      <c r="CK1222">
        <v>28.76</v>
      </c>
    </row>
    <row r="1223" spans="1:91" x14ac:dyDescent="0.3">
      <c r="A1223">
        <v>417</v>
      </c>
      <c r="B1223" t="s">
        <v>2142</v>
      </c>
      <c r="C1223" t="s">
        <v>1263</v>
      </c>
      <c r="D1223" t="s">
        <v>21</v>
      </c>
      <c r="E1223" t="s">
        <v>22</v>
      </c>
      <c r="F1223" s="30">
        <v>45382</v>
      </c>
      <c r="G1223" t="s">
        <v>2147</v>
      </c>
      <c r="H1223" t="s">
        <v>4560</v>
      </c>
      <c r="I1223">
        <v>100</v>
      </c>
      <c r="J1223">
        <v>97.279998779296875</v>
      </c>
      <c r="CJ1223">
        <v>27.92</v>
      </c>
      <c r="CK1223">
        <v>28.7</v>
      </c>
    </row>
    <row r="1224" spans="1:91" x14ac:dyDescent="0.3">
      <c r="A1224">
        <v>417</v>
      </c>
      <c r="B1224" t="s">
        <v>2142</v>
      </c>
      <c r="C1224" t="s">
        <v>1263</v>
      </c>
      <c r="D1224" t="s">
        <v>21</v>
      </c>
      <c r="E1224" t="s">
        <v>22</v>
      </c>
      <c r="F1224" s="30">
        <v>45382</v>
      </c>
      <c r="G1224" t="s">
        <v>2147</v>
      </c>
      <c r="H1224" t="s">
        <v>4562</v>
      </c>
      <c r="I1224">
        <v>100</v>
      </c>
      <c r="J1224">
        <v>110.23000335693359</v>
      </c>
      <c r="CJ1224">
        <v>53.33</v>
      </c>
      <c r="CK1224">
        <v>48.38</v>
      </c>
    </row>
    <row r="1225" spans="1:91" x14ac:dyDescent="0.3">
      <c r="A1225">
        <v>417</v>
      </c>
      <c r="B1225" t="s">
        <v>2142</v>
      </c>
      <c r="C1225" t="s">
        <v>1263</v>
      </c>
      <c r="D1225" t="s">
        <v>21</v>
      </c>
      <c r="E1225" t="s">
        <v>22</v>
      </c>
      <c r="F1225" s="30">
        <v>45382</v>
      </c>
      <c r="G1225" t="s">
        <v>2147</v>
      </c>
      <c r="H1225" t="s">
        <v>4565</v>
      </c>
      <c r="I1225">
        <v>100</v>
      </c>
      <c r="J1225">
        <v>68.05999755859375</v>
      </c>
      <c r="CJ1225">
        <v>25</v>
      </c>
      <c r="CK1225">
        <v>36.729999999999997</v>
      </c>
    </row>
    <row r="1226" spans="1:91" x14ac:dyDescent="0.3">
      <c r="A1226">
        <v>418</v>
      </c>
      <c r="B1226" t="s">
        <v>2155</v>
      </c>
      <c r="C1226" t="s">
        <v>1263</v>
      </c>
      <c r="D1226" t="s">
        <v>21</v>
      </c>
      <c r="E1226" t="s">
        <v>22</v>
      </c>
      <c r="F1226" s="30">
        <v>45382</v>
      </c>
      <c r="G1226" t="s">
        <v>2160</v>
      </c>
      <c r="H1226" t="s">
        <v>4566</v>
      </c>
      <c r="I1226">
        <v>100</v>
      </c>
      <c r="J1226">
        <v>129.3500061035156</v>
      </c>
      <c r="CL1226">
        <v>47.29</v>
      </c>
      <c r="CM1226">
        <v>36.56</v>
      </c>
    </row>
    <row r="1227" spans="1:91" x14ac:dyDescent="0.3">
      <c r="A1227">
        <v>418</v>
      </c>
      <c r="B1227" t="s">
        <v>2155</v>
      </c>
      <c r="C1227" t="s">
        <v>1263</v>
      </c>
      <c r="D1227" t="s">
        <v>21</v>
      </c>
      <c r="E1227" t="s">
        <v>22</v>
      </c>
      <c r="F1227" s="30">
        <v>45382</v>
      </c>
      <c r="G1227" t="s">
        <v>2160</v>
      </c>
      <c r="H1227" t="s">
        <v>4568</v>
      </c>
      <c r="I1227">
        <v>100</v>
      </c>
      <c r="J1227">
        <v>159.24000549316409</v>
      </c>
      <c r="CL1227">
        <v>25</v>
      </c>
      <c r="CM1227">
        <v>15.7</v>
      </c>
    </row>
    <row r="1228" spans="1:91" x14ac:dyDescent="0.3">
      <c r="A1228">
        <v>418</v>
      </c>
      <c r="B1228" t="s">
        <v>2155</v>
      </c>
      <c r="C1228" t="s">
        <v>1263</v>
      </c>
      <c r="D1228" t="s">
        <v>21</v>
      </c>
      <c r="E1228" t="s">
        <v>22</v>
      </c>
      <c r="F1228" s="30">
        <v>45382</v>
      </c>
      <c r="G1228" t="s">
        <v>2160</v>
      </c>
      <c r="H1228" t="s">
        <v>4528</v>
      </c>
      <c r="I1228">
        <v>100</v>
      </c>
      <c r="J1228">
        <v>71.580001831054688</v>
      </c>
      <c r="CL1228">
        <v>17.329999999999998</v>
      </c>
      <c r="CM1228">
        <v>24.21</v>
      </c>
    </row>
    <row r="1229" spans="1:91" x14ac:dyDescent="0.3">
      <c r="A1229">
        <v>418</v>
      </c>
      <c r="B1229" t="s">
        <v>2155</v>
      </c>
      <c r="C1229" t="s">
        <v>1263</v>
      </c>
      <c r="D1229" t="s">
        <v>21</v>
      </c>
      <c r="E1229" t="s">
        <v>22</v>
      </c>
      <c r="F1229" s="30">
        <v>45382</v>
      </c>
      <c r="G1229" t="s">
        <v>2160</v>
      </c>
      <c r="H1229" t="s">
        <v>4570</v>
      </c>
      <c r="I1229">
        <v>100</v>
      </c>
      <c r="J1229">
        <v>64.959999084472656</v>
      </c>
      <c r="CL1229">
        <v>46</v>
      </c>
      <c r="CM1229">
        <v>70.81</v>
      </c>
    </row>
    <row r="1230" spans="1:91" x14ac:dyDescent="0.3">
      <c r="A1230">
        <v>418</v>
      </c>
      <c r="B1230" t="s">
        <v>2155</v>
      </c>
      <c r="C1230" t="s">
        <v>1263</v>
      </c>
      <c r="D1230" t="s">
        <v>21</v>
      </c>
      <c r="E1230" t="s">
        <v>22</v>
      </c>
      <c r="F1230" s="30">
        <v>45382</v>
      </c>
      <c r="G1230" t="s">
        <v>2160</v>
      </c>
      <c r="H1230" t="s">
        <v>4572</v>
      </c>
      <c r="I1230">
        <v>100</v>
      </c>
      <c r="J1230">
        <v>242.61000061035159</v>
      </c>
      <c r="CL1230">
        <v>67.98</v>
      </c>
      <c r="CM1230">
        <v>28.02</v>
      </c>
    </row>
    <row r="1231" spans="1:91" x14ac:dyDescent="0.3">
      <c r="A1231">
        <v>418</v>
      </c>
      <c r="B1231" t="s">
        <v>2155</v>
      </c>
      <c r="C1231" t="s">
        <v>1263</v>
      </c>
      <c r="D1231" t="s">
        <v>21</v>
      </c>
      <c r="E1231" t="s">
        <v>22</v>
      </c>
      <c r="F1231" s="30">
        <v>45382</v>
      </c>
      <c r="G1231" t="s">
        <v>2160</v>
      </c>
      <c r="H1231" t="s">
        <v>4569</v>
      </c>
      <c r="I1231">
        <v>100</v>
      </c>
      <c r="CL1231">
        <v>0</v>
      </c>
      <c r="CM1231">
        <v>29.88</v>
      </c>
    </row>
    <row r="1232" spans="1:91" x14ac:dyDescent="0.3">
      <c r="A1232">
        <v>418</v>
      </c>
      <c r="B1232" t="s">
        <v>2155</v>
      </c>
      <c r="C1232" t="s">
        <v>1263</v>
      </c>
      <c r="D1232" t="s">
        <v>21</v>
      </c>
      <c r="E1232" t="s">
        <v>22</v>
      </c>
      <c r="F1232" s="30">
        <v>45382</v>
      </c>
      <c r="G1232" t="s">
        <v>2160</v>
      </c>
      <c r="H1232" t="s">
        <v>4573</v>
      </c>
      <c r="I1232">
        <v>100</v>
      </c>
      <c r="J1232">
        <v>147.63999938964841</v>
      </c>
      <c r="CL1232">
        <v>44.5</v>
      </c>
      <c r="CM1232">
        <v>30.14</v>
      </c>
    </row>
    <row r="1233" spans="1:98" x14ac:dyDescent="0.3">
      <c r="A1233">
        <v>418</v>
      </c>
      <c r="B1233" t="s">
        <v>2155</v>
      </c>
      <c r="C1233" t="s">
        <v>1263</v>
      </c>
      <c r="D1233" t="s">
        <v>21</v>
      </c>
      <c r="E1233" t="s">
        <v>22</v>
      </c>
      <c r="F1233" s="30">
        <v>45382</v>
      </c>
      <c r="G1233" t="s">
        <v>2160</v>
      </c>
      <c r="H1233" t="s">
        <v>4571</v>
      </c>
      <c r="I1233">
        <v>100</v>
      </c>
      <c r="J1233">
        <v>69.120002746582031</v>
      </c>
      <c r="CL1233">
        <v>1.5</v>
      </c>
      <c r="CM1233">
        <v>2.17</v>
      </c>
    </row>
    <row r="1234" spans="1:98" x14ac:dyDescent="0.3">
      <c r="A1234">
        <v>418</v>
      </c>
      <c r="B1234" t="s">
        <v>2155</v>
      </c>
      <c r="C1234" t="s">
        <v>1263</v>
      </c>
      <c r="D1234" t="s">
        <v>21</v>
      </c>
      <c r="E1234" t="s">
        <v>22</v>
      </c>
      <c r="F1234" s="30">
        <v>45382</v>
      </c>
      <c r="G1234" t="s">
        <v>2160</v>
      </c>
      <c r="H1234" t="s">
        <v>4567</v>
      </c>
      <c r="I1234">
        <v>100</v>
      </c>
      <c r="J1234">
        <v>65.040000915527344</v>
      </c>
      <c r="CL1234">
        <v>56.21</v>
      </c>
      <c r="CM1234">
        <v>86.42</v>
      </c>
    </row>
    <row r="1235" spans="1:98" x14ac:dyDescent="0.3">
      <c r="A1235">
        <v>420</v>
      </c>
      <c r="B1235" t="s">
        <v>2172</v>
      </c>
      <c r="C1235" t="s">
        <v>1263</v>
      </c>
      <c r="D1235" t="s">
        <v>21</v>
      </c>
      <c r="E1235" t="s">
        <v>22</v>
      </c>
      <c r="F1235" s="30">
        <v>45382</v>
      </c>
      <c r="G1235" t="s">
        <v>2177</v>
      </c>
      <c r="H1235" t="s">
        <v>4574</v>
      </c>
      <c r="I1235">
        <v>100</v>
      </c>
      <c r="J1235">
        <v>0</v>
      </c>
      <c r="CN1235">
        <v>0</v>
      </c>
      <c r="CO1235">
        <v>0</v>
      </c>
    </row>
    <row r="1236" spans="1:98" x14ac:dyDescent="0.3">
      <c r="A1236">
        <v>420</v>
      </c>
      <c r="B1236" t="s">
        <v>2172</v>
      </c>
      <c r="C1236" t="s">
        <v>1263</v>
      </c>
      <c r="D1236" t="s">
        <v>21</v>
      </c>
      <c r="E1236" t="s">
        <v>22</v>
      </c>
      <c r="F1236" s="30">
        <v>45382</v>
      </c>
      <c r="G1236" t="s">
        <v>2177</v>
      </c>
      <c r="H1236" t="s">
        <v>4575</v>
      </c>
      <c r="I1236">
        <v>100</v>
      </c>
      <c r="J1236">
        <v>0</v>
      </c>
      <c r="CN1236">
        <v>0</v>
      </c>
      <c r="CO1236">
        <v>0</v>
      </c>
    </row>
    <row r="1237" spans="1:98" x14ac:dyDescent="0.3">
      <c r="A1237">
        <v>420</v>
      </c>
      <c r="B1237" t="s">
        <v>2172</v>
      </c>
      <c r="C1237" t="s">
        <v>1263</v>
      </c>
      <c r="D1237" t="s">
        <v>21</v>
      </c>
      <c r="E1237" t="s">
        <v>22</v>
      </c>
      <c r="F1237" s="30">
        <v>45382</v>
      </c>
      <c r="G1237" t="s">
        <v>2177</v>
      </c>
      <c r="H1237" t="s">
        <v>4576</v>
      </c>
      <c r="I1237">
        <v>100</v>
      </c>
      <c r="J1237">
        <v>0</v>
      </c>
      <c r="CN1237">
        <v>0</v>
      </c>
      <c r="CO1237">
        <v>0</v>
      </c>
    </row>
    <row r="1238" spans="1:98" x14ac:dyDescent="0.3">
      <c r="A1238">
        <v>420</v>
      </c>
      <c r="B1238" t="s">
        <v>2172</v>
      </c>
      <c r="C1238" t="s">
        <v>1263</v>
      </c>
      <c r="D1238" t="s">
        <v>21</v>
      </c>
      <c r="E1238" t="s">
        <v>22</v>
      </c>
      <c r="F1238" s="30">
        <v>45382</v>
      </c>
      <c r="G1238" t="s">
        <v>2177</v>
      </c>
      <c r="H1238" t="s">
        <v>4577</v>
      </c>
      <c r="I1238">
        <v>100</v>
      </c>
      <c r="J1238">
        <v>0</v>
      </c>
      <c r="CN1238">
        <v>0</v>
      </c>
      <c r="CO1238">
        <v>0</v>
      </c>
    </row>
    <row r="1239" spans="1:98" x14ac:dyDescent="0.3">
      <c r="A1239">
        <v>420</v>
      </c>
      <c r="B1239" t="s">
        <v>2172</v>
      </c>
      <c r="C1239" t="s">
        <v>1263</v>
      </c>
      <c r="D1239" t="s">
        <v>21</v>
      </c>
      <c r="E1239" t="s">
        <v>22</v>
      </c>
      <c r="F1239" s="30">
        <v>45382</v>
      </c>
      <c r="G1239" t="s">
        <v>2177</v>
      </c>
      <c r="H1239" t="s">
        <v>4578</v>
      </c>
      <c r="I1239">
        <v>100</v>
      </c>
      <c r="J1239">
        <v>0</v>
      </c>
      <c r="CN1239">
        <v>0</v>
      </c>
      <c r="CO1239">
        <v>0</v>
      </c>
    </row>
    <row r="1240" spans="1:98" x14ac:dyDescent="0.3">
      <c r="A1240">
        <v>420</v>
      </c>
      <c r="B1240" t="s">
        <v>2172</v>
      </c>
      <c r="C1240" t="s">
        <v>1263</v>
      </c>
      <c r="D1240" t="s">
        <v>21</v>
      </c>
      <c r="E1240" t="s">
        <v>22</v>
      </c>
      <c r="F1240" s="30">
        <v>45382</v>
      </c>
      <c r="G1240" t="s">
        <v>2177</v>
      </c>
      <c r="H1240" t="s">
        <v>2703</v>
      </c>
      <c r="I1240">
        <v>100</v>
      </c>
      <c r="J1240">
        <v>0</v>
      </c>
      <c r="CN1240">
        <v>0</v>
      </c>
      <c r="CO1240">
        <v>0</v>
      </c>
    </row>
    <row r="1241" spans="1:98" x14ac:dyDescent="0.3">
      <c r="A1241">
        <v>432</v>
      </c>
      <c r="B1241" t="s">
        <v>2247</v>
      </c>
      <c r="C1241" t="s">
        <v>138</v>
      </c>
      <c r="D1241" t="s">
        <v>21</v>
      </c>
      <c r="E1241" t="s">
        <v>22</v>
      </c>
      <c r="F1241" s="30">
        <v>45382</v>
      </c>
      <c r="G1241" t="s">
        <v>2252</v>
      </c>
      <c r="H1241" t="s">
        <v>4586</v>
      </c>
      <c r="I1241">
        <v>90</v>
      </c>
      <c r="J1241">
        <v>100</v>
      </c>
      <c r="CS1241">
        <v>5</v>
      </c>
      <c r="CT1241">
        <v>5</v>
      </c>
    </row>
    <row r="1242" spans="1:98" x14ac:dyDescent="0.3">
      <c r="A1242">
        <v>432</v>
      </c>
      <c r="B1242" t="s">
        <v>2247</v>
      </c>
      <c r="C1242" t="s">
        <v>138</v>
      </c>
      <c r="D1242" t="s">
        <v>21</v>
      </c>
      <c r="E1242" t="s">
        <v>22</v>
      </c>
      <c r="F1242" s="30">
        <v>45382</v>
      </c>
      <c r="G1242" t="s">
        <v>2252</v>
      </c>
      <c r="H1242" t="s">
        <v>4589</v>
      </c>
      <c r="I1242">
        <v>90</v>
      </c>
      <c r="J1242">
        <v>100</v>
      </c>
      <c r="CS1242">
        <v>2</v>
      </c>
      <c r="CT1242">
        <v>2</v>
      </c>
    </row>
    <row r="1243" spans="1:98" x14ac:dyDescent="0.3">
      <c r="A1243">
        <v>432</v>
      </c>
      <c r="B1243" t="s">
        <v>2247</v>
      </c>
      <c r="C1243" t="s">
        <v>138</v>
      </c>
      <c r="D1243" t="s">
        <v>21</v>
      </c>
      <c r="E1243" t="s">
        <v>22</v>
      </c>
      <c r="F1243" s="30">
        <v>45382</v>
      </c>
      <c r="G1243" t="s">
        <v>2252</v>
      </c>
      <c r="H1243" t="s">
        <v>4591</v>
      </c>
      <c r="I1243">
        <v>90</v>
      </c>
      <c r="J1243">
        <v>100</v>
      </c>
      <c r="CS1243">
        <v>25</v>
      </c>
      <c r="CT1243">
        <v>25</v>
      </c>
    </row>
    <row r="1244" spans="1:98" x14ac:dyDescent="0.3">
      <c r="A1244">
        <v>432</v>
      </c>
      <c r="B1244" t="s">
        <v>2247</v>
      </c>
      <c r="C1244" t="s">
        <v>138</v>
      </c>
      <c r="D1244" t="s">
        <v>21</v>
      </c>
      <c r="E1244" t="s">
        <v>22</v>
      </c>
      <c r="F1244" s="30">
        <v>45382</v>
      </c>
      <c r="G1244" t="s">
        <v>2252</v>
      </c>
      <c r="H1244" t="s">
        <v>4587</v>
      </c>
      <c r="I1244">
        <v>90</v>
      </c>
      <c r="J1244">
        <v>100</v>
      </c>
      <c r="CS1244">
        <v>7</v>
      </c>
      <c r="CT1244">
        <v>7</v>
      </c>
    </row>
    <row r="1245" spans="1:98" x14ac:dyDescent="0.3">
      <c r="A1245">
        <v>432</v>
      </c>
      <c r="B1245" t="s">
        <v>2247</v>
      </c>
      <c r="C1245" t="s">
        <v>138</v>
      </c>
      <c r="D1245" t="s">
        <v>21</v>
      </c>
      <c r="E1245" t="s">
        <v>22</v>
      </c>
      <c r="F1245" s="30">
        <v>45382</v>
      </c>
      <c r="G1245" t="s">
        <v>2252</v>
      </c>
      <c r="H1245" t="s">
        <v>4590</v>
      </c>
      <c r="I1245">
        <v>90</v>
      </c>
      <c r="J1245">
        <v>100</v>
      </c>
      <c r="CS1245">
        <v>3</v>
      </c>
      <c r="CT1245">
        <v>3</v>
      </c>
    </row>
    <row r="1246" spans="1:98" x14ac:dyDescent="0.3">
      <c r="A1246">
        <v>432</v>
      </c>
      <c r="B1246" t="s">
        <v>2247</v>
      </c>
      <c r="C1246" t="s">
        <v>138</v>
      </c>
      <c r="D1246" t="s">
        <v>21</v>
      </c>
      <c r="E1246" t="s">
        <v>22</v>
      </c>
      <c r="F1246" s="30">
        <v>45382</v>
      </c>
      <c r="G1246" t="s">
        <v>2252</v>
      </c>
      <c r="H1246" t="s">
        <v>4584</v>
      </c>
      <c r="I1246">
        <v>90</v>
      </c>
      <c r="J1246">
        <v>100</v>
      </c>
      <c r="CS1246">
        <v>6</v>
      </c>
      <c r="CT1246">
        <v>6</v>
      </c>
    </row>
    <row r="1247" spans="1:98" x14ac:dyDescent="0.3">
      <c r="A1247">
        <v>432</v>
      </c>
      <c r="B1247" t="s">
        <v>2247</v>
      </c>
      <c r="C1247" t="s">
        <v>138</v>
      </c>
      <c r="D1247" t="s">
        <v>21</v>
      </c>
      <c r="E1247" t="s">
        <v>22</v>
      </c>
      <c r="F1247" s="30">
        <v>45382</v>
      </c>
      <c r="G1247" t="s">
        <v>2252</v>
      </c>
      <c r="H1247" t="s">
        <v>4583</v>
      </c>
      <c r="I1247">
        <v>90</v>
      </c>
      <c r="J1247">
        <v>100</v>
      </c>
      <c r="CS1247">
        <v>7</v>
      </c>
      <c r="CT1247">
        <v>7</v>
      </c>
    </row>
    <row r="1248" spans="1:98" x14ac:dyDescent="0.3">
      <c r="A1248">
        <v>432</v>
      </c>
      <c r="B1248" t="s">
        <v>2247</v>
      </c>
      <c r="C1248" t="s">
        <v>138</v>
      </c>
      <c r="D1248" t="s">
        <v>21</v>
      </c>
      <c r="E1248" t="s">
        <v>22</v>
      </c>
      <c r="F1248" s="30">
        <v>45382</v>
      </c>
      <c r="G1248" t="s">
        <v>2252</v>
      </c>
      <c r="H1248" t="s">
        <v>4588</v>
      </c>
      <c r="I1248">
        <v>90</v>
      </c>
      <c r="J1248">
        <v>100</v>
      </c>
      <c r="CS1248">
        <v>2</v>
      </c>
      <c r="CT1248">
        <v>2</v>
      </c>
    </row>
    <row r="1249" spans="1:113" x14ac:dyDescent="0.3">
      <c r="A1249">
        <v>432</v>
      </c>
      <c r="B1249" t="s">
        <v>2247</v>
      </c>
      <c r="C1249" t="s">
        <v>138</v>
      </c>
      <c r="D1249" t="s">
        <v>21</v>
      </c>
      <c r="E1249" t="s">
        <v>22</v>
      </c>
      <c r="F1249" s="30">
        <v>45382</v>
      </c>
      <c r="G1249" t="s">
        <v>2252</v>
      </c>
      <c r="H1249" t="s">
        <v>4585</v>
      </c>
      <c r="I1249">
        <v>90</v>
      </c>
      <c r="J1249">
        <v>100</v>
      </c>
      <c r="CS1249">
        <v>4</v>
      </c>
      <c r="CT1249">
        <v>4</v>
      </c>
    </row>
    <row r="1250" spans="1:113" x14ac:dyDescent="0.3">
      <c r="A1250">
        <v>469</v>
      </c>
      <c r="B1250" t="s">
        <v>2168</v>
      </c>
      <c r="C1250" t="s">
        <v>1263</v>
      </c>
      <c r="D1250" t="s">
        <v>21</v>
      </c>
      <c r="E1250" t="s">
        <v>22</v>
      </c>
      <c r="F1250" s="30">
        <v>45382</v>
      </c>
      <c r="G1250" t="s">
        <v>2456</v>
      </c>
      <c r="H1250" t="s">
        <v>4608</v>
      </c>
      <c r="I1250">
        <v>100</v>
      </c>
      <c r="J1250">
        <v>116.2799987792969</v>
      </c>
      <c r="DF1250">
        <v>100</v>
      </c>
      <c r="DG1250">
        <v>86</v>
      </c>
    </row>
    <row r="1251" spans="1:113" x14ac:dyDescent="0.3">
      <c r="A1251">
        <v>469</v>
      </c>
      <c r="B1251" t="s">
        <v>2168</v>
      </c>
      <c r="C1251" t="s">
        <v>1263</v>
      </c>
      <c r="D1251" t="s">
        <v>21</v>
      </c>
      <c r="E1251" t="s">
        <v>22</v>
      </c>
      <c r="F1251" s="30">
        <v>45382</v>
      </c>
      <c r="G1251" t="s">
        <v>2456</v>
      </c>
      <c r="H1251" t="s">
        <v>4609</v>
      </c>
      <c r="I1251">
        <v>100</v>
      </c>
      <c r="J1251">
        <v>167.1300048828125</v>
      </c>
      <c r="DF1251">
        <v>60</v>
      </c>
      <c r="DG1251">
        <v>35.9</v>
      </c>
    </row>
    <row r="1252" spans="1:113" x14ac:dyDescent="0.3">
      <c r="A1252">
        <v>469</v>
      </c>
      <c r="B1252" t="s">
        <v>2168</v>
      </c>
      <c r="C1252" t="s">
        <v>1263</v>
      </c>
      <c r="D1252" t="s">
        <v>21</v>
      </c>
      <c r="E1252" t="s">
        <v>22</v>
      </c>
      <c r="F1252" s="30">
        <v>45382</v>
      </c>
      <c r="G1252" t="s">
        <v>2456</v>
      </c>
      <c r="H1252" t="s">
        <v>4610</v>
      </c>
      <c r="I1252">
        <v>100</v>
      </c>
      <c r="J1252">
        <v>183.92999267578119</v>
      </c>
      <c r="DF1252">
        <v>43.61</v>
      </c>
      <c r="DG1252">
        <v>23.71</v>
      </c>
    </row>
    <row r="1253" spans="1:113" x14ac:dyDescent="0.3">
      <c r="A1253">
        <v>469</v>
      </c>
      <c r="B1253" t="s">
        <v>2168</v>
      </c>
      <c r="C1253" t="s">
        <v>1263</v>
      </c>
      <c r="D1253" t="s">
        <v>21</v>
      </c>
      <c r="E1253" t="s">
        <v>22</v>
      </c>
      <c r="F1253" s="30">
        <v>45382</v>
      </c>
      <c r="G1253" t="s">
        <v>2456</v>
      </c>
      <c r="H1253" t="s">
        <v>4611</v>
      </c>
      <c r="I1253">
        <v>100</v>
      </c>
      <c r="J1253">
        <v>136.08000183105469</v>
      </c>
      <c r="DF1253">
        <v>68.75</v>
      </c>
      <c r="DG1253">
        <v>50.52</v>
      </c>
    </row>
    <row r="1254" spans="1:113" x14ac:dyDescent="0.3">
      <c r="A1254">
        <v>469</v>
      </c>
      <c r="B1254" t="s">
        <v>2168</v>
      </c>
      <c r="C1254" t="s">
        <v>1263</v>
      </c>
      <c r="D1254" t="s">
        <v>21</v>
      </c>
      <c r="E1254" t="s">
        <v>22</v>
      </c>
      <c r="F1254" s="30">
        <v>45382</v>
      </c>
      <c r="G1254" t="s">
        <v>2456</v>
      </c>
      <c r="H1254" t="s">
        <v>4612</v>
      </c>
      <c r="I1254">
        <v>100</v>
      </c>
      <c r="J1254">
        <v>24.510000228881839</v>
      </c>
      <c r="DF1254">
        <v>20.399999999999999</v>
      </c>
      <c r="DG1254">
        <v>83.23</v>
      </c>
    </row>
    <row r="1255" spans="1:113" x14ac:dyDescent="0.3">
      <c r="A1255">
        <v>469</v>
      </c>
      <c r="B1255" t="s">
        <v>2168</v>
      </c>
      <c r="C1255" t="s">
        <v>1263</v>
      </c>
      <c r="D1255" t="s">
        <v>21</v>
      </c>
      <c r="E1255" t="s">
        <v>22</v>
      </c>
      <c r="F1255" s="30">
        <v>45382</v>
      </c>
      <c r="G1255" t="s">
        <v>2456</v>
      </c>
      <c r="H1255" t="s">
        <v>4613</v>
      </c>
      <c r="I1255">
        <v>100</v>
      </c>
      <c r="J1255">
        <v>161.86000061035159</v>
      </c>
      <c r="DF1255">
        <v>50</v>
      </c>
      <c r="DG1255">
        <v>30.89</v>
      </c>
    </row>
    <row r="1256" spans="1:113" x14ac:dyDescent="0.3">
      <c r="A1256">
        <v>469</v>
      </c>
      <c r="B1256" t="s">
        <v>2168</v>
      </c>
      <c r="C1256" t="s">
        <v>1263</v>
      </c>
      <c r="D1256" t="s">
        <v>21</v>
      </c>
      <c r="E1256" t="s">
        <v>22</v>
      </c>
      <c r="F1256" s="30">
        <v>45382</v>
      </c>
      <c r="G1256" t="s">
        <v>2456</v>
      </c>
      <c r="H1256" t="s">
        <v>4614</v>
      </c>
      <c r="I1256">
        <v>100</v>
      </c>
      <c r="J1256">
        <v>219.74000549316409</v>
      </c>
      <c r="DF1256">
        <v>45.75</v>
      </c>
      <c r="DG1256">
        <v>20.82</v>
      </c>
    </row>
    <row r="1257" spans="1:113" x14ac:dyDescent="0.3">
      <c r="A1257">
        <v>469</v>
      </c>
      <c r="B1257" t="s">
        <v>2168</v>
      </c>
      <c r="C1257" t="s">
        <v>1263</v>
      </c>
      <c r="D1257" t="s">
        <v>21</v>
      </c>
      <c r="E1257" t="s">
        <v>22</v>
      </c>
      <c r="F1257" s="30">
        <v>45382</v>
      </c>
      <c r="G1257" t="s">
        <v>2456</v>
      </c>
      <c r="H1257" t="s">
        <v>4615</v>
      </c>
      <c r="I1257">
        <v>100</v>
      </c>
      <c r="J1257">
        <v>535.33001708984375</v>
      </c>
      <c r="DF1257">
        <v>25</v>
      </c>
      <c r="DG1257">
        <v>4.67</v>
      </c>
    </row>
    <row r="1258" spans="1:113" x14ac:dyDescent="0.3">
      <c r="A1258">
        <v>469</v>
      </c>
      <c r="B1258" t="s">
        <v>2168</v>
      </c>
      <c r="C1258" t="s">
        <v>1263</v>
      </c>
      <c r="D1258" t="s">
        <v>21</v>
      </c>
      <c r="E1258" t="s">
        <v>22</v>
      </c>
      <c r="F1258" s="30">
        <v>45382</v>
      </c>
      <c r="G1258" t="s">
        <v>2456</v>
      </c>
      <c r="H1258" t="s">
        <v>4616</v>
      </c>
      <c r="I1258">
        <v>100</v>
      </c>
      <c r="J1258">
        <v>74.519996643066406</v>
      </c>
      <c r="DF1258">
        <v>24.25</v>
      </c>
      <c r="DG1258">
        <v>32.54</v>
      </c>
    </row>
    <row r="1259" spans="1:113" x14ac:dyDescent="0.3">
      <c r="A1259">
        <v>469</v>
      </c>
      <c r="B1259" t="s">
        <v>2168</v>
      </c>
      <c r="C1259" t="s">
        <v>1263</v>
      </c>
      <c r="D1259" t="s">
        <v>21</v>
      </c>
      <c r="E1259" t="s">
        <v>22</v>
      </c>
      <c r="F1259" s="30">
        <v>45382</v>
      </c>
      <c r="G1259" t="s">
        <v>2456</v>
      </c>
      <c r="H1259" t="s">
        <v>4617</v>
      </c>
      <c r="I1259">
        <v>100</v>
      </c>
      <c r="J1259">
        <v>331.3599853515625</v>
      </c>
      <c r="DF1259">
        <v>40.36</v>
      </c>
      <c r="DG1259">
        <v>12.18</v>
      </c>
    </row>
    <row r="1260" spans="1:113" x14ac:dyDescent="0.3">
      <c r="A1260">
        <v>470</v>
      </c>
      <c r="B1260" t="s">
        <v>2465</v>
      </c>
      <c r="C1260" t="s">
        <v>1263</v>
      </c>
      <c r="D1260" t="s">
        <v>21</v>
      </c>
      <c r="E1260" t="s">
        <v>22</v>
      </c>
      <c r="F1260" s="30">
        <v>45382</v>
      </c>
      <c r="G1260" t="s">
        <v>2466</v>
      </c>
      <c r="H1260" t="s">
        <v>4618</v>
      </c>
      <c r="I1260">
        <v>100</v>
      </c>
      <c r="J1260">
        <v>132.5899963378906</v>
      </c>
      <c r="DH1260">
        <v>45</v>
      </c>
      <c r="DI1260">
        <v>33.94</v>
      </c>
    </row>
    <row r="1261" spans="1:113" x14ac:dyDescent="0.3">
      <c r="A1261">
        <v>470</v>
      </c>
      <c r="B1261" t="s">
        <v>2465</v>
      </c>
      <c r="C1261" t="s">
        <v>1263</v>
      </c>
      <c r="D1261" t="s">
        <v>21</v>
      </c>
      <c r="E1261" t="s">
        <v>22</v>
      </c>
      <c r="F1261" s="30">
        <v>45382</v>
      </c>
      <c r="G1261" t="s">
        <v>2466</v>
      </c>
      <c r="H1261" t="s">
        <v>4619</v>
      </c>
      <c r="I1261">
        <v>100</v>
      </c>
      <c r="J1261">
        <v>105.61000061035161</v>
      </c>
      <c r="DH1261">
        <v>52.17</v>
      </c>
      <c r="DI1261">
        <v>49.4</v>
      </c>
    </row>
    <row r="1262" spans="1:113" x14ac:dyDescent="0.3">
      <c r="A1262">
        <v>470</v>
      </c>
      <c r="B1262" t="s">
        <v>2465</v>
      </c>
      <c r="C1262" t="s">
        <v>1263</v>
      </c>
      <c r="D1262" t="s">
        <v>21</v>
      </c>
      <c r="E1262" t="s">
        <v>22</v>
      </c>
      <c r="F1262" s="30">
        <v>45382</v>
      </c>
      <c r="G1262" t="s">
        <v>2466</v>
      </c>
      <c r="H1262" t="s">
        <v>4620</v>
      </c>
      <c r="I1262">
        <v>100</v>
      </c>
      <c r="DH1262">
        <v>0</v>
      </c>
      <c r="DI1262">
        <v>37.04</v>
      </c>
    </row>
    <row r="1263" spans="1:113" x14ac:dyDescent="0.3">
      <c r="A1263">
        <v>470</v>
      </c>
      <c r="B1263" t="s">
        <v>2465</v>
      </c>
      <c r="C1263" t="s">
        <v>1263</v>
      </c>
      <c r="D1263" t="s">
        <v>21</v>
      </c>
      <c r="E1263" t="s">
        <v>22</v>
      </c>
      <c r="F1263" s="30">
        <v>45382</v>
      </c>
      <c r="G1263" t="s">
        <v>2466</v>
      </c>
      <c r="H1263" t="s">
        <v>4621</v>
      </c>
      <c r="I1263">
        <v>100</v>
      </c>
      <c r="J1263">
        <v>44.75</v>
      </c>
      <c r="DH1263">
        <v>22</v>
      </c>
      <c r="DI1263">
        <v>49.16</v>
      </c>
    </row>
    <row r="1264" spans="1:113" x14ac:dyDescent="0.3">
      <c r="A1264">
        <v>470</v>
      </c>
      <c r="B1264" t="s">
        <v>2465</v>
      </c>
      <c r="C1264" t="s">
        <v>1263</v>
      </c>
      <c r="D1264" t="s">
        <v>21</v>
      </c>
      <c r="E1264" t="s">
        <v>22</v>
      </c>
      <c r="F1264" s="30">
        <v>45382</v>
      </c>
      <c r="G1264" t="s">
        <v>2466</v>
      </c>
      <c r="H1264" t="s">
        <v>4622</v>
      </c>
      <c r="I1264">
        <v>100</v>
      </c>
      <c r="J1264">
        <v>115.0500030517578</v>
      </c>
      <c r="DH1264">
        <v>50</v>
      </c>
      <c r="DI1264">
        <v>43.46</v>
      </c>
    </row>
    <row r="1265" spans="1:115" x14ac:dyDescent="0.3">
      <c r="A1265">
        <v>471</v>
      </c>
      <c r="B1265" t="s">
        <v>2474</v>
      </c>
      <c r="C1265" t="s">
        <v>1263</v>
      </c>
      <c r="D1265" t="s">
        <v>21</v>
      </c>
      <c r="E1265" t="s">
        <v>22</v>
      </c>
      <c r="F1265" s="30">
        <v>45382</v>
      </c>
      <c r="G1265" t="s">
        <v>2475</v>
      </c>
      <c r="H1265" t="s">
        <v>4623</v>
      </c>
      <c r="I1265">
        <v>100</v>
      </c>
      <c r="J1265">
        <v>96.300003051757813</v>
      </c>
      <c r="DJ1265">
        <v>25</v>
      </c>
      <c r="DK1265">
        <v>25.96</v>
      </c>
    </row>
    <row r="1266" spans="1:115" x14ac:dyDescent="0.3">
      <c r="A1266">
        <v>471</v>
      </c>
      <c r="B1266" t="s">
        <v>2474</v>
      </c>
      <c r="C1266" t="s">
        <v>1263</v>
      </c>
      <c r="D1266" t="s">
        <v>21</v>
      </c>
      <c r="E1266" t="s">
        <v>22</v>
      </c>
      <c r="F1266" s="30">
        <v>45382</v>
      </c>
      <c r="G1266" t="s">
        <v>2475</v>
      </c>
      <c r="H1266" t="s">
        <v>4624</v>
      </c>
      <c r="I1266">
        <v>100</v>
      </c>
      <c r="J1266">
        <v>103.25</v>
      </c>
      <c r="DJ1266">
        <v>40</v>
      </c>
      <c r="DK1266">
        <v>38.74</v>
      </c>
    </row>
    <row r="1267" spans="1:115" x14ac:dyDescent="0.3">
      <c r="A1267">
        <v>471</v>
      </c>
      <c r="B1267" t="s">
        <v>2474</v>
      </c>
      <c r="C1267" t="s">
        <v>1263</v>
      </c>
      <c r="D1267" t="s">
        <v>21</v>
      </c>
      <c r="E1267" t="s">
        <v>22</v>
      </c>
      <c r="F1267" s="30">
        <v>45382</v>
      </c>
      <c r="G1267" t="s">
        <v>2475</v>
      </c>
      <c r="H1267" t="s">
        <v>4625</v>
      </c>
      <c r="I1267">
        <v>100</v>
      </c>
      <c r="J1267">
        <v>147.38999938964841</v>
      </c>
      <c r="DJ1267">
        <v>48.33</v>
      </c>
      <c r="DK1267">
        <v>32.79</v>
      </c>
    </row>
    <row r="1268" spans="1:115" x14ac:dyDescent="0.3">
      <c r="A1268">
        <v>471</v>
      </c>
      <c r="B1268" t="s">
        <v>2474</v>
      </c>
      <c r="C1268" t="s">
        <v>1263</v>
      </c>
      <c r="D1268" t="s">
        <v>21</v>
      </c>
      <c r="E1268" t="s">
        <v>22</v>
      </c>
      <c r="F1268" s="30">
        <v>45382</v>
      </c>
      <c r="G1268" t="s">
        <v>2475</v>
      </c>
      <c r="H1268" t="s">
        <v>4626</v>
      </c>
      <c r="I1268">
        <v>100</v>
      </c>
      <c r="J1268">
        <v>75.819999694824219</v>
      </c>
      <c r="DJ1268">
        <v>26.25</v>
      </c>
      <c r="DK1268">
        <v>34.619999999999997</v>
      </c>
    </row>
    <row r="1269" spans="1:115" x14ac:dyDescent="0.3">
      <c r="A1269">
        <v>471</v>
      </c>
      <c r="B1269" t="s">
        <v>2474</v>
      </c>
      <c r="C1269" t="s">
        <v>1263</v>
      </c>
      <c r="D1269" t="s">
        <v>21</v>
      </c>
      <c r="E1269" t="s">
        <v>22</v>
      </c>
      <c r="F1269" s="30">
        <v>45382</v>
      </c>
      <c r="G1269" t="s">
        <v>2475</v>
      </c>
      <c r="H1269" t="s">
        <v>4627</v>
      </c>
      <c r="I1269">
        <v>100</v>
      </c>
      <c r="J1269">
        <v>90.910003662109375</v>
      </c>
      <c r="DJ1269">
        <v>55.22</v>
      </c>
      <c r="DK1269">
        <v>60.74</v>
      </c>
    </row>
    <row r="1270" spans="1:115" x14ac:dyDescent="0.3">
      <c r="A1270">
        <v>471</v>
      </c>
      <c r="B1270" t="s">
        <v>2474</v>
      </c>
      <c r="C1270" t="s">
        <v>1263</v>
      </c>
      <c r="D1270" t="s">
        <v>21</v>
      </c>
      <c r="E1270" t="s">
        <v>22</v>
      </c>
      <c r="F1270" s="30">
        <v>45382</v>
      </c>
      <c r="G1270" t="s">
        <v>2475</v>
      </c>
      <c r="H1270" t="s">
        <v>4628</v>
      </c>
      <c r="I1270">
        <v>100</v>
      </c>
      <c r="J1270">
        <v>157.69000244140619</v>
      </c>
      <c r="DJ1270">
        <v>71.75</v>
      </c>
      <c r="DK1270">
        <v>45.5</v>
      </c>
    </row>
    <row r="1271" spans="1:115" x14ac:dyDescent="0.3">
      <c r="A1271">
        <v>471</v>
      </c>
      <c r="B1271" t="s">
        <v>2474</v>
      </c>
      <c r="C1271" t="s">
        <v>1263</v>
      </c>
      <c r="D1271" t="s">
        <v>21</v>
      </c>
      <c r="E1271" t="s">
        <v>22</v>
      </c>
      <c r="F1271" s="30">
        <v>45382</v>
      </c>
      <c r="G1271" t="s">
        <v>2475</v>
      </c>
      <c r="H1271" t="s">
        <v>4629</v>
      </c>
      <c r="I1271">
        <v>100</v>
      </c>
      <c r="J1271">
        <v>87.989997863769531</v>
      </c>
      <c r="DJ1271">
        <v>41.25</v>
      </c>
      <c r="DK1271">
        <v>46.88</v>
      </c>
    </row>
    <row r="1272" spans="1:115" x14ac:dyDescent="0.3">
      <c r="A1272">
        <v>208</v>
      </c>
      <c r="B1272" t="s">
        <v>707</v>
      </c>
      <c r="C1272" t="s">
        <v>251</v>
      </c>
      <c r="D1272" t="s">
        <v>73</v>
      </c>
      <c r="E1272" t="s">
        <v>56</v>
      </c>
      <c r="F1272" s="30">
        <v>45412</v>
      </c>
      <c r="G1272" t="s">
        <v>736</v>
      </c>
      <c r="H1272" t="s">
        <v>4468</v>
      </c>
      <c r="I1272">
        <v>950</v>
      </c>
      <c r="J1272">
        <v>874</v>
      </c>
      <c r="K1272">
        <v>874</v>
      </c>
    </row>
    <row r="1273" spans="1:115" x14ac:dyDescent="0.3">
      <c r="A1273">
        <v>208</v>
      </c>
      <c r="B1273" t="s">
        <v>707</v>
      </c>
      <c r="C1273" t="s">
        <v>251</v>
      </c>
      <c r="D1273" t="s">
        <v>73</v>
      </c>
      <c r="E1273" t="s">
        <v>56</v>
      </c>
      <c r="F1273" s="30">
        <v>45412</v>
      </c>
      <c r="G1273" t="s">
        <v>736</v>
      </c>
      <c r="H1273" t="s">
        <v>4470</v>
      </c>
      <c r="I1273">
        <v>350</v>
      </c>
      <c r="J1273">
        <v>317.5</v>
      </c>
      <c r="K1273">
        <v>317.5</v>
      </c>
    </row>
    <row r="1274" spans="1:115" x14ac:dyDescent="0.3">
      <c r="A1274">
        <v>208</v>
      </c>
      <c r="B1274" t="s">
        <v>707</v>
      </c>
      <c r="C1274" t="s">
        <v>251</v>
      </c>
      <c r="D1274" t="s">
        <v>73</v>
      </c>
      <c r="E1274" t="s">
        <v>56</v>
      </c>
      <c r="F1274" s="30">
        <v>45412</v>
      </c>
      <c r="G1274" t="s">
        <v>736</v>
      </c>
      <c r="H1274" t="s">
        <v>4477</v>
      </c>
      <c r="I1274">
        <v>25</v>
      </c>
      <c r="J1274">
        <v>6.5</v>
      </c>
      <c r="K1274">
        <v>6.5</v>
      </c>
    </row>
    <row r="1275" spans="1:115" x14ac:dyDescent="0.3">
      <c r="A1275">
        <v>208</v>
      </c>
      <c r="B1275" t="s">
        <v>707</v>
      </c>
      <c r="C1275" t="s">
        <v>251</v>
      </c>
      <c r="D1275" t="s">
        <v>73</v>
      </c>
      <c r="E1275" t="s">
        <v>56</v>
      </c>
      <c r="F1275" s="30">
        <v>45412</v>
      </c>
      <c r="G1275" t="s">
        <v>736</v>
      </c>
      <c r="H1275" t="s">
        <v>4469</v>
      </c>
      <c r="I1275">
        <v>200</v>
      </c>
      <c r="J1275">
        <v>319</v>
      </c>
      <c r="K1275">
        <v>319</v>
      </c>
    </row>
    <row r="1276" spans="1:115" x14ac:dyDescent="0.3">
      <c r="A1276">
        <v>208</v>
      </c>
      <c r="B1276" t="s">
        <v>707</v>
      </c>
      <c r="C1276" t="s">
        <v>251</v>
      </c>
      <c r="D1276" t="s">
        <v>73</v>
      </c>
      <c r="E1276" t="s">
        <v>56</v>
      </c>
      <c r="F1276" s="30">
        <v>45412</v>
      </c>
      <c r="G1276" t="s">
        <v>736</v>
      </c>
      <c r="H1276" t="s">
        <v>4476</v>
      </c>
      <c r="I1276">
        <v>0</v>
      </c>
      <c r="J1276">
        <v>0</v>
      </c>
      <c r="K1276">
        <v>0</v>
      </c>
    </row>
    <row r="1277" spans="1:115" x14ac:dyDescent="0.3">
      <c r="A1277">
        <v>208</v>
      </c>
      <c r="B1277" t="s">
        <v>707</v>
      </c>
      <c r="C1277" t="s">
        <v>251</v>
      </c>
      <c r="D1277" t="s">
        <v>73</v>
      </c>
      <c r="E1277" t="s">
        <v>56</v>
      </c>
      <c r="F1277" s="30">
        <v>45412</v>
      </c>
      <c r="G1277" t="s">
        <v>736</v>
      </c>
      <c r="H1277" t="s">
        <v>4478</v>
      </c>
      <c r="I1277">
        <v>25</v>
      </c>
      <c r="J1277">
        <v>9</v>
      </c>
      <c r="K1277">
        <v>9</v>
      </c>
    </row>
    <row r="1278" spans="1:115" x14ac:dyDescent="0.3">
      <c r="A1278">
        <v>214</v>
      </c>
      <c r="B1278" t="s">
        <v>774</v>
      </c>
      <c r="C1278" t="s">
        <v>251</v>
      </c>
      <c r="D1278" t="s">
        <v>73</v>
      </c>
      <c r="E1278" t="s">
        <v>56</v>
      </c>
      <c r="F1278" s="30">
        <v>45412</v>
      </c>
      <c r="G1278" t="s">
        <v>803</v>
      </c>
      <c r="H1278" t="s">
        <v>4468</v>
      </c>
      <c r="I1278">
        <v>5500</v>
      </c>
      <c r="J1278">
        <v>4508</v>
      </c>
      <c r="L1278">
        <v>1070</v>
      </c>
      <c r="M1278">
        <v>3438</v>
      </c>
    </row>
    <row r="1279" spans="1:115" x14ac:dyDescent="0.3">
      <c r="A1279">
        <v>214</v>
      </c>
      <c r="B1279" t="s">
        <v>774</v>
      </c>
      <c r="C1279" t="s">
        <v>251</v>
      </c>
      <c r="D1279" t="s">
        <v>73</v>
      </c>
      <c r="E1279" t="s">
        <v>56</v>
      </c>
      <c r="F1279" s="30">
        <v>45412</v>
      </c>
      <c r="G1279" t="s">
        <v>803</v>
      </c>
      <c r="H1279" t="s">
        <v>4470</v>
      </c>
      <c r="I1279">
        <v>1000</v>
      </c>
      <c r="J1279">
        <v>1296.650024414062</v>
      </c>
      <c r="L1279">
        <v>205.39</v>
      </c>
      <c r="M1279">
        <v>1091.26</v>
      </c>
    </row>
    <row r="1280" spans="1:115" x14ac:dyDescent="0.3">
      <c r="A1280">
        <v>214</v>
      </c>
      <c r="B1280" t="s">
        <v>774</v>
      </c>
      <c r="C1280" t="s">
        <v>251</v>
      </c>
      <c r="D1280" t="s">
        <v>73</v>
      </c>
      <c r="E1280" t="s">
        <v>56</v>
      </c>
      <c r="F1280" s="30">
        <v>45412</v>
      </c>
      <c r="G1280" t="s">
        <v>803</v>
      </c>
      <c r="H1280" t="s">
        <v>4477</v>
      </c>
      <c r="I1280">
        <v>7500</v>
      </c>
      <c r="J1280">
        <v>0</v>
      </c>
      <c r="L1280">
        <v>0</v>
      </c>
      <c r="M1280">
        <v>0</v>
      </c>
    </row>
    <row r="1281" spans="1:48" x14ac:dyDescent="0.3">
      <c r="A1281">
        <v>214</v>
      </c>
      <c r="B1281" t="s">
        <v>774</v>
      </c>
      <c r="C1281" t="s">
        <v>251</v>
      </c>
      <c r="D1281" t="s">
        <v>73</v>
      </c>
      <c r="E1281" t="s">
        <v>56</v>
      </c>
      <c r="F1281" s="30">
        <v>45412</v>
      </c>
      <c r="G1281" t="s">
        <v>803</v>
      </c>
      <c r="H1281" t="s">
        <v>4469</v>
      </c>
      <c r="I1281">
        <v>1000</v>
      </c>
      <c r="J1281">
        <v>1648.43994140625</v>
      </c>
      <c r="L1281">
        <v>50.44</v>
      </c>
      <c r="M1281">
        <v>1598</v>
      </c>
    </row>
    <row r="1282" spans="1:48" x14ac:dyDescent="0.3">
      <c r="A1282">
        <v>214</v>
      </c>
      <c r="B1282" t="s">
        <v>774</v>
      </c>
      <c r="C1282" t="s">
        <v>251</v>
      </c>
      <c r="D1282" t="s">
        <v>73</v>
      </c>
      <c r="E1282" t="s">
        <v>56</v>
      </c>
      <c r="F1282" s="30">
        <v>45412</v>
      </c>
      <c r="G1282" t="s">
        <v>803</v>
      </c>
      <c r="H1282" t="s">
        <v>4476</v>
      </c>
      <c r="I1282">
        <v>1</v>
      </c>
      <c r="J1282">
        <v>0</v>
      </c>
      <c r="L1282">
        <v>0</v>
      </c>
      <c r="M1282">
        <v>0</v>
      </c>
    </row>
    <row r="1283" spans="1:48" x14ac:dyDescent="0.3">
      <c r="A1283">
        <v>214</v>
      </c>
      <c r="B1283" t="s">
        <v>774</v>
      </c>
      <c r="C1283" t="s">
        <v>251</v>
      </c>
      <c r="D1283" t="s">
        <v>73</v>
      </c>
      <c r="E1283" t="s">
        <v>56</v>
      </c>
      <c r="F1283" s="30">
        <v>45412</v>
      </c>
      <c r="G1283" t="s">
        <v>803</v>
      </c>
      <c r="H1283" t="s">
        <v>4478</v>
      </c>
      <c r="I1283">
        <v>1</v>
      </c>
      <c r="J1283">
        <v>90.389999389648438</v>
      </c>
      <c r="L1283">
        <v>77.209999999999994</v>
      </c>
      <c r="M1283">
        <v>13.18</v>
      </c>
    </row>
    <row r="1284" spans="1:48" x14ac:dyDescent="0.3">
      <c r="A1284">
        <v>217</v>
      </c>
      <c r="B1284" t="s">
        <v>840</v>
      </c>
      <c r="C1284" t="s">
        <v>251</v>
      </c>
      <c r="D1284" t="s">
        <v>73</v>
      </c>
      <c r="E1284" t="s">
        <v>22</v>
      </c>
      <c r="F1284" s="30">
        <v>45412</v>
      </c>
      <c r="G1284" t="s">
        <v>867</v>
      </c>
      <c r="H1284" t="s">
        <v>4470</v>
      </c>
      <c r="I1284">
        <v>20</v>
      </c>
      <c r="J1284">
        <v>15.840000152587891</v>
      </c>
      <c r="L1284">
        <v>205.39</v>
      </c>
      <c r="M1284">
        <v>1091.26</v>
      </c>
      <c r="AS1284">
        <v>205.39</v>
      </c>
    </row>
    <row r="1285" spans="1:48" x14ac:dyDescent="0.3">
      <c r="A1285">
        <v>217</v>
      </c>
      <c r="B1285" t="s">
        <v>840</v>
      </c>
      <c r="C1285" t="s">
        <v>251</v>
      </c>
      <c r="D1285" t="s">
        <v>73</v>
      </c>
      <c r="E1285" t="s">
        <v>22</v>
      </c>
      <c r="F1285" s="30">
        <v>45412</v>
      </c>
      <c r="G1285" t="s">
        <v>867</v>
      </c>
      <c r="H1285" t="s">
        <v>4478</v>
      </c>
      <c r="I1285">
        <v>20</v>
      </c>
      <c r="J1285">
        <v>85.419998168945313</v>
      </c>
      <c r="L1285">
        <v>77.209999999999994</v>
      </c>
      <c r="M1285">
        <v>13.18</v>
      </c>
      <c r="AS1285">
        <v>77.209999999999994</v>
      </c>
    </row>
    <row r="1286" spans="1:48" x14ac:dyDescent="0.3">
      <c r="A1286">
        <v>218</v>
      </c>
      <c r="B1286" t="s">
        <v>888</v>
      </c>
      <c r="C1286" t="s">
        <v>251</v>
      </c>
      <c r="D1286" t="s">
        <v>73</v>
      </c>
      <c r="E1286" t="s">
        <v>56</v>
      </c>
      <c r="F1286" s="30">
        <v>45412</v>
      </c>
      <c r="G1286" t="s">
        <v>917</v>
      </c>
      <c r="H1286" t="s">
        <v>4468</v>
      </c>
      <c r="I1286">
        <v>76000</v>
      </c>
      <c r="J1286">
        <v>73332.390625</v>
      </c>
      <c r="N1286">
        <v>73332.39</v>
      </c>
    </row>
    <row r="1287" spans="1:48" x14ac:dyDescent="0.3">
      <c r="A1287">
        <v>218</v>
      </c>
      <c r="B1287" t="s">
        <v>888</v>
      </c>
      <c r="C1287" t="s">
        <v>251</v>
      </c>
      <c r="D1287" t="s">
        <v>73</v>
      </c>
      <c r="E1287" t="s">
        <v>56</v>
      </c>
      <c r="F1287" s="30">
        <v>45412</v>
      </c>
      <c r="G1287" t="s">
        <v>917</v>
      </c>
      <c r="H1287" t="s">
        <v>4470</v>
      </c>
      <c r="I1287">
        <v>76000</v>
      </c>
      <c r="J1287">
        <v>47880</v>
      </c>
      <c r="N1287">
        <v>47880</v>
      </c>
    </row>
    <row r="1288" spans="1:48" x14ac:dyDescent="0.3">
      <c r="A1288">
        <v>218</v>
      </c>
      <c r="B1288" t="s">
        <v>888</v>
      </c>
      <c r="C1288" t="s">
        <v>251</v>
      </c>
      <c r="D1288" t="s">
        <v>73</v>
      </c>
      <c r="E1288" t="s">
        <v>56</v>
      </c>
      <c r="F1288" s="30">
        <v>45412</v>
      </c>
      <c r="G1288" t="s">
        <v>917</v>
      </c>
      <c r="H1288" t="s">
        <v>4477</v>
      </c>
      <c r="I1288">
        <v>5000</v>
      </c>
      <c r="J1288">
        <v>4740</v>
      </c>
      <c r="N1288">
        <v>4740</v>
      </c>
    </row>
    <row r="1289" spans="1:48" x14ac:dyDescent="0.3">
      <c r="A1289">
        <v>218</v>
      </c>
      <c r="B1289" t="s">
        <v>888</v>
      </c>
      <c r="C1289" t="s">
        <v>251</v>
      </c>
      <c r="D1289" t="s">
        <v>73</v>
      </c>
      <c r="E1289" t="s">
        <v>56</v>
      </c>
      <c r="F1289" s="30">
        <v>45412</v>
      </c>
      <c r="G1289" t="s">
        <v>917</v>
      </c>
      <c r="H1289" t="s">
        <v>4469</v>
      </c>
      <c r="I1289">
        <v>24000</v>
      </c>
      <c r="J1289">
        <v>31339</v>
      </c>
      <c r="N1289">
        <v>31339</v>
      </c>
    </row>
    <row r="1290" spans="1:48" x14ac:dyDescent="0.3">
      <c r="A1290">
        <v>218</v>
      </c>
      <c r="B1290" t="s">
        <v>888</v>
      </c>
      <c r="C1290" t="s">
        <v>251</v>
      </c>
      <c r="D1290" t="s">
        <v>73</v>
      </c>
      <c r="E1290" t="s">
        <v>56</v>
      </c>
      <c r="F1290" s="30">
        <v>45412</v>
      </c>
      <c r="G1290" t="s">
        <v>917</v>
      </c>
      <c r="H1290" t="s">
        <v>4478</v>
      </c>
      <c r="I1290">
        <v>2000</v>
      </c>
      <c r="J1290">
        <v>1608</v>
      </c>
      <c r="N1290">
        <v>1608</v>
      </c>
    </row>
    <row r="1291" spans="1:48" x14ac:dyDescent="0.3">
      <c r="A1291">
        <v>218</v>
      </c>
      <c r="B1291" t="s">
        <v>888</v>
      </c>
      <c r="C1291" t="s">
        <v>251</v>
      </c>
      <c r="D1291" t="s">
        <v>73</v>
      </c>
      <c r="E1291" t="s">
        <v>56</v>
      </c>
      <c r="F1291" s="30">
        <v>45412</v>
      </c>
      <c r="G1291" t="s">
        <v>917</v>
      </c>
      <c r="H1291" t="s">
        <v>4476</v>
      </c>
      <c r="I1291">
        <v>5000</v>
      </c>
      <c r="J1291">
        <v>5880</v>
      </c>
      <c r="N1291">
        <v>5880</v>
      </c>
    </row>
    <row r="1292" spans="1:48" x14ac:dyDescent="0.3">
      <c r="A1292">
        <v>434</v>
      </c>
      <c r="B1292" t="s">
        <v>2267</v>
      </c>
      <c r="C1292" t="s">
        <v>251</v>
      </c>
      <c r="D1292" t="s">
        <v>73</v>
      </c>
      <c r="E1292" t="s">
        <v>56</v>
      </c>
      <c r="F1292" s="30">
        <v>45412</v>
      </c>
      <c r="G1292" t="s">
        <v>2283</v>
      </c>
      <c r="H1292" t="s">
        <v>4468</v>
      </c>
      <c r="I1292">
        <v>100</v>
      </c>
      <c r="J1292">
        <v>85.400001525878906</v>
      </c>
      <c r="AV1292">
        <v>85.4</v>
      </c>
    </row>
    <row r="1293" spans="1:48" x14ac:dyDescent="0.3">
      <c r="A1293">
        <v>434</v>
      </c>
      <c r="B1293" t="s">
        <v>2267</v>
      </c>
      <c r="C1293" t="s">
        <v>251</v>
      </c>
      <c r="D1293" t="s">
        <v>73</v>
      </c>
      <c r="E1293" t="s">
        <v>56</v>
      </c>
      <c r="F1293" s="30">
        <v>45412</v>
      </c>
      <c r="G1293" t="s">
        <v>2283</v>
      </c>
      <c r="H1293" t="s">
        <v>4470</v>
      </c>
      <c r="I1293">
        <v>25</v>
      </c>
      <c r="J1293">
        <v>1.0399999618530269</v>
      </c>
      <c r="AV1293">
        <v>1.04</v>
      </c>
    </row>
    <row r="1294" spans="1:48" x14ac:dyDescent="0.3">
      <c r="A1294">
        <v>434</v>
      </c>
      <c r="B1294" t="s">
        <v>2267</v>
      </c>
      <c r="C1294" t="s">
        <v>251</v>
      </c>
      <c r="D1294" t="s">
        <v>73</v>
      </c>
      <c r="E1294" t="s">
        <v>56</v>
      </c>
      <c r="F1294" s="30">
        <v>45412</v>
      </c>
      <c r="G1294" t="s">
        <v>2283</v>
      </c>
      <c r="H1294" t="s">
        <v>4477</v>
      </c>
      <c r="I1294">
        <v>200</v>
      </c>
      <c r="J1294">
        <v>0</v>
      </c>
      <c r="AV1294">
        <v>0</v>
      </c>
    </row>
    <row r="1295" spans="1:48" x14ac:dyDescent="0.3">
      <c r="A1295">
        <v>434</v>
      </c>
      <c r="B1295" t="s">
        <v>2267</v>
      </c>
      <c r="C1295" t="s">
        <v>251</v>
      </c>
      <c r="D1295" t="s">
        <v>73</v>
      </c>
      <c r="E1295" t="s">
        <v>56</v>
      </c>
      <c r="F1295" s="30">
        <v>45412</v>
      </c>
      <c r="G1295" t="s">
        <v>2283</v>
      </c>
      <c r="H1295" t="s">
        <v>4469</v>
      </c>
      <c r="I1295">
        <v>25</v>
      </c>
      <c r="J1295">
        <v>2.2999999523162842</v>
      </c>
      <c r="AV1295">
        <v>2.2999999999999998</v>
      </c>
    </row>
    <row r="1296" spans="1:48" x14ac:dyDescent="0.3">
      <c r="A1296">
        <v>434</v>
      </c>
      <c r="B1296" t="s">
        <v>2267</v>
      </c>
      <c r="C1296" t="s">
        <v>251</v>
      </c>
      <c r="D1296" t="s">
        <v>73</v>
      </c>
      <c r="E1296" t="s">
        <v>56</v>
      </c>
      <c r="F1296" s="30">
        <v>45412</v>
      </c>
      <c r="G1296" t="s">
        <v>2283</v>
      </c>
      <c r="H1296" t="s">
        <v>4476</v>
      </c>
      <c r="I1296">
        <v>10</v>
      </c>
      <c r="J1296">
        <v>0.30000001192092901</v>
      </c>
      <c r="AV1296">
        <v>0.3</v>
      </c>
    </row>
    <row r="1297" spans="1:94" x14ac:dyDescent="0.3">
      <c r="A1297">
        <v>434</v>
      </c>
      <c r="B1297" t="s">
        <v>2267</v>
      </c>
      <c r="C1297" t="s">
        <v>251</v>
      </c>
      <c r="D1297" t="s">
        <v>73</v>
      </c>
      <c r="E1297" t="s">
        <v>56</v>
      </c>
      <c r="F1297" s="30">
        <v>45412</v>
      </c>
      <c r="G1297" t="s">
        <v>2283</v>
      </c>
      <c r="H1297" t="s">
        <v>4478</v>
      </c>
      <c r="I1297">
        <v>200</v>
      </c>
      <c r="J1297">
        <v>0</v>
      </c>
      <c r="AV1297">
        <v>0</v>
      </c>
    </row>
    <row r="1298" spans="1:94" x14ac:dyDescent="0.3">
      <c r="A1298">
        <v>436</v>
      </c>
      <c r="B1298" t="s">
        <v>2311</v>
      </c>
      <c r="C1298" t="s">
        <v>258</v>
      </c>
      <c r="D1298" t="s">
        <v>73</v>
      </c>
      <c r="E1298" t="s">
        <v>56</v>
      </c>
      <c r="F1298" s="30">
        <v>45412</v>
      </c>
      <c r="G1298" t="s">
        <v>2327</v>
      </c>
      <c r="H1298" t="s">
        <v>4580</v>
      </c>
      <c r="I1298">
        <v>7</v>
      </c>
      <c r="J1298">
        <v>4.0999999046325684</v>
      </c>
      <c r="CP1298">
        <v>4.0999999999999996</v>
      </c>
    </row>
    <row r="1299" spans="1:94" x14ac:dyDescent="0.3">
      <c r="A1299">
        <v>436</v>
      </c>
      <c r="B1299" t="s">
        <v>2311</v>
      </c>
      <c r="C1299" t="s">
        <v>258</v>
      </c>
      <c r="D1299" t="s">
        <v>73</v>
      </c>
      <c r="E1299" t="s">
        <v>56</v>
      </c>
      <c r="F1299" s="30">
        <v>45412</v>
      </c>
      <c r="G1299" t="s">
        <v>2327</v>
      </c>
      <c r="H1299" t="s">
        <v>4579</v>
      </c>
      <c r="I1299">
        <v>14</v>
      </c>
      <c r="J1299">
        <v>7</v>
      </c>
      <c r="CP1299">
        <v>7</v>
      </c>
    </row>
    <row r="1300" spans="1:94" x14ac:dyDescent="0.3">
      <c r="A1300">
        <v>208</v>
      </c>
      <c r="B1300" t="s">
        <v>707</v>
      </c>
      <c r="C1300" t="s">
        <v>251</v>
      </c>
      <c r="D1300" t="s">
        <v>73</v>
      </c>
      <c r="E1300" t="s">
        <v>56</v>
      </c>
      <c r="F1300" s="30">
        <v>45443</v>
      </c>
      <c r="G1300" t="s">
        <v>737</v>
      </c>
      <c r="H1300" t="s">
        <v>4468</v>
      </c>
      <c r="I1300">
        <v>950</v>
      </c>
      <c r="J1300">
        <v>976</v>
      </c>
      <c r="K1300">
        <v>976</v>
      </c>
    </row>
    <row r="1301" spans="1:94" x14ac:dyDescent="0.3">
      <c r="A1301">
        <v>208</v>
      </c>
      <c r="B1301" t="s">
        <v>707</v>
      </c>
      <c r="C1301" t="s">
        <v>251</v>
      </c>
      <c r="D1301" t="s">
        <v>73</v>
      </c>
      <c r="E1301" t="s">
        <v>56</v>
      </c>
      <c r="F1301" s="30">
        <v>45443</v>
      </c>
      <c r="G1301" t="s">
        <v>737</v>
      </c>
      <c r="H1301" t="s">
        <v>4470</v>
      </c>
      <c r="I1301">
        <v>350</v>
      </c>
      <c r="J1301">
        <v>220</v>
      </c>
      <c r="K1301">
        <v>220</v>
      </c>
    </row>
    <row r="1302" spans="1:94" x14ac:dyDescent="0.3">
      <c r="A1302">
        <v>208</v>
      </c>
      <c r="B1302" t="s">
        <v>707</v>
      </c>
      <c r="C1302" t="s">
        <v>251</v>
      </c>
      <c r="D1302" t="s">
        <v>73</v>
      </c>
      <c r="E1302" t="s">
        <v>56</v>
      </c>
      <c r="F1302" s="30">
        <v>45443</v>
      </c>
      <c r="G1302" t="s">
        <v>737</v>
      </c>
      <c r="H1302" t="s">
        <v>4477</v>
      </c>
      <c r="I1302">
        <v>25</v>
      </c>
      <c r="J1302">
        <v>6.5</v>
      </c>
      <c r="K1302">
        <v>6.5</v>
      </c>
    </row>
    <row r="1303" spans="1:94" x14ac:dyDescent="0.3">
      <c r="A1303">
        <v>208</v>
      </c>
      <c r="B1303" t="s">
        <v>707</v>
      </c>
      <c r="C1303" t="s">
        <v>251</v>
      </c>
      <c r="D1303" t="s">
        <v>73</v>
      </c>
      <c r="E1303" t="s">
        <v>56</v>
      </c>
      <c r="F1303" s="30">
        <v>45443</v>
      </c>
      <c r="G1303" t="s">
        <v>737</v>
      </c>
      <c r="H1303" t="s">
        <v>4476</v>
      </c>
      <c r="I1303">
        <v>0</v>
      </c>
      <c r="J1303">
        <v>0</v>
      </c>
      <c r="K1303">
        <v>0</v>
      </c>
    </row>
    <row r="1304" spans="1:94" x14ac:dyDescent="0.3">
      <c r="A1304">
        <v>208</v>
      </c>
      <c r="B1304" t="s">
        <v>707</v>
      </c>
      <c r="C1304" t="s">
        <v>251</v>
      </c>
      <c r="D1304" t="s">
        <v>73</v>
      </c>
      <c r="E1304" t="s">
        <v>56</v>
      </c>
      <c r="F1304" s="30">
        <v>45443</v>
      </c>
      <c r="G1304" t="s">
        <v>737</v>
      </c>
      <c r="H1304" t="s">
        <v>4478</v>
      </c>
      <c r="I1304">
        <v>25</v>
      </c>
      <c r="J1304">
        <v>7</v>
      </c>
      <c r="K1304">
        <v>7</v>
      </c>
    </row>
    <row r="1305" spans="1:94" x14ac:dyDescent="0.3">
      <c r="A1305">
        <v>208</v>
      </c>
      <c r="B1305" t="s">
        <v>707</v>
      </c>
      <c r="C1305" t="s">
        <v>251</v>
      </c>
      <c r="D1305" t="s">
        <v>73</v>
      </c>
      <c r="E1305" t="s">
        <v>56</v>
      </c>
      <c r="F1305" s="30">
        <v>45443</v>
      </c>
      <c r="G1305" t="s">
        <v>737</v>
      </c>
      <c r="H1305" t="s">
        <v>4469</v>
      </c>
      <c r="I1305">
        <v>200</v>
      </c>
      <c r="J1305">
        <v>308</v>
      </c>
      <c r="K1305">
        <v>308</v>
      </c>
    </row>
    <row r="1306" spans="1:94" x14ac:dyDescent="0.3">
      <c r="A1306">
        <v>214</v>
      </c>
      <c r="B1306" t="s">
        <v>774</v>
      </c>
      <c r="C1306" t="s">
        <v>251</v>
      </c>
      <c r="D1306" t="s">
        <v>73</v>
      </c>
      <c r="E1306" t="s">
        <v>56</v>
      </c>
      <c r="F1306" s="30">
        <v>45443</v>
      </c>
      <c r="G1306" t="s">
        <v>804</v>
      </c>
      <c r="H1306" t="s">
        <v>4468</v>
      </c>
      <c r="I1306">
        <v>5500</v>
      </c>
      <c r="J1306">
        <v>4803</v>
      </c>
      <c r="L1306">
        <v>1584</v>
      </c>
      <c r="M1306">
        <v>3219</v>
      </c>
    </row>
    <row r="1307" spans="1:94" x14ac:dyDescent="0.3">
      <c r="A1307">
        <v>214</v>
      </c>
      <c r="B1307" t="s">
        <v>774</v>
      </c>
      <c r="C1307" t="s">
        <v>251</v>
      </c>
      <c r="D1307" t="s">
        <v>73</v>
      </c>
      <c r="E1307" t="s">
        <v>56</v>
      </c>
      <c r="F1307" s="30">
        <v>45443</v>
      </c>
      <c r="G1307" t="s">
        <v>804</v>
      </c>
      <c r="H1307" t="s">
        <v>4470</v>
      </c>
      <c r="I1307">
        <v>1000</v>
      </c>
      <c r="J1307">
        <v>1021.880004882812</v>
      </c>
      <c r="L1307">
        <v>275.82</v>
      </c>
      <c r="M1307">
        <v>746.06</v>
      </c>
    </row>
    <row r="1308" spans="1:94" x14ac:dyDescent="0.3">
      <c r="A1308">
        <v>214</v>
      </c>
      <c r="B1308" t="s">
        <v>774</v>
      </c>
      <c r="C1308" t="s">
        <v>251</v>
      </c>
      <c r="D1308" t="s">
        <v>73</v>
      </c>
      <c r="E1308" t="s">
        <v>56</v>
      </c>
      <c r="F1308" s="30">
        <v>45443</v>
      </c>
      <c r="G1308" t="s">
        <v>804</v>
      </c>
      <c r="H1308" t="s">
        <v>4477</v>
      </c>
      <c r="I1308">
        <v>7500</v>
      </c>
      <c r="J1308">
        <v>0</v>
      </c>
      <c r="L1308">
        <v>0</v>
      </c>
      <c r="M1308">
        <v>0</v>
      </c>
    </row>
    <row r="1309" spans="1:94" x14ac:dyDescent="0.3">
      <c r="A1309">
        <v>214</v>
      </c>
      <c r="B1309" t="s">
        <v>774</v>
      </c>
      <c r="C1309" t="s">
        <v>251</v>
      </c>
      <c r="D1309" t="s">
        <v>73</v>
      </c>
      <c r="E1309" t="s">
        <v>56</v>
      </c>
      <c r="F1309" s="30">
        <v>45443</v>
      </c>
      <c r="G1309" t="s">
        <v>804</v>
      </c>
      <c r="H1309" t="s">
        <v>4469</v>
      </c>
      <c r="I1309">
        <v>1000</v>
      </c>
      <c r="J1309">
        <v>1136.599975585938</v>
      </c>
      <c r="L1309">
        <v>76.099999999999994</v>
      </c>
      <c r="M1309">
        <v>1060.5</v>
      </c>
    </row>
    <row r="1310" spans="1:94" x14ac:dyDescent="0.3">
      <c r="A1310">
        <v>214</v>
      </c>
      <c r="B1310" t="s">
        <v>774</v>
      </c>
      <c r="C1310" t="s">
        <v>251</v>
      </c>
      <c r="D1310" t="s">
        <v>73</v>
      </c>
      <c r="E1310" t="s">
        <v>56</v>
      </c>
      <c r="F1310" s="30">
        <v>45443</v>
      </c>
      <c r="G1310" t="s">
        <v>804</v>
      </c>
      <c r="H1310" t="s">
        <v>4476</v>
      </c>
      <c r="I1310">
        <v>1</v>
      </c>
      <c r="J1310">
        <v>0</v>
      </c>
      <c r="L1310">
        <v>0</v>
      </c>
      <c r="M1310">
        <v>0</v>
      </c>
    </row>
    <row r="1311" spans="1:94" x14ac:dyDescent="0.3">
      <c r="A1311">
        <v>214</v>
      </c>
      <c r="B1311" t="s">
        <v>774</v>
      </c>
      <c r="C1311" t="s">
        <v>251</v>
      </c>
      <c r="D1311" t="s">
        <v>73</v>
      </c>
      <c r="E1311" t="s">
        <v>56</v>
      </c>
      <c r="F1311" s="30">
        <v>45443</v>
      </c>
      <c r="G1311" t="s">
        <v>804</v>
      </c>
      <c r="H1311" t="s">
        <v>4478</v>
      </c>
      <c r="I1311">
        <v>1</v>
      </c>
      <c r="J1311">
        <v>44.860000610351563</v>
      </c>
      <c r="L1311">
        <v>33.76</v>
      </c>
      <c r="M1311">
        <v>11.1</v>
      </c>
    </row>
    <row r="1312" spans="1:94" x14ac:dyDescent="0.3">
      <c r="A1312">
        <v>217</v>
      </c>
      <c r="B1312" t="s">
        <v>840</v>
      </c>
      <c r="C1312" t="s">
        <v>251</v>
      </c>
      <c r="D1312" t="s">
        <v>73</v>
      </c>
      <c r="E1312" t="s">
        <v>22</v>
      </c>
      <c r="F1312" s="30">
        <v>45443</v>
      </c>
      <c r="G1312" t="s">
        <v>868</v>
      </c>
      <c r="H1312" t="s">
        <v>4470</v>
      </c>
      <c r="I1312">
        <v>20</v>
      </c>
      <c r="J1312">
        <v>26.989999771118161</v>
      </c>
      <c r="L1312">
        <v>275.82</v>
      </c>
      <c r="M1312">
        <v>746.06</v>
      </c>
      <c r="AS1312">
        <v>275.82</v>
      </c>
    </row>
    <row r="1313" spans="1:94" x14ac:dyDescent="0.3">
      <c r="A1313">
        <v>217</v>
      </c>
      <c r="B1313" t="s">
        <v>840</v>
      </c>
      <c r="C1313" t="s">
        <v>251</v>
      </c>
      <c r="D1313" t="s">
        <v>73</v>
      </c>
      <c r="E1313" t="s">
        <v>22</v>
      </c>
      <c r="F1313" s="30">
        <v>45443</v>
      </c>
      <c r="G1313" t="s">
        <v>868</v>
      </c>
      <c r="H1313" t="s">
        <v>4478</v>
      </c>
      <c r="I1313">
        <v>20</v>
      </c>
      <c r="J1313">
        <v>75.260002136230469</v>
      </c>
      <c r="L1313">
        <v>33.76</v>
      </c>
      <c r="M1313">
        <v>11.1</v>
      </c>
      <c r="AS1313">
        <v>33.76</v>
      </c>
    </row>
    <row r="1314" spans="1:94" x14ac:dyDescent="0.3">
      <c r="A1314">
        <v>218</v>
      </c>
      <c r="B1314" t="s">
        <v>888</v>
      </c>
      <c r="C1314" t="s">
        <v>251</v>
      </c>
      <c r="D1314" t="s">
        <v>73</v>
      </c>
      <c r="E1314" t="s">
        <v>56</v>
      </c>
      <c r="F1314" s="30">
        <v>45443</v>
      </c>
      <c r="G1314" t="s">
        <v>918</v>
      </c>
      <c r="H1314" t="s">
        <v>4470</v>
      </c>
      <c r="I1314">
        <v>76000</v>
      </c>
      <c r="J1314">
        <v>46740</v>
      </c>
      <c r="N1314">
        <v>46740</v>
      </c>
    </row>
    <row r="1315" spans="1:94" x14ac:dyDescent="0.3">
      <c r="A1315">
        <v>218</v>
      </c>
      <c r="B1315" t="s">
        <v>888</v>
      </c>
      <c r="C1315" t="s">
        <v>251</v>
      </c>
      <c r="D1315" t="s">
        <v>73</v>
      </c>
      <c r="E1315" t="s">
        <v>56</v>
      </c>
      <c r="F1315" s="30">
        <v>45443</v>
      </c>
      <c r="G1315" t="s">
        <v>918</v>
      </c>
      <c r="H1315" t="s">
        <v>4477</v>
      </c>
      <c r="I1315">
        <v>5000</v>
      </c>
      <c r="J1315">
        <v>4440</v>
      </c>
      <c r="N1315">
        <v>4440</v>
      </c>
    </row>
    <row r="1316" spans="1:94" x14ac:dyDescent="0.3">
      <c r="A1316">
        <v>218</v>
      </c>
      <c r="B1316" t="s">
        <v>888</v>
      </c>
      <c r="C1316" t="s">
        <v>251</v>
      </c>
      <c r="D1316" t="s">
        <v>73</v>
      </c>
      <c r="E1316" t="s">
        <v>56</v>
      </c>
      <c r="F1316" s="30">
        <v>45443</v>
      </c>
      <c r="G1316" t="s">
        <v>918</v>
      </c>
      <c r="H1316" t="s">
        <v>4469</v>
      </c>
      <c r="I1316">
        <v>24000</v>
      </c>
      <c r="J1316">
        <v>26302</v>
      </c>
      <c r="N1316">
        <v>26302</v>
      </c>
    </row>
    <row r="1317" spans="1:94" x14ac:dyDescent="0.3">
      <c r="A1317">
        <v>218</v>
      </c>
      <c r="B1317" t="s">
        <v>888</v>
      </c>
      <c r="C1317" t="s">
        <v>251</v>
      </c>
      <c r="D1317" t="s">
        <v>73</v>
      </c>
      <c r="E1317" t="s">
        <v>56</v>
      </c>
      <c r="F1317" s="30">
        <v>45443</v>
      </c>
      <c r="G1317" t="s">
        <v>918</v>
      </c>
      <c r="H1317" t="s">
        <v>4476</v>
      </c>
      <c r="I1317">
        <v>5000</v>
      </c>
      <c r="J1317">
        <v>4320</v>
      </c>
      <c r="N1317">
        <v>4320</v>
      </c>
    </row>
    <row r="1318" spans="1:94" x14ac:dyDescent="0.3">
      <c r="A1318">
        <v>218</v>
      </c>
      <c r="B1318" t="s">
        <v>888</v>
      </c>
      <c r="C1318" t="s">
        <v>251</v>
      </c>
      <c r="D1318" t="s">
        <v>73</v>
      </c>
      <c r="E1318" t="s">
        <v>56</v>
      </c>
      <c r="F1318" s="30">
        <v>45443</v>
      </c>
      <c r="G1318" t="s">
        <v>918</v>
      </c>
      <c r="H1318" t="s">
        <v>4478</v>
      </c>
      <c r="I1318">
        <v>2000</v>
      </c>
      <c r="J1318">
        <v>1432</v>
      </c>
      <c r="N1318">
        <v>1432</v>
      </c>
    </row>
    <row r="1319" spans="1:94" x14ac:dyDescent="0.3">
      <c r="A1319">
        <v>218</v>
      </c>
      <c r="B1319" t="s">
        <v>888</v>
      </c>
      <c r="C1319" t="s">
        <v>251</v>
      </c>
      <c r="D1319" t="s">
        <v>73</v>
      </c>
      <c r="E1319" t="s">
        <v>56</v>
      </c>
      <c r="F1319" s="30">
        <v>45443</v>
      </c>
      <c r="G1319" t="s">
        <v>918</v>
      </c>
      <c r="H1319" t="s">
        <v>4468</v>
      </c>
      <c r="I1319">
        <v>76000</v>
      </c>
      <c r="J1319">
        <v>74045.1484375</v>
      </c>
      <c r="N1319">
        <v>74045.149999999994</v>
      </c>
    </row>
    <row r="1320" spans="1:94" x14ac:dyDescent="0.3">
      <c r="A1320">
        <v>434</v>
      </c>
      <c r="B1320" t="s">
        <v>2267</v>
      </c>
      <c r="C1320" t="s">
        <v>251</v>
      </c>
      <c r="D1320" t="s">
        <v>73</v>
      </c>
      <c r="E1320" t="s">
        <v>56</v>
      </c>
      <c r="F1320" s="30">
        <v>45443</v>
      </c>
      <c r="G1320" t="s">
        <v>2284</v>
      </c>
      <c r="H1320" t="s">
        <v>4468</v>
      </c>
      <c r="I1320">
        <v>100</v>
      </c>
      <c r="J1320">
        <v>40.069999694824219</v>
      </c>
      <c r="AV1320">
        <v>40.07</v>
      </c>
    </row>
    <row r="1321" spans="1:94" x14ac:dyDescent="0.3">
      <c r="A1321">
        <v>434</v>
      </c>
      <c r="B1321" t="s">
        <v>2267</v>
      </c>
      <c r="C1321" t="s">
        <v>251</v>
      </c>
      <c r="D1321" t="s">
        <v>73</v>
      </c>
      <c r="E1321" t="s">
        <v>56</v>
      </c>
      <c r="F1321" s="30">
        <v>45443</v>
      </c>
      <c r="G1321" t="s">
        <v>2284</v>
      </c>
      <c r="H1321" t="s">
        <v>4470</v>
      </c>
      <c r="I1321">
        <v>25</v>
      </c>
      <c r="J1321">
        <v>0.82999998331069946</v>
      </c>
      <c r="AV1321">
        <v>0.83</v>
      </c>
    </row>
    <row r="1322" spans="1:94" x14ac:dyDescent="0.3">
      <c r="A1322">
        <v>434</v>
      </c>
      <c r="B1322" t="s">
        <v>2267</v>
      </c>
      <c r="C1322" t="s">
        <v>251</v>
      </c>
      <c r="D1322" t="s">
        <v>73</v>
      </c>
      <c r="E1322" t="s">
        <v>56</v>
      </c>
      <c r="F1322" s="30">
        <v>45443</v>
      </c>
      <c r="G1322" t="s">
        <v>2284</v>
      </c>
      <c r="H1322" t="s">
        <v>4477</v>
      </c>
      <c r="I1322">
        <v>200</v>
      </c>
      <c r="J1322">
        <v>0</v>
      </c>
      <c r="AV1322">
        <v>0</v>
      </c>
    </row>
    <row r="1323" spans="1:94" x14ac:dyDescent="0.3">
      <c r="A1323">
        <v>434</v>
      </c>
      <c r="B1323" t="s">
        <v>2267</v>
      </c>
      <c r="C1323" t="s">
        <v>251</v>
      </c>
      <c r="D1323" t="s">
        <v>73</v>
      </c>
      <c r="E1323" t="s">
        <v>56</v>
      </c>
      <c r="F1323" s="30">
        <v>45443</v>
      </c>
      <c r="G1323" t="s">
        <v>2284</v>
      </c>
      <c r="H1323" t="s">
        <v>4469</v>
      </c>
      <c r="I1323">
        <v>25</v>
      </c>
      <c r="J1323">
        <v>0.89999997615814209</v>
      </c>
      <c r="AV1323">
        <v>0.9</v>
      </c>
    </row>
    <row r="1324" spans="1:94" x14ac:dyDescent="0.3">
      <c r="A1324">
        <v>434</v>
      </c>
      <c r="B1324" t="s">
        <v>2267</v>
      </c>
      <c r="C1324" t="s">
        <v>251</v>
      </c>
      <c r="D1324" t="s">
        <v>73</v>
      </c>
      <c r="E1324" t="s">
        <v>56</v>
      </c>
      <c r="F1324" s="30">
        <v>45443</v>
      </c>
      <c r="G1324" t="s">
        <v>2284</v>
      </c>
      <c r="H1324" t="s">
        <v>4476</v>
      </c>
      <c r="I1324">
        <v>10</v>
      </c>
      <c r="J1324">
        <v>0.20000000298023221</v>
      </c>
      <c r="AV1324">
        <v>0.2</v>
      </c>
    </row>
    <row r="1325" spans="1:94" x14ac:dyDescent="0.3">
      <c r="A1325">
        <v>434</v>
      </c>
      <c r="B1325" t="s">
        <v>2267</v>
      </c>
      <c r="C1325" t="s">
        <v>251</v>
      </c>
      <c r="D1325" t="s">
        <v>73</v>
      </c>
      <c r="E1325" t="s">
        <v>56</v>
      </c>
      <c r="F1325" s="30">
        <v>45443</v>
      </c>
      <c r="G1325" t="s">
        <v>2284</v>
      </c>
      <c r="H1325" t="s">
        <v>4478</v>
      </c>
      <c r="I1325">
        <v>200</v>
      </c>
      <c r="J1325">
        <v>0</v>
      </c>
      <c r="AV1325">
        <v>0</v>
      </c>
    </row>
    <row r="1326" spans="1:94" x14ac:dyDescent="0.3">
      <c r="A1326">
        <v>436</v>
      </c>
      <c r="B1326" t="s">
        <v>2311</v>
      </c>
      <c r="C1326" t="s">
        <v>258</v>
      </c>
      <c r="D1326" t="s">
        <v>73</v>
      </c>
      <c r="E1326" t="s">
        <v>56</v>
      </c>
      <c r="F1326" s="30">
        <v>45443</v>
      </c>
      <c r="G1326" t="s">
        <v>2328</v>
      </c>
      <c r="H1326" t="s">
        <v>4580</v>
      </c>
      <c r="I1326">
        <v>7</v>
      </c>
      <c r="J1326">
        <v>4.5</v>
      </c>
      <c r="CP1326">
        <v>4.5</v>
      </c>
    </row>
    <row r="1327" spans="1:94" x14ac:dyDescent="0.3">
      <c r="A1327">
        <v>436</v>
      </c>
      <c r="B1327" t="s">
        <v>2311</v>
      </c>
      <c r="C1327" t="s">
        <v>258</v>
      </c>
      <c r="D1327" t="s">
        <v>73</v>
      </c>
      <c r="E1327" t="s">
        <v>56</v>
      </c>
      <c r="F1327" s="30">
        <v>45443</v>
      </c>
      <c r="G1327" t="s">
        <v>2328</v>
      </c>
      <c r="H1327" t="s">
        <v>4579</v>
      </c>
      <c r="I1327">
        <v>14</v>
      </c>
      <c r="J1327">
        <v>6.0999999046325684</v>
      </c>
      <c r="CP1327">
        <v>6.1</v>
      </c>
    </row>
    <row r="1328" spans="1:94" x14ac:dyDescent="0.3">
      <c r="A1328">
        <v>208</v>
      </c>
      <c r="B1328" t="s">
        <v>707</v>
      </c>
      <c r="C1328" t="s">
        <v>251</v>
      </c>
      <c r="D1328" t="s">
        <v>73</v>
      </c>
      <c r="E1328" t="s">
        <v>56</v>
      </c>
      <c r="F1328" s="30">
        <v>45473</v>
      </c>
      <c r="G1328" t="s">
        <v>738</v>
      </c>
      <c r="H1328" t="s">
        <v>4468</v>
      </c>
      <c r="I1328">
        <v>950</v>
      </c>
      <c r="J1328">
        <v>766</v>
      </c>
      <c r="K1328">
        <v>766</v>
      </c>
    </row>
    <row r="1329" spans="1:45" x14ac:dyDescent="0.3">
      <c r="A1329">
        <v>208</v>
      </c>
      <c r="B1329" t="s">
        <v>707</v>
      </c>
      <c r="C1329" t="s">
        <v>251</v>
      </c>
      <c r="D1329" t="s">
        <v>73</v>
      </c>
      <c r="E1329" t="s">
        <v>56</v>
      </c>
      <c r="F1329" s="30">
        <v>45473</v>
      </c>
      <c r="G1329" t="s">
        <v>738</v>
      </c>
      <c r="H1329" t="s">
        <v>4470</v>
      </c>
      <c r="I1329">
        <v>350</v>
      </c>
      <c r="J1329">
        <v>220</v>
      </c>
      <c r="K1329">
        <v>220</v>
      </c>
    </row>
    <row r="1330" spans="1:45" x14ac:dyDescent="0.3">
      <c r="A1330">
        <v>208</v>
      </c>
      <c r="B1330" t="s">
        <v>707</v>
      </c>
      <c r="C1330" t="s">
        <v>251</v>
      </c>
      <c r="D1330" t="s">
        <v>73</v>
      </c>
      <c r="E1330" t="s">
        <v>56</v>
      </c>
      <c r="F1330" s="30">
        <v>45473</v>
      </c>
      <c r="G1330" t="s">
        <v>738</v>
      </c>
      <c r="H1330" t="s">
        <v>4477</v>
      </c>
      <c r="I1330">
        <v>25</v>
      </c>
      <c r="J1330">
        <v>5</v>
      </c>
      <c r="K1330">
        <v>5</v>
      </c>
    </row>
    <row r="1331" spans="1:45" x14ac:dyDescent="0.3">
      <c r="A1331">
        <v>208</v>
      </c>
      <c r="B1331" t="s">
        <v>707</v>
      </c>
      <c r="C1331" t="s">
        <v>251</v>
      </c>
      <c r="D1331" t="s">
        <v>73</v>
      </c>
      <c r="E1331" t="s">
        <v>56</v>
      </c>
      <c r="F1331" s="30">
        <v>45473</v>
      </c>
      <c r="G1331" t="s">
        <v>738</v>
      </c>
      <c r="H1331" t="s">
        <v>4469</v>
      </c>
      <c r="I1331">
        <v>200</v>
      </c>
      <c r="J1331">
        <v>293</v>
      </c>
      <c r="K1331">
        <v>293</v>
      </c>
    </row>
    <row r="1332" spans="1:45" x14ac:dyDescent="0.3">
      <c r="A1332">
        <v>208</v>
      </c>
      <c r="B1332" t="s">
        <v>707</v>
      </c>
      <c r="C1332" t="s">
        <v>251</v>
      </c>
      <c r="D1332" t="s">
        <v>73</v>
      </c>
      <c r="E1332" t="s">
        <v>56</v>
      </c>
      <c r="F1332" s="30">
        <v>45473</v>
      </c>
      <c r="G1332" t="s">
        <v>738</v>
      </c>
      <c r="H1332" t="s">
        <v>4476</v>
      </c>
      <c r="I1332">
        <v>0</v>
      </c>
      <c r="J1332">
        <v>0</v>
      </c>
      <c r="K1332">
        <v>0</v>
      </c>
    </row>
    <row r="1333" spans="1:45" x14ac:dyDescent="0.3">
      <c r="A1333">
        <v>208</v>
      </c>
      <c r="B1333" t="s">
        <v>707</v>
      </c>
      <c r="C1333" t="s">
        <v>251</v>
      </c>
      <c r="D1333" t="s">
        <v>73</v>
      </c>
      <c r="E1333" t="s">
        <v>56</v>
      </c>
      <c r="F1333" s="30">
        <v>45473</v>
      </c>
      <c r="G1333" t="s">
        <v>738</v>
      </c>
      <c r="H1333" t="s">
        <v>4478</v>
      </c>
      <c r="I1333">
        <v>25</v>
      </c>
      <c r="J1333">
        <v>7</v>
      </c>
      <c r="K1333">
        <v>7</v>
      </c>
    </row>
    <row r="1334" spans="1:45" x14ac:dyDescent="0.3">
      <c r="A1334">
        <v>214</v>
      </c>
      <c r="B1334" t="s">
        <v>774</v>
      </c>
      <c r="C1334" t="s">
        <v>251</v>
      </c>
      <c r="D1334" t="s">
        <v>73</v>
      </c>
      <c r="E1334" t="s">
        <v>56</v>
      </c>
      <c r="F1334" s="30">
        <v>45473</v>
      </c>
      <c r="G1334" t="s">
        <v>805</v>
      </c>
      <c r="H1334" t="s">
        <v>4468</v>
      </c>
      <c r="I1334">
        <v>5500</v>
      </c>
      <c r="J1334">
        <v>2138.25</v>
      </c>
      <c r="L1334">
        <v>379.25</v>
      </c>
      <c r="M1334">
        <v>1759</v>
      </c>
    </row>
    <row r="1335" spans="1:45" x14ac:dyDescent="0.3">
      <c r="A1335">
        <v>214</v>
      </c>
      <c r="B1335" t="s">
        <v>774</v>
      </c>
      <c r="C1335" t="s">
        <v>251</v>
      </c>
      <c r="D1335" t="s">
        <v>73</v>
      </c>
      <c r="E1335" t="s">
        <v>56</v>
      </c>
      <c r="F1335" s="30">
        <v>45473</v>
      </c>
      <c r="G1335" t="s">
        <v>805</v>
      </c>
      <c r="H1335" t="s">
        <v>4470</v>
      </c>
      <c r="I1335">
        <v>1000</v>
      </c>
      <c r="J1335">
        <v>556.82000732421875</v>
      </c>
      <c r="L1335">
        <v>137.35</v>
      </c>
      <c r="M1335">
        <v>419.47</v>
      </c>
    </row>
    <row r="1336" spans="1:45" x14ac:dyDescent="0.3">
      <c r="A1336">
        <v>214</v>
      </c>
      <c r="B1336" t="s">
        <v>774</v>
      </c>
      <c r="C1336" t="s">
        <v>251</v>
      </c>
      <c r="D1336" t="s">
        <v>73</v>
      </c>
      <c r="E1336" t="s">
        <v>56</v>
      </c>
      <c r="F1336" s="30">
        <v>45473</v>
      </c>
      <c r="G1336" t="s">
        <v>805</v>
      </c>
      <c r="H1336" t="s">
        <v>4477</v>
      </c>
      <c r="I1336">
        <v>7500</v>
      </c>
      <c r="J1336">
        <v>0</v>
      </c>
      <c r="L1336">
        <v>0</v>
      </c>
      <c r="M1336">
        <v>0</v>
      </c>
    </row>
    <row r="1337" spans="1:45" x14ac:dyDescent="0.3">
      <c r="A1337">
        <v>214</v>
      </c>
      <c r="B1337" t="s">
        <v>774</v>
      </c>
      <c r="C1337" t="s">
        <v>251</v>
      </c>
      <c r="D1337" t="s">
        <v>73</v>
      </c>
      <c r="E1337" t="s">
        <v>56</v>
      </c>
      <c r="F1337" s="30">
        <v>45473</v>
      </c>
      <c r="G1337" t="s">
        <v>805</v>
      </c>
      <c r="H1337" t="s">
        <v>4469</v>
      </c>
      <c r="I1337">
        <v>1000</v>
      </c>
      <c r="J1337">
        <v>476.39999389648438</v>
      </c>
      <c r="L1337">
        <v>13.7</v>
      </c>
      <c r="M1337">
        <v>462.7</v>
      </c>
    </row>
    <row r="1338" spans="1:45" x14ac:dyDescent="0.3">
      <c r="A1338">
        <v>214</v>
      </c>
      <c r="B1338" t="s">
        <v>774</v>
      </c>
      <c r="C1338" t="s">
        <v>251</v>
      </c>
      <c r="D1338" t="s">
        <v>73</v>
      </c>
      <c r="E1338" t="s">
        <v>56</v>
      </c>
      <c r="F1338" s="30">
        <v>45473</v>
      </c>
      <c r="G1338" t="s">
        <v>805</v>
      </c>
      <c r="H1338" t="s">
        <v>4476</v>
      </c>
      <c r="I1338">
        <v>1</v>
      </c>
      <c r="J1338">
        <v>0</v>
      </c>
      <c r="L1338">
        <v>0</v>
      </c>
      <c r="M1338">
        <v>0</v>
      </c>
    </row>
    <row r="1339" spans="1:45" x14ac:dyDescent="0.3">
      <c r="A1339">
        <v>214</v>
      </c>
      <c r="B1339" t="s">
        <v>774</v>
      </c>
      <c r="C1339" t="s">
        <v>251</v>
      </c>
      <c r="D1339" t="s">
        <v>73</v>
      </c>
      <c r="E1339" t="s">
        <v>56</v>
      </c>
      <c r="F1339" s="30">
        <v>45473</v>
      </c>
      <c r="G1339" t="s">
        <v>805</v>
      </c>
      <c r="H1339" t="s">
        <v>4478</v>
      </c>
      <c r="I1339">
        <v>1</v>
      </c>
      <c r="J1339">
        <v>28.579999923706051</v>
      </c>
      <c r="L1339">
        <v>20.93</v>
      </c>
      <c r="M1339">
        <v>7.65</v>
      </c>
    </row>
    <row r="1340" spans="1:45" x14ac:dyDescent="0.3">
      <c r="A1340">
        <v>217</v>
      </c>
      <c r="B1340" t="s">
        <v>840</v>
      </c>
      <c r="C1340" t="s">
        <v>251</v>
      </c>
      <c r="D1340" t="s">
        <v>73</v>
      </c>
      <c r="E1340" t="s">
        <v>22</v>
      </c>
      <c r="F1340" s="30">
        <v>45473</v>
      </c>
      <c r="G1340" t="s">
        <v>869</v>
      </c>
      <c r="H1340" t="s">
        <v>4478</v>
      </c>
      <c r="I1340">
        <v>20</v>
      </c>
      <c r="J1340">
        <v>73.230003356933594</v>
      </c>
      <c r="L1340">
        <v>20.93</v>
      </c>
      <c r="M1340">
        <v>7.65</v>
      </c>
      <c r="AS1340">
        <v>20.93</v>
      </c>
    </row>
    <row r="1341" spans="1:45" x14ac:dyDescent="0.3">
      <c r="A1341">
        <v>218</v>
      </c>
      <c r="B1341" t="s">
        <v>888</v>
      </c>
      <c r="C1341" t="s">
        <v>251</v>
      </c>
      <c r="D1341" t="s">
        <v>73</v>
      </c>
      <c r="E1341" t="s">
        <v>56</v>
      </c>
      <c r="F1341" s="30">
        <v>45473</v>
      </c>
      <c r="G1341" t="s">
        <v>919</v>
      </c>
      <c r="H1341" t="s">
        <v>4468</v>
      </c>
      <c r="I1341">
        <v>76000</v>
      </c>
      <c r="J1341">
        <v>57897.6484375</v>
      </c>
      <c r="N1341">
        <v>57897.65</v>
      </c>
    </row>
    <row r="1342" spans="1:45" x14ac:dyDescent="0.3">
      <c r="A1342">
        <v>218</v>
      </c>
      <c r="B1342" t="s">
        <v>888</v>
      </c>
      <c r="C1342" t="s">
        <v>251</v>
      </c>
      <c r="D1342" t="s">
        <v>73</v>
      </c>
      <c r="E1342" t="s">
        <v>56</v>
      </c>
      <c r="F1342" s="30">
        <v>45473</v>
      </c>
      <c r="G1342" t="s">
        <v>919</v>
      </c>
      <c r="H1342" t="s">
        <v>4470</v>
      </c>
      <c r="I1342">
        <v>76000</v>
      </c>
      <c r="J1342">
        <v>45030</v>
      </c>
      <c r="N1342">
        <v>45030</v>
      </c>
    </row>
    <row r="1343" spans="1:45" x14ac:dyDescent="0.3">
      <c r="A1343">
        <v>218</v>
      </c>
      <c r="B1343" t="s">
        <v>888</v>
      </c>
      <c r="C1343" t="s">
        <v>251</v>
      </c>
      <c r="D1343" t="s">
        <v>73</v>
      </c>
      <c r="E1343" t="s">
        <v>56</v>
      </c>
      <c r="F1343" s="30">
        <v>45473</v>
      </c>
      <c r="G1343" t="s">
        <v>919</v>
      </c>
      <c r="H1343" t="s">
        <v>4477</v>
      </c>
      <c r="I1343">
        <v>5000</v>
      </c>
      <c r="J1343">
        <v>4260</v>
      </c>
      <c r="N1343">
        <v>4260</v>
      </c>
    </row>
    <row r="1344" spans="1:45" x14ac:dyDescent="0.3">
      <c r="A1344">
        <v>218</v>
      </c>
      <c r="B1344" t="s">
        <v>888</v>
      </c>
      <c r="C1344" t="s">
        <v>251</v>
      </c>
      <c r="D1344" t="s">
        <v>73</v>
      </c>
      <c r="E1344" t="s">
        <v>56</v>
      </c>
      <c r="F1344" s="30">
        <v>45473</v>
      </c>
      <c r="G1344" t="s">
        <v>919</v>
      </c>
      <c r="H1344" t="s">
        <v>4469</v>
      </c>
      <c r="I1344">
        <v>24000</v>
      </c>
      <c r="J1344">
        <v>27377</v>
      </c>
      <c r="N1344">
        <v>27377</v>
      </c>
    </row>
    <row r="1345" spans="1:94" x14ac:dyDescent="0.3">
      <c r="A1345">
        <v>218</v>
      </c>
      <c r="B1345" t="s">
        <v>888</v>
      </c>
      <c r="C1345" t="s">
        <v>251</v>
      </c>
      <c r="D1345" t="s">
        <v>73</v>
      </c>
      <c r="E1345" t="s">
        <v>56</v>
      </c>
      <c r="F1345" s="30">
        <v>45473</v>
      </c>
      <c r="G1345" t="s">
        <v>919</v>
      </c>
      <c r="H1345" t="s">
        <v>4478</v>
      </c>
      <c r="I1345">
        <v>2000</v>
      </c>
      <c r="J1345">
        <v>1484</v>
      </c>
      <c r="N1345">
        <v>1484</v>
      </c>
    </row>
    <row r="1346" spans="1:94" x14ac:dyDescent="0.3">
      <c r="A1346">
        <v>218</v>
      </c>
      <c r="B1346" t="s">
        <v>888</v>
      </c>
      <c r="C1346" t="s">
        <v>251</v>
      </c>
      <c r="D1346" t="s">
        <v>73</v>
      </c>
      <c r="E1346" t="s">
        <v>56</v>
      </c>
      <c r="F1346" s="30">
        <v>45473</v>
      </c>
      <c r="G1346" t="s">
        <v>919</v>
      </c>
      <c r="H1346" t="s">
        <v>4476</v>
      </c>
      <c r="I1346">
        <v>5000</v>
      </c>
      <c r="J1346">
        <v>4440</v>
      </c>
      <c r="N1346">
        <v>4440</v>
      </c>
    </row>
    <row r="1347" spans="1:94" x14ac:dyDescent="0.3">
      <c r="A1347">
        <v>434</v>
      </c>
      <c r="B1347" t="s">
        <v>2267</v>
      </c>
      <c r="C1347" t="s">
        <v>251</v>
      </c>
      <c r="D1347" t="s">
        <v>73</v>
      </c>
      <c r="E1347" t="s">
        <v>56</v>
      </c>
      <c r="F1347" s="30">
        <v>45473</v>
      </c>
      <c r="G1347" t="s">
        <v>2285</v>
      </c>
      <c r="H1347" t="s">
        <v>4468</v>
      </c>
      <c r="I1347">
        <v>100</v>
      </c>
      <c r="J1347">
        <v>2740.449951171875</v>
      </c>
      <c r="AV1347">
        <v>3055.95</v>
      </c>
    </row>
    <row r="1348" spans="1:94" x14ac:dyDescent="0.3">
      <c r="A1348">
        <v>434</v>
      </c>
      <c r="B1348" t="s">
        <v>2267</v>
      </c>
      <c r="C1348" t="s">
        <v>251</v>
      </c>
      <c r="D1348" t="s">
        <v>73</v>
      </c>
      <c r="E1348" t="s">
        <v>56</v>
      </c>
      <c r="F1348" s="30">
        <v>45473</v>
      </c>
      <c r="G1348" t="s">
        <v>2285</v>
      </c>
      <c r="H1348" t="s">
        <v>4470</v>
      </c>
      <c r="I1348">
        <v>25</v>
      </c>
      <c r="J1348">
        <v>477.54998779296881</v>
      </c>
      <c r="AV1348">
        <v>477.55</v>
      </c>
    </row>
    <row r="1349" spans="1:94" x14ac:dyDescent="0.3">
      <c r="A1349">
        <v>434</v>
      </c>
      <c r="B1349" t="s">
        <v>2267</v>
      </c>
      <c r="C1349" t="s">
        <v>251</v>
      </c>
      <c r="D1349" t="s">
        <v>73</v>
      </c>
      <c r="E1349" t="s">
        <v>56</v>
      </c>
      <c r="F1349" s="30">
        <v>45473</v>
      </c>
      <c r="G1349" t="s">
        <v>2285</v>
      </c>
      <c r="H1349" t="s">
        <v>4477</v>
      </c>
      <c r="I1349">
        <v>200</v>
      </c>
      <c r="J1349">
        <v>0</v>
      </c>
      <c r="AV1349">
        <v>0</v>
      </c>
    </row>
    <row r="1350" spans="1:94" x14ac:dyDescent="0.3">
      <c r="A1350">
        <v>434</v>
      </c>
      <c r="B1350" t="s">
        <v>2267</v>
      </c>
      <c r="C1350" t="s">
        <v>251</v>
      </c>
      <c r="D1350" t="s">
        <v>73</v>
      </c>
      <c r="E1350" t="s">
        <v>56</v>
      </c>
      <c r="F1350" s="30">
        <v>45473</v>
      </c>
      <c r="G1350" t="s">
        <v>2285</v>
      </c>
      <c r="H1350" t="s">
        <v>4469</v>
      </c>
      <c r="I1350">
        <v>25</v>
      </c>
      <c r="J1350">
        <v>0.89999997615814209</v>
      </c>
      <c r="AV1350">
        <v>0.9</v>
      </c>
    </row>
    <row r="1351" spans="1:94" x14ac:dyDescent="0.3">
      <c r="A1351">
        <v>434</v>
      </c>
      <c r="B1351" t="s">
        <v>2267</v>
      </c>
      <c r="C1351" t="s">
        <v>251</v>
      </c>
      <c r="D1351" t="s">
        <v>73</v>
      </c>
      <c r="E1351" t="s">
        <v>56</v>
      </c>
      <c r="F1351" s="30">
        <v>45473</v>
      </c>
      <c r="G1351" t="s">
        <v>2285</v>
      </c>
      <c r="H1351" t="s">
        <v>4476</v>
      </c>
      <c r="I1351">
        <v>10</v>
      </c>
      <c r="J1351">
        <v>0.20000000298023221</v>
      </c>
      <c r="AV1351">
        <v>0.2</v>
      </c>
    </row>
    <row r="1352" spans="1:94" x14ac:dyDescent="0.3">
      <c r="A1352">
        <v>434</v>
      </c>
      <c r="B1352" t="s">
        <v>2267</v>
      </c>
      <c r="C1352" t="s">
        <v>251</v>
      </c>
      <c r="D1352" t="s">
        <v>73</v>
      </c>
      <c r="E1352" t="s">
        <v>56</v>
      </c>
      <c r="F1352" s="30">
        <v>45473</v>
      </c>
      <c r="G1352" t="s">
        <v>2285</v>
      </c>
      <c r="H1352" t="s">
        <v>4478</v>
      </c>
      <c r="I1352">
        <v>200</v>
      </c>
      <c r="J1352">
        <v>0</v>
      </c>
      <c r="AV1352">
        <v>0</v>
      </c>
    </row>
    <row r="1353" spans="1:94" x14ac:dyDescent="0.3">
      <c r="A1353">
        <v>436</v>
      </c>
      <c r="B1353" t="s">
        <v>2311</v>
      </c>
      <c r="C1353" t="s">
        <v>258</v>
      </c>
      <c r="D1353" t="s">
        <v>73</v>
      </c>
      <c r="E1353" t="s">
        <v>56</v>
      </c>
      <c r="F1353" s="30">
        <v>45473</v>
      </c>
      <c r="G1353" t="s">
        <v>2329</v>
      </c>
      <c r="H1353" t="s">
        <v>4580</v>
      </c>
      <c r="I1353">
        <v>7</v>
      </c>
      <c r="J1353">
        <v>2</v>
      </c>
      <c r="CP1353">
        <v>2</v>
      </c>
    </row>
    <row r="1354" spans="1:94" x14ac:dyDescent="0.3">
      <c r="A1354">
        <v>436</v>
      </c>
      <c r="B1354" t="s">
        <v>2311</v>
      </c>
      <c r="C1354" t="s">
        <v>258</v>
      </c>
      <c r="D1354" t="s">
        <v>73</v>
      </c>
      <c r="E1354" t="s">
        <v>56</v>
      </c>
      <c r="F1354" s="30">
        <v>45473</v>
      </c>
      <c r="G1354" t="s">
        <v>2329</v>
      </c>
      <c r="H1354" t="s">
        <v>4579</v>
      </c>
      <c r="I1354">
        <v>14</v>
      </c>
      <c r="J1354">
        <v>6.8000001907348633</v>
      </c>
      <c r="CP1354">
        <v>6.8</v>
      </c>
    </row>
    <row r="1355" spans="1:94" x14ac:dyDescent="0.3">
      <c r="A1355">
        <v>203</v>
      </c>
      <c r="B1355" t="s">
        <v>676</v>
      </c>
      <c r="C1355" t="s">
        <v>210</v>
      </c>
      <c r="D1355" t="s">
        <v>39</v>
      </c>
      <c r="E1355" t="s">
        <v>22</v>
      </c>
      <c r="F1355" s="30">
        <v>45473</v>
      </c>
      <c r="G1355" t="s">
        <v>681</v>
      </c>
      <c r="H1355" t="s">
        <v>4494</v>
      </c>
      <c r="I1355">
        <v>95</v>
      </c>
      <c r="J1355">
        <v>101.879997253418</v>
      </c>
      <c r="BA1355">
        <v>131349325708</v>
      </c>
      <c r="BB1355">
        <v>133822033887</v>
      </c>
    </row>
    <row r="1356" spans="1:94" x14ac:dyDescent="0.3">
      <c r="A1356">
        <v>203</v>
      </c>
      <c r="B1356" t="s">
        <v>676</v>
      </c>
      <c r="C1356" t="s">
        <v>210</v>
      </c>
      <c r="D1356" t="s">
        <v>39</v>
      </c>
      <c r="E1356" t="s">
        <v>22</v>
      </c>
      <c r="F1356" s="30">
        <v>45473</v>
      </c>
      <c r="G1356" t="s">
        <v>681</v>
      </c>
      <c r="H1356" t="s">
        <v>4495</v>
      </c>
      <c r="I1356">
        <v>95</v>
      </c>
      <c r="J1356">
        <v>103.2399978637695</v>
      </c>
      <c r="BA1356">
        <v>5441458845</v>
      </c>
      <c r="BB1356">
        <v>5617733530</v>
      </c>
    </row>
    <row r="1357" spans="1:94" x14ac:dyDescent="0.3">
      <c r="A1357">
        <v>215</v>
      </c>
      <c r="B1357" t="s">
        <v>824</v>
      </c>
      <c r="C1357" t="s">
        <v>251</v>
      </c>
      <c r="D1357" t="s">
        <v>39</v>
      </c>
      <c r="E1357" t="s">
        <v>22</v>
      </c>
      <c r="F1357" s="30">
        <v>45473</v>
      </c>
      <c r="G1357" t="s">
        <v>831</v>
      </c>
      <c r="H1357" t="s">
        <v>4477</v>
      </c>
      <c r="I1357">
        <v>1</v>
      </c>
      <c r="J1357">
        <v>0</v>
      </c>
      <c r="AC1357">
        <v>0</v>
      </c>
      <c r="AD1357">
        <v>0</v>
      </c>
    </row>
    <row r="1358" spans="1:94" x14ac:dyDescent="0.3">
      <c r="A1358">
        <v>215</v>
      </c>
      <c r="B1358" t="s">
        <v>824</v>
      </c>
      <c r="C1358" t="s">
        <v>251</v>
      </c>
      <c r="D1358" t="s">
        <v>39</v>
      </c>
      <c r="E1358" t="s">
        <v>22</v>
      </c>
      <c r="F1358" s="30">
        <v>45473</v>
      </c>
      <c r="G1358" t="s">
        <v>831</v>
      </c>
      <c r="H1358" t="s">
        <v>4476</v>
      </c>
      <c r="I1358">
        <v>1</v>
      </c>
      <c r="J1358">
        <v>0</v>
      </c>
      <c r="AC1358">
        <v>0</v>
      </c>
      <c r="AD1358">
        <v>0</v>
      </c>
    </row>
    <row r="1359" spans="1:94" x14ac:dyDescent="0.3">
      <c r="A1359">
        <v>215</v>
      </c>
      <c r="B1359" t="s">
        <v>824</v>
      </c>
      <c r="C1359" t="s">
        <v>251</v>
      </c>
      <c r="D1359" t="s">
        <v>39</v>
      </c>
      <c r="E1359" t="s">
        <v>22</v>
      </c>
      <c r="F1359" s="30">
        <v>45473</v>
      </c>
      <c r="G1359" t="s">
        <v>831</v>
      </c>
      <c r="H1359" t="s">
        <v>4468</v>
      </c>
      <c r="I1359">
        <v>1</v>
      </c>
      <c r="J1359">
        <v>11.569999694824221</v>
      </c>
      <c r="AC1359">
        <v>1.21</v>
      </c>
      <c r="AD1359">
        <v>1.07</v>
      </c>
    </row>
    <row r="1360" spans="1:94" x14ac:dyDescent="0.3">
      <c r="A1360">
        <v>215</v>
      </c>
      <c r="B1360" t="s">
        <v>824</v>
      </c>
      <c r="C1360" t="s">
        <v>251</v>
      </c>
      <c r="D1360" t="s">
        <v>39</v>
      </c>
      <c r="E1360" t="s">
        <v>22</v>
      </c>
      <c r="F1360" s="30">
        <v>45473</v>
      </c>
      <c r="G1360" t="s">
        <v>831</v>
      </c>
      <c r="H1360" t="s">
        <v>4469</v>
      </c>
      <c r="I1360">
        <v>0</v>
      </c>
      <c r="J1360">
        <v>-2.440000057220459</v>
      </c>
      <c r="AC1360">
        <v>0.41</v>
      </c>
      <c r="AD1360">
        <v>0.42</v>
      </c>
    </row>
    <row r="1361" spans="1:58" x14ac:dyDescent="0.3">
      <c r="A1361">
        <v>215</v>
      </c>
      <c r="B1361" t="s">
        <v>824</v>
      </c>
      <c r="C1361" t="s">
        <v>251</v>
      </c>
      <c r="D1361" t="s">
        <v>39</v>
      </c>
      <c r="E1361" t="s">
        <v>22</v>
      </c>
      <c r="F1361" s="30">
        <v>45473</v>
      </c>
      <c r="G1361" t="s">
        <v>831</v>
      </c>
      <c r="H1361" t="s">
        <v>4470</v>
      </c>
      <c r="I1361">
        <v>1</v>
      </c>
      <c r="J1361">
        <v>7.8899998664855957</v>
      </c>
      <c r="AC1361">
        <v>0.38</v>
      </c>
      <c r="AD1361">
        <v>0.35</v>
      </c>
    </row>
    <row r="1362" spans="1:58" x14ac:dyDescent="0.3">
      <c r="A1362">
        <v>219</v>
      </c>
      <c r="B1362" t="s">
        <v>938</v>
      </c>
      <c r="C1362" t="s">
        <v>251</v>
      </c>
      <c r="D1362" t="s">
        <v>39</v>
      </c>
      <c r="E1362" t="s">
        <v>22</v>
      </c>
      <c r="F1362" s="30">
        <v>45473</v>
      </c>
      <c r="G1362" t="s">
        <v>943</v>
      </c>
      <c r="H1362" t="s">
        <v>4476</v>
      </c>
      <c r="I1362">
        <v>1</v>
      </c>
      <c r="J1362">
        <v>-10.85000038146973</v>
      </c>
      <c r="O1362">
        <v>0</v>
      </c>
      <c r="P1362">
        <v>0</v>
      </c>
      <c r="Q1362">
        <v>0</v>
      </c>
      <c r="R1362">
        <v>0</v>
      </c>
      <c r="S1362">
        <v>0</v>
      </c>
      <c r="T1362">
        <v>0</v>
      </c>
      <c r="U1362">
        <v>0</v>
      </c>
      <c r="V1362">
        <v>0</v>
      </c>
      <c r="W1362">
        <v>23400</v>
      </c>
      <c r="X1362">
        <v>24000</v>
      </c>
    </row>
    <row r="1363" spans="1:58" x14ac:dyDescent="0.3">
      <c r="A1363">
        <v>219</v>
      </c>
      <c r="B1363" t="s">
        <v>938</v>
      </c>
      <c r="C1363" t="s">
        <v>251</v>
      </c>
      <c r="D1363" t="s">
        <v>39</v>
      </c>
      <c r="E1363" t="s">
        <v>22</v>
      </c>
      <c r="F1363" s="30">
        <v>45473</v>
      </c>
      <c r="G1363" t="s">
        <v>943</v>
      </c>
      <c r="H1363" t="s">
        <v>4468</v>
      </c>
      <c r="I1363">
        <v>1</v>
      </c>
      <c r="J1363">
        <v>5.2699999809265137</v>
      </c>
      <c r="O1363">
        <v>2176</v>
      </c>
      <c r="P1363">
        <v>3139</v>
      </c>
      <c r="Q1363">
        <v>14308</v>
      </c>
      <c r="R1363">
        <v>0</v>
      </c>
      <c r="S1363">
        <v>1859</v>
      </c>
      <c r="T1363">
        <v>3240</v>
      </c>
      <c r="U1363">
        <v>13146</v>
      </c>
      <c r="V1363">
        <v>0</v>
      </c>
      <c r="W1363">
        <v>398604</v>
      </c>
      <c r="X1363">
        <v>391217</v>
      </c>
    </row>
    <row r="1364" spans="1:58" x14ac:dyDescent="0.3">
      <c r="A1364">
        <v>219</v>
      </c>
      <c r="B1364" t="s">
        <v>938</v>
      </c>
      <c r="C1364" t="s">
        <v>251</v>
      </c>
      <c r="D1364" t="s">
        <v>39</v>
      </c>
      <c r="E1364" t="s">
        <v>22</v>
      </c>
      <c r="F1364" s="30">
        <v>45473</v>
      </c>
      <c r="G1364" t="s">
        <v>943</v>
      </c>
      <c r="H1364" t="s">
        <v>4469</v>
      </c>
      <c r="I1364">
        <v>1</v>
      </c>
      <c r="J1364">
        <v>-20.260000228881839</v>
      </c>
      <c r="O1364">
        <v>427</v>
      </c>
      <c r="P1364">
        <v>972</v>
      </c>
      <c r="Q1364">
        <v>13150</v>
      </c>
      <c r="R1364">
        <v>4</v>
      </c>
      <c r="S1364">
        <v>312</v>
      </c>
      <c r="T1364">
        <v>867</v>
      </c>
      <c r="U1364">
        <v>9662</v>
      </c>
      <c r="V1364">
        <v>171</v>
      </c>
      <c r="W1364">
        <v>139337</v>
      </c>
      <c r="X1364">
        <v>82051.05</v>
      </c>
    </row>
    <row r="1365" spans="1:58" x14ac:dyDescent="0.3">
      <c r="A1365">
        <v>220</v>
      </c>
      <c r="B1365" t="s">
        <v>947</v>
      </c>
      <c r="C1365" t="s">
        <v>251</v>
      </c>
      <c r="D1365" t="s">
        <v>39</v>
      </c>
      <c r="E1365" t="s">
        <v>22</v>
      </c>
      <c r="F1365" s="30">
        <v>45473</v>
      </c>
      <c r="G1365" t="s">
        <v>952</v>
      </c>
      <c r="H1365" t="s">
        <v>4468</v>
      </c>
      <c r="I1365">
        <v>1</v>
      </c>
      <c r="J1365">
        <v>-7.0300002098083496</v>
      </c>
      <c r="O1365">
        <v>2176</v>
      </c>
      <c r="P1365">
        <v>3139</v>
      </c>
      <c r="Q1365">
        <v>14308</v>
      </c>
      <c r="R1365">
        <v>0</v>
      </c>
      <c r="S1365">
        <v>1859</v>
      </c>
      <c r="T1365">
        <v>3240</v>
      </c>
      <c r="U1365">
        <v>13146</v>
      </c>
      <c r="V1365">
        <v>0</v>
      </c>
      <c r="Y1365">
        <v>5104</v>
      </c>
      <c r="Z1365">
        <v>4434</v>
      </c>
    </row>
    <row r="1366" spans="1:58" x14ac:dyDescent="0.3">
      <c r="A1366">
        <v>274</v>
      </c>
      <c r="B1366" t="s">
        <v>1369</v>
      </c>
      <c r="C1366" t="s">
        <v>1292</v>
      </c>
      <c r="D1366" t="s">
        <v>39</v>
      </c>
      <c r="E1366" t="s">
        <v>22</v>
      </c>
      <c r="F1366" s="30">
        <v>45473</v>
      </c>
      <c r="G1366" t="s">
        <v>1372</v>
      </c>
      <c r="H1366" t="s">
        <v>4497</v>
      </c>
      <c r="I1366">
        <v>100</v>
      </c>
      <c r="J1366">
        <v>112.94000244140619</v>
      </c>
      <c r="BC1366">
        <v>227</v>
      </c>
      <c r="BD1366">
        <v>201</v>
      </c>
    </row>
    <row r="1367" spans="1:58" x14ac:dyDescent="0.3">
      <c r="A1367">
        <v>274</v>
      </c>
      <c r="B1367" t="s">
        <v>1369</v>
      </c>
      <c r="C1367" t="s">
        <v>1292</v>
      </c>
      <c r="D1367" t="s">
        <v>39</v>
      </c>
      <c r="E1367" t="s">
        <v>22</v>
      </c>
      <c r="F1367" s="30">
        <v>45473</v>
      </c>
      <c r="G1367" t="s">
        <v>1372</v>
      </c>
      <c r="H1367" t="s">
        <v>4498</v>
      </c>
      <c r="I1367">
        <v>100</v>
      </c>
      <c r="J1367">
        <v>103.379997253418</v>
      </c>
      <c r="BC1367">
        <v>6330</v>
      </c>
      <c r="BD1367">
        <v>6123</v>
      </c>
    </row>
    <row r="1368" spans="1:58" x14ac:dyDescent="0.3">
      <c r="A1368">
        <v>274</v>
      </c>
      <c r="B1368" t="s">
        <v>1369</v>
      </c>
      <c r="C1368" t="s">
        <v>1292</v>
      </c>
      <c r="D1368" t="s">
        <v>39</v>
      </c>
      <c r="E1368" t="s">
        <v>22</v>
      </c>
      <c r="F1368" s="30">
        <v>45473</v>
      </c>
      <c r="G1368" t="s">
        <v>1372</v>
      </c>
      <c r="H1368" t="s">
        <v>4499</v>
      </c>
      <c r="I1368">
        <v>100</v>
      </c>
      <c r="J1368">
        <v>100.9700012207031</v>
      </c>
      <c r="BC1368">
        <v>31793</v>
      </c>
      <c r="BD1368">
        <v>31487</v>
      </c>
    </row>
    <row r="1369" spans="1:58" x14ac:dyDescent="0.3">
      <c r="A1369">
        <v>274</v>
      </c>
      <c r="B1369" t="s">
        <v>1369</v>
      </c>
      <c r="C1369" t="s">
        <v>1292</v>
      </c>
      <c r="D1369" t="s">
        <v>39</v>
      </c>
      <c r="E1369" t="s">
        <v>22</v>
      </c>
      <c r="F1369" s="30">
        <v>45473</v>
      </c>
      <c r="G1369" t="s">
        <v>1372</v>
      </c>
      <c r="H1369" t="s">
        <v>4500</v>
      </c>
      <c r="I1369">
        <v>100</v>
      </c>
      <c r="J1369">
        <v>136.75</v>
      </c>
      <c r="BC1369">
        <v>1373</v>
      </c>
      <c r="BD1369">
        <v>1004</v>
      </c>
    </row>
    <row r="1370" spans="1:58" x14ac:dyDescent="0.3">
      <c r="A1370">
        <v>278</v>
      </c>
      <c r="B1370" t="s">
        <v>1399</v>
      </c>
      <c r="C1370" t="s">
        <v>1383</v>
      </c>
      <c r="D1370" t="s">
        <v>39</v>
      </c>
      <c r="E1370" t="s">
        <v>22</v>
      </c>
      <c r="F1370" s="30">
        <v>45473</v>
      </c>
      <c r="G1370" t="s">
        <v>1397</v>
      </c>
      <c r="H1370" t="s">
        <v>4501</v>
      </c>
      <c r="J1370">
        <v>628</v>
      </c>
      <c r="BE1370">
        <v>628</v>
      </c>
    </row>
    <row r="1371" spans="1:58" x14ac:dyDescent="0.3">
      <c r="A1371">
        <v>278</v>
      </c>
      <c r="B1371" t="s">
        <v>1399</v>
      </c>
      <c r="C1371" t="s">
        <v>1383</v>
      </c>
      <c r="D1371" t="s">
        <v>39</v>
      </c>
      <c r="E1371" t="s">
        <v>22</v>
      </c>
      <c r="F1371" s="30">
        <v>45473</v>
      </c>
      <c r="G1371" t="s">
        <v>1397</v>
      </c>
      <c r="H1371" t="s">
        <v>4502</v>
      </c>
      <c r="J1371">
        <v>221</v>
      </c>
      <c r="BE1371">
        <v>221</v>
      </c>
    </row>
    <row r="1372" spans="1:58" x14ac:dyDescent="0.3">
      <c r="A1372">
        <v>278</v>
      </c>
      <c r="B1372" t="s">
        <v>1399</v>
      </c>
      <c r="C1372" t="s">
        <v>1383</v>
      </c>
      <c r="D1372" t="s">
        <v>39</v>
      </c>
      <c r="E1372" t="s">
        <v>22</v>
      </c>
      <c r="F1372" s="30">
        <v>45473</v>
      </c>
      <c r="G1372" t="s">
        <v>1397</v>
      </c>
      <c r="H1372" t="s">
        <v>4503</v>
      </c>
      <c r="J1372">
        <v>231</v>
      </c>
      <c r="BE1372">
        <v>231</v>
      </c>
    </row>
    <row r="1373" spans="1:58" x14ac:dyDescent="0.3">
      <c r="A1373">
        <v>286</v>
      </c>
      <c r="B1373" t="s">
        <v>1433</v>
      </c>
      <c r="C1373" t="s">
        <v>1383</v>
      </c>
      <c r="D1373" t="s">
        <v>39</v>
      </c>
      <c r="E1373" t="s">
        <v>22</v>
      </c>
      <c r="F1373" s="30">
        <v>45473</v>
      </c>
      <c r="G1373" t="s">
        <v>1431</v>
      </c>
      <c r="H1373" t="s">
        <v>4504</v>
      </c>
      <c r="J1373">
        <v>76</v>
      </c>
      <c r="BF1373">
        <v>76</v>
      </c>
    </row>
    <row r="1374" spans="1:58" x14ac:dyDescent="0.3">
      <c r="A1374">
        <v>286</v>
      </c>
      <c r="B1374" t="s">
        <v>1433</v>
      </c>
      <c r="C1374" t="s">
        <v>1383</v>
      </c>
      <c r="D1374" t="s">
        <v>39</v>
      </c>
      <c r="E1374" t="s">
        <v>22</v>
      </c>
      <c r="F1374" s="30">
        <v>45473</v>
      </c>
      <c r="G1374" t="s">
        <v>1431</v>
      </c>
      <c r="H1374" t="s">
        <v>4506</v>
      </c>
      <c r="J1374">
        <v>104</v>
      </c>
      <c r="BF1374">
        <v>104</v>
      </c>
    </row>
    <row r="1375" spans="1:58" x14ac:dyDescent="0.3">
      <c r="A1375">
        <v>286</v>
      </c>
      <c r="B1375" t="s">
        <v>1433</v>
      </c>
      <c r="C1375" t="s">
        <v>1383</v>
      </c>
      <c r="D1375" t="s">
        <v>39</v>
      </c>
      <c r="E1375" t="s">
        <v>22</v>
      </c>
      <c r="F1375" s="30">
        <v>45473</v>
      </c>
      <c r="G1375" t="s">
        <v>1431</v>
      </c>
      <c r="H1375" t="s">
        <v>4507</v>
      </c>
      <c r="J1375">
        <v>79</v>
      </c>
      <c r="BF1375">
        <v>79</v>
      </c>
    </row>
    <row r="1376" spans="1:58" x14ac:dyDescent="0.3">
      <c r="A1376">
        <v>286</v>
      </c>
      <c r="B1376" t="s">
        <v>1433</v>
      </c>
      <c r="C1376" t="s">
        <v>1383</v>
      </c>
      <c r="D1376" t="s">
        <v>39</v>
      </c>
      <c r="E1376" t="s">
        <v>22</v>
      </c>
      <c r="F1376" s="30">
        <v>45473</v>
      </c>
      <c r="G1376" t="s">
        <v>1431</v>
      </c>
      <c r="H1376" t="s">
        <v>4505</v>
      </c>
      <c r="J1376">
        <v>821</v>
      </c>
      <c r="BF1376">
        <v>821</v>
      </c>
    </row>
    <row r="1377" spans="1:116" x14ac:dyDescent="0.3">
      <c r="A1377">
        <v>302</v>
      </c>
      <c r="B1377" t="s">
        <v>1524</v>
      </c>
      <c r="C1377" t="s">
        <v>1336</v>
      </c>
      <c r="D1377" t="s">
        <v>39</v>
      </c>
      <c r="E1377" t="s">
        <v>22</v>
      </c>
      <c r="F1377" s="30">
        <v>45473</v>
      </c>
      <c r="G1377" t="s">
        <v>1522</v>
      </c>
      <c r="H1377" t="s">
        <v>4630</v>
      </c>
      <c r="J1377">
        <v>16507</v>
      </c>
      <c r="DL1377">
        <v>16507</v>
      </c>
    </row>
    <row r="1378" spans="1:116" x14ac:dyDescent="0.3">
      <c r="A1378">
        <v>302</v>
      </c>
      <c r="B1378" t="s">
        <v>1524</v>
      </c>
      <c r="C1378" t="s">
        <v>1336</v>
      </c>
      <c r="D1378" t="s">
        <v>39</v>
      </c>
      <c r="E1378" t="s">
        <v>22</v>
      </c>
      <c r="F1378" s="30">
        <v>45473</v>
      </c>
      <c r="G1378" t="s">
        <v>1522</v>
      </c>
      <c r="H1378" t="s">
        <v>4631</v>
      </c>
      <c r="J1378">
        <v>700</v>
      </c>
      <c r="DL1378">
        <v>700</v>
      </c>
    </row>
    <row r="1379" spans="1:116" x14ac:dyDescent="0.3">
      <c r="A1379">
        <v>302</v>
      </c>
      <c r="B1379" t="s">
        <v>1524</v>
      </c>
      <c r="C1379" t="s">
        <v>1336</v>
      </c>
      <c r="D1379" t="s">
        <v>39</v>
      </c>
      <c r="E1379" t="s">
        <v>22</v>
      </c>
      <c r="F1379" s="30">
        <v>45473</v>
      </c>
      <c r="G1379" t="s">
        <v>1522</v>
      </c>
      <c r="H1379" t="s">
        <v>4632</v>
      </c>
      <c r="J1379">
        <v>223</v>
      </c>
      <c r="DL1379">
        <v>223</v>
      </c>
    </row>
    <row r="1380" spans="1:116" x14ac:dyDescent="0.3">
      <c r="A1380">
        <v>302</v>
      </c>
      <c r="B1380" t="s">
        <v>1524</v>
      </c>
      <c r="C1380" t="s">
        <v>1336</v>
      </c>
      <c r="D1380" t="s">
        <v>39</v>
      </c>
      <c r="E1380" t="s">
        <v>22</v>
      </c>
      <c r="F1380" s="30">
        <v>45473</v>
      </c>
      <c r="G1380" t="s">
        <v>1522</v>
      </c>
      <c r="H1380" t="s">
        <v>4633</v>
      </c>
      <c r="J1380">
        <v>448</v>
      </c>
      <c r="DL1380">
        <v>448</v>
      </c>
    </row>
    <row r="1381" spans="1:116" x14ac:dyDescent="0.3">
      <c r="A1381">
        <v>303</v>
      </c>
      <c r="B1381" t="s">
        <v>1527</v>
      </c>
      <c r="C1381" t="s">
        <v>1528</v>
      </c>
      <c r="D1381" t="s">
        <v>39</v>
      </c>
      <c r="E1381" t="s">
        <v>22</v>
      </c>
      <c r="F1381" s="30">
        <v>45473</v>
      </c>
      <c r="G1381" t="s">
        <v>1531</v>
      </c>
      <c r="H1381" t="s">
        <v>4508</v>
      </c>
      <c r="I1381">
        <v>95</v>
      </c>
      <c r="J1381">
        <v>100</v>
      </c>
      <c r="BK1381">
        <v>14</v>
      </c>
      <c r="BL1381">
        <v>14</v>
      </c>
    </row>
    <row r="1382" spans="1:116" x14ac:dyDescent="0.3">
      <c r="A1382">
        <v>375</v>
      </c>
      <c r="B1382" t="s">
        <v>1871</v>
      </c>
      <c r="C1382" t="s">
        <v>1801</v>
      </c>
      <c r="D1382" t="s">
        <v>39</v>
      </c>
      <c r="E1382" t="s">
        <v>22</v>
      </c>
      <c r="F1382" s="30">
        <v>45473</v>
      </c>
      <c r="G1382" t="s">
        <v>1874</v>
      </c>
      <c r="H1382" t="s">
        <v>4498</v>
      </c>
      <c r="I1382">
        <v>100</v>
      </c>
      <c r="J1382">
        <v>100</v>
      </c>
      <c r="CW1382">
        <v>816</v>
      </c>
      <c r="CX1382">
        <v>816</v>
      </c>
    </row>
    <row r="1383" spans="1:116" x14ac:dyDescent="0.3">
      <c r="A1383">
        <v>386</v>
      </c>
      <c r="B1383" t="s">
        <v>1951</v>
      </c>
      <c r="C1383" t="s">
        <v>1946</v>
      </c>
      <c r="D1383" t="s">
        <v>39</v>
      </c>
      <c r="E1383" t="s">
        <v>22</v>
      </c>
      <c r="F1383" s="30">
        <v>45473</v>
      </c>
      <c r="G1383" t="s">
        <v>1954</v>
      </c>
      <c r="H1383" t="s">
        <v>3588</v>
      </c>
      <c r="I1383">
        <v>100</v>
      </c>
      <c r="J1383">
        <v>112.4300003051758</v>
      </c>
      <c r="BO1383">
        <v>2190929800</v>
      </c>
      <c r="BP1383">
        <v>1948786035</v>
      </c>
    </row>
    <row r="1384" spans="1:116" x14ac:dyDescent="0.3">
      <c r="A1384">
        <v>408</v>
      </c>
      <c r="B1384" t="s">
        <v>2074</v>
      </c>
      <c r="C1384" t="s">
        <v>1627</v>
      </c>
      <c r="D1384" t="s">
        <v>39</v>
      </c>
      <c r="E1384" t="s">
        <v>22</v>
      </c>
      <c r="F1384" s="30">
        <v>45473</v>
      </c>
      <c r="G1384" t="s">
        <v>2077</v>
      </c>
      <c r="H1384" t="s">
        <v>4526</v>
      </c>
      <c r="I1384">
        <v>100</v>
      </c>
      <c r="J1384">
        <v>0</v>
      </c>
      <c r="BR1384">
        <v>0</v>
      </c>
      <c r="BS1384">
        <v>0</v>
      </c>
    </row>
    <row r="1385" spans="1:116" x14ac:dyDescent="0.3">
      <c r="A1385">
        <v>408</v>
      </c>
      <c r="B1385" t="s">
        <v>2074</v>
      </c>
      <c r="C1385" t="s">
        <v>1627</v>
      </c>
      <c r="D1385" t="s">
        <v>39</v>
      </c>
      <c r="E1385" t="s">
        <v>22</v>
      </c>
      <c r="F1385" s="30">
        <v>45473</v>
      </c>
      <c r="G1385" t="s">
        <v>2077</v>
      </c>
      <c r="H1385" t="s">
        <v>4527</v>
      </c>
      <c r="I1385">
        <v>100</v>
      </c>
      <c r="J1385">
        <v>0</v>
      </c>
      <c r="BR1385">
        <v>0</v>
      </c>
      <c r="BS1385">
        <v>0</v>
      </c>
    </row>
    <row r="1386" spans="1:116" x14ac:dyDescent="0.3">
      <c r="A1386">
        <v>408</v>
      </c>
      <c r="B1386" t="s">
        <v>2074</v>
      </c>
      <c r="C1386" t="s">
        <v>1627</v>
      </c>
      <c r="D1386" t="s">
        <v>39</v>
      </c>
      <c r="E1386" t="s">
        <v>22</v>
      </c>
      <c r="F1386" s="30">
        <v>45473</v>
      </c>
      <c r="G1386" t="s">
        <v>2077</v>
      </c>
      <c r="H1386" t="s">
        <v>4528</v>
      </c>
      <c r="I1386">
        <v>100</v>
      </c>
      <c r="J1386">
        <v>0</v>
      </c>
      <c r="BR1386">
        <v>0</v>
      </c>
      <c r="BS1386">
        <v>0</v>
      </c>
    </row>
    <row r="1387" spans="1:116" x14ac:dyDescent="0.3">
      <c r="A1387">
        <v>427</v>
      </c>
      <c r="B1387" t="s">
        <v>2212</v>
      </c>
      <c r="C1387" t="s">
        <v>251</v>
      </c>
      <c r="D1387" t="s">
        <v>39</v>
      </c>
      <c r="E1387" t="s">
        <v>56</v>
      </c>
      <c r="F1387" s="30">
        <v>45473</v>
      </c>
      <c r="G1387" t="s">
        <v>2215</v>
      </c>
      <c r="H1387" t="s">
        <v>4468</v>
      </c>
      <c r="I1387">
        <v>0.3</v>
      </c>
      <c r="J1387">
        <v>0.25999999046325678</v>
      </c>
      <c r="O1387">
        <v>2176</v>
      </c>
      <c r="P1387">
        <v>3139</v>
      </c>
      <c r="Q1387">
        <v>14308</v>
      </c>
      <c r="R1387">
        <v>0</v>
      </c>
      <c r="Y1387">
        <v>5104</v>
      </c>
    </row>
    <row r="1388" spans="1:116" x14ac:dyDescent="0.3">
      <c r="A1388">
        <v>427</v>
      </c>
      <c r="B1388" t="s">
        <v>2212</v>
      </c>
      <c r="C1388" t="s">
        <v>251</v>
      </c>
      <c r="D1388" t="s">
        <v>39</v>
      </c>
      <c r="E1388" t="s">
        <v>56</v>
      </c>
      <c r="F1388" s="30">
        <v>45473</v>
      </c>
      <c r="G1388" t="s">
        <v>2215</v>
      </c>
      <c r="H1388" t="s">
        <v>4470</v>
      </c>
      <c r="I1388">
        <v>0.15</v>
      </c>
      <c r="J1388">
        <v>0.119999997317791</v>
      </c>
      <c r="O1388">
        <v>530</v>
      </c>
      <c r="P1388">
        <v>24</v>
      </c>
      <c r="Q1388">
        <v>11628</v>
      </c>
      <c r="R1388">
        <v>2925</v>
      </c>
      <c r="Y1388">
        <v>1757</v>
      </c>
    </row>
    <row r="1389" spans="1:116" x14ac:dyDescent="0.3">
      <c r="A1389">
        <v>427</v>
      </c>
      <c r="B1389" t="s">
        <v>2212</v>
      </c>
      <c r="C1389" t="s">
        <v>251</v>
      </c>
      <c r="D1389" t="s">
        <v>39</v>
      </c>
      <c r="E1389" t="s">
        <v>56</v>
      </c>
      <c r="F1389" s="30">
        <v>45473</v>
      </c>
      <c r="G1389" t="s">
        <v>2215</v>
      </c>
      <c r="H1389" t="s">
        <v>4477</v>
      </c>
      <c r="I1389">
        <v>0.2</v>
      </c>
      <c r="J1389">
        <v>0</v>
      </c>
      <c r="O1389">
        <v>0</v>
      </c>
      <c r="P1389">
        <v>0</v>
      </c>
      <c r="Q1389">
        <v>0</v>
      </c>
      <c r="R1389">
        <v>0</v>
      </c>
      <c r="Y1389">
        <v>0</v>
      </c>
    </row>
    <row r="1390" spans="1:116" x14ac:dyDescent="0.3">
      <c r="A1390">
        <v>427</v>
      </c>
      <c r="B1390" t="s">
        <v>2212</v>
      </c>
      <c r="C1390" t="s">
        <v>251</v>
      </c>
      <c r="D1390" t="s">
        <v>39</v>
      </c>
      <c r="E1390" t="s">
        <v>56</v>
      </c>
      <c r="F1390" s="30">
        <v>45473</v>
      </c>
      <c r="G1390" t="s">
        <v>2215</v>
      </c>
      <c r="H1390" t="s">
        <v>4476</v>
      </c>
      <c r="I1390">
        <v>0.2</v>
      </c>
      <c r="J1390">
        <v>0</v>
      </c>
      <c r="O1390">
        <v>0</v>
      </c>
      <c r="P1390">
        <v>0</v>
      </c>
      <c r="Q1390">
        <v>0</v>
      </c>
      <c r="R1390">
        <v>0</v>
      </c>
      <c r="Y1390">
        <v>0</v>
      </c>
    </row>
    <row r="1391" spans="1:116" x14ac:dyDescent="0.3">
      <c r="A1391">
        <v>427</v>
      </c>
      <c r="B1391" t="s">
        <v>2212</v>
      </c>
      <c r="C1391" t="s">
        <v>251</v>
      </c>
      <c r="D1391" t="s">
        <v>39</v>
      </c>
      <c r="E1391" t="s">
        <v>56</v>
      </c>
      <c r="F1391" s="30">
        <v>45473</v>
      </c>
      <c r="G1391" t="s">
        <v>2215</v>
      </c>
      <c r="H1391" t="s">
        <v>4478</v>
      </c>
      <c r="I1391">
        <v>0.2</v>
      </c>
      <c r="J1391">
        <v>0</v>
      </c>
      <c r="O1391">
        <v>0</v>
      </c>
      <c r="P1391">
        <v>0</v>
      </c>
      <c r="Q1391">
        <v>0</v>
      </c>
      <c r="R1391">
        <v>0</v>
      </c>
      <c r="Y1391">
        <v>0</v>
      </c>
    </row>
    <row r="1392" spans="1:116" x14ac:dyDescent="0.3">
      <c r="A1392">
        <v>427</v>
      </c>
      <c r="B1392" t="s">
        <v>2212</v>
      </c>
      <c r="C1392" t="s">
        <v>251</v>
      </c>
      <c r="D1392" t="s">
        <v>39</v>
      </c>
      <c r="E1392" t="s">
        <v>56</v>
      </c>
      <c r="F1392" s="30">
        <v>45473</v>
      </c>
      <c r="G1392" t="s">
        <v>2215</v>
      </c>
      <c r="H1392" t="s">
        <v>4469</v>
      </c>
      <c r="I1392">
        <v>0.1</v>
      </c>
      <c r="J1392">
        <v>0.10000000149011611</v>
      </c>
      <c r="O1392">
        <v>427</v>
      </c>
      <c r="P1392">
        <v>972</v>
      </c>
      <c r="Q1392">
        <v>13150</v>
      </c>
      <c r="R1392">
        <v>4</v>
      </c>
      <c r="Y1392">
        <v>1440</v>
      </c>
    </row>
    <row r="1393" spans="1:74" x14ac:dyDescent="0.3">
      <c r="A1393">
        <v>428</v>
      </c>
      <c r="B1393" t="s">
        <v>2219</v>
      </c>
      <c r="C1393" t="s">
        <v>251</v>
      </c>
      <c r="D1393" t="s">
        <v>39</v>
      </c>
      <c r="E1393" t="s">
        <v>56</v>
      </c>
      <c r="F1393" s="30">
        <v>45473</v>
      </c>
      <c r="G1393" t="s">
        <v>2222</v>
      </c>
      <c r="H1393" t="s">
        <v>4468</v>
      </c>
      <c r="I1393">
        <v>22</v>
      </c>
      <c r="J1393">
        <v>20.309999465942379</v>
      </c>
      <c r="O1393">
        <v>2176</v>
      </c>
      <c r="P1393">
        <v>3139</v>
      </c>
      <c r="Q1393">
        <v>14308</v>
      </c>
      <c r="R1393">
        <v>0</v>
      </c>
      <c r="W1393">
        <v>398604</v>
      </c>
    </row>
    <row r="1394" spans="1:74" x14ac:dyDescent="0.3">
      <c r="A1394">
        <v>428</v>
      </c>
      <c r="B1394" t="s">
        <v>2219</v>
      </c>
      <c r="C1394" t="s">
        <v>251</v>
      </c>
      <c r="D1394" t="s">
        <v>39</v>
      </c>
      <c r="E1394" t="s">
        <v>56</v>
      </c>
      <c r="F1394" s="30">
        <v>45473</v>
      </c>
      <c r="G1394" t="s">
        <v>2222</v>
      </c>
      <c r="H1394" t="s">
        <v>4470</v>
      </c>
      <c r="I1394">
        <v>25</v>
      </c>
      <c r="J1394">
        <v>18.489999771118161</v>
      </c>
      <c r="O1394">
        <v>530</v>
      </c>
      <c r="P1394">
        <v>24</v>
      </c>
      <c r="Q1394">
        <v>11628</v>
      </c>
      <c r="R1394">
        <v>2925</v>
      </c>
      <c r="W1394">
        <v>279300</v>
      </c>
    </row>
    <row r="1395" spans="1:74" x14ac:dyDescent="0.3">
      <c r="A1395">
        <v>428</v>
      </c>
      <c r="B1395" t="s">
        <v>2219</v>
      </c>
      <c r="C1395" t="s">
        <v>251</v>
      </c>
      <c r="D1395" t="s">
        <v>39</v>
      </c>
      <c r="E1395" t="s">
        <v>56</v>
      </c>
      <c r="F1395" s="30">
        <v>45473</v>
      </c>
      <c r="G1395" t="s">
        <v>2222</v>
      </c>
      <c r="H1395" t="s">
        <v>4477</v>
      </c>
      <c r="I1395">
        <v>1</v>
      </c>
      <c r="O1395">
        <v>0</v>
      </c>
      <c r="P1395">
        <v>0</v>
      </c>
      <c r="Q1395">
        <v>0</v>
      </c>
      <c r="R1395">
        <v>0</v>
      </c>
      <c r="W1395">
        <v>25920</v>
      </c>
    </row>
    <row r="1396" spans="1:74" x14ac:dyDescent="0.3">
      <c r="A1396">
        <v>428</v>
      </c>
      <c r="B1396" t="s">
        <v>2219</v>
      </c>
      <c r="C1396" t="s">
        <v>251</v>
      </c>
      <c r="D1396" t="s">
        <v>39</v>
      </c>
      <c r="E1396" t="s">
        <v>56</v>
      </c>
      <c r="F1396" s="30">
        <v>45473</v>
      </c>
      <c r="G1396" t="s">
        <v>2222</v>
      </c>
      <c r="H1396" t="s">
        <v>4476</v>
      </c>
      <c r="I1396">
        <v>7</v>
      </c>
      <c r="O1396">
        <v>0</v>
      </c>
      <c r="P1396">
        <v>0</v>
      </c>
      <c r="Q1396">
        <v>0</v>
      </c>
      <c r="R1396">
        <v>0</v>
      </c>
      <c r="W1396">
        <v>23400</v>
      </c>
    </row>
    <row r="1397" spans="1:74" x14ac:dyDescent="0.3">
      <c r="A1397">
        <v>428</v>
      </c>
      <c r="B1397" t="s">
        <v>2219</v>
      </c>
      <c r="C1397" t="s">
        <v>251</v>
      </c>
      <c r="D1397" t="s">
        <v>39</v>
      </c>
      <c r="E1397" t="s">
        <v>56</v>
      </c>
      <c r="F1397" s="30">
        <v>45473</v>
      </c>
      <c r="G1397" t="s">
        <v>2222</v>
      </c>
      <c r="H1397" t="s">
        <v>4478</v>
      </c>
      <c r="I1397">
        <v>1</v>
      </c>
      <c r="O1397">
        <v>0</v>
      </c>
      <c r="P1397">
        <v>0</v>
      </c>
      <c r="Q1397">
        <v>0</v>
      </c>
      <c r="R1397">
        <v>0</v>
      </c>
      <c r="W1397">
        <v>8350</v>
      </c>
    </row>
    <row r="1398" spans="1:74" x14ac:dyDescent="0.3">
      <c r="A1398">
        <v>428</v>
      </c>
      <c r="B1398" t="s">
        <v>2219</v>
      </c>
      <c r="C1398" t="s">
        <v>251</v>
      </c>
      <c r="D1398" t="s">
        <v>39</v>
      </c>
      <c r="E1398" t="s">
        <v>56</v>
      </c>
      <c r="F1398" s="30">
        <v>45473</v>
      </c>
      <c r="G1398" t="s">
        <v>2222</v>
      </c>
      <c r="H1398" t="s">
        <v>4469</v>
      </c>
      <c r="I1398">
        <v>11</v>
      </c>
      <c r="J1398">
        <v>9.5699996948242188</v>
      </c>
      <c r="O1398">
        <v>427</v>
      </c>
      <c r="P1398">
        <v>972</v>
      </c>
      <c r="Q1398">
        <v>13150</v>
      </c>
      <c r="R1398">
        <v>4</v>
      </c>
      <c r="W1398">
        <v>139337</v>
      </c>
    </row>
    <row r="1399" spans="1:74" x14ac:dyDescent="0.3">
      <c r="A1399">
        <v>429</v>
      </c>
      <c r="B1399" t="s">
        <v>2226</v>
      </c>
      <c r="C1399" t="s">
        <v>251</v>
      </c>
      <c r="D1399" t="s">
        <v>39</v>
      </c>
      <c r="E1399" t="s">
        <v>56</v>
      </c>
      <c r="F1399" s="30">
        <v>45473</v>
      </c>
      <c r="G1399" t="s">
        <v>2229</v>
      </c>
      <c r="H1399" t="s">
        <v>4468</v>
      </c>
      <c r="I1399">
        <v>0.4</v>
      </c>
      <c r="J1399">
        <v>1.070000052452087</v>
      </c>
      <c r="O1399">
        <v>2176</v>
      </c>
      <c r="P1399">
        <v>3139</v>
      </c>
      <c r="Q1399">
        <v>14308</v>
      </c>
      <c r="R1399">
        <v>0</v>
      </c>
      <c r="AA1399">
        <v>6488.25</v>
      </c>
      <c r="AB1399">
        <v>14581</v>
      </c>
    </row>
    <row r="1400" spans="1:74" x14ac:dyDescent="0.3">
      <c r="A1400">
        <v>429</v>
      </c>
      <c r="B1400" t="s">
        <v>2226</v>
      </c>
      <c r="C1400" t="s">
        <v>251</v>
      </c>
      <c r="D1400" t="s">
        <v>39</v>
      </c>
      <c r="E1400" t="s">
        <v>56</v>
      </c>
      <c r="F1400" s="30">
        <v>45473</v>
      </c>
      <c r="G1400" t="s">
        <v>2229</v>
      </c>
      <c r="H1400" t="s">
        <v>4469</v>
      </c>
      <c r="I1400">
        <v>0.41</v>
      </c>
      <c r="J1400">
        <v>0.41999998688697809</v>
      </c>
      <c r="O1400">
        <v>427</v>
      </c>
      <c r="P1400">
        <v>972</v>
      </c>
      <c r="Q1400">
        <v>13150</v>
      </c>
      <c r="R1400">
        <v>4</v>
      </c>
      <c r="AA1400">
        <v>410.03</v>
      </c>
      <c r="AB1400">
        <v>5751.1</v>
      </c>
    </row>
    <row r="1401" spans="1:74" x14ac:dyDescent="0.3">
      <c r="A1401">
        <v>429</v>
      </c>
      <c r="B1401" t="s">
        <v>2226</v>
      </c>
      <c r="C1401" t="s">
        <v>251</v>
      </c>
      <c r="D1401" t="s">
        <v>39</v>
      </c>
      <c r="E1401" t="s">
        <v>56</v>
      </c>
      <c r="F1401" s="30">
        <v>45473</v>
      </c>
      <c r="G1401" t="s">
        <v>2229</v>
      </c>
      <c r="H1401" t="s">
        <v>4470</v>
      </c>
      <c r="I1401">
        <v>0.38</v>
      </c>
      <c r="J1401">
        <v>0.34999999403953552</v>
      </c>
      <c r="O1401">
        <v>530</v>
      </c>
      <c r="P1401">
        <v>24</v>
      </c>
      <c r="Q1401">
        <v>11628</v>
      </c>
      <c r="R1401">
        <v>2925</v>
      </c>
      <c r="AA1401">
        <v>857.06</v>
      </c>
      <c r="AB1401">
        <v>4503.76</v>
      </c>
    </row>
    <row r="1402" spans="1:74" x14ac:dyDescent="0.3">
      <c r="A1402">
        <v>429</v>
      </c>
      <c r="B1402" t="s">
        <v>2226</v>
      </c>
      <c r="C1402" t="s">
        <v>251</v>
      </c>
      <c r="D1402" t="s">
        <v>39</v>
      </c>
      <c r="E1402" t="s">
        <v>56</v>
      </c>
      <c r="F1402" s="30">
        <v>45473</v>
      </c>
      <c r="G1402" t="s">
        <v>2229</v>
      </c>
      <c r="H1402" t="s">
        <v>4478</v>
      </c>
      <c r="I1402">
        <v>0.76</v>
      </c>
      <c r="J1402">
        <v>2.4600000381469731</v>
      </c>
      <c r="O1402">
        <v>0</v>
      </c>
      <c r="P1402">
        <v>0</v>
      </c>
      <c r="Q1402">
        <v>0</v>
      </c>
      <c r="R1402">
        <v>0</v>
      </c>
      <c r="AA1402">
        <v>155.18</v>
      </c>
      <c r="AB1402">
        <v>66.56</v>
      </c>
    </row>
    <row r="1403" spans="1:74" x14ac:dyDescent="0.3">
      <c r="A1403">
        <v>430</v>
      </c>
      <c r="B1403" t="s">
        <v>2233</v>
      </c>
      <c r="C1403" t="s">
        <v>210</v>
      </c>
      <c r="D1403" t="s">
        <v>39</v>
      </c>
      <c r="E1403" t="s">
        <v>22</v>
      </c>
      <c r="F1403" s="30">
        <v>45473</v>
      </c>
      <c r="G1403" t="s">
        <v>2236</v>
      </c>
      <c r="H1403" t="s">
        <v>4529</v>
      </c>
      <c r="I1403">
        <v>95</v>
      </c>
      <c r="J1403">
        <v>96.779998779296875</v>
      </c>
      <c r="BT1403">
        <v>6729663992</v>
      </c>
      <c r="BU1403">
        <v>6512807453</v>
      </c>
    </row>
    <row r="1404" spans="1:74" x14ac:dyDescent="0.3">
      <c r="A1404">
        <v>430</v>
      </c>
      <c r="B1404" t="s">
        <v>2233</v>
      </c>
      <c r="C1404" t="s">
        <v>210</v>
      </c>
      <c r="D1404" t="s">
        <v>39</v>
      </c>
      <c r="E1404" t="s">
        <v>22</v>
      </c>
      <c r="F1404" s="30">
        <v>45473</v>
      </c>
      <c r="G1404" t="s">
        <v>2236</v>
      </c>
      <c r="H1404" t="s">
        <v>4530</v>
      </c>
      <c r="I1404">
        <v>95</v>
      </c>
      <c r="J1404">
        <v>104.9899978637695</v>
      </c>
      <c r="BT1404">
        <v>22564825144</v>
      </c>
      <c r="BU1404">
        <v>23690391487</v>
      </c>
    </row>
    <row r="1405" spans="1:74" x14ac:dyDescent="0.3">
      <c r="A1405">
        <v>430</v>
      </c>
      <c r="B1405" t="s">
        <v>2233</v>
      </c>
      <c r="C1405" t="s">
        <v>210</v>
      </c>
      <c r="D1405" t="s">
        <v>39</v>
      </c>
      <c r="E1405" t="s">
        <v>22</v>
      </c>
      <c r="F1405" s="30">
        <v>45473</v>
      </c>
      <c r="G1405" t="s">
        <v>2236</v>
      </c>
      <c r="H1405" t="s">
        <v>4531</v>
      </c>
      <c r="I1405">
        <v>95</v>
      </c>
      <c r="J1405">
        <v>101.7099990844727</v>
      </c>
      <c r="BT1405">
        <v>29726576544</v>
      </c>
      <c r="BU1405">
        <v>30234782434</v>
      </c>
    </row>
    <row r="1406" spans="1:74" x14ac:dyDescent="0.3">
      <c r="A1406">
        <v>430</v>
      </c>
      <c r="B1406" t="s">
        <v>2233</v>
      </c>
      <c r="C1406" t="s">
        <v>210</v>
      </c>
      <c r="D1406" t="s">
        <v>39</v>
      </c>
      <c r="E1406" t="s">
        <v>22</v>
      </c>
      <c r="F1406" s="30">
        <v>45473</v>
      </c>
      <c r="G1406" t="s">
        <v>2236</v>
      </c>
      <c r="H1406" t="s">
        <v>4532</v>
      </c>
      <c r="I1406">
        <v>95</v>
      </c>
      <c r="J1406">
        <v>101.4599990844727</v>
      </c>
      <c r="BT1406">
        <v>72328260028</v>
      </c>
      <c r="BU1406">
        <v>73384052513</v>
      </c>
    </row>
    <row r="1407" spans="1:74" x14ac:dyDescent="0.3">
      <c r="A1407">
        <v>433</v>
      </c>
      <c r="B1407" t="s">
        <v>2260</v>
      </c>
      <c r="C1407" t="s">
        <v>251</v>
      </c>
      <c r="D1407" t="s">
        <v>39</v>
      </c>
      <c r="E1407" t="s">
        <v>56</v>
      </c>
      <c r="F1407" s="30">
        <v>45473</v>
      </c>
      <c r="G1407" t="s">
        <v>2263</v>
      </c>
      <c r="H1407" t="s">
        <v>4468</v>
      </c>
      <c r="I1407">
        <v>0.1</v>
      </c>
      <c r="J1407">
        <v>0.15000000596046451</v>
      </c>
      <c r="O1407">
        <v>2176</v>
      </c>
      <c r="P1407">
        <v>3139</v>
      </c>
      <c r="Q1407">
        <v>14308</v>
      </c>
      <c r="R1407">
        <v>0</v>
      </c>
      <c r="BV1407">
        <v>2990.02</v>
      </c>
    </row>
    <row r="1408" spans="1:74" x14ac:dyDescent="0.3">
      <c r="A1408">
        <v>433</v>
      </c>
      <c r="B1408" t="s">
        <v>2260</v>
      </c>
      <c r="C1408" t="s">
        <v>251</v>
      </c>
      <c r="D1408" t="s">
        <v>39</v>
      </c>
      <c r="E1408" t="s">
        <v>56</v>
      </c>
      <c r="F1408" s="30">
        <v>45473</v>
      </c>
      <c r="G1408" t="s">
        <v>2263</v>
      </c>
      <c r="H1408" t="s">
        <v>4469</v>
      </c>
      <c r="I1408">
        <v>0.05</v>
      </c>
      <c r="O1408">
        <v>427</v>
      </c>
      <c r="P1408">
        <v>972</v>
      </c>
      <c r="Q1408">
        <v>13150</v>
      </c>
      <c r="R1408">
        <v>4</v>
      </c>
      <c r="BV1408">
        <v>15.7</v>
      </c>
    </row>
    <row r="1409" spans="1:120" x14ac:dyDescent="0.3">
      <c r="A1409">
        <v>433</v>
      </c>
      <c r="B1409" t="s">
        <v>2260</v>
      </c>
      <c r="C1409" t="s">
        <v>251</v>
      </c>
      <c r="D1409" t="s">
        <v>39</v>
      </c>
      <c r="E1409" t="s">
        <v>56</v>
      </c>
      <c r="F1409" s="30">
        <v>45473</v>
      </c>
      <c r="G1409" t="s">
        <v>2263</v>
      </c>
      <c r="H1409" t="s">
        <v>4476</v>
      </c>
      <c r="I1409">
        <v>0.05</v>
      </c>
      <c r="O1409">
        <v>0</v>
      </c>
      <c r="P1409">
        <v>0</v>
      </c>
      <c r="Q1409">
        <v>0</v>
      </c>
      <c r="R1409">
        <v>0</v>
      </c>
      <c r="BV1409">
        <v>1.1000000000000001</v>
      </c>
    </row>
    <row r="1410" spans="1:120" x14ac:dyDescent="0.3">
      <c r="A1410">
        <v>433</v>
      </c>
      <c r="B1410" t="s">
        <v>2260</v>
      </c>
      <c r="C1410" t="s">
        <v>251</v>
      </c>
      <c r="D1410" t="s">
        <v>39</v>
      </c>
      <c r="E1410" t="s">
        <v>56</v>
      </c>
      <c r="F1410" s="30">
        <v>45473</v>
      </c>
      <c r="G1410" t="s">
        <v>2263</v>
      </c>
      <c r="H1410" t="s">
        <v>4470</v>
      </c>
      <c r="I1410">
        <v>0.05</v>
      </c>
      <c r="J1410">
        <v>2.999999932944775E-2</v>
      </c>
      <c r="O1410">
        <v>530</v>
      </c>
      <c r="P1410">
        <v>24</v>
      </c>
      <c r="Q1410">
        <v>11628</v>
      </c>
      <c r="R1410">
        <v>2925</v>
      </c>
      <c r="BV1410">
        <v>482.69</v>
      </c>
    </row>
    <row r="1411" spans="1:120" x14ac:dyDescent="0.3">
      <c r="A1411">
        <v>435</v>
      </c>
      <c r="B1411" t="s">
        <v>2304</v>
      </c>
      <c r="C1411" t="s">
        <v>251</v>
      </c>
      <c r="D1411" t="s">
        <v>39</v>
      </c>
      <c r="E1411" t="s">
        <v>22</v>
      </c>
      <c r="F1411" s="30">
        <v>45473</v>
      </c>
      <c r="G1411" t="s">
        <v>2307</v>
      </c>
      <c r="H1411" t="s">
        <v>4477</v>
      </c>
      <c r="I1411">
        <v>100</v>
      </c>
      <c r="J1411">
        <v>0</v>
      </c>
      <c r="BW1411">
        <v>0</v>
      </c>
      <c r="BX1411">
        <v>0</v>
      </c>
    </row>
    <row r="1412" spans="1:120" x14ac:dyDescent="0.3">
      <c r="A1412">
        <v>435</v>
      </c>
      <c r="B1412" t="s">
        <v>2304</v>
      </c>
      <c r="C1412" t="s">
        <v>251</v>
      </c>
      <c r="D1412" t="s">
        <v>39</v>
      </c>
      <c r="E1412" t="s">
        <v>22</v>
      </c>
      <c r="F1412" s="30">
        <v>45473</v>
      </c>
      <c r="G1412" t="s">
        <v>2307</v>
      </c>
      <c r="H1412" t="s">
        <v>4478</v>
      </c>
      <c r="I1412">
        <v>100</v>
      </c>
      <c r="J1412">
        <v>0</v>
      </c>
      <c r="BW1412">
        <v>0</v>
      </c>
      <c r="BX1412">
        <v>0</v>
      </c>
    </row>
    <row r="1413" spans="1:120" x14ac:dyDescent="0.3">
      <c r="A1413">
        <v>435</v>
      </c>
      <c r="B1413" t="s">
        <v>2304</v>
      </c>
      <c r="C1413" t="s">
        <v>251</v>
      </c>
      <c r="D1413" t="s">
        <v>39</v>
      </c>
      <c r="E1413" t="s">
        <v>22</v>
      </c>
      <c r="F1413" s="30">
        <v>45473</v>
      </c>
      <c r="G1413" t="s">
        <v>2307</v>
      </c>
      <c r="H1413" t="s">
        <v>4469</v>
      </c>
      <c r="I1413">
        <v>100</v>
      </c>
      <c r="J1413">
        <v>90</v>
      </c>
      <c r="BW1413">
        <v>0.01</v>
      </c>
      <c r="BX1413">
        <v>1E-3</v>
      </c>
    </row>
    <row r="1414" spans="1:120" x14ac:dyDescent="0.3">
      <c r="A1414">
        <v>435</v>
      </c>
      <c r="B1414" t="s">
        <v>2304</v>
      </c>
      <c r="C1414" t="s">
        <v>251</v>
      </c>
      <c r="D1414" t="s">
        <v>39</v>
      </c>
      <c r="E1414" t="s">
        <v>22</v>
      </c>
      <c r="F1414" s="30">
        <v>45473</v>
      </c>
      <c r="G1414" t="s">
        <v>2307</v>
      </c>
      <c r="H1414" t="s">
        <v>4470</v>
      </c>
      <c r="I1414">
        <v>100</v>
      </c>
      <c r="J1414">
        <v>40</v>
      </c>
      <c r="BW1414">
        <v>0.05</v>
      </c>
      <c r="BX1414">
        <v>0.03</v>
      </c>
    </row>
    <row r="1415" spans="1:120" x14ac:dyDescent="0.3">
      <c r="A1415">
        <v>435</v>
      </c>
      <c r="B1415" t="s">
        <v>2304</v>
      </c>
      <c r="C1415" t="s">
        <v>251</v>
      </c>
      <c r="D1415" t="s">
        <v>39</v>
      </c>
      <c r="E1415" t="s">
        <v>22</v>
      </c>
      <c r="F1415" s="30">
        <v>45473</v>
      </c>
      <c r="G1415" t="s">
        <v>2307</v>
      </c>
      <c r="H1415" t="s">
        <v>4468</v>
      </c>
      <c r="I1415">
        <v>100</v>
      </c>
      <c r="J1415">
        <v>-66.669998168945313</v>
      </c>
      <c r="BW1415">
        <v>0.09</v>
      </c>
      <c r="BX1415">
        <v>0.15</v>
      </c>
    </row>
    <row r="1416" spans="1:120" x14ac:dyDescent="0.3">
      <c r="A1416">
        <v>439</v>
      </c>
      <c r="B1416" t="s">
        <v>2354</v>
      </c>
      <c r="C1416" t="s">
        <v>1801</v>
      </c>
      <c r="D1416" t="s">
        <v>39</v>
      </c>
      <c r="E1416" t="s">
        <v>22</v>
      </c>
      <c r="F1416" s="30">
        <v>45473</v>
      </c>
      <c r="G1416" t="s">
        <v>2357</v>
      </c>
      <c r="H1416" t="s">
        <v>4499</v>
      </c>
      <c r="I1416">
        <v>100</v>
      </c>
      <c r="J1416">
        <v>100</v>
      </c>
      <c r="CY1416">
        <v>766</v>
      </c>
      <c r="CZ1416">
        <v>766</v>
      </c>
    </row>
    <row r="1417" spans="1:120" x14ac:dyDescent="0.3">
      <c r="A1417">
        <v>439</v>
      </c>
      <c r="B1417" t="s">
        <v>2354</v>
      </c>
      <c r="C1417" t="s">
        <v>1801</v>
      </c>
      <c r="D1417" t="s">
        <v>39</v>
      </c>
      <c r="E1417" t="s">
        <v>22</v>
      </c>
      <c r="F1417" s="30">
        <v>45473</v>
      </c>
      <c r="G1417" t="s">
        <v>2357</v>
      </c>
      <c r="H1417" t="s">
        <v>4500</v>
      </c>
      <c r="I1417">
        <v>100</v>
      </c>
      <c r="J1417">
        <v>100</v>
      </c>
      <c r="CY1417">
        <v>256</v>
      </c>
      <c r="CZ1417">
        <v>256</v>
      </c>
    </row>
    <row r="1418" spans="1:120" x14ac:dyDescent="0.3">
      <c r="A1418">
        <v>440</v>
      </c>
      <c r="B1418" t="s">
        <v>2361</v>
      </c>
      <c r="C1418" t="s">
        <v>1801</v>
      </c>
      <c r="D1418" t="s">
        <v>39</v>
      </c>
      <c r="E1418" t="s">
        <v>22</v>
      </c>
      <c r="F1418" s="30">
        <v>45473</v>
      </c>
      <c r="G1418" t="s">
        <v>2364</v>
      </c>
      <c r="H1418" t="s">
        <v>4500</v>
      </c>
      <c r="I1418">
        <v>98</v>
      </c>
      <c r="J1418">
        <v>99.30999755859375</v>
      </c>
      <c r="DA1418">
        <v>2874</v>
      </c>
      <c r="DB1418">
        <v>2894</v>
      </c>
    </row>
    <row r="1419" spans="1:120" x14ac:dyDescent="0.3">
      <c r="A1419">
        <v>440</v>
      </c>
      <c r="B1419" t="s">
        <v>2361</v>
      </c>
      <c r="C1419" t="s">
        <v>1801</v>
      </c>
      <c r="D1419" t="s">
        <v>39</v>
      </c>
      <c r="E1419" t="s">
        <v>22</v>
      </c>
      <c r="F1419" s="30">
        <v>45473</v>
      </c>
      <c r="G1419" t="s">
        <v>2364</v>
      </c>
      <c r="H1419" t="s">
        <v>4499</v>
      </c>
      <c r="I1419">
        <v>98</v>
      </c>
      <c r="J1419">
        <v>99.760002136230469</v>
      </c>
      <c r="DA1419">
        <v>41138</v>
      </c>
      <c r="DB1419">
        <v>41238</v>
      </c>
    </row>
    <row r="1420" spans="1:120" x14ac:dyDescent="0.3">
      <c r="A1420">
        <v>473</v>
      </c>
      <c r="B1420" t="s">
        <v>2488</v>
      </c>
      <c r="C1420" t="s">
        <v>1234</v>
      </c>
      <c r="D1420" t="s">
        <v>39</v>
      </c>
      <c r="E1420" t="s">
        <v>22</v>
      </c>
      <c r="F1420" s="30">
        <v>45473</v>
      </c>
      <c r="G1420" t="s">
        <v>2487</v>
      </c>
      <c r="H1420" t="s">
        <v>4634</v>
      </c>
      <c r="I1420">
        <v>100</v>
      </c>
      <c r="J1420">
        <v>100</v>
      </c>
      <c r="DM1420">
        <v>1</v>
      </c>
      <c r="DN1420">
        <v>1</v>
      </c>
    </row>
    <row r="1421" spans="1:120" x14ac:dyDescent="0.3">
      <c r="A1421">
        <v>473</v>
      </c>
      <c r="B1421" t="s">
        <v>2488</v>
      </c>
      <c r="C1421" t="s">
        <v>1234</v>
      </c>
      <c r="D1421" t="s">
        <v>39</v>
      </c>
      <c r="E1421" t="s">
        <v>22</v>
      </c>
      <c r="F1421" s="30">
        <v>45473</v>
      </c>
      <c r="G1421" t="s">
        <v>2487</v>
      </c>
      <c r="H1421" t="s">
        <v>4635</v>
      </c>
      <c r="I1421">
        <v>100</v>
      </c>
      <c r="J1421">
        <v>100</v>
      </c>
      <c r="DM1421">
        <v>15</v>
      </c>
      <c r="DN1421">
        <v>15</v>
      </c>
    </row>
    <row r="1422" spans="1:120" x14ac:dyDescent="0.3">
      <c r="A1422">
        <v>474</v>
      </c>
      <c r="B1422" t="s">
        <v>2494</v>
      </c>
      <c r="C1422" t="s">
        <v>1969</v>
      </c>
      <c r="D1422" t="s">
        <v>39</v>
      </c>
      <c r="E1422" t="s">
        <v>22</v>
      </c>
      <c r="F1422" s="30">
        <v>45473</v>
      </c>
      <c r="G1422" t="s">
        <v>2493</v>
      </c>
      <c r="H1422" t="s">
        <v>4514</v>
      </c>
      <c r="I1422">
        <v>100</v>
      </c>
      <c r="J1422">
        <v>0</v>
      </c>
      <c r="DO1422">
        <v>0</v>
      </c>
      <c r="DP1422">
        <v>0</v>
      </c>
    </row>
    <row r="1423" spans="1:120" x14ac:dyDescent="0.3">
      <c r="A1423">
        <v>474</v>
      </c>
      <c r="B1423" t="s">
        <v>2494</v>
      </c>
      <c r="C1423" t="s">
        <v>1969</v>
      </c>
      <c r="D1423" t="s">
        <v>39</v>
      </c>
      <c r="E1423" t="s">
        <v>22</v>
      </c>
      <c r="F1423" s="30">
        <v>45473</v>
      </c>
      <c r="G1423" t="s">
        <v>2493</v>
      </c>
      <c r="H1423" t="s">
        <v>4515</v>
      </c>
      <c r="I1423">
        <v>100</v>
      </c>
      <c r="J1423">
        <v>0</v>
      </c>
      <c r="DO1423">
        <v>0</v>
      </c>
      <c r="DP1423">
        <v>0</v>
      </c>
    </row>
    <row r="1424" spans="1:120" x14ac:dyDescent="0.3">
      <c r="A1424">
        <v>474</v>
      </c>
      <c r="B1424" t="s">
        <v>2494</v>
      </c>
      <c r="C1424" t="s">
        <v>1969</v>
      </c>
      <c r="D1424" t="s">
        <v>39</v>
      </c>
      <c r="E1424" t="s">
        <v>22</v>
      </c>
      <c r="F1424" s="30">
        <v>45473</v>
      </c>
      <c r="G1424" t="s">
        <v>2493</v>
      </c>
      <c r="H1424" t="s">
        <v>4516</v>
      </c>
      <c r="I1424">
        <v>100</v>
      </c>
      <c r="J1424">
        <v>0</v>
      </c>
      <c r="DO1424">
        <v>0</v>
      </c>
      <c r="DP1424">
        <v>0</v>
      </c>
    </row>
    <row r="1425" spans="1:124" x14ac:dyDescent="0.3">
      <c r="A1425">
        <v>474</v>
      </c>
      <c r="B1425" t="s">
        <v>2494</v>
      </c>
      <c r="C1425" t="s">
        <v>1969</v>
      </c>
      <c r="D1425" t="s">
        <v>39</v>
      </c>
      <c r="E1425" t="s">
        <v>22</v>
      </c>
      <c r="F1425" s="30">
        <v>45473</v>
      </c>
      <c r="G1425" t="s">
        <v>2493</v>
      </c>
      <c r="H1425" t="s">
        <v>4517</v>
      </c>
      <c r="I1425">
        <v>100</v>
      </c>
      <c r="J1425">
        <v>0</v>
      </c>
      <c r="DO1425">
        <v>0</v>
      </c>
      <c r="DP1425">
        <v>0</v>
      </c>
    </row>
    <row r="1426" spans="1:124" x14ac:dyDescent="0.3">
      <c r="A1426">
        <v>474</v>
      </c>
      <c r="B1426" t="s">
        <v>2494</v>
      </c>
      <c r="C1426" t="s">
        <v>1969</v>
      </c>
      <c r="D1426" t="s">
        <v>39</v>
      </c>
      <c r="E1426" t="s">
        <v>22</v>
      </c>
      <c r="F1426" s="30">
        <v>45473</v>
      </c>
      <c r="G1426" t="s">
        <v>2493</v>
      </c>
      <c r="H1426" t="s">
        <v>4518</v>
      </c>
      <c r="I1426">
        <v>100</v>
      </c>
      <c r="J1426">
        <v>0</v>
      </c>
      <c r="DO1426">
        <v>0</v>
      </c>
      <c r="DP1426">
        <v>0</v>
      </c>
    </row>
    <row r="1427" spans="1:124" x14ac:dyDescent="0.3">
      <c r="A1427">
        <v>474</v>
      </c>
      <c r="B1427" t="s">
        <v>2494</v>
      </c>
      <c r="C1427" t="s">
        <v>1969</v>
      </c>
      <c r="D1427" t="s">
        <v>39</v>
      </c>
      <c r="E1427" t="s">
        <v>22</v>
      </c>
      <c r="F1427" s="30">
        <v>45473</v>
      </c>
      <c r="G1427" t="s">
        <v>2493</v>
      </c>
      <c r="H1427" t="s">
        <v>4519</v>
      </c>
      <c r="I1427">
        <v>100</v>
      </c>
      <c r="J1427">
        <v>0</v>
      </c>
      <c r="DO1427">
        <v>0</v>
      </c>
      <c r="DP1427">
        <v>0</v>
      </c>
    </row>
    <row r="1428" spans="1:124" x14ac:dyDescent="0.3">
      <c r="A1428">
        <v>474</v>
      </c>
      <c r="B1428" t="s">
        <v>2494</v>
      </c>
      <c r="C1428" t="s">
        <v>1969</v>
      </c>
      <c r="D1428" t="s">
        <v>39</v>
      </c>
      <c r="E1428" t="s">
        <v>22</v>
      </c>
      <c r="F1428" s="30">
        <v>45473</v>
      </c>
      <c r="G1428" t="s">
        <v>2493</v>
      </c>
      <c r="H1428" t="s">
        <v>4520</v>
      </c>
      <c r="I1428">
        <v>100</v>
      </c>
      <c r="J1428">
        <v>0</v>
      </c>
      <c r="DO1428">
        <v>0</v>
      </c>
      <c r="DP1428">
        <v>0</v>
      </c>
    </row>
    <row r="1429" spans="1:124" x14ac:dyDescent="0.3">
      <c r="A1429">
        <v>474</v>
      </c>
      <c r="B1429" t="s">
        <v>2494</v>
      </c>
      <c r="C1429" t="s">
        <v>1969</v>
      </c>
      <c r="D1429" t="s">
        <v>39</v>
      </c>
      <c r="E1429" t="s">
        <v>22</v>
      </c>
      <c r="F1429" s="30">
        <v>45473</v>
      </c>
      <c r="G1429" t="s">
        <v>2493</v>
      </c>
      <c r="H1429" t="s">
        <v>4521</v>
      </c>
      <c r="I1429">
        <v>100</v>
      </c>
      <c r="J1429">
        <v>0</v>
      </c>
      <c r="DO1429">
        <v>0</v>
      </c>
      <c r="DP1429">
        <v>0</v>
      </c>
    </row>
    <row r="1430" spans="1:124" x14ac:dyDescent="0.3">
      <c r="A1430">
        <v>474</v>
      </c>
      <c r="B1430" t="s">
        <v>2494</v>
      </c>
      <c r="C1430" t="s">
        <v>1969</v>
      </c>
      <c r="D1430" t="s">
        <v>39</v>
      </c>
      <c r="E1430" t="s">
        <v>22</v>
      </c>
      <c r="F1430" s="30">
        <v>45473</v>
      </c>
      <c r="G1430" t="s">
        <v>2493</v>
      </c>
      <c r="H1430" t="s">
        <v>4522</v>
      </c>
      <c r="I1430">
        <v>100</v>
      </c>
      <c r="J1430">
        <v>0</v>
      </c>
      <c r="DO1430">
        <v>0</v>
      </c>
      <c r="DP1430">
        <v>0</v>
      </c>
    </row>
    <row r="1431" spans="1:124" x14ac:dyDescent="0.3">
      <c r="A1431">
        <v>474</v>
      </c>
      <c r="B1431" t="s">
        <v>2494</v>
      </c>
      <c r="C1431" t="s">
        <v>1969</v>
      </c>
      <c r="D1431" t="s">
        <v>39</v>
      </c>
      <c r="E1431" t="s">
        <v>22</v>
      </c>
      <c r="F1431" s="30">
        <v>45473</v>
      </c>
      <c r="G1431" t="s">
        <v>2493</v>
      </c>
      <c r="H1431" t="s">
        <v>4523</v>
      </c>
      <c r="I1431">
        <v>100</v>
      </c>
      <c r="J1431">
        <v>0</v>
      </c>
      <c r="DO1431">
        <v>0</v>
      </c>
      <c r="DP1431">
        <v>0</v>
      </c>
    </row>
    <row r="1432" spans="1:124" x14ac:dyDescent="0.3">
      <c r="A1432">
        <v>474</v>
      </c>
      <c r="B1432" t="s">
        <v>2494</v>
      </c>
      <c r="C1432" t="s">
        <v>1969</v>
      </c>
      <c r="D1432" t="s">
        <v>39</v>
      </c>
      <c r="E1432" t="s">
        <v>22</v>
      </c>
      <c r="F1432" s="30">
        <v>45473</v>
      </c>
      <c r="G1432" t="s">
        <v>2493</v>
      </c>
      <c r="H1432" t="s">
        <v>4524</v>
      </c>
      <c r="I1432">
        <v>100</v>
      </c>
      <c r="J1432">
        <v>0</v>
      </c>
      <c r="DO1432">
        <v>0</v>
      </c>
      <c r="DP1432">
        <v>0</v>
      </c>
    </row>
    <row r="1433" spans="1:124" x14ac:dyDescent="0.3">
      <c r="A1433">
        <v>474</v>
      </c>
      <c r="B1433" t="s">
        <v>2494</v>
      </c>
      <c r="C1433" t="s">
        <v>1969</v>
      </c>
      <c r="D1433" t="s">
        <v>39</v>
      </c>
      <c r="E1433" t="s">
        <v>22</v>
      </c>
      <c r="F1433" s="30">
        <v>45473</v>
      </c>
      <c r="G1433" t="s">
        <v>2493</v>
      </c>
      <c r="H1433" t="s">
        <v>4525</v>
      </c>
      <c r="I1433">
        <v>100</v>
      </c>
      <c r="J1433">
        <v>100</v>
      </c>
      <c r="DO1433">
        <v>1</v>
      </c>
      <c r="DP1433">
        <v>1</v>
      </c>
    </row>
    <row r="1434" spans="1:124" x14ac:dyDescent="0.3">
      <c r="A1434">
        <v>476</v>
      </c>
      <c r="B1434" t="s">
        <v>2499</v>
      </c>
      <c r="C1434" t="s">
        <v>1234</v>
      </c>
      <c r="D1434" t="s">
        <v>39</v>
      </c>
      <c r="E1434" t="s">
        <v>22</v>
      </c>
      <c r="F1434" s="30">
        <v>45473</v>
      </c>
      <c r="G1434" t="s">
        <v>2500</v>
      </c>
      <c r="H1434" t="s">
        <v>4635</v>
      </c>
      <c r="I1434">
        <v>100</v>
      </c>
      <c r="J1434">
        <v>100</v>
      </c>
      <c r="DQ1434">
        <v>15</v>
      </c>
      <c r="DR1434">
        <v>15</v>
      </c>
    </row>
    <row r="1435" spans="1:124" x14ac:dyDescent="0.3">
      <c r="A1435">
        <v>477</v>
      </c>
      <c r="B1435" t="s">
        <v>2504</v>
      </c>
      <c r="C1435" t="s">
        <v>1969</v>
      </c>
      <c r="D1435" t="s">
        <v>39</v>
      </c>
      <c r="E1435" t="s">
        <v>22</v>
      </c>
      <c r="F1435" s="30">
        <v>45473</v>
      </c>
      <c r="G1435" t="s">
        <v>2505</v>
      </c>
      <c r="H1435" t="s">
        <v>4520</v>
      </c>
      <c r="I1435">
        <v>100</v>
      </c>
      <c r="J1435">
        <v>100</v>
      </c>
      <c r="DS1435">
        <v>1</v>
      </c>
      <c r="DT1435">
        <v>1</v>
      </c>
    </row>
    <row r="1436" spans="1:124" x14ac:dyDescent="0.3">
      <c r="A1436">
        <v>477</v>
      </c>
      <c r="B1436" t="s">
        <v>2504</v>
      </c>
      <c r="C1436" t="s">
        <v>1969</v>
      </c>
      <c r="D1436" t="s">
        <v>39</v>
      </c>
      <c r="E1436" t="s">
        <v>22</v>
      </c>
      <c r="F1436" s="30">
        <v>45473</v>
      </c>
      <c r="G1436" t="s">
        <v>2505</v>
      </c>
      <c r="H1436" t="s">
        <v>4515</v>
      </c>
      <c r="I1436">
        <v>100</v>
      </c>
      <c r="J1436">
        <v>100</v>
      </c>
      <c r="DS1436">
        <v>1</v>
      </c>
      <c r="DT1436">
        <v>1</v>
      </c>
    </row>
    <row r="1437" spans="1:124" x14ac:dyDescent="0.3">
      <c r="A1437">
        <v>477</v>
      </c>
      <c r="B1437" t="s">
        <v>2504</v>
      </c>
      <c r="C1437" t="s">
        <v>1969</v>
      </c>
      <c r="D1437" t="s">
        <v>39</v>
      </c>
      <c r="E1437" t="s">
        <v>22</v>
      </c>
      <c r="F1437" s="30">
        <v>45473</v>
      </c>
      <c r="G1437" t="s">
        <v>2505</v>
      </c>
      <c r="H1437" t="s">
        <v>4524</v>
      </c>
      <c r="I1437">
        <v>100</v>
      </c>
      <c r="J1437">
        <v>100</v>
      </c>
      <c r="DS1437">
        <v>1</v>
      </c>
      <c r="DT1437">
        <v>1</v>
      </c>
    </row>
    <row r="1438" spans="1:124" x14ac:dyDescent="0.3">
      <c r="A1438">
        <v>477</v>
      </c>
      <c r="B1438" t="s">
        <v>2504</v>
      </c>
      <c r="C1438" t="s">
        <v>1969</v>
      </c>
      <c r="D1438" t="s">
        <v>39</v>
      </c>
      <c r="E1438" t="s">
        <v>22</v>
      </c>
      <c r="F1438" s="30">
        <v>45473</v>
      </c>
      <c r="G1438" t="s">
        <v>2505</v>
      </c>
      <c r="H1438" t="s">
        <v>4517</v>
      </c>
      <c r="I1438">
        <v>100</v>
      </c>
      <c r="J1438">
        <v>100</v>
      </c>
      <c r="DS1438">
        <v>2</v>
      </c>
      <c r="DT1438">
        <v>2</v>
      </c>
    </row>
    <row r="1439" spans="1:124" x14ac:dyDescent="0.3">
      <c r="A1439">
        <v>477</v>
      </c>
      <c r="B1439" t="s">
        <v>2504</v>
      </c>
      <c r="C1439" t="s">
        <v>1969</v>
      </c>
      <c r="D1439" t="s">
        <v>39</v>
      </c>
      <c r="E1439" t="s">
        <v>22</v>
      </c>
      <c r="F1439" s="30">
        <v>45473</v>
      </c>
      <c r="G1439" t="s">
        <v>2505</v>
      </c>
      <c r="H1439" t="s">
        <v>4523</v>
      </c>
      <c r="I1439">
        <v>100</v>
      </c>
      <c r="J1439">
        <v>100</v>
      </c>
      <c r="DS1439">
        <v>3</v>
      </c>
      <c r="DT1439">
        <v>3</v>
      </c>
    </row>
    <row r="1440" spans="1:124" x14ac:dyDescent="0.3">
      <c r="A1440">
        <v>477</v>
      </c>
      <c r="B1440" t="s">
        <v>2504</v>
      </c>
      <c r="C1440" t="s">
        <v>1969</v>
      </c>
      <c r="D1440" t="s">
        <v>39</v>
      </c>
      <c r="E1440" t="s">
        <v>22</v>
      </c>
      <c r="F1440" s="30">
        <v>45473</v>
      </c>
      <c r="G1440" t="s">
        <v>2505</v>
      </c>
      <c r="H1440" t="s">
        <v>4516</v>
      </c>
      <c r="I1440">
        <v>100</v>
      </c>
      <c r="J1440">
        <v>100</v>
      </c>
      <c r="DS1440">
        <v>2</v>
      </c>
      <c r="DT1440">
        <v>2</v>
      </c>
    </row>
    <row r="1441" spans="1:128" x14ac:dyDescent="0.3">
      <c r="A1441">
        <v>477</v>
      </c>
      <c r="B1441" t="s">
        <v>2504</v>
      </c>
      <c r="C1441" t="s">
        <v>1969</v>
      </c>
      <c r="D1441" t="s">
        <v>39</v>
      </c>
      <c r="E1441" t="s">
        <v>22</v>
      </c>
      <c r="F1441" s="30">
        <v>45473</v>
      </c>
      <c r="G1441" t="s">
        <v>2505</v>
      </c>
      <c r="H1441" t="s">
        <v>4525</v>
      </c>
      <c r="I1441">
        <v>100</v>
      </c>
      <c r="J1441">
        <v>100</v>
      </c>
      <c r="DS1441">
        <v>2</v>
      </c>
      <c r="DT1441">
        <v>2</v>
      </c>
    </row>
    <row r="1442" spans="1:128" x14ac:dyDescent="0.3">
      <c r="A1442">
        <v>477</v>
      </c>
      <c r="B1442" t="s">
        <v>2504</v>
      </c>
      <c r="C1442" t="s">
        <v>1969</v>
      </c>
      <c r="D1442" t="s">
        <v>39</v>
      </c>
      <c r="E1442" t="s">
        <v>22</v>
      </c>
      <c r="F1442" s="30">
        <v>45473</v>
      </c>
      <c r="G1442" t="s">
        <v>2505</v>
      </c>
      <c r="H1442" t="s">
        <v>4519</v>
      </c>
      <c r="I1442">
        <v>100</v>
      </c>
      <c r="J1442">
        <v>100</v>
      </c>
      <c r="DS1442">
        <v>1</v>
      </c>
      <c r="DT1442">
        <v>1</v>
      </c>
    </row>
    <row r="1443" spans="1:128" x14ac:dyDescent="0.3">
      <c r="A1443">
        <v>477</v>
      </c>
      <c r="B1443" t="s">
        <v>2504</v>
      </c>
      <c r="C1443" t="s">
        <v>1969</v>
      </c>
      <c r="D1443" t="s">
        <v>39</v>
      </c>
      <c r="E1443" t="s">
        <v>22</v>
      </c>
      <c r="F1443" s="30">
        <v>45473</v>
      </c>
      <c r="G1443" t="s">
        <v>2505</v>
      </c>
      <c r="H1443" t="s">
        <v>4522</v>
      </c>
      <c r="I1443">
        <v>100</v>
      </c>
      <c r="J1443">
        <v>100</v>
      </c>
      <c r="DS1443">
        <v>1</v>
      </c>
      <c r="DT1443">
        <v>1</v>
      </c>
    </row>
    <row r="1444" spans="1:128" x14ac:dyDescent="0.3">
      <c r="A1444">
        <v>478</v>
      </c>
      <c r="B1444" t="s">
        <v>2507</v>
      </c>
      <c r="C1444" t="s">
        <v>1969</v>
      </c>
      <c r="D1444" t="s">
        <v>39</v>
      </c>
      <c r="E1444" t="s">
        <v>22</v>
      </c>
      <c r="F1444" s="30">
        <v>45473</v>
      </c>
      <c r="G1444" t="s">
        <v>2508</v>
      </c>
      <c r="H1444" t="s">
        <v>4514</v>
      </c>
      <c r="I1444">
        <v>100</v>
      </c>
      <c r="J1444">
        <v>0</v>
      </c>
      <c r="DU1444">
        <v>0</v>
      </c>
      <c r="DV1444">
        <v>0</v>
      </c>
    </row>
    <row r="1445" spans="1:128" x14ac:dyDescent="0.3">
      <c r="A1445">
        <v>478</v>
      </c>
      <c r="B1445" t="s">
        <v>2507</v>
      </c>
      <c r="C1445" t="s">
        <v>1969</v>
      </c>
      <c r="D1445" t="s">
        <v>39</v>
      </c>
      <c r="E1445" t="s">
        <v>22</v>
      </c>
      <c r="F1445" s="30">
        <v>45473</v>
      </c>
      <c r="G1445" t="s">
        <v>2508</v>
      </c>
      <c r="H1445" t="s">
        <v>4515</v>
      </c>
      <c r="I1445">
        <v>100</v>
      </c>
      <c r="J1445">
        <v>0</v>
      </c>
      <c r="DU1445">
        <v>0</v>
      </c>
      <c r="DV1445">
        <v>0</v>
      </c>
    </row>
    <row r="1446" spans="1:128" x14ac:dyDescent="0.3">
      <c r="A1446">
        <v>478</v>
      </c>
      <c r="B1446" t="s">
        <v>2507</v>
      </c>
      <c r="C1446" t="s">
        <v>1969</v>
      </c>
      <c r="D1446" t="s">
        <v>39</v>
      </c>
      <c r="E1446" t="s">
        <v>22</v>
      </c>
      <c r="F1446" s="30">
        <v>45473</v>
      </c>
      <c r="G1446" t="s">
        <v>2508</v>
      </c>
      <c r="H1446" t="s">
        <v>4516</v>
      </c>
      <c r="I1446">
        <v>100</v>
      </c>
      <c r="J1446">
        <v>0</v>
      </c>
      <c r="DU1446">
        <v>0</v>
      </c>
      <c r="DV1446">
        <v>0</v>
      </c>
    </row>
    <row r="1447" spans="1:128" x14ac:dyDescent="0.3">
      <c r="A1447">
        <v>478</v>
      </c>
      <c r="B1447" t="s">
        <v>2507</v>
      </c>
      <c r="C1447" t="s">
        <v>1969</v>
      </c>
      <c r="D1447" t="s">
        <v>39</v>
      </c>
      <c r="E1447" t="s">
        <v>22</v>
      </c>
      <c r="F1447" s="30">
        <v>45473</v>
      </c>
      <c r="G1447" t="s">
        <v>2508</v>
      </c>
      <c r="H1447" t="s">
        <v>4517</v>
      </c>
      <c r="I1447">
        <v>100</v>
      </c>
      <c r="J1447">
        <v>0</v>
      </c>
      <c r="DU1447">
        <v>0</v>
      </c>
      <c r="DV1447">
        <v>0</v>
      </c>
    </row>
    <row r="1448" spans="1:128" x14ac:dyDescent="0.3">
      <c r="A1448">
        <v>478</v>
      </c>
      <c r="B1448" t="s">
        <v>2507</v>
      </c>
      <c r="C1448" t="s">
        <v>1969</v>
      </c>
      <c r="D1448" t="s">
        <v>39</v>
      </c>
      <c r="E1448" t="s">
        <v>22</v>
      </c>
      <c r="F1448" s="30">
        <v>45473</v>
      </c>
      <c r="G1448" t="s">
        <v>2508</v>
      </c>
      <c r="H1448" t="s">
        <v>4518</v>
      </c>
      <c r="I1448">
        <v>100</v>
      </c>
      <c r="J1448">
        <v>0</v>
      </c>
      <c r="DU1448">
        <v>0</v>
      </c>
      <c r="DV1448">
        <v>0</v>
      </c>
    </row>
    <row r="1449" spans="1:128" x14ac:dyDescent="0.3">
      <c r="A1449">
        <v>478</v>
      </c>
      <c r="B1449" t="s">
        <v>2507</v>
      </c>
      <c r="C1449" t="s">
        <v>1969</v>
      </c>
      <c r="D1449" t="s">
        <v>39</v>
      </c>
      <c r="E1449" t="s">
        <v>22</v>
      </c>
      <c r="F1449" s="30">
        <v>45473</v>
      </c>
      <c r="G1449" t="s">
        <v>2508</v>
      </c>
      <c r="H1449" t="s">
        <v>4519</v>
      </c>
      <c r="I1449">
        <v>100</v>
      </c>
      <c r="J1449">
        <v>0</v>
      </c>
      <c r="DU1449">
        <v>0</v>
      </c>
      <c r="DV1449">
        <v>0</v>
      </c>
    </row>
    <row r="1450" spans="1:128" x14ac:dyDescent="0.3">
      <c r="A1450">
        <v>478</v>
      </c>
      <c r="B1450" t="s">
        <v>2507</v>
      </c>
      <c r="C1450" t="s">
        <v>1969</v>
      </c>
      <c r="D1450" t="s">
        <v>39</v>
      </c>
      <c r="E1450" t="s">
        <v>22</v>
      </c>
      <c r="F1450" s="30">
        <v>45473</v>
      </c>
      <c r="G1450" t="s">
        <v>2508</v>
      </c>
      <c r="H1450" t="s">
        <v>4520</v>
      </c>
      <c r="I1450">
        <v>100</v>
      </c>
      <c r="J1450">
        <v>0</v>
      </c>
      <c r="DU1450">
        <v>0</v>
      </c>
      <c r="DV1450">
        <v>0</v>
      </c>
    </row>
    <row r="1451" spans="1:128" x14ac:dyDescent="0.3">
      <c r="A1451">
        <v>478</v>
      </c>
      <c r="B1451" t="s">
        <v>2507</v>
      </c>
      <c r="C1451" t="s">
        <v>1969</v>
      </c>
      <c r="D1451" t="s">
        <v>39</v>
      </c>
      <c r="E1451" t="s">
        <v>22</v>
      </c>
      <c r="F1451" s="30">
        <v>45473</v>
      </c>
      <c r="G1451" t="s">
        <v>2508</v>
      </c>
      <c r="H1451" t="s">
        <v>4521</v>
      </c>
      <c r="I1451">
        <v>100</v>
      </c>
      <c r="J1451">
        <v>0</v>
      </c>
      <c r="DU1451">
        <v>0</v>
      </c>
      <c r="DV1451">
        <v>0</v>
      </c>
    </row>
    <row r="1452" spans="1:128" x14ac:dyDescent="0.3">
      <c r="A1452">
        <v>478</v>
      </c>
      <c r="B1452" t="s">
        <v>2507</v>
      </c>
      <c r="C1452" t="s">
        <v>1969</v>
      </c>
      <c r="D1452" t="s">
        <v>39</v>
      </c>
      <c r="E1452" t="s">
        <v>22</v>
      </c>
      <c r="F1452" s="30">
        <v>45473</v>
      </c>
      <c r="G1452" t="s">
        <v>2508</v>
      </c>
      <c r="H1452" t="s">
        <v>4522</v>
      </c>
      <c r="I1452">
        <v>100</v>
      </c>
      <c r="J1452">
        <v>0</v>
      </c>
      <c r="DU1452">
        <v>0</v>
      </c>
      <c r="DV1452">
        <v>0</v>
      </c>
    </row>
    <row r="1453" spans="1:128" x14ac:dyDescent="0.3">
      <c r="A1453">
        <v>478</v>
      </c>
      <c r="B1453" t="s">
        <v>2507</v>
      </c>
      <c r="C1453" t="s">
        <v>1969</v>
      </c>
      <c r="D1453" t="s">
        <v>39</v>
      </c>
      <c r="E1453" t="s">
        <v>22</v>
      </c>
      <c r="F1453" s="30">
        <v>45473</v>
      </c>
      <c r="G1453" t="s">
        <v>2508</v>
      </c>
      <c r="H1453" t="s">
        <v>4523</v>
      </c>
      <c r="I1453">
        <v>100</v>
      </c>
      <c r="J1453">
        <v>0</v>
      </c>
      <c r="DU1453">
        <v>0</v>
      </c>
      <c r="DV1453">
        <v>0</v>
      </c>
    </row>
    <row r="1454" spans="1:128" x14ac:dyDescent="0.3">
      <c r="A1454">
        <v>478</v>
      </c>
      <c r="B1454" t="s">
        <v>2507</v>
      </c>
      <c r="C1454" t="s">
        <v>1969</v>
      </c>
      <c r="D1454" t="s">
        <v>39</v>
      </c>
      <c r="E1454" t="s">
        <v>22</v>
      </c>
      <c r="F1454" s="30">
        <v>45473</v>
      </c>
      <c r="G1454" t="s">
        <v>2508</v>
      </c>
      <c r="H1454" t="s">
        <v>4524</v>
      </c>
      <c r="I1454">
        <v>100</v>
      </c>
      <c r="J1454">
        <v>0</v>
      </c>
      <c r="DU1454">
        <v>0</v>
      </c>
      <c r="DV1454">
        <v>0</v>
      </c>
    </row>
    <row r="1455" spans="1:128" x14ac:dyDescent="0.3">
      <c r="A1455">
        <v>478</v>
      </c>
      <c r="B1455" t="s">
        <v>2507</v>
      </c>
      <c r="C1455" t="s">
        <v>1969</v>
      </c>
      <c r="D1455" t="s">
        <v>39</v>
      </c>
      <c r="E1455" t="s">
        <v>22</v>
      </c>
      <c r="F1455" s="30">
        <v>45473</v>
      </c>
      <c r="G1455" t="s">
        <v>2508</v>
      </c>
      <c r="H1455" t="s">
        <v>4525</v>
      </c>
      <c r="I1455">
        <v>100</v>
      </c>
      <c r="J1455">
        <v>0</v>
      </c>
      <c r="DU1455">
        <v>0</v>
      </c>
      <c r="DV1455">
        <v>0</v>
      </c>
    </row>
    <row r="1456" spans="1:128" x14ac:dyDescent="0.3">
      <c r="A1456">
        <v>479</v>
      </c>
      <c r="B1456" t="s">
        <v>2510</v>
      </c>
      <c r="C1456" t="s">
        <v>1969</v>
      </c>
      <c r="D1456" t="s">
        <v>39</v>
      </c>
      <c r="E1456" t="s">
        <v>22</v>
      </c>
      <c r="F1456" s="30">
        <v>45473</v>
      </c>
      <c r="G1456" t="s">
        <v>2511</v>
      </c>
      <c r="H1456" t="s">
        <v>4525</v>
      </c>
      <c r="I1456">
        <v>100</v>
      </c>
      <c r="J1456">
        <v>100</v>
      </c>
      <c r="DW1456">
        <v>1</v>
      </c>
      <c r="DX1456">
        <v>1</v>
      </c>
    </row>
    <row r="1457" spans="1:52" x14ac:dyDescent="0.3">
      <c r="A1457">
        <v>213</v>
      </c>
      <c r="B1457" t="s">
        <v>757</v>
      </c>
      <c r="C1457" t="s">
        <v>251</v>
      </c>
      <c r="D1457" t="s">
        <v>21</v>
      </c>
      <c r="E1457" t="s">
        <v>22</v>
      </c>
      <c r="F1457" s="30">
        <v>45473</v>
      </c>
      <c r="G1457" t="s">
        <v>767</v>
      </c>
      <c r="H1457" t="s">
        <v>4487</v>
      </c>
      <c r="I1457">
        <v>90</v>
      </c>
      <c r="J1457">
        <v>100</v>
      </c>
      <c r="AW1457">
        <v>45</v>
      </c>
      <c r="AX1457">
        <v>45</v>
      </c>
    </row>
    <row r="1458" spans="1:52" x14ac:dyDescent="0.3">
      <c r="A1458">
        <v>213</v>
      </c>
      <c r="B1458" t="s">
        <v>757</v>
      </c>
      <c r="C1458" t="s">
        <v>251</v>
      </c>
      <c r="D1458" t="s">
        <v>21</v>
      </c>
      <c r="E1458" t="s">
        <v>22</v>
      </c>
      <c r="F1458" s="30">
        <v>45473</v>
      </c>
      <c r="G1458" t="s">
        <v>767</v>
      </c>
      <c r="H1458" t="s">
        <v>4482</v>
      </c>
      <c r="I1458">
        <v>90</v>
      </c>
      <c r="J1458">
        <v>100</v>
      </c>
      <c r="AW1458">
        <v>18</v>
      </c>
      <c r="AX1458">
        <v>18</v>
      </c>
    </row>
    <row r="1459" spans="1:52" x14ac:dyDescent="0.3">
      <c r="A1459">
        <v>213</v>
      </c>
      <c r="B1459" t="s">
        <v>757</v>
      </c>
      <c r="C1459" t="s">
        <v>251</v>
      </c>
      <c r="D1459" t="s">
        <v>21</v>
      </c>
      <c r="E1459" t="s">
        <v>22</v>
      </c>
      <c r="F1459" s="30">
        <v>45473</v>
      </c>
      <c r="G1459" t="s">
        <v>767</v>
      </c>
      <c r="H1459" t="s">
        <v>4483</v>
      </c>
      <c r="I1459">
        <v>90</v>
      </c>
      <c r="J1459">
        <v>100</v>
      </c>
      <c r="AW1459">
        <v>26</v>
      </c>
      <c r="AX1459">
        <v>26</v>
      </c>
    </row>
    <row r="1460" spans="1:52" x14ac:dyDescent="0.3">
      <c r="A1460">
        <v>213</v>
      </c>
      <c r="B1460" t="s">
        <v>757</v>
      </c>
      <c r="C1460" t="s">
        <v>251</v>
      </c>
      <c r="D1460" t="s">
        <v>21</v>
      </c>
      <c r="E1460" t="s">
        <v>22</v>
      </c>
      <c r="F1460" s="30">
        <v>45473</v>
      </c>
      <c r="G1460" t="s">
        <v>767</v>
      </c>
      <c r="H1460" t="s">
        <v>4484</v>
      </c>
      <c r="I1460">
        <v>90</v>
      </c>
      <c r="J1460">
        <v>100</v>
      </c>
      <c r="AW1460">
        <v>13</v>
      </c>
      <c r="AX1460">
        <v>13</v>
      </c>
    </row>
    <row r="1461" spans="1:52" x14ac:dyDescent="0.3">
      <c r="A1461">
        <v>213</v>
      </c>
      <c r="B1461" t="s">
        <v>757</v>
      </c>
      <c r="C1461" t="s">
        <v>251</v>
      </c>
      <c r="D1461" t="s">
        <v>21</v>
      </c>
      <c r="E1461" t="s">
        <v>22</v>
      </c>
      <c r="F1461" s="30">
        <v>45473</v>
      </c>
      <c r="G1461" t="s">
        <v>767</v>
      </c>
      <c r="H1461" t="s">
        <v>4533</v>
      </c>
      <c r="I1461">
        <v>90</v>
      </c>
      <c r="J1461">
        <v>100</v>
      </c>
      <c r="AW1461">
        <v>9</v>
      </c>
      <c r="AX1461">
        <v>9</v>
      </c>
    </row>
    <row r="1462" spans="1:52" x14ac:dyDescent="0.3">
      <c r="A1462">
        <v>213</v>
      </c>
      <c r="B1462" t="s">
        <v>757</v>
      </c>
      <c r="C1462" t="s">
        <v>251</v>
      </c>
      <c r="D1462" t="s">
        <v>21</v>
      </c>
      <c r="E1462" t="s">
        <v>22</v>
      </c>
      <c r="F1462" s="30">
        <v>45473</v>
      </c>
      <c r="G1462" t="s">
        <v>767</v>
      </c>
      <c r="H1462" t="s">
        <v>4534</v>
      </c>
      <c r="I1462">
        <v>90</v>
      </c>
      <c r="J1462">
        <v>100</v>
      </c>
      <c r="AW1462">
        <v>2</v>
      </c>
      <c r="AX1462">
        <v>2</v>
      </c>
    </row>
    <row r="1463" spans="1:52" x14ac:dyDescent="0.3">
      <c r="A1463">
        <v>213</v>
      </c>
      <c r="B1463" t="s">
        <v>757</v>
      </c>
      <c r="C1463" t="s">
        <v>251</v>
      </c>
      <c r="D1463" t="s">
        <v>21</v>
      </c>
      <c r="E1463" t="s">
        <v>22</v>
      </c>
      <c r="F1463" s="30">
        <v>45473</v>
      </c>
      <c r="G1463" t="s">
        <v>767</v>
      </c>
      <c r="H1463" t="s">
        <v>4486</v>
      </c>
      <c r="I1463">
        <v>90</v>
      </c>
      <c r="J1463">
        <v>100</v>
      </c>
      <c r="AW1463">
        <v>13</v>
      </c>
      <c r="AX1463">
        <v>13</v>
      </c>
    </row>
    <row r="1464" spans="1:52" x14ac:dyDescent="0.3">
      <c r="A1464">
        <v>213</v>
      </c>
      <c r="B1464" t="s">
        <v>757</v>
      </c>
      <c r="C1464" t="s">
        <v>251</v>
      </c>
      <c r="D1464" t="s">
        <v>21</v>
      </c>
      <c r="E1464" t="s">
        <v>22</v>
      </c>
      <c r="F1464" s="30">
        <v>45473</v>
      </c>
      <c r="G1464" t="s">
        <v>767</v>
      </c>
      <c r="H1464" t="s">
        <v>4485</v>
      </c>
      <c r="I1464">
        <v>90</v>
      </c>
      <c r="J1464">
        <v>100</v>
      </c>
      <c r="AW1464">
        <v>45</v>
      </c>
      <c r="AX1464">
        <v>45</v>
      </c>
    </row>
    <row r="1465" spans="1:52" x14ac:dyDescent="0.3">
      <c r="A1465">
        <v>238</v>
      </c>
      <c r="B1465" t="s">
        <v>1077</v>
      </c>
      <c r="C1465" t="s">
        <v>251</v>
      </c>
      <c r="D1465" t="s">
        <v>21</v>
      </c>
      <c r="E1465" t="s">
        <v>22</v>
      </c>
      <c r="F1465" s="30">
        <v>45473</v>
      </c>
      <c r="G1465" t="s">
        <v>1088</v>
      </c>
      <c r="H1465" t="s">
        <v>4488</v>
      </c>
      <c r="I1465">
        <v>90</v>
      </c>
      <c r="J1465">
        <v>100</v>
      </c>
      <c r="AY1465">
        <v>1</v>
      </c>
      <c r="AZ1465">
        <v>1</v>
      </c>
    </row>
    <row r="1466" spans="1:52" x14ac:dyDescent="0.3">
      <c r="A1466">
        <v>238</v>
      </c>
      <c r="B1466" t="s">
        <v>1077</v>
      </c>
      <c r="C1466" t="s">
        <v>251</v>
      </c>
      <c r="D1466" t="s">
        <v>21</v>
      </c>
      <c r="E1466" t="s">
        <v>22</v>
      </c>
      <c r="F1466" s="30">
        <v>45473</v>
      </c>
      <c r="G1466" t="s">
        <v>1088</v>
      </c>
      <c r="H1466" t="s">
        <v>4490</v>
      </c>
      <c r="I1466">
        <v>90</v>
      </c>
      <c r="J1466">
        <v>100</v>
      </c>
      <c r="AY1466">
        <v>5</v>
      </c>
      <c r="AZ1466">
        <v>5</v>
      </c>
    </row>
    <row r="1467" spans="1:52" x14ac:dyDescent="0.3">
      <c r="A1467">
        <v>238</v>
      </c>
      <c r="B1467" t="s">
        <v>1077</v>
      </c>
      <c r="C1467" t="s">
        <v>251</v>
      </c>
      <c r="D1467" t="s">
        <v>21</v>
      </c>
      <c r="E1467" t="s">
        <v>22</v>
      </c>
      <c r="F1467" s="30">
        <v>45473</v>
      </c>
      <c r="G1467" t="s">
        <v>1088</v>
      </c>
      <c r="H1467" t="s">
        <v>4491</v>
      </c>
      <c r="I1467">
        <v>90</v>
      </c>
      <c r="J1467">
        <v>80</v>
      </c>
      <c r="AY1467">
        <v>4</v>
      </c>
      <c r="AZ1467">
        <v>5</v>
      </c>
    </row>
    <row r="1468" spans="1:52" x14ac:dyDescent="0.3">
      <c r="A1468">
        <v>238</v>
      </c>
      <c r="B1468" t="s">
        <v>1077</v>
      </c>
      <c r="C1468" t="s">
        <v>251</v>
      </c>
      <c r="D1468" t="s">
        <v>21</v>
      </c>
      <c r="E1468" t="s">
        <v>22</v>
      </c>
      <c r="F1468" s="30">
        <v>45473</v>
      </c>
      <c r="G1468" t="s">
        <v>1088</v>
      </c>
      <c r="H1468" t="s">
        <v>4535</v>
      </c>
      <c r="I1468">
        <v>90</v>
      </c>
      <c r="J1468">
        <v>0</v>
      </c>
      <c r="AY1468">
        <v>0</v>
      </c>
      <c r="AZ1468">
        <v>0</v>
      </c>
    </row>
    <row r="1469" spans="1:52" x14ac:dyDescent="0.3">
      <c r="A1469">
        <v>238</v>
      </c>
      <c r="B1469" t="s">
        <v>1077</v>
      </c>
      <c r="C1469" t="s">
        <v>251</v>
      </c>
      <c r="D1469" t="s">
        <v>21</v>
      </c>
      <c r="E1469" t="s">
        <v>22</v>
      </c>
      <c r="F1469" s="30">
        <v>45473</v>
      </c>
      <c r="G1469" t="s">
        <v>1088</v>
      </c>
      <c r="H1469" t="s">
        <v>4536</v>
      </c>
      <c r="I1469">
        <v>90</v>
      </c>
      <c r="J1469">
        <v>0</v>
      </c>
      <c r="AY1469">
        <v>0</v>
      </c>
      <c r="AZ1469">
        <v>0</v>
      </c>
    </row>
    <row r="1470" spans="1:52" x14ac:dyDescent="0.3">
      <c r="A1470">
        <v>238</v>
      </c>
      <c r="B1470" t="s">
        <v>1077</v>
      </c>
      <c r="C1470" t="s">
        <v>251</v>
      </c>
      <c r="D1470" t="s">
        <v>21</v>
      </c>
      <c r="E1470" t="s">
        <v>22</v>
      </c>
      <c r="F1470" s="30">
        <v>45473</v>
      </c>
      <c r="G1470" t="s">
        <v>1088</v>
      </c>
      <c r="H1470" t="s">
        <v>4492</v>
      </c>
      <c r="I1470">
        <v>90</v>
      </c>
      <c r="J1470">
        <v>100</v>
      </c>
      <c r="AY1470">
        <v>3</v>
      </c>
      <c r="AZ1470">
        <v>3</v>
      </c>
    </row>
    <row r="1471" spans="1:52" x14ac:dyDescent="0.3">
      <c r="A1471">
        <v>238</v>
      </c>
      <c r="B1471" t="s">
        <v>1077</v>
      </c>
      <c r="C1471" t="s">
        <v>251</v>
      </c>
      <c r="D1471" t="s">
        <v>21</v>
      </c>
      <c r="E1471" t="s">
        <v>22</v>
      </c>
      <c r="F1471" s="30">
        <v>45473</v>
      </c>
      <c r="G1471" t="s">
        <v>1088</v>
      </c>
      <c r="H1471" t="s">
        <v>4489</v>
      </c>
      <c r="I1471">
        <v>90</v>
      </c>
      <c r="J1471">
        <v>53.849998474121087</v>
      </c>
      <c r="AY1471">
        <v>7</v>
      </c>
      <c r="AZ1471">
        <v>13</v>
      </c>
    </row>
    <row r="1472" spans="1:52" x14ac:dyDescent="0.3">
      <c r="A1472">
        <v>238</v>
      </c>
      <c r="B1472" t="s">
        <v>1077</v>
      </c>
      <c r="C1472" t="s">
        <v>251</v>
      </c>
      <c r="D1472" t="s">
        <v>21</v>
      </c>
      <c r="E1472" t="s">
        <v>22</v>
      </c>
      <c r="F1472" s="30">
        <v>45473</v>
      </c>
      <c r="G1472" t="s">
        <v>1088</v>
      </c>
      <c r="H1472" t="s">
        <v>4493</v>
      </c>
      <c r="I1472">
        <v>90</v>
      </c>
      <c r="J1472">
        <v>100</v>
      </c>
      <c r="AY1472">
        <v>5</v>
      </c>
      <c r="AZ1472">
        <v>5</v>
      </c>
    </row>
    <row r="1473" spans="1:96" x14ac:dyDescent="0.3">
      <c r="A1473">
        <v>306</v>
      </c>
      <c r="B1473" t="s">
        <v>1543</v>
      </c>
      <c r="C1473" t="s">
        <v>1241</v>
      </c>
      <c r="D1473" t="s">
        <v>21</v>
      </c>
      <c r="E1473" t="s">
        <v>22</v>
      </c>
      <c r="F1473" s="30">
        <v>45473</v>
      </c>
      <c r="G1473" t="s">
        <v>1549</v>
      </c>
      <c r="H1473" t="s">
        <v>4540</v>
      </c>
      <c r="I1473">
        <v>100</v>
      </c>
      <c r="J1473">
        <v>103</v>
      </c>
      <c r="BY1473">
        <v>103</v>
      </c>
    </row>
    <row r="1474" spans="1:96" x14ac:dyDescent="0.3">
      <c r="A1474">
        <v>373</v>
      </c>
      <c r="B1474" t="s">
        <v>1856</v>
      </c>
      <c r="C1474" t="s">
        <v>1263</v>
      </c>
      <c r="D1474" t="s">
        <v>21</v>
      </c>
      <c r="E1474" t="s">
        <v>22</v>
      </c>
      <c r="F1474" s="30">
        <v>45473</v>
      </c>
      <c r="G1474" t="s">
        <v>1862</v>
      </c>
      <c r="H1474" t="s">
        <v>4537</v>
      </c>
      <c r="I1474">
        <v>100</v>
      </c>
      <c r="J1474">
        <v>101.61000061035161</v>
      </c>
      <c r="BZ1474">
        <v>63</v>
      </c>
      <c r="CA1474">
        <v>62</v>
      </c>
    </row>
    <row r="1475" spans="1:96" x14ac:dyDescent="0.3">
      <c r="A1475">
        <v>390</v>
      </c>
      <c r="B1475" t="s">
        <v>1970</v>
      </c>
      <c r="C1475" t="s">
        <v>1263</v>
      </c>
      <c r="D1475" t="s">
        <v>21</v>
      </c>
      <c r="E1475" t="s">
        <v>22</v>
      </c>
      <c r="F1475" s="30">
        <v>45473</v>
      </c>
      <c r="G1475" t="s">
        <v>1976</v>
      </c>
      <c r="H1475" t="s">
        <v>4525</v>
      </c>
      <c r="I1475">
        <v>100</v>
      </c>
      <c r="J1475">
        <v>121.40000152587891</v>
      </c>
      <c r="CB1475">
        <v>44.65</v>
      </c>
      <c r="CC1475">
        <v>36.78</v>
      </c>
    </row>
    <row r="1476" spans="1:96" x14ac:dyDescent="0.3">
      <c r="A1476">
        <v>409</v>
      </c>
      <c r="B1476" t="s">
        <v>2081</v>
      </c>
      <c r="C1476" t="s">
        <v>1303</v>
      </c>
      <c r="D1476" t="s">
        <v>21</v>
      </c>
      <c r="E1476" t="s">
        <v>22</v>
      </c>
      <c r="F1476" s="30">
        <v>45473</v>
      </c>
      <c r="G1476" t="s">
        <v>2087</v>
      </c>
      <c r="H1476" t="s">
        <v>4581</v>
      </c>
      <c r="I1476">
        <v>95</v>
      </c>
      <c r="J1476">
        <v>97.089996337890625</v>
      </c>
      <c r="CQ1476">
        <v>267</v>
      </c>
      <c r="CR1476">
        <v>275</v>
      </c>
    </row>
    <row r="1477" spans="1:96" x14ac:dyDescent="0.3">
      <c r="A1477">
        <v>409</v>
      </c>
      <c r="B1477" t="s">
        <v>2081</v>
      </c>
      <c r="C1477" t="s">
        <v>1303</v>
      </c>
      <c r="D1477" t="s">
        <v>21</v>
      </c>
      <c r="E1477" t="s">
        <v>22</v>
      </c>
      <c r="F1477" s="30">
        <v>45473</v>
      </c>
      <c r="G1477" t="s">
        <v>2087</v>
      </c>
      <c r="H1477" t="s">
        <v>4582</v>
      </c>
      <c r="I1477">
        <v>95</v>
      </c>
      <c r="J1477">
        <v>100</v>
      </c>
      <c r="CQ1477">
        <v>257</v>
      </c>
      <c r="CR1477">
        <v>257</v>
      </c>
    </row>
    <row r="1478" spans="1:96" x14ac:dyDescent="0.3">
      <c r="A1478">
        <v>414</v>
      </c>
      <c r="B1478" t="s">
        <v>2103</v>
      </c>
      <c r="C1478" t="s">
        <v>1263</v>
      </c>
      <c r="D1478" t="s">
        <v>21</v>
      </c>
      <c r="E1478" t="s">
        <v>22</v>
      </c>
      <c r="F1478" s="30">
        <v>45473</v>
      </c>
      <c r="G1478" t="s">
        <v>2109</v>
      </c>
      <c r="H1478" t="s">
        <v>4546</v>
      </c>
      <c r="I1478">
        <v>100</v>
      </c>
      <c r="J1478">
        <v>97.80999755859375</v>
      </c>
      <c r="CD1478">
        <v>80</v>
      </c>
      <c r="CE1478">
        <v>81.790000000000006</v>
      </c>
    </row>
    <row r="1479" spans="1:96" x14ac:dyDescent="0.3">
      <c r="A1479">
        <v>414</v>
      </c>
      <c r="B1479" t="s">
        <v>2103</v>
      </c>
      <c r="C1479" t="s">
        <v>1263</v>
      </c>
      <c r="D1479" t="s">
        <v>21</v>
      </c>
      <c r="E1479" t="s">
        <v>22</v>
      </c>
      <c r="F1479" s="30">
        <v>45473</v>
      </c>
      <c r="G1479" t="s">
        <v>2109</v>
      </c>
      <c r="H1479" t="s">
        <v>4543</v>
      </c>
      <c r="I1479">
        <v>100</v>
      </c>
      <c r="J1479">
        <v>103.7799987792969</v>
      </c>
      <c r="CD1479">
        <v>42.33</v>
      </c>
      <c r="CE1479">
        <v>40.79</v>
      </c>
    </row>
    <row r="1480" spans="1:96" x14ac:dyDescent="0.3">
      <c r="A1480">
        <v>414</v>
      </c>
      <c r="B1480" t="s">
        <v>2103</v>
      </c>
      <c r="C1480" t="s">
        <v>1263</v>
      </c>
      <c r="D1480" t="s">
        <v>21</v>
      </c>
      <c r="E1480" t="s">
        <v>22</v>
      </c>
      <c r="F1480" s="30">
        <v>45473</v>
      </c>
      <c r="G1480" t="s">
        <v>2109</v>
      </c>
      <c r="H1480" t="s">
        <v>4549</v>
      </c>
      <c r="I1480">
        <v>100</v>
      </c>
      <c r="J1480">
        <v>95.269996643066406</v>
      </c>
      <c r="CD1480">
        <v>62.83</v>
      </c>
      <c r="CE1480">
        <v>65.95</v>
      </c>
    </row>
    <row r="1481" spans="1:96" x14ac:dyDescent="0.3">
      <c r="A1481">
        <v>414</v>
      </c>
      <c r="B1481" t="s">
        <v>2103</v>
      </c>
      <c r="C1481" t="s">
        <v>1263</v>
      </c>
      <c r="D1481" t="s">
        <v>21</v>
      </c>
      <c r="E1481" t="s">
        <v>22</v>
      </c>
      <c r="F1481" s="30">
        <v>45473</v>
      </c>
      <c r="G1481" t="s">
        <v>2109</v>
      </c>
      <c r="H1481" t="s">
        <v>4550</v>
      </c>
      <c r="I1481">
        <v>100</v>
      </c>
      <c r="J1481">
        <v>107.9700012207031</v>
      </c>
      <c r="CD1481">
        <v>85.57</v>
      </c>
      <c r="CE1481">
        <v>79.25</v>
      </c>
    </row>
    <row r="1482" spans="1:96" x14ac:dyDescent="0.3">
      <c r="A1482">
        <v>414</v>
      </c>
      <c r="B1482" t="s">
        <v>2103</v>
      </c>
      <c r="C1482" t="s">
        <v>1263</v>
      </c>
      <c r="D1482" t="s">
        <v>21</v>
      </c>
      <c r="E1482" t="s">
        <v>22</v>
      </c>
      <c r="F1482" s="30">
        <v>45473</v>
      </c>
      <c r="G1482" t="s">
        <v>2109</v>
      </c>
      <c r="H1482" t="s">
        <v>4547</v>
      </c>
      <c r="I1482">
        <v>100</v>
      </c>
      <c r="J1482">
        <v>99.699996948242188</v>
      </c>
      <c r="CD1482">
        <v>65.63</v>
      </c>
      <c r="CE1482">
        <v>65.83</v>
      </c>
    </row>
    <row r="1483" spans="1:96" x14ac:dyDescent="0.3">
      <c r="A1483">
        <v>414</v>
      </c>
      <c r="B1483" t="s">
        <v>2103</v>
      </c>
      <c r="C1483" t="s">
        <v>1263</v>
      </c>
      <c r="D1483" t="s">
        <v>21</v>
      </c>
      <c r="E1483" t="s">
        <v>22</v>
      </c>
      <c r="F1483" s="30">
        <v>45473</v>
      </c>
      <c r="G1483" t="s">
        <v>2109</v>
      </c>
      <c r="H1483" t="s">
        <v>4544</v>
      </c>
      <c r="I1483">
        <v>100</v>
      </c>
      <c r="J1483">
        <v>95.400001525878906</v>
      </c>
      <c r="CD1483">
        <v>88</v>
      </c>
      <c r="CE1483">
        <v>92.24</v>
      </c>
    </row>
    <row r="1484" spans="1:96" x14ac:dyDescent="0.3">
      <c r="A1484">
        <v>414</v>
      </c>
      <c r="B1484" t="s">
        <v>2103</v>
      </c>
      <c r="C1484" t="s">
        <v>1263</v>
      </c>
      <c r="D1484" t="s">
        <v>21</v>
      </c>
      <c r="E1484" t="s">
        <v>22</v>
      </c>
      <c r="F1484" s="30">
        <v>45473</v>
      </c>
      <c r="G1484" t="s">
        <v>2109</v>
      </c>
      <c r="H1484" t="s">
        <v>4545</v>
      </c>
      <c r="I1484">
        <v>100</v>
      </c>
      <c r="J1484">
        <v>93.25</v>
      </c>
      <c r="CD1484">
        <v>48.34</v>
      </c>
      <c r="CE1484">
        <v>51.84</v>
      </c>
    </row>
    <row r="1485" spans="1:96" x14ac:dyDescent="0.3">
      <c r="A1485">
        <v>414</v>
      </c>
      <c r="B1485" t="s">
        <v>2103</v>
      </c>
      <c r="C1485" t="s">
        <v>1263</v>
      </c>
      <c r="D1485" t="s">
        <v>21</v>
      </c>
      <c r="E1485" t="s">
        <v>22</v>
      </c>
      <c r="F1485" s="30">
        <v>45473</v>
      </c>
      <c r="G1485" t="s">
        <v>2109</v>
      </c>
      <c r="H1485" t="s">
        <v>4548</v>
      </c>
      <c r="I1485">
        <v>100</v>
      </c>
      <c r="J1485">
        <v>121.1699981689453</v>
      </c>
      <c r="CD1485">
        <v>62.5</v>
      </c>
      <c r="CE1485">
        <v>51.58</v>
      </c>
    </row>
    <row r="1486" spans="1:96" x14ac:dyDescent="0.3">
      <c r="A1486">
        <v>414</v>
      </c>
      <c r="B1486" t="s">
        <v>2103</v>
      </c>
      <c r="C1486" t="s">
        <v>1263</v>
      </c>
      <c r="D1486" t="s">
        <v>21</v>
      </c>
      <c r="E1486" t="s">
        <v>22</v>
      </c>
      <c r="F1486" s="30">
        <v>45473</v>
      </c>
      <c r="G1486" t="s">
        <v>2109</v>
      </c>
      <c r="H1486" t="s">
        <v>4597</v>
      </c>
      <c r="I1486">
        <v>100</v>
      </c>
      <c r="J1486">
        <v>86.220001220703125</v>
      </c>
      <c r="CD1486">
        <v>45</v>
      </c>
      <c r="CE1486">
        <v>52.19</v>
      </c>
    </row>
    <row r="1487" spans="1:96" x14ac:dyDescent="0.3">
      <c r="A1487">
        <v>415</v>
      </c>
      <c r="B1487" t="s">
        <v>2116</v>
      </c>
      <c r="C1487" t="s">
        <v>1263</v>
      </c>
      <c r="D1487" t="s">
        <v>21</v>
      </c>
      <c r="E1487" t="s">
        <v>22</v>
      </c>
      <c r="F1487" s="30">
        <v>45473</v>
      </c>
      <c r="G1487" t="s">
        <v>2122</v>
      </c>
      <c r="H1487" t="s">
        <v>4600</v>
      </c>
      <c r="I1487">
        <v>100</v>
      </c>
      <c r="J1487">
        <v>90.419998168945313</v>
      </c>
      <c r="CF1487">
        <v>48.5</v>
      </c>
      <c r="CG1487">
        <v>53.64</v>
      </c>
    </row>
    <row r="1488" spans="1:96" x14ac:dyDescent="0.3">
      <c r="A1488">
        <v>415</v>
      </c>
      <c r="B1488" t="s">
        <v>2116</v>
      </c>
      <c r="C1488" t="s">
        <v>1263</v>
      </c>
      <c r="D1488" t="s">
        <v>21</v>
      </c>
      <c r="E1488" t="s">
        <v>22</v>
      </c>
      <c r="F1488" s="30">
        <v>45473</v>
      </c>
      <c r="G1488" t="s">
        <v>2122</v>
      </c>
      <c r="H1488" t="s">
        <v>4554</v>
      </c>
      <c r="I1488">
        <v>100</v>
      </c>
      <c r="J1488">
        <v>74.569999694824219</v>
      </c>
      <c r="CF1488">
        <v>40</v>
      </c>
      <c r="CG1488">
        <v>53.64</v>
      </c>
    </row>
    <row r="1489" spans="1:87" x14ac:dyDescent="0.3">
      <c r="A1489">
        <v>415</v>
      </c>
      <c r="B1489" t="s">
        <v>2116</v>
      </c>
      <c r="C1489" t="s">
        <v>1263</v>
      </c>
      <c r="D1489" t="s">
        <v>21</v>
      </c>
      <c r="E1489" t="s">
        <v>22</v>
      </c>
      <c r="F1489" s="30">
        <v>45473</v>
      </c>
      <c r="G1489" t="s">
        <v>2122</v>
      </c>
      <c r="H1489" t="s">
        <v>4551</v>
      </c>
      <c r="I1489">
        <v>100</v>
      </c>
      <c r="J1489">
        <v>83.459999084472656</v>
      </c>
      <c r="CF1489">
        <v>65.67</v>
      </c>
      <c r="CG1489">
        <v>78.680000000000007</v>
      </c>
    </row>
    <row r="1490" spans="1:87" x14ac:dyDescent="0.3">
      <c r="A1490">
        <v>415</v>
      </c>
      <c r="B1490" t="s">
        <v>2116</v>
      </c>
      <c r="C1490" t="s">
        <v>1263</v>
      </c>
      <c r="D1490" t="s">
        <v>21</v>
      </c>
      <c r="E1490" t="s">
        <v>22</v>
      </c>
      <c r="F1490" s="30">
        <v>45473</v>
      </c>
      <c r="G1490" t="s">
        <v>2122</v>
      </c>
      <c r="H1490" t="s">
        <v>4555</v>
      </c>
      <c r="I1490">
        <v>100</v>
      </c>
      <c r="J1490">
        <v>121.8300018310547</v>
      </c>
      <c r="CF1490">
        <v>43.92</v>
      </c>
      <c r="CG1490">
        <v>36.049999999999997</v>
      </c>
    </row>
    <row r="1491" spans="1:87" x14ac:dyDescent="0.3">
      <c r="A1491">
        <v>415</v>
      </c>
      <c r="B1491" t="s">
        <v>2116</v>
      </c>
      <c r="C1491" t="s">
        <v>1263</v>
      </c>
      <c r="D1491" t="s">
        <v>21</v>
      </c>
      <c r="E1491" t="s">
        <v>22</v>
      </c>
      <c r="F1491" s="30">
        <v>45473</v>
      </c>
      <c r="G1491" t="s">
        <v>2122</v>
      </c>
      <c r="H1491" t="s">
        <v>4552</v>
      </c>
      <c r="I1491">
        <v>100</v>
      </c>
      <c r="J1491">
        <v>85.879997253417969</v>
      </c>
      <c r="CF1491">
        <v>68.599999999999994</v>
      </c>
      <c r="CG1491">
        <v>79.88</v>
      </c>
    </row>
    <row r="1492" spans="1:87" x14ac:dyDescent="0.3">
      <c r="A1492">
        <v>415</v>
      </c>
      <c r="B1492" t="s">
        <v>2116</v>
      </c>
      <c r="C1492" t="s">
        <v>1263</v>
      </c>
      <c r="D1492" t="s">
        <v>21</v>
      </c>
      <c r="E1492" t="s">
        <v>22</v>
      </c>
      <c r="F1492" s="30">
        <v>45473</v>
      </c>
      <c r="G1492" t="s">
        <v>2122</v>
      </c>
      <c r="H1492" t="s">
        <v>4592</v>
      </c>
      <c r="I1492">
        <v>100</v>
      </c>
      <c r="J1492">
        <v>123.0899963378906</v>
      </c>
      <c r="CF1492">
        <v>57.83</v>
      </c>
      <c r="CG1492">
        <v>46.98</v>
      </c>
    </row>
    <row r="1493" spans="1:87" x14ac:dyDescent="0.3">
      <c r="A1493">
        <v>415</v>
      </c>
      <c r="B1493" t="s">
        <v>2116</v>
      </c>
      <c r="C1493" t="s">
        <v>1263</v>
      </c>
      <c r="D1493" t="s">
        <v>21</v>
      </c>
      <c r="E1493" t="s">
        <v>22</v>
      </c>
      <c r="F1493" s="30">
        <v>45473</v>
      </c>
      <c r="G1493" t="s">
        <v>2122</v>
      </c>
      <c r="H1493" t="s">
        <v>4601</v>
      </c>
      <c r="I1493">
        <v>100</v>
      </c>
      <c r="J1493">
        <v>97</v>
      </c>
      <c r="CF1493">
        <v>97</v>
      </c>
      <c r="CG1493">
        <v>100</v>
      </c>
    </row>
    <row r="1494" spans="1:87" x14ac:dyDescent="0.3">
      <c r="A1494">
        <v>415</v>
      </c>
      <c r="B1494" t="s">
        <v>2116</v>
      </c>
      <c r="C1494" t="s">
        <v>1263</v>
      </c>
      <c r="D1494" t="s">
        <v>21</v>
      </c>
      <c r="E1494" t="s">
        <v>22</v>
      </c>
      <c r="F1494" s="30">
        <v>45473</v>
      </c>
      <c r="G1494" t="s">
        <v>2122</v>
      </c>
      <c r="H1494" t="s">
        <v>4556</v>
      </c>
      <c r="I1494">
        <v>100</v>
      </c>
      <c r="J1494">
        <v>106.6800003051758</v>
      </c>
      <c r="CF1494">
        <v>86.67</v>
      </c>
      <c r="CG1494">
        <v>81.239999999999995</v>
      </c>
    </row>
    <row r="1495" spans="1:87" x14ac:dyDescent="0.3">
      <c r="A1495">
        <v>415</v>
      </c>
      <c r="B1495" t="s">
        <v>2116</v>
      </c>
      <c r="C1495" t="s">
        <v>1263</v>
      </c>
      <c r="D1495" t="s">
        <v>21</v>
      </c>
      <c r="E1495" t="s">
        <v>22</v>
      </c>
      <c r="F1495" s="30">
        <v>45473</v>
      </c>
      <c r="G1495" t="s">
        <v>2122</v>
      </c>
      <c r="H1495" t="s">
        <v>4557</v>
      </c>
      <c r="I1495">
        <v>100</v>
      </c>
      <c r="J1495">
        <v>73.290000915527344</v>
      </c>
      <c r="CF1495">
        <v>52.22</v>
      </c>
      <c r="CG1495">
        <v>71.25</v>
      </c>
    </row>
    <row r="1496" spans="1:87" x14ac:dyDescent="0.3">
      <c r="A1496">
        <v>415</v>
      </c>
      <c r="B1496" t="s">
        <v>2116</v>
      </c>
      <c r="C1496" t="s">
        <v>1263</v>
      </c>
      <c r="D1496" t="s">
        <v>21</v>
      </c>
      <c r="E1496" t="s">
        <v>22</v>
      </c>
      <c r="F1496" s="30">
        <v>45473</v>
      </c>
      <c r="G1496" t="s">
        <v>2122</v>
      </c>
      <c r="H1496" t="s">
        <v>4598</v>
      </c>
      <c r="I1496">
        <v>100</v>
      </c>
      <c r="J1496">
        <v>84.720001220703125</v>
      </c>
      <c r="CF1496">
        <v>54.67</v>
      </c>
      <c r="CG1496">
        <v>64.53</v>
      </c>
    </row>
    <row r="1497" spans="1:87" x14ac:dyDescent="0.3">
      <c r="A1497">
        <v>415</v>
      </c>
      <c r="B1497" t="s">
        <v>2116</v>
      </c>
      <c r="C1497" t="s">
        <v>1263</v>
      </c>
      <c r="D1497" t="s">
        <v>21</v>
      </c>
      <c r="E1497" t="s">
        <v>22</v>
      </c>
      <c r="F1497" s="30">
        <v>45473</v>
      </c>
      <c r="G1497" t="s">
        <v>2122</v>
      </c>
      <c r="H1497" t="s">
        <v>4599</v>
      </c>
      <c r="I1497">
        <v>100</v>
      </c>
      <c r="J1497">
        <v>88.269996643066406</v>
      </c>
      <c r="CF1497">
        <v>77.5</v>
      </c>
      <c r="CG1497">
        <v>87.8</v>
      </c>
    </row>
    <row r="1498" spans="1:87" x14ac:dyDescent="0.3">
      <c r="A1498">
        <v>415</v>
      </c>
      <c r="B1498" t="s">
        <v>2116</v>
      </c>
      <c r="C1498" t="s">
        <v>1263</v>
      </c>
      <c r="D1498" t="s">
        <v>21</v>
      </c>
      <c r="E1498" t="s">
        <v>22</v>
      </c>
      <c r="F1498" s="30">
        <v>45473</v>
      </c>
      <c r="G1498" t="s">
        <v>2122</v>
      </c>
      <c r="H1498" t="s">
        <v>4603</v>
      </c>
      <c r="I1498">
        <v>100</v>
      </c>
      <c r="J1498">
        <v>95.25</v>
      </c>
      <c r="CF1498">
        <v>26.66</v>
      </c>
      <c r="CG1498">
        <v>27.99</v>
      </c>
    </row>
    <row r="1499" spans="1:87" x14ac:dyDescent="0.3">
      <c r="A1499">
        <v>415</v>
      </c>
      <c r="B1499" t="s">
        <v>2116</v>
      </c>
      <c r="C1499" t="s">
        <v>1263</v>
      </c>
      <c r="D1499" t="s">
        <v>21</v>
      </c>
      <c r="E1499" t="s">
        <v>22</v>
      </c>
      <c r="F1499" s="30">
        <v>45473</v>
      </c>
      <c r="G1499" t="s">
        <v>2122</v>
      </c>
      <c r="H1499" t="s">
        <v>4602</v>
      </c>
      <c r="I1499">
        <v>100</v>
      </c>
      <c r="J1499">
        <v>85</v>
      </c>
      <c r="CF1499">
        <v>85</v>
      </c>
      <c r="CG1499">
        <v>100</v>
      </c>
    </row>
    <row r="1500" spans="1:87" x14ac:dyDescent="0.3">
      <c r="A1500">
        <v>416</v>
      </c>
      <c r="B1500" t="s">
        <v>2129</v>
      </c>
      <c r="C1500" t="s">
        <v>1263</v>
      </c>
      <c r="D1500" t="s">
        <v>21</v>
      </c>
      <c r="E1500" t="s">
        <v>22</v>
      </c>
      <c r="F1500" s="30">
        <v>45473</v>
      </c>
      <c r="G1500" t="s">
        <v>2135</v>
      </c>
      <c r="H1500" t="s">
        <v>4604</v>
      </c>
      <c r="I1500">
        <v>100</v>
      </c>
      <c r="J1500">
        <v>107.1600036621094</v>
      </c>
      <c r="CH1500">
        <v>61.67</v>
      </c>
      <c r="CI1500">
        <v>57.55</v>
      </c>
    </row>
    <row r="1501" spans="1:87" x14ac:dyDescent="0.3">
      <c r="A1501">
        <v>416</v>
      </c>
      <c r="B1501" t="s">
        <v>2129</v>
      </c>
      <c r="C1501" t="s">
        <v>1263</v>
      </c>
      <c r="D1501" t="s">
        <v>21</v>
      </c>
      <c r="E1501" t="s">
        <v>22</v>
      </c>
      <c r="F1501" s="30">
        <v>45473</v>
      </c>
      <c r="G1501" t="s">
        <v>2135</v>
      </c>
      <c r="H1501" t="s">
        <v>4606</v>
      </c>
      <c r="I1501">
        <v>100</v>
      </c>
      <c r="J1501">
        <v>101.870002746582</v>
      </c>
      <c r="CH1501">
        <v>60</v>
      </c>
      <c r="CI1501">
        <v>58.9</v>
      </c>
    </row>
    <row r="1502" spans="1:87" x14ac:dyDescent="0.3">
      <c r="A1502">
        <v>416</v>
      </c>
      <c r="B1502" t="s">
        <v>2129</v>
      </c>
      <c r="C1502" t="s">
        <v>1263</v>
      </c>
      <c r="D1502" t="s">
        <v>21</v>
      </c>
      <c r="E1502" t="s">
        <v>22</v>
      </c>
      <c r="F1502" s="30">
        <v>45473</v>
      </c>
      <c r="G1502" t="s">
        <v>2135</v>
      </c>
      <c r="H1502" t="s">
        <v>4558</v>
      </c>
      <c r="I1502">
        <v>100</v>
      </c>
      <c r="J1502">
        <v>100.84999847412109</v>
      </c>
      <c r="CH1502">
        <v>61.45</v>
      </c>
      <c r="CI1502">
        <v>60.93</v>
      </c>
    </row>
    <row r="1503" spans="1:87" x14ac:dyDescent="0.3">
      <c r="A1503">
        <v>416</v>
      </c>
      <c r="B1503" t="s">
        <v>2129</v>
      </c>
      <c r="C1503" t="s">
        <v>1263</v>
      </c>
      <c r="D1503" t="s">
        <v>21</v>
      </c>
      <c r="E1503" t="s">
        <v>22</v>
      </c>
      <c r="F1503" s="30">
        <v>45473</v>
      </c>
      <c r="G1503" t="s">
        <v>2135</v>
      </c>
      <c r="H1503" t="s">
        <v>4559</v>
      </c>
      <c r="I1503">
        <v>100</v>
      </c>
      <c r="J1503">
        <v>97.160003662109375</v>
      </c>
      <c r="CH1503">
        <v>41.67</v>
      </c>
      <c r="CI1503">
        <v>42.89</v>
      </c>
    </row>
    <row r="1504" spans="1:87" x14ac:dyDescent="0.3">
      <c r="A1504">
        <v>416</v>
      </c>
      <c r="B1504" t="s">
        <v>2129</v>
      </c>
      <c r="C1504" t="s">
        <v>1263</v>
      </c>
      <c r="D1504" t="s">
        <v>21</v>
      </c>
      <c r="E1504" t="s">
        <v>22</v>
      </c>
      <c r="F1504" s="30">
        <v>45473</v>
      </c>
      <c r="G1504" t="s">
        <v>2135</v>
      </c>
      <c r="H1504" t="s">
        <v>4607</v>
      </c>
      <c r="I1504">
        <v>100</v>
      </c>
      <c r="J1504">
        <v>96.470001220703125</v>
      </c>
      <c r="CH1504">
        <v>35</v>
      </c>
      <c r="CI1504">
        <v>36.28</v>
      </c>
    </row>
    <row r="1505" spans="1:91" x14ac:dyDescent="0.3">
      <c r="A1505">
        <v>416</v>
      </c>
      <c r="B1505" t="s">
        <v>2129</v>
      </c>
      <c r="C1505" t="s">
        <v>1263</v>
      </c>
      <c r="D1505" t="s">
        <v>21</v>
      </c>
      <c r="E1505" t="s">
        <v>22</v>
      </c>
      <c r="F1505" s="30">
        <v>45473</v>
      </c>
      <c r="G1505" t="s">
        <v>2135</v>
      </c>
      <c r="H1505" t="s">
        <v>4605</v>
      </c>
      <c r="I1505">
        <v>100</v>
      </c>
      <c r="J1505">
        <v>213.52000427246091</v>
      </c>
      <c r="CH1505">
        <v>90</v>
      </c>
      <c r="CI1505">
        <v>42.15</v>
      </c>
    </row>
    <row r="1506" spans="1:91" x14ac:dyDescent="0.3">
      <c r="A1506">
        <v>417</v>
      </c>
      <c r="B1506" t="s">
        <v>2142</v>
      </c>
      <c r="C1506" t="s">
        <v>1263</v>
      </c>
      <c r="D1506" t="s">
        <v>21</v>
      </c>
      <c r="E1506" t="s">
        <v>22</v>
      </c>
      <c r="F1506" s="30">
        <v>45473</v>
      </c>
      <c r="G1506" t="s">
        <v>2148</v>
      </c>
      <c r="H1506" t="s">
        <v>4565</v>
      </c>
      <c r="I1506">
        <v>100</v>
      </c>
      <c r="J1506">
        <v>100</v>
      </c>
      <c r="CJ1506">
        <v>48.75</v>
      </c>
      <c r="CK1506">
        <v>48.75</v>
      </c>
    </row>
    <row r="1507" spans="1:91" x14ac:dyDescent="0.3">
      <c r="A1507">
        <v>417</v>
      </c>
      <c r="B1507" t="s">
        <v>2142</v>
      </c>
      <c r="C1507" t="s">
        <v>1263</v>
      </c>
      <c r="D1507" t="s">
        <v>21</v>
      </c>
      <c r="E1507" t="s">
        <v>22</v>
      </c>
      <c r="F1507" s="30">
        <v>45473</v>
      </c>
      <c r="G1507" t="s">
        <v>2148</v>
      </c>
      <c r="H1507" t="s">
        <v>4564</v>
      </c>
      <c r="I1507">
        <v>100</v>
      </c>
      <c r="J1507">
        <v>109.30999755859381</v>
      </c>
      <c r="CJ1507">
        <v>43.31</v>
      </c>
      <c r="CK1507">
        <v>39.619999999999997</v>
      </c>
    </row>
    <row r="1508" spans="1:91" x14ac:dyDescent="0.3">
      <c r="A1508">
        <v>417</v>
      </c>
      <c r="B1508" t="s">
        <v>2142</v>
      </c>
      <c r="C1508" t="s">
        <v>1263</v>
      </c>
      <c r="D1508" t="s">
        <v>21</v>
      </c>
      <c r="E1508" t="s">
        <v>22</v>
      </c>
      <c r="F1508" s="30">
        <v>45473</v>
      </c>
      <c r="G1508" t="s">
        <v>2148</v>
      </c>
      <c r="H1508" t="s">
        <v>4563</v>
      </c>
      <c r="I1508">
        <v>100</v>
      </c>
      <c r="J1508">
        <v>104.3000030517578</v>
      </c>
      <c r="CJ1508">
        <v>49.23</v>
      </c>
      <c r="CK1508">
        <v>47.2</v>
      </c>
    </row>
    <row r="1509" spans="1:91" x14ac:dyDescent="0.3">
      <c r="A1509">
        <v>417</v>
      </c>
      <c r="B1509" t="s">
        <v>2142</v>
      </c>
      <c r="C1509" t="s">
        <v>1263</v>
      </c>
      <c r="D1509" t="s">
        <v>21</v>
      </c>
      <c r="E1509" t="s">
        <v>22</v>
      </c>
      <c r="F1509" s="30">
        <v>45473</v>
      </c>
      <c r="G1509" t="s">
        <v>2148</v>
      </c>
      <c r="H1509" t="s">
        <v>4562</v>
      </c>
      <c r="I1509">
        <v>100</v>
      </c>
      <c r="J1509">
        <v>141.27000427246091</v>
      </c>
      <c r="CJ1509">
        <v>52.24</v>
      </c>
      <c r="CK1509">
        <v>36.979999999999997</v>
      </c>
    </row>
    <row r="1510" spans="1:91" x14ac:dyDescent="0.3">
      <c r="A1510">
        <v>417</v>
      </c>
      <c r="B1510" t="s">
        <v>2142</v>
      </c>
      <c r="C1510" t="s">
        <v>1263</v>
      </c>
      <c r="D1510" t="s">
        <v>21</v>
      </c>
      <c r="E1510" t="s">
        <v>22</v>
      </c>
      <c r="F1510" s="30">
        <v>45473</v>
      </c>
      <c r="G1510" t="s">
        <v>2148</v>
      </c>
      <c r="H1510" t="s">
        <v>4561</v>
      </c>
      <c r="I1510">
        <v>100</v>
      </c>
      <c r="J1510">
        <v>118.6699981689453</v>
      </c>
      <c r="CJ1510">
        <v>83.25</v>
      </c>
      <c r="CK1510">
        <v>70.150000000000006</v>
      </c>
    </row>
    <row r="1511" spans="1:91" x14ac:dyDescent="0.3">
      <c r="A1511">
        <v>417</v>
      </c>
      <c r="B1511" t="s">
        <v>2142</v>
      </c>
      <c r="C1511" t="s">
        <v>1263</v>
      </c>
      <c r="D1511" t="s">
        <v>21</v>
      </c>
      <c r="E1511" t="s">
        <v>22</v>
      </c>
      <c r="F1511" s="30">
        <v>45473</v>
      </c>
      <c r="G1511" t="s">
        <v>2148</v>
      </c>
      <c r="H1511" t="s">
        <v>4560</v>
      </c>
      <c r="I1511">
        <v>100</v>
      </c>
      <c r="J1511">
        <v>99.139999389648438</v>
      </c>
      <c r="CJ1511">
        <v>58.73</v>
      </c>
      <c r="CK1511">
        <v>59.24</v>
      </c>
    </row>
    <row r="1512" spans="1:91" x14ac:dyDescent="0.3">
      <c r="A1512">
        <v>418</v>
      </c>
      <c r="B1512" t="s">
        <v>2155</v>
      </c>
      <c r="C1512" t="s">
        <v>1263</v>
      </c>
      <c r="D1512" t="s">
        <v>21</v>
      </c>
      <c r="E1512" t="s">
        <v>22</v>
      </c>
      <c r="F1512" s="30">
        <v>45473</v>
      </c>
      <c r="G1512" t="s">
        <v>2161</v>
      </c>
      <c r="H1512" t="s">
        <v>4573</v>
      </c>
      <c r="I1512">
        <v>100</v>
      </c>
      <c r="J1512">
        <v>109.4599990844727</v>
      </c>
      <c r="CL1512">
        <v>65.25</v>
      </c>
      <c r="CM1512">
        <v>59.61</v>
      </c>
    </row>
    <row r="1513" spans="1:91" x14ac:dyDescent="0.3">
      <c r="A1513">
        <v>418</v>
      </c>
      <c r="B1513" t="s">
        <v>2155</v>
      </c>
      <c r="C1513" t="s">
        <v>1263</v>
      </c>
      <c r="D1513" t="s">
        <v>21</v>
      </c>
      <c r="E1513" t="s">
        <v>22</v>
      </c>
      <c r="F1513" s="30">
        <v>45473</v>
      </c>
      <c r="G1513" t="s">
        <v>2161</v>
      </c>
      <c r="H1513" t="s">
        <v>4570</v>
      </c>
      <c r="I1513">
        <v>100</v>
      </c>
      <c r="J1513">
        <v>86.419998168945313</v>
      </c>
      <c r="CL1513">
        <v>65.5</v>
      </c>
      <c r="CM1513">
        <v>75.790000000000006</v>
      </c>
    </row>
    <row r="1514" spans="1:91" x14ac:dyDescent="0.3">
      <c r="A1514">
        <v>418</v>
      </c>
      <c r="B1514" t="s">
        <v>2155</v>
      </c>
      <c r="C1514" t="s">
        <v>1263</v>
      </c>
      <c r="D1514" t="s">
        <v>21</v>
      </c>
      <c r="E1514" t="s">
        <v>22</v>
      </c>
      <c r="F1514" s="30">
        <v>45473</v>
      </c>
      <c r="G1514" t="s">
        <v>2161</v>
      </c>
      <c r="H1514" t="s">
        <v>4566</v>
      </c>
      <c r="I1514">
        <v>100</v>
      </c>
      <c r="J1514">
        <v>135.49000549316409</v>
      </c>
      <c r="CL1514">
        <v>67.12</v>
      </c>
      <c r="CM1514">
        <v>49.54</v>
      </c>
    </row>
    <row r="1515" spans="1:91" x14ac:dyDescent="0.3">
      <c r="A1515">
        <v>418</v>
      </c>
      <c r="B1515" t="s">
        <v>2155</v>
      </c>
      <c r="C1515" t="s">
        <v>1263</v>
      </c>
      <c r="D1515" t="s">
        <v>21</v>
      </c>
      <c r="E1515" t="s">
        <v>22</v>
      </c>
      <c r="F1515" s="30">
        <v>45473</v>
      </c>
      <c r="G1515" t="s">
        <v>2161</v>
      </c>
      <c r="H1515" t="s">
        <v>4567</v>
      </c>
      <c r="I1515">
        <v>100</v>
      </c>
      <c r="J1515">
        <v>68.099998474121094</v>
      </c>
      <c r="CL1515">
        <v>61</v>
      </c>
      <c r="CM1515">
        <v>89.58</v>
      </c>
    </row>
    <row r="1516" spans="1:91" x14ac:dyDescent="0.3">
      <c r="A1516">
        <v>418</v>
      </c>
      <c r="B1516" t="s">
        <v>2155</v>
      </c>
      <c r="C1516" t="s">
        <v>1263</v>
      </c>
      <c r="D1516" t="s">
        <v>21</v>
      </c>
      <c r="E1516" t="s">
        <v>22</v>
      </c>
      <c r="F1516" s="30">
        <v>45473</v>
      </c>
      <c r="G1516" t="s">
        <v>2161</v>
      </c>
      <c r="H1516" t="s">
        <v>4572</v>
      </c>
      <c r="I1516">
        <v>100</v>
      </c>
      <c r="J1516">
        <v>106</v>
      </c>
      <c r="CL1516">
        <v>67.98</v>
      </c>
      <c r="CM1516">
        <v>64.13</v>
      </c>
    </row>
    <row r="1517" spans="1:91" x14ac:dyDescent="0.3">
      <c r="A1517">
        <v>418</v>
      </c>
      <c r="B1517" t="s">
        <v>2155</v>
      </c>
      <c r="C1517" t="s">
        <v>1263</v>
      </c>
      <c r="D1517" t="s">
        <v>21</v>
      </c>
      <c r="E1517" t="s">
        <v>22</v>
      </c>
      <c r="F1517" s="30">
        <v>45473</v>
      </c>
      <c r="G1517" t="s">
        <v>2161</v>
      </c>
      <c r="H1517" t="s">
        <v>4569</v>
      </c>
      <c r="I1517">
        <v>100</v>
      </c>
      <c r="J1517">
        <v>109.870002746582</v>
      </c>
      <c r="CL1517">
        <v>57</v>
      </c>
      <c r="CM1517">
        <v>51.88</v>
      </c>
    </row>
    <row r="1518" spans="1:91" x14ac:dyDescent="0.3">
      <c r="A1518">
        <v>418</v>
      </c>
      <c r="B1518" t="s">
        <v>2155</v>
      </c>
      <c r="C1518" t="s">
        <v>1263</v>
      </c>
      <c r="D1518" t="s">
        <v>21</v>
      </c>
      <c r="E1518" t="s">
        <v>22</v>
      </c>
      <c r="F1518" s="30">
        <v>45473</v>
      </c>
      <c r="G1518" t="s">
        <v>2161</v>
      </c>
      <c r="H1518" t="s">
        <v>4568</v>
      </c>
      <c r="I1518">
        <v>100</v>
      </c>
      <c r="J1518">
        <v>106.7600021362305</v>
      </c>
      <c r="CL1518">
        <v>45</v>
      </c>
      <c r="CM1518">
        <v>42.15</v>
      </c>
    </row>
    <row r="1519" spans="1:91" x14ac:dyDescent="0.3">
      <c r="A1519">
        <v>418</v>
      </c>
      <c r="B1519" t="s">
        <v>2155</v>
      </c>
      <c r="C1519" t="s">
        <v>1263</v>
      </c>
      <c r="D1519" t="s">
        <v>21</v>
      </c>
      <c r="E1519" t="s">
        <v>22</v>
      </c>
      <c r="F1519" s="30">
        <v>45473</v>
      </c>
      <c r="G1519" t="s">
        <v>2161</v>
      </c>
      <c r="H1519" t="s">
        <v>4528</v>
      </c>
      <c r="I1519">
        <v>100</v>
      </c>
      <c r="J1519">
        <v>101.9599990844727</v>
      </c>
      <c r="CL1519">
        <v>47.33</v>
      </c>
      <c r="CM1519">
        <v>46.42</v>
      </c>
    </row>
    <row r="1520" spans="1:91" x14ac:dyDescent="0.3">
      <c r="A1520">
        <v>418</v>
      </c>
      <c r="B1520" t="s">
        <v>2155</v>
      </c>
      <c r="C1520" t="s">
        <v>1263</v>
      </c>
      <c r="D1520" t="s">
        <v>21</v>
      </c>
      <c r="E1520" t="s">
        <v>22</v>
      </c>
      <c r="F1520" s="30">
        <v>45473</v>
      </c>
      <c r="G1520" t="s">
        <v>2161</v>
      </c>
      <c r="H1520" t="s">
        <v>4571</v>
      </c>
      <c r="I1520">
        <v>100</v>
      </c>
      <c r="J1520">
        <v>83.040000915527344</v>
      </c>
      <c r="CL1520">
        <v>16.25</v>
      </c>
      <c r="CM1520">
        <v>19.57</v>
      </c>
    </row>
    <row r="1521" spans="1:130" x14ac:dyDescent="0.3">
      <c r="A1521">
        <v>420</v>
      </c>
      <c r="B1521" t="s">
        <v>2172</v>
      </c>
      <c r="C1521" t="s">
        <v>1263</v>
      </c>
      <c r="D1521" t="s">
        <v>21</v>
      </c>
      <c r="E1521" t="s">
        <v>22</v>
      </c>
      <c r="F1521" s="30">
        <v>45473</v>
      </c>
      <c r="G1521" t="s">
        <v>2178</v>
      </c>
      <c r="H1521" t="s">
        <v>4574</v>
      </c>
      <c r="I1521">
        <v>100</v>
      </c>
      <c r="J1521">
        <v>97</v>
      </c>
      <c r="CN1521">
        <v>70.209999999999994</v>
      </c>
      <c r="CO1521">
        <v>72.38</v>
      </c>
    </row>
    <row r="1522" spans="1:130" x14ac:dyDescent="0.3">
      <c r="A1522">
        <v>420</v>
      </c>
      <c r="B1522" t="s">
        <v>2172</v>
      </c>
      <c r="C1522" t="s">
        <v>1263</v>
      </c>
      <c r="D1522" t="s">
        <v>21</v>
      </c>
      <c r="E1522" t="s">
        <v>22</v>
      </c>
      <c r="F1522" s="30">
        <v>45473</v>
      </c>
      <c r="G1522" t="s">
        <v>2178</v>
      </c>
      <c r="H1522" t="s">
        <v>4577</v>
      </c>
      <c r="I1522">
        <v>100</v>
      </c>
      <c r="J1522">
        <v>77.989997863769531</v>
      </c>
      <c r="CN1522">
        <v>45.5</v>
      </c>
      <c r="CO1522">
        <v>58.34</v>
      </c>
    </row>
    <row r="1523" spans="1:130" x14ac:dyDescent="0.3">
      <c r="A1523">
        <v>420</v>
      </c>
      <c r="B1523" t="s">
        <v>2172</v>
      </c>
      <c r="C1523" t="s">
        <v>1263</v>
      </c>
      <c r="D1523" t="s">
        <v>21</v>
      </c>
      <c r="E1523" t="s">
        <v>22</v>
      </c>
      <c r="F1523" s="30">
        <v>45473</v>
      </c>
      <c r="G1523" t="s">
        <v>2178</v>
      </c>
      <c r="H1523" t="s">
        <v>4578</v>
      </c>
      <c r="I1523">
        <v>100</v>
      </c>
      <c r="J1523">
        <v>92.400001525878906</v>
      </c>
      <c r="CN1523">
        <v>53.96</v>
      </c>
      <c r="CO1523">
        <v>58.4</v>
      </c>
    </row>
    <row r="1524" spans="1:130" x14ac:dyDescent="0.3">
      <c r="A1524">
        <v>420</v>
      </c>
      <c r="B1524" t="s">
        <v>2172</v>
      </c>
      <c r="C1524" t="s">
        <v>1263</v>
      </c>
      <c r="D1524" t="s">
        <v>21</v>
      </c>
      <c r="E1524" t="s">
        <v>22</v>
      </c>
      <c r="F1524" s="30">
        <v>45473</v>
      </c>
      <c r="G1524" t="s">
        <v>2178</v>
      </c>
      <c r="H1524" t="s">
        <v>4575</v>
      </c>
      <c r="I1524">
        <v>100</v>
      </c>
      <c r="J1524">
        <v>111.44000244140619</v>
      </c>
      <c r="CN1524">
        <v>25.92</v>
      </c>
      <c r="CO1524">
        <v>23.26</v>
      </c>
    </row>
    <row r="1525" spans="1:130" x14ac:dyDescent="0.3">
      <c r="A1525">
        <v>420</v>
      </c>
      <c r="B1525" t="s">
        <v>2172</v>
      </c>
      <c r="C1525" t="s">
        <v>1263</v>
      </c>
      <c r="D1525" t="s">
        <v>21</v>
      </c>
      <c r="E1525" t="s">
        <v>22</v>
      </c>
      <c r="F1525" s="30">
        <v>45473</v>
      </c>
      <c r="G1525" t="s">
        <v>2178</v>
      </c>
      <c r="H1525" t="s">
        <v>2703</v>
      </c>
      <c r="I1525">
        <v>100</v>
      </c>
      <c r="J1525">
        <v>55.950000762939453</v>
      </c>
      <c r="CN1525">
        <v>25</v>
      </c>
      <c r="CO1525">
        <v>44.68</v>
      </c>
    </row>
    <row r="1526" spans="1:130" x14ac:dyDescent="0.3">
      <c r="A1526">
        <v>420</v>
      </c>
      <c r="B1526" t="s">
        <v>2172</v>
      </c>
      <c r="C1526" t="s">
        <v>1263</v>
      </c>
      <c r="D1526" t="s">
        <v>21</v>
      </c>
      <c r="E1526" t="s">
        <v>22</v>
      </c>
      <c r="F1526" s="30">
        <v>45473</v>
      </c>
      <c r="G1526" t="s">
        <v>2178</v>
      </c>
      <c r="H1526" t="s">
        <v>4576</v>
      </c>
      <c r="I1526">
        <v>100</v>
      </c>
      <c r="J1526">
        <v>103.4700012207031</v>
      </c>
      <c r="CN1526">
        <v>66.25</v>
      </c>
      <c r="CO1526">
        <v>64.03</v>
      </c>
    </row>
    <row r="1527" spans="1:130" x14ac:dyDescent="0.3">
      <c r="A1527">
        <v>432</v>
      </c>
      <c r="B1527" t="s">
        <v>2247</v>
      </c>
      <c r="C1527" t="s">
        <v>138</v>
      </c>
      <c r="D1527" t="s">
        <v>21</v>
      </c>
      <c r="E1527" t="s">
        <v>22</v>
      </c>
      <c r="F1527" s="30">
        <v>45473</v>
      </c>
      <c r="G1527" t="s">
        <v>2253</v>
      </c>
      <c r="H1527" t="s">
        <v>4586</v>
      </c>
      <c r="I1527">
        <v>90</v>
      </c>
      <c r="J1527">
        <v>100</v>
      </c>
      <c r="CS1527">
        <v>7</v>
      </c>
      <c r="CT1527">
        <v>7</v>
      </c>
    </row>
    <row r="1528" spans="1:130" x14ac:dyDescent="0.3">
      <c r="A1528">
        <v>432</v>
      </c>
      <c r="B1528" t="s">
        <v>2247</v>
      </c>
      <c r="C1528" t="s">
        <v>138</v>
      </c>
      <c r="D1528" t="s">
        <v>21</v>
      </c>
      <c r="E1528" t="s">
        <v>22</v>
      </c>
      <c r="F1528" s="30">
        <v>45473</v>
      </c>
      <c r="G1528" t="s">
        <v>2253</v>
      </c>
      <c r="H1528" t="s">
        <v>4589</v>
      </c>
      <c r="I1528">
        <v>90</v>
      </c>
      <c r="J1528">
        <v>100</v>
      </c>
      <c r="CS1528">
        <v>1</v>
      </c>
      <c r="CT1528">
        <v>1</v>
      </c>
    </row>
    <row r="1529" spans="1:130" x14ac:dyDescent="0.3">
      <c r="A1529">
        <v>432</v>
      </c>
      <c r="B1529" t="s">
        <v>2247</v>
      </c>
      <c r="C1529" t="s">
        <v>138</v>
      </c>
      <c r="D1529" t="s">
        <v>21</v>
      </c>
      <c r="E1529" t="s">
        <v>22</v>
      </c>
      <c r="F1529" s="30">
        <v>45473</v>
      </c>
      <c r="G1529" t="s">
        <v>2253</v>
      </c>
      <c r="H1529" t="s">
        <v>4584</v>
      </c>
      <c r="I1529">
        <v>90</v>
      </c>
      <c r="J1529">
        <v>100</v>
      </c>
      <c r="CS1529">
        <v>18</v>
      </c>
      <c r="CT1529">
        <v>18</v>
      </c>
    </row>
    <row r="1530" spans="1:130" x14ac:dyDescent="0.3">
      <c r="A1530">
        <v>432</v>
      </c>
      <c r="B1530" t="s">
        <v>2247</v>
      </c>
      <c r="C1530" t="s">
        <v>138</v>
      </c>
      <c r="D1530" t="s">
        <v>21</v>
      </c>
      <c r="E1530" t="s">
        <v>22</v>
      </c>
      <c r="F1530" s="30">
        <v>45473</v>
      </c>
      <c r="G1530" t="s">
        <v>2253</v>
      </c>
      <c r="H1530" t="s">
        <v>4583</v>
      </c>
      <c r="I1530">
        <v>90</v>
      </c>
      <c r="J1530">
        <v>100</v>
      </c>
      <c r="CS1530">
        <v>15</v>
      </c>
      <c r="CT1530">
        <v>15</v>
      </c>
    </row>
    <row r="1531" spans="1:130" x14ac:dyDescent="0.3">
      <c r="A1531">
        <v>432</v>
      </c>
      <c r="B1531" t="s">
        <v>2247</v>
      </c>
      <c r="C1531" t="s">
        <v>138</v>
      </c>
      <c r="D1531" t="s">
        <v>21</v>
      </c>
      <c r="E1531" t="s">
        <v>22</v>
      </c>
      <c r="F1531" s="30">
        <v>45473</v>
      </c>
      <c r="G1531" t="s">
        <v>2253</v>
      </c>
      <c r="H1531" t="s">
        <v>4585</v>
      </c>
      <c r="I1531">
        <v>90</v>
      </c>
      <c r="J1531">
        <v>100</v>
      </c>
      <c r="CS1531">
        <v>19</v>
      </c>
      <c r="CT1531">
        <v>19</v>
      </c>
    </row>
    <row r="1532" spans="1:130" x14ac:dyDescent="0.3">
      <c r="A1532">
        <v>432</v>
      </c>
      <c r="B1532" t="s">
        <v>2247</v>
      </c>
      <c r="C1532" t="s">
        <v>138</v>
      </c>
      <c r="D1532" t="s">
        <v>21</v>
      </c>
      <c r="E1532" t="s">
        <v>22</v>
      </c>
      <c r="F1532" s="30">
        <v>45473</v>
      </c>
      <c r="G1532" t="s">
        <v>2253</v>
      </c>
      <c r="H1532" t="s">
        <v>4591</v>
      </c>
      <c r="I1532">
        <v>90</v>
      </c>
      <c r="J1532">
        <v>100</v>
      </c>
      <c r="CS1532">
        <v>24</v>
      </c>
      <c r="CT1532">
        <v>24</v>
      </c>
    </row>
    <row r="1533" spans="1:130" x14ac:dyDescent="0.3">
      <c r="A1533">
        <v>432</v>
      </c>
      <c r="B1533" t="s">
        <v>2247</v>
      </c>
      <c r="C1533" t="s">
        <v>138</v>
      </c>
      <c r="D1533" t="s">
        <v>21</v>
      </c>
      <c r="E1533" t="s">
        <v>22</v>
      </c>
      <c r="F1533" s="30">
        <v>45473</v>
      </c>
      <c r="G1533" t="s">
        <v>2253</v>
      </c>
      <c r="H1533" t="s">
        <v>4588</v>
      </c>
      <c r="I1533">
        <v>90</v>
      </c>
      <c r="J1533">
        <v>100</v>
      </c>
      <c r="CS1533">
        <v>10</v>
      </c>
      <c r="CT1533">
        <v>10</v>
      </c>
    </row>
    <row r="1534" spans="1:130" x14ac:dyDescent="0.3">
      <c r="A1534">
        <v>432</v>
      </c>
      <c r="B1534" t="s">
        <v>2247</v>
      </c>
      <c r="C1534" t="s">
        <v>138</v>
      </c>
      <c r="D1534" t="s">
        <v>21</v>
      </c>
      <c r="E1534" t="s">
        <v>22</v>
      </c>
      <c r="F1534" s="30">
        <v>45473</v>
      </c>
      <c r="G1534" t="s">
        <v>2253</v>
      </c>
      <c r="H1534" t="s">
        <v>4590</v>
      </c>
      <c r="I1534">
        <v>90</v>
      </c>
      <c r="J1534">
        <v>100</v>
      </c>
      <c r="CS1534">
        <v>2</v>
      </c>
      <c r="CT1534">
        <v>2</v>
      </c>
    </row>
    <row r="1535" spans="1:130" x14ac:dyDescent="0.3">
      <c r="A1535">
        <v>432</v>
      </c>
      <c r="B1535" t="s">
        <v>2247</v>
      </c>
      <c r="C1535" t="s">
        <v>138</v>
      </c>
      <c r="D1535" t="s">
        <v>21</v>
      </c>
      <c r="E1535" t="s">
        <v>22</v>
      </c>
      <c r="F1535" s="30">
        <v>45473</v>
      </c>
      <c r="G1535" t="s">
        <v>2253</v>
      </c>
      <c r="H1535" t="s">
        <v>4587</v>
      </c>
      <c r="I1535">
        <v>90</v>
      </c>
      <c r="J1535">
        <v>100</v>
      </c>
      <c r="CS1535">
        <v>7</v>
      </c>
      <c r="CT1535">
        <v>7</v>
      </c>
    </row>
    <row r="1536" spans="1:130" x14ac:dyDescent="0.3">
      <c r="A1536">
        <v>456</v>
      </c>
      <c r="B1536" t="s">
        <v>2419</v>
      </c>
      <c r="C1536" t="s">
        <v>207</v>
      </c>
      <c r="D1536" t="s">
        <v>21</v>
      </c>
      <c r="E1536" t="s">
        <v>22</v>
      </c>
      <c r="F1536" s="30">
        <v>45473</v>
      </c>
      <c r="G1536" t="s">
        <v>2420</v>
      </c>
      <c r="H1536" t="s">
        <v>4636</v>
      </c>
      <c r="I1536">
        <v>100</v>
      </c>
      <c r="J1536">
        <v>96.430000305175781</v>
      </c>
      <c r="DY1536">
        <v>28</v>
      </c>
      <c r="DZ1536">
        <v>27</v>
      </c>
    </row>
    <row r="1537" spans="1:132" x14ac:dyDescent="0.3">
      <c r="A1537">
        <v>456</v>
      </c>
      <c r="B1537" t="s">
        <v>2419</v>
      </c>
      <c r="C1537" t="s">
        <v>207</v>
      </c>
      <c r="D1537" t="s">
        <v>21</v>
      </c>
      <c r="E1537" t="s">
        <v>22</v>
      </c>
      <c r="F1537" s="30">
        <v>45473</v>
      </c>
      <c r="G1537" t="s">
        <v>2420</v>
      </c>
      <c r="H1537" t="s">
        <v>4511</v>
      </c>
      <c r="I1537">
        <v>100</v>
      </c>
      <c r="J1537">
        <v>101.51999664306641</v>
      </c>
      <c r="DY1537">
        <v>66</v>
      </c>
      <c r="DZ1537">
        <v>67</v>
      </c>
    </row>
    <row r="1538" spans="1:132" x14ac:dyDescent="0.3">
      <c r="A1538">
        <v>456</v>
      </c>
      <c r="B1538" t="s">
        <v>2419</v>
      </c>
      <c r="C1538" t="s">
        <v>207</v>
      </c>
      <c r="D1538" t="s">
        <v>21</v>
      </c>
      <c r="E1538" t="s">
        <v>22</v>
      </c>
      <c r="F1538" s="30">
        <v>45473</v>
      </c>
      <c r="G1538" t="s">
        <v>2420</v>
      </c>
      <c r="H1538" t="s">
        <v>4512</v>
      </c>
      <c r="I1538">
        <v>100</v>
      </c>
      <c r="J1538">
        <v>100</v>
      </c>
      <c r="DY1538">
        <v>19</v>
      </c>
      <c r="DZ1538">
        <v>19</v>
      </c>
    </row>
    <row r="1539" spans="1:132" x14ac:dyDescent="0.3">
      <c r="A1539">
        <v>457</v>
      </c>
      <c r="B1539" t="s">
        <v>2426</v>
      </c>
      <c r="C1539" t="s">
        <v>207</v>
      </c>
      <c r="D1539" t="s">
        <v>21</v>
      </c>
      <c r="E1539" t="s">
        <v>22</v>
      </c>
      <c r="F1539" s="30">
        <v>45473</v>
      </c>
      <c r="G1539" t="s">
        <v>2427</v>
      </c>
      <c r="H1539" t="s">
        <v>4512</v>
      </c>
      <c r="I1539">
        <v>100</v>
      </c>
      <c r="J1539">
        <v>100</v>
      </c>
      <c r="EA1539">
        <v>4</v>
      </c>
      <c r="EB1539">
        <v>4</v>
      </c>
    </row>
    <row r="1540" spans="1:132" x14ac:dyDescent="0.3">
      <c r="A1540">
        <v>457</v>
      </c>
      <c r="B1540" t="s">
        <v>2426</v>
      </c>
      <c r="C1540" t="s">
        <v>207</v>
      </c>
      <c r="D1540" t="s">
        <v>21</v>
      </c>
      <c r="E1540" t="s">
        <v>22</v>
      </c>
      <c r="F1540" s="30">
        <v>45473</v>
      </c>
      <c r="G1540" t="s">
        <v>2427</v>
      </c>
      <c r="H1540" t="s">
        <v>4636</v>
      </c>
      <c r="I1540">
        <v>100</v>
      </c>
      <c r="J1540">
        <v>75</v>
      </c>
      <c r="EA1540">
        <v>4</v>
      </c>
      <c r="EB1540">
        <v>3</v>
      </c>
    </row>
    <row r="1541" spans="1:132" x14ac:dyDescent="0.3">
      <c r="A1541">
        <v>457</v>
      </c>
      <c r="B1541" t="s">
        <v>2426</v>
      </c>
      <c r="C1541" t="s">
        <v>207</v>
      </c>
      <c r="D1541" t="s">
        <v>21</v>
      </c>
      <c r="E1541" t="s">
        <v>22</v>
      </c>
      <c r="F1541" s="30">
        <v>45473</v>
      </c>
      <c r="G1541" t="s">
        <v>2427</v>
      </c>
      <c r="H1541" t="s">
        <v>4511</v>
      </c>
      <c r="I1541">
        <v>100</v>
      </c>
      <c r="J1541">
        <v>100</v>
      </c>
      <c r="EA1541">
        <v>2</v>
      </c>
      <c r="EB1541">
        <v>2</v>
      </c>
    </row>
    <row r="1542" spans="1:132" x14ac:dyDescent="0.3">
      <c r="A1542">
        <v>469</v>
      </c>
      <c r="B1542" t="s">
        <v>2168</v>
      </c>
      <c r="C1542" t="s">
        <v>1263</v>
      </c>
      <c r="D1542" t="s">
        <v>21</v>
      </c>
      <c r="E1542" t="s">
        <v>22</v>
      </c>
      <c r="F1542" s="30">
        <v>45473</v>
      </c>
      <c r="G1542" t="s">
        <v>2458</v>
      </c>
      <c r="H1542" t="s">
        <v>4612</v>
      </c>
      <c r="I1542">
        <v>100</v>
      </c>
      <c r="J1542">
        <v>91.209999084472656</v>
      </c>
      <c r="DF1542">
        <v>82</v>
      </c>
      <c r="DG1542">
        <v>89.9</v>
      </c>
    </row>
    <row r="1543" spans="1:132" x14ac:dyDescent="0.3">
      <c r="A1543">
        <v>469</v>
      </c>
      <c r="B1543" t="s">
        <v>2168</v>
      </c>
      <c r="C1543" t="s">
        <v>1263</v>
      </c>
      <c r="D1543" t="s">
        <v>21</v>
      </c>
      <c r="E1543" t="s">
        <v>22</v>
      </c>
      <c r="F1543" s="30">
        <v>45473</v>
      </c>
      <c r="G1543" t="s">
        <v>2458</v>
      </c>
      <c r="H1543" t="s">
        <v>4614</v>
      </c>
      <c r="I1543">
        <v>100</v>
      </c>
      <c r="J1543">
        <v>112</v>
      </c>
      <c r="DF1543">
        <v>45.75</v>
      </c>
      <c r="DG1543">
        <v>40.85</v>
      </c>
    </row>
    <row r="1544" spans="1:132" x14ac:dyDescent="0.3">
      <c r="A1544">
        <v>469</v>
      </c>
      <c r="B1544" t="s">
        <v>2168</v>
      </c>
      <c r="C1544" t="s">
        <v>1263</v>
      </c>
      <c r="D1544" t="s">
        <v>21</v>
      </c>
      <c r="E1544" t="s">
        <v>22</v>
      </c>
      <c r="F1544" s="30">
        <v>45473</v>
      </c>
      <c r="G1544" t="s">
        <v>2458</v>
      </c>
      <c r="H1544" t="s">
        <v>4613</v>
      </c>
      <c r="I1544">
        <v>100</v>
      </c>
      <c r="J1544">
        <v>99.089996337890625</v>
      </c>
      <c r="DF1544">
        <v>50</v>
      </c>
      <c r="DG1544">
        <v>50.46</v>
      </c>
    </row>
    <row r="1545" spans="1:132" x14ac:dyDescent="0.3">
      <c r="A1545">
        <v>469</v>
      </c>
      <c r="B1545" t="s">
        <v>2168</v>
      </c>
      <c r="C1545" t="s">
        <v>1263</v>
      </c>
      <c r="D1545" t="s">
        <v>21</v>
      </c>
      <c r="E1545" t="s">
        <v>22</v>
      </c>
      <c r="F1545" s="30">
        <v>45473</v>
      </c>
      <c r="G1545" t="s">
        <v>2458</v>
      </c>
      <c r="H1545" t="s">
        <v>4608</v>
      </c>
      <c r="I1545">
        <v>100</v>
      </c>
      <c r="J1545">
        <v>100</v>
      </c>
      <c r="DF1545">
        <v>100</v>
      </c>
      <c r="DG1545">
        <v>100</v>
      </c>
    </row>
    <row r="1546" spans="1:132" x14ac:dyDescent="0.3">
      <c r="A1546">
        <v>469</v>
      </c>
      <c r="B1546" t="s">
        <v>2168</v>
      </c>
      <c r="C1546" t="s">
        <v>1263</v>
      </c>
      <c r="D1546" t="s">
        <v>21</v>
      </c>
      <c r="E1546" t="s">
        <v>22</v>
      </c>
      <c r="F1546" s="30">
        <v>45473</v>
      </c>
      <c r="G1546" t="s">
        <v>2458</v>
      </c>
      <c r="H1546" t="s">
        <v>4615</v>
      </c>
      <c r="I1546">
        <v>100</v>
      </c>
      <c r="J1546">
        <v>144.5899963378906</v>
      </c>
      <c r="DF1546">
        <v>50</v>
      </c>
      <c r="DG1546">
        <v>34.58</v>
      </c>
    </row>
    <row r="1547" spans="1:132" x14ac:dyDescent="0.3">
      <c r="A1547">
        <v>469</v>
      </c>
      <c r="B1547" t="s">
        <v>2168</v>
      </c>
      <c r="C1547" t="s">
        <v>1263</v>
      </c>
      <c r="D1547" t="s">
        <v>21</v>
      </c>
      <c r="E1547" t="s">
        <v>22</v>
      </c>
      <c r="F1547" s="30">
        <v>45473</v>
      </c>
      <c r="G1547" t="s">
        <v>2458</v>
      </c>
      <c r="H1547" t="s">
        <v>4617</v>
      </c>
      <c r="I1547">
        <v>100</v>
      </c>
      <c r="J1547">
        <v>135.94000244140619</v>
      </c>
      <c r="DF1547">
        <v>40.36</v>
      </c>
      <c r="DG1547">
        <v>29.69</v>
      </c>
    </row>
    <row r="1548" spans="1:132" x14ac:dyDescent="0.3">
      <c r="A1548">
        <v>469</v>
      </c>
      <c r="B1548" t="s">
        <v>2168</v>
      </c>
      <c r="C1548" t="s">
        <v>1263</v>
      </c>
      <c r="D1548" t="s">
        <v>21</v>
      </c>
      <c r="E1548" t="s">
        <v>22</v>
      </c>
      <c r="F1548" s="30">
        <v>45473</v>
      </c>
      <c r="G1548" t="s">
        <v>2458</v>
      </c>
      <c r="H1548" t="s">
        <v>4616</v>
      </c>
      <c r="I1548">
        <v>100</v>
      </c>
      <c r="J1548">
        <v>125.13999938964839</v>
      </c>
      <c r="DF1548">
        <v>68.75</v>
      </c>
      <c r="DG1548">
        <v>54.94</v>
      </c>
    </row>
    <row r="1549" spans="1:132" x14ac:dyDescent="0.3">
      <c r="A1549">
        <v>469</v>
      </c>
      <c r="B1549" t="s">
        <v>2168</v>
      </c>
      <c r="C1549" t="s">
        <v>1263</v>
      </c>
      <c r="D1549" t="s">
        <v>21</v>
      </c>
      <c r="E1549" t="s">
        <v>22</v>
      </c>
      <c r="F1549" s="30">
        <v>45473</v>
      </c>
      <c r="G1549" t="s">
        <v>2458</v>
      </c>
      <c r="H1549" t="s">
        <v>4610</v>
      </c>
      <c r="I1549">
        <v>100</v>
      </c>
      <c r="J1549">
        <v>109.1600036621094</v>
      </c>
      <c r="DF1549">
        <v>43.61</v>
      </c>
      <c r="DG1549">
        <v>39.950000000000003</v>
      </c>
    </row>
    <row r="1550" spans="1:132" x14ac:dyDescent="0.3">
      <c r="A1550">
        <v>469</v>
      </c>
      <c r="B1550" t="s">
        <v>2168</v>
      </c>
      <c r="C1550" t="s">
        <v>1263</v>
      </c>
      <c r="D1550" t="s">
        <v>21</v>
      </c>
      <c r="E1550" t="s">
        <v>22</v>
      </c>
      <c r="F1550" s="30">
        <v>45473</v>
      </c>
      <c r="G1550" t="s">
        <v>2458</v>
      </c>
      <c r="H1550" t="s">
        <v>4611</v>
      </c>
      <c r="I1550">
        <v>100</v>
      </c>
      <c r="J1550">
        <v>99.669998168945313</v>
      </c>
      <c r="DF1550">
        <v>68.75</v>
      </c>
      <c r="DG1550">
        <v>68.98</v>
      </c>
    </row>
    <row r="1551" spans="1:132" x14ac:dyDescent="0.3">
      <c r="A1551">
        <v>469</v>
      </c>
      <c r="B1551" t="s">
        <v>2168</v>
      </c>
      <c r="C1551" t="s">
        <v>1263</v>
      </c>
      <c r="D1551" t="s">
        <v>21</v>
      </c>
      <c r="E1551" t="s">
        <v>22</v>
      </c>
      <c r="F1551" s="30">
        <v>45473</v>
      </c>
      <c r="G1551" t="s">
        <v>2458</v>
      </c>
      <c r="H1551" t="s">
        <v>4609</v>
      </c>
      <c r="I1551">
        <v>100</v>
      </c>
      <c r="J1551">
        <v>126.5</v>
      </c>
      <c r="DF1551">
        <v>72.5</v>
      </c>
      <c r="DG1551">
        <v>57.31</v>
      </c>
    </row>
    <row r="1552" spans="1:132" x14ac:dyDescent="0.3">
      <c r="A1552">
        <v>470</v>
      </c>
      <c r="B1552" t="s">
        <v>2465</v>
      </c>
      <c r="C1552" t="s">
        <v>1263</v>
      </c>
      <c r="D1552" t="s">
        <v>21</v>
      </c>
      <c r="E1552" t="s">
        <v>22</v>
      </c>
      <c r="F1552" s="30">
        <v>45473</v>
      </c>
      <c r="G1552" t="s">
        <v>2467</v>
      </c>
      <c r="H1552" t="s">
        <v>4620</v>
      </c>
      <c r="I1552">
        <v>100</v>
      </c>
      <c r="J1552">
        <v>105.65000152587891</v>
      </c>
      <c r="DH1552">
        <v>60</v>
      </c>
      <c r="DI1552">
        <v>56.79</v>
      </c>
    </row>
    <row r="1553" spans="1:115" x14ac:dyDescent="0.3">
      <c r="A1553">
        <v>470</v>
      </c>
      <c r="B1553" t="s">
        <v>2465</v>
      </c>
      <c r="C1553" t="s">
        <v>1263</v>
      </c>
      <c r="D1553" t="s">
        <v>21</v>
      </c>
      <c r="E1553" t="s">
        <v>22</v>
      </c>
      <c r="F1553" s="30">
        <v>45473</v>
      </c>
      <c r="G1553" t="s">
        <v>2467</v>
      </c>
      <c r="H1553" t="s">
        <v>4619</v>
      </c>
      <c r="I1553">
        <v>100</v>
      </c>
      <c r="J1553">
        <v>121.30999755859381</v>
      </c>
      <c r="DH1553">
        <v>90</v>
      </c>
      <c r="DI1553">
        <v>74.19</v>
      </c>
    </row>
    <row r="1554" spans="1:115" x14ac:dyDescent="0.3">
      <c r="A1554">
        <v>470</v>
      </c>
      <c r="B1554" t="s">
        <v>2465</v>
      </c>
      <c r="C1554" t="s">
        <v>1263</v>
      </c>
      <c r="D1554" t="s">
        <v>21</v>
      </c>
      <c r="E1554" t="s">
        <v>22</v>
      </c>
      <c r="F1554" s="30">
        <v>45473</v>
      </c>
      <c r="G1554" t="s">
        <v>2467</v>
      </c>
      <c r="H1554" t="s">
        <v>4622</v>
      </c>
      <c r="I1554">
        <v>100</v>
      </c>
      <c r="J1554">
        <v>111.7600021362305</v>
      </c>
      <c r="DH1554">
        <v>80</v>
      </c>
      <c r="DI1554">
        <v>71.58</v>
      </c>
    </row>
    <row r="1555" spans="1:115" x14ac:dyDescent="0.3">
      <c r="A1555">
        <v>470</v>
      </c>
      <c r="B1555" t="s">
        <v>2465</v>
      </c>
      <c r="C1555" t="s">
        <v>1263</v>
      </c>
      <c r="D1555" t="s">
        <v>21</v>
      </c>
      <c r="E1555" t="s">
        <v>22</v>
      </c>
      <c r="F1555" s="30">
        <v>45473</v>
      </c>
      <c r="G1555" t="s">
        <v>2467</v>
      </c>
      <c r="H1555" t="s">
        <v>4621</v>
      </c>
      <c r="I1555">
        <v>100</v>
      </c>
      <c r="J1555">
        <v>93.970001220703125</v>
      </c>
      <c r="DH1555">
        <v>63.75</v>
      </c>
      <c r="DI1555">
        <v>67.84</v>
      </c>
    </row>
    <row r="1556" spans="1:115" x14ac:dyDescent="0.3">
      <c r="A1556">
        <v>470</v>
      </c>
      <c r="B1556" t="s">
        <v>2465</v>
      </c>
      <c r="C1556" t="s">
        <v>1263</v>
      </c>
      <c r="D1556" t="s">
        <v>21</v>
      </c>
      <c r="E1556" t="s">
        <v>22</v>
      </c>
      <c r="F1556" s="30">
        <v>45473</v>
      </c>
      <c r="G1556" t="s">
        <v>2467</v>
      </c>
      <c r="H1556" t="s">
        <v>4618</v>
      </c>
      <c r="I1556">
        <v>100</v>
      </c>
      <c r="J1556">
        <v>157.82000732421881</v>
      </c>
      <c r="DH1556">
        <v>55</v>
      </c>
      <c r="DI1556">
        <v>34.85</v>
      </c>
    </row>
    <row r="1557" spans="1:115" x14ac:dyDescent="0.3">
      <c r="A1557">
        <v>471</v>
      </c>
      <c r="B1557" t="s">
        <v>2474</v>
      </c>
      <c r="C1557" t="s">
        <v>1263</v>
      </c>
      <c r="D1557" t="s">
        <v>21</v>
      </c>
      <c r="E1557" t="s">
        <v>22</v>
      </c>
      <c r="F1557" s="30">
        <v>45473</v>
      </c>
      <c r="G1557" t="s">
        <v>2476</v>
      </c>
      <c r="H1557" t="s">
        <v>4625</v>
      </c>
      <c r="I1557">
        <v>100</v>
      </c>
      <c r="J1557">
        <v>80.319999694824219</v>
      </c>
      <c r="DJ1557">
        <v>55</v>
      </c>
      <c r="DK1557">
        <v>68.48</v>
      </c>
    </row>
    <row r="1558" spans="1:115" x14ac:dyDescent="0.3">
      <c r="A1558">
        <v>471</v>
      </c>
      <c r="B1558" t="s">
        <v>2474</v>
      </c>
      <c r="C1558" t="s">
        <v>1263</v>
      </c>
      <c r="D1558" t="s">
        <v>21</v>
      </c>
      <c r="E1558" t="s">
        <v>22</v>
      </c>
      <c r="F1558" s="30">
        <v>45473</v>
      </c>
      <c r="G1558" t="s">
        <v>2476</v>
      </c>
      <c r="H1558" t="s">
        <v>4629</v>
      </c>
      <c r="I1558">
        <v>100</v>
      </c>
      <c r="J1558">
        <v>121.1699981689453</v>
      </c>
      <c r="DJ1558">
        <v>62.5</v>
      </c>
      <c r="DK1558">
        <v>51.58</v>
      </c>
    </row>
    <row r="1559" spans="1:115" x14ac:dyDescent="0.3">
      <c r="A1559">
        <v>471</v>
      </c>
      <c r="B1559" t="s">
        <v>2474</v>
      </c>
      <c r="C1559" t="s">
        <v>1263</v>
      </c>
      <c r="D1559" t="s">
        <v>21</v>
      </c>
      <c r="E1559" t="s">
        <v>22</v>
      </c>
      <c r="F1559" s="30">
        <v>45473</v>
      </c>
      <c r="G1559" t="s">
        <v>2476</v>
      </c>
      <c r="H1559" t="s">
        <v>4626</v>
      </c>
      <c r="I1559">
        <v>100</v>
      </c>
      <c r="J1559">
        <v>108.8300018310547</v>
      </c>
      <c r="DJ1559">
        <v>60</v>
      </c>
      <c r="DK1559">
        <v>55.13</v>
      </c>
    </row>
    <row r="1560" spans="1:115" x14ac:dyDescent="0.3">
      <c r="A1560">
        <v>471</v>
      </c>
      <c r="B1560" t="s">
        <v>2474</v>
      </c>
      <c r="C1560" t="s">
        <v>1263</v>
      </c>
      <c r="D1560" t="s">
        <v>21</v>
      </c>
      <c r="E1560" t="s">
        <v>22</v>
      </c>
      <c r="F1560" s="30">
        <v>45473</v>
      </c>
      <c r="G1560" t="s">
        <v>2476</v>
      </c>
      <c r="H1560" t="s">
        <v>4623</v>
      </c>
      <c r="I1560">
        <v>100</v>
      </c>
      <c r="J1560">
        <v>76.220001220703125</v>
      </c>
      <c r="DJ1560">
        <v>37.5</v>
      </c>
      <c r="DK1560">
        <v>49.2</v>
      </c>
    </row>
    <row r="1561" spans="1:115" x14ac:dyDescent="0.3">
      <c r="A1561">
        <v>471</v>
      </c>
      <c r="B1561" t="s">
        <v>2474</v>
      </c>
      <c r="C1561" t="s">
        <v>1263</v>
      </c>
      <c r="D1561" t="s">
        <v>21</v>
      </c>
      <c r="E1561" t="s">
        <v>22</v>
      </c>
      <c r="F1561" s="30">
        <v>45473</v>
      </c>
      <c r="G1561" t="s">
        <v>2476</v>
      </c>
      <c r="H1561" t="s">
        <v>4627</v>
      </c>
      <c r="I1561">
        <v>100</v>
      </c>
      <c r="J1561">
        <v>95.589996337890625</v>
      </c>
      <c r="DJ1561">
        <v>64.17</v>
      </c>
      <c r="DK1561">
        <v>67.13</v>
      </c>
    </row>
    <row r="1562" spans="1:115" x14ac:dyDescent="0.3">
      <c r="A1562">
        <v>471</v>
      </c>
      <c r="B1562" t="s">
        <v>2474</v>
      </c>
      <c r="C1562" t="s">
        <v>1263</v>
      </c>
      <c r="D1562" t="s">
        <v>21</v>
      </c>
      <c r="E1562" t="s">
        <v>22</v>
      </c>
      <c r="F1562" s="30">
        <v>45473</v>
      </c>
      <c r="G1562" t="s">
        <v>2476</v>
      </c>
      <c r="H1562" t="s">
        <v>4624</v>
      </c>
      <c r="I1562">
        <v>100</v>
      </c>
      <c r="J1562">
        <v>108.4100036621094</v>
      </c>
      <c r="DJ1562">
        <v>50</v>
      </c>
      <c r="DK1562">
        <v>46.12</v>
      </c>
    </row>
    <row r="1563" spans="1:115" x14ac:dyDescent="0.3">
      <c r="A1563">
        <v>471</v>
      </c>
      <c r="B1563" t="s">
        <v>2474</v>
      </c>
      <c r="C1563" t="s">
        <v>1263</v>
      </c>
      <c r="D1563" t="s">
        <v>21</v>
      </c>
      <c r="E1563" t="s">
        <v>22</v>
      </c>
      <c r="F1563" s="30">
        <v>45473</v>
      </c>
      <c r="G1563" t="s">
        <v>2476</v>
      </c>
      <c r="H1563" t="s">
        <v>4628</v>
      </c>
      <c r="I1563">
        <v>100</v>
      </c>
      <c r="J1563">
        <v>148.38999938964841</v>
      </c>
      <c r="DJ1563">
        <v>100</v>
      </c>
      <c r="DK1563">
        <v>67.39</v>
      </c>
    </row>
    <row r="1564" spans="1:115" x14ac:dyDescent="0.3">
      <c r="A1564">
        <v>208</v>
      </c>
      <c r="B1564" t="s">
        <v>707</v>
      </c>
      <c r="C1564" t="s">
        <v>251</v>
      </c>
      <c r="D1564" t="s">
        <v>73</v>
      </c>
      <c r="E1564" t="s">
        <v>56</v>
      </c>
      <c r="F1564" s="30">
        <v>45504</v>
      </c>
      <c r="G1564" t="s">
        <v>739</v>
      </c>
      <c r="H1564" t="s">
        <v>4468</v>
      </c>
      <c r="I1564">
        <v>950</v>
      </c>
      <c r="J1564">
        <v>608</v>
      </c>
      <c r="K1564">
        <v>608</v>
      </c>
    </row>
    <row r="1565" spans="1:115" x14ac:dyDescent="0.3">
      <c r="A1565">
        <v>208</v>
      </c>
      <c r="B1565" t="s">
        <v>707</v>
      </c>
      <c r="C1565" t="s">
        <v>251</v>
      </c>
      <c r="D1565" t="s">
        <v>73</v>
      </c>
      <c r="E1565" t="s">
        <v>56</v>
      </c>
      <c r="F1565" s="30">
        <v>45504</v>
      </c>
      <c r="G1565" t="s">
        <v>739</v>
      </c>
      <c r="H1565" t="s">
        <v>4470</v>
      </c>
      <c r="I1565">
        <v>350</v>
      </c>
      <c r="J1565">
        <v>258</v>
      </c>
      <c r="K1565">
        <v>258</v>
      </c>
    </row>
    <row r="1566" spans="1:115" x14ac:dyDescent="0.3">
      <c r="A1566">
        <v>208</v>
      </c>
      <c r="B1566" t="s">
        <v>707</v>
      </c>
      <c r="C1566" t="s">
        <v>251</v>
      </c>
      <c r="D1566" t="s">
        <v>73</v>
      </c>
      <c r="E1566" t="s">
        <v>56</v>
      </c>
      <c r="F1566" s="30">
        <v>45504</v>
      </c>
      <c r="G1566" t="s">
        <v>739</v>
      </c>
      <c r="H1566" t="s">
        <v>4477</v>
      </c>
      <c r="I1566">
        <v>25</v>
      </c>
      <c r="J1566">
        <v>5</v>
      </c>
      <c r="K1566">
        <v>5</v>
      </c>
    </row>
    <row r="1567" spans="1:115" x14ac:dyDescent="0.3">
      <c r="A1567">
        <v>208</v>
      </c>
      <c r="B1567" t="s">
        <v>707</v>
      </c>
      <c r="C1567" t="s">
        <v>251</v>
      </c>
      <c r="D1567" t="s">
        <v>73</v>
      </c>
      <c r="E1567" t="s">
        <v>56</v>
      </c>
      <c r="F1567" s="30">
        <v>45504</v>
      </c>
      <c r="G1567" t="s">
        <v>739</v>
      </c>
      <c r="H1567" t="s">
        <v>4469</v>
      </c>
      <c r="I1567">
        <v>200</v>
      </c>
      <c r="J1567">
        <v>208</v>
      </c>
      <c r="K1567">
        <v>208</v>
      </c>
    </row>
    <row r="1568" spans="1:115" x14ac:dyDescent="0.3">
      <c r="A1568">
        <v>208</v>
      </c>
      <c r="B1568" t="s">
        <v>707</v>
      </c>
      <c r="C1568" t="s">
        <v>251</v>
      </c>
      <c r="D1568" t="s">
        <v>73</v>
      </c>
      <c r="E1568" t="s">
        <v>56</v>
      </c>
      <c r="F1568" s="30">
        <v>45504</v>
      </c>
      <c r="G1568" t="s">
        <v>739</v>
      </c>
      <c r="H1568" t="s">
        <v>4476</v>
      </c>
      <c r="I1568">
        <v>0</v>
      </c>
      <c r="J1568">
        <v>0</v>
      </c>
      <c r="K1568">
        <v>0</v>
      </c>
    </row>
    <row r="1569" spans="1:45" x14ac:dyDescent="0.3">
      <c r="A1569">
        <v>208</v>
      </c>
      <c r="B1569" t="s">
        <v>707</v>
      </c>
      <c r="C1569" t="s">
        <v>251</v>
      </c>
      <c r="D1569" t="s">
        <v>73</v>
      </c>
      <c r="E1569" t="s">
        <v>56</v>
      </c>
      <c r="F1569" s="30">
        <v>45504</v>
      </c>
      <c r="G1569" t="s">
        <v>739</v>
      </c>
      <c r="H1569" t="s">
        <v>4478</v>
      </c>
      <c r="I1569">
        <v>25</v>
      </c>
      <c r="J1569">
        <v>7</v>
      </c>
      <c r="K1569">
        <v>7</v>
      </c>
    </row>
    <row r="1570" spans="1:45" x14ac:dyDescent="0.3">
      <c r="A1570">
        <v>214</v>
      </c>
      <c r="B1570" t="s">
        <v>774</v>
      </c>
      <c r="C1570" t="s">
        <v>251</v>
      </c>
      <c r="D1570" t="s">
        <v>73</v>
      </c>
      <c r="E1570" t="s">
        <v>56</v>
      </c>
      <c r="F1570" s="30">
        <v>45504</v>
      </c>
      <c r="G1570" t="s">
        <v>806</v>
      </c>
      <c r="H1570" t="s">
        <v>4468</v>
      </c>
      <c r="I1570">
        <v>5500</v>
      </c>
      <c r="J1570">
        <v>1401</v>
      </c>
      <c r="L1570">
        <v>659</v>
      </c>
      <c r="M1570">
        <v>1134</v>
      </c>
    </row>
    <row r="1571" spans="1:45" x14ac:dyDescent="0.3">
      <c r="A1571">
        <v>214</v>
      </c>
      <c r="B1571" t="s">
        <v>774</v>
      </c>
      <c r="C1571" t="s">
        <v>251</v>
      </c>
      <c r="D1571" t="s">
        <v>73</v>
      </c>
      <c r="E1571" t="s">
        <v>56</v>
      </c>
      <c r="F1571" s="30">
        <v>45504</v>
      </c>
      <c r="G1571" t="s">
        <v>806</v>
      </c>
      <c r="H1571" t="s">
        <v>4470</v>
      </c>
      <c r="I1571">
        <v>1000</v>
      </c>
      <c r="J1571">
        <v>571.83001708984375</v>
      </c>
      <c r="L1571">
        <v>122.68</v>
      </c>
      <c r="M1571">
        <v>596.20000000000005</v>
      </c>
    </row>
    <row r="1572" spans="1:45" x14ac:dyDescent="0.3">
      <c r="A1572">
        <v>214</v>
      </c>
      <c r="B1572" t="s">
        <v>774</v>
      </c>
      <c r="C1572" t="s">
        <v>251</v>
      </c>
      <c r="D1572" t="s">
        <v>73</v>
      </c>
      <c r="E1572" t="s">
        <v>56</v>
      </c>
      <c r="F1572" s="30">
        <v>45504</v>
      </c>
      <c r="G1572" t="s">
        <v>806</v>
      </c>
      <c r="H1572" t="s">
        <v>4477</v>
      </c>
      <c r="I1572">
        <v>7500</v>
      </c>
      <c r="J1572">
        <v>0</v>
      </c>
      <c r="L1572">
        <v>0</v>
      </c>
      <c r="M1572">
        <v>0</v>
      </c>
    </row>
    <row r="1573" spans="1:45" x14ac:dyDescent="0.3">
      <c r="A1573">
        <v>214</v>
      </c>
      <c r="B1573" t="s">
        <v>774</v>
      </c>
      <c r="C1573" t="s">
        <v>251</v>
      </c>
      <c r="D1573" t="s">
        <v>73</v>
      </c>
      <c r="E1573" t="s">
        <v>56</v>
      </c>
      <c r="F1573" s="30">
        <v>45504</v>
      </c>
      <c r="G1573" t="s">
        <v>806</v>
      </c>
      <c r="H1573" t="s">
        <v>4469</v>
      </c>
      <c r="I1573">
        <v>1000</v>
      </c>
      <c r="J1573">
        <v>594.5999755859375</v>
      </c>
      <c r="L1573">
        <v>82.4</v>
      </c>
      <c r="M1573">
        <v>512.20000000000005</v>
      </c>
    </row>
    <row r="1574" spans="1:45" x14ac:dyDescent="0.3">
      <c r="A1574">
        <v>214</v>
      </c>
      <c r="B1574" t="s">
        <v>774</v>
      </c>
      <c r="C1574" t="s">
        <v>251</v>
      </c>
      <c r="D1574" t="s">
        <v>73</v>
      </c>
      <c r="E1574" t="s">
        <v>56</v>
      </c>
      <c r="F1574" s="30">
        <v>45504</v>
      </c>
      <c r="G1574" t="s">
        <v>806</v>
      </c>
      <c r="H1574" t="s">
        <v>4476</v>
      </c>
      <c r="I1574">
        <v>1</v>
      </c>
      <c r="J1574">
        <v>0</v>
      </c>
      <c r="L1574">
        <v>0</v>
      </c>
      <c r="M1574">
        <v>0</v>
      </c>
    </row>
    <row r="1575" spans="1:45" x14ac:dyDescent="0.3">
      <c r="A1575">
        <v>217</v>
      </c>
      <c r="B1575" t="s">
        <v>840</v>
      </c>
      <c r="C1575" t="s">
        <v>251</v>
      </c>
      <c r="D1575" t="s">
        <v>73</v>
      </c>
      <c r="E1575" t="s">
        <v>22</v>
      </c>
      <c r="F1575" s="30">
        <v>45504</v>
      </c>
      <c r="G1575" t="s">
        <v>870</v>
      </c>
      <c r="H1575" t="s">
        <v>4477</v>
      </c>
      <c r="I1575">
        <v>20</v>
      </c>
      <c r="J1575">
        <v>0</v>
      </c>
      <c r="L1575">
        <v>0</v>
      </c>
      <c r="M1575">
        <v>0</v>
      </c>
      <c r="AS1575">
        <v>0</v>
      </c>
    </row>
    <row r="1576" spans="1:45" x14ac:dyDescent="0.3">
      <c r="A1576">
        <v>217</v>
      </c>
      <c r="B1576" t="s">
        <v>840</v>
      </c>
      <c r="C1576" t="s">
        <v>251</v>
      </c>
      <c r="D1576" t="s">
        <v>73</v>
      </c>
      <c r="E1576" t="s">
        <v>22</v>
      </c>
      <c r="F1576" s="30">
        <v>45504</v>
      </c>
      <c r="G1576" t="s">
        <v>870</v>
      </c>
      <c r="H1576" t="s">
        <v>4476</v>
      </c>
      <c r="I1576">
        <v>20</v>
      </c>
      <c r="J1576">
        <v>0</v>
      </c>
      <c r="L1576">
        <v>0</v>
      </c>
      <c r="M1576">
        <v>0</v>
      </c>
      <c r="AS1576">
        <v>0</v>
      </c>
    </row>
    <row r="1577" spans="1:45" x14ac:dyDescent="0.3">
      <c r="A1577">
        <v>217</v>
      </c>
      <c r="B1577" t="s">
        <v>840</v>
      </c>
      <c r="C1577" t="s">
        <v>251</v>
      </c>
      <c r="D1577" t="s">
        <v>73</v>
      </c>
      <c r="E1577" t="s">
        <v>22</v>
      </c>
      <c r="F1577" s="30">
        <v>45504</v>
      </c>
      <c r="G1577" t="s">
        <v>870</v>
      </c>
      <c r="H1577" t="s">
        <v>4468</v>
      </c>
      <c r="I1577">
        <v>20</v>
      </c>
      <c r="J1577">
        <v>47.040000915527337</v>
      </c>
      <c r="L1577">
        <v>659</v>
      </c>
      <c r="M1577">
        <v>1134</v>
      </c>
      <c r="AS1577">
        <v>659</v>
      </c>
    </row>
    <row r="1578" spans="1:45" x14ac:dyDescent="0.3">
      <c r="A1578">
        <v>217</v>
      </c>
      <c r="B1578" t="s">
        <v>840</v>
      </c>
      <c r="C1578" t="s">
        <v>251</v>
      </c>
      <c r="D1578" t="s">
        <v>73</v>
      </c>
      <c r="E1578" t="s">
        <v>22</v>
      </c>
      <c r="F1578" s="30">
        <v>45504</v>
      </c>
      <c r="G1578" t="s">
        <v>870</v>
      </c>
      <c r="H1578" t="s">
        <v>4470</v>
      </c>
      <c r="I1578">
        <v>20</v>
      </c>
      <c r="J1578">
        <v>17.069999694824219</v>
      </c>
      <c r="L1578">
        <v>122.68</v>
      </c>
      <c r="M1578">
        <v>596.20000000000005</v>
      </c>
      <c r="AS1578">
        <v>122.68</v>
      </c>
    </row>
    <row r="1579" spans="1:45" x14ac:dyDescent="0.3">
      <c r="A1579">
        <v>217</v>
      </c>
      <c r="B1579" t="s">
        <v>840</v>
      </c>
      <c r="C1579" t="s">
        <v>251</v>
      </c>
      <c r="D1579" t="s">
        <v>73</v>
      </c>
      <c r="E1579" t="s">
        <v>22</v>
      </c>
      <c r="F1579" s="30">
        <v>45504</v>
      </c>
      <c r="G1579" t="s">
        <v>870</v>
      </c>
      <c r="H1579" t="s">
        <v>4469</v>
      </c>
      <c r="I1579">
        <v>20</v>
      </c>
      <c r="J1579">
        <v>13.85999965667725</v>
      </c>
      <c r="L1579">
        <v>82.4</v>
      </c>
      <c r="M1579">
        <v>512.20000000000005</v>
      </c>
      <c r="AS1579">
        <v>82.4</v>
      </c>
    </row>
    <row r="1580" spans="1:45" x14ac:dyDescent="0.3">
      <c r="A1580">
        <v>217</v>
      </c>
      <c r="B1580" t="s">
        <v>840</v>
      </c>
      <c r="C1580" t="s">
        <v>251</v>
      </c>
      <c r="D1580" t="s">
        <v>73</v>
      </c>
      <c r="E1580" t="s">
        <v>22</v>
      </c>
      <c r="F1580" s="30">
        <v>45504</v>
      </c>
      <c r="G1580" t="s">
        <v>870</v>
      </c>
      <c r="H1580" t="s">
        <v>4478</v>
      </c>
      <c r="I1580">
        <v>20</v>
      </c>
      <c r="J1580">
        <v>12.590000152587891</v>
      </c>
      <c r="L1580">
        <v>1.1000000000000001</v>
      </c>
      <c r="M1580">
        <v>7.64</v>
      </c>
      <c r="AS1580">
        <v>1.1000000000000001</v>
      </c>
    </row>
    <row r="1581" spans="1:45" x14ac:dyDescent="0.3">
      <c r="A1581">
        <v>218</v>
      </c>
      <c r="B1581" t="s">
        <v>888</v>
      </c>
      <c r="C1581" t="s">
        <v>251</v>
      </c>
      <c r="D1581" t="s">
        <v>73</v>
      </c>
      <c r="E1581" t="s">
        <v>56</v>
      </c>
      <c r="F1581" s="30">
        <v>45504</v>
      </c>
      <c r="G1581" t="s">
        <v>920</v>
      </c>
      <c r="H1581" t="s">
        <v>4468</v>
      </c>
      <c r="I1581">
        <v>76000</v>
      </c>
      <c r="J1581">
        <v>60232</v>
      </c>
      <c r="N1581">
        <v>60232</v>
      </c>
    </row>
    <row r="1582" spans="1:45" x14ac:dyDescent="0.3">
      <c r="A1582">
        <v>218</v>
      </c>
      <c r="B1582" t="s">
        <v>888</v>
      </c>
      <c r="C1582" t="s">
        <v>251</v>
      </c>
      <c r="D1582" t="s">
        <v>73</v>
      </c>
      <c r="E1582" t="s">
        <v>56</v>
      </c>
      <c r="F1582" s="30">
        <v>45504</v>
      </c>
      <c r="G1582" t="s">
        <v>920</v>
      </c>
      <c r="H1582" t="s">
        <v>4470</v>
      </c>
      <c r="I1582">
        <v>76000</v>
      </c>
      <c r="J1582">
        <v>41040</v>
      </c>
      <c r="N1582">
        <v>41040</v>
      </c>
    </row>
    <row r="1583" spans="1:45" x14ac:dyDescent="0.3">
      <c r="A1583">
        <v>218</v>
      </c>
      <c r="B1583" t="s">
        <v>888</v>
      </c>
      <c r="C1583" t="s">
        <v>251</v>
      </c>
      <c r="D1583" t="s">
        <v>73</v>
      </c>
      <c r="E1583" t="s">
        <v>56</v>
      </c>
      <c r="F1583" s="30">
        <v>45504</v>
      </c>
      <c r="G1583" t="s">
        <v>920</v>
      </c>
      <c r="H1583" t="s">
        <v>4477</v>
      </c>
      <c r="I1583">
        <v>5000</v>
      </c>
      <c r="J1583">
        <v>4320</v>
      </c>
      <c r="N1583">
        <v>4320</v>
      </c>
    </row>
    <row r="1584" spans="1:45" x14ac:dyDescent="0.3">
      <c r="A1584">
        <v>218</v>
      </c>
      <c r="B1584" t="s">
        <v>888</v>
      </c>
      <c r="C1584" t="s">
        <v>251</v>
      </c>
      <c r="D1584" t="s">
        <v>73</v>
      </c>
      <c r="E1584" t="s">
        <v>56</v>
      </c>
      <c r="F1584" s="30">
        <v>45504</v>
      </c>
      <c r="G1584" t="s">
        <v>920</v>
      </c>
      <c r="H1584" t="s">
        <v>4469</v>
      </c>
      <c r="I1584">
        <v>24000</v>
      </c>
      <c r="J1584">
        <v>20721</v>
      </c>
      <c r="N1584">
        <v>20721</v>
      </c>
    </row>
    <row r="1585" spans="1:94" x14ac:dyDescent="0.3">
      <c r="A1585">
        <v>218</v>
      </c>
      <c r="B1585" t="s">
        <v>888</v>
      </c>
      <c r="C1585" t="s">
        <v>251</v>
      </c>
      <c r="D1585" t="s">
        <v>73</v>
      </c>
      <c r="E1585" t="s">
        <v>56</v>
      </c>
      <c r="F1585" s="30">
        <v>45504</v>
      </c>
      <c r="G1585" t="s">
        <v>920</v>
      </c>
      <c r="H1585" t="s">
        <v>4476</v>
      </c>
      <c r="I1585">
        <v>5000</v>
      </c>
      <c r="J1585">
        <v>3480</v>
      </c>
      <c r="N1585">
        <v>3480</v>
      </c>
    </row>
    <row r="1586" spans="1:94" x14ac:dyDescent="0.3">
      <c r="A1586">
        <v>218</v>
      </c>
      <c r="B1586" t="s">
        <v>888</v>
      </c>
      <c r="C1586" t="s">
        <v>251</v>
      </c>
      <c r="D1586" t="s">
        <v>73</v>
      </c>
      <c r="E1586" t="s">
        <v>56</v>
      </c>
      <c r="F1586" s="30">
        <v>45504</v>
      </c>
      <c r="G1586" t="s">
        <v>920</v>
      </c>
      <c r="H1586" t="s">
        <v>4478</v>
      </c>
      <c r="I1586">
        <v>2000</v>
      </c>
      <c r="J1586">
        <v>1334</v>
      </c>
      <c r="N1586">
        <v>1334</v>
      </c>
    </row>
    <row r="1587" spans="1:94" x14ac:dyDescent="0.3">
      <c r="A1587">
        <v>225</v>
      </c>
      <c r="B1587" t="s">
        <v>976</v>
      </c>
      <c r="C1587" t="s">
        <v>251</v>
      </c>
      <c r="D1587" t="s">
        <v>73</v>
      </c>
      <c r="E1587" t="s">
        <v>22</v>
      </c>
      <c r="F1587" s="30">
        <v>45504</v>
      </c>
      <c r="G1587" t="s">
        <v>1007</v>
      </c>
      <c r="H1587" t="s">
        <v>4468</v>
      </c>
      <c r="I1587">
        <v>1</v>
      </c>
      <c r="J1587">
        <v>4</v>
      </c>
      <c r="AT1587">
        <v>4</v>
      </c>
    </row>
    <row r="1588" spans="1:94" x14ac:dyDescent="0.3">
      <c r="A1588">
        <v>225</v>
      </c>
      <c r="B1588" t="s">
        <v>976</v>
      </c>
      <c r="C1588" t="s">
        <v>251</v>
      </c>
      <c r="D1588" t="s">
        <v>73</v>
      </c>
      <c r="E1588" t="s">
        <v>22</v>
      </c>
      <c r="F1588" s="30">
        <v>45504</v>
      </c>
      <c r="G1588" t="s">
        <v>1007</v>
      </c>
      <c r="H1588" t="s">
        <v>4470</v>
      </c>
      <c r="I1588">
        <v>1</v>
      </c>
      <c r="J1588">
        <v>4</v>
      </c>
      <c r="AT1588">
        <v>4</v>
      </c>
    </row>
    <row r="1589" spans="1:94" x14ac:dyDescent="0.3">
      <c r="A1589">
        <v>225</v>
      </c>
      <c r="B1589" t="s">
        <v>976</v>
      </c>
      <c r="C1589" t="s">
        <v>251</v>
      </c>
      <c r="D1589" t="s">
        <v>73</v>
      </c>
      <c r="E1589" t="s">
        <v>22</v>
      </c>
      <c r="F1589" s="30">
        <v>45504</v>
      </c>
      <c r="G1589" t="s">
        <v>1007</v>
      </c>
      <c r="H1589" t="s">
        <v>4477</v>
      </c>
      <c r="I1589">
        <v>1</v>
      </c>
      <c r="J1589">
        <v>0</v>
      </c>
      <c r="AT1589">
        <v>0</v>
      </c>
    </row>
    <row r="1590" spans="1:94" x14ac:dyDescent="0.3">
      <c r="A1590">
        <v>225</v>
      </c>
      <c r="B1590" t="s">
        <v>976</v>
      </c>
      <c r="C1590" t="s">
        <v>251</v>
      </c>
      <c r="D1590" t="s">
        <v>73</v>
      </c>
      <c r="E1590" t="s">
        <v>22</v>
      </c>
      <c r="F1590" s="30">
        <v>45504</v>
      </c>
      <c r="G1590" t="s">
        <v>1007</v>
      </c>
      <c r="H1590" t="s">
        <v>4476</v>
      </c>
      <c r="I1590">
        <v>1</v>
      </c>
      <c r="J1590">
        <v>1</v>
      </c>
      <c r="AT1590">
        <v>1</v>
      </c>
    </row>
    <row r="1591" spans="1:94" x14ac:dyDescent="0.3">
      <c r="A1591">
        <v>225</v>
      </c>
      <c r="B1591" t="s">
        <v>976</v>
      </c>
      <c r="C1591" t="s">
        <v>251</v>
      </c>
      <c r="D1591" t="s">
        <v>73</v>
      </c>
      <c r="E1591" t="s">
        <v>22</v>
      </c>
      <c r="F1591" s="30">
        <v>45504</v>
      </c>
      <c r="G1591" t="s">
        <v>1007</v>
      </c>
      <c r="H1591" t="s">
        <v>4478</v>
      </c>
      <c r="I1591">
        <v>1</v>
      </c>
      <c r="J1591">
        <v>1</v>
      </c>
      <c r="AT1591">
        <v>1</v>
      </c>
    </row>
    <row r="1592" spans="1:94" x14ac:dyDescent="0.3">
      <c r="A1592">
        <v>225</v>
      </c>
      <c r="B1592" t="s">
        <v>976</v>
      </c>
      <c r="C1592" t="s">
        <v>251</v>
      </c>
      <c r="D1592" t="s">
        <v>73</v>
      </c>
      <c r="E1592" t="s">
        <v>22</v>
      </c>
      <c r="F1592" s="30">
        <v>45504</v>
      </c>
      <c r="G1592" t="s">
        <v>1007</v>
      </c>
      <c r="H1592" t="s">
        <v>4469</v>
      </c>
      <c r="I1592">
        <v>1</v>
      </c>
      <c r="J1592">
        <v>10</v>
      </c>
      <c r="AT1592">
        <v>10</v>
      </c>
    </row>
    <row r="1593" spans="1:94" x14ac:dyDescent="0.3">
      <c r="A1593">
        <v>434</v>
      </c>
      <c r="B1593" t="s">
        <v>2267</v>
      </c>
      <c r="C1593" t="s">
        <v>251</v>
      </c>
      <c r="D1593" t="s">
        <v>73</v>
      </c>
      <c r="E1593" t="s">
        <v>56</v>
      </c>
      <c r="F1593" s="30">
        <v>45504</v>
      </c>
      <c r="G1593" t="s">
        <v>2286</v>
      </c>
      <c r="H1593" t="s">
        <v>4468</v>
      </c>
      <c r="I1593">
        <v>100</v>
      </c>
      <c r="J1593">
        <v>1689.099975585938</v>
      </c>
      <c r="AV1593">
        <v>1689.93</v>
      </c>
    </row>
    <row r="1594" spans="1:94" x14ac:dyDescent="0.3">
      <c r="A1594">
        <v>434</v>
      </c>
      <c r="B1594" t="s">
        <v>2267</v>
      </c>
      <c r="C1594" t="s">
        <v>251</v>
      </c>
      <c r="D1594" t="s">
        <v>73</v>
      </c>
      <c r="E1594" t="s">
        <v>56</v>
      </c>
      <c r="F1594" s="30">
        <v>45504</v>
      </c>
      <c r="G1594" t="s">
        <v>2286</v>
      </c>
      <c r="H1594" t="s">
        <v>4470</v>
      </c>
      <c r="I1594">
        <v>25</v>
      </c>
      <c r="J1594">
        <v>0</v>
      </c>
      <c r="AV1594">
        <v>0.31</v>
      </c>
    </row>
    <row r="1595" spans="1:94" x14ac:dyDescent="0.3">
      <c r="A1595">
        <v>434</v>
      </c>
      <c r="B1595" t="s">
        <v>2267</v>
      </c>
      <c r="C1595" t="s">
        <v>251</v>
      </c>
      <c r="D1595" t="s">
        <v>73</v>
      </c>
      <c r="E1595" t="s">
        <v>56</v>
      </c>
      <c r="F1595" s="30">
        <v>45504</v>
      </c>
      <c r="G1595" t="s">
        <v>2286</v>
      </c>
      <c r="H1595" t="s">
        <v>4477</v>
      </c>
      <c r="I1595">
        <v>200</v>
      </c>
      <c r="J1595">
        <v>0</v>
      </c>
      <c r="AV1595">
        <v>0</v>
      </c>
    </row>
    <row r="1596" spans="1:94" x14ac:dyDescent="0.3">
      <c r="A1596">
        <v>434</v>
      </c>
      <c r="B1596" t="s">
        <v>2267</v>
      </c>
      <c r="C1596" t="s">
        <v>251</v>
      </c>
      <c r="D1596" t="s">
        <v>73</v>
      </c>
      <c r="E1596" t="s">
        <v>56</v>
      </c>
      <c r="F1596" s="30">
        <v>45504</v>
      </c>
      <c r="G1596" t="s">
        <v>2286</v>
      </c>
      <c r="H1596" t="s">
        <v>4469</v>
      </c>
      <c r="I1596">
        <v>25</v>
      </c>
      <c r="J1596">
        <v>0.5</v>
      </c>
      <c r="AV1596">
        <v>0.5</v>
      </c>
    </row>
    <row r="1597" spans="1:94" x14ac:dyDescent="0.3">
      <c r="A1597">
        <v>434</v>
      </c>
      <c r="B1597" t="s">
        <v>2267</v>
      </c>
      <c r="C1597" t="s">
        <v>251</v>
      </c>
      <c r="D1597" t="s">
        <v>73</v>
      </c>
      <c r="E1597" t="s">
        <v>56</v>
      </c>
      <c r="F1597" s="30">
        <v>45504</v>
      </c>
      <c r="G1597" t="s">
        <v>2286</v>
      </c>
      <c r="H1597" t="s">
        <v>4476</v>
      </c>
      <c r="I1597">
        <v>10</v>
      </c>
      <c r="J1597">
        <v>0</v>
      </c>
      <c r="AV1597">
        <v>0.12</v>
      </c>
    </row>
    <row r="1598" spans="1:94" x14ac:dyDescent="0.3">
      <c r="A1598">
        <v>436</v>
      </c>
      <c r="B1598" t="s">
        <v>2311</v>
      </c>
      <c r="C1598" t="s">
        <v>258</v>
      </c>
      <c r="D1598" t="s">
        <v>73</v>
      </c>
      <c r="E1598" t="s">
        <v>56</v>
      </c>
      <c r="F1598" s="30">
        <v>45504</v>
      </c>
      <c r="G1598" t="s">
        <v>2330</v>
      </c>
      <c r="H1598" t="s">
        <v>4579</v>
      </c>
      <c r="I1598">
        <v>7</v>
      </c>
      <c r="J1598">
        <v>6.8000001907348633</v>
      </c>
      <c r="CP1598">
        <v>6.8</v>
      </c>
    </row>
    <row r="1599" spans="1:94" x14ac:dyDescent="0.3">
      <c r="A1599">
        <v>436</v>
      </c>
      <c r="B1599" t="s">
        <v>2311</v>
      </c>
      <c r="C1599" t="s">
        <v>258</v>
      </c>
      <c r="D1599" t="s">
        <v>73</v>
      </c>
      <c r="E1599" t="s">
        <v>56</v>
      </c>
      <c r="F1599" s="30">
        <v>45504</v>
      </c>
      <c r="G1599" t="s">
        <v>2330</v>
      </c>
      <c r="H1599" t="s">
        <v>4580</v>
      </c>
      <c r="I1599">
        <v>7</v>
      </c>
      <c r="J1599">
        <v>2.5999999046325679</v>
      </c>
      <c r="CP1599">
        <v>2.6</v>
      </c>
    </row>
    <row r="1600" spans="1:94" x14ac:dyDescent="0.3">
      <c r="A1600">
        <v>208</v>
      </c>
      <c r="B1600" t="s">
        <v>707</v>
      </c>
      <c r="C1600" t="s">
        <v>251</v>
      </c>
      <c r="D1600" t="s">
        <v>73</v>
      </c>
      <c r="E1600" t="s">
        <v>56</v>
      </c>
      <c r="F1600" s="30">
        <v>45535</v>
      </c>
      <c r="G1600" t="s">
        <v>740</v>
      </c>
      <c r="H1600" t="s">
        <v>4468</v>
      </c>
      <c r="I1600">
        <v>950</v>
      </c>
      <c r="J1600">
        <v>782</v>
      </c>
      <c r="K1600">
        <v>782</v>
      </c>
    </row>
    <row r="1601" spans="1:45" x14ac:dyDescent="0.3">
      <c r="A1601">
        <v>208</v>
      </c>
      <c r="B1601" t="s">
        <v>707</v>
      </c>
      <c r="C1601" t="s">
        <v>251</v>
      </c>
      <c r="D1601" t="s">
        <v>73</v>
      </c>
      <c r="E1601" t="s">
        <v>56</v>
      </c>
      <c r="F1601" s="30">
        <v>45535</v>
      </c>
      <c r="G1601" t="s">
        <v>740</v>
      </c>
      <c r="H1601" t="s">
        <v>4470</v>
      </c>
      <c r="I1601">
        <v>350</v>
      </c>
      <c r="J1601">
        <v>258</v>
      </c>
      <c r="K1601">
        <v>258</v>
      </c>
    </row>
    <row r="1602" spans="1:45" x14ac:dyDescent="0.3">
      <c r="A1602">
        <v>208</v>
      </c>
      <c r="B1602" t="s">
        <v>707</v>
      </c>
      <c r="C1602" t="s">
        <v>251</v>
      </c>
      <c r="D1602" t="s">
        <v>73</v>
      </c>
      <c r="E1602" t="s">
        <v>56</v>
      </c>
      <c r="F1602" s="30">
        <v>45535</v>
      </c>
      <c r="G1602" t="s">
        <v>740</v>
      </c>
      <c r="H1602" t="s">
        <v>4477</v>
      </c>
      <c r="I1602">
        <v>25</v>
      </c>
      <c r="J1602">
        <v>7.5</v>
      </c>
      <c r="K1602">
        <v>7.5</v>
      </c>
    </row>
    <row r="1603" spans="1:45" x14ac:dyDescent="0.3">
      <c r="A1603">
        <v>208</v>
      </c>
      <c r="B1603" t="s">
        <v>707</v>
      </c>
      <c r="C1603" t="s">
        <v>251</v>
      </c>
      <c r="D1603" t="s">
        <v>73</v>
      </c>
      <c r="E1603" t="s">
        <v>56</v>
      </c>
      <c r="F1603" s="30">
        <v>45535</v>
      </c>
      <c r="G1603" t="s">
        <v>740</v>
      </c>
      <c r="H1603" t="s">
        <v>4476</v>
      </c>
      <c r="I1603">
        <v>0</v>
      </c>
      <c r="J1603">
        <v>0</v>
      </c>
      <c r="K1603">
        <v>0</v>
      </c>
    </row>
    <row r="1604" spans="1:45" x14ac:dyDescent="0.3">
      <c r="A1604">
        <v>208</v>
      </c>
      <c r="B1604" t="s">
        <v>707</v>
      </c>
      <c r="C1604" t="s">
        <v>251</v>
      </c>
      <c r="D1604" t="s">
        <v>73</v>
      </c>
      <c r="E1604" t="s">
        <v>56</v>
      </c>
      <c r="F1604" s="30">
        <v>45535</v>
      </c>
      <c r="G1604" t="s">
        <v>740</v>
      </c>
      <c r="H1604" t="s">
        <v>4478</v>
      </c>
      <c r="I1604">
        <v>25</v>
      </c>
      <c r="J1604">
        <v>3</v>
      </c>
      <c r="K1604">
        <v>3</v>
      </c>
    </row>
    <row r="1605" spans="1:45" x14ac:dyDescent="0.3">
      <c r="A1605">
        <v>208</v>
      </c>
      <c r="B1605" t="s">
        <v>707</v>
      </c>
      <c r="C1605" t="s">
        <v>251</v>
      </c>
      <c r="D1605" t="s">
        <v>73</v>
      </c>
      <c r="E1605" t="s">
        <v>56</v>
      </c>
      <c r="F1605" s="30">
        <v>45535</v>
      </c>
      <c r="G1605" t="s">
        <v>740</v>
      </c>
      <c r="H1605" t="s">
        <v>4469</v>
      </c>
      <c r="I1605">
        <v>200</v>
      </c>
      <c r="J1605">
        <v>231</v>
      </c>
      <c r="K1605">
        <v>231</v>
      </c>
    </row>
    <row r="1606" spans="1:45" x14ac:dyDescent="0.3">
      <c r="A1606">
        <v>214</v>
      </c>
      <c r="B1606" t="s">
        <v>774</v>
      </c>
      <c r="C1606" t="s">
        <v>251</v>
      </c>
      <c r="D1606" t="s">
        <v>73</v>
      </c>
      <c r="E1606" t="s">
        <v>56</v>
      </c>
      <c r="F1606" s="30">
        <v>45535</v>
      </c>
      <c r="G1606" t="s">
        <v>807</v>
      </c>
      <c r="H1606" t="s">
        <v>4468</v>
      </c>
      <c r="I1606">
        <v>5500</v>
      </c>
      <c r="J1606">
        <v>4619</v>
      </c>
      <c r="L1606">
        <v>1200</v>
      </c>
      <c r="M1606">
        <v>3419</v>
      </c>
    </row>
    <row r="1607" spans="1:45" x14ac:dyDescent="0.3">
      <c r="A1607">
        <v>214</v>
      </c>
      <c r="B1607" t="s">
        <v>774</v>
      </c>
      <c r="C1607" t="s">
        <v>251</v>
      </c>
      <c r="D1607" t="s">
        <v>73</v>
      </c>
      <c r="E1607" t="s">
        <v>56</v>
      </c>
      <c r="F1607" s="30">
        <v>45535</v>
      </c>
      <c r="G1607" t="s">
        <v>807</v>
      </c>
      <c r="H1607" t="s">
        <v>4470</v>
      </c>
      <c r="I1607">
        <v>1000</v>
      </c>
      <c r="J1607">
        <v>961.96002197265625</v>
      </c>
      <c r="L1607">
        <v>162.71</v>
      </c>
      <c r="M1607">
        <v>799.25</v>
      </c>
    </row>
    <row r="1608" spans="1:45" x14ac:dyDescent="0.3">
      <c r="A1608">
        <v>214</v>
      </c>
      <c r="B1608" t="s">
        <v>774</v>
      </c>
      <c r="C1608" t="s">
        <v>251</v>
      </c>
      <c r="D1608" t="s">
        <v>73</v>
      </c>
      <c r="E1608" t="s">
        <v>56</v>
      </c>
      <c r="F1608" s="30">
        <v>45535</v>
      </c>
      <c r="G1608" t="s">
        <v>807</v>
      </c>
      <c r="H1608" t="s">
        <v>4477</v>
      </c>
      <c r="I1608">
        <v>7500</v>
      </c>
      <c r="J1608">
        <v>0</v>
      </c>
      <c r="L1608">
        <v>0</v>
      </c>
      <c r="M1608">
        <v>0</v>
      </c>
    </row>
    <row r="1609" spans="1:45" x14ac:dyDescent="0.3">
      <c r="A1609">
        <v>214</v>
      </c>
      <c r="B1609" t="s">
        <v>774</v>
      </c>
      <c r="C1609" t="s">
        <v>251</v>
      </c>
      <c r="D1609" t="s">
        <v>73</v>
      </c>
      <c r="E1609" t="s">
        <v>56</v>
      </c>
      <c r="F1609" s="30">
        <v>45535</v>
      </c>
      <c r="G1609" t="s">
        <v>807</v>
      </c>
      <c r="H1609" t="s">
        <v>4476</v>
      </c>
      <c r="I1609">
        <v>1</v>
      </c>
      <c r="J1609">
        <v>0</v>
      </c>
      <c r="L1609">
        <v>0</v>
      </c>
      <c r="M1609">
        <v>0</v>
      </c>
    </row>
    <row r="1610" spans="1:45" x14ac:dyDescent="0.3">
      <c r="A1610">
        <v>214</v>
      </c>
      <c r="B1610" t="s">
        <v>774</v>
      </c>
      <c r="C1610" t="s">
        <v>251</v>
      </c>
      <c r="D1610" t="s">
        <v>73</v>
      </c>
      <c r="E1610" t="s">
        <v>56</v>
      </c>
      <c r="F1610" s="30">
        <v>45535</v>
      </c>
      <c r="G1610" t="s">
        <v>807</v>
      </c>
      <c r="H1610" t="s">
        <v>4478</v>
      </c>
      <c r="I1610">
        <v>1</v>
      </c>
      <c r="J1610">
        <v>10.64000034332275</v>
      </c>
      <c r="L1610">
        <v>0.9</v>
      </c>
      <c r="M1610">
        <v>9.74</v>
      </c>
    </row>
    <row r="1611" spans="1:45" x14ac:dyDescent="0.3">
      <c r="A1611">
        <v>217</v>
      </c>
      <c r="B1611" t="s">
        <v>840</v>
      </c>
      <c r="C1611" t="s">
        <v>251</v>
      </c>
      <c r="D1611" t="s">
        <v>73</v>
      </c>
      <c r="E1611" t="s">
        <v>22</v>
      </c>
      <c r="F1611" s="30">
        <v>45535</v>
      </c>
      <c r="G1611" t="s">
        <v>871</v>
      </c>
      <c r="H1611" t="s">
        <v>4468</v>
      </c>
      <c r="I1611">
        <v>20</v>
      </c>
      <c r="J1611">
        <v>25.979999542236332</v>
      </c>
      <c r="L1611">
        <v>1200</v>
      </c>
      <c r="M1611">
        <v>3419</v>
      </c>
      <c r="AS1611">
        <v>1200</v>
      </c>
    </row>
    <row r="1612" spans="1:45" x14ac:dyDescent="0.3">
      <c r="A1612">
        <v>217</v>
      </c>
      <c r="B1612" t="s">
        <v>840</v>
      </c>
      <c r="C1612" t="s">
        <v>251</v>
      </c>
      <c r="D1612" t="s">
        <v>73</v>
      </c>
      <c r="E1612" t="s">
        <v>22</v>
      </c>
      <c r="F1612" s="30">
        <v>45535</v>
      </c>
      <c r="G1612" t="s">
        <v>871</v>
      </c>
      <c r="H1612" t="s">
        <v>4470</v>
      </c>
      <c r="I1612">
        <v>20</v>
      </c>
      <c r="J1612">
        <v>16.909999847412109</v>
      </c>
      <c r="L1612">
        <v>162.71</v>
      </c>
      <c r="M1612">
        <v>799.25</v>
      </c>
      <c r="AS1612">
        <v>162.71</v>
      </c>
    </row>
    <row r="1613" spans="1:45" x14ac:dyDescent="0.3">
      <c r="A1613">
        <v>217</v>
      </c>
      <c r="B1613" t="s">
        <v>840</v>
      </c>
      <c r="C1613" t="s">
        <v>251</v>
      </c>
      <c r="D1613" t="s">
        <v>73</v>
      </c>
      <c r="E1613" t="s">
        <v>22</v>
      </c>
      <c r="F1613" s="30">
        <v>45535</v>
      </c>
      <c r="G1613" t="s">
        <v>871</v>
      </c>
      <c r="H1613" t="s">
        <v>4477</v>
      </c>
      <c r="I1613">
        <v>20</v>
      </c>
      <c r="J1613">
        <v>0</v>
      </c>
      <c r="L1613">
        <v>0</v>
      </c>
      <c r="M1613">
        <v>0</v>
      </c>
      <c r="AS1613">
        <v>0</v>
      </c>
    </row>
    <row r="1614" spans="1:45" x14ac:dyDescent="0.3">
      <c r="A1614">
        <v>217</v>
      </c>
      <c r="B1614" t="s">
        <v>840</v>
      </c>
      <c r="C1614" t="s">
        <v>251</v>
      </c>
      <c r="D1614" t="s">
        <v>73</v>
      </c>
      <c r="E1614" t="s">
        <v>22</v>
      </c>
      <c r="F1614" s="30">
        <v>45535</v>
      </c>
      <c r="G1614" t="s">
        <v>871</v>
      </c>
      <c r="H1614" t="s">
        <v>4476</v>
      </c>
      <c r="I1614">
        <v>20</v>
      </c>
      <c r="J1614">
        <v>0</v>
      </c>
      <c r="L1614">
        <v>0</v>
      </c>
      <c r="M1614">
        <v>0</v>
      </c>
      <c r="AS1614">
        <v>0</v>
      </c>
    </row>
    <row r="1615" spans="1:45" x14ac:dyDescent="0.3">
      <c r="A1615">
        <v>217</v>
      </c>
      <c r="B1615" t="s">
        <v>840</v>
      </c>
      <c r="C1615" t="s">
        <v>251</v>
      </c>
      <c r="D1615" t="s">
        <v>73</v>
      </c>
      <c r="E1615" t="s">
        <v>22</v>
      </c>
      <c r="F1615" s="30">
        <v>45535</v>
      </c>
      <c r="G1615" t="s">
        <v>871</v>
      </c>
      <c r="H1615" t="s">
        <v>4469</v>
      </c>
      <c r="I1615">
        <v>20</v>
      </c>
      <c r="J1615">
        <v>17.45999908447266</v>
      </c>
      <c r="L1615">
        <v>63.8</v>
      </c>
      <c r="M1615">
        <v>301.62</v>
      </c>
      <c r="AS1615">
        <v>63.8</v>
      </c>
    </row>
    <row r="1616" spans="1:45" x14ac:dyDescent="0.3">
      <c r="A1616">
        <v>217</v>
      </c>
      <c r="B1616" t="s">
        <v>840</v>
      </c>
      <c r="C1616" t="s">
        <v>251</v>
      </c>
      <c r="D1616" t="s">
        <v>73</v>
      </c>
      <c r="E1616" t="s">
        <v>22</v>
      </c>
      <c r="F1616" s="30">
        <v>45535</v>
      </c>
      <c r="G1616" t="s">
        <v>871</v>
      </c>
      <c r="H1616" t="s">
        <v>4478</v>
      </c>
      <c r="I1616">
        <v>20</v>
      </c>
      <c r="J1616">
        <v>8.4600000381469727</v>
      </c>
      <c r="L1616">
        <v>0.9</v>
      </c>
      <c r="M1616">
        <v>9.74</v>
      </c>
      <c r="AS1616">
        <v>0.9</v>
      </c>
    </row>
    <row r="1617" spans="1:48" x14ac:dyDescent="0.3">
      <c r="A1617">
        <v>218</v>
      </c>
      <c r="B1617" t="s">
        <v>888</v>
      </c>
      <c r="C1617" t="s">
        <v>251</v>
      </c>
      <c r="D1617" t="s">
        <v>73</v>
      </c>
      <c r="E1617" t="s">
        <v>56</v>
      </c>
      <c r="F1617" s="30">
        <v>45535</v>
      </c>
      <c r="G1617" t="s">
        <v>921</v>
      </c>
      <c r="H1617" t="s">
        <v>4470</v>
      </c>
      <c r="I1617">
        <v>76000</v>
      </c>
      <c r="J1617">
        <v>46170</v>
      </c>
      <c r="N1617">
        <v>46170</v>
      </c>
    </row>
    <row r="1618" spans="1:48" x14ac:dyDescent="0.3">
      <c r="A1618">
        <v>218</v>
      </c>
      <c r="B1618" t="s">
        <v>888</v>
      </c>
      <c r="C1618" t="s">
        <v>251</v>
      </c>
      <c r="D1618" t="s">
        <v>73</v>
      </c>
      <c r="E1618" t="s">
        <v>56</v>
      </c>
      <c r="F1618" s="30">
        <v>45535</v>
      </c>
      <c r="G1618" t="s">
        <v>921</v>
      </c>
      <c r="H1618" t="s">
        <v>4477</v>
      </c>
      <c r="I1618">
        <v>5000</v>
      </c>
      <c r="J1618">
        <v>4500</v>
      </c>
      <c r="N1618">
        <v>4500</v>
      </c>
    </row>
    <row r="1619" spans="1:48" x14ac:dyDescent="0.3">
      <c r="A1619">
        <v>218</v>
      </c>
      <c r="B1619" t="s">
        <v>888</v>
      </c>
      <c r="C1619" t="s">
        <v>251</v>
      </c>
      <c r="D1619" t="s">
        <v>73</v>
      </c>
      <c r="E1619" t="s">
        <v>56</v>
      </c>
      <c r="F1619" s="30">
        <v>45535</v>
      </c>
      <c r="G1619" t="s">
        <v>921</v>
      </c>
      <c r="H1619" t="s">
        <v>4469</v>
      </c>
      <c r="I1619">
        <v>24000</v>
      </c>
      <c r="J1619">
        <v>17050</v>
      </c>
      <c r="N1619">
        <v>17050</v>
      </c>
    </row>
    <row r="1620" spans="1:48" x14ac:dyDescent="0.3">
      <c r="A1620">
        <v>218</v>
      </c>
      <c r="B1620" t="s">
        <v>888</v>
      </c>
      <c r="C1620" t="s">
        <v>251</v>
      </c>
      <c r="D1620" t="s">
        <v>73</v>
      </c>
      <c r="E1620" t="s">
        <v>56</v>
      </c>
      <c r="F1620" s="30">
        <v>45535</v>
      </c>
      <c r="G1620" t="s">
        <v>921</v>
      </c>
      <c r="H1620" t="s">
        <v>4476</v>
      </c>
      <c r="I1620">
        <v>5000</v>
      </c>
      <c r="J1620">
        <v>2400</v>
      </c>
      <c r="N1620">
        <v>2400</v>
      </c>
    </row>
    <row r="1621" spans="1:48" x14ac:dyDescent="0.3">
      <c r="A1621">
        <v>218</v>
      </c>
      <c r="B1621" t="s">
        <v>888</v>
      </c>
      <c r="C1621" t="s">
        <v>251</v>
      </c>
      <c r="D1621" t="s">
        <v>73</v>
      </c>
      <c r="E1621" t="s">
        <v>56</v>
      </c>
      <c r="F1621" s="30">
        <v>45535</v>
      </c>
      <c r="G1621" t="s">
        <v>921</v>
      </c>
      <c r="H1621" t="s">
        <v>4478</v>
      </c>
      <c r="I1621">
        <v>2000</v>
      </c>
      <c r="J1621">
        <v>1115</v>
      </c>
      <c r="N1621">
        <v>1115</v>
      </c>
    </row>
    <row r="1622" spans="1:48" x14ac:dyDescent="0.3">
      <c r="A1622">
        <v>218</v>
      </c>
      <c r="B1622" t="s">
        <v>888</v>
      </c>
      <c r="C1622" t="s">
        <v>251</v>
      </c>
      <c r="D1622" t="s">
        <v>73</v>
      </c>
      <c r="E1622" t="s">
        <v>56</v>
      </c>
      <c r="F1622" s="30">
        <v>45535</v>
      </c>
      <c r="G1622" t="s">
        <v>921</v>
      </c>
      <c r="H1622" t="s">
        <v>4468</v>
      </c>
      <c r="I1622">
        <v>76000</v>
      </c>
      <c r="J1622">
        <v>70574.9296875</v>
      </c>
      <c r="N1622">
        <v>70574.929999999993</v>
      </c>
    </row>
    <row r="1623" spans="1:48" x14ac:dyDescent="0.3">
      <c r="A1623">
        <v>225</v>
      </c>
      <c r="B1623" t="s">
        <v>976</v>
      </c>
      <c r="C1623" t="s">
        <v>251</v>
      </c>
      <c r="D1623" t="s">
        <v>73</v>
      </c>
      <c r="E1623" t="s">
        <v>22</v>
      </c>
      <c r="F1623" s="30">
        <v>45535</v>
      </c>
      <c r="G1623" t="s">
        <v>1008</v>
      </c>
      <c r="H1623" t="s">
        <v>4468</v>
      </c>
      <c r="I1623">
        <v>1</v>
      </c>
      <c r="J1623">
        <v>5</v>
      </c>
      <c r="AT1623">
        <v>5</v>
      </c>
    </row>
    <row r="1624" spans="1:48" x14ac:dyDescent="0.3">
      <c r="A1624">
        <v>225</v>
      </c>
      <c r="B1624" t="s">
        <v>976</v>
      </c>
      <c r="C1624" t="s">
        <v>251</v>
      </c>
      <c r="D1624" t="s">
        <v>73</v>
      </c>
      <c r="E1624" t="s">
        <v>22</v>
      </c>
      <c r="F1624" s="30">
        <v>45535</v>
      </c>
      <c r="G1624" t="s">
        <v>1008</v>
      </c>
      <c r="H1624" t="s">
        <v>4470</v>
      </c>
      <c r="I1624">
        <v>1</v>
      </c>
      <c r="J1624">
        <v>4</v>
      </c>
      <c r="AT1624">
        <v>4</v>
      </c>
    </row>
    <row r="1625" spans="1:48" x14ac:dyDescent="0.3">
      <c r="A1625">
        <v>225</v>
      </c>
      <c r="B1625" t="s">
        <v>976</v>
      </c>
      <c r="C1625" t="s">
        <v>251</v>
      </c>
      <c r="D1625" t="s">
        <v>73</v>
      </c>
      <c r="E1625" t="s">
        <v>22</v>
      </c>
      <c r="F1625" s="30">
        <v>45535</v>
      </c>
      <c r="G1625" t="s">
        <v>1008</v>
      </c>
      <c r="H1625" t="s">
        <v>4469</v>
      </c>
      <c r="I1625">
        <v>1</v>
      </c>
      <c r="J1625">
        <v>10</v>
      </c>
      <c r="AT1625">
        <v>10</v>
      </c>
    </row>
    <row r="1626" spans="1:48" x14ac:dyDescent="0.3">
      <c r="A1626">
        <v>225</v>
      </c>
      <c r="B1626" t="s">
        <v>976</v>
      </c>
      <c r="C1626" t="s">
        <v>251</v>
      </c>
      <c r="D1626" t="s">
        <v>73</v>
      </c>
      <c r="E1626" t="s">
        <v>22</v>
      </c>
      <c r="F1626" s="30">
        <v>45535</v>
      </c>
      <c r="G1626" t="s">
        <v>1008</v>
      </c>
      <c r="H1626" t="s">
        <v>4476</v>
      </c>
      <c r="I1626">
        <v>1</v>
      </c>
      <c r="J1626">
        <v>1</v>
      </c>
      <c r="AT1626">
        <v>1</v>
      </c>
    </row>
    <row r="1627" spans="1:48" x14ac:dyDescent="0.3">
      <c r="A1627">
        <v>225</v>
      </c>
      <c r="B1627" t="s">
        <v>976</v>
      </c>
      <c r="C1627" t="s">
        <v>251</v>
      </c>
      <c r="D1627" t="s">
        <v>73</v>
      </c>
      <c r="E1627" t="s">
        <v>22</v>
      </c>
      <c r="F1627" s="30">
        <v>45535</v>
      </c>
      <c r="G1627" t="s">
        <v>1008</v>
      </c>
      <c r="H1627" t="s">
        <v>4478</v>
      </c>
      <c r="I1627">
        <v>1</v>
      </c>
      <c r="J1627">
        <v>1</v>
      </c>
      <c r="AT1627">
        <v>1</v>
      </c>
    </row>
    <row r="1628" spans="1:48" x14ac:dyDescent="0.3">
      <c r="A1628">
        <v>434</v>
      </c>
      <c r="B1628" t="s">
        <v>2267</v>
      </c>
      <c r="C1628" t="s">
        <v>251</v>
      </c>
      <c r="D1628" t="s">
        <v>73</v>
      </c>
      <c r="E1628" t="s">
        <v>56</v>
      </c>
      <c r="F1628" s="30">
        <v>45535</v>
      </c>
      <c r="G1628" t="s">
        <v>2287</v>
      </c>
      <c r="H1628" t="s">
        <v>4477</v>
      </c>
      <c r="I1628">
        <v>200</v>
      </c>
      <c r="J1628">
        <v>0</v>
      </c>
      <c r="AV1628">
        <v>0</v>
      </c>
    </row>
    <row r="1629" spans="1:48" x14ac:dyDescent="0.3">
      <c r="A1629">
        <v>434</v>
      </c>
      <c r="B1629" t="s">
        <v>2267</v>
      </c>
      <c r="C1629" t="s">
        <v>251</v>
      </c>
      <c r="D1629" t="s">
        <v>73</v>
      </c>
      <c r="E1629" t="s">
        <v>56</v>
      </c>
      <c r="F1629" s="30">
        <v>45535</v>
      </c>
      <c r="G1629" t="s">
        <v>2287</v>
      </c>
      <c r="H1629" t="s">
        <v>4470</v>
      </c>
      <c r="I1629">
        <v>25</v>
      </c>
      <c r="J1629">
        <v>1.3500000238418579</v>
      </c>
      <c r="AV1629">
        <v>1.35</v>
      </c>
    </row>
    <row r="1630" spans="1:48" x14ac:dyDescent="0.3">
      <c r="A1630">
        <v>434</v>
      </c>
      <c r="B1630" t="s">
        <v>2267</v>
      </c>
      <c r="C1630" t="s">
        <v>251</v>
      </c>
      <c r="D1630" t="s">
        <v>73</v>
      </c>
      <c r="E1630" t="s">
        <v>56</v>
      </c>
      <c r="F1630" s="30">
        <v>45535</v>
      </c>
      <c r="G1630" t="s">
        <v>2287</v>
      </c>
      <c r="H1630" t="s">
        <v>4468</v>
      </c>
      <c r="I1630">
        <v>100</v>
      </c>
      <c r="J1630">
        <v>246.94999694824219</v>
      </c>
      <c r="AV1630">
        <v>246.95</v>
      </c>
    </row>
    <row r="1631" spans="1:48" x14ac:dyDescent="0.3">
      <c r="A1631">
        <v>434</v>
      </c>
      <c r="B1631" t="s">
        <v>2267</v>
      </c>
      <c r="C1631" t="s">
        <v>251</v>
      </c>
      <c r="D1631" t="s">
        <v>73</v>
      </c>
      <c r="E1631" t="s">
        <v>56</v>
      </c>
      <c r="F1631" s="30">
        <v>45535</v>
      </c>
      <c r="G1631" t="s">
        <v>2287</v>
      </c>
      <c r="H1631" t="s">
        <v>4476</v>
      </c>
      <c r="I1631">
        <v>10</v>
      </c>
      <c r="J1631">
        <v>0.20000000298023221</v>
      </c>
      <c r="AV1631">
        <v>0.2</v>
      </c>
    </row>
    <row r="1632" spans="1:48" x14ac:dyDescent="0.3">
      <c r="A1632">
        <v>434</v>
      </c>
      <c r="B1632" t="s">
        <v>2267</v>
      </c>
      <c r="C1632" t="s">
        <v>251</v>
      </c>
      <c r="D1632" t="s">
        <v>73</v>
      </c>
      <c r="E1632" t="s">
        <v>56</v>
      </c>
      <c r="F1632" s="30">
        <v>45535</v>
      </c>
      <c r="G1632" t="s">
        <v>2287</v>
      </c>
      <c r="H1632" t="s">
        <v>4469</v>
      </c>
      <c r="I1632">
        <v>25</v>
      </c>
      <c r="J1632">
        <v>606.5999755859375</v>
      </c>
      <c r="AV1632">
        <v>606.6</v>
      </c>
    </row>
    <row r="1633" spans="1:94" x14ac:dyDescent="0.3">
      <c r="A1633">
        <v>436</v>
      </c>
      <c r="B1633" t="s">
        <v>2311</v>
      </c>
      <c r="C1633" t="s">
        <v>258</v>
      </c>
      <c r="D1633" t="s">
        <v>73</v>
      </c>
      <c r="E1633" t="s">
        <v>56</v>
      </c>
      <c r="F1633" s="30">
        <v>45535</v>
      </c>
      <c r="G1633" t="s">
        <v>2331</v>
      </c>
      <c r="H1633" t="s">
        <v>4579</v>
      </c>
      <c r="I1633">
        <v>7</v>
      </c>
      <c r="J1633">
        <v>7.5</v>
      </c>
      <c r="CP1633">
        <v>7.5</v>
      </c>
    </row>
    <row r="1634" spans="1:94" x14ac:dyDescent="0.3">
      <c r="A1634">
        <v>436</v>
      </c>
      <c r="B1634" t="s">
        <v>2311</v>
      </c>
      <c r="C1634" t="s">
        <v>258</v>
      </c>
      <c r="D1634" t="s">
        <v>73</v>
      </c>
      <c r="E1634" t="s">
        <v>56</v>
      </c>
      <c r="F1634" s="30">
        <v>45535</v>
      </c>
      <c r="G1634" t="s">
        <v>2331</v>
      </c>
      <c r="H1634" t="s">
        <v>4580</v>
      </c>
      <c r="I1634">
        <v>7</v>
      </c>
      <c r="J1634">
        <v>1</v>
      </c>
      <c r="CP1634">
        <v>1</v>
      </c>
    </row>
    <row r="1635" spans="1:94" x14ac:dyDescent="0.3">
      <c r="A1635">
        <v>208</v>
      </c>
      <c r="B1635" t="s">
        <v>707</v>
      </c>
      <c r="C1635" t="s">
        <v>251</v>
      </c>
      <c r="D1635" t="s">
        <v>73</v>
      </c>
      <c r="E1635" t="s">
        <v>56</v>
      </c>
      <c r="F1635" s="30">
        <v>45565</v>
      </c>
      <c r="G1635" t="s">
        <v>741</v>
      </c>
      <c r="H1635" t="s">
        <v>4468</v>
      </c>
      <c r="I1635">
        <v>950</v>
      </c>
      <c r="J1635">
        <v>861</v>
      </c>
      <c r="K1635">
        <v>861</v>
      </c>
    </row>
    <row r="1636" spans="1:94" x14ac:dyDescent="0.3">
      <c r="A1636">
        <v>208</v>
      </c>
      <c r="B1636" t="s">
        <v>707</v>
      </c>
      <c r="C1636" t="s">
        <v>251</v>
      </c>
      <c r="D1636" t="s">
        <v>73</v>
      </c>
      <c r="E1636" t="s">
        <v>56</v>
      </c>
      <c r="F1636" s="30">
        <v>45565</v>
      </c>
      <c r="G1636" t="s">
        <v>741</v>
      </c>
      <c r="H1636" t="s">
        <v>4470</v>
      </c>
      <c r="I1636">
        <v>350</v>
      </c>
      <c r="J1636">
        <v>397.5</v>
      </c>
      <c r="K1636">
        <v>397.5</v>
      </c>
    </row>
    <row r="1637" spans="1:94" x14ac:dyDescent="0.3">
      <c r="A1637">
        <v>208</v>
      </c>
      <c r="B1637" t="s">
        <v>707</v>
      </c>
      <c r="C1637" t="s">
        <v>251</v>
      </c>
      <c r="D1637" t="s">
        <v>73</v>
      </c>
      <c r="E1637" t="s">
        <v>56</v>
      </c>
      <c r="F1637" s="30">
        <v>45565</v>
      </c>
      <c r="G1637" t="s">
        <v>741</v>
      </c>
      <c r="H1637" t="s">
        <v>4477</v>
      </c>
      <c r="I1637">
        <v>25</v>
      </c>
      <c r="J1637">
        <v>7.5</v>
      </c>
      <c r="K1637">
        <v>7.5</v>
      </c>
    </row>
    <row r="1638" spans="1:94" x14ac:dyDescent="0.3">
      <c r="A1638">
        <v>208</v>
      </c>
      <c r="B1638" t="s">
        <v>707</v>
      </c>
      <c r="C1638" t="s">
        <v>251</v>
      </c>
      <c r="D1638" t="s">
        <v>73</v>
      </c>
      <c r="E1638" t="s">
        <v>56</v>
      </c>
      <c r="F1638" s="30">
        <v>45565</v>
      </c>
      <c r="G1638" t="s">
        <v>741</v>
      </c>
      <c r="H1638" t="s">
        <v>4476</v>
      </c>
      <c r="I1638">
        <v>0</v>
      </c>
      <c r="J1638">
        <v>0</v>
      </c>
      <c r="K1638">
        <v>0</v>
      </c>
    </row>
    <row r="1639" spans="1:94" x14ac:dyDescent="0.3">
      <c r="A1639">
        <v>208</v>
      </c>
      <c r="B1639" t="s">
        <v>707</v>
      </c>
      <c r="C1639" t="s">
        <v>251</v>
      </c>
      <c r="D1639" t="s">
        <v>73</v>
      </c>
      <c r="E1639" t="s">
        <v>56</v>
      </c>
      <c r="F1639" s="30">
        <v>45565</v>
      </c>
      <c r="G1639" t="s">
        <v>741</v>
      </c>
      <c r="H1639" t="s">
        <v>4478</v>
      </c>
      <c r="I1639">
        <v>25</v>
      </c>
      <c r="J1639">
        <v>5</v>
      </c>
      <c r="K1639">
        <v>5</v>
      </c>
    </row>
    <row r="1640" spans="1:94" x14ac:dyDescent="0.3">
      <c r="A1640">
        <v>208</v>
      </c>
      <c r="B1640" t="s">
        <v>707</v>
      </c>
      <c r="C1640" t="s">
        <v>251</v>
      </c>
      <c r="D1640" t="s">
        <v>73</v>
      </c>
      <c r="E1640" t="s">
        <v>56</v>
      </c>
      <c r="F1640" s="30">
        <v>45565</v>
      </c>
      <c r="G1640" t="s">
        <v>741</v>
      </c>
      <c r="H1640" t="s">
        <v>4469</v>
      </c>
      <c r="I1640">
        <v>200</v>
      </c>
      <c r="J1640">
        <v>195</v>
      </c>
      <c r="K1640">
        <v>195</v>
      </c>
    </row>
    <row r="1641" spans="1:94" x14ac:dyDescent="0.3">
      <c r="A1641">
        <v>214</v>
      </c>
      <c r="B1641" t="s">
        <v>774</v>
      </c>
      <c r="C1641" t="s">
        <v>251</v>
      </c>
      <c r="D1641" t="s">
        <v>73</v>
      </c>
      <c r="E1641" t="s">
        <v>56</v>
      </c>
      <c r="F1641" s="30">
        <v>45565</v>
      </c>
      <c r="G1641" t="s">
        <v>808</v>
      </c>
      <c r="H1641" t="s">
        <v>4468</v>
      </c>
      <c r="I1641">
        <v>5500</v>
      </c>
      <c r="J1641">
        <v>3675</v>
      </c>
      <c r="L1641">
        <v>518</v>
      </c>
      <c r="M1641">
        <v>3157</v>
      </c>
    </row>
    <row r="1642" spans="1:94" x14ac:dyDescent="0.3">
      <c r="A1642">
        <v>214</v>
      </c>
      <c r="B1642" t="s">
        <v>774</v>
      </c>
      <c r="C1642" t="s">
        <v>251</v>
      </c>
      <c r="D1642" t="s">
        <v>73</v>
      </c>
      <c r="E1642" t="s">
        <v>56</v>
      </c>
      <c r="F1642" s="30">
        <v>45565</v>
      </c>
      <c r="G1642" t="s">
        <v>808</v>
      </c>
      <c r="H1642" t="s">
        <v>4470</v>
      </c>
      <c r="I1642">
        <v>1000</v>
      </c>
      <c r="J1642">
        <v>0</v>
      </c>
      <c r="L1642">
        <v>252.65</v>
      </c>
      <c r="M1642">
        <v>886.05</v>
      </c>
    </row>
    <row r="1643" spans="1:94" x14ac:dyDescent="0.3">
      <c r="A1643">
        <v>214</v>
      </c>
      <c r="B1643" t="s">
        <v>774</v>
      </c>
      <c r="C1643" t="s">
        <v>251</v>
      </c>
      <c r="D1643" t="s">
        <v>73</v>
      </c>
      <c r="E1643" t="s">
        <v>56</v>
      </c>
      <c r="F1643" s="30">
        <v>45565</v>
      </c>
      <c r="G1643" t="s">
        <v>808</v>
      </c>
      <c r="H1643" t="s">
        <v>4477</v>
      </c>
      <c r="I1643">
        <v>7500</v>
      </c>
      <c r="J1643">
        <v>0</v>
      </c>
      <c r="L1643">
        <v>0</v>
      </c>
      <c r="M1643">
        <v>0</v>
      </c>
    </row>
    <row r="1644" spans="1:94" x14ac:dyDescent="0.3">
      <c r="A1644">
        <v>214</v>
      </c>
      <c r="B1644" t="s">
        <v>774</v>
      </c>
      <c r="C1644" t="s">
        <v>251</v>
      </c>
      <c r="D1644" t="s">
        <v>73</v>
      </c>
      <c r="E1644" t="s">
        <v>56</v>
      </c>
      <c r="F1644" s="30">
        <v>45565</v>
      </c>
      <c r="G1644" t="s">
        <v>808</v>
      </c>
      <c r="H1644" t="s">
        <v>4469</v>
      </c>
      <c r="I1644">
        <v>1000</v>
      </c>
      <c r="J1644">
        <v>1448.719970703125</v>
      </c>
      <c r="L1644">
        <v>223.42</v>
      </c>
      <c r="M1644">
        <v>1125.58</v>
      </c>
    </row>
    <row r="1645" spans="1:94" x14ac:dyDescent="0.3">
      <c r="A1645">
        <v>214</v>
      </c>
      <c r="B1645" t="s">
        <v>774</v>
      </c>
      <c r="C1645" t="s">
        <v>251</v>
      </c>
      <c r="D1645" t="s">
        <v>73</v>
      </c>
      <c r="E1645" t="s">
        <v>56</v>
      </c>
      <c r="F1645" s="30">
        <v>45565</v>
      </c>
      <c r="G1645" t="s">
        <v>808</v>
      </c>
      <c r="H1645" t="s">
        <v>4476</v>
      </c>
      <c r="I1645">
        <v>1</v>
      </c>
      <c r="J1645">
        <v>0</v>
      </c>
      <c r="L1645">
        <v>0</v>
      </c>
      <c r="M1645">
        <v>0</v>
      </c>
    </row>
    <row r="1646" spans="1:94" x14ac:dyDescent="0.3">
      <c r="A1646">
        <v>214</v>
      </c>
      <c r="B1646" t="s">
        <v>774</v>
      </c>
      <c r="C1646" t="s">
        <v>251</v>
      </c>
      <c r="D1646" t="s">
        <v>73</v>
      </c>
      <c r="E1646" t="s">
        <v>56</v>
      </c>
      <c r="F1646" s="30">
        <v>45565</v>
      </c>
      <c r="G1646" t="s">
        <v>808</v>
      </c>
      <c r="H1646" t="s">
        <v>4478</v>
      </c>
      <c r="I1646">
        <v>1</v>
      </c>
      <c r="J1646">
        <v>9.0399999618530273</v>
      </c>
      <c r="L1646">
        <v>1.64</v>
      </c>
      <c r="M1646">
        <v>7.4</v>
      </c>
    </row>
    <row r="1647" spans="1:94" x14ac:dyDescent="0.3">
      <c r="A1647">
        <v>217</v>
      </c>
      <c r="B1647" t="s">
        <v>840</v>
      </c>
      <c r="C1647" t="s">
        <v>251</v>
      </c>
      <c r="D1647" t="s">
        <v>73</v>
      </c>
      <c r="E1647" t="s">
        <v>22</v>
      </c>
      <c r="F1647" s="30">
        <v>45565</v>
      </c>
      <c r="G1647" t="s">
        <v>872</v>
      </c>
      <c r="H1647" t="s">
        <v>4470</v>
      </c>
      <c r="I1647">
        <v>20</v>
      </c>
      <c r="J1647">
        <v>22.190000534057621</v>
      </c>
      <c r="L1647">
        <v>252.65</v>
      </c>
      <c r="M1647">
        <v>886.05</v>
      </c>
      <c r="AS1647">
        <v>252.65</v>
      </c>
    </row>
    <row r="1648" spans="1:94" x14ac:dyDescent="0.3">
      <c r="A1648">
        <v>217</v>
      </c>
      <c r="B1648" t="s">
        <v>840</v>
      </c>
      <c r="C1648" t="s">
        <v>251</v>
      </c>
      <c r="D1648" t="s">
        <v>73</v>
      </c>
      <c r="E1648" t="s">
        <v>22</v>
      </c>
      <c r="F1648" s="30">
        <v>45565</v>
      </c>
      <c r="G1648" t="s">
        <v>872</v>
      </c>
      <c r="H1648" t="s">
        <v>4469</v>
      </c>
      <c r="I1648">
        <v>20</v>
      </c>
      <c r="J1648">
        <v>15.420000076293951</v>
      </c>
      <c r="L1648">
        <v>223.42</v>
      </c>
      <c r="M1648">
        <v>1125.58</v>
      </c>
      <c r="AS1648">
        <v>223.42</v>
      </c>
    </row>
    <row r="1649" spans="1:48" x14ac:dyDescent="0.3">
      <c r="A1649">
        <v>217</v>
      </c>
      <c r="B1649" t="s">
        <v>840</v>
      </c>
      <c r="C1649" t="s">
        <v>251</v>
      </c>
      <c r="D1649" t="s">
        <v>73</v>
      </c>
      <c r="E1649" t="s">
        <v>22</v>
      </c>
      <c r="F1649" s="30">
        <v>45565</v>
      </c>
      <c r="G1649" t="s">
        <v>872</v>
      </c>
      <c r="H1649" t="s">
        <v>4468</v>
      </c>
      <c r="I1649">
        <v>20</v>
      </c>
      <c r="J1649">
        <v>14.10000038146973</v>
      </c>
      <c r="L1649">
        <v>518</v>
      </c>
      <c r="M1649">
        <v>3157</v>
      </c>
      <c r="AS1649">
        <v>518</v>
      </c>
    </row>
    <row r="1650" spans="1:48" x14ac:dyDescent="0.3">
      <c r="A1650">
        <v>217</v>
      </c>
      <c r="B1650" t="s">
        <v>840</v>
      </c>
      <c r="C1650" t="s">
        <v>251</v>
      </c>
      <c r="D1650" t="s">
        <v>73</v>
      </c>
      <c r="E1650" t="s">
        <v>22</v>
      </c>
      <c r="F1650" s="30">
        <v>45565</v>
      </c>
      <c r="G1650" t="s">
        <v>872</v>
      </c>
      <c r="H1650" t="s">
        <v>4478</v>
      </c>
      <c r="I1650">
        <v>20</v>
      </c>
      <c r="J1650">
        <v>18.139999389648441</v>
      </c>
      <c r="L1650">
        <v>1.64</v>
      </c>
      <c r="M1650">
        <v>7.4</v>
      </c>
      <c r="AS1650">
        <v>1.64</v>
      </c>
    </row>
    <row r="1651" spans="1:48" x14ac:dyDescent="0.3">
      <c r="A1651">
        <v>218</v>
      </c>
      <c r="B1651" t="s">
        <v>888</v>
      </c>
      <c r="C1651" t="s">
        <v>251</v>
      </c>
      <c r="D1651" t="s">
        <v>73</v>
      </c>
      <c r="E1651" t="s">
        <v>56</v>
      </c>
      <c r="F1651" s="30">
        <v>45565</v>
      </c>
      <c r="G1651" t="s">
        <v>922</v>
      </c>
      <c r="H1651" t="s">
        <v>4468</v>
      </c>
      <c r="I1651">
        <v>76000</v>
      </c>
      <c r="J1651">
        <v>66652.5234375</v>
      </c>
      <c r="N1651">
        <v>66652.52</v>
      </c>
    </row>
    <row r="1652" spans="1:48" x14ac:dyDescent="0.3">
      <c r="A1652">
        <v>218</v>
      </c>
      <c r="B1652" t="s">
        <v>888</v>
      </c>
      <c r="C1652" t="s">
        <v>251</v>
      </c>
      <c r="D1652" t="s">
        <v>73</v>
      </c>
      <c r="E1652" t="s">
        <v>56</v>
      </c>
      <c r="F1652" s="30">
        <v>45565</v>
      </c>
      <c r="G1652" t="s">
        <v>922</v>
      </c>
      <c r="H1652" t="s">
        <v>4470</v>
      </c>
      <c r="I1652">
        <v>76000</v>
      </c>
      <c r="J1652">
        <v>45600</v>
      </c>
      <c r="N1652">
        <v>45600</v>
      </c>
    </row>
    <row r="1653" spans="1:48" x14ac:dyDescent="0.3">
      <c r="A1653">
        <v>218</v>
      </c>
      <c r="B1653" t="s">
        <v>888</v>
      </c>
      <c r="C1653" t="s">
        <v>251</v>
      </c>
      <c r="D1653" t="s">
        <v>73</v>
      </c>
      <c r="E1653" t="s">
        <v>56</v>
      </c>
      <c r="F1653" s="30">
        <v>45565</v>
      </c>
      <c r="G1653" t="s">
        <v>922</v>
      </c>
      <c r="H1653" t="s">
        <v>4477</v>
      </c>
      <c r="I1653">
        <v>5000</v>
      </c>
      <c r="J1653">
        <v>4860</v>
      </c>
      <c r="N1653">
        <v>4860</v>
      </c>
    </row>
    <row r="1654" spans="1:48" x14ac:dyDescent="0.3">
      <c r="A1654">
        <v>218</v>
      </c>
      <c r="B1654" t="s">
        <v>888</v>
      </c>
      <c r="C1654" t="s">
        <v>251</v>
      </c>
      <c r="D1654" t="s">
        <v>73</v>
      </c>
      <c r="E1654" t="s">
        <v>56</v>
      </c>
      <c r="F1654" s="30">
        <v>45565</v>
      </c>
      <c r="G1654" t="s">
        <v>922</v>
      </c>
      <c r="H1654" t="s">
        <v>4469</v>
      </c>
      <c r="I1654">
        <v>24000</v>
      </c>
      <c r="J1654">
        <v>24149</v>
      </c>
      <c r="N1654">
        <v>24149</v>
      </c>
    </row>
    <row r="1655" spans="1:48" x14ac:dyDescent="0.3">
      <c r="A1655">
        <v>218</v>
      </c>
      <c r="B1655" t="s">
        <v>888</v>
      </c>
      <c r="C1655" t="s">
        <v>251</v>
      </c>
      <c r="D1655" t="s">
        <v>73</v>
      </c>
      <c r="E1655" t="s">
        <v>56</v>
      </c>
      <c r="F1655" s="30">
        <v>45565</v>
      </c>
      <c r="G1655" t="s">
        <v>922</v>
      </c>
      <c r="H1655" t="s">
        <v>4478</v>
      </c>
      <c r="I1655">
        <v>2000</v>
      </c>
      <c r="J1655">
        <v>1235</v>
      </c>
      <c r="N1655">
        <v>1235</v>
      </c>
    </row>
    <row r="1656" spans="1:48" x14ac:dyDescent="0.3">
      <c r="A1656">
        <v>218</v>
      </c>
      <c r="B1656" t="s">
        <v>888</v>
      </c>
      <c r="C1656" t="s">
        <v>251</v>
      </c>
      <c r="D1656" t="s">
        <v>73</v>
      </c>
      <c r="E1656" t="s">
        <v>56</v>
      </c>
      <c r="F1656" s="30">
        <v>45565</v>
      </c>
      <c r="G1656" t="s">
        <v>922</v>
      </c>
      <c r="H1656" t="s">
        <v>4476</v>
      </c>
      <c r="I1656">
        <v>5000</v>
      </c>
      <c r="J1656">
        <v>3360</v>
      </c>
      <c r="N1656">
        <v>3360</v>
      </c>
    </row>
    <row r="1657" spans="1:48" x14ac:dyDescent="0.3">
      <c r="A1657">
        <v>225</v>
      </c>
      <c r="B1657" t="s">
        <v>976</v>
      </c>
      <c r="C1657" t="s">
        <v>251</v>
      </c>
      <c r="D1657" t="s">
        <v>73</v>
      </c>
      <c r="E1657" t="s">
        <v>22</v>
      </c>
      <c r="F1657" s="30">
        <v>45565</v>
      </c>
      <c r="G1657" t="s">
        <v>1009</v>
      </c>
      <c r="H1657" t="s">
        <v>4468</v>
      </c>
      <c r="I1657">
        <v>1</v>
      </c>
      <c r="J1657">
        <v>6</v>
      </c>
      <c r="AT1657">
        <v>6</v>
      </c>
    </row>
    <row r="1658" spans="1:48" x14ac:dyDescent="0.3">
      <c r="A1658">
        <v>225</v>
      </c>
      <c r="B1658" t="s">
        <v>976</v>
      </c>
      <c r="C1658" t="s">
        <v>251</v>
      </c>
      <c r="D1658" t="s">
        <v>73</v>
      </c>
      <c r="E1658" t="s">
        <v>22</v>
      </c>
      <c r="F1658" s="30">
        <v>45565</v>
      </c>
      <c r="G1658" t="s">
        <v>1009</v>
      </c>
      <c r="H1658" t="s">
        <v>4470</v>
      </c>
      <c r="I1658">
        <v>1</v>
      </c>
      <c r="J1658">
        <v>4</v>
      </c>
      <c r="AT1658">
        <v>4</v>
      </c>
    </row>
    <row r="1659" spans="1:48" x14ac:dyDescent="0.3">
      <c r="A1659">
        <v>225</v>
      </c>
      <c r="B1659" t="s">
        <v>976</v>
      </c>
      <c r="C1659" t="s">
        <v>251</v>
      </c>
      <c r="D1659" t="s">
        <v>73</v>
      </c>
      <c r="E1659" t="s">
        <v>22</v>
      </c>
      <c r="F1659" s="30">
        <v>45565</v>
      </c>
      <c r="G1659" t="s">
        <v>1009</v>
      </c>
      <c r="H1659" t="s">
        <v>4469</v>
      </c>
      <c r="I1659">
        <v>1</v>
      </c>
      <c r="J1659">
        <v>10</v>
      </c>
      <c r="AT1659">
        <v>10</v>
      </c>
    </row>
    <row r="1660" spans="1:48" x14ac:dyDescent="0.3">
      <c r="A1660">
        <v>225</v>
      </c>
      <c r="B1660" t="s">
        <v>976</v>
      </c>
      <c r="C1660" t="s">
        <v>251</v>
      </c>
      <c r="D1660" t="s">
        <v>73</v>
      </c>
      <c r="E1660" t="s">
        <v>22</v>
      </c>
      <c r="F1660" s="30">
        <v>45565</v>
      </c>
      <c r="G1660" t="s">
        <v>1009</v>
      </c>
      <c r="H1660" t="s">
        <v>4476</v>
      </c>
      <c r="I1660">
        <v>1</v>
      </c>
      <c r="J1660">
        <v>1</v>
      </c>
      <c r="AT1660">
        <v>1</v>
      </c>
    </row>
    <row r="1661" spans="1:48" x14ac:dyDescent="0.3">
      <c r="A1661">
        <v>225</v>
      </c>
      <c r="B1661" t="s">
        <v>976</v>
      </c>
      <c r="C1661" t="s">
        <v>251</v>
      </c>
      <c r="D1661" t="s">
        <v>73</v>
      </c>
      <c r="E1661" t="s">
        <v>22</v>
      </c>
      <c r="F1661" s="30">
        <v>45565</v>
      </c>
      <c r="G1661" t="s">
        <v>1009</v>
      </c>
      <c r="H1661" t="s">
        <v>4478</v>
      </c>
      <c r="I1661">
        <v>1</v>
      </c>
      <c r="J1661">
        <v>1</v>
      </c>
      <c r="AT1661">
        <v>1</v>
      </c>
    </row>
    <row r="1662" spans="1:48" x14ac:dyDescent="0.3">
      <c r="A1662">
        <v>434</v>
      </c>
      <c r="B1662" t="s">
        <v>2267</v>
      </c>
      <c r="C1662" t="s">
        <v>251</v>
      </c>
      <c r="D1662" t="s">
        <v>73</v>
      </c>
      <c r="E1662" t="s">
        <v>56</v>
      </c>
      <c r="F1662" s="30">
        <v>45565</v>
      </c>
      <c r="G1662" t="s">
        <v>2288</v>
      </c>
      <c r="H1662" t="s">
        <v>4477</v>
      </c>
      <c r="I1662">
        <v>200</v>
      </c>
      <c r="J1662">
        <v>0</v>
      </c>
      <c r="AV1662">
        <v>0</v>
      </c>
    </row>
    <row r="1663" spans="1:48" x14ac:dyDescent="0.3">
      <c r="A1663">
        <v>434</v>
      </c>
      <c r="B1663" t="s">
        <v>2267</v>
      </c>
      <c r="C1663" t="s">
        <v>251</v>
      </c>
      <c r="D1663" t="s">
        <v>73</v>
      </c>
      <c r="E1663" t="s">
        <v>56</v>
      </c>
      <c r="F1663" s="30">
        <v>45565</v>
      </c>
      <c r="G1663" t="s">
        <v>2288</v>
      </c>
      <c r="H1663" t="s">
        <v>4469</v>
      </c>
      <c r="I1663">
        <v>25</v>
      </c>
      <c r="J1663">
        <v>0.5</v>
      </c>
      <c r="AV1663">
        <v>0.5</v>
      </c>
    </row>
    <row r="1664" spans="1:48" x14ac:dyDescent="0.3">
      <c r="A1664">
        <v>434</v>
      </c>
      <c r="B1664" t="s">
        <v>2267</v>
      </c>
      <c r="C1664" t="s">
        <v>251</v>
      </c>
      <c r="D1664" t="s">
        <v>73</v>
      </c>
      <c r="E1664" t="s">
        <v>56</v>
      </c>
      <c r="F1664" s="30">
        <v>45565</v>
      </c>
      <c r="G1664" t="s">
        <v>2288</v>
      </c>
      <c r="H1664" t="s">
        <v>4476</v>
      </c>
      <c r="I1664">
        <v>10</v>
      </c>
      <c r="J1664">
        <v>0.20000000298023221</v>
      </c>
      <c r="AV1664">
        <v>0.2</v>
      </c>
    </row>
    <row r="1665" spans="1:134" x14ac:dyDescent="0.3">
      <c r="A1665">
        <v>434</v>
      </c>
      <c r="B1665" t="s">
        <v>2267</v>
      </c>
      <c r="C1665" t="s">
        <v>251</v>
      </c>
      <c r="D1665" t="s">
        <v>73</v>
      </c>
      <c r="E1665" t="s">
        <v>56</v>
      </c>
      <c r="F1665" s="30">
        <v>45565</v>
      </c>
      <c r="G1665" t="s">
        <v>2288</v>
      </c>
      <c r="H1665" t="s">
        <v>4478</v>
      </c>
      <c r="I1665">
        <v>200</v>
      </c>
      <c r="J1665">
        <v>0</v>
      </c>
      <c r="AV1665">
        <v>0</v>
      </c>
    </row>
    <row r="1666" spans="1:134" x14ac:dyDescent="0.3">
      <c r="A1666">
        <v>434</v>
      </c>
      <c r="B1666" t="s">
        <v>2267</v>
      </c>
      <c r="C1666" t="s">
        <v>251</v>
      </c>
      <c r="D1666" t="s">
        <v>73</v>
      </c>
      <c r="E1666" t="s">
        <v>56</v>
      </c>
      <c r="F1666" s="30">
        <v>45565</v>
      </c>
      <c r="G1666" t="s">
        <v>2288</v>
      </c>
      <c r="H1666" t="s">
        <v>4470</v>
      </c>
      <c r="I1666">
        <v>25</v>
      </c>
      <c r="J1666">
        <v>0.72000002861022949</v>
      </c>
      <c r="AV1666">
        <v>0.72</v>
      </c>
    </row>
    <row r="1667" spans="1:134" x14ac:dyDescent="0.3">
      <c r="A1667">
        <v>434</v>
      </c>
      <c r="B1667" t="s">
        <v>2267</v>
      </c>
      <c r="C1667" t="s">
        <v>251</v>
      </c>
      <c r="D1667" t="s">
        <v>73</v>
      </c>
      <c r="E1667" t="s">
        <v>56</v>
      </c>
      <c r="F1667" s="30">
        <v>45565</v>
      </c>
      <c r="G1667" t="s">
        <v>2288</v>
      </c>
      <c r="H1667" t="s">
        <v>4468</v>
      </c>
      <c r="I1667">
        <v>100</v>
      </c>
      <c r="J1667">
        <v>14.94999980926514</v>
      </c>
      <c r="AV1667">
        <v>14.95</v>
      </c>
    </row>
    <row r="1668" spans="1:134" x14ac:dyDescent="0.3">
      <c r="A1668">
        <v>436</v>
      </c>
      <c r="B1668" t="s">
        <v>2311</v>
      </c>
      <c r="C1668" t="s">
        <v>258</v>
      </c>
      <c r="D1668" t="s">
        <v>73</v>
      </c>
      <c r="E1668" t="s">
        <v>56</v>
      </c>
      <c r="F1668" s="30">
        <v>45565</v>
      </c>
      <c r="G1668" t="s">
        <v>2332</v>
      </c>
      <c r="H1668" t="s">
        <v>4580</v>
      </c>
      <c r="I1668">
        <v>7</v>
      </c>
      <c r="J1668">
        <v>4</v>
      </c>
      <c r="CP1668">
        <v>4</v>
      </c>
    </row>
    <row r="1669" spans="1:134" x14ac:dyDescent="0.3">
      <c r="A1669">
        <v>436</v>
      </c>
      <c r="B1669" t="s">
        <v>2311</v>
      </c>
      <c r="C1669" t="s">
        <v>258</v>
      </c>
      <c r="D1669" t="s">
        <v>73</v>
      </c>
      <c r="E1669" t="s">
        <v>56</v>
      </c>
      <c r="F1669" s="30">
        <v>45565</v>
      </c>
      <c r="G1669" t="s">
        <v>2332</v>
      </c>
      <c r="H1669" t="s">
        <v>4579</v>
      </c>
      <c r="I1669">
        <v>7</v>
      </c>
      <c r="J1669">
        <v>6.5</v>
      </c>
      <c r="CP1669">
        <v>6.5</v>
      </c>
    </row>
    <row r="1670" spans="1:134" x14ac:dyDescent="0.3">
      <c r="A1670">
        <v>485</v>
      </c>
      <c r="B1670" t="s">
        <v>2525</v>
      </c>
      <c r="C1670" t="s">
        <v>258</v>
      </c>
      <c r="D1670" t="s">
        <v>73</v>
      </c>
      <c r="E1670" t="s">
        <v>22</v>
      </c>
      <c r="F1670" s="30">
        <v>45565</v>
      </c>
      <c r="G1670" t="s">
        <v>2533</v>
      </c>
      <c r="H1670" t="s">
        <v>4637</v>
      </c>
      <c r="I1670">
        <v>80</v>
      </c>
      <c r="J1670">
        <v>0</v>
      </c>
      <c r="EC1670">
        <v>0</v>
      </c>
      <c r="ED1670">
        <v>0</v>
      </c>
    </row>
    <row r="1671" spans="1:134" x14ac:dyDescent="0.3">
      <c r="A1671">
        <v>485</v>
      </c>
      <c r="B1671" t="s">
        <v>2525</v>
      </c>
      <c r="C1671" t="s">
        <v>258</v>
      </c>
      <c r="D1671" t="s">
        <v>73</v>
      </c>
      <c r="E1671" t="s">
        <v>22</v>
      </c>
      <c r="F1671" s="30">
        <v>45565</v>
      </c>
      <c r="G1671" t="s">
        <v>2533</v>
      </c>
      <c r="H1671" t="s">
        <v>4638</v>
      </c>
      <c r="I1671">
        <v>80</v>
      </c>
      <c r="J1671">
        <v>0</v>
      </c>
      <c r="EC1671">
        <v>0</v>
      </c>
      <c r="ED1671">
        <v>0</v>
      </c>
    </row>
    <row r="1672" spans="1:134" x14ac:dyDescent="0.3">
      <c r="A1672">
        <v>485</v>
      </c>
      <c r="B1672" t="s">
        <v>2525</v>
      </c>
      <c r="C1672" t="s">
        <v>258</v>
      </c>
      <c r="D1672" t="s">
        <v>73</v>
      </c>
      <c r="E1672" t="s">
        <v>22</v>
      </c>
      <c r="F1672" s="30">
        <v>45565</v>
      </c>
      <c r="G1672" t="s">
        <v>2533</v>
      </c>
      <c r="H1672" t="s">
        <v>4639</v>
      </c>
      <c r="I1672">
        <v>80</v>
      </c>
      <c r="J1672">
        <v>0</v>
      </c>
      <c r="EC1672">
        <v>0</v>
      </c>
      <c r="ED1672">
        <v>0</v>
      </c>
    </row>
    <row r="1673" spans="1:134" x14ac:dyDescent="0.3">
      <c r="A1673">
        <v>485</v>
      </c>
      <c r="B1673" t="s">
        <v>2525</v>
      </c>
      <c r="C1673" t="s">
        <v>258</v>
      </c>
      <c r="D1673" t="s">
        <v>73</v>
      </c>
      <c r="E1673" t="s">
        <v>22</v>
      </c>
      <c r="F1673" s="30">
        <v>45565</v>
      </c>
      <c r="G1673" t="s">
        <v>2533</v>
      </c>
      <c r="H1673" t="s">
        <v>4576</v>
      </c>
      <c r="I1673">
        <v>80</v>
      </c>
      <c r="J1673">
        <v>0</v>
      </c>
      <c r="EC1673">
        <v>0</v>
      </c>
      <c r="ED1673">
        <v>0</v>
      </c>
    </row>
    <row r="1674" spans="1:134" x14ac:dyDescent="0.3">
      <c r="A1674">
        <v>485</v>
      </c>
      <c r="B1674" t="s">
        <v>2525</v>
      </c>
      <c r="C1674" t="s">
        <v>258</v>
      </c>
      <c r="D1674" t="s">
        <v>73</v>
      </c>
      <c r="E1674" t="s">
        <v>22</v>
      </c>
      <c r="F1674" s="30">
        <v>45565</v>
      </c>
      <c r="G1674" t="s">
        <v>2533</v>
      </c>
      <c r="H1674" t="s">
        <v>154</v>
      </c>
      <c r="I1674">
        <v>80</v>
      </c>
      <c r="J1674">
        <v>0</v>
      </c>
      <c r="EC1674">
        <v>0</v>
      </c>
      <c r="ED1674">
        <v>0</v>
      </c>
    </row>
    <row r="1675" spans="1:134" x14ac:dyDescent="0.3">
      <c r="A1675">
        <v>485</v>
      </c>
      <c r="B1675" t="s">
        <v>2525</v>
      </c>
      <c r="C1675" t="s">
        <v>258</v>
      </c>
      <c r="D1675" t="s">
        <v>73</v>
      </c>
      <c r="E1675" t="s">
        <v>22</v>
      </c>
      <c r="F1675" s="30">
        <v>45565</v>
      </c>
      <c r="G1675" t="s">
        <v>2533</v>
      </c>
      <c r="H1675" t="s">
        <v>4640</v>
      </c>
      <c r="I1675">
        <v>80</v>
      </c>
      <c r="J1675">
        <v>0</v>
      </c>
      <c r="EC1675">
        <v>0</v>
      </c>
      <c r="ED1675">
        <v>0</v>
      </c>
    </row>
    <row r="1676" spans="1:134" x14ac:dyDescent="0.3">
      <c r="A1676">
        <v>485</v>
      </c>
      <c r="B1676" t="s">
        <v>2525</v>
      </c>
      <c r="C1676" t="s">
        <v>258</v>
      </c>
      <c r="D1676" t="s">
        <v>73</v>
      </c>
      <c r="E1676" t="s">
        <v>22</v>
      </c>
      <c r="F1676" s="30">
        <v>45565</v>
      </c>
      <c r="G1676" t="s">
        <v>2533</v>
      </c>
      <c r="H1676" t="s">
        <v>4641</v>
      </c>
      <c r="I1676">
        <v>80</v>
      </c>
      <c r="J1676">
        <v>100</v>
      </c>
      <c r="EC1676">
        <v>1</v>
      </c>
      <c r="ED1676">
        <v>1</v>
      </c>
    </row>
    <row r="1677" spans="1:134" x14ac:dyDescent="0.3">
      <c r="A1677">
        <v>485</v>
      </c>
      <c r="B1677" t="s">
        <v>2525</v>
      </c>
      <c r="C1677" t="s">
        <v>258</v>
      </c>
      <c r="D1677" t="s">
        <v>73</v>
      </c>
      <c r="E1677" t="s">
        <v>22</v>
      </c>
      <c r="F1677" s="30">
        <v>45565</v>
      </c>
      <c r="G1677" t="s">
        <v>2533</v>
      </c>
      <c r="H1677" t="s">
        <v>4538</v>
      </c>
      <c r="I1677">
        <v>80</v>
      </c>
      <c r="J1677">
        <v>0</v>
      </c>
      <c r="EC1677">
        <v>0</v>
      </c>
      <c r="ED1677">
        <v>0</v>
      </c>
    </row>
    <row r="1678" spans="1:134" x14ac:dyDescent="0.3">
      <c r="A1678">
        <v>213</v>
      </c>
      <c r="B1678" t="s">
        <v>757</v>
      </c>
      <c r="C1678" t="s">
        <v>251</v>
      </c>
      <c r="D1678" t="s">
        <v>21</v>
      </c>
      <c r="E1678" t="s">
        <v>22</v>
      </c>
      <c r="F1678" s="30">
        <v>45565</v>
      </c>
      <c r="G1678" t="s">
        <v>768</v>
      </c>
      <c r="H1678" t="s">
        <v>4533</v>
      </c>
      <c r="I1678">
        <v>90</v>
      </c>
      <c r="J1678">
        <v>100</v>
      </c>
      <c r="AW1678">
        <v>9</v>
      </c>
      <c r="AX1678">
        <v>9</v>
      </c>
    </row>
    <row r="1679" spans="1:134" x14ac:dyDescent="0.3">
      <c r="A1679">
        <v>213</v>
      </c>
      <c r="B1679" t="s">
        <v>757</v>
      </c>
      <c r="C1679" t="s">
        <v>251</v>
      </c>
      <c r="D1679" t="s">
        <v>21</v>
      </c>
      <c r="E1679" t="s">
        <v>22</v>
      </c>
      <c r="F1679" s="30">
        <v>45565</v>
      </c>
      <c r="G1679" t="s">
        <v>768</v>
      </c>
      <c r="H1679" t="s">
        <v>4485</v>
      </c>
      <c r="I1679">
        <v>90</v>
      </c>
      <c r="J1679">
        <v>100</v>
      </c>
      <c r="AW1679">
        <v>33</v>
      </c>
      <c r="AX1679">
        <v>33</v>
      </c>
    </row>
    <row r="1680" spans="1:134" x14ac:dyDescent="0.3">
      <c r="A1680">
        <v>213</v>
      </c>
      <c r="B1680" t="s">
        <v>757</v>
      </c>
      <c r="C1680" t="s">
        <v>251</v>
      </c>
      <c r="D1680" t="s">
        <v>21</v>
      </c>
      <c r="E1680" t="s">
        <v>22</v>
      </c>
      <c r="F1680" s="30">
        <v>45565</v>
      </c>
      <c r="G1680" t="s">
        <v>768</v>
      </c>
      <c r="H1680" t="s">
        <v>4483</v>
      </c>
      <c r="I1680">
        <v>90</v>
      </c>
      <c r="J1680">
        <v>93.550003051757813</v>
      </c>
      <c r="AW1680">
        <v>31</v>
      </c>
      <c r="AX1680">
        <v>29</v>
      </c>
    </row>
    <row r="1681" spans="1:79" x14ac:dyDescent="0.3">
      <c r="A1681">
        <v>213</v>
      </c>
      <c r="B1681" t="s">
        <v>757</v>
      </c>
      <c r="C1681" t="s">
        <v>251</v>
      </c>
      <c r="D1681" t="s">
        <v>21</v>
      </c>
      <c r="E1681" t="s">
        <v>22</v>
      </c>
      <c r="F1681" s="30">
        <v>45565</v>
      </c>
      <c r="G1681" t="s">
        <v>768</v>
      </c>
      <c r="H1681" t="s">
        <v>4484</v>
      </c>
      <c r="I1681">
        <v>90</v>
      </c>
      <c r="J1681">
        <v>100</v>
      </c>
      <c r="AW1681">
        <v>9</v>
      </c>
      <c r="AX1681">
        <v>9</v>
      </c>
    </row>
    <row r="1682" spans="1:79" x14ac:dyDescent="0.3">
      <c r="A1682">
        <v>213</v>
      </c>
      <c r="B1682" t="s">
        <v>757</v>
      </c>
      <c r="C1682" t="s">
        <v>251</v>
      </c>
      <c r="D1682" t="s">
        <v>21</v>
      </c>
      <c r="E1682" t="s">
        <v>22</v>
      </c>
      <c r="F1682" s="30">
        <v>45565</v>
      </c>
      <c r="G1682" t="s">
        <v>768</v>
      </c>
      <c r="H1682" t="s">
        <v>4482</v>
      </c>
      <c r="I1682">
        <v>90</v>
      </c>
      <c r="J1682">
        <v>100</v>
      </c>
      <c r="AW1682">
        <v>18</v>
      </c>
      <c r="AX1682">
        <v>18</v>
      </c>
    </row>
    <row r="1683" spans="1:79" x14ac:dyDescent="0.3">
      <c r="A1683">
        <v>213</v>
      </c>
      <c r="B1683" t="s">
        <v>757</v>
      </c>
      <c r="C1683" t="s">
        <v>251</v>
      </c>
      <c r="D1683" t="s">
        <v>21</v>
      </c>
      <c r="E1683" t="s">
        <v>22</v>
      </c>
      <c r="F1683" s="30">
        <v>45565</v>
      </c>
      <c r="G1683" t="s">
        <v>768</v>
      </c>
      <c r="H1683" t="s">
        <v>4534</v>
      </c>
      <c r="I1683">
        <v>90</v>
      </c>
      <c r="J1683">
        <v>100</v>
      </c>
      <c r="AW1683">
        <v>8</v>
      </c>
      <c r="AX1683">
        <v>8</v>
      </c>
    </row>
    <row r="1684" spans="1:79" x14ac:dyDescent="0.3">
      <c r="A1684">
        <v>213</v>
      </c>
      <c r="B1684" t="s">
        <v>757</v>
      </c>
      <c r="C1684" t="s">
        <v>251</v>
      </c>
      <c r="D1684" t="s">
        <v>21</v>
      </c>
      <c r="E1684" t="s">
        <v>22</v>
      </c>
      <c r="F1684" s="30">
        <v>45565</v>
      </c>
      <c r="G1684" t="s">
        <v>768</v>
      </c>
      <c r="H1684" t="s">
        <v>4486</v>
      </c>
      <c r="I1684">
        <v>90</v>
      </c>
      <c r="J1684">
        <v>91.300003051757813</v>
      </c>
      <c r="AW1684">
        <v>23</v>
      </c>
      <c r="AX1684">
        <v>21</v>
      </c>
    </row>
    <row r="1685" spans="1:79" x14ac:dyDescent="0.3">
      <c r="A1685">
        <v>213</v>
      </c>
      <c r="B1685" t="s">
        <v>757</v>
      </c>
      <c r="C1685" t="s">
        <v>251</v>
      </c>
      <c r="D1685" t="s">
        <v>21</v>
      </c>
      <c r="E1685" t="s">
        <v>22</v>
      </c>
      <c r="F1685" s="30">
        <v>45565</v>
      </c>
      <c r="G1685" t="s">
        <v>768</v>
      </c>
      <c r="H1685" t="s">
        <v>4487</v>
      </c>
      <c r="I1685">
        <v>90</v>
      </c>
      <c r="J1685">
        <v>100</v>
      </c>
      <c r="AW1685">
        <v>50</v>
      </c>
      <c r="AX1685">
        <v>50</v>
      </c>
    </row>
    <row r="1686" spans="1:79" x14ac:dyDescent="0.3">
      <c r="A1686">
        <v>238</v>
      </c>
      <c r="B1686" t="s">
        <v>1077</v>
      </c>
      <c r="C1686" t="s">
        <v>251</v>
      </c>
      <c r="D1686" t="s">
        <v>21</v>
      </c>
      <c r="E1686" t="s">
        <v>22</v>
      </c>
      <c r="F1686" s="30">
        <v>45565</v>
      </c>
      <c r="G1686" t="s">
        <v>1089</v>
      </c>
      <c r="H1686" t="s">
        <v>4488</v>
      </c>
      <c r="I1686">
        <v>90</v>
      </c>
      <c r="J1686">
        <v>100</v>
      </c>
      <c r="AY1686">
        <v>1</v>
      </c>
      <c r="AZ1686">
        <v>1</v>
      </c>
    </row>
    <row r="1687" spans="1:79" x14ac:dyDescent="0.3">
      <c r="A1687">
        <v>238</v>
      </c>
      <c r="B1687" t="s">
        <v>1077</v>
      </c>
      <c r="C1687" t="s">
        <v>251</v>
      </c>
      <c r="D1687" t="s">
        <v>21</v>
      </c>
      <c r="E1687" t="s">
        <v>22</v>
      </c>
      <c r="F1687" s="30">
        <v>45565</v>
      </c>
      <c r="G1687" t="s">
        <v>1089</v>
      </c>
      <c r="H1687" t="s">
        <v>4489</v>
      </c>
      <c r="I1687">
        <v>90</v>
      </c>
      <c r="J1687">
        <v>66.669998168945313</v>
      </c>
      <c r="AY1687">
        <v>6</v>
      </c>
      <c r="AZ1687">
        <v>9</v>
      </c>
    </row>
    <row r="1688" spans="1:79" x14ac:dyDescent="0.3">
      <c r="A1688">
        <v>238</v>
      </c>
      <c r="B1688" t="s">
        <v>1077</v>
      </c>
      <c r="C1688" t="s">
        <v>251</v>
      </c>
      <c r="D1688" t="s">
        <v>21</v>
      </c>
      <c r="E1688" t="s">
        <v>22</v>
      </c>
      <c r="F1688" s="30">
        <v>45565</v>
      </c>
      <c r="G1688" t="s">
        <v>1089</v>
      </c>
      <c r="H1688" t="s">
        <v>4490</v>
      </c>
      <c r="I1688">
        <v>90</v>
      </c>
      <c r="J1688">
        <v>100</v>
      </c>
      <c r="AY1688">
        <v>3</v>
      </c>
      <c r="AZ1688">
        <v>3</v>
      </c>
    </row>
    <row r="1689" spans="1:79" x14ac:dyDescent="0.3">
      <c r="A1689">
        <v>238</v>
      </c>
      <c r="B1689" t="s">
        <v>1077</v>
      </c>
      <c r="C1689" t="s">
        <v>251</v>
      </c>
      <c r="D1689" t="s">
        <v>21</v>
      </c>
      <c r="E1689" t="s">
        <v>22</v>
      </c>
      <c r="F1689" s="30">
        <v>45565</v>
      </c>
      <c r="G1689" t="s">
        <v>1089</v>
      </c>
      <c r="H1689" t="s">
        <v>4491</v>
      </c>
      <c r="I1689">
        <v>90</v>
      </c>
      <c r="J1689">
        <v>100</v>
      </c>
      <c r="AY1689">
        <v>3</v>
      </c>
      <c r="AZ1689">
        <v>3</v>
      </c>
    </row>
    <row r="1690" spans="1:79" x14ac:dyDescent="0.3">
      <c r="A1690">
        <v>238</v>
      </c>
      <c r="B1690" t="s">
        <v>1077</v>
      </c>
      <c r="C1690" t="s">
        <v>251</v>
      </c>
      <c r="D1690" t="s">
        <v>21</v>
      </c>
      <c r="E1690" t="s">
        <v>22</v>
      </c>
      <c r="F1690" s="30">
        <v>45565</v>
      </c>
      <c r="G1690" t="s">
        <v>1089</v>
      </c>
      <c r="H1690" t="s">
        <v>4492</v>
      </c>
      <c r="I1690">
        <v>90</v>
      </c>
      <c r="J1690">
        <v>100</v>
      </c>
      <c r="AY1690">
        <v>3</v>
      </c>
      <c r="AZ1690">
        <v>3</v>
      </c>
    </row>
    <row r="1691" spans="1:79" x14ac:dyDescent="0.3">
      <c r="A1691">
        <v>238</v>
      </c>
      <c r="B1691" t="s">
        <v>1077</v>
      </c>
      <c r="C1691" t="s">
        <v>251</v>
      </c>
      <c r="D1691" t="s">
        <v>21</v>
      </c>
      <c r="E1691" t="s">
        <v>22</v>
      </c>
      <c r="F1691" s="30">
        <v>45565</v>
      </c>
      <c r="G1691" t="s">
        <v>1089</v>
      </c>
      <c r="H1691" t="s">
        <v>4536</v>
      </c>
      <c r="I1691">
        <v>90</v>
      </c>
      <c r="J1691">
        <v>0</v>
      </c>
      <c r="AY1691">
        <v>0</v>
      </c>
      <c r="AZ1691">
        <v>0</v>
      </c>
    </row>
    <row r="1692" spans="1:79" x14ac:dyDescent="0.3">
      <c r="A1692">
        <v>238</v>
      </c>
      <c r="B1692" t="s">
        <v>1077</v>
      </c>
      <c r="C1692" t="s">
        <v>251</v>
      </c>
      <c r="D1692" t="s">
        <v>21</v>
      </c>
      <c r="E1692" t="s">
        <v>22</v>
      </c>
      <c r="F1692" s="30">
        <v>45565</v>
      </c>
      <c r="G1692" t="s">
        <v>1089</v>
      </c>
      <c r="H1692" t="s">
        <v>4493</v>
      </c>
      <c r="I1692">
        <v>90</v>
      </c>
      <c r="J1692">
        <v>0</v>
      </c>
      <c r="AY1692">
        <v>0</v>
      </c>
      <c r="AZ1692">
        <v>0</v>
      </c>
    </row>
    <row r="1693" spans="1:79" x14ac:dyDescent="0.3">
      <c r="A1693">
        <v>373</v>
      </c>
      <c r="B1693" t="s">
        <v>1856</v>
      </c>
      <c r="C1693" t="s">
        <v>1263</v>
      </c>
      <c r="D1693" t="s">
        <v>21</v>
      </c>
      <c r="E1693" t="s">
        <v>22</v>
      </c>
      <c r="F1693" s="30">
        <v>45565</v>
      </c>
      <c r="G1693" t="s">
        <v>1863</v>
      </c>
      <c r="H1693" t="s">
        <v>4542</v>
      </c>
      <c r="I1693">
        <v>100</v>
      </c>
      <c r="J1693">
        <v>96.470001220703125</v>
      </c>
      <c r="BZ1693">
        <v>82</v>
      </c>
      <c r="CA1693">
        <v>85</v>
      </c>
    </row>
    <row r="1694" spans="1:79" x14ac:dyDescent="0.3">
      <c r="A1694">
        <v>373</v>
      </c>
      <c r="B1694" t="s">
        <v>1856</v>
      </c>
      <c r="C1694" t="s">
        <v>1263</v>
      </c>
      <c r="D1694" t="s">
        <v>21</v>
      </c>
      <c r="E1694" t="s">
        <v>22</v>
      </c>
      <c r="F1694" s="30">
        <v>45565</v>
      </c>
      <c r="G1694" t="s">
        <v>1863</v>
      </c>
      <c r="H1694" t="s">
        <v>4541</v>
      </c>
      <c r="I1694">
        <v>100</v>
      </c>
      <c r="J1694">
        <v>100</v>
      </c>
      <c r="BZ1694">
        <v>86</v>
      </c>
      <c r="CA1694">
        <v>86</v>
      </c>
    </row>
    <row r="1695" spans="1:79" x14ac:dyDescent="0.3">
      <c r="A1695">
        <v>373</v>
      </c>
      <c r="B1695" t="s">
        <v>1856</v>
      </c>
      <c r="C1695" t="s">
        <v>1263</v>
      </c>
      <c r="D1695" t="s">
        <v>21</v>
      </c>
      <c r="E1695" t="s">
        <v>22</v>
      </c>
      <c r="F1695" s="30">
        <v>45565</v>
      </c>
      <c r="G1695" t="s">
        <v>1863</v>
      </c>
      <c r="H1695" t="s">
        <v>4540</v>
      </c>
      <c r="I1695">
        <v>100</v>
      </c>
      <c r="J1695">
        <v>103.4499969482422</v>
      </c>
      <c r="BZ1695">
        <v>90</v>
      </c>
      <c r="CA1695">
        <v>87</v>
      </c>
    </row>
    <row r="1696" spans="1:79" x14ac:dyDescent="0.3">
      <c r="A1696">
        <v>373</v>
      </c>
      <c r="B1696" t="s">
        <v>1856</v>
      </c>
      <c r="C1696" t="s">
        <v>1263</v>
      </c>
      <c r="D1696" t="s">
        <v>21</v>
      </c>
      <c r="E1696" t="s">
        <v>22</v>
      </c>
      <c r="F1696" s="30">
        <v>45565</v>
      </c>
      <c r="G1696" t="s">
        <v>1863</v>
      </c>
      <c r="H1696" t="s">
        <v>4539</v>
      </c>
      <c r="I1696">
        <v>100</v>
      </c>
      <c r="J1696">
        <v>98.779998779296875</v>
      </c>
      <c r="BZ1696">
        <v>81</v>
      </c>
      <c r="CA1696">
        <v>82</v>
      </c>
    </row>
    <row r="1697" spans="1:96" x14ac:dyDescent="0.3">
      <c r="A1697">
        <v>373</v>
      </c>
      <c r="B1697" t="s">
        <v>1856</v>
      </c>
      <c r="C1697" t="s">
        <v>1263</v>
      </c>
      <c r="D1697" t="s">
        <v>21</v>
      </c>
      <c r="E1697" t="s">
        <v>22</v>
      </c>
      <c r="F1697" s="30">
        <v>45565</v>
      </c>
      <c r="G1697" t="s">
        <v>1863</v>
      </c>
      <c r="H1697" t="s">
        <v>4537</v>
      </c>
      <c r="I1697">
        <v>100</v>
      </c>
      <c r="J1697">
        <v>100</v>
      </c>
      <c r="BZ1697">
        <v>84</v>
      </c>
      <c r="CA1697">
        <v>84</v>
      </c>
    </row>
    <row r="1698" spans="1:96" x14ac:dyDescent="0.3">
      <c r="A1698">
        <v>373</v>
      </c>
      <c r="B1698" t="s">
        <v>1856</v>
      </c>
      <c r="C1698" t="s">
        <v>1263</v>
      </c>
      <c r="D1698" t="s">
        <v>21</v>
      </c>
      <c r="E1698" t="s">
        <v>22</v>
      </c>
      <c r="F1698" s="30">
        <v>45565</v>
      </c>
      <c r="G1698" t="s">
        <v>1863</v>
      </c>
      <c r="H1698" t="s">
        <v>4538</v>
      </c>
      <c r="I1698">
        <v>100</v>
      </c>
      <c r="J1698">
        <v>98.819999694824219</v>
      </c>
      <c r="BZ1698">
        <v>84</v>
      </c>
      <c r="CA1698">
        <v>85</v>
      </c>
    </row>
    <row r="1699" spans="1:96" x14ac:dyDescent="0.3">
      <c r="A1699">
        <v>390</v>
      </c>
      <c r="B1699" t="s">
        <v>1970</v>
      </c>
      <c r="C1699" t="s">
        <v>1263</v>
      </c>
      <c r="D1699" t="s">
        <v>21</v>
      </c>
      <c r="E1699" t="s">
        <v>22</v>
      </c>
      <c r="F1699" s="30">
        <v>45565</v>
      </c>
      <c r="G1699" t="s">
        <v>1977</v>
      </c>
      <c r="H1699" t="s">
        <v>4514</v>
      </c>
      <c r="I1699">
        <v>100</v>
      </c>
      <c r="J1699">
        <v>82.5</v>
      </c>
      <c r="CB1699">
        <v>81.89</v>
      </c>
      <c r="CC1699">
        <v>99.26</v>
      </c>
    </row>
    <row r="1700" spans="1:96" x14ac:dyDescent="0.3">
      <c r="A1700">
        <v>390</v>
      </c>
      <c r="B1700" t="s">
        <v>1970</v>
      </c>
      <c r="C1700" t="s">
        <v>1263</v>
      </c>
      <c r="D1700" t="s">
        <v>21</v>
      </c>
      <c r="E1700" t="s">
        <v>22</v>
      </c>
      <c r="F1700" s="30">
        <v>45565</v>
      </c>
      <c r="G1700" t="s">
        <v>1977</v>
      </c>
      <c r="H1700" t="s">
        <v>4515</v>
      </c>
      <c r="I1700">
        <v>100</v>
      </c>
      <c r="J1700">
        <v>72.099998474121094</v>
      </c>
      <c r="CB1700">
        <v>71.430000000000007</v>
      </c>
      <c r="CC1700">
        <v>99.07</v>
      </c>
    </row>
    <row r="1701" spans="1:96" x14ac:dyDescent="0.3">
      <c r="A1701">
        <v>390</v>
      </c>
      <c r="B1701" t="s">
        <v>1970</v>
      </c>
      <c r="C1701" t="s">
        <v>1263</v>
      </c>
      <c r="D1701" t="s">
        <v>21</v>
      </c>
      <c r="E1701" t="s">
        <v>22</v>
      </c>
      <c r="F1701" s="30">
        <v>45565</v>
      </c>
      <c r="G1701" t="s">
        <v>1977</v>
      </c>
      <c r="H1701" t="s">
        <v>4516</v>
      </c>
      <c r="I1701">
        <v>100</v>
      </c>
      <c r="J1701">
        <v>82.790000915527344</v>
      </c>
      <c r="CB1701">
        <v>82.79</v>
      </c>
      <c r="CC1701">
        <v>100</v>
      </c>
    </row>
    <row r="1702" spans="1:96" x14ac:dyDescent="0.3">
      <c r="A1702">
        <v>390</v>
      </c>
      <c r="B1702" t="s">
        <v>1970</v>
      </c>
      <c r="C1702" t="s">
        <v>1263</v>
      </c>
      <c r="D1702" t="s">
        <v>21</v>
      </c>
      <c r="E1702" t="s">
        <v>22</v>
      </c>
      <c r="F1702" s="30">
        <v>45565</v>
      </c>
      <c r="G1702" t="s">
        <v>1977</v>
      </c>
      <c r="H1702" t="s">
        <v>4517</v>
      </c>
      <c r="I1702">
        <v>100</v>
      </c>
      <c r="J1702">
        <v>82.580001831054688</v>
      </c>
      <c r="CB1702">
        <v>81.010000000000005</v>
      </c>
      <c r="CC1702">
        <v>98.1</v>
      </c>
    </row>
    <row r="1703" spans="1:96" x14ac:dyDescent="0.3">
      <c r="A1703">
        <v>390</v>
      </c>
      <c r="B1703" t="s">
        <v>1970</v>
      </c>
      <c r="C1703" t="s">
        <v>1263</v>
      </c>
      <c r="D1703" t="s">
        <v>21</v>
      </c>
      <c r="E1703" t="s">
        <v>22</v>
      </c>
      <c r="F1703" s="30">
        <v>45565</v>
      </c>
      <c r="G1703" t="s">
        <v>1977</v>
      </c>
      <c r="H1703" t="s">
        <v>4518</v>
      </c>
      <c r="I1703">
        <v>100</v>
      </c>
      <c r="J1703">
        <v>91.099998474121094</v>
      </c>
      <c r="CB1703">
        <v>88.33</v>
      </c>
      <c r="CC1703">
        <v>96.96</v>
      </c>
    </row>
    <row r="1704" spans="1:96" x14ac:dyDescent="0.3">
      <c r="A1704">
        <v>390</v>
      </c>
      <c r="B1704" t="s">
        <v>1970</v>
      </c>
      <c r="C1704" t="s">
        <v>1263</v>
      </c>
      <c r="D1704" t="s">
        <v>21</v>
      </c>
      <c r="E1704" t="s">
        <v>22</v>
      </c>
      <c r="F1704" s="30">
        <v>45565</v>
      </c>
      <c r="G1704" t="s">
        <v>1977</v>
      </c>
      <c r="H1704" t="s">
        <v>4519</v>
      </c>
      <c r="I1704">
        <v>100</v>
      </c>
      <c r="J1704">
        <v>81.94000244140625</v>
      </c>
      <c r="CB1704">
        <v>81.94</v>
      </c>
      <c r="CC1704">
        <v>100</v>
      </c>
    </row>
    <row r="1705" spans="1:96" x14ac:dyDescent="0.3">
      <c r="A1705">
        <v>390</v>
      </c>
      <c r="B1705" t="s">
        <v>1970</v>
      </c>
      <c r="C1705" t="s">
        <v>1263</v>
      </c>
      <c r="D1705" t="s">
        <v>21</v>
      </c>
      <c r="E1705" t="s">
        <v>22</v>
      </c>
      <c r="F1705" s="30">
        <v>45565</v>
      </c>
      <c r="G1705" t="s">
        <v>1977</v>
      </c>
      <c r="H1705" t="s">
        <v>4520</v>
      </c>
      <c r="I1705">
        <v>100</v>
      </c>
      <c r="J1705">
        <v>92.169998168945313</v>
      </c>
      <c r="CB1705">
        <v>92.17</v>
      </c>
      <c r="CC1705">
        <v>100</v>
      </c>
    </row>
    <row r="1706" spans="1:96" x14ac:dyDescent="0.3">
      <c r="A1706">
        <v>390</v>
      </c>
      <c r="B1706" t="s">
        <v>1970</v>
      </c>
      <c r="C1706" t="s">
        <v>1263</v>
      </c>
      <c r="D1706" t="s">
        <v>21</v>
      </c>
      <c r="E1706" t="s">
        <v>22</v>
      </c>
      <c r="F1706" s="30">
        <v>45565</v>
      </c>
      <c r="G1706" t="s">
        <v>1977</v>
      </c>
      <c r="H1706" t="s">
        <v>4521</v>
      </c>
      <c r="I1706">
        <v>100</v>
      </c>
      <c r="J1706">
        <v>87.580001831054688</v>
      </c>
      <c r="CB1706">
        <v>87.58</v>
      </c>
      <c r="CC1706">
        <v>100</v>
      </c>
    </row>
    <row r="1707" spans="1:96" x14ac:dyDescent="0.3">
      <c r="A1707">
        <v>390</v>
      </c>
      <c r="B1707" t="s">
        <v>1970</v>
      </c>
      <c r="C1707" t="s">
        <v>1263</v>
      </c>
      <c r="D1707" t="s">
        <v>21</v>
      </c>
      <c r="E1707" t="s">
        <v>22</v>
      </c>
      <c r="F1707" s="30">
        <v>45565</v>
      </c>
      <c r="G1707" t="s">
        <v>1977</v>
      </c>
      <c r="H1707" t="s">
        <v>4522</v>
      </c>
      <c r="I1707">
        <v>100</v>
      </c>
      <c r="J1707">
        <v>85.400001525878906</v>
      </c>
      <c r="CB1707">
        <v>85.4</v>
      </c>
      <c r="CC1707">
        <v>100</v>
      </c>
    </row>
    <row r="1708" spans="1:96" x14ac:dyDescent="0.3">
      <c r="A1708">
        <v>390</v>
      </c>
      <c r="B1708" t="s">
        <v>1970</v>
      </c>
      <c r="C1708" t="s">
        <v>1263</v>
      </c>
      <c r="D1708" t="s">
        <v>21</v>
      </c>
      <c r="E1708" t="s">
        <v>22</v>
      </c>
      <c r="F1708" s="30">
        <v>45565</v>
      </c>
      <c r="G1708" t="s">
        <v>1977</v>
      </c>
      <c r="H1708" t="s">
        <v>4523</v>
      </c>
      <c r="I1708">
        <v>100</v>
      </c>
      <c r="J1708">
        <v>70.669998168945313</v>
      </c>
      <c r="CB1708">
        <v>70.67</v>
      </c>
      <c r="CC1708">
        <v>100</v>
      </c>
    </row>
    <row r="1709" spans="1:96" x14ac:dyDescent="0.3">
      <c r="A1709">
        <v>390</v>
      </c>
      <c r="B1709" t="s">
        <v>1970</v>
      </c>
      <c r="C1709" t="s">
        <v>1263</v>
      </c>
      <c r="D1709" t="s">
        <v>21</v>
      </c>
      <c r="E1709" t="s">
        <v>22</v>
      </c>
      <c r="F1709" s="30">
        <v>45565</v>
      </c>
      <c r="G1709" t="s">
        <v>1977</v>
      </c>
      <c r="H1709" t="s">
        <v>4524</v>
      </c>
      <c r="I1709">
        <v>100</v>
      </c>
      <c r="J1709">
        <v>81</v>
      </c>
      <c r="CB1709">
        <v>81</v>
      </c>
      <c r="CC1709">
        <v>100</v>
      </c>
    </row>
    <row r="1710" spans="1:96" x14ac:dyDescent="0.3">
      <c r="A1710">
        <v>390</v>
      </c>
      <c r="B1710" t="s">
        <v>1970</v>
      </c>
      <c r="C1710" t="s">
        <v>1263</v>
      </c>
      <c r="D1710" t="s">
        <v>21</v>
      </c>
      <c r="E1710" t="s">
        <v>22</v>
      </c>
      <c r="F1710" s="30">
        <v>45565</v>
      </c>
      <c r="G1710" t="s">
        <v>1977</v>
      </c>
      <c r="H1710" t="s">
        <v>4525</v>
      </c>
      <c r="I1710">
        <v>100</v>
      </c>
      <c r="J1710">
        <v>90.129997253417969</v>
      </c>
      <c r="CB1710">
        <v>89.67</v>
      </c>
      <c r="CC1710">
        <v>99.49</v>
      </c>
    </row>
    <row r="1711" spans="1:96" x14ac:dyDescent="0.3">
      <c r="A1711">
        <v>409</v>
      </c>
      <c r="B1711" t="s">
        <v>2081</v>
      </c>
      <c r="C1711" t="s">
        <v>1303</v>
      </c>
      <c r="D1711" t="s">
        <v>21</v>
      </c>
      <c r="E1711" t="s">
        <v>22</v>
      </c>
      <c r="F1711" s="30">
        <v>45565</v>
      </c>
      <c r="G1711" t="s">
        <v>2088</v>
      </c>
      <c r="H1711" t="s">
        <v>4581</v>
      </c>
      <c r="I1711">
        <v>95</v>
      </c>
      <c r="J1711">
        <v>95.389999389648438</v>
      </c>
      <c r="CQ1711">
        <v>414</v>
      </c>
      <c r="CR1711">
        <v>434</v>
      </c>
    </row>
    <row r="1712" spans="1:96" x14ac:dyDescent="0.3">
      <c r="A1712">
        <v>409</v>
      </c>
      <c r="B1712" t="s">
        <v>2081</v>
      </c>
      <c r="C1712" t="s">
        <v>1303</v>
      </c>
      <c r="D1712" t="s">
        <v>21</v>
      </c>
      <c r="E1712" t="s">
        <v>22</v>
      </c>
      <c r="F1712" s="30">
        <v>45565</v>
      </c>
      <c r="G1712" t="s">
        <v>2088</v>
      </c>
      <c r="H1712" t="s">
        <v>4582</v>
      </c>
      <c r="I1712">
        <v>95</v>
      </c>
      <c r="J1712">
        <v>100</v>
      </c>
      <c r="CQ1712">
        <v>261</v>
      </c>
      <c r="CR1712">
        <v>261</v>
      </c>
    </row>
    <row r="1713" spans="1:85" x14ac:dyDescent="0.3">
      <c r="A1713">
        <v>414</v>
      </c>
      <c r="B1713" t="s">
        <v>2103</v>
      </c>
      <c r="C1713" t="s">
        <v>1263</v>
      </c>
      <c r="D1713" t="s">
        <v>21</v>
      </c>
      <c r="E1713" t="s">
        <v>22</v>
      </c>
      <c r="F1713" s="30">
        <v>45565</v>
      </c>
      <c r="G1713" t="s">
        <v>2110</v>
      </c>
      <c r="H1713" t="s">
        <v>4543</v>
      </c>
      <c r="I1713">
        <v>100</v>
      </c>
      <c r="J1713">
        <v>109.2099990844727</v>
      </c>
      <c r="CD1713">
        <v>83</v>
      </c>
      <c r="CE1713">
        <v>76</v>
      </c>
    </row>
    <row r="1714" spans="1:85" x14ac:dyDescent="0.3">
      <c r="A1714">
        <v>414</v>
      </c>
      <c r="B1714" t="s">
        <v>2103</v>
      </c>
      <c r="C1714" t="s">
        <v>1263</v>
      </c>
      <c r="D1714" t="s">
        <v>21</v>
      </c>
      <c r="E1714" t="s">
        <v>22</v>
      </c>
      <c r="F1714" s="30">
        <v>45565</v>
      </c>
      <c r="G1714" t="s">
        <v>2110</v>
      </c>
      <c r="H1714" t="s">
        <v>4544</v>
      </c>
      <c r="I1714">
        <v>100</v>
      </c>
      <c r="J1714">
        <v>100</v>
      </c>
      <c r="CD1714">
        <v>99</v>
      </c>
      <c r="CE1714">
        <v>99</v>
      </c>
    </row>
    <row r="1715" spans="1:85" x14ac:dyDescent="0.3">
      <c r="A1715">
        <v>414</v>
      </c>
      <c r="B1715" t="s">
        <v>2103</v>
      </c>
      <c r="C1715" t="s">
        <v>1263</v>
      </c>
      <c r="D1715" t="s">
        <v>21</v>
      </c>
      <c r="E1715" t="s">
        <v>22</v>
      </c>
      <c r="F1715" s="30">
        <v>45565</v>
      </c>
      <c r="G1715" t="s">
        <v>2110</v>
      </c>
      <c r="H1715" t="s">
        <v>4545</v>
      </c>
      <c r="I1715">
        <v>100</v>
      </c>
      <c r="J1715">
        <v>108.0500030517578</v>
      </c>
      <c r="CD1715">
        <v>94</v>
      </c>
      <c r="CE1715">
        <v>87</v>
      </c>
    </row>
    <row r="1716" spans="1:85" x14ac:dyDescent="0.3">
      <c r="A1716">
        <v>414</v>
      </c>
      <c r="B1716" t="s">
        <v>2103</v>
      </c>
      <c r="C1716" t="s">
        <v>1263</v>
      </c>
      <c r="D1716" t="s">
        <v>21</v>
      </c>
      <c r="E1716" t="s">
        <v>22</v>
      </c>
      <c r="F1716" s="30">
        <v>45565</v>
      </c>
      <c r="G1716" t="s">
        <v>2110</v>
      </c>
      <c r="H1716" t="s">
        <v>4546</v>
      </c>
      <c r="I1716">
        <v>100</v>
      </c>
      <c r="J1716">
        <v>92.550003051757813</v>
      </c>
      <c r="CD1716">
        <v>87</v>
      </c>
      <c r="CE1716">
        <v>94</v>
      </c>
    </row>
    <row r="1717" spans="1:85" x14ac:dyDescent="0.3">
      <c r="A1717">
        <v>414</v>
      </c>
      <c r="B1717" t="s">
        <v>2103</v>
      </c>
      <c r="C1717" t="s">
        <v>1263</v>
      </c>
      <c r="D1717" t="s">
        <v>21</v>
      </c>
      <c r="E1717" t="s">
        <v>22</v>
      </c>
      <c r="F1717" s="30">
        <v>45565</v>
      </c>
      <c r="G1717" t="s">
        <v>2110</v>
      </c>
      <c r="H1717" t="s">
        <v>4547</v>
      </c>
      <c r="I1717">
        <v>100</v>
      </c>
      <c r="J1717">
        <v>100</v>
      </c>
      <c r="CD1717">
        <v>88</v>
      </c>
      <c r="CE1717">
        <v>88</v>
      </c>
    </row>
    <row r="1718" spans="1:85" x14ac:dyDescent="0.3">
      <c r="A1718">
        <v>414</v>
      </c>
      <c r="B1718" t="s">
        <v>2103</v>
      </c>
      <c r="C1718" t="s">
        <v>1263</v>
      </c>
      <c r="D1718" t="s">
        <v>21</v>
      </c>
      <c r="E1718" t="s">
        <v>22</v>
      </c>
      <c r="F1718" s="30">
        <v>45565</v>
      </c>
      <c r="G1718" t="s">
        <v>2110</v>
      </c>
      <c r="H1718" t="s">
        <v>4548</v>
      </c>
      <c r="I1718">
        <v>100</v>
      </c>
      <c r="J1718">
        <v>95.959999084472656</v>
      </c>
      <c r="CD1718">
        <v>95</v>
      </c>
      <c r="CE1718">
        <v>99</v>
      </c>
    </row>
    <row r="1719" spans="1:85" x14ac:dyDescent="0.3">
      <c r="A1719">
        <v>414</v>
      </c>
      <c r="B1719" t="s">
        <v>2103</v>
      </c>
      <c r="C1719" t="s">
        <v>1263</v>
      </c>
      <c r="D1719" t="s">
        <v>21</v>
      </c>
      <c r="E1719" t="s">
        <v>22</v>
      </c>
      <c r="F1719" s="30">
        <v>45565</v>
      </c>
      <c r="G1719" t="s">
        <v>2110</v>
      </c>
      <c r="H1719" t="s">
        <v>4549</v>
      </c>
      <c r="I1719">
        <v>100</v>
      </c>
      <c r="J1719">
        <v>105.620002746582</v>
      </c>
      <c r="CD1719">
        <v>94</v>
      </c>
      <c r="CE1719">
        <v>89</v>
      </c>
    </row>
    <row r="1720" spans="1:85" x14ac:dyDescent="0.3">
      <c r="A1720">
        <v>414</v>
      </c>
      <c r="B1720" t="s">
        <v>2103</v>
      </c>
      <c r="C1720" t="s">
        <v>1263</v>
      </c>
      <c r="D1720" t="s">
        <v>21</v>
      </c>
      <c r="E1720" t="s">
        <v>22</v>
      </c>
      <c r="F1720" s="30">
        <v>45565</v>
      </c>
      <c r="G1720" t="s">
        <v>2110</v>
      </c>
      <c r="H1720" t="s">
        <v>4550</v>
      </c>
      <c r="I1720">
        <v>100</v>
      </c>
      <c r="J1720">
        <v>101.0899963378906</v>
      </c>
      <c r="CD1720">
        <v>93</v>
      </c>
      <c r="CE1720">
        <v>92</v>
      </c>
    </row>
    <row r="1721" spans="1:85" x14ac:dyDescent="0.3">
      <c r="A1721">
        <v>414</v>
      </c>
      <c r="B1721" t="s">
        <v>2103</v>
      </c>
      <c r="C1721" t="s">
        <v>1263</v>
      </c>
      <c r="D1721" t="s">
        <v>21</v>
      </c>
      <c r="E1721" t="s">
        <v>22</v>
      </c>
      <c r="F1721" s="30">
        <v>45565</v>
      </c>
      <c r="G1721" t="s">
        <v>2110</v>
      </c>
      <c r="H1721" t="s">
        <v>4597</v>
      </c>
      <c r="I1721">
        <v>100</v>
      </c>
      <c r="J1721">
        <v>83.910003662109375</v>
      </c>
      <c r="CD1721">
        <v>73</v>
      </c>
      <c r="CE1721">
        <v>87</v>
      </c>
    </row>
    <row r="1722" spans="1:85" x14ac:dyDescent="0.3">
      <c r="A1722">
        <v>415</v>
      </c>
      <c r="B1722" t="s">
        <v>2116</v>
      </c>
      <c r="C1722" t="s">
        <v>1263</v>
      </c>
      <c r="D1722" t="s">
        <v>21</v>
      </c>
      <c r="E1722" t="s">
        <v>22</v>
      </c>
      <c r="F1722" s="30">
        <v>45565</v>
      </c>
      <c r="G1722" t="s">
        <v>2123</v>
      </c>
      <c r="H1722" t="s">
        <v>4551</v>
      </c>
      <c r="I1722">
        <v>100</v>
      </c>
      <c r="J1722">
        <v>100</v>
      </c>
      <c r="CF1722">
        <v>100</v>
      </c>
      <c r="CG1722">
        <v>100</v>
      </c>
    </row>
    <row r="1723" spans="1:85" x14ac:dyDescent="0.3">
      <c r="A1723">
        <v>415</v>
      </c>
      <c r="B1723" t="s">
        <v>2116</v>
      </c>
      <c r="C1723" t="s">
        <v>1263</v>
      </c>
      <c r="D1723" t="s">
        <v>21</v>
      </c>
      <c r="E1723" t="s">
        <v>22</v>
      </c>
      <c r="F1723" s="30">
        <v>45565</v>
      </c>
      <c r="G1723" t="s">
        <v>2123</v>
      </c>
      <c r="H1723" t="s">
        <v>4552</v>
      </c>
      <c r="I1723">
        <v>100</v>
      </c>
      <c r="J1723">
        <v>96</v>
      </c>
      <c r="CF1723">
        <v>96</v>
      </c>
      <c r="CG1723">
        <v>100</v>
      </c>
    </row>
    <row r="1724" spans="1:85" x14ac:dyDescent="0.3">
      <c r="A1724">
        <v>415</v>
      </c>
      <c r="B1724" t="s">
        <v>2116</v>
      </c>
      <c r="C1724" t="s">
        <v>1263</v>
      </c>
      <c r="D1724" t="s">
        <v>21</v>
      </c>
      <c r="E1724" t="s">
        <v>22</v>
      </c>
      <c r="F1724" s="30">
        <v>45565</v>
      </c>
      <c r="G1724" t="s">
        <v>2123</v>
      </c>
      <c r="H1724" t="s">
        <v>4553</v>
      </c>
      <c r="I1724">
        <v>100</v>
      </c>
      <c r="J1724">
        <v>0</v>
      </c>
      <c r="CF1724">
        <v>0</v>
      </c>
      <c r="CG1724">
        <v>0</v>
      </c>
    </row>
    <row r="1725" spans="1:85" x14ac:dyDescent="0.3">
      <c r="A1725">
        <v>415</v>
      </c>
      <c r="B1725" t="s">
        <v>2116</v>
      </c>
      <c r="C1725" t="s">
        <v>1263</v>
      </c>
      <c r="D1725" t="s">
        <v>21</v>
      </c>
      <c r="E1725" t="s">
        <v>22</v>
      </c>
      <c r="F1725" s="30">
        <v>45565</v>
      </c>
      <c r="G1725" t="s">
        <v>2123</v>
      </c>
      <c r="H1725" t="s">
        <v>4554</v>
      </c>
      <c r="I1725">
        <v>100</v>
      </c>
      <c r="J1725">
        <v>60</v>
      </c>
      <c r="CF1725">
        <v>60</v>
      </c>
      <c r="CG1725">
        <v>100</v>
      </c>
    </row>
    <row r="1726" spans="1:85" x14ac:dyDescent="0.3">
      <c r="A1726">
        <v>415</v>
      </c>
      <c r="B1726" t="s">
        <v>2116</v>
      </c>
      <c r="C1726" t="s">
        <v>1263</v>
      </c>
      <c r="D1726" t="s">
        <v>21</v>
      </c>
      <c r="E1726" t="s">
        <v>22</v>
      </c>
      <c r="F1726" s="30">
        <v>45565</v>
      </c>
      <c r="G1726" t="s">
        <v>2123</v>
      </c>
      <c r="H1726" t="s">
        <v>4555</v>
      </c>
      <c r="I1726">
        <v>100</v>
      </c>
      <c r="J1726">
        <v>100</v>
      </c>
      <c r="CF1726">
        <v>100</v>
      </c>
      <c r="CG1726">
        <v>100</v>
      </c>
    </row>
    <row r="1727" spans="1:85" x14ac:dyDescent="0.3">
      <c r="A1727">
        <v>415</v>
      </c>
      <c r="B1727" t="s">
        <v>2116</v>
      </c>
      <c r="C1727" t="s">
        <v>1263</v>
      </c>
      <c r="D1727" t="s">
        <v>21</v>
      </c>
      <c r="E1727" t="s">
        <v>22</v>
      </c>
      <c r="F1727" s="30">
        <v>45565</v>
      </c>
      <c r="G1727" t="s">
        <v>2123</v>
      </c>
      <c r="H1727" t="s">
        <v>4556</v>
      </c>
      <c r="I1727">
        <v>100</v>
      </c>
      <c r="J1727">
        <v>96.620002746582031</v>
      </c>
      <c r="CF1727">
        <v>96.11</v>
      </c>
      <c r="CG1727">
        <v>99.47</v>
      </c>
    </row>
    <row r="1728" spans="1:85" x14ac:dyDescent="0.3">
      <c r="A1728">
        <v>415</v>
      </c>
      <c r="B1728" t="s">
        <v>2116</v>
      </c>
      <c r="C1728" t="s">
        <v>1263</v>
      </c>
      <c r="D1728" t="s">
        <v>21</v>
      </c>
      <c r="E1728" t="s">
        <v>22</v>
      </c>
      <c r="F1728" s="30">
        <v>45565</v>
      </c>
      <c r="G1728" t="s">
        <v>2123</v>
      </c>
      <c r="H1728" t="s">
        <v>4557</v>
      </c>
      <c r="I1728">
        <v>100</v>
      </c>
      <c r="J1728">
        <v>100</v>
      </c>
      <c r="CF1728">
        <v>100</v>
      </c>
      <c r="CG1728">
        <v>100</v>
      </c>
    </row>
    <row r="1729" spans="1:89" x14ac:dyDescent="0.3">
      <c r="A1729">
        <v>415</v>
      </c>
      <c r="B1729" t="s">
        <v>2116</v>
      </c>
      <c r="C1729" t="s">
        <v>1263</v>
      </c>
      <c r="D1729" t="s">
        <v>21</v>
      </c>
      <c r="E1729" t="s">
        <v>22</v>
      </c>
      <c r="F1729" s="30">
        <v>45565</v>
      </c>
      <c r="G1729" t="s">
        <v>2123</v>
      </c>
      <c r="H1729" t="s">
        <v>4592</v>
      </c>
      <c r="I1729">
        <v>100</v>
      </c>
      <c r="J1729">
        <v>95</v>
      </c>
      <c r="CF1729">
        <v>95</v>
      </c>
      <c r="CG1729">
        <v>100</v>
      </c>
    </row>
    <row r="1730" spans="1:89" x14ac:dyDescent="0.3">
      <c r="A1730">
        <v>415</v>
      </c>
      <c r="B1730" t="s">
        <v>2116</v>
      </c>
      <c r="C1730" t="s">
        <v>1263</v>
      </c>
      <c r="D1730" t="s">
        <v>21</v>
      </c>
      <c r="E1730" t="s">
        <v>22</v>
      </c>
      <c r="F1730" s="30">
        <v>45565</v>
      </c>
      <c r="G1730" t="s">
        <v>2123</v>
      </c>
      <c r="H1730" t="s">
        <v>4600</v>
      </c>
      <c r="I1730">
        <v>100</v>
      </c>
      <c r="J1730">
        <v>76.5</v>
      </c>
      <c r="CF1730">
        <v>76.5</v>
      </c>
      <c r="CG1730">
        <v>100</v>
      </c>
    </row>
    <row r="1731" spans="1:89" x14ac:dyDescent="0.3">
      <c r="A1731">
        <v>415</v>
      </c>
      <c r="B1731" t="s">
        <v>2116</v>
      </c>
      <c r="C1731" t="s">
        <v>1263</v>
      </c>
      <c r="D1731" t="s">
        <v>21</v>
      </c>
      <c r="E1731" t="s">
        <v>22</v>
      </c>
      <c r="F1731" s="30">
        <v>45565</v>
      </c>
      <c r="G1731" t="s">
        <v>2123</v>
      </c>
      <c r="H1731" t="s">
        <v>4598</v>
      </c>
      <c r="I1731">
        <v>100</v>
      </c>
      <c r="J1731">
        <v>87.879997253417969</v>
      </c>
      <c r="CF1731">
        <v>87.33</v>
      </c>
      <c r="CG1731">
        <v>99.37</v>
      </c>
    </row>
    <row r="1732" spans="1:89" x14ac:dyDescent="0.3">
      <c r="A1732">
        <v>415</v>
      </c>
      <c r="B1732" t="s">
        <v>2116</v>
      </c>
      <c r="C1732" t="s">
        <v>1263</v>
      </c>
      <c r="D1732" t="s">
        <v>21</v>
      </c>
      <c r="E1732" t="s">
        <v>22</v>
      </c>
      <c r="F1732" s="30">
        <v>45565</v>
      </c>
      <c r="G1732" t="s">
        <v>2123</v>
      </c>
      <c r="H1732" t="s">
        <v>4603</v>
      </c>
      <c r="I1732">
        <v>100</v>
      </c>
      <c r="J1732">
        <v>90</v>
      </c>
      <c r="CF1732">
        <v>90</v>
      </c>
      <c r="CG1732">
        <v>100</v>
      </c>
    </row>
    <row r="1733" spans="1:89" x14ac:dyDescent="0.3">
      <c r="A1733">
        <v>415</v>
      </c>
      <c r="B1733" t="s">
        <v>2116</v>
      </c>
      <c r="C1733" t="s">
        <v>1263</v>
      </c>
      <c r="D1733" t="s">
        <v>21</v>
      </c>
      <c r="E1733" t="s">
        <v>22</v>
      </c>
      <c r="F1733" s="30">
        <v>45565</v>
      </c>
      <c r="G1733" t="s">
        <v>2123</v>
      </c>
      <c r="H1733" t="s">
        <v>4601</v>
      </c>
      <c r="I1733">
        <v>100</v>
      </c>
      <c r="J1733">
        <v>100</v>
      </c>
      <c r="CF1733">
        <v>100</v>
      </c>
      <c r="CG1733">
        <v>100</v>
      </c>
    </row>
    <row r="1734" spans="1:89" x14ac:dyDescent="0.3">
      <c r="A1734">
        <v>415</v>
      </c>
      <c r="B1734" t="s">
        <v>2116</v>
      </c>
      <c r="C1734" t="s">
        <v>1263</v>
      </c>
      <c r="D1734" t="s">
        <v>21</v>
      </c>
      <c r="E1734" t="s">
        <v>22</v>
      </c>
      <c r="F1734" s="30">
        <v>45565</v>
      </c>
      <c r="G1734" t="s">
        <v>2123</v>
      </c>
      <c r="H1734" t="s">
        <v>4599</v>
      </c>
      <c r="I1734">
        <v>100</v>
      </c>
      <c r="J1734">
        <v>100</v>
      </c>
      <c r="CF1734">
        <v>100</v>
      </c>
      <c r="CG1734">
        <v>100</v>
      </c>
    </row>
    <row r="1735" spans="1:89" x14ac:dyDescent="0.3">
      <c r="A1735">
        <v>415</v>
      </c>
      <c r="B1735" t="s">
        <v>2116</v>
      </c>
      <c r="C1735" t="s">
        <v>1263</v>
      </c>
      <c r="D1735" t="s">
        <v>21</v>
      </c>
      <c r="E1735" t="s">
        <v>22</v>
      </c>
      <c r="F1735" s="30">
        <v>45565</v>
      </c>
      <c r="G1735" t="s">
        <v>2123</v>
      </c>
      <c r="H1735" t="s">
        <v>4602</v>
      </c>
      <c r="I1735">
        <v>100</v>
      </c>
      <c r="J1735">
        <v>100</v>
      </c>
      <c r="CF1735">
        <v>100</v>
      </c>
      <c r="CG1735">
        <v>100</v>
      </c>
    </row>
    <row r="1736" spans="1:89" x14ac:dyDescent="0.3">
      <c r="A1736">
        <v>416</v>
      </c>
      <c r="B1736" t="s">
        <v>2129</v>
      </c>
      <c r="C1736" t="s">
        <v>1263</v>
      </c>
      <c r="D1736" t="s">
        <v>21</v>
      </c>
      <c r="E1736" t="s">
        <v>22</v>
      </c>
      <c r="F1736" s="30">
        <v>45565</v>
      </c>
      <c r="G1736" t="s">
        <v>2136</v>
      </c>
      <c r="H1736" t="s">
        <v>4558</v>
      </c>
      <c r="I1736">
        <v>100</v>
      </c>
      <c r="J1736">
        <v>109.88999938964839</v>
      </c>
      <c r="CH1736">
        <v>100</v>
      </c>
      <c r="CI1736">
        <v>91</v>
      </c>
    </row>
    <row r="1737" spans="1:89" x14ac:dyDescent="0.3">
      <c r="A1737">
        <v>416</v>
      </c>
      <c r="B1737" t="s">
        <v>2129</v>
      </c>
      <c r="C1737" t="s">
        <v>1263</v>
      </c>
      <c r="D1737" t="s">
        <v>21</v>
      </c>
      <c r="E1737" t="s">
        <v>22</v>
      </c>
      <c r="F1737" s="30">
        <v>45565</v>
      </c>
      <c r="G1737" t="s">
        <v>2136</v>
      </c>
      <c r="H1737" t="s">
        <v>4559</v>
      </c>
      <c r="I1737">
        <v>100</v>
      </c>
      <c r="J1737">
        <v>87.800003051757813</v>
      </c>
      <c r="CH1737">
        <v>72</v>
      </c>
      <c r="CI1737">
        <v>82</v>
      </c>
    </row>
    <row r="1738" spans="1:89" x14ac:dyDescent="0.3">
      <c r="A1738">
        <v>416</v>
      </c>
      <c r="B1738" t="s">
        <v>2129</v>
      </c>
      <c r="C1738" t="s">
        <v>1263</v>
      </c>
      <c r="D1738" t="s">
        <v>21</v>
      </c>
      <c r="E1738" t="s">
        <v>22</v>
      </c>
      <c r="F1738" s="30">
        <v>45565</v>
      </c>
      <c r="G1738" t="s">
        <v>2136</v>
      </c>
      <c r="H1738" t="s">
        <v>4605</v>
      </c>
      <c r="I1738">
        <v>100</v>
      </c>
      <c r="J1738">
        <v>109.7600021362305</v>
      </c>
      <c r="CH1738">
        <v>90</v>
      </c>
      <c r="CI1738">
        <v>82</v>
      </c>
    </row>
    <row r="1739" spans="1:89" x14ac:dyDescent="0.3">
      <c r="A1739">
        <v>416</v>
      </c>
      <c r="B1739" t="s">
        <v>2129</v>
      </c>
      <c r="C1739" t="s">
        <v>1263</v>
      </c>
      <c r="D1739" t="s">
        <v>21</v>
      </c>
      <c r="E1739" t="s">
        <v>22</v>
      </c>
      <c r="F1739" s="30">
        <v>45565</v>
      </c>
      <c r="G1739" t="s">
        <v>2136</v>
      </c>
      <c r="H1739" t="s">
        <v>4606</v>
      </c>
      <c r="I1739">
        <v>100</v>
      </c>
      <c r="J1739">
        <v>94.739997863769531</v>
      </c>
      <c r="CH1739">
        <v>90</v>
      </c>
      <c r="CI1739">
        <v>95</v>
      </c>
    </row>
    <row r="1740" spans="1:89" x14ac:dyDescent="0.3">
      <c r="A1740">
        <v>416</v>
      </c>
      <c r="B1740" t="s">
        <v>2129</v>
      </c>
      <c r="C1740" t="s">
        <v>1263</v>
      </c>
      <c r="D1740" t="s">
        <v>21</v>
      </c>
      <c r="E1740" t="s">
        <v>22</v>
      </c>
      <c r="F1740" s="30">
        <v>45565</v>
      </c>
      <c r="G1740" t="s">
        <v>2136</v>
      </c>
      <c r="H1740" t="s">
        <v>4607</v>
      </c>
      <c r="I1740">
        <v>100</v>
      </c>
      <c r="J1740">
        <v>98.75</v>
      </c>
      <c r="CH1740">
        <v>79</v>
      </c>
      <c r="CI1740">
        <v>80</v>
      </c>
    </row>
    <row r="1741" spans="1:89" x14ac:dyDescent="0.3">
      <c r="A1741">
        <v>416</v>
      </c>
      <c r="B1741" t="s">
        <v>2129</v>
      </c>
      <c r="C1741" t="s">
        <v>1263</v>
      </c>
      <c r="D1741" t="s">
        <v>21</v>
      </c>
      <c r="E1741" t="s">
        <v>22</v>
      </c>
      <c r="F1741" s="30">
        <v>45565</v>
      </c>
      <c r="G1741" t="s">
        <v>2136</v>
      </c>
      <c r="H1741" t="s">
        <v>4604</v>
      </c>
      <c r="I1741">
        <v>100</v>
      </c>
      <c r="J1741">
        <v>97.75</v>
      </c>
      <c r="CH1741">
        <v>87</v>
      </c>
      <c r="CI1741">
        <v>89</v>
      </c>
    </row>
    <row r="1742" spans="1:89" x14ac:dyDescent="0.3">
      <c r="A1742">
        <v>417</v>
      </c>
      <c r="B1742" t="s">
        <v>2142</v>
      </c>
      <c r="C1742" t="s">
        <v>1263</v>
      </c>
      <c r="D1742" t="s">
        <v>21</v>
      </c>
      <c r="E1742" t="s">
        <v>22</v>
      </c>
      <c r="F1742" s="30">
        <v>45565</v>
      </c>
      <c r="G1742" t="s">
        <v>2149</v>
      </c>
      <c r="H1742" t="s">
        <v>4560</v>
      </c>
      <c r="I1742">
        <v>100</v>
      </c>
      <c r="J1742">
        <v>105.80999755859381</v>
      </c>
      <c r="CJ1742">
        <v>91</v>
      </c>
      <c r="CK1742">
        <v>86</v>
      </c>
    </row>
    <row r="1743" spans="1:89" x14ac:dyDescent="0.3">
      <c r="A1743">
        <v>417</v>
      </c>
      <c r="B1743" t="s">
        <v>2142</v>
      </c>
      <c r="C1743" t="s">
        <v>1263</v>
      </c>
      <c r="D1743" t="s">
        <v>21</v>
      </c>
      <c r="E1743" t="s">
        <v>22</v>
      </c>
      <c r="F1743" s="30">
        <v>45565</v>
      </c>
      <c r="G1743" t="s">
        <v>2149</v>
      </c>
      <c r="H1743" t="s">
        <v>4561</v>
      </c>
      <c r="I1743">
        <v>100</v>
      </c>
      <c r="J1743">
        <v>106.5899963378906</v>
      </c>
      <c r="CJ1743">
        <v>97</v>
      </c>
      <c r="CK1743">
        <v>91</v>
      </c>
    </row>
    <row r="1744" spans="1:89" x14ac:dyDescent="0.3">
      <c r="A1744">
        <v>417</v>
      </c>
      <c r="B1744" t="s">
        <v>2142</v>
      </c>
      <c r="C1744" t="s">
        <v>1263</v>
      </c>
      <c r="D1744" t="s">
        <v>21</v>
      </c>
      <c r="E1744" t="s">
        <v>22</v>
      </c>
      <c r="F1744" s="30">
        <v>45565</v>
      </c>
      <c r="G1744" t="s">
        <v>2149</v>
      </c>
      <c r="H1744" t="s">
        <v>4562</v>
      </c>
      <c r="I1744">
        <v>100</v>
      </c>
      <c r="J1744">
        <v>93.180000305175781</v>
      </c>
      <c r="CJ1744">
        <v>82</v>
      </c>
      <c r="CK1744">
        <v>88</v>
      </c>
    </row>
    <row r="1745" spans="1:93" x14ac:dyDescent="0.3">
      <c r="A1745">
        <v>417</v>
      </c>
      <c r="B1745" t="s">
        <v>2142</v>
      </c>
      <c r="C1745" t="s">
        <v>1263</v>
      </c>
      <c r="D1745" t="s">
        <v>21</v>
      </c>
      <c r="E1745" t="s">
        <v>22</v>
      </c>
      <c r="F1745" s="30">
        <v>45565</v>
      </c>
      <c r="G1745" t="s">
        <v>2149</v>
      </c>
      <c r="H1745" t="s">
        <v>4563</v>
      </c>
      <c r="I1745">
        <v>100</v>
      </c>
      <c r="J1745">
        <v>104.879997253418</v>
      </c>
      <c r="CJ1745">
        <v>86</v>
      </c>
      <c r="CK1745">
        <v>82</v>
      </c>
    </row>
    <row r="1746" spans="1:93" x14ac:dyDescent="0.3">
      <c r="A1746">
        <v>417</v>
      </c>
      <c r="B1746" t="s">
        <v>2142</v>
      </c>
      <c r="C1746" t="s">
        <v>1263</v>
      </c>
      <c r="D1746" t="s">
        <v>21</v>
      </c>
      <c r="E1746" t="s">
        <v>22</v>
      </c>
      <c r="F1746" s="30">
        <v>45565</v>
      </c>
      <c r="G1746" t="s">
        <v>2149</v>
      </c>
      <c r="H1746" t="s">
        <v>4564</v>
      </c>
      <c r="I1746">
        <v>100</v>
      </c>
      <c r="J1746">
        <v>91.569999694824219</v>
      </c>
      <c r="CJ1746">
        <v>76</v>
      </c>
      <c r="CK1746">
        <v>83</v>
      </c>
    </row>
    <row r="1747" spans="1:93" x14ac:dyDescent="0.3">
      <c r="A1747">
        <v>417</v>
      </c>
      <c r="B1747" t="s">
        <v>2142</v>
      </c>
      <c r="C1747" t="s">
        <v>1263</v>
      </c>
      <c r="D1747" t="s">
        <v>21</v>
      </c>
      <c r="E1747" t="s">
        <v>22</v>
      </c>
      <c r="F1747" s="30">
        <v>45565</v>
      </c>
      <c r="G1747" t="s">
        <v>2149</v>
      </c>
      <c r="H1747" t="s">
        <v>4565</v>
      </c>
      <c r="I1747">
        <v>100</v>
      </c>
      <c r="J1747">
        <v>98.889999389648438</v>
      </c>
      <c r="CJ1747">
        <v>89</v>
      </c>
      <c r="CK1747">
        <v>90</v>
      </c>
    </row>
    <row r="1748" spans="1:93" x14ac:dyDescent="0.3">
      <c r="A1748">
        <v>418</v>
      </c>
      <c r="B1748" t="s">
        <v>2155</v>
      </c>
      <c r="C1748" t="s">
        <v>1263</v>
      </c>
      <c r="D1748" t="s">
        <v>21</v>
      </c>
      <c r="E1748" t="s">
        <v>22</v>
      </c>
      <c r="F1748" s="30">
        <v>45565</v>
      </c>
      <c r="G1748" t="s">
        <v>2162</v>
      </c>
      <c r="H1748" t="s">
        <v>4566</v>
      </c>
      <c r="I1748">
        <v>100</v>
      </c>
      <c r="J1748">
        <v>108.75</v>
      </c>
      <c r="CL1748">
        <v>87</v>
      </c>
      <c r="CM1748">
        <v>80</v>
      </c>
    </row>
    <row r="1749" spans="1:93" x14ac:dyDescent="0.3">
      <c r="A1749">
        <v>418</v>
      </c>
      <c r="B1749" t="s">
        <v>2155</v>
      </c>
      <c r="C1749" t="s">
        <v>1263</v>
      </c>
      <c r="D1749" t="s">
        <v>21</v>
      </c>
      <c r="E1749" t="s">
        <v>22</v>
      </c>
      <c r="F1749" s="30">
        <v>45565</v>
      </c>
      <c r="G1749" t="s">
        <v>2162</v>
      </c>
      <c r="H1749" t="s">
        <v>4567</v>
      </c>
      <c r="I1749">
        <v>100</v>
      </c>
      <c r="J1749">
        <v>61.619998931884773</v>
      </c>
      <c r="CL1749">
        <v>61</v>
      </c>
      <c r="CM1749">
        <v>99</v>
      </c>
    </row>
    <row r="1750" spans="1:93" x14ac:dyDescent="0.3">
      <c r="A1750">
        <v>418</v>
      </c>
      <c r="B1750" t="s">
        <v>2155</v>
      </c>
      <c r="C1750" t="s">
        <v>1263</v>
      </c>
      <c r="D1750" t="s">
        <v>21</v>
      </c>
      <c r="E1750" t="s">
        <v>22</v>
      </c>
      <c r="F1750" s="30">
        <v>45565</v>
      </c>
      <c r="G1750" t="s">
        <v>2162</v>
      </c>
      <c r="H1750" t="s">
        <v>4568</v>
      </c>
      <c r="I1750">
        <v>100</v>
      </c>
      <c r="J1750">
        <v>91.459999084472656</v>
      </c>
      <c r="CL1750">
        <v>75</v>
      </c>
      <c r="CM1750">
        <v>82</v>
      </c>
    </row>
    <row r="1751" spans="1:93" x14ac:dyDescent="0.3">
      <c r="A1751">
        <v>418</v>
      </c>
      <c r="B1751" t="s">
        <v>2155</v>
      </c>
      <c r="C1751" t="s">
        <v>1263</v>
      </c>
      <c r="D1751" t="s">
        <v>21</v>
      </c>
      <c r="E1751" t="s">
        <v>22</v>
      </c>
      <c r="F1751" s="30">
        <v>45565</v>
      </c>
      <c r="G1751" t="s">
        <v>2162</v>
      </c>
      <c r="H1751" t="s">
        <v>4569</v>
      </c>
      <c r="I1751">
        <v>100</v>
      </c>
      <c r="J1751">
        <v>108.2399978637695</v>
      </c>
      <c r="CL1751">
        <v>92</v>
      </c>
      <c r="CM1751">
        <v>85</v>
      </c>
    </row>
    <row r="1752" spans="1:93" x14ac:dyDescent="0.3">
      <c r="A1752">
        <v>418</v>
      </c>
      <c r="B1752" t="s">
        <v>2155</v>
      </c>
      <c r="C1752" t="s">
        <v>1263</v>
      </c>
      <c r="D1752" t="s">
        <v>21</v>
      </c>
      <c r="E1752" t="s">
        <v>22</v>
      </c>
      <c r="F1752" s="30">
        <v>45565</v>
      </c>
      <c r="G1752" t="s">
        <v>2162</v>
      </c>
      <c r="H1752" t="s">
        <v>4570</v>
      </c>
      <c r="I1752">
        <v>100</v>
      </c>
      <c r="J1752">
        <v>103.1600036621094</v>
      </c>
      <c r="CL1752">
        <v>98</v>
      </c>
      <c r="CM1752">
        <v>95</v>
      </c>
    </row>
    <row r="1753" spans="1:93" x14ac:dyDescent="0.3">
      <c r="A1753">
        <v>418</v>
      </c>
      <c r="B1753" t="s">
        <v>2155</v>
      </c>
      <c r="C1753" t="s">
        <v>1263</v>
      </c>
      <c r="D1753" t="s">
        <v>21</v>
      </c>
      <c r="E1753" t="s">
        <v>22</v>
      </c>
      <c r="F1753" s="30">
        <v>45565</v>
      </c>
      <c r="G1753" t="s">
        <v>2162</v>
      </c>
      <c r="H1753" t="s">
        <v>4571</v>
      </c>
      <c r="I1753">
        <v>100</v>
      </c>
      <c r="J1753">
        <v>109.7600021362305</v>
      </c>
      <c r="CL1753">
        <v>90</v>
      </c>
      <c r="CM1753">
        <v>82</v>
      </c>
    </row>
    <row r="1754" spans="1:93" x14ac:dyDescent="0.3">
      <c r="A1754">
        <v>418</v>
      </c>
      <c r="B1754" t="s">
        <v>2155</v>
      </c>
      <c r="C1754" t="s">
        <v>1263</v>
      </c>
      <c r="D1754" t="s">
        <v>21</v>
      </c>
      <c r="E1754" t="s">
        <v>22</v>
      </c>
      <c r="F1754" s="30">
        <v>45565</v>
      </c>
      <c r="G1754" t="s">
        <v>2162</v>
      </c>
      <c r="H1754" t="s">
        <v>4572</v>
      </c>
      <c r="I1754">
        <v>100</v>
      </c>
      <c r="J1754">
        <v>93.680000305175781</v>
      </c>
      <c r="CL1754">
        <v>89</v>
      </c>
      <c r="CM1754">
        <v>95</v>
      </c>
    </row>
    <row r="1755" spans="1:93" x14ac:dyDescent="0.3">
      <c r="A1755">
        <v>418</v>
      </c>
      <c r="B1755" t="s">
        <v>2155</v>
      </c>
      <c r="C1755" t="s">
        <v>1263</v>
      </c>
      <c r="D1755" t="s">
        <v>21</v>
      </c>
      <c r="E1755" t="s">
        <v>22</v>
      </c>
      <c r="F1755" s="30">
        <v>45565</v>
      </c>
      <c r="G1755" t="s">
        <v>2162</v>
      </c>
      <c r="H1755" t="s">
        <v>4573</v>
      </c>
      <c r="I1755">
        <v>100</v>
      </c>
      <c r="J1755">
        <v>93.260002136230469</v>
      </c>
      <c r="CL1755">
        <v>83</v>
      </c>
      <c r="CM1755">
        <v>89</v>
      </c>
    </row>
    <row r="1756" spans="1:93" x14ac:dyDescent="0.3">
      <c r="A1756">
        <v>418</v>
      </c>
      <c r="B1756" t="s">
        <v>2155</v>
      </c>
      <c r="C1756" t="s">
        <v>1263</v>
      </c>
      <c r="D1756" t="s">
        <v>21</v>
      </c>
      <c r="E1756" t="s">
        <v>22</v>
      </c>
      <c r="F1756" s="30">
        <v>45565</v>
      </c>
      <c r="G1756" t="s">
        <v>2162</v>
      </c>
      <c r="H1756" t="s">
        <v>4528</v>
      </c>
      <c r="I1756">
        <v>100</v>
      </c>
      <c r="J1756">
        <v>112.5</v>
      </c>
      <c r="CL1756">
        <v>90</v>
      </c>
      <c r="CM1756">
        <v>80</v>
      </c>
    </row>
    <row r="1757" spans="1:93" x14ac:dyDescent="0.3">
      <c r="A1757">
        <v>420</v>
      </c>
      <c r="B1757" t="s">
        <v>2172</v>
      </c>
      <c r="C1757" t="s">
        <v>1263</v>
      </c>
      <c r="D1757" t="s">
        <v>21</v>
      </c>
      <c r="E1757" t="s">
        <v>22</v>
      </c>
      <c r="F1757" s="30">
        <v>45565</v>
      </c>
      <c r="G1757" t="s">
        <v>2179</v>
      </c>
      <c r="H1757" t="s">
        <v>4574</v>
      </c>
      <c r="I1757">
        <v>100</v>
      </c>
      <c r="J1757">
        <v>101.0400009155273</v>
      </c>
      <c r="CN1757">
        <v>97</v>
      </c>
      <c r="CO1757">
        <v>96</v>
      </c>
    </row>
    <row r="1758" spans="1:93" x14ac:dyDescent="0.3">
      <c r="A1758">
        <v>420</v>
      </c>
      <c r="B1758" t="s">
        <v>2172</v>
      </c>
      <c r="C1758" t="s">
        <v>1263</v>
      </c>
      <c r="D1758" t="s">
        <v>21</v>
      </c>
      <c r="E1758" t="s">
        <v>22</v>
      </c>
      <c r="F1758" s="30">
        <v>45565</v>
      </c>
      <c r="G1758" t="s">
        <v>2179</v>
      </c>
      <c r="H1758" t="s">
        <v>4575</v>
      </c>
      <c r="I1758">
        <v>100</v>
      </c>
      <c r="J1758">
        <v>172.4100036621094</v>
      </c>
      <c r="CN1758">
        <v>50</v>
      </c>
      <c r="CO1758">
        <v>29</v>
      </c>
    </row>
    <row r="1759" spans="1:93" x14ac:dyDescent="0.3">
      <c r="A1759">
        <v>420</v>
      </c>
      <c r="B1759" t="s">
        <v>2172</v>
      </c>
      <c r="C1759" t="s">
        <v>1263</v>
      </c>
      <c r="D1759" t="s">
        <v>21</v>
      </c>
      <c r="E1759" t="s">
        <v>22</v>
      </c>
      <c r="F1759" s="30">
        <v>45565</v>
      </c>
      <c r="G1759" t="s">
        <v>2179</v>
      </c>
      <c r="H1759" t="s">
        <v>4576</v>
      </c>
      <c r="I1759">
        <v>100</v>
      </c>
      <c r="J1759">
        <v>91.669998168945313</v>
      </c>
      <c r="CN1759">
        <v>88</v>
      </c>
      <c r="CO1759">
        <v>96</v>
      </c>
    </row>
    <row r="1760" spans="1:93" x14ac:dyDescent="0.3">
      <c r="A1760">
        <v>420</v>
      </c>
      <c r="B1760" t="s">
        <v>2172</v>
      </c>
      <c r="C1760" t="s">
        <v>1263</v>
      </c>
      <c r="D1760" t="s">
        <v>21</v>
      </c>
      <c r="E1760" t="s">
        <v>22</v>
      </c>
      <c r="F1760" s="30">
        <v>45565</v>
      </c>
      <c r="G1760" t="s">
        <v>2179</v>
      </c>
      <c r="H1760" t="s">
        <v>4577</v>
      </c>
      <c r="I1760">
        <v>100</v>
      </c>
      <c r="J1760">
        <v>84.269996643066406</v>
      </c>
      <c r="CN1760">
        <v>75</v>
      </c>
      <c r="CO1760">
        <v>89</v>
      </c>
    </row>
    <row r="1761" spans="1:113" x14ac:dyDescent="0.3">
      <c r="A1761">
        <v>420</v>
      </c>
      <c r="B1761" t="s">
        <v>2172</v>
      </c>
      <c r="C1761" t="s">
        <v>1263</v>
      </c>
      <c r="D1761" t="s">
        <v>21</v>
      </c>
      <c r="E1761" t="s">
        <v>22</v>
      </c>
      <c r="F1761" s="30">
        <v>45565</v>
      </c>
      <c r="G1761" t="s">
        <v>2179</v>
      </c>
      <c r="H1761" t="s">
        <v>4578</v>
      </c>
      <c r="I1761">
        <v>100</v>
      </c>
      <c r="J1761">
        <v>109.8399963378906</v>
      </c>
      <c r="CN1761">
        <v>67</v>
      </c>
      <c r="CO1761">
        <v>61</v>
      </c>
    </row>
    <row r="1762" spans="1:113" x14ac:dyDescent="0.3">
      <c r="A1762">
        <v>420</v>
      </c>
      <c r="B1762" t="s">
        <v>2172</v>
      </c>
      <c r="C1762" t="s">
        <v>1263</v>
      </c>
      <c r="D1762" t="s">
        <v>21</v>
      </c>
      <c r="E1762" t="s">
        <v>22</v>
      </c>
      <c r="F1762" s="30">
        <v>45565</v>
      </c>
      <c r="G1762" t="s">
        <v>2179</v>
      </c>
      <c r="H1762" t="s">
        <v>2703</v>
      </c>
      <c r="I1762">
        <v>100</v>
      </c>
      <c r="J1762">
        <v>105.2600021362305</v>
      </c>
      <c r="CN1762">
        <v>100</v>
      </c>
      <c r="CO1762">
        <v>95</v>
      </c>
    </row>
    <row r="1763" spans="1:113" x14ac:dyDescent="0.3">
      <c r="A1763">
        <v>469</v>
      </c>
      <c r="B1763" t="s">
        <v>2168</v>
      </c>
      <c r="C1763" t="s">
        <v>1263</v>
      </c>
      <c r="D1763" t="s">
        <v>21</v>
      </c>
      <c r="E1763" t="s">
        <v>22</v>
      </c>
      <c r="F1763" s="30">
        <v>45565</v>
      </c>
      <c r="G1763" t="s">
        <v>2459</v>
      </c>
      <c r="H1763" t="s">
        <v>4608</v>
      </c>
      <c r="I1763">
        <v>100</v>
      </c>
      <c r="J1763">
        <v>100</v>
      </c>
      <c r="DF1763">
        <v>99</v>
      </c>
      <c r="DG1763">
        <v>99</v>
      </c>
    </row>
    <row r="1764" spans="1:113" x14ac:dyDescent="0.3">
      <c r="A1764">
        <v>469</v>
      </c>
      <c r="B1764" t="s">
        <v>2168</v>
      </c>
      <c r="C1764" t="s">
        <v>1263</v>
      </c>
      <c r="D1764" t="s">
        <v>21</v>
      </c>
      <c r="E1764" t="s">
        <v>22</v>
      </c>
      <c r="F1764" s="30">
        <v>45565</v>
      </c>
      <c r="G1764" t="s">
        <v>2459</v>
      </c>
      <c r="H1764" t="s">
        <v>4612</v>
      </c>
      <c r="I1764">
        <v>100</v>
      </c>
      <c r="J1764">
        <v>90</v>
      </c>
      <c r="DF1764">
        <v>90</v>
      </c>
      <c r="DG1764">
        <v>100</v>
      </c>
    </row>
    <row r="1765" spans="1:113" x14ac:dyDescent="0.3">
      <c r="A1765">
        <v>469</v>
      </c>
      <c r="B1765" t="s">
        <v>2168</v>
      </c>
      <c r="C1765" t="s">
        <v>1263</v>
      </c>
      <c r="D1765" t="s">
        <v>21</v>
      </c>
      <c r="E1765" t="s">
        <v>22</v>
      </c>
      <c r="F1765" s="30">
        <v>45565</v>
      </c>
      <c r="G1765" t="s">
        <v>2459</v>
      </c>
      <c r="H1765" t="s">
        <v>4610</v>
      </c>
      <c r="I1765">
        <v>100</v>
      </c>
      <c r="J1765">
        <v>101.3000030517578</v>
      </c>
      <c r="DF1765">
        <v>78</v>
      </c>
      <c r="DG1765">
        <v>77</v>
      </c>
    </row>
    <row r="1766" spans="1:113" x14ac:dyDescent="0.3">
      <c r="A1766">
        <v>469</v>
      </c>
      <c r="B1766" t="s">
        <v>2168</v>
      </c>
      <c r="C1766" t="s">
        <v>1263</v>
      </c>
      <c r="D1766" t="s">
        <v>21</v>
      </c>
      <c r="E1766" t="s">
        <v>22</v>
      </c>
      <c r="F1766" s="30">
        <v>45565</v>
      </c>
      <c r="G1766" t="s">
        <v>2459</v>
      </c>
      <c r="H1766" t="s">
        <v>4617</v>
      </c>
      <c r="I1766">
        <v>100</v>
      </c>
      <c r="J1766">
        <v>105.2600021362305</v>
      </c>
      <c r="DF1766">
        <v>80</v>
      </c>
      <c r="DG1766">
        <v>76</v>
      </c>
    </row>
    <row r="1767" spans="1:113" x14ac:dyDescent="0.3">
      <c r="A1767">
        <v>469</v>
      </c>
      <c r="B1767" t="s">
        <v>2168</v>
      </c>
      <c r="C1767" t="s">
        <v>1263</v>
      </c>
      <c r="D1767" t="s">
        <v>21</v>
      </c>
      <c r="E1767" t="s">
        <v>22</v>
      </c>
      <c r="F1767" s="30">
        <v>45565</v>
      </c>
      <c r="G1767" t="s">
        <v>2459</v>
      </c>
      <c r="H1767" t="s">
        <v>4614</v>
      </c>
      <c r="I1767">
        <v>100</v>
      </c>
      <c r="J1767">
        <v>103.84999847412109</v>
      </c>
      <c r="DF1767">
        <v>81</v>
      </c>
      <c r="DG1767">
        <v>78</v>
      </c>
    </row>
    <row r="1768" spans="1:113" x14ac:dyDescent="0.3">
      <c r="A1768">
        <v>469</v>
      </c>
      <c r="B1768" t="s">
        <v>2168</v>
      </c>
      <c r="C1768" t="s">
        <v>1263</v>
      </c>
      <c r="D1768" t="s">
        <v>21</v>
      </c>
      <c r="E1768" t="s">
        <v>22</v>
      </c>
      <c r="F1768" s="30">
        <v>45565</v>
      </c>
      <c r="G1768" t="s">
        <v>2459</v>
      </c>
      <c r="H1768" t="s">
        <v>4609</v>
      </c>
      <c r="I1768">
        <v>100</v>
      </c>
      <c r="J1768">
        <v>95.449996948242188</v>
      </c>
      <c r="DF1768">
        <v>84</v>
      </c>
      <c r="DG1768">
        <v>88</v>
      </c>
    </row>
    <row r="1769" spans="1:113" x14ac:dyDescent="0.3">
      <c r="A1769">
        <v>469</v>
      </c>
      <c r="B1769" t="s">
        <v>2168</v>
      </c>
      <c r="C1769" t="s">
        <v>1263</v>
      </c>
      <c r="D1769" t="s">
        <v>21</v>
      </c>
      <c r="E1769" t="s">
        <v>22</v>
      </c>
      <c r="F1769" s="30">
        <v>45565</v>
      </c>
      <c r="G1769" t="s">
        <v>2459</v>
      </c>
      <c r="H1769" t="s">
        <v>4616</v>
      </c>
      <c r="I1769">
        <v>100</v>
      </c>
      <c r="J1769">
        <v>94.379997253417969</v>
      </c>
      <c r="DF1769">
        <v>84</v>
      </c>
      <c r="DG1769">
        <v>89</v>
      </c>
    </row>
    <row r="1770" spans="1:113" x14ac:dyDescent="0.3">
      <c r="A1770">
        <v>469</v>
      </c>
      <c r="B1770" t="s">
        <v>2168</v>
      </c>
      <c r="C1770" t="s">
        <v>1263</v>
      </c>
      <c r="D1770" t="s">
        <v>21</v>
      </c>
      <c r="E1770" t="s">
        <v>22</v>
      </c>
      <c r="F1770" s="30">
        <v>45565</v>
      </c>
      <c r="G1770" t="s">
        <v>2459</v>
      </c>
      <c r="H1770" t="s">
        <v>4613</v>
      </c>
      <c r="I1770">
        <v>100</v>
      </c>
      <c r="J1770">
        <v>90</v>
      </c>
      <c r="DF1770">
        <v>72</v>
      </c>
      <c r="DG1770">
        <v>80</v>
      </c>
    </row>
    <row r="1771" spans="1:113" x14ac:dyDescent="0.3">
      <c r="A1771">
        <v>469</v>
      </c>
      <c r="B1771" t="s">
        <v>2168</v>
      </c>
      <c r="C1771" t="s">
        <v>1263</v>
      </c>
      <c r="D1771" t="s">
        <v>21</v>
      </c>
      <c r="E1771" t="s">
        <v>22</v>
      </c>
      <c r="F1771" s="30">
        <v>45565</v>
      </c>
      <c r="G1771" t="s">
        <v>2459</v>
      </c>
      <c r="H1771" t="s">
        <v>4611</v>
      </c>
      <c r="I1771">
        <v>100</v>
      </c>
      <c r="J1771">
        <v>76.669998168945313</v>
      </c>
      <c r="DF1771">
        <v>69</v>
      </c>
      <c r="DG1771">
        <v>90</v>
      </c>
    </row>
    <row r="1772" spans="1:113" x14ac:dyDescent="0.3">
      <c r="A1772">
        <v>469</v>
      </c>
      <c r="B1772" t="s">
        <v>2168</v>
      </c>
      <c r="C1772" t="s">
        <v>1263</v>
      </c>
      <c r="D1772" t="s">
        <v>21</v>
      </c>
      <c r="E1772" t="s">
        <v>22</v>
      </c>
      <c r="F1772" s="30">
        <v>45565</v>
      </c>
      <c r="G1772" t="s">
        <v>2459</v>
      </c>
      <c r="H1772" t="s">
        <v>4615</v>
      </c>
      <c r="I1772">
        <v>100</v>
      </c>
      <c r="J1772">
        <v>94.94000244140625</v>
      </c>
      <c r="DF1772">
        <v>75</v>
      </c>
      <c r="DG1772">
        <v>79</v>
      </c>
    </row>
    <row r="1773" spans="1:113" x14ac:dyDescent="0.3">
      <c r="A1773">
        <v>470</v>
      </c>
      <c r="B1773" t="s">
        <v>2465</v>
      </c>
      <c r="C1773" t="s">
        <v>1263</v>
      </c>
      <c r="D1773" t="s">
        <v>21</v>
      </c>
      <c r="E1773" t="s">
        <v>22</v>
      </c>
      <c r="F1773" s="30">
        <v>45565</v>
      </c>
      <c r="G1773" t="s">
        <v>2468</v>
      </c>
      <c r="H1773" t="s">
        <v>4620</v>
      </c>
      <c r="I1773">
        <v>100</v>
      </c>
      <c r="J1773">
        <v>108.13999938964839</v>
      </c>
      <c r="DH1773">
        <v>93</v>
      </c>
      <c r="DI1773">
        <v>86</v>
      </c>
    </row>
    <row r="1774" spans="1:113" x14ac:dyDescent="0.3">
      <c r="A1774">
        <v>470</v>
      </c>
      <c r="B1774" t="s">
        <v>2465</v>
      </c>
      <c r="C1774" t="s">
        <v>1263</v>
      </c>
      <c r="D1774" t="s">
        <v>21</v>
      </c>
      <c r="E1774" t="s">
        <v>22</v>
      </c>
      <c r="F1774" s="30">
        <v>45565</v>
      </c>
      <c r="G1774" t="s">
        <v>2468</v>
      </c>
      <c r="H1774" t="s">
        <v>4621</v>
      </c>
      <c r="I1774">
        <v>100</v>
      </c>
      <c r="J1774">
        <v>105.55999755859381</v>
      </c>
      <c r="DH1774">
        <v>95</v>
      </c>
      <c r="DI1774">
        <v>90</v>
      </c>
    </row>
    <row r="1775" spans="1:113" x14ac:dyDescent="0.3">
      <c r="A1775">
        <v>470</v>
      </c>
      <c r="B1775" t="s">
        <v>2465</v>
      </c>
      <c r="C1775" t="s">
        <v>1263</v>
      </c>
      <c r="D1775" t="s">
        <v>21</v>
      </c>
      <c r="E1775" t="s">
        <v>22</v>
      </c>
      <c r="F1775" s="30">
        <v>45565</v>
      </c>
      <c r="G1775" t="s">
        <v>2468</v>
      </c>
      <c r="H1775" t="s">
        <v>4622</v>
      </c>
      <c r="I1775">
        <v>100</v>
      </c>
      <c r="J1775">
        <v>104.3000030517578</v>
      </c>
      <c r="DH1775">
        <v>97</v>
      </c>
      <c r="DI1775">
        <v>93</v>
      </c>
    </row>
    <row r="1776" spans="1:113" x14ac:dyDescent="0.3">
      <c r="A1776">
        <v>470</v>
      </c>
      <c r="B1776" t="s">
        <v>2465</v>
      </c>
      <c r="C1776" t="s">
        <v>1263</v>
      </c>
      <c r="D1776" t="s">
        <v>21</v>
      </c>
      <c r="E1776" t="s">
        <v>22</v>
      </c>
      <c r="F1776" s="30">
        <v>45565</v>
      </c>
      <c r="G1776" t="s">
        <v>2468</v>
      </c>
      <c r="H1776" t="s">
        <v>4619</v>
      </c>
      <c r="I1776">
        <v>100</v>
      </c>
      <c r="J1776">
        <v>103.3300018310547</v>
      </c>
      <c r="DH1776">
        <v>93</v>
      </c>
      <c r="DI1776">
        <v>90</v>
      </c>
    </row>
    <row r="1777" spans="1:115" x14ac:dyDescent="0.3">
      <c r="A1777">
        <v>470</v>
      </c>
      <c r="B1777" t="s">
        <v>2465</v>
      </c>
      <c r="C1777" t="s">
        <v>1263</v>
      </c>
      <c r="D1777" t="s">
        <v>21</v>
      </c>
      <c r="E1777" t="s">
        <v>22</v>
      </c>
      <c r="F1777" s="30">
        <v>45565</v>
      </c>
      <c r="G1777" t="s">
        <v>2468</v>
      </c>
      <c r="H1777" t="s">
        <v>4618</v>
      </c>
      <c r="I1777">
        <v>100</v>
      </c>
      <c r="J1777">
        <v>102.7399978637695</v>
      </c>
      <c r="DH1777">
        <v>75</v>
      </c>
      <c r="DI1777">
        <v>73</v>
      </c>
    </row>
    <row r="1778" spans="1:115" x14ac:dyDescent="0.3">
      <c r="A1778">
        <v>471</v>
      </c>
      <c r="B1778" t="s">
        <v>2474</v>
      </c>
      <c r="C1778" t="s">
        <v>1263</v>
      </c>
      <c r="D1778" t="s">
        <v>21</v>
      </c>
      <c r="E1778" t="s">
        <v>22</v>
      </c>
      <c r="F1778" s="30">
        <v>45565</v>
      </c>
      <c r="G1778" t="s">
        <v>2477</v>
      </c>
      <c r="H1778" t="s">
        <v>4625</v>
      </c>
      <c r="I1778">
        <v>100</v>
      </c>
      <c r="J1778">
        <v>98.889999389648438</v>
      </c>
      <c r="DJ1778">
        <v>89</v>
      </c>
      <c r="DK1778">
        <v>90</v>
      </c>
    </row>
    <row r="1779" spans="1:115" x14ac:dyDescent="0.3">
      <c r="A1779">
        <v>471</v>
      </c>
      <c r="B1779" t="s">
        <v>2474</v>
      </c>
      <c r="C1779" t="s">
        <v>1263</v>
      </c>
      <c r="D1779" t="s">
        <v>21</v>
      </c>
      <c r="E1779" t="s">
        <v>22</v>
      </c>
      <c r="F1779" s="30">
        <v>45565</v>
      </c>
      <c r="G1779" t="s">
        <v>2477</v>
      </c>
      <c r="H1779" t="s">
        <v>4623</v>
      </c>
      <c r="I1779">
        <v>100</v>
      </c>
      <c r="J1779">
        <v>71.430000305175781</v>
      </c>
      <c r="DJ1779">
        <v>60</v>
      </c>
      <c r="DK1779">
        <v>84</v>
      </c>
    </row>
    <row r="1780" spans="1:115" x14ac:dyDescent="0.3">
      <c r="A1780">
        <v>471</v>
      </c>
      <c r="B1780" t="s">
        <v>2474</v>
      </c>
      <c r="C1780" t="s">
        <v>1263</v>
      </c>
      <c r="D1780" t="s">
        <v>21</v>
      </c>
      <c r="E1780" t="s">
        <v>22</v>
      </c>
      <c r="F1780" s="30">
        <v>45565</v>
      </c>
      <c r="G1780" t="s">
        <v>2477</v>
      </c>
      <c r="H1780" t="s">
        <v>4626</v>
      </c>
      <c r="I1780">
        <v>100</v>
      </c>
      <c r="J1780">
        <v>104.65000152587891</v>
      </c>
      <c r="DJ1780">
        <v>90</v>
      </c>
      <c r="DK1780">
        <v>86</v>
      </c>
    </row>
    <row r="1781" spans="1:115" x14ac:dyDescent="0.3">
      <c r="A1781">
        <v>471</v>
      </c>
      <c r="B1781" t="s">
        <v>2474</v>
      </c>
      <c r="C1781" t="s">
        <v>1263</v>
      </c>
      <c r="D1781" t="s">
        <v>21</v>
      </c>
      <c r="E1781" t="s">
        <v>22</v>
      </c>
      <c r="F1781" s="30">
        <v>45565</v>
      </c>
      <c r="G1781" t="s">
        <v>2477</v>
      </c>
      <c r="H1781" t="s">
        <v>4624</v>
      </c>
      <c r="I1781">
        <v>100</v>
      </c>
      <c r="J1781">
        <v>96.389999389648438</v>
      </c>
      <c r="DJ1781">
        <v>80</v>
      </c>
      <c r="DK1781">
        <v>83</v>
      </c>
    </row>
    <row r="1782" spans="1:115" x14ac:dyDescent="0.3">
      <c r="A1782">
        <v>471</v>
      </c>
      <c r="B1782" t="s">
        <v>2474</v>
      </c>
      <c r="C1782" t="s">
        <v>1263</v>
      </c>
      <c r="D1782" t="s">
        <v>21</v>
      </c>
      <c r="E1782" t="s">
        <v>22</v>
      </c>
      <c r="F1782" s="30">
        <v>45565</v>
      </c>
      <c r="G1782" t="s">
        <v>2477</v>
      </c>
      <c r="H1782" t="s">
        <v>4629</v>
      </c>
      <c r="I1782">
        <v>100</v>
      </c>
      <c r="J1782">
        <v>87.650001525878906</v>
      </c>
      <c r="DJ1782">
        <v>71</v>
      </c>
      <c r="DK1782">
        <v>81</v>
      </c>
    </row>
    <row r="1783" spans="1:115" x14ac:dyDescent="0.3">
      <c r="A1783">
        <v>471</v>
      </c>
      <c r="B1783" t="s">
        <v>2474</v>
      </c>
      <c r="C1783" t="s">
        <v>1263</v>
      </c>
      <c r="D1783" t="s">
        <v>21</v>
      </c>
      <c r="E1783" t="s">
        <v>22</v>
      </c>
      <c r="F1783" s="30">
        <v>45565</v>
      </c>
      <c r="G1783" t="s">
        <v>2477</v>
      </c>
      <c r="H1783" t="s">
        <v>4627</v>
      </c>
      <c r="I1783">
        <v>100</v>
      </c>
      <c r="J1783">
        <v>67.029998779296875</v>
      </c>
      <c r="DJ1783">
        <v>61</v>
      </c>
      <c r="DK1783">
        <v>91</v>
      </c>
    </row>
    <row r="1784" spans="1:115" x14ac:dyDescent="0.3">
      <c r="A1784">
        <v>471</v>
      </c>
      <c r="B1784" t="s">
        <v>2474</v>
      </c>
      <c r="C1784" t="s">
        <v>1263</v>
      </c>
      <c r="D1784" t="s">
        <v>21</v>
      </c>
      <c r="E1784" t="s">
        <v>22</v>
      </c>
      <c r="F1784" s="30">
        <v>45565</v>
      </c>
      <c r="G1784" t="s">
        <v>2477</v>
      </c>
      <c r="H1784" t="s">
        <v>4628</v>
      </c>
      <c r="I1784">
        <v>100</v>
      </c>
      <c r="J1784">
        <v>111.11000061035161</v>
      </c>
      <c r="DJ1784">
        <v>100</v>
      </c>
      <c r="DK1784">
        <v>90</v>
      </c>
    </row>
    <row r="1785" spans="1:115" x14ac:dyDescent="0.3">
      <c r="A1785">
        <v>208</v>
      </c>
      <c r="B1785" t="s">
        <v>707</v>
      </c>
      <c r="C1785" t="s">
        <v>251</v>
      </c>
      <c r="D1785" t="s">
        <v>73</v>
      </c>
      <c r="E1785" t="s">
        <v>56</v>
      </c>
      <c r="F1785" s="30">
        <v>45596</v>
      </c>
      <c r="G1785" t="s">
        <v>742</v>
      </c>
      <c r="H1785" t="s">
        <v>4468</v>
      </c>
      <c r="I1785">
        <v>950</v>
      </c>
      <c r="J1785">
        <v>704</v>
      </c>
      <c r="K1785">
        <v>704</v>
      </c>
    </row>
    <row r="1786" spans="1:115" x14ac:dyDescent="0.3">
      <c r="A1786">
        <v>208</v>
      </c>
      <c r="B1786" t="s">
        <v>707</v>
      </c>
      <c r="C1786" t="s">
        <v>251</v>
      </c>
      <c r="D1786" t="s">
        <v>73</v>
      </c>
      <c r="E1786" t="s">
        <v>56</v>
      </c>
      <c r="F1786" s="30">
        <v>45596</v>
      </c>
      <c r="G1786" t="s">
        <v>742</v>
      </c>
      <c r="H1786" t="s">
        <v>4477</v>
      </c>
      <c r="I1786">
        <v>25</v>
      </c>
      <c r="J1786">
        <v>16.5</v>
      </c>
      <c r="K1786">
        <v>16.5</v>
      </c>
    </row>
    <row r="1787" spans="1:115" x14ac:dyDescent="0.3">
      <c r="A1787">
        <v>208</v>
      </c>
      <c r="B1787" t="s">
        <v>707</v>
      </c>
      <c r="C1787" t="s">
        <v>251</v>
      </c>
      <c r="D1787" t="s">
        <v>73</v>
      </c>
      <c r="E1787" t="s">
        <v>56</v>
      </c>
      <c r="F1787" s="30">
        <v>45596</v>
      </c>
      <c r="G1787" t="s">
        <v>742</v>
      </c>
      <c r="H1787" t="s">
        <v>4469</v>
      </c>
      <c r="I1787">
        <v>200</v>
      </c>
      <c r="J1787">
        <v>217</v>
      </c>
      <c r="K1787">
        <v>217</v>
      </c>
    </row>
    <row r="1788" spans="1:115" x14ac:dyDescent="0.3">
      <c r="A1788">
        <v>208</v>
      </c>
      <c r="B1788" t="s">
        <v>707</v>
      </c>
      <c r="C1788" t="s">
        <v>251</v>
      </c>
      <c r="D1788" t="s">
        <v>73</v>
      </c>
      <c r="E1788" t="s">
        <v>56</v>
      </c>
      <c r="F1788" s="30">
        <v>45596</v>
      </c>
      <c r="G1788" t="s">
        <v>742</v>
      </c>
      <c r="H1788" t="s">
        <v>4476</v>
      </c>
      <c r="I1788">
        <v>0</v>
      </c>
      <c r="J1788">
        <v>0</v>
      </c>
      <c r="K1788">
        <v>0</v>
      </c>
    </row>
    <row r="1789" spans="1:115" x14ac:dyDescent="0.3">
      <c r="A1789">
        <v>208</v>
      </c>
      <c r="B1789" t="s">
        <v>707</v>
      </c>
      <c r="C1789" t="s">
        <v>251</v>
      </c>
      <c r="D1789" t="s">
        <v>73</v>
      </c>
      <c r="E1789" t="s">
        <v>56</v>
      </c>
      <c r="F1789" s="30">
        <v>45596</v>
      </c>
      <c r="G1789" t="s">
        <v>742</v>
      </c>
      <c r="H1789" t="s">
        <v>4478</v>
      </c>
      <c r="I1789">
        <v>25</v>
      </c>
      <c r="J1789">
        <v>10</v>
      </c>
      <c r="K1789">
        <v>10</v>
      </c>
    </row>
    <row r="1790" spans="1:115" x14ac:dyDescent="0.3">
      <c r="A1790">
        <v>208</v>
      </c>
      <c r="B1790" t="s">
        <v>707</v>
      </c>
      <c r="C1790" t="s">
        <v>251</v>
      </c>
      <c r="D1790" t="s">
        <v>73</v>
      </c>
      <c r="E1790" t="s">
        <v>56</v>
      </c>
      <c r="F1790" s="30">
        <v>45596</v>
      </c>
      <c r="G1790" t="s">
        <v>742</v>
      </c>
      <c r="H1790" t="s">
        <v>4470</v>
      </c>
      <c r="I1790">
        <v>350</v>
      </c>
      <c r="J1790">
        <v>397.5</v>
      </c>
      <c r="K1790">
        <v>397.5</v>
      </c>
    </row>
    <row r="1791" spans="1:115" x14ac:dyDescent="0.3">
      <c r="A1791">
        <v>214</v>
      </c>
      <c r="B1791" t="s">
        <v>774</v>
      </c>
      <c r="C1791" t="s">
        <v>251</v>
      </c>
      <c r="D1791" t="s">
        <v>73</v>
      </c>
      <c r="E1791" t="s">
        <v>56</v>
      </c>
      <c r="F1791" s="30">
        <v>45596</v>
      </c>
      <c r="G1791" t="s">
        <v>809</v>
      </c>
      <c r="H1791" t="s">
        <v>4468</v>
      </c>
      <c r="I1791">
        <v>5500</v>
      </c>
      <c r="J1791">
        <v>4230</v>
      </c>
      <c r="L1791">
        <v>1906</v>
      </c>
      <c r="M1791">
        <v>2324</v>
      </c>
    </row>
    <row r="1792" spans="1:115" x14ac:dyDescent="0.3">
      <c r="A1792">
        <v>214</v>
      </c>
      <c r="B1792" t="s">
        <v>774</v>
      </c>
      <c r="C1792" t="s">
        <v>251</v>
      </c>
      <c r="D1792" t="s">
        <v>73</v>
      </c>
      <c r="E1792" t="s">
        <v>56</v>
      </c>
      <c r="F1792" s="30">
        <v>45596</v>
      </c>
      <c r="G1792" t="s">
        <v>809</v>
      </c>
      <c r="H1792" t="s">
        <v>4470</v>
      </c>
      <c r="I1792">
        <v>1000</v>
      </c>
      <c r="J1792">
        <v>1160.160034179688</v>
      </c>
      <c r="L1792">
        <v>157.13999999999999</v>
      </c>
      <c r="M1792">
        <v>1003.02</v>
      </c>
    </row>
    <row r="1793" spans="1:45" x14ac:dyDescent="0.3">
      <c r="A1793">
        <v>214</v>
      </c>
      <c r="B1793" t="s">
        <v>774</v>
      </c>
      <c r="C1793" t="s">
        <v>251</v>
      </c>
      <c r="D1793" t="s">
        <v>73</v>
      </c>
      <c r="E1793" t="s">
        <v>56</v>
      </c>
      <c r="F1793" s="30">
        <v>45596</v>
      </c>
      <c r="G1793" t="s">
        <v>809</v>
      </c>
      <c r="H1793" t="s">
        <v>4477</v>
      </c>
      <c r="I1793">
        <v>7500</v>
      </c>
      <c r="J1793">
        <v>0</v>
      </c>
      <c r="L1793">
        <v>0</v>
      </c>
      <c r="M1793">
        <v>0</v>
      </c>
    </row>
    <row r="1794" spans="1:45" x14ac:dyDescent="0.3">
      <c r="A1794">
        <v>214</v>
      </c>
      <c r="B1794" t="s">
        <v>774</v>
      </c>
      <c r="C1794" t="s">
        <v>251</v>
      </c>
      <c r="D1794" t="s">
        <v>73</v>
      </c>
      <c r="E1794" t="s">
        <v>56</v>
      </c>
      <c r="F1794" s="30">
        <v>45596</v>
      </c>
      <c r="G1794" t="s">
        <v>809</v>
      </c>
      <c r="H1794" t="s">
        <v>4469</v>
      </c>
      <c r="I1794">
        <v>1000</v>
      </c>
      <c r="J1794">
        <v>0</v>
      </c>
      <c r="L1794">
        <v>0</v>
      </c>
      <c r="M1794">
        <v>585.9</v>
      </c>
    </row>
    <row r="1795" spans="1:45" x14ac:dyDescent="0.3">
      <c r="A1795">
        <v>214</v>
      </c>
      <c r="B1795" t="s">
        <v>774</v>
      </c>
      <c r="C1795" t="s">
        <v>251</v>
      </c>
      <c r="D1795" t="s">
        <v>73</v>
      </c>
      <c r="E1795" t="s">
        <v>56</v>
      </c>
      <c r="F1795" s="30">
        <v>45596</v>
      </c>
      <c r="G1795" t="s">
        <v>809</v>
      </c>
      <c r="H1795" t="s">
        <v>4476</v>
      </c>
      <c r="I1795">
        <v>1</v>
      </c>
      <c r="J1795">
        <v>0</v>
      </c>
      <c r="L1795">
        <v>0</v>
      </c>
      <c r="M1795">
        <v>0</v>
      </c>
    </row>
    <row r="1796" spans="1:45" x14ac:dyDescent="0.3">
      <c r="A1796">
        <v>214</v>
      </c>
      <c r="B1796" t="s">
        <v>774</v>
      </c>
      <c r="C1796" t="s">
        <v>251</v>
      </c>
      <c r="D1796" t="s">
        <v>73</v>
      </c>
      <c r="E1796" t="s">
        <v>56</v>
      </c>
      <c r="F1796" s="30">
        <v>45596</v>
      </c>
      <c r="G1796" t="s">
        <v>809</v>
      </c>
      <c r="H1796" t="s">
        <v>4478</v>
      </c>
      <c r="I1796">
        <v>1</v>
      </c>
      <c r="J1796">
        <v>12.89999961853027</v>
      </c>
      <c r="L1796">
        <v>2.4</v>
      </c>
      <c r="M1796">
        <v>10.5</v>
      </c>
    </row>
    <row r="1797" spans="1:45" x14ac:dyDescent="0.3">
      <c r="A1797">
        <v>217</v>
      </c>
      <c r="B1797" t="s">
        <v>840</v>
      </c>
      <c r="C1797" t="s">
        <v>251</v>
      </c>
      <c r="D1797" t="s">
        <v>73</v>
      </c>
      <c r="E1797" t="s">
        <v>22</v>
      </c>
      <c r="F1797" s="30">
        <v>45596</v>
      </c>
      <c r="G1797" t="s">
        <v>873</v>
      </c>
      <c r="H1797" t="s">
        <v>4468</v>
      </c>
      <c r="I1797">
        <v>20</v>
      </c>
      <c r="J1797">
        <v>45.060001373291023</v>
      </c>
      <c r="L1797">
        <v>1906</v>
      </c>
      <c r="M1797">
        <v>2324</v>
      </c>
      <c r="AS1797">
        <v>1906</v>
      </c>
    </row>
    <row r="1798" spans="1:45" x14ac:dyDescent="0.3">
      <c r="A1798">
        <v>217</v>
      </c>
      <c r="B1798" t="s">
        <v>840</v>
      </c>
      <c r="C1798" t="s">
        <v>251</v>
      </c>
      <c r="D1798" t="s">
        <v>73</v>
      </c>
      <c r="E1798" t="s">
        <v>22</v>
      </c>
      <c r="F1798" s="30">
        <v>45596</v>
      </c>
      <c r="G1798" t="s">
        <v>873</v>
      </c>
      <c r="H1798" t="s">
        <v>4470</v>
      </c>
      <c r="I1798">
        <v>20</v>
      </c>
      <c r="J1798">
        <v>13.539999961853029</v>
      </c>
      <c r="L1798">
        <v>157.13999999999999</v>
      </c>
      <c r="M1798">
        <v>1003.02</v>
      </c>
      <c r="AS1798">
        <v>157.13999999999999</v>
      </c>
    </row>
    <row r="1799" spans="1:45" x14ac:dyDescent="0.3">
      <c r="A1799">
        <v>217</v>
      </c>
      <c r="B1799" t="s">
        <v>840</v>
      </c>
      <c r="C1799" t="s">
        <v>251</v>
      </c>
      <c r="D1799" t="s">
        <v>73</v>
      </c>
      <c r="E1799" t="s">
        <v>22</v>
      </c>
      <c r="F1799" s="30">
        <v>45596</v>
      </c>
      <c r="G1799" t="s">
        <v>873</v>
      </c>
      <c r="H1799" t="s">
        <v>4477</v>
      </c>
      <c r="I1799">
        <v>20</v>
      </c>
      <c r="J1799">
        <v>0</v>
      </c>
      <c r="L1799">
        <v>0</v>
      </c>
      <c r="M1799">
        <v>0</v>
      </c>
      <c r="AS1799">
        <v>0</v>
      </c>
    </row>
    <row r="1800" spans="1:45" x14ac:dyDescent="0.3">
      <c r="A1800">
        <v>217</v>
      </c>
      <c r="B1800" t="s">
        <v>840</v>
      </c>
      <c r="C1800" t="s">
        <v>251</v>
      </c>
      <c r="D1800" t="s">
        <v>73</v>
      </c>
      <c r="E1800" t="s">
        <v>22</v>
      </c>
      <c r="F1800" s="30">
        <v>45596</v>
      </c>
      <c r="G1800" t="s">
        <v>873</v>
      </c>
      <c r="H1800" t="s">
        <v>4476</v>
      </c>
      <c r="I1800">
        <v>20</v>
      </c>
      <c r="J1800">
        <v>0</v>
      </c>
      <c r="L1800">
        <v>0</v>
      </c>
      <c r="M1800">
        <v>0</v>
      </c>
      <c r="AS1800">
        <v>0</v>
      </c>
    </row>
    <row r="1801" spans="1:45" x14ac:dyDescent="0.3">
      <c r="A1801">
        <v>217</v>
      </c>
      <c r="B1801" t="s">
        <v>840</v>
      </c>
      <c r="C1801" t="s">
        <v>251</v>
      </c>
      <c r="D1801" t="s">
        <v>73</v>
      </c>
      <c r="E1801" t="s">
        <v>22</v>
      </c>
      <c r="F1801" s="30">
        <v>45596</v>
      </c>
      <c r="G1801" t="s">
        <v>873</v>
      </c>
      <c r="H1801" t="s">
        <v>4469</v>
      </c>
      <c r="I1801">
        <v>20</v>
      </c>
      <c r="L1801">
        <v>0</v>
      </c>
      <c r="M1801">
        <v>585.9</v>
      </c>
      <c r="AS1801">
        <v>0</v>
      </c>
    </row>
    <row r="1802" spans="1:45" x14ac:dyDescent="0.3">
      <c r="A1802">
        <v>217</v>
      </c>
      <c r="B1802" t="s">
        <v>840</v>
      </c>
      <c r="C1802" t="s">
        <v>251</v>
      </c>
      <c r="D1802" t="s">
        <v>73</v>
      </c>
      <c r="E1802" t="s">
        <v>22</v>
      </c>
      <c r="F1802" s="30">
        <v>45596</v>
      </c>
      <c r="G1802" t="s">
        <v>873</v>
      </c>
      <c r="H1802" t="s">
        <v>4478</v>
      </c>
      <c r="I1802">
        <v>20</v>
      </c>
      <c r="J1802">
        <v>10.85000038146973</v>
      </c>
      <c r="L1802">
        <v>2.4</v>
      </c>
      <c r="M1802">
        <v>10.5</v>
      </c>
      <c r="AS1802">
        <v>1.4</v>
      </c>
    </row>
    <row r="1803" spans="1:45" x14ac:dyDescent="0.3">
      <c r="A1803">
        <v>218</v>
      </c>
      <c r="B1803" t="s">
        <v>888</v>
      </c>
      <c r="C1803" t="s">
        <v>251</v>
      </c>
      <c r="D1803" t="s">
        <v>73</v>
      </c>
      <c r="E1803" t="s">
        <v>56</v>
      </c>
      <c r="F1803" s="30">
        <v>45596</v>
      </c>
      <c r="G1803" t="s">
        <v>923</v>
      </c>
      <c r="H1803" t="s">
        <v>4468</v>
      </c>
      <c r="I1803">
        <v>76000</v>
      </c>
      <c r="J1803">
        <v>69141.4921875</v>
      </c>
      <c r="N1803">
        <v>69141.490000000005</v>
      </c>
    </row>
    <row r="1804" spans="1:45" x14ac:dyDescent="0.3">
      <c r="A1804">
        <v>218</v>
      </c>
      <c r="B1804" t="s">
        <v>888</v>
      </c>
      <c r="C1804" t="s">
        <v>251</v>
      </c>
      <c r="D1804" t="s">
        <v>73</v>
      </c>
      <c r="E1804" t="s">
        <v>56</v>
      </c>
      <c r="F1804" s="30">
        <v>45596</v>
      </c>
      <c r="G1804" t="s">
        <v>923</v>
      </c>
      <c r="H1804" t="s">
        <v>4470</v>
      </c>
      <c r="I1804">
        <v>76000</v>
      </c>
      <c r="J1804">
        <v>49020</v>
      </c>
      <c r="N1804">
        <v>49020</v>
      </c>
    </row>
    <row r="1805" spans="1:45" x14ac:dyDescent="0.3">
      <c r="A1805">
        <v>218</v>
      </c>
      <c r="B1805" t="s">
        <v>888</v>
      </c>
      <c r="C1805" t="s">
        <v>251</v>
      </c>
      <c r="D1805" t="s">
        <v>73</v>
      </c>
      <c r="E1805" t="s">
        <v>56</v>
      </c>
      <c r="F1805" s="30">
        <v>45596</v>
      </c>
      <c r="G1805" t="s">
        <v>923</v>
      </c>
      <c r="H1805" t="s">
        <v>4477</v>
      </c>
      <c r="I1805">
        <v>5000</v>
      </c>
      <c r="J1805">
        <v>3900</v>
      </c>
      <c r="N1805">
        <v>3900</v>
      </c>
    </row>
    <row r="1806" spans="1:45" x14ac:dyDescent="0.3">
      <c r="A1806">
        <v>218</v>
      </c>
      <c r="B1806" t="s">
        <v>888</v>
      </c>
      <c r="C1806" t="s">
        <v>251</v>
      </c>
      <c r="D1806" t="s">
        <v>73</v>
      </c>
      <c r="E1806" t="s">
        <v>56</v>
      </c>
      <c r="F1806" s="30">
        <v>45596</v>
      </c>
      <c r="G1806" t="s">
        <v>923</v>
      </c>
      <c r="H1806" t="s">
        <v>4476</v>
      </c>
      <c r="I1806">
        <v>5000</v>
      </c>
      <c r="J1806">
        <v>4800</v>
      </c>
      <c r="N1806">
        <v>4800</v>
      </c>
    </row>
    <row r="1807" spans="1:45" x14ac:dyDescent="0.3">
      <c r="A1807">
        <v>218</v>
      </c>
      <c r="B1807" t="s">
        <v>888</v>
      </c>
      <c r="C1807" t="s">
        <v>251</v>
      </c>
      <c r="D1807" t="s">
        <v>73</v>
      </c>
      <c r="E1807" t="s">
        <v>56</v>
      </c>
      <c r="F1807" s="30">
        <v>45596</v>
      </c>
      <c r="G1807" t="s">
        <v>923</v>
      </c>
      <c r="H1807" t="s">
        <v>4478</v>
      </c>
      <c r="I1807">
        <v>2000</v>
      </c>
      <c r="J1807">
        <v>1636</v>
      </c>
      <c r="N1807">
        <v>1636</v>
      </c>
    </row>
    <row r="1808" spans="1:45" x14ac:dyDescent="0.3">
      <c r="A1808">
        <v>218</v>
      </c>
      <c r="B1808" t="s">
        <v>888</v>
      </c>
      <c r="C1808" t="s">
        <v>251</v>
      </c>
      <c r="D1808" t="s">
        <v>73</v>
      </c>
      <c r="E1808" t="s">
        <v>56</v>
      </c>
      <c r="F1808" s="30">
        <v>45596</v>
      </c>
      <c r="G1808" t="s">
        <v>923</v>
      </c>
      <c r="H1808" t="s">
        <v>4469</v>
      </c>
      <c r="I1808">
        <v>24000</v>
      </c>
      <c r="J1808">
        <v>27921</v>
      </c>
      <c r="N1808">
        <v>27921</v>
      </c>
    </row>
    <row r="1809" spans="1:134" x14ac:dyDescent="0.3">
      <c r="A1809">
        <v>225</v>
      </c>
      <c r="B1809" t="s">
        <v>976</v>
      </c>
      <c r="C1809" t="s">
        <v>251</v>
      </c>
      <c r="D1809" t="s">
        <v>73</v>
      </c>
      <c r="E1809" t="s">
        <v>22</v>
      </c>
      <c r="F1809" s="30">
        <v>45596</v>
      </c>
      <c r="G1809" t="s">
        <v>1010</v>
      </c>
      <c r="H1809" t="s">
        <v>4468</v>
      </c>
      <c r="I1809">
        <v>1</v>
      </c>
      <c r="J1809">
        <v>5</v>
      </c>
      <c r="AT1809">
        <v>5</v>
      </c>
    </row>
    <row r="1810" spans="1:134" x14ac:dyDescent="0.3">
      <c r="A1810">
        <v>225</v>
      </c>
      <c r="B1810" t="s">
        <v>976</v>
      </c>
      <c r="C1810" t="s">
        <v>251</v>
      </c>
      <c r="D1810" t="s">
        <v>73</v>
      </c>
      <c r="E1810" t="s">
        <v>22</v>
      </c>
      <c r="F1810" s="30">
        <v>45596</v>
      </c>
      <c r="G1810" t="s">
        <v>1010</v>
      </c>
      <c r="H1810" t="s">
        <v>4470</v>
      </c>
      <c r="I1810">
        <v>1</v>
      </c>
      <c r="J1810">
        <v>3</v>
      </c>
      <c r="AT1810">
        <v>3</v>
      </c>
    </row>
    <row r="1811" spans="1:134" x14ac:dyDescent="0.3">
      <c r="A1811">
        <v>225</v>
      </c>
      <c r="B1811" t="s">
        <v>976</v>
      </c>
      <c r="C1811" t="s">
        <v>251</v>
      </c>
      <c r="D1811" t="s">
        <v>73</v>
      </c>
      <c r="E1811" t="s">
        <v>22</v>
      </c>
      <c r="F1811" s="30">
        <v>45596</v>
      </c>
      <c r="G1811" t="s">
        <v>1010</v>
      </c>
      <c r="H1811" t="s">
        <v>4477</v>
      </c>
      <c r="I1811">
        <v>1</v>
      </c>
      <c r="J1811">
        <v>0</v>
      </c>
      <c r="AT1811">
        <v>0</v>
      </c>
    </row>
    <row r="1812" spans="1:134" x14ac:dyDescent="0.3">
      <c r="A1812">
        <v>225</v>
      </c>
      <c r="B1812" t="s">
        <v>976</v>
      </c>
      <c r="C1812" t="s">
        <v>251</v>
      </c>
      <c r="D1812" t="s">
        <v>73</v>
      </c>
      <c r="E1812" t="s">
        <v>22</v>
      </c>
      <c r="F1812" s="30">
        <v>45596</v>
      </c>
      <c r="G1812" t="s">
        <v>1010</v>
      </c>
      <c r="H1812" t="s">
        <v>4469</v>
      </c>
      <c r="I1812">
        <v>1</v>
      </c>
      <c r="J1812">
        <v>10</v>
      </c>
      <c r="AT1812">
        <v>10</v>
      </c>
    </row>
    <row r="1813" spans="1:134" x14ac:dyDescent="0.3">
      <c r="A1813">
        <v>225</v>
      </c>
      <c r="B1813" t="s">
        <v>976</v>
      </c>
      <c r="C1813" t="s">
        <v>251</v>
      </c>
      <c r="D1813" t="s">
        <v>73</v>
      </c>
      <c r="E1813" t="s">
        <v>22</v>
      </c>
      <c r="F1813" s="30">
        <v>45596</v>
      </c>
      <c r="G1813" t="s">
        <v>1010</v>
      </c>
      <c r="H1813" t="s">
        <v>4476</v>
      </c>
      <c r="I1813">
        <v>1</v>
      </c>
      <c r="J1813">
        <v>1</v>
      </c>
      <c r="AT1813">
        <v>1</v>
      </c>
    </row>
    <row r="1814" spans="1:134" x14ac:dyDescent="0.3">
      <c r="A1814">
        <v>225</v>
      </c>
      <c r="B1814" t="s">
        <v>976</v>
      </c>
      <c r="C1814" t="s">
        <v>251</v>
      </c>
      <c r="D1814" t="s">
        <v>73</v>
      </c>
      <c r="E1814" t="s">
        <v>22</v>
      </c>
      <c r="F1814" s="30">
        <v>45596</v>
      </c>
      <c r="G1814" t="s">
        <v>1010</v>
      </c>
      <c r="H1814" t="s">
        <v>4478</v>
      </c>
      <c r="I1814">
        <v>1</v>
      </c>
      <c r="J1814">
        <v>1</v>
      </c>
      <c r="AT1814">
        <v>1</v>
      </c>
    </row>
    <row r="1815" spans="1:134" x14ac:dyDescent="0.3">
      <c r="A1815">
        <v>434</v>
      </c>
      <c r="B1815" t="s">
        <v>2267</v>
      </c>
      <c r="C1815" t="s">
        <v>251</v>
      </c>
      <c r="D1815" t="s">
        <v>73</v>
      </c>
      <c r="E1815" t="s">
        <v>56</v>
      </c>
      <c r="F1815" s="30">
        <v>45596</v>
      </c>
      <c r="G1815" t="s">
        <v>2289</v>
      </c>
      <c r="H1815" t="s">
        <v>4477</v>
      </c>
      <c r="I1815">
        <v>200</v>
      </c>
      <c r="J1815">
        <v>0</v>
      </c>
      <c r="AV1815">
        <v>0</v>
      </c>
    </row>
    <row r="1816" spans="1:134" x14ac:dyDescent="0.3">
      <c r="A1816">
        <v>434</v>
      </c>
      <c r="B1816" t="s">
        <v>2267</v>
      </c>
      <c r="C1816" t="s">
        <v>251</v>
      </c>
      <c r="D1816" t="s">
        <v>73</v>
      </c>
      <c r="E1816" t="s">
        <v>56</v>
      </c>
      <c r="F1816" s="30">
        <v>45596</v>
      </c>
      <c r="G1816" t="s">
        <v>2289</v>
      </c>
      <c r="H1816" t="s">
        <v>4469</v>
      </c>
      <c r="I1816">
        <v>25</v>
      </c>
      <c r="J1816">
        <v>99</v>
      </c>
      <c r="AV1816">
        <v>99</v>
      </c>
    </row>
    <row r="1817" spans="1:134" x14ac:dyDescent="0.3">
      <c r="A1817">
        <v>434</v>
      </c>
      <c r="B1817" t="s">
        <v>2267</v>
      </c>
      <c r="C1817" t="s">
        <v>251</v>
      </c>
      <c r="D1817" t="s">
        <v>73</v>
      </c>
      <c r="E1817" t="s">
        <v>56</v>
      </c>
      <c r="F1817" s="30">
        <v>45596</v>
      </c>
      <c r="G1817" t="s">
        <v>2289</v>
      </c>
      <c r="H1817" t="s">
        <v>4478</v>
      </c>
      <c r="I1817">
        <v>200</v>
      </c>
      <c r="J1817">
        <v>0</v>
      </c>
      <c r="AV1817">
        <v>0</v>
      </c>
    </row>
    <row r="1818" spans="1:134" x14ac:dyDescent="0.3">
      <c r="A1818">
        <v>434</v>
      </c>
      <c r="B1818" t="s">
        <v>2267</v>
      </c>
      <c r="C1818" t="s">
        <v>251</v>
      </c>
      <c r="D1818" t="s">
        <v>73</v>
      </c>
      <c r="E1818" t="s">
        <v>56</v>
      </c>
      <c r="F1818" s="30">
        <v>45596</v>
      </c>
      <c r="G1818" t="s">
        <v>2289</v>
      </c>
      <c r="H1818" t="s">
        <v>4476</v>
      </c>
      <c r="I1818">
        <v>10</v>
      </c>
      <c r="J1818">
        <v>0.20000000298023221</v>
      </c>
      <c r="AV1818">
        <v>0.2</v>
      </c>
    </row>
    <row r="1819" spans="1:134" x14ac:dyDescent="0.3">
      <c r="A1819">
        <v>434</v>
      </c>
      <c r="B1819" t="s">
        <v>2267</v>
      </c>
      <c r="C1819" t="s">
        <v>251</v>
      </c>
      <c r="D1819" t="s">
        <v>73</v>
      </c>
      <c r="E1819" t="s">
        <v>56</v>
      </c>
      <c r="F1819" s="30">
        <v>45596</v>
      </c>
      <c r="G1819" t="s">
        <v>2289</v>
      </c>
      <c r="H1819" t="s">
        <v>4468</v>
      </c>
      <c r="I1819">
        <v>100</v>
      </c>
      <c r="J1819">
        <v>355.10000610351563</v>
      </c>
      <c r="AV1819">
        <v>355.1</v>
      </c>
    </row>
    <row r="1820" spans="1:134" x14ac:dyDescent="0.3">
      <c r="A1820">
        <v>434</v>
      </c>
      <c r="B1820" t="s">
        <v>2267</v>
      </c>
      <c r="C1820" t="s">
        <v>251</v>
      </c>
      <c r="D1820" t="s">
        <v>73</v>
      </c>
      <c r="E1820" t="s">
        <v>56</v>
      </c>
      <c r="F1820" s="30">
        <v>45596</v>
      </c>
      <c r="G1820" t="s">
        <v>2289</v>
      </c>
      <c r="H1820" t="s">
        <v>4470</v>
      </c>
      <c r="I1820">
        <v>25</v>
      </c>
      <c r="J1820">
        <v>538.08001708984375</v>
      </c>
      <c r="AV1820">
        <v>538.08000000000004</v>
      </c>
    </row>
    <row r="1821" spans="1:134" x14ac:dyDescent="0.3">
      <c r="A1821">
        <v>436</v>
      </c>
      <c r="B1821" t="s">
        <v>2311</v>
      </c>
      <c r="C1821" t="s">
        <v>258</v>
      </c>
      <c r="D1821" t="s">
        <v>73</v>
      </c>
      <c r="E1821" t="s">
        <v>56</v>
      </c>
      <c r="F1821" s="30">
        <v>45596</v>
      </c>
      <c r="G1821" t="s">
        <v>2333</v>
      </c>
      <c r="H1821" t="s">
        <v>4579</v>
      </c>
      <c r="I1821">
        <v>7</v>
      </c>
      <c r="J1821">
        <v>5.4000000953674316</v>
      </c>
      <c r="CP1821">
        <v>5.4</v>
      </c>
    </row>
    <row r="1822" spans="1:134" x14ac:dyDescent="0.3">
      <c r="A1822">
        <v>436</v>
      </c>
      <c r="B1822" t="s">
        <v>2311</v>
      </c>
      <c r="C1822" t="s">
        <v>258</v>
      </c>
      <c r="D1822" t="s">
        <v>73</v>
      </c>
      <c r="E1822" t="s">
        <v>56</v>
      </c>
      <c r="F1822" s="30">
        <v>45596</v>
      </c>
      <c r="G1822" t="s">
        <v>2333</v>
      </c>
      <c r="H1822" t="s">
        <v>4580</v>
      </c>
      <c r="I1822">
        <v>7</v>
      </c>
      <c r="J1822">
        <v>2.5999999046325679</v>
      </c>
      <c r="CP1822">
        <v>2.6</v>
      </c>
    </row>
    <row r="1823" spans="1:134" x14ac:dyDescent="0.3">
      <c r="A1823">
        <v>485</v>
      </c>
      <c r="B1823" t="s">
        <v>2525</v>
      </c>
      <c r="C1823" t="s">
        <v>258</v>
      </c>
      <c r="D1823" t="s">
        <v>73</v>
      </c>
      <c r="E1823" t="s">
        <v>22</v>
      </c>
      <c r="F1823" s="30">
        <v>45596</v>
      </c>
      <c r="G1823" t="s">
        <v>2534</v>
      </c>
      <c r="H1823" t="s">
        <v>4637</v>
      </c>
      <c r="I1823">
        <v>80</v>
      </c>
      <c r="J1823">
        <v>100</v>
      </c>
      <c r="EC1823">
        <v>1</v>
      </c>
      <c r="ED1823">
        <v>1</v>
      </c>
    </row>
    <row r="1824" spans="1:134" x14ac:dyDescent="0.3">
      <c r="A1824">
        <v>485</v>
      </c>
      <c r="B1824" t="s">
        <v>2525</v>
      </c>
      <c r="C1824" t="s">
        <v>258</v>
      </c>
      <c r="D1824" t="s">
        <v>73</v>
      </c>
      <c r="E1824" t="s">
        <v>22</v>
      </c>
      <c r="F1824" s="30">
        <v>45596</v>
      </c>
      <c r="G1824" t="s">
        <v>2534</v>
      </c>
      <c r="H1824" t="s">
        <v>4638</v>
      </c>
      <c r="I1824">
        <v>80</v>
      </c>
      <c r="J1824">
        <v>0</v>
      </c>
      <c r="EC1824">
        <v>0</v>
      </c>
      <c r="ED1824">
        <v>0</v>
      </c>
    </row>
    <row r="1825" spans="1:136" x14ac:dyDescent="0.3">
      <c r="A1825">
        <v>485</v>
      </c>
      <c r="B1825" t="s">
        <v>2525</v>
      </c>
      <c r="C1825" t="s">
        <v>258</v>
      </c>
      <c r="D1825" t="s">
        <v>73</v>
      </c>
      <c r="E1825" t="s">
        <v>22</v>
      </c>
      <c r="F1825" s="30">
        <v>45596</v>
      </c>
      <c r="G1825" t="s">
        <v>2534</v>
      </c>
      <c r="H1825" t="s">
        <v>4639</v>
      </c>
      <c r="I1825">
        <v>80</v>
      </c>
      <c r="J1825">
        <v>0</v>
      </c>
      <c r="EC1825">
        <v>0</v>
      </c>
      <c r="ED1825">
        <v>0</v>
      </c>
    </row>
    <row r="1826" spans="1:136" x14ac:dyDescent="0.3">
      <c r="A1826">
        <v>485</v>
      </c>
      <c r="B1826" t="s">
        <v>2525</v>
      </c>
      <c r="C1826" t="s">
        <v>258</v>
      </c>
      <c r="D1826" t="s">
        <v>73</v>
      </c>
      <c r="E1826" t="s">
        <v>22</v>
      </c>
      <c r="F1826" s="30">
        <v>45596</v>
      </c>
      <c r="G1826" t="s">
        <v>2534</v>
      </c>
      <c r="H1826" t="s">
        <v>4576</v>
      </c>
      <c r="I1826">
        <v>80</v>
      </c>
      <c r="J1826">
        <v>0</v>
      </c>
      <c r="EC1826">
        <v>0</v>
      </c>
      <c r="ED1826">
        <v>0</v>
      </c>
    </row>
    <row r="1827" spans="1:136" x14ac:dyDescent="0.3">
      <c r="A1827">
        <v>485</v>
      </c>
      <c r="B1827" t="s">
        <v>2525</v>
      </c>
      <c r="C1827" t="s">
        <v>258</v>
      </c>
      <c r="D1827" t="s">
        <v>73</v>
      </c>
      <c r="E1827" t="s">
        <v>22</v>
      </c>
      <c r="F1827" s="30">
        <v>45596</v>
      </c>
      <c r="G1827" t="s">
        <v>2534</v>
      </c>
      <c r="H1827" t="s">
        <v>154</v>
      </c>
      <c r="I1827">
        <v>80</v>
      </c>
      <c r="J1827">
        <v>0</v>
      </c>
      <c r="EC1827">
        <v>0</v>
      </c>
      <c r="ED1827">
        <v>0</v>
      </c>
    </row>
    <row r="1828" spans="1:136" x14ac:dyDescent="0.3">
      <c r="A1828">
        <v>485</v>
      </c>
      <c r="B1828" t="s">
        <v>2525</v>
      </c>
      <c r="C1828" t="s">
        <v>258</v>
      </c>
      <c r="D1828" t="s">
        <v>73</v>
      </c>
      <c r="E1828" t="s">
        <v>22</v>
      </c>
      <c r="F1828" s="30">
        <v>45596</v>
      </c>
      <c r="G1828" t="s">
        <v>2534</v>
      </c>
      <c r="H1828" t="s">
        <v>4640</v>
      </c>
      <c r="I1828">
        <v>80</v>
      </c>
      <c r="J1828">
        <v>0</v>
      </c>
      <c r="EC1828">
        <v>0</v>
      </c>
      <c r="ED1828">
        <v>0</v>
      </c>
    </row>
    <row r="1829" spans="1:136" x14ac:dyDescent="0.3">
      <c r="A1829">
        <v>485</v>
      </c>
      <c r="B1829" t="s">
        <v>2525</v>
      </c>
      <c r="C1829" t="s">
        <v>258</v>
      </c>
      <c r="D1829" t="s">
        <v>73</v>
      </c>
      <c r="E1829" t="s">
        <v>22</v>
      </c>
      <c r="F1829" s="30">
        <v>45596</v>
      </c>
      <c r="G1829" t="s">
        <v>2534</v>
      </c>
      <c r="H1829" t="s">
        <v>4641</v>
      </c>
      <c r="I1829">
        <v>80</v>
      </c>
      <c r="J1829">
        <v>0</v>
      </c>
      <c r="EC1829">
        <v>0</v>
      </c>
      <c r="ED1829">
        <v>0</v>
      </c>
    </row>
    <row r="1830" spans="1:136" x14ac:dyDescent="0.3">
      <c r="A1830">
        <v>485</v>
      </c>
      <c r="B1830" t="s">
        <v>2525</v>
      </c>
      <c r="C1830" t="s">
        <v>258</v>
      </c>
      <c r="D1830" t="s">
        <v>73</v>
      </c>
      <c r="E1830" t="s">
        <v>22</v>
      </c>
      <c r="F1830" s="30">
        <v>45596</v>
      </c>
      <c r="G1830" t="s">
        <v>2534</v>
      </c>
      <c r="H1830" t="s">
        <v>4538</v>
      </c>
      <c r="I1830">
        <v>80</v>
      </c>
      <c r="J1830">
        <v>0</v>
      </c>
      <c r="EC1830">
        <v>0</v>
      </c>
      <c r="ED1830">
        <v>0</v>
      </c>
    </row>
    <row r="1831" spans="1:136" x14ac:dyDescent="0.3">
      <c r="A1831">
        <v>485</v>
      </c>
      <c r="B1831" t="s">
        <v>2525</v>
      </c>
      <c r="C1831" t="s">
        <v>258</v>
      </c>
      <c r="D1831" t="s">
        <v>73</v>
      </c>
      <c r="E1831" t="s">
        <v>22</v>
      </c>
      <c r="F1831" s="30">
        <v>45596</v>
      </c>
      <c r="G1831" t="s">
        <v>2534</v>
      </c>
      <c r="H1831" t="s">
        <v>4642</v>
      </c>
      <c r="I1831">
        <v>80</v>
      </c>
      <c r="J1831">
        <v>0</v>
      </c>
      <c r="EC1831">
        <v>0</v>
      </c>
      <c r="ED1831">
        <v>0</v>
      </c>
    </row>
    <row r="1832" spans="1:136" x14ac:dyDescent="0.3">
      <c r="A1832">
        <v>488</v>
      </c>
      <c r="B1832" t="s">
        <v>2555</v>
      </c>
      <c r="C1832" t="s">
        <v>258</v>
      </c>
      <c r="D1832" t="s">
        <v>73</v>
      </c>
      <c r="E1832" t="s">
        <v>22</v>
      </c>
      <c r="F1832" s="30">
        <v>45596</v>
      </c>
      <c r="G1832" t="s">
        <v>2565</v>
      </c>
      <c r="H1832" t="s">
        <v>4637</v>
      </c>
      <c r="I1832">
        <v>85</v>
      </c>
      <c r="J1832">
        <v>78.260002136230469</v>
      </c>
      <c r="EE1832">
        <v>108</v>
      </c>
      <c r="EF1832">
        <v>138</v>
      </c>
    </row>
    <row r="1833" spans="1:136" x14ac:dyDescent="0.3">
      <c r="A1833">
        <v>488</v>
      </c>
      <c r="B1833" t="s">
        <v>2555</v>
      </c>
      <c r="C1833" t="s">
        <v>258</v>
      </c>
      <c r="D1833" t="s">
        <v>73</v>
      </c>
      <c r="E1833" t="s">
        <v>22</v>
      </c>
      <c r="F1833" s="30">
        <v>45596</v>
      </c>
      <c r="G1833" t="s">
        <v>2565</v>
      </c>
      <c r="H1833" t="s">
        <v>4638</v>
      </c>
      <c r="I1833">
        <v>85</v>
      </c>
      <c r="J1833">
        <v>100</v>
      </c>
      <c r="EE1833">
        <v>45</v>
      </c>
      <c r="EF1833">
        <v>45</v>
      </c>
    </row>
    <row r="1834" spans="1:136" x14ac:dyDescent="0.3">
      <c r="A1834">
        <v>488</v>
      </c>
      <c r="B1834" t="s">
        <v>2555</v>
      </c>
      <c r="C1834" t="s">
        <v>258</v>
      </c>
      <c r="D1834" t="s">
        <v>73</v>
      </c>
      <c r="E1834" t="s">
        <v>22</v>
      </c>
      <c r="F1834" s="30">
        <v>45596</v>
      </c>
      <c r="G1834" t="s">
        <v>2565</v>
      </c>
      <c r="H1834" t="s">
        <v>4639</v>
      </c>
      <c r="I1834">
        <v>85</v>
      </c>
      <c r="J1834">
        <v>100</v>
      </c>
      <c r="EE1834">
        <v>105</v>
      </c>
      <c r="EF1834">
        <v>105</v>
      </c>
    </row>
    <row r="1835" spans="1:136" x14ac:dyDescent="0.3">
      <c r="A1835">
        <v>488</v>
      </c>
      <c r="B1835" t="s">
        <v>2555</v>
      </c>
      <c r="C1835" t="s">
        <v>258</v>
      </c>
      <c r="D1835" t="s">
        <v>73</v>
      </c>
      <c r="E1835" t="s">
        <v>22</v>
      </c>
      <c r="F1835" s="30">
        <v>45596</v>
      </c>
      <c r="G1835" t="s">
        <v>2565</v>
      </c>
      <c r="H1835" t="s">
        <v>4576</v>
      </c>
      <c r="I1835">
        <v>85</v>
      </c>
      <c r="J1835">
        <v>0</v>
      </c>
      <c r="EE1835">
        <v>0</v>
      </c>
      <c r="EF1835">
        <v>0</v>
      </c>
    </row>
    <row r="1836" spans="1:136" x14ac:dyDescent="0.3">
      <c r="A1836">
        <v>488</v>
      </c>
      <c r="B1836" t="s">
        <v>2555</v>
      </c>
      <c r="C1836" t="s">
        <v>258</v>
      </c>
      <c r="D1836" t="s">
        <v>73</v>
      </c>
      <c r="E1836" t="s">
        <v>22</v>
      </c>
      <c r="F1836" s="30">
        <v>45596</v>
      </c>
      <c r="G1836" t="s">
        <v>2565</v>
      </c>
      <c r="H1836" t="s">
        <v>4640</v>
      </c>
      <c r="I1836">
        <v>85</v>
      </c>
      <c r="J1836">
        <v>100</v>
      </c>
      <c r="EE1836">
        <v>28</v>
      </c>
      <c r="EF1836">
        <v>28</v>
      </c>
    </row>
    <row r="1837" spans="1:136" x14ac:dyDescent="0.3">
      <c r="A1837">
        <v>488</v>
      </c>
      <c r="B1837" t="s">
        <v>2555</v>
      </c>
      <c r="C1837" t="s">
        <v>258</v>
      </c>
      <c r="D1837" t="s">
        <v>73</v>
      </c>
      <c r="E1837" t="s">
        <v>22</v>
      </c>
      <c r="F1837" s="30">
        <v>45596</v>
      </c>
      <c r="G1837" t="s">
        <v>2565</v>
      </c>
      <c r="H1837" t="s">
        <v>4641</v>
      </c>
      <c r="I1837">
        <v>85</v>
      </c>
      <c r="J1837">
        <v>100</v>
      </c>
      <c r="EE1837">
        <v>40</v>
      </c>
      <c r="EF1837">
        <v>40</v>
      </c>
    </row>
    <row r="1838" spans="1:136" x14ac:dyDescent="0.3">
      <c r="A1838">
        <v>488</v>
      </c>
      <c r="B1838" t="s">
        <v>2555</v>
      </c>
      <c r="C1838" t="s">
        <v>258</v>
      </c>
      <c r="D1838" t="s">
        <v>73</v>
      </c>
      <c r="E1838" t="s">
        <v>22</v>
      </c>
      <c r="F1838" s="30">
        <v>45596</v>
      </c>
      <c r="G1838" t="s">
        <v>2565</v>
      </c>
      <c r="H1838" t="s">
        <v>4538</v>
      </c>
      <c r="I1838">
        <v>85</v>
      </c>
      <c r="J1838">
        <v>0</v>
      </c>
      <c r="EE1838">
        <v>0</v>
      </c>
      <c r="EF1838">
        <v>0</v>
      </c>
    </row>
    <row r="1839" spans="1:136" x14ac:dyDescent="0.3">
      <c r="A1839">
        <v>488</v>
      </c>
      <c r="B1839" t="s">
        <v>2555</v>
      </c>
      <c r="C1839" t="s">
        <v>258</v>
      </c>
      <c r="D1839" t="s">
        <v>73</v>
      </c>
      <c r="E1839" t="s">
        <v>22</v>
      </c>
      <c r="F1839" s="30">
        <v>45596</v>
      </c>
      <c r="G1839" t="s">
        <v>2565</v>
      </c>
      <c r="H1839" t="s">
        <v>4642</v>
      </c>
      <c r="I1839">
        <v>85</v>
      </c>
      <c r="J1839">
        <v>100</v>
      </c>
      <c r="EE1839">
        <v>9</v>
      </c>
      <c r="EF1839">
        <v>9</v>
      </c>
    </row>
    <row r="1840" spans="1:136" x14ac:dyDescent="0.3">
      <c r="A1840">
        <v>208</v>
      </c>
      <c r="B1840" t="s">
        <v>707</v>
      </c>
      <c r="C1840" t="s">
        <v>251</v>
      </c>
      <c r="D1840" t="s">
        <v>73</v>
      </c>
      <c r="E1840" t="s">
        <v>56</v>
      </c>
      <c r="F1840" s="30">
        <v>45626</v>
      </c>
      <c r="G1840" t="s">
        <v>743</v>
      </c>
      <c r="H1840" t="s">
        <v>4468</v>
      </c>
      <c r="I1840">
        <v>950</v>
      </c>
      <c r="J1840">
        <v>633</v>
      </c>
      <c r="K1840">
        <v>633</v>
      </c>
    </row>
    <row r="1841" spans="1:45" x14ac:dyDescent="0.3">
      <c r="A1841">
        <v>208</v>
      </c>
      <c r="B1841" t="s">
        <v>707</v>
      </c>
      <c r="C1841" t="s">
        <v>251</v>
      </c>
      <c r="D1841" t="s">
        <v>73</v>
      </c>
      <c r="E1841" t="s">
        <v>56</v>
      </c>
      <c r="F1841" s="30">
        <v>45626</v>
      </c>
      <c r="G1841" t="s">
        <v>743</v>
      </c>
      <c r="H1841" t="s">
        <v>4477</v>
      </c>
      <c r="I1841">
        <v>25</v>
      </c>
      <c r="J1841">
        <v>16.5</v>
      </c>
      <c r="K1841">
        <v>16.5</v>
      </c>
    </row>
    <row r="1842" spans="1:45" x14ac:dyDescent="0.3">
      <c r="A1842">
        <v>208</v>
      </c>
      <c r="B1842" t="s">
        <v>707</v>
      </c>
      <c r="C1842" t="s">
        <v>251</v>
      </c>
      <c r="D1842" t="s">
        <v>73</v>
      </c>
      <c r="E1842" t="s">
        <v>56</v>
      </c>
      <c r="F1842" s="30">
        <v>45626</v>
      </c>
      <c r="G1842" t="s">
        <v>743</v>
      </c>
      <c r="H1842" t="s">
        <v>4469</v>
      </c>
      <c r="I1842">
        <v>200</v>
      </c>
      <c r="J1842">
        <v>232</v>
      </c>
      <c r="K1842">
        <v>232</v>
      </c>
    </row>
    <row r="1843" spans="1:45" x14ac:dyDescent="0.3">
      <c r="A1843">
        <v>208</v>
      </c>
      <c r="B1843" t="s">
        <v>707</v>
      </c>
      <c r="C1843" t="s">
        <v>251</v>
      </c>
      <c r="D1843" t="s">
        <v>73</v>
      </c>
      <c r="E1843" t="s">
        <v>56</v>
      </c>
      <c r="F1843" s="30">
        <v>45626</v>
      </c>
      <c r="G1843" t="s">
        <v>743</v>
      </c>
      <c r="H1843" t="s">
        <v>4476</v>
      </c>
      <c r="I1843">
        <v>0</v>
      </c>
      <c r="J1843">
        <v>0</v>
      </c>
      <c r="K1843">
        <v>0</v>
      </c>
    </row>
    <row r="1844" spans="1:45" x14ac:dyDescent="0.3">
      <c r="A1844">
        <v>208</v>
      </c>
      <c r="B1844" t="s">
        <v>707</v>
      </c>
      <c r="C1844" t="s">
        <v>251</v>
      </c>
      <c r="D1844" t="s">
        <v>73</v>
      </c>
      <c r="E1844" t="s">
        <v>56</v>
      </c>
      <c r="F1844" s="30">
        <v>45626</v>
      </c>
      <c r="G1844" t="s">
        <v>743</v>
      </c>
      <c r="H1844" t="s">
        <v>4478</v>
      </c>
      <c r="I1844">
        <v>25</v>
      </c>
      <c r="J1844">
        <v>15</v>
      </c>
      <c r="K1844">
        <v>15</v>
      </c>
    </row>
    <row r="1845" spans="1:45" x14ac:dyDescent="0.3">
      <c r="A1845">
        <v>208</v>
      </c>
      <c r="B1845" t="s">
        <v>707</v>
      </c>
      <c r="C1845" t="s">
        <v>251</v>
      </c>
      <c r="D1845" t="s">
        <v>73</v>
      </c>
      <c r="E1845" t="s">
        <v>56</v>
      </c>
      <c r="F1845" s="30">
        <v>45626</v>
      </c>
      <c r="G1845" t="s">
        <v>743</v>
      </c>
      <c r="H1845" t="s">
        <v>4470</v>
      </c>
      <c r="I1845">
        <v>350</v>
      </c>
      <c r="J1845">
        <v>218.5</v>
      </c>
      <c r="K1845">
        <v>218.5</v>
      </c>
    </row>
    <row r="1846" spans="1:45" x14ac:dyDescent="0.3">
      <c r="A1846">
        <v>214</v>
      </c>
      <c r="B1846" t="s">
        <v>774</v>
      </c>
      <c r="C1846" t="s">
        <v>251</v>
      </c>
      <c r="D1846" t="s">
        <v>73</v>
      </c>
      <c r="E1846" t="s">
        <v>56</v>
      </c>
      <c r="F1846" s="30">
        <v>45626</v>
      </c>
      <c r="G1846" t="s">
        <v>810</v>
      </c>
      <c r="H1846" t="s">
        <v>4468</v>
      </c>
      <c r="I1846">
        <v>5500</v>
      </c>
      <c r="J1846">
        <v>3601</v>
      </c>
      <c r="L1846">
        <v>741</v>
      </c>
      <c r="M1846">
        <v>2860</v>
      </c>
    </row>
    <row r="1847" spans="1:45" x14ac:dyDescent="0.3">
      <c r="A1847">
        <v>214</v>
      </c>
      <c r="B1847" t="s">
        <v>774</v>
      </c>
      <c r="C1847" t="s">
        <v>251</v>
      </c>
      <c r="D1847" t="s">
        <v>73</v>
      </c>
      <c r="E1847" t="s">
        <v>56</v>
      </c>
      <c r="F1847" s="30">
        <v>45626</v>
      </c>
      <c r="G1847" t="s">
        <v>810</v>
      </c>
      <c r="H1847" t="s">
        <v>4470</v>
      </c>
      <c r="I1847">
        <v>1000</v>
      </c>
      <c r="J1847">
        <v>1177.050048828125</v>
      </c>
      <c r="L1847">
        <v>194.25</v>
      </c>
      <c r="M1847">
        <v>982.8</v>
      </c>
    </row>
    <row r="1848" spans="1:45" x14ac:dyDescent="0.3">
      <c r="A1848">
        <v>214</v>
      </c>
      <c r="B1848" t="s">
        <v>774</v>
      </c>
      <c r="C1848" t="s">
        <v>251</v>
      </c>
      <c r="D1848" t="s">
        <v>73</v>
      </c>
      <c r="E1848" t="s">
        <v>56</v>
      </c>
      <c r="F1848" s="30">
        <v>45626</v>
      </c>
      <c r="G1848" t="s">
        <v>810</v>
      </c>
      <c r="H1848" t="s">
        <v>4477</v>
      </c>
      <c r="I1848">
        <v>7500</v>
      </c>
      <c r="J1848">
        <v>0</v>
      </c>
      <c r="L1848">
        <v>0</v>
      </c>
      <c r="M1848">
        <v>0</v>
      </c>
    </row>
    <row r="1849" spans="1:45" x14ac:dyDescent="0.3">
      <c r="A1849">
        <v>214</v>
      </c>
      <c r="B1849" t="s">
        <v>774</v>
      </c>
      <c r="C1849" t="s">
        <v>251</v>
      </c>
      <c r="D1849" t="s">
        <v>73</v>
      </c>
      <c r="E1849" t="s">
        <v>56</v>
      </c>
      <c r="F1849" s="30">
        <v>45626</v>
      </c>
      <c r="G1849" t="s">
        <v>810</v>
      </c>
      <c r="H1849" t="s">
        <v>4476</v>
      </c>
      <c r="I1849">
        <v>1</v>
      </c>
      <c r="J1849">
        <v>0</v>
      </c>
      <c r="L1849">
        <v>0</v>
      </c>
      <c r="M1849">
        <v>0</v>
      </c>
    </row>
    <row r="1850" spans="1:45" x14ac:dyDescent="0.3">
      <c r="A1850">
        <v>214</v>
      </c>
      <c r="B1850" t="s">
        <v>774</v>
      </c>
      <c r="C1850" t="s">
        <v>251</v>
      </c>
      <c r="D1850" t="s">
        <v>73</v>
      </c>
      <c r="E1850" t="s">
        <v>56</v>
      </c>
      <c r="F1850" s="30">
        <v>45626</v>
      </c>
      <c r="G1850" t="s">
        <v>810</v>
      </c>
      <c r="H1850" t="s">
        <v>4478</v>
      </c>
      <c r="I1850">
        <v>1</v>
      </c>
      <c r="J1850">
        <v>12.659999847412109</v>
      </c>
      <c r="L1850">
        <v>4.34</v>
      </c>
      <c r="M1850">
        <v>8.34</v>
      </c>
    </row>
    <row r="1851" spans="1:45" x14ac:dyDescent="0.3">
      <c r="A1851">
        <v>217</v>
      </c>
      <c r="B1851" t="s">
        <v>840</v>
      </c>
      <c r="C1851" t="s">
        <v>251</v>
      </c>
      <c r="D1851" t="s">
        <v>73</v>
      </c>
      <c r="E1851" t="s">
        <v>22</v>
      </c>
      <c r="F1851" s="30">
        <v>45626</v>
      </c>
      <c r="G1851" t="s">
        <v>874</v>
      </c>
      <c r="H1851" t="s">
        <v>4468</v>
      </c>
      <c r="I1851">
        <v>20</v>
      </c>
      <c r="J1851">
        <v>20.579999923706051</v>
      </c>
      <c r="L1851">
        <v>741</v>
      </c>
      <c r="M1851">
        <v>2860</v>
      </c>
      <c r="AS1851">
        <v>741</v>
      </c>
    </row>
    <row r="1852" spans="1:45" x14ac:dyDescent="0.3">
      <c r="A1852">
        <v>217</v>
      </c>
      <c r="B1852" t="s">
        <v>840</v>
      </c>
      <c r="C1852" t="s">
        <v>251</v>
      </c>
      <c r="D1852" t="s">
        <v>73</v>
      </c>
      <c r="E1852" t="s">
        <v>22</v>
      </c>
      <c r="F1852" s="30">
        <v>45626</v>
      </c>
      <c r="G1852" t="s">
        <v>874</v>
      </c>
      <c r="H1852" t="s">
        <v>4470</v>
      </c>
      <c r="I1852">
        <v>20</v>
      </c>
      <c r="J1852">
        <v>16.5</v>
      </c>
      <c r="L1852">
        <v>194.25</v>
      </c>
      <c r="M1852">
        <v>982.8</v>
      </c>
      <c r="AS1852">
        <v>194.25</v>
      </c>
    </row>
    <row r="1853" spans="1:45" x14ac:dyDescent="0.3">
      <c r="A1853">
        <v>217</v>
      </c>
      <c r="B1853" t="s">
        <v>840</v>
      </c>
      <c r="C1853" t="s">
        <v>251</v>
      </c>
      <c r="D1853" t="s">
        <v>73</v>
      </c>
      <c r="E1853" t="s">
        <v>22</v>
      </c>
      <c r="F1853" s="30">
        <v>45626</v>
      </c>
      <c r="G1853" t="s">
        <v>874</v>
      </c>
      <c r="H1853" t="s">
        <v>4477</v>
      </c>
      <c r="I1853">
        <v>20</v>
      </c>
      <c r="J1853">
        <v>0</v>
      </c>
      <c r="L1853">
        <v>0</v>
      </c>
      <c r="M1853">
        <v>0</v>
      </c>
      <c r="AS1853">
        <v>0</v>
      </c>
    </row>
    <row r="1854" spans="1:45" x14ac:dyDescent="0.3">
      <c r="A1854">
        <v>217</v>
      </c>
      <c r="B1854" t="s">
        <v>840</v>
      </c>
      <c r="C1854" t="s">
        <v>251</v>
      </c>
      <c r="D1854" t="s">
        <v>73</v>
      </c>
      <c r="E1854" t="s">
        <v>22</v>
      </c>
      <c r="F1854" s="30">
        <v>45626</v>
      </c>
      <c r="G1854" t="s">
        <v>874</v>
      </c>
      <c r="H1854" t="s">
        <v>4476</v>
      </c>
      <c r="I1854">
        <v>20</v>
      </c>
      <c r="J1854">
        <v>0</v>
      </c>
      <c r="L1854">
        <v>0</v>
      </c>
      <c r="M1854">
        <v>0</v>
      </c>
      <c r="AS1854">
        <v>0</v>
      </c>
    </row>
    <row r="1855" spans="1:45" x14ac:dyDescent="0.3">
      <c r="A1855">
        <v>217</v>
      </c>
      <c r="B1855" t="s">
        <v>840</v>
      </c>
      <c r="C1855" t="s">
        <v>251</v>
      </c>
      <c r="D1855" t="s">
        <v>73</v>
      </c>
      <c r="E1855" t="s">
        <v>22</v>
      </c>
      <c r="F1855" s="30">
        <v>45626</v>
      </c>
      <c r="G1855" t="s">
        <v>874</v>
      </c>
      <c r="H1855" t="s">
        <v>4478</v>
      </c>
      <c r="I1855">
        <v>20</v>
      </c>
      <c r="J1855">
        <v>34.229999542236328</v>
      </c>
      <c r="L1855">
        <v>4.34</v>
      </c>
      <c r="M1855">
        <v>8.34</v>
      </c>
      <c r="AS1855">
        <v>4.34</v>
      </c>
    </row>
    <row r="1856" spans="1:45" x14ac:dyDescent="0.3">
      <c r="A1856">
        <v>218</v>
      </c>
      <c r="B1856" t="s">
        <v>888</v>
      </c>
      <c r="C1856" t="s">
        <v>251</v>
      </c>
      <c r="D1856" t="s">
        <v>73</v>
      </c>
      <c r="E1856" t="s">
        <v>56</v>
      </c>
      <c r="F1856" s="30">
        <v>45626</v>
      </c>
      <c r="G1856" t="s">
        <v>924</v>
      </c>
      <c r="H1856" t="s">
        <v>4468</v>
      </c>
      <c r="I1856">
        <v>76000</v>
      </c>
      <c r="J1856">
        <v>69628.359375</v>
      </c>
      <c r="N1856">
        <v>69628.36</v>
      </c>
    </row>
    <row r="1857" spans="1:48" x14ac:dyDescent="0.3">
      <c r="A1857">
        <v>218</v>
      </c>
      <c r="B1857" t="s">
        <v>888</v>
      </c>
      <c r="C1857" t="s">
        <v>251</v>
      </c>
      <c r="D1857" t="s">
        <v>73</v>
      </c>
      <c r="E1857" t="s">
        <v>56</v>
      </c>
      <c r="F1857" s="30">
        <v>45626</v>
      </c>
      <c r="G1857" t="s">
        <v>924</v>
      </c>
      <c r="H1857" t="s">
        <v>4470</v>
      </c>
      <c r="I1857">
        <v>76000</v>
      </c>
      <c r="J1857">
        <v>42750</v>
      </c>
      <c r="N1857">
        <v>42750</v>
      </c>
    </row>
    <row r="1858" spans="1:48" x14ac:dyDescent="0.3">
      <c r="A1858">
        <v>218</v>
      </c>
      <c r="B1858" t="s">
        <v>888</v>
      </c>
      <c r="C1858" t="s">
        <v>251</v>
      </c>
      <c r="D1858" t="s">
        <v>73</v>
      </c>
      <c r="E1858" t="s">
        <v>56</v>
      </c>
      <c r="F1858" s="30">
        <v>45626</v>
      </c>
      <c r="G1858" t="s">
        <v>924</v>
      </c>
      <c r="H1858" t="s">
        <v>4477</v>
      </c>
      <c r="I1858">
        <v>5000</v>
      </c>
      <c r="J1858">
        <v>4080</v>
      </c>
      <c r="N1858">
        <v>4080</v>
      </c>
    </row>
    <row r="1859" spans="1:48" x14ac:dyDescent="0.3">
      <c r="A1859">
        <v>218</v>
      </c>
      <c r="B1859" t="s">
        <v>888</v>
      </c>
      <c r="C1859" t="s">
        <v>251</v>
      </c>
      <c r="D1859" t="s">
        <v>73</v>
      </c>
      <c r="E1859" t="s">
        <v>56</v>
      </c>
      <c r="F1859" s="30">
        <v>45626</v>
      </c>
      <c r="G1859" t="s">
        <v>924</v>
      </c>
      <c r="H1859" t="s">
        <v>4469</v>
      </c>
      <c r="I1859">
        <v>24000</v>
      </c>
      <c r="J1859">
        <v>25277</v>
      </c>
      <c r="N1859">
        <v>25277</v>
      </c>
    </row>
    <row r="1860" spans="1:48" x14ac:dyDescent="0.3">
      <c r="A1860">
        <v>218</v>
      </c>
      <c r="B1860" t="s">
        <v>888</v>
      </c>
      <c r="C1860" t="s">
        <v>251</v>
      </c>
      <c r="D1860" t="s">
        <v>73</v>
      </c>
      <c r="E1860" t="s">
        <v>56</v>
      </c>
      <c r="F1860" s="30">
        <v>45626</v>
      </c>
      <c r="G1860" t="s">
        <v>924</v>
      </c>
      <c r="H1860" t="s">
        <v>4476</v>
      </c>
      <c r="I1860">
        <v>5000</v>
      </c>
      <c r="J1860">
        <v>4200</v>
      </c>
      <c r="N1860">
        <v>4200</v>
      </c>
    </row>
    <row r="1861" spans="1:48" x14ac:dyDescent="0.3">
      <c r="A1861">
        <v>218</v>
      </c>
      <c r="B1861" t="s">
        <v>888</v>
      </c>
      <c r="C1861" t="s">
        <v>251</v>
      </c>
      <c r="D1861" t="s">
        <v>73</v>
      </c>
      <c r="E1861" t="s">
        <v>56</v>
      </c>
      <c r="F1861" s="30">
        <v>45626</v>
      </c>
      <c r="G1861" t="s">
        <v>924</v>
      </c>
      <c r="H1861" t="s">
        <v>4478</v>
      </c>
      <c r="I1861">
        <v>2000</v>
      </c>
      <c r="J1861">
        <v>1270</v>
      </c>
      <c r="N1861">
        <v>1270</v>
      </c>
    </row>
    <row r="1862" spans="1:48" x14ac:dyDescent="0.3">
      <c r="A1862">
        <v>225</v>
      </c>
      <c r="B1862" t="s">
        <v>976</v>
      </c>
      <c r="C1862" t="s">
        <v>251</v>
      </c>
      <c r="D1862" t="s">
        <v>73</v>
      </c>
      <c r="E1862" t="s">
        <v>22</v>
      </c>
      <c r="F1862" s="30">
        <v>45626</v>
      </c>
      <c r="G1862" t="s">
        <v>1011</v>
      </c>
      <c r="H1862" t="s">
        <v>4470</v>
      </c>
      <c r="I1862">
        <v>1</v>
      </c>
      <c r="J1862">
        <v>4</v>
      </c>
      <c r="AT1862">
        <v>4</v>
      </c>
    </row>
    <row r="1863" spans="1:48" x14ac:dyDescent="0.3">
      <c r="A1863">
        <v>225</v>
      </c>
      <c r="B1863" t="s">
        <v>976</v>
      </c>
      <c r="C1863" t="s">
        <v>251</v>
      </c>
      <c r="D1863" t="s">
        <v>73</v>
      </c>
      <c r="E1863" t="s">
        <v>22</v>
      </c>
      <c r="F1863" s="30">
        <v>45626</v>
      </c>
      <c r="G1863" t="s">
        <v>1011</v>
      </c>
      <c r="H1863" t="s">
        <v>4469</v>
      </c>
      <c r="I1863">
        <v>1</v>
      </c>
      <c r="J1863">
        <v>10</v>
      </c>
      <c r="AT1863">
        <v>10</v>
      </c>
    </row>
    <row r="1864" spans="1:48" x14ac:dyDescent="0.3">
      <c r="A1864">
        <v>225</v>
      </c>
      <c r="B1864" t="s">
        <v>976</v>
      </c>
      <c r="C1864" t="s">
        <v>251</v>
      </c>
      <c r="D1864" t="s">
        <v>73</v>
      </c>
      <c r="E1864" t="s">
        <v>22</v>
      </c>
      <c r="F1864" s="30">
        <v>45626</v>
      </c>
      <c r="G1864" t="s">
        <v>1011</v>
      </c>
      <c r="H1864" t="s">
        <v>4476</v>
      </c>
      <c r="I1864">
        <v>1</v>
      </c>
      <c r="J1864">
        <v>1</v>
      </c>
      <c r="AT1864">
        <v>1</v>
      </c>
    </row>
    <row r="1865" spans="1:48" x14ac:dyDescent="0.3">
      <c r="A1865">
        <v>225</v>
      </c>
      <c r="B1865" t="s">
        <v>976</v>
      </c>
      <c r="C1865" t="s">
        <v>251</v>
      </c>
      <c r="D1865" t="s">
        <v>73</v>
      </c>
      <c r="E1865" t="s">
        <v>22</v>
      </c>
      <c r="F1865" s="30">
        <v>45626</v>
      </c>
      <c r="G1865" t="s">
        <v>1011</v>
      </c>
      <c r="H1865" t="s">
        <v>4478</v>
      </c>
      <c r="I1865">
        <v>1</v>
      </c>
      <c r="J1865">
        <v>1</v>
      </c>
      <c r="AT1865">
        <v>1</v>
      </c>
    </row>
    <row r="1866" spans="1:48" x14ac:dyDescent="0.3">
      <c r="A1866">
        <v>225</v>
      </c>
      <c r="B1866" t="s">
        <v>976</v>
      </c>
      <c r="C1866" t="s">
        <v>251</v>
      </c>
      <c r="D1866" t="s">
        <v>73</v>
      </c>
      <c r="E1866" t="s">
        <v>22</v>
      </c>
      <c r="F1866" s="30">
        <v>45626</v>
      </c>
      <c r="G1866" t="s">
        <v>1011</v>
      </c>
      <c r="H1866" t="s">
        <v>4468</v>
      </c>
      <c r="I1866">
        <v>1</v>
      </c>
      <c r="J1866">
        <v>6</v>
      </c>
      <c r="AT1866">
        <v>6</v>
      </c>
    </row>
    <row r="1867" spans="1:48" x14ac:dyDescent="0.3">
      <c r="A1867">
        <v>434</v>
      </c>
      <c r="B1867" t="s">
        <v>2267</v>
      </c>
      <c r="C1867" t="s">
        <v>251</v>
      </c>
      <c r="D1867" t="s">
        <v>73</v>
      </c>
      <c r="E1867" t="s">
        <v>56</v>
      </c>
      <c r="F1867" s="30">
        <v>45626</v>
      </c>
      <c r="G1867" t="s">
        <v>2290</v>
      </c>
      <c r="H1867" t="s">
        <v>4468</v>
      </c>
      <c r="I1867">
        <v>100</v>
      </c>
      <c r="J1867">
        <v>72.779998779296875</v>
      </c>
      <c r="AV1867">
        <v>72.78</v>
      </c>
    </row>
    <row r="1868" spans="1:48" x14ac:dyDescent="0.3">
      <c r="A1868">
        <v>434</v>
      </c>
      <c r="B1868" t="s">
        <v>2267</v>
      </c>
      <c r="C1868" t="s">
        <v>251</v>
      </c>
      <c r="D1868" t="s">
        <v>73</v>
      </c>
      <c r="E1868" t="s">
        <v>56</v>
      </c>
      <c r="F1868" s="30">
        <v>45626</v>
      </c>
      <c r="G1868" t="s">
        <v>2290</v>
      </c>
      <c r="H1868" t="s">
        <v>4477</v>
      </c>
      <c r="I1868">
        <v>200</v>
      </c>
      <c r="J1868">
        <v>0</v>
      </c>
      <c r="AV1868">
        <v>0</v>
      </c>
    </row>
    <row r="1869" spans="1:48" x14ac:dyDescent="0.3">
      <c r="A1869">
        <v>434</v>
      </c>
      <c r="B1869" t="s">
        <v>2267</v>
      </c>
      <c r="C1869" t="s">
        <v>251</v>
      </c>
      <c r="D1869" t="s">
        <v>73</v>
      </c>
      <c r="E1869" t="s">
        <v>56</v>
      </c>
      <c r="F1869" s="30">
        <v>45626</v>
      </c>
      <c r="G1869" t="s">
        <v>2290</v>
      </c>
      <c r="H1869" t="s">
        <v>4469</v>
      </c>
      <c r="I1869">
        <v>25</v>
      </c>
      <c r="J1869">
        <v>1</v>
      </c>
      <c r="AV1869">
        <v>1</v>
      </c>
    </row>
    <row r="1870" spans="1:48" x14ac:dyDescent="0.3">
      <c r="A1870">
        <v>434</v>
      </c>
      <c r="B1870" t="s">
        <v>2267</v>
      </c>
      <c r="C1870" t="s">
        <v>251</v>
      </c>
      <c r="D1870" t="s">
        <v>73</v>
      </c>
      <c r="E1870" t="s">
        <v>56</v>
      </c>
      <c r="F1870" s="30">
        <v>45626</v>
      </c>
      <c r="G1870" t="s">
        <v>2290</v>
      </c>
      <c r="H1870" t="s">
        <v>4476</v>
      </c>
      <c r="I1870">
        <v>10</v>
      </c>
      <c r="J1870">
        <v>0.10000000149011611</v>
      </c>
      <c r="AV1870">
        <v>0.1</v>
      </c>
    </row>
    <row r="1871" spans="1:48" x14ac:dyDescent="0.3">
      <c r="A1871">
        <v>434</v>
      </c>
      <c r="B1871" t="s">
        <v>2267</v>
      </c>
      <c r="C1871" t="s">
        <v>251</v>
      </c>
      <c r="D1871" t="s">
        <v>73</v>
      </c>
      <c r="E1871" t="s">
        <v>56</v>
      </c>
      <c r="F1871" s="30">
        <v>45626</v>
      </c>
      <c r="G1871" t="s">
        <v>2290</v>
      </c>
      <c r="H1871" t="s">
        <v>4478</v>
      </c>
      <c r="I1871">
        <v>200</v>
      </c>
      <c r="J1871">
        <v>0</v>
      </c>
      <c r="AV1871">
        <v>0</v>
      </c>
    </row>
    <row r="1872" spans="1:48" x14ac:dyDescent="0.3">
      <c r="A1872">
        <v>434</v>
      </c>
      <c r="B1872" t="s">
        <v>2267</v>
      </c>
      <c r="C1872" t="s">
        <v>251</v>
      </c>
      <c r="D1872" t="s">
        <v>73</v>
      </c>
      <c r="E1872" t="s">
        <v>56</v>
      </c>
      <c r="F1872" s="30">
        <v>45626</v>
      </c>
      <c r="G1872" t="s">
        <v>2290</v>
      </c>
      <c r="H1872" t="s">
        <v>4470</v>
      </c>
      <c r="I1872">
        <v>25</v>
      </c>
      <c r="AV1872">
        <v>0</v>
      </c>
    </row>
    <row r="1873" spans="1:136" x14ac:dyDescent="0.3">
      <c r="A1873">
        <v>436</v>
      </c>
      <c r="B1873" t="s">
        <v>2311</v>
      </c>
      <c r="C1873" t="s">
        <v>258</v>
      </c>
      <c r="D1873" t="s">
        <v>73</v>
      </c>
      <c r="E1873" t="s">
        <v>56</v>
      </c>
      <c r="F1873" s="30">
        <v>45626</v>
      </c>
      <c r="G1873" t="s">
        <v>2334</v>
      </c>
      <c r="H1873" t="s">
        <v>4580</v>
      </c>
      <c r="I1873">
        <v>7</v>
      </c>
      <c r="J1873">
        <v>2</v>
      </c>
      <c r="CP1873">
        <v>2</v>
      </c>
    </row>
    <row r="1874" spans="1:136" x14ac:dyDescent="0.3">
      <c r="A1874">
        <v>436</v>
      </c>
      <c r="B1874" t="s">
        <v>2311</v>
      </c>
      <c r="C1874" t="s">
        <v>258</v>
      </c>
      <c r="D1874" t="s">
        <v>73</v>
      </c>
      <c r="E1874" t="s">
        <v>56</v>
      </c>
      <c r="F1874" s="30">
        <v>45626</v>
      </c>
      <c r="G1874" t="s">
        <v>2334</v>
      </c>
      <c r="H1874" t="s">
        <v>4579</v>
      </c>
      <c r="I1874">
        <v>7</v>
      </c>
      <c r="J1874">
        <v>8</v>
      </c>
      <c r="CP1874">
        <v>8</v>
      </c>
    </row>
    <row r="1875" spans="1:136" x14ac:dyDescent="0.3">
      <c r="A1875">
        <v>485</v>
      </c>
      <c r="B1875" t="s">
        <v>2525</v>
      </c>
      <c r="C1875" t="s">
        <v>258</v>
      </c>
      <c r="D1875" t="s">
        <v>73</v>
      </c>
      <c r="E1875" t="s">
        <v>22</v>
      </c>
      <c r="F1875" s="30">
        <v>45626</v>
      </c>
      <c r="G1875" t="s">
        <v>2535</v>
      </c>
      <c r="H1875" t="s">
        <v>4637</v>
      </c>
      <c r="I1875">
        <v>80</v>
      </c>
      <c r="J1875">
        <v>0</v>
      </c>
      <c r="EC1875">
        <v>0</v>
      </c>
      <c r="ED1875">
        <v>0</v>
      </c>
    </row>
    <row r="1876" spans="1:136" x14ac:dyDescent="0.3">
      <c r="A1876">
        <v>485</v>
      </c>
      <c r="B1876" t="s">
        <v>2525</v>
      </c>
      <c r="C1876" t="s">
        <v>258</v>
      </c>
      <c r="D1876" t="s">
        <v>73</v>
      </c>
      <c r="E1876" t="s">
        <v>22</v>
      </c>
      <c r="F1876" s="30">
        <v>45626</v>
      </c>
      <c r="G1876" t="s">
        <v>2535</v>
      </c>
      <c r="H1876" t="s">
        <v>4638</v>
      </c>
      <c r="I1876">
        <v>80</v>
      </c>
      <c r="J1876">
        <v>0</v>
      </c>
      <c r="EC1876">
        <v>0</v>
      </c>
      <c r="ED1876">
        <v>0</v>
      </c>
    </row>
    <row r="1877" spans="1:136" x14ac:dyDescent="0.3">
      <c r="A1877">
        <v>485</v>
      </c>
      <c r="B1877" t="s">
        <v>2525</v>
      </c>
      <c r="C1877" t="s">
        <v>258</v>
      </c>
      <c r="D1877" t="s">
        <v>73</v>
      </c>
      <c r="E1877" t="s">
        <v>22</v>
      </c>
      <c r="F1877" s="30">
        <v>45626</v>
      </c>
      <c r="G1877" t="s">
        <v>2535</v>
      </c>
      <c r="H1877" t="s">
        <v>4639</v>
      </c>
      <c r="I1877">
        <v>80</v>
      </c>
      <c r="J1877">
        <v>0</v>
      </c>
      <c r="EC1877">
        <v>0</v>
      </c>
      <c r="ED1877">
        <v>0</v>
      </c>
    </row>
    <row r="1878" spans="1:136" x14ac:dyDescent="0.3">
      <c r="A1878">
        <v>485</v>
      </c>
      <c r="B1878" t="s">
        <v>2525</v>
      </c>
      <c r="C1878" t="s">
        <v>258</v>
      </c>
      <c r="D1878" t="s">
        <v>73</v>
      </c>
      <c r="E1878" t="s">
        <v>22</v>
      </c>
      <c r="F1878" s="30">
        <v>45626</v>
      </c>
      <c r="G1878" t="s">
        <v>2535</v>
      </c>
      <c r="H1878" t="s">
        <v>4576</v>
      </c>
      <c r="I1878">
        <v>80</v>
      </c>
      <c r="J1878">
        <v>0</v>
      </c>
      <c r="EC1878">
        <v>0</v>
      </c>
      <c r="ED1878">
        <v>0</v>
      </c>
    </row>
    <row r="1879" spans="1:136" x14ac:dyDescent="0.3">
      <c r="A1879">
        <v>485</v>
      </c>
      <c r="B1879" t="s">
        <v>2525</v>
      </c>
      <c r="C1879" t="s">
        <v>258</v>
      </c>
      <c r="D1879" t="s">
        <v>73</v>
      </c>
      <c r="E1879" t="s">
        <v>22</v>
      </c>
      <c r="F1879" s="30">
        <v>45626</v>
      </c>
      <c r="G1879" t="s">
        <v>2535</v>
      </c>
      <c r="H1879" t="s">
        <v>154</v>
      </c>
      <c r="I1879">
        <v>80</v>
      </c>
      <c r="J1879">
        <v>0</v>
      </c>
      <c r="EC1879">
        <v>0</v>
      </c>
      <c r="ED1879">
        <v>0</v>
      </c>
    </row>
    <row r="1880" spans="1:136" x14ac:dyDescent="0.3">
      <c r="A1880">
        <v>485</v>
      </c>
      <c r="B1880" t="s">
        <v>2525</v>
      </c>
      <c r="C1880" t="s">
        <v>258</v>
      </c>
      <c r="D1880" t="s">
        <v>73</v>
      </c>
      <c r="E1880" t="s">
        <v>22</v>
      </c>
      <c r="F1880" s="30">
        <v>45626</v>
      </c>
      <c r="G1880" t="s">
        <v>2535</v>
      </c>
      <c r="H1880" t="s">
        <v>4640</v>
      </c>
      <c r="I1880">
        <v>80</v>
      </c>
      <c r="J1880">
        <v>0</v>
      </c>
      <c r="EC1880">
        <v>0</v>
      </c>
      <c r="ED1880">
        <v>0</v>
      </c>
    </row>
    <row r="1881" spans="1:136" x14ac:dyDescent="0.3">
      <c r="A1881">
        <v>485</v>
      </c>
      <c r="B1881" t="s">
        <v>2525</v>
      </c>
      <c r="C1881" t="s">
        <v>258</v>
      </c>
      <c r="D1881" t="s">
        <v>73</v>
      </c>
      <c r="E1881" t="s">
        <v>22</v>
      </c>
      <c r="F1881" s="30">
        <v>45626</v>
      </c>
      <c r="G1881" t="s">
        <v>2535</v>
      </c>
      <c r="H1881" t="s">
        <v>4641</v>
      </c>
      <c r="I1881">
        <v>80</v>
      </c>
      <c r="J1881">
        <v>100</v>
      </c>
      <c r="EC1881">
        <v>1</v>
      </c>
      <c r="ED1881">
        <v>1</v>
      </c>
    </row>
    <row r="1882" spans="1:136" x14ac:dyDescent="0.3">
      <c r="A1882">
        <v>485</v>
      </c>
      <c r="B1882" t="s">
        <v>2525</v>
      </c>
      <c r="C1882" t="s">
        <v>258</v>
      </c>
      <c r="D1882" t="s">
        <v>73</v>
      </c>
      <c r="E1882" t="s">
        <v>22</v>
      </c>
      <c r="F1882" s="30">
        <v>45626</v>
      </c>
      <c r="G1882" t="s">
        <v>2535</v>
      </c>
      <c r="H1882" t="s">
        <v>4538</v>
      </c>
      <c r="I1882">
        <v>80</v>
      </c>
      <c r="J1882">
        <v>0</v>
      </c>
      <c r="EC1882">
        <v>0</v>
      </c>
      <c r="ED1882">
        <v>0</v>
      </c>
    </row>
    <row r="1883" spans="1:136" x14ac:dyDescent="0.3">
      <c r="A1883">
        <v>485</v>
      </c>
      <c r="B1883" t="s">
        <v>2525</v>
      </c>
      <c r="C1883" t="s">
        <v>258</v>
      </c>
      <c r="D1883" t="s">
        <v>73</v>
      </c>
      <c r="E1883" t="s">
        <v>22</v>
      </c>
      <c r="F1883" s="30">
        <v>45626</v>
      </c>
      <c r="G1883" t="s">
        <v>2535</v>
      </c>
      <c r="H1883" t="s">
        <v>4642</v>
      </c>
      <c r="I1883">
        <v>80</v>
      </c>
      <c r="J1883">
        <v>0</v>
      </c>
      <c r="EC1883">
        <v>0</v>
      </c>
      <c r="ED1883">
        <v>0</v>
      </c>
    </row>
    <row r="1884" spans="1:136" x14ac:dyDescent="0.3">
      <c r="A1884">
        <v>488</v>
      </c>
      <c r="B1884" t="s">
        <v>2555</v>
      </c>
      <c r="C1884" t="s">
        <v>258</v>
      </c>
      <c r="D1884" t="s">
        <v>73</v>
      </c>
      <c r="E1884" t="s">
        <v>22</v>
      </c>
      <c r="F1884" s="30">
        <v>45626</v>
      </c>
      <c r="G1884" t="s">
        <v>2566</v>
      </c>
      <c r="H1884" t="s">
        <v>4637</v>
      </c>
      <c r="I1884">
        <v>85</v>
      </c>
      <c r="J1884">
        <v>92.110000610351563</v>
      </c>
      <c r="EE1884">
        <v>105</v>
      </c>
      <c r="EF1884">
        <v>114</v>
      </c>
    </row>
    <row r="1885" spans="1:136" x14ac:dyDescent="0.3">
      <c r="A1885">
        <v>488</v>
      </c>
      <c r="B1885" t="s">
        <v>2555</v>
      </c>
      <c r="C1885" t="s">
        <v>258</v>
      </c>
      <c r="D1885" t="s">
        <v>73</v>
      </c>
      <c r="E1885" t="s">
        <v>22</v>
      </c>
      <c r="F1885" s="30">
        <v>45626</v>
      </c>
      <c r="G1885" t="s">
        <v>2566</v>
      </c>
      <c r="H1885" t="s">
        <v>4638</v>
      </c>
      <c r="I1885">
        <v>85</v>
      </c>
      <c r="J1885">
        <v>95.739997863769531</v>
      </c>
      <c r="EE1885">
        <v>45</v>
      </c>
      <c r="EF1885">
        <v>47</v>
      </c>
    </row>
    <row r="1886" spans="1:136" x14ac:dyDescent="0.3">
      <c r="A1886">
        <v>488</v>
      </c>
      <c r="B1886" t="s">
        <v>2555</v>
      </c>
      <c r="C1886" t="s">
        <v>258</v>
      </c>
      <c r="D1886" t="s">
        <v>73</v>
      </c>
      <c r="E1886" t="s">
        <v>22</v>
      </c>
      <c r="F1886" s="30">
        <v>45626</v>
      </c>
      <c r="G1886" t="s">
        <v>2566</v>
      </c>
      <c r="H1886" t="s">
        <v>4639</v>
      </c>
      <c r="I1886">
        <v>85</v>
      </c>
      <c r="J1886">
        <v>98.199996948242188</v>
      </c>
      <c r="EE1886">
        <v>109</v>
      </c>
      <c r="EF1886">
        <v>111</v>
      </c>
    </row>
    <row r="1887" spans="1:136" x14ac:dyDescent="0.3">
      <c r="A1887">
        <v>488</v>
      </c>
      <c r="B1887" t="s">
        <v>2555</v>
      </c>
      <c r="C1887" t="s">
        <v>258</v>
      </c>
      <c r="D1887" t="s">
        <v>73</v>
      </c>
      <c r="E1887" t="s">
        <v>22</v>
      </c>
      <c r="F1887" s="30">
        <v>45626</v>
      </c>
      <c r="G1887" t="s">
        <v>2566</v>
      </c>
      <c r="H1887" t="s">
        <v>4576</v>
      </c>
      <c r="I1887">
        <v>85</v>
      </c>
      <c r="J1887">
        <v>0</v>
      </c>
      <c r="EE1887">
        <v>0</v>
      </c>
      <c r="EF1887">
        <v>0</v>
      </c>
    </row>
    <row r="1888" spans="1:136" x14ac:dyDescent="0.3">
      <c r="A1888">
        <v>488</v>
      </c>
      <c r="B1888" t="s">
        <v>2555</v>
      </c>
      <c r="C1888" t="s">
        <v>258</v>
      </c>
      <c r="D1888" t="s">
        <v>73</v>
      </c>
      <c r="E1888" t="s">
        <v>22</v>
      </c>
      <c r="F1888" s="30">
        <v>45626</v>
      </c>
      <c r="G1888" t="s">
        <v>2566</v>
      </c>
      <c r="H1888" t="s">
        <v>154</v>
      </c>
      <c r="I1888">
        <v>85</v>
      </c>
      <c r="J1888">
        <v>0</v>
      </c>
      <c r="EE1888">
        <v>0</v>
      </c>
      <c r="EF1888">
        <v>0</v>
      </c>
    </row>
    <row r="1889" spans="1:136" x14ac:dyDescent="0.3">
      <c r="A1889">
        <v>488</v>
      </c>
      <c r="B1889" t="s">
        <v>2555</v>
      </c>
      <c r="C1889" t="s">
        <v>258</v>
      </c>
      <c r="D1889" t="s">
        <v>73</v>
      </c>
      <c r="E1889" t="s">
        <v>22</v>
      </c>
      <c r="F1889" s="30">
        <v>45626</v>
      </c>
      <c r="G1889" t="s">
        <v>2566</v>
      </c>
      <c r="H1889" t="s">
        <v>4640</v>
      </c>
      <c r="I1889">
        <v>85</v>
      </c>
      <c r="J1889">
        <v>100</v>
      </c>
      <c r="EE1889">
        <v>28</v>
      </c>
      <c r="EF1889">
        <v>28</v>
      </c>
    </row>
    <row r="1890" spans="1:136" x14ac:dyDescent="0.3">
      <c r="A1890">
        <v>488</v>
      </c>
      <c r="B1890" t="s">
        <v>2555</v>
      </c>
      <c r="C1890" t="s">
        <v>258</v>
      </c>
      <c r="D1890" t="s">
        <v>73</v>
      </c>
      <c r="E1890" t="s">
        <v>22</v>
      </c>
      <c r="F1890" s="30">
        <v>45626</v>
      </c>
      <c r="G1890" t="s">
        <v>2566</v>
      </c>
      <c r="H1890" t="s">
        <v>4641</v>
      </c>
      <c r="I1890">
        <v>85</v>
      </c>
      <c r="J1890">
        <v>95.55999755859375</v>
      </c>
      <c r="EE1890">
        <v>43</v>
      </c>
      <c r="EF1890">
        <v>45</v>
      </c>
    </row>
    <row r="1891" spans="1:136" x14ac:dyDescent="0.3">
      <c r="A1891">
        <v>488</v>
      </c>
      <c r="B1891" t="s">
        <v>2555</v>
      </c>
      <c r="C1891" t="s">
        <v>258</v>
      </c>
      <c r="D1891" t="s">
        <v>73</v>
      </c>
      <c r="E1891" t="s">
        <v>22</v>
      </c>
      <c r="F1891" s="30">
        <v>45626</v>
      </c>
      <c r="G1891" t="s">
        <v>2566</v>
      </c>
      <c r="H1891" t="s">
        <v>4538</v>
      </c>
      <c r="I1891">
        <v>85</v>
      </c>
      <c r="J1891">
        <v>0</v>
      </c>
      <c r="EE1891">
        <v>0</v>
      </c>
      <c r="EF1891">
        <v>0</v>
      </c>
    </row>
    <row r="1892" spans="1:136" x14ac:dyDescent="0.3">
      <c r="A1892">
        <v>488</v>
      </c>
      <c r="B1892" t="s">
        <v>2555</v>
      </c>
      <c r="C1892" t="s">
        <v>258</v>
      </c>
      <c r="D1892" t="s">
        <v>73</v>
      </c>
      <c r="E1892" t="s">
        <v>22</v>
      </c>
      <c r="F1892" s="30">
        <v>45626</v>
      </c>
      <c r="G1892" t="s">
        <v>2566</v>
      </c>
      <c r="H1892" t="s">
        <v>4642</v>
      </c>
      <c r="I1892">
        <v>85</v>
      </c>
      <c r="J1892">
        <v>100</v>
      </c>
      <c r="EE1892">
        <v>11</v>
      </c>
      <c r="EF1892">
        <v>11</v>
      </c>
    </row>
    <row r="1893" spans="1:136" x14ac:dyDescent="0.3">
      <c r="A1893">
        <v>208</v>
      </c>
      <c r="B1893" t="s">
        <v>707</v>
      </c>
      <c r="C1893" t="s">
        <v>251</v>
      </c>
      <c r="D1893" t="s">
        <v>73</v>
      </c>
      <c r="E1893" t="s">
        <v>56</v>
      </c>
      <c r="F1893" s="30">
        <v>45657</v>
      </c>
      <c r="G1893" t="s">
        <v>744</v>
      </c>
      <c r="H1893" t="s">
        <v>4468</v>
      </c>
      <c r="I1893">
        <v>950</v>
      </c>
      <c r="J1893">
        <v>500</v>
      </c>
      <c r="K1893">
        <v>500</v>
      </c>
    </row>
    <row r="1894" spans="1:136" x14ac:dyDescent="0.3">
      <c r="A1894">
        <v>208</v>
      </c>
      <c r="B1894" t="s">
        <v>707</v>
      </c>
      <c r="C1894" t="s">
        <v>251</v>
      </c>
      <c r="D1894" t="s">
        <v>73</v>
      </c>
      <c r="E1894" t="s">
        <v>56</v>
      </c>
      <c r="F1894" s="30">
        <v>45657</v>
      </c>
      <c r="G1894" t="s">
        <v>744</v>
      </c>
      <c r="H1894" t="s">
        <v>4477</v>
      </c>
      <c r="I1894">
        <v>25</v>
      </c>
      <c r="J1894">
        <v>22.5</v>
      </c>
      <c r="K1894">
        <v>22.5</v>
      </c>
    </row>
    <row r="1895" spans="1:136" x14ac:dyDescent="0.3">
      <c r="A1895">
        <v>208</v>
      </c>
      <c r="B1895" t="s">
        <v>707</v>
      </c>
      <c r="C1895" t="s">
        <v>251</v>
      </c>
      <c r="D1895" t="s">
        <v>73</v>
      </c>
      <c r="E1895" t="s">
        <v>56</v>
      </c>
      <c r="F1895" s="30">
        <v>45657</v>
      </c>
      <c r="G1895" t="s">
        <v>744</v>
      </c>
      <c r="H1895" t="s">
        <v>4469</v>
      </c>
      <c r="I1895">
        <v>200</v>
      </c>
      <c r="J1895">
        <v>192</v>
      </c>
      <c r="K1895">
        <v>192</v>
      </c>
    </row>
    <row r="1896" spans="1:136" x14ac:dyDescent="0.3">
      <c r="A1896">
        <v>208</v>
      </c>
      <c r="B1896" t="s">
        <v>707</v>
      </c>
      <c r="C1896" t="s">
        <v>251</v>
      </c>
      <c r="D1896" t="s">
        <v>73</v>
      </c>
      <c r="E1896" t="s">
        <v>56</v>
      </c>
      <c r="F1896" s="30">
        <v>45657</v>
      </c>
      <c r="G1896" t="s">
        <v>744</v>
      </c>
      <c r="H1896" t="s">
        <v>4476</v>
      </c>
      <c r="I1896">
        <v>0</v>
      </c>
      <c r="J1896">
        <v>0</v>
      </c>
      <c r="K1896">
        <v>0</v>
      </c>
    </row>
    <row r="1897" spans="1:136" x14ac:dyDescent="0.3">
      <c r="A1897">
        <v>208</v>
      </c>
      <c r="B1897" t="s">
        <v>707</v>
      </c>
      <c r="C1897" t="s">
        <v>251</v>
      </c>
      <c r="D1897" t="s">
        <v>73</v>
      </c>
      <c r="E1897" t="s">
        <v>56</v>
      </c>
      <c r="F1897" s="30">
        <v>45657</v>
      </c>
      <c r="G1897" t="s">
        <v>744</v>
      </c>
      <c r="H1897" t="s">
        <v>4478</v>
      </c>
      <c r="I1897">
        <v>25</v>
      </c>
      <c r="J1897">
        <v>6</v>
      </c>
      <c r="K1897">
        <v>6</v>
      </c>
    </row>
    <row r="1898" spans="1:136" x14ac:dyDescent="0.3">
      <c r="A1898">
        <v>208</v>
      </c>
      <c r="B1898" t="s">
        <v>707</v>
      </c>
      <c r="C1898" t="s">
        <v>251</v>
      </c>
      <c r="D1898" t="s">
        <v>73</v>
      </c>
      <c r="E1898" t="s">
        <v>56</v>
      </c>
      <c r="F1898" s="30">
        <v>45657</v>
      </c>
      <c r="G1898" t="s">
        <v>744</v>
      </c>
      <c r="H1898" t="s">
        <v>4470</v>
      </c>
      <c r="I1898">
        <v>350</v>
      </c>
      <c r="J1898">
        <v>218.5</v>
      </c>
      <c r="K1898">
        <v>218.5</v>
      </c>
    </row>
    <row r="1899" spans="1:136" x14ac:dyDescent="0.3">
      <c r="A1899">
        <v>214</v>
      </c>
      <c r="B1899" t="s">
        <v>774</v>
      </c>
      <c r="C1899" t="s">
        <v>251</v>
      </c>
      <c r="D1899" t="s">
        <v>73</v>
      </c>
      <c r="E1899" t="s">
        <v>56</v>
      </c>
      <c r="F1899" s="30">
        <v>45657</v>
      </c>
      <c r="G1899" t="s">
        <v>811</v>
      </c>
      <c r="H1899" t="s">
        <v>4468</v>
      </c>
      <c r="I1899">
        <v>5500</v>
      </c>
      <c r="J1899">
        <v>1180</v>
      </c>
      <c r="L1899">
        <v>474</v>
      </c>
      <c r="M1899">
        <v>706</v>
      </c>
    </row>
    <row r="1900" spans="1:136" x14ac:dyDescent="0.3">
      <c r="A1900">
        <v>214</v>
      </c>
      <c r="B1900" t="s">
        <v>774</v>
      </c>
      <c r="C1900" t="s">
        <v>251</v>
      </c>
      <c r="D1900" t="s">
        <v>73</v>
      </c>
      <c r="E1900" t="s">
        <v>56</v>
      </c>
      <c r="F1900" s="30">
        <v>45657</v>
      </c>
      <c r="G1900" t="s">
        <v>811</v>
      </c>
      <c r="H1900" t="s">
        <v>4470</v>
      </c>
      <c r="I1900">
        <v>1000</v>
      </c>
      <c r="J1900">
        <v>0</v>
      </c>
      <c r="L1900">
        <v>11</v>
      </c>
      <c r="M1900">
        <v>442.2</v>
      </c>
    </row>
    <row r="1901" spans="1:136" x14ac:dyDescent="0.3">
      <c r="A1901">
        <v>214</v>
      </c>
      <c r="B1901" t="s">
        <v>774</v>
      </c>
      <c r="C1901" t="s">
        <v>251</v>
      </c>
      <c r="D1901" t="s">
        <v>73</v>
      </c>
      <c r="E1901" t="s">
        <v>56</v>
      </c>
      <c r="F1901" s="30">
        <v>45657</v>
      </c>
      <c r="G1901" t="s">
        <v>811</v>
      </c>
      <c r="H1901" t="s">
        <v>4477</v>
      </c>
      <c r="I1901">
        <v>7500</v>
      </c>
      <c r="J1901">
        <v>0</v>
      </c>
      <c r="L1901">
        <v>0</v>
      </c>
      <c r="M1901">
        <v>0</v>
      </c>
    </row>
    <row r="1902" spans="1:136" x14ac:dyDescent="0.3">
      <c r="A1902">
        <v>214</v>
      </c>
      <c r="B1902" t="s">
        <v>774</v>
      </c>
      <c r="C1902" t="s">
        <v>251</v>
      </c>
      <c r="D1902" t="s">
        <v>73</v>
      </c>
      <c r="E1902" t="s">
        <v>56</v>
      </c>
      <c r="F1902" s="30">
        <v>45657</v>
      </c>
      <c r="G1902" t="s">
        <v>811</v>
      </c>
      <c r="H1902" t="s">
        <v>4469</v>
      </c>
      <c r="I1902">
        <v>1000</v>
      </c>
      <c r="J1902">
        <v>310.20001220703119</v>
      </c>
      <c r="L1902">
        <v>39.700000000000003</v>
      </c>
      <c r="M1902">
        <v>270.5</v>
      </c>
    </row>
    <row r="1903" spans="1:136" x14ac:dyDescent="0.3">
      <c r="A1903">
        <v>214</v>
      </c>
      <c r="B1903" t="s">
        <v>774</v>
      </c>
      <c r="C1903" t="s">
        <v>251</v>
      </c>
      <c r="D1903" t="s">
        <v>73</v>
      </c>
      <c r="E1903" t="s">
        <v>56</v>
      </c>
      <c r="F1903" s="30">
        <v>45657</v>
      </c>
      <c r="G1903" t="s">
        <v>811</v>
      </c>
      <c r="H1903" t="s">
        <v>4476</v>
      </c>
      <c r="I1903">
        <v>1</v>
      </c>
      <c r="J1903">
        <v>0</v>
      </c>
      <c r="L1903">
        <v>0</v>
      </c>
      <c r="M1903">
        <v>0</v>
      </c>
    </row>
    <row r="1904" spans="1:136" x14ac:dyDescent="0.3">
      <c r="A1904">
        <v>214</v>
      </c>
      <c r="B1904" t="s">
        <v>774</v>
      </c>
      <c r="C1904" t="s">
        <v>251</v>
      </c>
      <c r="D1904" t="s">
        <v>73</v>
      </c>
      <c r="E1904" t="s">
        <v>56</v>
      </c>
      <c r="F1904" s="30">
        <v>45657</v>
      </c>
      <c r="G1904" t="s">
        <v>811</v>
      </c>
      <c r="H1904" t="s">
        <v>4478</v>
      </c>
      <c r="I1904">
        <v>1</v>
      </c>
      <c r="J1904">
        <v>0</v>
      </c>
      <c r="L1904">
        <v>2.71</v>
      </c>
      <c r="M1904">
        <v>4.01</v>
      </c>
    </row>
    <row r="1905" spans="1:46" x14ac:dyDescent="0.3">
      <c r="A1905">
        <v>217</v>
      </c>
      <c r="B1905" t="s">
        <v>840</v>
      </c>
      <c r="C1905" t="s">
        <v>251</v>
      </c>
      <c r="D1905" t="s">
        <v>73</v>
      </c>
      <c r="E1905" t="s">
        <v>22</v>
      </c>
      <c r="F1905" s="30">
        <v>45657</v>
      </c>
      <c r="G1905" t="s">
        <v>875</v>
      </c>
      <c r="H1905" t="s">
        <v>4468</v>
      </c>
      <c r="I1905">
        <v>20</v>
      </c>
      <c r="J1905">
        <v>40.169998168945313</v>
      </c>
      <c r="L1905">
        <v>474</v>
      </c>
      <c r="M1905">
        <v>706</v>
      </c>
      <c r="AS1905">
        <v>474</v>
      </c>
    </row>
    <row r="1906" spans="1:46" x14ac:dyDescent="0.3">
      <c r="A1906">
        <v>217</v>
      </c>
      <c r="B1906" t="s">
        <v>840</v>
      </c>
      <c r="C1906" t="s">
        <v>251</v>
      </c>
      <c r="D1906" t="s">
        <v>73</v>
      </c>
      <c r="E1906" t="s">
        <v>22</v>
      </c>
      <c r="F1906" s="30">
        <v>45657</v>
      </c>
      <c r="G1906" t="s">
        <v>875</v>
      </c>
      <c r="H1906" t="s">
        <v>4470</v>
      </c>
      <c r="I1906">
        <v>20</v>
      </c>
      <c r="J1906">
        <v>2.4300000667572021</v>
      </c>
      <c r="L1906">
        <v>11</v>
      </c>
      <c r="M1906">
        <v>442.2</v>
      </c>
      <c r="AS1906">
        <v>11</v>
      </c>
    </row>
    <row r="1907" spans="1:46" x14ac:dyDescent="0.3">
      <c r="A1907">
        <v>217</v>
      </c>
      <c r="B1907" t="s">
        <v>840</v>
      </c>
      <c r="C1907" t="s">
        <v>251</v>
      </c>
      <c r="D1907" t="s">
        <v>73</v>
      </c>
      <c r="E1907" t="s">
        <v>22</v>
      </c>
      <c r="F1907" s="30">
        <v>45657</v>
      </c>
      <c r="G1907" t="s">
        <v>875</v>
      </c>
      <c r="H1907" t="s">
        <v>4477</v>
      </c>
      <c r="I1907">
        <v>20</v>
      </c>
      <c r="J1907">
        <v>0</v>
      </c>
      <c r="L1907">
        <v>0</v>
      </c>
      <c r="M1907">
        <v>0</v>
      </c>
      <c r="AS1907">
        <v>0</v>
      </c>
    </row>
    <row r="1908" spans="1:46" x14ac:dyDescent="0.3">
      <c r="A1908">
        <v>217</v>
      </c>
      <c r="B1908" t="s">
        <v>840</v>
      </c>
      <c r="C1908" t="s">
        <v>251</v>
      </c>
      <c r="D1908" t="s">
        <v>73</v>
      </c>
      <c r="E1908" t="s">
        <v>22</v>
      </c>
      <c r="F1908" s="30">
        <v>45657</v>
      </c>
      <c r="G1908" t="s">
        <v>875</v>
      </c>
      <c r="H1908" t="s">
        <v>4469</v>
      </c>
      <c r="I1908">
        <v>20</v>
      </c>
      <c r="J1908">
        <v>12.80000019073486</v>
      </c>
      <c r="L1908">
        <v>39.700000000000003</v>
      </c>
      <c r="M1908">
        <v>270.5</v>
      </c>
      <c r="AS1908">
        <v>39.700000000000003</v>
      </c>
    </row>
    <row r="1909" spans="1:46" x14ac:dyDescent="0.3">
      <c r="A1909">
        <v>217</v>
      </c>
      <c r="B1909" t="s">
        <v>840</v>
      </c>
      <c r="C1909" t="s">
        <v>251</v>
      </c>
      <c r="D1909" t="s">
        <v>73</v>
      </c>
      <c r="E1909" t="s">
        <v>22</v>
      </c>
      <c r="F1909" s="30">
        <v>45657</v>
      </c>
      <c r="G1909" t="s">
        <v>875</v>
      </c>
      <c r="H1909" t="s">
        <v>4478</v>
      </c>
      <c r="I1909">
        <v>20</v>
      </c>
      <c r="J1909">
        <v>40.330001831054688</v>
      </c>
      <c r="L1909">
        <v>2.71</v>
      </c>
      <c r="M1909">
        <v>4.01</v>
      </c>
      <c r="AS1909">
        <v>2.71</v>
      </c>
    </row>
    <row r="1910" spans="1:46" x14ac:dyDescent="0.3">
      <c r="A1910">
        <v>218</v>
      </c>
      <c r="B1910" t="s">
        <v>888</v>
      </c>
      <c r="C1910" t="s">
        <v>251</v>
      </c>
      <c r="D1910" t="s">
        <v>73</v>
      </c>
      <c r="E1910" t="s">
        <v>56</v>
      </c>
      <c r="F1910" s="30">
        <v>45657</v>
      </c>
      <c r="G1910" t="s">
        <v>925</v>
      </c>
      <c r="H1910" t="s">
        <v>4470</v>
      </c>
      <c r="I1910">
        <v>76000</v>
      </c>
      <c r="J1910">
        <v>42180</v>
      </c>
      <c r="N1910">
        <v>42180</v>
      </c>
    </row>
    <row r="1911" spans="1:46" x14ac:dyDescent="0.3">
      <c r="A1911">
        <v>218</v>
      </c>
      <c r="B1911" t="s">
        <v>888</v>
      </c>
      <c r="C1911" t="s">
        <v>251</v>
      </c>
      <c r="D1911" t="s">
        <v>73</v>
      </c>
      <c r="E1911" t="s">
        <v>56</v>
      </c>
      <c r="F1911" s="30">
        <v>45657</v>
      </c>
      <c r="G1911" t="s">
        <v>925</v>
      </c>
      <c r="H1911" t="s">
        <v>4477</v>
      </c>
      <c r="I1911">
        <v>5000</v>
      </c>
      <c r="J1911">
        <v>3600</v>
      </c>
      <c r="N1911">
        <v>3600</v>
      </c>
    </row>
    <row r="1912" spans="1:46" x14ac:dyDescent="0.3">
      <c r="A1912">
        <v>218</v>
      </c>
      <c r="B1912" t="s">
        <v>888</v>
      </c>
      <c r="C1912" t="s">
        <v>251</v>
      </c>
      <c r="D1912" t="s">
        <v>73</v>
      </c>
      <c r="E1912" t="s">
        <v>56</v>
      </c>
      <c r="F1912" s="30">
        <v>45657</v>
      </c>
      <c r="G1912" t="s">
        <v>925</v>
      </c>
      <c r="H1912" t="s">
        <v>4469</v>
      </c>
      <c r="I1912">
        <v>24000</v>
      </c>
      <c r="J1912">
        <v>22720</v>
      </c>
      <c r="N1912">
        <v>22720</v>
      </c>
    </row>
    <row r="1913" spans="1:46" x14ac:dyDescent="0.3">
      <c r="A1913">
        <v>218</v>
      </c>
      <c r="B1913" t="s">
        <v>888</v>
      </c>
      <c r="C1913" t="s">
        <v>251</v>
      </c>
      <c r="D1913" t="s">
        <v>73</v>
      </c>
      <c r="E1913" t="s">
        <v>56</v>
      </c>
      <c r="F1913" s="30">
        <v>45657</v>
      </c>
      <c r="G1913" t="s">
        <v>925</v>
      </c>
      <c r="H1913" t="s">
        <v>4476</v>
      </c>
      <c r="I1913">
        <v>5000</v>
      </c>
      <c r="J1913">
        <v>4080</v>
      </c>
      <c r="N1913">
        <v>4080</v>
      </c>
    </row>
    <row r="1914" spans="1:46" x14ac:dyDescent="0.3">
      <c r="A1914">
        <v>218</v>
      </c>
      <c r="B1914" t="s">
        <v>888</v>
      </c>
      <c r="C1914" t="s">
        <v>251</v>
      </c>
      <c r="D1914" t="s">
        <v>73</v>
      </c>
      <c r="E1914" t="s">
        <v>56</v>
      </c>
      <c r="F1914" s="30">
        <v>45657</v>
      </c>
      <c r="G1914" t="s">
        <v>925</v>
      </c>
      <c r="H1914" t="s">
        <v>4478</v>
      </c>
      <c r="I1914">
        <v>2000</v>
      </c>
      <c r="J1914">
        <v>945</v>
      </c>
      <c r="N1914">
        <v>945</v>
      </c>
    </row>
    <row r="1915" spans="1:46" x14ac:dyDescent="0.3">
      <c r="A1915">
        <v>218</v>
      </c>
      <c r="B1915" t="s">
        <v>888</v>
      </c>
      <c r="C1915" t="s">
        <v>251</v>
      </c>
      <c r="D1915" t="s">
        <v>73</v>
      </c>
      <c r="E1915" t="s">
        <v>56</v>
      </c>
      <c r="F1915" s="30">
        <v>45657</v>
      </c>
      <c r="G1915" t="s">
        <v>925</v>
      </c>
      <c r="H1915" t="s">
        <v>4468</v>
      </c>
      <c r="I1915">
        <v>76000</v>
      </c>
      <c r="J1915">
        <v>53449.55078125</v>
      </c>
      <c r="N1915">
        <v>53449.55</v>
      </c>
    </row>
    <row r="1916" spans="1:46" x14ac:dyDescent="0.3">
      <c r="A1916">
        <v>225</v>
      </c>
      <c r="B1916" t="s">
        <v>976</v>
      </c>
      <c r="C1916" t="s">
        <v>251</v>
      </c>
      <c r="D1916" t="s">
        <v>73</v>
      </c>
      <c r="E1916" t="s">
        <v>22</v>
      </c>
      <c r="F1916" s="30">
        <v>45657</v>
      </c>
      <c r="G1916" t="s">
        <v>1012</v>
      </c>
      <c r="H1916" t="s">
        <v>4468</v>
      </c>
      <c r="I1916">
        <v>1</v>
      </c>
      <c r="J1916">
        <v>3</v>
      </c>
      <c r="AT1916">
        <v>3</v>
      </c>
    </row>
    <row r="1917" spans="1:46" x14ac:dyDescent="0.3">
      <c r="A1917">
        <v>225</v>
      </c>
      <c r="B1917" t="s">
        <v>976</v>
      </c>
      <c r="C1917" t="s">
        <v>251</v>
      </c>
      <c r="D1917" t="s">
        <v>73</v>
      </c>
      <c r="E1917" t="s">
        <v>22</v>
      </c>
      <c r="F1917" s="30">
        <v>45657</v>
      </c>
      <c r="G1917" t="s">
        <v>1012</v>
      </c>
      <c r="H1917" t="s">
        <v>4470</v>
      </c>
      <c r="I1917">
        <v>1</v>
      </c>
      <c r="J1917">
        <v>3</v>
      </c>
      <c r="AT1917">
        <v>3</v>
      </c>
    </row>
    <row r="1918" spans="1:46" x14ac:dyDescent="0.3">
      <c r="A1918">
        <v>225</v>
      </c>
      <c r="B1918" t="s">
        <v>976</v>
      </c>
      <c r="C1918" t="s">
        <v>251</v>
      </c>
      <c r="D1918" t="s">
        <v>73</v>
      </c>
      <c r="E1918" t="s">
        <v>22</v>
      </c>
      <c r="F1918" s="30">
        <v>45657</v>
      </c>
      <c r="G1918" t="s">
        <v>1012</v>
      </c>
      <c r="H1918" t="s">
        <v>4477</v>
      </c>
      <c r="I1918">
        <v>1</v>
      </c>
      <c r="J1918">
        <v>0</v>
      </c>
      <c r="AT1918">
        <v>0</v>
      </c>
    </row>
    <row r="1919" spans="1:46" x14ac:dyDescent="0.3">
      <c r="A1919">
        <v>225</v>
      </c>
      <c r="B1919" t="s">
        <v>976</v>
      </c>
      <c r="C1919" t="s">
        <v>251</v>
      </c>
      <c r="D1919" t="s">
        <v>73</v>
      </c>
      <c r="E1919" t="s">
        <v>22</v>
      </c>
      <c r="F1919" s="30">
        <v>45657</v>
      </c>
      <c r="G1919" t="s">
        <v>1012</v>
      </c>
      <c r="H1919" t="s">
        <v>4469</v>
      </c>
      <c r="I1919">
        <v>1</v>
      </c>
      <c r="J1919">
        <v>10</v>
      </c>
      <c r="AT1919">
        <v>10</v>
      </c>
    </row>
    <row r="1920" spans="1:46" x14ac:dyDescent="0.3">
      <c r="A1920">
        <v>225</v>
      </c>
      <c r="B1920" t="s">
        <v>976</v>
      </c>
      <c r="C1920" t="s">
        <v>251</v>
      </c>
      <c r="D1920" t="s">
        <v>73</v>
      </c>
      <c r="E1920" t="s">
        <v>22</v>
      </c>
      <c r="F1920" s="30">
        <v>45657</v>
      </c>
      <c r="G1920" t="s">
        <v>1012</v>
      </c>
      <c r="H1920" t="s">
        <v>4478</v>
      </c>
      <c r="I1920">
        <v>1</v>
      </c>
      <c r="J1920">
        <v>1</v>
      </c>
      <c r="AT1920">
        <v>1</v>
      </c>
    </row>
    <row r="1921" spans="1:134" x14ac:dyDescent="0.3">
      <c r="A1921">
        <v>225</v>
      </c>
      <c r="B1921" t="s">
        <v>976</v>
      </c>
      <c r="C1921" t="s">
        <v>251</v>
      </c>
      <c r="D1921" t="s">
        <v>73</v>
      </c>
      <c r="E1921" t="s">
        <v>22</v>
      </c>
      <c r="F1921" s="30">
        <v>45657</v>
      </c>
      <c r="G1921" t="s">
        <v>1012</v>
      </c>
      <c r="H1921" t="s">
        <v>4476</v>
      </c>
      <c r="I1921">
        <v>1</v>
      </c>
      <c r="J1921">
        <v>1</v>
      </c>
      <c r="AT1921">
        <v>1</v>
      </c>
    </row>
    <row r="1922" spans="1:134" x14ac:dyDescent="0.3">
      <c r="A1922">
        <v>434</v>
      </c>
      <c r="B1922" t="s">
        <v>2267</v>
      </c>
      <c r="C1922" t="s">
        <v>251</v>
      </c>
      <c r="D1922" t="s">
        <v>73</v>
      </c>
      <c r="E1922" t="s">
        <v>56</v>
      </c>
      <c r="F1922" s="30">
        <v>45657</v>
      </c>
      <c r="G1922" t="s">
        <v>2291</v>
      </c>
      <c r="H1922" t="s">
        <v>4468</v>
      </c>
      <c r="I1922">
        <v>100</v>
      </c>
      <c r="J1922">
        <v>2355.60009765625</v>
      </c>
      <c r="AV1922">
        <v>2355.6</v>
      </c>
    </row>
    <row r="1923" spans="1:134" x14ac:dyDescent="0.3">
      <c r="A1923">
        <v>434</v>
      </c>
      <c r="B1923" t="s">
        <v>2267</v>
      </c>
      <c r="C1923" t="s">
        <v>251</v>
      </c>
      <c r="D1923" t="s">
        <v>73</v>
      </c>
      <c r="E1923" t="s">
        <v>56</v>
      </c>
      <c r="F1923" s="30">
        <v>45657</v>
      </c>
      <c r="G1923" t="s">
        <v>2291</v>
      </c>
      <c r="H1923" t="s">
        <v>4470</v>
      </c>
      <c r="I1923">
        <v>25</v>
      </c>
      <c r="J1923">
        <v>1.7899999618530269</v>
      </c>
      <c r="AV1923">
        <v>1.79</v>
      </c>
    </row>
    <row r="1924" spans="1:134" x14ac:dyDescent="0.3">
      <c r="A1924">
        <v>434</v>
      </c>
      <c r="B1924" t="s">
        <v>2267</v>
      </c>
      <c r="C1924" t="s">
        <v>251</v>
      </c>
      <c r="D1924" t="s">
        <v>73</v>
      </c>
      <c r="E1924" t="s">
        <v>56</v>
      </c>
      <c r="F1924" s="30">
        <v>45657</v>
      </c>
      <c r="G1924" t="s">
        <v>2291</v>
      </c>
      <c r="H1924" t="s">
        <v>4469</v>
      </c>
      <c r="I1924">
        <v>25</v>
      </c>
      <c r="J1924">
        <v>6.9000000953674316</v>
      </c>
      <c r="AV1924">
        <v>6.9</v>
      </c>
    </row>
    <row r="1925" spans="1:134" x14ac:dyDescent="0.3">
      <c r="A1925">
        <v>434</v>
      </c>
      <c r="B1925" t="s">
        <v>2267</v>
      </c>
      <c r="C1925" t="s">
        <v>251</v>
      </c>
      <c r="D1925" t="s">
        <v>73</v>
      </c>
      <c r="E1925" t="s">
        <v>56</v>
      </c>
      <c r="F1925" s="30">
        <v>45657</v>
      </c>
      <c r="G1925" t="s">
        <v>2291</v>
      </c>
      <c r="H1925" t="s">
        <v>4476</v>
      </c>
      <c r="I1925">
        <v>10</v>
      </c>
      <c r="J1925">
        <v>0.20000000298023221</v>
      </c>
      <c r="AV1925">
        <v>0.2</v>
      </c>
    </row>
    <row r="1926" spans="1:134" x14ac:dyDescent="0.3">
      <c r="A1926">
        <v>434</v>
      </c>
      <c r="B1926" t="s">
        <v>2267</v>
      </c>
      <c r="C1926" t="s">
        <v>251</v>
      </c>
      <c r="D1926" t="s">
        <v>73</v>
      </c>
      <c r="E1926" t="s">
        <v>56</v>
      </c>
      <c r="F1926" s="30">
        <v>45657</v>
      </c>
      <c r="G1926" t="s">
        <v>2291</v>
      </c>
      <c r="H1926" t="s">
        <v>4478</v>
      </c>
      <c r="I1926">
        <v>200</v>
      </c>
      <c r="J1926">
        <v>0</v>
      </c>
      <c r="AV1926">
        <v>0</v>
      </c>
    </row>
    <row r="1927" spans="1:134" x14ac:dyDescent="0.3">
      <c r="A1927">
        <v>436</v>
      </c>
      <c r="B1927" t="s">
        <v>2311</v>
      </c>
      <c r="C1927" t="s">
        <v>258</v>
      </c>
      <c r="D1927" t="s">
        <v>73</v>
      </c>
      <c r="E1927" t="s">
        <v>56</v>
      </c>
      <c r="F1927" s="30">
        <v>45657</v>
      </c>
      <c r="G1927" t="s">
        <v>2335</v>
      </c>
      <c r="H1927" t="s">
        <v>4580</v>
      </c>
      <c r="I1927">
        <v>7</v>
      </c>
      <c r="J1927">
        <v>10.88000011444092</v>
      </c>
      <c r="CP1927">
        <v>10.88</v>
      </c>
    </row>
    <row r="1928" spans="1:134" x14ac:dyDescent="0.3">
      <c r="A1928">
        <v>436</v>
      </c>
      <c r="B1928" t="s">
        <v>2311</v>
      </c>
      <c r="C1928" t="s">
        <v>258</v>
      </c>
      <c r="D1928" t="s">
        <v>73</v>
      </c>
      <c r="E1928" t="s">
        <v>56</v>
      </c>
      <c r="F1928" s="30">
        <v>45657</v>
      </c>
      <c r="G1928" t="s">
        <v>2335</v>
      </c>
      <c r="H1928" t="s">
        <v>4579</v>
      </c>
      <c r="I1928">
        <v>7</v>
      </c>
      <c r="J1928">
        <v>6.0900001525878906</v>
      </c>
      <c r="CP1928">
        <v>6.09</v>
      </c>
    </row>
    <row r="1929" spans="1:134" x14ac:dyDescent="0.3">
      <c r="A1929">
        <v>485</v>
      </c>
      <c r="B1929" t="s">
        <v>2525</v>
      </c>
      <c r="C1929" t="s">
        <v>258</v>
      </c>
      <c r="D1929" t="s">
        <v>73</v>
      </c>
      <c r="E1929" t="s">
        <v>22</v>
      </c>
      <c r="F1929" s="30">
        <v>45657</v>
      </c>
      <c r="G1929" t="s">
        <v>2536</v>
      </c>
      <c r="H1929" t="s">
        <v>4637</v>
      </c>
      <c r="I1929">
        <v>80</v>
      </c>
      <c r="J1929">
        <v>0</v>
      </c>
      <c r="EC1929">
        <v>0</v>
      </c>
      <c r="ED1929">
        <v>0</v>
      </c>
    </row>
    <row r="1930" spans="1:134" x14ac:dyDescent="0.3">
      <c r="A1930">
        <v>485</v>
      </c>
      <c r="B1930" t="s">
        <v>2525</v>
      </c>
      <c r="C1930" t="s">
        <v>258</v>
      </c>
      <c r="D1930" t="s">
        <v>73</v>
      </c>
      <c r="E1930" t="s">
        <v>22</v>
      </c>
      <c r="F1930" s="30">
        <v>45657</v>
      </c>
      <c r="G1930" t="s">
        <v>2536</v>
      </c>
      <c r="H1930" t="s">
        <v>4638</v>
      </c>
      <c r="I1930">
        <v>80</v>
      </c>
      <c r="J1930">
        <v>0</v>
      </c>
      <c r="EC1930">
        <v>0</v>
      </c>
      <c r="ED1930">
        <v>0</v>
      </c>
    </row>
    <row r="1931" spans="1:134" x14ac:dyDescent="0.3">
      <c r="A1931">
        <v>485</v>
      </c>
      <c r="B1931" t="s">
        <v>2525</v>
      </c>
      <c r="C1931" t="s">
        <v>258</v>
      </c>
      <c r="D1931" t="s">
        <v>73</v>
      </c>
      <c r="E1931" t="s">
        <v>22</v>
      </c>
      <c r="F1931" s="30">
        <v>45657</v>
      </c>
      <c r="G1931" t="s">
        <v>2536</v>
      </c>
      <c r="H1931" t="s">
        <v>4639</v>
      </c>
      <c r="I1931">
        <v>80</v>
      </c>
      <c r="J1931">
        <v>0</v>
      </c>
      <c r="EC1931">
        <v>0</v>
      </c>
      <c r="ED1931">
        <v>0</v>
      </c>
    </row>
    <row r="1932" spans="1:134" x14ac:dyDescent="0.3">
      <c r="A1932">
        <v>485</v>
      </c>
      <c r="B1932" t="s">
        <v>2525</v>
      </c>
      <c r="C1932" t="s">
        <v>258</v>
      </c>
      <c r="D1932" t="s">
        <v>73</v>
      </c>
      <c r="E1932" t="s">
        <v>22</v>
      </c>
      <c r="F1932" s="30">
        <v>45657</v>
      </c>
      <c r="G1932" t="s">
        <v>2536</v>
      </c>
      <c r="H1932" t="s">
        <v>4576</v>
      </c>
      <c r="I1932">
        <v>80</v>
      </c>
      <c r="J1932">
        <v>0</v>
      </c>
      <c r="EC1932">
        <v>0</v>
      </c>
      <c r="ED1932">
        <v>0</v>
      </c>
    </row>
    <row r="1933" spans="1:134" x14ac:dyDescent="0.3">
      <c r="A1933">
        <v>485</v>
      </c>
      <c r="B1933" t="s">
        <v>2525</v>
      </c>
      <c r="C1933" t="s">
        <v>258</v>
      </c>
      <c r="D1933" t="s">
        <v>73</v>
      </c>
      <c r="E1933" t="s">
        <v>22</v>
      </c>
      <c r="F1933" s="30">
        <v>45657</v>
      </c>
      <c r="G1933" t="s">
        <v>2536</v>
      </c>
      <c r="H1933" t="s">
        <v>154</v>
      </c>
      <c r="I1933">
        <v>80</v>
      </c>
      <c r="J1933">
        <v>0</v>
      </c>
      <c r="EC1933">
        <v>0</v>
      </c>
      <c r="ED1933">
        <v>0</v>
      </c>
    </row>
    <row r="1934" spans="1:134" x14ac:dyDescent="0.3">
      <c r="A1934">
        <v>485</v>
      </c>
      <c r="B1934" t="s">
        <v>2525</v>
      </c>
      <c r="C1934" t="s">
        <v>258</v>
      </c>
      <c r="D1934" t="s">
        <v>73</v>
      </c>
      <c r="E1934" t="s">
        <v>22</v>
      </c>
      <c r="F1934" s="30">
        <v>45657</v>
      </c>
      <c r="G1934" t="s">
        <v>2536</v>
      </c>
      <c r="H1934" t="s">
        <v>4640</v>
      </c>
      <c r="I1934">
        <v>80</v>
      </c>
      <c r="J1934">
        <v>0</v>
      </c>
      <c r="EC1934">
        <v>0</v>
      </c>
      <c r="ED1934">
        <v>0</v>
      </c>
    </row>
    <row r="1935" spans="1:134" x14ac:dyDescent="0.3">
      <c r="A1935">
        <v>485</v>
      </c>
      <c r="B1935" t="s">
        <v>2525</v>
      </c>
      <c r="C1935" t="s">
        <v>258</v>
      </c>
      <c r="D1935" t="s">
        <v>73</v>
      </c>
      <c r="E1935" t="s">
        <v>22</v>
      </c>
      <c r="F1935" s="30">
        <v>45657</v>
      </c>
      <c r="G1935" t="s">
        <v>2536</v>
      </c>
      <c r="H1935" t="s">
        <v>4641</v>
      </c>
      <c r="I1935">
        <v>80</v>
      </c>
      <c r="J1935">
        <v>60</v>
      </c>
      <c r="EC1935">
        <v>3</v>
      </c>
      <c r="ED1935">
        <v>5</v>
      </c>
    </row>
    <row r="1936" spans="1:134" x14ac:dyDescent="0.3">
      <c r="A1936">
        <v>485</v>
      </c>
      <c r="B1936" t="s">
        <v>2525</v>
      </c>
      <c r="C1936" t="s">
        <v>258</v>
      </c>
      <c r="D1936" t="s">
        <v>73</v>
      </c>
      <c r="E1936" t="s">
        <v>22</v>
      </c>
      <c r="F1936" s="30">
        <v>45657</v>
      </c>
      <c r="G1936" t="s">
        <v>2536</v>
      </c>
      <c r="H1936" t="s">
        <v>4642</v>
      </c>
      <c r="I1936">
        <v>80</v>
      </c>
      <c r="J1936">
        <v>100</v>
      </c>
      <c r="EC1936">
        <v>1</v>
      </c>
      <c r="ED1936">
        <v>1</v>
      </c>
    </row>
    <row r="1937" spans="1:136" x14ac:dyDescent="0.3">
      <c r="A1937">
        <v>488</v>
      </c>
      <c r="B1937" t="s">
        <v>2555</v>
      </c>
      <c r="C1937" t="s">
        <v>258</v>
      </c>
      <c r="D1937" t="s">
        <v>73</v>
      </c>
      <c r="E1937" t="s">
        <v>22</v>
      </c>
      <c r="F1937" s="30">
        <v>45657</v>
      </c>
      <c r="G1937" t="s">
        <v>2567</v>
      </c>
      <c r="H1937" t="s">
        <v>4637</v>
      </c>
      <c r="I1937">
        <v>85</v>
      </c>
      <c r="J1937">
        <v>82.349998474121094</v>
      </c>
      <c r="EE1937">
        <v>98</v>
      </c>
      <c r="EF1937">
        <v>119</v>
      </c>
    </row>
    <row r="1938" spans="1:136" x14ac:dyDescent="0.3">
      <c r="A1938">
        <v>488</v>
      </c>
      <c r="B1938" t="s">
        <v>2555</v>
      </c>
      <c r="C1938" t="s">
        <v>258</v>
      </c>
      <c r="D1938" t="s">
        <v>73</v>
      </c>
      <c r="E1938" t="s">
        <v>22</v>
      </c>
      <c r="F1938" s="30">
        <v>45657</v>
      </c>
      <c r="G1938" t="s">
        <v>2567</v>
      </c>
      <c r="H1938" t="s">
        <v>4638</v>
      </c>
      <c r="I1938">
        <v>85</v>
      </c>
      <c r="J1938">
        <v>90.239997863769531</v>
      </c>
      <c r="EE1938">
        <v>37</v>
      </c>
      <c r="EF1938">
        <v>41</v>
      </c>
    </row>
    <row r="1939" spans="1:136" x14ac:dyDescent="0.3">
      <c r="A1939">
        <v>488</v>
      </c>
      <c r="B1939" t="s">
        <v>2555</v>
      </c>
      <c r="C1939" t="s">
        <v>258</v>
      </c>
      <c r="D1939" t="s">
        <v>73</v>
      </c>
      <c r="E1939" t="s">
        <v>22</v>
      </c>
      <c r="F1939" s="30">
        <v>45657</v>
      </c>
      <c r="G1939" t="s">
        <v>2567</v>
      </c>
      <c r="H1939" t="s">
        <v>4639</v>
      </c>
      <c r="I1939">
        <v>85</v>
      </c>
      <c r="J1939">
        <v>98.209999084472656</v>
      </c>
      <c r="EE1939">
        <v>110</v>
      </c>
      <c r="EF1939">
        <v>112</v>
      </c>
    </row>
    <row r="1940" spans="1:136" x14ac:dyDescent="0.3">
      <c r="A1940">
        <v>488</v>
      </c>
      <c r="B1940" t="s">
        <v>2555</v>
      </c>
      <c r="C1940" t="s">
        <v>258</v>
      </c>
      <c r="D1940" t="s">
        <v>73</v>
      </c>
      <c r="E1940" t="s">
        <v>22</v>
      </c>
      <c r="F1940" s="30">
        <v>45657</v>
      </c>
      <c r="G1940" t="s">
        <v>2567</v>
      </c>
      <c r="H1940" t="s">
        <v>154</v>
      </c>
      <c r="I1940">
        <v>85</v>
      </c>
      <c r="J1940">
        <v>0</v>
      </c>
      <c r="EE1940">
        <v>0</v>
      </c>
      <c r="EF1940">
        <v>0</v>
      </c>
    </row>
    <row r="1941" spans="1:136" x14ac:dyDescent="0.3">
      <c r="A1941">
        <v>488</v>
      </c>
      <c r="B1941" t="s">
        <v>2555</v>
      </c>
      <c r="C1941" t="s">
        <v>258</v>
      </c>
      <c r="D1941" t="s">
        <v>73</v>
      </c>
      <c r="E1941" t="s">
        <v>22</v>
      </c>
      <c r="F1941" s="30">
        <v>45657</v>
      </c>
      <c r="G1941" t="s">
        <v>2567</v>
      </c>
      <c r="H1941" t="s">
        <v>4640</v>
      </c>
      <c r="I1941">
        <v>85</v>
      </c>
      <c r="J1941">
        <v>100</v>
      </c>
      <c r="EE1941">
        <v>27</v>
      </c>
      <c r="EF1941">
        <v>27</v>
      </c>
    </row>
    <row r="1942" spans="1:136" x14ac:dyDescent="0.3">
      <c r="A1942">
        <v>488</v>
      </c>
      <c r="B1942" t="s">
        <v>2555</v>
      </c>
      <c r="C1942" t="s">
        <v>258</v>
      </c>
      <c r="D1942" t="s">
        <v>73</v>
      </c>
      <c r="E1942" t="s">
        <v>22</v>
      </c>
      <c r="F1942" s="30">
        <v>45657</v>
      </c>
      <c r="G1942" t="s">
        <v>2567</v>
      </c>
      <c r="H1942" t="s">
        <v>4641</v>
      </c>
      <c r="I1942">
        <v>85</v>
      </c>
      <c r="J1942">
        <v>91.489997863769531</v>
      </c>
      <c r="EE1942">
        <v>43</v>
      </c>
      <c r="EF1942">
        <v>47</v>
      </c>
    </row>
    <row r="1943" spans="1:136" x14ac:dyDescent="0.3">
      <c r="A1943">
        <v>488</v>
      </c>
      <c r="B1943" t="s">
        <v>2555</v>
      </c>
      <c r="C1943" t="s">
        <v>258</v>
      </c>
      <c r="D1943" t="s">
        <v>73</v>
      </c>
      <c r="E1943" t="s">
        <v>22</v>
      </c>
      <c r="F1943" s="30">
        <v>45657</v>
      </c>
      <c r="G1943" t="s">
        <v>2567</v>
      </c>
      <c r="H1943" t="s">
        <v>4538</v>
      </c>
      <c r="I1943">
        <v>85</v>
      </c>
      <c r="J1943">
        <v>0</v>
      </c>
      <c r="EE1943">
        <v>0</v>
      </c>
      <c r="EF1943">
        <v>0</v>
      </c>
    </row>
    <row r="1944" spans="1:136" x14ac:dyDescent="0.3">
      <c r="A1944">
        <v>488</v>
      </c>
      <c r="B1944" t="s">
        <v>2555</v>
      </c>
      <c r="C1944" t="s">
        <v>258</v>
      </c>
      <c r="D1944" t="s">
        <v>73</v>
      </c>
      <c r="E1944" t="s">
        <v>22</v>
      </c>
      <c r="F1944" s="30">
        <v>45657</v>
      </c>
      <c r="G1944" t="s">
        <v>2567</v>
      </c>
      <c r="H1944" t="s">
        <v>4642</v>
      </c>
      <c r="I1944">
        <v>85</v>
      </c>
      <c r="J1944">
        <v>100</v>
      </c>
      <c r="EE1944">
        <v>11</v>
      </c>
      <c r="EF1944">
        <v>11</v>
      </c>
    </row>
    <row r="1945" spans="1:136" x14ac:dyDescent="0.3">
      <c r="A1945">
        <v>488</v>
      </c>
      <c r="B1945" t="s">
        <v>2555</v>
      </c>
      <c r="C1945" t="s">
        <v>258</v>
      </c>
      <c r="D1945" t="s">
        <v>73</v>
      </c>
      <c r="E1945" t="s">
        <v>22</v>
      </c>
      <c r="F1945" s="30">
        <v>45657</v>
      </c>
      <c r="G1945" t="s">
        <v>2567</v>
      </c>
      <c r="H1945" t="s">
        <v>4576</v>
      </c>
      <c r="I1945">
        <v>85</v>
      </c>
      <c r="EE1945">
        <v>0</v>
      </c>
      <c r="EF1945">
        <v>0</v>
      </c>
    </row>
    <row r="1946" spans="1:136" x14ac:dyDescent="0.3">
      <c r="A1946">
        <v>203</v>
      </c>
      <c r="B1946" t="s">
        <v>676</v>
      </c>
      <c r="C1946" t="s">
        <v>210</v>
      </c>
      <c r="D1946" t="s">
        <v>39</v>
      </c>
      <c r="E1946" t="s">
        <v>22</v>
      </c>
      <c r="F1946" s="30">
        <v>45657</v>
      </c>
      <c r="G1946" t="s">
        <v>682</v>
      </c>
      <c r="H1946" t="s">
        <v>4494</v>
      </c>
      <c r="I1946">
        <v>95</v>
      </c>
      <c r="J1946">
        <v>102.94000244140619</v>
      </c>
      <c r="BA1946">
        <v>262025322345</v>
      </c>
      <c r="BB1946">
        <v>269722295152</v>
      </c>
    </row>
    <row r="1947" spans="1:136" x14ac:dyDescent="0.3">
      <c r="A1947">
        <v>203</v>
      </c>
      <c r="B1947" t="s">
        <v>676</v>
      </c>
      <c r="C1947" t="s">
        <v>210</v>
      </c>
      <c r="D1947" t="s">
        <v>39</v>
      </c>
      <c r="E1947" t="s">
        <v>22</v>
      </c>
      <c r="F1947" s="30">
        <v>45657</v>
      </c>
      <c r="G1947" t="s">
        <v>682</v>
      </c>
      <c r="H1947" t="s">
        <v>4495</v>
      </c>
      <c r="I1947">
        <v>95</v>
      </c>
      <c r="J1947">
        <v>85.400001525878906</v>
      </c>
      <c r="BA1947">
        <v>15507493100</v>
      </c>
      <c r="BB1947">
        <v>13243138849</v>
      </c>
    </row>
    <row r="1948" spans="1:136" x14ac:dyDescent="0.3">
      <c r="A1948">
        <v>203</v>
      </c>
      <c r="B1948" t="s">
        <v>676</v>
      </c>
      <c r="C1948" t="s">
        <v>210</v>
      </c>
      <c r="D1948" t="s">
        <v>39</v>
      </c>
      <c r="E1948" t="s">
        <v>22</v>
      </c>
      <c r="F1948" s="30">
        <v>45657</v>
      </c>
      <c r="G1948" t="s">
        <v>682</v>
      </c>
      <c r="H1948" t="s">
        <v>4496</v>
      </c>
      <c r="I1948">
        <v>95</v>
      </c>
      <c r="J1948">
        <v>123.09999847412109</v>
      </c>
      <c r="BA1948">
        <v>12105637225</v>
      </c>
      <c r="BB1948">
        <v>14901687928</v>
      </c>
    </row>
    <row r="1949" spans="1:136" x14ac:dyDescent="0.3">
      <c r="A1949">
        <v>215</v>
      </c>
      <c r="B1949" t="s">
        <v>824</v>
      </c>
      <c r="C1949" t="s">
        <v>251</v>
      </c>
      <c r="D1949" t="s">
        <v>39</v>
      </c>
      <c r="E1949" t="s">
        <v>22</v>
      </c>
      <c r="F1949" s="30">
        <v>45657</v>
      </c>
      <c r="G1949" t="s">
        <v>832</v>
      </c>
      <c r="H1949" t="s">
        <v>4469</v>
      </c>
      <c r="I1949">
        <v>0</v>
      </c>
      <c r="J1949">
        <v>28.569999694824219</v>
      </c>
      <c r="AC1949">
        <v>0.42</v>
      </c>
      <c r="AD1949">
        <v>0.3</v>
      </c>
    </row>
    <row r="1950" spans="1:136" x14ac:dyDescent="0.3">
      <c r="A1950">
        <v>219</v>
      </c>
      <c r="B1950" t="s">
        <v>938</v>
      </c>
      <c r="C1950" t="s">
        <v>251</v>
      </c>
      <c r="D1950" t="s">
        <v>39</v>
      </c>
      <c r="E1950" t="s">
        <v>22</v>
      </c>
      <c r="F1950" s="30">
        <v>45657</v>
      </c>
      <c r="G1950" t="s">
        <v>944</v>
      </c>
      <c r="H1950" t="s">
        <v>4468</v>
      </c>
      <c r="I1950">
        <v>1</v>
      </c>
      <c r="J1950">
        <v>-2.369999885559082</v>
      </c>
      <c r="O1950">
        <v>2232</v>
      </c>
      <c r="P1950">
        <v>2683</v>
      </c>
      <c r="Q1950">
        <v>13824</v>
      </c>
      <c r="R1950">
        <v>0</v>
      </c>
      <c r="S1950">
        <v>2176</v>
      </c>
      <c r="T1950">
        <v>3139</v>
      </c>
      <c r="U1950">
        <v>14308</v>
      </c>
      <c r="V1950">
        <v>0</v>
      </c>
      <c r="W1950">
        <v>389679</v>
      </c>
      <c r="X1950">
        <v>398604</v>
      </c>
    </row>
    <row r="1951" spans="1:136" x14ac:dyDescent="0.3">
      <c r="A1951">
        <v>219</v>
      </c>
      <c r="B1951" t="s">
        <v>938</v>
      </c>
      <c r="C1951" t="s">
        <v>251</v>
      </c>
      <c r="D1951" t="s">
        <v>39</v>
      </c>
      <c r="E1951" t="s">
        <v>22</v>
      </c>
      <c r="F1951" s="30">
        <v>45657</v>
      </c>
      <c r="G1951" t="s">
        <v>944</v>
      </c>
      <c r="H1951" t="s">
        <v>4470</v>
      </c>
      <c r="I1951">
        <v>1</v>
      </c>
      <c r="J1951">
        <v>-19.629999160766602</v>
      </c>
      <c r="O1951">
        <v>477</v>
      </c>
      <c r="P1951">
        <v>24</v>
      </c>
      <c r="Q1951">
        <v>8635</v>
      </c>
      <c r="R1951">
        <v>2925</v>
      </c>
      <c r="S1951">
        <v>530</v>
      </c>
      <c r="T1951">
        <v>24</v>
      </c>
      <c r="U1951">
        <v>11628</v>
      </c>
      <c r="V1951">
        <v>2925</v>
      </c>
      <c r="W1951">
        <v>266760</v>
      </c>
      <c r="X1951">
        <v>279300</v>
      </c>
    </row>
    <row r="1952" spans="1:136" x14ac:dyDescent="0.3">
      <c r="A1952">
        <v>219</v>
      </c>
      <c r="B1952" t="s">
        <v>938</v>
      </c>
      <c r="C1952" t="s">
        <v>251</v>
      </c>
      <c r="D1952" t="s">
        <v>39</v>
      </c>
      <c r="E1952" t="s">
        <v>22</v>
      </c>
      <c r="F1952" s="30">
        <v>45657</v>
      </c>
      <c r="G1952" t="s">
        <v>944</v>
      </c>
      <c r="H1952" t="s">
        <v>4469</v>
      </c>
      <c r="I1952">
        <v>1</v>
      </c>
      <c r="J1952">
        <v>-30.89999961853027</v>
      </c>
      <c r="O1952">
        <v>374</v>
      </c>
      <c r="P1952">
        <v>922</v>
      </c>
      <c r="Q1952">
        <v>10413</v>
      </c>
      <c r="R1952">
        <v>5</v>
      </c>
      <c r="S1952">
        <v>427</v>
      </c>
      <c r="T1952">
        <v>972</v>
      </c>
      <c r="U1952">
        <v>13150</v>
      </c>
      <c r="V1952">
        <v>4</v>
      </c>
      <c r="W1952">
        <v>137838</v>
      </c>
      <c r="X1952">
        <v>130401</v>
      </c>
    </row>
    <row r="1953" spans="1:137" x14ac:dyDescent="0.3">
      <c r="A1953">
        <v>219</v>
      </c>
      <c r="B1953" t="s">
        <v>938</v>
      </c>
      <c r="C1953" t="s">
        <v>251</v>
      </c>
      <c r="D1953" t="s">
        <v>39</v>
      </c>
      <c r="E1953" t="s">
        <v>22</v>
      </c>
      <c r="F1953" s="30">
        <v>45657</v>
      </c>
      <c r="G1953" t="s">
        <v>944</v>
      </c>
      <c r="H1953" t="s">
        <v>4476</v>
      </c>
      <c r="I1953">
        <v>1</v>
      </c>
      <c r="J1953">
        <v>7.6700000762939453</v>
      </c>
      <c r="O1953">
        <v>9</v>
      </c>
      <c r="P1953">
        <v>26</v>
      </c>
      <c r="Q1953">
        <v>2938</v>
      </c>
      <c r="R1953">
        <v>0</v>
      </c>
      <c r="S1953">
        <v>6</v>
      </c>
      <c r="T1953">
        <v>19</v>
      </c>
      <c r="U1953">
        <v>3030</v>
      </c>
      <c r="V1953">
        <v>0</v>
      </c>
      <c r="W1953">
        <v>22320</v>
      </c>
      <c r="X1953">
        <v>23640</v>
      </c>
    </row>
    <row r="1954" spans="1:137" x14ac:dyDescent="0.3">
      <c r="A1954">
        <v>219</v>
      </c>
      <c r="B1954" t="s">
        <v>938</v>
      </c>
      <c r="C1954" t="s">
        <v>251</v>
      </c>
      <c r="D1954" t="s">
        <v>39</v>
      </c>
      <c r="E1954" t="s">
        <v>22</v>
      </c>
      <c r="F1954" s="30">
        <v>45657</v>
      </c>
      <c r="G1954" t="s">
        <v>944</v>
      </c>
      <c r="H1954" t="s">
        <v>4478</v>
      </c>
      <c r="I1954">
        <v>1</v>
      </c>
      <c r="J1954">
        <v>-19.239999771118161</v>
      </c>
      <c r="O1954">
        <v>10</v>
      </c>
      <c r="P1954">
        <v>10</v>
      </c>
      <c r="Q1954">
        <v>48</v>
      </c>
      <c r="R1954">
        <v>0</v>
      </c>
      <c r="S1954">
        <v>12</v>
      </c>
      <c r="T1954">
        <v>14</v>
      </c>
      <c r="U1954">
        <v>64</v>
      </c>
      <c r="V1954">
        <v>0</v>
      </c>
      <c r="W1954">
        <v>7535</v>
      </c>
      <c r="X1954">
        <v>8265</v>
      </c>
    </row>
    <row r="1955" spans="1:137" x14ac:dyDescent="0.3">
      <c r="A1955">
        <v>219</v>
      </c>
      <c r="B1955" t="s">
        <v>938</v>
      </c>
      <c r="C1955" t="s">
        <v>251</v>
      </c>
      <c r="D1955" t="s">
        <v>39</v>
      </c>
      <c r="E1955" t="s">
        <v>22</v>
      </c>
      <c r="F1955" s="30">
        <v>45657</v>
      </c>
      <c r="G1955" t="s">
        <v>944</v>
      </c>
      <c r="H1955" t="s">
        <v>4477</v>
      </c>
      <c r="I1955">
        <v>1</v>
      </c>
      <c r="J1955">
        <v>7.9200000762939453</v>
      </c>
      <c r="O1955">
        <v>66</v>
      </c>
      <c r="P1955">
        <v>71</v>
      </c>
      <c r="Q1955">
        <v>135</v>
      </c>
      <c r="R1955">
        <v>0</v>
      </c>
      <c r="S1955">
        <v>40</v>
      </c>
      <c r="T1955">
        <v>28</v>
      </c>
      <c r="U1955">
        <v>189</v>
      </c>
      <c r="V1955">
        <v>0</v>
      </c>
      <c r="W1955">
        <v>25260</v>
      </c>
      <c r="X1955">
        <v>25920</v>
      </c>
    </row>
    <row r="1956" spans="1:137" x14ac:dyDescent="0.3">
      <c r="A1956">
        <v>220</v>
      </c>
      <c r="B1956" t="s">
        <v>947</v>
      </c>
      <c r="C1956" t="s">
        <v>251</v>
      </c>
      <c r="D1956" t="s">
        <v>39</v>
      </c>
      <c r="E1956" t="s">
        <v>22</v>
      </c>
      <c r="F1956" s="30">
        <v>45657</v>
      </c>
      <c r="G1956" t="s">
        <v>953</v>
      </c>
      <c r="H1956" t="s">
        <v>4468</v>
      </c>
      <c r="I1956">
        <v>1</v>
      </c>
      <c r="J1956">
        <v>16.129999160766602</v>
      </c>
      <c r="O1956">
        <v>2232</v>
      </c>
      <c r="P1956">
        <v>2683</v>
      </c>
      <c r="Q1956">
        <v>13824</v>
      </c>
      <c r="R1956">
        <v>0</v>
      </c>
      <c r="S1956">
        <v>2176</v>
      </c>
      <c r="T1956">
        <v>3139</v>
      </c>
      <c r="U1956">
        <v>14308</v>
      </c>
      <c r="V1956">
        <v>0</v>
      </c>
      <c r="Y1956">
        <v>4088</v>
      </c>
      <c r="Z1956">
        <v>5104</v>
      </c>
    </row>
    <row r="1957" spans="1:137" x14ac:dyDescent="0.3">
      <c r="A1957">
        <v>220</v>
      </c>
      <c r="B1957" t="s">
        <v>947</v>
      </c>
      <c r="C1957" t="s">
        <v>251</v>
      </c>
      <c r="D1957" t="s">
        <v>39</v>
      </c>
      <c r="E1957" t="s">
        <v>22</v>
      </c>
      <c r="F1957" s="30">
        <v>45657</v>
      </c>
      <c r="G1957" t="s">
        <v>953</v>
      </c>
      <c r="H1957" t="s">
        <v>4470</v>
      </c>
      <c r="I1957">
        <v>1</v>
      </c>
      <c r="J1957">
        <v>-23.04000091552734</v>
      </c>
      <c r="O1957">
        <v>477</v>
      </c>
      <c r="P1957">
        <v>24</v>
      </c>
      <c r="Q1957">
        <v>8635</v>
      </c>
      <c r="R1957">
        <v>2925</v>
      </c>
      <c r="S1957">
        <v>530</v>
      </c>
      <c r="T1957">
        <v>24</v>
      </c>
      <c r="U1957">
        <v>11628</v>
      </c>
      <c r="V1957">
        <v>2925</v>
      </c>
      <c r="Y1957">
        <v>1748</v>
      </c>
      <c r="Z1957">
        <v>1757</v>
      </c>
    </row>
    <row r="1958" spans="1:137" x14ac:dyDescent="0.3">
      <c r="A1958">
        <v>220</v>
      </c>
      <c r="B1958" t="s">
        <v>947</v>
      </c>
      <c r="C1958" t="s">
        <v>251</v>
      </c>
      <c r="D1958" t="s">
        <v>39</v>
      </c>
      <c r="E1958" t="s">
        <v>22</v>
      </c>
      <c r="F1958" s="30">
        <v>45657</v>
      </c>
      <c r="G1958" t="s">
        <v>953</v>
      </c>
      <c r="H1958" t="s">
        <v>4477</v>
      </c>
      <c r="I1958">
        <v>1</v>
      </c>
      <c r="J1958">
        <v>14.569999694824221</v>
      </c>
      <c r="O1958">
        <v>66</v>
      </c>
      <c r="P1958">
        <v>71</v>
      </c>
      <c r="Q1958">
        <v>135</v>
      </c>
      <c r="R1958">
        <v>0</v>
      </c>
      <c r="S1958">
        <v>40</v>
      </c>
      <c r="T1958">
        <v>28</v>
      </c>
      <c r="U1958">
        <v>189</v>
      </c>
      <c r="V1958">
        <v>0</v>
      </c>
      <c r="Y1958">
        <v>76</v>
      </c>
      <c r="Z1958">
        <v>73</v>
      </c>
    </row>
    <row r="1959" spans="1:137" x14ac:dyDescent="0.3">
      <c r="A1959">
        <v>220</v>
      </c>
      <c r="B1959" t="s">
        <v>947</v>
      </c>
      <c r="C1959" t="s">
        <v>251</v>
      </c>
      <c r="D1959" t="s">
        <v>39</v>
      </c>
      <c r="E1959" t="s">
        <v>22</v>
      </c>
      <c r="F1959" s="30">
        <v>45657</v>
      </c>
      <c r="G1959" t="s">
        <v>953</v>
      </c>
      <c r="H1959" t="s">
        <v>4469</v>
      </c>
      <c r="I1959">
        <v>1</v>
      </c>
      <c r="J1959">
        <v>39.740001678466797</v>
      </c>
      <c r="O1959">
        <v>374</v>
      </c>
      <c r="P1959">
        <v>922</v>
      </c>
      <c r="Q1959">
        <v>10413</v>
      </c>
      <c r="R1959">
        <v>5</v>
      </c>
      <c r="S1959">
        <v>427</v>
      </c>
      <c r="T1959">
        <v>972</v>
      </c>
      <c r="U1959">
        <v>13150</v>
      </c>
      <c r="V1959">
        <v>4</v>
      </c>
      <c r="Y1959">
        <v>1275</v>
      </c>
      <c r="Z1959">
        <v>2509</v>
      </c>
    </row>
    <row r="1960" spans="1:137" x14ac:dyDescent="0.3">
      <c r="A1960">
        <v>220</v>
      </c>
      <c r="B1960" t="s">
        <v>947</v>
      </c>
      <c r="C1960" t="s">
        <v>251</v>
      </c>
      <c r="D1960" t="s">
        <v>39</v>
      </c>
      <c r="E1960" t="s">
        <v>22</v>
      </c>
      <c r="F1960" s="30">
        <v>45657</v>
      </c>
      <c r="G1960" t="s">
        <v>953</v>
      </c>
      <c r="H1960" t="s">
        <v>4476</v>
      </c>
      <c r="I1960">
        <v>1</v>
      </c>
      <c r="O1960">
        <v>9</v>
      </c>
      <c r="P1960">
        <v>26</v>
      </c>
      <c r="Q1960">
        <v>2938</v>
      </c>
      <c r="R1960">
        <v>0</v>
      </c>
      <c r="S1960">
        <v>6</v>
      </c>
      <c r="T1960">
        <v>19</v>
      </c>
      <c r="U1960">
        <v>3030</v>
      </c>
      <c r="V1960">
        <v>0</v>
      </c>
      <c r="Y1960">
        <v>0</v>
      </c>
      <c r="Z1960">
        <v>0</v>
      </c>
    </row>
    <row r="1961" spans="1:137" x14ac:dyDescent="0.3">
      <c r="A1961">
        <v>220</v>
      </c>
      <c r="B1961" t="s">
        <v>947</v>
      </c>
      <c r="C1961" t="s">
        <v>251</v>
      </c>
      <c r="D1961" t="s">
        <v>39</v>
      </c>
      <c r="E1961" t="s">
        <v>22</v>
      </c>
      <c r="F1961" s="30">
        <v>45657</v>
      </c>
      <c r="G1961" t="s">
        <v>953</v>
      </c>
      <c r="H1961" t="s">
        <v>4478</v>
      </c>
      <c r="I1961">
        <v>1</v>
      </c>
      <c r="J1961">
        <v>15.060000419616699</v>
      </c>
      <c r="O1961">
        <v>10</v>
      </c>
      <c r="P1961">
        <v>10</v>
      </c>
      <c r="Q1961">
        <v>48</v>
      </c>
      <c r="R1961">
        <v>0</v>
      </c>
      <c r="S1961">
        <v>12</v>
      </c>
      <c r="T1961">
        <v>14</v>
      </c>
      <c r="U1961">
        <v>64</v>
      </c>
      <c r="V1961">
        <v>0</v>
      </c>
      <c r="Y1961">
        <v>46</v>
      </c>
      <c r="Z1961">
        <v>67</v>
      </c>
    </row>
    <row r="1962" spans="1:137" x14ac:dyDescent="0.3">
      <c r="A1962">
        <v>275</v>
      </c>
      <c r="B1962" t="s">
        <v>1375</v>
      </c>
      <c r="C1962" t="s">
        <v>1376</v>
      </c>
      <c r="D1962" t="s">
        <v>39</v>
      </c>
      <c r="E1962" t="s">
        <v>22</v>
      </c>
      <c r="F1962" s="30">
        <v>45657</v>
      </c>
      <c r="G1962" t="s">
        <v>1379</v>
      </c>
      <c r="H1962" t="s">
        <v>4643</v>
      </c>
      <c r="I1962">
        <v>80</v>
      </c>
      <c r="J1962">
        <v>107.5</v>
      </c>
      <c r="EG1962">
        <v>86</v>
      </c>
    </row>
    <row r="1963" spans="1:137" x14ac:dyDescent="0.3">
      <c r="A1963">
        <v>275</v>
      </c>
      <c r="B1963" t="s">
        <v>1375</v>
      </c>
      <c r="C1963" t="s">
        <v>1376</v>
      </c>
      <c r="D1963" t="s">
        <v>39</v>
      </c>
      <c r="E1963" t="s">
        <v>22</v>
      </c>
      <c r="F1963" s="30">
        <v>45657</v>
      </c>
      <c r="G1963" t="s">
        <v>1379</v>
      </c>
      <c r="H1963" t="s">
        <v>4512</v>
      </c>
      <c r="I1963">
        <v>80</v>
      </c>
      <c r="J1963">
        <v>111.25</v>
      </c>
      <c r="EG1963">
        <v>89</v>
      </c>
    </row>
    <row r="1964" spans="1:137" x14ac:dyDescent="0.3">
      <c r="A1964">
        <v>275</v>
      </c>
      <c r="B1964" t="s">
        <v>1375</v>
      </c>
      <c r="C1964" t="s">
        <v>1376</v>
      </c>
      <c r="D1964" t="s">
        <v>39</v>
      </c>
      <c r="E1964" t="s">
        <v>22</v>
      </c>
      <c r="F1964" s="30">
        <v>45657</v>
      </c>
      <c r="G1964" t="s">
        <v>1379</v>
      </c>
      <c r="H1964" t="s">
        <v>4644</v>
      </c>
      <c r="I1964">
        <v>80</v>
      </c>
      <c r="J1964">
        <v>110</v>
      </c>
      <c r="EG1964">
        <v>88</v>
      </c>
    </row>
    <row r="1965" spans="1:137" x14ac:dyDescent="0.3">
      <c r="A1965">
        <v>278</v>
      </c>
      <c r="B1965" t="s">
        <v>1399</v>
      </c>
      <c r="C1965" t="s">
        <v>1383</v>
      </c>
      <c r="D1965" t="s">
        <v>39</v>
      </c>
      <c r="E1965" t="s">
        <v>22</v>
      </c>
      <c r="F1965" s="30">
        <v>45657</v>
      </c>
      <c r="G1965" t="s">
        <v>1398</v>
      </c>
      <c r="H1965" t="s">
        <v>4501</v>
      </c>
      <c r="J1965">
        <v>629</v>
      </c>
      <c r="BE1965">
        <v>629</v>
      </c>
    </row>
    <row r="1966" spans="1:137" x14ac:dyDescent="0.3">
      <c r="A1966">
        <v>278</v>
      </c>
      <c r="B1966" t="s">
        <v>1399</v>
      </c>
      <c r="C1966" t="s">
        <v>1383</v>
      </c>
      <c r="D1966" t="s">
        <v>39</v>
      </c>
      <c r="E1966" t="s">
        <v>22</v>
      </c>
      <c r="F1966" s="30">
        <v>45657</v>
      </c>
      <c r="G1966" t="s">
        <v>1398</v>
      </c>
      <c r="H1966" t="s">
        <v>4502</v>
      </c>
      <c r="J1966">
        <v>202</v>
      </c>
      <c r="BE1966">
        <v>202</v>
      </c>
    </row>
    <row r="1967" spans="1:137" x14ac:dyDescent="0.3">
      <c r="A1967">
        <v>278</v>
      </c>
      <c r="B1967" t="s">
        <v>1399</v>
      </c>
      <c r="C1967" t="s">
        <v>1383</v>
      </c>
      <c r="D1967" t="s">
        <v>39</v>
      </c>
      <c r="E1967" t="s">
        <v>22</v>
      </c>
      <c r="F1967" s="30">
        <v>45657</v>
      </c>
      <c r="G1967" t="s">
        <v>1398</v>
      </c>
      <c r="H1967" t="s">
        <v>4503</v>
      </c>
      <c r="J1967">
        <v>187</v>
      </c>
      <c r="BE1967">
        <v>187</v>
      </c>
    </row>
    <row r="1968" spans="1:137" x14ac:dyDescent="0.3">
      <c r="A1968">
        <v>286</v>
      </c>
      <c r="B1968" t="s">
        <v>1433</v>
      </c>
      <c r="C1968" t="s">
        <v>1383</v>
      </c>
      <c r="D1968" t="s">
        <v>39</v>
      </c>
      <c r="E1968" t="s">
        <v>22</v>
      </c>
      <c r="F1968" s="30">
        <v>45657</v>
      </c>
      <c r="G1968" t="s">
        <v>1432</v>
      </c>
      <c r="H1968" t="s">
        <v>4504</v>
      </c>
      <c r="J1968">
        <v>79</v>
      </c>
      <c r="BF1968">
        <v>79</v>
      </c>
    </row>
    <row r="1969" spans="1:116" x14ac:dyDescent="0.3">
      <c r="A1969">
        <v>286</v>
      </c>
      <c r="B1969" t="s">
        <v>1433</v>
      </c>
      <c r="C1969" t="s">
        <v>1383</v>
      </c>
      <c r="D1969" t="s">
        <v>39</v>
      </c>
      <c r="E1969" t="s">
        <v>22</v>
      </c>
      <c r="F1969" s="30">
        <v>45657</v>
      </c>
      <c r="G1969" t="s">
        <v>1432</v>
      </c>
      <c r="H1969" t="s">
        <v>4505</v>
      </c>
      <c r="J1969">
        <v>761</v>
      </c>
      <c r="BF1969">
        <v>761</v>
      </c>
    </row>
    <row r="1970" spans="1:116" x14ac:dyDescent="0.3">
      <c r="A1970">
        <v>286</v>
      </c>
      <c r="B1970" t="s">
        <v>1433</v>
      </c>
      <c r="C1970" t="s">
        <v>1383</v>
      </c>
      <c r="D1970" t="s">
        <v>39</v>
      </c>
      <c r="E1970" t="s">
        <v>22</v>
      </c>
      <c r="F1970" s="30">
        <v>45657</v>
      </c>
      <c r="G1970" t="s">
        <v>1432</v>
      </c>
      <c r="H1970" t="s">
        <v>4506</v>
      </c>
      <c r="J1970">
        <v>99</v>
      </c>
      <c r="BF1970">
        <v>99</v>
      </c>
    </row>
    <row r="1971" spans="1:116" x14ac:dyDescent="0.3">
      <c r="A1971">
        <v>286</v>
      </c>
      <c r="B1971" t="s">
        <v>1433</v>
      </c>
      <c r="C1971" t="s">
        <v>1383</v>
      </c>
      <c r="D1971" t="s">
        <v>39</v>
      </c>
      <c r="E1971" t="s">
        <v>22</v>
      </c>
      <c r="F1971" s="30">
        <v>45657</v>
      </c>
      <c r="G1971" t="s">
        <v>1432</v>
      </c>
      <c r="H1971" t="s">
        <v>4507</v>
      </c>
      <c r="J1971">
        <v>79</v>
      </c>
      <c r="BF1971">
        <v>79</v>
      </c>
    </row>
    <row r="1972" spans="1:116" x14ac:dyDescent="0.3">
      <c r="A1972">
        <v>294</v>
      </c>
      <c r="B1972" t="s">
        <v>1481</v>
      </c>
      <c r="C1972" t="s">
        <v>1460</v>
      </c>
      <c r="D1972" t="s">
        <v>39</v>
      </c>
      <c r="E1972" t="s">
        <v>22</v>
      </c>
      <c r="F1972" s="30">
        <v>45657</v>
      </c>
      <c r="G1972" t="s">
        <v>1482</v>
      </c>
      <c r="H1972" t="s">
        <v>4510</v>
      </c>
      <c r="I1972">
        <v>3</v>
      </c>
      <c r="J1972">
        <v>-0.68000000715255737</v>
      </c>
      <c r="BI1972">
        <v>147</v>
      </c>
      <c r="BJ1972">
        <v>148</v>
      </c>
    </row>
    <row r="1973" spans="1:116" x14ac:dyDescent="0.3">
      <c r="A1973">
        <v>302</v>
      </c>
      <c r="B1973" t="s">
        <v>1524</v>
      </c>
      <c r="C1973" t="s">
        <v>1336</v>
      </c>
      <c r="D1973" t="s">
        <v>39</v>
      </c>
      <c r="E1973" t="s">
        <v>22</v>
      </c>
      <c r="F1973" s="30">
        <v>45657</v>
      </c>
      <c r="G1973" t="s">
        <v>1523</v>
      </c>
      <c r="H1973" t="s">
        <v>4630</v>
      </c>
      <c r="J1973">
        <v>17199</v>
      </c>
      <c r="DL1973">
        <v>17199</v>
      </c>
    </row>
    <row r="1974" spans="1:116" x14ac:dyDescent="0.3">
      <c r="A1974">
        <v>302</v>
      </c>
      <c r="B1974" t="s">
        <v>1524</v>
      </c>
      <c r="C1974" t="s">
        <v>1336</v>
      </c>
      <c r="D1974" t="s">
        <v>39</v>
      </c>
      <c r="E1974" t="s">
        <v>22</v>
      </c>
      <c r="F1974" s="30">
        <v>45657</v>
      </c>
      <c r="G1974" t="s">
        <v>1523</v>
      </c>
      <c r="H1974" t="s">
        <v>4633</v>
      </c>
      <c r="J1974">
        <v>660</v>
      </c>
      <c r="DL1974">
        <v>660</v>
      </c>
    </row>
    <row r="1975" spans="1:116" x14ac:dyDescent="0.3">
      <c r="A1975">
        <v>302</v>
      </c>
      <c r="B1975" t="s">
        <v>1524</v>
      </c>
      <c r="C1975" t="s">
        <v>1336</v>
      </c>
      <c r="D1975" t="s">
        <v>39</v>
      </c>
      <c r="E1975" t="s">
        <v>22</v>
      </c>
      <c r="F1975" s="30">
        <v>45657</v>
      </c>
      <c r="G1975" t="s">
        <v>1523</v>
      </c>
      <c r="H1975" t="s">
        <v>4632</v>
      </c>
      <c r="J1975">
        <v>331</v>
      </c>
      <c r="DL1975">
        <v>331</v>
      </c>
    </row>
    <row r="1976" spans="1:116" x14ac:dyDescent="0.3">
      <c r="A1976">
        <v>302</v>
      </c>
      <c r="B1976" t="s">
        <v>1524</v>
      </c>
      <c r="C1976" t="s">
        <v>1336</v>
      </c>
      <c r="D1976" t="s">
        <v>39</v>
      </c>
      <c r="E1976" t="s">
        <v>22</v>
      </c>
      <c r="F1976" s="30">
        <v>45657</v>
      </c>
      <c r="G1976" t="s">
        <v>1523</v>
      </c>
      <c r="H1976" t="s">
        <v>4631</v>
      </c>
      <c r="J1976">
        <v>952</v>
      </c>
      <c r="DL1976">
        <v>952</v>
      </c>
    </row>
    <row r="1977" spans="1:116" x14ac:dyDescent="0.3">
      <c r="A1977">
        <v>362</v>
      </c>
      <c r="B1977" t="s">
        <v>1800</v>
      </c>
      <c r="C1977" t="s">
        <v>1801</v>
      </c>
      <c r="D1977" t="s">
        <v>39</v>
      </c>
      <c r="E1977" t="s">
        <v>22</v>
      </c>
      <c r="F1977" s="30">
        <v>45657</v>
      </c>
      <c r="G1977" t="s">
        <v>1805</v>
      </c>
      <c r="H1977" t="s">
        <v>4498</v>
      </c>
      <c r="I1977">
        <v>98</v>
      </c>
      <c r="J1977">
        <v>99.629997253417969</v>
      </c>
      <c r="CU1977">
        <v>7530</v>
      </c>
      <c r="CV1977">
        <v>7558</v>
      </c>
    </row>
    <row r="1978" spans="1:116" x14ac:dyDescent="0.3">
      <c r="A1978">
        <v>362</v>
      </c>
      <c r="B1978" t="s">
        <v>1800</v>
      </c>
      <c r="C1978" t="s">
        <v>1801</v>
      </c>
      <c r="D1978" t="s">
        <v>39</v>
      </c>
      <c r="E1978" t="s">
        <v>22</v>
      </c>
      <c r="F1978" s="30">
        <v>45657</v>
      </c>
      <c r="G1978" t="s">
        <v>1805</v>
      </c>
      <c r="H1978" t="s">
        <v>4497</v>
      </c>
      <c r="I1978">
        <v>98</v>
      </c>
      <c r="J1978">
        <v>97.699996948242188</v>
      </c>
      <c r="CU1978">
        <v>595</v>
      </c>
      <c r="CV1978">
        <v>609</v>
      </c>
    </row>
    <row r="1979" spans="1:116" x14ac:dyDescent="0.3">
      <c r="A1979">
        <v>369</v>
      </c>
      <c r="B1979" t="s">
        <v>1835</v>
      </c>
      <c r="C1979" t="s">
        <v>1796</v>
      </c>
      <c r="D1979" t="s">
        <v>39</v>
      </c>
      <c r="E1979" t="s">
        <v>22</v>
      </c>
      <c r="F1979" s="30">
        <v>45657</v>
      </c>
      <c r="G1979" t="s">
        <v>1839</v>
      </c>
      <c r="H1979" t="s">
        <v>4512</v>
      </c>
      <c r="I1979">
        <v>100</v>
      </c>
      <c r="J1979">
        <v>51.020000457763672</v>
      </c>
      <c r="BM1979">
        <v>50</v>
      </c>
      <c r="BN1979">
        <v>98</v>
      </c>
    </row>
    <row r="1980" spans="1:116" x14ac:dyDescent="0.3">
      <c r="A1980">
        <v>369</v>
      </c>
      <c r="B1980" t="s">
        <v>1835</v>
      </c>
      <c r="C1980" t="s">
        <v>1796</v>
      </c>
      <c r="D1980" t="s">
        <v>39</v>
      </c>
      <c r="E1980" t="s">
        <v>22</v>
      </c>
      <c r="F1980" s="30">
        <v>45657</v>
      </c>
      <c r="G1980" t="s">
        <v>1839</v>
      </c>
      <c r="H1980" t="s">
        <v>4511</v>
      </c>
      <c r="I1980">
        <v>100</v>
      </c>
      <c r="J1980">
        <v>270</v>
      </c>
      <c r="BM1980">
        <v>27</v>
      </c>
      <c r="BN1980">
        <v>10</v>
      </c>
    </row>
    <row r="1981" spans="1:116" x14ac:dyDescent="0.3">
      <c r="A1981">
        <v>386</v>
      </c>
      <c r="B1981" t="s">
        <v>1951</v>
      </c>
      <c r="C1981" t="s">
        <v>1946</v>
      </c>
      <c r="D1981" t="s">
        <v>39</v>
      </c>
      <c r="E1981" t="s">
        <v>22</v>
      </c>
      <c r="F1981" s="30">
        <v>45657</v>
      </c>
      <c r="G1981" t="s">
        <v>1955</v>
      </c>
      <c r="H1981" t="s">
        <v>3584</v>
      </c>
      <c r="I1981">
        <v>100</v>
      </c>
      <c r="J1981">
        <v>137</v>
      </c>
      <c r="BO1981">
        <v>3309780602</v>
      </c>
      <c r="BP1981">
        <v>2415925326</v>
      </c>
    </row>
    <row r="1982" spans="1:116" x14ac:dyDescent="0.3">
      <c r="A1982">
        <v>386</v>
      </c>
      <c r="B1982" t="s">
        <v>1951</v>
      </c>
      <c r="C1982" t="s">
        <v>1946</v>
      </c>
      <c r="D1982" t="s">
        <v>39</v>
      </c>
      <c r="E1982" t="s">
        <v>22</v>
      </c>
      <c r="F1982" s="30">
        <v>45657</v>
      </c>
      <c r="G1982" t="s">
        <v>1955</v>
      </c>
      <c r="H1982" t="s">
        <v>4513</v>
      </c>
      <c r="I1982">
        <v>100</v>
      </c>
      <c r="J1982">
        <v>24.930000305175781</v>
      </c>
      <c r="BO1982">
        <v>1255318307</v>
      </c>
      <c r="BP1982">
        <v>5036160021</v>
      </c>
    </row>
    <row r="1983" spans="1:116" x14ac:dyDescent="0.3">
      <c r="A1983">
        <v>386</v>
      </c>
      <c r="B1983" t="s">
        <v>1951</v>
      </c>
      <c r="C1983" t="s">
        <v>1946</v>
      </c>
      <c r="D1983" t="s">
        <v>39</v>
      </c>
      <c r="E1983" t="s">
        <v>22</v>
      </c>
      <c r="F1983" s="30">
        <v>45657</v>
      </c>
      <c r="G1983" t="s">
        <v>1955</v>
      </c>
      <c r="H1983" t="s">
        <v>3588</v>
      </c>
      <c r="I1983">
        <v>100</v>
      </c>
      <c r="J1983">
        <v>114.2099990844727</v>
      </c>
      <c r="BO1983">
        <v>2985432782</v>
      </c>
      <c r="BP1983">
        <v>2613948908</v>
      </c>
    </row>
    <row r="1984" spans="1:116" x14ac:dyDescent="0.3">
      <c r="A1984">
        <v>408</v>
      </c>
      <c r="B1984" t="s">
        <v>2074</v>
      </c>
      <c r="C1984" t="s">
        <v>1627</v>
      </c>
      <c r="D1984" t="s">
        <v>39</v>
      </c>
      <c r="E1984" t="s">
        <v>22</v>
      </c>
      <c r="F1984" s="30">
        <v>45657</v>
      </c>
      <c r="G1984" t="s">
        <v>2078</v>
      </c>
      <c r="H1984" t="s">
        <v>4526</v>
      </c>
      <c r="I1984">
        <v>100</v>
      </c>
      <c r="J1984">
        <v>100</v>
      </c>
      <c r="BR1984">
        <v>2</v>
      </c>
      <c r="BS1984">
        <v>2</v>
      </c>
    </row>
    <row r="1985" spans="1:71" x14ac:dyDescent="0.3">
      <c r="A1985">
        <v>408</v>
      </c>
      <c r="B1985" t="s">
        <v>2074</v>
      </c>
      <c r="C1985" t="s">
        <v>1627</v>
      </c>
      <c r="D1985" t="s">
        <v>39</v>
      </c>
      <c r="E1985" t="s">
        <v>22</v>
      </c>
      <c r="F1985" s="30">
        <v>45657</v>
      </c>
      <c r="G1985" t="s">
        <v>2078</v>
      </c>
      <c r="H1985" t="s">
        <v>4528</v>
      </c>
      <c r="I1985">
        <v>100</v>
      </c>
      <c r="J1985">
        <v>100</v>
      </c>
      <c r="BR1985">
        <v>3</v>
      </c>
      <c r="BS1985">
        <v>3</v>
      </c>
    </row>
    <row r="1986" spans="1:71" x14ac:dyDescent="0.3">
      <c r="A1986">
        <v>408</v>
      </c>
      <c r="B1986" t="s">
        <v>2074</v>
      </c>
      <c r="C1986" t="s">
        <v>1627</v>
      </c>
      <c r="D1986" t="s">
        <v>39</v>
      </c>
      <c r="E1986" t="s">
        <v>22</v>
      </c>
      <c r="F1986" s="30">
        <v>45657</v>
      </c>
      <c r="G1986" t="s">
        <v>2078</v>
      </c>
      <c r="H1986" t="s">
        <v>4527</v>
      </c>
      <c r="I1986">
        <v>100</v>
      </c>
      <c r="J1986">
        <v>100</v>
      </c>
      <c r="BR1986">
        <v>1</v>
      </c>
      <c r="BS1986">
        <v>1</v>
      </c>
    </row>
    <row r="1987" spans="1:71" x14ac:dyDescent="0.3">
      <c r="A1987">
        <v>427</v>
      </c>
      <c r="B1987" t="s">
        <v>2212</v>
      </c>
      <c r="C1987" t="s">
        <v>251</v>
      </c>
      <c r="D1987" t="s">
        <v>39</v>
      </c>
      <c r="E1987" t="s">
        <v>56</v>
      </c>
      <c r="F1987" s="30">
        <v>45657</v>
      </c>
      <c r="G1987" t="s">
        <v>2216</v>
      </c>
      <c r="H1987" t="s">
        <v>4468</v>
      </c>
      <c r="I1987">
        <v>0.3</v>
      </c>
      <c r="J1987">
        <v>0.2199999988079071</v>
      </c>
      <c r="O1987">
        <v>2232</v>
      </c>
      <c r="P1987">
        <v>2683</v>
      </c>
      <c r="Q1987">
        <v>13824</v>
      </c>
      <c r="R1987">
        <v>0</v>
      </c>
      <c r="Y1987">
        <v>4088</v>
      </c>
    </row>
    <row r="1988" spans="1:71" x14ac:dyDescent="0.3">
      <c r="A1988">
        <v>427</v>
      </c>
      <c r="B1988" t="s">
        <v>2212</v>
      </c>
      <c r="C1988" t="s">
        <v>251</v>
      </c>
      <c r="D1988" t="s">
        <v>39</v>
      </c>
      <c r="E1988" t="s">
        <v>56</v>
      </c>
      <c r="F1988" s="30">
        <v>45657</v>
      </c>
      <c r="G1988" t="s">
        <v>2216</v>
      </c>
      <c r="H1988" t="s">
        <v>4470</v>
      </c>
      <c r="I1988">
        <v>0.15</v>
      </c>
      <c r="J1988">
        <v>0.14000000059604639</v>
      </c>
      <c r="O1988">
        <v>477</v>
      </c>
      <c r="P1988">
        <v>24</v>
      </c>
      <c r="Q1988">
        <v>8635</v>
      </c>
      <c r="R1988">
        <v>2925</v>
      </c>
      <c r="Y1988">
        <v>1748</v>
      </c>
    </row>
    <row r="1989" spans="1:71" x14ac:dyDescent="0.3">
      <c r="A1989">
        <v>427</v>
      </c>
      <c r="B1989" t="s">
        <v>2212</v>
      </c>
      <c r="C1989" t="s">
        <v>251</v>
      </c>
      <c r="D1989" t="s">
        <v>39</v>
      </c>
      <c r="E1989" t="s">
        <v>56</v>
      </c>
      <c r="F1989" s="30">
        <v>45657</v>
      </c>
      <c r="G1989" t="s">
        <v>2216</v>
      </c>
      <c r="H1989" t="s">
        <v>4477</v>
      </c>
      <c r="I1989">
        <v>0.2</v>
      </c>
      <c r="J1989">
        <v>0.2800000011920929</v>
      </c>
      <c r="O1989">
        <v>66</v>
      </c>
      <c r="P1989">
        <v>71</v>
      </c>
      <c r="Q1989">
        <v>135</v>
      </c>
      <c r="R1989">
        <v>0</v>
      </c>
      <c r="Y1989">
        <v>76</v>
      </c>
    </row>
    <row r="1990" spans="1:71" x14ac:dyDescent="0.3">
      <c r="A1990">
        <v>427</v>
      </c>
      <c r="B1990" t="s">
        <v>2212</v>
      </c>
      <c r="C1990" t="s">
        <v>251</v>
      </c>
      <c r="D1990" t="s">
        <v>39</v>
      </c>
      <c r="E1990" t="s">
        <v>56</v>
      </c>
      <c r="F1990" s="30">
        <v>45657</v>
      </c>
      <c r="G1990" t="s">
        <v>2216</v>
      </c>
      <c r="H1990" t="s">
        <v>4469</v>
      </c>
      <c r="I1990">
        <v>0.1</v>
      </c>
      <c r="J1990">
        <v>0.10999999940395359</v>
      </c>
      <c r="O1990">
        <v>374</v>
      </c>
      <c r="P1990">
        <v>922</v>
      </c>
      <c r="Q1990">
        <v>10413</v>
      </c>
      <c r="R1990">
        <v>5</v>
      </c>
      <c r="Y1990">
        <v>1275</v>
      </c>
    </row>
    <row r="1991" spans="1:71" x14ac:dyDescent="0.3">
      <c r="A1991">
        <v>427</v>
      </c>
      <c r="B1991" t="s">
        <v>2212</v>
      </c>
      <c r="C1991" t="s">
        <v>251</v>
      </c>
      <c r="D1991" t="s">
        <v>39</v>
      </c>
      <c r="E1991" t="s">
        <v>56</v>
      </c>
      <c r="F1991" s="30">
        <v>45657</v>
      </c>
      <c r="G1991" t="s">
        <v>2216</v>
      </c>
      <c r="H1991" t="s">
        <v>4476</v>
      </c>
      <c r="I1991">
        <v>0.2</v>
      </c>
      <c r="O1991">
        <v>9</v>
      </c>
      <c r="P1991">
        <v>26</v>
      </c>
      <c r="Q1991">
        <v>2938</v>
      </c>
      <c r="R1991">
        <v>0</v>
      </c>
      <c r="Y1991">
        <v>0</v>
      </c>
    </row>
    <row r="1992" spans="1:71" x14ac:dyDescent="0.3">
      <c r="A1992">
        <v>427</v>
      </c>
      <c r="B1992" t="s">
        <v>2212</v>
      </c>
      <c r="C1992" t="s">
        <v>251</v>
      </c>
      <c r="D1992" t="s">
        <v>39</v>
      </c>
      <c r="E1992" t="s">
        <v>56</v>
      </c>
      <c r="F1992" s="30">
        <v>45657</v>
      </c>
      <c r="G1992" t="s">
        <v>2216</v>
      </c>
      <c r="H1992" t="s">
        <v>4478</v>
      </c>
      <c r="I1992">
        <v>0.2</v>
      </c>
      <c r="J1992">
        <v>0.68000000715255737</v>
      </c>
      <c r="O1992">
        <v>10</v>
      </c>
      <c r="P1992">
        <v>10</v>
      </c>
      <c r="Q1992">
        <v>48</v>
      </c>
      <c r="R1992">
        <v>0</v>
      </c>
      <c r="Y1992">
        <v>46</v>
      </c>
    </row>
    <row r="1993" spans="1:71" x14ac:dyDescent="0.3">
      <c r="A1993">
        <v>428</v>
      </c>
      <c r="B1993" t="s">
        <v>2219</v>
      </c>
      <c r="C1993" t="s">
        <v>251</v>
      </c>
      <c r="D1993" t="s">
        <v>39</v>
      </c>
      <c r="E1993" t="s">
        <v>56</v>
      </c>
      <c r="F1993" s="30">
        <v>45657</v>
      </c>
      <c r="G1993" t="s">
        <v>2223</v>
      </c>
      <c r="H1993" t="s">
        <v>4468</v>
      </c>
      <c r="I1993">
        <v>22</v>
      </c>
      <c r="J1993">
        <v>20.79999923706055</v>
      </c>
      <c r="O1993">
        <v>2232</v>
      </c>
      <c r="P1993">
        <v>2683</v>
      </c>
      <c r="Q1993">
        <v>13824</v>
      </c>
      <c r="R1993">
        <v>0</v>
      </c>
      <c r="W1993">
        <v>389679</v>
      </c>
    </row>
    <row r="1994" spans="1:71" x14ac:dyDescent="0.3">
      <c r="A1994">
        <v>428</v>
      </c>
      <c r="B1994" t="s">
        <v>2219</v>
      </c>
      <c r="C1994" t="s">
        <v>251</v>
      </c>
      <c r="D1994" t="s">
        <v>39</v>
      </c>
      <c r="E1994" t="s">
        <v>56</v>
      </c>
      <c r="F1994" s="30">
        <v>45657</v>
      </c>
      <c r="G1994" t="s">
        <v>2223</v>
      </c>
      <c r="H1994" t="s">
        <v>4470</v>
      </c>
      <c r="I1994">
        <v>25</v>
      </c>
      <c r="J1994">
        <v>22.120000839233398</v>
      </c>
      <c r="O1994">
        <v>477</v>
      </c>
      <c r="P1994">
        <v>24</v>
      </c>
      <c r="Q1994">
        <v>8635</v>
      </c>
      <c r="R1994">
        <v>2925</v>
      </c>
      <c r="W1994">
        <v>266760</v>
      </c>
    </row>
    <row r="1995" spans="1:71" x14ac:dyDescent="0.3">
      <c r="A1995">
        <v>428</v>
      </c>
      <c r="B1995" t="s">
        <v>2219</v>
      </c>
      <c r="C1995" t="s">
        <v>251</v>
      </c>
      <c r="D1995" t="s">
        <v>39</v>
      </c>
      <c r="E1995" t="s">
        <v>56</v>
      </c>
      <c r="F1995" s="30">
        <v>45657</v>
      </c>
      <c r="G1995" t="s">
        <v>2223</v>
      </c>
      <c r="H1995" t="s">
        <v>4477</v>
      </c>
      <c r="I1995">
        <v>1</v>
      </c>
      <c r="J1995">
        <v>92.870002746582031</v>
      </c>
      <c r="O1995">
        <v>66</v>
      </c>
      <c r="P1995">
        <v>71</v>
      </c>
      <c r="Q1995">
        <v>135</v>
      </c>
      <c r="R1995">
        <v>0</v>
      </c>
      <c r="W1995">
        <v>25260</v>
      </c>
    </row>
    <row r="1996" spans="1:71" x14ac:dyDescent="0.3">
      <c r="A1996">
        <v>428</v>
      </c>
      <c r="B1996" t="s">
        <v>2219</v>
      </c>
      <c r="C1996" t="s">
        <v>251</v>
      </c>
      <c r="D1996" t="s">
        <v>39</v>
      </c>
      <c r="E1996" t="s">
        <v>56</v>
      </c>
      <c r="F1996" s="30">
        <v>45657</v>
      </c>
      <c r="G1996" t="s">
        <v>2223</v>
      </c>
      <c r="H1996" t="s">
        <v>4476</v>
      </c>
      <c r="I1996">
        <v>7</v>
      </c>
      <c r="J1996">
        <v>7.5100002288818359</v>
      </c>
      <c r="O1996">
        <v>9</v>
      </c>
      <c r="P1996">
        <v>26</v>
      </c>
      <c r="Q1996">
        <v>2938</v>
      </c>
      <c r="R1996">
        <v>0</v>
      </c>
      <c r="W1996">
        <v>22320</v>
      </c>
    </row>
    <row r="1997" spans="1:71" x14ac:dyDescent="0.3">
      <c r="A1997">
        <v>428</v>
      </c>
      <c r="B1997" t="s">
        <v>2219</v>
      </c>
      <c r="C1997" t="s">
        <v>251</v>
      </c>
      <c r="D1997" t="s">
        <v>39</v>
      </c>
      <c r="E1997" t="s">
        <v>56</v>
      </c>
      <c r="F1997" s="30">
        <v>45657</v>
      </c>
      <c r="G1997" t="s">
        <v>2223</v>
      </c>
      <c r="H1997" t="s">
        <v>4478</v>
      </c>
      <c r="I1997">
        <v>1</v>
      </c>
      <c r="J1997">
        <v>110.80999755859381</v>
      </c>
      <c r="O1997">
        <v>10</v>
      </c>
      <c r="P1997">
        <v>10</v>
      </c>
      <c r="Q1997">
        <v>48</v>
      </c>
      <c r="R1997">
        <v>0</v>
      </c>
      <c r="W1997">
        <v>7535</v>
      </c>
    </row>
    <row r="1998" spans="1:71" x14ac:dyDescent="0.3">
      <c r="A1998">
        <v>428</v>
      </c>
      <c r="B1998" t="s">
        <v>2219</v>
      </c>
      <c r="C1998" t="s">
        <v>251</v>
      </c>
      <c r="D1998" t="s">
        <v>39</v>
      </c>
      <c r="E1998" t="s">
        <v>56</v>
      </c>
      <c r="F1998" s="30">
        <v>45657</v>
      </c>
      <c r="G1998" t="s">
        <v>2223</v>
      </c>
      <c r="H1998" t="s">
        <v>4469</v>
      </c>
      <c r="I1998">
        <v>11</v>
      </c>
      <c r="J1998">
        <v>11.77000045776367</v>
      </c>
      <c r="O1998">
        <v>374</v>
      </c>
      <c r="P1998">
        <v>922</v>
      </c>
      <c r="Q1998">
        <v>10413</v>
      </c>
      <c r="R1998">
        <v>5</v>
      </c>
      <c r="W1998">
        <v>137838</v>
      </c>
    </row>
    <row r="1999" spans="1:71" x14ac:dyDescent="0.3">
      <c r="A1999">
        <v>429</v>
      </c>
      <c r="B1999" t="s">
        <v>2226</v>
      </c>
      <c r="C1999" t="s">
        <v>251</v>
      </c>
      <c r="D1999" t="s">
        <v>39</v>
      </c>
      <c r="E1999" t="s">
        <v>56</v>
      </c>
      <c r="F1999" s="30">
        <v>45657</v>
      </c>
      <c r="G1999" t="s">
        <v>2230</v>
      </c>
      <c r="H1999" t="s">
        <v>4468</v>
      </c>
      <c r="I1999">
        <v>0.4</v>
      </c>
      <c r="J1999">
        <v>1.0399999618530269</v>
      </c>
      <c r="O1999">
        <v>2232</v>
      </c>
      <c r="P1999">
        <v>2683</v>
      </c>
      <c r="Q1999">
        <v>13824</v>
      </c>
      <c r="R1999">
        <v>0</v>
      </c>
      <c r="AA1999">
        <v>5972</v>
      </c>
      <c r="AB1999">
        <v>13600</v>
      </c>
    </row>
    <row r="2000" spans="1:71" x14ac:dyDescent="0.3">
      <c r="A2000">
        <v>429</v>
      </c>
      <c r="B2000" t="s">
        <v>2226</v>
      </c>
      <c r="C2000" t="s">
        <v>251</v>
      </c>
      <c r="D2000" t="s">
        <v>39</v>
      </c>
      <c r="E2000" t="s">
        <v>56</v>
      </c>
      <c r="F2000" s="30">
        <v>45657</v>
      </c>
      <c r="G2000" t="s">
        <v>2230</v>
      </c>
      <c r="H2000" t="s">
        <v>4477</v>
      </c>
      <c r="I2000">
        <v>0.76</v>
      </c>
      <c r="J2000">
        <v>0</v>
      </c>
      <c r="O2000">
        <v>66</v>
      </c>
      <c r="P2000">
        <v>71</v>
      </c>
      <c r="Q2000">
        <v>135</v>
      </c>
      <c r="R2000">
        <v>0</v>
      </c>
      <c r="AA2000">
        <v>0</v>
      </c>
      <c r="AB2000">
        <v>0</v>
      </c>
    </row>
    <row r="2001" spans="1:76" x14ac:dyDescent="0.3">
      <c r="A2001">
        <v>429</v>
      </c>
      <c r="B2001" t="s">
        <v>2226</v>
      </c>
      <c r="C2001" t="s">
        <v>251</v>
      </c>
      <c r="D2001" t="s">
        <v>39</v>
      </c>
      <c r="E2001" t="s">
        <v>56</v>
      </c>
      <c r="F2001" s="30">
        <v>45657</v>
      </c>
      <c r="G2001" t="s">
        <v>2230</v>
      </c>
      <c r="H2001" t="s">
        <v>4469</v>
      </c>
      <c r="I2001">
        <v>0.41</v>
      </c>
      <c r="J2001">
        <v>0.30000001192092901</v>
      </c>
      <c r="O2001">
        <v>374</v>
      </c>
      <c r="P2001">
        <v>922</v>
      </c>
      <c r="Q2001">
        <v>10413</v>
      </c>
      <c r="R2001">
        <v>5</v>
      </c>
      <c r="AA2001">
        <v>582.32000000000005</v>
      </c>
      <c r="AB2001">
        <v>2879.8</v>
      </c>
    </row>
    <row r="2002" spans="1:76" x14ac:dyDescent="0.3">
      <c r="A2002">
        <v>429</v>
      </c>
      <c r="B2002" t="s">
        <v>2226</v>
      </c>
      <c r="C2002" t="s">
        <v>251</v>
      </c>
      <c r="D2002" t="s">
        <v>39</v>
      </c>
      <c r="E2002" t="s">
        <v>56</v>
      </c>
      <c r="F2002" s="30">
        <v>45657</v>
      </c>
      <c r="G2002" t="s">
        <v>2230</v>
      </c>
      <c r="H2002" t="s">
        <v>4476</v>
      </c>
      <c r="I2002">
        <v>0.76</v>
      </c>
      <c r="J2002">
        <v>0</v>
      </c>
      <c r="O2002">
        <v>9</v>
      </c>
      <c r="P2002">
        <v>26</v>
      </c>
      <c r="Q2002">
        <v>2938</v>
      </c>
      <c r="R2002">
        <v>0</v>
      </c>
      <c r="AA2002">
        <v>0</v>
      </c>
      <c r="AB2002">
        <v>0</v>
      </c>
    </row>
    <row r="2003" spans="1:76" x14ac:dyDescent="0.3">
      <c r="A2003">
        <v>429</v>
      </c>
      <c r="B2003" t="s">
        <v>2226</v>
      </c>
      <c r="C2003" t="s">
        <v>251</v>
      </c>
      <c r="D2003" t="s">
        <v>39</v>
      </c>
      <c r="E2003" t="s">
        <v>56</v>
      </c>
      <c r="F2003" s="30">
        <v>45657</v>
      </c>
      <c r="G2003" t="s">
        <v>2230</v>
      </c>
      <c r="H2003" t="s">
        <v>4478</v>
      </c>
      <c r="I2003">
        <v>0.76</v>
      </c>
      <c r="J2003">
        <v>0.88999998569488525</v>
      </c>
      <c r="O2003">
        <v>10</v>
      </c>
      <c r="P2003">
        <v>10</v>
      </c>
      <c r="Q2003">
        <v>48</v>
      </c>
      <c r="R2003">
        <v>0</v>
      </c>
      <c r="AA2003">
        <v>13.07</v>
      </c>
      <c r="AB2003">
        <v>47.63</v>
      </c>
    </row>
    <row r="2004" spans="1:76" x14ac:dyDescent="0.3">
      <c r="A2004">
        <v>429</v>
      </c>
      <c r="B2004" t="s">
        <v>2226</v>
      </c>
      <c r="C2004" t="s">
        <v>251</v>
      </c>
      <c r="D2004" t="s">
        <v>39</v>
      </c>
      <c r="E2004" t="s">
        <v>56</v>
      </c>
      <c r="F2004" s="30">
        <v>45657</v>
      </c>
      <c r="G2004" t="s">
        <v>2230</v>
      </c>
      <c r="H2004" t="s">
        <v>4470</v>
      </c>
      <c r="I2004">
        <v>0.38</v>
      </c>
      <c r="J2004">
        <v>0.44999998807907099</v>
      </c>
      <c r="O2004">
        <v>477</v>
      </c>
      <c r="P2004">
        <v>24</v>
      </c>
      <c r="Q2004">
        <v>8635</v>
      </c>
      <c r="R2004">
        <v>2925</v>
      </c>
      <c r="AA2004">
        <v>907.43</v>
      </c>
      <c r="AB2004">
        <v>4562.3599999999997</v>
      </c>
    </row>
    <row r="2005" spans="1:76" x14ac:dyDescent="0.3">
      <c r="A2005">
        <v>433</v>
      </c>
      <c r="B2005" t="s">
        <v>2260</v>
      </c>
      <c r="C2005" t="s">
        <v>251</v>
      </c>
      <c r="D2005" t="s">
        <v>39</v>
      </c>
      <c r="E2005" t="s">
        <v>56</v>
      </c>
      <c r="F2005" s="30">
        <v>45657</v>
      </c>
      <c r="G2005" t="s">
        <v>2264</v>
      </c>
      <c r="H2005" t="s">
        <v>4468</v>
      </c>
      <c r="I2005">
        <v>0.1</v>
      </c>
      <c r="J2005">
        <v>0.27000001072883612</v>
      </c>
      <c r="O2005">
        <v>2232</v>
      </c>
      <c r="P2005">
        <v>2683</v>
      </c>
      <c r="Q2005">
        <v>13824</v>
      </c>
      <c r="R2005">
        <v>0</v>
      </c>
      <c r="BV2005">
        <v>5072.8100000000004</v>
      </c>
    </row>
    <row r="2006" spans="1:76" x14ac:dyDescent="0.3">
      <c r="A2006">
        <v>433</v>
      </c>
      <c r="B2006" t="s">
        <v>2260</v>
      </c>
      <c r="C2006" t="s">
        <v>251</v>
      </c>
      <c r="D2006" t="s">
        <v>39</v>
      </c>
      <c r="E2006" t="s">
        <v>56</v>
      </c>
      <c r="F2006" s="30">
        <v>45657</v>
      </c>
      <c r="G2006" t="s">
        <v>2264</v>
      </c>
      <c r="H2006" t="s">
        <v>4470</v>
      </c>
      <c r="I2006">
        <v>0.05</v>
      </c>
      <c r="J2006">
        <v>3.9999999105930328E-2</v>
      </c>
      <c r="O2006">
        <v>477</v>
      </c>
      <c r="P2006">
        <v>24</v>
      </c>
      <c r="Q2006">
        <v>8635</v>
      </c>
      <c r="R2006">
        <v>2925</v>
      </c>
      <c r="BV2006">
        <v>542.25</v>
      </c>
    </row>
    <row r="2007" spans="1:76" x14ac:dyDescent="0.3">
      <c r="A2007">
        <v>433</v>
      </c>
      <c r="B2007" t="s">
        <v>2260</v>
      </c>
      <c r="C2007" t="s">
        <v>251</v>
      </c>
      <c r="D2007" t="s">
        <v>39</v>
      </c>
      <c r="E2007" t="s">
        <v>56</v>
      </c>
      <c r="F2007" s="30">
        <v>45657</v>
      </c>
      <c r="G2007" t="s">
        <v>2264</v>
      </c>
      <c r="H2007" t="s">
        <v>4477</v>
      </c>
      <c r="I2007">
        <v>0.05</v>
      </c>
      <c r="J2007">
        <v>0</v>
      </c>
      <c r="O2007">
        <v>66</v>
      </c>
      <c r="P2007">
        <v>71</v>
      </c>
      <c r="Q2007">
        <v>135</v>
      </c>
      <c r="R2007">
        <v>0</v>
      </c>
      <c r="BV2007">
        <v>0</v>
      </c>
    </row>
    <row r="2008" spans="1:76" x14ac:dyDescent="0.3">
      <c r="A2008">
        <v>433</v>
      </c>
      <c r="B2008" t="s">
        <v>2260</v>
      </c>
      <c r="C2008" t="s">
        <v>251</v>
      </c>
      <c r="D2008" t="s">
        <v>39</v>
      </c>
      <c r="E2008" t="s">
        <v>56</v>
      </c>
      <c r="F2008" s="30">
        <v>45657</v>
      </c>
      <c r="G2008" t="s">
        <v>2264</v>
      </c>
      <c r="H2008" t="s">
        <v>4469</v>
      </c>
      <c r="I2008">
        <v>0.05</v>
      </c>
      <c r="J2008">
        <v>5.9999998658895493E-2</v>
      </c>
      <c r="O2008">
        <v>374</v>
      </c>
      <c r="P2008">
        <v>922</v>
      </c>
      <c r="Q2008">
        <v>10413</v>
      </c>
      <c r="R2008">
        <v>5</v>
      </c>
      <c r="BV2008">
        <v>714.5</v>
      </c>
    </row>
    <row r="2009" spans="1:76" x14ac:dyDescent="0.3">
      <c r="A2009">
        <v>433</v>
      </c>
      <c r="B2009" t="s">
        <v>2260</v>
      </c>
      <c r="C2009" t="s">
        <v>251</v>
      </c>
      <c r="D2009" t="s">
        <v>39</v>
      </c>
      <c r="E2009" t="s">
        <v>56</v>
      </c>
      <c r="F2009" s="30">
        <v>45657</v>
      </c>
      <c r="G2009" t="s">
        <v>2264</v>
      </c>
      <c r="H2009" t="s">
        <v>4478</v>
      </c>
      <c r="I2009">
        <v>0.05</v>
      </c>
      <c r="J2009">
        <v>0</v>
      </c>
      <c r="O2009">
        <v>10</v>
      </c>
      <c r="P2009">
        <v>10</v>
      </c>
      <c r="Q2009">
        <v>48</v>
      </c>
      <c r="R2009">
        <v>0</v>
      </c>
      <c r="BV2009">
        <v>0</v>
      </c>
    </row>
    <row r="2010" spans="1:76" x14ac:dyDescent="0.3">
      <c r="A2010">
        <v>433</v>
      </c>
      <c r="B2010" t="s">
        <v>2260</v>
      </c>
      <c r="C2010" t="s">
        <v>251</v>
      </c>
      <c r="D2010" t="s">
        <v>39</v>
      </c>
      <c r="E2010" t="s">
        <v>56</v>
      </c>
      <c r="F2010" s="30">
        <v>45657</v>
      </c>
      <c r="G2010" t="s">
        <v>2264</v>
      </c>
      <c r="H2010" t="s">
        <v>4476</v>
      </c>
      <c r="I2010">
        <v>0.05</v>
      </c>
      <c r="O2010">
        <v>9</v>
      </c>
      <c r="P2010">
        <v>26</v>
      </c>
      <c r="Q2010">
        <v>2938</v>
      </c>
      <c r="R2010">
        <v>0</v>
      </c>
      <c r="BV2010">
        <v>1.02</v>
      </c>
    </row>
    <row r="2011" spans="1:76" x14ac:dyDescent="0.3">
      <c r="A2011">
        <v>435</v>
      </c>
      <c r="B2011" t="s">
        <v>2304</v>
      </c>
      <c r="C2011" t="s">
        <v>251</v>
      </c>
      <c r="D2011" t="s">
        <v>39</v>
      </c>
      <c r="E2011" t="s">
        <v>22</v>
      </c>
      <c r="F2011" s="30">
        <v>45657</v>
      </c>
      <c r="G2011" t="s">
        <v>2308</v>
      </c>
      <c r="H2011" t="s">
        <v>4468</v>
      </c>
      <c r="I2011">
        <v>100</v>
      </c>
      <c r="J2011">
        <v>-80</v>
      </c>
      <c r="BW2011">
        <v>0.15</v>
      </c>
      <c r="BX2011">
        <v>0.27</v>
      </c>
    </row>
    <row r="2012" spans="1:76" x14ac:dyDescent="0.3">
      <c r="A2012">
        <v>435</v>
      </c>
      <c r="B2012" t="s">
        <v>2304</v>
      </c>
      <c r="C2012" t="s">
        <v>251</v>
      </c>
      <c r="D2012" t="s">
        <v>39</v>
      </c>
      <c r="E2012" t="s">
        <v>22</v>
      </c>
      <c r="F2012" s="30">
        <v>45657</v>
      </c>
      <c r="G2012" t="s">
        <v>2308</v>
      </c>
      <c r="H2012" t="s">
        <v>4470</v>
      </c>
      <c r="I2012">
        <v>100</v>
      </c>
      <c r="J2012">
        <v>-33.330001831054688</v>
      </c>
      <c r="BW2012">
        <v>0.03</v>
      </c>
      <c r="BX2012">
        <v>0.04</v>
      </c>
    </row>
    <row r="2013" spans="1:76" x14ac:dyDescent="0.3">
      <c r="A2013">
        <v>435</v>
      </c>
      <c r="B2013" t="s">
        <v>2304</v>
      </c>
      <c r="C2013" t="s">
        <v>251</v>
      </c>
      <c r="D2013" t="s">
        <v>39</v>
      </c>
      <c r="E2013" t="s">
        <v>22</v>
      </c>
      <c r="F2013" s="30">
        <v>45657</v>
      </c>
      <c r="G2013" t="s">
        <v>2308</v>
      </c>
      <c r="H2013" t="s">
        <v>4477</v>
      </c>
      <c r="I2013">
        <v>100</v>
      </c>
      <c r="J2013">
        <v>0</v>
      </c>
      <c r="BW2013">
        <v>0</v>
      </c>
      <c r="BX2013">
        <v>0</v>
      </c>
    </row>
    <row r="2014" spans="1:76" x14ac:dyDescent="0.3">
      <c r="A2014">
        <v>435</v>
      </c>
      <c r="B2014" t="s">
        <v>2304</v>
      </c>
      <c r="C2014" t="s">
        <v>251</v>
      </c>
      <c r="D2014" t="s">
        <v>39</v>
      </c>
      <c r="E2014" t="s">
        <v>22</v>
      </c>
      <c r="F2014" s="30">
        <v>45657</v>
      </c>
      <c r="G2014" t="s">
        <v>2308</v>
      </c>
      <c r="H2014" t="s">
        <v>4469</v>
      </c>
      <c r="I2014">
        <v>100</v>
      </c>
      <c r="J2014">
        <v>0</v>
      </c>
      <c r="BW2014">
        <v>0</v>
      </c>
      <c r="BX2014">
        <v>0.06</v>
      </c>
    </row>
    <row r="2015" spans="1:76" x14ac:dyDescent="0.3">
      <c r="A2015">
        <v>435</v>
      </c>
      <c r="B2015" t="s">
        <v>2304</v>
      </c>
      <c r="C2015" t="s">
        <v>251</v>
      </c>
      <c r="D2015" t="s">
        <v>39</v>
      </c>
      <c r="E2015" t="s">
        <v>22</v>
      </c>
      <c r="F2015" s="30">
        <v>45657</v>
      </c>
      <c r="G2015" t="s">
        <v>2308</v>
      </c>
      <c r="H2015" t="s">
        <v>4476</v>
      </c>
      <c r="I2015">
        <v>100</v>
      </c>
      <c r="J2015">
        <v>100</v>
      </c>
      <c r="BW2015">
        <v>1.1000000000000001</v>
      </c>
      <c r="BX2015">
        <v>0</v>
      </c>
    </row>
    <row r="2016" spans="1:76" x14ac:dyDescent="0.3">
      <c r="A2016">
        <v>435</v>
      </c>
      <c r="B2016" t="s">
        <v>2304</v>
      </c>
      <c r="C2016" t="s">
        <v>251</v>
      </c>
      <c r="D2016" t="s">
        <v>39</v>
      </c>
      <c r="E2016" t="s">
        <v>22</v>
      </c>
      <c r="F2016" s="30">
        <v>45657</v>
      </c>
      <c r="G2016" t="s">
        <v>2308</v>
      </c>
      <c r="H2016" t="s">
        <v>4478</v>
      </c>
      <c r="I2016">
        <v>100</v>
      </c>
      <c r="J2016">
        <v>0</v>
      </c>
      <c r="BW2016">
        <v>0</v>
      </c>
      <c r="BX2016">
        <v>0</v>
      </c>
    </row>
    <row r="2017" spans="1:120" x14ac:dyDescent="0.3">
      <c r="A2017">
        <v>440</v>
      </c>
      <c r="B2017" t="s">
        <v>2361</v>
      </c>
      <c r="C2017" t="s">
        <v>1801</v>
      </c>
      <c r="D2017" t="s">
        <v>39</v>
      </c>
      <c r="E2017" t="s">
        <v>22</v>
      </c>
      <c r="F2017" s="30">
        <v>45657</v>
      </c>
      <c r="G2017" t="s">
        <v>2365</v>
      </c>
      <c r="H2017" t="s">
        <v>4499</v>
      </c>
      <c r="I2017">
        <v>98</v>
      </c>
      <c r="J2017">
        <v>99.25</v>
      </c>
      <c r="DA2017">
        <v>40471</v>
      </c>
      <c r="DB2017">
        <v>40775</v>
      </c>
    </row>
    <row r="2018" spans="1:120" x14ac:dyDescent="0.3">
      <c r="A2018">
        <v>440</v>
      </c>
      <c r="B2018" t="s">
        <v>2361</v>
      </c>
      <c r="C2018" t="s">
        <v>1801</v>
      </c>
      <c r="D2018" t="s">
        <v>39</v>
      </c>
      <c r="E2018" t="s">
        <v>22</v>
      </c>
      <c r="F2018" s="30">
        <v>45657</v>
      </c>
      <c r="G2018" t="s">
        <v>2365</v>
      </c>
      <c r="H2018" t="s">
        <v>4500</v>
      </c>
      <c r="I2018">
        <v>98</v>
      </c>
      <c r="J2018">
        <v>99.019996643066406</v>
      </c>
      <c r="DA2018">
        <v>3025</v>
      </c>
      <c r="DB2018">
        <v>3055</v>
      </c>
    </row>
    <row r="2019" spans="1:120" x14ac:dyDescent="0.3">
      <c r="A2019">
        <v>473</v>
      </c>
      <c r="B2019" t="s">
        <v>2488</v>
      </c>
      <c r="C2019" t="s">
        <v>1234</v>
      </c>
      <c r="D2019" t="s">
        <v>39</v>
      </c>
      <c r="E2019" t="s">
        <v>22</v>
      </c>
      <c r="F2019" s="30">
        <v>45657</v>
      </c>
      <c r="G2019" t="s">
        <v>2489</v>
      </c>
      <c r="H2019" t="s">
        <v>4645</v>
      </c>
      <c r="I2019">
        <v>100</v>
      </c>
      <c r="J2019">
        <v>100</v>
      </c>
      <c r="DM2019">
        <v>4</v>
      </c>
      <c r="DN2019">
        <v>4</v>
      </c>
    </row>
    <row r="2020" spans="1:120" x14ac:dyDescent="0.3">
      <c r="A2020">
        <v>473</v>
      </c>
      <c r="B2020" t="s">
        <v>2488</v>
      </c>
      <c r="C2020" t="s">
        <v>1234</v>
      </c>
      <c r="D2020" t="s">
        <v>39</v>
      </c>
      <c r="E2020" t="s">
        <v>22</v>
      </c>
      <c r="F2020" s="30">
        <v>45657</v>
      </c>
      <c r="G2020" t="s">
        <v>2489</v>
      </c>
      <c r="H2020" t="s">
        <v>4635</v>
      </c>
      <c r="I2020">
        <v>100</v>
      </c>
      <c r="J2020">
        <v>100</v>
      </c>
      <c r="DM2020">
        <v>3</v>
      </c>
      <c r="DN2020">
        <v>3</v>
      </c>
    </row>
    <row r="2021" spans="1:120" x14ac:dyDescent="0.3">
      <c r="A2021">
        <v>473</v>
      </c>
      <c r="B2021" t="s">
        <v>2488</v>
      </c>
      <c r="C2021" t="s">
        <v>1234</v>
      </c>
      <c r="D2021" t="s">
        <v>39</v>
      </c>
      <c r="E2021" t="s">
        <v>22</v>
      </c>
      <c r="F2021" s="30">
        <v>45657</v>
      </c>
      <c r="G2021" t="s">
        <v>2489</v>
      </c>
      <c r="H2021" t="s">
        <v>4634</v>
      </c>
      <c r="I2021">
        <v>100</v>
      </c>
      <c r="J2021">
        <v>100</v>
      </c>
      <c r="DM2021">
        <v>10</v>
      </c>
      <c r="DN2021">
        <v>10</v>
      </c>
    </row>
    <row r="2022" spans="1:120" x14ac:dyDescent="0.3">
      <c r="A2022">
        <v>474</v>
      </c>
      <c r="B2022" t="s">
        <v>2494</v>
      </c>
      <c r="C2022" t="s">
        <v>1969</v>
      </c>
      <c r="D2022" t="s">
        <v>39</v>
      </c>
      <c r="E2022" t="s">
        <v>22</v>
      </c>
      <c r="F2022" s="30">
        <v>45657</v>
      </c>
      <c r="G2022" t="s">
        <v>2495</v>
      </c>
      <c r="H2022" t="s">
        <v>4514</v>
      </c>
      <c r="I2022">
        <v>100</v>
      </c>
      <c r="J2022">
        <v>100</v>
      </c>
      <c r="DO2022">
        <v>1</v>
      </c>
      <c r="DP2022">
        <v>1</v>
      </c>
    </row>
    <row r="2023" spans="1:120" x14ac:dyDescent="0.3">
      <c r="A2023">
        <v>474</v>
      </c>
      <c r="B2023" t="s">
        <v>2494</v>
      </c>
      <c r="C2023" t="s">
        <v>1969</v>
      </c>
      <c r="D2023" t="s">
        <v>39</v>
      </c>
      <c r="E2023" t="s">
        <v>22</v>
      </c>
      <c r="F2023" s="30">
        <v>45657</v>
      </c>
      <c r="G2023" t="s">
        <v>2495</v>
      </c>
      <c r="H2023" t="s">
        <v>4515</v>
      </c>
      <c r="I2023">
        <v>100</v>
      </c>
      <c r="J2023">
        <v>0</v>
      </c>
      <c r="DO2023">
        <v>0</v>
      </c>
      <c r="DP2023">
        <v>0</v>
      </c>
    </row>
    <row r="2024" spans="1:120" x14ac:dyDescent="0.3">
      <c r="A2024">
        <v>474</v>
      </c>
      <c r="B2024" t="s">
        <v>2494</v>
      </c>
      <c r="C2024" t="s">
        <v>1969</v>
      </c>
      <c r="D2024" t="s">
        <v>39</v>
      </c>
      <c r="E2024" t="s">
        <v>22</v>
      </c>
      <c r="F2024" s="30">
        <v>45657</v>
      </c>
      <c r="G2024" t="s">
        <v>2495</v>
      </c>
      <c r="H2024" t="s">
        <v>4516</v>
      </c>
      <c r="I2024">
        <v>100</v>
      </c>
      <c r="J2024">
        <v>0</v>
      </c>
      <c r="DO2024">
        <v>0</v>
      </c>
      <c r="DP2024">
        <v>0</v>
      </c>
    </row>
    <row r="2025" spans="1:120" x14ac:dyDescent="0.3">
      <c r="A2025">
        <v>474</v>
      </c>
      <c r="B2025" t="s">
        <v>2494</v>
      </c>
      <c r="C2025" t="s">
        <v>1969</v>
      </c>
      <c r="D2025" t="s">
        <v>39</v>
      </c>
      <c r="E2025" t="s">
        <v>22</v>
      </c>
      <c r="F2025" s="30">
        <v>45657</v>
      </c>
      <c r="G2025" t="s">
        <v>2495</v>
      </c>
      <c r="H2025" t="s">
        <v>4517</v>
      </c>
      <c r="I2025">
        <v>100</v>
      </c>
      <c r="J2025">
        <v>100</v>
      </c>
      <c r="DO2025">
        <v>1</v>
      </c>
      <c r="DP2025">
        <v>1</v>
      </c>
    </row>
    <row r="2026" spans="1:120" x14ac:dyDescent="0.3">
      <c r="A2026">
        <v>474</v>
      </c>
      <c r="B2026" t="s">
        <v>2494</v>
      </c>
      <c r="C2026" t="s">
        <v>1969</v>
      </c>
      <c r="D2026" t="s">
        <v>39</v>
      </c>
      <c r="E2026" t="s">
        <v>22</v>
      </c>
      <c r="F2026" s="30">
        <v>45657</v>
      </c>
      <c r="G2026" t="s">
        <v>2495</v>
      </c>
      <c r="H2026" t="s">
        <v>4518</v>
      </c>
      <c r="I2026">
        <v>100</v>
      </c>
      <c r="J2026">
        <v>0</v>
      </c>
      <c r="DO2026">
        <v>0</v>
      </c>
      <c r="DP2026">
        <v>0</v>
      </c>
    </row>
    <row r="2027" spans="1:120" x14ac:dyDescent="0.3">
      <c r="A2027">
        <v>474</v>
      </c>
      <c r="B2027" t="s">
        <v>2494</v>
      </c>
      <c r="C2027" t="s">
        <v>1969</v>
      </c>
      <c r="D2027" t="s">
        <v>39</v>
      </c>
      <c r="E2027" t="s">
        <v>22</v>
      </c>
      <c r="F2027" s="30">
        <v>45657</v>
      </c>
      <c r="G2027" t="s">
        <v>2495</v>
      </c>
      <c r="H2027" t="s">
        <v>4519</v>
      </c>
      <c r="I2027">
        <v>100</v>
      </c>
      <c r="J2027">
        <v>100</v>
      </c>
      <c r="DO2027">
        <v>1</v>
      </c>
      <c r="DP2027">
        <v>1</v>
      </c>
    </row>
    <row r="2028" spans="1:120" x14ac:dyDescent="0.3">
      <c r="A2028">
        <v>474</v>
      </c>
      <c r="B2028" t="s">
        <v>2494</v>
      </c>
      <c r="C2028" t="s">
        <v>1969</v>
      </c>
      <c r="D2028" t="s">
        <v>39</v>
      </c>
      <c r="E2028" t="s">
        <v>22</v>
      </c>
      <c r="F2028" s="30">
        <v>45657</v>
      </c>
      <c r="G2028" t="s">
        <v>2495</v>
      </c>
      <c r="H2028" t="s">
        <v>4520</v>
      </c>
      <c r="I2028">
        <v>100</v>
      </c>
      <c r="J2028">
        <v>0</v>
      </c>
      <c r="DO2028">
        <v>0</v>
      </c>
      <c r="DP2028">
        <v>0</v>
      </c>
    </row>
    <row r="2029" spans="1:120" x14ac:dyDescent="0.3">
      <c r="A2029">
        <v>474</v>
      </c>
      <c r="B2029" t="s">
        <v>2494</v>
      </c>
      <c r="C2029" t="s">
        <v>1969</v>
      </c>
      <c r="D2029" t="s">
        <v>39</v>
      </c>
      <c r="E2029" t="s">
        <v>22</v>
      </c>
      <c r="F2029" s="30">
        <v>45657</v>
      </c>
      <c r="G2029" t="s">
        <v>2495</v>
      </c>
      <c r="H2029" t="s">
        <v>4521</v>
      </c>
      <c r="I2029">
        <v>100</v>
      </c>
      <c r="J2029">
        <v>100</v>
      </c>
      <c r="DO2029">
        <v>1</v>
      </c>
      <c r="DP2029">
        <v>1</v>
      </c>
    </row>
    <row r="2030" spans="1:120" x14ac:dyDescent="0.3">
      <c r="A2030">
        <v>474</v>
      </c>
      <c r="B2030" t="s">
        <v>2494</v>
      </c>
      <c r="C2030" t="s">
        <v>1969</v>
      </c>
      <c r="D2030" t="s">
        <v>39</v>
      </c>
      <c r="E2030" t="s">
        <v>22</v>
      </c>
      <c r="F2030" s="30">
        <v>45657</v>
      </c>
      <c r="G2030" t="s">
        <v>2495</v>
      </c>
      <c r="H2030" t="s">
        <v>4522</v>
      </c>
      <c r="I2030">
        <v>100</v>
      </c>
      <c r="J2030">
        <v>0</v>
      </c>
      <c r="DO2030">
        <v>0</v>
      </c>
      <c r="DP2030">
        <v>0</v>
      </c>
    </row>
    <row r="2031" spans="1:120" x14ac:dyDescent="0.3">
      <c r="A2031">
        <v>474</v>
      </c>
      <c r="B2031" t="s">
        <v>2494</v>
      </c>
      <c r="C2031" t="s">
        <v>1969</v>
      </c>
      <c r="D2031" t="s">
        <v>39</v>
      </c>
      <c r="E2031" t="s">
        <v>22</v>
      </c>
      <c r="F2031" s="30">
        <v>45657</v>
      </c>
      <c r="G2031" t="s">
        <v>2495</v>
      </c>
      <c r="H2031" t="s">
        <v>4523</v>
      </c>
      <c r="I2031">
        <v>100</v>
      </c>
      <c r="J2031">
        <v>100</v>
      </c>
      <c r="DO2031">
        <v>2</v>
      </c>
      <c r="DP2031">
        <v>2</v>
      </c>
    </row>
    <row r="2032" spans="1:120" x14ac:dyDescent="0.3">
      <c r="A2032">
        <v>474</v>
      </c>
      <c r="B2032" t="s">
        <v>2494</v>
      </c>
      <c r="C2032" t="s">
        <v>1969</v>
      </c>
      <c r="D2032" t="s">
        <v>39</v>
      </c>
      <c r="E2032" t="s">
        <v>22</v>
      </c>
      <c r="F2032" s="30">
        <v>45657</v>
      </c>
      <c r="G2032" t="s">
        <v>2495</v>
      </c>
      <c r="H2032" t="s">
        <v>4524</v>
      </c>
      <c r="I2032">
        <v>100</v>
      </c>
      <c r="J2032">
        <v>0</v>
      </c>
      <c r="DO2032">
        <v>0</v>
      </c>
      <c r="DP2032">
        <v>0</v>
      </c>
    </row>
    <row r="2033" spans="1:128" x14ac:dyDescent="0.3">
      <c r="A2033">
        <v>474</v>
      </c>
      <c r="B2033" t="s">
        <v>2494</v>
      </c>
      <c r="C2033" t="s">
        <v>1969</v>
      </c>
      <c r="D2033" t="s">
        <v>39</v>
      </c>
      <c r="E2033" t="s">
        <v>22</v>
      </c>
      <c r="F2033" s="30">
        <v>45657</v>
      </c>
      <c r="G2033" t="s">
        <v>2495</v>
      </c>
      <c r="H2033" t="s">
        <v>4525</v>
      </c>
      <c r="I2033">
        <v>100</v>
      </c>
      <c r="J2033">
        <v>100</v>
      </c>
      <c r="DO2033">
        <v>4</v>
      </c>
      <c r="DP2033">
        <v>4</v>
      </c>
    </row>
    <row r="2034" spans="1:128" x14ac:dyDescent="0.3">
      <c r="A2034">
        <v>476</v>
      </c>
      <c r="B2034" t="s">
        <v>2499</v>
      </c>
      <c r="C2034" t="s">
        <v>1234</v>
      </c>
      <c r="D2034" t="s">
        <v>39</v>
      </c>
      <c r="E2034" t="s">
        <v>22</v>
      </c>
      <c r="F2034" s="30">
        <v>45657</v>
      </c>
      <c r="G2034" t="s">
        <v>2501</v>
      </c>
      <c r="H2034" t="s">
        <v>4645</v>
      </c>
      <c r="I2034">
        <v>100</v>
      </c>
      <c r="J2034">
        <v>100</v>
      </c>
      <c r="DQ2034">
        <v>2</v>
      </c>
      <c r="DR2034">
        <v>2</v>
      </c>
    </row>
    <row r="2035" spans="1:128" x14ac:dyDescent="0.3">
      <c r="A2035">
        <v>476</v>
      </c>
      <c r="B2035" t="s">
        <v>2499</v>
      </c>
      <c r="C2035" t="s">
        <v>1234</v>
      </c>
      <c r="D2035" t="s">
        <v>39</v>
      </c>
      <c r="E2035" t="s">
        <v>22</v>
      </c>
      <c r="F2035" s="30">
        <v>45657</v>
      </c>
      <c r="G2035" t="s">
        <v>2501</v>
      </c>
      <c r="H2035" t="s">
        <v>4634</v>
      </c>
      <c r="I2035">
        <v>100</v>
      </c>
      <c r="J2035">
        <v>100</v>
      </c>
      <c r="DQ2035">
        <v>10</v>
      </c>
      <c r="DR2035">
        <v>10</v>
      </c>
    </row>
    <row r="2036" spans="1:128" x14ac:dyDescent="0.3">
      <c r="A2036">
        <v>476</v>
      </c>
      <c r="B2036" t="s">
        <v>2499</v>
      </c>
      <c r="C2036" t="s">
        <v>1234</v>
      </c>
      <c r="D2036" t="s">
        <v>39</v>
      </c>
      <c r="E2036" t="s">
        <v>22</v>
      </c>
      <c r="F2036" s="30">
        <v>45657</v>
      </c>
      <c r="G2036" t="s">
        <v>2501</v>
      </c>
      <c r="H2036" t="s">
        <v>4635</v>
      </c>
      <c r="I2036">
        <v>100</v>
      </c>
      <c r="J2036">
        <v>100</v>
      </c>
      <c r="DQ2036">
        <v>3</v>
      </c>
      <c r="DR2036">
        <v>3</v>
      </c>
    </row>
    <row r="2037" spans="1:128" x14ac:dyDescent="0.3">
      <c r="A2037">
        <v>478</v>
      </c>
      <c r="B2037" t="s">
        <v>2507</v>
      </c>
      <c r="C2037" t="s">
        <v>1969</v>
      </c>
      <c r="D2037" t="s">
        <v>39</v>
      </c>
      <c r="E2037" t="s">
        <v>22</v>
      </c>
      <c r="F2037" s="30">
        <v>45657</v>
      </c>
      <c r="G2037" t="s">
        <v>2509</v>
      </c>
      <c r="H2037" t="s">
        <v>4516</v>
      </c>
      <c r="I2037">
        <v>100</v>
      </c>
      <c r="J2037">
        <v>100</v>
      </c>
      <c r="DU2037">
        <v>1</v>
      </c>
      <c r="DV2037">
        <v>1</v>
      </c>
    </row>
    <row r="2038" spans="1:128" x14ac:dyDescent="0.3">
      <c r="A2038">
        <v>479</v>
      </c>
      <c r="B2038" t="s">
        <v>2510</v>
      </c>
      <c r="C2038" t="s">
        <v>1969</v>
      </c>
      <c r="D2038" t="s">
        <v>39</v>
      </c>
      <c r="E2038" t="s">
        <v>22</v>
      </c>
      <c r="F2038" s="30">
        <v>45657</v>
      </c>
      <c r="G2038" t="s">
        <v>2512</v>
      </c>
      <c r="H2038" t="s">
        <v>4514</v>
      </c>
      <c r="I2038">
        <v>100</v>
      </c>
      <c r="J2038">
        <v>100</v>
      </c>
      <c r="DW2038">
        <v>1</v>
      </c>
      <c r="DX2038">
        <v>1</v>
      </c>
    </row>
    <row r="2039" spans="1:128" x14ac:dyDescent="0.3">
      <c r="A2039">
        <v>479</v>
      </c>
      <c r="B2039" t="s">
        <v>2510</v>
      </c>
      <c r="C2039" t="s">
        <v>1969</v>
      </c>
      <c r="D2039" t="s">
        <v>39</v>
      </c>
      <c r="E2039" t="s">
        <v>22</v>
      </c>
      <c r="F2039" s="30">
        <v>45657</v>
      </c>
      <c r="G2039" t="s">
        <v>2512</v>
      </c>
      <c r="H2039" t="s">
        <v>4515</v>
      </c>
      <c r="I2039">
        <v>100</v>
      </c>
      <c r="J2039">
        <v>0</v>
      </c>
      <c r="DW2039">
        <v>0</v>
      </c>
      <c r="DX2039">
        <v>0</v>
      </c>
    </row>
    <row r="2040" spans="1:128" x14ac:dyDescent="0.3">
      <c r="A2040">
        <v>479</v>
      </c>
      <c r="B2040" t="s">
        <v>2510</v>
      </c>
      <c r="C2040" t="s">
        <v>1969</v>
      </c>
      <c r="D2040" t="s">
        <v>39</v>
      </c>
      <c r="E2040" t="s">
        <v>22</v>
      </c>
      <c r="F2040" s="30">
        <v>45657</v>
      </c>
      <c r="G2040" t="s">
        <v>2512</v>
      </c>
      <c r="H2040" t="s">
        <v>4516</v>
      </c>
      <c r="I2040">
        <v>100</v>
      </c>
      <c r="J2040">
        <v>0</v>
      </c>
      <c r="DW2040">
        <v>0</v>
      </c>
      <c r="DX2040">
        <v>0</v>
      </c>
    </row>
    <row r="2041" spans="1:128" x14ac:dyDescent="0.3">
      <c r="A2041">
        <v>479</v>
      </c>
      <c r="B2041" t="s">
        <v>2510</v>
      </c>
      <c r="C2041" t="s">
        <v>1969</v>
      </c>
      <c r="D2041" t="s">
        <v>39</v>
      </c>
      <c r="E2041" t="s">
        <v>22</v>
      </c>
      <c r="F2041" s="30">
        <v>45657</v>
      </c>
      <c r="G2041" t="s">
        <v>2512</v>
      </c>
      <c r="H2041" t="s">
        <v>4517</v>
      </c>
      <c r="I2041">
        <v>100</v>
      </c>
      <c r="J2041">
        <v>100</v>
      </c>
      <c r="DW2041">
        <v>1</v>
      </c>
      <c r="DX2041">
        <v>1</v>
      </c>
    </row>
    <row r="2042" spans="1:128" x14ac:dyDescent="0.3">
      <c r="A2042">
        <v>479</v>
      </c>
      <c r="B2042" t="s">
        <v>2510</v>
      </c>
      <c r="C2042" t="s">
        <v>1969</v>
      </c>
      <c r="D2042" t="s">
        <v>39</v>
      </c>
      <c r="E2042" t="s">
        <v>22</v>
      </c>
      <c r="F2042" s="30">
        <v>45657</v>
      </c>
      <c r="G2042" t="s">
        <v>2512</v>
      </c>
      <c r="H2042" t="s">
        <v>4518</v>
      </c>
      <c r="I2042">
        <v>100</v>
      </c>
      <c r="J2042">
        <v>0</v>
      </c>
      <c r="DW2042">
        <v>0</v>
      </c>
      <c r="DX2042">
        <v>0</v>
      </c>
    </row>
    <row r="2043" spans="1:128" x14ac:dyDescent="0.3">
      <c r="A2043">
        <v>479</v>
      </c>
      <c r="B2043" t="s">
        <v>2510</v>
      </c>
      <c r="C2043" t="s">
        <v>1969</v>
      </c>
      <c r="D2043" t="s">
        <v>39</v>
      </c>
      <c r="E2043" t="s">
        <v>22</v>
      </c>
      <c r="F2043" s="30">
        <v>45657</v>
      </c>
      <c r="G2043" t="s">
        <v>2512</v>
      </c>
      <c r="H2043" t="s">
        <v>4519</v>
      </c>
      <c r="I2043">
        <v>100</v>
      </c>
      <c r="J2043">
        <v>100</v>
      </c>
      <c r="DW2043">
        <v>1</v>
      </c>
      <c r="DX2043">
        <v>1</v>
      </c>
    </row>
    <row r="2044" spans="1:128" x14ac:dyDescent="0.3">
      <c r="A2044">
        <v>479</v>
      </c>
      <c r="B2044" t="s">
        <v>2510</v>
      </c>
      <c r="C2044" t="s">
        <v>1969</v>
      </c>
      <c r="D2044" t="s">
        <v>39</v>
      </c>
      <c r="E2044" t="s">
        <v>22</v>
      </c>
      <c r="F2044" s="30">
        <v>45657</v>
      </c>
      <c r="G2044" t="s">
        <v>2512</v>
      </c>
      <c r="H2044" t="s">
        <v>4520</v>
      </c>
      <c r="I2044">
        <v>100</v>
      </c>
      <c r="J2044">
        <v>0</v>
      </c>
      <c r="DW2044">
        <v>0</v>
      </c>
      <c r="DX2044">
        <v>0</v>
      </c>
    </row>
    <row r="2045" spans="1:128" x14ac:dyDescent="0.3">
      <c r="A2045">
        <v>479</v>
      </c>
      <c r="B2045" t="s">
        <v>2510</v>
      </c>
      <c r="C2045" t="s">
        <v>1969</v>
      </c>
      <c r="D2045" t="s">
        <v>39</v>
      </c>
      <c r="E2045" t="s">
        <v>22</v>
      </c>
      <c r="F2045" s="30">
        <v>45657</v>
      </c>
      <c r="G2045" t="s">
        <v>2512</v>
      </c>
      <c r="H2045" t="s">
        <v>4521</v>
      </c>
      <c r="I2045">
        <v>100</v>
      </c>
      <c r="J2045">
        <v>100</v>
      </c>
      <c r="DW2045">
        <v>1</v>
      </c>
      <c r="DX2045">
        <v>1</v>
      </c>
    </row>
    <row r="2046" spans="1:128" x14ac:dyDescent="0.3">
      <c r="A2046">
        <v>479</v>
      </c>
      <c r="B2046" t="s">
        <v>2510</v>
      </c>
      <c r="C2046" t="s">
        <v>1969</v>
      </c>
      <c r="D2046" t="s">
        <v>39</v>
      </c>
      <c r="E2046" t="s">
        <v>22</v>
      </c>
      <c r="F2046" s="30">
        <v>45657</v>
      </c>
      <c r="G2046" t="s">
        <v>2512</v>
      </c>
      <c r="H2046" t="s">
        <v>4522</v>
      </c>
      <c r="I2046">
        <v>100</v>
      </c>
      <c r="J2046">
        <v>0</v>
      </c>
      <c r="DW2046">
        <v>0</v>
      </c>
      <c r="DX2046">
        <v>0</v>
      </c>
    </row>
    <row r="2047" spans="1:128" x14ac:dyDescent="0.3">
      <c r="A2047">
        <v>479</v>
      </c>
      <c r="B2047" t="s">
        <v>2510</v>
      </c>
      <c r="C2047" t="s">
        <v>1969</v>
      </c>
      <c r="D2047" t="s">
        <v>39</v>
      </c>
      <c r="E2047" t="s">
        <v>22</v>
      </c>
      <c r="F2047" s="30">
        <v>45657</v>
      </c>
      <c r="G2047" t="s">
        <v>2512</v>
      </c>
      <c r="H2047" t="s">
        <v>4523</v>
      </c>
      <c r="I2047">
        <v>100</v>
      </c>
      <c r="J2047">
        <v>100</v>
      </c>
      <c r="DW2047">
        <v>2</v>
      </c>
      <c r="DX2047">
        <v>2</v>
      </c>
    </row>
    <row r="2048" spans="1:128" x14ac:dyDescent="0.3">
      <c r="A2048">
        <v>479</v>
      </c>
      <c r="B2048" t="s">
        <v>2510</v>
      </c>
      <c r="C2048" t="s">
        <v>1969</v>
      </c>
      <c r="D2048" t="s">
        <v>39</v>
      </c>
      <c r="E2048" t="s">
        <v>22</v>
      </c>
      <c r="F2048" s="30">
        <v>45657</v>
      </c>
      <c r="G2048" t="s">
        <v>2512</v>
      </c>
      <c r="H2048" t="s">
        <v>4524</v>
      </c>
      <c r="I2048">
        <v>100</v>
      </c>
      <c r="J2048">
        <v>0</v>
      </c>
      <c r="DW2048">
        <v>0</v>
      </c>
      <c r="DX2048">
        <v>0</v>
      </c>
    </row>
    <row r="2049" spans="1:139" x14ac:dyDescent="0.3">
      <c r="A2049">
        <v>479</v>
      </c>
      <c r="B2049" t="s">
        <v>2510</v>
      </c>
      <c r="C2049" t="s">
        <v>1969</v>
      </c>
      <c r="D2049" t="s">
        <v>39</v>
      </c>
      <c r="E2049" t="s">
        <v>22</v>
      </c>
      <c r="F2049" s="30">
        <v>45657</v>
      </c>
      <c r="G2049" t="s">
        <v>2512</v>
      </c>
      <c r="H2049" t="s">
        <v>4525</v>
      </c>
      <c r="I2049">
        <v>100</v>
      </c>
      <c r="J2049">
        <v>100</v>
      </c>
      <c r="DW2049">
        <v>4</v>
      </c>
      <c r="DX2049">
        <v>4</v>
      </c>
    </row>
    <row r="2050" spans="1:139" x14ac:dyDescent="0.3">
      <c r="A2050">
        <v>480</v>
      </c>
      <c r="B2050" t="s">
        <v>2513</v>
      </c>
      <c r="C2050" t="s">
        <v>1969</v>
      </c>
      <c r="D2050" t="s">
        <v>39</v>
      </c>
      <c r="E2050" t="s">
        <v>22</v>
      </c>
      <c r="F2050" s="30">
        <v>45657</v>
      </c>
      <c r="G2050" t="s">
        <v>2515</v>
      </c>
      <c r="H2050" t="s">
        <v>4516</v>
      </c>
      <c r="I2050">
        <v>100</v>
      </c>
      <c r="J2050">
        <v>100</v>
      </c>
      <c r="EH2050">
        <v>2</v>
      </c>
      <c r="EI2050">
        <v>2</v>
      </c>
    </row>
    <row r="2051" spans="1:139" x14ac:dyDescent="0.3">
      <c r="A2051">
        <v>213</v>
      </c>
      <c r="B2051" t="s">
        <v>757</v>
      </c>
      <c r="C2051" t="s">
        <v>251</v>
      </c>
      <c r="D2051" t="s">
        <v>21</v>
      </c>
      <c r="E2051" t="s">
        <v>22</v>
      </c>
      <c r="F2051" s="30">
        <v>45657</v>
      </c>
      <c r="G2051" t="s">
        <v>769</v>
      </c>
      <c r="H2051" t="s">
        <v>4487</v>
      </c>
      <c r="I2051">
        <v>90</v>
      </c>
      <c r="J2051">
        <v>100</v>
      </c>
      <c r="AW2051">
        <v>70</v>
      </c>
      <c r="AX2051">
        <v>70</v>
      </c>
    </row>
    <row r="2052" spans="1:139" x14ac:dyDescent="0.3">
      <c r="A2052">
        <v>213</v>
      </c>
      <c r="B2052" t="s">
        <v>757</v>
      </c>
      <c r="C2052" t="s">
        <v>251</v>
      </c>
      <c r="D2052" t="s">
        <v>21</v>
      </c>
      <c r="E2052" t="s">
        <v>22</v>
      </c>
      <c r="F2052" s="30">
        <v>45657</v>
      </c>
      <c r="G2052" t="s">
        <v>769</v>
      </c>
      <c r="H2052" t="s">
        <v>4482</v>
      </c>
      <c r="I2052">
        <v>90</v>
      </c>
      <c r="J2052">
        <v>100</v>
      </c>
      <c r="AW2052">
        <v>18</v>
      </c>
      <c r="AX2052">
        <v>18</v>
      </c>
    </row>
    <row r="2053" spans="1:139" x14ac:dyDescent="0.3">
      <c r="A2053">
        <v>213</v>
      </c>
      <c r="B2053" t="s">
        <v>757</v>
      </c>
      <c r="C2053" t="s">
        <v>251</v>
      </c>
      <c r="D2053" t="s">
        <v>21</v>
      </c>
      <c r="E2053" t="s">
        <v>22</v>
      </c>
      <c r="F2053" s="30">
        <v>45657</v>
      </c>
      <c r="G2053" t="s">
        <v>769</v>
      </c>
      <c r="H2053" t="s">
        <v>4483</v>
      </c>
      <c r="I2053">
        <v>90</v>
      </c>
      <c r="J2053">
        <v>100</v>
      </c>
      <c r="AW2053">
        <v>31</v>
      </c>
      <c r="AX2053">
        <v>31</v>
      </c>
    </row>
    <row r="2054" spans="1:139" x14ac:dyDescent="0.3">
      <c r="A2054">
        <v>213</v>
      </c>
      <c r="B2054" t="s">
        <v>757</v>
      </c>
      <c r="C2054" t="s">
        <v>251</v>
      </c>
      <c r="D2054" t="s">
        <v>21</v>
      </c>
      <c r="E2054" t="s">
        <v>22</v>
      </c>
      <c r="F2054" s="30">
        <v>45657</v>
      </c>
      <c r="G2054" t="s">
        <v>769</v>
      </c>
      <c r="H2054" t="s">
        <v>4484</v>
      </c>
      <c r="I2054">
        <v>90</v>
      </c>
      <c r="J2054">
        <v>100</v>
      </c>
      <c r="AW2054">
        <v>4</v>
      </c>
      <c r="AX2054">
        <v>4</v>
      </c>
    </row>
    <row r="2055" spans="1:139" x14ac:dyDescent="0.3">
      <c r="A2055">
        <v>213</v>
      </c>
      <c r="B2055" t="s">
        <v>757</v>
      </c>
      <c r="C2055" t="s">
        <v>251</v>
      </c>
      <c r="D2055" t="s">
        <v>21</v>
      </c>
      <c r="E2055" t="s">
        <v>22</v>
      </c>
      <c r="F2055" s="30">
        <v>45657</v>
      </c>
      <c r="G2055" t="s">
        <v>769</v>
      </c>
      <c r="H2055" t="s">
        <v>4534</v>
      </c>
      <c r="I2055">
        <v>90</v>
      </c>
      <c r="J2055">
        <v>100</v>
      </c>
      <c r="AW2055">
        <v>3</v>
      </c>
      <c r="AX2055">
        <v>3</v>
      </c>
    </row>
    <row r="2056" spans="1:139" x14ac:dyDescent="0.3">
      <c r="A2056">
        <v>213</v>
      </c>
      <c r="B2056" t="s">
        <v>757</v>
      </c>
      <c r="C2056" t="s">
        <v>251</v>
      </c>
      <c r="D2056" t="s">
        <v>21</v>
      </c>
      <c r="E2056" t="s">
        <v>22</v>
      </c>
      <c r="F2056" s="30">
        <v>45657</v>
      </c>
      <c r="G2056" t="s">
        <v>769</v>
      </c>
      <c r="H2056" t="s">
        <v>4485</v>
      </c>
      <c r="I2056">
        <v>90</v>
      </c>
      <c r="J2056">
        <v>100</v>
      </c>
      <c r="AW2056">
        <v>42</v>
      </c>
      <c r="AX2056">
        <v>42</v>
      </c>
    </row>
    <row r="2057" spans="1:139" x14ac:dyDescent="0.3">
      <c r="A2057">
        <v>213</v>
      </c>
      <c r="B2057" t="s">
        <v>757</v>
      </c>
      <c r="C2057" t="s">
        <v>251</v>
      </c>
      <c r="D2057" t="s">
        <v>21</v>
      </c>
      <c r="E2057" t="s">
        <v>22</v>
      </c>
      <c r="F2057" s="30">
        <v>45657</v>
      </c>
      <c r="G2057" t="s">
        <v>769</v>
      </c>
      <c r="H2057" t="s">
        <v>4486</v>
      </c>
      <c r="I2057">
        <v>90</v>
      </c>
      <c r="J2057">
        <v>100</v>
      </c>
      <c r="AW2057">
        <v>26</v>
      </c>
      <c r="AX2057">
        <v>26</v>
      </c>
    </row>
    <row r="2058" spans="1:139" x14ac:dyDescent="0.3">
      <c r="A2058">
        <v>213</v>
      </c>
      <c r="B2058" t="s">
        <v>757</v>
      </c>
      <c r="C2058" t="s">
        <v>251</v>
      </c>
      <c r="D2058" t="s">
        <v>21</v>
      </c>
      <c r="E2058" t="s">
        <v>22</v>
      </c>
      <c r="F2058" s="30">
        <v>45657</v>
      </c>
      <c r="G2058" t="s">
        <v>769</v>
      </c>
      <c r="H2058" t="s">
        <v>4533</v>
      </c>
      <c r="I2058">
        <v>90</v>
      </c>
      <c r="J2058">
        <v>100</v>
      </c>
      <c r="AW2058">
        <v>9</v>
      </c>
      <c r="AX2058">
        <v>9</v>
      </c>
    </row>
    <row r="2059" spans="1:139" x14ac:dyDescent="0.3">
      <c r="A2059">
        <v>238</v>
      </c>
      <c r="B2059" t="s">
        <v>1077</v>
      </c>
      <c r="C2059" t="s">
        <v>251</v>
      </c>
      <c r="D2059" t="s">
        <v>21</v>
      </c>
      <c r="E2059" t="s">
        <v>22</v>
      </c>
      <c r="F2059" s="30">
        <v>45657</v>
      </c>
      <c r="G2059" t="s">
        <v>1090</v>
      </c>
      <c r="H2059" t="s">
        <v>4488</v>
      </c>
      <c r="I2059">
        <v>90</v>
      </c>
      <c r="J2059">
        <v>100</v>
      </c>
      <c r="AY2059">
        <v>1</v>
      </c>
      <c r="AZ2059">
        <v>1</v>
      </c>
    </row>
    <row r="2060" spans="1:139" x14ac:dyDescent="0.3">
      <c r="A2060">
        <v>238</v>
      </c>
      <c r="B2060" t="s">
        <v>1077</v>
      </c>
      <c r="C2060" t="s">
        <v>251</v>
      </c>
      <c r="D2060" t="s">
        <v>21</v>
      </c>
      <c r="E2060" t="s">
        <v>22</v>
      </c>
      <c r="F2060" s="30">
        <v>45657</v>
      </c>
      <c r="G2060" t="s">
        <v>1090</v>
      </c>
      <c r="H2060" t="s">
        <v>4490</v>
      </c>
      <c r="I2060">
        <v>90</v>
      </c>
      <c r="J2060">
        <v>80</v>
      </c>
      <c r="AY2060">
        <v>4</v>
      </c>
      <c r="AZ2060">
        <v>5</v>
      </c>
    </row>
    <row r="2061" spans="1:139" x14ac:dyDescent="0.3">
      <c r="A2061">
        <v>238</v>
      </c>
      <c r="B2061" t="s">
        <v>1077</v>
      </c>
      <c r="C2061" t="s">
        <v>251</v>
      </c>
      <c r="D2061" t="s">
        <v>21</v>
      </c>
      <c r="E2061" t="s">
        <v>22</v>
      </c>
      <c r="F2061" s="30">
        <v>45657</v>
      </c>
      <c r="G2061" t="s">
        <v>1090</v>
      </c>
      <c r="H2061" t="s">
        <v>4491</v>
      </c>
      <c r="I2061">
        <v>90</v>
      </c>
      <c r="J2061">
        <v>71.430000305175781</v>
      </c>
      <c r="AY2061">
        <v>5</v>
      </c>
      <c r="AZ2061">
        <v>7</v>
      </c>
    </row>
    <row r="2062" spans="1:139" x14ac:dyDescent="0.3">
      <c r="A2062">
        <v>238</v>
      </c>
      <c r="B2062" t="s">
        <v>1077</v>
      </c>
      <c r="C2062" t="s">
        <v>251</v>
      </c>
      <c r="D2062" t="s">
        <v>21</v>
      </c>
      <c r="E2062" t="s">
        <v>22</v>
      </c>
      <c r="F2062" s="30">
        <v>45657</v>
      </c>
      <c r="G2062" t="s">
        <v>1090</v>
      </c>
      <c r="H2062" t="s">
        <v>4535</v>
      </c>
      <c r="I2062">
        <v>90</v>
      </c>
      <c r="J2062">
        <v>100</v>
      </c>
      <c r="AY2062">
        <v>2</v>
      </c>
      <c r="AZ2062">
        <v>2</v>
      </c>
    </row>
    <row r="2063" spans="1:139" x14ac:dyDescent="0.3">
      <c r="A2063">
        <v>238</v>
      </c>
      <c r="B2063" t="s">
        <v>1077</v>
      </c>
      <c r="C2063" t="s">
        <v>251</v>
      </c>
      <c r="D2063" t="s">
        <v>21</v>
      </c>
      <c r="E2063" t="s">
        <v>22</v>
      </c>
      <c r="F2063" s="30">
        <v>45657</v>
      </c>
      <c r="G2063" t="s">
        <v>1090</v>
      </c>
      <c r="H2063" t="s">
        <v>4492</v>
      </c>
      <c r="I2063">
        <v>90</v>
      </c>
      <c r="J2063">
        <v>100</v>
      </c>
      <c r="AY2063">
        <v>3</v>
      </c>
      <c r="AZ2063">
        <v>3</v>
      </c>
    </row>
    <row r="2064" spans="1:139" x14ac:dyDescent="0.3">
      <c r="A2064">
        <v>238</v>
      </c>
      <c r="B2064" t="s">
        <v>1077</v>
      </c>
      <c r="C2064" t="s">
        <v>251</v>
      </c>
      <c r="D2064" t="s">
        <v>21</v>
      </c>
      <c r="E2064" t="s">
        <v>22</v>
      </c>
      <c r="F2064" s="30">
        <v>45657</v>
      </c>
      <c r="G2064" t="s">
        <v>1090</v>
      </c>
      <c r="H2064" t="s">
        <v>4536</v>
      </c>
      <c r="I2064">
        <v>90</v>
      </c>
      <c r="J2064">
        <v>100</v>
      </c>
      <c r="AY2064">
        <v>3</v>
      </c>
      <c r="AZ2064">
        <v>3</v>
      </c>
    </row>
    <row r="2065" spans="1:81" x14ac:dyDescent="0.3">
      <c r="A2065">
        <v>238</v>
      </c>
      <c r="B2065" t="s">
        <v>1077</v>
      </c>
      <c r="C2065" t="s">
        <v>251</v>
      </c>
      <c r="D2065" t="s">
        <v>21</v>
      </c>
      <c r="E2065" t="s">
        <v>22</v>
      </c>
      <c r="F2065" s="30">
        <v>45657</v>
      </c>
      <c r="G2065" t="s">
        <v>1090</v>
      </c>
      <c r="H2065" t="s">
        <v>4493</v>
      </c>
      <c r="I2065">
        <v>90</v>
      </c>
      <c r="J2065">
        <v>100</v>
      </c>
      <c r="AY2065">
        <v>5</v>
      </c>
      <c r="AZ2065">
        <v>5</v>
      </c>
    </row>
    <row r="2066" spans="1:81" x14ac:dyDescent="0.3">
      <c r="A2066">
        <v>238</v>
      </c>
      <c r="B2066" t="s">
        <v>1077</v>
      </c>
      <c r="C2066" t="s">
        <v>251</v>
      </c>
      <c r="D2066" t="s">
        <v>21</v>
      </c>
      <c r="E2066" t="s">
        <v>22</v>
      </c>
      <c r="F2066" s="30">
        <v>45657</v>
      </c>
      <c r="G2066" t="s">
        <v>1090</v>
      </c>
      <c r="H2066" t="s">
        <v>4489</v>
      </c>
      <c r="I2066">
        <v>90</v>
      </c>
      <c r="J2066">
        <v>64.290000915527344</v>
      </c>
      <c r="AY2066">
        <v>9</v>
      </c>
      <c r="AZ2066">
        <v>14</v>
      </c>
    </row>
    <row r="2067" spans="1:81" x14ac:dyDescent="0.3">
      <c r="A2067">
        <v>306</v>
      </c>
      <c r="B2067" t="s">
        <v>1543</v>
      </c>
      <c r="C2067" t="s">
        <v>1241</v>
      </c>
      <c r="D2067" t="s">
        <v>21</v>
      </c>
      <c r="E2067" t="s">
        <v>22</v>
      </c>
      <c r="F2067" s="30">
        <v>45657</v>
      </c>
      <c r="G2067" t="s">
        <v>1551</v>
      </c>
      <c r="H2067" t="s">
        <v>4542</v>
      </c>
      <c r="I2067">
        <v>100</v>
      </c>
      <c r="J2067">
        <v>98</v>
      </c>
      <c r="BY2067">
        <v>98</v>
      </c>
    </row>
    <row r="2068" spans="1:81" x14ac:dyDescent="0.3">
      <c r="A2068">
        <v>306</v>
      </c>
      <c r="B2068" t="s">
        <v>1543</v>
      </c>
      <c r="C2068" t="s">
        <v>1241</v>
      </c>
      <c r="D2068" t="s">
        <v>21</v>
      </c>
      <c r="E2068" t="s">
        <v>22</v>
      </c>
      <c r="F2068" s="30">
        <v>45657</v>
      </c>
      <c r="G2068" t="s">
        <v>1551</v>
      </c>
      <c r="H2068" t="s">
        <v>4541</v>
      </c>
      <c r="I2068">
        <v>100</v>
      </c>
      <c r="J2068">
        <v>108</v>
      </c>
      <c r="BY2068">
        <v>108</v>
      </c>
    </row>
    <row r="2069" spans="1:81" x14ac:dyDescent="0.3">
      <c r="A2069">
        <v>306</v>
      </c>
      <c r="B2069" t="s">
        <v>1543</v>
      </c>
      <c r="C2069" t="s">
        <v>1241</v>
      </c>
      <c r="D2069" t="s">
        <v>21</v>
      </c>
      <c r="E2069" t="s">
        <v>22</v>
      </c>
      <c r="F2069" s="30">
        <v>45657</v>
      </c>
      <c r="G2069" t="s">
        <v>1551</v>
      </c>
      <c r="H2069" t="s">
        <v>4540</v>
      </c>
      <c r="I2069">
        <v>100</v>
      </c>
      <c r="J2069">
        <v>91</v>
      </c>
      <c r="BY2069">
        <v>91</v>
      </c>
    </row>
    <row r="2070" spans="1:81" x14ac:dyDescent="0.3">
      <c r="A2070">
        <v>306</v>
      </c>
      <c r="B2070" t="s">
        <v>1543</v>
      </c>
      <c r="C2070" t="s">
        <v>1241</v>
      </c>
      <c r="D2070" t="s">
        <v>21</v>
      </c>
      <c r="E2070" t="s">
        <v>22</v>
      </c>
      <c r="F2070" s="30">
        <v>45657</v>
      </c>
      <c r="G2070" t="s">
        <v>1551</v>
      </c>
      <c r="H2070" t="s">
        <v>4539</v>
      </c>
      <c r="I2070">
        <v>100</v>
      </c>
      <c r="J2070">
        <v>100</v>
      </c>
      <c r="BY2070">
        <v>100</v>
      </c>
    </row>
    <row r="2071" spans="1:81" x14ac:dyDescent="0.3">
      <c r="A2071">
        <v>306</v>
      </c>
      <c r="B2071" t="s">
        <v>1543</v>
      </c>
      <c r="C2071" t="s">
        <v>1241</v>
      </c>
      <c r="D2071" t="s">
        <v>21</v>
      </c>
      <c r="E2071" t="s">
        <v>22</v>
      </c>
      <c r="F2071" s="30">
        <v>45657</v>
      </c>
      <c r="G2071" t="s">
        <v>1551</v>
      </c>
      <c r="H2071" t="s">
        <v>4538</v>
      </c>
      <c r="I2071">
        <v>100</v>
      </c>
      <c r="J2071">
        <v>101</v>
      </c>
      <c r="BY2071">
        <v>101</v>
      </c>
    </row>
    <row r="2072" spans="1:81" x14ac:dyDescent="0.3">
      <c r="A2072">
        <v>306</v>
      </c>
      <c r="B2072" t="s">
        <v>1543</v>
      </c>
      <c r="C2072" t="s">
        <v>1241</v>
      </c>
      <c r="D2072" t="s">
        <v>21</v>
      </c>
      <c r="E2072" t="s">
        <v>22</v>
      </c>
      <c r="F2072" s="30">
        <v>45657</v>
      </c>
      <c r="G2072" t="s">
        <v>1551</v>
      </c>
      <c r="H2072" t="s">
        <v>4537</v>
      </c>
      <c r="I2072">
        <v>100</v>
      </c>
      <c r="J2072">
        <v>108</v>
      </c>
      <c r="BY2072">
        <v>108</v>
      </c>
    </row>
    <row r="2073" spans="1:81" x14ac:dyDescent="0.3">
      <c r="A2073">
        <v>373</v>
      </c>
      <c r="B2073" t="s">
        <v>1856</v>
      </c>
      <c r="C2073" t="s">
        <v>1263</v>
      </c>
      <c r="D2073" t="s">
        <v>21</v>
      </c>
      <c r="E2073" t="s">
        <v>22</v>
      </c>
      <c r="F2073" s="30">
        <v>45657</v>
      </c>
      <c r="G2073" t="s">
        <v>1864</v>
      </c>
      <c r="H2073" t="s">
        <v>4542</v>
      </c>
      <c r="I2073">
        <v>100</v>
      </c>
      <c r="J2073">
        <v>99</v>
      </c>
      <c r="BZ2073">
        <v>99</v>
      </c>
      <c r="CA2073">
        <v>100</v>
      </c>
    </row>
    <row r="2074" spans="1:81" x14ac:dyDescent="0.3">
      <c r="A2074">
        <v>373</v>
      </c>
      <c r="B2074" t="s">
        <v>1856</v>
      </c>
      <c r="C2074" t="s">
        <v>1263</v>
      </c>
      <c r="D2074" t="s">
        <v>21</v>
      </c>
      <c r="E2074" t="s">
        <v>22</v>
      </c>
      <c r="F2074" s="30">
        <v>45657</v>
      </c>
      <c r="G2074" t="s">
        <v>1864</v>
      </c>
      <c r="H2074" t="s">
        <v>4541</v>
      </c>
      <c r="I2074">
        <v>100</v>
      </c>
      <c r="J2074">
        <v>98</v>
      </c>
      <c r="BZ2074">
        <v>98</v>
      </c>
      <c r="CA2074">
        <v>100</v>
      </c>
    </row>
    <row r="2075" spans="1:81" x14ac:dyDescent="0.3">
      <c r="A2075">
        <v>373</v>
      </c>
      <c r="B2075" t="s">
        <v>1856</v>
      </c>
      <c r="C2075" t="s">
        <v>1263</v>
      </c>
      <c r="D2075" t="s">
        <v>21</v>
      </c>
      <c r="E2075" t="s">
        <v>22</v>
      </c>
      <c r="F2075" s="30">
        <v>45657</v>
      </c>
      <c r="G2075" t="s">
        <v>1864</v>
      </c>
      <c r="H2075" t="s">
        <v>4540</v>
      </c>
      <c r="I2075">
        <v>100</v>
      </c>
      <c r="J2075">
        <v>100</v>
      </c>
      <c r="BZ2075">
        <v>100</v>
      </c>
      <c r="CA2075">
        <v>100</v>
      </c>
    </row>
    <row r="2076" spans="1:81" x14ac:dyDescent="0.3">
      <c r="A2076">
        <v>373</v>
      </c>
      <c r="B2076" t="s">
        <v>1856</v>
      </c>
      <c r="C2076" t="s">
        <v>1263</v>
      </c>
      <c r="D2076" t="s">
        <v>21</v>
      </c>
      <c r="E2076" t="s">
        <v>22</v>
      </c>
      <c r="F2076" s="30">
        <v>45657</v>
      </c>
      <c r="G2076" t="s">
        <v>1864</v>
      </c>
      <c r="H2076" t="s">
        <v>4539</v>
      </c>
      <c r="I2076">
        <v>100</v>
      </c>
      <c r="J2076">
        <v>99</v>
      </c>
      <c r="BZ2076">
        <v>99</v>
      </c>
      <c r="CA2076">
        <v>100</v>
      </c>
    </row>
    <row r="2077" spans="1:81" x14ac:dyDescent="0.3">
      <c r="A2077">
        <v>373</v>
      </c>
      <c r="B2077" t="s">
        <v>1856</v>
      </c>
      <c r="C2077" t="s">
        <v>1263</v>
      </c>
      <c r="D2077" t="s">
        <v>21</v>
      </c>
      <c r="E2077" t="s">
        <v>22</v>
      </c>
      <c r="F2077" s="30">
        <v>45657</v>
      </c>
      <c r="G2077" t="s">
        <v>1864</v>
      </c>
      <c r="H2077" t="s">
        <v>4538</v>
      </c>
      <c r="I2077">
        <v>100</v>
      </c>
      <c r="J2077">
        <v>99</v>
      </c>
      <c r="BZ2077">
        <v>99</v>
      </c>
      <c r="CA2077">
        <v>100</v>
      </c>
    </row>
    <row r="2078" spans="1:81" x14ac:dyDescent="0.3">
      <c r="A2078">
        <v>373</v>
      </c>
      <c r="B2078" t="s">
        <v>1856</v>
      </c>
      <c r="C2078" t="s">
        <v>1263</v>
      </c>
      <c r="D2078" t="s">
        <v>21</v>
      </c>
      <c r="E2078" t="s">
        <v>22</v>
      </c>
      <c r="F2078" s="30">
        <v>45657</v>
      </c>
      <c r="G2078" t="s">
        <v>1864</v>
      </c>
      <c r="H2078" t="s">
        <v>4537</v>
      </c>
      <c r="I2078">
        <v>100</v>
      </c>
      <c r="J2078">
        <v>97</v>
      </c>
      <c r="BZ2078">
        <v>97</v>
      </c>
      <c r="CA2078">
        <v>100</v>
      </c>
    </row>
    <row r="2079" spans="1:81" x14ac:dyDescent="0.3">
      <c r="A2079">
        <v>390</v>
      </c>
      <c r="B2079" t="s">
        <v>1970</v>
      </c>
      <c r="C2079" t="s">
        <v>1263</v>
      </c>
      <c r="D2079" t="s">
        <v>21</v>
      </c>
      <c r="E2079" t="s">
        <v>22</v>
      </c>
      <c r="F2079" s="30">
        <v>45657</v>
      </c>
      <c r="G2079" t="s">
        <v>1978</v>
      </c>
      <c r="H2079" t="s">
        <v>4514</v>
      </c>
      <c r="I2079">
        <v>100</v>
      </c>
      <c r="J2079">
        <v>100</v>
      </c>
      <c r="CB2079">
        <v>100</v>
      </c>
      <c r="CC2079">
        <v>100</v>
      </c>
    </row>
    <row r="2080" spans="1:81" x14ac:dyDescent="0.3">
      <c r="A2080">
        <v>390</v>
      </c>
      <c r="B2080" t="s">
        <v>1970</v>
      </c>
      <c r="C2080" t="s">
        <v>1263</v>
      </c>
      <c r="D2080" t="s">
        <v>21</v>
      </c>
      <c r="E2080" t="s">
        <v>22</v>
      </c>
      <c r="F2080" s="30">
        <v>45657</v>
      </c>
      <c r="G2080" t="s">
        <v>1978</v>
      </c>
      <c r="H2080" t="s">
        <v>4515</v>
      </c>
      <c r="I2080">
        <v>100</v>
      </c>
      <c r="J2080">
        <v>99</v>
      </c>
      <c r="CB2080">
        <v>99</v>
      </c>
      <c r="CC2080">
        <v>100</v>
      </c>
    </row>
    <row r="2081" spans="1:96" x14ac:dyDescent="0.3">
      <c r="A2081">
        <v>390</v>
      </c>
      <c r="B2081" t="s">
        <v>1970</v>
      </c>
      <c r="C2081" t="s">
        <v>1263</v>
      </c>
      <c r="D2081" t="s">
        <v>21</v>
      </c>
      <c r="E2081" t="s">
        <v>22</v>
      </c>
      <c r="F2081" s="30">
        <v>45657</v>
      </c>
      <c r="G2081" t="s">
        <v>1978</v>
      </c>
      <c r="H2081" t="s">
        <v>4516</v>
      </c>
      <c r="I2081">
        <v>100</v>
      </c>
      <c r="J2081">
        <v>100</v>
      </c>
      <c r="CB2081">
        <v>100</v>
      </c>
      <c r="CC2081">
        <v>100</v>
      </c>
    </row>
    <row r="2082" spans="1:96" x14ac:dyDescent="0.3">
      <c r="A2082">
        <v>390</v>
      </c>
      <c r="B2082" t="s">
        <v>1970</v>
      </c>
      <c r="C2082" t="s">
        <v>1263</v>
      </c>
      <c r="D2082" t="s">
        <v>21</v>
      </c>
      <c r="E2082" t="s">
        <v>22</v>
      </c>
      <c r="F2082" s="30">
        <v>45657</v>
      </c>
      <c r="G2082" t="s">
        <v>1978</v>
      </c>
      <c r="H2082" t="s">
        <v>4517</v>
      </c>
      <c r="I2082">
        <v>100</v>
      </c>
      <c r="J2082">
        <v>100</v>
      </c>
      <c r="CB2082">
        <v>100</v>
      </c>
      <c r="CC2082">
        <v>100</v>
      </c>
    </row>
    <row r="2083" spans="1:96" x14ac:dyDescent="0.3">
      <c r="A2083">
        <v>390</v>
      </c>
      <c r="B2083" t="s">
        <v>1970</v>
      </c>
      <c r="C2083" t="s">
        <v>1263</v>
      </c>
      <c r="D2083" t="s">
        <v>21</v>
      </c>
      <c r="E2083" t="s">
        <v>22</v>
      </c>
      <c r="F2083" s="30">
        <v>45657</v>
      </c>
      <c r="G2083" t="s">
        <v>1978</v>
      </c>
      <c r="H2083" t="s">
        <v>4518</v>
      </c>
      <c r="I2083">
        <v>100</v>
      </c>
      <c r="J2083">
        <v>100</v>
      </c>
      <c r="CB2083">
        <v>100</v>
      </c>
      <c r="CC2083">
        <v>100</v>
      </c>
    </row>
    <row r="2084" spans="1:96" x14ac:dyDescent="0.3">
      <c r="A2084">
        <v>390</v>
      </c>
      <c r="B2084" t="s">
        <v>1970</v>
      </c>
      <c r="C2084" t="s">
        <v>1263</v>
      </c>
      <c r="D2084" t="s">
        <v>21</v>
      </c>
      <c r="E2084" t="s">
        <v>22</v>
      </c>
      <c r="F2084" s="30">
        <v>45657</v>
      </c>
      <c r="G2084" t="s">
        <v>1978</v>
      </c>
      <c r="H2084" t="s">
        <v>4519</v>
      </c>
      <c r="I2084">
        <v>100</v>
      </c>
      <c r="J2084">
        <v>100</v>
      </c>
      <c r="CB2084">
        <v>100</v>
      </c>
      <c r="CC2084">
        <v>100</v>
      </c>
    </row>
    <row r="2085" spans="1:96" x14ac:dyDescent="0.3">
      <c r="A2085">
        <v>390</v>
      </c>
      <c r="B2085" t="s">
        <v>1970</v>
      </c>
      <c r="C2085" t="s">
        <v>1263</v>
      </c>
      <c r="D2085" t="s">
        <v>21</v>
      </c>
      <c r="E2085" t="s">
        <v>22</v>
      </c>
      <c r="F2085" s="30">
        <v>45657</v>
      </c>
      <c r="G2085" t="s">
        <v>1978</v>
      </c>
      <c r="H2085" t="s">
        <v>4520</v>
      </c>
      <c r="I2085">
        <v>100</v>
      </c>
      <c r="J2085">
        <v>100</v>
      </c>
      <c r="CB2085">
        <v>100</v>
      </c>
      <c r="CC2085">
        <v>100</v>
      </c>
    </row>
    <row r="2086" spans="1:96" x14ac:dyDescent="0.3">
      <c r="A2086">
        <v>390</v>
      </c>
      <c r="B2086" t="s">
        <v>1970</v>
      </c>
      <c r="C2086" t="s">
        <v>1263</v>
      </c>
      <c r="D2086" t="s">
        <v>21</v>
      </c>
      <c r="E2086" t="s">
        <v>22</v>
      </c>
      <c r="F2086" s="30">
        <v>45657</v>
      </c>
      <c r="G2086" t="s">
        <v>1978</v>
      </c>
      <c r="H2086" t="s">
        <v>4521</v>
      </c>
      <c r="I2086">
        <v>100</v>
      </c>
      <c r="J2086">
        <v>100</v>
      </c>
      <c r="CB2086">
        <v>100</v>
      </c>
      <c r="CC2086">
        <v>100</v>
      </c>
    </row>
    <row r="2087" spans="1:96" x14ac:dyDescent="0.3">
      <c r="A2087">
        <v>390</v>
      </c>
      <c r="B2087" t="s">
        <v>1970</v>
      </c>
      <c r="C2087" t="s">
        <v>1263</v>
      </c>
      <c r="D2087" t="s">
        <v>21</v>
      </c>
      <c r="E2087" t="s">
        <v>22</v>
      </c>
      <c r="F2087" s="30">
        <v>45657</v>
      </c>
      <c r="G2087" t="s">
        <v>1978</v>
      </c>
      <c r="H2087" t="s">
        <v>4522</v>
      </c>
      <c r="I2087">
        <v>100</v>
      </c>
      <c r="J2087">
        <v>100</v>
      </c>
      <c r="CB2087">
        <v>100</v>
      </c>
      <c r="CC2087">
        <v>100</v>
      </c>
    </row>
    <row r="2088" spans="1:96" x14ac:dyDescent="0.3">
      <c r="A2088">
        <v>390</v>
      </c>
      <c r="B2088" t="s">
        <v>1970</v>
      </c>
      <c r="C2088" t="s">
        <v>1263</v>
      </c>
      <c r="D2088" t="s">
        <v>21</v>
      </c>
      <c r="E2088" t="s">
        <v>22</v>
      </c>
      <c r="F2088" s="30">
        <v>45657</v>
      </c>
      <c r="G2088" t="s">
        <v>1978</v>
      </c>
      <c r="H2088" t="s">
        <v>4523</v>
      </c>
      <c r="I2088">
        <v>100</v>
      </c>
      <c r="J2088">
        <v>100</v>
      </c>
      <c r="CB2088">
        <v>100</v>
      </c>
      <c r="CC2088">
        <v>100</v>
      </c>
    </row>
    <row r="2089" spans="1:96" x14ac:dyDescent="0.3">
      <c r="A2089">
        <v>390</v>
      </c>
      <c r="B2089" t="s">
        <v>1970</v>
      </c>
      <c r="C2089" t="s">
        <v>1263</v>
      </c>
      <c r="D2089" t="s">
        <v>21</v>
      </c>
      <c r="E2089" t="s">
        <v>22</v>
      </c>
      <c r="F2089" s="30">
        <v>45657</v>
      </c>
      <c r="G2089" t="s">
        <v>1978</v>
      </c>
      <c r="H2089" t="s">
        <v>4524</v>
      </c>
      <c r="I2089">
        <v>100</v>
      </c>
      <c r="J2089">
        <v>100</v>
      </c>
      <c r="CB2089">
        <v>100</v>
      </c>
      <c r="CC2089">
        <v>100</v>
      </c>
    </row>
    <row r="2090" spans="1:96" x14ac:dyDescent="0.3">
      <c r="A2090">
        <v>390</v>
      </c>
      <c r="B2090" t="s">
        <v>1970</v>
      </c>
      <c r="C2090" t="s">
        <v>1263</v>
      </c>
      <c r="D2090" t="s">
        <v>21</v>
      </c>
      <c r="E2090" t="s">
        <v>22</v>
      </c>
      <c r="F2090" s="30">
        <v>45657</v>
      </c>
      <c r="G2090" t="s">
        <v>1978</v>
      </c>
      <c r="H2090" t="s">
        <v>4525</v>
      </c>
      <c r="I2090">
        <v>100</v>
      </c>
      <c r="J2090">
        <v>100</v>
      </c>
      <c r="CB2090">
        <v>100</v>
      </c>
      <c r="CC2090">
        <v>100</v>
      </c>
    </row>
    <row r="2091" spans="1:96" x14ac:dyDescent="0.3">
      <c r="A2091">
        <v>409</v>
      </c>
      <c r="B2091" t="s">
        <v>2081</v>
      </c>
      <c r="C2091" t="s">
        <v>1303</v>
      </c>
      <c r="D2091" t="s">
        <v>21</v>
      </c>
      <c r="E2091" t="s">
        <v>22</v>
      </c>
      <c r="F2091" s="30">
        <v>45657</v>
      </c>
      <c r="G2091" t="s">
        <v>2089</v>
      </c>
      <c r="H2091" t="s">
        <v>4581</v>
      </c>
      <c r="I2091">
        <v>95</v>
      </c>
      <c r="J2091">
        <v>93.660003662109375</v>
      </c>
      <c r="CQ2091">
        <v>325</v>
      </c>
      <c r="CR2091">
        <v>347</v>
      </c>
    </row>
    <row r="2092" spans="1:96" x14ac:dyDescent="0.3">
      <c r="A2092">
        <v>414</v>
      </c>
      <c r="B2092" t="s">
        <v>2103</v>
      </c>
      <c r="C2092" t="s">
        <v>1263</v>
      </c>
      <c r="D2092" t="s">
        <v>21</v>
      </c>
      <c r="E2092" t="s">
        <v>22</v>
      </c>
      <c r="F2092" s="30">
        <v>45657</v>
      </c>
      <c r="G2092" t="s">
        <v>2111</v>
      </c>
      <c r="H2092" t="s">
        <v>4543</v>
      </c>
      <c r="I2092">
        <v>100</v>
      </c>
      <c r="J2092">
        <v>100</v>
      </c>
      <c r="CD2092">
        <v>100</v>
      </c>
      <c r="CE2092">
        <v>100</v>
      </c>
    </row>
    <row r="2093" spans="1:96" x14ac:dyDescent="0.3">
      <c r="A2093">
        <v>414</v>
      </c>
      <c r="B2093" t="s">
        <v>2103</v>
      </c>
      <c r="C2093" t="s">
        <v>1263</v>
      </c>
      <c r="D2093" t="s">
        <v>21</v>
      </c>
      <c r="E2093" t="s">
        <v>22</v>
      </c>
      <c r="F2093" s="30">
        <v>45657</v>
      </c>
      <c r="G2093" t="s">
        <v>2111</v>
      </c>
      <c r="H2093" t="s">
        <v>4544</v>
      </c>
      <c r="I2093">
        <v>100</v>
      </c>
      <c r="J2093">
        <v>100</v>
      </c>
      <c r="CD2093">
        <v>100</v>
      </c>
      <c r="CE2093">
        <v>100</v>
      </c>
    </row>
    <row r="2094" spans="1:96" x14ac:dyDescent="0.3">
      <c r="A2094">
        <v>414</v>
      </c>
      <c r="B2094" t="s">
        <v>2103</v>
      </c>
      <c r="C2094" t="s">
        <v>1263</v>
      </c>
      <c r="D2094" t="s">
        <v>21</v>
      </c>
      <c r="E2094" t="s">
        <v>22</v>
      </c>
      <c r="F2094" s="30">
        <v>45657</v>
      </c>
      <c r="G2094" t="s">
        <v>2111</v>
      </c>
      <c r="H2094" t="s">
        <v>4545</v>
      </c>
      <c r="I2094">
        <v>100</v>
      </c>
      <c r="J2094">
        <v>100</v>
      </c>
      <c r="CD2094">
        <v>100</v>
      </c>
      <c r="CE2094">
        <v>100</v>
      </c>
    </row>
    <row r="2095" spans="1:96" x14ac:dyDescent="0.3">
      <c r="A2095">
        <v>414</v>
      </c>
      <c r="B2095" t="s">
        <v>2103</v>
      </c>
      <c r="C2095" t="s">
        <v>1263</v>
      </c>
      <c r="D2095" t="s">
        <v>21</v>
      </c>
      <c r="E2095" t="s">
        <v>22</v>
      </c>
      <c r="F2095" s="30">
        <v>45657</v>
      </c>
      <c r="G2095" t="s">
        <v>2111</v>
      </c>
      <c r="H2095" t="s">
        <v>4546</v>
      </c>
      <c r="I2095">
        <v>100</v>
      </c>
      <c r="J2095">
        <v>100</v>
      </c>
      <c r="CD2095">
        <v>100</v>
      </c>
      <c r="CE2095">
        <v>100</v>
      </c>
    </row>
    <row r="2096" spans="1:96" x14ac:dyDescent="0.3">
      <c r="A2096">
        <v>414</v>
      </c>
      <c r="B2096" t="s">
        <v>2103</v>
      </c>
      <c r="C2096" t="s">
        <v>1263</v>
      </c>
      <c r="D2096" t="s">
        <v>21</v>
      </c>
      <c r="E2096" t="s">
        <v>22</v>
      </c>
      <c r="F2096" s="30">
        <v>45657</v>
      </c>
      <c r="G2096" t="s">
        <v>2111</v>
      </c>
      <c r="H2096" t="s">
        <v>4547</v>
      </c>
      <c r="I2096">
        <v>100</v>
      </c>
      <c r="J2096">
        <v>100</v>
      </c>
      <c r="CD2096">
        <v>100</v>
      </c>
      <c r="CE2096">
        <v>100</v>
      </c>
    </row>
    <row r="2097" spans="1:85" x14ac:dyDescent="0.3">
      <c r="A2097">
        <v>414</v>
      </c>
      <c r="B2097" t="s">
        <v>2103</v>
      </c>
      <c r="C2097" t="s">
        <v>1263</v>
      </c>
      <c r="D2097" t="s">
        <v>21</v>
      </c>
      <c r="E2097" t="s">
        <v>22</v>
      </c>
      <c r="F2097" s="30">
        <v>45657</v>
      </c>
      <c r="G2097" t="s">
        <v>2111</v>
      </c>
      <c r="H2097" t="s">
        <v>4548</v>
      </c>
      <c r="I2097">
        <v>100</v>
      </c>
      <c r="J2097">
        <v>99</v>
      </c>
      <c r="CD2097">
        <v>99</v>
      </c>
      <c r="CE2097">
        <v>100</v>
      </c>
    </row>
    <row r="2098" spans="1:85" x14ac:dyDescent="0.3">
      <c r="A2098">
        <v>414</v>
      </c>
      <c r="B2098" t="s">
        <v>2103</v>
      </c>
      <c r="C2098" t="s">
        <v>1263</v>
      </c>
      <c r="D2098" t="s">
        <v>21</v>
      </c>
      <c r="E2098" t="s">
        <v>22</v>
      </c>
      <c r="F2098" s="30">
        <v>45657</v>
      </c>
      <c r="G2098" t="s">
        <v>2111</v>
      </c>
      <c r="H2098" t="s">
        <v>4549</v>
      </c>
      <c r="I2098">
        <v>100</v>
      </c>
      <c r="J2098">
        <v>94</v>
      </c>
      <c r="CD2098">
        <v>94</v>
      </c>
      <c r="CE2098">
        <v>100</v>
      </c>
    </row>
    <row r="2099" spans="1:85" x14ac:dyDescent="0.3">
      <c r="A2099">
        <v>414</v>
      </c>
      <c r="B2099" t="s">
        <v>2103</v>
      </c>
      <c r="C2099" t="s">
        <v>1263</v>
      </c>
      <c r="D2099" t="s">
        <v>21</v>
      </c>
      <c r="E2099" t="s">
        <v>22</v>
      </c>
      <c r="F2099" s="30">
        <v>45657</v>
      </c>
      <c r="G2099" t="s">
        <v>2111</v>
      </c>
      <c r="H2099" t="s">
        <v>4550</v>
      </c>
      <c r="I2099">
        <v>100</v>
      </c>
      <c r="J2099">
        <v>100</v>
      </c>
      <c r="CD2099">
        <v>100</v>
      </c>
      <c r="CE2099">
        <v>100</v>
      </c>
    </row>
    <row r="2100" spans="1:85" x14ac:dyDescent="0.3">
      <c r="A2100">
        <v>414</v>
      </c>
      <c r="B2100" t="s">
        <v>2103</v>
      </c>
      <c r="C2100" t="s">
        <v>1263</v>
      </c>
      <c r="D2100" t="s">
        <v>21</v>
      </c>
      <c r="E2100" t="s">
        <v>22</v>
      </c>
      <c r="F2100" s="30">
        <v>45657</v>
      </c>
      <c r="G2100" t="s">
        <v>2111</v>
      </c>
      <c r="H2100" t="s">
        <v>4597</v>
      </c>
      <c r="I2100">
        <v>100</v>
      </c>
      <c r="J2100">
        <v>96</v>
      </c>
      <c r="CD2100">
        <v>96</v>
      </c>
      <c r="CE2100">
        <v>100</v>
      </c>
    </row>
    <row r="2101" spans="1:85" x14ac:dyDescent="0.3">
      <c r="A2101">
        <v>415</v>
      </c>
      <c r="B2101" t="s">
        <v>2116</v>
      </c>
      <c r="C2101" t="s">
        <v>1263</v>
      </c>
      <c r="D2101" t="s">
        <v>21</v>
      </c>
      <c r="E2101" t="s">
        <v>22</v>
      </c>
      <c r="F2101" s="30">
        <v>45657</v>
      </c>
      <c r="G2101" t="s">
        <v>2124</v>
      </c>
      <c r="H2101" t="s">
        <v>4551</v>
      </c>
      <c r="I2101">
        <v>100</v>
      </c>
      <c r="J2101">
        <v>100</v>
      </c>
      <c r="CF2101">
        <v>100</v>
      </c>
      <c r="CG2101">
        <v>100</v>
      </c>
    </row>
    <row r="2102" spans="1:85" x14ac:dyDescent="0.3">
      <c r="A2102">
        <v>415</v>
      </c>
      <c r="B2102" t="s">
        <v>2116</v>
      </c>
      <c r="C2102" t="s">
        <v>1263</v>
      </c>
      <c r="D2102" t="s">
        <v>21</v>
      </c>
      <c r="E2102" t="s">
        <v>22</v>
      </c>
      <c r="F2102" s="30">
        <v>45657</v>
      </c>
      <c r="G2102" t="s">
        <v>2124</v>
      </c>
      <c r="H2102" t="s">
        <v>4552</v>
      </c>
      <c r="I2102">
        <v>100</v>
      </c>
      <c r="J2102">
        <v>100</v>
      </c>
      <c r="CF2102">
        <v>100</v>
      </c>
      <c r="CG2102">
        <v>100</v>
      </c>
    </row>
    <row r="2103" spans="1:85" x14ac:dyDescent="0.3">
      <c r="A2103">
        <v>415</v>
      </c>
      <c r="B2103" t="s">
        <v>2116</v>
      </c>
      <c r="C2103" t="s">
        <v>1263</v>
      </c>
      <c r="D2103" t="s">
        <v>21</v>
      </c>
      <c r="E2103" t="s">
        <v>22</v>
      </c>
      <c r="F2103" s="30">
        <v>45657</v>
      </c>
      <c r="G2103" t="s">
        <v>2124</v>
      </c>
      <c r="H2103" t="s">
        <v>4553</v>
      </c>
      <c r="I2103">
        <v>100</v>
      </c>
      <c r="J2103">
        <v>94</v>
      </c>
      <c r="CF2103">
        <v>94</v>
      </c>
      <c r="CG2103">
        <v>100</v>
      </c>
    </row>
    <row r="2104" spans="1:85" x14ac:dyDescent="0.3">
      <c r="A2104">
        <v>415</v>
      </c>
      <c r="B2104" t="s">
        <v>2116</v>
      </c>
      <c r="C2104" t="s">
        <v>1263</v>
      </c>
      <c r="D2104" t="s">
        <v>21</v>
      </c>
      <c r="E2104" t="s">
        <v>22</v>
      </c>
      <c r="F2104" s="30">
        <v>45657</v>
      </c>
      <c r="G2104" t="s">
        <v>2124</v>
      </c>
      <c r="H2104" t="s">
        <v>4554</v>
      </c>
      <c r="I2104">
        <v>100</v>
      </c>
      <c r="J2104">
        <v>95</v>
      </c>
      <c r="CF2104">
        <v>95</v>
      </c>
      <c r="CG2104">
        <v>100</v>
      </c>
    </row>
    <row r="2105" spans="1:85" x14ac:dyDescent="0.3">
      <c r="A2105">
        <v>415</v>
      </c>
      <c r="B2105" t="s">
        <v>2116</v>
      </c>
      <c r="C2105" t="s">
        <v>1263</v>
      </c>
      <c r="D2105" t="s">
        <v>21</v>
      </c>
      <c r="E2105" t="s">
        <v>22</v>
      </c>
      <c r="F2105" s="30">
        <v>45657</v>
      </c>
      <c r="G2105" t="s">
        <v>2124</v>
      </c>
      <c r="H2105" t="s">
        <v>4555</v>
      </c>
      <c r="I2105">
        <v>100</v>
      </c>
      <c r="J2105">
        <v>100</v>
      </c>
      <c r="CF2105">
        <v>100</v>
      </c>
      <c r="CG2105">
        <v>100</v>
      </c>
    </row>
    <row r="2106" spans="1:85" x14ac:dyDescent="0.3">
      <c r="A2106">
        <v>415</v>
      </c>
      <c r="B2106" t="s">
        <v>2116</v>
      </c>
      <c r="C2106" t="s">
        <v>1263</v>
      </c>
      <c r="D2106" t="s">
        <v>21</v>
      </c>
      <c r="E2106" t="s">
        <v>22</v>
      </c>
      <c r="F2106" s="30">
        <v>45657</v>
      </c>
      <c r="G2106" t="s">
        <v>2124</v>
      </c>
      <c r="H2106" t="s">
        <v>4556</v>
      </c>
      <c r="I2106">
        <v>100</v>
      </c>
      <c r="J2106">
        <v>100</v>
      </c>
      <c r="CF2106">
        <v>100</v>
      </c>
      <c r="CG2106">
        <v>100</v>
      </c>
    </row>
    <row r="2107" spans="1:85" x14ac:dyDescent="0.3">
      <c r="A2107">
        <v>415</v>
      </c>
      <c r="B2107" t="s">
        <v>2116</v>
      </c>
      <c r="C2107" t="s">
        <v>1263</v>
      </c>
      <c r="D2107" t="s">
        <v>21</v>
      </c>
      <c r="E2107" t="s">
        <v>22</v>
      </c>
      <c r="F2107" s="30">
        <v>45657</v>
      </c>
      <c r="G2107" t="s">
        <v>2124</v>
      </c>
      <c r="H2107" t="s">
        <v>4557</v>
      </c>
      <c r="I2107">
        <v>100</v>
      </c>
      <c r="J2107">
        <v>97</v>
      </c>
      <c r="CF2107">
        <v>97</v>
      </c>
      <c r="CG2107">
        <v>100</v>
      </c>
    </row>
    <row r="2108" spans="1:85" x14ac:dyDescent="0.3">
      <c r="A2108">
        <v>415</v>
      </c>
      <c r="B2108" t="s">
        <v>2116</v>
      </c>
      <c r="C2108" t="s">
        <v>1263</v>
      </c>
      <c r="D2108" t="s">
        <v>21</v>
      </c>
      <c r="E2108" t="s">
        <v>22</v>
      </c>
      <c r="F2108" s="30">
        <v>45657</v>
      </c>
      <c r="G2108" t="s">
        <v>2124</v>
      </c>
      <c r="H2108" t="s">
        <v>4592</v>
      </c>
      <c r="I2108">
        <v>100</v>
      </c>
      <c r="J2108">
        <v>97</v>
      </c>
      <c r="CF2108">
        <v>97</v>
      </c>
      <c r="CG2108">
        <v>100</v>
      </c>
    </row>
    <row r="2109" spans="1:85" x14ac:dyDescent="0.3">
      <c r="A2109">
        <v>415</v>
      </c>
      <c r="B2109" t="s">
        <v>2116</v>
      </c>
      <c r="C2109" t="s">
        <v>1263</v>
      </c>
      <c r="D2109" t="s">
        <v>21</v>
      </c>
      <c r="E2109" t="s">
        <v>22</v>
      </c>
      <c r="F2109" s="30">
        <v>45657</v>
      </c>
      <c r="G2109" t="s">
        <v>2124</v>
      </c>
      <c r="H2109" t="s">
        <v>4600</v>
      </c>
      <c r="I2109">
        <v>100</v>
      </c>
      <c r="J2109">
        <v>100</v>
      </c>
      <c r="CF2109">
        <v>100</v>
      </c>
      <c r="CG2109">
        <v>100</v>
      </c>
    </row>
    <row r="2110" spans="1:85" x14ac:dyDescent="0.3">
      <c r="A2110">
        <v>415</v>
      </c>
      <c r="B2110" t="s">
        <v>2116</v>
      </c>
      <c r="C2110" t="s">
        <v>1263</v>
      </c>
      <c r="D2110" t="s">
        <v>21</v>
      </c>
      <c r="E2110" t="s">
        <v>22</v>
      </c>
      <c r="F2110" s="30">
        <v>45657</v>
      </c>
      <c r="G2110" t="s">
        <v>2124</v>
      </c>
      <c r="H2110" t="s">
        <v>4598</v>
      </c>
      <c r="I2110">
        <v>100</v>
      </c>
      <c r="J2110">
        <v>94</v>
      </c>
      <c r="CF2110">
        <v>94</v>
      </c>
      <c r="CG2110">
        <v>100</v>
      </c>
    </row>
    <row r="2111" spans="1:85" x14ac:dyDescent="0.3">
      <c r="A2111">
        <v>415</v>
      </c>
      <c r="B2111" t="s">
        <v>2116</v>
      </c>
      <c r="C2111" t="s">
        <v>1263</v>
      </c>
      <c r="D2111" t="s">
        <v>21</v>
      </c>
      <c r="E2111" t="s">
        <v>22</v>
      </c>
      <c r="F2111" s="30">
        <v>45657</v>
      </c>
      <c r="G2111" t="s">
        <v>2124</v>
      </c>
      <c r="H2111" t="s">
        <v>4603</v>
      </c>
      <c r="I2111">
        <v>100</v>
      </c>
      <c r="J2111">
        <v>100</v>
      </c>
      <c r="CF2111">
        <v>100</v>
      </c>
      <c r="CG2111">
        <v>100</v>
      </c>
    </row>
    <row r="2112" spans="1:85" x14ac:dyDescent="0.3">
      <c r="A2112">
        <v>415</v>
      </c>
      <c r="B2112" t="s">
        <v>2116</v>
      </c>
      <c r="C2112" t="s">
        <v>1263</v>
      </c>
      <c r="D2112" t="s">
        <v>21</v>
      </c>
      <c r="E2112" t="s">
        <v>22</v>
      </c>
      <c r="F2112" s="30">
        <v>45657</v>
      </c>
      <c r="G2112" t="s">
        <v>2124</v>
      </c>
      <c r="H2112" t="s">
        <v>4601</v>
      </c>
      <c r="I2112">
        <v>100</v>
      </c>
      <c r="J2112">
        <v>100</v>
      </c>
      <c r="CF2112">
        <v>100</v>
      </c>
      <c r="CG2112">
        <v>100</v>
      </c>
    </row>
    <row r="2113" spans="1:91" x14ac:dyDescent="0.3">
      <c r="A2113">
        <v>415</v>
      </c>
      <c r="B2113" t="s">
        <v>2116</v>
      </c>
      <c r="C2113" t="s">
        <v>1263</v>
      </c>
      <c r="D2113" t="s">
        <v>21</v>
      </c>
      <c r="E2113" t="s">
        <v>22</v>
      </c>
      <c r="F2113" s="30">
        <v>45657</v>
      </c>
      <c r="G2113" t="s">
        <v>2124</v>
      </c>
      <c r="H2113" t="s">
        <v>4602</v>
      </c>
      <c r="I2113">
        <v>100</v>
      </c>
      <c r="J2113">
        <v>100</v>
      </c>
      <c r="CF2113">
        <v>100</v>
      </c>
      <c r="CG2113">
        <v>100</v>
      </c>
    </row>
    <row r="2114" spans="1:91" x14ac:dyDescent="0.3">
      <c r="A2114">
        <v>415</v>
      </c>
      <c r="B2114" t="s">
        <v>2116</v>
      </c>
      <c r="C2114" t="s">
        <v>1263</v>
      </c>
      <c r="D2114" t="s">
        <v>21</v>
      </c>
      <c r="E2114" t="s">
        <v>22</v>
      </c>
      <c r="F2114" s="30">
        <v>45657</v>
      </c>
      <c r="G2114" t="s">
        <v>2124</v>
      </c>
      <c r="H2114" t="s">
        <v>4599</v>
      </c>
      <c r="I2114">
        <v>100</v>
      </c>
      <c r="J2114">
        <v>100</v>
      </c>
      <c r="CF2114">
        <v>100</v>
      </c>
      <c r="CG2114">
        <v>100</v>
      </c>
    </row>
    <row r="2115" spans="1:91" x14ac:dyDescent="0.3">
      <c r="A2115">
        <v>416</v>
      </c>
      <c r="B2115" t="s">
        <v>2129</v>
      </c>
      <c r="C2115" t="s">
        <v>1263</v>
      </c>
      <c r="D2115" t="s">
        <v>21</v>
      </c>
      <c r="E2115" t="s">
        <v>22</v>
      </c>
      <c r="F2115" s="30">
        <v>45657</v>
      </c>
      <c r="G2115" t="s">
        <v>2137</v>
      </c>
      <c r="H2115" t="s">
        <v>4558</v>
      </c>
      <c r="I2115">
        <v>100</v>
      </c>
      <c r="J2115">
        <v>100</v>
      </c>
      <c r="CH2115">
        <v>100</v>
      </c>
      <c r="CI2115">
        <v>100</v>
      </c>
    </row>
    <row r="2116" spans="1:91" x14ac:dyDescent="0.3">
      <c r="A2116">
        <v>416</v>
      </c>
      <c r="B2116" t="s">
        <v>2129</v>
      </c>
      <c r="C2116" t="s">
        <v>1263</v>
      </c>
      <c r="D2116" t="s">
        <v>21</v>
      </c>
      <c r="E2116" t="s">
        <v>22</v>
      </c>
      <c r="F2116" s="30">
        <v>45657</v>
      </c>
      <c r="G2116" t="s">
        <v>2137</v>
      </c>
      <c r="H2116" t="s">
        <v>4559</v>
      </c>
      <c r="I2116">
        <v>100</v>
      </c>
      <c r="J2116">
        <v>100</v>
      </c>
      <c r="CH2116">
        <v>100</v>
      </c>
      <c r="CI2116">
        <v>100</v>
      </c>
    </row>
    <row r="2117" spans="1:91" x14ac:dyDescent="0.3">
      <c r="A2117">
        <v>416</v>
      </c>
      <c r="B2117" t="s">
        <v>2129</v>
      </c>
      <c r="C2117" t="s">
        <v>1263</v>
      </c>
      <c r="D2117" t="s">
        <v>21</v>
      </c>
      <c r="E2117" t="s">
        <v>22</v>
      </c>
      <c r="F2117" s="30">
        <v>45657</v>
      </c>
      <c r="G2117" t="s">
        <v>2137</v>
      </c>
      <c r="H2117" t="s">
        <v>4605</v>
      </c>
      <c r="I2117">
        <v>100</v>
      </c>
      <c r="J2117">
        <v>100</v>
      </c>
      <c r="CH2117">
        <v>100</v>
      </c>
      <c r="CI2117">
        <v>100</v>
      </c>
    </row>
    <row r="2118" spans="1:91" x14ac:dyDescent="0.3">
      <c r="A2118">
        <v>416</v>
      </c>
      <c r="B2118" t="s">
        <v>2129</v>
      </c>
      <c r="C2118" t="s">
        <v>1263</v>
      </c>
      <c r="D2118" t="s">
        <v>21</v>
      </c>
      <c r="E2118" t="s">
        <v>22</v>
      </c>
      <c r="F2118" s="30">
        <v>45657</v>
      </c>
      <c r="G2118" t="s">
        <v>2137</v>
      </c>
      <c r="H2118" t="s">
        <v>4606</v>
      </c>
      <c r="I2118">
        <v>100</v>
      </c>
      <c r="J2118">
        <v>100</v>
      </c>
      <c r="CH2118">
        <v>100</v>
      </c>
      <c r="CI2118">
        <v>100</v>
      </c>
    </row>
    <row r="2119" spans="1:91" x14ac:dyDescent="0.3">
      <c r="A2119">
        <v>416</v>
      </c>
      <c r="B2119" t="s">
        <v>2129</v>
      </c>
      <c r="C2119" t="s">
        <v>1263</v>
      </c>
      <c r="D2119" t="s">
        <v>21</v>
      </c>
      <c r="E2119" t="s">
        <v>22</v>
      </c>
      <c r="F2119" s="30">
        <v>45657</v>
      </c>
      <c r="G2119" t="s">
        <v>2137</v>
      </c>
      <c r="H2119" t="s">
        <v>4607</v>
      </c>
      <c r="I2119">
        <v>100</v>
      </c>
      <c r="J2119">
        <v>100</v>
      </c>
      <c r="CH2119">
        <v>100</v>
      </c>
      <c r="CI2119">
        <v>100</v>
      </c>
    </row>
    <row r="2120" spans="1:91" x14ac:dyDescent="0.3">
      <c r="A2120">
        <v>416</v>
      </c>
      <c r="B2120" t="s">
        <v>2129</v>
      </c>
      <c r="C2120" t="s">
        <v>1263</v>
      </c>
      <c r="D2120" t="s">
        <v>21</v>
      </c>
      <c r="E2120" t="s">
        <v>22</v>
      </c>
      <c r="F2120" s="30">
        <v>45657</v>
      </c>
      <c r="G2120" t="s">
        <v>2137</v>
      </c>
      <c r="H2120" t="s">
        <v>4604</v>
      </c>
      <c r="I2120">
        <v>100</v>
      </c>
      <c r="J2120">
        <v>100</v>
      </c>
      <c r="CH2120">
        <v>100</v>
      </c>
      <c r="CI2120">
        <v>100</v>
      </c>
    </row>
    <row r="2121" spans="1:91" x14ac:dyDescent="0.3">
      <c r="A2121">
        <v>417</v>
      </c>
      <c r="B2121" t="s">
        <v>2142</v>
      </c>
      <c r="C2121" t="s">
        <v>1263</v>
      </c>
      <c r="D2121" t="s">
        <v>21</v>
      </c>
      <c r="E2121" t="s">
        <v>22</v>
      </c>
      <c r="F2121" s="30">
        <v>45657</v>
      </c>
      <c r="G2121" t="s">
        <v>2150</v>
      </c>
      <c r="H2121" t="s">
        <v>4560</v>
      </c>
      <c r="I2121">
        <v>100</v>
      </c>
      <c r="J2121">
        <v>100</v>
      </c>
      <c r="CJ2121">
        <v>100</v>
      </c>
      <c r="CK2121">
        <v>100</v>
      </c>
    </row>
    <row r="2122" spans="1:91" x14ac:dyDescent="0.3">
      <c r="A2122">
        <v>417</v>
      </c>
      <c r="B2122" t="s">
        <v>2142</v>
      </c>
      <c r="C2122" t="s">
        <v>1263</v>
      </c>
      <c r="D2122" t="s">
        <v>21</v>
      </c>
      <c r="E2122" t="s">
        <v>22</v>
      </c>
      <c r="F2122" s="30">
        <v>45657</v>
      </c>
      <c r="G2122" t="s">
        <v>2150</v>
      </c>
      <c r="H2122" t="s">
        <v>4561</v>
      </c>
      <c r="I2122">
        <v>100</v>
      </c>
      <c r="J2122">
        <v>100</v>
      </c>
      <c r="CJ2122">
        <v>100</v>
      </c>
      <c r="CK2122">
        <v>100</v>
      </c>
    </row>
    <row r="2123" spans="1:91" x14ac:dyDescent="0.3">
      <c r="A2123">
        <v>417</v>
      </c>
      <c r="B2123" t="s">
        <v>2142</v>
      </c>
      <c r="C2123" t="s">
        <v>1263</v>
      </c>
      <c r="D2123" t="s">
        <v>21</v>
      </c>
      <c r="E2123" t="s">
        <v>22</v>
      </c>
      <c r="F2123" s="30">
        <v>45657</v>
      </c>
      <c r="G2123" t="s">
        <v>2150</v>
      </c>
      <c r="H2123" t="s">
        <v>4562</v>
      </c>
      <c r="I2123">
        <v>100</v>
      </c>
      <c r="J2123">
        <v>100</v>
      </c>
      <c r="CJ2123">
        <v>100</v>
      </c>
      <c r="CK2123">
        <v>100</v>
      </c>
    </row>
    <row r="2124" spans="1:91" x14ac:dyDescent="0.3">
      <c r="A2124">
        <v>417</v>
      </c>
      <c r="B2124" t="s">
        <v>2142</v>
      </c>
      <c r="C2124" t="s">
        <v>1263</v>
      </c>
      <c r="D2124" t="s">
        <v>21</v>
      </c>
      <c r="E2124" t="s">
        <v>22</v>
      </c>
      <c r="F2124" s="30">
        <v>45657</v>
      </c>
      <c r="G2124" t="s">
        <v>2150</v>
      </c>
      <c r="H2124" t="s">
        <v>4563</v>
      </c>
      <c r="I2124">
        <v>100</v>
      </c>
      <c r="J2124">
        <v>97</v>
      </c>
      <c r="CJ2124">
        <v>97</v>
      </c>
      <c r="CK2124">
        <v>100</v>
      </c>
    </row>
    <row r="2125" spans="1:91" x14ac:dyDescent="0.3">
      <c r="A2125">
        <v>417</v>
      </c>
      <c r="B2125" t="s">
        <v>2142</v>
      </c>
      <c r="C2125" t="s">
        <v>1263</v>
      </c>
      <c r="D2125" t="s">
        <v>21</v>
      </c>
      <c r="E2125" t="s">
        <v>22</v>
      </c>
      <c r="F2125" s="30">
        <v>45657</v>
      </c>
      <c r="G2125" t="s">
        <v>2150</v>
      </c>
      <c r="H2125" t="s">
        <v>4564</v>
      </c>
      <c r="I2125">
        <v>100</v>
      </c>
      <c r="J2125">
        <v>97</v>
      </c>
      <c r="CJ2125">
        <v>97</v>
      </c>
      <c r="CK2125">
        <v>100</v>
      </c>
    </row>
    <row r="2126" spans="1:91" x14ac:dyDescent="0.3">
      <c r="A2126">
        <v>417</v>
      </c>
      <c r="B2126" t="s">
        <v>2142</v>
      </c>
      <c r="C2126" t="s">
        <v>1263</v>
      </c>
      <c r="D2126" t="s">
        <v>21</v>
      </c>
      <c r="E2126" t="s">
        <v>22</v>
      </c>
      <c r="F2126" s="30">
        <v>45657</v>
      </c>
      <c r="G2126" t="s">
        <v>2150</v>
      </c>
      <c r="H2126" t="s">
        <v>4565</v>
      </c>
      <c r="I2126">
        <v>100</v>
      </c>
      <c r="J2126">
        <v>99</v>
      </c>
      <c r="CJ2126">
        <v>99</v>
      </c>
      <c r="CK2126">
        <v>100</v>
      </c>
    </row>
    <row r="2127" spans="1:91" x14ac:dyDescent="0.3">
      <c r="A2127">
        <v>418</v>
      </c>
      <c r="B2127" t="s">
        <v>2155</v>
      </c>
      <c r="C2127" t="s">
        <v>1263</v>
      </c>
      <c r="D2127" t="s">
        <v>21</v>
      </c>
      <c r="E2127" t="s">
        <v>22</v>
      </c>
      <c r="F2127" s="30">
        <v>45657</v>
      </c>
      <c r="G2127" t="s">
        <v>2163</v>
      </c>
      <c r="H2127" t="s">
        <v>4566</v>
      </c>
      <c r="I2127">
        <v>100</v>
      </c>
      <c r="J2127">
        <v>100</v>
      </c>
      <c r="CL2127">
        <v>100</v>
      </c>
      <c r="CM2127">
        <v>100</v>
      </c>
    </row>
    <row r="2128" spans="1:91" x14ac:dyDescent="0.3">
      <c r="A2128">
        <v>418</v>
      </c>
      <c r="B2128" t="s">
        <v>2155</v>
      </c>
      <c r="C2128" t="s">
        <v>1263</v>
      </c>
      <c r="D2128" t="s">
        <v>21</v>
      </c>
      <c r="E2128" t="s">
        <v>22</v>
      </c>
      <c r="F2128" s="30">
        <v>45657</v>
      </c>
      <c r="G2128" t="s">
        <v>2163</v>
      </c>
      <c r="H2128" t="s">
        <v>4567</v>
      </c>
      <c r="I2128">
        <v>100</v>
      </c>
      <c r="J2128">
        <v>100</v>
      </c>
      <c r="CL2128">
        <v>100</v>
      </c>
      <c r="CM2128">
        <v>100</v>
      </c>
    </row>
    <row r="2129" spans="1:98" x14ac:dyDescent="0.3">
      <c r="A2129">
        <v>418</v>
      </c>
      <c r="B2129" t="s">
        <v>2155</v>
      </c>
      <c r="C2129" t="s">
        <v>1263</v>
      </c>
      <c r="D2129" t="s">
        <v>21</v>
      </c>
      <c r="E2129" t="s">
        <v>22</v>
      </c>
      <c r="F2129" s="30">
        <v>45657</v>
      </c>
      <c r="G2129" t="s">
        <v>2163</v>
      </c>
      <c r="H2129" t="s">
        <v>4568</v>
      </c>
      <c r="I2129">
        <v>100</v>
      </c>
      <c r="J2129">
        <v>80</v>
      </c>
      <c r="CL2129">
        <v>80</v>
      </c>
      <c r="CM2129">
        <v>100</v>
      </c>
    </row>
    <row r="2130" spans="1:98" x14ac:dyDescent="0.3">
      <c r="A2130">
        <v>418</v>
      </c>
      <c r="B2130" t="s">
        <v>2155</v>
      </c>
      <c r="C2130" t="s">
        <v>1263</v>
      </c>
      <c r="D2130" t="s">
        <v>21</v>
      </c>
      <c r="E2130" t="s">
        <v>22</v>
      </c>
      <c r="F2130" s="30">
        <v>45657</v>
      </c>
      <c r="G2130" t="s">
        <v>2163</v>
      </c>
      <c r="H2130" t="s">
        <v>4569</v>
      </c>
      <c r="I2130">
        <v>100</v>
      </c>
      <c r="J2130">
        <v>100</v>
      </c>
      <c r="CL2130">
        <v>100</v>
      </c>
      <c r="CM2130">
        <v>100</v>
      </c>
    </row>
    <row r="2131" spans="1:98" x14ac:dyDescent="0.3">
      <c r="A2131">
        <v>418</v>
      </c>
      <c r="B2131" t="s">
        <v>2155</v>
      </c>
      <c r="C2131" t="s">
        <v>1263</v>
      </c>
      <c r="D2131" t="s">
        <v>21</v>
      </c>
      <c r="E2131" t="s">
        <v>22</v>
      </c>
      <c r="F2131" s="30">
        <v>45657</v>
      </c>
      <c r="G2131" t="s">
        <v>2163</v>
      </c>
      <c r="H2131" t="s">
        <v>4570</v>
      </c>
      <c r="I2131">
        <v>100</v>
      </c>
      <c r="J2131">
        <v>100</v>
      </c>
      <c r="CL2131">
        <v>100</v>
      </c>
      <c r="CM2131">
        <v>100</v>
      </c>
    </row>
    <row r="2132" spans="1:98" x14ac:dyDescent="0.3">
      <c r="A2132">
        <v>418</v>
      </c>
      <c r="B2132" t="s">
        <v>2155</v>
      </c>
      <c r="C2132" t="s">
        <v>1263</v>
      </c>
      <c r="D2132" t="s">
        <v>21</v>
      </c>
      <c r="E2132" t="s">
        <v>22</v>
      </c>
      <c r="F2132" s="30">
        <v>45657</v>
      </c>
      <c r="G2132" t="s">
        <v>2163</v>
      </c>
      <c r="H2132" t="s">
        <v>4571</v>
      </c>
      <c r="I2132">
        <v>100</v>
      </c>
      <c r="J2132">
        <v>100</v>
      </c>
      <c r="CL2132">
        <v>100</v>
      </c>
      <c r="CM2132">
        <v>100</v>
      </c>
    </row>
    <row r="2133" spans="1:98" x14ac:dyDescent="0.3">
      <c r="A2133">
        <v>418</v>
      </c>
      <c r="B2133" t="s">
        <v>2155</v>
      </c>
      <c r="C2133" t="s">
        <v>1263</v>
      </c>
      <c r="D2133" t="s">
        <v>21</v>
      </c>
      <c r="E2133" t="s">
        <v>22</v>
      </c>
      <c r="F2133" s="30">
        <v>45657</v>
      </c>
      <c r="G2133" t="s">
        <v>2163</v>
      </c>
      <c r="H2133" t="s">
        <v>4572</v>
      </c>
      <c r="I2133">
        <v>100</v>
      </c>
      <c r="J2133">
        <v>100</v>
      </c>
      <c r="CL2133">
        <v>100</v>
      </c>
      <c r="CM2133">
        <v>100</v>
      </c>
    </row>
    <row r="2134" spans="1:98" x14ac:dyDescent="0.3">
      <c r="A2134">
        <v>418</v>
      </c>
      <c r="B2134" t="s">
        <v>2155</v>
      </c>
      <c r="C2134" t="s">
        <v>1263</v>
      </c>
      <c r="D2134" t="s">
        <v>21</v>
      </c>
      <c r="E2134" t="s">
        <v>22</v>
      </c>
      <c r="F2134" s="30">
        <v>45657</v>
      </c>
      <c r="G2134" t="s">
        <v>2163</v>
      </c>
      <c r="H2134" t="s">
        <v>4573</v>
      </c>
      <c r="I2134">
        <v>100</v>
      </c>
      <c r="J2134">
        <v>100</v>
      </c>
      <c r="CL2134">
        <v>100</v>
      </c>
      <c r="CM2134">
        <v>100</v>
      </c>
    </row>
    <row r="2135" spans="1:98" x14ac:dyDescent="0.3">
      <c r="A2135">
        <v>418</v>
      </c>
      <c r="B2135" t="s">
        <v>2155</v>
      </c>
      <c r="C2135" t="s">
        <v>1263</v>
      </c>
      <c r="D2135" t="s">
        <v>21</v>
      </c>
      <c r="E2135" t="s">
        <v>22</v>
      </c>
      <c r="F2135" s="30">
        <v>45657</v>
      </c>
      <c r="G2135" t="s">
        <v>2163</v>
      </c>
      <c r="H2135" t="s">
        <v>4528</v>
      </c>
      <c r="I2135">
        <v>100</v>
      </c>
      <c r="J2135">
        <v>100</v>
      </c>
      <c r="CL2135">
        <v>100</v>
      </c>
      <c r="CM2135">
        <v>100</v>
      </c>
    </row>
    <row r="2136" spans="1:98" x14ac:dyDescent="0.3">
      <c r="A2136">
        <v>420</v>
      </c>
      <c r="B2136" t="s">
        <v>2172</v>
      </c>
      <c r="C2136" t="s">
        <v>1263</v>
      </c>
      <c r="D2136" t="s">
        <v>21</v>
      </c>
      <c r="E2136" t="s">
        <v>22</v>
      </c>
      <c r="F2136" s="30">
        <v>45657</v>
      </c>
      <c r="G2136" t="s">
        <v>2180</v>
      </c>
      <c r="H2136" t="s">
        <v>4574</v>
      </c>
      <c r="I2136">
        <v>100</v>
      </c>
      <c r="J2136">
        <v>100</v>
      </c>
      <c r="CN2136">
        <v>100</v>
      </c>
      <c r="CO2136">
        <v>100</v>
      </c>
    </row>
    <row r="2137" spans="1:98" x14ac:dyDescent="0.3">
      <c r="A2137">
        <v>420</v>
      </c>
      <c r="B2137" t="s">
        <v>2172</v>
      </c>
      <c r="C2137" t="s">
        <v>1263</v>
      </c>
      <c r="D2137" t="s">
        <v>21</v>
      </c>
      <c r="E2137" t="s">
        <v>22</v>
      </c>
      <c r="F2137" s="30">
        <v>45657</v>
      </c>
      <c r="G2137" t="s">
        <v>2180</v>
      </c>
      <c r="H2137" t="s">
        <v>4575</v>
      </c>
      <c r="I2137">
        <v>100</v>
      </c>
      <c r="J2137">
        <v>100</v>
      </c>
      <c r="CN2137">
        <v>100</v>
      </c>
      <c r="CO2137">
        <v>100</v>
      </c>
    </row>
    <row r="2138" spans="1:98" x14ac:dyDescent="0.3">
      <c r="A2138">
        <v>420</v>
      </c>
      <c r="B2138" t="s">
        <v>2172</v>
      </c>
      <c r="C2138" t="s">
        <v>1263</v>
      </c>
      <c r="D2138" t="s">
        <v>21</v>
      </c>
      <c r="E2138" t="s">
        <v>22</v>
      </c>
      <c r="F2138" s="30">
        <v>45657</v>
      </c>
      <c r="G2138" t="s">
        <v>2180</v>
      </c>
      <c r="H2138" t="s">
        <v>4576</v>
      </c>
      <c r="I2138">
        <v>100</v>
      </c>
      <c r="J2138">
        <v>100</v>
      </c>
      <c r="CN2138">
        <v>100</v>
      </c>
      <c r="CO2138">
        <v>100</v>
      </c>
    </row>
    <row r="2139" spans="1:98" x14ac:dyDescent="0.3">
      <c r="A2139">
        <v>420</v>
      </c>
      <c r="B2139" t="s">
        <v>2172</v>
      </c>
      <c r="C2139" t="s">
        <v>1263</v>
      </c>
      <c r="D2139" t="s">
        <v>21</v>
      </c>
      <c r="E2139" t="s">
        <v>22</v>
      </c>
      <c r="F2139" s="30">
        <v>45657</v>
      </c>
      <c r="G2139" t="s">
        <v>2180</v>
      </c>
      <c r="H2139" t="s">
        <v>4577</v>
      </c>
      <c r="I2139">
        <v>100</v>
      </c>
      <c r="J2139">
        <v>80</v>
      </c>
      <c r="CN2139">
        <v>80</v>
      </c>
      <c r="CO2139">
        <v>100</v>
      </c>
    </row>
    <row r="2140" spans="1:98" x14ac:dyDescent="0.3">
      <c r="A2140">
        <v>420</v>
      </c>
      <c r="B2140" t="s">
        <v>2172</v>
      </c>
      <c r="C2140" t="s">
        <v>1263</v>
      </c>
      <c r="D2140" t="s">
        <v>21</v>
      </c>
      <c r="E2140" t="s">
        <v>22</v>
      </c>
      <c r="F2140" s="30">
        <v>45657</v>
      </c>
      <c r="G2140" t="s">
        <v>2180</v>
      </c>
      <c r="H2140" t="s">
        <v>4578</v>
      </c>
      <c r="I2140">
        <v>100</v>
      </c>
      <c r="J2140">
        <v>100</v>
      </c>
      <c r="CN2140">
        <v>100</v>
      </c>
      <c r="CO2140">
        <v>100</v>
      </c>
    </row>
    <row r="2141" spans="1:98" x14ac:dyDescent="0.3">
      <c r="A2141">
        <v>420</v>
      </c>
      <c r="B2141" t="s">
        <v>2172</v>
      </c>
      <c r="C2141" t="s">
        <v>1263</v>
      </c>
      <c r="D2141" t="s">
        <v>21</v>
      </c>
      <c r="E2141" t="s">
        <v>22</v>
      </c>
      <c r="F2141" s="30">
        <v>45657</v>
      </c>
      <c r="G2141" t="s">
        <v>2180</v>
      </c>
      <c r="H2141" t="s">
        <v>2703</v>
      </c>
      <c r="I2141">
        <v>100</v>
      </c>
      <c r="J2141">
        <v>100</v>
      </c>
      <c r="CN2141">
        <v>100</v>
      </c>
      <c r="CO2141">
        <v>100</v>
      </c>
    </row>
    <row r="2142" spans="1:98" x14ac:dyDescent="0.3">
      <c r="A2142">
        <v>432</v>
      </c>
      <c r="B2142" t="s">
        <v>2247</v>
      </c>
      <c r="C2142" t="s">
        <v>138</v>
      </c>
      <c r="D2142" t="s">
        <v>21</v>
      </c>
      <c r="E2142" t="s">
        <v>22</v>
      </c>
      <c r="F2142" s="30">
        <v>45657</v>
      </c>
      <c r="G2142" t="s">
        <v>2255</v>
      </c>
      <c r="H2142" t="s">
        <v>4583</v>
      </c>
      <c r="I2142">
        <v>90</v>
      </c>
      <c r="J2142">
        <v>100</v>
      </c>
      <c r="CS2142">
        <v>13</v>
      </c>
      <c r="CT2142">
        <v>13</v>
      </c>
    </row>
    <row r="2143" spans="1:98" x14ac:dyDescent="0.3">
      <c r="A2143">
        <v>432</v>
      </c>
      <c r="B2143" t="s">
        <v>2247</v>
      </c>
      <c r="C2143" t="s">
        <v>138</v>
      </c>
      <c r="D2143" t="s">
        <v>21</v>
      </c>
      <c r="E2143" t="s">
        <v>22</v>
      </c>
      <c r="F2143" s="30">
        <v>45657</v>
      </c>
      <c r="G2143" t="s">
        <v>2255</v>
      </c>
      <c r="H2143" t="s">
        <v>4584</v>
      </c>
      <c r="I2143">
        <v>90</v>
      </c>
      <c r="J2143">
        <v>100</v>
      </c>
      <c r="CS2143">
        <v>10</v>
      </c>
      <c r="CT2143">
        <v>10</v>
      </c>
    </row>
    <row r="2144" spans="1:98" x14ac:dyDescent="0.3">
      <c r="A2144">
        <v>432</v>
      </c>
      <c r="B2144" t="s">
        <v>2247</v>
      </c>
      <c r="C2144" t="s">
        <v>138</v>
      </c>
      <c r="D2144" t="s">
        <v>21</v>
      </c>
      <c r="E2144" t="s">
        <v>22</v>
      </c>
      <c r="F2144" s="30">
        <v>45657</v>
      </c>
      <c r="G2144" t="s">
        <v>2255</v>
      </c>
      <c r="H2144" t="s">
        <v>4585</v>
      </c>
      <c r="I2144">
        <v>90</v>
      </c>
      <c r="J2144">
        <v>100</v>
      </c>
      <c r="CS2144">
        <v>7</v>
      </c>
      <c r="CT2144">
        <v>7</v>
      </c>
    </row>
    <row r="2145" spans="1:132" x14ac:dyDescent="0.3">
      <c r="A2145">
        <v>432</v>
      </c>
      <c r="B2145" t="s">
        <v>2247</v>
      </c>
      <c r="C2145" t="s">
        <v>138</v>
      </c>
      <c r="D2145" t="s">
        <v>21</v>
      </c>
      <c r="E2145" t="s">
        <v>22</v>
      </c>
      <c r="F2145" s="30">
        <v>45657</v>
      </c>
      <c r="G2145" t="s">
        <v>2255</v>
      </c>
      <c r="H2145" t="s">
        <v>4586</v>
      </c>
      <c r="I2145">
        <v>90</v>
      </c>
      <c r="J2145">
        <v>100</v>
      </c>
      <c r="CS2145">
        <v>4</v>
      </c>
      <c r="CT2145">
        <v>4</v>
      </c>
    </row>
    <row r="2146" spans="1:132" x14ac:dyDescent="0.3">
      <c r="A2146">
        <v>432</v>
      </c>
      <c r="B2146" t="s">
        <v>2247</v>
      </c>
      <c r="C2146" t="s">
        <v>138</v>
      </c>
      <c r="D2146" t="s">
        <v>21</v>
      </c>
      <c r="E2146" t="s">
        <v>22</v>
      </c>
      <c r="F2146" s="30">
        <v>45657</v>
      </c>
      <c r="G2146" t="s">
        <v>2255</v>
      </c>
      <c r="H2146" t="s">
        <v>4587</v>
      </c>
      <c r="I2146">
        <v>90</v>
      </c>
      <c r="J2146">
        <v>100</v>
      </c>
      <c r="CS2146">
        <v>8</v>
      </c>
      <c r="CT2146">
        <v>8</v>
      </c>
    </row>
    <row r="2147" spans="1:132" x14ac:dyDescent="0.3">
      <c r="A2147">
        <v>432</v>
      </c>
      <c r="B2147" t="s">
        <v>2247</v>
      </c>
      <c r="C2147" t="s">
        <v>138</v>
      </c>
      <c r="D2147" t="s">
        <v>21</v>
      </c>
      <c r="E2147" t="s">
        <v>22</v>
      </c>
      <c r="F2147" s="30">
        <v>45657</v>
      </c>
      <c r="G2147" t="s">
        <v>2255</v>
      </c>
      <c r="H2147" t="s">
        <v>4588</v>
      </c>
      <c r="I2147">
        <v>90</v>
      </c>
      <c r="J2147">
        <v>100</v>
      </c>
      <c r="CS2147">
        <v>3</v>
      </c>
      <c r="CT2147">
        <v>3</v>
      </c>
    </row>
    <row r="2148" spans="1:132" x14ac:dyDescent="0.3">
      <c r="A2148">
        <v>432</v>
      </c>
      <c r="B2148" t="s">
        <v>2247</v>
      </c>
      <c r="C2148" t="s">
        <v>138</v>
      </c>
      <c r="D2148" t="s">
        <v>21</v>
      </c>
      <c r="E2148" t="s">
        <v>22</v>
      </c>
      <c r="F2148" s="30">
        <v>45657</v>
      </c>
      <c r="G2148" t="s">
        <v>2255</v>
      </c>
      <c r="H2148" t="s">
        <v>4589</v>
      </c>
      <c r="I2148">
        <v>90</v>
      </c>
      <c r="J2148">
        <v>100</v>
      </c>
      <c r="CS2148">
        <v>1</v>
      </c>
      <c r="CT2148">
        <v>1</v>
      </c>
    </row>
    <row r="2149" spans="1:132" x14ac:dyDescent="0.3">
      <c r="A2149">
        <v>432</v>
      </c>
      <c r="B2149" t="s">
        <v>2247</v>
      </c>
      <c r="C2149" t="s">
        <v>138</v>
      </c>
      <c r="D2149" t="s">
        <v>21</v>
      </c>
      <c r="E2149" t="s">
        <v>22</v>
      </c>
      <c r="F2149" s="30">
        <v>45657</v>
      </c>
      <c r="G2149" t="s">
        <v>2255</v>
      </c>
      <c r="H2149" t="s">
        <v>4590</v>
      </c>
      <c r="I2149">
        <v>90</v>
      </c>
      <c r="J2149">
        <v>100</v>
      </c>
      <c r="CS2149">
        <v>3</v>
      </c>
      <c r="CT2149">
        <v>3</v>
      </c>
    </row>
    <row r="2150" spans="1:132" x14ac:dyDescent="0.3">
      <c r="A2150">
        <v>432</v>
      </c>
      <c r="B2150" t="s">
        <v>2247</v>
      </c>
      <c r="C2150" t="s">
        <v>138</v>
      </c>
      <c r="D2150" t="s">
        <v>21</v>
      </c>
      <c r="E2150" t="s">
        <v>22</v>
      </c>
      <c r="F2150" s="30">
        <v>45657</v>
      </c>
      <c r="G2150" t="s">
        <v>2255</v>
      </c>
      <c r="H2150" t="s">
        <v>4591</v>
      </c>
      <c r="I2150">
        <v>90</v>
      </c>
      <c r="J2150">
        <v>100</v>
      </c>
      <c r="CS2150">
        <v>18</v>
      </c>
      <c r="CT2150">
        <v>18</v>
      </c>
    </row>
    <row r="2151" spans="1:132" x14ac:dyDescent="0.3">
      <c r="A2151">
        <v>456</v>
      </c>
      <c r="B2151" t="s">
        <v>2419</v>
      </c>
      <c r="C2151" t="s">
        <v>207</v>
      </c>
      <c r="D2151" t="s">
        <v>21</v>
      </c>
      <c r="E2151" t="s">
        <v>22</v>
      </c>
      <c r="F2151" s="30">
        <v>45657</v>
      </c>
      <c r="G2151" t="s">
        <v>2421</v>
      </c>
      <c r="H2151" t="s">
        <v>4636</v>
      </c>
      <c r="I2151">
        <v>100</v>
      </c>
      <c r="J2151">
        <v>92.860000610351563</v>
      </c>
      <c r="DY2151">
        <v>28</v>
      </c>
      <c r="DZ2151">
        <v>26</v>
      </c>
    </row>
    <row r="2152" spans="1:132" x14ac:dyDescent="0.3">
      <c r="A2152">
        <v>456</v>
      </c>
      <c r="B2152" t="s">
        <v>2419</v>
      </c>
      <c r="C2152" t="s">
        <v>207</v>
      </c>
      <c r="D2152" t="s">
        <v>21</v>
      </c>
      <c r="E2152" t="s">
        <v>22</v>
      </c>
      <c r="F2152" s="30">
        <v>45657</v>
      </c>
      <c r="G2152" t="s">
        <v>2421</v>
      </c>
      <c r="H2152" t="s">
        <v>4512</v>
      </c>
      <c r="I2152">
        <v>100</v>
      </c>
      <c r="J2152">
        <v>94.739997863769531</v>
      </c>
      <c r="DY2152">
        <v>19</v>
      </c>
      <c r="DZ2152">
        <v>18</v>
      </c>
    </row>
    <row r="2153" spans="1:132" x14ac:dyDescent="0.3">
      <c r="A2153">
        <v>456</v>
      </c>
      <c r="B2153" t="s">
        <v>2419</v>
      </c>
      <c r="C2153" t="s">
        <v>207</v>
      </c>
      <c r="D2153" t="s">
        <v>21</v>
      </c>
      <c r="E2153" t="s">
        <v>22</v>
      </c>
      <c r="F2153" s="30">
        <v>45657</v>
      </c>
      <c r="G2153" t="s">
        <v>2421</v>
      </c>
      <c r="H2153" t="s">
        <v>4511</v>
      </c>
      <c r="I2153">
        <v>100</v>
      </c>
      <c r="J2153">
        <v>95.449996948242188</v>
      </c>
      <c r="DY2153">
        <v>66</v>
      </c>
      <c r="DZ2153">
        <v>63</v>
      </c>
    </row>
    <row r="2154" spans="1:132" x14ac:dyDescent="0.3">
      <c r="A2154">
        <v>457</v>
      </c>
      <c r="B2154" t="s">
        <v>2426</v>
      </c>
      <c r="C2154" t="s">
        <v>207</v>
      </c>
      <c r="D2154" t="s">
        <v>21</v>
      </c>
      <c r="E2154" t="s">
        <v>22</v>
      </c>
      <c r="F2154" s="30">
        <v>45657</v>
      </c>
      <c r="G2154" t="s">
        <v>2428</v>
      </c>
      <c r="H2154" t="s">
        <v>4636</v>
      </c>
      <c r="I2154">
        <v>100</v>
      </c>
      <c r="J2154">
        <v>25</v>
      </c>
      <c r="EA2154">
        <v>4</v>
      </c>
      <c r="EB2154">
        <v>1</v>
      </c>
    </row>
    <row r="2155" spans="1:132" x14ac:dyDescent="0.3">
      <c r="A2155">
        <v>457</v>
      </c>
      <c r="B2155" t="s">
        <v>2426</v>
      </c>
      <c r="C2155" t="s">
        <v>207</v>
      </c>
      <c r="D2155" t="s">
        <v>21</v>
      </c>
      <c r="E2155" t="s">
        <v>22</v>
      </c>
      <c r="F2155" s="30">
        <v>45657</v>
      </c>
      <c r="G2155" t="s">
        <v>2428</v>
      </c>
      <c r="H2155" t="s">
        <v>4512</v>
      </c>
      <c r="I2155">
        <v>100</v>
      </c>
      <c r="J2155">
        <v>75</v>
      </c>
      <c r="EA2155">
        <v>4</v>
      </c>
      <c r="EB2155">
        <v>3</v>
      </c>
    </row>
    <row r="2156" spans="1:132" x14ac:dyDescent="0.3">
      <c r="A2156">
        <v>457</v>
      </c>
      <c r="B2156" t="s">
        <v>2426</v>
      </c>
      <c r="C2156" t="s">
        <v>207</v>
      </c>
      <c r="D2156" t="s">
        <v>21</v>
      </c>
      <c r="E2156" t="s">
        <v>22</v>
      </c>
      <c r="F2156" s="30">
        <v>45657</v>
      </c>
      <c r="G2156" t="s">
        <v>2428</v>
      </c>
      <c r="H2156" t="s">
        <v>4511</v>
      </c>
      <c r="I2156">
        <v>100</v>
      </c>
      <c r="J2156">
        <v>150</v>
      </c>
      <c r="EA2156">
        <v>2</v>
      </c>
      <c r="EB2156">
        <v>3</v>
      </c>
    </row>
    <row r="2157" spans="1:132" x14ac:dyDescent="0.3">
      <c r="A2157">
        <v>469</v>
      </c>
      <c r="B2157" t="s">
        <v>2168</v>
      </c>
      <c r="C2157" t="s">
        <v>1263</v>
      </c>
      <c r="D2157" t="s">
        <v>21</v>
      </c>
      <c r="E2157" t="s">
        <v>22</v>
      </c>
      <c r="F2157" s="30">
        <v>45657</v>
      </c>
      <c r="G2157" t="s">
        <v>2460</v>
      </c>
      <c r="H2157" t="s">
        <v>4608</v>
      </c>
      <c r="I2157">
        <v>100</v>
      </c>
      <c r="J2157">
        <v>100</v>
      </c>
      <c r="DF2157">
        <v>100</v>
      </c>
      <c r="DG2157">
        <v>100</v>
      </c>
    </row>
    <row r="2158" spans="1:132" x14ac:dyDescent="0.3">
      <c r="A2158">
        <v>469</v>
      </c>
      <c r="B2158" t="s">
        <v>2168</v>
      </c>
      <c r="C2158" t="s">
        <v>1263</v>
      </c>
      <c r="D2158" t="s">
        <v>21</v>
      </c>
      <c r="E2158" t="s">
        <v>22</v>
      </c>
      <c r="F2158" s="30">
        <v>45657</v>
      </c>
      <c r="G2158" t="s">
        <v>2460</v>
      </c>
      <c r="H2158" t="s">
        <v>4612</v>
      </c>
      <c r="I2158">
        <v>100</v>
      </c>
      <c r="J2158">
        <v>100</v>
      </c>
      <c r="DF2158">
        <v>100</v>
      </c>
      <c r="DG2158">
        <v>100</v>
      </c>
    </row>
    <row r="2159" spans="1:132" x14ac:dyDescent="0.3">
      <c r="A2159">
        <v>469</v>
      </c>
      <c r="B2159" t="s">
        <v>2168</v>
      </c>
      <c r="C2159" t="s">
        <v>1263</v>
      </c>
      <c r="D2159" t="s">
        <v>21</v>
      </c>
      <c r="E2159" t="s">
        <v>22</v>
      </c>
      <c r="F2159" s="30">
        <v>45657</v>
      </c>
      <c r="G2159" t="s">
        <v>2460</v>
      </c>
      <c r="H2159" t="s">
        <v>4610</v>
      </c>
      <c r="I2159">
        <v>100</v>
      </c>
      <c r="J2159">
        <v>100</v>
      </c>
      <c r="DF2159">
        <v>100</v>
      </c>
      <c r="DG2159">
        <v>100</v>
      </c>
    </row>
    <row r="2160" spans="1:132" x14ac:dyDescent="0.3">
      <c r="A2160">
        <v>469</v>
      </c>
      <c r="B2160" t="s">
        <v>2168</v>
      </c>
      <c r="C2160" t="s">
        <v>1263</v>
      </c>
      <c r="D2160" t="s">
        <v>21</v>
      </c>
      <c r="E2160" t="s">
        <v>22</v>
      </c>
      <c r="F2160" s="30">
        <v>45657</v>
      </c>
      <c r="G2160" t="s">
        <v>2460</v>
      </c>
      <c r="H2160" t="s">
        <v>4617</v>
      </c>
      <c r="I2160">
        <v>100</v>
      </c>
      <c r="J2160">
        <v>100</v>
      </c>
      <c r="DF2160">
        <v>100</v>
      </c>
      <c r="DG2160">
        <v>100</v>
      </c>
    </row>
    <row r="2161" spans="1:115" x14ac:dyDescent="0.3">
      <c r="A2161">
        <v>469</v>
      </c>
      <c r="B2161" t="s">
        <v>2168</v>
      </c>
      <c r="C2161" t="s">
        <v>1263</v>
      </c>
      <c r="D2161" t="s">
        <v>21</v>
      </c>
      <c r="E2161" t="s">
        <v>22</v>
      </c>
      <c r="F2161" s="30">
        <v>45657</v>
      </c>
      <c r="G2161" t="s">
        <v>2460</v>
      </c>
      <c r="H2161" t="s">
        <v>4614</v>
      </c>
      <c r="I2161">
        <v>100</v>
      </c>
      <c r="J2161">
        <v>100</v>
      </c>
      <c r="DF2161">
        <v>100</v>
      </c>
      <c r="DG2161">
        <v>100</v>
      </c>
    </row>
    <row r="2162" spans="1:115" x14ac:dyDescent="0.3">
      <c r="A2162">
        <v>469</v>
      </c>
      <c r="B2162" t="s">
        <v>2168</v>
      </c>
      <c r="C2162" t="s">
        <v>1263</v>
      </c>
      <c r="D2162" t="s">
        <v>21</v>
      </c>
      <c r="E2162" t="s">
        <v>22</v>
      </c>
      <c r="F2162" s="30">
        <v>45657</v>
      </c>
      <c r="G2162" t="s">
        <v>2460</v>
      </c>
      <c r="H2162" t="s">
        <v>4609</v>
      </c>
      <c r="I2162">
        <v>100</v>
      </c>
      <c r="J2162">
        <v>100</v>
      </c>
      <c r="DF2162">
        <v>100</v>
      </c>
      <c r="DG2162">
        <v>100</v>
      </c>
    </row>
    <row r="2163" spans="1:115" x14ac:dyDescent="0.3">
      <c r="A2163">
        <v>469</v>
      </c>
      <c r="B2163" t="s">
        <v>2168</v>
      </c>
      <c r="C2163" t="s">
        <v>1263</v>
      </c>
      <c r="D2163" t="s">
        <v>21</v>
      </c>
      <c r="E2163" t="s">
        <v>22</v>
      </c>
      <c r="F2163" s="30">
        <v>45657</v>
      </c>
      <c r="G2163" t="s">
        <v>2460</v>
      </c>
      <c r="H2163" t="s">
        <v>4616</v>
      </c>
      <c r="I2163">
        <v>100</v>
      </c>
      <c r="J2163">
        <v>100</v>
      </c>
      <c r="DF2163">
        <v>100</v>
      </c>
      <c r="DG2163">
        <v>100</v>
      </c>
    </row>
    <row r="2164" spans="1:115" x14ac:dyDescent="0.3">
      <c r="A2164">
        <v>469</v>
      </c>
      <c r="B2164" t="s">
        <v>2168</v>
      </c>
      <c r="C2164" t="s">
        <v>1263</v>
      </c>
      <c r="D2164" t="s">
        <v>21</v>
      </c>
      <c r="E2164" t="s">
        <v>22</v>
      </c>
      <c r="F2164" s="30">
        <v>45657</v>
      </c>
      <c r="G2164" t="s">
        <v>2460</v>
      </c>
      <c r="H2164" t="s">
        <v>4613</v>
      </c>
      <c r="I2164">
        <v>100</v>
      </c>
      <c r="J2164">
        <v>97</v>
      </c>
      <c r="DF2164">
        <v>97</v>
      </c>
      <c r="DG2164">
        <v>100</v>
      </c>
    </row>
    <row r="2165" spans="1:115" x14ac:dyDescent="0.3">
      <c r="A2165">
        <v>469</v>
      </c>
      <c r="B2165" t="s">
        <v>2168</v>
      </c>
      <c r="C2165" t="s">
        <v>1263</v>
      </c>
      <c r="D2165" t="s">
        <v>21</v>
      </c>
      <c r="E2165" t="s">
        <v>22</v>
      </c>
      <c r="F2165" s="30">
        <v>45657</v>
      </c>
      <c r="G2165" t="s">
        <v>2460</v>
      </c>
      <c r="H2165" t="s">
        <v>4615</v>
      </c>
      <c r="I2165">
        <v>100</v>
      </c>
      <c r="J2165">
        <v>100</v>
      </c>
      <c r="DF2165">
        <v>100</v>
      </c>
      <c r="DG2165">
        <v>100</v>
      </c>
    </row>
    <row r="2166" spans="1:115" x14ac:dyDescent="0.3">
      <c r="A2166">
        <v>469</v>
      </c>
      <c r="B2166" t="s">
        <v>2168</v>
      </c>
      <c r="C2166" t="s">
        <v>1263</v>
      </c>
      <c r="D2166" t="s">
        <v>21</v>
      </c>
      <c r="E2166" t="s">
        <v>22</v>
      </c>
      <c r="F2166" s="30">
        <v>45657</v>
      </c>
      <c r="G2166" t="s">
        <v>2460</v>
      </c>
      <c r="H2166" t="s">
        <v>4611</v>
      </c>
      <c r="I2166">
        <v>100</v>
      </c>
      <c r="J2166">
        <v>100</v>
      </c>
      <c r="DF2166">
        <v>100</v>
      </c>
      <c r="DG2166">
        <v>100</v>
      </c>
    </row>
    <row r="2167" spans="1:115" x14ac:dyDescent="0.3">
      <c r="A2167">
        <v>470</v>
      </c>
      <c r="B2167" t="s">
        <v>2465</v>
      </c>
      <c r="C2167" t="s">
        <v>1263</v>
      </c>
      <c r="D2167" t="s">
        <v>21</v>
      </c>
      <c r="E2167" t="s">
        <v>22</v>
      </c>
      <c r="F2167" s="30">
        <v>45657</v>
      </c>
      <c r="G2167" t="s">
        <v>2469</v>
      </c>
      <c r="H2167" t="s">
        <v>4620</v>
      </c>
      <c r="I2167">
        <v>100</v>
      </c>
      <c r="J2167">
        <v>100</v>
      </c>
      <c r="DH2167">
        <v>100</v>
      </c>
      <c r="DI2167">
        <v>100</v>
      </c>
    </row>
    <row r="2168" spans="1:115" x14ac:dyDescent="0.3">
      <c r="A2168">
        <v>470</v>
      </c>
      <c r="B2168" t="s">
        <v>2465</v>
      </c>
      <c r="C2168" t="s">
        <v>1263</v>
      </c>
      <c r="D2168" t="s">
        <v>21</v>
      </c>
      <c r="E2168" t="s">
        <v>22</v>
      </c>
      <c r="F2168" s="30">
        <v>45657</v>
      </c>
      <c r="G2168" t="s">
        <v>2469</v>
      </c>
      <c r="H2168" t="s">
        <v>4621</v>
      </c>
      <c r="I2168">
        <v>100</v>
      </c>
      <c r="J2168">
        <v>100</v>
      </c>
      <c r="DH2168">
        <v>100</v>
      </c>
      <c r="DI2168">
        <v>100</v>
      </c>
    </row>
    <row r="2169" spans="1:115" x14ac:dyDescent="0.3">
      <c r="A2169">
        <v>470</v>
      </c>
      <c r="B2169" t="s">
        <v>2465</v>
      </c>
      <c r="C2169" t="s">
        <v>1263</v>
      </c>
      <c r="D2169" t="s">
        <v>21</v>
      </c>
      <c r="E2169" t="s">
        <v>22</v>
      </c>
      <c r="F2169" s="30">
        <v>45657</v>
      </c>
      <c r="G2169" t="s">
        <v>2469</v>
      </c>
      <c r="H2169" t="s">
        <v>4622</v>
      </c>
      <c r="I2169">
        <v>100</v>
      </c>
      <c r="J2169">
        <v>100</v>
      </c>
      <c r="DH2169">
        <v>100</v>
      </c>
      <c r="DI2169">
        <v>100</v>
      </c>
    </row>
    <row r="2170" spans="1:115" x14ac:dyDescent="0.3">
      <c r="A2170">
        <v>470</v>
      </c>
      <c r="B2170" t="s">
        <v>2465</v>
      </c>
      <c r="C2170" t="s">
        <v>1263</v>
      </c>
      <c r="D2170" t="s">
        <v>21</v>
      </c>
      <c r="E2170" t="s">
        <v>22</v>
      </c>
      <c r="F2170" s="30">
        <v>45657</v>
      </c>
      <c r="G2170" t="s">
        <v>2469</v>
      </c>
      <c r="H2170" t="s">
        <v>4619</v>
      </c>
      <c r="I2170">
        <v>100</v>
      </c>
      <c r="J2170">
        <v>100</v>
      </c>
      <c r="DH2170">
        <v>100</v>
      </c>
      <c r="DI2170">
        <v>100</v>
      </c>
    </row>
    <row r="2171" spans="1:115" x14ac:dyDescent="0.3">
      <c r="A2171">
        <v>470</v>
      </c>
      <c r="B2171" t="s">
        <v>2465</v>
      </c>
      <c r="C2171" t="s">
        <v>1263</v>
      </c>
      <c r="D2171" t="s">
        <v>21</v>
      </c>
      <c r="E2171" t="s">
        <v>22</v>
      </c>
      <c r="F2171" s="30">
        <v>45657</v>
      </c>
      <c r="G2171" t="s">
        <v>2469</v>
      </c>
      <c r="H2171" t="s">
        <v>4618</v>
      </c>
      <c r="I2171">
        <v>100</v>
      </c>
      <c r="J2171">
        <v>100</v>
      </c>
      <c r="DH2171">
        <v>100</v>
      </c>
      <c r="DI2171">
        <v>100</v>
      </c>
    </row>
    <row r="2172" spans="1:115" x14ac:dyDescent="0.3">
      <c r="A2172">
        <v>471</v>
      </c>
      <c r="B2172" t="s">
        <v>2474</v>
      </c>
      <c r="C2172" t="s">
        <v>1263</v>
      </c>
      <c r="D2172" t="s">
        <v>21</v>
      </c>
      <c r="E2172" t="s">
        <v>22</v>
      </c>
      <c r="F2172" s="30">
        <v>45657</v>
      </c>
      <c r="G2172" t="s">
        <v>2478</v>
      </c>
      <c r="H2172" t="s">
        <v>4623</v>
      </c>
      <c r="I2172">
        <v>100</v>
      </c>
      <c r="J2172">
        <v>100</v>
      </c>
      <c r="DJ2172">
        <v>100</v>
      </c>
      <c r="DK2172">
        <v>100</v>
      </c>
    </row>
    <row r="2173" spans="1:115" x14ac:dyDescent="0.3">
      <c r="A2173">
        <v>471</v>
      </c>
      <c r="B2173" t="s">
        <v>2474</v>
      </c>
      <c r="C2173" t="s">
        <v>1263</v>
      </c>
      <c r="D2173" t="s">
        <v>21</v>
      </c>
      <c r="E2173" t="s">
        <v>22</v>
      </c>
      <c r="F2173" s="30">
        <v>45657</v>
      </c>
      <c r="G2173" t="s">
        <v>2478</v>
      </c>
      <c r="H2173" t="s">
        <v>4628</v>
      </c>
      <c r="I2173">
        <v>100</v>
      </c>
      <c r="J2173">
        <v>100</v>
      </c>
      <c r="DJ2173">
        <v>100</v>
      </c>
      <c r="DK2173">
        <v>100</v>
      </c>
    </row>
    <row r="2174" spans="1:115" x14ac:dyDescent="0.3">
      <c r="A2174">
        <v>471</v>
      </c>
      <c r="B2174" t="s">
        <v>2474</v>
      </c>
      <c r="C2174" t="s">
        <v>1263</v>
      </c>
      <c r="D2174" t="s">
        <v>21</v>
      </c>
      <c r="E2174" t="s">
        <v>22</v>
      </c>
      <c r="F2174" s="30">
        <v>45657</v>
      </c>
      <c r="G2174" t="s">
        <v>2478</v>
      </c>
      <c r="H2174" t="s">
        <v>4626</v>
      </c>
      <c r="I2174">
        <v>100</v>
      </c>
      <c r="J2174">
        <v>100</v>
      </c>
      <c r="DJ2174">
        <v>100</v>
      </c>
      <c r="DK2174">
        <v>100</v>
      </c>
    </row>
    <row r="2175" spans="1:115" x14ac:dyDescent="0.3">
      <c r="A2175">
        <v>471</v>
      </c>
      <c r="B2175" t="s">
        <v>2474</v>
      </c>
      <c r="C2175" t="s">
        <v>1263</v>
      </c>
      <c r="D2175" t="s">
        <v>21</v>
      </c>
      <c r="E2175" t="s">
        <v>22</v>
      </c>
      <c r="F2175" s="30">
        <v>45657</v>
      </c>
      <c r="G2175" t="s">
        <v>2478</v>
      </c>
      <c r="H2175" t="s">
        <v>4627</v>
      </c>
      <c r="I2175">
        <v>100</v>
      </c>
      <c r="J2175">
        <v>100</v>
      </c>
      <c r="DJ2175">
        <v>100</v>
      </c>
      <c r="DK2175">
        <v>100</v>
      </c>
    </row>
    <row r="2176" spans="1:115" x14ac:dyDescent="0.3">
      <c r="A2176">
        <v>471</v>
      </c>
      <c r="B2176" t="s">
        <v>2474</v>
      </c>
      <c r="C2176" t="s">
        <v>1263</v>
      </c>
      <c r="D2176" t="s">
        <v>21</v>
      </c>
      <c r="E2176" t="s">
        <v>22</v>
      </c>
      <c r="F2176" s="30">
        <v>45657</v>
      </c>
      <c r="G2176" t="s">
        <v>2478</v>
      </c>
      <c r="H2176" t="s">
        <v>4624</v>
      </c>
      <c r="I2176">
        <v>100</v>
      </c>
      <c r="J2176">
        <v>100</v>
      </c>
      <c r="DJ2176">
        <v>100</v>
      </c>
      <c r="DK2176">
        <v>100</v>
      </c>
    </row>
    <row r="2177" spans="1:115" x14ac:dyDescent="0.3">
      <c r="A2177">
        <v>471</v>
      </c>
      <c r="B2177" t="s">
        <v>2474</v>
      </c>
      <c r="C2177" t="s">
        <v>1263</v>
      </c>
      <c r="D2177" t="s">
        <v>21</v>
      </c>
      <c r="E2177" t="s">
        <v>22</v>
      </c>
      <c r="F2177" s="30">
        <v>45657</v>
      </c>
      <c r="G2177" t="s">
        <v>2478</v>
      </c>
      <c r="H2177" t="s">
        <v>4629</v>
      </c>
      <c r="I2177">
        <v>100</v>
      </c>
      <c r="J2177">
        <v>96</v>
      </c>
      <c r="DJ2177">
        <v>96</v>
      </c>
      <c r="DK2177">
        <v>100</v>
      </c>
    </row>
    <row r="2178" spans="1:115" x14ac:dyDescent="0.3">
      <c r="A2178">
        <v>471</v>
      </c>
      <c r="B2178" t="s">
        <v>2474</v>
      </c>
      <c r="C2178" t="s">
        <v>1263</v>
      </c>
      <c r="D2178" t="s">
        <v>21</v>
      </c>
      <c r="E2178" t="s">
        <v>22</v>
      </c>
      <c r="F2178" s="30">
        <v>45657</v>
      </c>
      <c r="G2178" t="s">
        <v>2478</v>
      </c>
      <c r="H2178" t="s">
        <v>4625</v>
      </c>
      <c r="I2178">
        <v>100</v>
      </c>
      <c r="J2178">
        <v>97</v>
      </c>
      <c r="DJ2178">
        <v>97</v>
      </c>
      <c r="DK2178">
        <v>100</v>
      </c>
    </row>
    <row r="2179" spans="1:115" x14ac:dyDescent="0.3">
      <c r="A2179">
        <v>216</v>
      </c>
      <c r="B2179" t="s">
        <v>835</v>
      </c>
      <c r="C2179" t="s">
        <v>251</v>
      </c>
      <c r="D2179" t="s">
        <v>139</v>
      </c>
      <c r="E2179" t="s">
        <v>22</v>
      </c>
      <c r="F2179" s="30">
        <v>45657</v>
      </c>
      <c r="G2179" t="s">
        <v>838</v>
      </c>
      <c r="H2179" t="s">
        <v>4470</v>
      </c>
      <c r="I2179">
        <v>100</v>
      </c>
      <c r="J2179">
        <v>100</v>
      </c>
      <c r="AE2179">
        <v>1024.94</v>
      </c>
      <c r="AF2179">
        <v>1024.94</v>
      </c>
    </row>
    <row r="2180" spans="1:115" x14ac:dyDescent="0.3">
      <c r="A2180">
        <v>216</v>
      </c>
      <c r="B2180" t="s">
        <v>835</v>
      </c>
      <c r="C2180" t="s">
        <v>251</v>
      </c>
      <c r="D2180" t="s">
        <v>139</v>
      </c>
      <c r="E2180" t="s">
        <v>22</v>
      </c>
      <c r="F2180" s="30">
        <v>45657</v>
      </c>
      <c r="G2180" t="s">
        <v>838</v>
      </c>
      <c r="H2180" t="s">
        <v>4477</v>
      </c>
      <c r="I2180">
        <v>100</v>
      </c>
      <c r="J2180">
        <v>0</v>
      </c>
      <c r="AE2180">
        <v>0</v>
      </c>
      <c r="AF2180">
        <v>0</v>
      </c>
    </row>
    <row r="2181" spans="1:115" x14ac:dyDescent="0.3">
      <c r="A2181">
        <v>216</v>
      </c>
      <c r="B2181" t="s">
        <v>835</v>
      </c>
      <c r="C2181" t="s">
        <v>251</v>
      </c>
      <c r="D2181" t="s">
        <v>139</v>
      </c>
      <c r="E2181" t="s">
        <v>22</v>
      </c>
      <c r="F2181" s="30">
        <v>45657</v>
      </c>
      <c r="G2181" t="s">
        <v>838</v>
      </c>
      <c r="H2181" t="s">
        <v>4469</v>
      </c>
      <c r="I2181">
        <v>100</v>
      </c>
      <c r="J2181">
        <v>100</v>
      </c>
      <c r="AE2181">
        <v>730.2</v>
      </c>
      <c r="AF2181">
        <v>730.2</v>
      </c>
    </row>
    <row r="2182" spans="1:115" x14ac:dyDescent="0.3">
      <c r="A2182">
        <v>216</v>
      </c>
      <c r="B2182" t="s">
        <v>835</v>
      </c>
      <c r="C2182" t="s">
        <v>251</v>
      </c>
      <c r="D2182" t="s">
        <v>139</v>
      </c>
      <c r="E2182" t="s">
        <v>22</v>
      </c>
      <c r="F2182" s="30">
        <v>45657</v>
      </c>
      <c r="G2182" t="s">
        <v>838</v>
      </c>
      <c r="H2182" t="s">
        <v>4476</v>
      </c>
      <c r="I2182">
        <v>100</v>
      </c>
      <c r="J2182">
        <v>100</v>
      </c>
      <c r="AE2182">
        <v>2.12</v>
      </c>
      <c r="AF2182">
        <v>2.12</v>
      </c>
    </row>
    <row r="2183" spans="1:115" x14ac:dyDescent="0.3">
      <c r="A2183">
        <v>216</v>
      </c>
      <c r="B2183" t="s">
        <v>835</v>
      </c>
      <c r="C2183" t="s">
        <v>251</v>
      </c>
      <c r="D2183" t="s">
        <v>139</v>
      </c>
      <c r="E2183" t="s">
        <v>22</v>
      </c>
      <c r="F2183" s="30">
        <v>45657</v>
      </c>
      <c r="G2183" t="s">
        <v>838</v>
      </c>
      <c r="H2183" t="s">
        <v>4478</v>
      </c>
      <c r="I2183">
        <v>100</v>
      </c>
      <c r="J2183">
        <v>0</v>
      </c>
      <c r="AE2183">
        <v>0</v>
      </c>
      <c r="AF2183">
        <v>0</v>
      </c>
    </row>
    <row r="2184" spans="1:115" x14ac:dyDescent="0.3">
      <c r="A2184">
        <v>216</v>
      </c>
      <c r="B2184" t="s">
        <v>835</v>
      </c>
      <c r="C2184" t="s">
        <v>251</v>
      </c>
      <c r="D2184" t="s">
        <v>139</v>
      </c>
      <c r="E2184" t="s">
        <v>22</v>
      </c>
      <c r="F2184" s="30">
        <v>45657</v>
      </c>
      <c r="G2184" t="s">
        <v>838</v>
      </c>
      <c r="H2184" t="s">
        <v>4468</v>
      </c>
      <c r="I2184">
        <v>100</v>
      </c>
      <c r="J2184">
        <v>100</v>
      </c>
      <c r="AE2184">
        <v>8040.23</v>
      </c>
      <c r="AF2184">
        <v>8040.23</v>
      </c>
    </row>
    <row r="2185" spans="1:115" x14ac:dyDescent="0.3">
      <c r="A2185">
        <v>221</v>
      </c>
      <c r="B2185" t="s">
        <v>956</v>
      </c>
      <c r="C2185" t="s">
        <v>251</v>
      </c>
      <c r="D2185" t="s">
        <v>139</v>
      </c>
      <c r="E2185" t="s">
        <v>22</v>
      </c>
      <c r="F2185" s="30">
        <v>45657</v>
      </c>
      <c r="G2185" t="s">
        <v>959</v>
      </c>
      <c r="H2185" t="s">
        <v>4468</v>
      </c>
      <c r="I2185">
        <v>100</v>
      </c>
      <c r="J2185">
        <v>25</v>
      </c>
      <c r="AG2185">
        <v>2</v>
      </c>
      <c r="AH2185">
        <v>8</v>
      </c>
    </row>
    <row r="2186" spans="1:115" x14ac:dyDescent="0.3">
      <c r="A2186">
        <v>221</v>
      </c>
      <c r="B2186" t="s">
        <v>956</v>
      </c>
      <c r="C2186" t="s">
        <v>251</v>
      </c>
      <c r="D2186" t="s">
        <v>139</v>
      </c>
      <c r="E2186" t="s">
        <v>22</v>
      </c>
      <c r="F2186" s="30">
        <v>45657</v>
      </c>
      <c r="G2186" t="s">
        <v>959</v>
      </c>
      <c r="H2186" t="s">
        <v>4470</v>
      </c>
      <c r="I2186">
        <v>100</v>
      </c>
      <c r="J2186">
        <v>0</v>
      </c>
      <c r="AG2186">
        <v>0</v>
      </c>
      <c r="AH2186">
        <v>4</v>
      </c>
    </row>
    <row r="2187" spans="1:115" x14ac:dyDescent="0.3">
      <c r="A2187">
        <v>221</v>
      </c>
      <c r="B2187" t="s">
        <v>956</v>
      </c>
      <c r="C2187" t="s">
        <v>251</v>
      </c>
      <c r="D2187" t="s">
        <v>139</v>
      </c>
      <c r="E2187" t="s">
        <v>22</v>
      </c>
      <c r="F2187" s="30">
        <v>45657</v>
      </c>
      <c r="G2187" t="s">
        <v>959</v>
      </c>
      <c r="H2187" t="s">
        <v>4477</v>
      </c>
      <c r="I2187">
        <v>100</v>
      </c>
      <c r="J2187">
        <v>0</v>
      </c>
      <c r="AG2187">
        <v>0</v>
      </c>
      <c r="AH2187">
        <v>0</v>
      </c>
    </row>
    <row r="2188" spans="1:115" x14ac:dyDescent="0.3">
      <c r="A2188">
        <v>221</v>
      </c>
      <c r="B2188" t="s">
        <v>956</v>
      </c>
      <c r="C2188" t="s">
        <v>251</v>
      </c>
      <c r="D2188" t="s">
        <v>139</v>
      </c>
      <c r="E2188" t="s">
        <v>22</v>
      </c>
      <c r="F2188" s="30">
        <v>45657</v>
      </c>
      <c r="G2188" t="s">
        <v>959</v>
      </c>
      <c r="H2188" t="s">
        <v>4476</v>
      </c>
      <c r="I2188">
        <v>100</v>
      </c>
      <c r="J2188">
        <v>0</v>
      </c>
      <c r="AG2188">
        <v>0</v>
      </c>
      <c r="AH2188">
        <v>0</v>
      </c>
    </row>
    <row r="2189" spans="1:115" x14ac:dyDescent="0.3">
      <c r="A2189">
        <v>221</v>
      </c>
      <c r="B2189" t="s">
        <v>956</v>
      </c>
      <c r="C2189" t="s">
        <v>251</v>
      </c>
      <c r="D2189" t="s">
        <v>139</v>
      </c>
      <c r="E2189" t="s">
        <v>22</v>
      </c>
      <c r="F2189" s="30">
        <v>45657</v>
      </c>
      <c r="G2189" t="s">
        <v>959</v>
      </c>
      <c r="H2189" t="s">
        <v>4478</v>
      </c>
      <c r="I2189">
        <v>100</v>
      </c>
      <c r="J2189">
        <v>0</v>
      </c>
      <c r="AG2189">
        <v>0</v>
      </c>
      <c r="AH2189">
        <v>0</v>
      </c>
    </row>
    <row r="2190" spans="1:115" x14ac:dyDescent="0.3">
      <c r="A2190">
        <v>221</v>
      </c>
      <c r="B2190" t="s">
        <v>956</v>
      </c>
      <c r="C2190" t="s">
        <v>251</v>
      </c>
      <c r="D2190" t="s">
        <v>139</v>
      </c>
      <c r="E2190" t="s">
        <v>22</v>
      </c>
      <c r="F2190" s="30">
        <v>45657</v>
      </c>
      <c r="G2190" t="s">
        <v>959</v>
      </c>
      <c r="H2190" t="s">
        <v>4469</v>
      </c>
      <c r="I2190">
        <v>100</v>
      </c>
      <c r="J2190">
        <v>100</v>
      </c>
      <c r="AG2190">
        <v>3</v>
      </c>
      <c r="AH2190">
        <v>3</v>
      </c>
    </row>
    <row r="2191" spans="1:115" x14ac:dyDescent="0.3">
      <c r="A2191">
        <v>222</v>
      </c>
      <c r="B2191" t="s">
        <v>961</v>
      </c>
      <c r="C2191" t="s">
        <v>251</v>
      </c>
      <c r="D2191" t="s">
        <v>139</v>
      </c>
      <c r="E2191" t="s">
        <v>22</v>
      </c>
      <c r="F2191" s="30">
        <v>45657</v>
      </c>
      <c r="G2191" t="s">
        <v>964</v>
      </c>
      <c r="H2191" t="s">
        <v>4468</v>
      </c>
      <c r="I2191">
        <v>90</v>
      </c>
      <c r="J2191">
        <v>68.75</v>
      </c>
      <c r="AI2191">
        <v>11</v>
      </c>
      <c r="AJ2191">
        <v>16</v>
      </c>
    </row>
    <row r="2192" spans="1:115" x14ac:dyDescent="0.3">
      <c r="A2192">
        <v>223</v>
      </c>
      <c r="B2192" t="s">
        <v>966</v>
      </c>
      <c r="C2192" t="s">
        <v>251</v>
      </c>
      <c r="D2192" t="s">
        <v>139</v>
      </c>
      <c r="E2192" t="s">
        <v>22</v>
      </c>
      <c r="F2192" s="30">
        <v>45657</v>
      </c>
      <c r="G2192" t="s">
        <v>969</v>
      </c>
      <c r="H2192" t="s">
        <v>4509</v>
      </c>
      <c r="I2192">
        <v>100</v>
      </c>
      <c r="J2192">
        <v>100</v>
      </c>
      <c r="DC2192">
        <v>3</v>
      </c>
      <c r="DD2192">
        <v>3</v>
      </c>
    </row>
    <row r="2193" spans="1:109" x14ac:dyDescent="0.3">
      <c r="A2193">
        <v>223</v>
      </c>
      <c r="B2193" t="s">
        <v>966</v>
      </c>
      <c r="C2193" t="s">
        <v>251</v>
      </c>
      <c r="D2193" t="s">
        <v>139</v>
      </c>
      <c r="E2193" t="s">
        <v>22</v>
      </c>
      <c r="F2193" s="30">
        <v>45657</v>
      </c>
      <c r="G2193" t="s">
        <v>969</v>
      </c>
      <c r="H2193" t="s">
        <v>4508</v>
      </c>
      <c r="I2193">
        <v>100</v>
      </c>
      <c r="J2193">
        <v>92.860000610351563</v>
      </c>
      <c r="DC2193">
        <v>13</v>
      </c>
      <c r="DD2193">
        <v>14</v>
      </c>
    </row>
    <row r="2194" spans="1:109" x14ac:dyDescent="0.3">
      <c r="A2194">
        <v>224</v>
      </c>
      <c r="B2194" t="s">
        <v>971</v>
      </c>
      <c r="C2194" t="s">
        <v>251</v>
      </c>
      <c r="D2194" t="s">
        <v>139</v>
      </c>
      <c r="E2194" t="s">
        <v>22</v>
      </c>
      <c r="F2194" s="30">
        <v>45657</v>
      </c>
      <c r="G2194" t="s">
        <v>974</v>
      </c>
      <c r="H2194" t="s">
        <v>4468</v>
      </c>
      <c r="I2194">
        <v>100</v>
      </c>
      <c r="J2194">
        <v>100</v>
      </c>
      <c r="AK2194">
        <v>5</v>
      </c>
      <c r="AL2194">
        <v>5</v>
      </c>
    </row>
    <row r="2195" spans="1:109" x14ac:dyDescent="0.3">
      <c r="A2195">
        <v>224</v>
      </c>
      <c r="B2195" t="s">
        <v>971</v>
      </c>
      <c r="C2195" t="s">
        <v>251</v>
      </c>
      <c r="D2195" t="s">
        <v>139</v>
      </c>
      <c r="E2195" t="s">
        <v>22</v>
      </c>
      <c r="F2195" s="30">
        <v>45657</v>
      </c>
      <c r="G2195" t="s">
        <v>974</v>
      </c>
      <c r="H2195" t="s">
        <v>4477</v>
      </c>
      <c r="I2195">
        <v>100</v>
      </c>
      <c r="J2195">
        <v>0</v>
      </c>
      <c r="AK2195">
        <v>0</v>
      </c>
      <c r="AL2195">
        <v>0</v>
      </c>
    </row>
    <row r="2196" spans="1:109" x14ac:dyDescent="0.3">
      <c r="A2196">
        <v>224</v>
      </c>
      <c r="B2196" t="s">
        <v>971</v>
      </c>
      <c r="C2196" t="s">
        <v>251</v>
      </c>
      <c r="D2196" t="s">
        <v>139</v>
      </c>
      <c r="E2196" t="s">
        <v>22</v>
      </c>
      <c r="F2196" s="30">
        <v>45657</v>
      </c>
      <c r="G2196" t="s">
        <v>974</v>
      </c>
      <c r="H2196" t="s">
        <v>4469</v>
      </c>
      <c r="I2196">
        <v>100</v>
      </c>
      <c r="J2196">
        <v>100</v>
      </c>
      <c r="AK2196">
        <v>2</v>
      </c>
      <c r="AL2196">
        <v>2</v>
      </c>
    </row>
    <row r="2197" spans="1:109" x14ac:dyDescent="0.3">
      <c r="A2197">
        <v>224</v>
      </c>
      <c r="B2197" t="s">
        <v>971</v>
      </c>
      <c r="C2197" t="s">
        <v>251</v>
      </c>
      <c r="D2197" t="s">
        <v>139</v>
      </c>
      <c r="E2197" t="s">
        <v>22</v>
      </c>
      <c r="F2197" s="30">
        <v>45657</v>
      </c>
      <c r="G2197" t="s">
        <v>974</v>
      </c>
      <c r="H2197" t="s">
        <v>4478</v>
      </c>
      <c r="I2197">
        <v>100</v>
      </c>
      <c r="J2197">
        <v>0</v>
      </c>
      <c r="AK2197">
        <v>0</v>
      </c>
      <c r="AL2197">
        <v>0</v>
      </c>
    </row>
    <row r="2198" spans="1:109" x14ac:dyDescent="0.3">
      <c r="A2198">
        <v>224</v>
      </c>
      <c r="B2198" t="s">
        <v>971</v>
      </c>
      <c r="C2198" t="s">
        <v>251</v>
      </c>
      <c r="D2198" t="s">
        <v>139</v>
      </c>
      <c r="E2198" t="s">
        <v>22</v>
      </c>
      <c r="F2198" s="30">
        <v>45657</v>
      </c>
      <c r="G2198" t="s">
        <v>974</v>
      </c>
      <c r="H2198" t="s">
        <v>4470</v>
      </c>
      <c r="I2198">
        <v>100</v>
      </c>
      <c r="J2198">
        <v>100</v>
      </c>
      <c r="AK2198">
        <v>2</v>
      </c>
      <c r="AL2198">
        <v>2</v>
      </c>
    </row>
    <row r="2199" spans="1:109" x14ac:dyDescent="0.3">
      <c r="A2199">
        <v>224</v>
      </c>
      <c r="B2199" t="s">
        <v>971</v>
      </c>
      <c r="C2199" t="s">
        <v>251</v>
      </c>
      <c r="D2199" t="s">
        <v>139</v>
      </c>
      <c r="E2199" t="s">
        <v>22</v>
      </c>
      <c r="F2199" s="30">
        <v>45657</v>
      </c>
      <c r="G2199" t="s">
        <v>974</v>
      </c>
      <c r="H2199" t="s">
        <v>4476</v>
      </c>
      <c r="I2199">
        <v>100</v>
      </c>
      <c r="J2199">
        <v>100</v>
      </c>
      <c r="AK2199">
        <v>1</v>
      </c>
      <c r="AL2199">
        <v>1</v>
      </c>
    </row>
    <row r="2200" spans="1:109" x14ac:dyDescent="0.3">
      <c r="A2200">
        <v>226</v>
      </c>
      <c r="B2200" t="s">
        <v>1025</v>
      </c>
      <c r="C2200" t="s">
        <v>251</v>
      </c>
      <c r="D2200" t="s">
        <v>139</v>
      </c>
      <c r="E2200" t="s">
        <v>22</v>
      </c>
      <c r="F2200" s="30">
        <v>45657</v>
      </c>
      <c r="G2200" t="s">
        <v>1028</v>
      </c>
      <c r="H2200" t="s">
        <v>4468</v>
      </c>
      <c r="I2200">
        <v>1</v>
      </c>
      <c r="J2200">
        <v>1805.56005859375</v>
      </c>
      <c r="AM2200">
        <v>1805.56</v>
      </c>
    </row>
    <row r="2201" spans="1:109" x14ac:dyDescent="0.3">
      <c r="A2201">
        <v>226</v>
      </c>
      <c r="B2201" t="s">
        <v>1025</v>
      </c>
      <c r="C2201" t="s">
        <v>251</v>
      </c>
      <c r="D2201" t="s">
        <v>139</v>
      </c>
      <c r="E2201" t="s">
        <v>22</v>
      </c>
      <c r="F2201" s="30">
        <v>45657</v>
      </c>
      <c r="G2201" t="s">
        <v>1028</v>
      </c>
      <c r="H2201" t="s">
        <v>4470</v>
      </c>
      <c r="I2201">
        <v>1</v>
      </c>
      <c r="J2201">
        <v>1087.219970703125</v>
      </c>
      <c r="AM2201">
        <v>1087.22</v>
      </c>
    </row>
    <row r="2202" spans="1:109" x14ac:dyDescent="0.3">
      <c r="A2202">
        <v>226</v>
      </c>
      <c r="B2202" t="s">
        <v>1025</v>
      </c>
      <c r="C2202" t="s">
        <v>251</v>
      </c>
      <c r="D2202" t="s">
        <v>139</v>
      </c>
      <c r="E2202" t="s">
        <v>22</v>
      </c>
      <c r="F2202" s="30">
        <v>45657</v>
      </c>
      <c r="G2202" t="s">
        <v>1028</v>
      </c>
      <c r="H2202" t="s">
        <v>4477</v>
      </c>
      <c r="I2202">
        <v>1</v>
      </c>
      <c r="J2202">
        <v>37.290000915527337</v>
      </c>
      <c r="AM2202">
        <v>37.29</v>
      </c>
    </row>
    <row r="2203" spans="1:109" x14ac:dyDescent="0.3">
      <c r="A2203">
        <v>226</v>
      </c>
      <c r="B2203" t="s">
        <v>1025</v>
      </c>
      <c r="C2203" t="s">
        <v>251</v>
      </c>
      <c r="D2203" t="s">
        <v>139</v>
      </c>
      <c r="E2203" t="s">
        <v>22</v>
      </c>
      <c r="F2203" s="30">
        <v>45657</v>
      </c>
      <c r="G2203" t="s">
        <v>1028</v>
      </c>
      <c r="H2203" t="s">
        <v>4476</v>
      </c>
      <c r="I2203">
        <v>2</v>
      </c>
      <c r="J2203">
        <v>19.639999389648441</v>
      </c>
      <c r="AM2203">
        <v>19.64</v>
      </c>
    </row>
    <row r="2204" spans="1:109" x14ac:dyDescent="0.3">
      <c r="A2204">
        <v>226</v>
      </c>
      <c r="B2204" t="s">
        <v>1025</v>
      </c>
      <c r="C2204" t="s">
        <v>251</v>
      </c>
      <c r="D2204" t="s">
        <v>139</v>
      </c>
      <c r="E2204" t="s">
        <v>22</v>
      </c>
      <c r="F2204" s="30">
        <v>45657</v>
      </c>
      <c r="G2204" t="s">
        <v>1028</v>
      </c>
      <c r="H2204" t="s">
        <v>4478</v>
      </c>
      <c r="I2204">
        <v>2</v>
      </c>
      <c r="J2204">
        <v>11.22999954223633</v>
      </c>
      <c r="AM2204">
        <v>11.23</v>
      </c>
    </row>
    <row r="2205" spans="1:109" x14ac:dyDescent="0.3">
      <c r="A2205">
        <v>226</v>
      </c>
      <c r="B2205" t="s">
        <v>1025</v>
      </c>
      <c r="C2205" t="s">
        <v>251</v>
      </c>
      <c r="D2205" t="s">
        <v>139</v>
      </c>
      <c r="E2205" t="s">
        <v>22</v>
      </c>
      <c r="F2205" s="30">
        <v>45657</v>
      </c>
      <c r="G2205" t="s">
        <v>1028</v>
      </c>
      <c r="H2205" t="s">
        <v>4469</v>
      </c>
      <c r="I2205">
        <v>2</v>
      </c>
      <c r="J2205">
        <v>570.16998291015625</v>
      </c>
      <c r="AM2205">
        <v>570.16999999999996</v>
      </c>
    </row>
    <row r="2206" spans="1:109" x14ac:dyDescent="0.3">
      <c r="A2206">
        <v>255</v>
      </c>
      <c r="B2206" t="s">
        <v>1276</v>
      </c>
      <c r="C2206" t="s">
        <v>546</v>
      </c>
      <c r="D2206" t="s">
        <v>139</v>
      </c>
      <c r="E2206" t="s">
        <v>22</v>
      </c>
      <c r="F2206" s="30">
        <v>45657</v>
      </c>
      <c r="G2206" t="s">
        <v>1275</v>
      </c>
      <c r="H2206" t="s">
        <v>4593</v>
      </c>
      <c r="I2206">
        <v>100</v>
      </c>
      <c r="J2206">
        <v>13</v>
      </c>
      <c r="DE2206">
        <v>13</v>
      </c>
    </row>
    <row r="2207" spans="1:109" x14ac:dyDescent="0.3">
      <c r="A2207">
        <v>255</v>
      </c>
      <c r="B2207" t="s">
        <v>1276</v>
      </c>
      <c r="C2207" t="s">
        <v>546</v>
      </c>
      <c r="D2207" t="s">
        <v>139</v>
      </c>
      <c r="E2207" t="s">
        <v>22</v>
      </c>
      <c r="F2207" s="30">
        <v>45657</v>
      </c>
      <c r="G2207" t="s">
        <v>1275</v>
      </c>
      <c r="H2207" t="s">
        <v>4594</v>
      </c>
      <c r="I2207">
        <v>100</v>
      </c>
      <c r="J2207">
        <v>17</v>
      </c>
      <c r="DE2207">
        <v>17</v>
      </c>
    </row>
    <row r="2208" spans="1:109" x14ac:dyDescent="0.3">
      <c r="A2208">
        <v>255</v>
      </c>
      <c r="B2208" t="s">
        <v>1276</v>
      </c>
      <c r="C2208" t="s">
        <v>546</v>
      </c>
      <c r="D2208" t="s">
        <v>139</v>
      </c>
      <c r="E2208" t="s">
        <v>22</v>
      </c>
      <c r="F2208" s="30">
        <v>45657</v>
      </c>
      <c r="G2208" t="s">
        <v>1275</v>
      </c>
      <c r="H2208" t="s">
        <v>4595</v>
      </c>
      <c r="I2208">
        <v>100</v>
      </c>
      <c r="J2208">
        <v>0</v>
      </c>
      <c r="DE2208">
        <v>0</v>
      </c>
    </row>
    <row r="2209" spans="1:109" x14ac:dyDescent="0.3">
      <c r="A2209">
        <v>255</v>
      </c>
      <c r="B2209" t="s">
        <v>1276</v>
      </c>
      <c r="C2209" t="s">
        <v>546</v>
      </c>
      <c r="D2209" t="s">
        <v>139</v>
      </c>
      <c r="E2209" t="s">
        <v>22</v>
      </c>
      <c r="F2209" s="30">
        <v>45657</v>
      </c>
      <c r="G2209" t="s">
        <v>1275</v>
      </c>
      <c r="H2209" t="s">
        <v>4596</v>
      </c>
      <c r="I2209">
        <v>100</v>
      </c>
      <c r="J2209">
        <v>0</v>
      </c>
      <c r="DE2209">
        <v>0</v>
      </c>
    </row>
    <row r="2210" spans="1:109" x14ac:dyDescent="0.3">
      <c r="A2210">
        <v>255</v>
      </c>
      <c r="B2210" t="s">
        <v>1276</v>
      </c>
      <c r="C2210" t="s">
        <v>546</v>
      </c>
      <c r="D2210" t="s">
        <v>139</v>
      </c>
      <c r="E2210" t="s">
        <v>22</v>
      </c>
      <c r="F2210" s="30">
        <v>45657</v>
      </c>
      <c r="G2210" t="s">
        <v>1275</v>
      </c>
      <c r="H2210" t="s">
        <v>4646</v>
      </c>
      <c r="I2210">
        <v>100</v>
      </c>
      <c r="J2210">
        <v>0</v>
      </c>
      <c r="DE2210">
        <v>0</v>
      </c>
    </row>
    <row r="2211" spans="1:109" x14ac:dyDescent="0.3">
      <c r="A2211">
        <v>208</v>
      </c>
      <c r="B2211" t="s">
        <v>707</v>
      </c>
      <c r="C2211" t="s">
        <v>251</v>
      </c>
      <c r="D2211" t="s">
        <v>73</v>
      </c>
      <c r="E2211" t="s">
        <v>56</v>
      </c>
      <c r="F2211" s="30">
        <v>45688</v>
      </c>
      <c r="G2211" t="s">
        <v>745</v>
      </c>
      <c r="H2211" t="s">
        <v>4468</v>
      </c>
      <c r="I2211">
        <v>950</v>
      </c>
      <c r="J2211">
        <v>440</v>
      </c>
      <c r="K2211">
        <v>440</v>
      </c>
    </row>
    <row r="2212" spans="1:109" x14ac:dyDescent="0.3">
      <c r="A2212">
        <v>208</v>
      </c>
      <c r="B2212" t="s">
        <v>707</v>
      </c>
      <c r="C2212" t="s">
        <v>251</v>
      </c>
      <c r="D2212" t="s">
        <v>73</v>
      </c>
      <c r="E2212" t="s">
        <v>56</v>
      </c>
      <c r="F2212" s="30">
        <v>45688</v>
      </c>
      <c r="G2212" t="s">
        <v>745</v>
      </c>
      <c r="H2212" t="s">
        <v>4477</v>
      </c>
      <c r="I2212">
        <v>25</v>
      </c>
      <c r="J2212">
        <v>22.5</v>
      </c>
      <c r="K2212">
        <v>22.5</v>
      </c>
    </row>
    <row r="2213" spans="1:109" x14ac:dyDescent="0.3">
      <c r="A2213">
        <v>208</v>
      </c>
      <c r="B2213" t="s">
        <v>707</v>
      </c>
      <c r="C2213" t="s">
        <v>251</v>
      </c>
      <c r="D2213" t="s">
        <v>73</v>
      </c>
      <c r="E2213" t="s">
        <v>56</v>
      </c>
      <c r="F2213" s="30">
        <v>45688</v>
      </c>
      <c r="G2213" t="s">
        <v>745</v>
      </c>
      <c r="H2213" t="s">
        <v>4469</v>
      </c>
      <c r="I2213">
        <v>200</v>
      </c>
      <c r="J2213">
        <v>88</v>
      </c>
      <c r="K2213">
        <v>88</v>
      </c>
    </row>
    <row r="2214" spans="1:109" x14ac:dyDescent="0.3">
      <c r="A2214">
        <v>208</v>
      </c>
      <c r="B2214" t="s">
        <v>707</v>
      </c>
      <c r="C2214" t="s">
        <v>251</v>
      </c>
      <c r="D2214" t="s">
        <v>73</v>
      </c>
      <c r="E2214" t="s">
        <v>56</v>
      </c>
      <c r="F2214" s="30">
        <v>45688</v>
      </c>
      <c r="G2214" t="s">
        <v>745</v>
      </c>
      <c r="H2214" t="s">
        <v>4476</v>
      </c>
      <c r="I2214">
        <v>0</v>
      </c>
      <c r="J2214">
        <v>0</v>
      </c>
      <c r="K2214">
        <v>0</v>
      </c>
    </row>
    <row r="2215" spans="1:109" x14ac:dyDescent="0.3">
      <c r="A2215">
        <v>208</v>
      </c>
      <c r="B2215" t="s">
        <v>707</v>
      </c>
      <c r="C2215" t="s">
        <v>251</v>
      </c>
      <c r="D2215" t="s">
        <v>73</v>
      </c>
      <c r="E2215" t="s">
        <v>56</v>
      </c>
      <c r="F2215" s="30">
        <v>45688</v>
      </c>
      <c r="G2215" t="s">
        <v>745</v>
      </c>
      <c r="H2215" t="s">
        <v>4478</v>
      </c>
      <c r="I2215">
        <v>25</v>
      </c>
      <c r="J2215">
        <v>0</v>
      </c>
      <c r="K2215">
        <v>0</v>
      </c>
    </row>
    <row r="2216" spans="1:109" x14ac:dyDescent="0.3">
      <c r="A2216">
        <v>208</v>
      </c>
      <c r="B2216" t="s">
        <v>707</v>
      </c>
      <c r="C2216" t="s">
        <v>251</v>
      </c>
      <c r="D2216" t="s">
        <v>73</v>
      </c>
      <c r="E2216" t="s">
        <v>56</v>
      </c>
      <c r="F2216" s="30">
        <v>45688</v>
      </c>
      <c r="G2216" t="s">
        <v>745</v>
      </c>
      <c r="H2216" t="s">
        <v>4470</v>
      </c>
      <c r="I2216">
        <v>350</v>
      </c>
      <c r="J2216">
        <v>249.5</v>
      </c>
      <c r="K2216">
        <v>249.5</v>
      </c>
    </row>
    <row r="2217" spans="1:109" x14ac:dyDescent="0.3">
      <c r="A2217">
        <v>214</v>
      </c>
      <c r="B2217" t="s">
        <v>774</v>
      </c>
      <c r="C2217" t="s">
        <v>251</v>
      </c>
      <c r="D2217" t="s">
        <v>73</v>
      </c>
      <c r="E2217" t="s">
        <v>56</v>
      </c>
      <c r="F2217" s="30">
        <v>45688</v>
      </c>
      <c r="G2217" t="s">
        <v>812</v>
      </c>
      <c r="H2217" t="s">
        <v>4470</v>
      </c>
      <c r="I2217">
        <v>1000</v>
      </c>
      <c r="J2217">
        <v>406.55999755859381</v>
      </c>
      <c r="L2217">
        <v>80.7</v>
      </c>
      <c r="M2217">
        <v>325.86</v>
      </c>
    </row>
    <row r="2218" spans="1:109" x14ac:dyDescent="0.3">
      <c r="A2218">
        <v>214</v>
      </c>
      <c r="B2218" t="s">
        <v>774</v>
      </c>
      <c r="C2218" t="s">
        <v>251</v>
      </c>
      <c r="D2218" t="s">
        <v>73</v>
      </c>
      <c r="E2218" t="s">
        <v>56</v>
      </c>
      <c r="F2218" s="30">
        <v>45688</v>
      </c>
      <c r="G2218" t="s">
        <v>812</v>
      </c>
      <c r="H2218" t="s">
        <v>4477</v>
      </c>
      <c r="I2218">
        <v>7500</v>
      </c>
      <c r="J2218">
        <v>0</v>
      </c>
      <c r="L2218">
        <v>0</v>
      </c>
      <c r="M2218">
        <v>0</v>
      </c>
    </row>
    <row r="2219" spans="1:109" x14ac:dyDescent="0.3">
      <c r="A2219">
        <v>214</v>
      </c>
      <c r="B2219" t="s">
        <v>774</v>
      </c>
      <c r="C2219" t="s">
        <v>251</v>
      </c>
      <c r="D2219" t="s">
        <v>73</v>
      </c>
      <c r="E2219" t="s">
        <v>56</v>
      </c>
      <c r="F2219" s="30">
        <v>45688</v>
      </c>
      <c r="G2219" t="s">
        <v>812</v>
      </c>
      <c r="H2219" t="s">
        <v>4469</v>
      </c>
      <c r="I2219">
        <v>1000</v>
      </c>
      <c r="J2219">
        <v>406.89999389648438</v>
      </c>
      <c r="L2219">
        <v>0</v>
      </c>
      <c r="M2219">
        <v>406.9</v>
      </c>
    </row>
    <row r="2220" spans="1:109" x14ac:dyDescent="0.3">
      <c r="A2220">
        <v>214</v>
      </c>
      <c r="B2220" t="s">
        <v>774</v>
      </c>
      <c r="C2220" t="s">
        <v>251</v>
      </c>
      <c r="D2220" t="s">
        <v>73</v>
      </c>
      <c r="E2220" t="s">
        <v>56</v>
      </c>
      <c r="F2220" s="30">
        <v>45688</v>
      </c>
      <c r="G2220" t="s">
        <v>812</v>
      </c>
      <c r="H2220" t="s">
        <v>4476</v>
      </c>
      <c r="I2220">
        <v>1</v>
      </c>
      <c r="J2220">
        <v>0</v>
      </c>
      <c r="L2220">
        <v>0</v>
      </c>
      <c r="M2220">
        <v>0</v>
      </c>
    </row>
    <row r="2221" spans="1:109" x14ac:dyDescent="0.3">
      <c r="A2221">
        <v>214</v>
      </c>
      <c r="B2221" t="s">
        <v>774</v>
      </c>
      <c r="C2221" t="s">
        <v>251</v>
      </c>
      <c r="D2221" t="s">
        <v>73</v>
      </c>
      <c r="E2221" t="s">
        <v>56</v>
      </c>
      <c r="F2221" s="30">
        <v>45688</v>
      </c>
      <c r="G2221" t="s">
        <v>812</v>
      </c>
      <c r="H2221" t="s">
        <v>4478</v>
      </c>
      <c r="I2221">
        <v>1</v>
      </c>
      <c r="J2221">
        <v>110.36000061035161</v>
      </c>
      <c r="L2221">
        <v>57.34</v>
      </c>
      <c r="M2221">
        <v>53.02</v>
      </c>
    </row>
    <row r="2222" spans="1:109" x14ac:dyDescent="0.3">
      <c r="A2222">
        <v>214</v>
      </c>
      <c r="B2222" t="s">
        <v>774</v>
      </c>
      <c r="C2222" t="s">
        <v>251</v>
      </c>
      <c r="D2222" t="s">
        <v>73</v>
      </c>
      <c r="E2222" t="s">
        <v>56</v>
      </c>
      <c r="F2222" s="30">
        <v>45688</v>
      </c>
      <c r="G2222" t="s">
        <v>812</v>
      </c>
      <c r="H2222" t="s">
        <v>4468</v>
      </c>
      <c r="I2222">
        <v>5500</v>
      </c>
      <c r="J2222">
        <v>1130.93994140625</v>
      </c>
      <c r="L2222">
        <v>533.29999999999995</v>
      </c>
      <c r="M2222">
        <v>597.64</v>
      </c>
    </row>
    <row r="2223" spans="1:109" x14ac:dyDescent="0.3">
      <c r="A2223">
        <v>217</v>
      </c>
      <c r="B2223" t="s">
        <v>840</v>
      </c>
      <c r="C2223" t="s">
        <v>251</v>
      </c>
      <c r="D2223" t="s">
        <v>73</v>
      </c>
      <c r="E2223" t="s">
        <v>22</v>
      </c>
      <c r="F2223" s="30">
        <v>45688</v>
      </c>
      <c r="G2223" t="s">
        <v>876</v>
      </c>
      <c r="H2223" t="s">
        <v>4470</v>
      </c>
      <c r="I2223">
        <v>20</v>
      </c>
      <c r="J2223">
        <v>19.85000038146973</v>
      </c>
      <c r="L2223">
        <v>80.7</v>
      </c>
      <c r="M2223">
        <v>325.86</v>
      </c>
      <c r="AS2223">
        <v>80.7</v>
      </c>
    </row>
    <row r="2224" spans="1:109" x14ac:dyDescent="0.3">
      <c r="A2224">
        <v>217</v>
      </c>
      <c r="B2224" t="s">
        <v>840</v>
      </c>
      <c r="C2224" t="s">
        <v>251</v>
      </c>
      <c r="D2224" t="s">
        <v>73</v>
      </c>
      <c r="E2224" t="s">
        <v>22</v>
      </c>
      <c r="F2224" s="30">
        <v>45688</v>
      </c>
      <c r="G2224" t="s">
        <v>876</v>
      </c>
      <c r="H2224" t="s">
        <v>4477</v>
      </c>
      <c r="I2224">
        <v>20</v>
      </c>
      <c r="J2224">
        <v>0</v>
      </c>
      <c r="L2224">
        <v>0</v>
      </c>
      <c r="M2224">
        <v>0</v>
      </c>
      <c r="AS2224">
        <v>0</v>
      </c>
    </row>
    <row r="2225" spans="1:46" x14ac:dyDescent="0.3">
      <c r="A2225">
        <v>217</v>
      </c>
      <c r="B2225" t="s">
        <v>840</v>
      </c>
      <c r="C2225" t="s">
        <v>251</v>
      </c>
      <c r="D2225" t="s">
        <v>73</v>
      </c>
      <c r="E2225" t="s">
        <v>22</v>
      </c>
      <c r="F2225" s="30">
        <v>45688</v>
      </c>
      <c r="G2225" t="s">
        <v>876</v>
      </c>
      <c r="H2225" t="s">
        <v>4469</v>
      </c>
      <c r="I2225">
        <v>20</v>
      </c>
      <c r="J2225">
        <v>0</v>
      </c>
      <c r="L2225">
        <v>0</v>
      </c>
      <c r="M2225">
        <v>406.9</v>
      </c>
      <c r="AS2225">
        <v>0</v>
      </c>
    </row>
    <row r="2226" spans="1:46" x14ac:dyDescent="0.3">
      <c r="A2226">
        <v>217</v>
      </c>
      <c r="B2226" t="s">
        <v>840</v>
      </c>
      <c r="C2226" t="s">
        <v>251</v>
      </c>
      <c r="D2226" t="s">
        <v>73</v>
      </c>
      <c r="E2226" t="s">
        <v>22</v>
      </c>
      <c r="F2226" s="30">
        <v>45688</v>
      </c>
      <c r="G2226" t="s">
        <v>876</v>
      </c>
      <c r="H2226" t="s">
        <v>4476</v>
      </c>
      <c r="I2226">
        <v>20</v>
      </c>
      <c r="J2226">
        <v>0</v>
      </c>
      <c r="L2226">
        <v>0</v>
      </c>
      <c r="M2226">
        <v>0</v>
      </c>
      <c r="AS2226">
        <v>0</v>
      </c>
    </row>
    <row r="2227" spans="1:46" x14ac:dyDescent="0.3">
      <c r="A2227">
        <v>217</v>
      </c>
      <c r="B2227" t="s">
        <v>840</v>
      </c>
      <c r="C2227" t="s">
        <v>251</v>
      </c>
      <c r="D2227" t="s">
        <v>73</v>
      </c>
      <c r="E2227" t="s">
        <v>22</v>
      </c>
      <c r="F2227" s="30">
        <v>45688</v>
      </c>
      <c r="G2227" t="s">
        <v>876</v>
      </c>
      <c r="H2227" t="s">
        <v>4478</v>
      </c>
      <c r="I2227">
        <v>20</v>
      </c>
      <c r="J2227">
        <v>51.959999084472663</v>
      </c>
      <c r="L2227">
        <v>57.34</v>
      </c>
      <c r="M2227">
        <v>53.02</v>
      </c>
      <c r="AS2227">
        <v>57.34</v>
      </c>
    </row>
    <row r="2228" spans="1:46" x14ac:dyDescent="0.3">
      <c r="A2228">
        <v>217</v>
      </c>
      <c r="B2228" t="s">
        <v>840</v>
      </c>
      <c r="C2228" t="s">
        <v>251</v>
      </c>
      <c r="D2228" t="s">
        <v>73</v>
      </c>
      <c r="E2228" t="s">
        <v>22</v>
      </c>
      <c r="F2228" s="30">
        <v>45688</v>
      </c>
      <c r="G2228" t="s">
        <v>876</v>
      </c>
      <c r="H2228" t="s">
        <v>4468</v>
      </c>
      <c r="I2228">
        <v>20</v>
      </c>
      <c r="J2228">
        <v>240.67999267578119</v>
      </c>
      <c r="L2228">
        <v>533.29999999999995</v>
      </c>
      <c r="M2228">
        <v>597.64</v>
      </c>
      <c r="AS2228">
        <v>2722</v>
      </c>
    </row>
    <row r="2229" spans="1:46" x14ac:dyDescent="0.3">
      <c r="A2229">
        <v>218</v>
      </c>
      <c r="B2229" t="s">
        <v>888</v>
      </c>
      <c r="C2229" t="s">
        <v>251</v>
      </c>
      <c r="D2229" t="s">
        <v>73</v>
      </c>
      <c r="E2229" t="s">
        <v>56</v>
      </c>
      <c r="F2229" s="30">
        <v>45688</v>
      </c>
      <c r="G2229" t="s">
        <v>926</v>
      </c>
      <c r="H2229" t="s">
        <v>4470</v>
      </c>
      <c r="I2229">
        <v>76000</v>
      </c>
      <c r="J2229">
        <v>42180</v>
      </c>
      <c r="N2229">
        <v>42180</v>
      </c>
    </row>
    <row r="2230" spans="1:46" x14ac:dyDescent="0.3">
      <c r="A2230">
        <v>218</v>
      </c>
      <c r="B2230" t="s">
        <v>888</v>
      </c>
      <c r="C2230" t="s">
        <v>251</v>
      </c>
      <c r="D2230" t="s">
        <v>73</v>
      </c>
      <c r="E2230" t="s">
        <v>56</v>
      </c>
      <c r="F2230" s="30">
        <v>45688</v>
      </c>
      <c r="G2230" t="s">
        <v>926</v>
      </c>
      <c r="H2230" t="s">
        <v>4477</v>
      </c>
      <c r="I2230">
        <v>5000</v>
      </c>
      <c r="J2230">
        <v>3600</v>
      </c>
      <c r="N2230">
        <v>3600</v>
      </c>
    </row>
    <row r="2231" spans="1:46" x14ac:dyDescent="0.3">
      <c r="A2231">
        <v>218</v>
      </c>
      <c r="B2231" t="s">
        <v>888</v>
      </c>
      <c r="C2231" t="s">
        <v>251</v>
      </c>
      <c r="D2231" t="s">
        <v>73</v>
      </c>
      <c r="E2231" t="s">
        <v>56</v>
      </c>
      <c r="F2231" s="30">
        <v>45688</v>
      </c>
      <c r="G2231" t="s">
        <v>926</v>
      </c>
      <c r="H2231" t="s">
        <v>4469</v>
      </c>
      <c r="I2231">
        <v>24000</v>
      </c>
      <c r="J2231">
        <v>10775</v>
      </c>
      <c r="N2231">
        <v>10775</v>
      </c>
    </row>
    <row r="2232" spans="1:46" x14ac:dyDescent="0.3">
      <c r="A2232">
        <v>218</v>
      </c>
      <c r="B2232" t="s">
        <v>888</v>
      </c>
      <c r="C2232" t="s">
        <v>251</v>
      </c>
      <c r="D2232" t="s">
        <v>73</v>
      </c>
      <c r="E2232" t="s">
        <v>56</v>
      </c>
      <c r="F2232" s="30">
        <v>45688</v>
      </c>
      <c r="G2232" t="s">
        <v>926</v>
      </c>
      <c r="H2232" t="s">
        <v>4476</v>
      </c>
      <c r="I2232">
        <v>5000</v>
      </c>
      <c r="J2232">
        <v>600</v>
      </c>
      <c r="N2232">
        <v>600</v>
      </c>
    </row>
    <row r="2233" spans="1:46" x14ac:dyDescent="0.3">
      <c r="A2233">
        <v>218</v>
      </c>
      <c r="B2233" t="s">
        <v>888</v>
      </c>
      <c r="C2233" t="s">
        <v>251</v>
      </c>
      <c r="D2233" t="s">
        <v>73</v>
      </c>
      <c r="E2233" t="s">
        <v>56</v>
      </c>
      <c r="F2233" s="30">
        <v>45688</v>
      </c>
      <c r="G2233" t="s">
        <v>926</v>
      </c>
      <c r="H2233" t="s">
        <v>4478</v>
      </c>
      <c r="I2233">
        <v>2000</v>
      </c>
      <c r="J2233">
        <v>1712</v>
      </c>
      <c r="N2233">
        <v>1712</v>
      </c>
    </row>
    <row r="2234" spans="1:46" x14ac:dyDescent="0.3">
      <c r="A2234">
        <v>218</v>
      </c>
      <c r="B2234" t="s">
        <v>888</v>
      </c>
      <c r="C2234" t="s">
        <v>251</v>
      </c>
      <c r="D2234" t="s">
        <v>73</v>
      </c>
      <c r="E2234" t="s">
        <v>56</v>
      </c>
      <c r="F2234" s="30">
        <v>45688</v>
      </c>
      <c r="G2234" t="s">
        <v>926</v>
      </c>
      <c r="H2234" t="s">
        <v>4468</v>
      </c>
      <c r="I2234">
        <v>76000</v>
      </c>
      <c r="J2234">
        <v>54500.96875</v>
      </c>
      <c r="N2234">
        <v>54500.97</v>
      </c>
    </row>
    <row r="2235" spans="1:46" x14ac:dyDescent="0.3">
      <c r="A2235">
        <v>225</v>
      </c>
      <c r="B2235" t="s">
        <v>976</v>
      </c>
      <c r="C2235" t="s">
        <v>251</v>
      </c>
      <c r="D2235" t="s">
        <v>73</v>
      </c>
      <c r="E2235" t="s">
        <v>22</v>
      </c>
      <c r="F2235" s="30">
        <v>45688</v>
      </c>
      <c r="G2235" t="s">
        <v>1013</v>
      </c>
      <c r="H2235" t="s">
        <v>4468</v>
      </c>
      <c r="I2235">
        <v>1</v>
      </c>
      <c r="J2235">
        <v>6</v>
      </c>
      <c r="AT2235">
        <v>6</v>
      </c>
    </row>
    <row r="2236" spans="1:46" x14ac:dyDescent="0.3">
      <c r="A2236">
        <v>225</v>
      </c>
      <c r="B2236" t="s">
        <v>976</v>
      </c>
      <c r="C2236" t="s">
        <v>251</v>
      </c>
      <c r="D2236" t="s">
        <v>73</v>
      </c>
      <c r="E2236" t="s">
        <v>22</v>
      </c>
      <c r="F2236" s="30">
        <v>45688</v>
      </c>
      <c r="G2236" t="s">
        <v>1013</v>
      </c>
      <c r="H2236" t="s">
        <v>4470</v>
      </c>
      <c r="I2236">
        <v>1</v>
      </c>
      <c r="J2236">
        <v>4</v>
      </c>
      <c r="AT2236">
        <v>4</v>
      </c>
    </row>
    <row r="2237" spans="1:46" x14ac:dyDescent="0.3">
      <c r="A2237">
        <v>225</v>
      </c>
      <c r="B2237" t="s">
        <v>976</v>
      </c>
      <c r="C2237" t="s">
        <v>251</v>
      </c>
      <c r="D2237" t="s">
        <v>73</v>
      </c>
      <c r="E2237" t="s">
        <v>22</v>
      </c>
      <c r="F2237" s="30">
        <v>45688</v>
      </c>
      <c r="G2237" t="s">
        <v>1013</v>
      </c>
      <c r="H2237" t="s">
        <v>4477</v>
      </c>
      <c r="I2237">
        <v>1</v>
      </c>
      <c r="J2237">
        <v>0</v>
      </c>
      <c r="AT2237">
        <v>0</v>
      </c>
    </row>
    <row r="2238" spans="1:46" x14ac:dyDescent="0.3">
      <c r="A2238">
        <v>225</v>
      </c>
      <c r="B2238" t="s">
        <v>976</v>
      </c>
      <c r="C2238" t="s">
        <v>251</v>
      </c>
      <c r="D2238" t="s">
        <v>73</v>
      </c>
      <c r="E2238" t="s">
        <v>22</v>
      </c>
      <c r="F2238" s="30">
        <v>45688</v>
      </c>
      <c r="G2238" t="s">
        <v>1013</v>
      </c>
      <c r="H2238" t="s">
        <v>4469</v>
      </c>
      <c r="I2238">
        <v>1</v>
      </c>
      <c r="J2238">
        <v>10</v>
      </c>
      <c r="AT2238">
        <v>10</v>
      </c>
    </row>
    <row r="2239" spans="1:46" x14ac:dyDescent="0.3">
      <c r="A2239">
        <v>225</v>
      </c>
      <c r="B2239" t="s">
        <v>976</v>
      </c>
      <c r="C2239" t="s">
        <v>251</v>
      </c>
      <c r="D2239" t="s">
        <v>73</v>
      </c>
      <c r="E2239" t="s">
        <v>22</v>
      </c>
      <c r="F2239" s="30">
        <v>45688</v>
      </c>
      <c r="G2239" t="s">
        <v>1013</v>
      </c>
      <c r="H2239" t="s">
        <v>4476</v>
      </c>
      <c r="I2239">
        <v>1</v>
      </c>
      <c r="J2239">
        <v>1</v>
      </c>
      <c r="AT2239">
        <v>1</v>
      </c>
    </row>
    <row r="2240" spans="1:46" x14ac:dyDescent="0.3">
      <c r="A2240">
        <v>225</v>
      </c>
      <c r="B2240" t="s">
        <v>976</v>
      </c>
      <c r="C2240" t="s">
        <v>251</v>
      </c>
      <c r="D2240" t="s">
        <v>73</v>
      </c>
      <c r="E2240" t="s">
        <v>22</v>
      </c>
      <c r="F2240" s="30">
        <v>45688</v>
      </c>
      <c r="G2240" t="s">
        <v>1013</v>
      </c>
      <c r="H2240" t="s">
        <v>4478</v>
      </c>
      <c r="I2240">
        <v>1</v>
      </c>
      <c r="J2240">
        <v>1</v>
      </c>
      <c r="AT2240">
        <v>1</v>
      </c>
    </row>
    <row r="2241" spans="1:136" x14ac:dyDescent="0.3">
      <c r="A2241">
        <v>434</v>
      </c>
      <c r="B2241" t="s">
        <v>2267</v>
      </c>
      <c r="C2241" t="s">
        <v>251</v>
      </c>
      <c r="D2241" t="s">
        <v>73</v>
      </c>
      <c r="E2241" t="s">
        <v>56</v>
      </c>
      <c r="F2241" s="30">
        <v>45688</v>
      </c>
      <c r="G2241" t="s">
        <v>2292</v>
      </c>
      <c r="H2241" t="s">
        <v>4468</v>
      </c>
      <c r="I2241">
        <v>100</v>
      </c>
      <c r="J2241">
        <v>2071.719970703125</v>
      </c>
      <c r="AV2241">
        <v>2071.7199999999998</v>
      </c>
    </row>
    <row r="2242" spans="1:136" x14ac:dyDescent="0.3">
      <c r="A2242">
        <v>434</v>
      </c>
      <c r="B2242" t="s">
        <v>2267</v>
      </c>
      <c r="C2242" t="s">
        <v>251</v>
      </c>
      <c r="D2242" t="s">
        <v>73</v>
      </c>
      <c r="E2242" t="s">
        <v>56</v>
      </c>
      <c r="F2242" s="30">
        <v>45688</v>
      </c>
      <c r="G2242" t="s">
        <v>2292</v>
      </c>
      <c r="H2242" t="s">
        <v>4477</v>
      </c>
      <c r="I2242">
        <v>200</v>
      </c>
      <c r="J2242">
        <v>0</v>
      </c>
      <c r="AV2242">
        <v>0</v>
      </c>
    </row>
    <row r="2243" spans="1:136" x14ac:dyDescent="0.3">
      <c r="A2243">
        <v>434</v>
      </c>
      <c r="B2243" t="s">
        <v>2267</v>
      </c>
      <c r="C2243" t="s">
        <v>251</v>
      </c>
      <c r="D2243" t="s">
        <v>73</v>
      </c>
      <c r="E2243" t="s">
        <v>56</v>
      </c>
      <c r="F2243" s="30">
        <v>45688</v>
      </c>
      <c r="G2243" t="s">
        <v>2292</v>
      </c>
      <c r="H2243" t="s">
        <v>4469</v>
      </c>
      <c r="I2243">
        <v>25</v>
      </c>
      <c r="J2243">
        <v>0</v>
      </c>
      <c r="AV2243">
        <v>0</v>
      </c>
    </row>
    <row r="2244" spans="1:136" x14ac:dyDescent="0.3">
      <c r="A2244">
        <v>434</v>
      </c>
      <c r="B2244" t="s">
        <v>2267</v>
      </c>
      <c r="C2244" t="s">
        <v>251</v>
      </c>
      <c r="D2244" t="s">
        <v>73</v>
      </c>
      <c r="E2244" t="s">
        <v>56</v>
      </c>
      <c r="F2244" s="30">
        <v>45688</v>
      </c>
      <c r="G2244" t="s">
        <v>2292</v>
      </c>
      <c r="H2244" t="s">
        <v>4476</v>
      </c>
      <c r="I2244">
        <v>10</v>
      </c>
      <c r="J2244">
        <v>0</v>
      </c>
      <c r="AV2244">
        <v>0</v>
      </c>
    </row>
    <row r="2245" spans="1:136" x14ac:dyDescent="0.3">
      <c r="A2245">
        <v>434</v>
      </c>
      <c r="B2245" t="s">
        <v>2267</v>
      </c>
      <c r="C2245" t="s">
        <v>251</v>
      </c>
      <c r="D2245" t="s">
        <v>73</v>
      </c>
      <c r="E2245" t="s">
        <v>56</v>
      </c>
      <c r="F2245" s="30">
        <v>45688</v>
      </c>
      <c r="G2245" t="s">
        <v>2292</v>
      </c>
      <c r="H2245" t="s">
        <v>4478</v>
      </c>
      <c r="I2245">
        <v>200</v>
      </c>
      <c r="J2245">
        <v>0</v>
      </c>
      <c r="AV2245">
        <v>0</v>
      </c>
    </row>
    <row r="2246" spans="1:136" x14ac:dyDescent="0.3">
      <c r="A2246">
        <v>434</v>
      </c>
      <c r="B2246" t="s">
        <v>2267</v>
      </c>
      <c r="C2246" t="s">
        <v>251</v>
      </c>
      <c r="D2246" t="s">
        <v>73</v>
      </c>
      <c r="E2246" t="s">
        <v>56</v>
      </c>
      <c r="F2246" s="30">
        <v>45688</v>
      </c>
      <c r="G2246" t="s">
        <v>2292</v>
      </c>
      <c r="H2246" t="s">
        <v>4470</v>
      </c>
      <c r="I2246">
        <v>25</v>
      </c>
      <c r="J2246">
        <v>0.75</v>
      </c>
      <c r="AV2246">
        <v>0.75</v>
      </c>
    </row>
    <row r="2247" spans="1:136" x14ac:dyDescent="0.3">
      <c r="A2247">
        <v>436</v>
      </c>
      <c r="B2247" t="s">
        <v>2311</v>
      </c>
      <c r="C2247" t="s">
        <v>258</v>
      </c>
      <c r="D2247" t="s">
        <v>73</v>
      </c>
      <c r="E2247" t="s">
        <v>56</v>
      </c>
      <c r="F2247" s="30">
        <v>45688</v>
      </c>
      <c r="G2247" t="s">
        <v>2336</v>
      </c>
      <c r="H2247" t="s">
        <v>4580</v>
      </c>
      <c r="I2247">
        <v>7</v>
      </c>
      <c r="J2247">
        <v>3.0999999046325679</v>
      </c>
      <c r="CP2247">
        <v>3.1</v>
      </c>
    </row>
    <row r="2248" spans="1:136" x14ac:dyDescent="0.3">
      <c r="A2248">
        <v>436</v>
      </c>
      <c r="B2248" t="s">
        <v>2311</v>
      </c>
      <c r="C2248" t="s">
        <v>258</v>
      </c>
      <c r="D2248" t="s">
        <v>73</v>
      </c>
      <c r="E2248" t="s">
        <v>56</v>
      </c>
      <c r="F2248" s="30">
        <v>45688</v>
      </c>
      <c r="G2248" t="s">
        <v>2336</v>
      </c>
      <c r="H2248" t="s">
        <v>4579</v>
      </c>
      <c r="I2248">
        <v>7</v>
      </c>
      <c r="J2248">
        <v>6.0999999046325684</v>
      </c>
      <c r="CP2248">
        <v>6.1</v>
      </c>
    </row>
    <row r="2249" spans="1:136" x14ac:dyDescent="0.3">
      <c r="A2249">
        <v>485</v>
      </c>
      <c r="B2249" t="s">
        <v>2525</v>
      </c>
      <c r="C2249" t="s">
        <v>258</v>
      </c>
      <c r="D2249" t="s">
        <v>73</v>
      </c>
      <c r="E2249" t="s">
        <v>22</v>
      </c>
      <c r="F2249" s="30">
        <v>45688</v>
      </c>
      <c r="G2249" t="s">
        <v>2537</v>
      </c>
      <c r="H2249" t="s">
        <v>4639</v>
      </c>
      <c r="I2249">
        <v>80</v>
      </c>
      <c r="J2249">
        <v>100</v>
      </c>
      <c r="EC2249">
        <v>0</v>
      </c>
      <c r="ED2249">
        <v>0</v>
      </c>
    </row>
    <row r="2250" spans="1:136" x14ac:dyDescent="0.3">
      <c r="A2250">
        <v>485</v>
      </c>
      <c r="B2250" t="s">
        <v>2525</v>
      </c>
      <c r="C2250" t="s">
        <v>258</v>
      </c>
      <c r="D2250" t="s">
        <v>73</v>
      </c>
      <c r="E2250" t="s">
        <v>22</v>
      </c>
      <c r="F2250" s="30">
        <v>45688</v>
      </c>
      <c r="G2250" t="s">
        <v>2537</v>
      </c>
      <c r="H2250" t="s">
        <v>4637</v>
      </c>
      <c r="I2250">
        <v>80</v>
      </c>
      <c r="J2250">
        <v>100</v>
      </c>
      <c r="EC2250">
        <v>0</v>
      </c>
      <c r="ED2250">
        <v>0</v>
      </c>
    </row>
    <row r="2251" spans="1:136" x14ac:dyDescent="0.3">
      <c r="A2251">
        <v>485</v>
      </c>
      <c r="B2251" t="s">
        <v>2525</v>
      </c>
      <c r="C2251" t="s">
        <v>258</v>
      </c>
      <c r="D2251" t="s">
        <v>73</v>
      </c>
      <c r="E2251" t="s">
        <v>22</v>
      </c>
      <c r="F2251" s="30">
        <v>45688</v>
      </c>
      <c r="G2251" t="s">
        <v>2537</v>
      </c>
      <c r="H2251" t="s">
        <v>4641</v>
      </c>
      <c r="I2251">
        <v>80</v>
      </c>
      <c r="J2251">
        <v>100</v>
      </c>
      <c r="EC2251">
        <v>1</v>
      </c>
      <c r="ED2251">
        <v>1</v>
      </c>
    </row>
    <row r="2252" spans="1:136" x14ac:dyDescent="0.3">
      <c r="A2252">
        <v>488</v>
      </c>
      <c r="B2252" t="s">
        <v>2555</v>
      </c>
      <c r="C2252" t="s">
        <v>258</v>
      </c>
      <c r="D2252" t="s">
        <v>73</v>
      </c>
      <c r="E2252" t="s">
        <v>22</v>
      </c>
      <c r="F2252" s="30">
        <v>45688</v>
      </c>
      <c r="G2252" t="s">
        <v>2568</v>
      </c>
      <c r="H2252" t="s">
        <v>4637</v>
      </c>
      <c r="I2252">
        <v>85</v>
      </c>
      <c r="J2252">
        <v>78.790000915527344</v>
      </c>
      <c r="EE2252">
        <v>26</v>
      </c>
      <c r="EF2252">
        <v>33</v>
      </c>
    </row>
    <row r="2253" spans="1:136" x14ac:dyDescent="0.3">
      <c r="A2253">
        <v>488</v>
      </c>
      <c r="B2253" t="s">
        <v>2555</v>
      </c>
      <c r="C2253" t="s">
        <v>258</v>
      </c>
      <c r="D2253" t="s">
        <v>73</v>
      </c>
      <c r="E2253" t="s">
        <v>22</v>
      </c>
      <c r="F2253" s="30">
        <v>45688</v>
      </c>
      <c r="G2253" t="s">
        <v>2568</v>
      </c>
      <c r="H2253" t="s">
        <v>4638</v>
      </c>
      <c r="I2253">
        <v>85</v>
      </c>
      <c r="J2253">
        <v>40</v>
      </c>
      <c r="EE2253">
        <v>2</v>
      </c>
      <c r="EF2253">
        <v>5</v>
      </c>
    </row>
    <row r="2254" spans="1:136" x14ac:dyDescent="0.3">
      <c r="A2254">
        <v>488</v>
      </c>
      <c r="B2254" t="s">
        <v>2555</v>
      </c>
      <c r="C2254" t="s">
        <v>258</v>
      </c>
      <c r="D2254" t="s">
        <v>73</v>
      </c>
      <c r="E2254" t="s">
        <v>22</v>
      </c>
      <c r="F2254" s="30">
        <v>45688</v>
      </c>
      <c r="G2254" t="s">
        <v>2568</v>
      </c>
      <c r="H2254" t="s">
        <v>4639</v>
      </c>
      <c r="I2254">
        <v>85</v>
      </c>
      <c r="J2254">
        <v>82.610000610351563</v>
      </c>
      <c r="EE2254">
        <v>19</v>
      </c>
      <c r="EF2254">
        <v>23</v>
      </c>
    </row>
    <row r="2255" spans="1:136" x14ac:dyDescent="0.3">
      <c r="A2255">
        <v>488</v>
      </c>
      <c r="B2255" t="s">
        <v>2555</v>
      </c>
      <c r="C2255" t="s">
        <v>258</v>
      </c>
      <c r="D2255" t="s">
        <v>73</v>
      </c>
      <c r="E2255" t="s">
        <v>22</v>
      </c>
      <c r="F2255" s="30">
        <v>45688</v>
      </c>
      <c r="G2255" t="s">
        <v>2568</v>
      </c>
      <c r="H2255" t="s">
        <v>4576</v>
      </c>
      <c r="I2255">
        <v>85</v>
      </c>
      <c r="J2255">
        <v>0</v>
      </c>
      <c r="EE2255">
        <v>0</v>
      </c>
      <c r="EF2255">
        <v>0</v>
      </c>
    </row>
    <row r="2256" spans="1:136" x14ac:dyDescent="0.3">
      <c r="A2256">
        <v>488</v>
      </c>
      <c r="B2256" t="s">
        <v>2555</v>
      </c>
      <c r="C2256" t="s">
        <v>258</v>
      </c>
      <c r="D2256" t="s">
        <v>73</v>
      </c>
      <c r="E2256" t="s">
        <v>22</v>
      </c>
      <c r="F2256" s="30">
        <v>45688</v>
      </c>
      <c r="G2256" t="s">
        <v>2568</v>
      </c>
      <c r="H2256" t="s">
        <v>154</v>
      </c>
      <c r="I2256">
        <v>85</v>
      </c>
      <c r="J2256">
        <v>0</v>
      </c>
      <c r="EE2256">
        <v>0</v>
      </c>
      <c r="EF2256">
        <v>0</v>
      </c>
    </row>
    <row r="2257" spans="1:141" x14ac:dyDescent="0.3">
      <c r="A2257">
        <v>488</v>
      </c>
      <c r="B2257" t="s">
        <v>2555</v>
      </c>
      <c r="C2257" t="s">
        <v>258</v>
      </c>
      <c r="D2257" t="s">
        <v>73</v>
      </c>
      <c r="E2257" t="s">
        <v>22</v>
      </c>
      <c r="F2257" s="30">
        <v>45688</v>
      </c>
      <c r="G2257" t="s">
        <v>2568</v>
      </c>
      <c r="H2257" t="s">
        <v>4640</v>
      </c>
      <c r="I2257">
        <v>85</v>
      </c>
      <c r="J2257">
        <v>0</v>
      </c>
      <c r="EE2257">
        <v>0</v>
      </c>
      <c r="EF2257">
        <v>0</v>
      </c>
    </row>
    <row r="2258" spans="1:141" x14ac:dyDescent="0.3">
      <c r="A2258">
        <v>488</v>
      </c>
      <c r="B2258" t="s">
        <v>2555</v>
      </c>
      <c r="C2258" t="s">
        <v>258</v>
      </c>
      <c r="D2258" t="s">
        <v>73</v>
      </c>
      <c r="E2258" t="s">
        <v>22</v>
      </c>
      <c r="F2258" s="30">
        <v>45688</v>
      </c>
      <c r="G2258" t="s">
        <v>2568</v>
      </c>
      <c r="H2258" t="s">
        <v>4641</v>
      </c>
      <c r="I2258">
        <v>85</v>
      </c>
      <c r="J2258">
        <v>79.029998779296875</v>
      </c>
      <c r="EE2258">
        <v>49</v>
      </c>
      <c r="EF2258">
        <v>62</v>
      </c>
    </row>
    <row r="2259" spans="1:141" x14ac:dyDescent="0.3">
      <c r="A2259">
        <v>488</v>
      </c>
      <c r="B2259" t="s">
        <v>2555</v>
      </c>
      <c r="C2259" t="s">
        <v>258</v>
      </c>
      <c r="D2259" t="s">
        <v>73</v>
      </c>
      <c r="E2259" t="s">
        <v>22</v>
      </c>
      <c r="F2259" s="30">
        <v>45688</v>
      </c>
      <c r="G2259" t="s">
        <v>2568</v>
      </c>
      <c r="H2259" t="s">
        <v>4538</v>
      </c>
      <c r="I2259">
        <v>85</v>
      </c>
      <c r="J2259">
        <v>0</v>
      </c>
      <c r="EE2259">
        <v>0</v>
      </c>
      <c r="EF2259">
        <v>0</v>
      </c>
    </row>
    <row r="2260" spans="1:141" x14ac:dyDescent="0.3">
      <c r="A2260">
        <v>488</v>
      </c>
      <c r="B2260" t="s">
        <v>2555</v>
      </c>
      <c r="C2260" t="s">
        <v>258</v>
      </c>
      <c r="D2260" t="s">
        <v>73</v>
      </c>
      <c r="E2260" t="s">
        <v>22</v>
      </c>
      <c r="F2260" s="30">
        <v>45688</v>
      </c>
      <c r="G2260" t="s">
        <v>2568</v>
      </c>
      <c r="H2260" t="s">
        <v>4642</v>
      </c>
      <c r="I2260">
        <v>85</v>
      </c>
      <c r="J2260">
        <v>0</v>
      </c>
      <c r="EE2260">
        <v>0</v>
      </c>
      <c r="EF2260">
        <v>0</v>
      </c>
    </row>
    <row r="2261" spans="1:141" x14ac:dyDescent="0.3">
      <c r="A2261">
        <v>509</v>
      </c>
      <c r="B2261" t="s">
        <v>2622</v>
      </c>
      <c r="C2261" t="s">
        <v>1096</v>
      </c>
      <c r="D2261" t="s">
        <v>73</v>
      </c>
      <c r="E2261" t="s">
        <v>22</v>
      </c>
      <c r="F2261" s="30">
        <v>45688</v>
      </c>
      <c r="G2261" t="s">
        <v>2623</v>
      </c>
      <c r="H2261" t="s">
        <v>3449</v>
      </c>
      <c r="I2261">
        <v>90</v>
      </c>
      <c r="J2261">
        <v>100</v>
      </c>
      <c r="EJ2261">
        <v>6</v>
      </c>
      <c r="EK2261">
        <v>6</v>
      </c>
    </row>
    <row r="2262" spans="1:141" x14ac:dyDescent="0.3">
      <c r="A2262">
        <v>509</v>
      </c>
      <c r="B2262" t="s">
        <v>2622</v>
      </c>
      <c r="C2262" t="s">
        <v>1096</v>
      </c>
      <c r="D2262" t="s">
        <v>73</v>
      </c>
      <c r="E2262" t="s">
        <v>22</v>
      </c>
      <c r="F2262" s="30">
        <v>45688</v>
      </c>
      <c r="G2262" t="s">
        <v>2623</v>
      </c>
      <c r="H2262" t="s">
        <v>3457</v>
      </c>
      <c r="I2262">
        <v>90</v>
      </c>
      <c r="J2262">
        <v>0</v>
      </c>
      <c r="EJ2262">
        <v>0</v>
      </c>
      <c r="EK2262">
        <v>0</v>
      </c>
    </row>
    <row r="2263" spans="1:141" x14ac:dyDescent="0.3">
      <c r="A2263">
        <v>509</v>
      </c>
      <c r="B2263" t="s">
        <v>2622</v>
      </c>
      <c r="C2263" t="s">
        <v>1096</v>
      </c>
      <c r="D2263" t="s">
        <v>73</v>
      </c>
      <c r="E2263" t="s">
        <v>22</v>
      </c>
      <c r="F2263" s="30">
        <v>45688</v>
      </c>
      <c r="G2263" t="s">
        <v>2623</v>
      </c>
      <c r="H2263" t="s">
        <v>3572</v>
      </c>
      <c r="I2263">
        <v>90</v>
      </c>
      <c r="J2263">
        <v>100</v>
      </c>
      <c r="EJ2263">
        <v>95</v>
      </c>
      <c r="EK2263">
        <v>95</v>
      </c>
    </row>
    <row r="2264" spans="1:141" x14ac:dyDescent="0.3">
      <c r="A2264">
        <v>509</v>
      </c>
      <c r="B2264" t="s">
        <v>2622</v>
      </c>
      <c r="C2264" t="s">
        <v>1096</v>
      </c>
      <c r="D2264" t="s">
        <v>73</v>
      </c>
      <c r="E2264" t="s">
        <v>22</v>
      </c>
      <c r="F2264" s="30">
        <v>45688</v>
      </c>
      <c r="G2264" t="s">
        <v>2623</v>
      </c>
      <c r="H2264" t="s">
        <v>3451</v>
      </c>
      <c r="I2264">
        <v>90</v>
      </c>
      <c r="J2264">
        <v>0</v>
      </c>
      <c r="EJ2264">
        <v>0</v>
      </c>
      <c r="EK2264">
        <v>0</v>
      </c>
    </row>
    <row r="2265" spans="1:141" x14ac:dyDescent="0.3">
      <c r="A2265">
        <v>509</v>
      </c>
      <c r="B2265" t="s">
        <v>2622</v>
      </c>
      <c r="C2265" t="s">
        <v>1096</v>
      </c>
      <c r="D2265" t="s">
        <v>73</v>
      </c>
      <c r="E2265" t="s">
        <v>22</v>
      </c>
      <c r="F2265" s="30">
        <v>45688</v>
      </c>
      <c r="G2265" t="s">
        <v>2623</v>
      </c>
      <c r="H2265" t="s">
        <v>3453</v>
      </c>
      <c r="I2265">
        <v>90</v>
      </c>
      <c r="J2265">
        <v>98.769996643066406</v>
      </c>
      <c r="EJ2265">
        <v>81</v>
      </c>
      <c r="EK2265">
        <v>80</v>
      </c>
    </row>
    <row r="2266" spans="1:141" x14ac:dyDescent="0.3">
      <c r="A2266">
        <v>509</v>
      </c>
      <c r="B2266" t="s">
        <v>2622</v>
      </c>
      <c r="C2266" t="s">
        <v>1096</v>
      </c>
      <c r="D2266" t="s">
        <v>73</v>
      </c>
      <c r="E2266" t="s">
        <v>22</v>
      </c>
      <c r="F2266" s="30">
        <v>45688</v>
      </c>
      <c r="G2266" t="s">
        <v>2623</v>
      </c>
      <c r="H2266" t="s">
        <v>3461</v>
      </c>
      <c r="I2266">
        <v>90</v>
      </c>
      <c r="J2266">
        <v>0</v>
      </c>
      <c r="EJ2266">
        <v>0</v>
      </c>
      <c r="EK2266">
        <v>0</v>
      </c>
    </row>
    <row r="2267" spans="1:141" x14ac:dyDescent="0.3">
      <c r="A2267">
        <v>509</v>
      </c>
      <c r="B2267" t="s">
        <v>2622</v>
      </c>
      <c r="C2267" t="s">
        <v>1096</v>
      </c>
      <c r="D2267" t="s">
        <v>73</v>
      </c>
      <c r="E2267" t="s">
        <v>22</v>
      </c>
      <c r="F2267" s="30">
        <v>45688</v>
      </c>
      <c r="G2267" t="s">
        <v>2623</v>
      </c>
      <c r="H2267" t="s">
        <v>3463</v>
      </c>
      <c r="I2267">
        <v>90</v>
      </c>
      <c r="J2267">
        <v>0</v>
      </c>
      <c r="EJ2267">
        <v>0</v>
      </c>
      <c r="EK2267">
        <v>0</v>
      </c>
    </row>
    <row r="2268" spans="1:141" x14ac:dyDescent="0.3">
      <c r="A2268">
        <v>509</v>
      </c>
      <c r="B2268" t="s">
        <v>2622</v>
      </c>
      <c r="C2268" t="s">
        <v>1096</v>
      </c>
      <c r="D2268" t="s">
        <v>73</v>
      </c>
      <c r="E2268" t="s">
        <v>22</v>
      </c>
      <c r="F2268" s="30">
        <v>45688</v>
      </c>
      <c r="G2268" t="s">
        <v>2623</v>
      </c>
      <c r="H2268" t="s">
        <v>3470</v>
      </c>
      <c r="I2268">
        <v>90</v>
      </c>
      <c r="J2268">
        <v>0</v>
      </c>
      <c r="EJ2268">
        <v>0</v>
      </c>
      <c r="EK2268">
        <v>0</v>
      </c>
    </row>
    <row r="2269" spans="1:141" x14ac:dyDescent="0.3">
      <c r="A2269">
        <v>509</v>
      </c>
      <c r="B2269" t="s">
        <v>2622</v>
      </c>
      <c r="C2269" t="s">
        <v>1096</v>
      </c>
      <c r="D2269" t="s">
        <v>73</v>
      </c>
      <c r="E2269" t="s">
        <v>22</v>
      </c>
      <c r="F2269" s="30">
        <v>45688</v>
      </c>
      <c r="G2269" t="s">
        <v>2623</v>
      </c>
      <c r="H2269" t="s">
        <v>3465</v>
      </c>
      <c r="I2269">
        <v>90</v>
      </c>
      <c r="J2269">
        <v>0</v>
      </c>
      <c r="EJ2269">
        <v>0</v>
      </c>
      <c r="EK2269">
        <v>0</v>
      </c>
    </row>
    <row r="2270" spans="1:141" x14ac:dyDescent="0.3">
      <c r="A2270">
        <v>509</v>
      </c>
      <c r="B2270" t="s">
        <v>2622</v>
      </c>
      <c r="C2270" t="s">
        <v>1096</v>
      </c>
      <c r="D2270" t="s">
        <v>73</v>
      </c>
      <c r="E2270" t="s">
        <v>22</v>
      </c>
      <c r="F2270" s="30">
        <v>45688</v>
      </c>
      <c r="G2270" t="s">
        <v>2623</v>
      </c>
      <c r="H2270" t="s">
        <v>3467</v>
      </c>
      <c r="I2270">
        <v>90</v>
      </c>
      <c r="J2270">
        <v>0</v>
      </c>
      <c r="EJ2270">
        <v>0</v>
      </c>
      <c r="EK2270">
        <v>0</v>
      </c>
    </row>
    <row r="2271" spans="1:141" x14ac:dyDescent="0.3">
      <c r="A2271">
        <v>509</v>
      </c>
      <c r="B2271" t="s">
        <v>2622</v>
      </c>
      <c r="C2271" t="s">
        <v>1096</v>
      </c>
      <c r="D2271" t="s">
        <v>73</v>
      </c>
      <c r="E2271" t="s">
        <v>22</v>
      </c>
      <c r="F2271" s="30">
        <v>45688</v>
      </c>
      <c r="G2271" t="s">
        <v>2623</v>
      </c>
      <c r="H2271" t="s">
        <v>3472</v>
      </c>
      <c r="I2271">
        <v>90</v>
      </c>
      <c r="J2271">
        <v>0</v>
      </c>
      <c r="EJ2271">
        <v>0</v>
      </c>
      <c r="EK2271">
        <v>0</v>
      </c>
    </row>
    <row r="2272" spans="1:141" x14ac:dyDescent="0.3">
      <c r="A2272">
        <v>509</v>
      </c>
      <c r="B2272" t="s">
        <v>2622</v>
      </c>
      <c r="C2272" t="s">
        <v>1096</v>
      </c>
      <c r="D2272" t="s">
        <v>73</v>
      </c>
      <c r="E2272" t="s">
        <v>22</v>
      </c>
      <c r="F2272" s="30">
        <v>45688</v>
      </c>
      <c r="G2272" t="s">
        <v>2623</v>
      </c>
      <c r="H2272" t="s">
        <v>4647</v>
      </c>
      <c r="I2272">
        <v>90</v>
      </c>
      <c r="J2272">
        <v>0</v>
      </c>
      <c r="EJ2272">
        <v>0</v>
      </c>
      <c r="EK2272">
        <v>0</v>
      </c>
    </row>
    <row r="2273" spans="1:141" x14ac:dyDescent="0.3">
      <c r="A2273">
        <v>509</v>
      </c>
      <c r="B2273" t="s">
        <v>2622</v>
      </c>
      <c r="C2273" t="s">
        <v>1096</v>
      </c>
      <c r="D2273" t="s">
        <v>73</v>
      </c>
      <c r="E2273" t="s">
        <v>22</v>
      </c>
      <c r="F2273" s="30">
        <v>45688</v>
      </c>
      <c r="G2273" t="s">
        <v>2623</v>
      </c>
      <c r="H2273" t="s">
        <v>4648</v>
      </c>
      <c r="I2273">
        <v>90</v>
      </c>
      <c r="J2273">
        <v>0</v>
      </c>
      <c r="EJ2273">
        <v>0</v>
      </c>
      <c r="EK2273">
        <v>0</v>
      </c>
    </row>
    <row r="2274" spans="1:141" x14ac:dyDescent="0.3">
      <c r="A2274">
        <v>509</v>
      </c>
      <c r="B2274" t="s">
        <v>2622</v>
      </c>
      <c r="C2274" t="s">
        <v>1096</v>
      </c>
      <c r="D2274" t="s">
        <v>73</v>
      </c>
      <c r="E2274" t="s">
        <v>22</v>
      </c>
      <c r="F2274" s="30">
        <v>45688</v>
      </c>
      <c r="G2274" t="s">
        <v>2623</v>
      </c>
      <c r="H2274" t="s">
        <v>4649</v>
      </c>
      <c r="I2274">
        <v>90</v>
      </c>
      <c r="J2274">
        <v>0</v>
      </c>
      <c r="EJ2274">
        <v>0</v>
      </c>
      <c r="EK2274">
        <v>0</v>
      </c>
    </row>
    <row r="2275" spans="1:141" x14ac:dyDescent="0.3">
      <c r="A2275">
        <v>509</v>
      </c>
      <c r="B2275" t="s">
        <v>2622</v>
      </c>
      <c r="C2275" t="s">
        <v>1096</v>
      </c>
      <c r="D2275" t="s">
        <v>73</v>
      </c>
      <c r="E2275" t="s">
        <v>22</v>
      </c>
      <c r="F2275" s="30">
        <v>45688</v>
      </c>
      <c r="G2275" t="s">
        <v>2623</v>
      </c>
      <c r="H2275" t="s">
        <v>4650</v>
      </c>
      <c r="I2275">
        <v>90</v>
      </c>
      <c r="J2275">
        <v>0</v>
      </c>
      <c r="EJ2275">
        <v>0</v>
      </c>
      <c r="EK2275">
        <v>0</v>
      </c>
    </row>
    <row r="2276" spans="1:141" x14ac:dyDescent="0.3">
      <c r="A2276">
        <v>509</v>
      </c>
      <c r="B2276" t="s">
        <v>2622</v>
      </c>
      <c r="C2276" t="s">
        <v>1096</v>
      </c>
      <c r="D2276" t="s">
        <v>73</v>
      </c>
      <c r="E2276" t="s">
        <v>22</v>
      </c>
      <c r="F2276" s="30">
        <v>45688</v>
      </c>
      <c r="G2276" t="s">
        <v>2623</v>
      </c>
      <c r="H2276" t="s">
        <v>3455</v>
      </c>
      <c r="I2276">
        <v>90</v>
      </c>
      <c r="J2276">
        <v>0</v>
      </c>
      <c r="EJ2276">
        <v>0</v>
      </c>
      <c r="EK2276">
        <v>0</v>
      </c>
    </row>
    <row r="2277" spans="1:141" x14ac:dyDescent="0.3">
      <c r="A2277">
        <v>509</v>
      </c>
      <c r="B2277" t="s">
        <v>2622</v>
      </c>
      <c r="C2277" t="s">
        <v>1096</v>
      </c>
      <c r="D2277" t="s">
        <v>73</v>
      </c>
      <c r="E2277" t="s">
        <v>22</v>
      </c>
      <c r="F2277" s="30">
        <v>45688</v>
      </c>
      <c r="G2277" t="s">
        <v>2623</v>
      </c>
      <c r="H2277" t="s">
        <v>3476</v>
      </c>
      <c r="I2277">
        <v>90</v>
      </c>
      <c r="J2277">
        <v>0</v>
      </c>
      <c r="EJ2277">
        <v>0</v>
      </c>
      <c r="EK2277">
        <v>0</v>
      </c>
    </row>
    <row r="2278" spans="1:141" x14ac:dyDescent="0.3">
      <c r="A2278">
        <v>509</v>
      </c>
      <c r="B2278" t="s">
        <v>2622</v>
      </c>
      <c r="C2278" t="s">
        <v>1096</v>
      </c>
      <c r="D2278" t="s">
        <v>73</v>
      </c>
      <c r="E2278" t="s">
        <v>22</v>
      </c>
      <c r="F2278" s="30">
        <v>45688</v>
      </c>
      <c r="G2278" t="s">
        <v>2623</v>
      </c>
      <c r="H2278" t="s">
        <v>3459</v>
      </c>
      <c r="I2278">
        <v>90</v>
      </c>
      <c r="J2278">
        <v>0</v>
      </c>
      <c r="EJ2278">
        <v>0</v>
      </c>
      <c r="EK2278">
        <v>0</v>
      </c>
    </row>
    <row r="2279" spans="1:141" x14ac:dyDescent="0.3">
      <c r="A2279">
        <v>208</v>
      </c>
      <c r="B2279" t="s">
        <v>707</v>
      </c>
      <c r="C2279" t="s">
        <v>251</v>
      </c>
      <c r="D2279" t="s">
        <v>73</v>
      </c>
      <c r="E2279" t="s">
        <v>56</v>
      </c>
      <c r="F2279" s="30">
        <v>45716</v>
      </c>
      <c r="G2279" t="s">
        <v>746</v>
      </c>
      <c r="H2279" t="s">
        <v>4468</v>
      </c>
      <c r="I2279">
        <v>950</v>
      </c>
      <c r="J2279">
        <v>632</v>
      </c>
      <c r="K2279">
        <v>632</v>
      </c>
    </row>
    <row r="2280" spans="1:141" x14ac:dyDescent="0.3">
      <c r="A2280">
        <v>208</v>
      </c>
      <c r="B2280" t="s">
        <v>707</v>
      </c>
      <c r="C2280" t="s">
        <v>251</v>
      </c>
      <c r="D2280" t="s">
        <v>73</v>
      </c>
      <c r="E2280" t="s">
        <v>56</v>
      </c>
      <c r="F2280" s="30">
        <v>45716</v>
      </c>
      <c r="G2280" t="s">
        <v>746</v>
      </c>
      <c r="H2280" t="s">
        <v>4477</v>
      </c>
      <c r="I2280">
        <v>25</v>
      </c>
      <c r="J2280">
        <v>13.5</v>
      </c>
      <c r="K2280">
        <v>13.5</v>
      </c>
    </row>
    <row r="2281" spans="1:141" x14ac:dyDescent="0.3">
      <c r="A2281">
        <v>208</v>
      </c>
      <c r="B2281" t="s">
        <v>707</v>
      </c>
      <c r="C2281" t="s">
        <v>251</v>
      </c>
      <c r="D2281" t="s">
        <v>73</v>
      </c>
      <c r="E2281" t="s">
        <v>56</v>
      </c>
      <c r="F2281" s="30">
        <v>45716</v>
      </c>
      <c r="G2281" t="s">
        <v>746</v>
      </c>
      <c r="H2281" t="s">
        <v>4469</v>
      </c>
      <c r="I2281">
        <v>200</v>
      </c>
      <c r="J2281">
        <v>228</v>
      </c>
      <c r="K2281">
        <v>228</v>
      </c>
    </row>
    <row r="2282" spans="1:141" x14ac:dyDescent="0.3">
      <c r="A2282">
        <v>208</v>
      </c>
      <c r="B2282" t="s">
        <v>707</v>
      </c>
      <c r="C2282" t="s">
        <v>251</v>
      </c>
      <c r="D2282" t="s">
        <v>73</v>
      </c>
      <c r="E2282" t="s">
        <v>56</v>
      </c>
      <c r="F2282" s="30">
        <v>45716</v>
      </c>
      <c r="G2282" t="s">
        <v>746</v>
      </c>
      <c r="H2282" t="s">
        <v>4476</v>
      </c>
      <c r="I2282">
        <v>0</v>
      </c>
      <c r="J2282">
        <v>0</v>
      </c>
      <c r="K2282">
        <v>0</v>
      </c>
    </row>
    <row r="2283" spans="1:141" x14ac:dyDescent="0.3">
      <c r="A2283">
        <v>208</v>
      </c>
      <c r="B2283" t="s">
        <v>707</v>
      </c>
      <c r="C2283" t="s">
        <v>251</v>
      </c>
      <c r="D2283" t="s">
        <v>73</v>
      </c>
      <c r="E2283" t="s">
        <v>56</v>
      </c>
      <c r="F2283" s="30">
        <v>45716</v>
      </c>
      <c r="G2283" t="s">
        <v>746</v>
      </c>
      <c r="H2283" t="s">
        <v>4478</v>
      </c>
      <c r="I2283">
        <v>25</v>
      </c>
      <c r="J2283">
        <v>0</v>
      </c>
      <c r="K2283">
        <v>0</v>
      </c>
    </row>
    <row r="2284" spans="1:141" x14ac:dyDescent="0.3">
      <c r="A2284">
        <v>208</v>
      </c>
      <c r="B2284" t="s">
        <v>707</v>
      </c>
      <c r="C2284" t="s">
        <v>251</v>
      </c>
      <c r="D2284" t="s">
        <v>73</v>
      </c>
      <c r="E2284" t="s">
        <v>56</v>
      </c>
      <c r="F2284" s="30">
        <v>45716</v>
      </c>
      <c r="G2284" t="s">
        <v>746</v>
      </c>
      <c r="H2284" t="s">
        <v>4470</v>
      </c>
      <c r="I2284">
        <v>350</v>
      </c>
      <c r="J2284">
        <v>249.5</v>
      </c>
      <c r="K2284">
        <v>249.5</v>
      </c>
    </row>
    <row r="2285" spans="1:141" x14ac:dyDescent="0.3">
      <c r="A2285">
        <v>214</v>
      </c>
      <c r="B2285" t="s">
        <v>774</v>
      </c>
      <c r="C2285" t="s">
        <v>251</v>
      </c>
      <c r="D2285" t="s">
        <v>73</v>
      </c>
      <c r="E2285" t="s">
        <v>56</v>
      </c>
      <c r="F2285" s="30">
        <v>45716</v>
      </c>
      <c r="G2285" t="s">
        <v>813</v>
      </c>
      <c r="H2285" t="s">
        <v>4470</v>
      </c>
      <c r="I2285">
        <v>1000</v>
      </c>
      <c r="J2285">
        <v>1009.260009765625</v>
      </c>
      <c r="L2285">
        <v>102.1</v>
      </c>
      <c r="M2285">
        <v>907.16</v>
      </c>
    </row>
    <row r="2286" spans="1:141" x14ac:dyDescent="0.3">
      <c r="A2286">
        <v>214</v>
      </c>
      <c r="B2286" t="s">
        <v>774</v>
      </c>
      <c r="C2286" t="s">
        <v>251</v>
      </c>
      <c r="D2286" t="s">
        <v>73</v>
      </c>
      <c r="E2286" t="s">
        <v>56</v>
      </c>
      <c r="F2286" s="30">
        <v>45716</v>
      </c>
      <c r="G2286" t="s">
        <v>813</v>
      </c>
      <c r="H2286" t="s">
        <v>4477</v>
      </c>
      <c r="I2286">
        <v>7500</v>
      </c>
      <c r="J2286">
        <v>0</v>
      </c>
      <c r="L2286">
        <v>0</v>
      </c>
      <c r="M2286">
        <v>0</v>
      </c>
    </row>
    <row r="2287" spans="1:141" x14ac:dyDescent="0.3">
      <c r="A2287">
        <v>214</v>
      </c>
      <c r="B2287" t="s">
        <v>774</v>
      </c>
      <c r="C2287" t="s">
        <v>251</v>
      </c>
      <c r="D2287" t="s">
        <v>73</v>
      </c>
      <c r="E2287" t="s">
        <v>56</v>
      </c>
      <c r="F2287" s="30">
        <v>45716</v>
      </c>
      <c r="G2287" t="s">
        <v>813</v>
      </c>
      <c r="H2287" t="s">
        <v>4469</v>
      </c>
      <c r="I2287">
        <v>1000</v>
      </c>
      <c r="J2287">
        <v>886.79998779296875</v>
      </c>
      <c r="L2287">
        <v>148.9</v>
      </c>
      <c r="M2287">
        <v>737.9</v>
      </c>
    </row>
    <row r="2288" spans="1:141" x14ac:dyDescent="0.3">
      <c r="A2288">
        <v>214</v>
      </c>
      <c r="B2288" t="s">
        <v>774</v>
      </c>
      <c r="C2288" t="s">
        <v>251</v>
      </c>
      <c r="D2288" t="s">
        <v>73</v>
      </c>
      <c r="E2288" t="s">
        <v>56</v>
      </c>
      <c r="F2288" s="30">
        <v>45716</v>
      </c>
      <c r="G2288" t="s">
        <v>813</v>
      </c>
      <c r="H2288" t="s">
        <v>4476</v>
      </c>
      <c r="I2288">
        <v>1</v>
      </c>
      <c r="J2288">
        <v>0</v>
      </c>
      <c r="L2288">
        <v>0</v>
      </c>
      <c r="M2288">
        <v>0</v>
      </c>
    </row>
    <row r="2289" spans="1:46" x14ac:dyDescent="0.3">
      <c r="A2289">
        <v>214</v>
      </c>
      <c r="B2289" t="s">
        <v>774</v>
      </c>
      <c r="C2289" t="s">
        <v>251</v>
      </c>
      <c r="D2289" t="s">
        <v>73</v>
      </c>
      <c r="E2289" t="s">
        <v>56</v>
      </c>
      <c r="F2289" s="30">
        <v>45716</v>
      </c>
      <c r="G2289" t="s">
        <v>813</v>
      </c>
      <c r="H2289" t="s">
        <v>4478</v>
      </c>
      <c r="I2289">
        <v>1</v>
      </c>
      <c r="J2289">
        <v>28.420000076293949</v>
      </c>
      <c r="L2289">
        <v>5.0599999999999996</v>
      </c>
      <c r="M2289">
        <v>23.36</v>
      </c>
    </row>
    <row r="2290" spans="1:46" x14ac:dyDescent="0.3">
      <c r="A2290">
        <v>214</v>
      </c>
      <c r="B2290" t="s">
        <v>774</v>
      </c>
      <c r="C2290" t="s">
        <v>251</v>
      </c>
      <c r="D2290" t="s">
        <v>73</v>
      </c>
      <c r="E2290" t="s">
        <v>56</v>
      </c>
      <c r="F2290" s="30">
        <v>45716</v>
      </c>
      <c r="G2290" t="s">
        <v>813</v>
      </c>
      <c r="H2290" t="s">
        <v>4468</v>
      </c>
      <c r="I2290">
        <v>5500</v>
      </c>
      <c r="J2290">
        <v>3092.35009765625</v>
      </c>
      <c r="L2290">
        <v>1028.9000000000001</v>
      </c>
      <c r="M2290">
        <v>2063.4499999999998</v>
      </c>
    </row>
    <row r="2291" spans="1:46" x14ac:dyDescent="0.3">
      <c r="A2291">
        <v>217</v>
      </c>
      <c r="B2291" t="s">
        <v>840</v>
      </c>
      <c r="C2291" t="s">
        <v>251</v>
      </c>
      <c r="D2291" t="s">
        <v>73</v>
      </c>
      <c r="E2291" t="s">
        <v>22</v>
      </c>
      <c r="F2291" s="30">
        <v>45716</v>
      </c>
      <c r="G2291" t="s">
        <v>877</v>
      </c>
      <c r="H2291" t="s">
        <v>4470</v>
      </c>
      <c r="I2291">
        <v>20</v>
      </c>
      <c r="J2291">
        <v>10.11999988555908</v>
      </c>
      <c r="L2291">
        <v>102.1</v>
      </c>
      <c r="M2291">
        <v>907.16</v>
      </c>
      <c r="AS2291">
        <v>102.1</v>
      </c>
    </row>
    <row r="2292" spans="1:46" x14ac:dyDescent="0.3">
      <c r="A2292">
        <v>217</v>
      </c>
      <c r="B2292" t="s">
        <v>840</v>
      </c>
      <c r="C2292" t="s">
        <v>251</v>
      </c>
      <c r="D2292" t="s">
        <v>73</v>
      </c>
      <c r="E2292" t="s">
        <v>22</v>
      </c>
      <c r="F2292" s="30">
        <v>45716</v>
      </c>
      <c r="G2292" t="s">
        <v>877</v>
      </c>
      <c r="H2292" t="s">
        <v>4477</v>
      </c>
      <c r="I2292">
        <v>20</v>
      </c>
      <c r="J2292">
        <v>0</v>
      </c>
      <c r="L2292">
        <v>0</v>
      </c>
      <c r="M2292">
        <v>0</v>
      </c>
      <c r="AS2292">
        <v>0</v>
      </c>
    </row>
    <row r="2293" spans="1:46" x14ac:dyDescent="0.3">
      <c r="A2293">
        <v>217</v>
      </c>
      <c r="B2293" t="s">
        <v>840</v>
      </c>
      <c r="C2293" t="s">
        <v>251</v>
      </c>
      <c r="D2293" t="s">
        <v>73</v>
      </c>
      <c r="E2293" t="s">
        <v>22</v>
      </c>
      <c r="F2293" s="30">
        <v>45716</v>
      </c>
      <c r="G2293" t="s">
        <v>877</v>
      </c>
      <c r="H2293" t="s">
        <v>4469</v>
      </c>
      <c r="I2293">
        <v>20</v>
      </c>
      <c r="J2293">
        <v>16.79000091552734</v>
      </c>
      <c r="L2293">
        <v>148.9</v>
      </c>
      <c r="M2293">
        <v>737.9</v>
      </c>
      <c r="AS2293">
        <v>148.9</v>
      </c>
    </row>
    <row r="2294" spans="1:46" x14ac:dyDescent="0.3">
      <c r="A2294">
        <v>217</v>
      </c>
      <c r="B2294" t="s">
        <v>840</v>
      </c>
      <c r="C2294" t="s">
        <v>251</v>
      </c>
      <c r="D2294" t="s">
        <v>73</v>
      </c>
      <c r="E2294" t="s">
        <v>22</v>
      </c>
      <c r="F2294" s="30">
        <v>45716</v>
      </c>
      <c r="G2294" t="s">
        <v>877</v>
      </c>
      <c r="H2294" t="s">
        <v>4476</v>
      </c>
      <c r="I2294">
        <v>20</v>
      </c>
      <c r="J2294">
        <v>0</v>
      </c>
      <c r="L2294">
        <v>0</v>
      </c>
      <c r="M2294">
        <v>0</v>
      </c>
      <c r="AS2294">
        <v>0</v>
      </c>
    </row>
    <row r="2295" spans="1:46" x14ac:dyDescent="0.3">
      <c r="A2295">
        <v>217</v>
      </c>
      <c r="B2295" t="s">
        <v>840</v>
      </c>
      <c r="C2295" t="s">
        <v>251</v>
      </c>
      <c r="D2295" t="s">
        <v>73</v>
      </c>
      <c r="E2295" t="s">
        <v>22</v>
      </c>
      <c r="F2295" s="30">
        <v>45716</v>
      </c>
      <c r="G2295" t="s">
        <v>877</v>
      </c>
      <c r="H2295" t="s">
        <v>4478</v>
      </c>
      <c r="I2295">
        <v>20</v>
      </c>
      <c r="J2295">
        <v>17.79999923706055</v>
      </c>
      <c r="L2295">
        <v>5.0599999999999996</v>
      </c>
      <c r="M2295">
        <v>23.36</v>
      </c>
      <c r="AS2295">
        <v>5.0599999999999996</v>
      </c>
    </row>
    <row r="2296" spans="1:46" x14ac:dyDescent="0.3">
      <c r="A2296">
        <v>217</v>
      </c>
      <c r="B2296" t="s">
        <v>840</v>
      </c>
      <c r="C2296" t="s">
        <v>251</v>
      </c>
      <c r="D2296" t="s">
        <v>73</v>
      </c>
      <c r="E2296" t="s">
        <v>22</v>
      </c>
      <c r="F2296" s="30">
        <v>45716</v>
      </c>
      <c r="G2296" t="s">
        <v>877</v>
      </c>
      <c r="H2296" t="s">
        <v>4468</v>
      </c>
      <c r="I2296">
        <v>20</v>
      </c>
      <c r="J2296">
        <v>61.299999237060547</v>
      </c>
      <c r="L2296">
        <v>1028.9000000000001</v>
      </c>
      <c r="M2296">
        <v>2063.4499999999998</v>
      </c>
      <c r="AS2296">
        <v>1895.64</v>
      </c>
    </row>
    <row r="2297" spans="1:46" x14ac:dyDescent="0.3">
      <c r="A2297">
        <v>218</v>
      </c>
      <c r="B2297" t="s">
        <v>888</v>
      </c>
      <c r="C2297" t="s">
        <v>251</v>
      </c>
      <c r="D2297" t="s">
        <v>73</v>
      </c>
      <c r="E2297" t="s">
        <v>56</v>
      </c>
      <c r="F2297" s="30">
        <v>45716</v>
      </c>
      <c r="G2297" t="s">
        <v>927</v>
      </c>
      <c r="H2297" t="s">
        <v>4468</v>
      </c>
      <c r="I2297">
        <v>76000</v>
      </c>
      <c r="J2297">
        <v>66782.390625</v>
      </c>
      <c r="N2297">
        <v>66782.39</v>
      </c>
    </row>
    <row r="2298" spans="1:46" x14ac:dyDescent="0.3">
      <c r="A2298">
        <v>218</v>
      </c>
      <c r="B2298" t="s">
        <v>888</v>
      </c>
      <c r="C2298" t="s">
        <v>251</v>
      </c>
      <c r="D2298" t="s">
        <v>73</v>
      </c>
      <c r="E2298" t="s">
        <v>56</v>
      </c>
      <c r="F2298" s="30">
        <v>45716</v>
      </c>
      <c r="G2298" t="s">
        <v>927</v>
      </c>
      <c r="H2298" t="s">
        <v>4477</v>
      </c>
      <c r="I2298">
        <v>5000</v>
      </c>
      <c r="J2298">
        <v>3660</v>
      </c>
      <c r="N2298">
        <v>3660</v>
      </c>
    </row>
    <row r="2299" spans="1:46" x14ac:dyDescent="0.3">
      <c r="A2299">
        <v>218</v>
      </c>
      <c r="B2299" t="s">
        <v>888</v>
      </c>
      <c r="C2299" t="s">
        <v>251</v>
      </c>
      <c r="D2299" t="s">
        <v>73</v>
      </c>
      <c r="E2299" t="s">
        <v>56</v>
      </c>
      <c r="F2299" s="30">
        <v>45716</v>
      </c>
      <c r="G2299" t="s">
        <v>927</v>
      </c>
      <c r="H2299" t="s">
        <v>4469</v>
      </c>
      <c r="I2299">
        <v>24000</v>
      </c>
      <c r="J2299">
        <v>20253</v>
      </c>
      <c r="N2299">
        <v>20253</v>
      </c>
    </row>
    <row r="2300" spans="1:46" x14ac:dyDescent="0.3">
      <c r="A2300">
        <v>218</v>
      </c>
      <c r="B2300" t="s">
        <v>888</v>
      </c>
      <c r="C2300" t="s">
        <v>251</v>
      </c>
      <c r="D2300" t="s">
        <v>73</v>
      </c>
      <c r="E2300" t="s">
        <v>56</v>
      </c>
      <c r="F2300" s="30">
        <v>45716</v>
      </c>
      <c r="G2300" t="s">
        <v>927</v>
      </c>
      <c r="H2300" t="s">
        <v>4476</v>
      </c>
      <c r="I2300">
        <v>5000</v>
      </c>
      <c r="J2300">
        <v>600</v>
      </c>
      <c r="N2300">
        <v>600</v>
      </c>
    </row>
    <row r="2301" spans="1:46" x14ac:dyDescent="0.3">
      <c r="A2301">
        <v>218</v>
      </c>
      <c r="B2301" t="s">
        <v>888</v>
      </c>
      <c r="C2301" t="s">
        <v>251</v>
      </c>
      <c r="D2301" t="s">
        <v>73</v>
      </c>
      <c r="E2301" t="s">
        <v>56</v>
      </c>
      <c r="F2301" s="30">
        <v>45716</v>
      </c>
      <c r="G2301" t="s">
        <v>927</v>
      </c>
      <c r="H2301" t="s">
        <v>4478</v>
      </c>
      <c r="I2301">
        <v>2000</v>
      </c>
      <c r="J2301">
        <v>1368</v>
      </c>
      <c r="N2301">
        <v>1368</v>
      </c>
    </row>
    <row r="2302" spans="1:46" x14ac:dyDescent="0.3">
      <c r="A2302">
        <v>218</v>
      </c>
      <c r="B2302" t="s">
        <v>888</v>
      </c>
      <c r="C2302" t="s">
        <v>251</v>
      </c>
      <c r="D2302" t="s">
        <v>73</v>
      </c>
      <c r="E2302" t="s">
        <v>56</v>
      </c>
      <c r="F2302" s="30">
        <v>45716</v>
      </c>
      <c r="G2302" t="s">
        <v>927</v>
      </c>
      <c r="H2302" t="s">
        <v>4470</v>
      </c>
      <c r="I2302">
        <v>76000</v>
      </c>
      <c r="J2302">
        <v>42100</v>
      </c>
      <c r="N2302">
        <v>42100</v>
      </c>
    </row>
    <row r="2303" spans="1:46" x14ac:dyDescent="0.3">
      <c r="A2303">
        <v>225</v>
      </c>
      <c r="B2303" t="s">
        <v>976</v>
      </c>
      <c r="C2303" t="s">
        <v>251</v>
      </c>
      <c r="D2303" t="s">
        <v>73</v>
      </c>
      <c r="E2303" t="s">
        <v>22</v>
      </c>
      <c r="F2303" s="30">
        <v>45716</v>
      </c>
      <c r="G2303" t="s">
        <v>1014</v>
      </c>
      <c r="H2303" t="s">
        <v>4468</v>
      </c>
      <c r="I2303">
        <v>1</v>
      </c>
      <c r="J2303">
        <v>5</v>
      </c>
      <c r="AT2303">
        <v>5</v>
      </c>
    </row>
    <row r="2304" spans="1:46" x14ac:dyDescent="0.3">
      <c r="A2304">
        <v>225</v>
      </c>
      <c r="B2304" t="s">
        <v>976</v>
      </c>
      <c r="C2304" t="s">
        <v>251</v>
      </c>
      <c r="D2304" t="s">
        <v>73</v>
      </c>
      <c r="E2304" t="s">
        <v>22</v>
      </c>
      <c r="F2304" s="30">
        <v>45716</v>
      </c>
      <c r="G2304" t="s">
        <v>1014</v>
      </c>
      <c r="H2304" t="s">
        <v>4470</v>
      </c>
      <c r="I2304">
        <v>1</v>
      </c>
      <c r="J2304">
        <v>3</v>
      </c>
      <c r="AT2304">
        <v>3</v>
      </c>
    </row>
    <row r="2305" spans="1:134" x14ac:dyDescent="0.3">
      <c r="A2305">
        <v>225</v>
      </c>
      <c r="B2305" t="s">
        <v>976</v>
      </c>
      <c r="C2305" t="s">
        <v>251</v>
      </c>
      <c r="D2305" t="s">
        <v>73</v>
      </c>
      <c r="E2305" t="s">
        <v>22</v>
      </c>
      <c r="F2305" s="30">
        <v>45716</v>
      </c>
      <c r="G2305" t="s">
        <v>1014</v>
      </c>
      <c r="H2305" t="s">
        <v>4477</v>
      </c>
      <c r="I2305">
        <v>1</v>
      </c>
      <c r="J2305">
        <v>0</v>
      </c>
      <c r="AT2305">
        <v>0</v>
      </c>
    </row>
    <row r="2306" spans="1:134" x14ac:dyDescent="0.3">
      <c r="A2306">
        <v>225</v>
      </c>
      <c r="B2306" t="s">
        <v>976</v>
      </c>
      <c r="C2306" t="s">
        <v>251</v>
      </c>
      <c r="D2306" t="s">
        <v>73</v>
      </c>
      <c r="E2306" t="s">
        <v>22</v>
      </c>
      <c r="F2306" s="30">
        <v>45716</v>
      </c>
      <c r="G2306" t="s">
        <v>1014</v>
      </c>
      <c r="H2306" t="s">
        <v>4469</v>
      </c>
      <c r="I2306">
        <v>1</v>
      </c>
      <c r="J2306">
        <v>10</v>
      </c>
      <c r="AT2306">
        <v>10</v>
      </c>
    </row>
    <row r="2307" spans="1:134" x14ac:dyDescent="0.3">
      <c r="A2307">
        <v>225</v>
      </c>
      <c r="B2307" t="s">
        <v>976</v>
      </c>
      <c r="C2307" t="s">
        <v>251</v>
      </c>
      <c r="D2307" t="s">
        <v>73</v>
      </c>
      <c r="E2307" t="s">
        <v>22</v>
      </c>
      <c r="F2307" s="30">
        <v>45716</v>
      </c>
      <c r="G2307" t="s">
        <v>1014</v>
      </c>
      <c r="H2307" t="s">
        <v>4476</v>
      </c>
      <c r="I2307">
        <v>1</v>
      </c>
      <c r="J2307">
        <v>1</v>
      </c>
      <c r="AT2307">
        <v>1</v>
      </c>
    </row>
    <row r="2308" spans="1:134" x14ac:dyDescent="0.3">
      <c r="A2308">
        <v>225</v>
      </c>
      <c r="B2308" t="s">
        <v>976</v>
      </c>
      <c r="C2308" t="s">
        <v>251</v>
      </c>
      <c r="D2308" t="s">
        <v>73</v>
      </c>
      <c r="E2308" t="s">
        <v>22</v>
      </c>
      <c r="F2308" s="30">
        <v>45716</v>
      </c>
      <c r="G2308" t="s">
        <v>1014</v>
      </c>
      <c r="H2308" t="s">
        <v>4478</v>
      </c>
      <c r="I2308">
        <v>1</v>
      </c>
      <c r="J2308">
        <v>1</v>
      </c>
      <c r="AT2308">
        <v>1</v>
      </c>
    </row>
    <row r="2309" spans="1:134" x14ac:dyDescent="0.3">
      <c r="A2309">
        <v>434</v>
      </c>
      <c r="B2309" t="s">
        <v>2267</v>
      </c>
      <c r="C2309" t="s">
        <v>251</v>
      </c>
      <c r="D2309" t="s">
        <v>73</v>
      </c>
      <c r="E2309" t="s">
        <v>56</v>
      </c>
      <c r="F2309" s="30">
        <v>45716</v>
      </c>
      <c r="G2309" t="s">
        <v>2293</v>
      </c>
      <c r="H2309" t="s">
        <v>4470</v>
      </c>
      <c r="I2309">
        <v>25</v>
      </c>
      <c r="J2309">
        <v>1.169999957084656</v>
      </c>
      <c r="AV2309">
        <v>1.17</v>
      </c>
    </row>
    <row r="2310" spans="1:134" x14ac:dyDescent="0.3">
      <c r="A2310">
        <v>434</v>
      </c>
      <c r="B2310" t="s">
        <v>2267</v>
      </c>
      <c r="C2310" t="s">
        <v>251</v>
      </c>
      <c r="D2310" t="s">
        <v>73</v>
      </c>
      <c r="E2310" t="s">
        <v>56</v>
      </c>
      <c r="F2310" s="30">
        <v>45716</v>
      </c>
      <c r="G2310" t="s">
        <v>2293</v>
      </c>
      <c r="H2310" t="s">
        <v>4477</v>
      </c>
      <c r="I2310">
        <v>200</v>
      </c>
      <c r="J2310">
        <v>0</v>
      </c>
      <c r="AV2310">
        <v>0</v>
      </c>
    </row>
    <row r="2311" spans="1:134" x14ac:dyDescent="0.3">
      <c r="A2311">
        <v>434</v>
      </c>
      <c r="B2311" t="s">
        <v>2267</v>
      </c>
      <c r="C2311" t="s">
        <v>251</v>
      </c>
      <c r="D2311" t="s">
        <v>73</v>
      </c>
      <c r="E2311" t="s">
        <v>56</v>
      </c>
      <c r="F2311" s="30">
        <v>45716</v>
      </c>
      <c r="G2311" t="s">
        <v>2293</v>
      </c>
      <c r="H2311" t="s">
        <v>4469</v>
      </c>
      <c r="I2311">
        <v>25</v>
      </c>
      <c r="J2311">
        <v>11.80000019073486</v>
      </c>
      <c r="AV2311">
        <v>11.8</v>
      </c>
    </row>
    <row r="2312" spans="1:134" x14ac:dyDescent="0.3">
      <c r="A2312">
        <v>434</v>
      </c>
      <c r="B2312" t="s">
        <v>2267</v>
      </c>
      <c r="C2312" t="s">
        <v>251</v>
      </c>
      <c r="D2312" t="s">
        <v>73</v>
      </c>
      <c r="E2312" t="s">
        <v>56</v>
      </c>
      <c r="F2312" s="30">
        <v>45716</v>
      </c>
      <c r="G2312" t="s">
        <v>2293</v>
      </c>
      <c r="H2312" t="s">
        <v>4476</v>
      </c>
      <c r="I2312">
        <v>10</v>
      </c>
      <c r="J2312">
        <v>0</v>
      </c>
      <c r="AV2312">
        <v>0</v>
      </c>
    </row>
    <row r="2313" spans="1:134" x14ac:dyDescent="0.3">
      <c r="A2313">
        <v>434</v>
      </c>
      <c r="B2313" t="s">
        <v>2267</v>
      </c>
      <c r="C2313" t="s">
        <v>251</v>
      </c>
      <c r="D2313" t="s">
        <v>73</v>
      </c>
      <c r="E2313" t="s">
        <v>56</v>
      </c>
      <c r="F2313" s="30">
        <v>45716</v>
      </c>
      <c r="G2313" t="s">
        <v>2293</v>
      </c>
      <c r="H2313" t="s">
        <v>4478</v>
      </c>
      <c r="I2313">
        <v>200</v>
      </c>
      <c r="J2313">
        <v>0</v>
      </c>
      <c r="AV2313">
        <v>0</v>
      </c>
    </row>
    <row r="2314" spans="1:134" x14ac:dyDescent="0.3">
      <c r="A2314">
        <v>434</v>
      </c>
      <c r="B2314" t="s">
        <v>2267</v>
      </c>
      <c r="C2314" t="s">
        <v>251</v>
      </c>
      <c r="D2314" t="s">
        <v>73</v>
      </c>
      <c r="E2314" t="s">
        <v>56</v>
      </c>
      <c r="F2314" s="30">
        <v>45716</v>
      </c>
      <c r="G2314" t="s">
        <v>2293</v>
      </c>
      <c r="H2314" t="s">
        <v>4468</v>
      </c>
      <c r="I2314">
        <v>100</v>
      </c>
      <c r="J2314">
        <v>58.709999084472663</v>
      </c>
      <c r="AV2314">
        <v>58.71</v>
      </c>
    </row>
    <row r="2315" spans="1:134" x14ac:dyDescent="0.3">
      <c r="A2315">
        <v>436</v>
      </c>
      <c r="B2315" t="s">
        <v>2311</v>
      </c>
      <c r="C2315" t="s">
        <v>258</v>
      </c>
      <c r="D2315" t="s">
        <v>73</v>
      </c>
      <c r="E2315" t="s">
        <v>56</v>
      </c>
      <c r="F2315" s="30">
        <v>45716</v>
      </c>
      <c r="G2315" t="s">
        <v>2337</v>
      </c>
      <c r="H2315" t="s">
        <v>4580</v>
      </c>
      <c r="I2315">
        <v>7</v>
      </c>
      <c r="J2315">
        <v>1.4099999666213989</v>
      </c>
      <c r="CP2315">
        <v>1.41</v>
      </c>
    </row>
    <row r="2316" spans="1:134" x14ac:dyDescent="0.3">
      <c r="A2316">
        <v>436</v>
      </c>
      <c r="B2316" t="s">
        <v>2311</v>
      </c>
      <c r="C2316" t="s">
        <v>258</v>
      </c>
      <c r="D2316" t="s">
        <v>73</v>
      </c>
      <c r="E2316" t="s">
        <v>56</v>
      </c>
      <c r="F2316" s="30">
        <v>45716</v>
      </c>
      <c r="G2316" t="s">
        <v>2337</v>
      </c>
      <c r="H2316" t="s">
        <v>4579</v>
      </c>
      <c r="I2316">
        <v>7</v>
      </c>
      <c r="J2316">
        <v>1.929999947547913</v>
      </c>
      <c r="CP2316">
        <v>1.93</v>
      </c>
    </row>
    <row r="2317" spans="1:134" x14ac:dyDescent="0.3">
      <c r="A2317">
        <v>485</v>
      </c>
      <c r="B2317" t="s">
        <v>2525</v>
      </c>
      <c r="C2317" t="s">
        <v>258</v>
      </c>
      <c r="D2317" t="s">
        <v>73</v>
      </c>
      <c r="E2317" t="s">
        <v>22</v>
      </c>
      <c r="F2317" s="30">
        <v>45716</v>
      </c>
      <c r="G2317" t="s">
        <v>2538</v>
      </c>
      <c r="H2317" t="s">
        <v>4637</v>
      </c>
      <c r="I2317">
        <v>80</v>
      </c>
      <c r="J2317">
        <v>33.330001831054688</v>
      </c>
      <c r="EC2317">
        <v>1</v>
      </c>
      <c r="ED2317">
        <v>3</v>
      </c>
    </row>
    <row r="2318" spans="1:134" x14ac:dyDescent="0.3">
      <c r="A2318">
        <v>485</v>
      </c>
      <c r="B2318" t="s">
        <v>2525</v>
      </c>
      <c r="C2318" t="s">
        <v>258</v>
      </c>
      <c r="D2318" t="s">
        <v>73</v>
      </c>
      <c r="E2318" t="s">
        <v>22</v>
      </c>
      <c r="F2318" s="30">
        <v>45716</v>
      </c>
      <c r="G2318" t="s">
        <v>2538</v>
      </c>
      <c r="H2318" t="s">
        <v>4638</v>
      </c>
      <c r="I2318">
        <v>80</v>
      </c>
      <c r="J2318">
        <v>0</v>
      </c>
      <c r="EC2318">
        <v>0</v>
      </c>
      <c r="ED2318">
        <v>0</v>
      </c>
    </row>
    <row r="2319" spans="1:134" x14ac:dyDescent="0.3">
      <c r="A2319">
        <v>485</v>
      </c>
      <c r="B2319" t="s">
        <v>2525</v>
      </c>
      <c r="C2319" t="s">
        <v>258</v>
      </c>
      <c r="D2319" t="s">
        <v>73</v>
      </c>
      <c r="E2319" t="s">
        <v>22</v>
      </c>
      <c r="F2319" s="30">
        <v>45716</v>
      </c>
      <c r="G2319" t="s">
        <v>2538</v>
      </c>
      <c r="H2319" t="s">
        <v>4639</v>
      </c>
      <c r="I2319">
        <v>80</v>
      </c>
      <c r="J2319">
        <v>0</v>
      </c>
      <c r="EC2319">
        <v>0</v>
      </c>
      <c r="ED2319">
        <v>0</v>
      </c>
    </row>
    <row r="2320" spans="1:134" x14ac:dyDescent="0.3">
      <c r="A2320">
        <v>485</v>
      </c>
      <c r="B2320" t="s">
        <v>2525</v>
      </c>
      <c r="C2320" t="s">
        <v>258</v>
      </c>
      <c r="D2320" t="s">
        <v>73</v>
      </c>
      <c r="E2320" t="s">
        <v>22</v>
      </c>
      <c r="F2320" s="30">
        <v>45716</v>
      </c>
      <c r="G2320" t="s">
        <v>2538</v>
      </c>
      <c r="H2320" t="s">
        <v>4576</v>
      </c>
      <c r="I2320">
        <v>80</v>
      </c>
      <c r="J2320">
        <v>0</v>
      </c>
      <c r="EC2320">
        <v>0</v>
      </c>
      <c r="ED2320">
        <v>0</v>
      </c>
    </row>
    <row r="2321" spans="1:141" x14ac:dyDescent="0.3">
      <c r="A2321">
        <v>485</v>
      </c>
      <c r="B2321" t="s">
        <v>2525</v>
      </c>
      <c r="C2321" t="s">
        <v>258</v>
      </c>
      <c r="D2321" t="s">
        <v>73</v>
      </c>
      <c r="E2321" t="s">
        <v>22</v>
      </c>
      <c r="F2321" s="30">
        <v>45716</v>
      </c>
      <c r="G2321" t="s">
        <v>2538</v>
      </c>
      <c r="H2321" t="s">
        <v>154</v>
      </c>
      <c r="I2321">
        <v>80</v>
      </c>
      <c r="J2321">
        <v>0</v>
      </c>
      <c r="EC2321">
        <v>0</v>
      </c>
      <c r="ED2321">
        <v>0</v>
      </c>
    </row>
    <row r="2322" spans="1:141" x14ac:dyDescent="0.3">
      <c r="A2322">
        <v>485</v>
      </c>
      <c r="B2322" t="s">
        <v>2525</v>
      </c>
      <c r="C2322" t="s">
        <v>258</v>
      </c>
      <c r="D2322" t="s">
        <v>73</v>
      </c>
      <c r="E2322" t="s">
        <v>22</v>
      </c>
      <c r="F2322" s="30">
        <v>45716</v>
      </c>
      <c r="G2322" t="s">
        <v>2538</v>
      </c>
      <c r="H2322" t="s">
        <v>4640</v>
      </c>
      <c r="I2322">
        <v>80</v>
      </c>
      <c r="J2322">
        <v>0</v>
      </c>
      <c r="EC2322">
        <v>0</v>
      </c>
      <c r="ED2322">
        <v>0</v>
      </c>
    </row>
    <row r="2323" spans="1:141" x14ac:dyDescent="0.3">
      <c r="A2323">
        <v>485</v>
      </c>
      <c r="B2323" t="s">
        <v>2525</v>
      </c>
      <c r="C2323" t="s">
        <v>258</v>
      </c>
      <c r="D2323" t="s">
        <v>73</v>
      </c>
      <c r="E2323" t="s">
        <v>22</v>
      </c>
      <c r="F2323" s="30">
        <v>45716</v>
      </c>
      <c r="G2323" t="s">
        <v>2538</v>
      </c>
      <c r="H2323" t="s">
        <v>4538</v>
      </c>
      <c r="I2323">
        <v>80</v>
      </c>
      <c r="J2323">
        <v>0</v>
      </c>
      <c r="EC2323">
        <v>0</v>
      </c>
      <c r="ED2323">
        <v>0</v>
      </c>
    </row>
    <row r="2324" spans="1:141" x14ac:dyDescent="0.3">
      <c r="A2324">
        <v>485</v>
      </c>
      <c r="B2324" t="s">
        <v>2525</v>
      </c>
      <c r="C2324" t="s">
        <v>258</v>
      </c>
      <c r="D2324" t="s">
        <v>73</v>
      </c>
      <c r="E2324" t="s">
        <v>22</v>
      </c>
      <c r="F2324" s="30">
        <v>45716</v>
      </c>
      <c r="G2324" t="s">
        <v>2538</v>
      </c>
      <c r="H2324" t="s">
        <v>4642</v>
      </c>
      <c r="I2324">
        <v>80</v>
      </c>
      <c r="J2324">
        <v>0</v>
      </c>
      <c r="EC2324">
        <v>0</v>
      </c>
      <c r="ED2324">
        <v>0</v>
      </c>
    </row>
    <row r="2325" spans="1:141" x14ac:dyDescent="0.3">
      <c r="A2325">
        <v>485</v>
      </c>
      <c r="B2325" t="s">
        <v>2525</v>
      </c>
      <c r="C2325" t="s">
        <v>258</v>
      </c>
      <c r="D2325" t="s">
        <v>73</v>
      </c>
      <c r="E2325" t="s">
        <v>22</v>
      </c>
      <c r="F2325" s="30">
        <v>45716</v>
      </c>
      <c r="G2325" t="s">
        <v>2538</v>
      </c>
      <c r="H2325" t="s">
        <v>4641</v>
      </c>
      <c r="I2325">
        <v>80</v>
      </c>
      <c r="J2325">
        <v>66.669998168945313</v>
      </c>
      <c r="EC2325">
        <v>2</v>
      </c>
      <c r="ED2325">
        <v>3</v>
      </c>
    </row>
    <row r="2326" spans="1:141" x14ac:dyDescent="0.3">
      <c r="A2326">
        <v>488</v>
      </c>
      <c r="B2326" t="s">
        <v>2555</v>
      </c>
      <c r="C2326" t="s">
        <v>258</v>
      </c>
      <c r="D2326" t="s">
        <v>73</v>
      </c>
      <c r="E2326" t="s">
        <v>22</v>
      </c>
      <c r="F2326" s="30">
        <v>45716</v>
      </c>
      <c r="G2326" t="s">
        <v>2569</v>
      </c>
      <c r="H2326" t="s">
        <v>4637</v>
      </c>
      <c r="I2326">
        <v>85</v>
      </c>
      <c r="J2326">
        <v>73.330001831054688</v>
      </c>
      <c r="EE2326">
        <v>22</v>
      </c>
      <c r="EF2326">
        <v>30</v>
      </c>
    </row>
    <row r="2327" spans="1:141" x14ac:dyDescent="0.3">
      <c r="A2327">
        <v>488</v>
      </c>
      <c r="B2327" t="s">
        <v>2555</v>
      </c>
      <c r="C2327" t="s">
        <v>258</v>
      </c>
      <c r="D2327" t="s">
        <v>73</v>
      </c>
      <c r="E2327" t="s">
        <v>22</v>
      </c>
      <c r="F2327" s="30">
        <v>45716</v>
      </c>
      <c r="G2327" t="s">
        <v>2569</v>
      </c>
      <c r="H2327" t="s">
        <v>4638</v>
      </c>
      <c r="I2327">
        <v>85</v>
      </c>
      <c r="J2327">
        <v>40</v>
      </c>
      <c r="EE2327">
        <v>4</v>
      </c>
      <c r="EF2327">
        <v>10</v>
      </c>
    </row>
    <row r="2328" spans="1:141" x14ac:dyDescent="0.3">
      <c r="A2328">
        <v>488</v>
      </c>
      <c r="B2328" t="s">
        <v>2555</v>
      </c>
      <c r="C2328" t="s">
        <v>258</v>
      </c>
      <c r="D2328" t="s">
        <v>73</v>
      </c>
      <c r="E2328" t="s">
        <v>22</v>
      </c>
      <c r="F2328" s="30">
        <v>45716</v>
      </c>
      <c r="G2328" t="s">
        <v>2569</v>
      </c>
      <c r="H2328" t="s">
        <v>4576</v>
      </c>
      <c r="I2328">
        <v>85</v>
      </c>
      <c r="J2328">
        <v>0</v>
      </c>
      <c r="EE2328">
        <v>0</v>
      </c>
      <c r="EF2328">
        <v>0</v>
      </c>
    </row>
    <row r="2329" spans="1:141" x14ac:dyDescent="0.3">
      <c r="A2329">
        <v>488</v>
      </c>
      <c r="B2329" t="s">
        <v>2555</v>
      </c>
      <c r="C2329" t="s">
        <v>258</v>
      </c>
      <c r="D2329" t="s">
        <v>73</v>
      </c>
      <c r="E2329" t="s">
        <v>22</v>
      </c>
      <c r="F2329" s="30">
        <v>45716</v>
      </c>
      <c r="G2329" t="s">
        <v>2569</v>
      </c>
      <c r="H2329" t="s">
        <v>154</v>
      </c>
      <c r="I2329">
        <v>85</v>
      </c>
      <c r="J2329">
        <v>0</v>
      </c>
      <c r="EE2329">
        <v>0</v>
      </c>
      <c r="EF2329">
        <v>0</v>
      </c>
    </row>
    <row r="2330" spans="1:141" x14ac:dyDescent="0.3">
      <c r="A2330">
        <v>488</v>
      </c>
      <c r="B2330" t="s">
        <v>2555</v>
      </c>
      <c r="C2330" t="s">
        <v>258</v>
      </c>
      <c r="D2330" t="s">
        <v>73</v>
      </c>
      <c r="E2330" t="s">
        <v>22</v>
      </c>
      <c r="F2330" s="30">
        <v>45716</v>
      </c>
      <c r="G2330" t="s">
        <v>2569</v>
      </c>
      <c r="H2330" t="s">
        <v>4640</v>
      </c>
      <c r="I2330">
        <v>85</v>
      </c>
      <c r="J2330">
        <v>0</v>
      </c>
      <c r="EE2330">
        <v>0</v>
      </c>
      <c r="EF2330">
        <v>0</v>
      </c>
    </row>
    <row r="2331" spans="1:141" x14ac:dyDescent="0.3">
      <c r="A2331">
        <v>488</v>
      </c>
      <c r="B2331" t="s">
        <v>2555</v>
      </c>
      <c r="C2331" t="s">
        <v>258</v>
      </c>
      <c r="D2331" t="s">
        <v>73</v>
      </c>
      <c r="E2331" t="s">
        <v>22</v>
      </c>
      <c r="F2331" s="30">
        <v>45716</v>
      </c>
      <c r="G2331" t="s">
        <v>2569</v>
      </c>
      <c r="H2331" t="s">
        <v>4641</v>
      </c>
      <c r="I2331">
        <v>85</v>
      </c>
      <c r="J2331">
        <v>81.360000610351563</v>
      </c>
      <c r="EE2331">
        <v>48</v>
      </c>
      <c r="EF2331">
        <v>59</v>
      </c>
    </row>
    <row r="2332" spans="1:141" x14ac:dyDescent="0.3">
      <c r="A2332">
        <v>488</v>
      </c>
      <c r="B2332" t="s">
        <v>2555</v>
      </c>
      <c r="C2332" t="s">
        <v>258</v>
      </c>
      <c r="D2332" t="s">
        <v>73</v>
      </c>
      <c r="E2332" t="s">
        <v>22</v>
      </c>
      <c r="F2332" s="30">
        <v>45716</v>
      </c>
      <c r="G2332" t="s">
        <v>2569</v>
      </c>
      <c r="H2332" t="s">
        <v>4538</v>
      </c>
      <c r="I2332">
        <v>85</v>
      </c>
      <c r="J2332">
        <v>0</v>
      </c>
      <c r="EE2332">
        <v>0</v>
      </c>
      <c r="EF2332">
        <v>0</v>
      </c>
    </row>
    <row r="2333" spans="1:141" x14ac:dyDescent="0.3">
      <c r="A2333">
        <v>488</v>
      </c>
      <c r="B2333" t="s">
        <v>2555</v>
      </c>
      <c r="C2333" t="s">
        <v>258</v>
      </c>
      <c r="D2333" t="s">
        <v>73</v>
      </c>
      <c r="E2333" t="s">
        <v>22</v>
      </c>
      <c r="F2333" s="30">
        <v>45716</v>
      </c>
      <c r="G2333" t="s">
        <v>2569</v>
      </c>
      <c r="H2333" t="s">
        <v>4642</v>
      </c>
      <c r="I2333">
        <v>85</v>
      </c>
      <c r="J2333">
        <v>100</v>
      </c>
      <c r="EE2333">
        <v>11</v>
      </c>
      <c r="EF2333">
        <v>11</v>
      </c>
    </row>
    <row r="2334" spans="1:141" x14ac:dyDescent="0.3">
      <c r="A2334">
        <v>488</v>
      </c>
      <c r="B2334" t="s">
        <v>2555</v>
      </c>
      <c r="C2334" t="s">
        <v>258</v>
      </c>
      <c r="D2334" t="s">
        <v>73</v>
      </c>
      <c r="E2334" t="s">
        <v>22</v>
      </c>
      <c r="F2334" s="30">
        <v>45716</v>
      </c>
      <c r="G2334" t="s">
        <v>2569</v>
      </c>
      <c r="H2334" t="s">
        <v>4639</v>
      </c>
      <c r="I2334">
        <v>85</v>
      </c>
      <c r="J2334">
        <v>76.919998168945313</v>
      </c>
      <c r="EE2334">
        <v>20</v>
      </c>
      <c r="EF2334">
        <v>26</v>
      </c>
    </row>
    <row r="2335" spans="1:141" x14ac:dyDescent="0.3">
      <c r="A2335">
        <v>509</v>
      </c>
      <c r="B2335" t="s">
        <v>2622</v>
      </c>
      <c r="C2335" t="s">
        <v>1096</v>
      </c>
      <c r="D2335" t="s">
        <v>73</v>
      </c>
      <c r="E2335" t="s">
        <v>22</v>
      </c>
      <c r="F2335" s="30">
        <v>45716</v>
      </c>
      <c r="G2335" t="s">
        <v>2624</v>
      </c>
      <c r="H2335" t="s">
        <v>3449</v>
      </c>
      <c r="I2335">
        <v>90</v>
      </c>
      <c r="J2335">
        <v>100</v>
      </c>
      <c r="EJ2335">
        <v>6</v>
      </c>
      <c r="EK2335">
        <v>6</v>
      </c>
    </row>
    <row r="2336" spans="1:141" x14ac:dyDescent="0.3">
      <c r="A2336">
        <v>509</v>
      </c>
      <c r="B2336" t="s">
        <v>2622</v>
      </c>
      <c r="C2336" t="s">
        <v>1096</v>
      </c>
      <c r="D2336" t="s">
        <v>73</v>
      </c>
      <c r="E2336" t="s">
        <v>22</v>
      </c>
      <c r="F2336" s="30">
        <v>45716</v>
      </c>
      <c r="G2336" t="s">
        <v>2624</v>
      </c>
      <c r="H2336" t="s">
        <v>3457</v>
      </c>
      <c r="I2336">
        <v>90</v>
      </c>
      <c r="J2336">
        <v>0</v>
      </c>
      <c r="EJ2336">
        <v>0</v>
      </c>
      <c r="EK2336">
        <v>0</v>
      </c>
    </row>
    <row r="2337" spans="1:141" x14ac:dyDescent="0.3">
      <c r="A2337">
        <v>509</v>
      </c>
      <c r="B2337" t="s">
        <v>2622</v>
      </c>
      <c r="C2337" t="s">
        <v>1096</v>
      </c>
      <c r="D2337" t="s">
        <v>73</v>
      </c>
      <c r="E2337" t="s">
        <v>22</v>
      </c>
      <c r="F2337" s="30">
        <v>45716</v>
      </c>
      <c r="G2337" t="s">
        <v>2624</v>
      </c>
      <c r="H2337" t="s">
        <v>3572</v>
      </c>
      <c r="I2337">
        <v>90</v>
      </c>
      <c r="J2337">
        <v>100</v>
      </c>
      <c r="EJ2337">
        <v>100</v>
      </c>
      <c r="EK2337">
        <v>100</v>
      </c>
    </row>
    <row r="2338" spans="1:141" x14ac:dyDescent="0.3">
      <c r="A2338">
        <v>509</v>
      </c>
      <c r="B2338" t="s">
        <v>2622</v>
      </c>
      <c r="C2338" t="s">
        <v>1096</v>
      </c>
      <c r="D2338" t="s">
        <v>73</v>
      </c>
      <c r="E2338" t="s">
        <v>22</v>
      </c>
      <c r="F2338" s="30">
        <v>45716</v>
      </c>
      <c r="G2338" t="s">
        <v>2624</v>
      </c>
      <c r="H2338" t="s">
        <v>3451</v>
      </c>
      <c r="I2338">
        <v>90</v>
      </c>
      <c r="J2338">
        <v>0</v>
      </c>
      <c r="EJ2338">
        <v>0</v>
      </c>
      <c r="EK2338">
        <v>0</v>
      </c>
    </row>
    <row r="2339" spans="1:141" x14ac:dyDescent="0.3">
      <c r="A2339">
        <v>509</v>
      </c>
      <c r="B2339" t="s">
        <v>2622</v>
      </c>
      <c r="C2339" t="s">
        <v>1096</v>
      </c>
      <c r="D2339" t="s">
        <v>73</v>
      </c>
      <c r="E2339" t="s">
        <v>22</v>
      </c>
      <c r="F2339" s="30">
        <v>45716</v>
      </c>
      <c r="G2339" t="s">
        <v>2624</v>
      </c>
      <c r="H2339" t="s">
        <v>3453</v>
      </c>
      <c r="I2339">
        <v>90</v>
      </c>
      <c r="J2339">
        <v>97.529998779296875</v>
      </c>
      <c r="EJ2339">
        <v>81</v>
      </c>
      <c r="EK2339">
        <v>79</v>
      </c>
    </row>
    <row r="2340" spans="1:141" x14ac:dyDescent="0.3">
      <c r="A2340">
        <v>509</v>
      </c>
      <c r="B2340" t="s">
        <v>2622</v>
      </c>
      <c r="C2340" t="s">
        <v>1096</v>
      </c>
      <c r="D2340" t="s">
        <v>73</v>
      </c>
      <c r="E2340" t="s">
        <v>22</v>
      </c>
      <c r="F2340" s="30">
        <v>45716</v>
      </c>
      <c r="G2340" t="s">
        <v>2624</v>
      </c>
      <c r="H2340" t="s">
        <v>3461</v>
      </c>
      <c r="I2340">
        <v>90</v>
      </c>
      <c r="J2340">
        <v>0</v>
      </c>
      <c r="EJ2340">
        <v>0</v>
      </c>
      <c r="EK2340">
        <v>0</v>
      </c>
    </row>
    <row r="2341" spans="1:141" x14ac:dyDescent="0.3">
      <c r="A2341">
        <v>509</v>
      </c>
      <c r="B2341" t="s">
        <v>2622</v>
      </c>
      <c r="C2341" t="s">
        <v>1096</v>
      </c>
      <c r="D2341" t="s">
        <v>73</v>
      </c>
      <c r="E2341" t="s">
        <v>22</v>
      </c>
      <c r="F2341" s="30">
        <v>45716</v>
      </c>
      <c r="G2341" t="s">
        <v>2624</v>
      </c>
      <c r="H2341" t="s">
        <v>3463</v>
      </c>
      <c r="I2341">
        <v>90</v>
      </c>
      <c r="J2341">
        <v>0</v>
      </c>
      <c r="EJ2341">
        <v>0</v>
      </c>
      <c r="EK2341">
        <v>0</v>
      </c>
    </row>
    <row r="2342" spans="1:141" x14ac:dyDescent="0.3">
      <c r="A2342">
        <v>509</v>
      </c>
      <c r="B2342" t="s">
        <v>2622</v>
      </c>
      <c r="C2342" t="s">
        <v>1096</v>
      </c>
      <c r="D2342" t="s">
        <v>73</v>
      </c>
      <c r="E2342" t="s">
        <v>22</v>
      </c>
      <c r="F2342" s="30">
        <v>45716</v>
      </c>
      <c r="G2342" t="s">
        <v>2624</v>
      </c>
      <c r="H2342" t="s">
        <v>3470</v>
      </c>
      <c r="I2342">
        <v>90</v>
      </c>
      <c r="J2342">
        <v>97.220001220703125</v>
      </c>
      <c r="EJ2342">
        <v>36</v>
      </c>
      <c r="EK2342">
        <v>35</v>
      </c>
    </row>
    <row r="2343" spans="1:141" x14ac:dyDescent="0.3">
      <c r="A2343">
        <v>509</v>
      </c>
      <c r="B2343" t="s">
        <v>2622</v>
      </c>
      <c r="C2343" t="s">
        <v>1096</v>
      </c>
      <c r="D2343" t="s">
        <v>73</v>
      </c>
      <c r="E2343" t="s">
        <v>22</v>
      </c>
      <c r="F2343" s="30">
        <v>45716</v>
      </c>
      <c r="G2343" t="s">
        <v>2624</v>
      </c>
      <c r="H2343" t="s">
        <v>3465</v>
      </c>
      <c r="I2343">
        <v>90</v>
      </c>
      <c r="J2343">
        <v>0</v>
      </c>
      <c r="EJ2343">
        <v>0</v>
      </c>
      <c r="EK2343">
        <v>0</v>
      </c>
    </row>
    <row r="2344" spans="1:141" x14ac:dyDescent="0.3">
      <c r="A2344">
        <v>509</v>
      </c>
      <c r="B2344" t="s">
        <v>2622</v>
      </c>
      <c r="C2344" t="s">
        <v>1096</v>
      </c>
      <c r="D2344" t="s">
        <v>73</v>
      </c>
      <c r="E2344" t="s">
        <v>22</v>
      </c>
      <c r="F2344" s="30">
        <v>45716</v>
      </c>
      <c r="G2344" t="s">
        <v>2624</v>
      </c>
      <c r="H2344" t="s">
        <v>3467</v>
      </c>
      <c r="I2344">
        <v>90</v>
      </c>
      <c r="J2344">
        <v>0</v>
      </c>
      <c r="EJ2344">
        <v>0</v>
      </c>
      <c r="EK2344">
        <v>0</v>
      </c>
    </row>
    <row r="2345" spans="1:141" x14ac:dyDescent="0.3">
      <c r="A2345">
        <v>509</v>
      </c>
      <c r="B2345" t="s">
        <v>2622</v>
      </c>
      <c r="C2345" t="s">
        <v>1096</v>
      </c>
      <c r="D2345" t="s">
        <v>73</v>
      </c>
      <c r="E2345" t="s">
        <v>22</v>
      </c>
      <c r="F2345" s="30">
        <v>45716</v>
      </c>
      <c r="G2345" t="s">
        <v>2624</v>
      </c>
      <c r="H2345" t="s">
        <v>3472</v>
      </c>
      <c r="I2345">
        <v>90</v>
      </c>
      <c r="J2345">
        <v>0</v>
      </c>
      <c r="EJ2345">
        <v>0</v>
      </c>
      <c r="EK2345">
        <v>0</v>
      </c>
    </row>
    <row r="2346" spans="1:141" x14ac:dyDescent="0.3">
      <c r="A2346">
        <v>509</v>
      </c>
      <c r="B2346" t="s">
        <v>2622</v>
      </c>
      <c r="C2346" t="s">
        <v>1096</v>
      </c>
      <c r="D2346" t="s">
        <v>73</v>
      </c>
      <c r="E2346" t="s">
        <v>22</v>
      </c>
      <c r="F2346" s="30">
        <v>45716</v>
      </c>
      <c r="G2346" t="s">
        <v>2624</v>
      </c>
      <c r="H2346" t="s">
        <v>4647</v>
      </c>
      <c r="I2346">
        <v>90</v>
      </c>
      <c r="J2346">
        <v>0</v>
      </c>
      <c r="EJ2346">
        <v>0</v>
      </c>
      <c r="EK2346">
        <v>0</v>
      </c>
    </row>
    <row r="2347" spans="1:141" x14ac:dyDescent="0.3">
      <c r="A2347">
        <v>509</v>
      </c>
      <c r="B2347" t="s">
        <v>2622</v>
      </c>
      <c r="C2347" t="s">
        <v>1096</v>
      </c>
      <c r="D2347" t="s">
        <v>73</v>
      </c>
      <c r="E2347" t="s">
        <v>22</v>
      </c>
      <c r="F2347" s="30">
        <v>45716</v>
      </c>
      <c r="G2347" t="s">
        <v>2624</v>
      </c>
      <c r="H2347" t="s">
        <v>4649</v>
      </c>
      <c r="I2347">
        <v>90</v>
      </c>
      <c r="J2347">
        <v>0</v>
      </c>
      <c r="EJ2347">
        <v>0</v>
      </c>
      <c r="EK2347">
        <v>0</v>
      </c>
    </row>
    <row r="2348" spans="1:141" x14ac:dyDescent="0.3">
      <c r="A2348">
        <v>509</v>
      </c>
      <c r="B2348" t="s">
        <v>2622</v>
      </c>
      <c r="C2348" t="s">
        <v>1096</v>
      </c>
      <c r="D2348" t="s">
        <v>73</v>
      </c>
      <c r="E2348" t="s">
        <v>22</v>
      </c>
      <c r="F2348" s="30">
        <v>45716</v>
      </c>
      <c r="G2348" t="s">
        <v>2624</v>
      </c>
      <c r="H2348" t="s">
        <v>4650</v>
      </c>
      <c r="I2348">
        <v>90</v>
      </c>
      <c r="J2348">
        <v>0</v>
      </c>
      <c r="EJ2348">
        <v>0</v>
      </c>
      <c r="EK2348">
        <v>0</v>
      </c>
    </row>
    <row r="2349" spans="1:141" x14ac:dyDescent="0.3">
      <c r="A2349">
        <v>509</v>
      </c>
      <c r="B2349" t="s">
        <v>2622</v>
      </c>
      <c r="C2349" t="s">
        <v>1096</v>
      </c>
      <c r="D2349" t="s">
        <v>73</v>
      </c>
      <c r="E2349" t="s">
        <v>22</v>
      </c>
      <c r="F2349" s="30">
        <v>45716</v>
      </c>
      <c r="G2349" t="s">
        <v>2624</v>
      </c>
      <c r="H2349" t="s">
        <v>3455</v>
      </c>
      <c r="I2349">
        <v>90</v>
      </c>
      <c r="J2349">
        <v>0</v>
      </c>
      <c r="EJ2349">
        <v>0</v>
      </c>
      <c r="EK2349">
        <v>0</v>
      </c>
    </row>
    <row r="2350" spans="1:141" x14ac:dyDescent="0.3">
      <c r="A2350">
        <v>509</v>
      </c>
      <c r="B2350" t="s">
        <v>2622</v>
      </c>
      <c r="C2350" t="s">
        <v>1096</v>
      </c>
      <c r="D2350" t="s">
        <v>73</v>
      </c>
      <c r="E2350" t="s">
        <v>22</v>
      </c>
      <c r="F2350" s="30">
        <v>45716</v>
      </c>
      <c r="G2350" t="s">
        <v>2624</v>
      </c>
      <c r="H2350" t="s">
        <v>3476</v>
      </c>
      <c r="I2350">
        <v>90</v>
      </c>
      <c r="J2350">
        <v>0</v>
      </c>
      <c r="EJ2350">
        <v>0</v>
      </c>
      <c r="EK2350">
        <v>0</v>
      </c>
    </row>
    <row r="2351" spans="1:141" x14ac:dyDescent="0.3">
      <c r="A2351">
        <v>509</v>
      </c>
      <c r="B2351" t="s">
        <v>2622</v>
      </c>
      <c r="C2351" t="s">
        <v>1096</v>
      </c>
      <c r="D2351" t="s">
        <v>73</v>
      </c>
      <c r="E2351" t="s">
        <v>22</v>
      </c>
      <c r="F2351" s="30">
        <v>45716</v>
      </c>
      <c r="G2351" t="s">
        <v>2624</v>
      </c>
      <c r="H2351" t="s">
        <v>3459</v>
      </c>
      <c r="I2351">
        <v>90</v>
      </c>
      <c r="J2351">
        <v>0</v>
      </c>
      <c r="EJ2351">
        <v>0</v>
      </c>
      <c r="EK2351">
        <v>0</v>
      </c>
    </row>
    <row r="2352" spans="1:141" x14ac:dyDescent="0.3">
      <c r="A2352">
        <v>208</v>
      </c>
      <c r="B2352" t="s">
        <v>707</v>
      </c>
      <c r="C2352" t="s">
        <v>251</v>
      </c>
      <c r="D2352" t="s">
        <v>73</v>
      </c>
      <c r="E2352" t="s">
        <v>56</v>
      </c>
      <c r="F2352" s="30">
        <v>45747</v>
      </c>
      <c r="G2352" t="s">
        <v>747</v>
      </c>
      <c r="H2352" t="s">
        <v>4468</v>
      </c>
      <c r="I2352">
        <v>950</v>
      </c>
      <c r="J2352">
        <v>721</v>
      </c>
      <c r="K2352">
        <v>721</v>
      </c>
    </row>
    <row r="2353" spans="1:45" x14ac:dyDescent="0.3">
      <c r="A2353">
        <v>208</v>
      </c>
      <c r="B2353" t="s">
        <v>707</v>
      </c>
      <c r="C2353" t="s">
        <v>251</v>
      </c>
      <c r="D2353" t="s">
        <v>73</v>
      </c>
      <c r="E2353" t="s">
        <v>56</v>
      </c>
      <c r="F2353" s="30">
        <v>45747</v>
      </c>
      <c r="G2353" t="s">
        <v>747</v>
      </c>
      <c r="H2353" t="s">
        <v>4470</v>
      </c>
      <c r="I2353">
        <v>350</v>
      </c>
      <c r="J2353">
        <v>371</v>
      </c>
      <c r="K2353">
        <v>371</v>
      </c>
    </row>
    <row r="2354" spans="1:45" x14ac:dyDescent="0.3">
      <c r="A2354">
        <v>208</v>
      </c>
      <c r="B2354" t="s">
        <v>707</v>
      </c>
      <c r="C2354" t="s">
        <v>251</v>
      </c>
      <c r="D2354" t="s">
        <v>73</v>
      </c>
      <c r="E2354" t="s">
        <v>56</v>
      </c>
      <c r="F2354" s="30">
        <v>45747</v>
      </c>
      <c r="G2354" t="s">
        <v>747</v>
      </c>
      <c r="H2354" t="s">
        <v>4469</v>
      </c>
      <c r="I2354">
        <v>200</v>
      </c>
      <c r="J2354">
        <v>204</v>
      </c>
      <c r="K2354">
        <v>204</v>
      </c>
    </row>
    <row r="2355" spans="1:45" x14ac:dyDescent="0.3">
      <c r="A2355">
        <v>208</v>
      </c>
      <c r="B2355" t="s">
        <v>707</v>
      </c>
      <c r="C2355" t="s">
        <v>251</v>
      </c>
      <c r="D2355" t="s">
        <v>73</v>
      </c>
      <c r="E2355" t="s">
        <v>56</v>
      </c>
      <c r="F2355" s="30">
        <v>45747</v>
      </c>
      <c r="G2355" t="s">
        <v>747</v>
      </c>
      <c r="H2355" t="s">
        <v>4476</v>
      </c>
      <c r="I2355">
        <v>0</v>
      </c>
      <c r="J2355">
        <v>0</v>
      </c>
      <c r="K2355">
        <v>0</v>
      </c>
    </row>
    <row r="2356" spans="1:45" x14ac:dyDescent="0.3">
      <c r="A2356">
        <v>208</v>
      </c>
      <c r="B2356" t="s">
        <v>707</v>
      </c>
      <c r="C2356" t="s">
        <v>251</v>
      </c>
      <c r="D2356" t="s">
        <v>73</v>
      </c>
      <c r="E2356" t="s">
        <v>56</v>
      </c>
      <c r="F2356" s="30">
        <v>45747</v>
      </c>
      <c r="G2356" t="s">
        <v>747</v>
      </c>
      <c r="H2356" t="s">
        <v>4478</v>
      </c>
      <c r="I2356">
        <v>25</v>
      </c>
      <c r="J2356">
        <v>0</v>
      </c>
      <c r="K2356">
        <v>0</v>
      </c>
    </row>
    <row r="2357" spans="1:45" x14ac:dyDescent="0.3">
      <c r="A2357">
        <v>208</v>
      </c>
      <c r="B2357" t="s">
        <v>707</v>
      </c>
      <c r="C2357" t="s">
        <v>251</v>
      </c>
      <c r="D2357" t="s">
        <v>73</v>
      </c>
      <c r="E2357" t="s">
        <v>56</v>
      </c>
      <c r="F2357" s="30">
        <v>45747</v>
      </c>
      <c r="G2357" t="s">
        <v>747</v>
      </c>
      <c r="H2357" t="s">
        <v>4477</v>
      </c>
      <c r="I2357">
        <v>25</v>
      </c>
      <c r="J2357">
        <v>13.5</v>
      </c>
      <c r="K2357">
        <v>13.5</v>
      </c>
    </row>
    <row r="2358" spans="1:45" x14ac:dyDescent="0.3">
      <c r="A2358">
        <v>214</v>
      </c>
      <c r="B2358" t="s">
        <v>774</v>
      </c>
      <c r="C2358" t="s">
        <v>251</v>
      </c>
      <c r="D2358" t="s">
        <v>73</v>
      </c>
      <c r="E2358" t="s">
        <v>56</v>
      </c>
      <c r="F2358" s="30">
        <v>45747</v>
      </c>
      <c r="G2358" t="s">
        <v>814</v>
      </c>
      <c r="H2358" t="s">
        <v>4470</v>
      </c>
      <c r="I2358">
        <v>1000</v>
      </c>
      <c r="J2358">
        <v>1286.890014648438</v>
      </c>
      <c r="L2358">
        <v>210.69</v>
      </c>
      <c r="M2358">
        <v>1076.2</v>
      </c>
    </row>
    <row r="2359" spans="1:45" x14ac:dyDescent="0.3">
      <c r="A2359">
        <v>214</v>
      </c>
      <c r="B2359" t="s">
        <v>774</v>
      </c>
      <c r="C2359" t="s">
        <v>251</v>
      </c>
      <c r="D2359" t="s">
        <v>73</v>
      </c>
      <c r="E2359" t="s">
        <v>56</v>
      </c>
      <c r="F2359" s="30">
        <v>45747</v>
      </c>
      <c r="G2359" t="s">
        <v>814</v>
      </c>
      <c r="H2359" t="s">
        <v>4477</v>
      </c>
      <c r="I2359">
        <v>7500</v>
      </c>
      <c r="J2359">
        <v>37.709999084472663</v>
      </c>
      <c r="L2359">
        <v>22.73</v>
      </c>
      <c r="M2359">
        <v>14.98</v>
      </c>
    </row>
    <row r="2360" spans="1:45" x14ac:dyDescent="0.3">
      <c r="A2360">
        <v>214</v>
      </c>
      <c r="B2360" t="s">
        <v>774</v>
      </c>
      <c r="C2360" t="s">
        <v>251</v>
      </c>
      <c r="D2360" t="s">
        <v>73</v>
      </c>
      <c r="E2360" t="s">
        <v>56</v>
      </c>
      <c r="F2360" s="30">
        <v>45747</v>
      </c>
      <c r="G2360" t="s">
        <v>814</v>
      </c>
      <c r="H2360" t="s">
        <v>4469</v>
      </c>
      <c r="I2360">
        <v>1000</v>
      </c>
      <c r="J2360">
        <v>1257.77001953125</v>
      </c>
      <c r="L2360">
        <v>120.47</v>
      </c>
      <c r="M2360">
        <v>1137.3</v>
      </c>
    </row>
    <row r="2361" spans="1:45" x14ac:dyDescent="0.3">
      <c r="A2361">
        <v>214</v>
      </c>
      <c r="B2361" t="s">
        <v>774</v>
      </c>
      <c r="C2361" t="s">
        <v>251</v>
      </c>
      <c r="D2361" t="s">
        <v>73</v>
      </c>
      <c r="E2361" t="s">
        <v>56</v>
      </c>
      <c r="F2361" s="30">
        <v>45747</v>
      </c>
      <c r="G2361" t="s">
        <v>814</v>
      </c>
      <c r="H2361" t="s">
        <v>4476</v>
      </c>
      <c r="I2361">
        <v>1</v>
      </c>
      <c r="J2361">
        <v>0</v>
      </c>
      <c r="L2361">
        <v>0</v>
      </c>
      <c r="M2361">
        <v>0</v>
      </c>
    </row>
    <row r="2362" spans="1:45" x14ac:dyDescent="0.3">
      <c r="A2362">
        <v>214</v>
      </c>
      <c r="B2362" t="s">
        <v>774</v>
      </c>
      <c r="C2362" t="s">
        <v>251</v>
      </c>
      <c r="D2362" t="s">
        <v>73</v>
      </c>
      <c r="E2362" t="s">
        <v>56</v>
      </c>
      <c r="F2362" s="30">
        <v>45747</v>
      </c>
      <c r="G2362" t="s">
        <v>814</v>
      </c>
      <c r="H2362" t="s">
        <v>4478</v>
      </c>
      <c r="I2362">
        <v>1</v>
      </c>
      <c r="J2362">
        <v>50.580001831054688</v>
      </c>
      <c r="L2362">
        <v>25.82</v>
      </c>
      <c r="M2362">
        <v>24.76</v>
      </c>
    </row>
    <row r="2363" spans="1:45" x14ac:dyDescent="0.3">
      <c r="A2363">
        <v>214</v>
      </c>
      <c r="B2363" t="s">
        <v>774</v>
      </c>
      <c r="C2363" t="s">
        <v>251</v>
      </c>
      <c r="D2363" t="s">
        <v>73</v>
      </c>
      <c r="E2363" t="s">
        <v>56</v>
      </c>
      <c r="F2363" s="30">
        <v>45747</v>
      </c>
      <c r="G2363" t="s">
        <v>814</v>
      </c>
      <c r="H2363" t="s">
        <v>4468</v>
      </c>
      <c r="I2363">
        <v>5500</v>
      </c>
      <c r="J2363">
        <v>3844.31005859375</v>
      </c>
      <c r="L2363">
        <v>423.31</v>
      </c>
      <c r="M2363">
        <v>3421</v>
      </c>
    </row>
    <row r="2364" spans="1:45" x14ac:dyDescent="0.3">
      <c r="A2364">
        <v>217</v>
      </c>
      <c r="B2364" t="s">
        <v>840</v>
      </c>
      <c r="C2364" t="s">
        <v>251</v>
      </c>
      <c r="D2364" t="s">
        <v>73</v>
      </c>
      <c r="E2364" t="s">
        <v>22</v>
      </c>
      <c r="F2364" s="30">
        <v>45747</v>
      </c>
      <c r="G2364" t="s">
        <v>878</v>
      </c>
      <c r="H2364" t="s">
        <v>4470</v>
      </c>
      <c r="I2364">
        <v>20</v>
      </c>
      <c r="J2364">
        <v>16.370000839233398</v>
      </c>
      <c r="L2364">
        <v>210.69</v>
      </c>
      <c r="M2364">
        <v>1076.2</v>
      </c>
      <c r="AS2364">
        <v>210.69</v>
      </c>
    </row>
    <row r="2365" spans="1:45" x14ac:dyDescent="0.3">
      <c r="A2365">
        <v>217</v>
      </c>
      <c r="B2365" t="s">
        <v>840</v>
      </c>
      <c r="C2365" t="s">
        <v>251</v>
      </c>
      <c r="D2365" t="s">
        <v>73</v>
      </c>
      <c r="E2365" t="s">
        <v>22</v>
      </c>
      <c r="F2365" s="30">
        <v>45747</v>
      </c>
      <c r="G2365" t="s">
        <v>878</v>
      </c>
      <c r="H2365" t="s">
        <v>4477</v>
      </c>
      <c r="I2365">
        <v>20</v>
      </c>
      <c r="J2365">
        <v>60.279998779296882</v>
      </c>
      <c r="L2365">
        <v>22.73</v>
      </c>
      <c r="M2365">
        <v>14.98</v>
      </c>
      <c r="AS2365">
        <v>22.73</v>
      </c>
    </row>
    <row r="2366" spans="1:45" x14ac:dyDescent="0.3">
      <c r="A2366">
        <v>217</v>
      </c>
      <c r="B2366" t="s">
        <v>840</v>
      </c>
      <c r="C2366" t="s">
        <v>251</v>
      </c>
      <c r="D2366" t="s">
        <v>73</v>
      </c>
      <c r="E2366" t="s">
        <v>22</v>
      </c>
      <c r="F2366" s="30">
        <v>45747</v>
      </c>
      <c r="G2366" t="s">
        <v>878</v>
      </c>
      <c r="H2366" t="s">
        <v>4469</v>
      </c>
      <c r="I2366">
        <v>20</v>
      </c>
      <c r="J2366">
        <v>9.5799999237060547</v>
      </c>
      <c r="L2366">
        <v>120.47</v>
      </c>
      <c r="M2366">
        <v>1137.3</v>
      </c>
      <c r="AS2366">
        <v>120.47</v>
      </c>
    </row>
    <row r="2367" spans="1:45" x14ac:dyDescent="0.3">
      <c r="A2367">
        <v>217</v>
      </c>
      <c r="B2367" t="s">
        <v>840</v>
      </c>
      <c r="C2367" t="s">
        <v>251</v>
      </c>
      <c r="D2367" t="s">
        <v>73</v>
      </c>
      <c r="E2367" t="s">
        <v>22</v>
      </c>
      <c r="F2367" s="30">
        <v>45747</v>
      </c>
      <c r="G2367" t="s">
        <v>878</v>
      </c>
      <c r="H2367" t="s">
        <v>4476</v>
      </c>
      <c r="I2367">
        <v>20</v>
      </c>
      <c r="J2367">
        <v>0</v>
      </c>
      <c r="L2367">
        <v>0</v>
      </c>
      <c r="M2367">
        <v>0</v>
      </c>
      <c r="AS2367">
        <v>0</v>
      </c>
    </row>
    <row r="2368" spans="1:45" x14ac:dyDescent="0.3">
      <c r="A2368">
        <v>217</v>
      </c>
      <c r="B2368" t="s">
        <v>840</v>
      </c>
      <c r="C2368" t="s">
        <v>251</v>
      </c>
      <c r="D2368" t="s">
        <v>73</v>
      </c>
      <c r="E2368" t="s">
        <v>22</v>
      </c>
      <c r="F2368" s="30">
        <v>45747</v>
      </c>
      <c r="G2368" t="s">
        <v>878</v>
      </c>
      <c r="H2368" t="s">
        <v>4478</v>
      </c>
      <c r="I2368">
        <v>20</v>
      </c>
      <c r="J2368">
        <v>51.049999237060547</v>
      </c>
      <c r="L2368">
        <v>25.82</v>
      </c>
      <c r="M2368">
        <v>24.76</v>
      </c>
      <c r="AS2368">
        <v>25.82</v>
      </c>
    </row>
    <row r="2369" spans="1:47" x14ac:dyDescent="0.3">
      <c r="A2369">
        <v>217</v>
      </c>
      <c r="B2369" t="s">
        <v>840</v>
      </c>
      <c r="C2369" t="s">
        <v>251</v>
      </c>
      <c r="D2369" t="s">
        <v>73</v>
      </c>
      <c r="E2369" t="s">
        <v>22</v>
      </c>
      <c r="F2369" s="30">
        <v>45747</v>
      </c>
      <c r="G2369" t="s">
        <v>878</v>
      </c>
      <c r="H2369" t="s">
        <v>4468</v>
      </c>
      <c r="I2369">
        <v>20</v>
      </c>
      <c r="J2369">
        <v>36.569999694824219</v>
      </c>
      <c r="L2369">
        <v>423.31</v>
      </c>
      <c r="M2369">
        <v>3421</v>
      </c>
      <c r="AS2369">
        <v>1405.91</v>
      </c>
    </row>
    <row r="2370" spans="1:47" x14ac:dyDescent="0.3">
      <c r="A2370">
        <v>218</v>
      </c>
      <c r="B2370" t="s">
        <v>888</v>
      </c>
      <c r="C2370" t="s">
        <v>251</v>
      </c>
      <c r="D2370" t="s">
        <v>73</v>
      </c>
      <c r="E2370" t="s">
        <v>56</v>
      </c>
      <c r="F2370" s="30">
        <v>45747</v>
      </c>
      <c r="G2370" t="s">
        <v>928</v>
      </c>
      <c r="H2370" t="s">
        <v>4468</v>
      </c>
      <c r="I2370">
        <v>76000</v>
      </c>
      <c r="J2370">
        <v>76546.4609375</v>
      </c>
      <c r="N2370">
        <v>76546.460000000006</v>
      </c>
    </row>
    <row r="2371" spans="1:47" x14ac:dyDescent="0.3">
      <c r="A2371">
        <v>218</v>
      </c>
      <c r="B2371" t="s">
        <v>888</v>
      </c>
      <c r="C2371" t="s">
        <v>251</v>
      </c>
      <c r="D2371" t="s">
        <v>73</v>
      </c>
      <c r="E2371" t="s">
        <v>56</v>
      </c>
      <c r="F2371" s="30">
        <v>45747</v>
      </c>
      <c r="G2371" t="s">
        <v>928</v>
      </c>
      <c r="H2371" t="s">
        <v>4470</v>
      </c>
      <c r="I2371">
        <v>76000</v>
      </c>
      <c r="J2371">
        <v>49020</v>
      </c>
      <c r="N2371">
        <v>49020</v>
      </c>
    </row>
    <row r="2372" spans="1:47" x14ac:dyDescent="0.3">
      <c r="A2372">
        <v>218</v>
      </c>
      <c r="B2372" t="s">
        <v>888</v>
      </c>
      <c r="C2372" t="s">
        <v>251</v>
      </c>
      <c r="D2372" t="s">
        <v>73</v>
      </c>
      <c r="E2372" t="s">
        <v>56</v>
      </c>
      <c r="F2372" s="30">
        <v>45747</v>
      </c>
      <c r="G2372" t="s">
        <v>928</v>
      </c>
      <c r="H2372" t="s">
        <v>4477</v>
      </c>
      <c r="I2372">
        <v>5000</v>
      </c>
      <c r="J2372">
        <v>4260</v>
      </c>
      <c r="N2372">
        <v>4260</v>
      </c>
    </row>
    <row r="2373" spans="1:47" x14ac:dyDescent="0.3">
      <c r="A2373">
        <v>218</v>
      </c>
      <c r="B2373" t="s">
        <v>888</v>
      </c>
      <c r="C2373" t="s">
        <v>251</v>
      </c>
      <c r="D2373" t="s">
        <v>73</v>
      </c>
      <c r="E2373" t="s">
        <v>56</v>
      </c>
      <c r="F2373" s="30">
        <v>45747</v>
      </c>
      <c r="G2373" t="s">
        <v>928</v>
      </c>
      <c r="H2373" t="s">
        <v>4469</v>
      </c>
      <c r="I2373">
        <v>24000</v>
      </c>
      <c r="J2373">
        <v>24510</v>
      </c>
      <c r="N2373">
        <v>24510</v>
      </c>
    </row>
    <row r="2374" spans="1:47" x14ac:dyDescent="0.3">
      <c r="A2374">
        <v>218</v>
      </c>
      <c r="B2374" t="s">
        <v>888</v>
      </c>
      <c r="C2374" t="s">
        <v>251</v>
      </c>
      <c r="D2374" t="s">
        <v>73</v>
      </c>
      <c r="E2374" t="s">
        <v>56</v>
      </c>
      <c r="F2374" s="30">
        <v>45747</v>
      </c>
      <c r="G2374" t="s">
        <v>928</v>
      </c>
      <c r="H2374" t="s">
        <v>4476</v>
      </c>
      <c r="I2374">
        <v>5000</v>
      </c>
      <c r="J2374">
        <v>120</v>
      </c>
      <c r="N2374">
        <v>120</v>
      </c>
    </row>
    <row r="2375" spans="1:47" x14ac:dyDescent="0.3">
      <c r="A2375">
        <v>218</v>
      </c>
      <c r="B2375" t="s">
        <v>888</v>
      </c>
      <c r="C2375" t="s">
        <v>251</v>
      </c>
      <c r="D2375" t="s">
        <v>73</v>
      </c>
      <c r="E2375" t="s">
        <v>56</v>
      </c>
      <c r="F2375" s="30">
        <v>45747</v>
      </c>
      <c r="G2375" t="s">
        <v>928</v>
      </c>
      <c r="H2375" t="s">
        <v>4478</v>
      </c>
      <c r="I2375">
        <v>2000</v>
      </c>
      <c r="J2375">
        <v>1647.079956054688</v>
      </c>
      <c r="N2375">
        <v>1647.08</v>
      </c>
    </row>
    <row r="2376" spans="1:47" x14ac:dyDescent="0.3">
      <c r="A2376">
        <v>225</v>
      </c>
      <c r="B2376" t="s">
        <v>976</v>
      </c>
      <c r="C2376" t="s">
        <v>251</v>
      </c>
      <c r="D2376" t="s">
        <v>73</v>
      </c>
      <c r="E2376" t="s">
        <v>22</v>
      </c>
      <c r="F2376" s="30">
        <v>45747</v>
      </c>
      <c r="G2376" t="s">
        <v>1015</v>
      </c>
      <c r="H2376" t="s">
        <v>4468</v>
      </c>
      <c r="I2376">
        <v>1</v>
      </c>
      <c r="J2376">
        <v>5</v>
      </c>
      <c r="AT2376">
        <v>5</v>
      </c>
    </row>
    <row r="2377" spans="1:47" x14ac:dyDescent="0.3">
      <c r="A2377">
        <v>225</v>
      </c>
      <c r="B2377" t="s">
        <v>976</v>
      </c>
      <c r="C2377" t="s">
        <v>251</v>
      </c>
      <c r="D2377" t="s">
        <v>73</v>
      </c>
      <c r="E2377" t="s">
        <v>22</v>
      </c>
      <c r="F2377" s="30">
        <v>45747</v>
      </c>
      <c r="G2377" t="s">
        <v>1015</v>
      </c>
      <c r="H2377" t="s">
        <v>4470</v>
      </c>
      <c r="I2377">
        <v>1</v>
      </c>
      <c r="J2377">
        <v>3</v>
      </c>
      <c r="AT2377">
        <v>3</v>
      </c>
    </row>
    <row r="2378" spans="1:47" x14ac:dyDescent="0.3">
      <c r="A2378">
        <v>225</v>
      </c>
      <c r="B2378" t="s">
        <v>976</v>
      </c>
      <c r="C2378" t="s">
        <v>251</v>
      </c>
      <c r="D2378" t="s">
        <v>73</v>
      </c>
      <c r="E2378" t="s">
        <v>22</v>
      </c>
      <c r="F2378" s="30">
        <v>45747</v>
      </c>
      <c r="G2378" t="s">
        <v>1015</v>
      </c>
      <c r="H2378" t="s">
        <v>4477</v>
      </c>
      <c r="I2378">
        <v>1</v>
      </c>
      <c r="J2378">
        <v>0</v>
      </c>
      <c r="AT2378">
        <v>0</v>
      </c>
    </row>
    <row r="2379" spans="1:47" x14ac:dyDescent="0.3">
      <c r="A2379">
        <v>225</v>
      </c>
      <c r="B2379" t="s">
        <v>976</v>
      </c>
      <c r="C2379" t="s">
        <v>251</v>
      </c>
      <c r="D2379" t="s">
        <v>73</v>
      </c>
      <c r="E2379" t="s">
        <v>22</v>
      </c>
      <c r="F2379" s="30">
        <v>45747</v>
      </c>
      <c r="G2379" t="s">
        <v>1015</v>
      </c>
      <c r="H2379" t="s">
        <v>4469</v>
      </c>
      <c r="I2379">
        <v>1</v>
      </c>
      <c r="J2379">
        <v>10</v>
      </c>
      <c r="AT2379">
        <v>10</v>
      </c>
    </row>
    <row r="2380" spans="1:47" x14ac:dyDescent="0.3">
      <c r="A2380">
        <v>225</v>
      </c>
      <c r="B2380" t="s">
        <v>976</v>
      </c>
      <c r="C2380" t="s">
        <v>251</v>
      </c>
      <c r="D2380" t="s">
        <v>73</v>
      </c>
      <c r="E2380" t="s">
        <v>22</v>
      </c>
      <c r="F2380" s="30">
        <v>45747</v>
      </c>
      <c r="G2380" t="s">
        <v>1015</v>
      </c>
      <c r="H2380" t="s">
        <v>4476</v>
      </c>
      <c r="I2380">
        <v>1</v>
      </c>
      <c r="J2380">
        <v>2</v>
      </c>
      <c r="AT2380">
        <v>2</v>
      </c>
    </row>
    <row r="2381" spans="1:47" x14ac:dyDescent="0.3">
      <c r="A2381">
        <v>225</v>
      </c>
      <c r="B2381" t="s">
        <v>976</v>
      </c>
      <c r="C2381" t="s">
        <v>251</v>
      </c>
      <c r="D2381" t="s">
        <v>73</v>
      </c>
      <c r="E2381" t="s">
        <v>22</v>
      </c>
      <c r="F2381" s="30">
        <v>45747</v>
      </c>
      <c r="G2381" t="s">
        <v>1015</v>
      </c>
      <c r="H2381" t="s">
        <v>4478</v>
      </c>
      <c r="I2381">
        <v>1</v>
      </c>
      <c r="J2381">
        <v>1</v>
      </c>
      <c r="AT2381">
        <v>1</v>
      </c>
    </row>
    <row r="2382" spans="1:47" x14ac:dyDescent="0.3">
      <c r="A2382">
        <v>239</v>
      </c>
      <c r="B2382" t="s">
        <v>1095</v>
      </c>
      <c r="C2382" t="s">
        <v>1096</v>
      </c>
      <c r="D2382" t="s">
        <v>73</v>
      </c>
      <c r="E2382" t="s">
        <v>22</v>
      </c>
      <c r="F2382" s="30">
        <v>45747</v>
      </c>
      <c r="G2382" t="s">
        <v>1134</v>
      </c>
      <c r="H2382" t="s">
        <v>4479</v>
      </c>
      <c r="J2382">
        <v>4</v>
      </c>
      <c r="AU2382">
        <v>4</v>
      </c>
    </row>
    <row r="2383" spans="1:47" x14ac:dyDescent="0.3">
      <c r="A2383">
        <v>239</v>
      </c>
      <c r="B2383" t="s">
        <v>1095</v>
      </c>
      <c r="C2383" t="s">
        <v>1096</v>
      </c>
      <c r="D2383" t="s">
        <v>73</v>
      </c>
      <c r="E2383" t="s">
        <v>22</v>
      </c>
      <c r="F2383" s="30">
        <v>45747</v>
      </c>
      <c r="G2383" t="s">
        <v>1134</v>
      </c>
      <c r="H2383" t="s">
        <v>3622</v>
      </c>
      <c r="J2383">
        <v>12</v>
      </c>
      <c r="AU2383">
        <v>12</v>
      </c>
    </row>
    <row r="2384" spans="1:47" x14ac:dyDescent="0.3">
      <c r="A2384">
        <v>239</v>
      </c>
      <c r="B2384" t="s">
        <v>1095</v>
      </c>
      <c r="C2384" t="s">
        <v>1096</v>
      </c>
      <c r="D2384" t="s">
        <v>73</v>
      </c>
      <c r="E2384" t="s">
        <v>22</v>
      </c>
      <c r="F2384" s="30">
        <v>45747</v>
      </c>
      <c r="G2384" t="s">
        <v>1134</v>
      </c>
      <c r="H2384" t="s">
        <v>4480</v>
      </c>
      <c r="J2384">
        <v>1</v>
      </c>
      <c r="AU2384">
        <v>1</v>
      </c>
    </row>
    <row r="2385" spans="1:134" x14ac:dyDescent="0.3">
      <c r="A2385">
        <v>239</v>
      </c>
      <c r="B2385" t="s">
        <v>1095</v>
      </c>
      <c r="C2385" t="s">
        <v>1096</v>
      </c>
      <c r="D2385" t="s">
        <v>73</v>
      </c>
      <c r="E2385" t="s">
        <v>22</v>
      </c>
      <c r="F2385" s="30">
        <v>45747</v>
      </c>
      <c r="G2385" t="s">
        <v>1134</v>
      </c>
      <c r="H2385" t="s">
        <v>4481</v>
      </c>
      <c r="J2385">
        <v>22</v>
      </c>
      <c r="AU2385">
        <v>22</v>
      </c>
    </row>
    <row r="2386" spans="1:134" x14ac:dyDescent="0.3">
      <c r="A2386">
        <v>239</v>
      </c>
      <c r="B2386" t="s">
        <v>1095</v>
      </c>
      <c r="C2386" t="s">
        <v>1096</v>
      </c>
      <c r="D2386" t="s">
        <v>73</v>
      </c>
      <c r="E2386" t="s">
        <v>22</v>
      </c>
      <c r="F2386" s="30">
        <v>45747</v>
      </c>
      <c r="G2386" t="s">
        <v>1134</v>
      </c>
      <c r="H2386" t="s">
        <v>4651</v>
      </c>
      <c r="J2386">
        <v>3</v>
      </c>
      <c r="AU2386">
        <v>3</v>
      </c>
    </row>
    <row r="2387" spans="1:134" x14ac:dyDescent="0.3">
      <c r="A2387">
        <v>434</v>
      </c>
      <c r="B2387" t="s">
        <v>2267</v>
      </c>
      <c r="C2387" t="s">
        <v>251</v>
      </c>
      <c r="D2387" t="s">
        <v>73</v>
      </c>
      <c r="E2387" t="s">
        <v>56</v>
      </c>
      <c r="F2387" s="30">
        <v>45747</v>
      </c>
      <c r="G2387" t="s">
        <v>2294</v>
      </c>
      <c r="H2387" t="s">
        <v>4470</v>
      </c>
      <c r="I2387">
        <v>25</v>
      </c>
      <c r="J2387">
        <v>1.8400000333786011</v>
      </c>
      <c r="AV2387">
        <v>1.84</v>
      </c>
    </row>
    <row r="2388" spans="1:134" x14ac:dyDescent="0.3">
      <c r="A2388">
        <v>434</v>
      </c>
      <c r="B2388" t="s">
        <v>2267</v>
      </c>
      <c r="C2388" t="s">
        <v>251</v>
      </c>
      <c r="D2388" t="s">
        <v>73</v>
      </c>
      <c r="E2388" t="s">
        <v>56</v>
      </c>
      <c r="F2388" s="30">
        <v>45747</v>
      </c>
      <c r="G2388" t="s">
        <v>2294</v>
      </c>
      <c r="H2388" t="s">
        <v>4477</v>
      </c>
      <c r="I2388">
        <v>200</v>
      </c>
      <c r="J2388">
        <v>0</v>
      </c>
      <c r="AV2388">
        <v>0</v>
      </c>
    </row>
    <row r="2389" spans="1:134" x14ac:dyDescent="0.3">
      <c r="A2389">
        <v>434</v>
      </c>
      <c r="B2389" t="s">
        <v>2267</v>
      </c>
      <c r="C2389" t="s">
        <v>251</v>
      </c>
      <c r="D2389" t="s">
        <v>73</v>
      </c>
      <c r="E2389" t="s">
        <v>56</v>
      </c>
      <c r="F2389" s="30">
        <v>45747</v>
      </c>
      <c r="G2389" t="s">
        <v>2294</v>
      </c>
      <c r="H2389" t="s">
        <v>4469</v>
      </c>
      <c r="I2389">
        <v>25</v>
      </c>
      <c r="J2389">
        <v>1.3999999761581421</v>
      </c>
      <c r="AV2389">
        <v>1.4</v>
      </c>
    </row>
    <row r="2390" spans="1:134" x14ac:dyDescent="0.3">
      <c r="A2390">
        <v>434</v>
      </c>
      <c r="B2390" t="s">
        <v>2267</v>
      </c>
      <c r="C2390" t="s">
        <v>251</v>
      </c>
      <c r="D2390" t="s">
        <v>73</v>
      </c>
      <c r="E2390" t="s">
        <v>56</v>
      </c>
      <c r="F2390" s="30">
        <v>45747</v>
      </c>
      <c r="G2390" t="s">
        <v>2294</v>
      </c>
      <c r="H2390" t="s">
        <v>4476</v>
      </c>
      <c r="I2390">
        <v>10</v>
      </c>
      <c r="J2390">
        <v>0</v>
      </c>
      <c r="AV2390">
        <v>0</v>
      </c>
    </row>
    <row r="2391" spans="1:134" x14ac:dyDescent="0.3">
      <c r="A2391">
        <v>434</v>
      </c>
      <c r="B2391" t="s">
        <v>2267</v>
      </c>
      <c r="C2391" t="s">
        <v>251</v>
      </c>
      <c r="D2391" t="s">
        <v>73</v>
      </c>
      <c r="E2391" t="s">
        <v>56</v>
      </c>
      <c r="F2391" s="30">
        <v>45747</v>
      </c>
      <c r="G2391" t="s">
        <v>2294</v>
      </c>
      <c r="H2391" t="s">
        <v>4478</v>
      </c>
      <c r="I2391">
        <v>200</v>
      </c>
      <c r="J2391">
        <v>0</v>
      </c>
      <c r="AV2391">
        <v>0</v>
      </c>
    </row>
    <row r="2392" spans="1:134" x14ac:dyDescent="0.3">
      <c r="A2392">
        <v>434</v>
      </c>
      <c r="B2392" t="s">
        <v>2267</v>
      </c>
      <c r="C2392" t="s">
        <v>251</v>
      </c>
      <c r="D2392" t="s">
        <v>73</v>
      </c>
      <c r="E2392" t="s">
        <v>56</v>
      </c>
      <c r="F2392" s="30">
        <v>45747</v>
      </c>
      <c r="G2392" t="s">
        <v>2294</v>
      </c>
      <c r="H2392" t="s">
        <v>4468</v>
      </c>
      <c r="I2392">
        <v>100</v>
      </c>
      <c r="J2392">
        <v>50.049999237060547</v>
      </c>
      <c r="AV2392">
        <v>50.05</v>
      </c>
    </row>
    <row r="2393" spans="1:134" x14ac:dyDescent="0.3">
      <c r="A2393">
        <v>436</v>
      </c>
      <c r="B2393" t="s">
        <v>2311</v>
      </c>
      <c r="C2393" t="s">
        <v>258</v>
      </c>
      <c r="D2393" t="s">
        <v>73</v>
      </c>
      <c r="E2393" t="s">
        <v>56</v>
      </c>
      <c r="F2393" s="30">
        <v>45747</v>
      </c>
      <c r="G2393" t="s">
        <v>2338</v>
      </c>
      <c r="H2393" t="s">
        <v>4579</v>
      </c>
      <c r="I2393">
        <v>7</v>
      </c>
      <c r="J2393">
        <v>6.6700000762939453</v>
      </c>
      <c r="CP2393">
        <v>6.67</v>
      </c>
    </row>
    <row r="2394" spans="1:134" x14ac:dyDescent="0.3">
      <c r="A2394">
        <v>436</v>
      </c>
      <c r="B2394" t="s">
        <v>2311</v>
      </c>
      <c r="C2394" t="s">
        <v>258</v>
      </c>
      <c r="D2394" t="s">
        <v>73</v>
      </c>
      <c r="E2394" t="s">
        <v>56</v>
      </c>
      <c r="F2394" s="30">
        <v>45747</v>
      </c>
      <c r="G2394" t="s">
        <v>2338</v>
      </c>
      <c r="H2394" t="s">
        <v>4580</v>
      </c>
      <c r="I2394">
        <v>7</v>
      </c>
      <c r="J2394">
        <v>3.9300000667572021</v>
      </c>
      <c r="CP2394">
        <v>3.93</v>
      </c>
    </row>
    <row r="2395" spans="1:134" x14ac:dyDescent="0.3">
      <c r="A2395">
        <v>485</v>
      </c>
      <c r="B2395" t="s">
        <v>2525</v>
      </c>
      <c r="C2395" t="s">
        <v>258</v>
      </c>
      <c r="D2395" t="s">
        <v>73</v>
      </c>
      <c r="E2395" t="s">
        <v>22</v>
      </c>
      <c r="F2395" s="30">
        <v>45747</v>
      </c>
      <c r="G2395" t="s">
        <v>2539</v>
      </c>
      <c r="H2395" t="s">
        <v>4637</v>
      </c>
      <c r="I2395">
        <v>80</v>
      </c>
      <c r="J2395">
        <v>100</v>
      </c>
      <c r="EC2395">
        <v>2</v>
      </c>
      <c r="ED2395">
        <v>2</v>
      </c>
    </row>
    <row r="2396" spans="1:134" x14ac:dyDescent="0.3">
      <c r="A2396">
        <v>485</v>
      </c>
      <c r="B2396" t="s">
        <v>2525</v>
      </c>
      <c r="C2396" t="s">
        <v>258</v>
      </c>
      <c r="D2396" t="s">
        <v>73</v>
      </c>
      <c r="E2396" t="s">
        <v>22</v>
      </c>
      <c r="F2396" s="30">
        <v>45747</v>
      </c>
      <c r="G2396" t="s">
        <v>2539</v>
      </c>
      <c r="H2396" t="s">
        <v>4638</v>
      </c>
      <c r="I2396">
        <v>80</v>
      </c>
      <c r="J2396">
        <v>0</v>
      </c>
      <c r="EC2396">
        <v>0</v>
      </c>
      <c r="ED2396">
        <v>0</v>
      </c>
    </row>
    <row r="2397" spans="1:134" x14ac:dyDescent="0.3">
      <c r="A2397">
        <v>485</v>
      </c>
      <c r="B2397" t="s">
        <v>2525</v>
      </c>
      <c r="C2397" t="s">
        <v>258</v>
      </c>
      <c r="D2397" t="s">
        <v>73</v>
      </c>
      <c r="E2397" t="s">
        <v>22</v>
      </c>
      <c r="F2397" s="30">
        <v>45747</v>
      </c>
      <c r="G2397" t="s">
        <v>2539</v>
      </c>
      <c r="H2397" t="s">
        <v>4639</v>
      </c>
      <c r="I2397">
        <v>80</v>
      </c>
      <c r="J2397">
        <v>0</v>
      </c>
      <c r="EC2397">
        <v>0</v>
      </c>
      <c r="ED2397">
        <v>0</v>
      </c>
    </row>
    <row r="2398" spans="1:134" x14ac:dyDescent="0.3">
      <c r="A2398">
        <v>485</v>
      </c>
      <c r="B2398" t="s">
        <v>2525</v>
      </c>
      <c r="C2398" t="s">
        <v>258</v>
      </c>
      <c r="D2398" t="s">
        <v>73</v>
      </c>
      <c r="E2398" t="s">
        <v>22</v>
      </c>
      <c r="F2398" s="30">
        <v>45747</v>
      </c>
      <c r="G2398" t="s">
        <v>2539</v>
      </c>
      <c r="H2398" t="s">
        <v>4576</v>
      </c>
      <c r="I2398">
        <v>80</v>
      </c>
      <c r="J2398">
        <v>0</v>
      </c>
      <c r="EC2398">
        <v>0</v>
      </c>
      <c r="ED2398">
        <v>0</v>
      </c>
    </row>
    <row r="2399" spans="1:134" x14ac:dyDescent="0.3">
      <c r="A2399">
        <v>485</v>
      </c>
      <c r="B2399" t="s">
        <v>2525</v>
      </c>
      <c r="C2399" t="s">
        <v>258</v>
      </c>
      <c r="D2399" t="s">
        <v>73</v>
      </c>
      <c r="E2399" t="s">
        <v>22</v>
      </c>
      <c r="F2399" s="30">
        <v>45747</v>
      </c>
      <c r="G2399" t="s">
        <v>2539</v>
      </c>
      <c r="H2399" t="s">
        <v>154</v>
      </c>
      <c r="I2399">
        <v>80</v>
      </c>
      <c r="J2399">
        <v>0</v>
      </c>
      <c r="EC2399">
        <v>0</v>
      </c>
      <c r="ED2399">
        <v>0</v>
      </c>
    </row>
    <row r="2400" spans="1:134" x14ac:dyDescent="0.3">
      <c r="A2400">
        <v>485</v>
      </c>
      <c r="B2400" t="s">
        <v>2525</v>
      </c>
      <c r="C2400" t="s">
        <v>258</v>
      </c>
      <c r="D2400" t="s">
        <v>73</v>
      </c>
      <c r="E2400" t="s">
        <v>22</v>
      </c>
      <c r="F2400" s="30">
        <v>45747</v>
      </c>
      <c r="G2400" t="s">
        <v>2539</v>
      </c>
      <c r="H2400" t="s">
        <v>4640</v>
      </c>
      <c r="I2400">
        <v>80</v>
      </c>
      <c r="J2400">
        <v>0</v>
      </c>
      <c r="EC2400">
        <v>0</v>
      </c>
      <c r="ED2400">
        <v>0</v>
      </c>
    </row>
    <row r="2401" spans="1:141" x14ac:dyDescent="0.3">
      <c r="A2401">
        <v>485</v>
      </c>
      <c r="B2401" t="s">
        <v>2525</v>
      </c>
      <c r="C2401" t="s">
        <v>258</v>
      </c>
      <c r="D2401" t="s">
        <v>73</v>
      </c>
      <c r="E2401" t="s">
        <v>22</v>
      </c>
      <c r="F2401" s="30">
        <v>45747</v>
      </c>
      <c r="G2401" t="s">
        <v>2539</v>
      </c>
      <c r="H2401" t="s">
        <v>4641</v>
      </c>
      <c r="I2401">
        <v>80</v>
      </c>
      <c r="J2401">
        <v>0</v>
      </c>
      <c r="EC2401">
        <v>0</v>
      </c>
      <c r="ED2401">
        <v>0</v>
      </c>
    </row>
    <row r="2402" spans="1:141" x14ac:dyDescent="0.3">
      <c r="A2402">
        <v>485</v>
      </c>
      <c r="B2402" t="s">
        <v>2525</v>
      </c>
      <c r="C2402" t="s">
        <v>258</v>
      </c>
      <c r="D2402" t="s">
        <v>73</v>
      </c>
      <c r="E2402" t="s">
        <v>22</v>
      </c>
      <c r="F2402" s="30">
        <v>45747</v>
      </c>
      <c r="G2402" t="s">
        <v>2539</v>
      </c>
      <c r="H2402" t="s">
        <v>4538</v>
      </c>
      <c r="I2402">
        <v>80</v>
      </c>
      <c r="J2402">
        <v>0</v>
      </c>
      <c r="EC2402">
        <v>0</v>
      </c>
      <c r="ED2402">
        <v>0</v>
      </c>
    </row>
    <row r="2403" spans="1:141" x14ac:dyDescent="0.3">
      <c r="A2403">
        <v>485</v>
      </c>
      <c r="B2403" t="s">
        <v>2525</v>
      </c>
      <c r="C2403" t="s">
        <v>258</v>
      </c>
      <c r="D2403" t="s">
        <v>73</v>
      </c>
      <c r="E2403" t="s">
        <v>22</v>
      </c>
      <c r="F2403" s="30">
        <v>45747</v>
      </c>
      <c r="G2403" t="s">
        <v>2539</v>
      </c>
      <c r="H2403" t="s">
        <v>4642</v>
      </c>
      <c r="I2403">
        <v>80</v>
      </c>
      <c r="J2403">
        <v>0</v>
      </c>
      <c r="EC2403">
        <v>0</v>
      </c>
      <c r="ED2403">
        <v>0</v>
      </c>
    </row>
    <row r="2404" spans="1:141" x14ac:dyDescent="0.3">
      <c r="A2404">
        <v>488</v>
      </c>
      <c r="B2404" t="s">
        <v>2555</v>
      </c>
      <c r="C2404" t="s">
        <v>258</v>
      </c>
      <c r="D2404" t="s">
        <v>73</v>
      </c>
      <c r="E2404" t="s">
        <v>22</v>
      </c>
      <c r="F2404" s="30">
        <v>45747</v>
      </c>
      <c r="G2404" t="s">
        <v>2570</v>
      </c>
      <c r="H2404" t="s">
        <v>4637</v>
      </c>
      <c r="I2404">
        <v>85</v>
      </c>
      <c r="J2404">
        <v>0</v>
      </c>
      <c r="EE2404">
        <v>0</v>
      </c>
      <c r="EF2404">
        <v>0</v>
      </c>
    </row>
    <row r="2405" spans="1:141" x14ac:dyDescent="0.3">
      <c r="A2405">
        <v>488</v>
      </c>
      <c r="B2405" t="s">
        <v>2555</v>
      </c>
      <c r="C2405" t="s">
        <v>258</v>
      </c>
      <c r="D2405" t="s">
        <v>73</v>
      </c>
      <c r="E2405" t="s">
        <v>22</v>
      </c>
      <c r="F2405" s="30">
        <v>45747</v>
      </c>
      <c r="G2405" t="s">
        <v>2570</v>
      </c>
      <c r="H2405" t="s">
        <v>4638</v>
      </c>
      <c r="I2405">
        <v>85</v>
      </c>
      <c r="J2405">
        <v>0</v>
      </c>
      <c r="EE2405">
        <v>0</v>
      </c>
      <c r="EF2405">
        <v>0</v>
      </c>
    </row>
    <row r="2406" spans="1:141" x14ac:dyDescent="0.3">
      <c r="A2406">
        <v>488</v>
      </c>
      <c r="B2406" t="s">
        <v>2555</v>
      </c>
      <c r="C2406" t="s">
        <v>258</v>
      </c>
      <c r="D2406" t="s">
        <v>73</v>
      </c>
      <c r="E2406" t="s">
        <v>22</v>
      </c>
      <c r="F2406" s="30">
        <v>45747</v>
      </c>
      <c r="G2406" t="s">
        <v>2570</v>
      </c>
      <c r="H2406" t="s">
        <v>4639</v>
      </c>
      <c r="I2406">
        <v>85</v>
      </c>
      <c r="J2406">
        <v>0</v>
      </c>
      <c r="EE2406">
        <v>0</v>
      </c>
      <c r="EF2406">
        <v>0</v>
      </c>
    </row>
    <row r="2407" spans="1:141" x14ac:dyDescent="0.3">
      <c r="A2407">
        <v>488</v>
      </c>
      <c r="B2407" t="s">
        <v>2555</v>
      </c>
      <c r="C2407" t="s">
        <v>258</v>
      </c>
      <c r="D2407" t="s">
        <v>73</v>
      </c>
      <c r="E2407" t="s">
        <v>22</v>
      </c>
      <c r="F2407" s="30">
        <v>45747</v>
      </c>
      <c r="G2407" t="s">
        <v>2570</v>
      </c>
      <c r="H2407" t="s">
        <v>4576</v>
      </c>
      <c r="I2407">
        <v>85</v>
      </c>
      <c r="J2407">
        <v>0</v>
      </c>
      <c r="EE2407">
        <v>0</v>
      </c>
      <c r="EF2407">
        <v>0</v>
      </c>
    </row>
    <row r="2408" spans="1:141" x14ac:dyDescent="0.3">
      <c r="A2408">
        <v>488</v>
      </c>
      <c r="B2408" t="s">
        <v>2555</v>
      </c>
      <c r="C2408" t="s">
        <v>258</v>
      </c>
      <c r="D2408" t="s">
        <v>73</v>
      </c>
      <c r="E2408" t="s">
        <v>22</v>
      </c>
      <c r="F2408" s="30">
        <v>45747</v>
      </c>
      <c r="G2408" t="s">
        <v>2570</v>
      </c>
      <c r="H2408" t="s">
        <v>154</v>
      </c>
      <c r="I2408">
        <v>85</v>
      </c>
      <c r="J2408">
        <v>0</v>
      </c>
      <c r="EE2408">
        <v>0</v>
      </c>
      <c r="EF2408">
        <v>0</v>
      </c>
    </row>
    <row r="2409" spans="1:141" x14ac:dyDescent="0.3">
      <c r="A2409">
        <v>488</v>
      </c>
      <c r="B2409" t="s">
        <v>2555</v>
      </c>
      <c r="C2409" t="s">
        <v>258</v>
      </c>
      <c r="D2409" t="s">
        <v>73</v>
      </c>
      <c r="E2409" t="s">
        <v>22</v>
      </c>
      <c r="F2409" s="30">
        <v>45747</v>
      </c>
      <c r="G2409" t="s">
        <v>2570</v>
      </c>
      <c r="H2409" t="s">
        <v>4640</v>
      </c>
      <c r="I2409">
        <v>85</v>
      </c>
      <c r="J2409">
        <v>0</v>
      </c>
      <c r="EE2409">
        <v>0</v>
      </c>
      <c r="EF2409">
        <v>0</v>
      </c>
    </row>
    <row r="2410" spans="1:141" x14ac:dyDescent="0.3">
      <c r="A2410">
        <v>488</v>
      </c>
      <c r="B2410" t="s">
        <v>2555</v>
      </c>
      <c r="C2410" t="s">
        <v>258</v>
      </c>
      <c r="D2410" t="s">
        <v>73</v>
      </c>
      <c r="E2410" t="s">
        <v>22</v>
      </c>
      <c r="F2410" s="30">
        <v>45747</v>
      </c>
      <c r="G2410" t="s">
        <v>2570</v>
      </c>
      <c r="H2410" t="s">
        <v>4641</v>
      </c>
      <c r="I2410">
        <v>85</v>
      </c>
      <c r="J2410">
        <v>0</v>
      </c>
      <c r="EE2410">
        <v>0</v>
      </c>
      <c r="EF2410">
        <v>0</v>
      </c>
    </row>
    <row r="2411" spans="1:141" x14ac:dyDescent="0.3">
      <c r="A2411">
        <v>488</v>
      </c>
      <c r="B2411" t="s">
        <v>2555</v>
      </c>
      <c r="C2411" t="s">
        <v>258</v>
      </c>
      <c r="D2411" t="s">
        <v>73</v>
      </c>
      <c r="E2411" t="s">
        <v>22</v>
      </c>
      <c r="F2411" s="30">
        <v>45747</v>
      </c>
      <c r="G2411" t="s">
        <v>2570</v>
      </c>
      <c r="H2411" t="s">
        <v>4538</v>
      </c>
      <c r="I2411">
        <v>85</v>
      </c>
      <c r="J2411">
        <v>0</v>
      </c>
      <c r="EE2411">
        <v>0</v>
      </c>
      <c r="EF2411">
        <v>0</v>
      </c>
    </row>
    <row r="2412" spans="1:141" x14ac:dyDescent="0.3">
      <c r="A2412">
        <v>488</v>
      </c>
      <c r="B2412" t="s">
        <v>2555</v>
      </c>
      <c r="C2412" t="s">
        <v>258</v>
      </c>
      <c r="D2412" t="s">
        <v>73</v>
      </c>
      <c r="E2412" t="s">
        <v>22</v>
      </c>
      <c r="F2412" s="30">
        <v>45747</v>
      </c>
      <c r="G2412" t="s">
        <v>2570</v>
      </c>
      <c r="H2412" t="s">
        <v>4642</v>
      </c>
      <c r="I2412">
        <v>85</v>
      </c>
      <c r="J2412">
        <v>0</v>
      </c>
      <c r="EE2412">
        <v>0</v>
      </c>
      <c r="EF2412">
        <v>0</v>
      </c>
    </row>
    <row r="2413" spans="1:141" x14ac:dyDescent="0.3">
      <c r="A2413">
        <v>509</v>
      </c>
      <c r="B2413" t="s">
        <v>2622</v>
      </c>
      <c r="C2413" t="s">
        <v>1096</v>
      </c>
      <c r="D2413" t="s">
        <v>73</v>
      </c>
      <c r="E2413" t="s">
        <v>22</v>
      </c>
      <c r="F2413" s="30">
        <v>45747</v>
      </c>
      <c r="G2413" t="s">
        <v>2625</v>
      </c>
      <c r="H2413" t="s">
        <v>3449</v>
      </c>
      <c r="I2413">
        <v>90</v>
      </c>
      <c r="J2413">
        <v>100</v>
      </c>
      <c r="EJ2413">
        <v>20</v>
      </c>
      <c r="EK2413">
        <v>20</v>
      </c>
    </row>
    <row r="2414" spans="1:141" x14ac:dyDescent="0.3">
      <c r="A2414">
        <v>509</v>
      </c>
      <c r="B2414" t="s">
        <v>2622</v>
      </c>
      <c r="C2414" t="s">
        <v>1096</v>
      </c>
      <c r="D2414" t="s">
        <v>73</v>
      </c>
      <c r="E2414" t="s">
        <v>22</v>
      </c>
      <c r="F2414" s="30">
        <v>45747</v>
      </c>
      <c r="G2414" t="s">
        <v>2625</v>
      </c>
      <c r="H2414" t="s">
        <v>3457</v>
      </c>
      <c r="I2414">
        <v>90</v>
      </c>
      <c r="J2414">
        <v>80</v>
      </c>
      <c r="EJ2414">
        <v>35</v>
      </c>
      <c r="EK2414">
        <v>28</v>
      </c>
    </row>
    <row r="2415" spans="1:141" x14ac:dyDescent="0.3">
      <c r="A2415">
        <v>509</v>
      </c>
      <c r="B2415" t="s">
        <v>2622</v>
      </c>
      <c r="C2415" t="s">
        <v>1096</v>
      </c>
      <c r="D2415" t="s">
        <v>73</v>
      </c>
      <c r="E2415" t="s">
        <v>22</v>
      </c>
      <c r="F2415" s="30">
        <v>45747</v>
      </c>
      <c r="G2415" t="s">
        <v>2625</v>
      </c>
      <c r="H2415" t="s">
        <v>3572</v>
      </c>
      <c r="I2415">
        <v>90</v>
      </c>
      <c r="J2415">
        <v>100</v>
      </c>
      <c r="EJ2415">
        <v>73</v>
      </c>
      <c r="EK2415">
        <v>73</v>
      </c>
    </row>
    <row r="2416" spans="1:141" x14ac:dyDescent="0.3">
      <c r="A2416">
        <v>509</v>
      </c>
      <c r="B2416" t="s">
        <v>2622</v>
      </c>
      <c r="C2416" t="s">
        <v>1096</v>
      </c>
      <c r="D2416" t="s">
        <v>73</v>
      </c>
      <c r="E2416" t="s">
        <v>22</v>
      </c>
      <c r="F2416" s="30">
        <v>45747</v>
      </c>
      <c r="G2416" t="s">
        <v>2625</v>
      </c>
      <c r="H2416" t="s">
        <v>3453</v>
      </c>
      <c r="I2416">
        <v>90</v>
      </c>
      <c r="J2416">
        <v>94</v>
      </c>
      <c r="EJ2416">
        <v>50</v>
      </c>
      <c r="EK2416">
        <v>47</v>
      </c>
    </row>
    <row r="2417" spans="1:141" x14ac:dyDescent="0.3">
      <c r="A2417">
        <v>509</v>
      </c>
      <c r="B2417" t="s">
        <v>2622</v>
      </c>
      <c r="C2417" t="s">
        <v>1096</v>
      </c>
      <c r="D2417" t="s">
        <v>73</v>
      </c>
      <c r="E2417" t="s">
        <v>22</v>
      </c>
      <c r="F2417" s="30">
        <v>45747</v>
      </c>
      <c r="G2417" t="s">
        <v>2625</v>
      </c>
      <c r="H2417" t="s">
        <v>3461</v>
      </c>
      <c r="I2417">
        <v>90</v>
      </c>
      <c r="J2417">
        <v>83.330001831054688</v>
      </c>
      <c r="EJ2417">
        <v>12</v>
      </c>
      <c r="EK2417">
        <v>10</v>
      </c>
    </row>
    <row r="2418" spans="1:141" x14ac:dyDescent="0.3">
      <c r="A2418">
        <v>509</v>
      </c>
      <c r="B2418" t="s">
        <v>2622</v>
      </c>
      <c r="C2418" t="s">
        <v>1096</v>
      </c>
      <c r="D2418" t="s">
        <v>73</v>
      </c>
      <c r="E2418" t="s">
        <v>22</v>
      </c>
      <c r="F2418" s="30">
        <v>45747</v>
      </c>
      <c r="G2418" t="s">
        <v>2625</v>
      </c>
      <c r="H2418" t="s">
        <v>3463</v>
      </c>
      <c r="I2418">
        <v>90</v>
      </c>
      <c r="J2418">
        <v>100</v>
      </c>
      <c r="EJ2418">
        <v>3</v>
      </c>
      <c r="EK2418">
        <v>3</v>
      </c>
    </row>
    <row r="2419" spans="1:141" x14ac:dyDescent="0.3">
      <c r="A2419">
        <v>509</v>
      </c>
      <c r="B2419" t="s">
        <v>2622</v>
      </c>
      <c r="C2419" t="s">
        <v>1096</v>
      </c>
      <c r="D2419" t="s">
        <v>73</v>
      </c>
      <c r="E2419" t="s">
        <v>22</v>
      </c>
      <c r="F2419" s="30">
        <v>45747</v>
      </c>
      <c r="G2419" t="s">
        <v>2625</v>
      </c>
      <c r="H2419" t="s">
        <v>3470</v>
      </c>
      <c r="I2419">
        <v>90</v>
      </c>
      <c r="J2419">
        <v>94.44000244140625</v>
      </c>
      <c r="EJ2419">
        <v>54</v>
      </c>
      <c r="EK2419">
        <v>51</v>
      </c>
    </row>
    <row r="2420" spans="1:141" x14ac:dyDescent="0.3">
      <c r="A2420">
        <v>509</v>
      </c>
      <c r="B2420" t="s">
        <v>2622</v>
      </c>
      <c r="C2420" t="s">
        <v>1096</v>
      </c>
      <c r="D2420" t="s">
        <v>73</v>
      </c>
      <c r="E2420" t="s">
        <v>22</v>
      </c>
      <c r="F2420" s="30">
        <v>45747</v>
      </c>
      <c r="G2420" t="s">
        <v>2625</v>
      </c>
      <c r="H2420" t="s">
        <v>3465</v>
      </c>
      <c r="I2420">
        <v>90</v>
      </c>
      <c r="J2420">
        <v>100</v>
      </c>
      <c r="EJ2420">
        <v>25</v>
      </c>
      <c r="EK2420">
        <v>25</v>
      </c>
    </row>
    <row r="2421" spans="1:141" x14ac:dyDescent="0.3">
      <c r="A2421">
        <v>213</v>
      </c>
      <c r="B2421" t="s">
        <v>757</v>
      </c>
      <c r="C2421" t="s">
        <v>251</v>
      </c>
      <c r="D2421" t="s">
        <v>21</v>
      </c>
      <c r="E2421" t="s">
        <v>22</v>
      </c>
      <c r="F2421" s="30">
        <v>45747</v>
      </c>
      <c r="G2421" t="s">
        <v>770</v>
      </c>
      <c r="H2421" t="s">
        <v>4487</v>
      </c>
      <c r="I2421">
        <v>90</v>
      </c>
      <c r="J2421">
        <v>100</v>
      </c>
      <c r="AW2421">
        <v>51</v>
      </c>
      <c r="AX2421">
        <v>51</v>
      </c>
    </row>
    <row r="2422" spans="1:141" x14ac:dyDescent="0.3">
      <c r="A2422">
        <v>213</v>
      </c>
      <c r="B2422" t="s">
        <v>757</v>
      </c>
      <c r="C2422" t="s">
        <v>251</v>
      </c>
      <c r="D2422" t="s">
        <v>21</v>
      </c>
      <c r="E2422" t="s">
        <v>22</v>
      </c>
      <c r="F2422" s="30">
        <v>45747</v>
      </c>
      <c r="G2422" t="s">
        <v>770</v>
      </c>
      <c r="H2422" t="s">
        <v>4482</v>
      </c>
      <c r="I2422">
        <v>90</v>
      </c>
      <c r="J2422">
        <v>100</v>
      </c>
      <c r="AW2422">
        <v>9</v>
      </c>
      <c r="AX2422">
        <v>9</v>
      </c>
    </row>
    <row r="2423" spans="1:141" x14ac:dyDescent="0.3">
      <c r="A2423">
        <v>213</v>
      </c>
      <c r="B2423" t="s">
        <v>757</v>
      </c>
      <c r="C2423" t="s">
        <v>251</v>
      </c>
      <c r="D2423" t="s">
        <v>21</v>
      </c>
      <c r="E2423" t="s">
        <v>22</v>
      </c>
      <c r="F2423" s="30">
        <v>45747</v>
      </c>
      <c r="G2423" t="s">
        <v>770</v>
      </c>
      <c r="H2423" t="s">
        <v>4483</v>
      </c>
      <c r="I2423">
        <v>90</v>
      </c>
      <c r="J2423">
        <v>100</v>
      </c>
      <c r="AW2423">
        <v>19</v>
      </c>
      <c r="AX2423">
        <v>19</v>
      </c>
    </row>
    <row r="2424" spans="1:141" x14ac:dyDescent="0.3">
      <c r="A2424">
        <v>213</v>
      </c>
      <c r="B2424" t="s">
        <v>757</v>
      </c>
      <c r="C2424" t="s">
        <v>251</v>
      </c>
      <c r="D2424" t="s">
        <v>21</v>
      </c>
      <c r="E2424" t="s">
        <v>22</v>
      </c>
      <c r="F2424" s="30">
        <v>45747</v>
      </c>
      <c r="G2424" t="s">
        <v>770</v>
      </c>
      <c r="H2424" t="s">
        <v>4484</v>
      </c>
      <c r="I2424">
        <v>90</v>
      </c>
      <c r="J2424">
        <v>100</v>
      </c>
      <c r="AW2424">
        <v>6</v>
      </c>
      <c r="AX2424">
        <v>6</v>
      </c>
    </row>
    <row r="2425" spans="1:141" x14ac:dyDescent="0.3">
      <c r="A2425">
        <v>213</v>
      </c>
      <c r="B2425" t="s">
        <v>757</v>
      </c>
      <c r="C2425" t="s">
        <v>251</v>
      </c>
      <c r="D2425" t="s">
        <v>21</v>
      </c>
      <c r="E2425" t="s">
        <v>22</v>
      </c>
      <c r="F2425" s="30">
        <v>45747</v>
      </c>
      <c r="G2425" t="s">
        <v>770</v>
      </c>
      <c r="H2425" t="s">
        <v>4533</v>
      </c>
      <c r="I2425">
        <v>90</v>
      </c>
      <c r="J2425">
        <v>100</v>
      </c>
      <c r="AW2425">
        <v>10</v>
      </c>
      <c r="AX2425">
        <v>10</v>
      </c>
    </row>
    <row r="2426" spans="1:141" x14ac:dyDescent="0.3">
      <c r="A2426">
        <v>213</v>
      </c>
      <c r="B2426" t="s">
        <v>757</v>
      </c>
      <c r="C2426" t="s">
        <v>251</v>
      </c>
      <c r="D2426" t="s">
        <v>21</v>
      </c>
      <c r="E2426" t="s">
        <v>22</v>
      </c>
      <c r="F2426" s="30">
        <v>45747</v>
      </c>
      <c r="G2426" t="s">
        <v>770</v>
      </c>
      <c r="H2426" t="s">
        <v>4534</v>
      </c>
      <c r="I2426">
        <v>90</v>
      </c>
      <c r="J2426">
        <v>100</v>
      </c>
      <c r="AW2426">
        <v>2</v>
      </c>
      <c r="AX2426">
        <v>2</v>
      </c>
    </row>
    <row r="2427" spans="1:141" x14ac:dyDescent="0.3">
      <c r="A2427">
        <v>213</v>
      </c>
      <c r="B2427" t="s">
        <v>757</v>
      </c>
      <c r="C2427" t="s">
        <v>251</v>
      </c>
      <c r="D2427" t="s">
        <v>21</v>
      </c>
      <c r="E2427" t="s">
        <v>22</v>
      </c>
      <c r="F2427" s="30">
        <v>45747</v>
      </c>
      <c r="G2427" t="s">
        <v>770</v>
      </c>
      <c r="H2427" t="s">
        <v>4486</v>
      </c>
      <c r="I2427">
        <v>90</v>
      </c>
      <c r="J2427">
        <v>100</v>
      </c>
      <c r="AW2427">
        <v>24</v>
      </c>
      <c r="AX2427">
        <v>24</v>
      </c>
    </row>
    <row r="2428" spans="1:141" x14ac:dyDescent="0.3">
      <c r="A2428">
        <v>213</v>
      </c>
      <c r="B2428" t="s">
        <v>757</v>
      </c>
      <c r="C2428" t="s">
        <v>251</v>
      </c>
      <c r="D2428" t="s">
        <v>21</v>
      </c>
      <c r="E2428" t="s">
        <v>22</v>
      </c>
      <c r="F2428" s="30">
        <v>45747</v>
      </c>
      <c r="G2428" t="s">
        <v>770</v>
      </c>
      <c r="H2428" t="s">
        <v>4485</v>
      </c>
      <c r="I2428">
        <v>90</v>
      </c>
      <c r="J2428">
        <v>100</v>
      </c>
      <c r="AW2428">
        <v>10</v>
      </c>
      <c r="AX2428">
        <v>10</v>
      </c>
    </row>
    <row r="2429" spans="1:141" x14ac:dyDescent="0.3">
      <c r="A2429">
        <v>238</v>
      </c>
      <c r="B2429" t="s">
        <v>1077</v>
      </c>
      <c r="C2429" t="s">
        <v>251</v>
      </c>
      <c r="D2429" t="s">
        <v>21</v>
      </c>
      <c r="E2429" t="s">
        <v>22</v>
      </c>
      <c r="F2429" s="30">
        <v>45747</v>
      </c>
      <c r="G2429" t="s">
        <v>1091</v>
      </c>
      <c r="H2429" t="s">
        <v>4488</v>
      </c>
      <c r="I2429">
        <v>90</v>
      </c>
      <c r="J2429">
        <v>95.239997863769531</v>
      </c>
      <c r="AY2429">
        <v>20</v>
      </c>
      <c r="AZ2429">
        <v>21</v>
      </c>
    </row>
    <row r="2430" spans="1:141" x14ac:dyDescent="0.3">
      <c r="A2430">
        <v>238</v>
      </c>
      <c r="B2430" t="s">
        <v>1077</v>
      </c>
      <c r="C2430" t="s">
        <v>251</v>
      </c>
      <c r="D2430" t="s">
        <v>21</v>
      </c>
      <c r="E2430" t="s">
        <v>22</v>
      </c>
      <c r="F2430" s="30">
        <v>45747</v>
      </c>
      <c r="G2430" t="s">
        <v>1091</v>
      </c>
      <c r="H2430" t="s">
        <v>4489</v>
      </c>
      <c r="I2430">
        <v>90</v>
      </c>
      <c r="J2430">
        <v>88.889999389648438</v>
      </c>
      <c r="AY2430">
        <v>8</v>
      </c>
      <c r="AZ2430">
        <v>9</v>
      </c>
    </row>
    <row r="2431" spans="1:141" x14ac:dyDescent="0.3">
      <c r="A2431">
        <v>238</v>
      </c>
      <c r="B2431" t="s">
        <v>1077</v>
      </c>
      <c r="C2431" t="s">
        <v>251</v>
      </c>
      <c r="D2431" t="s">
        <v>21</v>
      </c>
      <c r="E2431" t="s">
        <v>22</v>
      </c>
      <c r="F2431" s="30">
        <v>45747</v>
      </c>
      <c r="G2431" t="s">
        <v>1091</v>
      </c>
      <c r="H2431" t="s">
        <v>4490</v>
      </c>
      <c r="I2431">
        <v>90</v>
      </c>
      <c r="J2431">
        <v>100</v>
      </c>
      <c r="AY2431">
        <v>3</v>
      </c>
      <c r="AZ2431">
        <v>3</v>
      </c>
    </row>
    <row r="2432" spans="1:141" x14ac:dyDescent="0.3">
      <c r="A2432">
        <v>238</v>
      </c>
      <c r="B2432" t="s">
        <v>1077</v>
      </c>
      <c r="C2432" t="s">
        <v>251</v>
      </c>
      <c r="D2432" t="s">
        <v>21</v>
      </c>
      <c r="E2432" t="s">
        <v>22</v>
      </c>
      <c r="F2432" s="30">
        <v>45747</v>
      </c>
      <c r="G2432" t="s">
        <v>1091</v>
      </c>
      <c r="H2432" t="s">
        <v>4491</v>
      </c>
      <c r="I2432">
        <v>90</v>
      </c>
      <c r="J2432">
        <v>100</v>
      </c>
      <c r="AY2432">
        <v>3</v>
      </c>
      <c r="AZ2432">
        <v>3</v>
      </c>
    </row>
    <row r="2433" spans="1:81" x14ac:dyDescent="0.3">
      <c r="A2433">
        <v>238</v>
      </c>
      <c r="B2433" t="s">
        <v>1077</v>
      </c>
      <c r="C2433" t="s">
        <v>251</v>
      </c>
      <c r="D2433" t="s">
        <v>21</v>
      </c>
      <c r="E2433" t="s">
        <v>22</v>
      </c>
      <c r="F2433" s="30">
        <v>45747</v>
      </c>
      <c r="G2433" t="s">
        <v>1091</v>
      </c>
      <c r="H2433" t="s">
        <v>4535</v>
      </c>
      <c r="I2433">
        <v>90</v>
      </c>
      <c r="J2433">
        <v>0</v>
      </c>
      <c r="AY2433">
        <v>0</v>
      </c>
      <c r="AZ2433">
        <v>0</v>
      </c>
    </row>
    <row r="2434" spans="1:81" x14ac:dyDescent="0.3">
      <c r="A2434">
        <v>238</v>
      </c>
      <c r="B2434" t="s">
        <v>1077</v>
      </c>
      <c r="C2434" t="s">
        <v>251</v>
      </c>
      <c r="D2434" t="s">
        <v>21</v>
      </c>
      <c r="E2434" t="s">
        <v>22</v>
      </c>
      <c r="F2434" s="30">
        <v>45747</v>
      </c>
      <c r="G2434" t="s">
        <v>1091</v>
      </c>
      <c r="H2434" t="s">
        <v>4536</v>
      </c>
      <c r="I2434">
        <v>90</v>
      </c>
      <c r="J2434">
        <v>0</v>
      </c>
      <c r="AY2434">
        <v>0</v>
      </c>
      <c r="AZ2434">
        <v>0</v>
      </c>
    </row>
    <row r="2435" spans="1:81" x14ac:dyDescent="0.3">
      <c r="A2435">
        <v>238</v>
      </c>
      <c r="B2435" t="s">
        <v>1077</v>
      </c>
      <c r="C2435" t="s">
        <v>251</v>
      </c>
      <c r="D2435" t="s">
        <v>21</v>
      </c>
      <c r="E2435" t="s">
        <v>22</v>
      </c>
      <c r="F2435" s="30">
        <v>45747</v>
      </c>
      <c r="G2435" t="s">
        <v>1091</v>
      </c>
      <c r="H2435" t="s">
        <v>4493</v>
      </c>
      <c r="I2435">
        <v>90</v>
      </c>
      <c r="J2435">
        <v>100</v>
      </c>
      <c r="AY2435">
        <v>2</v>
      </c>
      <c r="AZ2435">
        <v>2</v>
      </c>
    </row>
    <row r="2436" spans="1:81" x14ac:dyDescent="0.3">
      <c r="A2436">
        <v>238</v>
      </c>
      <c r="B2436" t="s">
        <v>1077</v>
      </c>
      <c r="C2436" t="s">
        <v>251</v>
      </c>
      <c r="D2436" t="s">
        <v>21</v>
      </c>
      <c r="E2436" t="s">
        <v>22</v>
      </c>
      <c r="F2436" s="30">
        <v>45747</v>
      </c>
      <c r="G2436" t="s">
        <v>1091</v>
      </c>
      <c r="H2436" t="s">
        <v>4492</v>
      </c>
      <c r="I2436">
        <v>90</v>
      </c>
      <c r="J2436">
        <v>100</v>
      </c>
      <c r="AY2436">
        <v>3</v>
      </c>
      <c r="AZ2436">
        <v>3</v>
      </c>
    </row>
    <row r="2437" spans="1:81" x14ac:dyDescent="0.3">
      <c r="A2437">
        <v>373</v>
      </c>
      <c r="B2437" t="s">
        <v>1856</v>
      </c>
      <c r="C2437" t="s">
        <v>1263</v>
      </c>
      <c r="D2437" t="s">
        <v>21</v>
      </c>
      <c r="E2437" t="s">
        <v>22</v>
      </c>
      <c r="F2437" s="30">
        <v>45747</v>
      </c>
      <c r="G2437" t="s">
        <v>1865</v>
      </c>
      <c r="H2437" t="s">
        <v>4541</v>
      </c>
      <c r="I2437">
        <v>100</v>
      </c>
      <c r="J2437">
        <v>110.5299987792969</v>
      </c>
      <c r="BZ2437">
        <v>21</v>
      </c>
      <c r="CA2437">
        <v>19</v>
      </c>
    </row>
    <row r="2438" spans="1:81" x14ac:dyDescent="0.3">
      <c r="A2438">
        <v>373</v>
      </c>
      <c r="B2438" t="s">
        <v>1856</v>
      </c>
      <c r="C2438" t="s">
        <v>1263</v>
      </c>
      <c r="D2438" t="s">
        <v>21</v>
      </c>
      <c r="E2438" t="s">
        <v>22</v>
      </c>
      <c r="F2438" s="30">
        <v>45747</v>
      </c>
      <c r="G2438" t="s">
        <v>1865</v>
      </c>
      <c r="H2438" t="s">
        <v>4540</v>
      </c>
      <c r="I2438">
        <v>100</v>
      </c>
      <c r="J2438">
        <v>92</v>
      </c>
      <c r="BZ2438">
        <v>23</v>
      </c>
      <c r="CA2438">
        <v>25</v>
      </c>
    </row>
    <row r="2439" spans="1:81" x14ac:dyDescent="0.3">
      <c r="A2439">
        <v>373</v>
      </c>
      <c r="B2439" t="s">
        <v>1856</v>
      </c>
      <c r="C2439" t="s">
        <v>1263</v>
      </c>
      <c r="D2439" t="s">
        <v>21</v>
      </c>
      <c r="E2439" t="s">
        <v>22</v>
      </c>
      <c r="F2439" s="30">
        <v>45747</v>
      </c>
      <c r="G2439" t="s">
        <v>1865</v>
      </c>
      <c r="H2439" t="s">
        <v>4539</v>
      </c>
      <c r="I2439">
        <v>100</v>
      </c>
      <c r="J2439">
        <v>106.4499969482422</v>
      </c>
      <c r="BZ2439">
        <v>33</v>
      </c>
      <c r="CA2439">
        <v>31</v>
      </c>
    </row>
    <row r="2440" spans="1:81" x14ac:dyDescent="0.3">
      <c r="A2440">
        <v>373</v>
      </c>
      <c r="B2440" t="s">
        <v>1856</v>
      </c>
      <c r="C2440" t="s">
        <v>1263</v>
      </c>
      <c r="D2440" t="s">
        <v>21</v>
      </c>
      <c r="E2440" t="s">
        <v>22</v>
      </c>
      <c r="F2440" s="30">
        <v>45747</v>
      </c>
      <c r="G2440" t="s">
        <v>1865</v>
      </c>
      <c r="H2440" t="s">
        <v>4538</v>
      </c>
      <c r="I2440">
        <v>100</v>
      </c>
      <c r="J2440">
        <v>102.94000244140619</v>
      </c>
      <c r="BZ2440">
        <v>35</v>
      </c>
      <c r="CA2440">
        <v>34</v>
      </c>
    </row>
    <row r="2441" spans="1:81" x14ac:dyDescent="0.3">
      <c r="A2441">
        <v>373</v>
      </c>
      <c r="B2441" t="s">
        <v>1856</v>
      </c>
      <c r="C2441" t="s">
        <v>1263</v>
      </c>
      <c r="D2441" t="s">
        <v>21</v>
      </c>
      <c r="E2441" t="s">
        <v>22</v>
      </c>
      <c r="F2441" s="30">
        <v>45747</v>
      </c>
      <c r="G2441" t="s">
        <v>1865</v>
      </c>
      <c r="H2441" t="s">
        <v>4537</v>
      </c>
      <c r="I2441">
        <v>100</v>
      </c>
      <c r="J2441">
        <v>112</v>
      </c>
      <c r="BZ2441">
        <v>28</v>
      </c>
      <c r="CA2441">
        <v>25</v>
      </c>
    </row>
    <row r="2442" spans="1:81" x14ac:dyDescent="0.3">
      <c r="A2442">
        <v>373</v>
      </c>
      <c r="B2442" t="s">
        <v>1856</v>
      </c>
      <c r="C2442" t="s">
        <v>1263</v>
      </c>
      <c r="D2442" t="s">
        <v>21</v>
      </c>
      <c r="E2442" t="s">
        <v>22</v>
      </c>
      <c r="F2442" s="30">
        <v>45747</v>
      </c>
      <c r="G2442" t="s">
        <v>1865</v>
      </c>
      <c r="H2442" t="s">
        <v>4542</v>
      </c>
      <c r="I2442">
        <v>100</v>
      </c>
      <c r="J2442">
        <v>120.8300018310547</v>
      </c>
      <c r="BZ2442">
        <v>29</v>
      </c>
      <c r="CA2442">
        <v>24</v>
      </c>
    </row>
    <row r="2443" spans="1:81" x14ac:dyDescent="0.3">
      <c r="A2443">
        <v>390</v>
      </c>
      <c r="B2443" t="s">
        <v>1970</v>
      </c>
      <c r="C2443" t="s">
        <v>1263</v>
      </c>
      <c r="D2443" t="s">
        <v>21</v>
      </c>
      <c r="E2443" t="s">
        <v>22</v>
      </c>
      <c r="F2443" s="30">
        <v>45747</v>
      </c>
      <c r="G2443" t="s">
        <v>1979</v>
      </c>
      <c r="H2443" t="s">
        <v>4514</v>
      </c>
      <c r="I2443">
        <v>100</v>
      </c>
      <c r="J2443">
        <v>190.9100036621094</v>
      </c>
      <c r="CB2443">
        <v>21</v>
      </c>
      <c r="CC2443">
        <v>11</v>
      </c>
    </row>
    <row r="2444" spans="1:81" x14ac:dyDescent="0.3">
      <c r="A2444">
        <v>390</v>
      </c>
      <c r="B2444" t="s">
        <v>1970</v>
      </c>
      <c r="C2444" t="s">
        <v>1263</v>
      </c>
      <c r="D2444" t="s">
        <v>21</v>
      </c>
      <c r="E2444" t="s">
        <v>22</v>
      </c>
      <c r="F2444" s="30">
        <v>45747</v>
      </c>
      <c r="G2444" t="s">
        <v>1979</v>
      </c>
      <c r="H2444" t="s">
        <v>4515</v>
      </c>
      <c r="I2444">
        <v>100</v>
      </c>
      <c r="J2444">
        <v>87.120002746582031</v>
      </c>
      <c r="CB2444">
        <v>16.170000000000002</v>
      </c>
      <c r="CC2444">
        <v>18.559999999999999</v>
      </c>
    </row>
    <row r="2445" spans="1:81" x14ac:dyDescent="0.3">
      <c r="A2445">
        <v>390</v>
      </c>
      <c r="B2445" t="s">
        <v>1970</v>
      </c>
      <c r="C2445" t="s">
        <v>1263</v>
      </c>
      <c r="D2445" t="s">
        <v>21</v>
      </c>
      <c r="E2445" t="s">
        <v>22</v>
      </c>
      <c r="F2445" s="30">
        <v>45747</v>
      </c>
      <c r="G2445" t="s">
        <v>1979</v>
      </c>
      <c r="H2445" t="s">
        <v>4516</v>
      </c>
      <c r="I2445">
        <v>100</v>
      </c>
      <c r="J2445">
        <v>226.21000671386719</v>
      </c>
      <c r="CB2445">
        <v>33.75</v>
      </c>
      <c r="CC2445">
        <v>14.92</v>
      </c>
    </row>
    <row r="2446" spans="1:81" x14ac:dyDescent="0.3">
      <c r="A2446">
        <v>390</v>
      </c>
      <c r="B2446" t="s">
        <v>1970</v>
      </c>
      <c r="C2446" t="s">
        <v>1263</v>
      </c>
      <c r="D2446" t="s">
        <v>21</v>
      </c>
      <c r="E2446" t="s">
        <v>22</v>
      </c>
      <c r="F2446" s="30">
        <v>45747</v>
      </c>
      <c r="G2446" t="s">
        <v>1979</v>
      </c>
      <c r="H2446" t="s">
        <v>4517</v>
      </c>
      <c r="I2446">
        <v>100</v>
      </c>
      <c r="J2446">
        <v>184.5899963378906</v>
      </c>
      <c r="CB2446">
        <v>19.399999999999999</v>
      </c>
      <c r="CC2446">
        <v>10.51</v>
      </c>
    </row>
    <row r="2447" spans="1:81" x14ac:dyDescent="0.3">
      <c r="A2447">
        <v>390</v>
      </c>
      <c r="B2447" t="s">
        <v>1970</v>
      </c>
      <c r="C2447" t="s">
        <v>1263</v>
      </c>
      <c r="D2447" t="s">
        <v>21</v>
      </c>
      <c r="E2447" t="s">
        <v>22</v>
      </c>
      <c r="F2447" s="30">
        <v>45747</v>
      </c>
      <c r="G2447" t="s">
        <v>1979</v>
      </c>
      <c r="H2447" t="s">
        <v>4518</v>
      </c>
      <c r="I2447">
        <v>100</v>
      </c>
      <c r="J2447">
        <v>93.05999755859375</v>
      </c>
      <c r="CB2447">
        <v>15.83</v>
      </c>
      <c r="CC2447">
        <v>17.010000000000002</v>
      </c>
    </row>
    <row r="2448" spans="1:81" x14ac:dyDescent="0.3">
      <c r="A2448">
        <v>390</v>
      </c>
      <c r="B2448" t="s">
        <v>1970</v>
      </c>
      <c r="C2448" t="s">
        <v>1263</v>
      </c>
      <c r="D2448" t="s">
        <v>21</v>
      </c>
      <c r="E2448" t="s">
        <v>22</v>
      </c>
      <c r="F2448" s="30">
        <v>45747</v>
      </c>
      <c r="G2448" t="s">
        <v>1979</v>
      </c>
      <c r="H2448" t="s">
        <v>4519</v>
      </c>
      <c r="I2448">
        <v>100</v>
      </c>
      <c r="J2448">
        <v>154.8800048828125</v>
      </c>
      <c r="CB2448">
        <v>30</v>
      </c>
      <c r="CC2448">
        <v>19.37</v>
      </c>
    </row>
    <row r="2449" spans="1:96" x14ac:dyDescent="0.3">
      <c r="A2449">
        <v>390</v>
      </c>
      <c r="B2449" t="s">
        <v>1970</v>
      </c>
      <c r="C2449" t="s">
        <v>1263</v>
      </c>
      <c r="D2449" t="s">
        <v>21</v>
      </c>
      <c r="E2449" t="s">
        <v>22</v>
      </c>
      <c r="F2449" s="30">
        <v>45747</v>
      </c>
      <c r="G2449" t="s">
        <v>1979</v>
      </c>
      <c r="H2449" t="s">
        <v>4520</v>
      </c>
      <c r="I2449">
        <v>100</v>
      </c>
      <c r="J2449">
        <v>175.67999267578119</v>
      </c>
      <c r="CB2449">
        <v>39</v>
      </c>
      <c r="CC2449">
        <v>22.2</v>
      </c>
    </row>
    <row r="2450" spans="1:96" x14ac:dyDescent="0.3">
      <c r="A2450">
        <v>390</v>
      </c>
      <c r="B2450" t="s">
        <v>1970</v>
      </c>
      <c r="C2450" t="s">
        <v>1263</v>
      </c>
      <c r="D2450" t="s">
        <v>21</v>
      </c>
      <c r="E2450" t="s">
        <v>22</v>
      </c>
      <c r="F2450" s="30">
        <v>45747</v>
      </c>
      <c r="G2450" t="s">
        <v>1979</v>
      </c>
      <c r="H2450" t="s">
        <v>4521</v>
      </c>
      <c r="I2450">
        <v>100</v>
      </c>
      <c r="J2450">
        <v>120.0800018310547</v>
      </c>
      <c r="CB2450">
        <v>25</v>
      </c>
      <c r="CC2450">
        <v>20.82</v>
      </c>
    </row>
    <row r="2451" spans="1:96" x14ac:dyDescent="0.3">
      <c r="A2451">
        <v>390</v>
      </c>
      <c r="B2451" t="s">
        <v>1970</v>
      </c>
      <c r="C2451" t="s">
        <v>1263</v>
      </c>
      <c r="D2451" t="s">
        <v>21</v>
      </c>
      <c r="E2451" t="s">
        <v>22</v>
      </c>
      <c r="F2451" s="30">
        <v>45747</v>
      </c>
      <c r="G2451" t="s">
        <v>1979</v>
      </c>
      <c r="H2451" t="s">
        <v>4523</v>
      </c>
      <c r="I2451">
        <v>100</v>
      </c>
      <c r="J2451">
        <v>120.0800018310547</v>
      </c>
      <c r="CB2451">
        <v>25</v>
      </c>
      <c r="CC2451">
        <v>20.82</v>
      </c>
    </row>
    <row r="2452" spans="1:96" x14ac:dyDescent="0.3">
      <c r="A2452">
        <v>390</v>
      </c>
      <c r="B2452" t="s">
        <v>1970</v>
      </c>
      <c r="C2452" t="s">
        <v>1263</v>
      </c>
      <c r="D2452" t="s">
        <v>21</v>
      </c>
      <c r="E2452" t="s">
        <v>22</v>
      </c>
      <c r="F2452" s="30">
        <v>45747</v>
      </c>
      <c r="G2452" t="s">
        <v>1979</v>
      </c>
      <c r="H2452" t="s">
        <v>4524</v>
      </c>
      <c r="I2452">
        <v>100</v>
      </c>
      <c r="J2452">
        <v>100</v>
      </c>
      <c r="CB2452">
        <v>20.82</v>
      </c>
      <c r="CC2452">
        <v>20.82</v>
      </c>
    </row>
    <row r="2453" spans="1:96" x14ac:dyDescent="0.3">
      <c r="A2453">
        <v>390</v>
      </c>
      <c r="B2453" t="s">
        <v>1970</v>
      </c>
      <c r="C2453" t="s">
        <v>1263</v>
      </c>
      <c r="D2453" t="s">
        <v>21</v>
      </c>
      <c r="E2453" t="s">
        <v>22</v>
      </c>
      <c r="F2453" s="30">
        <v>45747</v>
      </c>
      <c r="G2453" t="s">
        <v>1979</v>
      </c>
      <c r="H2453" t="s">
        <v>4525</v>
      </c>
      <c r="I2453">
        <v>100</v>
      </c>
      <c r="J2453">
        <v>116.4700012207031</v>
      </c>
      <c r="CB2453">
        <v>24.25</v>
      </c>
      <c r="CC2453">
        <v>20.82</v>
      </c>
    </row>
    <row r="2454" spans="1:96" x14ac:dyDescent="0.3">
      <c r="A2454">
        <v>390</v>
      </c>
      <c r="B2454" t="s">
        <v>1970</v>
      </c>
      <c r="C2454" t="s">
        <v>1263</v>
      </c>
      <c r="D2454" t="s">
        <v>21</v>
      </c>
      <c r="E2454" t="s">
        <v>22</v>
      </c>
      <c r="F2454" s="30">
        <v>45747</v>
      </c>
      <c r="G2454" t="s">
        <v>1979</v>
      </c>
      <c r="H2454" t="s">
        <v>4522</v>
      </c>
      <c r="I2454">
        <v>100</v>
      </c>
      <c r="J2454">
        <v>117.6999969482422</v>
      </c>
      <c r="CB2454">
        <v>25</v>
      </c>
      <c r="CC2454">
        <v>21.24</v>
      </c>
    </row>
    <row r="2455" spans="1:96" x14ac:dyDescent="0.3">
      <c r="A2455">
        <v>409</v>
      </c>
      <c r="B2455" t="s">
        <v>2081</v>
      </c>
      <c r="C2455" t="s">
        <v>1303</v>
      </c>
      <c r="D2455" t="s">
        <v>21</v>
      </c>
      <c r="E2455" t="s">
        <v>22</v>
      </c>
      <c r="F2455" s="30">
        <v>45747</v>
      </c>
      <c r="G2455" t="s">
        <v>2090</v>
      </c>
      <c r="H2455" t="s">
        <v>4582</v>
      </c>
      <c r="I2455">
        <v>95</v>
      </c>
      <c r="J2455">
        <v>100</v>
      </c>
      <c r="CQ2455">
        <v>163</v>
      </c>
      <c r="CR2455">
        <v>163</v>
      </c>
    </row>
    <row r="2456" spans="1:96" x14ac:dyDescent="0.3">
      <c r="A2456">
        <v>409</v>
      </c>
      <c r="B2456" t="s">
        <v>2081</v>
      </c>
      <c r="C2456" t="s">
        <v>1303</v>
      </c>
      <c r="D2456" t="s">
        <v>21</v>
      </c>
      <c r="E2456" t="s">
        <v>22</v>
      </c>
      <c r="F2456" s="30">
        <v>45747</v>
      </c>
      <c r="G2456" t="s">
        <v>2090</v>
      </c>
      <c r="H2456" t="s">
        <v>4581</v>
      </c>
      <c r="I2456">
        <v>95</v>
      </c>
      <c r="J2456">
        <v>100</v>
      </c>
      <c r="CQ2456">
        <v>1308</v>
      </c>
      <c r="CR2456">
        <v>1308</v>
      </c>
    </row>
    <row r="2457" spans="1:96" x14ac:dyDescent="0.3">
      <c r="A2457">
        <v>414</v>
      </c>
      <c r="B2457" t="s">
        <v>2103</v>
      </c>
      <c r="C2457" t="s">
        <v>1263</v>
      </c>
      <c r="D2457" t="s">
        <v>21</v>
      </c>
      <c r="E2457" t="s">
        <v>22</v>
      </c>
      <c r="F2457" s="30">
        <v>45747</v>
      </c>
      <c r="G2457" t="s">
        <v>2112</v>
      </c>
      <c r="H2457" t="s">
        <v>4543</v>
      </c>
      <c r="I2457">
        <v>100</v>
      </c>
      <c r="J2457">
        <v>96.300003051757813</v>
      </c>
      <c r="CD2457">
        <v>20.83</v>
      </c>
      <c r="CE2457">
        <v>21.63</v>
      </c>
    </row>
    <row r="2458" spans="1:96" x14ac:dyDescent="0.3">
      <c r="A2458">
        <v>414</v>
      </c>
      <c r="B2458" t="s">
        <v>2103</v>
      </c>
      <c r="C2458" t="s">
        <v>1263</v>
      </c>
      <c r="D2458" t="s">
        <v>21</v>
      </c>
      <c r="E2458" t="s">
        <v>22</v>
      </c>
      <c r="F2458" s="30">
        <v>45747</v>
      </c>
      <c r="G2458" t="s">
        <v>2112</v>
      </c>
      <c r="H2458" t="s">
        <v>4544</v>
      </c>
      <c r="I2458">
        <v>100</v>
      </c>
      <c r="J2458">
        <v>95.319999694824219</v>
      </c>
      <c r="CD2458">
        <v>43.36</v>
      </c>
      <c r="CE2458">
        <v>45.49</v>
      </c>
    </row>
    <row r="2459" spans="1:96" x14ac:dyDescent="0.3">
      <c r="A2459">
        <v>414</v>
      </c>
      <c r="B2459" t="s">
        <v>2103</v>
      </c>
      <c r="C2459" t="s">
        <v>1263</v>
      </c>
      <c r="D2459" t="s">
        <v>21</v>
      </c>
      <c r="E2459" t="s">
        <v>22</v>
      </c>
      <c r="F2459" s="30">
        <v>45747</v>
      </c>
      <c r="G2459" t="s">
        <v>2112</v>
      </c>
      <c r="H2459" t="s">
        <v>4545</v>
      </c>
      <c r="I2459">
        <v>100</v>
      </c>
      <c r="J2459">
        <v>91.19000244140625</v>
      </c>
      <c r="CD2459">
        <v>38.92</v>
      </c>
      <c r="CE2459">
        <v>42.68</v>
      </c>
    </row>
    <row r="2460" spans="1:96" x14ac:dyDescent="0.3">
      <c r="A2460">
        <v>414</v>
      </c>
      <c r="B2460" t="s">
        <v>2103</v>
      </c>
      <c r="C2460" t="s">
        <v>1263</v>
      </c>
      <c r="D2460" t="s">
        <v>21</v>
      </c>
      <c r="E2460" t="s">
        <v>22</v>
      </c>
      <c r="F2460" s="30">
        <v>45747</v>
      </c>
      <c r="G2460" t="s">
        <v>2112</v>
      </c>
      <c r="H2460" t="s">
        <v>4547</v>
      </c>
      <c r="I2460">
        <v>100</v>
      </c>
      <c r="J2460">
        <v>186.3399963378906</v>
      </c>
      <c r="CD2460">
        <v>21</v>
      </c>
      <c r="CE2460">
        <v>11.27</v>
      </c>
    </row>
    <row r="2461" spans="1:96" x14ac:dyDescent="0.3">
      <c r="A2461">
        <v>414</v>
      </c>
      <c r="B2461" t="s">
        <v>2103</v>
      </c>
      <c r="C2461" t="s">
        <v>1263</v>
      </c>
      <c r="D2461" t="s">
        <v>21</v>
      </c>
      <c r="E2461" t="s">
        <v>22</v>
      </c>
      <c r="F2461" s="30">
        <v>45747</v>
      </c>
      <c r="G2461" t="s">
        <v>2112</v>
      </c>
      <c r="H2461" t="s">
        <v>4548</v>
      </c>
      <c r="I2461">
        <v>100</v>
      </c>
      <c r="J2461">
        <v>123.629997253418</v>
      </c>
      <c r="CD2461">
        <v>41.12</v>
      </c>
      <c r="CE2461">
        <v>33.26</v>
      </c>
    </row>
    <row r="2462" spans="1:96" x14ac:dyDescent="0.3">
      <c r="A2462">
        <v>414</v>
      </c>
      <c r="B2462" t="s">
        <v>2103</v>
      </c>
      <c r="C2462" t="s">
        <v>1263</v>
      </c>
      <c r="D2462" t="s">
        <v>21</v>
      </c>
      <c r="E2462" t="s">
        <v>22</v>
      </c>
      <c r="F2462" s="30">
        <v>45747</v>
      </c>
      <c r="G2462" t="s">
        <v>2112</v>
      </c>
      <c r="H2462" t="s">
        <v>4549</v>
      </c>
      <c r="I2462">
        <v>100</v>
      </c>
      <c r="J2462">
        <v>50.159999847412109</v>
      </c>
      <c r="CD2462">
        <v>23.5</v>
      </c>
      <c r="CE2462">
        <v>46.85</v>
      </c>
    </row>
    <row r="2463" spans="1:96" x14ac:dyDescent="0.3">
      <c r="A2463">
        <v>414</v>
      </c>
      <c r="B2463" t="s">
        <v>2103</v>
      </c>
      <c r="C2463" t="s">
        <v>1263</v>
      </c>
      <c r="D2463" t="s">
        <v>21</v>
      </c>
      <c r="E2463" t="s">
        <v>22</v>
      </c>
      <c r="F2463" s="30">
        <v>45747</v>
      </c>
      <c r="G2463" t="s">
        <v>2112</v>
      </c>
      <c r="H2463" t="s">
        <v>4550</v>
      </c>
      <c r="I2463">
        <v>100</v>
      </c>
      <c r="J2463">
        <v>89.169998168945313</v>
      </c>
      <c r="CD2463">
        <v>33.75</v>
      </c>
      <c r="CE2463">
        <v>37.85</v>
      </c>
    </row>
    <row r="2464" spans="1:96" x14ac:dyDescent="0.3">
      <c r="A2464">
        <v>414</v>
      </c>
      <c r="B2464" t="s">
        <v>2103</v>
      </c>
      <c r="C2464" t="s">
        <v>1263</v>
      </c>
      <c r="D2464" t="s">
        <v>21</v>
      </c>
      <c r="E2464" t="s">
        <v>22</v>
      </c>
      <c r="F2464" s="30">
        <v>45747</v>
      </c>
      <c r="G2464" t="s">
        <v>2112</v>
      </c>
      <c r="H2464" t="s">
        <v>4597</v>
      </c>
      <c r="I2464">
        <v>100</v>
      </c>
      <c r="J2464">
        <v>0</v>
      </c>
      <c r="CD2464">
        <v>0</v>
      </c>
      <c r="CE2464">
        <v>0</v>
      </c>
    </row>
    <row r="2465" spans="1:87" x14ac:dyDescent="0.3">
      <c r="A2465">
        <v>414</v>
      </c>
      <c r="B2465" t="s">
        <v>2103</v>
      </c>
      <c r="C2465" t="s">
        <v>1263</v>
      </c>
      <c r="D2465" t="s">
        <v>21</v>
      </c>
      <c r="E2465" t="s">
        <v>22</v>
      </c>
      <c r="F2465" s="30">
        <v>45747</v>
      </c>
      <c r="G2465" t="s">
        <v>2112</v>
      </c>
      <c r="H2465" t="s">
        <v>4546</v>
      </c>
      <c r="I2465">
        <v>100</v>
      </c>
      <c r="J2465">
        <v>154.16999816894531</v>
      </c>
      <c r="CD2465">
        <v>33.67</v>
      </c>
      <c r="CE2465">
        <v>21.84</v>
      </c>
    </row>
    <row r="2466" spans="1:87" x14ac:dyDescent="0.3">
      <c r="A2466">
        <v>415</v>
      </c>
      <c r="B2466" t="s">
        <v>2116</v>
      </c>
      <c r="C2466" t="s">
        <v>1263</v>
      </c>
      <c r="D2466" t="s">
        <v>21</v>
      </c>
      <c r="E2466" t="s">
        <v>22</v>
      </c>
      <c r="F2466" s="30">
        <v>45747</v>
      </c>
      <c r="G2466" t="s">
        <v>2125</v>
      </c>
      <c r="H2466" t="s">
        <v>4551</v>
      </c>
      <c r="I2466">
        <v>100</v>
      </c>
      <c r="J2466">
        <v>98.05999755859375</v>
      </c>
      <c r="CF2466">
        <v>30.79</v>
      </c>
      <c r="CG2466">
        <v>31.4</v>
      </c>
    </row>
    <row r="2467" spans="1:87" x14ac:dyDescent="0.3">
      <c r="A2467">
        <v>415</v>
      </c>
      <c r="B2467" t="s">
        <v>2116</v>
      </c>
      <c r="C2467" t="s">
        <v>1263</v>
      </c>
      <c r="D2467" t="s">
        <v>21</v>
      </c>
      <c r="E2467" t="s">
        <v>22</v>
      </c>
      <c r="F2467" s="30">
        <v>45747</v>
      </c>
      <c r="G2467" t="s">
        <v>2125</v>
      </c>
      <c r="H2467" t="s">
        <v>4552</v>
      </c>
      <c r="I2467">
        <v>100</v>
      </c>
      <c r="J2467">
        <v>91.989997863769531</v>
      </c>
      <c r="CF2467">
        <v>55.9</v>
      </c>
      <c r="CG2467">
        <v>60.77</v>
      </c>
    </row>
    <row r="2468" spans="1:87" x14ac:dyDescent="0.3">
      <c r="A2468">
        <v>415</v>
      </c>
      <c r="B2468" t="s">
        <v>2116</v>
      </c>
      <c r="C2468" t="s">
        <v>1263</v>
      </c>
      <c r="D2468" t="s">
        <v>21</v>
      </c>
      <c r="E2468" t="s">
        <v>22</v>
      </c>
      <c r="F2468" s="30">
        <v>45747</v>
      </c>
      <c r="G2468" t="s">
        <v>2125</v>
      </c>
      <c r="H2468" t="s">
        <v>4553</v>
      </c>
      <c r="I2468">
        <v>100</v>
      </c>
      <c r="J2468">
        <v>86.529998779296875</v>
      </c>
      <c r="CF2468">
        <v>37.08</v>
      </c>
      <c r="CG2468">
        <v>42.85</v>
      </c>
    </row>
    <row r="2469" spans="1:87" x14ac:dyDescent="0.3">
      <c r="A2469">
        <v>415</v>
      </c>
      <c r="B2469" t="s">
        <v>2116</v>
      </c>
      <c r="C2469" t="s">
        <v>1263</v>
      </c>
      <c r="D2469" t="s">
        <v>21</v>
      </c>
      <c r="E2469" t="s">
        <v>22</v>
      </c>
      <c r="F2469" s="30">
        <v>45747</v>
      </c>
      <c r="G2469" t="s">
        <v>2125</v>
      </c>
      <c r="H2469" t="s">
        <v>4554</v>
      </c>
      <c r="I2469">
        <v>100</v>
      </c>
      <c r="J2469">
        <v>235.28999328613281</v>
      </c>
      <c r="CF2469">
        <v>63.34</v>
      </c>
      <c r="CG2469">
        <v>26.92</v>
      </c>
    </row>
    <row r="2470" spans="1:87" x14ac:dyDescent="0.3">
      <c r="A2470">
        <v>415</v>
      </c>
      <c r="B2470" t="s">
        <v>2116</v>
      </c>
      <c r="C2470" t="s">
        <v>1263</v>
      </c>
      <c r="D2470" t="s">
        <v>21</v>
      </c>
      <c r="E2470" t="s">
        <v>22</v>
      </c>
      <c r="F2470" s="30">
        <v>45747</v>
      </c>
      <c r="G2470" t="s">
        <v>2125</v>
      </c>
      <c r="H2470" t="s">
        <v>4555</v>
      </c>
      <c r="I2470">
        <v>100</v>
      </c>
      <c r="J2470">
        <v>86.650001525878906</v>
      </c>
      <c r="CF2470">
        <v>27.66</v>
      </c>
      <c r="CG2470">
        <v>31.92</v>
      </c>
    </row>
    <row r="2471" spans="1:87" x14ac:dyDescent="0.3">
      <c r="A2471">
        <v>415</v>
      </c>
      <c r="B2471" t="s">
        <v>2116</v>
      </c>
      <c r="C2471" t="s">
        <v>1263</v>
      </c>
      <c r="D2471" t="s">
        <v>21</v>
      </c>
      <c r="E2471" t="s">
        <v>22</v>
      </c>
      <c r="F2471" s="30">
        <v>45747</v>
      </c>
      <c r="G2471" t="s">
        <v>2125</v>
      </c>
      <c r="H2471" t="s">
        <v>4556</v>
      </c>
      <c r="I2471">
        <v>100</v>
      </c>
      <c r="J2471">
        <v>125.0400009155273</v>
      </c>
      <c r="CF2471">
        <v>37.5</v>
      </c>
      <c r="CG2471">
        <v>29.99</v>
      </c>
    </row>
    <row r="2472" spans="1:87" x14ac:dyDescent="0.3">
      <c r="A2472">
        <v>415</v>
      </c>
      <c r="B2472" t="s">
        <v>2116</v>
      </c>
      <c r="C2472" t="s">
        <v>1263</v>
      </c>
      <c r="D2472" t="s">
        <v>21</v>
      </c>
      <c r="E2472" t="s">
        <v>22</v>
      </c>
      <c r="F2472" s="30">
        <v>45747</v>
      </c>
      <c r="G2472" t="s">
        <v>2125</v>
      </c>
      <c r="H2472" t="s">
        <v>4592</v>
      </c>
      <c r="I2472">
        <v>100</v>
      </c>
      <c r="J2472">
        <v>86.529998779296875</v>
      </c>
      <c r="CF2472">
        <v>37.08</v>
      </c>
      <c r="CG2472">
        <v>42.85</v>
      </c>
    </row>
    <row r="2473" spans="1:87" x14ac:dyDescent="0.3">
      <c r="A2473">
        <v>415</v>
      </c>
      <c r="B2473" t="s">
        <v>2116</v>
      </c>
      <c r="C2473" t="s">
        <v>1263</v>
      </c>
      <c r="D2473" t="s">
        <v>21</v>
      </c>
      <c r="E2473" t="s">
        <v>22</v>
      </c>
      <c r="F2473" s="30">
        <v>45747</v>
      </c>
      <c r="G2473" t="s">
        <v>2125</v>
      </c>
      <c r="H2473" t="s">
        <v>4600</v>
      </c>
      <c r="I2473">
        <v>100</v>
      </c>
      <c r="J2473">
        <v>0</v>
      </c>
      <c r="CF2473">
        <v>0</v>
      </c>
      <c r="CG2473">
        <v>0</v>
      </c>
    </row>
    <row r="2474" spans="1:87" x14ac:dyDescent="0.3">
      <c r="A2474">
        <v>415</v>
      </c>
      <c r="B2474" t="s">
        <v>2116</v>
      </c>
      <c r="C2474" t="s">
        <v>1263</v>
      </c>
      <c r="D2474" t="s">
        <v>21</v>
      </c>
      <c r="E2474" t="s">
        <v>22</v>
      </c>
      <c r="F2474" s="30">
        <v>45747</v>
      </c>
      <c r="G2474" t="s">
        <v>2125</v>
      </c>
      <c r="H2474" t="s">
        <v>4598</v>
      </c>
      <c r="I2474">
        <v>100</v>
      </c>
      <c r="J2474">
        <v>86.529998779296875</v>
      </c>
      <c r="CF2474">
        <v>37.08</v>
      </c>
      <c r="CG2474">
        <v>42.85</v>
      </c>
    </row>
    <row r="2475" spans="1:87" x14ac:dyDescent="0.3">
      <c r="A2475">
        <v>415</v>
      </c>
      <c r="B2475" t="s">
        <v>2116</v>
      </c>
      <c r="C2475" t="s">
        <v>1263</v>
      </c>
      <c r="D2475" t="s">
        <v>21</v>
      </c>
      <c r="E2475" t="s">
        <v>22</v>
      </c>
      <c r="F2475" s="30">
        <v>45747</v>
      </c>
      <c r="G2475" t="s">
        <v>2125</v>
      </c>
      <c r="H2475" t="s">
        <v>4603</v>
      </c>
      <c r="I2475">
        <v>100</v>
      </c>
      <c r="J2475">
        <v>76.629997253417969</v>
      </c>
      <c r="CF2475">
        <v>40.549999999999997</v>
      </c>
      <c r="CG2475">
        <v>52.92</v>
      </c>
    </row>
    <row r="2476" spans="1:87" x14ac:dyDescent="0.3">
      <c r="A2476">
        <v>415</v>
      </c>
      <c r="B2476" t="s">
        <v>2116</v>
      </c>
      <c r="C2476" t="s">
        <v>1263</v>
      </c>
      <c r="D2476" t="s">
        <v>21</v>
      </c>
      <c r="E2476" t="s">
        <v>22</v>
      </c>
      <c r="F2476" s="30">
        <v>45747</v>
      </c>
      <c r="G2476" t="s">
        <v>2125</v>
      </c>
      <c r="H2476" t="s">
        <v>4601</v>
      </c>
      <c r="I2476">
        <v>100</v>
      </c>
      <c r="J2476">
        <v>106.1999969482422</v>
      </c>
      <c r="CF2476">
        <v>33.92</v>
      </c>
      <c r="CG2476">
        <v>31.94</v>
      </c>
    </row>
    <row r="2477" spans="1:87" x14ac:dyDescent="0.3">
      <c r="A2477">
        <v>415</v>
      </c>
      <c r="B2477" t="s">
        <v>2116</v>
      </c>
      <c r="C2477" t="s">
        <v>1263</v>
      </c>
      <c r="D2477" t="s">
        <v>21</v>
      </c>
      <c r="E2477" t="s">
        <v>22</v>
      </c>
      <c r="F2477" s="30">
        <v>45747</v>
      </c>
      <c r="G2477" t="s">
        <v>2125</v>
      </c>
      <c r="H2477" t="s">
        <v>4599</v>
      </c>
      <c r="I2477">
        <v>100</v>
      </c>
      <c r="J2477">
        <v>88.779998779296875</v>
      </c>
      <c r="CF2477">
        <v>65.62</v>
      </c>
      <c r="CG2477">
        <v>73.91</v>
      </c>
    </row>
    <row r="2478" spans="1:87" x14ac:dyDescent="0.3">
      <c r="A2478">
        <v>415</v>
      </c>
      <c r="B2478" t="s">
        <v>2116</v>
      </c>
      <c r="C2478" t="s">
        <v>1263</v>
      </c>
      <c r="D2478" t="s">
        <v>21</v>
      </c>
      <c r="E2478" t="s">
        <v>22</v>
      </c>
      <c r="F2478" s="30">
        <v>45747</v>
      </c>
      <c r="G2478" t="s">
        <v>2125</v>
      </c>
      <c r="H2478" t="s">
        <v>4602</v>
      </c>
      <c r="I2478">
        <v>100</v>
      </c>
      <c r="J2478">
        <v>99.120002746582031</v>
      </c>
      <c r="CF2478">
        <v>65</v>
      </c>
      <c r="CG2478">
        <v>65.58</v>
      </c>
    </row>
    <row r="2479" spans="1:87" x14ac:dyDescent="0.3">
      <c r="A2479">
        <v>415</v>
      </c>
      <c r="B2479" t="s">
        <v>2116</v>
      </c>
      <c r="C2479" t="s">
        <v>1263</v>
      </c>
      <c r="D2479" t="s">
        <v>21</v>
      </c>
      <c r="E2479" t="s">
        <v>22</v>
      </c>
      <c r="F2479" s="30">
        <v>45747</v>
      </c>
      <c r="G2479" t="s">
        <v>2125</v>
      </c>
      <c r="H2479" t="s">
        <v>4557</v>
      </c>
      <c r="I2479">
        <v>100</v>
      </c>
      <c r="J2479">
        <v>94.550003051757813</v>
      </c>
      <c r="CF2479">
        <v>54.77</v>
      </c>
      <c r="CG2479">
        <v>57.93</v>
      </c>
    </row>
    <row r="2480" spans="1:87" x14ac:dyDescent="0.3">
      <c r="A2480">
        <v>416</v>
      </c>
      <c r="B2480" t="s">
        <v>2129</v>
      </c>
      <c r="C2480" t="s">
        <v>1263</v>
      </c>
      <c r="D2480" t="s">
        <v>21</v>
      </c>
      <c r="E2480" t="s">
        <v>22</v>
      </c>
      <c r="F2480" s="30">
        <v>45747</v>
      </c>
      <c r="G2480" t="s">
        <v>2138</v>
      </c>
      <c r="H2480" t="s">
        <v>4558</v>
      </c>
      <c r="I2480">
        <v>100</v>
      </c>
      <c r="J2480">
        <v>98.199996948242188</v>
      </c>
      <c r="CH2480">
        <v>30</v>
      </c>
      <c r="CI2480">
        <v>30.55</v>
      </c>
    </row>
    <row r="2481" spans="1:91" x14ac:dyDescent="0.3">
      <c r="A2481">
        <v>416</v>
      </c>
      <c r="B2481" t="s">
        <v>2129</v>
      </c>
      <c r="C2481" t="s">
        <v>1263</v>
      </c>
      <c r="D2481" t="s">
        <v>21</v>
      </c>
      <c r="E2481" t="s">
        <v>22</v>
      </c>
      <c r="F2481" s="30">
        <v>45747</v>
      </c>
      <c r="G2481" t="s">
        <v>2138</v>
      </c>
      <c r="H2481" t="s">
        <v>4559</v>
      </c>
      <c r="I2481">
        <v>100</v>
      </c>
      <c r="J2481">
        <v>94.639999389648438</v>
      </c>
      <c r="CH2481">
        <v>16.25</v>
      </c>
      <c r="CI2481">
        <v>17.170000000000002</v>
      </c>
    </row>
    <row r="2482" spans="1:91" x14ac:dyDescent="0.3">
      <c r="A2482">
        <v>416</v>
      </c>
      <c r="B2482" t="s">
        <v>2129</v>
      </c>
      <c r="C2482" t="s">
        <v>1263</v>
      </c>
      <c r="D2482" t="s">
        <v>21</v>
      </c>
      <c r="E2482" t="s">
        <v>22</v>
      </c>
      <c r="F2482" s="30">
        <v>45747</v>
      </c>
      <c r="G2482" t="s">
        <v>2138</v>
      </c>
      <c r="H2482" t="s">
        <v>4605</v>
      </c>
      <c r="I2482">
        <v>100</v>
      </c>
      <c r="J2482">
        <v>121.73000335693359</v>
      </c>
      <c r="CH2482">
        <v>33</v>
      </c>
      <c r="CI2482">
        <v>27.11</v>
      </c>
    </row>
    <row r="2483" spans="1:91" x14ac:dyDescent="0.3">
      <c r="A2483">
        <v>416</v>
      </c>
      <c r="B2483" t="s">
        <v>2129</v>
      </c>
      <c r="C2483" t="s">
        <v>1263</v>
      </c>
      <c r="D2483" t="s">
        <v>21</v>
      </c>
      <c r="E2483" t="s">
        <v>22</v>
      </c>
      <c r="F2483" s="30">
        <v>45747</v>
      </c>
      <c r="G2483" t="s">
        <v>2138</v>
      </c>
      <c r="H2483" t="s">
        <v>4606</v>
      </c>
      <c r="I2483">
        <v>100</v>
      </c>
      <c r="J2483">
        <v>85.050003051757813</v>
      </c>
      <c r="CH2483">
        <v>19</v>
      </c>
      <c r="CI2483">
        <v>22.34</v>
      </c>
    </row>
    <row r="2484" spans="1:91" x14ac:dyDescent="0.3">
      <c r="A2484">
        <v>416</v>
      </c>
      <c r="B2484" t="s">
        <v>2129</v>
      </c>
      <c r="C2484" t="s">
        <v>1263</v>
      </c>
      <c r="D2484" t="s">
        <v>21</v>
      </c>
      <c r="E2484" t="s">
        <v>22</v>
      </c>
      <c r="F2484" s="30">
        <v>45747</v>
      </c>
      <c r="G2484" t="s">
        <v>2138</v>
      </c>
      <c r="H2484" t="s">
        <v>4607</v>
      </c>
      <c r="I2484">
        <v>100</v>
      </c>
      <c r="J2484">
        <v>553.0999755859375</v>
      </c>
      <c r="CH2484">
        <v>6.25</v>
      </c>
      <c r="CI2484">
        <v>1.1299999999999999</v>
      </c>
    </row>
    <row r="2485" spans="1:91" x14ac:dyDescent="0.3">
      <c r="A2485">
        <v>416</v>
      </c>
      <c r="B2485" t="s">
        <v>2129</v>
      </c>
      <c r="C2485" t="s">
        <v>1263</v>
      </c>
      <c r="D2485" t="s">
        <v>21</v>
      </c>
      <c r="E2485" t="s">
        <v>22</v>
      </c>
      <c r="F2485" s="30">
        <v>45747</v>
      </c>
      <c r="G2485" t="s">
        <v>2138</v>
      </c>
      <c r="H2485" t="s">
        <v>4604</v>
      </c>
      <c r="I2485">
        <v>100</v>
      </c>
      <c r="J2485">
        <v>72.800003051757813</v>
      </c>
      <c r="CH2485">
        <v>25</v>
      </c>
      <c r="CI2485">
        <v>34.340000000000003</v>
      </c>
    </row>
    <row r="2486" spans="1:91" x14ac:dyDescent="0.3">
      <c r="A2486">
        <v>417</v>
      </c>
      <c r="B2486" t="s">
        <v>2142</v>
      </c>
      <c r="C2486" t="s">
        <v>1263</v>
      </c>
      <c r="D2486" t="s">
        <v>21</v>
      </c>
      <c r="E2486" t="s">
        <v>22</v>
      </c>
      <c r="F2486" s="30">
        <v>45747</v>
      </c>
      <c r="G2486" t="s">
        <v>2151</v>
      </c>
      <c r="H2486" t="s">
        <v>4560</v>
      </c>
      <c r="I2486">
        <v>100</v>
      </c>
      <c r="J2486">
        <v>71.069999694824219</v>
      </c>
      <c r="CJ2486">
        <v>29.33</v>
      </c>
      <c r="CK2486">
        <v>41.27</v>
      </c>
    </row>
    <row r="2487" spans="1:91" x14ac:dyDescent="0.3">
      <c r="A2487">
        <v>417</v>
      </c>
      <c r="B2487" t="s">
        <v>2142</v>
      </c>
      <c r="C2487" t="s">
        <v>1263</v>
      </c>
      <c r="D2487" t="s">
        <v>21</v>
      </c>
      <c r="E2487" t="s">
        <v>22</v>
      </c>
      <c r="F2487" s="30">
        <v>45747</v>
      </c>
      <c r="G2487" t="s">
        <v>2151</v>
      </c>
      <c r="H2487" t="s">
        <v>4561</v>
      </c>
      <c r="I2487">
        <v>100</v>
      </c>
      <c r="J2487">
        <v>109.0299987792969</v>
      </c>
      <c r="CJ2487">
        <v>44.79</v>
      </c>
      <c r="CK2487">
        <v>41.08</v>
      </c>
    </row>
    <row r="2488" spans="1:91" x14ac:dyDescent="0.3">
      <c r="A2488">
        <v>417</v>
      </c>
      <c r="B2488" t="s">
        <v>2142</v>
      </c>
      <c r="C2488" t="s">
        <v>1263</v>
      </c>
      <c r="D2488" t="s">
        <v>21</v>
      </c>
      <c r="E2488" t="s">
        <v>22</v>
      </c>
      <c r="F2488" s="30">
        <v>45747</v>
      </c>
      <c r="G2488" t="s">
        <v>2151</v>
      </c>
      <c r="H2488" t="s">
        <v>4562</v>
      </c>
      <c r="I2488">
        <v>100</v>
      </c>
      <c r="J2488">
        <v>93.709999084472656</v>
      </c>
      <c r="CJ2488">
        <v>28.6</v>
      </c>
      <c r="CK2488">
        <v>30.52</v>
      </c>
    </row>
    <row r="2489" spans="1:91" x14ac:dyDescent="0.3">
      <c r="A2489">
        <v>417</v>
      </c>
      <c r="B2489" t="s">
        <v>2142</v>
      </c>
      <c r="C2489" t="s">
        <v>1263</v>
      </c>
      <c r="D2489" t="s">
        <v>21</v>
      </c>
      <c r="E2489" t="s">
        <v>22</v>
      </c>
      <c r="F2489" s="30">
        <v>45747</v>
      </c>
      <c r="G2489" t="s">
        <v>2151</v>
      </c>
      <c r="H2489" t="s">
        <v>4564</v>
      </c>
      <c r="I2489">
        <v>100</v>
      </c>
      <c r="J2489">
        <v>94.790000915527344</v>
      </c>
      <c r="CJ2489">
        <v>30</v>
      </c>
      <c r="CK2489">
        <v>31.65</v>
      </c>
    </row>
    <row r="2490" spans="1:91" x14ac:dyDescent="0.3">
      <c r="A2490">
        <v>417</v>
      </c>
      <c r="B2490" t="s">
        <v>2142</v>
      </c>
      <c r="C2490" t="s">
        <v>1263</v>
      </c>
      <c r="D2490" t="s">
        <v>21</v>
      </c>
      <c r="E2490" t="s">
        <v>22</v>
      </c>
      <c r="F2490" s="30">
        <v>45747</v>
      </c>
      <c r="G2490" t="s">
        <v>2151</v>
      </c>
      <c r="H2490" t="s">
        <v>4565</v>
      </c>
      <c r="I2490">
        <v>100</v>
      </c>
      <c r="J2490">
        <v>86.419998168945313</v>
      </c>
      <c r="CJ2490">
        <v>24.25</v>
      </c>
      <c r="CK2490">
        <v>28.06</v>
      </c>
    </row>
    <row r="2491" spans="1:91" x14ac:dyDescent="0.3">
      <c r="A2491">
        <v>417</v>
      </c>
      <c r="B2491" t="s">
        <v>2142</v>
      </c>
      <c r="C2491" t="s">
        <v>1263</v>
      </c>
      <c r="D2491" t="s">
        <v>21</v>
      </c>
      <c r="E2491" t="s">
        <v>22</v>
      </c>
      <c r="F2491" s="30">
        <v>45747</v>
      </c>
      <c r="G2491" t="s">
        <v>2151</v>
      </c>
      <c r="H2491" t="s">
        <v>4563</v>
      </c>
      <c r="I2491">
        <v>100</v>
      </c>
      <c r="J2491">
        <v>107.0500030517578</v>
      </c>
      <c r="CJ2491">
        <v>25.21</v>
      </c>
      <c r="CK2491">
        <v>23.55</v>
      </c>
    </row>
    <row r="2492" spans="1:91" x14ac:dyDescent="0.3">
      <c r="A2492">
        <v>418</v>
      </c>
      <c r="B2492" t="s">
        <v>2155</v>
      </c>
      <c r="C2492" t="s">
        <v>1263</v>
      </c>
      <c r="D2492" t="s">
        <v>21</v>
      </c>
      <c r="E2492" t="s">
        <v>22</v>
      </c>
      <c r="F2492" s="30">
        <v>45747</v>
      </c>
      <c r="G2492" t="s">
        <v>2164</v>
      </c>
      <c r="H2492" t="s">
        <v>4566</v>
      </c>
      <c r="I2492">
        <v>100</v>
      </c>
      <c r="J2492">
        <v>105.7200012207031</v>
      </c>
      <c r="CL2492">
        <v>26.6</v>
      </c>
      <c r="CM2492">
        <v>25.16</v>
      </c>
    </row>
    <row r="2493" spans="1:91" x14ac:dyDescent="0.3">
      <c r="A2493">
        <v>418</v>
      </c>
      <c r="B2493" t="s">
        <v>2155</v>
      </c>
      <c r="C2493" t="s">
        <v>1263</v>
      </c>
      <c r="D2493" t="s">
        <v>21</v>
      </c>
      <c r="E2493" t="s">
        <v>22</v>
      </c>
      <c r="F2493" s="30">
        <v>45747</v>
      </c>
      <c r="G2493" t="s">
        <v>2164</v>
      </c>
      <c r="H2493" t="s">
        <v>4568</v>
      </c>
      <c r="I2493">
        <v>100</v>
      </c>
      <c r="J2493">
        <v>69.279998779296875</v>
      </c>
      <c r="CL2493">
        <v>35</v>
      </c>
      <c r="CM2493">
        <v>50.52</v>
      </c>
    </row>
    <row r="2494" spans="1:91" x14ac:dyDescent="0.3">
      <c r="A2494">
        <v>418</v>
      </c>
      <c r="B2494" t="s">
        <v>2155</v>
      </c>
      <c r="C2494" t="s">
        <v>1263</v>
      </c>
      <c r="D2494" t="s">
        <v>21</v>
      </c>
      <c r="E2494" t="s">
        <v>22</v>
      </c>
      <c r="F2494" s="30">
        <v>45747</v>
      </c>
      <c r="G2494" t="s">
        <v>2164</v>
      </c>
      <c r="H2494" t="s">
        <v>4569</v>
      </c>
      <c r="I2494">
        <v>100</v>
      </c>
      <c r="J2494">
        <v>422.82998657226563</v>
      </c>
      <c r="CL2494">
        <v>20</v>
      </c>
      <c r="CM2494">
        <v>4.7300000000000004</v>
      </c>
    </row>
    <row r="2495" spans="1:91" x14ac:dyDescent="0.3">
      <c r="A2495">
        <v>418</v>
      </c>
      <c r="B2495" t="s">
        <v>2155</v>
      </c>
      <c r="C2495" t="s">
        <v>1263</v>
      </c>
      <c r="D2495" t="s">
        <v>21</v>
      </c>
      <c r="E2495" t="s">
        <v>22</v>
      </c>
      <c r="F2495" s="30">
        <v>45747</v>
      </c>
      <c r="G2495" t="s">
        <v>2164</v>
      </c>
      <c r="H2495" t="s">
        <v>4570</v>
      </c>
      <c r="I2495">
        <v>100</v>
      </c>
      <c r="J2495">
        <v>118.0699996948242</v>
      </c>
      <c r="CL2495">
        <v>38.75</v>
      </c>
      <c r="CM2495">
        <v>32.82</v>
      </c>
    </row>
    <row r="2496" spans="1:91" x14ac:dyDescent="0.3">
      <c r="A2496">
        <v>418</v>
      </c>
      <c r="B2496" t="s">
        <v>2155</v>
      </c>
      <c r="C2496" t="s">
        <v>1263</v>
      </c>
      <c r="D2496" t="s">
        <v>21</v>
      </c>
      <c r="E2496" t="s">
        <v>22</v>
      </c>
      <c r="F2496" s="30">
        <v>45747</v>
      </c>
      <c r="G2496" t="s">
        <v>2164</v>
      </c>
      <c r="H2496" t="s">
        <v>4571</v>
      </c>
      <c r="I2496">
        <v>100</v>
      </c>
      <c r="J2496">
        <v>28.010000228881839</v>
      </c>
      <c r="CL2496">
        <v>6.33</v>
      </c>
      <c r="CM2496">
        <v>22.6</v>
      </c>
    </row>
    <row r="2497" spans="1:98" x14ac:dyDescent="0.3">
      <c r="A2497">
        <v>418</v>
      </c>
      <c r="B2497" t="s">
        <v>2155</v>
      </c>
      <c r="C2497" t="s">
        <v>1263</v>
      </c>
      <c r="D2497" t="s">
        <v>21</v>
      </c>
      <c r="E2497" t="s">
        <v>22</v>
      </c>
      <c r="F2497" s="30">
        <v>45747</v>
      </c>
      <c r="G2497" t="s">
        <v>2164</v>
      </c>
      <c r="H2497" t="s">
        <v>4572</v>
      </c>
      <c r="I2497">
        <v>100</v>
      </c>
      <c r="J2497">
        <v>129.4100036621094</v>
      </c>
      <c r="CL2497">
        <v>37.75</v>
      </c>
      <c r="CM2497">
        <v>29.17</v>
      </c>
    </row>
    <row r="2498" spans="1:98" x14ac:dyDescent="0.3">
      <c r="A2498">
        <v>418</v>
      </c>
      <c r="B2498" t="s">
        <v>2155</v>
      </c>
      <c r="C2498" t="s">
        <v>1263</v>
      </c>
      <c r="D2498" t="s">
        <v>21</v>
      </c>
      <c r="E2498" t="s">
        <v>22</v>
      </c>
      <c r="F2498" s="30">
        <v>45747</v>
      </c>
      <c r="G2498" t="s">
        <v>2164</v>
      </c>
      <c r="H2498" t="s">
        <v>4573</v>
      </c>
      <c r="I2498">
        <v>100</v>
      </c>
      <c r="J2498">
        <v>35.139999389648438</v>
      </c>
      <c r="CL2498">
        <v>15.6</v>
      </c>
      <c r="CM2498">
        <v>44.39</v>
      </c>
    </row>
    <row r="2499" spans="1:98" x14ac:dyDescent="0.3">
      <c r="A2499">
        <v>418</v>
      </c>
      <c r="B2499" t="s">
        <v>2155</v>
      </c>
      <c r="C2499" t="s">
        <v>1263</v>
      </c>
      <c r="D2499" t="s">
        <v>21</v>
      </c>
      <c r="E2499" t="s">
        <v>22</v>
      </c>
      <c r="F2499" s="30">
        <v>45747</v>
      </c>
      <c r="G2499" t="s">
        <v>2164</v>
      </c>
      <c r="H2499" t="s">
        <v>4528</v>
      </c>
      <c r="I2499">
        <v>100</v>
      </c>
      <c r="J2499">
        <v>136.8800048828125</v>
      </c>
      <c r="CL2499">
        <v>35.11</v>
      </c>
      <c r="CM2499">
        <v>25.65</v>
      </c>
    </row>
    <row r="2500" spans="1:98" x14ac:dyDescent="0.3">
      <c r="A2500">
        <v>418</v>
      </c>
      <c r="B2500" t="s">
        <v>2155</v>
      </c>
      <c r="C2500" t="s">
        <v>1263</v>
      </c>
      <c r="D2500" t="s">
        <v>21</v>
      </c>
      <c r="E2500" t="s">
        <v>22</v>
      </c>
      <c r="F2500" s="30">
        <v>45747</v>
      </c>
      <c r="G2500" t="s">
        <v>2164</v>
      </c>
      <c r="H2500" t="s">
        <v>4567</v>
      </c>
      <c r="I2500">
        <v>100</v>
      </c>
      <c r="J2500">
        <v>1175</v>
      </c>
      <c r="CL2500">
        <v>11.75</v>
      </c>
      <c r="CM2500">
        <v>1</v>
      </c>
    </row>
    <row r="2501" spans="1:98" x14ac:dyDescent="0.3">
      <c r="A2501">
        <v>420</v>
      </c>
      <c r="B2501" t="s">
        <v>2172</v>
      </c>
      <c r="C2501" t="s">
        <v>1263</v>
      </c>
      <c r="D2501" t="s">
        <v>21</v>
      </c>
      <c r="E2501" t="s">
        <v>22</v>
      </c>
      <c r="F2501" s="30">
        <v>45747</v>
      </c>
      <c r="G2501" t="s">
        <v>2181</v>
      </c>
      <c r="H2501" t="s">
        <v>4574</v>
      </c>
      <c r="I2501">
        <v>100</v>
      </c>
      <c r="J2501">
        <v>129.6600036621094</v>
      </c>
      <c r="CN2501">
        <v>32.04</v>
      </c>
      <c r="CO2501">
        <v>24.71</v>
      </c>
    </row>
    <row r="2502" spans="1:98" x14ac:dyDescent="0.3">
      <c r="A2502">
        <v>420</v>
      </c>
      <c r="B2502" t="s">
        <v>2172</v>
      </c>
      <c r="C2502" t="s">
        <v>1263</v>
      </c>
      <c r="D2502" t="s">
        <v>21</v>
      </c>
      <c r="E2502" t="s">
        <v>22</v>
      </c>
      <c r="F2502" s="30">
        <v>45747</v>
      </c>
      <c r="G2502" t="s">
        <v>2181</v>
      </c>
      <c r="H2502" t="s">
        <v>4575</v>
      </c>
      <c r="I2502">
        <v>100</v>
      </c>
      <c r="J2502">
        <v>122.0400009155273</v>
      </c>
      <c r="CN2502">
        <v>22.81</v>
      </c>
      <c r="CO2502">
        <v>18.690000000000001</v>
      </c>
    </row>
    <row r="2503" spans="1:98" x14ac:dyDescent="0.3">
      <c r="A2503">
        <v>420</v>
      </c>
      <c r="B2503" t="s">
        <v>2172</v>
      </c>
      <c r="C2503" t="s">
        <v>1263</v>
      </c>
      <c r="D2503" t="s">
        <v>21</v>
      </c>
      <c r="E2503" t="s">
        <v>22</v>
      </c>
      <c r="F2503" s="30">
        <v>45747</v>
      </c>
      <c r="G2503" t="s">
        <v>2181</v>
      </c>
      <c r="H2503" t="s">
        <v>4576</v>
      </c>
      <c r="I2503">
        <v>100</v>
      </c>
      <c r="J2503">
        <v>142.2200012207031</v>
      </c>
      <c r="CN2503">
        <v>32</v>
      </c>
      <c r="CO2503">
        <v>22.5</v>
      </c>
    </row>
    <row r="2504" spans="1:98" x14ac:dyDescent="0.3">
      <c r="A2504">
        <v>420</v>
      </c>
      <c r="B2504" t="s">
        <v>2172</v>
      </c>
      <c r="C2504" t="s">
        <v>1263</v>
      </c>
      <c r="D2504" t="s">
        <v>21</v>
      </c>
      <c r="E2504" t="s">
        <v>22</v>
      </c>
      <c r="F2504" s="30">
        <v>45747</v>
      </c>
      <c r="G2504" t="s">
        <v>2181</v>
      </c>
      <c r="H2504" t="s">
        <v>4577</v>
      </c>
      <c r="I2504">
        <v>100</v>
      </c>
      <c r="J2504">
        <v>113.7600021362305</v>
      </c>
      <c r="CN2504">
        <v>11.16</v>
      </c>
      <c r="CO2504">
        <v>9.81</v>
      </c>
    </row>
    <row r="2505" spans="1:98" x14ac:dyDescent="0.3">
      <c r="A2505">
        <v>420</v>
      </c>
      <c r="B2505" t="s">
        <v>2172</v>
      </c>
      <c r="C2505" t="s">
        <v>1263</v>
      </c>
      <c r="D2505" t="s">
        <v>21</v>
      </c>
      <c r="E2505" t="s">
        <v>22</v>
      </c>
      <c r="F2505" s="30">
        <v>45747</v>
      </c>
      <c r="G2505" t="s">
        <v>2181</v>
      </c>
      <c r="H2505" t="s">
        <v>4578</v>
      </c>
      <c r="I2505">
        <v>100</v>
      </c>
      <c r="J2505">
        <v>111.34999847412109</v>
      </c>
      <c r="CN2505">
        <v>40.92</v>
      </c>
      <c r="CO2505">
        <v>36.75</v>
      </c>
    </row>
    <row r="2506" spans="1:98" x14ac:dyDescent="0.3">
      <c r="A2506">
        <v>420</v>
      </c>
      <c r="B2506" t="s">
        <v>2172</v>
      </c>
      <c r="C2506" t="s">
        <v>1263</v>
      </c>
      <c r="D2506" t="s">
        <v>21</v>
      </c>
      <c r="E2506" t="s">
        <v>22</v>
      </c>
      <c r="F2506" s="30">
        <v>45747</v>
      </c>
      <c r="G2506" t="s">
        <v>2181</v>
      </c>
      <c r="H2506" t="s">
        <v>2703</v>
      </c>
      <c r="I2506">
        <v>100</v>
      </c>
      <c r="J2506">
        <v>114.1600036621094</v>
      </c>
      <c r="CN2506">
        <v>10</v>
      </c>
      <c r="CO2506">
        <v>8.76</v>
      </c>
    </row>
    <row r="2507" spans="1:98" x14ac:dyDescent="0.3">
      <c r="A2507">
        <v>432</v>
      </c>
      <c r="B2507" t="s">
        <v>2247</v>
      </c>
      <c r="C2507" t="s">
        <v>138</v>
      </c>
      <c r="D2507" t="s">
        <v>21</v>
      </c>
      <c r="E2507" t="s">
        <v>22</v>
      </c>
      <c r="F2507" s="30">
        <v>45747</v>
      </c>
      <c r="G2507" t="s">
        <v>2256</v>
      </c>
      <c r="H2507" t="s">
        <v>4583</v>
      </c>
      <c r="I2507">
        <v>90</v>
      </c>
      <c r="J2507">
        <v>100</v>
      </c>
      <c r="CS2507">
        <v>7</v>
      </c>
      <c r="CT2507">
        <v>7</v>
      </c>
    </row>
    <row r="2508" spans="1:98" x14ac:dyDescent="0.3">
      <c r="A2508">
        <v>432</v>
      </c>
      <c r="B2508" t="s">
        <v>2247</v>
      </c>
      <c r="C2508" t="s">
        <v>138</v>
      </c>
      <c r="D2508" t="s">
        <v>21</v>
      </c>
      <c r="E2508" t="s">
        <v>22</v>
      </c>
      <c r="F2508" s="30">
        <v>45747</v>
      </c>
      <c r="G2508" t="s">
        <v>2256</v>
      </c>
      <c r="H2508" t="s">
        <v>4584</v>
      </c>
      <c r="I2508">
        <v>90</v>
      </c>
      <c r="J2508">
        <v>100</v>
      </c>
      <c r="CS2508">
        <v>7</v>
      </c>
      <c r="CT2508">
        <v>7</v>
      </c>
    </row>
    <row r="2509" spans="1:98" x14ac:dyDescent="0.3">
      <c r="A2509">
        <v>432</v>
      </c>
      <c r="B2509" t="s">
        <v>2247</v>
      </c>
      <c r="C2509" t="s">
        <v>138</v>
      </c>
      <c r="D2509" t="s">
        <v>21</v>
      </c>
      <c r="E2509" t="s">
        <v>22</v>
      </c>
      <c r="F2509" s="30">
        <v>45747</v>
      </c>
      <c r="G2509" t="s">
        <v>2256</v>
      </c>
      <c r="H2509" t="s">
        <v>4585</v>
      </c>
      <c r="I2509">
        <v>90</v>
      </c>
      <c r="J2509">
        <v>100</v>
      </c>
      <c r="CS2509">
        <v>7</v>
      </c>
      <c r="CT2509">
        <v>7</v>
      </c>
    </row>
    <row r="2510" spans="1:98" x14ac:dyDescent="0.3">
      <c r="A2510">
        <v>432</v>
      </c>
      <c r="B2510" t="s">
        <v>2247</v>
      </c>
      <c r="C2510" t="s">
        <v>138</v>
      </c>
      <c r="D2510" t="s">
        <v>21</v>
      </c>
      <c r="E2510" t="s">
        <v>22</v>
      </c>
      <c r="F2510" s="30">
        <v>45747</v>
      </c>
      <c r="G2510" t="s">
        <v>2256</v>
      </c>
      <c r="H2510" t="s">
        <v>4586</v>
      </c>
      <c r="I2510">
        <v>90</v>
      </c>
      <c r="J2510">
        <v>100</v>
      </c>
      <c r="CS2510">
        <v>10</v>
      </c>
      <c r="CT2510">
        <v>10</v>
      </c>
    </row>
    <row r="2511" spans="1:98" x14ac:dyDescent="0.3">
      <c r="A2511">
        <v>432</v>
      </c>
      <c r="B2511" t="s">
        <v>2247</v>
      </c>
      <c r="C2511" t="s">
        <v>138</v>
      </c>
      <c r="D2511" t="s">
        <v>21</v>
      </c>
      <c r="E2511" t="s">
        <v>22</v>
      </c>
      <c r="F2511" s="30">
        <v>45747</v>
      </c>
      <c r="G2511" t="s">
        <v>2256</v>
      </c>
      <c r="H2511" t="s">
        <v>4588</v>
      </c>
      <c r="I2511">
        <v>90</v>
      </c>
      <c r="J2511">
        <v>100</v>
      </c>
      <c r="CS2511">
        <v>4</v>
      </c>
      <c r="CT2511">
        <v>4</v>
      </c>
    </row>
    <row r="2512" spans="1:98" x14ac:dyDescent="0.3">
      <c r="A2512">
        <v>432</v>
      </c>
      <c r="B2512" t="s">
        <v>2247</v>
      </c>
      <c r="C2512" t="s">
        <v>138</v>
      </c>
      <c r="D2512" t="s">
        <v>21</v>
      </c>
      <c r="E2512" t="s">
        <v>22</v>
      </c>
      <c r="F2512" s="30">
        <v>45747</v>
      </c>
      <c r="G2512" t="s">
        <v>2256</v>
      </c>
      <c r="H2512" t="s">
        <v>4589</v>
      </c>
      <c r="I2512">
        <v>90</v>
      </c>
      <c r="J2512">
        <v>100</v>
      </c>
      <c r="CS2512">
        <v>2</v>
      </c>
      <c r="CT2512">
        <v>2</v>
      </c>
    </row>
    <row r="2513" spans="1:132" x14ac:dyDescent="0.3">
      <c r="A2513">
        <v>432</v>
      </c>
      <c r="B2513" t="s">
        <v>2247</v>
      </c>
      <c r="C2513" t="s">
        <v>138</v>
      </c>
      <c r="D2513" t="s">
        <v>21</v>
      </c>
      <c r="E2513" t="s">
        <v>22</v>
      </c>
      <c r="F2513" s="30">
        <v>45747</v>
      </c>
      <c r="G2513" t="s">
        <v>2256</v>
      </c>
      <c r="H2513" t="s">
        <v>4590</v>
      </c>
      <c r="I2513">
        <v>90</v>
      </c>
      <c r="J2513">
        <v>100</v>
      </c>
      <c r="CS2513">
        <v>1</v>
      </c>
      <c r="CT2513">
        <v>1</v>
      </c>
    </row>
    <row r="2514" spans="1:132" x14ac:dyDescent="0.3">
      <c r="A2514">
        <v>432</v>
      </c>
      <c r="B2514" t="s">
        <v>2247</v>
      </c>
      <c r="C2514" t="s">
        <v>138</v>
      </c>
      <c r="D2514" t="s">
        <v>21</v>
      </c>
      <c r="E2514" t="s">
        <v>22</v>
      </c>
      <c r="F2514" s="30">
        <v>45747</v>
      </c>
      <c r="G2514" t="s">
        <v>2256</v>
      </c>
      <c r="H2514" t="s">
        <v>4591</v>
      </c>
      <c r="I2514">
        <v>90</v>
      </c>
      <c r="J2514">
        <v>100</v>
      </c>
      <c r="CS2514">
        <v>20</v>
      </c>
      <c r="CT2514">
        <v>20</v>
      </c>
    </row>
    <row r="2515" spans="1:132" x14ac:dyDescent="0.3">
      <c r="A2515">
        <v>432</v>
      </c>
      <c r="B2515" t="s">
        <v>2247</v>
      </c>
      <c r="C2515" t="s">
        <v>138</v>
      </c>
      <c r="D2515" t="s">
        <v>21</v>
      </c>
      <c r="E2515" t="s">
        <v>22</v>
      </c>
      <c r="F2515" s="30">
        <v>45747</v>
      </c>
      <c r="G2515" t="s">
        <v>2256</v>
      </c>
      <c r="H2515" t="s">
        <v>4587</v>
      </c>
      <c r="I2515">
        <v>90</v>
      </c>
      <c r="J2515">
        <v>100</v>
      </c>
      <c r="CS2515">
        <v>3</v>
      </c>
      <c r="CT2515">
        <v>3</v>
      </c>
    </row>
    <row r="2516" spans="1:132" x14ac:dyDescent="0.3">
      <c r="A2516">
        <v>456</v>
      </c>
      <c r="B2516" t="s">
        <v>2419</v>
      </c>
      <c r="C2516" t="s">
        <v>207</v>
      </c>
      <c r="D2516" t="s">
        <v>21</v>
      </c>
      <c r="E2516" t="s">
        <v>22</v>
      </c>
      <c r="F2516" s="30">
        <v>45747</v>
      </c>
      <c r="G2516" t="s">
        <v>2422</v>
      </c>
      <c r="H2516" t="s">
        <v>4511</v>
      </c>
      <c r="I2516">
        <v>100</v>
      </c>
      <c r="J2516">
        <v>105.7099990844727</v>
      </c>
      <c r="DY2516">
        <v>70</v>
      </c>
      <c r="DZ2516">
        <v>74</v>
      </c>
    </row>
    <row r="2517" spans="1:132" x14ac:dyDescent="0.3">
      <c r="A2517">
        <v>456</v>
      </c>
      <c r="B2517" t="s">
        <v>2419</v>
      </c>
      <c r="C2517" t="s">
        <v>207</v>
      </c>
      <c r="D2517" t="s">
        <v>21</v>
      </c>
      <c r="E2517" t="s">
        <v>22</v>
      </c>
      <c r="F2517" s="30">
        <v>45747</v>
      </c>
      <c r="G2517" t="s">
        <v>2422</v>
      </c>
      <c r="H2517" t="s">
        <v>4512</v>
      </c>
      <c r="I2517">
        <v>100</v>
      </c>
      <c r="J2517">
        <v>110</v>
      </c>
      <c r="DY2517">
        <v>20</v>
      </c>
      <c r="DZ2517">
        <v>22</v>
      </c>
    </row>
    <row r="2518" spans="1:132" x14ac:dyDescent="0.3">
      <c r="A2518">
        <v>456</v>
      </c>
      <c r="B2518" t="s">
        <v>2419</v>
      </c>
      <c r="C2518" t="s">
        <v>207</v>
      </c>
      <c r="D2518" t="s">
        <v>21</v>
      </c>
      <c r="E2518" t="s">
        <v>22</v>
      </c>
      <c r="F2518" s="30">
        <v>45747</v>
      </c>
      <c r="G2518" t="s">
        <v>2422</v>
      </c>
      <c r="H2518" t="s">
        <v>4636</v>
      </c>
      <c r="I2518">
        <v>100</v>
      </c>
      <c r="J2518">
        <v>104.5500030517578</v>
      </c>
      <c r="DY2518">
        <v>22</v>
      </c>
      <c r="DZ2518">
        <v>23</v>
      </c>
    </row>
    <row r="2519" spans="1:132" x14ac:dyDescent="0.3">
      <c r="A2519">
        <v>457</v>
      </c>
      <c r="B2519" t="s">
        <v>2426</v>
      </c>
      <c r="C2519" t="s">
        <v>207</v>
      </c>
      <c r="D2519" t="s">
        <v>21</v>
      </c>
      <c r="E2519" t="s">
        <v>22</v>
      </c>
      <c r="F2519" s="30">
        <v>45747</v>
      </c>
      <c r="G2519" t="s">
        <v>2429</v>
      </c>
      <c r="H2519" t="s">
        <v>4511</v>
      </c>
      <c r="I2519">
        <v>100</v>
      </c>
      <c r="J2519">
        <v>300</v>
      </c>
      <c r="EA2519">
        <v>2</v>
      </c>
      <c r="EB2519">
        <v>6</v>
      </c>
    </row>
    <row r="2520" spans="1:132" x14ac:dyDescent="0.3">
      <c r="A2520">
        <v>457</v>
      </c>
      <c r="B2520" t="s">
        <v>2426</v>
      </c>
      <c r="C2520" t="s">
        <v>207</v>
      </c>
      <c r="D2520" t="s">
        <v>21</v>
      </c>
      <c r="E2520" t="s">
        <v>22</v>
      </c>
      <c r="F2520" s="30">
        <v>45747</v>
      </c>
      <c r="G2520" t="s">
        <v>2429</v>
      </c>
      <c r="H2520" t="s">
        <v>4512</v>
      </c>
      <c r="I2520">
        <v>100</v>
      </c>
      <c r="J2520">
        <v>200</v>
      </c>
      <c r="EA2520">
        <v>3</v>
      </c>
      <c r="EB2520">
        <v>6</v>
      </c>
    </row>
    <row r="2521" spans="1:132" x14ac:dyDescent="0.3">
      <c r="A2521">
        <v>457</v>
      </c>
      <c r="B2521" t="s">
        <v>2426</v>
      </c>
      <c r="C2521" t="s">
        <v>207</v>
      </c>
      <c r="D2521" t="s">
        <v>21</v>
      </c>
      <c r="E2521" t="s">
        <v>22</v>
      </c>
      <c r="F2521" s="30">
        <v>45747</v>
      </c>
      <c r="G2521" t="s">
        <v>2429</v>
      </c>
      <c r="H2521" t="s">
        <v>4636</v>
      </c>
      <c r="I2521">
        <v>100</v>
      </c>
      <c r="J2521">
        <v>100</v>
      </c>
      <c r="EA2521">
        <v>2</v>
      </c>
      <c r="EB2521">
        <v>2</v>
      </c>
    </row>
    <row r="2522" spans="1:132" x14ac:dyDescent="0.3">
      <c r="A2522">
        <v>469</v>
      </c>
      <c r="B2522" t="s">
        <v>2168</v>
      </c>
      <c r="C2522" t="s">
        <v>1263</v>
      </c>
      <c r="D2522" t="s">
        <v>21</v>
      </c>
      <c r="E2522" t="s">
        <v>22</v>
      </c>
      <c r="F2522" s="30">
        <v>45747</v>
      </c>
      <c r="G2522" t="s">
        <v>2461</v>
      </c>
      <c r="H2522" t="s">
        <v>4612</v>
      </c>
      <c r="I2522">
        <v>100</v>
      </c>
      <c r="J2522">
        <v>132.08000183105469</v>
      </c>
      <c r="DF2522">
        <v>27.5</v>
      </c>
      <c r="DG2522">
        <v>20.82</v>
      </c>
    </row>
    <row r="2523" spans="1:132" x14ac:dyDescent="0.3">
      <c r="A2523">
        <v>469</v>
      </c>
      <c r="B2523" t="s">
        <v>2168</v>
      </c>
      <c r="C2523" t="s">
        <v>1263</v>
      </c>
      <c r="D2523" t="s">
        <v>21</v>
      </c>
      <c r="E2523" t="s">
        <v>22</v>
      </c>
      <c r="F2523" s="30">
        <v>45747</v>
      </c>
      <c r="G2523" t="s">
        <v>2461</v>
      </c>
      <c r="H2523" t="s">
        <v>4617</v>
      </c>
      <c r="I2523">
        <v>100</v>
      </c>
      <c r="J2523">
        <v>186.49000549316409</v>
      </c>
      <c r="DF2523">
        <v>19.600000000000001</v>
      </c>
      <c r="DG2523">
        <v>10.51</v>
      </c>
    </row>
    <row r="2524" spans="1:132" x14ac:dyDescent="0.3">
      <c r="A2524">
        <v>469</v>
      </c>
      <c r="B2524" t="s">
        <v>2168</v>
      </c>
      <c r="C2524" t="s">
        <v>1263</v>
      </c>
      <c r="D2524" t="s">
        <v>21</v>
      </c>
      <c r="E2524" t="s">
        <v>22</v>
      </c>
      <c r="F2524" s="30">
        <v>45747</v>
      </c>
      <c r="G2524" t="s">
        <v>2461</v>
      </c>
      <c r="H2524" t="s">
        <v>4614</v>
      </c>
      <c r="I2524">
        <v>100</v>
      </c>
      <c r="J2524">
        <v>86.629997253417969</v>
      </c>
      <c r="DF2524">
        <v>18.600000000000001</v>
      </c>
      <c r="DG2524">
        <v>21.47</v>
      </c>
    </row>
    <row r="2525" spans="1:132" x14ac:dyDescent="0.3">
      <c r="A2525">
        <v>469</v>
      </c>
      <c r="B2525" t="s">
        <v>2168</v>
      </c>
      <c r="C2525" t="s">
        <v>1263</v>
      </c>
      <c r="D2525" t="s">
        <v>21</v>
      </c>
      <c r="E2525" t="s">
        <v>22</v>
      </c>
      <c r="F2525" s="30">
        <v>45747</v>
      </c>
      <c r="G2525" t="s">
        <v>2461</v>
      </c>
      <c r="H2525" t="s">
        <v>4609</v>
      </c>
      <c r="I2525">
        <v>100</v>
      </c>
      <c r="J2525">
        <v>149.8500061035156</v>
      </c>
      <c r="DF2525">
        <v>40.369999999999997</v>
      </c>
      <c r="DG2525">
        <v>26.94</v>
      </c>
    </row>
    <row r="2526" spans="1:132" x14ac:dyDescent="0.3">
      <c r="A2526">
        <v>469</v>
      </c>
      <c r="B2526" t="s">
        <v>2168</v>
      </c>
      <c r="C2526" t="s">
        <v>1263</v>
      </c>
      <c r="D2526" t="s">
        <v>21</v>
      </c>
      <c r="E2526" t="s">
        <v>22</v>
      </c>
      <c r="F2526" s="30">
        <v>45747</v>
      </c>
      <c r="G2526" t="s">
        <v>2461</v>
      </c>
      <c r="H2526" t="s">
        <v>4616</v>
      </c>
      <c r="I2526">
        <v>100</v>
      </c>
      <c r="J2526">
        <v>149.16999816894531</v>
      </c>
      <c r="DF2526">
        <v>26</v>
      </c>
      <c r="DG2526">
        <v>17.43</v>
      </c>
    </row>
    <row r="2527" spans="1:132" x14ac:dyDescent="0.3">
      <c r="A2527">
        <v>469</v>
      </c>
      <c r="B2527" t="s">
        <v>2168</v>
      </c>
      <c r="C2527" t="s">
        <v>1263</v>
      </c>
      <c r="D2527" t="s">
        <v>21</v>
      </c>
      <c r="E2527" t="s">
        <v>22</v>
      </c>
      <c r="F2527" s="30">
        <v>45747</v>
      </c>
      <c r="G2527" t="s">
        <v>2461</v>
      </c>
      <c r="H2527" t="s">
        <v>4613</v>
      </c>
      <c r="I2527">
        <v>100</v>
      </c>
      <c r="J2527">
        <v>114.94000244140619</v>
      </c>
      <c r="DF2527">
        <v>21</v>
      </c>
      <c r="DG2527">
        <v>18.27</v>
      </c>
    </row>
    <row r="2528" spans="1:132" x14ac:dyDescent="0.3">
      <c r="A2528">
        <v>469</v>
      </c>
      <c r="B2528" t="s">
        <v>2168</v>
      </c>
      <c r="C2528" t="s">
        <v>1263</v>
      </c>
      <c r="D2528" t="s">
        <v>21</v>
      </c>
      <c r="E2528" t="s">
        <v>22</v>
      </c>
      <c r="F2528" s="30">
        <v>45747</v>
      </c>
      <c r="G2528" t="s">
        <v>2461</v>
      </c>
      <c r="H2528" t="s">
        <v>4611</v>
      </c>
      <c r="I2528">
        <v>100</v>
      </c>
      <c r="J2528">
        <v>93.989997863769531</v>
      </c>
      <c r="DF2528">
        <v>27.86</v>
      </c>
      <c r="DG2528">
        <v>29.64</v>
      </c>
    </row>
    <row r="2529" spans="1:145" x14ac:dyDescent="0.3">
      <c r="A2529">
        <v>469</v>
      </c>
      <c r="B2529" t="s">
        <v>2168</v>
      </c>
      <c r="C2529" t="s">
        <v>1263</v>
      </c>
      <c r="D2529" t="s">
        <v>21</v>
      </c>
      <c r="E2529" t="s">
        <v>22</v>
      </c>
      <c r="F2529" s="30">
        <v>45747</v>
      </c>
      <c r="G2529" t="s">
        <v>2461</v>
      </c>
      <c r="H2529" t="s">
        <v>4615</v>
      </c>
      <c r="I2529">
        <v>100</v>
      </c>
      <c r="J2529">
        <v>30.020000457763668</v>
      </c>
      <c r="DF2529">
        <v>6.25</v>
      </c>
      <c r="DG2529">
        <v>20.82</v>
      </c>
    </row>
    <row r="2530" spans="1:145" x14ac:dyDescent="0.3">
      <c r="A2530">
        <v>469</v>
      </c>
      <c r="B2530" t="s">
        <v>2168</v>
      </c>
      <c r="C2530" t="s">
        <v>1263</v>
      </c>
      <c r="D2530" t="s">
        <v>21</v>
      </c>
      <c r="E2530" t="s">
        <v>22</v>
      </c>
      <c r="F2530" s="30">
        <v>45747</v>
      </c>
      <c r="G2530" t="s">
        <v>2461</v>
      </c>
      <c r="H2530" t="s">
        <v>4610</v>
      </c>
      <c r="I2530">
        <v>100</v>
      </c>
      <c r="J2530">
        <v>119.120002746582</v>
      </c>
      <c r="DF2530">
        <v>19.5</v>
      </c>
      <c r="DG2530">
        <v>16.37</v>
      </c>
    </row>
    <row r="2531" spans="1:145" x14ac:dyDescent="0.3">
      <c r="A2531">
        <v>470</v>
      </c>
      <c r="B2531" t="s">
        <v>2465</v>
      </c>
      <c r="C2531" t="s">
        <v>1263</v>
      </c>
      <c r="D2531" t="s">
        <v>21</v>
      </c>
      <c r="E2531" t="s">
        <v>22</v>
      </c>
      <c r="F2531" s="30">
        <v>45747</v>
      </c>
      <c r="G2531" t="s">
        <v>2470</v>
      </c>
      <c r="H2531" t="s">
        <v>4621</v>
      </c>
      <c r="I2531">
        <v>100</v>
      </c>
      <c r="J2531">
        <v>355.08999633789063</v>
      </c>
      <c r="DH2531">
        <v>34.159999999999997</v>
      </c>
      <c r="DI2531">
        <v>9.6199999999999992</v>
      </c>
    </row>
    <row r="2532" spans="1:145" x14ac:dyDescent="0.3">
      <c r="A2532">
        <v>470</v>
      </c>
      <c r="B2532" t="s">
        <v>2465</v>
      </c>
      <c r="C2532" t="s">
        <v>1263</v>
      </c>
      <c r="D2532" t="s">
        <v>21</v>
      </c>
      <c r="E2532" t="s">
        <v>22</v>
      </c>
      <c r="F2532" s="30">
        <v>45747</v>
      </c>
      <c r="G2532" t="s">
        <v>2470</v>
      </c>
      <c r="H2532" t="s">
        <v>4622</v>
      </c>
      <c r="I2532">
        <v>100</v>
      </c>
      <c r="J2532">
        <v>107.55999755859381</v>
      </c>
      <c r="DH2532">
        <v>16.5</v>
      </c>
      <c r="DI2532">
        <v>15.34</v>
      </c>
    </row>
    <row r="2533" spans="1:145" x14ac:dyDescent="0.3">
      <c r="A2533">
        <v>470</v>
      </c>
      <c r="B2533" t="s">
        <v>2465</v>
      </c>
      <c r="C2533" t="s">
        <v>1263</v>
      </c>
      <c r="D2533" t="s">
        <v>21</v>
      </c>
      <c r="E2533" t="s">
        <v>22</v>
      </c>
      <c r="F2533" s="30">
        <v>45747</v>
      </c>
      <c r="G2533" t="s">
        <v>2470</v>
      </c>
      <c r="H2533" t="s">
        <v>4619</v>
      </c>
      <c r="I2533">
        <v>100</v>
      </c>
      <c r="J2533">
        <v>98.169998168945313</v>
      </c>
      <c r="DH2533">
        <v>15</v>
      </c>
      <c r="DI2533">
        <v>15.28</v>
      </c>
    </row>
    <row r="2534" spans="1:145" x14ac:dyDescent="0.3">
      <c r="A2534">
        <v>470</v>
      </c>
      <c r="B2534" t="s">
        <v>2465</v>
      </c>
      <c r="C2534" t="s">
        <v>1263</v>
      </c>
      <c r="D2534" t="s">
        <v>21</v>
      </c>
      <c r="E2534" t="s">
        <v>22</v>
      </c>
      <c r="F2534" s="30">
        <v>45747</v>
      </c>
      <c r="G2534" t="s">
        <v>2470</v>
      </c>
      <c r="H2534" t="s">
        <v>4618</v>
      </c>
      <c r="I2534">
        <v>100</v>
      </c>
      <c r="J2534">
        <v>1095.52001953125</v>
      </c>
      <c r="DH2534">
        <v>85.56</v>
      </c>
      <c r="DI2534">
        <v>7.81</v>
      </c>
    </row>
    <row r="2535" spans="1:145" x14ac:dyDescent="0.3">
      <c r="A2535">
        <v>470</v>
      </c>
      <c r="B2535" t="s">
        <v>2465</v>
      </c>
      <c r="C2535" t="s">
        <v>1263</v>
      </c>
      <c r="D2535" t="s">
        <v>21</v>
      </c>
      <c r="E2535" t="s">
        <v>22</v>
      </c>
      <c r="F2535" s="30">
        <v>45747</v>
      </c>
      <c r="G2535" t="s">
        <v>2470</v>
      </c>
      <c r="H2535" t="s">
        <v>4620</v>
      </c>
      <c r="I2535">
        <v>100</v>
      </c>
      <c r="J2535">
        <v>107.69000244140619</v>
      </c>
      <c r="DH2535">
        <v>14</v>
      </c>
      <c r="DI2535">
        <v>13</v>
      </c>
    </row>
    <row r="2536" spans="1:145" x14ac:dyDescent="0.3">
      <c r="A2536">
        <v>471</v>
      </c>
      <c r="B2536" t="s">
        <v>2474</v>
      </c>
      <c r="C2536" t="s">
        <v>1263</v>
      </c>
      <c r="D2536" t="s">
        <v>21</v>
      </c>
      <c r="E2536" t="s">
        <v>22</v>
      </c>
      <c r="F2536" s="30">
        <v>45747</v>
      </c>
      <c r="G2536" t="s">
        <v>2479</v>
      </c>
      <c r="H2536" t="s">
        <v>4625</v>
      </c>
      <c r="I2536">
        <v>100</v>
      </c>
      <c r="J2536">
        <v>100.4199981689453</v>
      </c>
      <c r="DJ2536">
        <v>33.119999999999997</v>
      </c>
      <c r="DK2536">
        <v>32.979999999999997</v>
      </c>
    </row>
    <row r="2537" spans="1:145" x14ac:dyDescent="0.3">
      <c r="A2537">
        <v>471</v>
      </c>
      <c r="B2537" t="s">
        <v>2474</v>
      </c>
      <c r="C2537" t="s">
        <v>1263</v>
      </c>
      <c r="D2537" t="s">
        <v>21</v>
      </c>
      <c r="E2537" t="s">
        <v>22</v>
      </c>
      <c r="F2537" s="30">
        <v>45747</v>
      </c>
      <c r="G2537" t="s">
        <v>2479</v>
      </c>
      <c r="H2537" t="s">
        <v>4623</v>
      </c>
      <c r="I2537">
        <v>100</v>
      </c>
      <c r="J2537">
        <v>73.410003662109375</v>
      </c>
      <c r="DJ2537">
        <v>22.25</v>
      </c>
      <c r="DK2537">
        <v>30.31</v>
      </c>
    </row>
    <row r="2538" spans="1:145" x14ac:dyDescent="0.3">
      <c r="A2538">
        <v>471</v>
      </c>
      <c r="B2538" t="s">
        <v>2474</v>
      </c>
      <c r="C2538" t="s">
        <v>1263</v>
      </c>
      <c r="D2538" t="s">
        <v>21</v>
      </c>
      <c r="E2538" t="s">
        <v>22</v>
      </c>
      <c r="F2538" s="30">
        <v>45747</v>
      </c>
      <c r="G2538" t="s">
        <v>2479</v>
      </c>
      <c r="H2538" t="s">
        <v>4626</v>
      </c>
      <c r="I2538">
        <v>100</v>
      </c>
      <c r="J2538">
        <v>86.160003662109375</v>
      </c>
      <c r="DJ2538">
        <v>33.75</v>
      </c>
      <c r="DK2538">
        <v>39.17</v>
      </c>
    </row>
    <row r="2539" spans="1:145" x14ac:dyDescent="0.3">
      <c r="A2539">
        <v>471</v>
      </c>
      <c r="B2539" t="s">
        <v>2474</v>
      </c>
      <c r="C2539" t="s">
        <v>1263</v>
      </c>
      <c r="D2539" t="s">
        <v>21</v>
      </c>
      <c r="E2539" t="s">
        <v>22</v>
      </c>
      <c r="F2539" s="30">
        <v>45747</v>
      </c>
      <c r="G2539" t="s">
        <v>2479</v>
      </c>
      <c r="H2539" t="s">
        <v>4627</v>
      </c>
      <c r="I2539">
        <v>100</v>
      </c>
      <c r="J2539">
        <v>57.590000152587891</v>
      </c>
      <c r="DJ2539">
        <v>21.25</v>
      </c>
      <c r="DK2539">
        <v>36.9</v>
      </c>
    </row>
    <row r="2540" spans="1:145" x14ac:dyDescent="0.3">
      <c r="A2540">
        <v>471</v>
      </c>
      <c r="B2540" t="s">
        <v>2474</v>
      </c>
      <c r="C2540" t="s">
        <v>1263</v>
      </c>
      <c r="D2540" t="s">
        <v>21</v>
      </c>
      <c r="E2540" t="s">
        <v>22</v>
      </c>
      <c r="F2540" s="30">
        <v>45747</v>
      </c>
      <c r="G2540" t="s">
        <v>2479</v>
      </c>
      <c r="H2540" t="s">
        <v>4624</v>
      </c>
      <c r="I2540">
        <v>100</v>
      </c>
      <c r="J2540">
        <v>103.5100021362305</v>
      </c>
      <c r="DJ2540">
        <v>24.17</v>
      </c>
      <c r="DK2540">
        <v>23.35</v>
      </c>
    </row>
    <row r="2541" spans="1:145" x14ac:dyDescent="0.3">
      <c r="A2541">
        <v>471</v>
      </c>
      <c r="B2541" t="s">
        <v>2474</v>
      </c>
      <c r="C2541" t="s">
        <v>1263</v>
      </c>
      <c r="D2541" t="s">
        <v>21</v>
      </c>
      <c r="E2541" t="s">
        <v>22</v>
      </c>
      <c r="F2541" s="30">
        <v>45747</v>
      </c>
      <c r="G2541" t="s">
        <v>2479</v>
      </c>
      <c r="H2541" t="s">
        <v>4629</v>
      </c>
      <c r="I2541">
        <v>100</v>
      </c>
      <c r="J2541">
        <v>116.90000152587891</v>
      </c>
      <c r="DJ2541">
        <v>51.11</v>
      </c>
      <c r="DK2541">
        <v>43.72</v>
      </c>
    </row>
    <row r="2542" spans="1:145" x14ac:dyDescent="0.3">
      <c r="A2542">
        <v>471</v>
      </c>
      <c r="B2542" t="s">
        <v>2474</v>
      </c>
      <c r="C2542" t="s">
        <v>1263</v>
      </c>
      <c r="D2542" t="s">
        <v>21</v>
      </c>
      <c r="E2542" t="s">
        <v>22</v>
      </c>
      <c r="F2542" s="30">
        <v>45747</v>
      </c>
      <c r="G2542" t="s">
        <v>2479</v>
      </c>
      <c r="H2542" t="s">
        <v>4628</v>
      </c>
      <c r="I2542">
        <v>100</v>
      </c>
      <c r="J2542">
        <v>186.57000732421881</v>
      </c>
      <c r="DJ2542">
        <v>50</v>
      </c>
      <c r="DK2542">
        <v>26.8</v>
      </c>
    </row>
    <row r="2543" spans="1:145" x14ac:dyDescent="0.3">
      <c r="A2543">
        <v>510</v>
      </c>
      <c r="B2543" t="s">
        <v>2634</v>
      </c>
      <c r="C2543" t="s">
        <v>1490</v>
      </c>
      <c r="D2543" t="s">
        <v>21</v>
      </c>
      <c r="E2543" t="s">
        <v>22</v>
      </c>
      <c r="F2543" s="30">
        <v>45747</v>
      </c>
      <c r="G2543" t="s">
        <v>2635</v>
      </c>
      <c r="H2543" t="s">
        <v>4652</v>
      </c>
      <c r="EL2543">
        <v>0</v>
      </c>
      <c r="EM2543">
        <v>128</v>
      </c>
    </row>
    <row r="2544" spans="1:145" x14ac:dyDescent="0.3">
      <c r="A2544">
        <v>511</v>
      </c>
      <c r="B2544" t="s">
        <v>2639</v>
      </c>
      <c r="C2544" t="s">
        <v>1490</v>
      </c>
      <c r="D2544" t="s">
        <v>21</v>
      </c>
      <c r="E2544" t="s">
        <v>22</v>
      </c>
      <c r="F2544" s="30">
        <v>45747</v>
      </c>
      <c r="G2544" t="s">
        <v>2640</v>
      </c>
      <c r="H2544" t="s">
        <v>4653</v>
      </c>
      <c r="J2544">
        <v>80.849998474121094</v>
      </c>
      <c r="EN2544">
        <v>0</v>
      </c>
      <c r="EO2544">
        <v>0</v>
      </c>
    </row>
    <row r="2545" spans="1:145" x14ac:dyDescent="0.3">
      <c r="A2545">
        <v>511</v>
      </c>
      <c r="B2545" t="s">
        <v>2639</v>
      </c>
      <c r="C2545" t="s">
        <v>1490</v>
      </c>
      <c r="D2545" t="s">
        <v>21</v>
      </c>
      <c r="E2545" t="s">
        <v>22</v>
      </c>
      <c r="F2545" s="30">
        <v>45747</v>
      </c>
      <c r="G2545" t="s">
        <v>2640</v>
      </c>
      <c r="H2545" t="s">
        <v>4654</v>
      </c>
      <c r="J2545">
        <v>100</v>
      </c>
      <c r="EN2545">
        <v>0</v>
      </c>
      <c r="EO2545">
        <v>0</v>
      </c>
    </row>
    <row r="2546" spans="1:145" x14ac:dyDescent="0.3">
      <c r="A2546">
        <v>511</v>
      </c>
      <c r="B2546" t="s">
        <v>2639</v>
      </c>
      <c r="C2546" t="s">
        <v>1490</v>
      </c>
      <c r="D2546" t="s">
        <v>21</v>
      </c>
      <c r="E2546" t="s">
        <v>22</v>
      </c>
      <c r="F2546" s="30">
        <v>45747</v>
      </c>
      <c r="G2546" t="s">
        <v>2640</v>
      </c>
      <c r="H2546" t="s">
        <v>4655</v>
      </c>
      <c r="J2546">
        <v>100</v>
      </c>
      <c r="EN2546">
        <v>0</v>
      </c>
      <c r="EO2546">
        <v>0</v>
      </c>
    </row>
    <row r="2547" spans="1:145" x14ac:dyDescent="0.3">
      <c r="A2547">
        <v>511</v>
      </c>
      <c r="B2547" t="s">
        <v>2639</v>
      </c>
      <c r="C2547" t="s">
        <v>1490</v>
      </c>
      <c r="D2547" t="s">
        <v>21</v>
      </c>
      <c r="E2547" t="s">
        <v>22</v>
      </c>
      <c r="F2547" s="30">
        <v>45747</v>
      </c>
      <c r="G2547" t="s">
        <v>2640</v>
      </c>
      <c r="H2547" t="s">
        <v>4656</v>
      </c>
      <c r="J2547">
        <v>92.860000610351563</v>
      </c>
      <c r="EN2547">
        <v>0</v>
      </c>
      <c r="EO2547">
        <v>0</v>
      </c>
    </row>
    <row r="2548" spans="1:145" x14ac:dyDescent="0.3">
      <c r="A2548">
        <v>511</v>
      </c>
      <c r="B2548" t="s">
        <v>2639</v>
      </c>
      <c r="C2548" t="s">
        <v>1490</v>
      </c>
      <c r="D2548" t="s">
        <v>21</v>
      </c>
      <c r="E2548" t="s">
        <v>22</v>
      </c>
      <c r="F2548" s="30">
        <v>45747</v>
      </c>
      <c r="G2548" t="s">
        <v>2640</v>
      </c>
      <c r="H2548" t="s">
        <v>4657</v>
      </c>
      <c r="J2548">
        <v>0</v>
      </c>
      <c r="EN2548">
        <v>0</v>
      </c>
      <c r="EO2548">
        <v>0</v>
      </c>
    </row>
    <row r="2549" spans="1:145" x14ac:dyDescent="0.3">
      <c r="A2549">
        <v>511</v>
      </c>
      <c r="B2549" t="s">
        <v>2639</v>
      </c>
      <c r="C2549" t="s">
        <v>1490</v>
      </c>
      <c r="D2549" t="s">
        <v>21</v>
      </c>
      <c r="E2549" t="s">
        <v>22</v>
      </c>
      <c r="F2549" s="30">
        <v>45747</v>
      </c>
      <c r="G2549" t="s">
        <v>2640</v>
      </c>
      <c r="H2549" t="s">
        <v>4658</v>
      </c>
      <c r="J2549">
        <v>0</v>
      </c>
      <c r="EN2549">
        <v>0</v>
      </c>
      <c r="EO2549">
        <v>0</v>
      </c>
    </row>
    <row r="2550" spans="1:145" x14ac:dyDescent="0.3">
      <c r="A2550">
        <v>511</v>
      </c>
      <c r="B2550" t="s">
        <v>2639</v>
      </c>
      <c r="C2550" t="s">
        <v>1490</v>
      </c>
      <c r="D2550" t="s">
        <v>21</v>
      </c>
      <c r="E2550" t="s">
        <v>22</v>
      </c>
      <c r="F2550" s="30">
        <v>45747</v>
      </c>
      <c r="G2550" t="s">
        <v>2640</v>
      </c>
      <c r="H2550" t="s">
        <v>4659</v>
      </c>
      <c r="J2550">
        <v>0</v>
      </c>
      <c r="EN2550">
        <v>0</v>
      </c>
      <c r="EO2550">
        <v>0</v>
      </c>
    </row>
    <row r="2551" spans="1:145" x14ac:dyDescent="0.3">
      <c r="A2551">
        <v>208</v>
      </c>
      <c r="B2551" t="s">
        <v>707</v>
      </c>
      <c r="C2551" t="s">
        <v>251</v>
      </c>
      <c r="D2551" t="s">
        <v>73</v>
      </c>
      <c r="E2551" t="s">
        <v>56</v>
      </c>
      <c r="F2551" s="30">
        <v>45777</v>
      </c>
      <c r="G2551" t="s">
        <v>748</v>
      </c>
      <c r="H2551" t="s">
        <v>4468</v>
      </c>
      <c r="I2551">
        <v>950</v>
      </c>
      <c r="J2551">
        <v>653</v>
      </c>
      <c r="K2551">
        <v>653</v>
      </c>
    </row>
    <row r="2552" spans="1:145" x14ac:dyDescent="0.3">
      <c r="A2552">
        <v>208</v>
      </c>
      <c r="B2552" t="s">
        <v>707</v>
      </c>
      <c r="C2552" t="s">
        <v>251</v>
      </c>
      <c r="D2552" t="s">
        <v>73</v>
      </c>
      <c r="E2552" t="s">
        <v>56</v>
      </c>
      <c r="F2552" s="30">
        <v>45777</v>
      </c>
      <c r="G2552" t="s">
        <v>748</v>
      </c>
      <c r="H2552" t="s">
        <v>4470</v>
      </c>
      <c r="I2552">
        <v>350</v>
      </c>
      <c r="J2552">
        <v>371</v>
      </c>
      <c r="K2552">
        <v>371</v>
      </c>
    </row>
    <row r="2553" spans="1:145" x14ac:dyDescent="0.3">
      <c r="A2553">
        <v>208</v>
      </c>
      <c r="B2553" t="s">
        <v>707</v>
      </c>
      <c r="C2553" t="s">
        <v>251</v>
      </c>
      <c r="D2553" t="s">
        <v>73</v>
      </c>
      <c r="E2553" t="s">
        <v>56</v>
      </c>
      <c r="F2553" s="30">
        <v>45777</v>
      </c>
      <c r="G2553" t="s">
        <v>748</v>
      </c>
      <c r="H2553" t="s">
        <v>4477</v>
      </c>
      <c r="I2553">
        <v>25</v>
      </c>
      <c r="J2553">
        <v>20</v>
      </c>
      <c r="K2553">
        <v>20</v>
      </c>
    </row>
    <row r="2554" spans="1:145" x14ac:dyDescent="0.3">
      <c r="A2554">
        <v>208</v>
      </c>
      <c r="B2554" t="s">
        <v>707</v>
      </c>
      <c r="C2554" t="s">
        <v>251</v>
      </c>
      <c r="D2554" t="s">
        <v>73</v>
      </c>
      <c r="E2554" t="s">
        <v>56</v>
      </c>
      <c r="F2554" s="30">
        <v>45777</v>
      </c>
      <c r="G2554" t="s">
        <v>748</v>
      </c>
      <c r="H2554" t="s">
        <v>4469</v>
      </c>
      <c r="I2554">
        <v>200</v>
      </c>
      <c r="J2554">
        <v>211</v>
      </c>
      <c r="K2554">
        <v>211</v>
      </c>
    </row>
    <row r="2555" spans="1:145" x14ac:dyDescent="0.3">
      <c r="A2555">
        <v>208</v>
      </c>
      <c r="B2555" t="s">
        <v>707</v>
      </c>
      <c r="C2555" t="s">
        <v>251</v>
      </c>
      <c r="D2555" t="s">
        <v>73</v>
      </c>
      <c r="E2555" t="s">
        <v>56</v>
      </c>
      <c r="F2555" s="30">
        <v>45777</v>
      </c>
      <c r="G2555" t="s">
        <v>748</v>
      </c>
      <c r="H2555" t="s">
        <v>4476</v>
      </c>
      <c r="I2555">
        <v>0</v>
      </c>
      <c r="J2555">
        <v>0</v>
      </c>
      <c r="K2555">
        <v>0</v>
      </c>
    </row>
    <row r="2556" spans="1:145" x14ac:dyDescent="0.3">
      <c r="A2556">
        <v>208</v>
      </c>
      <c r="B2556" t="s">
        <v>707</v>
      </c>
      <c r="C2556" t="s">
        <v>251</v>
      </c>
      <c r="D2556" t="s">
        <v>73</v>
      </c>
      <c r="E2556" t="s">
        <v>56</v>
      </c>
      <c r="F2556" s="30">
        <v>45777</v>
      </c>
      <c r="G2556" t="s">
        <v>748</v>
      </c>
      <c r="H2556" t="s">
        <v>4478</v>
      </c>
      <c r="I2556">
        <v>25</v>
      </c>
      <c r="J2556">
        <v>16</v>
      </c>
      <c r="K2556">
        <v>16</v>
      </c>
    </row>
    <row r="2557" spans="1:145" x14ac:dyDescent="0.3">
      <c r="A2557">
        <v>214</v>
      </c>
      <c r="B2557" t="s">
        <v>774</v>
      </c>
      <c r="C2557" t="s">
        <v>251</v>
      </c>
      <c r="D2557" t="s">
        <v>73</v>
      </c>
      <c r="E2557" t="s">
        <v>56</v>
      </c>
      <c r="F2557" s="30">
        <v>45777</v>
      </c>
      <c r="G2557" t="s">
        <v>815</v>
      </c>
      <c r="H2557" t="s">
        <v>4470</v>
      </c>
      <c r="I2557">
        <v>1000</v>
      </c>
      <c r="J2557">
        <v>998.42999267578125</v>
      </c>
      <c r="L2557">
        <v>176.66</v>
      </c>
      <c r="M2557">
        <v>821.77</v>
      </c>
    </row>
    <row r="2558" spans="1:145" x14ac:dyDescent="0.3">
      <c r="A2558">
        <v>214</v>
      </c>
      <c r="B2558" t="s">
        <v>774</v>
      </c>
      <c r="C2558" t="s">
        <v>251</v>
      </c>
      <c r="D2558" t="s">
        <v>73</v>
      </c>
      <c r="E2558" t="s">
        <v>56</v>
      </c>
      <c r="F2558" s="30">
        <v>45777</v>
      </c>
      <c r="G2558" t="s">
        <v>815</v>
      </c>
      <c r="H2558" t="s">
        <v>4477</v>
      </c>
      <c r="I2558">
        <v>7500</v>
      </c>
      <c r="J2558">
        <v>110.98000335693359</v>
      </c>
      <c r="L2558">
        <v>47.69</v>
      </c>
      <c r="M2558">
        <v>63.29</v>
      </c>
    </row>
    <row r="2559" spans="1:145" x14ac:dyDescent="0.3">
      <c r="A2559">
        <v>214</v>
      </c>
      <c r="B2559" t="s">
        <v>774</v>
      </c>
      <c r="C2559" t="s">
        <v>251</v>
      </c>
      <c r="D2559" t="s">
        <v>73</v>
      </c>
      <c r="E2559" t="s">
        <v>56</v>
      </c>
      <c r="F2559" s="30">
        <v>45777</v>
      </c>
      <c r="G2559" t="s">
        <v>815</v>
      </c>
      <c r="H2559" t="s">
        <v>4469</v>
      </c>
      <c r="I2559">
        <v>1000</v>
      </c>
      <c r="J2559">
        <v>649.5</v>
      </c>
      <c r="L2559">
        <v>50.4</v>
      </c>
      <c r="M2559">
        <v>599.1</v>
      </c>
    </row>
    <row r="2560" spans="1:145" x14ac:dyDescent="0.3">
      <c r="A2560">
        <v>214</v>
      </c>
      <c r="B2560" t="s">
        <v>774</v>
      </c>
      <c r="C2560" t="s">
        <v>251</v>
      </c>
      <c r="D2560" t="s">
        <v>73</v>
      </c>
      <c r="E2560" t="s">
        <v>56</v>
      </c>
      <c r="F2560" s="30">
        <v>45777</v>
      </c>
      <c r="G2560" t="s">
        <v>815</v>
      </c>
      <c r="H2560" t="s">
        <v>4476</v>
      </c>
      <c r="I2560">
        <v>1</v>
      </c>
      <c r="J2560">
        <v>0</v>
      </c>
      <c r="L2560">
        <v>0</v>
      </c>
      <c r="M2560">
        <v>0</v>
      </c>
    </row>
    <row r="2561" spans="1:46" x14ac:dyDescent="0.3">
      <c r="A2561">
        <v>214</v>
      </c>
      <c r="B2561" t="s">
        <v>774</v>
      </c>
      <c r="C2561" t="s">
        <v>251</v>
      </c>
      <c r="D2561" t="s">
        <v>73</v>
      </c>
      <c r="E2561" t="s">
        <v>56</v>
      </c>
      <c r="F2561" s="30">
        <v>45777</v>
      </c>
      <c r="G2561" t="s">
        <v>815</v>
      </c>
      <c r="H2561" t="s">
        <v>4478</v>
      </c>
      <c r="I2561">
        <v>1</v>
      </c>
      <c r="J2561">
        <v>36.939998626708977</v>
      </c>
      <c r="L2561">
        <v>14.8</v>
      </c>
      <c r="M2561">
        <v>22.14</v>
      </c>
    </row>
    <row r="2562" spans="1:46" x14ac:dyDescent="0.3">
      <c r="A2562">
        <v>214</v>
      </c>
      <c r="B2562" t="s">
        <v>774</v>
      </c>
      <c r="C2562" t="s">
        <v>251</v>
      </c>
      <c r="D2562" t="s">
        <v>73</v>
      </c>
      <c r="E2562" t="s">
        <v>56</v>
      </c>
      <c r="F2562" s="30">
        <v>45777</v>
      </c>
      <c r="G2562" t="s">
        <v>815</v>
      </c>
      <c r="H2562" t="s">
        <v>4468</v>
      </c>
      <c r="I2562">
        <v>5500</v>
      </c>
      <c r="J2562">
        <v>3516.7900390625</v>
      </c>
      <c r="L2562">
        <v>1017.34</v>
      </c>
      <c r="M2562">
        <v>2499.4499999999998</v>
      </c>
    </row>
    <row r="2563" spans="1:46" x14ac:dyDescent="0.3">
      <c r="A2563">
        <v>217</v>
      </c>
      <c r="B2563" t="s">
        <v>840</v>
      </c>
      <c r="C2563" t="s">
        <v>251</v>
      </c>
      <c r="D2563" t="s">
        <v>73</v>
      </c>
      <c r="E2563" t="s">
        <v>22</v>
      </c>
      <c r="F2563" s="30">
        <v>45777</v>
      </c>
      <c r="G2563" t="s">
        <v>879</v>
      </c>
      <c r="H2563" t="s">
        <v>4470</v>
      </c>
      <c r="I2563">
        <v>20</v>
      </c>
      <c r="J2563">
        <v>17.690000534057621</v>
      </c>
      <c r="L2563">
        <v>176.66</v>
      </c>
      <c r="M2563">
        <v>821.77</v>
      </c>
      <c r="AS2563">
        <v>176.66</v>
      </c>
    </row>
    <row r="2564" spans="1:46" x14ac:dyDescent="0.3">
      <c r="A2564">
        <v>217</v>
      </c>
      <c r="B2564" t="s">
        <v>840</v>
      </c>
      <c r="C2564" t="s">
        <v>251</v>
      </c>
      <c r="D2564" t="s">
        <v>73</v>
      </c>
      <c r="E2564" t="s">
        <v>22</v>
      </c>
      <c r="F2564" s="30">
        <v>45777</v>
      </c>
      <c r="G2564" t="s">
        <v>879</v>
      </c>
      <c r="H2564" t="s">
        <v>4477</v>
      </c>
      <c r="I2564">
        <v>20</v>
      </c>
      <c r="J2564">
        <v>42.970001220703118</v>
      </c>
      <c r="L2564">
        <v>47.69</v>
      </c>
      <c r="M2564">
        <v>63.29</v>
      </c>
      <c r="AS2564">
        <v>47.69</v>
      </c>
    </row>
    <row r="2565" spans="1:46" x14ac:dyDescent="0.3">
      <c r="A2565">
        <v>217</v>
      </c>
      <c r="B2565" t="s">
        <v>840</v>
      </c>
      <c r="C2565" t="s">
        <v>251</v>
      </c>
      <c r="D2565" t="s">
        <v>73</v>
      </c>
      <c r="E2565" t="s">
        <v>22</v>
      </c>
      <c r="F2565" s="30">
        <v>45777</v>
      </c>
      <c r="G2565" t="s">
        <v>879</v>
      </c>
      <c r="H2565" t="s">
        <v>4469</v>
      </c>
      <c r="I2565">
        <v>20</v>
      </c>
      <c r="J2565">
        <v>7.7600002288818359</v>
      </c>
      <c r="L2565">
        <v>50.4</v>
      </c>
      <c r="M2565">
        <v>599.1</v>
      </c>
      <c r="AS2565">
        <v>50.4</v>
      </c>
    </row>
    <row r="2566" spans="1:46" x14ac:dyDescent="0.3">
      <c r="A2566">
        <v>217</v>
      </c>
      <c r="B2566" t="s">
        <v>840</v>
      </c>
      <c r="C2566" t="s">
        <v>251</v>
      </c>
      <c r="D2566" t="s">
        <v>73</v>
      </c>
      <c r="E2566" t="s">
        <v>22</v>
      </c>
      <c r="F2566" s="30">
        <v>45777</v>
      </c>
      <c r="G2566" t="s">
        <v>879</v>
      </c>
      <c r="H2566" t="s">
        <v>4476</v>
      </c>
      <c r="I2566">
        <v>20</v>
      </c>
      <c r="J2566">
        <v>0</v>
      </c>
      <c r="L2566">
        <v>0</v>
      </c>
      <c r="M2566">
        <v>0</v>
      </c>
      <c r="AS2566">
        <v>0</v>
      </c>
    </row>
    <row r="2567" spans="1:46" x14ac:dyDescent="0.3">
      <c r="A2567">
        <v>217</v>
      </c>
      <c r="B2567" t="s">
        <v>840</v>
      </c>
      <c r="C2567" t="s">
        <v>251</v>
      </c>
      <c r="D2567" t="s">
        <v>73</v>
      </c>
      <c r="E2567" t="s">
        <v>22</v>
      </c>
      <c r="F2567" s="30">
        <v>45777</v>
      </c>
      <c r="G2567" t="s">
        <v>879</v>
      </c>
      <c r="H2567" t="s">
        <v>4478</v>
      </c>
      <c r="I2567">
        <v>20</v>
      </c>
      <c r="J2567">
        <v>40.060001373291023</v>
      </c>
      <c r="L2567">
        <v>14.8</v>
      </c>
      <c r="M2567">
        <v>22.14</v>
      </c>
      <c r="AS2567">
        <v>14.8</v>
      </c>
    </row>
    <row r="2568" spans="1:46" x14ac:dyDescent="0.3">
      <c r="A2568">
        <v>217</v>
      </c>
      <c r="B2568" t="s">
        <v>840</v>
      </c>
      <c r="C2568" t="s">
        <v>251</v>
      </c>
      <c r="D2568" t="s">
        <v>73</v>
      </c>
      <c r="E2568" t="s">
        <v>22</v>
      </c>
      <c r="F2568" s="30">
        <v>45777</v>
      </c>
      <c r="G2568" t="s">
        <v>879</v>
      </c>
      <c r="H2568" t="s">
        <v>4468</v>
      </c>
      <c r="I2568">
        <v>20</v>
      </c>
      <c r="J2568">
        <v>60.270000457763672</v>
      </c>
      <c r="L2568">
        <v>1017.34</v>
      </c>
      <c r="M2568">
        <v>2499.4499999999998</v>
      </c>
      <c r="AS2568">
        <v>2119.58</v>
      </c>
    </row>
    <row r="2569" spans="1:46" x14ac:dyDescent="0.3">
      <c r="A2569">
        <v>218</v>
      </c>
      <c r="B2569" t="s">
        <v>888</v>
      </c>
      <c r="C2569" t="s">
        <v>251</v>
      </c>
      <c r="D2569" t="s">
        <v>73</v>
      </c>
      <c r="E2569" t="s">
        <v>56</v>
      </c>
      <c r="F2569" s="30">
        <v>45777</v>
      </c>
      <c r="G2569" t="s">
        <v>929</v>
      </c>
      <c r="H2569" t="s">
        <v>4468</v>
      </c>
      <c r="I2569">
        <v>76000</v>
      </c>
      <c r="J2569">
        <v>64284.8515625</v>
      </c>
      <c r="N2569">
        <v>64284.85</v>
      </c>
    </row>
    <row r="2570" spans="1:46" x14ac:dyDescent="0.3">
      <c r="A2570">
        <v>218</v>
      </c>
      <c r="B2570" t="s">
        <v>888</v>
      </c>
      <c r="C2570" t="s">
        <v>251</v>
      </c>
      <c r="D2570" t="s">
        <v>73</v>
      </c>
      <c r="E2570" t="s">
        <v>56</v>
      </c>
      <c r="F2570" s="30">
        <v>45777</v>
      </c>
      <c r="G2570" t="s">
        <v>929</v>
      </c>
      <c r="H2570" t="s">
        <v>4477</v>
      </c>
      <c r="I2570">
        <v>5000</v>
      </c>
      <c r="J2570">
        <v>4020</v>
      </c>
      <c r="N2570">
        <v>4020</v>
      </c>
    </row>
    <row r="2571" spans="1:46" x14ac:dyDescent="0.3">
      <c r="A2571">
        <v>218</v>
      </c>
      <c r="B2571" t="s">
        <v>888</v>
      </c>
      <c r="C2571" t="s">
        <v>251</v>
      </c>
      <c r="D2571" t="s">
        <v>73</v>
      </c>
      <c r="E2571" t="s">
        <v>56</v>
      </c>
      <c r="F2571" s="30">
        <v>45777</v>
      </c>
      <c r="G2571" t="s">
        <v>929</v>
      </c>
      <c r="H2571" t="s">
        <v>4469</v>
      </c>
      <c r="I2571">
        <v>24000</v>
      </c>
      <c r="J2571">
        <v>20556</v>
      </c>
      <c r="N2571">
        <v>20556</v>
      </c>
    </row>
    <row r="2572" spans="1:46" x14ac:dyDescent="0.3">
      <c r="A2572">
        <v>218</v>
      </c>
      <c r="B2572" t="s">
        <v>888</v>
      </c>
      <c r="C2572" t="s">
        <v>251</v>
      </c>
      <c r="D2572" t="s">
        <v>73</v>
      </c>
      <c r="E2572" t="s">
        <v>56</v>
      </c>
      <c r="F2572" s="30">
        <v>45777</v>
      </c>
      <c r="G2572" t="s">
        <v>929</v>
      </c>
      <c r="H2572" t="s">
        <v>4476</v>
      </c>
      <c r="I2572">
        <v>5000</v>
      </c>
      <c r="J2572">
        <v>120</v>
      </c>
      <c r="N2572">
        <v>120</v>
      </c>
    </row>
    <row r="2573" spans="1:46" x14ac:dyDescent="0.3">
      <c r="A2573">
        <v>218</v>
      </c>
      <c r="B2573" t="s">
        <v>888</v>
      </c>
      <c r="C2573" t="s">
        <v>251</v>
      </c>
      <c r="D2573" t="s">
        <v>73</v>
      </c>
      <c r="E2573" t="s">
        <v>56</v>
      </c>
      <c r="F2573" s="30">
        <v>45777</v>
      </c>
      <c r="G2573" t="s">
        <v>929</v>
      </c>
      <c r="H2573" t="s">
        <v>4478</v>
      </c>
      <c r="I2573">
        <v>2000</v>
      </c>
      <c r="J2573">
        <v>2609</v>
      </c>
      <c r="N2573">
        <v>2609</v>
      </c>
    </row>
    <row r="2574" spans="1:46" x14ac:dyDescent="0.3">
      <c r="A2574">
        <v>218</v>
      </c>
      <c r="B2574" t="s">
        <v>888</v>
      </c>
      <c r="C2574" t="s">
        <v>251</v>
      </c>
      <c r="D2574" t="s">
        <v>73</v>
      </c>
      <c r="E2574" t="s">
        <v>56</v>
      </c>
      <c r="F2574" s="30">
        <v>45777</v>
      </c>
      <c r="G2574" t="s">
        <v>929</v>
      </c>
      <c r="H2574" t="s">
        <v>4470</v>
      </c>
      <c r="I2574">
        <v>76000</v>
      </c>
      <c r="J2574">
        <v>47880</v>
      </c>
      <c r="N2574">
        <v>47880</v>
      </c>
    </row>
    <row r="2575" spans="1:46" x14ac:dyDescent="0.3">
      <c r="A2575">
        <v>225</v>
      </c>
      <c r="B2575" t="s">
        <v>976</v>
      </c>
      <c r="C2575" t="s">
        <v>251</v>
      </c>
      <c r="D2575" t="s">
        <v>73</v>
      </c>
      <c r="E2575" t="s">
        <v>22</v>
      </c>
      <c r="F2575" s="30">
        <v>45777</v>
      </c>
      <c r="G2575" t="s">
        <v>1016</v>
      </c>
      <c r="H2575" t="s">
        <v>4468</v>
      </c>
      <c r="I2575">
        <v>1</v>
      </c>
      <c r="J2575">
        <v>8</v>
      </c>
      <c r="AT2575">
        <v>8</v>
      </c>
    </row>
    <row r="2576" spans="1:46" x14ac:dyDescent="0.3">
      <c r="A2576">
        <v>225</v>
      </c>
      <c r="B2576" t="s">
        <v>976</v>
      </c>
      <c r="C2576" t="s">
        <v>251</v>
      </c>
      <c r="D2576" t="s">
        <v>73</v>
      </c>
      <c r="E2576" t="s">
        <v>22</v>
      </c>
      <c r="F2576" s="30">
        <v>45777</v>
      </c>
      <c r="G2576" t="s">
        <v>1016</v>
      </c>
      <c r="H2576" t="s">
        <v>4470</v>
      </c>
      <c r="I2576">
        <v>1</v>
      </c>
      <c r="J2576">
        <v>5</v>
      </c>
      <c r="AT2576">
        <v>5</v>
      </c>
    </row>
    <row r="2577" spans="1:94" x14ac:dyDescent="0.3">
      <c r="A2577">
        <v>225</v>
      </c>
      <c r="B2577" t="s">
        <v>976</v>
      </c>
      <c r="C2577" t="s">
        <v>251</v>
      </c>
      <c r="D2577" t="s">
        <v>73</v>
      </c>
      <c r="E2577" t="s">
        <v>22</v>
      </c>
      <c r="F2577" s="30">
        <v>45777</v>
      </c>
      <c r="G2577" t="s">
        <v>1016</v>
      </c>
      <c r="H2577" t="s">
        <v>4477</v>
      </c>
      <c r="I2577">
        <v>1</v>
      </c>
      <c r="J2577">
        <v>0</v>
      </c>
      <c r="AT2577">
        <v>0</v>
      </c>
    </row>
    <row r="2578" spans="1:94" x14ac:dyDescent="0.3">
      <c r="A2578">
        <v>225</v>
      </c>
      <c r="B2578" t="s">
        <v>976</v>
      </c>
      <c r="C2578" t="s">
        <v>251</v>
      </c>
      <c r="D2578" t="s">
        <v>73</v>
      </c>
      <c r="E2578" t="s">
        <v>22</v>
      </c>
      <c r="F2578" s="30">
        <v>45777</v>
      </c>
      <c r="G2578" t="s">
        <v>1016</v>
      </c>
      <c r="H2578" t="s">
        <v>4469</v>
      </c>
      <c r="I2578">
        <v>1</v>
      </c>
      <c r="J2578">
        <v>10</v>
      </c>
      <c r="AT2578">
        <v>10</v>
      </c>
    </row>
    <row r="2579" spans="1:94" x14ac:dyDescent="0.3">
      <c r="A2579">
        <v>225</v>
      </c>
      <c r="B2579" t="s">
        <v>976</v>
      </c>
      <c r="C2579" t="s">
        <v>251</v>
      </c>
      <c r="D2579" t="s">
        <v>73</v>
      </c>
      <c r="E2579" t="s">
        <v>22</v>
      </c>
      <c r="F2579" s="30">
        <v>45777</v>
      </c>
      <c r="G2579" t="s">
        <v>1016</v>
      </c>
      <c r="H2579" t="s">
        <v>4476</v>
      </c>
      <c r="I2579">
        <v>1</v>
      </c>
      <c r="J2579">
        <v>2</v>
      </c>
      <c r="AT2579">
        <v>2</v>
      </c>
    </row>
    <row r="2580" spans="1:94" x14ac:dyDescent="0.3">
      <c r="A2580">
        <v>225</v>
      </c>
      <c r="B2580" t="s">
        <v>976</v>
      </c>
      <c r="C2580" t="s">
        <v>251</v>
      </c>
      <c r="D2580" t="s">
        <v>73</v>
      </c>
      <c r="E2580" t="s">
        <v>22</v>
      </c>
      <c r="F2580" s="30">
        <v>45777</v>
      </c>
      <c r="G2580" t="s">
        <v>1016</v>
      </c>
      <c r="H2580" t="s">
        <v>4478</v>
      </c>
      <c r="I2580">
        <v>1</v>
      </c>
      <c r="J2580">
        <v>1</v>
      </c>
      <c r="AT2580">
        <v>1</v>
      </c>
    </row>
    <row r="2581" spans="1:94" x14ac:dyDescent="0.3">
      <c r="A2581">
        <v>239</v>
      </c>
      <c r="B2581" t="s">
        <v>1095</v>
      </c>
      <c r="C2581" t="s">
        <v>1096</v>
      </c>
      <c r="D2581" t="s">
        <v>73</v>
      </c>
      <c r="E2581" t="s">
        <v>22</v>
      </c>
      <c r="F2581" s="30">
        <v>45777</v>
      </c>
      <c r="G2581" t="s">
        <v>1135</v>
      </c>
      <c r="H2581" t="s">
        <v>4479</v>
      </c>
      <c r="J2581">
        <v>3</v>
      </c>
      <c r="AU2581">
        <v>3</v>
      </c>
    </row>
    <row r="2582" spans="1:94" x14ac:dyDescent="0.3">
      <c r="A2582">
        <v>239</v>
      </c>
      <c r="B2582" t="s">
        <v>1095</v>
      </c>
      <c r="C2582" t="s">
        <v>1096</v>
      </c>
      <c r="D2582" t="s">
        <v>73</v>
      </c>
      <c r="E2582" t="s">
        <v>22</v>
      </c>
      <c r="F2582" s="30">
        <v>45777</v>
      </c>
      <c r="G2582" t="s">
        <v>1135</v>
      </c>
      <c r="H2582" t="s">
        <v>3622</v>
      </c>
      <c r="J2582">
        <v>11</v>
      </c>
      <c r="AU2582">
        <v>11</v>
      </c>
    </row>
    <row r="2583" spans="1:94" x14ac:dyDescent="0.3">
      <c r="A2583">
        <v>239</v>
      </c>
      <c r="B2583" t="s">
        <v>1095</v>
      </c>
      <c r="C2583" t="s">
        <v>1096</v>
      </c>
      <c r="D2583" t="s">
        <v>73</v>
      </c>
      <c r="E2583" t="s">
        <v>22</v>
      </c>
      <c r="F2583" s="30">
        <v>45777</v>
      </c>
      <c r="G2583" t="s">
        <v>1135</v>
      </c>
      <c r="H2583" t="s">
        <v>4480</v>
      </c>
      <c r="J2583">
        <v>1</v>
      </c>
      <c r="AU2583">
        <v>1</v>
      </c>
    </row>
    <row r="2584" spans="1:94" x14ac:dyDescent="0.3">
      <c r="A2584">
        <v>239</v>
      </c>
      <c r="B2584" t="s">
        <v>1095</v>
      </c>
      <c r="C2584" t="s">
        <v>1096</v>
      </c>
      <c r="D2584" t="s">
        <v>73</v>
      </c>
      <c r="E2584" t="s">
        <v>22</v>
      </c>
      <c r="F2584" s="30">
        <v>45777</v>
      </c>
      <c r="G2584" t="s">
        <v>1135</v>
      </c>
      <c r="H2584" t="s">
        <v>4651</v>
      </c>
      <c r="J2584">
        <v>3</v>
      </c>
      <c r="AU2584">
        <v>3</v>
      </c>
    </row>
    <row r="2585" spans="1:94" x14ac:dyDescent="0.3">
      <c r="A2585">
        <v>239</v>
      </c>
      <c r="B2585" t="s">
        <v>1095</v>
      </c>
      <c r="C2585" t="s">
        <v>1096</v>
      </c>
      <c r="D2585" t="s">
        <v>73</v>
      </c>
      <c r="E2585" t="s">
        <v>22</v>
      </c>
      <c r="F2585" s="30">
        <v>45777</v>
      </c>
      <c r="G2585" t="s">
        <v>1135</v>
      </c>
      <c r="H2585" t="s">
        <v>4481</v>
      </c>
      <c r="J2585">
        <v>22</v>
      </c>
      <c r="AU2585">
        <v>22</v>
      </c>
    </row>
    <row r="2586" spans="1:94" x14ac:dyDescent="0.3">
      <c r="A2586">
        <v>434</v>
      </c>
      <c r="B2586" t="s">
        <v>2267</v>
      </c>
      <c r="C2586" t="s">
        <v>251</v>
      </c>
      <c r="D2586" t="s">
        <v>73</v>
      </c>
      <c r="E2586" t="s">
        <v>56</v>
      </c>
      <c r="F2586" s="30">
        <v>45777</v>
      </c>
      <c r="G2586" t="s">
        <v>2295</v>
      </c>
      <c r="H2586" t="s">
        <v>4468</v>
      </c>
      <c r="I2586">
        <v>100</v>
      </c>
      <c r="J2586">
        <v>118.9599990844727</v>
      </c>
      <c r="AV2586">
        <v>118.96</v>
      </c>
    </row>
    <row r="2587" spans="1:94" x14ac:dyDescent="0.3">
      <c r="A2587">
        <v>434</v>
      </c>
      <c r="B2587" t="s">
        <v>2267</v>
      </c>
      <c r="C2587" t="s">
        <v>251</v>
      </c>
      <c r="D2587" t="s">
        <v>73</v>
      </c>
      <c r="E2587" t="s">
        <v>56</v>
      </c>
      <c r="F2587" s="30">
        <v>45777</v>
      </c>
      <c r="G2587" t="s">
        <v>2295</v>
      </c>
      <c r="H2587" t="s">
        <v>4470</v>
      </c>
      <c r="I2587">
        <v>25</v>
      </c>
      <c r="J2587">
        <v>1.179999947547913</v>
      </c>
      <c r="AV2587">
        <v>1.18</v>
      </c>
    </row>
    <row r="2588" spans="1:94" x14ac:dyDescent="0.3">
      <c r="A2588">
        <v>434</v>
      </c>
      <c r="B2588" t="s">
        <v>2267</v>
      </c>
      <c r="C2588" t="s">
        <v>251</v>
      </c>
      <c r="D2588" t="s">
        <v>73</v>
      </c>
      <c r="E2588" t="s">
        <v>56</v>
      </c>
      <c r="F2588" s="30">
        <v>45777</v>
      </c>
      <c r="G2588" t="s">
        <v>2295</v>
      </c>
      <c r="H2588" t="s">
        <v>4477</v>
      </c>
      <c r="I2588">
        <v>200</v>
      </c>
      <c r="J2588">
        <v>0</v>
      </c>
      <c r="AV2588">
        <v>0</v>
      </c>
    </row>
    <row r="2589" spans="1:94" x14ac:dyDescent="0.3">
      <c r="A2589">
        <v>434</v>
      </c>
      <c r="B2589" t="s">
        <v>2267</v>
      </c>
      <c r="C2589" t="s">
        <v>251</v>
      </c>
      <c r="D2589" t="s">
        <v>73</v>
      </c>
      <c r="E2589" t="s">
        <v>56</v>
      </c>
      <c r="F2589" s="30">
        <v>45777</v>
      </c>
      <c r="G2589" t="s">
        <v>2295</v>
      </c>
      <c r="H2589" t="s">
        <v>4469</v>
      </c>
      <c r="I2589">
        <v>25</v>
      </c>
      <c r="J2589">
        <v>6.4000000953674316</v>
      </c>
      <c r="AV2589">
        <v>6.4</v>
      </c>
    </row>
    <row r="2590" spans="1:94" x14ac:dyDescent="0.3">
      <c r="A2590">
        <v>434</v>
      </c>
      <c r="B2590" t="s">
        <v>2267</v>
      </c>
      <c r="C2590" t="s">
        <v>251</v>
      </c>
      <c r="D2590" t="s">
        <v>73</v>
      </c>
      <c r="E2590" t="s">
        <v>56</v>
      </c>
      <c r="F2590" s="30">
        <v>45777</v>
      </c>
      <c r="G2590" t="s">
        <v>2295</v>
      </c>
      <c r="H2590" t="s">
        <v>4478</v>
      </c>
      <c r="I2590">
        <v>200</v>
      </c>
      <c r="J2590">
        <v>0</v>
      </c>
      <c r="AV2590">
        <v>0</v>
      </c>
    </row>
    <row r="2591" spans="1:94" x14ac:dyDescent="0.3">
      <c r="A2591">
        <v>434</v>
      </c>
      <c r="B2591" t="s">
        <v>2267</v>
      </c>
      <c r="C2591" t="s">
        <v>251</v>
      </c>
      <c r="D2591" t="s">
        <v>73</v>
      </c>
      <c r="E2591" t="s">
        <v>56</v>
      </c>
      <c r="F2591" s="30">
        <v>45777</v>
      </c>
      <c r="G2591" t="s">
        <v>2295</v>
      </c>
      <c r="H2591" t="s">
        <v>4476</v>
      </c>
      <c r="I2591">
        <v>10</v>
      </c>
      <c r="J2591">
        <v>0.20000000298023221</v>
      </c>
      <c r="AV2591">
        <v>0.2</v>
      </c>
    </row>
    <row r="2592" spans="1:94" x14ac:dyDescent="0.3">
      <c r="A2592">
        <v>436</v>
      </c>
      <c r="B2592" t="s">
        <v>2311</v>
      </c>
      <c r="C2592" t="s">
        <v>258</v>
      </c>
      <c r="D2592" t="s">
        <v>73</v>
      </c>
      <c r="E2592" t="s">
        <v>56</v>
      </c>
      <c r="F2592" s="30">
        <v>45777</v>
      </c>
      <c r="G2592" t="s">
        <v>2339</v>
      </c>
      <c r="H2592" t="s">
        <v>4579</v>
      </c>
      <c r="I2592">
        <v>7</v>
      </c>
      <c r="J2592">
        <v>3.720000028610229</v>
      </c>
      <c r="CP2592">
        <v>3.72</v>
      </c>
    </row>
    <row r="2593" spans="1:136" x14ac:dyDescent="0.3">
      <c r="A2593">
        <v>436</v>
      </c>
      <c r="B2593" t="s">
        <v>2311</v>
      </c>
      <c r="C2593" t="s">
        <v>258</v>
      </c>
      <c r="D2593" t="s">
        <v>73</v>
      </c>
      <c r="E2593" t="s">
        <v>56</v>
      </c>
      <c r="F2593" s="30">
        <v>45777</v>
      </c>
      <c r="G2593" t="s">
        <v>2339</v>
      </c>
      <c r="H2593" t="s">
        <v>4580</v>
      </c>
      <c r="I2593">
        <v>7</v>
      </c>
      <c r="J2593">
        <v>2.6800000667572021</v>
      </c>
      <c r="CP2593">
        <v>2.68</v>
      </c>
    </row>
    <row r="2594" spans="1:136" x14ac:dyDescent="0.3">
      <c r="A2594">
        <v>485</v>
      </c>
      <c r="B2594" t="s">
        <v>2525</v>
      </c>
      <c r="C2594" t="s">
        <v>258</v>
      </c>
      <c r="D2594" t="s">
        <v>73</v>
      </c>
      <c r="E2594" t="s">
        <v>22</v>
      </c>
      <c r="F2594" s="30">
        <v>45777</v>
      </c>
      <c r="G2594" t="s">
        <v>2540</v>
      </c>
      <c r="H2594" t="s">
        <v>4637</v>
      </c>
      <c r="I2594">
        <v>80</v>
      </c>
      <c r="J2594">
        <v>100</v>
      </c>
      <c r="EC2594">
        <v>4</v>
      </c>
      <c r="ED2594">
        <v>4</v>
      </c>
    </row>
    <row r="2595" spans="1:136" x14ac:dyDescent="0.3">
      <c r="A2595">
        <v>485</v>
      </c>
      <c r="B2595" t="s">
        <v>2525</v>
      </c>
      <c r="C2595" t="s">
        <v>258</v>
      </c>
      <c r="D2595" t="s">
        <v>73</v>
      </c>
      <c r="E2595" t="s">
        <v>22</v>
      </c>
      <c r="F2595" s="30">
        <v>45777</v>
      </c>
      <c r="G2595" t="s">
        <v>2540</v>
      </c>
      <c r="H2595" t="s">
        <v>4638</v>
      </c>
      <c r="I2595">
        <v>80</v>
      </c>
      <c r="J2595">
        <v>0</v>
      </c>
      <c r="EC2595">
        <v>0</v>
      </c>
      <c r="ED2595">
        <v>0</v>
      </c>
    </row>
    <row r="2596" spans="1:136" x14ac:dyDescent="0.3">
      <c r="A2596">
        <v>485</v>
      </c>
      <c r="B2596" t="s">
        <v>2525</v>
      </c>
      <c r="C2596" t="s">
        <v>258</v>
      </c>
      <c r="D2596" t="s">
        <v>73</v>
      </c>
      <c r="E2596" t="s">
        <v>22</v>
      </c>
      <c r="F2596" s="30">
        <v>45777</v>
      </c>
      <c r="G2596" t="s">
        <v>2540</v>
      </c>
      <c r="H2596" t="s">
        <v>4639</v>
      </c>
      <c r="I2596">
        <v>80</v>
      </c>
      <c r="J2596">
        <v>0</v>
      </c>
      <c r="EC2596">
        <v>0</v>
      </c>
      <c r="ED2596">
        <v>0</v>
      </c>
    </row>
    <row r="2597" spans="1:136" x14ac:dyDescent="0.3">
      <c r="A2597">
        <v>485</v>
      </c>
      <c r="B2597" t="s">
        <v>2525</v>
      </c>
      <c r="C2597" t="s">
        <v>258</v>
      </c>
      <c r="D2597" t="s">
        <v>73</v>
      </c>
      <c r="E2597" t="s">
        <v>22</v>
      </c>
      <c r="F2597" s="30">
        <v>45777</v>
      </c>
      <c r="G2597" t="s">
        <v>2540</v>
      </c>
      <c r="H2597" t="s">
        <v>4576</v>
      </c>
      <c r="I2597">
        <v>80</v>
      </c>
      <c r="J2597">
        <v>0</v>
      </c>
      <c r="EC2597">
        <v>0</v>
      </c>
      <c r="ED2597">
        <v>0</v>
      </c>
    </row>
    <row r="2598" spans="1:136" x14ac:dyDescent="0.3">
      <c r="A2598">
        <v>485</v>
      </c>
      <c r="B2598" t="s">
        <v>2525</v>
      </c>
      <c r="C2598" t="s">
        <v>258</v>
      </c>
      <c r="D2598" t="s">
        <v>73</v>
      </c>
      <c r="E2598" t="s">
        <v>22</v>
      </c>
      <c r="F2598" s="30">
        <v>45777</v>
      </c>
      <c r="G2598" t="s">
        <v>2540</v>
      </c>
      <c r="H2598" t="s">
        <v>154</v>
      </c>
      <c r="I2598">
        <v>80</v>
      </c>
      <c r="J2598">
        <v>0</v>
      </c>
      <c r="EC2598">
        <v>0</v>
      </c>
      <c r="ED2598">
        <v>0</v>
      </c>
    </row>
    <row r="2599" spans="1:136" x14ac:dyDescent="0.3">
      <c r="A2599">
        <v>485</v>
      </c>
      <c r="B2599" t="s">
        <v>2525</v>
      </c>
      <c r="C2599" t="s">
        <v>258</v>
      </c>
      <c r="D2599" t="s">
        <v>73</v>
      </c>
      <c r="E2599" t="s">
        <v>22</v>
      </c>
      <c r="F2599" s="30">
        <v>45777</v>
      </c>
      <c r="G2599" t="s">
        <v>2540</v>
      </c>
      <c r="H2599" t="s">
        <v>4640</v>
      </c>
      <c r="I2599">
        <v>80</v>
      </c>
      <c r="J2599">
        <v>0</v>
      </c>
      <c r="EC2599">
        <v>0</v>
      </c>
      <c r="ED2599">
        <v>0</v>
      </c>
    </row>
    <row r="2600" spans="1:136" x14ac:dyDescent="0.3">
      <c r="A2600">
        <v>485</v>
      </c>
      <c r="B2600" t="s">
        <v>2525</v>
      </c>
      <c r="C2600" t="s">
        <v>258</v>
      </c>
      <c r="D2600" t="s">
        <v>73</v>
      </c>
      <c r="E2600" t="s">
        <v>22</v>
      </c>
      <c r="F2600" s="30">
        <v>45777</v>
      </c>
      <c r="G2600" t="s">
        <v>2540</v>
      </c>
      <c r="H2600" t="s">
        <v>4641</v>
      </c>
      <c r="I2600">
        <v>80</v>
      </c>
      <c r="J2600">
        <v>0</v>
      </c>
      <c r="EC2600">
        <v>0</v>
      </c>
      <c r="ED2600">
        <v>0</v>
      </c>
    </row>
    <row r="2601" spans="1:136" x14ac:dyDescent="0.3">
      <c r="A2601">
        <v>485</v>
      </c>
      <c r="B2601" t="s">
        <v>2525</v>
      </c>
      <c r="C2601" t="s">
        <v>258</v>
      </c>
      <c r="D2601" t="s">
        <v>73</v>
      </c>
      <c r="E2601" t="s">
        <v>22</v>
      </c>
      <c r="F2601" s="30">
        <v>45777</v>
      </c>
      <c r="G2601" t="s">
        <v>2540</v>
      </c>
      <c r="H2601" t="s">
        <v>4538</v>
      </c>
      <c r="I2601">
        <v>80</v>
      </c>
      <c r="J2601">
        <v>0</v>
      </c>
      <c r="EC2601">
        <v>0</v>
      </c>
      <c r="ED2601">
        <v>0</v>
      </c>
    </row>
    <row r="2602" spans="1:136" x14ac:dyDescent="0.3">
      <c r="A2602">
        <v>485</v>
      </c>
      <c r="B2602" t="s">
        <v>2525</v>
      </c>
      <c r="C2602" t="s">
        <v>258</v>
      </c>
      <c r="D2602" t="s">
        <v>73</v>
      </c>
      <c r="E2602" t="s">
        <v>22</v>
      </c>
      <c r="F2602" s="30">
        <v>45777</v>
      </c>
      <c r="G2602" t="s">
        <v>2540</v>
      </c>
      <c r="H2602" t="s">
        <v>4642</v>
      </c>
      <c r="I2602">
        <v>80</v>
      </c>
      <c r="J2602">
        <v>0</v>
      </c>
      <c r="EC2602">
        <v>0</v>
      </c>
      <c r="ED2602">
        <v>0</v>
      </c>
    </row>
    <row r="2603" spans="1:136" x14ac:dyDescent="0.3">
      <c r="A2603">
        <v>488</v>
      </c>
      <c r="B2603" t="s">
        <v>2555</v>
      </c>
      <c r="C2603" t="s">
        <v>258</v>
      </c>
      <c r="D2603" t="s">
        <v>73</v>
      </c>
      <c r="E2603" t="s">
        <v>22</v>
      </c>
      <c r="F2603" s="30">
        <v>45777</v>
      </c>
      <c r="G2603" t="s">
        <v>2571</v>
      </c>
      <c r="H2603" t="s">
        <v>4637</v>
      </c>
      <c r="I2603">
        <v>85</v>
      </c>
      <c r="J2603">
        <v>60</v>
      </c>
      <c r="EE2603">
        <v>3</v>
      </c>
      <c r="EF2603">
        <v>5</v>
      </c>
    </row>
    <row r="2604" spans="1:136" x14ac:dyDescent="0.3">
      <c r="A2604">
        <v>488</v>
      </c>
      <c r="B2604" t="s">
        <v>2555</v>
      </c>
      <c r="C2604" t="s">
        <v>258</v>
      </c>
      <c r="D2604" t="s">
        <v>73</v>
      </c>
      <c r="E2604" t="s">
        <v>22</v>
      </c>
      <c r="F2604" s="30">
        <v>45777</v>
      </c>
      <c r="G2604" t="s">
        <v>2571</v>
      </c>
      <c r="H2604" t="s">
        <v>4638</v>
      </c>
      <c r="I2604">
        <v>85</v>
      </c>
      <c r="J2604">
        <v>47.369998931884773</v>
      </c>
      <c r="EE2604">
        <v>9</v>
      </c>
      <c r="EF2604">
        <v>19</v>
      </c>
    </row>
    <row r="2605" spans="1:136" x14ac:dyDescent="0.3">
      <c r="A2605">
        <v>488</v>
      </c>
      <c r="B2605" t="s">
        <v>2555</v>
      </c>
      <c r="C2605" t="s">
        <v>258</v>
      </c>
      <c r="D2605" t="s">
        <v>73</v>
      </c>
      <c r="E2605" t="s">
        <v>22</v>
      </c>
      <c r="F2605" s="30">
        <v>45777</v>
      </c>
      <c r="G2605" t="s">
        <v>2571</v>
      </c>
      <c r="H2605" t="s">
        <v>4639</v>
      </c>
      <c r="I2605">
        <v>85</v>
      </c>
      <c r="J2605">
        <v>60</v>
      </c>
      <c r="EE2605">
        <v>3</v>
      </c>
      <c r="EF2605">
        <v>5</v>
      </c>
    </row>
    <row r="2606" spans="1:136" x14ac:dyDescent="0.3">
      <c r="A2606">
        <v>488</v>
      </c>
      <c r="B2606" t="s">
        <v>2555</v>
      </c>
      <c r="C2606" t="s">
        <v>258</v>
      </c>
      <c r="D2606" t="s">
        <v>73</v>
      </c>
      <c r="E2606" t="s">
        <v>22</v>
      </c>
      <c r="F2606" s="30">
        <v>45777</v>
      </c>
      <c r="G2606" t="s">
        <v>2571</v>
      </c>
      <c r="H2606" t="s">
        <v>154</v>
      </c>
      <c r="I2606">
        <v>85</v>
      </c>
      <c r="J2606">
        <v>0</v>
      </c>
      <c r="EE2606">
        <v>0</v>
      </c>
      <c r="EF2606">
        <v>0</v>
      </c>
    </row>
    <row r="2607" spans="1:136" x14ac:dyDescent="0.3">
      <c r="A2607">
        <v>488</v>
      </c>
      <c r="B2607" t="s">
        <v>2555</v>
      </c>
      <c r="C2607" t="s">
        <v>258</v>
      </c>
      <c r="D2607" t="s">
        <v>73</v>
      </c>
      <c r="E2607" t="s">
        <v>22</v>
      </c>
      <c r="F2607" s="30">
        <v>45777</v>
      </c>
      <c r="G2607" t="s">
        <v>2571</v>
      </c>
      <c r="H2607" t="s">
        <v>4640</v>
      </c>
      <c r="I2607">
        <v>85</v>
      </c>
      <c r="J2607">
        <v>0</v>
      </c>
      <c r="EE2607">
        <v>0</v>
      </c>
      <c r="EF2607">
        <v>0</v>
      </c>
    </row>
    <row r="2608" spans="1:136" x14ac:dyDescent="0.3">
      <c r="A2608">
        <v>488</v>
      </c>
      <c r="B2608" t="s">
        <v>2555</v>
      </c>
      <c r="C2608" t="s">
        <v>258</v>
      </c>
      <c r="D2608" t="s">
        <v>73</v>
      </c>
      <c r="E2608" t="s">
        <v>22</v>
      </c>
      <c r="F2608" s="30">
        <v>45777</v>
      </c>
      <c r="G2608" t="s">
        <v>2571</v>
      </c>
      <c r="H2608" t="s">
        <v>4641</v>
      </c>
      <c r="I2608">
        <v>85</v>
      </c>
      <c r="J2608">
        <v>70</v>
      </c>
      <c r="EE2608">
        <v>14</v>
      </c>
      <c r="EF2608">
        <v>20</v>
      </c>
    </row>
    <row r="2609" spans="1:141" x14ac:dyDescent="0.3">
      <c r="A2609">
        <v>488</v>
      </c>
      <c r="B2609" t="s">
        <v>2555</v>
      </c>
      <c r="C2609" t="s">
        <v>258</v>
      </c>
      <c r="D2609" t="s">
        <v>73</v>
      </c>
      <c r="E2609" t="s">
        <v>22</v>
      </c>
      <c r="F2609" s="30">
        <v>45777</v>
      </c>
      <c r="G2609" t="s">
        <v>2571</v>
      </c>
      <c r="H2609" t="s">
        <v>4538</v>
      </c>
      <c r="I2609">
        <v>85</v>
      </c>
      <c r="J2609">
        <v>0</v>
      </c>
      <c r="EE2609">
        <v>0</v>
      </c>
      <c r="EF2609">
        <v>0</v>
      </c>
    </row>
    <row r="2610" spans="1:141" x14ac:dyDescent="0.3">
      <c r="A2610">
        <v>488</v>
      </c>
      <c r="B2610" t="s">
        <v>2555</v>
      </c>
      <c r="C2610" t="s">
        <v>258</v>
      </c>
      <c r="D2610" t="s">
        <v>73</v>
      </c>
      <c r="E2610" t="s">
        <v>22</v>
      </c>
      <c r="F2610" s="30">
        <v>45777</v>
      </c>
      <c r="G2610" t="s">
        <v>2571</v>
      </c>
      <c r="H2610" t="s">
        <v>4642</v>
      </c>
      <c r="I2610">
        <v>85</v>
      </c>
      <c r="J2610">
        <v>0</v>
      </c>
      <c r="EE2610">
        <v>0</v>
      </c>
      <c r="EF2610">
        <v>0</v>
      </c>
    </row>
    <row r="2611" spans="1:141" x14ac:dyDescent="0.3">
      <c r="A2611">
        <v>488</v>
      </c>
      <c r="B2611" t="s">
        <v>2555</v>
      </c>
      <c r="C2611" t="s">
        <v>258</v>
      </c>
      <c r="D2611" t="s">
        <v>73</v>
      </c>
      <c r="E2611" t="s">
        <v>22</v>
      </c>
      <c r="F2611" s="30">
        <v>45777</v>
      </c>
      <c r="G2611" t="s">
        <v>2571</v>
      </c>
      <c r="H2611" t="s">
        <v>4576</v>
      </c>
      <c r="I2611">
        <v>85</v>
      </c>
      <c r="J2611">
        <v>100</v>
      </c>
      <c r="EE2611">
        <v>8</v>
      </c>
      <c r="EF2611">
        <v>8</v>
      </c>
    </row>
    <row r="2612" spans="1:141" x14ac:dyDescent="0.3">
      <c r="A2612">
        <v>509</v>
      </c>
      <c r="B2612" t="s">
        <v>2622</v>
      </c>
      <c r="C2612" t="s">
        <v>1096</v>
      </c>
      <c r="D2612" t="s">
        <v>73</v>
      </c>
      <c r="E2612" t="s">
        <v>22</v>
      </c>
      <c r="F2612" s="30">
        <v>45777</v>
      </c>
      <c r="G2612" t="s">
        <v>2626</v>
      </c>
      <c r="H2612" t="s">
        <v>3449</v>
      </c>
      <c r="I2612">
        <v>90</v>
      </c>
      <c r="J2612">
        <v>100</v>
      </c>
      <c r="EJ2612">
        <v>31</v>
      </c>
      <c r="EK2612">
        <v>31</v>
      </c>
    </row>
    <row r="2613" spans="1:141" x14ac:dyDescent="0.3">
      <c r="A2613">
        <v>509</v>
      </c>
      <c r="B2613" t="s">
        <v>2622</v>
      </c>
      <c r="C2613" t="s">
        <v>1096</v>
      </c>
      <c r="D2613" t="s">
        <v>73</v>
      </c>
      <c r="E2613" t="s">
        <v>22</v>
      </c>
      <c r="F2613" s="30">
        <v>45777</v>
      </c>
      <c r="G2613" t="s">
        <v>2626</v>
      </c>
      <c r="H2613" t="s">
        <v>3457</v>
      </c>
      <c r="I2613">
        <v>90</v>
      </c>
      <c r="J2613">
        <v>80.769996643066406</v>
      </c>
      <c r="EJ2613">
        <v>52</v>
      </c>
      <c r="EK2613">
        <v>42</v>
      </c>
    </row>
    <row r="2614" spans="1:141" x14ac:dyDescent="0.3">
      <c r="A2614">
        <v>509</v>
      </c>
      <c r="B2614" t="s">
        <v>2622</v>
      </c>
      <c r="C2614" t="s">
        <v>1096</v>
      </c>
      <c r="D2614" t="s">
        <v>73</v>
      </c>
      <c r="E2614" t="s">
        <v>22</v>
      </c>
      <c r="F2614" s="30">
        <v>45777</v>
      </c>
      <c r="G2614" t="s">
        <v>2626</v>
      </c>
      <c r="H2614" t="s">
        <v>3451</v>
      </c>
      <c r="I2614">
        <v>90</v>
      </c>
      <c r="J2614">
        <v>100</v>
      </c>
      <c r="EJ2614">
        <v>4</v>
      </c>
      <c r="EK2614">
        <v>4</v>
      </c>
    </row>
    <row r="2615" spans="1:141" x14ac:dyDescent="0.3">
      <c r="A2615">
        <v>509</v>
      </c>
      <c r="B2615" t="s">
        <v>2622</v>
      </c>
      <c r="C2615" t="s">
        <v>1096</v>
      </c>
      <c r="D2615" t="s">
        <v>73</v>
      </c>
      <c r="E2615" t="s">
        <v>22</v>
      </c>
      <c r="F2615" s="30">
        <v>45777</v>
      </c>
      <c r="G2615" t="s">
        <v>2626</v>
      </c>
      <c r="H2615" t="s">
        <v>3453</v>
      </c>
      <c r="I2615">
        <v>90</v>
      </c>
      <c r="J2615">
        <v>100</v>
      </c>
      <c r="EJ2615">
        <v>59</v>
      </c>
      <c r="EK2615">
        <v>59</v>
      </c>
    </row>
    <row r="2616" spans="1:141" x14ac:dyDescent="0.3">
      <c r="A2616">
        <v>509</v>
      </c>
      <c r="B2616" t="s">
        <v>2622</v>
      </c>
      <c r="C2616" t="s">
        <v>1096</v>
      </c>
      <c r="D2616" t="s">
        <v>73</v>
      </c>
      <c r="E2616" t="s">
        <v>22</v>
      </c>
      <c r="F2616" s="30">
        <v>45777</v>
      </c>
      <c r="G2616" t="s">
        <v>2626</v>
      </c>
      <c r="H2616" t="s">
        <v>3470</v>
      </c>
      <c r="I2616">
        <v>90</v>
      </c>
      <c r="J2616">
        <v>95.709999084472656</v>
      </c>
      <c r="EJ2616">
        <v>70</v>
      </c>
      <c r="EK2616">
        <v>67</v>
      </c>
    </row>
    <row r="2617" spans="1:141" x14ac:dyDescent="0.3">
      <c r="A2617">
        <v>509</v>
      </c>
      <c r="B2617" t="s">
        <v>2622</v>
      </c>
      <c r="C2617" t="s">
        <v>1096</v>
      </c>
      <c r="D2617" t="s">
        <v>73</v>
      </c>
      <c r="E2617" t="s">
        <v>22</v>
      </c>
      <c r="F2617" s="30">
        <v>45777</v>
      </c>
      <c r="G2617" t="s">
        <v>2626</v>
      </c>
      <c r="H2617" t="s">
        <v>3465</v>
      </c>
      <c r="I2617">
        <v>90</v>
      </c>
      <c r="J2617">
        <v>90.319999694824219</v>
      </c>
      <c r="EJ2617">
        <v>31</v>
      </c>
      <c r="EK2617">
        <v>28</v>
      </c>
    </row>
    <row r="2618" spans="1:141" x14ac:dyDescent="0.3">
      <c r="A2618">
        <v>509</v>
      </c>
      <c r="B2618" t="s">
        <v>2622</v>
      </c>
      <c r="C2618" t="s">
        <v>1096</v>
      </c>
      <c r="D2618" t="s">
        <v>73</v>
      </c>
      <c r="E2618" t="s">
        <v>22</v>
      </c>
      <c r="F2618" s="30">
        <v>45777</v>
      </c>
      <c r="G2618" t="s">
        <v>2626</v>
      </c>
      <c r="H2618" t="s">
        <v>3467</v>
      </c>
      <c r="I2618">
        <v>90</v>
      </c>
      <c r="J2618">
        <v>95</v>
      </c>
      <c r="EJ2618">
        <v>80</v>
      </c>
      <c r="EK2618">
        <v>76</v>
      </c>
    </row>
    <row r="2619" spans="1:141" x14ac:dyDescent="0.3">
      <c r="A2619">
        <v>208</v>
      </c>
      <c r="B2619" t="s">
        <v>707</v>
      </c>
      <c r="C2619" t="s">
        <v>251</v>
      </c>
      <c r="D2619" t="s">
        <v>73</v>
      </c>
      <c r="E2619" t="s">
        <v>56</v>
      </c>
      <c r="F2619" s="30">
        <v>45808</v>
      </c>
      <c r="G2619" t="s">
        <v>749</v>
      </c>
      <c r="H2619" t="s">
        <v>4468</v>
      </c>
      <c r="I2619">
        <v>950</v>
      </c>
      <c r="J2619">
        <v>687</v>
      </c>
      <c r="K2619">
        <v>687</v>
      </c>
    </row>
    <row r="2620" spans="1:141" x14ac:dyDescent="0.3">
      <c r="A2620">
        <v>208</v>
      </c>
      <c r="B2620" t="s">
        <v>707</v>
      </c>
      <c r="C2620" t="s">
        <v>251</v>
      </c>
      <c r="D2620" t="s">
        <v>73</v>
      </c>
      <c r="E2620" t="s">
        <v>56</v>
      </c>
      <c r="F2620" s="30">
        <v>45808</v>
      </c>
      <c r="G2620" t="s">
        <v>749</v>
      </c>
      <c r="H2620" t="s">
        <v>4477</v>
      </c>
      <c r="I2620">
        <v>25</v>
      </c>
      <c r="J2620">
        <v>20</v>
      </c>
      <c r="K2620">
        <v>20</v>
      </c>
    </row>
    <row r="2621" spans="1:141" x14ac:dyDescent="0.3">
      <c r="A2621">
        <v>208</v>
      </c>
      <c r="B2621" t="s">
        <v>707</v>
      </c>
      <c r="C2621" t="s">
        <v>251</v>
      </c>
      <c r="D2621" t="s">
        <v>73</v>
      </c>
      <c r="E2621" t="s">
        <v>56</v>
      </c>
      <c r="F2621" s="30">
        <v>45808</v>
      </c>
      <c r="G2621" t="s">
        <v>749</v>
      </c>
      <c r="H2621" t="s">
        <v>4469</v>
      </c>
      <c r="I2621">
        <v>200</v>
      </c>
      <c r="J2621">
        <v>190</v>
      </c>
      <c r="K2621">
        <v>190</v>
      </c>
    </row>
    <row r="2622" spans="1:141" x14ac:dyDescent="0.3">
      <c r="A2622">
        <v>208</v>
      </c>
      <c r="B2622" t="s">
        <v>707</v>
      </c>
      <c r="C2622" t="s">
        <v>251</v>
      </c>
      <c r="D2622" t="s">
        <v>73</v>
      </c>
      <c r="E2622" t="s">
        <v>56</v>
      </c>
      <c r="F2622" s="30">
        <v>45808</v>
      </c>
      <c r="G2622" t="s">
        <v>749</v>
      </c>
      <c r="H2622" t="s">
        <v>4476</v>
      </c>
      <c r="I2622">
        <v>0</v>
      </c>
      <c r="J2622">
        <v>0</v>
      </c>
      <c r="K2622">
        <v>0</v>
      </c>
    </row>
    <row r="2623" spans="1:141" x14ac:dyDescent="0.3">
      <c r="A2623">
        <v>208</v>
      </c>
      <c r="B2623" t="s">
        <v>707</v>
      </c>
      <c r="C2623" t="s">
        <v>251</v>
      </c>
      <c r="D2623" t="s">
        <v>73</v>
      </c>
      <c r="E2623" t="s">
        <v>56</v>
      </c>
      <c r="F2623" s="30">
        <v>45808</v>
      </c>
      <c r="G2623" t="s">
        <v>749</v>
      </c>
      <c r="H2623" t="s">
        <v>4478</v>
      </c>
      <c r="I2623">
        <v>25</v>
      </c>
      <c r="J2623">
        <v>26</v>
      </c>
      <c r="K2623">
        <v>26</v>
      </c>
    </row>
    <row r="2624" spans="1:141" x14ac:dyDescent="0.3">
      <c r="A2624">
        <v>208</v>
      </c>
      <c r="B2624" t="s">
        <v>707</v>
      </c>
      <c r="C2624" t="s">
        <v>251</v>
      </c>
      <c r="D2624" t="s">
        <v>73</v>
      </c>
      <c r="E2624" t="s">
        <v>56</v>
      </c>
      <c r="F2624" s="30">
        <v>45808</v>
      </c>
      <c r="G2624" t="s">
        <v>749</v>
      </c>
      <c r="H2624" t="s">
        <v>4470</v>
      </c>
      <c r="I2624">
        <v>350</v>
      </c>
      <c r="J2624">
        <v>517.5</v>
      </c>
      <c r="K2624">
        <v>517.5</v>
      </c>
    </row>
    <row r="2625" spans="1:45" x14ac:dyDescent="0.3">
      <c r="A2625">
        <v>214</v>
      </c>
      <c r="B2625" t="s">
        <v>774</v>
      </c>
      <c r="C2625" t="s">
        <v>251</v>
      </c>
      <c r="D2625" t="s">
        <v>73</v>
      </c>
      <c r="E2625" t="s">
        <v>56</v>
      </c>
      <c r="F2625" s="30">
        <v>45808</v>
      </c>
      <c r="G2625" t="s">
        <v>816</v>
      </c>
      <c r="H2625" t="s">
        <v>4470</v>
      </c>
      <c r="I2625">
        <v>1000</v>
      </c>
      <c r="J2625">
        <v>1181.579956054688</v>
      </c>
      <c r="L2625">
        <v>107.87</v>
      </c>
      <c r="M2625">
        <v>1073.71</v>
      </c>
    </row>
    <row r="2626" spans="1:45" x14ac:dyDescent="0.3">
      <c r="A2626">
        <v>214</v>
      </c>
      <c r="B2626" t="s">
        <v>774</v>
      </c>
      <c r="C2626" t="s">
        <v>251</v>
      </c>
      <c r="D2626" t="s">
        <v>73</v>
      </c>
      <c r="E2626" t="s">
        <v>56</v>
      </c>
      <c r="F2626" s="30">
        <v>45808</v>
      </c>
      <c r="G2626" t="s">
        <v>816</v>
      </c>
      <c r="H2626" t="s">
        <v>4477</v>
      </c>
      <c r="I2626">
        <v>7500</v>
      </c>
      <c r="J2626">
        <v>30.079999923706051</v>
      </c>
      <c r="L2626">
        <v>8.06</v>
      </c>
      <c r="M2626">
        <v>22.02</v>
      </c>
    </row>
    <row r="2627" spans="1:45" x14ac:dyDescent="0.3">
      <c r="A2627">
        <v>214</v>
      </c>
      <c r="B2627" t="s">
        <v>774</v>
      </c>
      <c r="C2627" t="s">
        <v>251</v>
      </c>
      <c r="D2627" t="s">
        <v>73</v>
      </c>
      <c r="E2627" t="s">
        <v>56</v>
      </c>
      <c r="F2627" s="30">
        <v>45808</v>
      </c>
      <c r="G2627" t="s">
        <v>816</v>
      </c>
      <c r="H2627" t="s">
        <v>4469</v>
      </c>
      <c r="I2627">
        <v>1000</v>
      </c>
      <c r="J2627">
        <v>944.20001220703125</v>
      </c>
      <c r="L2627">
        <v>76.099999999999994</v>
      </c>
      <c r="M2627">
        <v>868.1</v>
      </c>
    </row>
    <row r="2628" spans="1:45" x14ac:dyDescent="0.3">
      <c r="A2628">
        <v>214</v>
      </c>
      <c r="B2628" t="s">
        <v>774</v>
      </c>
      <c r="C2628" t="s">
        <v>251</v>
      </c>
      <c r="D2628" t="s">
        <v>73</v>
      </c>
      <c r="E2628" t="s">
        <v>56</v>
      </c>
      <c r="F2628" s="30">
        <v>45808</v>
      </c>
      <c r="G2628" t="s">
        <v>816</v>
      </c>
      <c r="H2628" t="s">
        <v>4476</v>
      </c>
      <c r="I2628">
        <v>1</v>
      </c>
      <c r="J2628">
        <v>242.25</v>
      </c>
      <c r="L2628">
        <v>35.14</v>
      </c>
      <c r="M2628">
        <v>207.11</v>
      </c>
    </row>
    <row r="2629" spans="1:45" x14ac:dyDescent="0.3">
      <c r="A2629">
        <v>214</v>
      </c>
      <c r="B2629" t="s">
        <v>774</v>
      </c>
      <c r="C2629" t="s">
        <v>251</v>
      </c>
      <c r="D2629" t="s">
        <v>73</v>
      </c>
      <c r="E2629" t="s">
        <v>56</v>
      </c>
      <c r="F2629" s="30">
        <v>45808</v>
      </c>
      <c r="G2629" t="s">
        <v>816</v>
      </c>
      <c r="H2629" t="s">
        <v>4478</v>
      </c>
      <c r="I2629">
        <v>1</v>
      </c>
      <c r="J2629">
        <v>36.270000457763672</v>
      </c>
      <c r="L2629">
        <v>7.66</v>
      </c>
      <c r="M2629">
        <v>28.61</v>
      </c>
    </row>
    <row r="2630" spans="1:45" x14ac:dyDescent="0.3">
      <c r="A2630">
        <v>214</v>
      </c>
      <c r="B2630" t="s">
        <v>774</v>
      </c>
      <c r="C2630" t="s">
        <v>251</v>
      </c>
      <c r="D2630" t="s">
        <v>73</v>
      </c>
      <c r="E2630" t="s">
        <v>56</v>
      </c>
      <c r="F2630" s="30">
        <v>45808</v>
      </c>
      <c r="G2630" t="s">
        <v>816</v>
      </c>
      <c r="H2630" t="s">
        <v>4468</v>
      </c>
      <c r="I2630">
        <v>5500</v>
      </c>
      <c r="J2630">
        <v>3065.1298828125</v>
      </c>
      <c r="L2630">
        <v>400.13</v>
      </c>
      <c r="M2630">
        <v>2665</v>
      </c>
    </row>
    <row r="2631" spans="1:45" x14ac:dyDescent="0.3">
      <c r="A2631">
        <v>217</v>
      </c>
      <c r="B2631" t="s">
        <v>840</v>
      </c>
      <c r="C2631" t="s">
        <v>251</v>
      </c>
      <c r="D2631" t="s">
        <v>73</v>
      </c>
      <c r="E2631" t="s">
        <v>22</v>
      </c>
      <c r="F2631" s="30">
        <v>45808</v>
      </c>
      <c r="G2631" t="s">
        <v>880</v>
      </c>
      <c r="H2631" t="s">
        <v>4470</v>
      </c>
      <c r="I2631">
        <v>20</v>
      </c>
      <c r="J2631">
        <v>9.130000114440918</v>
      </c>
      <c r="L2631">
        <v>107.87</v>
      </c>
      <c r="M2631">
        <v>1073.71</v>
      </c>
      <c r="AS2631">
        <v>107.87</v>
      </c>
    </row>
    <row r="2632" spans="1:45" x14ac:dyDescent="0.3">
      <c r="A2632">
        <v>217</v>
      </c>
      <c r="B2632" t="s">
        <v>840</v>
      </c>
      <c r="C2632" t="s">
        <v>251</v>
      </c>
      <c r="D2632" t="s">
        <v>73</v>
      </c>
      <c r="E2632" t="s">
        <v>22</v>
      </c>
      <c r="F2632" s="30">
        <v>45808</v>
      </c>
      <c r="G2632" t="s">
        <v>880</v>
      </c>
      <c r="H2632" t="s">
        <v>4477</v>
      </c>
      <c r="I2632">
        <v>20</v>
      </c>
      <c r="J2632">
        <v>26.79999923706055</v>
      </c>
      <c r="L2632">
        <v>8.06</v>
      </c>
      <c r="M2632">
        <v>22.02</v>
      </c>
      <c r="AS2632">
        <v>8.06</v>
      </c>
    </row>
    <row r="2633" spans="1:45" x14ac:dyDescent="0.3">
      <c r="A2633">
        <v>217</v>
      </c>
      <c r="B2633" t="s">
        <v>840</v>
      </c>
      <c r="C2633" t="s">
        <v>251</v>
      </c>
      <c r="D2633" t="s">
        <v>73</v>
      </c>
      <c r="E2633" t="s">
        <v>22</v>
      </c>
      <c r="F2633" s="30">
        <v>45808</v>
      </c>
      <c r="G2633" t="s">
        <v>880</v>
      </c>
      <c r="H2633" t="s">
        <v>4469</v>
      </c>
      <c r="I2633">
        <v>20</v>
      </c>
      <c r="J2633">
        <v>8.0600004196166992</v>
      </c>
      <c r="L2633">
        <v>76.099999999999994</v>
      </c>
      <c r="M2633">
        <v>868.1</v>
      </c>
      <c r="AS2633">
        <v>76.099999999999994</v>
      </c>
    </row>
    <row r="2634" spans="1:45" x14ac:dyDescent="0.3">
      <c r="A2634">
        <v>217</v>
      </c>
      <c r="B2634" t="s">
        <v>840</v>
      </c>
      <c r="C2634" t="s">
        <v>251</v>
      </c>
      <c r="D2634" t="s">
        <v>73</v>
      </c>
      <c r="E2634" t="s">
        <v>22</v>
      </c>
      <c r="F2634" s="30">
        <v>45808</v>
      </c>
      <c r="G2634" t="s">
        <v>880</v>
      </c>
      <c r="H2634" t="s">
        <v>4476</v>
      </c>
      <c r="I2634">
        <v>20</v>
      </c>
      <c r="J2634">
        <v>14.510000228881839</v>
      </c>
      <c r="L2634">
        <v>35.14</v>
      </c>
      <c r="M2634">
        <v>207.11</v>
      </c>
      <c r="AS2634">
        <v>35.14</v>
      </c>
    </row>
    <row r="2635" spans="1:45" x14ac:dyDescent="0.3">
      <c r="A2635">
        <v>217</v>
      </c>
      <c r="B2635" t="s">
        <v>840</v>
      </c>
      <c r="C2635" t="s">
        <v>251</v>
      </c>
      <c r="D2635" t="s">
        <v>73</v>
      </c>
      <c r="E2635" t="s">
        <v>22</v>
      </c>
      <c r="F2635" s="30">
        <v>45808</v>
      </c>
      <c r="G2635" t="s">
        <v>880</v>
      </c>
      <c r="H2635" t="s">
        <v>4478</v>
      </c>
      <c r="I2635">
        <v>20</v>
      </c>
      <c r="J2635">
        <v>21.120000839233398</v>
      </c>
      <c r="L2635">
        <v>7.66</v>
      </c>
      <c r="M2635">
        <v>28.61</v>
      </c>
      <c r="AS2635">
        <v>7.66</v>
      </c>
    </row>
    <row r="2636" spans="1:45" x14ac:dyDescent="0.3">
      <c r="A2636">
        <v>217</v>
      </c>
      <c r="B2636" t="s">
        <v>840</v>
      </c>
      <c r="C2636" t="s">
        <v>251</v>
      </c>
      <c r="D2636" t="s">
        <v>73</v>
      </c>
      <c r="E2636" t="s">
        <v>22</v>
      </c>
      <c r="F2636" s="30">
        <v>45808</v>
      </c>
      <c r="G2636" t="s">
        <v>880</v>
      </c>
      <c r="H2636" t="s">
        <v>4468</v>
      </c>
      <c r="I2636">
        <v>20</v>
      </c>
      <c r="J2636">
        <v>45.799999237060547</v>
      </c>
      <c r="L2636">
        <v>400.13</v>
      </c>
      <c r="M2636">
        <v>2665</v>
      </c>
      <c r="AS2636">
        <v>1403.83</v>
      </c>
    </row>
    <row r="2637" spans="1:45" x14ac:dyDescent="0.3">
      <c r="A2637">
        <v>218</v>
      </c>
      <c r="B2637" t="s">
        <v>888</v>
      </c>
      <c r="C2637" t="s">
        <v>251</v>
      </c>
      <c r="D2637" t="s">
        <v>73</v>
      </c>
      <c r="E2637" t="s">
        <v>56</v>
      </c>
      <c r="F2637" s="30">
        <v>45808</v>
      </c>
      <c r="G2637" t="s">
        <v>930</v>
      </c>
      <c r="H2637" t="s">
        <v>4468</v>
      </c>
      <c r="I2637">
        <v>76000</v>
      </c>
      <c r="J2637">
        <v>71249.6328125</v>
      </c>
      <c r="N2637">
        <v>71249.63</v>
      </c>
    </row>
    <row r="2638" spans="1:45" x14ac:dyDescent="0.3">
      <c r="A2638">
        <v>218</v>
      </c>
      <c r="B2638" t="s">
        <v>888</v>
      </c>
      <c r="C2638" t="s">
        <v>251</v>
      </c>
      <c r="D2638" t="s">
        <v>73</v>
      </c>
      <c r="E2638" t="s">
        <v>56</v>
      </c>
      <c r="F2638" s="30">
        <v>45808</v>
      </c>
      <c r="G2638" t="s">
        <v>930</v>
      </c>
      <c r="H2638" t="s">
        <v>4470</v>
      </c>
      <c r="I2638">
        <v>76000</v>
      </c>
      <c r="J2638">
        <v>46740</v>
      </c>
      <c r="N2638">
        <v>46740</v>
      </c>
    </row>
    <row r="2639" spans="1:45" x14ac:dyDescent="0.3">
      <c r="A2639">
        <v>218</v>
      </c>
      <c r="B2639" t="s">
        <v>888</v>
      </c>
      <c r="C2639" t="s">
        <v>251</v>
      </c>
      <c r="D2639" t="s">
        <v>73</v>
      </c>
      <c r="E2639" t="s">
        <v>56</v>
      </c>
      <c r="F2639" s="30">
        <v>45808</v>
      </c>
      <c r="G2639" t="s">
        <v>930</v>
      </c>
      <c r="H2639" t="s">
        <v>4469</v>
      </c>
      <c r="I2639">
        <v>24000</v>
      </c>
      <c r="J2639">
        <v>21705</v>
      </c>
      <c r="N2639">
        <v>21705</v>
      </c>
    </row>
    <row r="2640" spans="1:45" x14ac:dyDescent="0.3">
      <c r="A2640">
        <v>218</v>
      </c>
      <c r="B2640" t="s">
        <v>888</v>
      </c>
      <c r="C2640" t="s">
        <v>251</v>
      </c>
      <c r="D2640" t="s">
        <v>73</v>
      </c>
      <c r="E2640" t="s">
        <v>56</v>
      </c>
      <c r="F2640" s="30">
        <v>45808</v>
      </c>
      <c r="G2640" t="s">
        <v>930</v>
      </c>
      <c r="H2640" t="s">
        <v>4476</v>
      </c>
      <c r="I2640">
        <v>5000</v>
      </c>
      <c r="J2640">
        <v>0</v>
      </c>
      <c r="N2640">
        <v>0</v>
      </c>
    </row>
    <row r="2641" spans="1:48" x14ac:dyDescent="0.3">
      <c r="A2641">
        <v>218</v>
      </c>
      <c r="B2641" t="s">
        <v>888</v>
      </c>
      <c r="C2641" t="s">
        <v>251</v>
      </c>
      <c r="D2641" t="s">
        <v>73</v>
      </c>
      <c r="E2641" t="s">
        <v>56</v>
      </c>
      <c r="F2641" s="30">
        <v>45808</v>
      </c>
      <c r="G2641" t="s">
        <v>930</v>
      </c>
      <c r="H2641" t="s">
        <v>4478</v>
      </c>
      <c r="I2641">
        <v>2000</v>
      </c>
      <c r="J2641">
        <v>2553</v>
      </c>
      <c r="N2641">
        <v>2553</v>
      </c>
    </row>
    <row r="2642" spans="1:48" x14ac:dyDescent="0.3">
      <c r="A2642">
        <v>218</v>
      </c>
      <c r="B2642" t="s">
        <v>888</v>
      </c>
      <c r="C2642" t="s">
        <v>251</v>
      </c>
      <c r="D2642" t="s">
        <v>73</v>
      </c>
      <c r="E2642" t="s">
        <v>56</v>
      </c>
      <c r="F2642" s="30">
        <v>45808</v>
      </c>
      <c r="G2642" t="s">
        <v>930</v>
      </c>
      <c r="H2642" t="s">
        <v>4477</v>
      </c>
      <c r="I2642">
        <v>5000</v>
      </c>
      <c r="J2642">
        <v>4080</v>
      </c>
      <c r="N2642">
        <v>4080</v>
      </c>
    </row>
    <row r="2643" spans="1:48" x14ac:dyDescent="0.3">
      <c r="A2643">
        <v>225</v>
      </c>
      <c r="B2643" t="s">
        <v>976</v>
      </c>
      <c r="C2643" t="s">
        <v>251</v>
      </c>
      <c r="D2643" t="s">
        <v>73</v>
      </c>
      <c r="E2643" t="s">
        <v>22</v>
      </c>
      <c r="F2643" s="30">
        <v>45808</v>
      </c>
      <c r="G2643" t="s">
        <v>1017</v>
      </c>
      <c r="H2643" t="s">
        <v>4468</v>
      </c>
      <c r="I2643">
        <v>1</v>
      </c>
      <c r="J2643">
        <v>11</v>
      </c>
      <c r="AT2643">
        <v>11</v>
      </c>
    </row>
    <row r="2644" spans="1:48" x14ac:dyDescent="0.3">
      <c r="A2644">
        <v>225</v>
      </c>
      <c r="B2644" t="s">
        <v>976</v>
      </c>
      <c r="C2644" t="s">
        <v>251</v>
      </c>
      <c r="D2644" t="s">
        <v>73</v>
      </c>
      <c r="E2644" t="s">
        <v>22</v>
      </c>
      <c r="F2644" s="30">
        <v>45808</v>
      </c>
      <c r="G2644" t="s">
        <v>1017</v>
      </c>
      <c r="H2644" t="s">
        <v>4470</v>
      </c>
      <c r="I2644">
        <v>1</v>
      </c>
      <c r="J2644">
        <v>4</v>
      </c>
      <c r="AT2644">
        <v>4</v>
      </c>
    </row>
    <row r="2645" spans="1:48" x14ac:dyDescent="0.3">
      <c r="A2645">
        <v>225</v>
      </c>
      <c r="B2645" t="s">
        <v>976</v>
      </c>
      <c r="C2645" t="s">
        <v>251</v>
      </c>
      <c r="D2645" t="s">
        <v>73</v>
      </c>
      <c r="E2645" t="s">
        <v>22</v>
      </c>
      <c r="F2645" s="30">
        <v>45808</v>
      </c>
      <c r="G2645" t="s">
        <v>1017</v>
      </c>
      <c r="H2645" t="s">
        <v>4477</v>
      </c>
      <c r="I2645">
        <v>1</v>
      </c>
      <c r="J2645">
        <v>0</v>
      </c>
      <c r="AT2645">
        <v>0</v>
      </c>
    </row>
    <row r="2646" spans="1:48" x14ac:dyDescent="0.3">
      <c r="A2646">
        <v>225</v>
      </c>
      <c r="B2646" t="s">
        <v>976</v>
      </c>
      <c r="C2646" t="s">
        <v>251</v>
      </c>
      <c r="D2646" t="s">
        <v>73</v>
      </c>
      <c r="E2646" t="s">
        <v>22</v>
      </c>
      <c r="F2646" s="30">
        <v>45808</v>
      </c>
      <c r="G2646" t="s">
        <v>1017</v>
      </c>
      <c r="H2646" t="s">
        <v>4469</v>
      </c>
      <c r="I2646">
        <v>1</v>
      </c>
      <c r="J2646">
        <v>10</v>
      </c>
      <c r="AT2646">
        <v>10</v>
      </c>
    </row>
    <row r="2647" spans="1:48" x14ac:dyDescent="0.3">
      <c r="A2647">
        <v>225</v>
      </c>
      <c r="B2647" t="s">
        <v>976</v>
      </c>
      <c r="C2647" t="s">
        <v>251</v>
      </c>
      <c r="D2647" t="s">
        <v>73</v>
      </c>
      <c r="E2647" t="s">
        <v>22</v>
      </c>
      <c r="F2647" s="30">
        <v>45808</v>
      </c>
      <c r="G2647" t="s">
        <v>1017</v>
      </c>
      <c r="H2647" t="s">
        <v>4476</v>
      </c>
      <c r="I2647">
        <v>1</v>
      </c>
      <c r="J2647">
        <v>2</v>
      </c>
      <c r="AT2647">
        <v>2</v>
      </c>
    </row>
    <row r="2648" spans="1:48" x14ac:dyDescent="0.3">
      <c r="A2648">
        <v>225</v>
      </c>
      <c r="B2648" t="s">
        <v>976</v>
      </c>
      <c r="C2648" t="s">
        <v>251</v>
      </c>
      <c r="D2648" t="s">
        <v>73</v>
      </c>
      <c r="E2648" t="s">
        <v>22</v>
      </c>
      <c r="F2648" s="30">
        <v>45808</v>
      </c>
      <c r="G2648" t="s">
        <v>1017</v>
      </c>
      <c r="H2648" t="s">
        <v>4478</v>
      </c>
      <c r="I2648">
        <v>1</v>
      </c>
      <c r="J2648">
        <v>1</v>
      </c>
      <c r="AT2648">
        <v>1</v>
      </c>
    </row>
    <row r="2649" spans="1:48" x14ac:dyDescent="0.3">
      <c r="A2649">
        <v>239</v>
      </c>
      <c r="B2649" t="s">
        <v>1095</v>
      </c>
      <c r="C2649" t="s">
        <v>1096</v>
      </c>
      <c r="D2649" t="s">
        <v>73</v>
      </c>
      <c r="E2649" t="s">
        <v>22</v>
      </c>
      <c r="F2649" s="30">
        <v>45808</v>
      </c>
      <c r="G2649" t="s">
        <v>1136</v>
      </c>
      <c r="H2649" t="s">
        <v>4479</v>
      </c>
      <c r="J2649">
        <v>3</v>
      </c>
      <c r="AU2649">
        <v>3</v>
      </c>
    </row>
    <row r="2650" spans="1:48" x14ac:dyDescent="0.3">
      <c r="A2650">
        <v>239</v>
      </c>
      <c r="B2650" t="s">
        <v>1095</v>
      </c>
      <c r="C2650" t="s">
        <v>1096</v>
      </c>
      <c r="D2650" t="s">
        <v>73</v>
      </c>
      <c r="E2650" t="s">
        <v>22</v>
      </c>
      <c r="F2650" s="30">
        <v>45808</v>
      </c>
      <c r="G2650" t="s">
        <v>1136</v>
      </c>
      <c r="H2650" t="s">
        <v>3622</v>
      </c>
      <c r="J2650">
        <v>14</v>
      </c>
      <c r="AU2650">
        <v>14</v>
      </c>
    </row>
    <row r="2651" spans="1:48" x14ac:dyDescent="0.3">
      <c r="A2651">
        <v>239</v>
      </c>
      <c r="B2651" t="s">
        <v>1095</v>
      </c>
      <c r="C2651" t="s">
        <v>1096</v>
      </c>
      <c r="D2651" t="s">
        <v>73</v>
      </c>
      <c r="E2651" t="s">
        <v>22</v>
      </c>
      <c r="F2651" s="30">
        <v>45808</v>
      </c>
      <c r="G2651" t="s">
        <v>1136</v>
      </c>
      <c r="H2651" t="s">
        <v>4480</v>
      </c>
      <c r="J2651">
        <v>0</v>
      </c>
      <c r="AU2651">
        <v>0</v>
      </c>
    </row>
    <row r="2652" spans="1:48" x14ac:dyDescent="0.3">
      <c r="A2652">
        <v>239</v>
      </c>
      <c r="B2652" t="s">
        <v>1095</v>
      </c>
      <c r="C2652" t="s">
        <v>1096</v>
      </c>
      <c r="D2652" t="s">
        <v>73</v>
      </c>
      <c r="E2652" t="s">
        <v>22</v>
      </c>
      <c r="F2652" s="30">
        <v>45808</v>
      </c>
      <c r="G2652" t="s">
        <v>1136</v>
      </c>
      <c r="H2652" t="s">
        <v>4481</v>
      </c>
      <c r="J2652">
        <v>22</v>
      </c>
      <c r="AU2652">
        <v>22</v>
      </c>
    </row>
    <row r="2653" spans="1:48" x14ac:dyDescent="0.3">
      <c r="A2653">
        <v>239</v>
      </c>
      <c r="B2653" t="s">
        <v>1095</v>
      </c>
      <c r="C2653" t="s">
        <v>1096</v>
      </c>
      <c r="D2653" t="s">
        <v>73</v>
      </c>
      <c r="E2653" t="s">
        <v>22</v>
      </c>
      <c r="F2653" s="30">
        <v>45808</v>
      </c>
      <c r="G2653" t="s">
        <v>1136</v>
      </c>
      <c r="H2653" t="s">
        <v>4651</v>
      </c>
      <c r="J2653">
        <v>3</v>
      </c>
      <c r="AU2653">
        <v>3</v>
      </c>
    </row>
    <row r="2654" spans="1:48" x14ac:dyDescent="0.3">
      <c r="A2654">
        <v>434</v>
      </c>
      <c r="B2654" t="s">
        <v>2267</v>
      </c>
      <c r="C2654" t="s">
        <v>251</v>
      </c>
      <c r="D2654" t="s">
        <v>73</v>
      </c>
      <c r="E2654" t="s">
        <v>56</v>
      </c>
      <c r="F2654" s="30">
        <v>45808</v>
      </c>
      <c r="G2654" t="s">
        <v>2296</v>
      </c>
      <c r="H2654" t="s">
        <v>4468</v>
      </c>
      <c r="I2654">
        <v>100</v>
      </c>
      <c r="J2654">
        <v>9.8199996948242188</v>
      </c>
      <c r="AV2654">
        <v>9.82</v>
      </c>
    </row>
    <row r="2655" spans="1:48" x14ac:dyDescent="0.3">
      <c r="A2655">
        <v>434</v>
      </c>
      <c r="B2655" t="s">
        <v>2267</v>
      </c>
      <c r="C2655" t="s">
        <v>251</v>
      </c>
      <c r="D2655" t="s">
        <v>73</v>
      </c>
      <c r="E2655" t="s">
        <v>56</v>
      </c>
      <c r="F2655" s="30">
        <v>45808</v>
      </c>
      <c r="G2655" t="s">
        <v>2296</v>
      </c>
      <c r="H2655" t="s">
        <v>4477</v>
      </c>
      <c r="I2655">
        <v>200</v>
      </c>
      <c r="J2655">
        <v>0</v>
      </c>
      <c r="AV2655">
        <v>0</v>
      </c>
    </row>
    <row r="2656" spans="1:48" x14ac:dyDescent="0.3">
      <c r="A2656">
        <v>434</v>
      </c>
      <c r="B2656" t="s">
        <v>2267</v>
      </c>
      <c r="C2656" t="s">
        <v>251</v>
      </c>
      <c r="D2656" t="s">
        <v>73</v>
      </c>
      <c r="E2656" t="s">
        <v>56</v>
      </c>
      <c r="F2656" s="30">
        <v>45808</v>
      </c>
      <c r="G2656" t="s">
        <v>2296</v>
      </c>
      <c r="H2656" t="s">
        <v>4469</v>
      </c>
      <c r="I2656">
        <v>25</v>
      </c>
      <c r="J2656">
        <v>1.6000000238418579</v>
      </c>
      <c r="AV2656">
        <v>1.6</v>
      </c>
    </row>
    <row r="2657" spans="1:136" x14ac:dyDescent="0.3">
      <c r="A2657">
        <v>434</v>
      </c>
      <c r="B2657" t="s">
        <v>2267</v>
      </c>
      <c r="C2657" t="s">
        <v>251</v>
      </c>
      <c r="D2657" t="s">
        <v>73</v>
      </c>
      <c r="E2657" t="s">
        <v>56</v>
      </c>
      <c r="F2657" s="30">
        <v>45808</v>
      </c>
      <c r="G2657" t="s">
        <v>2296</v>
      </c>
      <c r="H2657" t="s">
        <v>4476</v>
      </c>
      <c r="I2657">
        <v>10</v>
      </c>
      <c r="J2657">
        <v>0.10000000149011611</v>
      </c>
      <c r="AV2657">
        <v>0.1</v>
      </c>
    </row>
    <row r="2658" spans="1:136" x14ac:dyDescent="0.3">
      <c r="A2658">
        <v>434</v>
      </c>
      <c r="B2658" t="s">
        <v>2267</v>
      </c>
      <c r="C2658" t="s">
        <v>251</v>
      </c>
      <c r="D2658" t="s">
        <v>73</v>
      </c>
      <c r="E2658" t="s">
        <v>56</v>
      </c>
      <c r="F2658" s="30">
        <v>45808</v>
      </c>
      <c r="G2658" t="s">
        <v>2296</v>
      </c>
      <c r="H2658" t="s">
        <v>4478</v>
      </c>
      <c r="I2658">
        <v>200</v>
      </c>
      <c r="J2658">
        <v>0</v>
      </c>
      <c r="AV2658">
        <v>0</v>
      </c>
    </row>
    <row r="2659" spans="1:136" x14ac:dyDescent="0.3">
      <c r="A2659">
        <v>434</v>
      </c>
      <c r="B2659" t="s">
        <v>2267</v>
      </c>
      <c r="C2659" t="s">
        <v>251</v>
      </c>
      <c r="D2659" t="s">
        <v>73</v>
      </c>
      <c r="E2659" t="s">
        <v>56</v>
      </c>
      <c r="F2659" s="30">
        <v>45808</v>
      </c>
      <c r="G2659" t="s">
        <v>2296</v>
      </c>
      <c r="H2659" t="s">
        <v>4470</v>
      </c>
      <c r="I2659">
        <v>25</v>
      </c>
      <c r="J2659">
        <v>1.080000042915344</v>
      </c>
      <c r="AV2659">
        <v>1.08</v>
      </c>
    </row>
    <row r="2660" spans="1:136" x14ac:dyDescent="0.3">
      <c r="A2660">
        <v>436</v>
      </c>
      <c r="B2660" t="s">
        <v>2311</v>
      </c>
      <c r="C2660" t="s">
        <v>258</v>
      </c>
      <c r="D2660" t="s">
        <v>73</v>
      </c>
      <c r="E2660" t="s">
        <v>56</v>
      </c>
      <c r="F2660" s="30">
        <v>45808</v>
      </c>
      <c r="G2660" t="s">
        <v>2340</v>
      </c>
      <c r="H2660" t="s">
        <v>4579</v>
      </c>
      <c r="I2660">
        <v>7</v>
      </c>
      <c r="J2660">
        <v>4.690000057220459</v>
      </c>
      <c r="CP2660">
        <v>4.6900000000000004</v>
      </c>
    </row>
    <row r="2661" spans="1:136" x14ac:dyDescent="0.3">
      <c r="A2661">
        <v>436</v>
      </c>
      <c r="B2661" t="s">
        <v>2311</v>
      </c>
      <c r="C2661" t="s">
        <v>258</v>
      </c>
      <c r="D2661" t="s">
        <v>73</v>
      </c>
      <c r="E2661" t="s">
        <v>56</v>
      </c>
      <c r="F2661" s="30">
        <v>45808</v>
      </c>
      <c r="G2661" t="s">
        <v>2340</v>
      </c>
      <c r="H2661" t="s">
        <v>4580</v>
      </c>
      <c r="I2661">
        <v>7</v>
      </c>
      <c r="J2661">
        <v>5.4800000190734863</v>
      </c>
      <c r="CP2661">
        <v>5.48</v>
      </c>
    </row>
    <row r="2662" spans="1:136" x14ac:dyDescent="0.3">
      <c r="A2662">
        <v>485</v>
      </c>
      <c r="B2662" t="s">
        <v>2525</v>
      </c>
      <c r="C2662" t="s">
        <v>258</v>
      </c>
      <c r="D2662" t="s">
        <v>73</v>
      </c>
      <c r="E2662" t="s">
        <v>22</v>
      </c>
      <c r="F2662" s="30">
        <v>45808</v>
      </c>
      <c r="G2662" t="s">
        <v>2541</v>
      </c>
      <c r="H2662" t="s">
        <v>4637</v>
      </c>
      <c r="I2662">
        <v>80</v>
      </c>
      <c r="J2662">
        <v>100</v>
      </c>
      <c r="EC2662">
        <v>2</v>
      </c>
      <c r="ED2662">
        <v>2</v>
      </c>
    </row>
    <row r="2663" spans="1:136" x14ac:dyDescent="0.3">
      <c r="A2663">
        <v>485</v>
      </c>
      <c r="B2663" t="s">
        <v>2525</v>
      </c>
      <c r="C2663" t="s">
        <v>258</v>
      </c>
      <c r="D2663" t="s">
        <v>73</v>
      </c>
      <c r="E2663" t="s">
        <v>22</v>
      </c>
      <c r="F2663" s="30">
        <v>45808</v>
      </c>
      <c r="G2663" t="s">
        <v>2541</v>
      </c>
      <c r="H2663" t="s">
        <v>4638</v>
      </c>
      <c r="I2663">
        <v>80</v>
      </c>
      <c r="J2663">
        <v>0</v>
      </c>
      <c r="EC2663">
        <v>0</v>
      </c>
      <c r="ED2663">
        <v>0</v>
      </c>
    </row>
    <row r="2664" spans="1:136" x14ac:dyDescent="0.3">
      <c r="A2664">
        <v>485</v>
      </c>
      <c r="B2664" t="s">
        <v>2525</v>
      </c>
      <c r="C2664" t="s">
        <v>258</v>
      </c>
      <c r="D2664" t="s">
        <v>73</v>
      </c>
      <c r="E2664" t="s">
        <v>22</v>
      </c>
      <c r="F2664" s="30">
        <v>45808</v>
      </c>
      <c r="G2664" t="s">
        <v>2541</v>
      </c>
      <c r="H2664" t="s">
        <v>4639</v>
      </c>
      <c r="I2664">
        <v>80</v>
      </c>
      <c r="J2664">
        <v>0</v>
      </c>
      <c r="EC2664">
        <v>0</v>
      </c>
      <c r="ED2664">
        <v>0</v>
      </c>
    </row>
    <row r="2665" spans="1:136" x14ac:dyDescent="0.3">
      <c r="A2665">
        <v>485</v>
      </c>
      <c r="B2665" t="s">
        <v>2525</v>
      </c>
      <c r="C2665" t="s">
        <v>258</v>
      </c>
      <c r="D2665" t="s">
        <v>73</v>
      </c>
      <c r="E2665" t="s">
        <v>22</v>
      </c>
      <c r="F2665" s="30">
        <v>45808</v>
      </c>
      <c r="G2665" t="s">
        <v>2541</v>
      </c>
      <c r="H2665" t="s">
        <v>4576</v>
      </c>
      <c r="I2665">
        <v>80</v>
      </c>
      <c r="J2665">
        <v>0</v>
      </c>
      <c r="EC2665">
        <v>0</v>
      </c>
      <c r="ED2665">
        <v>0</v>
      </c>
    </row>
    <row r="2666" spans="1:136" x14ac:dyDescent="0.3">
      <c r="A2666">
        <v>485</v>
      </c>
      <c r="B2666" t="s">
        <v>2525</v>
      </c>
      <c r="C2666" t="s">
        <v>258</v>
      </c>
      <c r="D2666" t="s">
        <v>73</v>
      </c>
      <c r="E2666" t="s">
        <v>22</v>
      </c>
      <c r="F2666" s="30">
        <v>45808</v>
      </c>
      <c r="G2666" t="s">
        <v>2541</v>
      </c>
      <c r="H2666" t="s">
        <v>154</v>
      </c>
      <c r="I2666">
        <v>80</v>
      </c>
      <c r="J2666">
        <v>0</v>
      </c>
      <c r="EC2666">
        <v>0</v>
      </c>
      <c r="ED2666">
        <v>0</v>
      </c>
    </row>
    <row r="2667" spans="1:136" x14ac:dyDescent="0.3">
      <c r="A2667">
        <v>485</v>
      </c>
      <c r="B2667" t="s">
        <v>2525</v>
      </c>
      <c r="C2667" t="s">
        <v>258</v>
      </c>
      <c r="D2667" t="s">
        <v>73</v>
      </c>
      <c r="E2667" t="s">
        <v>22</v>
      </c>
      <c r="F2667" s="30">
        <v>45808</v>
      </c>
      <c r="G2667" t="s">
        <v>2541</v>
      </c>
      <c r="H2667" t="s">
        <v>4640</v>
      </c>
      <c r="I2667">
        <v>80</v>
      </c>
      <c r="J2667">
        <v>0</v>
      </c>
      <c r="EC2667">
        <v>0</v>
      </c>
      <c r="ED2667">
        <v>0</v>
      </c>
    </row>
    <row r="2668" spans="1:136" x14ac:dyDescent="0.3">
      <c r="A2668">
        <v>485</v>
      </c>
      <c r="B2668" t="s">
        <v>2525</v>
      </c>
      <c r="C2668" t="s">
        <v>258</v>
      </c>
      <c r="D2668" t="s">
        <v>73</v>
      </c>
      <c r="E2668" t="s">
        <v>22</v>
      </c>
      <c r="F2668" s="30">
        <v>45808</v>
      </c>
      <c r="G2668" t="s">
        <v>2541</v>
      </c>
      <c r="H2668" t="s">
        <v>4641</v>
      </c>
      <c r="I2668">
        <v>80</v>
      </c>
      <c r="J2668">
        <v>0</v>
      </c>
      <c r="EC2668">
        <v>0</v>
      </c>
      <c r="ED2668">
        <v>0</v>
      </c>
    </row>
    <row r="2669" spans="1:136" x14ac:dyDescent="0.3">
      <c r="A2669">
        <v>485</v>
      </c>
      <c r="B2669" t="s">
        <v>2525</v>
      </c>
      <c r="C2669" t="s">
        <v>258</v>
      </c>
      <c r="D2669" t="s">
        <v>73</v>
      </c>
      <c r="E2669" t="s">
        <v>22</v>
      </c>
      <c r="F2669" s="30">
        <v>45808</v>
      </c>
      <c r="G2669" t="s">
        <v>2541</v>
      </c>
      <c r="H2669" t="s">
        <v>4538</v>
      </c>
      <c r="I2669">
        <v>80</v>
      </c>
      <c r="J2669">
        <v>0</v>
      </c>
      <c r="EC2669">
        <v>0</v>
      </c>
      <c r="ED2669">
        <v>0</v>
      </c>
    </row>
    <row r="2670" spans="1:136" x14ac:dyDescent="0.3">
      <c r="A2670">
        <v>485</v>
      </c>
      <c r="B2670" t="s">
        <v>2525</v>
      </c>
      <c r="C2670" t="s">
        <v>258</v>
      </c>
      <c r="D2670" t="s">
        <v>73</v>
      </c>
      <c r="E2670" t="s">
        <v>22</v>
      </c>
      <c r="F2670" s="30">
        <v>45808</v>
      </c>
      <c r="G2670" t="s">
        <v>2541</v>
      </c>
      <c r="H2670" t="s">
        <v>4642</v>
      </c>
      <c r="I2670">
        <v>80</v>
      </c>
      <c r="J2670">
        <v>0</v>
      </c>
      <c r="EC2670">
        <v>0</v>
      </c>
      <c r="ED2670">
        <v>0</v>
      </c>
    </row>
    <row r="2671" spans="1:136" x14ac:dyDescent="0.3">
      <c r="A2671">
        <v>488</v>
      </c>
      <c r="B2671" t="s">
        <v>2555</v>
      </c>
      <c r="C2671" t="s">
        <v>258</v>
      </c>
      <c r="D2671" t="s">
        <v>73</v>
      </c>
      <c r="E2671" t="s">
        <v>22</v>
      </c>
      <c r="F2671" s="30">
        <v>45808</v>
      </c>
      <c r="G2671" t="s">
        <v>2572</v>
      </c>
      <c r="H2671" t="s">
        <v>4637</v>
      </c>
      <c r="I2671">
        <v>85</v>
      </c>
      <c r="J2671">
        <v>60</v>
      </c>
      <c r="EE2671">
        <v>3</v>
      </c>
      <c r="EF2671">
        <v>5</v>
      </c>
    </row>
    <row r="2672" spans="1:136" x14ac:dyDescent="0.3">
      <c r="A2672">
        <v>488</v>
      </c>
      <c r="B2672" t="s">
        <v>2555</v>
      </c>
      <c r="C2672" t="s">
        <v>258</v>
      </c>
      <c r="D2672" t="s">
        <v>73</v>
      </c>
      <c r="E2672" t="s">
        <v>22</v>
      </c>
      <c r="F2672" s="30">
        <v>45808</v>
      </c>
      <c r="G2672" t="s">
        <v>2572</v>
      </c>
      <c r="H2672" t="s">
        <v>4638</v>
      </c>
      <c r="I2672">
        <v>85</v>
      </c>
      <c r="J2672">
        <v>25</v>
      </c>
      <c r="EE2672">
        <v>4</v>
      </c>
      <c r="EF2672">
        <v>16</v>
      </c>
    </row>
    <row r="2673" spans="1:141" x14ac:dyDescent="0.3">
      <c r="A2673">
        <v>488</v>
      </c>
      <c r="B2673" t="s">
        <v>2555</v>
      </c>
      <c r="C2673" t="s">
        <v>258</v>
      </c>
      <c r="D2673" t="s">
        <v>73</v>
      </c>
      <c r="E2673" t="s">
        <v>22</v>
      </c>
      <c r="F2673" s="30">
        <v>45808</v>
      </c>
      <c r="G2673" t="s">
        <v>2572</v>
      </c>
      <c r="H2673" t="s">
        <v>4576</v>
      </c>
      <c r="I2673">
        <v>85</v>
      </c>
      <c r="J2673">
        <v>89.360000610351563</v>
      </c>
      <c r="EE2673">
        <v>42</v>
      </c>
      <c r="EF2673">
        <v>47</v>
      </c>
    </row>
    <row r="2674" spans="1:141" x14ac:dyDescent="0.3">
      <c r="A2674">
        <v>488</v>
      </c>
      <c r="B2674" t="s">
        <v>2555</v>
      </c>
      <c r="C2674" t="s">
        <v>258</v>
      </c>
      <c r="D2674" t="s">
        <v>73</v>
      </c>
      <c r="E2674" t="s">
        <v>22</v>
      </c>
      <c r="F2674" s="30">
        <v>45808</v>
      </c>
      <c r="G2674" t="s">
        <v>2572</v>
      </c>
      <c r="H2674" t="s">
        <v>154</v>
      </c>
      <c r="I2674">
        <v>85</v>
      </c>
      <c r="J2674">
        <v>0</v>
      </c>
      <c r="EE2674">
        <v>0</v>
      </c>
      <c r="EF2674">
        <v>0</v>
      </c>
    </row>
    <row r="2675" spans="1:141" x14ac:dyDescent="0.3">
      <c r="A2675">
        <v>488</v>
      </c>
      <c r="B2675" t="s">
        <v>2555</v>
      </c>
      <c r="C2675" t="s">
        <v>258</v>
      </c>
      <c r="D2675" t="s">
        <v>73</v>
      </c>
      <c r="E2675" t="s">
        <v>22</v>
      </c>
      <c r="F2675" s="30">
        <v>45808</v>
      </c>
      <c r="G2675" t="s">
        <v>2572</v>
      </c>
      <c r="H2675" t="s">
        <v>4640</v>
      </c>
      <c r="I2675">
        <v>85</v>
      </c>
      <c r="J2675">
        <v>0</v>
      </c>
      <c r="EE2675">
        <v>0</v>
      </c>
      <c r="EF2675">
        <v>0</v>
      </c>
    </row>
    <row r="2676" spans="1:141" x14ac:dyDescent="0.3">
      <c r="A2676">
        <v>488</v>
      </c>
      <c r="B2676" t="s">
        <v>2555</v>
      </c>
      <c r="C2676" t="s">
        <v>258</v>
      </c>
      <c r="D2676" t="s">
        <v>73</v>
      </c>
      <c r="E2676" t="s">
        <v>22</v>
      </c>
      <c r="F2676" s="30">
        <v>45808</v>
      </c>
      <c r="G2676" t="s">
        <v>2572</v>
      </c>
      <c r="H2676" t="s">
        <v>4641</v>
      </c>
      <c r="I2676">
        <v>85</v>
      </c>
      <c r="J2676">
        <v>46.150001525878913</v>
      </c>
      <c r="EE2676">
        <v>6</v>
      </c>
      <c r="EF2676">
        <v>13</v>
      </c>
    </row>
    <row r="2677" spans="1:141" x14ac:dyDescent="0.3">
      <c r="A2677">
        <v>488</v>
      </c>
      <c r="B2677" t="s">
        <v>2555</v>
      </c>
      <c r="C2677" t="s">
        <v>258</v>
      </c>
      <c r="D2677" t="s">
        <v>73</v>
      </c>
      <c r="E2677" t="s">
        <v>22</v>
      </c>
      <c r="F2677" s="30">
        <v>45808</v>
      </c>
      <c r="G2677" t="s">
        <v>2572</v>
      </c>
      <c r="H2677" t="s">
        <v>4538</v>
      </c>
      <c r="I2677">
        <v>85</v>
      </c>
      <c r="J2677">
        <v>0</v>
      </c>
      <c r="EE2677">
        <v>0</v>
      </c>
      <c r="EF2677">
        <v>0</v>
      </c>
    </row>
    <row r="2678" spans="1:141" x14ac:dyDescent="0.3">
      <c r="A2678">
        <v>488</v>
      </c>
      <c r="B2678" t="s">
        <v>2555</v>
      </c>
      <c r="C2678" t="s">
        <v>258</v>
      </c>
      <c r="D2678" t="s">
        <v>73</v>
      </c>
      <c r="E2678" t="s">
        <v>22</v>
      </c>
      <c r="F2678" s="30">
        <v>45808</v>
      </c>
      <c r="G2678" t="s">
        <v>2572</v>
      </c>
      <c r="H2678" t="s">
        <v>4642</v>
      </c>
      <c r="I2678">
        <v>85</v>
      </c>
      <c r="J2678">
        <v>0</v>
      </c>
      <c r="EE2678">
        <v>0</v>
      </c>
      <c r="EF2678">
        <v>0</v>
      </c>
    </row>
    <row r="2679" spans="1:141" x14ac:dyDescent="0.3">
      <c r="A2679">
        <v>488</v>
      </c>
      <c r="B2679" t="s">
        <v>2555</v>
      </c>
      <c r="C2679" t="s">
        <v>258</v>
      </c>
      <c r="D2679" t="s">
        <v>73</v>
      </c>
      <c r="E2679" t="s">
        <v>22</v>
      </c>
      <c r="F2679" s="30">
        <v>45808</v>
      </c>
      <c r="G2679" t="s">
        <v>2572</v>
      </c>
      <c r="H2679" t="s">
        <v>4639</v>
      </c>
      <c r="I2679">
        <v>85</v>
      </c>
      <c r="J2679">
        <v>66.669998168945313</v>
      </c>
      <c r="EE2679">
        <v>2</v>
      </c>
      <c r="EF2679">
        <v>3</v>
      </c>
    </row>
    <row r="2680" spans="1:141" x14ac:dyDescent="0.3">
      <c r="A2680">
        <v>509</v>
      </c>
      <c r="B2680" t="s">
        <v>2622</v>
      </c>
      <c r="C2680" t="s">
        <v>1096</v>
      </c>
      <c r="D2680" t="s">
        <v>73</v>
      </c>
      <c r="E2680" t="s">
        <v>22</v>
      </c>
      <c r="F2680" s="30">
        <v>45808</v>
      </c>
      <c r="G2680" t="s">
        <v>2627</v>
      </c>
      <c r="H2680" t="s">
        <v>3470</v>
      </c>
      <c r="I2680">
        <v>90</v>
      </c>
      <c r="J2680">
        <v>94.290000915527344</v>
      </c>
      <c r="EJ2680">
        <v>70</v>
      </c>
      <c r="EK2680">
        <v>66</v>
      </c>
    </row>
    <row r="2681" spans="1:141" x14ac:dyDescent="0.3">
      <c r="A2681">
        <v>509</v>
      </c>
      <c r="B2681" t="s">
        <v>2622</v>
      </c>
      <c r="C2681" t="s">
        <v>1096</v>
      </c>
      <c r="D2681" t="s">
        <v>73</v>
      </c>
      <c r="E2681" t="s">
        <v>22</v>
      </c>
      <c r="F2681" s="30">
        <v>45808</v>
      </c>
      <c r="G2681" t="s">
        <v>2627</v>
      </c>
      <c r="H2681" t="s">
        <v>3465</v>
      </c>
      <c r="I2681">
        <v>90</v>
      </c>
      <c r="J2681">
        <v>98.080001831054688</v>
      </c>
      <c r="EJ2681">
        <v>52</v>
      </c>
      <c r="EK2681">
        <v>51</v>
      </c>
    </row>
    <row r="2682" spans="1:141" x14ac:dyDescent="0.3">
      <c r="A2682">
        <v>509</v>
      </c>
      <c r="B2682" t="s">
        <v>2622</v>
      </c>
      <c r="C2682" t="s">
        <v>1096</v>
      </c>
      <c r="D2682" t="s">
        <v>73</v>
      </c>
      <c r="E2682" t="s">
        <v>22</v>
      </c>
      <c r="F2682" s="30">
        <v>45808</v>
      </c>
      <c r="G2682" t="s">
        <v>2627</v>
      </c>
      <c r="H2682" t="s">
        <v>3467</v>
      </c>
      <c r="I2682">
        <v>90</v>
      </c>
      <c r="J2682">
        <v>97.730003356933594</v>
      </c>
      <c r="EJ2682">
        <v>88</v>
      </c>
      <c r="EK2682">
        <v>86</v>
      </c>
    </row>
    <row r="2683" spans="1:141" x14ac:dyDescent="0.3">
      <c r="A2683">
        <v>509</v>
      </c>
      <c r="B2683" t="s">
        <v>2622</v>
      </c>
      <c r="C2683" t="s">
        <v>1096</v>
      </c>
      <c r="D2683" t="s">
        <v>73</v>
      </c>
      <c r="E2683" t="s">
        <v>22</v>
      </c>
      <c r="F2683" s="30">
        <v>45808</v>
      </c>
      <c r="G2683" t="s">
        <v>2627</v>
      </c>
      <c r="H2683" t="s">
        <v>3472</v>
      </c>
      <c r="I2683">
        <v>90</v>
      </c>
      <c r="J2683">
        <v>0</v>
      </c>
      <c r="EJ2683">
        <v>0</v>
      </c>
      <c r="EK2683">
        <v>0</v>
      </c>
    </row>
    <row r="2684" spans="1:141" x14ac:dyDescent="0.3">
      <c r="A2684">
        <v>509</v>
      </c>
      <c r="B2684" t="s">
        <v>2622</v>
      </c>
      <c r="C2684" t="s">
        <v>1096</v>
      </c>
      <c r="D2684" t="s">
        <v>73</v>
      </c>
      <c r="E2684" t="s">
        <v>22</v>
      </c>
      <c r="F2684" s="30">
        <v>45808</v>
      </c>
      <c r="G2684" t="s">
        <v>2627</v>
      </c>
      <c r="H2684" t="s">
        <v>4647</v>
      </c>
      <c r="I2684">
        <v>90</v>
      </c>
      <c r="J2684">
        <v>0</v>
      </c>
      <c r="EJ2684">
        <v>0</v>
      </c>
      <c r="EK2684">
        <v>0</v>
      </c>
    </row>
    <row r="2685" spans="1:141" x14ac:dyDescent="0.3">
      <c r="A2685">
        <v>509</v>
      </c>
      <c r="B2685" t="s">
        <v>2622</v>
      </c>
      <c r="C2685" t="s">
        <v>1096</v>
      </c>
      <c r="D2685" t="s">
        <v>73</v>
      </c>
      <c r="E2685" t="s">
        <v>22</v>
      </c>
      <c r="F2685" s="30">
        <v>45808</v>
      </c>
      <c r="G2685" t="s">
        <v>2627</v>
      </c>
      <c r="H2685" t="s">
        <v>4648</v>
      </c>
      <c r="I2685">
        <v>90</v>
      </c>
      <c r="J2685">
        <v>0</v>
      </c>
      <c r="EK2685">
        <v>0</v>
      </c>
    </row>
    <row r="2686" spans="1:141" x14ac:dyDescent="0.3">
      <c r="A2686">
        <v>509</v>
      </c>
      <c r="B2686" t="s">
        <v>2622</v>
      </c>
      <c r="C2686" t="s">
        <v>1096</v>
      </c>
      <c r="D2686" t="s">
        <v>73</v>
      </c>
      <c r="E2686" t="s">
        <v>22</v>
      </c>
      <c r="F2686" s="30">
        <v>45808</v>
      </c>
      <c r="G2686" t="s">
        <v>2627</v>
      </c>
      <c r="H2686" t="s">
        <v>4649</v>
      </c>
      <c r="I2686">
        <v>90</v>
      </c>
      <c r="J2686">
        <v>0</v>
      </c>
      <c r="EJ2686">
        <v>0</v>
      </c>
      <c r="EK2686">
        <v>0</v>
      </c>
    </row>
    <row r="2687" spans="1:141" x14ac:dyDescent="0.3">
      <c r="A2687">
        <v>509</v>
      </c>
      <c r="B2687" t="s">
        <v>2622</v>
      </c>
      <c r="C2687" t="s">
        <v>1096</v>
      </c>
      <c r="D2687" t="s">
        <v>73</v>
      </c>
      <c r="E2687" t="s">
        <v>22</v>
      </c>
      <c r="F2687" s="30">
        <v>45808</v>
      </c>
      <c r="G2687" t="s">
        <v>2627</v>
      </c>
      <c r="H2687" t="s">
        <v>4650</v>
      </c>
      <c r="I2687">
        <v>90</v>
      </c>
      <c r="J2687">
        <v>0</v>
      </c>
      <c r="EJ2687">
        <v>0</v>
      </c>
      <c r="EK2687">
        <v>0</v>
      </c>
    </row>
    <row r="2688" spans="1:141" x14ac:dyDescent="0.3">
      <c r="A2688">
        <v>208</v>
      </c>
      <c r="B2688" t="s">
        <v>707</v>
      </c>
      <c r="C2688" t="s">
        <v>251</v>
      </c>
      <c r="D2688" t="s">
        <v>73</v>
      </c>
      <c r="E2688" t="s">
        <v>56</v>
      </c>
      <c r="F2688" s="30">
        <v>45838</v>
      </c>
      <c r="G2688" t="s">
        <v>750</v>
      </c>
      <c r="H2688" t="s">
        <v>4468</v>
      </c>
      <c r="I2688">
        <v>950</v>
      </c>
      <c r="J2688">
        <v>716</v>
      </c>
      <c r="K2688">
        <v>716</v>
      </c>
    </row>
    <row r="2689" spans="1:45" x14ac:dyDescent="0.3">
      <c r="A2689">
        <v>208</v>
      </c>
      <c r="B2689" t="s">
        <v>707</v>
      </c>
      <c r="C2689" t="s">
        <v>251</v>
      </c>
      <c r="D2689" t="s">
        <v>73</v>
      </c>
      <c r="E2689" t="s">
        <v>56</v>
      </c>
      <c r="F2689" s="30">
        <v>45838</v>
      </c>
      <c r="G2689" t="s">
        <v>750</v>
      </c>
      <c r="H2689" t="s">
        <v>4477</v>
      </c>
      <c r="I2689">
        <v>25</v>
      </c>
      <c r="J2689">
        <v>13</v>
      </c>
      <c r="K2689">
        <v>13</v>
      </c>
    </row>
    <row r="2690" spans="1:45" x14ac:dyDescent="0.3">
      <c r="A2690">
        <v>208</v>
      </c>
      <c r="B2690" t="s">
        <v>707</v>
      </c>
      <c r="C2690" t="s">
        <v>251</v>
      </c>
      <c r="D2690" t="s">
        <v>73</v>
      </c>
      <c r="E2690" t="s">
        <v>56</v>
      </c>
      <c r="F2690" s="30">
        <v>45838</v>
      </c>
      <c r="G2690" t="s">
        <v>750</v>
      </c>
      <c r="H2690" t="s">
        <v>4469</v>
      </c>
      <c r="I2690">
        <v>200</v>
      </c>
      <c r="J2690">
        <v>153</v>
      </c>
      <c r="K2690">
        <v>153</v>
      </c>
    </row>
    <row r="2691" spans="1:45" x14ac:dyDescent="0.3">
      <c r="A2691">
        <v>208</v>
      </c>
      <c r="B2691" t="s">
        <v>707</v>
      </c>
      <c r="C2691" t="s">
        <v>251</v>
      </c>
      <c r="D2691" t="s">
        <v>73</v>
      </c>
      <c r="E2691" t="s">
        <v>56</v>
      </c>
      <c r="F2691" s="30">
        <v>45838</v>
      </c>
      <c r="G2691" t="s">
        <v>750</v>
      </c>
      <c r="H2691" t="s">
        <v>4476</v>
      </c>
      <c r="I2691">
        <v>0</v>
      </c>
      <c r="J2691">
        <v>0</v>
      </c>
      <c r="K2691">
        <v>0</v>
      </c>
    </row>
    <row r="2692" spans="1:45" x14ac:dyDescent="0.3">
      <c r="A2692">
        <v>208</v>
      </c>
      <c r="B2692" t="s">
        <v>707</v>
      </c>
      <c r="C2692" t="s">
        <v>251</v>
      </c>
      <c r="D2692" t="s">
        <v>73</v>
      </c>
      <c r="E2692" t="s">
        <v>56</v>
      </c>
      <c r="F2692" s="30">
        <v>45838</v>
      </c>
      <c r="G2692" t="s">
        <v>750</v>
      </c>
      <c r="H2692" t="s">
        <v>4478</v>
      </c>
      <c r="I2692">
        <v>25</v>
      </c>
      <c r="J2692">
        <v>9</v>
      </c>
      <c r="K2692">
        <v>9</v>
      </c>
    </row>
    <row r="2693" spans="1:45" x14ac:dyDescent="0.3">
      <c r="A2693">
        <v>208</v>
      </c>
      <c r="B2693" t="s">
        <v>707</v>
      </c>
      <c r="C2693" t="s">
        <v>251</v>
      </c>
      <c r="D2693" t="s">
        <v>73</v>
      </c>
      <c r="E2693" t="s">
        <v>56</v>
      </c>
      <c r="F2693" s="30">
        <v>45838</v>
      </c>
      <c r="G2693" t="s">
        <v>750</v>
      </c>
      <c r="H2693" t="s">
        <v>4470</v>
      </c>
      <c r="I2693">
        <v>350</v>
      </c>
      <c r="J2693">
        <v>517.5</v>
      </c>
      <c r="K2693">
        <v>517.5</v>
      </c>
    </row>
    <row r="2694" spans="1:45" x14ac:dyDescent="0.3">
      <c r="A2694">
        <v>214</v>
      </c>
      <c r="B2694" t="s">
        <v>774</v>
      </c>
      <c r="C2694" t="s">
        <v>251</v>
      </c>
      <c r="D2694" t="s">
        <v>73</v>
      </c>
      <c r="E2694" t="s">
        <v>56</v>
      </c>
      <c r="F2694" s="30">
        <v>45838</v>
      </c>
      <c r="G2694" t="s">
        <v>817</v>
      </c>
      <c r="H2694" t="s">
        <v>4470</v>
      </c>
      <c r="I2694">
        <v>1000</v>
      </c>
      <c r="J2694">
        <v>681.8900146484375</v>
      </c>
      <c r="L2694">
        <v>69.010000000000005</v>
      </c>
      <c r="M2694">
        <v>612.88</v>
      </c>
    </row>
    <row r="2695" spans="1:45" x14ac:dyDescent="0.3">
      <c r="A2695">
        <v>214</v>
      </c>
      <c r="B2695" t="s">
        <v>774</v>
      </c>
      <c r="C2695" t="s">
        <v>251</v>
      </c>
      <c r="D2695" t="s">
        <v>73</v>
      </c>
      <c r="E2695" t="s">
        <v>56</v>
      </c>
      <c r="F2695" s="30">
        <v>45838</v>
      </c>
      <c r="G2695" t="s">
        <v>817</v>
      </c>
      <c r="H2695" t="s">
        <v>4477</v>
      </c>
      <c r="I2695">
        <v>7500</v>
      </c>
      <c r="J2695">
        <v>49.919998168945313</v>
      </c>
      <c r="L2695">
        <v>15.06</v>
      </c>
      <c r="M2695">
        <v>34.86</v>
      </c>
    </row>
    <row r="2696" spans="1:45" x14ac:dyDescent="0.3">
      <c r="A2696">
        <v>214</v>
      </c>
      <c r="B2696" t="s">
        <v>774</v>
      </c>
      <c r="C2696" t="s">
        <v>251</v>
      </c>
      <c r="D2696" t="s">
        <v>73</v>
      </c>
      <c r="E2696" t="s">
        <v>56</v>
      </c>
      <c r="F2696" s="30">
        <v>45838</v>
      </c>
      <c r="G2696" t="s">
        <v>817</v>
      </c>
      <c r="H2696" t="s">
        <v>4469</v>
      </c>
      <c r="I2696">
        <v>1000</v>
      </c>
      <c r="J2696">
        <v>492.79998779296881</v>
      </c>
      <c r="L2696">
        <v>13.7</v>
      </c>
      <c r="M2696">
        <v>479.1</v>
      </c>
    </row>
    <row r="2697" spans="1:45" x14ac:dyDescent="0.3">
      <c r="A2697">
        <v>214</v>
      </c>
      <c r="B2697" t="s">
        <v>774</v>
      </c>
      <c r="C2697" t="s">
        <v>251</v>
      </c>
      <c r="D2697" t="s">
        <v>73</v>
      </c>
      <c r="E2697" t="s">
        <v>56</v>
      </c>
      <c r="F2697" s="30">
        <v>45838</v>
      </c>
      <c r="G2697" t="s">
        <v>817</v>
      </c>
      <c r="H2697" t="s">
        <v>4476</v>
      </c>
      <c r="I2697">
        <v>1</v>
      </c>
      <c r="J2697">
        <v>116.9199981689453</v>
      </c>
      <c r="L2697">
        <v>8.5500000000000007</v>
      </c>
      <c r="M2697">
        <v>108.37</v>
      </c>
    </row>
    <row r="2698" spans="1:45" x14ac:dyDescent="0.3">
      <c r="A2698">
        <v>214</v>
      </c>
      <c r="B2698" t="s">
        <v>774</v>
      </c>
      <c r="C2698" t="s">
        <v>251</v>
      </c>
      <c r="D2698" t="s">
        <v>73</v>
      </c>
      <c r="E2698" t="s">
        <v>56</v>
      </c>
      <c r="F2698" s="30">
        <v>45838</v>
      </c>
      <c r="G2698" t="s">
        <v>817</v>
      </c>
      <c r="H2698" t="s">
        <v>4478</v>
      </c>
      <c r="I2698">
        <v>1</v>
      </c>
      <c r="J2698">
        <v>24.159999847412109</v>
      </c>
      <c r="L2698">
        <v>9</v>
      </c>
      <c r="M2698">
        <v>15.16</v>
      </c>
    </row>
    <row r="2699" spans="1:45" x14ac:dyDescent="0.3">
      <c r="A2699">
        <v>214</v>
      </c>
      <c r="B2699" t="s">
        <v>774</v>
      </c>
      <c r="C2699" t="s">
        <v>251</v>
      </c>
      <c r="D2699" t="s">
        <v>73</v>
      </c>
      <c r="E2699" t="s">
        <v>56</v>
      </c>
      <c r="F2699" s="30">
        <v>45838</v>
      </c>
      <c r="G2699" t="s">
        <v>817</v>
      </c>
      <c r="H2699" t="s">
        <v>4468</v>
      </c>
      <c r="I2699">
        <v>5500</v>
      </c>
      <c r="J2699">
        <v>1264.469970703125</v>
      </c>
      <c r="L2699">
        <v>353.99</v>
      </c>
      <c r="M2699">
        <v>910.48</v>
      </c>
    </row>
    <row r="2700" spans="1:45" x14ac:dyDescent="0.3">
      <c r="A2700">
        <v>217</v>
      </c>
      <c r="B2700" t="s">
        <v>840</v>
      </c>
      <c r="C2700" t="s">
        <v>251</v>
      </c>
      <c r="D2700" t="s">
        <v>73</v>
      </c>
      <c r="E2700" t="s">
        <v>22</v>
      </c>
      <c r="F2700" s="30">
        <v>45838</v>
      </c>
      <c r="G2700" t="s">
        <v>881</v>
      </c>
      <c r="H2700" t="s">
        <v>4470</v>
      </c>
      <c r="I2700">
        <v>20</v>
      </c>
      <c r="J2700">
        <v>19.95000076293945</v>
      </c>
      <c r="L2700">
        <v>69.010000000000005</v>
      </c>
      <c r="M2700">
        <v>612.88</v>
      </c>
      <c r="AS2700">
        <v>136.01</v>
      </c>
    </row>
    <row r="2701" spans="1:45" x14ac:dyDescent="0.3">
      <c r="A2701">
        <v>217</v>
      </c>
      <c r="B2701" t="s">
        <v>840</v>
      </c>
      <c r="C2701" t="s">
        <v>251</v>
      </c>
      <c r="D2701" t="s">
        <v>73</v>
      </c>
      <c r="E2701" t="s">
        <v>22</v>
      </c>
      <c r="F2701" s="30">
        <v>45838</v>
      </c>
      <c r="G2701" t="s">
        <v>881</v>
      </c>
      <c r="H2701" t="s">
        <v>4477</v>
      </c>
      <c r="I2701">
        <v>20</v>
      </c>
      <c r="J2701">
        <v>30.170000076293949</v>
      </c>
      <c r="L2701">
        <v>15.06</v>
      </c>
      <c r="M2701">
        <v>34.86</v>
      </c>
      <c r="AS2701">
        <v>15.06</v>
      </c>
    </row>
    <row r="2702" spans="1:45" x14ac:dyDescent="0.3">
      <c r="A2702">
        <v>217</v>
      </c>
      <c r="B2702" t="s">
        <v>840</v>
      </c>
      <c r="C2702" t="s">
        <v>251</v>
      </c>
      <c r="D2702" t="s">
        <v>73</v>
      </c>
      <c r="E2702" t="s">
        <v>22</v>
      </c>
      <c r="F2702" s="30">
        <v>45838</v>
      </c>
      <c r="G2702" t="s">
        <v>881</v>
      </c>
      <c r="H2702" t="s">
        <v>4469</v>
      </c>
      <c r="I2702">
        <v>20</v>
      </c>
      <c r="J2702">
        <v>2.6400001049041748</v>
      </c>
      <c r="L2702">
        <v>13.7</v>
      </c>
      <c r="M2702">
        <v>479.1</v>
      </c>
      <c r="AS2702">
        <v>13</v>
      </c>
    </row>
    <row r="2703" spans="1:45" x14ac:dyDescent="0.3">
      <c r="A2703">
        <v>217</v>
      </c>
      <c r="B2703" t="s">
        <v>840</v>
      </c>
      <c r="C2703" t="s">
        <v>251</v>
      </c>
      <c r="D2703" t="s">
        <v>73</v>
      </c>
      <c r="E2703" t="s">
        <v>22</v>
      </c>
      <c r="F2703" s="30">
        <v>45838</v>
      </c>
      <c r="G2703" t="s">
        <v>881</v>
      </c>
      <c r="H2703" t="s">
        <v>4476</v>
      </c>
      <c r="I2703">
        <v>20</v>
      </c>
      <c r="J2703">
        <v>0</v>
      </c>
      <c r="L2703">
        <v>8.5500000000000007</v>
      </c>
      <c r="M2703">
        <v>108.37</v>
      </c>
      <c r="AS2703">
        <v>0</v>
      </c>
    </row>
    <row r="2704" spans="1:45" x14ac:dyDescent="0.3">
      <c r="A2704">
        <v>217</v>
      </c>
      <c r="B2704" t="s">
        <v>840</v>
      </c>
      <c r="C2704" t="s">
        <v>251</v>
      </c>
      <c r="D2704" t="s">
        <v>73</v>
      </c>
      <c r="E2704" t="s">
        <v>22</v>
      </c>
      <c r="F2704" s="30">
        <v>45838</v>
      </c>
      <c r="G2704" t="s">
        <v>881</v>
      </c>
      <c r="H2704" t="s">
        <v>4478</v>
      </c>
      <c r="I2704">
        <v>20</v>
      </c>
      <c r="J2704">
        <v>37.25</v>
      </c>
      <c r="L2704">
        <v>9</v>
      </c>
      <c r="M2704">
        <v>15.16</v>
      </c>
      <c r="AS2704">
        <v>9</v>
      </c>
    </row>
    <row r="2705" spans="1:47" x14ac:dyDescent="0.3">
      <c r="A2705">
        <v>217</v>
      </c>
      <c r="B2705" t="s">
        <v>840</v>
      </c>
      <c r="C2705" t="s">
        <v>251</v>
      </c>
      <c r="D2705" t="s">
        <v>73</v>
      </c>
      <c r="E2705" t="s">
        <v>22</v>
      </c>
      <c r="F2705" s="30">
        <v>45838</v>
      </c>
      <c r="G2705" t="s">
        <v>881</v>
      </c>
      <c r="H2705" t="s">
        <v>4468</v>
      </c>
      <c r="I2705">
        <v>20</v>
      </c>
      <c r="J2705">
        <v>83.589996337890625</v>
      </c>
      <c r="L2705">
        <v>353.99</v>
      </c>
      <c r="M2705">
        <v>910.48</v>
      </c>
      <c r="AS2705">
        <v>1056.99</v>
      </c>
    </row>
    <row r="2706" spans="1:47" x14ac:dyDescent="0.3">
      <c r="A2706">
        <v>218</v>
      </c>
      <c r="B2706" t="s">
        <v>888</v>
      </c>
      <c r="C2706" t="s">
        <v>251</v>
      </c>
      <c r="D2706" t="s">
        <v>73</v>
      </c>
      <c r="E2706" t="s">
        <v>56</v>
      </c>
      <c r="F2706" s="30">
        <v>45838</v>
      </c>
      <c r="G2706" t="s">
        <v>931</v>
      </c>
      <c r="H2706" t="s">
        <v>4468</v>
      </c>
      <c r="I2706">
        <v>76000</v>
      </c>
      <c r="J2706">
        <v>57969.87890625</v>
      </c>
      <c r="N2706">
        <v>57969.88</v>
      </c>
    </row>
    <row r="2707" spans="1:47" x14ac:dyDescent="0.3">
      <c r="A2707">
        <v>218</v>
      </c>
      <c r="B2707" t="s">
        <v>888</v>
      </c>
      <c r="C2707" t="s">
        <v>251</v>
      </c>
      <c r="D2707" t="s">
        <v>73</v>
      </c>
      <c r="E2707" t="s">
        <v>56</v>
      </c>
      <c r="F2707" s="30">
        <v>45838</v>
      </c>
      <c r="G2707" t="s">
        <v>931</v>
      </c>
      <c r="H2707" t="s">
        <v>4470</v>
      </c>
      <c r="I2707">
        <v>76000</v>
      </c>
      <c r="J2707">
        <v>46740</v>
      </c>
      <c r="N2707">
        <v>46740</v>
      </c>
    </row>
    <row r="2708" spans="1:47" x14ac:dyDescent="0.3">
      <c r="A2708">
        <v>218</v>
      </c>
      <c r="B2708" t="s">
        <v>888</v>
      </c>
      <c r="C2708" t="s">
        <v>251</v>
      </c>
      <c r="D2708" t="s">
        <v>73</v>
      </c>
      <c r="E2708" t="s">
        <v>56</v>
      </c>
      <c r="F2708" s="30">
        <v>45838</v>
      </c>
      <c r="G2708" t="s">
        <v>931</v>
      </c>
      <c r="H2708" t="s">
        <v>4477</v>
      </c>
      <c r="I2708">
        <v>5000</v>
      </c>
      <c r="J2708">
        <v>4380</v>
      </c>
      <c r="N2708">
        <v>4380</v>
      </c>
    </row>
    <row r="2709" spans="1:47" x14ac:dyDescent="0.3">
      <c r="A2709">
        <v>218</v>
      </c>
      <c r="B2709" t="s">
        <v>888</v>
      </c>
      <c r="C2709" t="s">
        <v>251</v>
      </c>
      <c r="D2709" t="s">
        <v>73</v>
      </c>
      <c r="E2709" t="s">
        <v>56</v>
      </c>
      <c r="F2709" s="30">
        <v>45838</v>
      </c>
      <c r="G2709" t="s">
        <v>931</v>
      </c>
      <c r="H2709" t="s">
        <v>4476</v>
      </c>
      <c r="I2709">
        <v>5000</v>
      </c>
      <c r="J2709">
        <v>0</v>
      </c>
      <c r="N2709">
        <v>0</v>
      </c>
    </row>
    <row r="2710" spans="1:47" x14ac:dyDescent="0.3">
      <c r="A2710">
        <v>218</v>
      </c>
      <c r="B2710" t="s">
        <v>888</v>
      </c>
      <c r="C2710" t="s">
        <v>251</v>
      </c>
      <c r="D2710" t="s">
        <v>73</v>
      </c>
      <c r="E2710" t="s">
        <v>56</v>
      </c>
      <c r="F2710" s="30">
        <v>45838</v>
      </c>
      <c r="G2710" t="s">
        <v>931</v>
      </c>
      <c r="H2710" t="s">
        <v>4478</v>
      </c>
      <c r="I2710">
        <v>2000</v>
      </c>
      <c r="J2710">
        <v>2835</v>
      </c>
      <c r="N2710">
        <v>2835</v>
      </c>
    </row>
    <row r="2711" spans="1:47" x14ac:dyDescent="0.3">
      <c r="A2711">
        <v>218</v>
      </c>
      <c r="B2711" t="s">
        <v>888</v>
      </c>
      <c r="C2711" t="s">
        <v>251</v>
      </c>
      <c r="D2711" t="s">
        <v>73</v>
      </c>
      <c r="E2711" t="s">
        <v>56</v>
      </c>
      <c r="F2711" s="30">
        <v>45838</v>
      </c>
      <c r="G2711" t="s">
        <v>931</v>
      </c>
      <c r="H2711" t="s">
        <v>4469</v>
      </c>
      <c r="I2711">
        <v>24000</v>
      </c>
      <c r="J2711">
        <v>18604</v>
      </c>
      <c r="N2711">
        <v>18604</v>
      </c>
    </row>
    <row r="2712" spans="1:47" x14ac:dyDescent="0.3">
      <c r="A2712">
        <v>225</v>
      </c>
      <c r="B2712" t="s">
        <v>976</v>
      </c>
      <c r="C2712" t="s">
        <v>251</v>
      </c>
      <c r="D2712" t="s">
        <v>73</v>
      </c>
      <c r="E2712" t="s">
        <v>22</v>
      </c>
      <c r="F2712" s="30">
        <v>45838</v>
      </c>
      <c r="G2712" t="s">
        <v>1018</v>
      </c>
      <c r="H2712" t="s">
        <v>4468</v>
      </c>
      <c r="I2712">
        <v>1</v>
      </c>
      <c r="J2712">
        <v>9</v>
      </c>
      <c r="AT2712">
        <v>9</v>
      </c>
    </row>
    <row r="2713" spans="1:47" x14ac:dyDescent="0.3">
      <c r="A2713">
        <v>225</v>
      </c>
      <c r="B2713" t="s">
        <v>976</v>
      </c>
      <c r="C2713" t="s">
        <v>251</v>
      </c>
      <c r="D2713" t="s">
        <v>73</v>
      </c>
      <c r="E2713" t="s">
        <v>22</v>
      </c>
      <c r="F2713" s="30">
        <v>45838</v>
      </c>
      <c r="G2713" t="s">
        <v>1018</v>
      </c>
      <c r="H2713" t="s">
        <v>4470</v>
      </c>
      <c r="I2713">
        <v>1</v>
      </c>
      <c r="J2713">
        <v>5</v>
      </c>
      <c r="AT2713">
        <v>5</v>
      </c>
    </row>
    <row r="2714" spans="1:47" x14ac:dyDescent="0.3">
      <c r="A2714">
        <v>225</v>
      </c>
      <c r="B2714" t="s">
        <v>976</v>
      </c>
      <c r="C2714" t="s">
        <v>251</v>
      </c>
      <c r="D2714" t="s">
        <v>73</v>
      </c>
      <c r="E2714" t="s">
        <v>22</v>
      </c>
      <c r="F2714" s="30">
        <v>45838</v>
      </c>
      <c r="G2714" t="s">
        <v>1018</v>
      </c>
      <c r="H2714" t="s">
        <v>4477</v>
      </c>
      <c r="I2714">
        <v>1</v>
      </c>
      <c r="J2714">
        <v>0</v>
      </c>
      <c r="AT2714">
        <v>0</v>
      </c>
    </row>
    <row r="2715" spans="1:47" x14ac:dyDescent="0.3">
      <c r="A2715">
        <v>225</v>
      </c>
      <c r="B2715" t="s">
        <v>976</v>
      </c>
      <c r="C2715" t="s">
        <v>251</v>
      </c>
      <c r="D2715" t="s">
        <v>73</v>
      </c>
      <c r="E2715" t="s">
        <v>22</v>
      </c>
      <c r="F2715" s="30">
        <v>45838</v>
      </c>
      <c r="G2715" t="s">
        <v>1018</v>
      </c>
      <c r="H2715" t="s">
        <v>4469</v>
      </c>
      <c r="I2715">
        <v>1</v>
      </c>
      <c r="J2715">
        <v>10</v>
      </c>
      <c r="AT2715">
        <v>10</v>
      </c>
    </row>
    <row r="2716" spans="1:47" x14ac:dyDescent="0.3">
      <c r="A2716">
        <v>225</v>
      </c>
      <c r="B2716" t="s">
        <v>976</v>
      </c>
      <c r="C2716" t="s">
        <v>251</v>
      </c>
      <c r="D2716" t="s">
        <v>73</v>
      </c>
      <c r="E2716" t="s">
        <v>22</v>
      </c>
      <c r="F2716" s="30">
        <v>45838</v>
      </c>
      <c r="G2716" t="s">
        <v>1018</v>
      </c>
      <c r="H2716" t="s">
        <v>4476</v>
      </c>
      <c r="I2716">
        <v>1</v>
      </c>
      <c r="J2716">
        <v>1</v>
      </c>
      <c r="AT2716">
        <v>1</v>
      </c>
    </row>
    <row r="2717" spans="1:47" x14ac:dyDescent="0.3">
      <c r="A2717">
        <v>225</v>
      </c>
      <c r="B2717" t="s">
        <v>976</v>
      </c>
      <c r="C2717" t="s">
        <v>251</v>
      </c>
      <c r="D2717" t="s">
        <v>73</v>
      </c>
      <c r="E2717" t="s">
        <v>22</v>
      </c>
      <c r="F2717" s="30">
        <v>45838</v>
      </c>
      <c r="G2717" t="s">
        <v>1018</v>
      </c>
      <c r="H2717" t="s">
        <v>4478</v>
      </c>
      <c r="I2717">
        <v>1</v>
      </c>
      <c r="J2717">
        <v>1</v>
      </c>
      <c r="AT2717">
        <v>1</v>
      </c>
    </row>
    <row r="2718" spans="1:47" x14ac:dyDescent="0.3">
      <c r="A2718">
        <v>239</v>
      </c>
      <c r="B2718" t="s">
        <v>1095</v>
      </c>
      <c r="C2718" t="s">
        <v>1096</v>
      </c>
      <c r="D2718" t="s">
        <v>73</v>
      </c>
      <c r="E2718" t="s">
        <v>22</v>
      </c>
      <c r="F2718" s="30">
        <v>45838</v>
      </c>
      <c r="G2718" t="s">
        <v>1137</v>
      </c>
      <c r="H2718" t="s">
        <v>4479</v>
      </c>
      <c r="J2718">
        <v>1</v>
      </c>
      <c r="AU2718">
        <v>1</v>
      </c>
    </row>
    <row r="2719" spans="1:47" x14ac:dyDescent="0.3">
      <c r="A2719">
        <v>239</v>
      </c>
      <c r="B2719" t="s">
        <v>1095</v>
      </c>
      <c r="C2719" t="s">
        <v>1096</v>
      </c>
      <c r="D2719" t="s">
        <v>73</v>
      </c>
      <c r="E2719" t="s">
        <v>22</v>
      </c>
      <c r="F2719" s="30">
        <v>45838</v>
      </c>
      <c r="G2719" t="s">
        <v>1137</v>
      </c>
      <c r="H2719" t="s">
        <v>3622</v>
      </c>
      <c r="J2719">
        <v>14</v>
      </c>
      <c r="AU2719">
        <v>14</v>
      </c>
    </row>
    <row r="2720" spans="1:47" x14ac:dyDescent="0.3">
      <c r="A2720">
        <v>239</v>
      </c>
      <c r="B2720" t="s">
        <v>1095</v>
      </c>
      <c r="C2720" t="s">
        <v>1096</v>
      </c>
      <c r="D2720" t="s">
        <v>73</v>
      </c>
      <c r="E2720" t="s">
        <v>22</v>
      </c>
      <c r="F2720" s="30">
        <v>45838</v>
      </c>
      <c r="G2720" t="s">
        <v>1137</v>
      </c>
      <c r="H2720" t="s">
        <v>4480</v>
      </c>
      <c r="J2720">
        <v>0</v>
      </c>
      <c r="AU2720">
        <v>0</v>
      </c>
    </row>
    <row r="2721" spans="1:134" x14ac:dyDescent="0.3">
      <c r="A2721">
        <v>239</v>
      </c>
      <c r="B2721" t="s">
        <v>1095</v>
      </c>
      <c r="C2721" t="s">
        <v>1096</v>
      </c>
      <c r="D2721" t="s">
        <v>73</v>
      </c>
      <c r="E2721" t="s">
        <v>22</v>
      </c>
      <c r="F2721" s="30">
        <v>45838</v>
      </c>
      <c r="G2721" t="s">
        <v>1137</v>
      </c>
      <c r="H2721" t="s">
        <v>4481</v>
      </c>
      <c r="J2721">
        <v>23</v>
      </c>
      <c r="AU2721">
        <v>23</v>
      </c>
    </row>
    <row r="2722" spans="1:134" x14ac:dyDescent="0.3">
      <c r="A2722">
        <v>239</v>
      </c>
      <c r="B2722" t="s">
        <v>1095</v>
      </c>
      <c r="C2722" t="s">
        <v>1096</v>
      </c>
      <c r="D2722" t="s">
        <v>73</v>
      </c>
      <c r="E2722" t="s">
        <v>22</v>
      </c>
      <c r="F2722" s="30">
        <v>45838</v>
      </c>
      <c r="G2722" t="s">
        <v>1137</v>
      </c>
      <c r="H2722" t="s">
        <v>4651</v>
      </c>
      <c r="J2722">
        <v>3</v>
      </c>
      <c r="AU2722">
        <v>3</v>
      </c>
    </row>
    <row r="2723" spans="1:134" x14ac:dyDescent="0.3">
      <c r="A2723">
        <v>434</v>
      </c>
      <c r="B2723" t="s">
        <v>2267</v>
      </c>
      <c r="C2723" t="s">
        <v>251</v>
      </c>
      <c r="D2723" t="s">
        <v>73</v>
      </c>
      <c r="E2723" t="s">
        <v>56</v>
      </c>
      <c r="F2723" s="30">
        <v>45838</v>
      </c>
      <c r="G2723" t="s">
        <v>2297</v>
      </c>
      <c r="H2723" t="s">
        <v>4468</v>
      </c>
      <c r="I2723">
        <v>100</v>
      </c>
      <c r="J2723">
        <v>18.829999923706051</v>
      </c>
      <c r="AV2723">
        <v>18.829999999999998</v>
      </c>
    </row>
    <row r="2724" spans="1:134" x14ac:dyDescent="0.3">
      <c r="A2724">
        <v>434</v>
      </c>
      <c r="B2724" t="s">
        <v>2267</v>
      </c>
      <c r="C2724" t="s">
        <v>251</v>
      </c>
      <c r="D2724" t="s">
        <v>73</v>
      </c>
      <c r="E2724" t="s">
        <v>56</v>
      </c>
      <c r="F2724" s="30">
        <v>45838</v>
      </c>
      <c r="G2724" t="s">
        <v>2297</v>
      </c>
      <c r="H2724" t="s">
        <v>4477</v>
      </c>
      <c r="I2724">
        <v>200</v>
      </c>
      <c r="J2724">
        <v>0</v>
      </c>
      <c r="AV2724">
        <v>0</v>
      </c>
    </row>
    <row r="2725" spans="1:134" x14ac:dyDescent="0.3">
      <c r="A2725">
        <v>434</v>
      </c>
      <c r="B2725" t="s">
        <v>2267</v>
      </c>
      <c r="C2725" t="s">
        <v>251</v>
      </c>
      <c r="D2725" t="s">
        <v>73</v>
      </c>
      <c r="E2725" t="s">
        <v>56</v>
      </c>
      <c r="F2725" s="30">
        <v>45838</v>
      </c>
      <c r="G2725" t="s">
        <v>2297</v>
      </c>
      <c r="H2725" t="s">
        <v>4469</v>
      </c>
      <c r="I2725">
        <v>25</v>
      </c>
      <c r="J2725">
        <v>0</v>
      </c>
      <c r="AV2725">
        <v>0</v>
      </c>
    </row>
    <row r="2726" spans="1:134" x14ac:dyDescent="0.3">
      <c r="A2726">
        <v>434</v>
      </c>
      <c r="B2726" t="s">
        <v>2267</v>
      </c>
      <c r="C2726" t="s">
        <v>251</v>
      </c>
      <c r="D2726" t="s">
        <v>73</v>
      </c>
      <c r="E2726" t="s">
        <v>56</v>
      </c>
      <c r="F2726" s="30">
        <v>45838</v>
      </c>
      <c r="G2726" t="s">
        <v>2297</v>
      </c>
      <c r="H2726" t="s">
        <v>4476</v>
      </c>
      <c r="I2726">
        <v>10</v>
      </c>
      <c r="J2726">
        <v>0</v>
      </c>
      <c r="AV2726">
        <v>0</v>
      </c>
    </row>
    <row r="2727" spans="1:134" x14ac:dyDescent="0.3">
      <c r="A2727">
        <v>434</v>
      </c>
      <c r="B2727" t="s">
        <v>2267</v>
      </c>
      <c r="C2727" t="s">
        <v>251</v>
      </c>
      <c r="D2727" t="s">
        <v>73</v>
      </c>
      <c r="E2727" t="s">
        <v>56</v>
      </c>
      <c r="F2727" s="30">
        <v>45838</v>
      </c>
      <c r="G2727" t="s">
        <v>2297</v>
      </c>
      <c r="H2727" t="s">
        <v>4478</v>
      </c>
      <c r="I2727">
        <v>200</v>
      </c>
      <c r="J2727">
        <v>0</v>
      </c>
      <c r="AV2727">
        <v>0</v>
      </c>
    </row>
    <row r="2728" spans="1:134" x14ac:dyDescent="0.3">
      <c r="A2728">
        <v>434</v>
      </c>
      <c r="B2728" t="s">
        <v>2267</v>
      </c>
      <c r="C2728" t="s">
        <v>251</v>
      </c>
      <c r="D2728" t="s">
        <v>73</v>
      </c>
      <c r="E2728" t="s">
        <v>56</v>
      </c>
      <c r="F2728" s="30">
        <v>45838</v>
      </c>
      <c r="G2728" t="s">
        <v>2297</v>
      </c>
      <c r="H2728" t="s">
        <v>4470</v>
      </c>
      <c r="I2728">
        <v>25</v>
      </c>
      <c r="J2728">
        <v>111.75</v>
      </c>
      <c r="AV2728">
        <v>111.75</v>
      </c>
    </row>
    <row r="2729" spans="1:134" x14ac:dyDescent="0.3">
      <c r="A2729">
        <v>436</v>
      </c>
      <c r="B2729" t="s">
        <v>2311</v>
      </c>
      <c r="C2729" t="s">
        <v>258</v>
      </c>
      <c r="D2729" t="s">
        <v>73</v>
      </c>
      <c r="E2729" t="s">
        <v>56</v>
      </c>
      <c r="F2729" s="30">
        <v>45838</v>
      </c>
      <c r="G2729" t="s">
        <v>2341</v>
      </c>
      <c r="H2729" t="s">
        <v>4579</v>
      </c>
      <c r="I2729">
        <v>7</v>
      </c>
      <c r="J2729">
        <v>5.0500001907348633</v>
      </c>
      <c r="CP2729">
        <v>5.05</v>
      </c>
    </row>
    <row r="2730" spans="1:134" x14ac:dyDescent="0.3">
      <c r="A2730">
        <v>436</v>
      </c>
      <c r="B2730" t="s">
        <v>2311</v>
      </c>
      <c r="C2730" t="s">
        <v>258</v>
      </c>
      <c r="D2730" t="s">
        <v>73</v>
      </c>
      <c r="E2730" t="s">
        <v>56</v>
      </c>
      <c r="F2730" s="30">
        <v>45838</v>
      </c>
      <c r="G2730" t="s">
        <v>2341</v>
      </c>
      <c r="H2730" t="s">
        <v>4580</v>
      </c>
      <c r="I2730">
        <v>7</v>
      </c>
      <c r="J2730">
        <v>6.880000114440918</v>
      </c>
      <c r="CP2730">
        <v>6.88</v>
      </c>
    </row>
    <row r="2731" spans="1:134" x14ac:dyDescent="0.3">
      <c r="A2731">
        <v>485</v>
      </c>
      <c r="B2731" t="s">
        <v>2525</v>
      </c>
      <c r="C2731" t="s">
        <v>258</v>
      </c>
      <c r="D2731" t="s">
        <v>73</v>
      </c>
      <c r="E2731" t="s">
        <v>22</v>
      </c>
      <c r="F2731" s="30">
        <v>45838</v>
      </c>
      <c r="G2731" t="s">
        <v>2542</v>
      </c>
      <c r="H2731" t="s">
        <v>4637</v>
      </c>
      <c r="I2731">
        <v>80</v>
      </c>
      <c r="J2731">
        <v>0</v>
      </c>
      <c r="EC2731">
        <v>0</v>
      </c>
      <c r="ED2731">
        <v>0</v>
      </c>
    </row>
    <row r="2732" spans="1:134" x14ac:dyDescent="0.3">
      <c r="A2732">
        <v>485</v>
      </c>
      <c r="B2732" t="s">
        <v>2525</v>
      </c>
      <c r="C2732" t="s">
        <v>258</v>
      </c>
      <c r="D2732" t="s">
        <v>73</v>
      </c>
      <c r="E2732" t="s">
        <v>22</v>
      </c>
      <c r="F2732" s="30">
        <v>45838</v>
      </c>
      <c r="G2732" t="s">
        <v>2542</v>
      </c>
      <c r="H2732" t="s">
        <v>4638</v>
      </c>
      <c r="I2732">
        <v>80</v>
      </c>
      <c r="J2732">
        <v>0</v>
      </c>
      <c r="EC2732">
        <v>0</v>
      </c>
      <c r="ED2732">
        <v>0</v>
      </c>
    </row>
    <row r="2733" spans="1:134" x14ac:dyDescent="0.3">
      <c r="A2733">
        <v>485</v>
      </c>
      <c r="B2733" t="s">
        <v>2525</v>
      </c>
      <c r="C2733" t="s">
        <v>258</v>
      </c>
      <c r="D2733" t="s">
        <v>73</v>
      </c>
      <c r="E2733" t="s">
        <v>22</v>
      </c>
      <c r="F2733" s="30">
        <v>45838</v>
      </c>
      <c r="G2733" t="s">
        <v>2542</v>
      </c>
      <c r="H2733" t="s">
        <v>4576</v>
      </c>
      <c r="I2733">
        <v>80</v>
      </c>
      <c r="J2733">
        <v>0</v>
      </c>
      <c r="EC2733">
        <v>0</v>
      </c>
      <c r="ED2733">
        <v>0</v>
      </c>
    </row>
    <row r="2734" spans="1:134" x14ac:dyDescent="0.3">
      <c r="A2734">
        <v>485</v>
      </c>
      <c r="B2734" t="s">
        <v>2525</v>
      </c>
      <c r="C2734" t="s">
        <v>258</v>
      </c>
      <c r="D2734" t="s">
        <v>73</v>
      </c>
      <c r="E2734" t="s">
        <v>22</v>
      </c>
      <c r="F2734" s="30">
        <v>45838</v>
      </c>
      <c r="G2734" t="s">
        <v>2542</v>
      </c>
      <c r="H2734" t="s">
        <v>154</v>
      </c>
      <c r="I2734">
        <v>80</v>
      </c>
      <c r="J2734">
        <v>0</v>
      </c>
      <c r="EC2734">
        <v>0</v>
      </c>
      <c r="ED2734">
        <v>0</v>
      </c>
    </row>
    <row r="2735" spans="1:134" x14ac:dyDescent="0.3">
      <c r="A2735">
        <v>485</v>
      </c>
      <c r="B2735" t="s">
        <v>2525</v>
      </c>
      <c r="C2735" t="s">
        <v>258</v>
      </c>
      <c r="D2735" t="s">
        <v>73</v>
      </c>
      <c r="E2735" t="s">
        <v>22</v>
      </c>
      <c r="F2735" s="30">
        <v>45838</v>
      </c>
      <c r="G2735" t="s">
        <v>2542</v>
      </c>
      <c r="H2735" t="s">
        <v>4640</v>
      </c>
      <c r="I2735">
        <v>80</v>
      </c>
      <c r="J2735">
        <v>0</v>
      </c>
      <c r="EC2735">
        <v>0</v>
      </c>
      <c r="ED2735">
        <v>0</v>
      </c>
    </row>
    <row r="2736" spans="1:134" x14ac:dyDescent="0.3">
      <c r="A2736">
        <v>485</v>
      </c>
      <c r="B2736" t="s">
        <v>2525</v>
      </c>
      <c r="C2736" t="s">
        <v>258</v>
      </c>
      <c r="D2736" t="s">
        <v>73</v>
      </c>
      <c r="E2736" t="s">
        <v>22</v>
      </c>
      <c r="F2736" s="30">
        <v>45838</v>
      </c>
      <c r="G2736" t="s">
        <v>2542</v>
      </c>
      <c r="H2736" t="s">
        <v>4641</v>
      </c>
      <c r="I2736">
        <v>80</v>
      </c>
      <c r="J2736">
        <v>100</v>
      </c>
      <c r="EC2736">
        <v>1</v>
      </c>
      <c r="ED2736">
        <v>1</v>
      </c>
    </row>
    <row r="2737" spans="1:141" x14ac:dyDescent="0.3">
      <c r="A2737">
        <v>485</v>
      </c>
      <c r="B2737" t="s">
        <v>2525</v>
      </c>
      <c r="C2737" t="s">
        <v>258</v>
      </c>
      <c r="D2737" t="s">
        <v>73</v>
      </c>
      <c r="E2737" t="s">
        <v>22</v>
      </c>
      <c r="F2737" s="30">
        <v>45838</v>
      </c>
      <c r="G2737" t="s">
        <v>2542</v>
      </c>
      <c r="H2737" t="s">
        <v>4538</v>
      </c>
      <c r="I2737">
        <v>80</v>
      </c>
      <c r="J2737">
        <v>0</v>
      </c>
      <c r="EC2737">
        <v>0</v>
      </c>
      <c r="ED2737">
        <v>0</v>
      </c>
    </row>
    <row r="2738" spans="1:141" x14ac:dyDescent="0.3">
      <c r="A2738">
        <v>485</v>
      </c>
      <c r="B2738" t="s">
        <v>2525</v>
      </c>
      <c r="C2738" t="s">
        <v>258</v>
      </c>
      <c r="D2738" t="s">
        <v>73</v>
      </c>
      <c r="E2738" t="s">
        <v>22</v>
      </c>
      <c r="F2738" s="30">
        <v>45838</v>
      </c>
      <c r="G2738" t="s">
        <v>2542</v>
      </c>
      <c r="H2738" t="s">
        <v>4642</v>
      </c>
      <c r="I2738">
        <v>80</v>
      </c>
      <c r="J2738">
        <v>0</v>
      </c>
      <c r="EC2738">
        <v>0</v>
      </c>
      <c r="ED2738">
        <v>0</v>
      </c>
    </row>
    <row r="2739" spans="1:141" x14ac:dyDescent="0.3">
      <c r="A2739">
        <v>485</v>
      </c>
      <c r="B2739" t="s">
        <v>2525</v>
      </c>
      <c r="C2739" t="s">
        <v>258</v>
      </c>
      <c r="D2739" t="s">
        <v>73</v>
      </c>
      <c r="E2739" t="s">
        <v>22</v>
      </c>
      <c r="F2739" s="30">
        <v>45838</v>
      </c>
      <c r="G2739" t="s">
        <v>2542</v>
      </c>
      <c r="H2739" t="s">
        <v>4639</v>
      </c>
      <c r="I2739">
        <v>80</v>
      </c>
      <c r="J2739">
        <v>50</v>
      </c>
      <c r="EC2739">
        <v>1</v>
      </c>
      <c r="ED2739">
        <v>2</v>
      </c>
    </row>
    <row r="2740" spans="1:141" x14ac:dyDescent="0.3">
      <c r="A2740">
        <v>488</v>
      </c>
      <c r="B2740" t="s">
        <v>2555</v>
      </c>
      <c r="C2740" t="s">
        <v>258</v>
      </c>
      <c r="D2740" t="s">
        <v>73</v>
      </c>
      <c r="E2740" t="s">
        <v>22</v>
      </c>
      <c r="F2740" s="30">
        <v>45838</v>
      </c>
      <c r="G2740" t="s">
        <v>2573</v>
      </c>
      <c r="H2740" t="s">
        <v>4637</v>
      </c>
      <c r="I2740">
        <v>85</v>
      </c>
      <c r="J2740">
        <v>66.669998168945313</v>
      </c>
      <c r="EE2740">
        <v>2</v>
      </c>
      <c r="EF2740">
        <v>3</v>
      </c>
    </row>
    <row r="2741" spans="1:141" x14ac:dyDescent="0.3">
      <c r="A2741">
        <v>488</v>
      </c>
      <c r="B2741" t="s">
        <v>2555</v>
      </c>
      <c r="C2741" t="s">
        <v>258</v>
      </c>
      <c r="D2741" t="s">
        <v>73</v>
      </c>
      <c r="E2741" t="s">
        <v>22</v>
      </c>
      <c r="F2741" s="30">
        <v>45838</v>
      </c>
      <c r="G2741" t="s">
        <v>2573</v>
      </c>
      <c r="H2741" t="s">
        <v>4639</v>
      </c>
      <c r="I2741">
        <v>85</v>
      </c>
      <c r="J2741">
        <v>0</v>
      </c>
      <c r="EE2741">
        <v>0</v>
      </c>
      <c r="EF2741">
        <v>3</v>
      </c>
    </row>
    <row r="2742" spans="1:141" x14ac:dyDescent="0.3">
      <c r="A2742">
        <v>488</v>
      </c>
      <c r="B2742" t="s">
        <v>2555</v>
      </c>
      <c r="C2742" t="s">
        <v>258</v>
      </c>
      <c r="D2742" t="s">
        <v>73</v>
      </c>
      <c r="E2742" t="s">
        <v>22</v>
      </c>
      <c r="F2742" s="30">
        <v>45838</v>
      </c>
      <c r="G2742" t="s">
        <v>2573</v>
      </c>
      <c r="H2742" t="s">
        <v>4576</v>
      </c>
      <c r="I2742">
        <v>85</v>
      </c>
      <c r="J2742">
        <v>100</v>
      </c>
      <c r="EE2742">
        <v>28</v>
      </c>
      <c r="EF2742">
        <v>28</v>
      </c>
    </row>
    <row r="2743" spans="1:141" x14ac:dyDescent="0.3">
      <c r="A2743">
        <v>488</v>
      </c>
      <c r="B2743" t="s">
        <v>2555</v>
      </c>
      <c r="C2743" t="s">
        <v>258</v>
      </c>
      <c r="D2743" t="s">
        <v>73</v>
      </c>
      <c r="E2743" t="s">
        <v>22</v>
      </c>
      <c r="F2743" s="30">
        <v>45838</v>
      </c>
      <c r="G2743" t="s">
        <v>2573</v>
      </c>
      <c r="H2743" t="s">
        <v>154</v>
      </c>
      <c r="I2743">
        <v>85</v>
      </c>
      <c r="J2743">
        <v>0</v>
      </c>
      <c r="EE2743">
        <v>0</v>
      </c>
      <c r="EF2743">
        <v>0</v>
      </c>
    </row>
    <row r="2744" spans="1:141" x14ac:dyDescent="0.3">
      <c r="A2744">
        <v>488</v>
      </c>
      <c r="B2744" t="s">
        <v>2555</v>
      </c>
      <c r="C2744" t="s">
        <v>258</v>
      </c>
      <c r="D2744" t="s">
        <v>73</v>
      </c>
      <c r="E2744" t="s">
        <v>22</v>
      </c>
      <c r="F2744" s="30">
        <v>45838</v>
      </c>
      <c r="G2744" t="s">
        <v>2573</v>
      </c>
      <c r="H2744" t="s">
        <v>4640</v>
      </c>
      <c r="I2744">
        <v>85</v>
      </c>
      <c r="J2744">
        <v>0</v>
      </c>
      <c r="EE2744">
        <v>0</v>
      </c>
      <c r="EF2744">
        <v>0</v>
      </c>
    </row>
    <row r="2745" spans="1:141" x14ac:dyDescent="0.3">
      <c r="A2745">
        <v>488</v>
      </c>
      <c r="B2745" t="s">
        <v>2555</v>
      </c>
      <c r="C2745" t="s">
        <v>258</v>
      </c>
      <c r="D2745" t="s">
        <v>73</v>
      </c>
      <c r="E2745" t="s">
        <v>22</v>
      </c>
      <c r="F2745" s="30">
        <v>45838</v>
      </c>
      <c r="G2745" t="s">
        <v>2573</v>
      </c>
      <c r="H2745" t="s">
        <v>4641</v>
      </c>
      <c r="I2745">
        <v>85</v>
      </c>
      <c r="J2745">
        <v>44.439998626708977</v>
      </c>
      <c r="EE2745">
        <v>4</v>
      </c>
      <c r="EF2745">
        <v>9</v>
      </c>
    </row>
    <row r="2746" spans="1:141" x14ac:dyDescent="0.3">
      <c r="A2746">
        <v>488</v>
      </c>
      <c r="B2746" t="s">
        <v>2555</v>
      </c>
      <c r="C2746" t="s">
        <v>258</v>
      </c>
      <c r="D2746" t="s">
        <v>73</v>
      </c>
      <c r="E2746" t="s">
        <v>22</v>
      </c>
      <c r="F2746" s="30">
        <v>45838</v>
      </c>
      <c r="G2746" t="s">
        <v>2573</v>
      </c>
      <c r="H2746" t="s">
        <v>4538</v>
      </c>
      <c r="I2746">
        <v>85</v>
      </c>
      <c r="J2746">
        <v>0</v>
      </c>
      <c r="EE2746">
        <v>0</v>
      </c>
      <c r="EF2746">
        <v>0</v>
      </c>
    </row>
    <row r="2747" spans="1:141" x14ac:dyDescent="0.3">
      <c r="A2747">
        <v>488</v>
      </c>
      <c r="B2747" t="s">
        <v>2555</v>
      </c>
      <c r="C2747" t="s">
        <v>258</v>
      </c>
      <c r="D2747" t="s">
        <v>73</v>
      </c>
      <c r="E2747" t="s">
        <v>22</v>
      </c>
      <c r="F2747" s="30">
        <v>45838</v>
      </c>
      <c r="G2747" t="s">
        <v>2573</v>
      </c>
      <c r="H2747" t="s">
        <v>4642</v>
      </c>
      <c r="I2747">
        <v>85</v>
      </c>
      <c r="J2747">
        <v>0</v>
      </c>
      <c r="EE2747">
        <v>0</v>
      </c>
      <c r="EF2747">
        <v>0</v>
      </c>
    </row>
    <row r="2748" spans="1:141" x14ac:dyDescent="0.3">
      <c r="A2748">
        <v>488</v>
      </c>
      <c r="B2748" t="s">
        <v>2555</v>
      </c>
      <c r="C2748" t="s">
        <v>258</v>
      </c>
      <c r="D2748" t="s">
        <v>73</v>
      </c>
      <c r="E2748" t="s">
        <v>22</v>
      </c>
      <c r="F2748" s="30">
        <v>45838</v>
      </c>
      <c r="G2748" t="s">
        <v>2573</v>
      </c>
      <c r="H2748" t="s">
        <v>4638</v>
      </c>
      <c r="I2748">
        <v>85</v>
      </c>
      <c r="J2748">
        <v>53.330001831054688</v>
      </c>
      <c r="EE2748">
        <v>8</v>
      </c>
      <c r="EF2748">
        <v>15</v>
      </c>
    </row>
    <row r="2749" spans="1:141" x14ac:dyDescent="0.3">
      <c r="A2749">
        <v>509</v>
      </c>
      <c r="B2749" t="s">
        <v>2622</v>
      </c>
      <c r="C2749" t="s">
        <v>1096</v>
      </c>
      <c r="D2749" t="s">
        <v>73</v>
      </c>
      <c r="E2749" t="s">
        <v>22</v>
      </c>
      <c r="F2749" s="30">
        <v>45838</v>
      </c>
      <c r="G2749" t="s">
        <v>2628</v>
      </c>
      <c r="H2749" t="s">
        <v>3449</v>
      </c>
      <c r="I2749">
        <v>90</v>
      </c>
      <c r="J2749">
        <v>100</v>
      </c>
      <c r="EJ2749">
        <v>55</v>
      </c>
      <c r="EK2749">
        <v>55</v>
      </c>
    </row>
    <row r="2750" spans="1:141" x14ac:dyDescent="0.3">
      <c r="A2750">
        <v>509</v>
      </c>
      <c r="B2750" t="s">
        <v>2622</v>
      </c>
      <c r="C2750" t="s">
        <v>1096</v>
      </c>
      <c r="D2750" t="s">
        <v>73</v>
      </c>
      <c r="E2750" t="s">
        <v>22</v>
      </c>
      <c r="F2750" s="30">
        <v>45838</v>
      </c>
      <c r="G2750" t="s">
        <v>2628</v>
      </c>
      <c r="H2750" t="s">
        <v>3457</v>
      </c>
      <c r="I2750">
        <v>90</v>
      </c>
      <c r="J2750">
        <v>109.879997253418</v>
      </c>
      <c r="EJ2750">
        <v>81</v>
      </c>
      <c r="EK2750">
        <v>89</v>
      </c>
    </row>
    <row r="2751" spans="1:141" x14ac:dyDescent="0.3">
      <c r="A2751">
        <v>509</v>
      </c>
      <c r="B2751" t="s">
        <v>2622</v>
      </c>
      <c r="C2751" t="s">
        <v>1096</v>
      </c>
      <c r="D2751" t="s">
        <v>73</v>
      </c>
      <c r="E2751" t="s">
        <v>22</v>
      </c>
      <c r="F2751" s="30">
        <v>45838</v>
      </c>
      <c r="G2751" t="s">
        <v>2628</v>
      </c>
      <c r="H2751" t="s">
        <v>3572</v>
      </c>
      <c r="I2751">
        <v>90</v>
      </c>
      <c r="J2751">
        <v>95.919998168945313</v>
      </c>
      <c r="EJ2751">
        <v>98</v>
      </c>
      <c r="EK2751">
        <v>94</v>
      </c>
    </row>
    <row r="2752" spans="1:141" x14ac:dyDescent="0.3">
      <c r="A2752">
        <v>509</v>
      </c>
      <c r="B2752" t="s">
        <v>2622</v>
      </c>
      <c r="C2752" t="s">
        <v>1096</v>
      </c>
      <c r="D2752" t="s">
        <v>73</v>
      </c>
      <c r="E2752" t="s">
        <v>22</v>
      </c>
      <c r="F2752" s="30">
        <v>45838</v>
      </c>
      <c r="G2752" t="s">
        <v>2628</v>
      </c>
      <c r="H2752" t="s">
        <v>3451</v>
      </c>
      <c r="I2752">
        <v>90</v>
      </c>
      <c r="J2752">
        <v>97.139999389648438</v>
      </c>
      <c r="EJ2752">
        <v>35</v>
      </c>
      <c r="EK2752">
        <v>34</v>
      </c>
    </row>
    <row r="2753" spans="1:141" x14ac:dyDescent="0.3">
      <c r="A2753">
        <v>509</v>
      </c>
      <c r="B2753" t="s">
        <v>2622</v>
      </c>
      <c r="C2753" t="s">
        <v>1096</v>
      </c>
      <c r="D2753" t="s">
        <v>73</v>
      </c>
      <c r="E2753" t="s">
        <v>22</v>
      </c>
      <c r="F2753" s="30">
        <v>45838</v>
      </c>
      <c r="G2753" t="s">
        <v>2628</v>
      </c>
      <c r="H2753" t="s">
        <v>3453</v>
      </c>
      <c r="I2753">
        <v>90</v>
      </c>
      <c r="J2753">
        <v>98.569999694824219</v>
      </c>
      <c r="EJ2753">
        <v>70</v>
      </c>
      <c r="EK2753">
        <v>69</v>
      </c>
    </row>
    <row r="2754" spans="1:141" x14ac:dyDescent="0.3">
      <c r="A2754">
        <v>509</v>
      </c>
      <c r="B2754" t="s">
        <v>2622</v>
      </c>
      <c r="C2754" t="s">
        <v>1096</v>
      </c>
      <c r="D2754" t="s">
        <v>73</v>
      </c>
      <c r="E2754" t="s">
        <v>22</v>
      </c>
      <c r="F2754" s="30">
        <v>45838</v>
      </c>
      <c r="G2754" t="s">
        <v>2628</v>
      </c>
      <c r="H2754" t="s">
        <v>3461</v>
      </c>
      <c r="I2754">
        <v>90</v>
      </c>
      <c r="J2754">
        <v>0</v>
      </c>
      <c r="EJ2754">
        <v>0</v>
      </c>
      <c r="EK2754">
        <v>0</v>
      </c>
    </row>
    <row r="2755" spans="1:141" x14ac:dyDescent="0.3">
      <c r="A2755">
        <v>509</v>
      </c>
      <c r="B2755" t="s">
        <v>2622</v>
      </c>
      <c r="C2755" t="s">
        <v>1096</v>
      </c>
      <c r="D2755" t="s">
        <v>73</v>
      </c>
      <c r="E2755" t="s">
        <v>22</v>
      </c>
      <c r="F2755" s="30">
        <v>45838</v>
      </c>
      <c r="G2755" t="s">
        <v>2628</v>
      </c>
      <c r="H2755" t="s">
        <v>3463</v>
      </c>
      <c r="I2755">
        <v>90</v>
      </c>
      <c r="J2755">
        <v>0</v>
      </c>
      <c r="EJ2755">
        <v>0</v>
      </c>
      <c r="EK2755">
        <v>0</v>
      </c>
    </row>
    <row r="2756" spans="1:141" x14ac:dyDescent="0.3">
      <c r="A2756">
        <v>509</v>
      </c>
      <c r="B2756" t="s">
        <v>2622</v>
      </c>
      <c r="C2756" t="s">
        <v>1096</v>
      </c>
      <c r="D2756" t="s">
        <v>73</v>
      </c>
      <c r="E2756" t="s">
        <v>22</v>
      </c>
      <c r="F2756" s="30">
        <v>45838</v>
      </c>
      <c r="G2756" t="s">
        <v>2628</v>
      </c>
      <c r="H2756" t="s">
        <v>3470</v>
      </c>
      <c r="I2756">
        <v>90</v>
      </c>
      <c r="J2756">
        <v>0</v>
      </c>
      <c r="EJ2756">
        <v>0</v>
      </c>
      <c r="EK2756">
        <v>0</v>
      </c>
    </row>
    <row r="2757" spans="1:141" x14ac:dyDescent="0.3">
      <c r="A2757">
        <v>509</v>
      </c>
      <c r="B2757" t="s">
        <v>2622</v>
      </c>
      <c r="C2757" t="s">
        <v>1096</v>
      </c>
      <c r="D2757" t="s">
        <v>73</v>
      </c>
      <c r="E2757" t="s">
        <v>22</v>
      </c>
      <c r="F2757" s="30">
        <v>45838</v>
      </c>
      <c r="G2757" t="s">
        <v>2628</v>
      </c>
      <c r="H2757" t="s">
        <v>3465</v>
      </c>
      <c r="I2757">
        <v>90</v>
      </c>
      <c r="J2757">
        <v>0</v>
      </c>
      <c r="EJ2757">
        <v>0</v>
      </c>
      <c r="EK2757">
        <v>0</v>
      </c>
    </row>
    <row r="2758" spans="1:141" x14ac:dyDescent="0.3">
      <c r="A2758">
        <v>509</v>
      </c>
      <c r="B2758" t="s">
        <v>2622</v>
      </c>
      <c r="C2758" t="s">
        <v>1096</v>
      </c>
      <c r="D2758" t="s">
        <v>73</v>
      </c>
      <c r="E2758" t="s">
        <v>22</v>
      </c>
      <c r="F2758" s="30">
        <v>45838</v>
      </c>
      <c r="G2758" t="s">
        <v>2628</v>
      </c>
      <c r="H2758" t="s">
        <v>3467</v>
      </c>
      <c r="I2758">
        <v>90</v>
      </c>
      <c r="J2758">
        <v>0</v>
      </c>
      <c r="EJ2758">
        <v>0</v>
      </c>
      <c r="EK2758">
        <v>0</v>
      </c>
    </row>
    <row r="2759" spans="1:141" x14ac:dyDescent="0.3">
      <c r="A2759">
        <v>509</v>
      </c>
      <c r="B2759" t="s">
        <v>2622</v>
      </c>
      <c r="C2759" t="s">
        <v>1096</v>
      </c>
      <c r="D2759" t="s">
        <v>73</v>
      </c>
      <c r="E2759" t="s">
        <v>22</v>
      </c>
      <c r="F2759" s="30">
        <v>45838</v>
      </c>
      <c r="G2759" t="s">
        <v>2628</v>
      </c>
      <c r="H2759" t="s">
        <v>3472</v>
      </c>
      <c r="I2759">
        <v>90</v>
      </c>
      <c r="J2759">
        <v>0</v>
      </c>
      <c r="EJ2759">
        <v>0</v>
      </c>
      <c r="EK2759">
        <v>0</v>
      </c>
    </row>
    <row r="2760" spans="1:141" x14ac:dyDescent="0.3">
      <c r="A2760">
        <v>509</v>
      </c>
      <c r="B2760" t="s">
        <v>2622</v>
      </c>
      <c r="C2760" t="s">
        <v>1096</v>
      </c>
      <c r="D2760" t="s">
        <v>73</v>
      </c>
      <c r="E2760" t="s">
        <v>22</v>
      </c>
      <c r="F2760" s="30">
        <v>45838</v>
      </c>
      <c r="G2760" t="s">
        <v>2628</v>
      </c>
      <c r="H2760" t="s">
        <v>4647</v>
      </c>
      <c r="I2760">
        <v>90</v>
      </c>
      <c r="J2760">
        <v>0</v>
      </c>
      <c r="EJ2760">
        <v>0</v>
      </c>
      <c r="EK2760">
        <v>0</v>
      </c>
    </row>
    <row r="2761" spans="1:141" x14ac:dyDescent="0.3">
      <c r="A2761">
        <v>509</v>
      </c>
      <c r="B2761" t="s">
        <v>2622</v>
      </c>
      <c r="C2761" t="s">
        <v>1096</v>
      </c>
      <c r="D2761" t="s">
        <v>73</v>
      </c>
      <c r="E2761" t="s">
        <v>22</v>
      </c>
      <c r="F2761" s="30">
        <v>45838</v>
      </c>
      <c r="G2761" t="s">
        <v>2628</v>
      </c>
      <c r="H2761" t="s">
        <v>4648</v>
      </c>
      <c r="I2761">
        <v>90</v>
      </c>
      <c r="J2761">
        <v>0</v>
      </c>
      <c r="EJ2761">
        <v>0</v>
      </c>
      <c r="EK2761">
        <v>0</v>
      </c>
    </row>
    <row r="2762" spans="1:141" x14ac:dyDescent="0.3">
      <c r="A2762">
        <v>509</v>
      </c>
      <c r="B2762" t="s">
        <v>2622</v>
      </c>
      <c r="C2762" t="s">
        <v>1096</v>
      </c>
      <c r="D2762" t="s">
        <v>73</v>
      </c>
      <c r="E2762" t="s">
        <v>22</v>
      </c>
      <c r="F2762" s="30">
        <v>45838</v>
      </c>
      <c r="G2762" t="s">
        <v>2628</v>
      </c>
      <c r="H2762" t="s">
        <v>4649</v>
      </c>
      <c r="I2762">
        <v>90</v>
      </c>
      <c r="J2762">
        <v>0</v>
      </c>
      <c r="EJ2762">
        <v>0</v>
      </c>
      <c r="EK2762">
        <v>0</v>
      </c>
    </row>
    <row r="2763" spans="1:141" x14ac:dyDescent="0.3">
      <c r="A2763">
        <v>509</v>
      </c>
      <c r="B2763" t="s">
        <v>2622</v>
      </c>
      <c r="C2763" t="s">
        <v>1096</v>
      </c>
      <c r="D2763" t="s">
        <v>73</v>
      </c>
      <c r="E2763" t="s">
        <v>22</v>
      </c>
      <c r="F2763" s="30">
        <v>45838</v>
      </c>
      <c r="G2763" t="s">
        <v>2628</v>
      </c>
      <c r="H2763" t="s">
        <v>4650</v>
      </c>
      <c r="I2763">
        <v>90</v>
      </c>
      <c r="J2763">
        <v>0</v>
      </c>
      <c r="EJ2763">
        <v>0</v>
      </c>
      <c r="EK2763">
        <v>0</v>
      </c>
    </row>
    <row r="2764" spans="1:141" x14ac:dyDescent="0.3">
      <c r="A2764">
        <v>509</v>
      </c>
      <c r="B2764" t="s">
        <v>2622</v>
      </c>
      <c r="C2764" t="s">
        <v>1096</v>
      </c>
      <c r="D2764" t="s">
        <v>73</v>
      </c>
      <c r="E2764" t="s">
        <v>22</v>
      </c>
      <c r="F2764" s="30">
        <v>45838</v>
      </c>
      <c r="G2764" t="s">
        <v>2628</v>
      </c>
      <c r="H2764" t="s">
        <v>3455</v>
      </c>
      <c r="I2764">
        <v>90</v>
      </c>
      <c r="J2764">
        <v>0</v>
      </c>
      <c r="EJ2764">
        <v>0</v>
      </c>
      <c r="EK2764">
        <v>0</v>
      </c>
    </row>
    <row r="2765" spans="1:141" x14ac:dyDescent="0.3">
      <c r="A2765">
        <v>509</v>
      </c>
      <c r="B2765" t="s">
        <v>2622</v>
      </c>
      <c r="C2765" t="s">
        <v>1096</v>
      </c>
      <c r="D2765" t="s">
        <v>73</v>
      </c>
      <c r="E2765" t="s">
        <v>22</v>
      </c>
      <c r="F2765" s="30">
        <v>45838</v>
      </c>
      <c r="G2765" t="s">
        <v>2628</v>
      </c>
      <c r="H2765" t="s">
        <v>3476</v>
      </c>
      <c r="I2765">
        <v>90</v>
      </c>
      <c r="J2765">
        <v>0</v>
      </c>
      <c r="EJ2765">
        <v>0</v>
      </c>
      <c r="EK2765">
        <v>0</v>
      </c>
    </row>
    <row r="2766" spans="1:141" x14ac:dyDescent="0.3">
      <c r="A2766">
        <v>509</v>
      </c>
      <c r="B2766" t="s">
        <v>2622</v>
      </c>
      <c r="C2766" t="s">
        <v>1096</v>
      </c>
      <c r="D2766" t="s">
        <v>73</v>
      </c>
      <c r="E2766" t="s">
        <v>22</v>
      </c>
      <c r="F2766" s="30">
        <v>45838</v>
      </c>
      <c r="G2766" t="s">
        <v>2628</v>
      </c>
      <c r="H2766" t="s">
        <v>3459</v>
      </c>
      <c r="I2766">
        <v>90</v>
      </c>
      <c r="J2766">
        <v>0</v>
      </c>
      <c r="EJ2766">
        <v>0</v>
      </c>
      <c r="EK2766">
        <v>0</v>
      </c>
    </row>
    <row r="2767" spans="1:141" x14ac:dyDescent="0.3">
      <c r="A2767">
        <v>203</v>
      </c>
      <c r="B2767" t="s">
        <v>676</v>
      </c>
      <c r="C2767" t="s">
        <v>210</v>
      </c>
      <c r="D2767" t="s">
        <v>39</v>
      </c>
      <c r="E2767" t="s">
        <v>22</v>
      </c>
      <c r="F2767" s="30">
        <v>45838</v>
      </c>
      <c r="G2767" t="s">
        <v>683</v>
      </c>
      <c r="H2767" t="s">
        <v>4494</v>
      </c>
      <c r="I2767">
        <v>95</v>
      </c>
      <c r="J2767">
        <v>110.7799987792969</v>
      </c>
      <c r="BA2767">
        <v>137196246234</v>
      </c>
      <c r="BB2767">
        <v>151992602412</v>
      </c>
    </row>
    <row r="2768" spans="1:141" x14ac:dyDescent="0.3">
      <c r="A2768">
        <v>203</v>
      </c>
      <c r="B2768" t="s">
        <v>676</v>
      </c>
      <c r="C2768" t="s">
        <v>210</v>
      </c>
      <c r="D2768" t="s">
        <v>39</v>
      </c>
      <c r="E2768" t="s">
        <v>22</v>
      </c>
      <c r="F2768" s="30">
        <v>45838</v>
      </c>
      <c r="G2768" t="s">
        <v>683</v>
      </c>
      <c r="H2768" t="s">
        <v>4495</v>
      </c>
      <c r="I2768">
        <v>95</v>
      </c>
      <c r="J2768">
        <v>128.4100036621094</v>
      </c>
      <c r="BA2768">
        <v>6845877311</v>
      </c>
      <c r="BB2768">
        <v>8790948119</v>
      </c>
    </row>
    <row r="2769" spans="1:54" x14ac:dyDescent="0.3">
      <c r="A2769">
        <v>203</v>
      </c>
      <c r="B2769" t="s">
        <v>676</v>
      </c>
      <c r="C2769" t="s">
        <v>210</v>
      </c>
      <c r="D2769" t="s">
        <v>39</v>
      </c>
      <c r="E2769" t="s">
        <v>22</v>
      </c>
      <c r="F2769" s="30">
        <v>45838</v>
      </c>
      <c r="G2769" t="s">
        <v>683</v>
      </c>
      <c r="H2769" t="s">
        <v>4496</v>
      </c>
      <c r="I2769">
        <v>95</v>
      </c>
      <c r="J2769">
        <v>115.2799987792969</v>
      </c>
      <c r="BA2769">
        <v>5908643785</v>
      </c>
      <c r="BB2769">
        <v>6811594765.8999996</v>
      </c>
    </row>
    <row r="2770" spans="1:54" x14ac:dyDescent="0.3">
      <c r="A2770">
        <v>215</v>
      </c>
      <c r="B2770" t="s">
        <v>824</v>
      </c>
      <c r="C2770" t="s">
        <v>251</v>
      </c>
      <c r="D2770" t="s">
        <v>39</v>
      </c>
      <c r="E2770" t="s">
        <v>22</v>
      </c>
      <c r="F2770" s="30">
        <v>45838</v>
      </c>
      <c r="G2770" t="s">
        <v>833</v>
      </c>
      <c r="H2770" t="s">
        <v>4468</v>
      </c>
      <c r="I2770">
        <v>1</v>
      </c>
      <c r="J2770">
        <v>0</v>
      </c>
      <c r="AC2770">
        <v>1.04</v>
      </c>
      <c r="AD2770">
        <v>1.04</v>
      </c>
    </row>
    <row r="2771" spans="1:54" x14ac:dyDescent="0.3">
      <c r="A2771">
        <v>215</v>
      </c>
      <c r="B2771" t="s">
        <v>824</v>
      </c>
      <c r="C2771" t="s">
        <v>251</v>
      </c>
      <c r="D2771" t="s">
        <v>39</v>
      </c>
      <c r="E2771" t="s">
        <v>22</v>
      </c>
      <c r="F2771" s="30">
        <v>45838</v>
      </c>
      <c r="G2771" t="s">
        <v>833</v>
      </c>
      <c r="H2771" t="s">
        <v>4470</v>
      </c>
      <c r="I2771">
        <v>1</v>
      </c>
      <c r="J2771">
        <v>22.219999313354489</v>
      </c>
      <c r="AC2771">
        <v>0.45</v>
      </c>
      <c r="AD2771">
        <v>0.35</v>
      </c>
    </row>
    <row r="2772" spans="1:54" x14ac:dyDescent="0.3">
      <c r="A2772">
        <v>215</v>
      </c>
      <c r="B2772" t="s">
        <v>824</v>
      </c>
      <c r="C2772" t="s">
        <v>251</v>
      </c>
      <c r="D2772" t="s">
        <v>39</v>
      </c>
      <c r="E2772" t="s">
        <v>22</v>
      </c>
      <c r="F2772" s="30">
        <v>45838</v>
      </c>
      <c r="G2772" t="s">
        <v>833</v>
      </c>
      <c r="H2772" t="s">
        <v>4477</v>
      </c>
      <c r="I2772">
        <v>1</v>
      </c>
      <c r="J2772">
        <v>0</v>
      </c>
      <c r="AC2772">
        <v>0</v>
      </c>
      <c r="AD2772">
        <v>0.82</v>
      </c>
    </row>
    <row r="2773" spans="1:54" x14ac:dyDescent="0.3">
      <c r="A2773">
        <v>215</v>
      </c>
      <c r="B2773" t="s">
        <v>824</v>
      </c>
      <c r="C2773" t="s">
        <v>251</v>
      </c>
      <c r="D2773" t="s">
        <v>39</v>
      </c>
      <c r="E2773" t="s">
        <v>22</v>
      </c>
      <c r="F2773" s="30">
        <v>45838</v>
      </c>
      <c r="G2773" t="s">
        <v>833</v>
      </c>
      <c r="H2773" t="s">
        <v>4469</v>
      </c>
      <c r="I2773">
        <v>0</v>
      </c>
      <c r="J2773">
        <v>-16.670000076293949</v>
      </c>
      <c r="AC2773">
        <v>0.3</v>
      </c>
      <c r="AD2773">
        <v>0.35</v>
      </c>
    </row>
    <row r="2774" spans="1:54" x14ac:dyDescent="0.3">
      <c r="A2774">
        <v>215</v>
      </c>
      <c r="B2774" t="s">
        <v>824</v>
      </c>
      <c r="C2774" t="s">
        <v>251</v>
      </c>
      <c r="D2774" t="s">
        <v>39</v>
      </c>
      <c r="E2774" t="s">
        <v>22</v>
      </c>
      <c r="F2774" s="30">
        <v>45838</v>
      </c>
      <c r="G2774" t="s">
        <v>833</v>
      </c>
      <c r="H2774" t="s">
        <v>4476</v>
      </c>
      <c r="I2774">
        <v>1</v>
      </c>
      <c r="J2774">
        <v>0</v>
      </c>
      <c r="AC2774">
        <v>0</v>
      </c>
      <c r="AD2774">
        <v>0.03</v>
      </c>
    </row>
    <row r="2775" spans="1:54" x14ac:dyDescent="0.3">
      <c r="A2775">
        <v>215</v>
      </c>
      <c r="B2775" t="s">
        <v>824</v>
      </c>
      <c r="C2775" t="s">
        <v>251</v>
      </c>
      <c r="D2775" t="s">
        <v>39</v>
      </c>
      <c r="E2775" t="s">
        <v>22</v>
      </c>
      <c r="F2775" s="30">
        <v>45838</v>
      </c>
      <c r="G2775" t="s">
        <v>833</v>
      </c>
      <c r="H2775" t="s">
        <v>4478</v>
      </c>
      <c r="I2775">
        <v>1</v>
      </c>
      <c r="J2775">
        <v>-255.05999755859381</v>
      </c>
      <c r="AC2775">
        <v>0.89</v>
      </c>
      <c r="AD2775">
        <v>3.16</v>
      </c>
    </row>
    <row r="2776" spans="1:54" x14ac:dyDescent="0.3">
      <c r="A2776">
        <v>219</v>
      </c>
      <c r="B2776" t="s">
        <v>938</v>
      </c>
      <c r="C2776" t="s">
        <v>251</v>
      </c>
      <c r="D2776" t="s">
        <v>39</v>
      </c>
      <c r="E2776" t="s">
        <v>22</v>
      </c>
      <c r="F2776" s="30">
        <v>45838</v>
      </c>
      <c r="G2776" t="s">
        <v>945</v>
      </c>
      <c r="H2776" t="s">
        <v>4468</v>
      </c>
      <c r="I2776">
        <v>1</v>
      </c>
      <c r="J2776">
        <v>2.5699999332427979</v>
      </c>
      <c r="O2776">
        <v>2338</v>
      </c>
      <c r="P2776">
        <v>2240</v>
      </c>
      <c r="Q2776">
        <v>14736</v>
      </c>
      <c r="R2776">
        <v>0</v>
      </c>
      <c r="S2776">
        <v>2232</v>
      </c>
      <c r="T2776">
        <v>2683</v>
      </c>
      <c r="U2776">
        <v>13824</v>
      </c>
      <c r="V2776">
        <v>0</v>
      </c>
      <c r="W2776">
        <v>391333.21</v>
      </c>
      <c r="X2776">
        <v>389679</v>
      </c>
    </row>
    <row r="2777" spans="1:54" x14ac:dyDescent="0.3">
      <c r="A2777">
        <v>219</v>
      </c>
      <c r="B2777" t="s">
        <v>938</v>
      </c>
      <c r="C2777" t="s">
        <v>251</v>
      </c>
      <c r="D2777" t="s">
        <v>39</v>
      </c>
      <c r="E2777" t="s">
        <v>22</v>
      </c>
      <c r="F2777" s="30">
        <v>45838</v>
      </c>
      <c r="G2777" t="s">
        <v>945</v>
      </c>
      <c r="H2777" t="s">
        <v>4477</v>
      </c>
      <c r="I2777">
        <v>1</v>
      </c>
      <c r="J2777">
        <v>7.0399999618530273</v>
      </c>
      <c r="O2777">
        <v>51</v>
      </c>
      <c r="P2777">
        <v>38</v>
      </c>
      <c r="Q2777">
        <v>189</v>
      </c>
      <c r="R2777">
        <v>0</v>
      </c>
      <c r="S2777">
        <v>66</v>
      </c>
      <c r="T2777">
        <v>71</v>
      </c>
      <c r="U2777">
        <v>135</v>
      </c>
      <c r="V2777">
        <v>0</v>
      </c>
      <c r="W2777">
        <v>24000</v>
      </c>
      <c r="X2777">
        <v>25260</v>
      </c>
    </row>
    <row r="2778" spans="1:54" x14ac:dyDescent="0.3">
      <c r="A2778">
        <v>219</v>
      </c>
      <c r="B2778" t="s">
        <v>938</v>
      </c>
      <c r="C2778" t="s">
        <v>251</v>
      </c>
      <c r="D2778" t="s">
        <v>39</v>
      </c>
      <c r="E2778" t="s">
        <v>22</v>
      </c>
      <c r="F2778" s="30">
        <v>45838</v>
      </c>
      <c r="G2778" t="s">
        <v>945</v>
      </c>
      <c r="H2778" t="s">
        <v>4469</v>
      </c>
      <c r="I2778">
        <v>1</v>
      </c>
      <c r="J2778">
        <v>38.189998626708977</v>
      </c>
      <c r="O2778">
        <v>387</v>
      </c>
      <c r="P2778">
        <v>810</v>
      </c>
      <c r="Q2778">
        <v>13541</v>
      </c>
      <c r="R2778">
        <v>144</v>
      </c>
      <c r="S2778">
        <v>374</v>
      </c>
      <c r="T2778">
        <v>922</v>
      </c>
      <c r="U2778">
        <v>10413</v>
      </c>
      <c r="V2778">
        <v>5</v>
      </c>
      <c r="W2778">
        <v>108240</v>
      </c>
      <c r="X2778">
        <v>137838</v>
      </c>
    </row>
    <row r="2779" spans="1:54" x14ac:dyDescent="0.3">
      <c r="A2779">
        <v>219</v>
      </c>
      <c r="B2779" t="s">
        <v>938</v>
      </c>
      <c r="C2779" t="s">
        <v>251</v>
      </c>
      <c r="D2779" t="s">
        <v>39</v>
      </c>
      <c r="E2779" t="s">
        <v>22</v>
      </c>
      <c r="F2779" s="30">
        <v>45838</v>
      </c>
      <c r="G2779" t="s">
        <v>945</v>
      </c>
      <c r="H2779" t="s">
        <v>4476</v>
      </c>
      <c r="I2779">
        <v>1</v>
      </c>
      <c r="J2779">
        <v>96.449996948242188</v>
      </c>
      <c r="O2779">
        <v>24</v>
      </c>
      <c r="P2779">
        <v>24</v>
      </c>
      <c r="Q2779">
        <v>3553</v>
      </c>
      <c r="R2779">
        <v>0</v>
      </c>
      <c r="S2779">
        <v>9</v>
      </c>
      <c r="T2779">
        <v>26</v>
      </c>
      <c r="U2779">
        <v>2938</v>
      </c>
      <c r="V2779">
        <v>0</v>
      </c>
      <c r="W2779">
        <v>960</v>
      </c>
      <c r="X2779">
        <v>22320</v>
      </c>
    </row>
    <row r="2780" spans="1:54" x14ac:dyDescent="0.3">
      <c r="A2780">
        <v>219</v>
      </c>
      <c r="B2780" t="s">
        <v>938</v>
      </c>
      <c r="C2780" t="s">
        <v>251</v>
      </c>
      <c r="D2780" t="s">
        <v>39</v>
      </c>
      <c r="E2780" t="s">
        <v>22</v>
      </c>
      <c r="F2780" s="30">
        <v>45838</v>
      </c>
      <c r="G2780" t="s">
        <v>945</v>
      </c>
      <c r="H2780" t="s">
        <v>4478</v>
      </c>
      <c r="I2780">
        <v>1</v>
      </c>
      <c r="J2780">
        <v>-54.950000762939453</v>
      </c>
      <c r="O2780">
        <v>12</v>
      </c>
      <c r="P2780">
        <v>10</v>
      </c>
      <c r="Q2780">
        <v>60</v>
      </c>
      <c r="R2780">
        <v>0</v>
      </c>
      <c r="S2780">
        <v>10</v>
      </c>
      <c r="T2780">
        <v>10</v>
      </c>
      <c r="U2780">
        <v>48</v>
      </c>
      <c r="V2780">
        <v>0</v>
      </c>
      <c r="W2780">
        <v>14079</v>
      </c>
      <c r="X2780">
        <v>7535</v>
      </c>
    </row>
    <row r="2781" spans="1:54" x14ac:dyDescent="0.3">
      <c r="A2781">
        <v>219</v>
      </c>
      <c r="B2781" t="s">
        <v>938</v>
      </c>
      <c r="C2781" t="s">
        <v>251</v>
      </c>
      <c r="D2781" t="s">
        <v>39</v>
      </c>
      <c r="E2781" t="s">
        <v>22</v>
      </c>
      <c r="F2781" s="30">
        <v>45838</v>
      </c>
      <c r="G2781" t="s">
        <v>945</v>
      </c>
      <c r="H2781" t="s">
        <v>4470</v>
      </c>
      <c r="I2781">
        <v>1</v>
      </c>
      <c r="J2781">
        <v>20.479999542236332</v>
      </c>
      <c r="O2781">
        <v>483</v>
      </c>
      <c r="P2781">
        <v>23</v>
      </c>
      <c r="Q2781">
        <v>11976</v>
      </c>
      <c r="R2781">
        <v>3010</v>
      </c>
      <c r="S2781">
        <v>477</v>
      </c>
      <c r="T2781">
        <v>24</v>
      </c>
      <c r="U2781">
        <v>8635</v>
      </c>
      <c r="V2781">
        <v>2925</v>
      </c>
      <c r="W2781">
        <v>272460</v>
      </c>
      <c r="X2781">
        <v>266760</v>
      </c>
    </row>
    <row r="2782" spans="1:54" x14ac:dyDescent="0.3">
      <c r="A2782">
        <v>220</v>
      </c>
      <c r="B2782" t="s">
        <v>947</v>
      </c>
      <c r="C2782" t="s">
        <v>251</v>
      </c>
      <c r="D2782" t="s">
        <v>39</v>
      </c>
      <c r="E2782" t="s">
        <v>22</v>
      </c>
      <c r="F2782" s="30">
        <v>45838</v>
      </c>
      <c r="G2782" t="s">
        <v>954</v>
      </c>
      <c r="H2782" t="s">
        <v>4468</v>
      </c>
      <c r="I2782">
        <v>1</v>
      </c>
      <c r="J2782">
        <v>26.829999923706051</v>
      </c>
      <c r="O2782">
        <v>2338</v>
      </c>
      <c r="P2782">
        <v>2240</v>
      </c>
      <c r="Q2782">
        <v>14736</v>
      </c>
      <c r="R2782">
        <v>0</v>
      </c>
      <c r="S2782">
        <v>2232</v>
      </c>
      <c r="T2782">
        <v>2683</v>
      </c>
      <c r="U2782">
        <v>13824</v>
      </c>
      <c r="V2782">
        <v>0</v>
      </c>
      <c r="Y2782">
        <v>3849</v>
      </c>
      <c r="Z2782">
        <v>5104</v>
      </c>
    </row>
    <row r="2783" spans="1:54" x14ac:dyDescent="0.3">
      <c r="A2783">
        <v>220</v>
      </c>
      <c r="B2783" t="s">
        <v>947</v>
      </c>
      <c r="C2783" t="s">
        <v>251</v>
      </c>
      <c r="D2783" t="s">
        <v>39</v>
      </c>
      <c r="E2783" t="s">
        <v>22</v>
      </c>
      <c r="F2783" s="30">
        <v>45838</v>
      </c>
      <c r="G2783" t="s">
        <v>954</v>
      </c>
      <c r="H2783" t="s">
        <v>4470</v>
      </c>
      <c r="I2783">
        <v>1</v>
      </c>
      <c r="J2783">
        <v>-0.72000002861022949</v>
      </c>
      <c r="O2783">
        <v>483</v>
      </c>
      <c r="P2783">
        <v>23</v>
      </c>
      <c r="Q2783">
        <v>11976</v>
      </c>
      <c r="R2783">
        <v>3010</v>
      </c>
      <c r="S2783">
        <v>477</v>
      </c>
      <c r="T2783">
        <v>24</v>
      </c>
      <c r="U2783">
        <v>8635</v>
      </c>
      <c r="V2783">
        <v>2925</v>
      </c>
      <c r="Y2783">
        <v>2273</v>
      </c>
      <c r="Z2783">
        <v>1757</v>
      </c>
    </row>
    <row r="2784" spans="1:54" x14ac:dyDescent="0.3">
      <c r="A2784">
        <v>220</v>
      </c>
      <c r="B2784" t="s">
        <v>947</v>
      </c>
      <c r="C2784" t="s">
        <v>251</v>
      </c>
      <c r="D2784" t="s">
        <v>39</v>
      </c>
      <c r="E2784" t="s">
        <v>22</v>
      </c>
      <c r="F2784" s="30">
        <v>45838</v>
      </c>
      <c r="G2784" t="s">
        <v>954</v>
      </c>
      <c r="H2784" t="s">
        <v>4477</v>
      </c>
      <c r="I2784">
        <v>1</v>
      </c>
      <c r="J2784">
        <v>-37.380001068115227</v>
      </c>
      <c r="O2784">
        <v>51</v>
      </c>
      <c r="P2784">
        <v>38</v>
      </c>
      <c r="Q2784">
        <v>189</v>
      </c>
      <c r="R2784">
        <v>0</v>
      </c>
      <c r="S2784">
        <v>66</v>
      </c>
      <c r="T2784">
        <v>71</v>
      </c>
      <c r="U2784">
        <v>135</v>
      </c>
      <c r="V2784">
        <v>0</v>
      </c>
      <c r="Y2784">
        <v>102.5</v>
      </c>
      <c r="Z2784">
        <v>73</v>
      </c>
    </row>
    <row r="2785" spans="1:137" x14ac:dyDescent="0.3">
      <c r="A2785">
        <v>220</v>
      </c>
      <c r="B2785" t="s">
        <v>947</v>
      </c>
      <c r="C2785" t="s">
        <v>251</v>
      </c>
      <c r="D2785" t="s">
        <v>39</v>
      </c>
      <c r="E2785" t="s">
        <v>22</v>
      </c>
      <c r="F2785" s="30">
        <v>45838</v>
      </c>
      <c r="G2785" t="s">
        <v>954</v>
      </c>
      <c r="H2785" t="s">
        <v>4469</v>
      </c>
      <c r="I2785">
        <v>1</v>
      </c>
      <c r="J2785">
        <v>64.709999084472656</v>
      </c>
      <c r="O2785">
        <v>387</v>
      </c>
      <c r="P2785">
        <v>810</v>
      </c>
      <c r="Q2785">
        <v>13541</v>
      </c>
      <c r="R2785">
        <v>144</v>
      </c>
      <c r="S2785">
        <v>374</v>
      </c>
      <c r="T2785">
        <v>922</v>
      </c>
      <c r="U2785">
        <v>10413</v>
      </c>
      <c r="V2785">
        <v>5</v>
      </c>
      <c r="Y2785">
        <v>1125</v>
      </c>
      <c r="Z2785">
        <v>2509</v>
      </c>
    </row>
    <row r="2786" spans="1:137" x14ac:dyDescent="0.3">
      <c r="A2786">
        <v>220</v>
      </c>
      <c r="B2786" t="s">
        <v>947</v>
      </c>
      <c r="C2786" t="s">
        <v>251</v>
      </c>
      <c r="D2786" t="s">
        <v>39</v>
      </c>
      <c r="E2786" t="s">
        <v>22</v>
      </c>
      <c r="F2786" s="30">
        <v>45838</v>
      </c>
      <c r="G2786" t="s">
        <v>954</v>
      </c>
      <c r="H2786" t="s">
        <v>4478</v>
      </c>
      <c r="I2786">
        <v>1</v>
      </c>
      <c r="J2786">
        <v>98.760002136230469</v>
      </c>
      <c r="O2786">
        <v>12</v>
      </c>
      <c r="P2786">
        <v>10</v>
      </c>
      <c r="Q2786">
        <v>60</v>
      </c>
      <c r="R2786">
        <v>0</v>
      </c>
      <c r="S2786">
        <v>10</v>
      </c>
      <c r="T2786">
        <v>10</v>
      </c>
      <c r="U2786">
        <v>48</v>
      </c>
      <c r="V2786">
        <v>0</v>
      </c>
      <c r="Y2786">
        <v>1</v>
      </c>
      <c r="Z2786">
        <v>67</v>
      </c>
    </row>
    <row r="2787" spans="1:137" x14ac:dyDescent="0.3">
      <c r="A2787">
        <v>220</v>
      </c>
      <c r="B2787" t="s">
        <v>947</v>
      </c>
      <c r="C2787" t="s">
        <v>251</v>
      </c>
      <c r="D2787" t="s">
        <v>39</v>
      </c>
      <c r="E2787" t="s">
        <v>22</v>
      </c>
      <c r="F2787" s="30">
        <v>45838</v>
      </c>
      <c r="G2787" t="s">
        <v>954</v>
      </c>
      <c r="H2787" t="s">
        <v>4476</v>
      </c>
      <c r="I2787">
        <v>1</v>
      </c>
      <c r="O2787">
        <v>24</v>
      </c>
      <c r="P2787">
        <v>24</v>
      </c>
      <c r="Q2787">
        <v>3553</v>
      </c>
      <c r="R2787">
        <v>0</v>
      </c>
      <c r="S2787">
        <v>9</v>
      </c>
      <c r="T2787">
        <v>26</v>
      </c>
      <c r="U2787">
        <v>2938</v>
      </c>
      <c r="V2787">
        <v>0</v>
      </c>
      <c r="Y2787">
        <v>0</v>
      </c>
      <c r="Z2787">
        <v>0</v>
      </c>
    </row>
    <row r="2788" spans="1:137" x14ac:dyDescent="0.3">
      <c r="A2788">
        <v>274</v>
      </c>
      <c r="B2788" t="s">
        <v>1369</v>
      </c>
      <c r="C2788" t="s">
        <v>1292</v>
      </c>
      <c r="D2788" t="s">
        <v>39</v>
      </c>
      <c r="E2788" t="s">
        <v>22</v>
      </c>
      <c r="F2788" s="30">
        <v>45838</v>
      </c>
      <c r="G2788" t="s">
        <v>1373</v>
      </c>
      <c r="H2788" t="s">
        <v>4497</v>
      </c>
      <c r="I2788">
        <v>100</v>
      </c>
      <c r="J2788">
        <v>106.38999938964839</v>
      </c>
      <c r="BC2788">
        <v>283</v>
      </c>
      <c r="BD2788">
        <v>266</v>
      </c>
    </row>
    <row r="2789" spans="1:137" x14ac:dyDescent="0.3">
      <c r="A2789">
        <v>274</v>
      </c>
      <c r="B2789" t="s">
        <v>1369</v>
      </c>
      <c r="C2789" t="s">
        <v>1292</v>
      </c>
      <c r="D2789" t="s">
        <v>39</v>
      </c>
      <c r="E2789" t="s">
        <v>22</v>
      </c>
      <c r="F2789" s="30">
        <v>45838</v>
      </c>
      <c r="G2789" t="s">
        <v>1373</v>
      </c>
      <c r="H2789" t="s">
        <v>4498</v>
      </c>
      <c r="I2789">
        <v>100</v>
      </c>
      <c r="J2789">
        <v>103.86000061035161</v>
      </c>
      <c r="BC2789">
        <v>6504</v>
      </c>
      <c r="BD2789">
        <v>6262</v>
      </c>
    </row>
    <row r="2790" spans="1:137" x14ac:dyDescent="0.3">
      <c r="A2790">
        <v>274</v>
      </c>
      <c r="B2790" t="s">
        <v>1369</v>
      </c>
      <c r="C2790" t="s">
        <v>1292</v>
      </c>
      <c r="D2790" t="s">
        <v>39</v>
      </c>
      <c r="E2790" t="s">
        <v>22</v>
      </c>
      <c r="F2790" s="30">
        <v>45838</v>
      </c>
      <c r="G2790" t="s">
        <v>1373</v>
      </c>
      <c r="H2790" t="s">
        <v>4499</v>
      </c>
      <c r="I2790">
        <v>100</v>
      </c>
      <c r="J2790">
        <v>107.05999755859381</v>
      </c>
      <c r="BC2790">
        <v>33982</v>
      </c>
      <c r="BD2790">
        <v>31740</v>
      </c>
    </row>
    <row r="2791" spans="1:137" x14ac:dyDescent="0.3">
      <c r="A2791">
        <v>274</v>
      </c>
      <c r="B2791" t="s">
        <v>1369</v>
      </c>
      <c r="C2791" t="s">
        <v>1292</v>
      </c>
      <c r="D2791" t="s">
        <v>39</v>
      </c>
      <c r="E2791" t="s">
        <v>22</v>
      </c>
      <c r="F2791" s="30">
        <v>45838</v>
      </c>
      <c r="G2791" t="s">
        <v>1373</v>
      </c>
      <c r="H2791" t="s">
        <v>4500</v>
      </c>
      <c r="I2791">
        <v>100</v>
      </c>
      <c r="J2791">
        <v>89.870002746582031</v>
      </c>
      <c r="BC2791">
        <v>1580</v>
      </c>
      <c r="BD2791">
        <v>1758</v>
      </c>
    </row>
    <row r="2792" spans="1:137" x14ac:dyDescent="0.3">
      <c r="A2792">
        <v>275</v>
      </c>
      <c r="B2792" t="s">
        <v>1375</v>
      </c>
      <c r="C2792" t="s">
        <v>1376</v>
      </c>
      <c r="D2792" t="s">
        <v>39</v>
      </c>
      <c r="E2792" t="s">
        <v>22</v>
      </c>
      <c r="F2792" s="30">
        <v>45838</v>
      </c>
      <c r="G2792" t="s">
        <v>1380</v>
      </c>
      <c r="H2792" t="s">
        <v>4512</v>
      </c>
      <c r="I2792">
        <v>80</v>
      </c>
      <c r="J2792">
        <v>90</v>
      </c>
      <c r="EG2792">
        <v>90</v>
      </c>
    </row>
    <row r="2793" spans="1:137" x14ac:dyDescent="0.3">
      <c r="A2793">
        <v>278</v>
      </c>
      <c r="B2793" t="s">
        <v>1399</v>
      </c>
      <c r="C2793" t="s">
        <v>1383</v>
      </c>
      <c r="D2793" t="s">
        <v>39</v>
      </c>
      <c r="E2793" t="s">
        <v>22</v>
      </c>
      <c r="F2793" s="30">
        <v>45838</v>
      </c>
      <c r="G2793" t="s">
        <v>1400</v>
      </c>
      <c r="H2793" t="s">
        <v>4501</v>
      </c>
      <c r="J2793">
        <v>671</v>
      </c>
      <c r="BE2793">
        <v>671</v>
      </c>
    </row>
    <row r="2794" spans="1:137" x14ac:dyDescent="0.3">
      <c r="A2794">
        <v>278</v>
      </c>
      <c r="B2794" t="s">
        <v>1399</v>
      </c>
      <c r="C2794" t="s">
        <v>1383</v>
      </c>
      <c r="D2794" t="s">
        <v>39</v>
      </c>
      <c r="E2794" t="s">
        <v>22</v>
      </c>
      <c r="F2794" s="30">
        <v>45838</v>
      </c>
      <c r="G2794" t="s">
        <v>1400</v>
      </c>
      <c r="H2794" t="s">
        <v>4503</v>
      </c>
      <c r="J2794">
        <v>142</v>
      </c>
      <c r="BE2794">
        <v>142</v>
      </c>
    </row>
    <row r="2795" spans="1:137" x14ac:dyDescent="0.3">
      <c r="A2795">
        <v>278</v>
      </c>
      <c r="B2795" t="s">
        <v>1399</v>
      </c>
      <c r="C2795" t="s">
        <v>1383</v>
      </c>
      <c r="D2795" t="s">
        <v>39</v>
      </c>
      <c r="E2795" t="s">
        <v>22</v>
      </c>
      <c r="F2795" s="30">
        <v>45838</v>
      </c>
      <c r="G2795" t="s">
        <v>1400</v>
      </c>
      <c r="H2795" t="s">
        <v>4502</v>
      </c>
      <c r="J2795">
        <v>286</v>
      </c>
      <c r="BE2795">
        <v>286</v>
      </c>
    </row>
    <row r="2796" spans="1:137" x14ac:dyDescent="0.3">
      <c r="A2796">
        <v>286</v>
      </c>
      <c r="B2796" t="s">
        <v>1433</v>
      </c>
      <c r="C2796" t="s">
        <v>1383</v>
      </c>
      <c r="D2796" t="s">
        <v>39</v>
      </c>
      <c r="E2796" t="s">
        <v>22</v>
      </c>
      <c r="F2796" s="30">
        <v>45838</v>
      </c>
      <c r="G2796" t="s">
        <v>1434</v>
      </c>
      <c r="H2796" t="s">
        <v>4504</v>
      </c>
      <c r="J2796">
        <v>94</v>
      </c>
      <c r="BF2796">
        <v>94</v>
      </c>
    </row>
    <row r="2797" spans="1:137" x14ac:dyDescent="0.3">
      <c r="A2797">
        <v>286</v>
      </c>
      <c r="B2797" t="s">
        <v>1433</v>
      </c>
      <c r="C2797" t="s">
        <v>1383</v>
      </c>
      <c r="D2797" t="s">
        <v>39</v>
      </c>
      <c r="E2797" t="s">
        <v>22</v>
      </c>
      <c r="F2797" s="30">
        <v>45838</v>
      </c>
      <c r="G2797" t="s">
        <v>1434</v>
      </c>
      <c r="H2797" t="s">
        <v>4505</v>
      </c>
      <c r="J2797">
        <v>846</v>
      </c>
      <c r="BF2797">
        <v>846</v>
      </c>
    </row>
    <row r="2798" spans="1:137" x14ac:dyDescent="0.3">
      <c r="A2798">
        <v>286</v>
      </c>
      <c r="B2798" t="s">
        <v>1433</v>
      </c>
      <c r="C2798" t="s">
        <v>1383</v>
      </c>
      <c r="D2798" t="s">
        <v>39</v>
      </c>
      <c r="E2798" t="s">
        <v>22</v>
      </c>
      <c r="F2798" s="30">
        <v>45838</v>
      </c>
      <c r="G2798" t="s">
        <v>1434</v>
      </c>
      <c r="H2798" t="s">
        <v>4506</v>
      </c>
      <c r="J2798">
        <v>90</v>
      </c>
      <c r="BF2798">
        <v>90</v>
      </c>
    </row>
    <row r="2799" spans="1:137" x14ac:dyDescent="0.3">
      <c r="A2799">
        <v>286</v>
      </c>
      <c r="B2799" t="s">
        <v>1433</v>
      </c>
      <c r="C2799" t="s">
        <v>1383</v>
      </c>
      <c r="D2799" t="s">
        <v>39</v>
      </c>
      <c r="E2799" t="s">
        <v>22</v>
      </c>
      <c r="F2799" s="30">
        <v>45838</v>
      </c>
      <c r="G2799" t="s">
        <v>1434</v>
      </c>
      <c r="H2799" t="s">
        <v>4507</v>
      </c>
      <c r="J2799">
        <v>69</v>
      </c>
      <c r="BF2799">
        <v>69</v>
      </c>
    </row>
    <row r="2800" spans="1:137" x14ac:dyDescent="0.3">
      <c r="A2800">
        <v>292</v>
      </c>
      <c r="B2800" t="s">
        <v>1465</v>
      </c>
      <c r="C2800" t="s">
        <v>1460</v>
      </c>
      <c r="D2800" t="s">
        <v>39</v>
      </c>
      <c r="E2800" t="s">
        <v>22</v>
      </c>
      <c r="F2800" s="30">
        <v>45838</v>
      </c>
      <c r="G2800" t="s">
        <v>1470</v>
      </c>
      <c r="H2800" t="s">
        <v>4508</v>
      </c>
      <c r="I2800">
        <v>8</v>
      </c>
      <c r="J2800">
        <v>0.17000000178813929</v>
      </c>
      <c r="BG2800">
        <v>1784</v>
      </c>
      <c r="BH2800">
        <v>1781</v>
      </c>
    </row>
    <row r="2801" spans="1:116" x14ac:dyDescent="0.3">
      <c r="A2801">
        <v>292</v>
      </c>
      <c r="B2801" t="s">
        <v>1465</v>
      </c>
      <c r="C2801" t="s">
        <v>1460</v>
      </c>
      <c r="D2801" t="s">
        <v>39</v>
      </c>
      <c r="E2801" t="s">
        <v>22</v>
      </c>
      <c r="F2801" s="30">
        <v>45838</v>
      </c>
      <c r="G2801" t="s">
        <v>1470</v>
      </c>
      <c r="H2801" t="s">
        <v>4509</v>
      </c>
      <c r="I2801">
        <v>8</v>
      </c>
      <c r="J2801">
        <v>-17.680000305175781</v>
      </c>
      <c r="BG2801">
        <v>689</v>
      </c>
      <c r="BH2801">
        <v>837</v>
      </c>
    </row>
    <row r="2802" spans="1:116" x14ac:dyDescent="0.3">
      <c r="A2802">
        <v>292</v>
      </c>
      <c r="B2802" t="s">
        <v>1465</v>
      </c>
      <c r="C2802" t="s">
        <v>1460</v>
      </c>
      <c r="D2802" t="s">
        <v>39</v>
      </c>
      <c r="E2802" t="s">
        <v>22</v>
      </c>
      <c r="F2802" s="30">
        <v>45838</v>
      </c>
      <c r="G2802" t="s">
        <v>1470</v>
      </c>
      <c r="H2802" t="s">
        <v>4510</v>
      </c>
      <c r="I2802">
        <v>8</v>
      </c>
      <c r="J2802">
        <v>126.4499969482422</v>
      </c>
      <c r="BG2802">
        <v>779</v>
      </c>
      <c r="BH2802">
        <v>344</v>
      </c>
    </row>
    <row r="2803" spans="1:116" x14ac:dyDescent="0.3">
      <c r="A2803">
        <v>294</v>
      </c>
      <c r="B2803" t="s">
        <v>1481</v>
      </c>
      <c r="C2803" t="s">
        <v>1460</v>
      </c>
      <c r="D2803" t="s">
        <v>39</v>
      </c>
      <c r="E2803" t="s">
        <v>22</v>
      </c>
      <c r="F2803" s="30">
        <v>45838</v>
      </c>
      <c r="G2803" t="s">
        <v>1483</v>
      </c>
      <c r="H2803" t="s">
        <v>4509</v>
      </c>
      <c r="I2803">
        <v>8</v>
      </c>
      <c r="J2803">
        <v>-17.360000610351559</v>
      </c>
      <c r="BI2803">
        <v>376</v>
      </c>
      <c r="BJ2803">
        <v>455</v>
      </c>
    </row>
    <row r="2804" spans="1:116" x14ac:dyDescent="0.3">
      <c r="A2804">
        <v>294</v>
      </c>
      <c r="B2804" t="s">
        <v>1481</v>
      </c>
      <c r="C2804" t="s">
        <v>1460</v>
      </c>
      <c r="D2804" t="s">
        <v>39</v>
      </c>
      <c r="E2804" t="s">
        <v>22</v>
      </c>
      <c r="F2804" s="30">
        <v>45838</v>
      </c>
      <c r="G2804" t="s">
        <v>1483</v>
      </c>
      <c r="H2804" t="s">
        <v>4510</v>
      </c>
      <c r="I2804">
        <v>8</v>
      </c>
      <c r="J2804">
        <v>-22.989999771118161</v>
      </c>
      <c r="BI2804">
        <v>134</v>
      </c>
      <c r="BJ2804">
        <v>174</v>
      </c>
    </row>
    <row r="2805" spans="1:116" x14ac:dyDescent="0.3">
      <c r="A2805">
        <v>294</v>
      </c>
      <c r="B2805" t="s">
        <v>1481</v>
      </c>
      <c r="C2805" t="s">
        <v>1460</v>
      </c>
      <c r="D2805" t="s">
        <v>39</v>
      </c>
      <c r="E2805" t="s">
        <v>22</v>
      </c>
      <c r="F2805" s="30">
        <v>45838</v>
      </c>
      <c r="G2805" t="s">
        <v>1483</v>
      </c>
      <c r="H2805" t="s">
        <v>4508</v>
      </c>
      <c r="I2805">
        <v>8</v>
      </c>
      <c r="J2805">
        <v>-0.81999999284744263</v>
      </c>
      <c r="BI2805">
        <v>725</v>
      </c>
      <c r="BJ2805">
        <v>731</v>
      </c>
    </row>
    <row r="2806" spans="1:116" x14ac:dyDescent="0.3">
      <c r="A2806">
        <v>302</v>
      </c>
      <c r="B2806" t="s">
        <v>1524</v>
      </c>
      <c r="C2806" t="s">
        <v>1336</v>
      </c>
      <c r="D2806" t="s">
        <v>39</v>
      </c>
      <c r="E2806" t="s">
        <v>22</v>
      </c>
      <c r="F2806" s="30">
        <v>45838</v>
      </c>
      <c r="G2806" t="s">
        <v>1525</v>
      </c>
      <c r="H2806" t="s">
        <v>4630</v>
      </c>
      <c r="J2806">
        <v>19569</v>
      </c>
      <c r="DL2806">
        <v>19569</v>
      </c>
    </row>
    <row r="2807" spans="1:116" x14ac:dyDescent="0.3">
      <c r="A2807">
        <v>302</v>
      </c>
      <c r="B2807" t="s">
        <v>1524</v>
      </c>
      <c r="C2807" t="s">
        <v>1336</v>
      </c>
      <c r="D2807" t="s">
        <v>39</v>
      </c>
      <c r="E2807" t="s">
        <v>22</v>
      </c>
      <c r="F2807" s="30">
        <v>45838</v>
      </c>
      <c r="G2807" t="s">
        <v>1525</v>
      </c>
      <c r="H2807" t="s">
        <v>4633</v>
      </c>
      <c r="J2807">
        <v>778</v>
      </c>
      <c r="DL2807">
        <v>778</v>
      </c>
    </row>
    <row r="2808" spans="1:116" x14ac:dyDescent="0.3">
      <c r="A2808">
        <v>302</v>
      </c>
      <c r="B2808" t="s">
        <v>1524</v>
      </c>
      <c r="C2808" t="s">
        <v>1336</v>
      </c>
      <c r="D2808" t="s">
        <v>39</v>
      </c>
      <c r="E2808" t="s">
        <v>22</v>
      </c>
      <c r="F2808" s="30">
        <v>45838</v>
      </c>
      <c r="G2808" t="s">
        <v>1525</v>
      </c>
      <c r="H2808" t="s">
        <v>4631</v>
      </c>
      <c r="J2808">
        <v>997</v>
      </c>
      <c r="DL2808">
        <v>997</v>
      </c>
    </row>
    <row r="2809" spans="1:116" x14ac:dyDescent="0.3">
      <c r="A2809">
        <v>302</v>
      </c>
      <c r="B2809" t="s">
        <v>1524</v>
      </c>
      <c r="C2809" t="s">
        <v>1336</v>
      </c>
      <c r="D2809" t="s">
        <v>39</v>
      </c>
      <c r="E2809" t="s">
        <v>22</v>
      </c>
      <c r="F2809" s="30">
        <v>45838</v>
      </c>
      <c r="G2809" t="s">
        <v>1525</v>
      </c>
      <c r="H2809" t="s">
        <v>4632</v>
      </c>
      <c r="J2809">
        <v>368</v>
      </c>
      <c r="DL2809">
        <v>368</v>
      </c>
    </row>
    <row r="2810" spans="1:116" x14ac:dyDescent="0.3">
      <c r="A2810">
        <v>303</v>
      </c>
      <c r="B2810" t="s">
        <v>1527</v>
      </c>
      <c r="C2810" t="s">
        <v>1528</v>
      </c>
      <c r="D2810" t="s">
        <v>39</v>
      </c>
      <c r="E2810" t="s">
        <v>22</v>
      </c>
      <c r="F2810" s="30">
        <v>45838</v>
      </c>
      <c r="G2810" t="s">
        <v>1533</v>
      </c>
      <c r="H2810" t="s">
        <v>4509</v>
      </c>
      <c r="I2810">
        <v>95</v>
      </c>
      <c r="J2810">
        <v>100</v>
      </c>
      <c r="BK2810">
        <v>14</v>
      </c>
      <c r="BL2810">
        <v>14</v>
      </c>
    </row>
    <row r="2811" spans="1:116" x14ac:dyDescent="0.3">
      <c r="A2811">
        <v>303</v>
      </c>
      <c r="B2811" t="s">
        <v>1527</v>
      </c>
      <c r="C2811" t="s">
        <v>1528</v>
      </c>
      <c r="D2811" t="s">
        <v>39</v>
      </c>
      <c r="E2811" t="s">
        <v>22</v>
      </c>
      <c r="F2811" s="30">
        <v>45838</v>
      </c>
      <c r="G2811" t="s">
        <v>1533</v>
      </c>
      <c r="H2811" t="s">
        <v>4510</v>
      </c>
      <c r="I2811">
        <v>95</v>
      </c>
      <c r="J2811">
        <v>0</v>
      </c>
      <c r="BK2811">
        <v>0</v>
      </c>
      <c r="BL2811">
        <v>0</v>
      </c>
    </row>
    <row r="2812" spans="1:116" x14ac:dyDescent="0.3">
      <c r="A2812">
        <v>303</v>
      </c>
      <c r="B2812" t="s">
        <v>1527</v>
      </c>
      <c r="C2812" t="s">
        <v>1528</v>
      </c>
      <c r="D2812" t="s">
        <v>39</v>
      </c>
      <c r="E2812" t="s">
        <v>22</v>
      </c>
      <c r="F2812" s="30">
        <v>45838</v>
      </c>
      <c r="G2812" t="s">
        <v>1533</v>
      </c>
      <c r="H2812" t="s">
        <v>4508</v>
      </c>
      <c r="I2812">
        <v>95</v>
      </c>
      <c r="J2812">
        <v>82.349998474121094</v>
      </c>
      <c r="BK2812">
        <v>14</v>
      </c>
      <c r="BL2812">
        <v>17</v>
      </c>
    </row>
    <row r="2813" spans="1:116" x14ac:dyDescent="0.3">
      <c r="A2813">
        <v>362</v>
      </c>
      <c r="B2813" t="s">
        <v>1800</v>
      </c>
      <c r="C2813" t="s">
        <v>1801</v>
      </c>
      <c r="D2813" t="s">
        <v>39</v>
      </c>
      <c r="E2813" t="s">
        <v>22</v>
      </c>
      <c r="F2813" s="30">
        <v>45838</v>
      </c>
      <c r="G2813" t="s">
        <v>1806</v>
      </c>
      <c r="H2813" t="s">
        <v>4497</v>
      </c>
      <c r="I2813">
        <v>98</v>
      </c>
      <c r="J2813">
        <v>98.639999389648438</v>
      </c>
      <c r="CU2813">
        <v>655</v>
      </c>
      <c r="CV2813">
        <v>664</v>
      </c>
    </row>
    <row r="2814" spans="1:116" x14ac:dyDescent="0.3">
      <c r="A2814">
        <v>362</v>
      </c>
      <c r="B2814" t="s">
        <v>1800</v>
      </c>
      <c r="C2814" t="s">
        <v>1801</v>
      </c>
      <c r="D2814" t="s">
        <v>39</v>
      </c>
      <c r="E2814" t="s">
        <v>22</v>
      </c>
      <c r="F2814" s="30">
        <v>45838</v>
      </c>
      <c r="G2814" t="s">
        <v>1806</v>
      </c>
      <c r="H2814" t="s">
        <v>4498</v>
      </c>
      <c r="I2814">
        <v>98</v>
      </c>
      <c r="J2814">
        <v>99.720001220703125</v>
      </c>
      <c r="CU2814">
        <v>8056</v>
      </c>
      <c r="CV2814">
        <v>8079</v>
      </c>
    </row>
    <row r="2815" spans="1:116" x14ac:dyDescent="0.3">
      <c r="A2815">
        <v>369</v>
      </c>
      <c r="B2815" t="s">
        <v>1835</v>
      </c>
      <c r="C2815" t="s">
        <v>1796</v>
      </c>
      <c r="D2815" t="s">
        <v>39</v>
      </c>
      <c r="E2815" t="s">
        <v>22</v>
      </c>
      <c r="F2815" s="30">
        <v>45838</v>
      </c>
      <c r="G2815" t="s">
        <v>1840</v>
      </c>
      <c r="H2815" t="s">
        <v>4512</v>
      </c>
      <c r="I2815">
        <v>100</v>
      </c>
      <c r="J2815">
        <v>90.139999389648438</v>
      </c>
      <c r="BM2815">
        <v>64</v>
      </c>
      <c r="BN2815">
        <v>71</v>
      </c>
    </row>
    <row r="2816" spans="1:116" x14ac:dyDescent="0.3">
      <c r="A2816">
        <v>369</v>
      </c>
      <c r="B2816" t="s">
        <v>1835</v>
      </c>
      <c r="C2816" t="s">
        <v>1796</v>
      </c>
      <c r="D2816" t="s">
        <v>39</v>
      </c>
      <c r="E2816" t="s">
        <v>22</v>
      </c>
      <c r="F2816" s="30">
        <v>45838</v>
      </c>
      <c r="G2816" t="s">
        <v>1840</v>
      </c>
      <c r="H2816" t="s">
        <v>4511</v>
      </c>
      <c r="I2816">
        <v>100</v>
      </c>
      <c r="J2816">
        <v>80</v>
      </c>
      <c r="BM2816">
        <v>8</v>
      </c>
      <c r="BN2816">
        <v>10</v>
      </c>
    </row>
    <row r="2817" spans="1:102" x14ac:dyDescent="0.3">
      <c r="A2817">
        <v>375</v>
      </c>
      <c r="B2817" t="s">
        <v>1871</v>
      </c>
      <c r="C2817" t="s">
        <v>1801</v>
      </c>
      <c r="D2817" t="s">
        <v>39</v>
      </c>
      <c r="E2817" t="s">
        <v>22</v>
      </c>
      <c r="F2817" s="30">
        <v>45838</v>
      </c>
      <c r="G2817" t="s">
        <v>1876</v>
      </c>
      <c r="H2817" t="s">
        <v>4497</v>
      </c>
      <c r="I2817">
        <v>100</v>
      </c>
      <c r="J2817">
        <v>100</v>
      </c>
      <c r="CW2817">
        <v>354</v>
      </c>
      <c r="CX2817">
        <v>354</v>
      </c>
    </row>
    <row r="2818" spans="1:102" x14ac:dyDescent="0.3">
      <c r="A2818">
        <v>375</v>
      </c>
      <c r="B2818" t="s">
        <v>1871</v>
      </c>
      <c r="C2818" t="s">
        <v>1801</v>
      </c>
      <c r="D2818" t="s">
        <v>39</v>
      </c>
      <c r="E2818" t="s">
        <v>22</v>
      </c>
      <c r="F2818" s="30">
        <v>45838</v>
      </c>
      <c r="G2818" t="s">
        <v>1876</v>
      </c>
      <c r="H2818" t="s">
        <v>4498</v>
      </c>
      <c r="I2818">
        <v>100</v>
      </c>
      <c r="J2818">
        <v>100</v>
      </c>
      <c r="CW2818">
        <v>816</v>
      </c>
      <c r="CX2818">
        <v>816</v>
      </c>
    </row>
    <row r="2819" spans="1:102" x14ac:dyDescent="0.3">
      <c r="A2819">
        <v>386</v>
      </c>
      <c r="B2819" t="s">
        <v>1951</v>
      </c>
      <c r="C2819" t="s">
        <v>1946</v>
      </c>
      <c r="D2819" t="s">
        <v>39</v>
      </c>
      <c r="E2819" t="s">
        <v>22</v>
      </c>
      <c r="F2819" s="30">
        <v>45838</v>
      </c>
      <c r="G2819" t="s">
        <v>1956</v>
      </c>
      <c r="H2819" t="s">
        <v>3584</v>
      </c>
      <c r="I2819">
        <v>100</v>
      </c>
      <c r="J2819">
        <v>116.8399963378906</v>
      </c>
      <c r="BO2819">
        <v>1447414435</v>
      </c>
      <c r="BP2819">
        <v>1238772716</v>
      </c>
    </row>
    <row r="2820" spans="1:102" x14ac:dyDescent="0.3">
      <c r="A2820">
        <v>386</v>
      </c>
      <c r="B2820" t="s">
        <v>1951</v>
      </c>
      <c r="C2820" t="s">
        <v>1946</v>
      </c>
      <c r="D2820" t="s">
        <v>39</v>
      </c>
      <c r="E2820" t="s">
        <v>22</v>
      </c>
      <c r="F2820" s="30">
        <v>45838</v>
      </c>
      <c r="G2820" t="s">
        <v>1956</v>
      </c>
      <c r="H2820" t="s">
        <v>4513</v>
      </c>
      <c r="I2820">
        <v>100</v>
      </c>
      <c r="J2820">
        <v>126.48000335693359</v>
      </c>
      <c r="BO2820">
        <v>3358906184</v>
      </c>
      <c r="BP2820">
        <v>2655651556</v>
      </c>
    </row>
    <row r="2821" spans="1:102" x14ac:dyDescent="0.3">
      <c r="A2821">
        <v>386</v>
      </c>
      <c r="B2821" t="s">
        <v>1951</v>
      </c>
      <c r="C2821" t="s">
        <v>1946</v>
      </c>
      <c r="D2821" t="s">
        <v>39</v>
      </c>
      <c r="E2821" t="s">
        <v>22</v>
      </c>
      <c r="F2821" s="30">
        <v>45838</v>
      </c>
      <c r="G2821" t="s">
        <v>1956</v>
      </c>
      <c r="H2821" t="s">
        <v>3588</v>
      </c>
      <c r="I2821">
        <v>100</v>
      </c>
      <c r="J2821">
        <v>112.9899978637695</v>
      </c>
      <c r="BO2821">
        <v>3334725583</v>
      </c>
      <c r="BP2821">
        <v>2951453039</v>
      </c>
    </row>
    <row r="2822" spans="1:102" x14ac:dyDescent="0.3">
      <c r="A2822">
        <v>408</v>
      </c>
      <c r="B2822" t="s">
        <v>2074</v>
      </c>
      <c r="C2822" t="s">
        <v>1627</v>
      </c>
      <c r="D2822" t="s">
        <v>39</v>
      </c>
      <c r="E2822" t="s">
        <v>22</v>
      </c>
      <c r="F2822" s="30">
        <v>45838</v>
      </c>
      <c r="G2822" t="s">
        <v>2079</v>
      </c>
      <c r="H2822" t="s">
        <v>4528</v>
      </c>
      <c r="I2822">
        <v>100</v>
      </c>
      <c r="J2822">
        <v>100</v>
      </c>
      <c r="BR2822">
        <v>2</v>
      </c>
      <c r="BS2822">
        <v>2</v>
      </c>
    </row>
    <row r="2823" spans="1:102" x14ac:dyDescent="0.3">
      <c r="A2823">
        <v>427</v>
      </c>
      <c r="B2823" t="s">
        <v>2212</v>
      </c>
      <c r="C2823" t="s">
        <v>251</v>
      </c>
      <c r="D2823" t="s">
        <v>39</v>
      </c>
      <c r="E2823" t="s">
        <v>56</v>
      </c>
      <c r="F2823" s="30">
        <v>45838</v>
      </c>
      <c r="G2823" t="s">
        <v>2217</v>
      </c>
      <c r="H2823" t="s">
        <v>4468</v>
      </c>
      <c r="I2823">
        <v>0.3</v>
      </c>
      <c r="J2823">
        <v>0.20000000298023221</v>
      </c>
      <c r="O2823">
        <v>2338</v>
      </c>
      <c r="P2823">
        <v>2240</v>
      </c>
      <c r="Q2823">
        <v>14736</v>
      </c>
      <c r="R2823">
        <v>0</v>
      </c>
      <c r="Y2823">
        <v>3849</v>
      </c>
    </row>
    <row r="2824" spans="1:102" x14ac:dyDescent="0.3">
      <c r="A2824">
        <v>427</v>
      </c>
      <c r="B2824" t="s">
        <v>2212</v>
      </c>
      <c r="C2824" t="s">
        <v>251</v>
      </c>
      <c r="D2824" t="s">
        <v>39</v>
      </c>
      <c r="E2824" t="s">
        <v>56</v>
      </c>
      <c r="F2824" s="30">
        <v>45838</v>
      </c>
      <c r="G2824" t="s">
        <v>2217</v>
      </c>
      <c r="H2824" t="s">
        <v>4470</v>
      </c>
      <c r="I2824">
        <v>0.15</v>
      </c>
      <c r="J2824">
        <v>0.15000000596046451</v>
      </c>
      <c r="O2824">
        <v>483</v>
      </c>
      <c r="P2824">
        <v>23</v>
      </c>
      <c r="Q2824">
        <v>11976</v>
      </c>
      <c r="R2824">
        <v>3010</v>
      </c>
      <c r="Y2824">
        <v>2273</v>
      </c>
    </row>
    <row r="2825" spans="1:102" x14ac:dyDescent="0.3">
      <c r="A2825">
        <v>427</v>
      </c>
      <c r="B2825" t="s">
        <v>2212</v>
      </c>
      <c r="C2825" t="s">
        <v>251</v>
      </c>
      <c r="D2825" t="s">
        <v>39</v>
      </c>
      <c r="E2825" t="s">
        <v>56</v>
      </c>
      <c r="F2825" s="30">
        <v>45838</v>
      </c>
      <c r="G2825" t="s">
        <v>2217</v>
      </c>
      <c r="H2825" t="s">
        <v>4477</v>
      </c>
      <c r="I2825">
        <v>0.2</v>
      </c>
      <c r="J2825">
        <v>0.37000000476837158</v>
      </c>
      <c r="O2825">
        <v>51</v>
      </c>
      <c r="P2825">
        <v>38</v>
      </c>
      <c r="Q2825">
        <v>189</v>
      </c>
      <c r="R2825">
        <v>0</v>
      </c>
      <c r="Y2825">
        <v>102.5</v>
      </c>
    </row>
    <row r="2826" spans="1:102" x14ac:dyDescent="0.3">
      <c r="A2826">
        <v>427</v>
      </c>
      <c r="B2826" t="s">
        <v>2212</v>
      </c>
      <c r="C2826" t="s">
        <v>251</v>
      </c>
      <c r="D2826" t="s">
        <v>39</v>
      </c>
      <c r="E2826" t="s">
        <v>56</v>
      </c>
      <c r="F2826" s="30">
        <v>45838</v>
      </c>
      <c r="G2826" t="s">
        <v>2217</v>
      </c>
      <c r="H2826" t="s">
        <v>4469</v>
      </c>
      <c r="I2826">
        <v>0.1</v>
      </c>
      <c r="J2826">
        <v>7.9999998211860657E-2</v>
      </c>
      <c r="O2826">
        <v>387</v>
      </c>
      <c r="P2826">
        <v>810</v>
      </c>
      <c r="Q2826">
        <v>13541</v>
      </c>
      <c r="R2826">
        <v>144</v>
      </c>
      <c r="Y2826">
        <v>1125</v>
      </c>
    </row>
    <row r="2827" spans="1:102" x14ac:dyDescent="0.3">
      <c r="A2827">
        <v>427</v>
      </c>
      <c r="B2827" t="s">
        <v>2212</v>
      </c>
      <c r="C2827" t="s">
        <v>251</v>
      </c>
      <c r="D2827" t="s">
        <v>39</v>
      </c>
      <c r="E2827" t="s">
        <v>56</v>
      </c>
      <c r="F2827" s="30">
        <v>45838</v>
      </c>
      <c r="G2827" t="s">
        <v>2217</v>
      </c>
      <c r="H2827" t="s">
        <v>4478</v>
      </c>
      <c r="I2827">
        <v>0.2</v>
      </c>
      <c r="J2827">
        <v>9.9999997764825821E-3</v>
      </c>
      <c r="O2827">
        <v>12</v>
      </c>
      <c r="P2827">
        <v>10</v>
      </c>
      <c r="Q2827">
        <v>60</v>
      </c>
      <c r="R2827">
        <v>0</v>
      </c>
      <c r="Y2827">
        <v>1</v>
      </c>
    </row>
    <row r="2828" spans="1:102" x14ac:dyDescent="0.3">
      <c r="A2828">
        <v>427</v>
      </c>
      <c r="B2828" t="s">
        <v>2212</v>
      </c>
      <c r="C2828" t="s">
        <v>251</v>
      </c>
      <c r="D2828" t="s">
        <v>39</v>
      </c>
      <c r="E2828" t="s">
        <v>56</v>
      </c>
      <c r="F2828" s="30">
        <v>45838</v>
      </c>
      <c r="G2828" t="s">
        <v>2217</v>
      </c>
      <c r="H2828" t="s">
        <v>4476</v>
      </c>
      <c r="I2828">
        <v>0.2</v>
      </c>
      <c r="O2828">
        <v>24</v>
      </c>
      <c r="P2828">
        <v>24</v>
      </c>
      <c r="Q2828">
        <v>3553</v>
      </c>
      <c r="R2828">
        <v>0</v>
      </c>
      <c r="Y2828">
        <v>0</v>
      </c>
    </row>
    <row r="2829" spans="1:102" x14ac:dyDescent="0.3">
      <c r="A2829">
        <v>428</v>
      </c>
      <c r="B2829" t="s">
        <v>2219</v>
      </c>
      <c r="C2829" t="s">
        <v>251</v>
      </c>
      <c r="D2829" t="s">
        <v>39</v>
      </c>
      <c r="E2829" t="s">
        <v>56</v>
      </c>
      <c r="F2829" s="30">
        <v>45838</v>
      </c>
      <c r="G2829" t="s">
        <v>2224</v>
      </c>
      <c r="H2829" t="s">
        <v>4468</v>
      </c>
      <c r="I2829">
        <v>22</v>
      </c>
      <c r="J2829">
        <v>20.260000228881839</v>
      </c>
      <c r="O2829">
        <v>2338</v>
      </c>
      <c r="P2829">
        <v>2240</v>
      </c>
      <c r="Q2829">
        <v>14736</v>
      </c>
      <c r="R2829">
        <v>0</v>
      </c>
      <c r="W2829">
        <v>391333.21</v>
      </c>
    </row>
    <row r="2830" spans="1:102" x14ac:dyDescent="0.3">
      <c r="A2830">
        <v>428</v>
      </c>
      <c r="B2830" t="s">
        <v>2219</v>
      </c>
      <c r="C2830" t="s">
        <v>251</v>
      </c>
      <c r="D2830" t="s">
        <v>39</v>
      </c>
      <c r="E2830" t="s">
        <v>56</v>
      </c>
      <c r="F2830" s="30">
        <v>45838</v>
      </c>
      <c r="G2830" t="s">
        <v>2224</v>
      </c>
      <c r="H2830" t="s">
        <v>4477</v>
      </c>
      <c r="I2830">
        <v>1</v>
      </c>
      <c r="J2830">
        <v>86.330001831054688</v>
      </c>
      <c r="O2830">
        <v>51</v>
      </c>
      <c r="P2830">
        <v>38</v>
      </c>
      <c r="Q2830">
        <v>189</v>
      </c>
      <c r="R2830">
        <v>0</v>
      </c>
      <c r="W2830">
        <v>24000</v>
      </c>
    </row>
    <row r="2831" spans="1:102" x14ac:dyDescent="0.3">
      <c r="A2831">
        <v>428</v>
      </c>
      <c r="B2831" t="s">
        <v>2219</v>
      </c>
      <c r="C2831" t="s">
        <v>251</v>
      </c>
      <c r="D2831" t="s">
        <v>39</v>
      </c>
      <c r="E2831" t="s">
        <v>56</v>
      </c>
      <c r="F2831" s="30">
        <v>45838</v>
      </c>
      <c r="G2831" t="s">
        <v>2224</v>
      </c>
      <c r="H2831" t="s">
        <v>4469</v>
      </c>
      <c r="I2831">
        <v>11</v>
      </c>
      <c r="J2831">
        <v>7.2699999809265137</v>
      </c>
      <c r="O2831">
        <v>387</v>
      </c>
      <c r="P2831">
        <v>810</v>
      </c>
      <c r="Q2831">
        <v>13541</v>
      </c>
      <c r="R2831">
        <v>144</v>
      </c>
      <c r="W2831">
        <v>108240</v>
      </c>
    </row>
    <row r="2832" spans="1:102" x14ac:dyDescent="0.3">
      <c r="A2832">
        <v>428</v>
      </c>
      <c r="B2832" t="s">
        <v>2219</v>
      </c>
      <c r="C2832" t="s">
        <v>251</v>
      </c>
      <c r="D2832" t="s">
        <v>39</v>
      </c>
      <c r="E2832" t="s">
        <v>56</v>
      </c>
      <c r="F2832" s="30">
        <v>45838</v>
      </c>
      <c r="G2832" t="s">
        <v>2224</v>
      </c>
      <c r="H2832" t="s">
        <v>4476</v>
      </c>
      <c r="I2832">
        <v>7</v>
      </c>
      <c r="J2832">
        <v>0.27000001072883612</v>
      </c>
      <c r="O2832">
        <v>24</v>
      </c>
      <c r="P2832">
        <v>24</v>
      </c>
      <c r="Q2832">
        <v>3553</v>
      </c>
      <c r="R2832">
        <v>0</v>
      </c>
      <c r="W2832">
        <v>960</v>
      </c>
    </row>
    <row r="2833" spans="1:74" x14ac:dyDescent="0.3">
      <c r="A2833">
        <v>428</v>
      </c>
      <c r="B2833" t="s">
        <v>2219</v>
      </c>
      <c r="C2833" t="s">
        <v>251</v>
      </c>
      <c r="D2833" t="s">
        <v>39</v>
      </c>
      <c r="E2833" t="s">
        <v>56</v>
      </c>
      <c r="F2833" s="30">
        <v>45838</v>
      </c>
      <c r="G2833" t="s">
        <v>2224</v>
      </c>
      <c r="H2833" t="s">
        <v>4478</v>
      </c>
      <c r="I2833">
        <v>1</v>
      </c>
      <c r="J2833">
        <v>171.69999694824219</v>
      </c>
      <c r="O2833">
        <v>12</v>
      </c>
      <c r="P2833">
        <v>10</v>
      </c>
      <c r="Q2833">
        <v>60</v>
      </c>
      <c r="R2833">
        <v>0</v>
      </c>
      <c r="W2833">
        <v>14079</v>
      </c>
    </row>
    <row r="2834" spans="1:74" x14ac:dyDescent="0.3">
      <c r="A2834">
        <v>428</v>
      </c>
      <c r="B2834" t="s">
        <v>2219</v>
      </c>
      <c r="C2834" t="s">
        <v>251</v>
      </c>
      <c r="D2834" t="s">
        <v>39</v>
      </c>
      <c r="E2834" t="s">
        <v>56</v>
      </c>
      <c r="F2834" s="30">
        <v>45838</v>
      </c>
      <c r="G2834" t="s">
        <v>2224</v>
      </c>
      <c r="H2834" t="s">
        <v>4470</v>
      </c>
      <c r="I2834">
        <v>25</v>
      </c>
      <c r="J2834">
        <v>17.590000152587891</v>
      </c>
      <c r="O2834">
        <v>483</v>
      </c>
      <c r="P2834">
        <v>23</v>
      </c>
      <c r="Q2834">
        <v>11976</v>
      </c>
      <c r="R2834">
        <v>3010</v>
      </c>
      <c r="W2834">
        <v>272460</v>
      </c>
    </row>
    <row r="2835" spans="1:74" x14ac:dyDescent="0.3">
      <c r="A2835">
        <v>429</v>
      </c>
      <c r="B2835" t="s">
        <v>2226</v>
      </c>
      <c r="C2835" t="s">
        <v>251</v>
      </c>
      <c r="D2835" t="s">
        <v>39</v>
      </c>
      <c r="E2835" t="s">
        <v>56</v>
      </c>
      <c r="F2835" s="30">
        <v>45838</v>
      </c>
      <c r="G2835" t="s">
        <v>2231</v>
      </c>
      <c r="H2835" t="s">
        <v>4468</v>
      </c>
      <c r="I2835">
        <v>0.4</v>
      </c>
      <c r="J2835">
        <v>1.0399999618530269</v>
      </c>
      <c r="O2835">
        <v>2338</v>
      </c>
      <c r="P2835">
        <v>2240</v>
      </c>
      <c r="Q2835">
        <v>14736</v>
      </c>
      <c r="R2835">
        <v>0</v>
      </c>
      <c r="AA2835">
        <v>5366</v>
      </c>
      <c r="AB2835">
        <v>14776</v>
      </c>
    </row>
    <row r="2836" spans="1:74" x14ac:dyDescent="0.3">
      <c r="A2836">
        <v>429</v>
      </c>
      <c r="B2836" t="s">
        <v>2226</v>
      </c>
      <c r="C2836" t="s">
        <v>251</v>
      </c>
      <c r="D2836" t="s">
        <v>39</v>
      </c>
      <c r="E2836" t="s">
        <v>56</v>
      </c>
      <c r="F2836" s="30">
        <v>45838</v>
      </c>
      <c r="G2836" t="s">
        <v>2231</v>
      </c>
      <c r="H2836" t="s">
        <v>4470</v>
      </c>
      <c r="I2836">
        <v>0.38</v>
      </c>
      <c r="J2836">
        <v>0.34999999403953552</v>
      </c>
      <c r="O2836">
        <v>483</v>
      </c>
      <c r="P2836">
        <v>23</v>
      </c>
      <c r="Q2836">
        <v>11976</v>
      </c>
      <c r="R2836">
        <v>3010</v>
      </c>
      <c r="AA2836">
        <v>1002.36</v>
      </c>
      <c r="AB2836">
        <v>4453.6099999999997</v>
      </c>
    </row>
    <row r="2837" spans="1:74" x14ac:dyDescent="0.3">
      <c r="A2837">
        <v>429</v>
      </c>
      <c r="B2837" t="s">
        <v>2226</v>
      </c>
      <c r="C2837" t="s">
        <v>251</v>
      </c>
      <c r="D2837" t="s">
        <v>39</v>
      </c>
      <c r="E2837" t="s">
        <v>56</v>
      </c>
      <c r="F2837" s="30">
        <v>45838</v>
      </c>
      <c r="G2837" t="s">
        <v>2231</v>
      </c>
      <c r="H2837" t="s">
        <v>4469</v>
      </c>
      <c r="I2837">
        <v>0.41</v>
      </c>
      <c r="J2837">
        <v>0.34999999403953552</v>
      </c>
      <c r="O2837">
        <v>387</v>
      </c>
      <c r="P2837">
        <v>810</v>
      </c>
      <c r="Q2837">
        <v>13541</v>
      </c>
      <c r="R2837">
        <v>144</v>
      </c>
      <c r="AA2837">
        <v>671.5</v>
      </c>
      <c r="AB2837">
        <v>4565.8999999999996</v>
      </c>
    </row>
    <row r="2838" spans="1:74" x14ac:dyDescent="0.3">
      <c r="A2838">
        <v>429</v>
      </c>
      <c r="B2838" t="s">
        <v>2226</v>
      </c>
      <c r="C2838" t="s">
        <v>251</v>
      </c>
      <c r="D2838" t="s">
        <v>39</v>
      </c>
      <c r="E2838" t="s">
        <v>56</v>
      </c>
      <c r="F2838" s="30">
        <v>45838</v>
      </c>
      <c r="G2838" t="s">
        <v>2231</v>
      </c>
      <c r="H2838" t="s">
        <v>4476</v>
      </c>
      <c r="I2838">
        <v>0.76</v>
      </c>
      <c r="J2838">
        <v>2.999999932944775E-2</v>
      </c>
      <c r="O2838">
        <v>24</v>
      </c>
      <c r="P2838">
        <v>24</v>
      </c>
      <c r="Q2838">
        <v>3553</v>
      </c>
      <c r="R2838">
        <v>0</v>
      </c>
      <c r="AA2838">
        <v>0</v>
      </c>
      <c r="AB2838">
        <v>113.5</v>
      </c>
    </row>
    <row r="2839" spans="1:74" x14ac:dyDescent="0.3">
      <c r="A2839">
        <v>429</v>
      </c>
      <c r="B2839" t="s">
        <v>2226</v>
      </c>
      <c r="C2839" t="s">
        <v>251</v>
      </c>
      <c r="D2839" t="s">
        <v>39</v>
      </c>
      <c r="E2839" t="s">
        <v>56</v>
      </c>
      <c r="F2839" s="30">
        <v>45838</v>
      </c>
      <c r="G2839" t="s">
        <v>2231</v>
      </c>
      <c r="H2839" t="s">
        <v>4478</v>
      </c>
      <c r="I2839">
        <v>0.76</v>
      </c>
      <c r="J2839">
        <v>3.160000085830688</v>
      </c>
      <c r="O2839">
        <v>12</v>
      </c>
      <c r="P2839">
        <v>10</v>
      </c>
      <c r="Q2839">
        <v>60</v>
      </c>
      <c r="R2839">
        <v>0</v>
      </c>
      <c r="AA2839">
        <v>119.68</v>
      </c>
      <c r="AB2839">
        <v>139.75</v>
      </c>
    </row>
    <row r="2840" spans="1:74" x14ac:dyDescent="0.3">
      <c r="A2840">
        <v>429</v>
      </c>
      <c r="B2840" t="s">
        <v>2226</v>
      </c>
      <c r="C2840" t="s">
        <v>251</v>
      </c>
      <c r="D2840" t="s">
        <v>39</v>
      </c>
      <c r="E2840" t="s">
        <v>56</v>
      </c>
      <c r="F2840" s="30">
        <v>45838</v>
      </c>
      <c r="G2840" t="s">
        <v>2231</v>
      </c>
      <c r="H2840" t="s">
        <v>4477</v>
      </c>
      <c r="I2840">
        <v>0.76</v>
      </c>
      <c r="J2840">
        <v>0.81999999284744263</v>
      </c>
      <c r="O2840">
        <v>51</v>
      </c>
      <c r="P2840">
        <v>38</v>
      </c>
      <c r="Q2840">
        <v>189</v>
      </c>
      <c r="R2840">
        <v>0</v>
      </c>
      <c r="AA2840">
        <v>97.09</v>
      </c>
      <c r="AB2840">
        <v>130.69999999999999</v>
      </c>
    </row>
    <row r="2841" spans="1:74" x14ac:dyDescent="0.3">
      <c r="A2841">
        <v>430</v>
      </c>
      <c r="B2841" t="s">
        <v>2233</v>
      </c>
      <c r="C2841" t="s">
        <v>210</v>
      </c>
      <c r="D2841" t="s">
        <v>39</v>
      </c>
      <c r="E2841" t="s">
        <v>22</v>
      </c>
      <c r="F2841" s="30">
        <v>45838</v>
      </c>
      <c r="G2841" t="s">
        <v>2238</v>
      </c>
      <c r="H2841" t="s">
        <v>4529</v>
      </c>
      <c r="I2841">
        <v>95</v>
      </c>
      <c r="J2841">
        <v>105.86000061035161</v>
      </c>
      <c r="BT2841">
        <v>7801404954</v>
      </c>
      <c r="BU2841">
        <v>8258189707</v>
      </c>
    </row>
    <row r="2842" spans="1:74" x14ac:dyDescent="0.3">
      <c r="A2842">
        <v>430</v>
      </c>
      <c r="B2842" t="s">
        <v>2233</v>
      </c>
      <c r="C2842" t="s">
        <v>210</v>
      </c>
      <c r="D2842" t="s">
        <v>39</v>
      </c>
      <c r="E2842" t="s">
        <v>22</v>
      </c>
      <c r="F2842" s="30">
        <v>45838</v>
      </c>
      <c r="G2842" t="s">
        <v>2238</v>
      </c>
      <c r="H2842" t="s">
        <v>4530</v>
      </c>
      <c r="I2842">
        <v>95</v>
      </c>
      <c r="J2842">
        <v>140.3500061035156</v>
      </c>
      <c r="BT2842">
        <v>19813377903</v>
      </c>
      <c r="BU2842">
        <v>27807465798</v>
      </c>
    </row>
    <row r="2843" spans="1:74" x14ac:dyDescent="0.3">
      <c r="A2843">
        <v>430</v>
      </c>
      <c r="B2843" t="s">
        <v>2233</v>
      </c>
      <c r="C2843" t="s">
        <v>210</v>
      </c>
      <c r="D2843" t="s">
        <v>39</v>
      </c>
      <c r="E2843" t="s">
        <v>22</v>
      </c>
      <c r="F2843" s="30">
        <v>45838</v>
      </c>
      <c r="G2843" t="s">
        <v>2238</v>
      </c>
      <c r="H2843" t="s">
        <v>4531</v>
      </c>
      <c r="I2843">
        <v>95</v>
      </c>
      <c r="J2843">
        <v>104.0100021362305</v>
      </c>
      <c r="BT2843">
        <v>32422336096</v>
      </c>
      <c r="BU2843">
        <v>33721059502</v>
      </c>
    </row>
    <row r="2844" spans="1:74" x14ac:dyDescent="0.3">
      <c r="A2844">
        <v>430</v>
      </c>
      <c r="B2844" t="s">
        <v>2233</v>
      </c>
      <c r="C2844" t="s">
        <v>210</v>
      </c>
      <c r="D2844" t="s">
        <v>39</v>
      </c>
      <c r="E2844" t="s">
        <v>22</v>
      </c>
      <c r="F2844" s="30">
        <v>45838</v>
      </c>
      <c r="G2844" t="s">
        <v>2238</v>
      </c>
      <c r="H2844" t="s">
        <v>4532</v>
      </c>
      <c r="I2844">
        <v>95</v>
      </c>
      <c r="J2844">
        <v>106.5500030517578</v>
      </c>
      <c r="BT2844">
        <v>77159127282</v>
      </c>
      <c r="BU2844">
        <v>82213230475</v>
      </c>
    </row>
    <row r="2845" spans="1:74" x14ac:dyDescent="0.3">
      <c r="A2845">
        <v>433</v>
      </c>
      <c r="B2845" t="s">
        <v>2260</v>
      </c>
      <c r="C2845" t="s">
        <v>251</v>
      </c>
      <c r="D2845" t="s">
        <v>39</v>
      </c>
      <c r="E2845" t="s">
        <v>56</v>
      </c>
      <c r="F2845" s="30">
        <v>45838</v>
      </c>
      <c r="G2845" t="s">
        <v>2265</v>
      </c>
      <c r="H2845" t="s">
        <v>4468</v>
      </c>
      <c r="I2845">
        <v>0.1</v>
      </c>
      <c r="J2845">
        <v>5.000000074505806E-2</v>
      </c>
      <c r="O2845">
        <v>2338</v>
      </c>
      <c r="P2845">
        <v>2240</v>
      </c>
      <c r="Q2845">
        <v>14736</v>
      </c>
      <c r="R2845">
        <v>0</v>
      </c>
      <c r="BV2845">
        <v>980.96</v>
      </c>
    </row>
    <row r="2846" spans="1:74" x14ac:dyDescent="0.3">
      <c r="A2846">
        <v>433</v>
      </c>
      <c r="B2846" t="s">
        <v>2260</v>
      </c>
      <c r="C2846" t="s">
        <v>251</v>
      </c>
      <c r="D2846" t="s">
        <v>39</v>
      </c>
      <c r="E2846" t="s">
        <v>56</v>
      </c>
      <c r="F2846" s="30">
        <v>45838</v>
      </c>
      <c r="G2846" t="s">
        <v>2265</v>
      </c>
      <c r="H2846" t="s">
        <v>4470</v>
      </c>
      <c r="I2846">
        <v>0.05</v>
      </c>
      <c r="J2846">
        <v>0</v>
      </c>
      <c r="O2846">
        <v>483</v>
      </c>
      <c r="P2846">
        <v>23</v>
      </c>
      <c r="Q2846">
        <v>11976</v>
      </c>
      <c r="R2846">
        <v>3010</v>
      </c>
      <c r="BV2846">
        <v>57.32</v>
      </c>
    </row>
    <row r="2847" spans="1:74" x14ac:dyDescent="0.3">
      <c r="A2847">
        <v>433</v>
      </c>
      <c r="B2847" t="s">
        <v>2260</v>
      </c>
      <c r="C2847" t="s">
        <v>251</v>
      </c>
      <c r="D2847" t="s">
        <v>39</v>
      </c>
      <c r="E2847" t="s">
        <v>56</v>
      </c>
      <c r="F2847" s="30">
        <v>45838</v>
      </c>
      <c r="G2847" t="s">
        <v>2265</v>
      </c>
      <c r="H2847" t="s">
        <v>4477</v>
      </c>
      <c r="I2847">
        <v>0.05</v>
      </c>
      <c r="J2847">
        <v>0</v>
      </c>
      <c r="O2847">
        <v>51</v>
      </c>
      <c r="P2847">
        <v>38</v>
      </c>
      <c r="Q2847">
        <v>189</v>
      </c>
      <c r="R2847">
        <v>0</v>
      </c>
      <c r="BV2847">
        <v>0</v>
      </c>
    </row>
    <row r="2848" spans="1:74" x14ac:dyDescent="0.3">
      <c r="A2848">
        <v>433</v>
      </c>
      <c r="B2848" t="s">
        <v>2260</v>
      </c>
      <c r="C2848" t="s">
        <v>251</v>
      </c>
      <c r="D2848" t="s">
        <v>39</v>
      </c>
      <c r="E2848" t="s">
        <v>56</v>
      </c>
      <c r="F2848" s="30">
        <v>45838</v>
      </c>
      <c r="G2848" t="s">
        <v>2265</v>
      </c>
      <c r="H2848" t="s">
        <v>4469</v>
      </c>
      <c r="I2848">
        <v>0.05</v>
      </c>
      <c r="J2848">
        <v>0</v>
      </c>
      <c r="O2848">
        <v>387</v>
      </c>
      <c r="P2848">
        <v>810</v>
      </c>
      <c r="Q2848">
        <v>13541</v>
      </c>
      <c r="R2848">
        <v>144</v>
      </c>
      <c r="BV2848">
        <v>20.95</v>
      </c>
    </row>
    <row r="2849" spans="1:122" x14ac:dyDescent="0.3">
      <c r="A2849">
        <v>433</v>
      </c>
      <c r="B2849" t="s">
        <v>2260</v>
      </c>
      <c r="C2849" t="s">
        <v>251</v>
      </c>
      <c r="D2849" t="s">
        <v>39</v>
      </c>
      <c r="E2849" t="s">
        <v>56</v>
      </c>
      <c r="F2849" s="30">
        <v>45838</v>
      </c>
      <c r="G2849" t="s">
        <v>2265</v>
      </c>
      <c r="H2849" t="s">
        <v>4476</v>
      </c>
      <c r="I2849">
        <v>0.05</v>
      </c>
      <c r="J2849">
        <v>0</v>
      </c>
      <c r="O2849">
        <v>24</v>
      </c>
      <c r="P2849">
        <v>24</v>
      </c>
      <c r="Q2849">
        <v>3553</v>
      </c>
      <c r="R2849">
        <v>0</v>
      </c>
      <c r="BV2849">
        <v>0.73</v>
      </c>
    </row>
    <row r="2850" spans="1:122" x14ac:dyDescent="0.3">
      <c r="A2850">
        <v>433</v>
      </c>
      <c r="B2850" t="s">
        <v>2260</v>
      </c>
      <c r="C2850" t="s">
        <v>251</v>
      </c>
      <c r="D2850" t="s">
        <v>39</v>
      </c>
      <c r="E2850" t="s">
        <v>56</v>
      </c>
      <c r="F2850" s="30">
        <v>45838</v>
      </c>
      <c r="G2850" t="s">
        <v>2265</v>
      </c>
      <c r="H2850" t="s">
        <v>4478</v>
      </c>
      <c r="I2850">
        <v>0.05</v>
      </c>
      <c r="O2850">
        <v>12</v>
      </c>
      <c r="P2850">
        <v>10</v>
      </c>
      <c r="Q2850">
        <v>60</v>
      </c>
      <c r="R2850">
        <v>0</v>
      </c>
      <c r="BV2850">
        <v>0</v>
      </c>
    </row>
    <row r="2851" spans="1:122" x14ac:dyDescent="0.3">
      <c r="A2851">
        <v>435</v>
      </c>
      <c r="B2851" t="s">
        <v>2304</v>
      </c>
      <c r="C2851" t="s">
        <v>251</v>
      </c>
      <c r="D2851" t="s">
        <v>39</v>
      </c>
      <c r="E2851" t="s">
        <v>22</v>
      </c>
      <c r="F2851" s="30">
        <v>45838</v>
      </c>
      <c r="G2851" t="s">
        <v>2309</v>
      </c>
      <c r="H2851" t="s">
        <v>4468</v>
      </c>
      <c r="I2851">
        <v>100</v>
      </c>
      <c r="J2851">
        <v>66.669998168945313</v>
      </c>
      <c r="BW2851">
        <v>0.15</v>
      </c>
      <c r="BX2851">
        <v>0.05</v>
      </c>
    </row>
    <row r="2852" spans="1:122" x14ac:dyDescent="0.3">
      <c r="A2852">
        <v>435</v>
      </c>
      <c r="B2852" t="s">
        <v>2304</v>
      </c>
      <c r="C2852" t="s">
        <v>251</v>
      </c>
      <c r="D2852" t="s">
        <v>39</v>
      </c>
      <c r="E2852" t="s">
        <v>22</v>
      </c>
      <c r="F2852" s="30">
        <v>45838</v>
      </c>
      <c r="G2852" t="s">
        <v>2309</v>
      </c>
      <c r="H2852" t="s">
        <v>4477</v>
      </c>
      <c r="I2852">
        <v>100</v>
      </c>
      <c r="J2852">
        <v>0</v>
      </c>
      <c r="BW2852">
        <v>0</v>
      </c>
      <c r="BX2852">
        <v>0</v>
      </c>
    </row>
    <row r="2853" spans="1:122" x14ac:dyDescent="0.3">
      <c r="A2853">
        <v>435</v>
      </c>
      <c r="B2853" t="s">
        <v>2304</v>
      </c>
      <c r="C2853" t="s">
        <v>251</v>
      </c>
      <c r="D2853" t="s">
        <v>39</v>
      </c>
      <c r="E2853" t="s">
        <v>22</v>
      </c>
      <c r="F2853" s="30">
        <v>45838</v>
      </c>
      <c r="G2853" t="s">
        <v>2309</v>
      </c>
      <c r="H2853" t="s">
        <v>4469</v>
      </c>
      <c r="I2853">
        <v>100</v>
      </c>
      <c r="J2853">
        <v>0</v>
      </c>
      <c r="BW2853">
        <v>0</v>
      </c>
      <c r="BX2853">
        <v>0</v>
      </c>
    </row>
    <row r="2854" spans="1:122" x14ac:dyDescent="0.3">
      <c r="A2854">
        <v>435</v>
      </c>
      <c r="B2854" t="s">
        <v>2304</v>
      </c>
      <c r="C2854" t="s">
        <v>251</v>
      </c>
      <c r="D2854" t="s">
        <v>39</v>
      </c>
      <c r="E2854" t="s">
        <v>22</v>
      </c>
      <c r="F2854" s="30">
        <v>45838</v>
      </c>
      <c r="G2854" t="s">
        <v>2309</v>
      </c>
      <c r="H2854" t="s">
        <v>4476</v>
      </c>
      <c r="I2854">
        <v>100</v>
      </c>
      <c r="J2854">
        <v>100</v>
      </c>
      <c r="BW2854">
        <v>1.1000000000000001</v>
      </c>
      <c r="BX2854">
        <v>0</v>
      </c>
    </row>
    <row r="2855" spans="1:122" x14ac:dyDescent="0.3">
      <c r="A2855">
        <v>435</v>
      </c>
      <c r="B2855" t="s">
        <v>2304</v>
      </c>
      <c r="C2855" t="s">
        <v>251</v>
      </c>
      <c r="D2855" t="s">
        <v>39</v>
      </c>
      <c r="E2855" t="s">
        <v>22</v>
      </c>
      <c r="F2855" s="30">
        <v>45838</v>
      </c>
      <c r="G2855" t="s">
        <v>2309</v>
      </c>
      <c r="H2855" t="s">
        <v>4470</v>
      </c>
      <c r="I2855">
        <v>100</v>
      </c>
      <c r="J2855">
        <v>100</v>
      </c>
      <c r="BW2855">
        <v>0.03</v>
      </c>
      <c r="BX2855">
        <v>0</v>
      </c>
    </row>
    <row r="2856" spans="1:122" x14ac:dyDescent="0.3">
      <c r="A2856">
        <v>439</v>
      </c>
      <c r="B2856" t="s">
        <v>2354</v>
      </c>
      <c r="C2856" t="s">
        <v>1801</v>
      </c>
      <c r="D2856" t="s">
        <v>39</v>
      </c>
      <c r="E2856" t="s">
        <v>22</v>
      </c>
      <c r="F2856" s="30">
        <v>45838</v>
      </c>
      <c r="G2856" t="s">
        <v>2359</v>
      </c>
      <c r="H2856" t="s">
        <v>4500</v>
      </c>
      <c r="I2856">
        <v>100</v>
      </c>
      <c r="J2856">
        <v>100</v>
      </c>
      <c r="CY2856">
        <v>342</v>
      </c>
      <c r="CZ2856">
        <v>342</v>
      </c>
    </row>
    <row r="2857" spans="1:122" x14ac:dyDescent="0.3">
      <c r="A2857">
        <v>439</v>
      </c>
      <c r="B2857" t="s">
        <v>2354</v>
      </c>
      <c r="C2857" t="s">
        <v>1801</v>
      </c>
      <c r="D2857" t="s">
        <v>39</v>
      </c>
      <c r="E2857" t="s">
        <v>22</v>
      </c>
      <c r="F2857" s="30">
        <v>45838</v>
      </c>
      <c r="G2857" t="s">
        <v>2359</v>
      </c>
      <c r="H2857" t="s">
        <v>4499</v>
      </c>
      <c r="I2857">
        <v>100</v>
      </c>
      <c r="J2857">
        <v>100</v>
      </c>
      <c r="CY2857">
        <v>824</v>
      </c>
      <c r="CZ2857">
        <v>824</v>
      </c>
    </row>
    <row r="2858" spans="1:122" x14ac:dyDescent="0.3">
      <c r="A2858">
        <v>440</v>
      </c>
      <c r="B2858" t="s">
        <v>2361</v>
      </c>
      <c r="C2858" t="s">
        <v>1801</v>
      </c>
      <c r="D2858" t="s">
        <v>39</v>
      </c>
      <c r="E2858" t="s">
        <v>22</v>
      </c>
      <c r="F2858" s="30">
        <v>45838</v>
      </c>
      <c r="G2858" t="s">
        <v>2366</v>
      </c>
      <c r="H2858" t="s">
        <v>4499</v>
      </c>
      <c r="I2858">
        <v>98</v>
      </c>
      <c r="J2858">
        <v>99.80999755859375</v>
      </c>
      <c r="DA2858">
        <v>43934</v>
      </c>
      <c r="DB2858">
        <v>44016</v>
      </c>
    </row>
    <row r="2859" spans="1:122" x14ac:dyDescent="0.3">
      <c r="A2859">
        <v>440</v>
      </c>
      <c r="B2859" t="s">
        <v>2361</v>
      </c>
      <c r="C2859" t="s">
        <v>1801</v>
      </c>
      <c r="D2859" t="s">
        <v>39</v>
      </c>
      <c r="E2859" t="s">
        <v>22</v>
      </c>
      <c r="F2859" s="30">
        <v>45838</v>
      </c>
      <c r="G2859" t="s">
        <v>2366</v>
      </c>
      <c r="H2859" t="s">
        <v>4500</v>
      </c>
      <c r="I2859">
        <v>98</v>
      </c>
      <c r="J2859">
        <v>99.25</v>
      </c>
      <c r="DA2859">
        <v>3717</v>
      </c>
      <c r="DB2859">
        <v>3745</v>
      </c>
    </row>
    <row r="2860" spans="1:122" x14ac:dyDescent="0.3">
      <c r="A2860">
        <v>473</v>
      </c>
      <c r="B2860" t="s">
        <v>2488</v>
      </c>
      <c r="C2860" t="s">
        <v>1234</v>
      </c>
      <c r="D2860" t="s">
        <v>39</v>
      </c>
      <c r="E2860" t="s">
        <v>22</v>
      </c>
      <c r="F2860" s="30">
        <v>45838</v>
      </c>
      <c r="G2860" t="s">
        <v>2490</v>
      </c>
      <c r="H2860" t="s">
        <v>4634</v>
      </c>
      <c r="I2860">
        <v>100</v>
      </c>
      <c r="J2860">
        <v>100</v>
      </c>
      <c r="DM2860">
        <v>1</v>
      </c>
      <c r="DN2860">
        <v>1</v>
      </c>
    </row>
    <row r="2861" spans="1:122" x14ac:dyDescent="0.3">
      <c r="A2861">
        <v>473</v>
      </c>
      <c r="B2861" t="s">
        <v>2488</v>
      </c>
      <c r="C2861" t="s">
        <v>1234</v>
      </c>
      <c r="D2861" t="s">
        <v>39</v>
      </c>
      <c r="E2861" t="s">
        <v>22</v>
      </c>
      <c r="F2861" s="30">
        <v>45838</v>
      </c>
      <c r="G2861" t="s">
        <v>2490</v>
      </c>
      <c r="H2861" t="s">
        <v>4635</v>
      </c>
      <c r="I2861">
        <v>100</v>
      </c>
      <c r="J2861">
        <v>100</v>
      </c>
      <c r="DM2861">
        <v>5</v>
      </c>
      <c r="DN2861">
        <v>5</v>
      </c>
    </row>
    <row r="2862" spans="1:122" x14ac:dyDescent="0.3">
      <c r="A2862">
        <v>473</v>
      </c>
      <c r="B2862" t="s">
        <v>2488</v>
      </c>
      <c r="C2862" t="s">
        <v>1234</v>
      </c>
      <c r="D2862" t="s">
        <v>39</v>
      </c>
      <c r="E2862" t="s">
        <v>22</v>
      </c>
      <c r="F2862" s="30">
        <v>45838</v>
      </c>
      <c r="G2862" t="s">
        <v>2490</v>
      </c>
      <c r="H2862" t="s">
        <v>4645</v>
      </c>
      <c r="I2862">
        <v>100</v>
      </c>
      <c r="J2862">
        <v>100</v>
      </c>
      <c r="DM2862">
        <v>66</v>
      </c>
      <c r="DN2862">
        <v>66</v>
      </c>
    </row>
    <row r="2863" spans="1:122" x14ac:dyDescent="0.3">
      <c r="A2863">
        <v>476</v>
      </c>
      <c r="B2863" t="s">
        <v>2499</v>
      </c>
      <c r="C2863" t="s">
        <v>1234</v>
      </c>
      <c r="D2863" t="s">
        <v>39</v>
      </c>
      <c r="E2863" t="s">
        <v>22</v>
      </c>
      <c r="F2863" s="30">
        <v>45838</v>
      </c>
      <c r="G2863" t="s">
        <v>2502</v>
      </c>
      <c r="H2863" t="s">
        <v>4634</v>
      </c>
      <c r="I2863">
        <v>100</v>
      </c>
      <c r="J2863">
        <v>100</v>
      </c>
      <c r="DQ2863">
        <v>1</v>
      </c>
      <c r="DR2863">
        <v>1</v>
      </c>
    </row>
    <row r="2864" spans="1:122" x14ac:dyDescent="0.3">
      <c r="A2864">
        <v>476</v>
      </c>
      <c r="B2864" t="s">
        <v>2499</v>
      </c>
      <c r="C2864" t="s">
        <v>1234</v>
      </c>
      <c r="D2864" t="s">
        <v>39</v>
      </c>
      <c r="E2864" t="s">
        <v>22</v>
      </c>
      <c r="F2864" s="30">
        <v>45838</v>
      </c>
      <c r="G2864" t="s">
        <v>2502</v>
      </c>
      <c r="H2864" t="s">
        <v>4635</v>
      </c>
      <c r="I2864">
        <v>100</v>
      </c>
      <c r="J2864">
        <v>100</v>
      </c>
      <c r="DQ2864">
        <v>5</v>
      </c>
      <c r="DR2864">
        <v>5</v>
      </c>
    </row>
    <row r="2865" spans="1:153" x14ac:dyDescent="0.3">
      <c r="A2865">
        <v>476</v>
      </c>
      <c r="B2865" t="s">
        <v>2499</v>
      </c>
      <c r="C2865" t="s">
        <v>1234</v>
      </c>
      <c r="D2865" t="s">
        <v>39</v>
      </c>
      <c r="E2865" t="s">
        <v>22</v>
      </c>
      <c r="F2865" s="30">
        <v>45838</v>
      </c>
      <c r="G2865" t="s">
        <v>2502</v>
      </c>
      <c r="H2865" t="s">
        <v>4645</v>
      </c>
      <c r="I2865">
        <v>100</v>
      </c>
      <c r="J2865">
        <v>0</v>
      </c>
      <c r="DQ2865">
        <v>0</v>
      </c>
      <c r="DR2865">
        <v>0</v>
      </c>
    </row>
    <row r="2866" spans="1:153" x14ac:dyDescent="0.3">
      <c r="A2866">
        <v>519</v>
      </c>
      <c r="B2866" t="s">
        <v>2648</v>
      </c>
      <c r="C2866" t="s">
        <v>1998</v>
      </c>
      <c r="D2866" t="s">
        <v>39</v>
      </c>
      <c r="E2866" t="s">
        <v>22</v>
      </c>
      <c r="F2866" s="30">
        <v>45838</v>
      </c>
      <c r="G2866" t="s">
        <v>2649</v>
      </c>
      <c r="H2866" t="s">
        <v>4660</v>
      </c>
      <c r="I2866">
        <v>100</v>
      </c>
      <c r="J2866">
        <v>112.90000152587891</v>
      </c>
      <c r="EP2866">
        <v>45</v>
      </c>
      <c r="EQ2866">
        <v>39.86</v>
      </c>
    </row>
    <row r="2867" spans="1:153" x14ac:dyDescent="0.3">
      <c r="A2867">
        <v>519</v>
      </c>
      <c r="B2867" t="s">
        <v>2648</v>
      </c>
      <c r="C2867" t="s">
        <v>1998</v>
      </c>
      <c r="D2867" t="s">
        <v>39</v>
      </c>
      <c r="E2867" t="s">
        <v>22</v>
      </c>
      <c r="F2867" s="30">
        <v>45838</v>
      </c>
      <c r="G2867" t="s">
        <v>2649</v>
      </c>
      <c r="H2867" t="s">
        <v>56</v>
      </c>
      <c r="I2867">
        <v>100</v>
      </c>
      <c r="J2867">
        <v>750</v>
      </c>
      <c r="EP2867">
        <v>3</v>
      </c>
      <c r="EQ2867">
        <v>0.4</v>
      </c>
    </row>
    <row r="2868" spans="1:153" x14ac:dyDescent="0.3">
      <c r="A2868">
        <v>523</v>
      </c>
      <c r="B2868" t="s">
        <v>1945</v>
      </c>
      <c r="C2868" t="s">
        <v>210</v>
      </c>
      <c r="D2868" t="s">
        <v>39</v>
      </c>
      <c r="E2868" t="s">
        <v>22</v>
      </c>
      <c r="F2868" s="30">
        <v>45838</v>
      </c>
      <c r="G2868" t="s">
        <v>2652</v>
      </c>
      <c r="H2868" t="s">
        <v>4513</v>
      </c>
      <c r="I2868">
        <v>95</v>
      </c>
      <c r="J2868">
        <v>126.48000335693359</v>
      </c>
      <c r="ER2868">
        <v>2655651556</v>
      </c>
      <c r="ES2868">
        <v>3358906184</v>
      </c>
    </row>
    <row r="2869" spans="1:153" x14ac:dyDescent="0.3">
      <c r="A2869">
        <v>523</v>
      </c>
      <c r="B2869" t="s">
        <v>1945</v>
      </c>
      <c r="C2869" t="s">
        <v>210</v>
      </c>
      <c r="D2869" t="s">
        <v>39</v>
      </c>
      <c r="E2869" t="s">
        <v>22</v>
      </c>
      <c r="F2869" s="30">
        <v>45838</v>
      </c>
      <c r="G2869" t="s">
        <v>2652</v>
      </c>
      <c r="H2869" t="s">
        <v>4661</v>
      </c>
      <c r="I2869">
        <v>95</v>
      </c>
      <c r="J2869">
        <v>136.5899963378906</v>
      </c>
      <c r="ER2869">
        <v>2797663886</v>
      </c>
      <c r="ES2869">
        <v>3821459750</v>
      </c>
    </row>
    <row r="2870" spans="1:153" x14ac:dyDescent="0.3">
      <c r="A2870">
        <v>523</v>
      </c>
      <c r="B2870" t="s">
        <v>1945</v>
      </c>
      <c r="C2870" t="s">
        <v>210</v>
      </c>
      <c r="D2870" t="s">
        <v>39</v>
      </c>
      <c r="E2870" t="s">
        <v>22</v>
      </c>
      <c r="F2870" s="30">
        <v>45838</v>
      </c>
      <c r="G2870" t="s">
        <v>2652</v>
      </c>
      <c r="H2870" t="s">
        <v>4662</v>
      </c>
      <c r="I2870">
        <v>95</v>
      </c>
      <c r="J2870">
        <v>102.5400009155273</v>
      </c>
      <c r="ER2870">
        <v>1392561870</v>
      </c>
      <c r="ES2870">
        <v>1427952335</v>
      </c>
    </row>
    <row r="2871" spans="1:153" x14ac:dyDescent="0.3">
      <c r="A2871">
        <v>524</v>
      </c>
      <c r="B2871" t="s">
        <v>2185</v>
      </c>
      <c r="C2871" t="s">
        <v>2186</v>
      </c>
      <c r="D2871" t="s">
        <v>39</v>
      </c>
      <c r="E2871" t="s">
        <v>22</v>
      </c>
      <c r="F2871" s="30">
        <v>45838</v>
      </c>
      <c r="G2871" t="s">
        <v>2654</v>
      </c>
      <c r="H2871" t="s">
        <v>4663</v>
      </c>
      <c r="I2871">
        <v>100</v>
      </c>
      <c r="J2871">
        <v>93.319999694824219</v>
      </c>
      <c r="ET2871">
        <v>107405</v>
      </c>
      <c r="EU2871">
        <v>115090</v>
      </c>
    </row>
    <row r="2872" spans="1:153" x14ac:dyDescent="0.3">
      <c r="A2872">
        <v>524</v>
      </c>
      <c r="B2872" t="s">
        <v>2185</v>
      </c>
      <c r="C2872" t="s">
        <v>2186</v>
      </c>
      <c r="D2872" t="s">
        <v>39</v>
      </c>
      <c r="E2872" t="s">
        <v>22</v>
      </c>
      <c r="F2872" s="30">
        <v>45838</v>
      </c>
      <c r="G2872" t="s">
        <v>2654</v>
      </c>
      <c r="H2872" t="s">
        <v>4664</v>
      </c>
      <c r="I2872">
        <v>100</v>
      </c>
      <c r="J2872">
        <v>112.9499969482422</v>
      </c>
      <c r="ET2872">
        <v>14925</v>
      </c>
      <c r="EU2872">
        <v>13214</v>
      </c>
    </row>
    <row r="2873" spans="1:153" x14ac:dyDescent="0.3">
      <c r="A2873">
        <v>524</v>
      </c>
      <c r="B2873" t="s">
        <v>2185</v>
      </c>
      <c r="C2873" t="s">
        <v>2186</v>
      </c>
      <c r="D2873" t="s">
        <v>39</v>
      </c>
      <c r="E2873" t="s">
        <v>22</v>
      </c>
      <c r="F2873" s="30">
        <v>45838</v>
      </c>
      <c r="G2873" t="s">
        <v>2654</v>
      </c>
      <c r="H2873" t="s">
        <v>4665</v>
      </c>
      <c r="I2873">
        <v>100</v>
      </c>
      <c r="J2873">
        <v>178.1199951171875</v>
      </c>
      <c r="ET2873">
        <v>5219</v>
      </c>
      <c r="EU2873">
        <v>2930</v>
      </c>
    </row>
    <row r="2874" spans="1:153" x14ac:dyDescent="0.3">
      <c r="A2874">
        <v>524</v>
      </c>
      <c r="B2874" t="s">
        <v>2185</v>
      </c>
      <c r="C2874" t="s">
        <v>2186</v>
      </c>
      <c r="D2874" t="s">
        <v>39</v>
      </c>
      <c r="E2874" t="s">
        <v>22</v>
      </c>
      <c r="F2874" s="30">
        <v>45838</v>
      </c>
      <c r="G2874" t="s">
        <v>2654</v>
      </c>
      <c r="H2874" t="s">
        <v>4666</v>
      </c>
      <c r="I2874">
        <v>100</v>
      </c>
      <c r="J2874">
        <v>104.61000061035161</v>
      </c>
      <c r="ET2874">
        <v>41780</v>
      </c>
      <c r="EU2874">
        <v>39937</v>
      </c>
    </row>
    <row r="2875" spans="1:153" x14ac:dyDescent="0.3">
      <c r="A2875">
        <v>524</v>
      </c>
      <c r="B2875" t="s">
        <v>2185</v>
      </c>
      <c r="C2875" t="s">
        <v>2186</v>
      </c>
      <c r="D2875" t="s">
        <v>39</v>
      </c>
      <c r="E2875" t="s">
        <v>22</v>
      </c>
      <c r="F2875" s="30">
        <v>45838</v>
      </c>
      <c r="G2875" t="s">
        <v>2654</v>
      </c>
      <c r="H2875" t="s">
        <v>4667</v>
      </c>
      <c r="I2875">
        <v>100</v>
      </c>
      <c r="J2875">
        <v>74.30999755859375</v>
      </c>
      <c r="ET2875">
        <v>1183</v>
      </c>
      <c r="EU2875">
        <v>1592</v>
      </c>
    </row>
    <row r="2876" spans="1:153" x14ac:dyDescent="0.3">
      <c r="A2876">
        <v>524</v>
      </c>
      <c r="B2876" t="s">
        <v>2185</v>
      </c>
      <c r="C2876" t="s">
        <v>2186</v>
      </c>
      <c r="D2876" t="s">
        <v>39</v>
      </c>
      <c r="E2876" t="s">
        <v>22</v>
      </c>
      <c r="F2876" s="30">
        <v>45838</v>
      </c>
      <c r="G2876" t="s">
        <v>2654</v>
      </c>
      <c r="H2876" t="s">
        <v>4668</v>
      </c>
      <c r="I2876">
        <v>100</v>
      </c>
      <c r="J2876">
        <v>221.3800048828125</v>
      </c>
      <c r="ET2876">
        <v>2143</v>
      </c>
      <c r="EU2876">
        <v>968</v>
      </c>
    </row>
    <row r="2877" spans="1:153" x14ac:dyDescent="0.3">
      <c r="A2877">
        <v>532</v>
      </c>
      <c r="B2877" t="s">
        <v>2664</v>
      </c>
      <c r="C2877" t="s">
        <v>454</v>
      </c>
      <c r="D2877" t="s">
        <v>39</v>
      </c>
      <c r="E2877" t="s">
        <v>22</v>
      </c>
      <c r="F2877" s="30">
        <v>45838</v>
      </c>
      <c r="G2877" t="s">
        <v>2665</v>
      </c>
      <c r="H2877" t="s">
        <v>1555</v>
      </c>
      <c r="I2877">
        <v>100</v>
      </c>
      <c r="J2877">
        <v>132</v>
      </c>
      <c r="EV2877">
        <v>66</v>
      </c>
      <c r="EW2877">
        <v>50</v>
      </c>
    </row>
    <row r="2878" spans="1:153" x14ac:dyDescent="0.3">
      <c r="A2878">
        <v>532</v>
      </c>
      <c r="B2878" t="s">
        <v>2664</v>
      </c>
      <c r="C2878" t="s">
        <v>454</v>
      </c>
      <c r="D2878" t="s">
        <v>39</v>
      </c>
      <c r="E2878" t="s">
        <v>22</v>
      </c>
      <c r="F2878" s="30">
        <v>45838</v>
      </c>
      <c r="G2878" t="s">
        <v>2665</v>
      </c>
      <c r="H2878" t="s">
        <v>1581</v>
      </c>
      <c r="I2878">
        <v>100</v>
      </c>
      <c r="J2878">
        <v>136</v>
      </c>
      <c r="EV2878">
        <v>136</v>
      </c>
      <c r="EW2878">
        <v>100</v>
      </c>
    </row>
    <row r="2879" spans="1:153" x14ac:dyDescent="0.3">
      <c r="A2879">
        <v>532</v>
      </c>
      <c r="B2879" t="s">
        <v>2664</v>
      </c>
      <c r="C2879" t="s">
        <v>454</v>
      </c>
      <c r="D2879" t="s">
        <v>39</v>
      </c>
      <c r="E2879" t="s">
        <v>22</v>
      </c>
      <c r="F2879" s="30">
        <v>45838</v>
      </c>
      <c r="G2879" t="s">
        <v>2665</v>
      </c>
      <c r="H2879" t="s">
        <v>1586</v>
      </c>
      <c r="I2879">
        <v>100</v>
      </c>
      <c r="J2879">
        <v>100</v>
      </c>
      <c r="EV2879">
        <v>6</v>
      </c>
      <c r="EW2879">
        <v>6</v>
      </c>
    </row>
    <row r="2880" spans="1:153" x14ac:dyDescent="0.3">
      <c r="A2880">
        <v>532</v>
      </c>
      <c r="B2880" t="s">
        <v>2664</v>
      </c>
      <c r="C2880" t="s">
        <v>454</v>
      </c>
      <c r="D2880" t="s">
        <v>39</v>
      </c>
      <c r="E2880" t="s">
        <v>22</v>
      </c>
      <c r="F2880" s="30">
        <v>45838</v>
      </c>
      <c r="G2880" t="s">
        <v>2665</v>
      </c>
      <c r="H2880" t="s">
        <v>1591</v>
      </c>
      <c r="I2880">
        <v>100</v>
      </c>
      <c r="J2880">
        <v>132</v>
      </c>
      <c r="EV2880">
        <v>33</v>
      </c>
      <c r="EW2880">
        <v>25</v>
      </c>
    </row>
    <row r="2881" spans="1:165" x14ac:dyDescent="0.3">
      <c r="A2881">
        <v>533</v>
      </c>
      <c r="B2881" t="s">
        <v>2667</v>
      </c>
      <c r="C2881" t="s">
        <v>454</v>
      </c>
      <c r="D2881" t="s">
        <v>39</v>
      </c>
      <c r="E2881" t="s">
        <v>22</v>
      </c>
      <c r="F2881" s="30">
        <v>45838</v>
      </c>
      <c r="G2881" t="s">
        <v>2668</v>
      </c>
      <c r="H2881" t="s">
        <v>1571</v>
      </c>
      <c r="I2881">
        <v>100</v>
      </c>
      <c r="J2881">
        <v>103.75</v>
      </c>
      <c r="EX2881">
        <v>80</v>
      </c>
      <c r="EY2881">
        <v>83</v>
      </c>
    </row>
    <row r="2882" spans="1:165" x14ac:dyDescent="0.3">
      <c r="A2882">
        <v>533</v>
      </c>
      <c r="B2882" t="s">
        <v>2667</v>
      </c>
      <c r="C2882" t="s">
        <v>454</v>
      </c>
      <c r="D2882" t="s">
        <v>39</v>
      </c>
      <c r="E2882" t="s">
        <v>22</v>
      </c>
      <c r="F2882" s="30">
        <v>45838</v>
      </c>
      <c r="G2882" t="s">
        <v>2668</v>
      </c>
      <c r="H2882" t="s">
        <v>4669</v>
      </c>
      <c r="I2882">
        <v>100</v>
      </c>
      <c r="J2882">
        <v>127</v>
      </c>
      <c r="EX2882">
        <v>800</v>
      </c>
      <c r="EY2882">
        <v>1016</v>
      </c>
    </row>
    <row r="2883" spans="1:165" x14ac:dyDescent="0.3">
      <c r="A2883">
        <v>534</v>
      </c>
      <c r="B2883" t="s">
        <v>2670</v>
      </c>
      <c r="C2883" t="s">
        <v>454</v>
      </c>
      <c r="D2883" t="s">
        <v>39</v>
      </c>
      <c r="E2883" t="s">
        <v>22</v>
      </c>
      <c r="F2883" s="30">
        <v>45838</v>
      </c>
      <c r="G2883" t="s">
        <v>2671</v>
      </c>
      <c r="H2883" t="s">
        <v>1576</v>
      </c>
      <c r="I2883">
        <v>100</v>
      </c>
      <c r="J2883">
        <v>103</v>
      </c>
      <c r="EZ2883">
        <v>100</v>
      </c>
      <c r="FA2883">
        <v>103</v>
      </c>
    </row>
    <row r="2884" spans="1:165" x14ac:dyDescent="0.3">
      <c r="A2884">
        <v>534</v>
      </c>
      <c r="B2884" t="s">
        <v>2670</v>
      </c>
      <c r="C2884" t="s">
        <v>454</v>
      </c>
      <c r="D2884" t="s">
        <v>39</v>
      </c>
      <c r="E2884" t="s">
        <v>22</v>
      </c>
      <c r="F2884" s="30">
        <v>45838</v>
      </c>
      <c r="G2884" t="s">
        <v>2671</v>
      </c>
      <c r="H2884" t="s">
        <v>4670</v>
      </c>
      <c r="I2884">
        <v>100</v>
      </c>
      <c r="J2884">
        <v>137.19999694824219</v>
      </c>
      <c r="EZ2884">
        <v>1000</v>
      </c>
      <c r="FA2884">
        <v>1372</v>
      </c>
    </row>
    <row r="2885" spans="1:165" x14ac:dyDescent="0.3">
      <c r="A2885">
        <v>535</v>
      </c>
      <c r="B2885" t="s">
        <v>2673</v>
      </c>
      <c r="C2885" t="s">
        <v>454</v>
      </c>
      <c r="D2885" t="s">
        <v>39</v>
      </c>
      <c r="E2885" t="s">
        <v>22</v>
      </c>
      <c r="F2885" s="30">
        <v>45838</v>
      </c>
      <c r="G2885" t="s">
        <v>2674</v>
      </c>
      <c r="H2885" t="s">
        <v>4671</v>
      </c>
      <c r="I2885">
        <v>100</v>
      </c>
      <c r="J2885">
        <v>151.25</v>
      </c>
      <c r="FB2885">
        <v>80</v>
      </c>
      <c r="FC2885">
        <v>121</v>
      </c>
    </row>
    <row r="2886" spans="1:165" x14ac:dyDescent="0.3">
      <c r="A2886">
        <v>535</v>
      </c>
      <c r="B2886" t="s">
        <v>2673</v>
      </c>
      <c r="C2886" t="s">
        <v>454</v>
      </c>
      <c r="D2886" t="s">
        <v>39</v>
      </c>
      <c r="E2886" t="s">
        <v>22</v>
      </c>
      <c r="F2886" s="30">
        <v>45838</v>
      </c>
      <c r="G2886" t="s">
        <v>2674</v>
      </c>
      <c r="H2886" t="s">
        <v>1560</v>
      </c>
      <c r="I2886">
        <v>100</v>
      </c>
      <c r="J2886">
        <v>111.4300003051758</v>
      </c>
      <c r="FB2886">
        <v>70</v>
      </c>
      <c r="FC2886">
        <v>78</v>
      </c>
    </row>
    <row r="2887" spans="1:165" x14ac:dyDescent="0.3">
      <c r="A2887">
        <v>536</v>
      </c>
      <c r="B2887" t="s">
        <v>2676</v>
      </c>
      <c r="C2887" t="s">
        <v>454</v>
      </c>
      <c r="D2887" t="s">
        <v>39</v>
      </c>
      <c r="E2887" t="s">
        <v>22</v>
      </c>
      <c r="F2887" s="30">
        <v>45838</v>
      </c>
      <c r="G2887" t="s">
        <v>2677</v>
      </c>
      <c r="H2887" t="s">
        <v>1565</v>
      </c>
      <c r="I2887">
        <v>100</v>
      </c>
      <c r="J2887">
        <v>111.4300003051758</v>
      </c>
      <c r="FD2887">
        <v>70</v>
      </c>
      <c r="FE2887">
        <v>78</v>
      </c>
    </row>
    <row r="2888" spans="1:165" x14ac:dyDescent="0.3">
      <c r="A2888">
        <v>536</v>
      </c>
      <c r="B2888" t="s">
        <v>2676</v>
      </c>
      <c r="C2888" t="s">
        <v>454</v>
      </c>
      <c r="D2888" t="s">
        <v>39</v>
      </c>
      <c r="E2888" t="s">
        <v>22</v>
      </c>
      <c r="F2888" s="30">
        <v>45838</v>
      </c>
      <c r="G2888" t="s">
        <v>2677</v>
      </c>
      <c r="H2888" t="s">
        <v>4672</v>
      </c>
      <c r="I2888">
        <v>100</v>
      </c>
      <c r="J2888">
        <v>107.5</v>
      </c>
      <c r="FD2888">
        <v>80</v>
      </c>
      <c r="FE2888">
        <v>86</v>
      </c>
    </row>
    <row r="2889" spans="1:165" x14ac:dyDescent="0.3">
      <c r="A2889">
        <v>543</v>
      </c>
      <c r="B2889" t="s">
        <v>2686</v>
      </c>
      <c r="C2889" t="s">
        <v>546</v>
      </c>
      <c r="D2889" t="s">
        <v>39</v>
      </c>
      <c r="E2889" t="s">
        <v>22</v>
      </c>
      <c r="F2889" s="30">
        <v>45838</v>
      </c>
      <c r="G2889" t="s">
        <v>2687</v>
      </c>
      <c r="H2889" t="s">
        <v>4673</v>
      </c>
      <c r="J2889">
        <v>7.4000000953674316</v>
      </c>
      <c r="FF2889">
        <v>37000</v>
      </c>
      <c r="FG2889">
        <v>5000</v>
      </c>
    </row>
    <row r="2890" spans="1:165" x14ac:dyDescent="0.3">
      <c r="A2890">
        <v>543</v>
      </c>
      <c r="B2890" t="s">
        <v>2686</v>
      </c>
      <c r="C2890" t="s">
        <v>546</v>
      </c>
      <c r="D2890" t="s">
        <v>39</v>
      </c>
      <c r="E2890" t="s">
        <v>22</v>
      </c>
      <c r="F2890" s="30">
        <v>45838</v>
      </c>
      <c r="G2890" t="s">
        <v>2687</v>
      </c>
      <c r="H2890" t="s">
        <v>4674</v>
      </c>
      <c r="J2890">
        <v>6.8499999046325684</v>
      </c>
      <c r="FF2890">
        <v>8900</v>
      </c>
      <c r="FG2890">
        <v>1300</v>
      </c>
    </row>
    <row r="2891" spans="1:165" x14ac:dyDescent="0.3">
      <c r="A2891">
        <v>544</v>
      </c>
      <c r="B2891" t="s">
        <v>2688</v>
      </c>
      <c r="C2891" t="s">
        <v>2044</v>
      </c>
      <c r="D2891" t="s">
        <v>39</v>
      </c>
      <c r="E2891" t="s">
        <v>22</v>
      </c>
      <c r="F2891" s="30">
        <v>45838</v>
      </c>
      <c r="G2891" t="s">
        <v>2689</v>
      </c>
      <c r="H2891" t="s">
        <v>4675</v>
      </c>
      <c r="I2891">
        <v>100</v>
      </c>
      <c r="J2891">
        <v>200</v>
      </c>
      <c r="FH2891">
        <v>1</v>
      </c>
      <c r="FI2891">
        <v>2</v>
      </c>
    </row>
    <row r="2892" spans="1:165" x14ac:dyDescent="0.3">
      <c r="A2892">
        <v>544</v>
      </c>
      <c r="B2892" t="s">
        <v>2688</v>
      </c>
      <c r="C2892" t="s">
        <v>2044</v>
      </c>
      <c r="D2892" t="s">
        <v>39</v>
      </c>
      <c r="E2892" t="s">
        <v>22</v>
      </c>
      <c r="F2892" s="30">
        <v>45838</v>
      </c>
      <c r="G2892" t="s">
        <v>2689</v>
      </c>
      <c r="H2892" t="s">
        <v>4676</v>
      </c>
      <c r="I2892">
        <v>100</v>
      </c>
      <c r="J2892">
        <v>400</v>
      </c>
      <c r="FH2892">
        <v>1</v>
      </c>
      <c r="FI2892">
        <v>4</v>
      </c>
    </row>
    <row r="2893" spans="1:165" x14ac:dyDescent="0.3">
      <c r="A2893">
        <v>544</v>
      </c>
      <c r="B2893" t="s">
        <v>2688</v>
      </c>
      <c r="C2893" t="s">
        <v>2044</v>
      </c>
      <c r="D2893" t="s">
        <v>39</v>
      </c>
      <c r="E2893" t="s">
        <v>22</v>
      </c>
      <c r="F2893" s="30">
        <v>45838</v>
      </c>
      <c r="G2893" t="s">
        <v>2689</v>
      </c>
      <c r="H2893" t="s">
        <v>4677</v>
      </c>
      <c r="I2893">
        <v>100</v>
      </c>
      <c r="J2893">
        <v>100</v>
      </c>
      <c r="FH2893">
        <v>1</v>
      </c>
      <c r="FI2893">
        <v>1</v>
      </c>
    </row>
    <row r="2894" spans="1:165" x14ac:dyDescent="0.3">
      <c r="A2894">
        <v>544</v>
      </c>
      <c r="B2894" t="s">
        <v>2688</v>
      </c>
      <c r="C2894" t="s">
        <v>2044</v>
      </c>
      <c r="D2894" t="s">
        <v>39</v>
      </c>
      <c r="E2894" t="s">
        <v>22</v>
      </c>
      <c r="F2894" s="30">
        <v>45838</v>
      </c>
      <c r="G2894" t="s">
        <v>2689</v>
      </c>
      <c r="H2894" t="s">
        <v>4678</v>
      </c>
      <c r="I2894">
        <v>100</v>
      </c>
      <c r="J2894">
        <v>300</v>
      </c>
      <c r="FH2894">
        <v>1</v>
      </c>
      <c r="FI2894">
        <v>3</v>
      </c>
    </row>
    <row r="2895" spans="1:165" x14ac:dyDescent="0.3">
      <c r="A2895">
        <v>213</v>
      </c>
      <c r="B2895" t="s">
        <v>757</v>
      </c>
      <c r="C2895" t="s">
        <v>251</v>
      </c>
      <c r="D2895" t="s">
        <v>21</v>
      </c>
      <c r="E2895" t="s">
        <v>22</v>
      </c>
      <c r="F2895" s="30">
        <v>45838</v>
      </c>
      <c r="G2895" t="s">
        <v>771</v>
      </c>
      <c r="H2895" t="s">
        <v>4487</v>
      </c>
      <c r="I2895">
        <v>90</v>
      </c>
      <c r="J2895">
        <v>94.550003051757813</v>
      </c>
      <c r="AW2895">
        <v>55</v>
      </c>
      <c r="AX2895">
        <v>52</v>
      </c>
    </row>
    <row r="2896" spans="1:165" x14ac:dyDescent="0.3">
      <c r="A2896">
        <v>213</v>
      </c>
      <c r="B2896" t="s">
        <v>757</v>
      </c>
      <c r="C2896" t="s">
        <v>251</v>
      </c>
      <c r="D2896" t="s">
        <v>21</v>
      </c>
      <c r="E2896" t="s">
        <v>22</v>
      </c>
      <c r="F2896" s="30">
        <v>45838</v>
      </c>
      <c r="G2896" t="s">
        <v>771</v>
      </c>
      <c r="H2896" t="s">
        <v>4482</v>
      </c>
      <c r="I2896">
        <v>90</v>
      </c>
      <c r="J2896">
        <v>100</v>
      </c>
      <c r="AW2896">
        <v>6</v>
      </c>
      <c r="AX2896">
        <v>6</v>
      </c>
    </row>
    <row r="2897" spans="1:77" x14ac:dyDescent="0.3">
      <c r="A2897">
        <v>213</v>
      </c>
      <c r="B2897" t="s">
        <v>757</v>
      </c>
      <c r="C2897" t="s">
        <v>251</v>
      </c>
      <c r="D2897" t="s">
        <v>21</v>
      </c>
      <c r="E2897" t="s">
        <v>22</v>
      </c>
      <c r="F2897" s="30">
        <v>45838</v>
      </c>
      <c r="G2897" t="s">
        <v>771</v>
      </c>
      <c r="H2897" t="s">
        <v>4483</v>
      </c>
      <c r="I2897">
        <v>90</v>
      </c>
      <c r="J2897">
        <v>100</v>
      </c>
      <c r="AW2897">
        <v>25</v>
      </c>
      <c r="AX2897">
        <v>25</v>
      </c>
    </row>
    <row r="2898" spans="1:77" x14ac:dyDescent="0.3">
      <c r="A2898">
        <v>213</v>
      </c>
      <c r="B2898" t="s">
        <v>757</v>
      </c>
      <c r="C2898" t="s">
        <v>251</v>
      </c>
      <c r="D2898" t="s">
        <v>21</v>
      </c>
      <c r="E2898" t="s">
        <v>22</v>
      </c>
      <c r="F2898" s="30">
        <v>45838</v>
      </c>
      <c r="G2898" t="s">
        <v>771</v>
      </c>
      <c r="H2898" t="s">
        <v>4484</v>
      </c>
      <c r="I2898">
        <v>90</v>
      </c>
      <c r="J2898">
        <v>100</v>
      </c>
      <c r="AW2898">
        <v>3</v>
      </c>
      <c r="AX2898">
        <v>3</v>
      </c>
    </row>
    <row r="2899" spans="1:77" x14ac:dyDescent="0.3">
      <c r="A2899">
        <v>213</v>
      </c>
      <c r="B2899" t="s">
        <v>757</v>
      </c>
      <c r="C2899" t="s">
        <v>251</v>
      </c>
      <c r="D2899" t="s">
        <v>21</v>
      </c>
      <c r="E2899" t="s">
        <v>22</v>
      </c>
      <c r="F2899" s="30">
        <v>45838</v>
      </c>
      <c r="G2899" t="s">
        <v>771</v>
      </c>
      <c r="H2899" t="s">
        <v>4533</v>
      </c>
      <c r="I2899">
        <v>90</v>
      </c>
      <c r="J2899">
        <v>100</v>
      </c>
      <c r="AW2899">
        <v>10</v>
      </c>
      <c r="AX2899">
        <v>10</v>
      </c>
    </row>
    <row r="2900" spans="1:77" x14ac:dyDescent="0.3">
      <c r="A2900">
        <v>213</v>
      </c>
      <c r="B2900" t="s">
        <v>757</v>
      </c>
      <c r="C2900" t="s">
        <v>251</v>
      </c>
      <c r="D2900" t="s">
        <v>21</v>
      </c>
      <c r="E2900" t="s">
        <v>22</v>
      </c>
      <c r="F2900" s="30">
        <v>45838</v>
      </c>
      <c r="G2900" t="s">
        <v>771</v>
      </c>
      <c r="H2900" t="s">
        <v>4534</v>
      </c>
      <c r="I2900">
        <v>90</v>
      </c>
      <c r="J2900">
        <v>0</v>
      </c>
      <c r="AW2900">
        <v>0</v>
      </c>
      <c r="AX2900">
        <v>0</v>
      </c>
    </row>
    <row r="2901" spans="1:77" x14ac:dyDescent="0.3">
      <c r="A2901">
        <v>213</v>
      </c>
      <c r="B2901" t="s">
        <v>757</v>
      </c>
      <c r="C2901" t="s">
        <v>251</v>
      </c>
      <c r="D2901" t="s">
        <v>21</v>
      </c>
      <c r="E2901" t="s">
        <v>22</v>
      </c>
      <c r="F2901" s="30">
        <v>45838</v>
      </c>
      <c r="G2901" t="s">
        <v>771</v>
      </c>
      <c r="H2901" t="s">
        <v>4485</v>
      </c>
      <c r="I2901">
        <v>90</v>
      </c>
      <c r="J2901">
        <v>78.949996948242188</v>
      </c>
      <c r="AW2901">
        <v>19</v>
      </c>
      <c r="AX2901">
        <v>15</v>
      </c>
    </row>
    <row r="2902" spans="1:77" x14ac:dyDescent="0.3">
      <c r="A2902">
        <v>213</v>
      </c>
      <c r="B2902" t="s">
        <v>757</v>
      </c>
      <c r="C2902" t="s">
        <v>251</v>
      </c>
      <c r="D2902" t="s">
        <v>21</v>
      </c>
      <c r="E2902" t="s">
        <v>22</v>
      </c>
      <c r="F2902" s="30">
        <v>45838</v>
      </c>
      <c r="G2902" t="s">
        <v>771</v>
      </c>
      <c r="H2902" t="s">
        <v>4486</v>
      </c>
      <c r="I2902">
        <v>90</v>
      </c>
      <c r="J2902">
        <v>88.889999389648438</v>
      </c>
      <c r="AW2902">
        <v>18</v>
      </c>
      <c r="AX2902">
        <v>16</v>
      </c>
    </row>
    <row r="2903" spans="1:77" x14ac:dyDescent="0.3">
      <c r="A2903">
        <v>238</v>
      </c>
      <c r="B2903" t="s">
        <v>1077</v>
      </c>
      <c r="C2903" t="s">
        <v>251</v>
      </c>
      <c r="D2903" t="s">
        <v>21</v>
      </c>
      <c r="E2903" t="s">
        <v>22</v>
      </c>
      <c r="F2903" s="30">
        <v>45838</v>
      </c>
      <c r="G2903" t="s">
        <v>1092</v>
      </c>
      <c r="H2903" t="s">
        <v>4488</v>
      </c>
      <c r="I2903">
        <v>90</v>
      </c>
      <c r="J2903">
        <v>90.629997253417969</v>
      </c>
      <c r="AY2903">
        <v>29</v>
      </c>
      <c r="AZ2903">
        <v>32</v>
      </c>
    </row>
    <row r="2904" spans="1:77" x14ac:dyDescent="0.3">
      <c r="A2904">
        <v>238</v>
      </c>
      <c r="B2904" t="s">
        <v>1077</v>
      </c>
      <c r="C2904" t="s">
        <v>251</v>
      </c>
      <c r="D2904" t="s">
        <v>21</v>
      </c>
      <c r="E2904" t="s">
        <v>22</v>
      </c>
      <c r="F2904" s="30">
        <v>45838</v>
      </c>
      <c r="G2904" t="s">
        <v>1092</v>
      </c>
      <c r="H2904" t="s">
        <v>4489</v>
      </c>
      <c r="I2904">
        <v>90</v>
      </c>
      <c r="J2904">
        <v>92.30999755859375</v>
      </c>
      <c r="AY2904">
        <v>12</v>
      </c>
      <c r="AZ2904">
        <v>13</v>
      </c>
    </row>
    <row r="2905" spans="1:77" x14ac:dyDescent="0.3">
      <c r="A2905">
        <v>238</v>
      </c>
      <c r="B2905" t="s">
        <v>1077</v>
      </c>
      <c r="C2905" t="s">
        <v>251</v>
      </c>
      <c r="D2905" t="s">
        <v>21</v>
      </c>
      <c r="E2905" t="s">
        <v>22</v>
      </c>
      <c r="F2905" s="30">
        <v>45838</v>
      </c>
      <c r="G2905" t="s">
        <v>1092</v>
      </c>
      <c r="H2905" t="s">
        <v>4490</v>
      </c>
      <c r="I2905">
        <v>90</v>
      </c>
      <c r="J2905">
        <v>100</v>
      </c>
      <c r="AY2905">
        <v>5</v>
      </c>
      <c r="AZ2905">
        <v>5</v>
      </c>
    </row>
    <row r="2906" spans="1:77" x14ac:dyDescent="0.3">
      <c r="A2906">
        <v>238</v>
      </c>
      <c r="B2906" t="s">
        <v>1077</v>
      </c>
      <c r="C2906" t="s">
        <v>251</v>
      </c>
      <c r="D2906" t="s">
        <v>21</v>
      </c>
      <c r="E2906" t="s">
        <v>22</v>
      </c>
      <c r="F2906" s="30">
        <v>45838</v>
      </c>
      <c r="G2906" t="s">
        <v>1092</v>
      </c>
      <c r="H2906" t="s">
        <v>4491</v>
      </c>
      <c r="I2906">
        <v>90</v>
      </c>
      <c r="J2906">
        <v>100</v>
      </c>
      <c r="AY2906">
        <v>5</v>
      </c>
      <c r="AZ2906">
        <v>5</v>
      </c>
    </row>
    <row r="2907" spans="1:77" x14ac:dyDescent="0.3">
      <c r="A2907">
        <v>238</v>
      </c>
      <c r="B2907" t="s">
        <v>1077</v>
      </c>
      <c r="C2907" t="s">
        <v>251</v>
      </c>
      <c r="D2907" t="s">
        <v>21</v>
      </c>
      <c r="E2907" t="s">
        <v>22</v>
      </c>
      <c r="F2907" s="30">
        <v>45838</v>
      </c>
      <c r="G2907" t="s">
        <v>1092</v>
      </c>
      <c r="H2907" t="s">
        <v>4535</v>
      </c>
      <c r="I2907">
        <v>90</v>
      </c>
      <c r="J2907">
        <v>0</v>
      </c>
      <c r="AY2907">
        <v>0</v>
      </c>
      <c r="AZ2907">
        <v>0</v>
      </c>
    </row>
    <row r="2908" spans="1:77" x14ac:dyDescent="0.3">
      <c r="A2908">
        <v>238</v>
      </c>
      <c r="B2908" t="s">
        <v>1077</v>
      </c>
      <c r="C2908" t="s">
        <v>251</v>
      </c>
      <c r="D2908" t="s">
        <v>21</v>
      </c>
      <c r="E2908" t="s">
        <v>22</v>
      </c>
      <c r="F2908" s="30">
        <v>45838</v>
      </c>
      <c r="G2908" t="s">
        <v>1092</v>
      </c>
      <c r="H2908" t="s">
        <v>4492</v>
      </c>
      <c r="I2908">
        <v>90</v>
      </c>
      <c r="J2908">
        <v>100</v>
      </c>
      <c r="AY2908">
        <v>3</v>
      </c>
      <c r="AZ2908">
        <v>3</v>
      </c>
    </row>
    <row r="2909" spans="1:77" x14ac:dyDescent="0.3">
      <c r="A2909">
        <v>238</v>
      </c>
      <c r="B2909" t="s">
        <v>1077</v>
      </c>
      <c r="C2909" t="s">
        <v>251</v>
      </c>
      <c r="D2909" t="s">
        <v>21</v>
      </c>
      <c r="E2909" t="s">
        <v>22</v>
      </c>
      <c r="F2909" s="30">
        <v>45838</v>
      </c>
      <c r="G2909" t="s">
        <v>1092</v>
      </c>
      <c r="H2909" t="s">
        <v>4536</v>
      </c>
      <c r="I2909">
        <v>90</v>
      </c>
      <c r="J2909">
        <v>0</v>
      </c>
      <c r="AY2909">
        <v>0</v>
      </c>
      <c r="AZ2909">
        <v>0</v>
      </c>
    </row>
    <row r="2910" spans="1:77" x14ac:dyDescent="0.3">
      <c r="A2910">
        <v>238</v>
      </c>
      <c r="B2910" t="s">
        <v>1077</v>
      </c>
      <c r="C2910" t="s">
        <v>251</v>
      </c>
      <c r="D2910" t="s">
        <v>21</v>
      </c>
      <c r="E2910" t="s">
        <v>22</v>
      </c>
      <c r="F2910" s="30">
        <v>45838</v>
      </c>
      <c r="G2910" t="s">
        <v>1092</v>
      </c>
      <c r="H2910" t="s">
        <v>4493</v>
      </c>
      <c r="I2910">
        <v>90</v>
      </c>
      <c r="J2910">
        <v>60</v>
      </c>
      <c r="AY2910">
        <v>3</v>
      </c>
      <c r="AZ2910">
        <v>5</v>
      </c>
    </row>
    <row r="2911" spans="1:77" x14ac:dyDescent="0.3">
      <c r="A2911">
        <v>306</v>
      </c>
      <c r="B2911" t="s">
        <v>1543</v>
      </c>
      <c r="C2911" t="s">
        <v>1241</v>
      </c>
      <c r="D2911" t="s">
        <v>21</v>
      </c>
      <c r="E2911" t="s">
        <v>22</v>
      </c>
      <c r="F2911" s="30">
        <v>45838</v>
      </c>
      <c r="G2911" t="s">
        <v>1552</v>
      </c>
      <c r="H2911" t="s">
        <v>4542</v>
      </c>
      <c r="I2911">
        <v>100</v>
      </c>
      <c r="J2911">
        <v>104</v>
      </c>
      <c r="BY2911">
        <v>104</v>
      </c>
    </row>
    <row r="2912" spans="1:77" x14ac:dyDescent="0.3">
      <c r="A2912">
        <v>306</v>
      </c>
      <c r="B2912" t="s">
        <v>1543</v>
      </c>
      <c r="C2912" t="s">
        <v>1241</v>
      </c>
      <c r="D2912" t="s">
        <v>21</v>
      </c>
      <c r="E2912" t="s">
        <v>22</v>
      </c>
      <c r="F2912" s="30">
        <v>45838</v>
      </c>
      <c r="G2912" t="s">
        <v>1552</v>
      </c>
      <c r="H2912" t="s">
        <v>4540</v>
      </c>
      <c r="I2912">
        <v>100</v>
      </c>
      <c r="J2912">
        <v>127</v>
      </c>
      <c r="BY2912">
        <v>127</v>
      </c>
    </row>
    <row r="2913" spans="1:81" x14ac:dyDescent="0.3">
      <c r="A2913">
        <v>306</v>
      </c>
      <c r="B2913" t="s">
        <v>1543</v>
      </c>
      <c r="C2913" t="s">
        <v>1241</v>
      </c>
      <c r="D2913" t="s">
        <v>21</v>
      </c>
      <c r="E2913" t="s">
        <v>22</v>
      </c>
      <c r="F2913" s="30">
        <v>45838</v>
      </c>
      <c r="G2913" t="s">
        <v>1552</v>
      </c>
      <c r="H2913" t="s">
        <v>4539</v>
      </c>
      <c r="I2913">
        <v>100</v>
      </c>
      <c r="J2913">
        <v>102</v>
      </c>
      <c r="BY2913">
        <v>102</v>
      </c>
    </row>
    <row r="2914" spans="1:81" x14ac:dyDescent="0.3">
      <c r="A2914">
        <v>306</v>
      </c>
      <c r="B2914" t="s">
        <v>1543</v>
      </c>
      <c r="C2914" t="s">
        <v>1241</v>
      </c>
      <c r="D2914" t="s">
        <v>21</v>
      </c>
      <c r="E2914" t="s">
        <v>22</v>
      </c>
      <c r="F2914" s="30">
        <v>45838</v>
      </c>
      <c r="G2914" t="s">
        <v>1552</v>
      </c>
      <c r="H2914" t="s">
        <v>4538</v>
      </c>
      <c r="I2914">
        <v>100</v>
      </c>
      <c r="J2914">
        <v>106</v>
      </c>
      <c r="BY2914">
        <v>106</v>
      </c>
    </row>
    <row r="2915" spans="1:81" x14ac:dyDescent="0.3">
      <c r="A2915">
        <v>306</v>
      </c>
      <c r="B2915" t="s">
        <v>1543</v>
      </c>
      <c r="C2915" t="s">
        <v>1241</v>
      </c>
      <c r="D2915" t="s">
        <v>21</v>
      </c>
      <c r="E2915" t="s">
        <v>22</v>
      </c>
      <c r="F2915" s="30">
        <v>45838</v>
      </c>
      <c r="G2915" t="s">
        <v>1552</v>
      </c>
      <c r="H2915" t="s">
        <v>4537</v>
      </c>
      <c r="I2915">
        <v>100</v>
      </c>
      <c r="J2915">
        <v>108</v>
      </c>
      <c r="BY2915">
        <v>108</v>
      </c>
    </row>
    <row r="2916" spans="1:81" x14ac:dyDescent="0.3">
      <c r="A2916">
        <v>306</v>
      </c>
      <c r="B2916" t="s">
        <v>1543</v>
      </c>
      <c r="C2916" t="s">
        <v>1241</v>
      </c>
      <c r="D2916" t="s">
        <v>21</v>
      </c>
      <c r="E2916" t="s">
        <v>22</v>
      </c>
      <c r="F2916" s="30">
        <v>45838</v>
      </c>
      <c r="G2916" t="s">
        <v>1552</v>
      </c>
      <c r="H2916" t="s">
        <v>4541</v>
      </c>
      <c r="I2916">
        <v>100</v>
      </c>
      <c r="J2916">
        <v>105</v>
      </c>
      <c r="BY2916">
        <v>105</v>
      </c>
    </row>
    <row r="2917" spans="1:81" x14ac:dyDescent="0.3">
      <c r="A2917">
        <v>373</v>
      </c>
      <c r="B2917" t="s">
        <v>1856</v>
      </c>
      <c r="C2917" t="s">
        <v>1263</v>
      </c>
      <c r="D2917" t="s">
        <v>21</v>
      </c>
      <c r="E2917" t="s">
        <v>22</v>
      </c>
      <c r="F2917" s="30">
        <v>45838</v>
      </c>
      <c r="G2917" t="s">
        <v>1866</v>
      </c>
      <c r="H2917" t="s">
        <v>4541</v>
      </c>
      <c r="I2917">
        <v>100</v>
      </c>
      <c r="J2917">
        <v>96.550003051757813</v>
      </c>
      <c r="BZ2917">
        <v>56</v>
      </c>
      <c r="CA2917">
        <v>58</v>
      </c>
    </row>
    <row r="2918" spans="1:81" x14ac:dyDescent="0.3">
      <c r="A2918">
        <v>373</v>
      </c>
      <c r="B2918" t="s">
        <v>1856</v>
      </c>
      <c r="C2918" t="s">
        <v>1263</v>
      </c>
      <c r="D2918" t="s">
        <v>21</v>
      </c>
      <c r="E2918" t="s">
        <v>22</v>
      </c>
      <c r="F2918" s="30">
        <v>45838</v>
      </c>
      <c r="G2918" t="s">
        <v>1866</v>
      </c>
      <c r="H2918" t="s">
        <v>4540</v>
      </c>
      <c r="I2918">
        <v>100</v>
      </c>
      <c r="J2918">
        <v>101.69000244140619</v>
      </c>
      <c r="BZ2918">
        <v>60</v>
      </c>
      <c r="CA2918">
        <v>59</v>
      </c>
    </row>
    <row r="2919" spans="1:81" x14ac:dyDescent="0.3">
      <c r="A2919">
        <v>373</v>
      </c>
      <c r="B2919" t="s">
        <v>1856</v>
      </c>
      <c r="C2919" t="s">
        <v>1263</v>
      </c>
      <c r="D2919" t="s">
        <v>21</v>
      </c>
      <c r="E2919" t="s">
        <v>22</v>
      </c>
      <c r="F2919" s="30">
        <v>45838</v>
      </c>
      <c r="G2919" t="s">
        <v>1866</v>
      </c>
      <c r="H2919" t="s">
        <v>4539</v>
      </c>
      <c r="I2919">
        <v>100</v>
      </c>
      <c r="J2919">
        <v>100</v>
      </c>
      <c r="BZ2919">
        <v>57</v>
      </c>
      <c r="CA2919">
        <v>57</v>
      </c>
    </row>
    <row r="2920" spans="1:81" x14ac:dyDescent="0.3">
      <c r="A2920">
        <v>373</v>
      </c>
      <c r="B2920" t="s">
        <v>1856</v>
      </c>
      <c r="C2920" t="s">
        <v>1263</v>
      </c>
      <c r="D2920" t="s">
        <v>21</v>
      </c>
      <c r="E2920" t="s">
        <v>22</v>
      </c>
      <c r="F2920" s="30">
        <v>45838</v>
      </c>
      <c r="G2920" t="s">
        <v>1866</v>
      </c>
      <c r="H2920" t="s">
        <v>4538</v>
      </c>
      <c r="I2920">
        <v>100</v>
      </c>
      <c r="J2920">
        <v>100</v>
      </c>
      <c r="BZ2920">
        <v>65</v>
      </c>
      <c r="CA2920">
        <v>65</v>
      </c>
    </row>
    <row r="2921" spans="1:81" x14ac:dyDescent="0.3">
      <c r="A2921">
        <v>373</v>
      </c>
      <c r="B2921" t="s">
        <v>1856</v>
      </c>
      <c r="C2921" t="s">
        <v>1263</v>
      </c>
      <c r="D2921" t="s">
        <v>21</v>
      </c>
      <c r="E2921" t="s">
        <v>22</v>
      </c>
      <c r="F2921" s="30">
        <v>45838</v>
      </c>
      <c r="G2921" t="s">
        <v>1866</v>
      </c>
      <c r="H2921" t="s">
        <v>4537</v>
      </c>
      <c r="I2921">
        <v>100</v>
      </c>
      <c r="J2921">
        <v>101.7200012207031</v>
      </c>
      <c r="BZ2921">
        <v>59</v>
      </c>
      <c r="CA2921">
        <v>58</v>
      </c>
    </row>
    <row r="2922" spans="1:81" x14ac:dyDescent="0.3">
      <c r="A2922">
        <v>373</v>
      </c>
      <c r="B2922" t="s">
        <v>1856</v>
      </c>
      <c r="C2922" t="s">
        <v>1263</v>
      </c>
      <c r="D2922" t="s">
        <v>21</v>
      </c>
      <c r="E2922" t="s">
        <v>22</v>
      </c>
      <c r="F2922" s="30">
        <v>45838</v>
      </c>
      <c r="G2922" t="s">
        <v>1866</v>
      </c>
      <c r="H2922" t="s">
        <v>4542</v>
      </c>
      <c r="I2922">
        <v>100</v>
      </c>
      <c r="J2922">
        <v>110.5299987792969</v>
      </c>
      <c r="BZ2922">
        <v>63</v>
      </c>
      <c r="CA2922">
        <v>57</v>
      </c>
    </row>
    <row r="2923" spans="1:81" x14ac:dyDescent="0.3">
      <c r="A2923">
        <v>390</v>
      </c>
      <c r="B2923" t="s">
        <v>1970</v>
      </c>
      <c r="C2923" t="s">
        <v>1263</v>
      </c>
      <c r="D2923" t="s">
        <v>21</v>
      </c>
      <c r="E2923" t="s">
        <v>22</v>
      </c>
      <c r="F2923" s="30">
        <v>45838</v>
      </c>
      <c r="G2923" t="s">
        <v>1980</v>
      </c>
      <c r="H2923" t="s">
        <v>4514</v>
      </c>
      <c r="I2923">
        <v>100</v>
      </c>
      <c r="J2923">
        <v>95.650001525878906</v>
      </c>
      <c r="CB2923">
        <v>44</v>
      </c>
      <c r="CC2923">
        <v>46</v>
      </c>
    </row>
    <row r="2924" spans="1:81" x14ac:dyDescent="0.3">
      <c r="A2924">
        <v>390</v>
      </c>
      <c r="B2924" t="s">
        <v>1970</v>
      </c>
      <c r="C2924" t="s">
        <v>1263</v>
      </c>
      <c r="D2924" t="s">
        <v>21</v>
      </c>
      <c r="E2924" t="s">
        <v>22</v>
      </c>
      <c r="F2924" s="30">
        <v>45838</v>
      </c>
      <c r="G2924" t="s">
        <v>1980</v>
      </c>
      <c r="H2924" t="s">
        <v>4515</v>
      </c>
      <c r="I2924">
        <v>100</v>
      </c>
      <c r="J2924">
        <v>92.160003662109375</v>
      </c>
      <c r="CB2924">
        <v>47</v>
      </c>
      <c r="CC2924">
        <v>51</v>
      </c>
    </row>
    <row r="2925" spans="1:81" x14ac:dyDescent="0.3">
      <c r="A2925">
        <v>390</v>
      </c>
      <c r="B2925" t="s">
        <v>1970</v>
      </c>
      <c r="C2925" t="s">
        <v>1263</v>
      </c>
      <c r="D2925" t="s">
        <v>21</v>
      </c>
      <c r="E2925" t="s">
        <v>22</v>
      </c>
      <c r="F2925" s="30">
        <v>45838</v>
      </c>
      <c r="G2925" t="s">
        <v>1980</v>
      </c>
      <c r="H2925" t="s">
        <v>4516</v>
      </c>
      <c r="I2925">
        <v>100</v>
      </c>
      <c r="J2925">
        <v>102</v>
      </c>
      <c r="CB2925">
        <v>51</v>
      </c>
      <c r="CC2925">
        <v>50</v>
      </c>
    </row>
    <row r="2926" spans="1:81" x14ac:dyDescent="0.3">
      <c r="A2926">
        <v>390</v>
      </c>
      <c r="B2926" t="s">
        <v>1970</v>
      </c>
      <c r="C2926" t="s">
        <v>1263</v>
      </c>
      <c r="D2926" t="s">
        <v>21</v>
      </c>
      <c r="E2926" t="s">
        <v>22</v>
      </c>
      <c r="F2926" s="30">
        <v>45838</v>
      </c>
      <c r="G2926" t="s">
        <v>1980</v>
      </c>
      <c r="H2926" t="s">
        <v>4517</v>
      </c>
      <c r="I2926">
        <v>100</v>
      </c>
      <c r="J2926">
        <v>95.650001525878906</v>
      </c>
      <c r="CB2926">
        <v>44</v>
      </c>
      <c r="CC2926">
        <v>46</v>
      </c>
    </row>
    <row r="2927" spans="1:81" x14ac:dyDescent="0.3">
      <c r="A2927">
        <v>390</v>
      </c>
      <c r="B2927" t="s">
        <v>1970</v>
      </c>
      <c r="C2927" t="s">
        <v>1263</v>
      </c>
      <c r="D2927" t="s">
        <v>21</v>
      </c>
      <c r="E2927" t="s">
        <v>22</v>
      </c>
      <c r="F2927" s="30">
        <v>45838</v>
      </c>
      <c r="G2927" t="s">
        <v>1980</v>
      </c>
      <c r="H2927" t="s">
        <v>4518</v>
      </c>
      <c r="I2927">
        <v>100</v>
      </c>
      <c r="J2927">
        <v>128.57000732421881</v>
      </c>
      <c r="CB2927">
        <v>63</v>
      </c>
      <c r="CC2927">
        <v>49</v>
      </c>
    </row>
    <row r="2928" spans="1:81" x14ac:dyDescent="0.3">
      <c r="A2928">
        <v>390</v>
      </c>
      <c r="B2928" t="s">
        <v>1970</v>
      </c>
      <c r="C2928" t="s">
        <v>1263</v>
      </c>
      <c r="D2928" t="s">
        <v>21</v>
      </c>
      <c r="E2928" t="s">
        <v>22</v>
      </c>
      <c r="F2928" s="30">
        <v>45838</v>
      </c>
      <c r="G2928" t="s">
        <v>1980</v>
      </c>
      <c r="H2928" t="s">
        <v>4519</v>
      </c>
      <c r="I2928">
        <v>100</v>
      </c>
      <c r="J2928">
        <v>113.3300018310547</v>
      </c>
      <c r="CB2928">
        <v>68</v>
      </c>
      <c r="CC2928">
        <v>60</v>
      </c>
    </row>
    <row r="2929" spans="1:85" x14ac:dyDescent="0.3">
      <c r="A2929">
        <v>390</v>
      </c>
      <c r="B2929" t="s">
        <v>1970</v>
      </c>
      <c r="C2929" t="s">
        <v>1263</v>
      </c>
      <c r="D2929" t="s">
        <v>21</v>
      </c>
      <c r="E2929" t="s">
        <v>22</v>
      </c>
      <c r="F2929" s="30">
        <v>45838</v>
      </c>
      <c r="G2929" t="s">
        <v>1980</v>
      </c>
      <c r="H2929" t="s">
        <v>4520</v>
      </c>
      <c r="I2929">
        <v>100</v>
      </c>
      <c r="J2929">
        <v>134.55000305175781</v>
      </c>
      <c r="CB2929">
        <v>74</v>
      </c>
      <c r="CC2929">
        <v>55</v>
      </c>
    </row>
    <row r="2930" spans="1:85" x14ac:dyDescent="0.3">
      <c r="A2930">
        <v>390</v>
      </c>
      <c r="B2930" t="s">
        <v>1970</v>
      </c>
      <c r="C2930" t="s">
        <v>1263</v>
      </c>
      <c r="D2930" t="s">
        <v>21</v>
      </c>
      <c r="E2930" t="s">
        <v>22</v>
      </c>
      <c r="F2930" s="30">
        <v>45838</v>
      </c>
      <c r="G2930" t="s">
        <v>1980</v>
      </c>
      <c r="H2930" t="s">
        <v>4521</v>
      </c>
      <c r="I2930">
        <v>100</v>
      </c>
      <c r="J2930">
        <v>92.589996337890625</v>
      </c>
      <c r="CB2930">
        <v>50</v>
      </c>
      <c r="CC2930">
        <v>54</v>
      </c>
    </row>
    <row r="2931" spans="1:85" x14ac:dyDescent="0.3">
      <c r="A2931">
        <v>390</v>
      </c>
      <c r="B2931" t="s">
        <v>1970</v>
      </c>
      <c r="C2931" t="s">
        <v>1263</v>
      </c>
      <c r="D2931" t="s">
        <v>21</v>
      </c>
      <c r="E2931" t="s">
        <v>22</v>
      </c>
      <c r="F2931" s="30">
        <v>45838</v>
      </c>
      <c r="G2931" t="s">
        <v>1980</v>
      </c>
      <c r="H2931" t="s">
        <v>4522</v>
      </c>
      <c r="I2931">
        <v>100</v>
      </c>
      <c r="J2931">
        <v>96.300003051757813</v>
      </c>
      <c r="CB2931">
        <v>52</v>
      </c>
      <c r="CC2931">
        <v>54</v>
      </c>
    </row>
    <row r="2932" spans="1:85" x14ac:dyDescent="0.3">
      <c r="A2932">
        <v>390</v>
      </c>
      <c r="B2932" t="s">
        <v>1970</v>
      </c>
      <c r="C2932" t="s">
        <v>1263</v>
      </c>
      <c r="D2932" t="s">
        <v>21</v>
      </c>
      <c r="E2932" t="s">
        <v>22</v>
      </c>
      <c r="F2932" s="30">
        <v>45838</v>
      </c>
      <c r="G2932" t="s">
        <v>1980</v>
      </c>
      <c r="H2932" t="s">
        <v>4523</v>
      </c>
      <c r="I2932">
        <v>100</v>
      </c>
      <c r="J2932">
        <v>107.4100036621094</v>
      </c>
      <c r="CB2932">
        <v>58</v>
      </c>
      <c r="CC2932">
        <v>54</v>
      </c>
    </row>
    <row r="2933" spans="1:85" x14ac:dyDescent="0.3">
      <c r="A2933">
        <v>390</v>
      </c>
      <c r="B2933" t="s">
        <v>1970</v>
      </c>
      <c r="C2933" t="s">
        <v>1263</v>
      </c>
      <c r="D2933" t="s">
        <v>21</v>
      </c>
      <c r="E2933" t="s">
        <v>22</v>
      </c>
      <c r="F2933" s="30">
        <v>45838</v>
      </c>
      <c r="G2933" t="s">
        <v>1980</v>
      </c>
      <c r="H2933" t="s">
        <v>4524</v>
      </c>
      <c r="I2933">
        <v>100</v>
      </c>
      <c r="J2933">
        <v>92.589996337890625</v>
      </c>
      <c r="CB2933">
        <v>50</v>
      </c>
      <c r="CC2933">
        <v>54</v>
      </c>
    </row>
    <row r="2934" spans="1:85" x14ac:dyDescent="0.3">
      <c r="A2934">
        <v>390</v>
      </c>
      <c r="B2934" t="s">
        <v>1970</v>
      </c>
      <c r="C2934" t="s">
        <v>1263</v>
      </c>
      <c r="D2934" t="s">
        <v>21</v>
      </c>
      <c r="E2934" t="s">
        <v>22</v>
      </c>
      <c r="F2934" s="30">
        <v>45838</v>
      </c>
      <c r="G2934" t="s">
        <v>1980</v>
      </c>
      <c r="H2934" t="s">
        <v>4525</v>
      </c>
      <c r="I2934">
        <v>100</v>
      </c>
      <c r="J2934">
        <v>91.800003051757813</v>
      </c>
      <c r="CB2934">
        <v>49.5</v>
      </c>
      <c r="CC2934">
        <v>53.92</v>
      </c>
    </row>
    <row r="2935" spans="1:85" x14ac:dyDescent="0.3">
      <c r="A2935">
        <v>414</v>
      </c>
      <c r="B2935" t="s">
        <v>2103</v>
      </c>
      <c r="C2935" t="s">
        <v>1263</v>
      </c>
      <c r="D2935" t="s">
        <v>21</v>
      </c>
      <c r="E2935" t="s">
        <v>22</v>
      </c>
      <c r="F2935" s="30">
        <v>45838</v>
      </c>
      <c r="G2935" t="s">
        <v>2113</v>
      </c>
      <c r="H2935" t="s">
        <v>4543</v>
      </c>
      <c r="I2935">
        <v>100</v>
      </c>
      <c r="J2935">
        <v>78.830001831054688</v>
      </c>
      <c r="CD2935">
        <v>68.3</v>
      </c>
      <c r="CE2935">
        <v>86.64</v>
      </c>
    </row>
    <row r="2936" spans="1:85" x14ac:dyDescent="0.3">
      <c r="A2936">
        <v>414</v>
      </c>
      <c r="B2936" t="s">
        <v>2103</v>
      </c>
      <c r="C2936" t="s">
        <v>1263</v>
      </c>
      <c r="D2936" t="s">
        <v>21</v>
      </c>
      <c r="E2936" t="s">
        <v>22</v>
      </c>
      <c r="F2936" s="30">
        <v>45838</v>
      </c>
      <c r="G2936" t="s">
        <v>2113</v>
      </c>
      <c r="H2936" t="s">
        <v>4544</v>
      </c>
      <c r="I2936">
        <v>100</v>
      </c>
      <c r="J2936">
        <v>83.129997253417969</v>
      </c>
      <c r="CD2936">
        <v>69</v>
      </c>
      <c r="CE2936">
        <v>83</v>
      </c>
    </row>
    <row r="2937" spans="1:85" x14ac:dyDescent="0.3">
      <c r="A2937">
        <v>414</v>
      </c>
      <c r="B2937" t="s">
        <v>2103</v>
      </c>
      <c r="C2937" t="s">
        <v>1263</v>
      </c>
      <c r="D2937" t="s">
        <v>21</v>
      </c>
      <c r="E2937" t="s">
        <v>22</v>
      </c>
      <c r="F2937" s="30">
        <v>45838</v>
      </c>
      <c r="G2937" t="s">
        <v>2113</v>
      </c>
      <c r="H2937" t="s">
        <v>4545</v>
      </c>
      <c r="I2937">
        <v>100</v>
      </c>
      <c r="J2937">
        <v>87.669998168945313</v>
      </c>
      <c r="CD2937">
        <v>64</v>
      </c>
      <c r="CE2937">
        <v>73</v>
      </c>
    </row>
    <row r="2938" spans="1:85" x14ac:dyDescent="0.3">
      <c r="A2938">
        <v>414</v>
      </c>
      <c r="B2938" t="s">
        <v>2103</v>
      </c>
      <c r="C2938" t="s">
        <v>1263</v>
      </c>
      <c r="D2938" t="s">
        <v>21</v>
      </c>
      <c r="E2938" t="s">
        <v>22</v>
      </c>
      <c r="F2938" s="30">
        <v>45838</v>
      </c>
      <c r="G2938" t="s">
        <v>2113</v>
      </c>
      <c r="H2938" t="s">
        <v>4546</v>
      </c>
      <c r="I2938">
        <v>100</v>
      </c>
      <c r="J2938">
        <v>116.36000061035161</v>
      </c>
      <c r="CD2938">
        <v>64</v>
      </c>
      <c r="CE2938">
        <v>55</v>
      </c>
    </row>
    <row r="2939" spans="1:85" x14ac:dyDescent="0.3">
      <c r="A2939">
        <v>414</v>
      </c>
      <c r="B2939" t="s">
        <v>2103</v>
      </c>
      <c r="C2939" t="s">
        <v>1263</v>
      </c>
      <c r="D2939" t="s">
        <v>21</v>
      </c>
      <c r="E2939" t="s">
        <v>22</v>
      </c>
      <c r="F2939" s="30">
        <v>45838</v>
      </c>
      <c r="G2939" t="s">
        <v>2113</v>
      </c>
      <c r="H2939" t="s">
        <v>4547</v>
      </c>
      <c r="I2939">
        <v>100</v>
      </c>
      <c r="J2939">
        <v>110.870002746582</v>
      </c>
      <c r="CD2939">
        <v>51</v>
      </c>
      <c r="CE2939">
        <v>46</v>
      </c>
    </row>
    <row r="2940" spans="1:85" x14ac:dyDescent="0.3">
      <c r="A2940">
        <v>414</v>
      </c>
      <c r="B2940" t="s">
        <v>2103</v>
      </c>
      <c r="C2940" t="s">
        <v>1263</v>
      </c>
      <c r="D2940" t="s">
        <v>21</v>
      </c>
      <c r="E2940" t="s">
        <v>22</v>
      </c>
      <c r="F2940" s="30">
        <v>45838</v>
      </c>
      <c r="G2940" t="s">
        <v>2113</v>
      </c>
      <c r="H2940" t="s">
        <v>4548</v>
      </c>
      <c r="I2940">
        <v>100</v>
      </c>
      <c r="J2940">
        <v>100</v>
      </c>
      <c r="CD2940">
        <v>31</v>
      </c>
      <c r="CE2940">
        <v>31</v>
      </c>
    </row>
    <row r="2941" spans="1:85" x14ac:dyDescent="0.3">
      <c r="A2941">
        <v>414</v>
      </c>
      <c r="B2941" t="s">
        <v>2103</v>
      </c>
      <c r="C2941" t="s">
        <v>1263</v>
      </c>
      <c r="D2941" t="s">
        <v>21</v>
      </c>
      <c r="E2941" t="s">
        <v>22</v>
      </c>
      <c r="F2941" s="30">
        <v>45838</v>
      </c>
      <c r="G2941" t="s">
        <v>2113</v>
      </c>
      <c r="H2941" t="s">
        <v>4549</v>
      </c>
      <c r="I2941">
        <v>100</v>
      </c>
      <c r="J2941">
        <v>68.120002746582031</v>
      </c>
      <c r="CD2941">
        <v>47</v>
      </c>
      <c r="CE2941">
        <v>69</v>
      </c>
    </row>
    <row r="2942" spans="1:85" x14ac:dyDescent="0.3">
      <c r="A2942">
        <v>414</v>
      </c>
      <c r="B2942" t="s">
        <v>2103</v>
      </c>
      <c r="C2942" t="s">
        <v>1263</v>
      </c>
      <c r="D2942" t="s">
        <v>21</v>
      </c>
      <c r="E2942" t="s">
        <v>22</v>
      </c>
      <c r="F2942" s="30">
        <v>45838</v>
      </c>
      <c r="G2942" t="s">
        <v>2113</v>
      </c>
      <c r="H2942" t="s">
        <v>4597</v>
      </c>
      <c r="I2942">
        <v>100</v>
      </c>
      <c r="J2942">
        <v>229.16999816894531</v>
      </c>
      <c r="CD2942">
        <v>55</v>
      </c>
      <c r="CE2942">
        <v>24</v>
      </c>
    </row>
    <row r="2943" spans="1:85" x14ac:dyDescent="0.3">
      <c r="A2943">
        <v>414</v>
      </c>
      <c r="B2943" t="s">
        <v>2103</v>
      </c>
      <c r="C2943" t="s">
        <v>1263</v>
      </c>
      <c r="D2943" t="s">
        <v>21</v>
      </c>
      <c r="E2943" t="s">
        <v>22</v>
      </c>
      <c r="F2943" s="30">
        <v>45838</v>
      </c>
      <c r="G2943" t="s">
        <v>2113</v>
      </c>
      <c r="H2943" t="s">
        <v>4550</v>
      </c>
      <c r="I2943">
        <v>100</v>
      </c>
      <c r="J2943">
        <v>102.8000030517578</v>
      </c>
      <c r="CD2943">
        <v>71.436999999999998</v>
      </c>
      <c r="CE2943">
        <v>69.489999999999995</v>
      </c>
    </row>
    <row r="2944" spans="1:85" x14ac:dyDescent="0.3">
      <c r="A2944">
        <v>415</v>
      </c>
      <c r="B2944" t="s">
        <v>2116</v>
      </c>
      <c r="C2944" t="s">
        <v>1263</v>
      </c>
      <c r="D2944" t="s">
        <v>21</v>
      </c>
      <c r="E2944" t="s">
        <v>22</v>
      </c>
      <c r="F2944" s="30">
        <v>45838</v>
      </c>
      <c r="G2944" t="s">
        <v>2126</v>
      </c>
      <c r="H2944" t="s">
        <v>4551</v>
      </c>
      <c r="I2944">
        <v>100</v>
      </c>
      <c r="J2944">
        <v>98.410003662109375</v>
      </c>
      <c r="CF2944">
        <v>62</v>
      </c>
      <c r="CG2944">
        <v>63</v>
      </c>
    </row>
    <row r="2945" spans="1:87" x14ac:dyDescent="0.3">
      <c r="A2945">
        <v>415</v>
      </c>
      <c r="B2945" t="s">
        <v>2116</v>
      </c>
      <c r="C2945" t="s">
        <v>1263</v>
      </c>
      <c r="D2945" t="s">
        <v>21</v>
      </c>
      <c r="E2945" t="s">
        <v>22</v>
      </c>
      <c r="F2945" s="30">
        <v>45838</v>
      </c>
      <c r="G2945" t="s">
        <v>2126</v>
      </c>
      <c r="H2945" t="s">
        <v>4552</v>
      </c>
      <c r="I2945">
        <v>100</v>
      </c>
      <c r="J2945">
        <v>88.510002136230469</v>
      </c>
      <c r="CF2945">
        <v>77</v>
      </c>
      <c r="CG2945">
        <v>87</v>
      </c>
    </row>
    <row r="2946" spans="1:87" x14ac:dyDescent="0.3">
      <c r="A2946">
        <v>415</v>
      </c>
      <c r="B2946" t="s">
        <v>2116</v>
      </c>
      <c r="C2946" t="s">
        <v>1263</v>
      </c>
      <c r="D2946" t="s">
        <v>21</v>
      </c>
      <c r="E2946" t="s">
        <v>22</v>
      </c>
      <c r="F2946" s="30">
        <v>45838</v>
      </c>
      <c r="G2946" t="s">
        <v>2126</v>
      </c>
      <c r="H2946" t="s">
        <v>4553</v>
      </c>
      <c r="I2946">
        <v>100</v>
      </c>
      <c r="J2946">
        <v>96.879997253417969</v>
      </c>
      <c r="CF2946">
        <v>62</v>
      </c>
      <c r="CG2946">
        <v>64</v>
      </c>
    </row>
    <row r="2947" spans="1:87" x14ac:dyDescent="0.3">
      <c r="A2947">
        <v>415</v>
      </c>
      <c r="B2947" t="s">
        <v>2116</v>
      </c>
      <c r="C2947" t="s">
        <v>1263</v>
      </c>
      <c r="D2947" t="s">
        <v>21</v>
      </c>
      <c r="E2947" t="s">
        <v>22</v>
      </c>
      <c r="F2947" s="30">
        <v>45838</v>
      </c>
      <c r="G2947" t="s">
        <v>2126</v>
      </c>
      <c r="H2947" t="s">
        <v>4554</v>
      </c>
      <c r="I2947">
        <v>100</v>
      </c>
      <c r="J2947">
        <v>119.61000061035161</v>
      </c>
      <c r="CF2947">
        <v>61</v>
      </c>
      <c r="CG2947">
        <v>51</v>
      </c>
    </row>
    <row r="2948" spans="1:87" x14ac:dyDescent="0.3">
      <c r="A2948">
        <v>415</v>
      </c>
      <c r="B2948" t="s">
        <v>2116</v>
      </c>
      <c r="C2948" t="s">
        <v>1263</v>
      </c>
      <c r="D2948" t="s">
        <v>21</v>
      </c>
      <c r="E2948" t="s">
        <v>22</v>
      </c>
      <c r="F2948" s="30">
        <v>45838</v>
      </c>
      <c r="G2948" t="s">
        <v>2126</v>
      </c>
      <c r="H2948" t="s">
        <v>4555</v>
      </c>
      <c r="I2948">
        <v>100</v>
      </c>
      <c r="J2948">
        <v>100</v>
      </c>
      <c r="CF2948">
        <v>67</v>
      </c>
      <c r="CG2948">
        <v>67</v>
      </c>
    </row>
    <row r="2949" spans="1:87" x14ac:dyDescent="0.3">
      <c r="A2949">
        <v>415</v>
      </c>
      <c r="B2949" t="s">
        <v>2116</v>
      </c>
      <c r="C2949" t="s">
        <v>1263</v>
      </c>
      <c r="D2949" t="s">
        <v>21</v>
      </c>
      <c r="E2949" t="s">
        <v>22</v>
      </c>
      <c r="F2949" s="30">
        <v>45838</v>
      </c>
      <c r="G2949" t="s">
        <v>2126</v>
      </c>
      <c r="H2949" t="s">
        <v>4556</v>
      </c>
      <c r="I2949">
        <v>100</v>
      </c>
      <c r="J2949">
        <v>84.930000305175781</v>
      </c>
      <c r="CF2949">
        <v>62</v>
      </c>
      <c r="CG2949">
        <v>73</v>
      </c>
    </row>
    <row r="2950" spans="1:87" x14ac:dyDescent="0.3">
      <c r="A2950">
        <v>415</v>
      </c>
      <c r="B2950" t="s">
        <v>2116</v>
      </c>
      <c r="C2950" t="s">
        <v>1263</v>
      </c>
      <c r="D2950" t="s">
        <v>21</v>
      </c>
      <c r="E2950" t="s">
        <v>22</v>
      </c>
      <c r="F2950" s="30">
        <v>45838</v>
      </c>
      <c r="G2950" t="s">
        <v>2126</v>
      </c>
      <c r="H2950" t="s">
        <v>4557</v>
      </c>
      <c r="I2950">
        <v>100</v>
      </c>
      <c r="J2950">
        <v>84.339996337890625</v>
      </c>
      <c r="CF2950">
        <v>70</v>
      </c>
      <c r="CG2950">
        <v>83</v>
      </c>
    </row>
    <row r="2951" spans="1:87" x14ac:dyDescent="0.3">
      <c r="A2951">
        <v>415</v>
      </c>
      <c r="B2951" t="s">
        <v>2116</v>
      </c>
      <c r="C2951" t="s">
        <v>1263</v>
      </c>
      <c r="D2951" t="s">
        <v>21</v>
      </c>
      <c r="E2951" t="s">
        <v>22</v>
      </c>
      <c r="F2951" s="30">
        <v>45838</v>
      </c>
      <c r="G2951" t="s">
        <v>2126</v>
      </c>
      <c r="H2951" t="s">
        <v>4592</v>
      </c>
      <c r="I2951">
        <v>100</v>
      </c>
      <c r="J2951">
        <v>103.129997253418</v>
      </c>
      <c r="CF2951">
        <v>66</v>
      </c>
      <c r="CG2951">
        <v>64</v>
      </c>
    </row>
    <row r="2952" spans="1:87" x14ac:dyDescent="0.3">
      <c r="A2952">
        <v>415</v>
      </c>
      <c r="B2952" t="s">
        <v>2116</v>
      </c>
      <c r="C2952" t="s">
        <v>1263</v>
      </c>
      <c r="D2952" t="s">
        <v>21</v>
      </c>
      <c r="E2952" t="s">
        <v>22</v>
      </c>
      <c r="F2952" s="30">
        <v>45838</v>
      </c>
      <c r="G2952" t="s">
        <v>2126</v>
      </c>
      <c r="H2952" t="s">
        <v>4600</v>
      </c>
      <c r="I2952">
        <v>100</v>
      </c>
      <c r="J2952">
        <v>0</v>
      </c>
      <c r="CF2952">
        <v>0</v>
      </c>
      <c r="CG2952">
        <v>0</v>
      </c>
    </row>
    <row r="2953" spans="1:87" x14ac:dyDescent="0.3">
      <c r="A2953">
        <v>415</v>
      </c>
      <c r="B2953" t="s">
        <v>2116</v>
      </c>
      <c r="C2953" t="s">
        <v>1263</v>
      </c>
      <c r="D2953" t="s">
        <v>21</v>
      </c>
      <c r="E2953" t="s">
        <v>22</v>
      </c>
      <c r="F2953" s="30">
        <v>45838</v>
      </c>
      <c r="G2953" t="s">
        <v>2126</v>
      </c>
      <c r="H2953" t="s">
        <v>4598</v>
      </c>
      <c r="I2953">
        <v>100</v>
      </c>
      <c r="J2953">
        <v>97.010002136230469</v>
      </c>
      <c r="CF2953">
        <v>65</v>
      </c>
      <c r="CG2953">
        <v>67</v>
      </c>
    </row>
    <row r="2954" spans="1:87" x14ac:dyDescent="0.3">
      <c r="A2954">
        <v>415</v>
      </c>
      <c r="B2954" t="s">
        <v>2116</v>
      </c>
      <c r="C2954" t="s">
        <v>1263</v>
      </c>
      <c r="D2954" t="s">
        <v>21</v>
      </c>
      <c r="E2954" t="s">
        <v>22</v>
      </c>
      <c r="F2954" s="30">
        <v>45838</v>
      </c>
      <c r="G2954" t="s">
        <v>2126</v>
      </c>
      <c r="H2954" t="s">
        <v>4603</v>
      </c>
      <c r="I2954">
        <v>100</v>
      </c>
      <c r="J2954">
        <v>102.8199996948242</v>
      </c>
      <c r="CF2954">
        <v>73</v>
      </c>
      <c r="CG2954">
        <v>71</v>
      </c>
    </row>
    <row r="2955" spans="1:87" x14ac:dyDescent="0.3">
      <c r="A2955">
        <v>415</v>
      </c>
      <c r="B2955" t="s">
        <v>2116</v>
      </c>
      <c r="C2955" t="s">
        <v>1263</v>
      </c>
      <c r="D2955" t="s">
        <v>21</v>
      </c>
      <c r="E2955" t="s">
        <v>22</v>
      </c>
      <c r="F2955" s="30">
        <v>45838</v>
      </c>
      <c r="G2955" t="s">
        <v>2126</v>
      </c>
      <c r="H2955" t="s">
        <v>4601</v>
      </c>
      <c r="I2955">
        <v>100</v>
      </c>
      <c r="J2955">
        <v>90.319999694824219</v>
      </c>
      <c r="CF2955">
        <v>56</v>
      </c>
      <c r="CG2955">
        <v>62</v>
      </c>
    </row>
    <row r="2956" spans="1:87" x14ac:dyDescent="0.3">
      <c r="A2956">
        <v>415</v>
      </c>
      <c r="B2956" t="s">
        <v>2116</v>
      </c>
      <c r="C2956" t="s">
        <v>1263</v>
      </c>
      <c r="D2956" t="s">
        <v>21</v>
      </c>
      <c r="E2956" t="s">
        <v>22</v>
      </c>
      <c r="F2956" s="30">
        <v>45838</v>
      </c>
      <c r="G2956" t="s">
        <v>2126</v>
      </c>
      <c r="H2956" t="s">
        <v>4599</v>
      </c>
      <c r="I2956">
        <v>100</v>
      </c>
      <c r="J2956">
        <v>87.760002136230469</v>
      </c>
      <c r="CF2956">
        <v>86</v>
      </c>
      <c r="CG2956">
        <v>98</v>
      </c>
    </row>
    <row r="2957" spans="1:87" x14ac:dyDescent="0.3">
      <c r="A2957">
        <v>415</v>
      </c>
      <c r="B2957" t="s">
        <v>2116</v>
      </c>
      <c r="C2957" t="s">
        <v>1263</v>
      </c>
      <c r="D2957" t="s">
        <v>21</v>
      </c>
      <c r="E2957" t="s">
        <v>22</v>
      </c>
      <c r="F2957" s="30">
        <v>45838</v>
      </c>
      <c r="G2957" t="s">
        <v>2126</v>
      </c>
      <c r="H2957" t="s">
        <v>4602</v>
      </c>
      <c r="I2957">
        <v>100</v>
      </c>
      <c r="J2957">
        <v>100</v>
      </c>
      <c r="CF2957">
        <v>81</v>
      </c>
      <c r="CG2957">
        <v>81</v>
      </c>
    </row>
    <row r="2958" spans="1:87" x14ac:dyDescent="0.3">
      <c r="A2958">
        <v>416</v>
      </c>
      <c r="B2958" t="s">
        <v>2129</v>
      </c>
      <c r="C2958" t="s">
        <v>1263</v>
      </c>
      <c r="D2958" t="s">
        <v>21</v>
      </c>
      <c r="E2958" t="s">
        <v>22</v>
      </c>
      <c r="F2958" s="30">
        <v>45838</v>
      </c>
      <c r="G2958" t="s">
        <v>2139</v>
      </c>
      <c r="H2958" t="s">
        <v>4558</v>
      </c>
      <c r="I2958">
        <v>100</v>
      </c>
      <c r="J2958">
        <v>117.7399978637695</v>
      </c>
      <c r="CH2958">
        <v>73</v>
      </c>
      <c r="CI2958">
        <v>62</v>
      </c>
    </row>
    <row r="2959" spans="1:87" x14ac:dyDescent="0.3">
      <c r="A2959">
        <v>416</v>
      </c>
      <c r="B2959" t="s">
        <v>2129</v>
      </c>
      <c r="C2959" t="s">
        <v>1263</v>
      </c>
      <c r="D2959" t="s">
        <v>21</v>
      </c>
      <c r="E2959" t="s">
        <v>22</v>
      </c>
      <c r="F2959" s="30">
        <v>45838</v>
      </c>
      <c r="G2959" t="s">
        <v>2139</v>
      </c>
      <c r="H2959" t="s">
        <v>4559</v>
      </c>
      <c r="I2959">
        <v>100</v>
      </c>
      <c r="J2959">
        <v>66.669998168945313</v>
      </c>
      <c r="CH2959">
        <v>66</v>
      </c>
      <c r="CI2959">
        <v>99</v>
      </c>
    </row>
    <row r="2960" spans="1:87" x14ac:dyDescent="0.3">
      <c r="A2960">
        <v>416</v>
      </c>
      <c r="B2960" t="s">
        <v>2129</v>
      </c>
      <c r="C2960" t="s">
        <v>1263</v>
      </c>
      <c r="D2960" t="s">
        <v>21</v>
      </c>
      <c r="E2960" t="s">
        <v>22</v>
      </c>
      <c r="F2960" s="30">
        <v>45838</v>
      </c>
      <c r="G2960" t="s">
        <v>2139</v>
      </c>
      <c r="H2960" t="s">
        <v>4605</v>
      </c>
      <c r="I2960">
        <v>100</v>
      </c>
      <c r="J2960">
        <v>100</v>
      </c>
      <c r="CH2960">
        <v>40</v>
      </c>
      <c r="CI2960">
        <v>40</v>
      </c>
    </row>
    <row r="2961" spans="1:91" x14ac:dyDescent="0.3">
      <c r="A2961">
        <v>416</v>
      </c>
      <c r="B2961" t="s">
        <v>2129</v>
      </c>
      <c r="C2961" t="s">
        <v>1263</v>
      </c>
      <c r="D2961" t="s">
        <v>21</v>
      </c>
      <c r="E2961" t="s">
        <v>22</v>
      </c>
      <c r="F2961" s="30">
        <v>45838</v>
      </c>
      <c r="G2961" t="s">
        <v>2139</v>
      </c>
      <c r="H2961" t="s">
        <v>4606</v>
      </c>
      <c r="I2961">
        <v>100</v>
      </c>
      <c r="J2961">
        <v>172.4100036621094</v>
      </c>
      <c r="CH2961">
        <v>100</v>
      </c>
      <c r="CI2961">
        <v>58</v>
      </c>
    </row>
    <row r="2962" spans="1:91" x14ac:dyDescent="0.3">
      <c r="A2962">
        <v>416</v>
      </c>
      <c r="B2962" t="s">
        <v>2129</v>
      </c>
      <c r="C2962" t="s">
        <v>1263</v>
      </c>
      <c r="D2962" t="s">
        <v>21</v>
      </c>
      <c r="E2962" t="s">
        <v>22</v>
      </c>
      <c r="F2962" s="30">
        <v>45838</v>
      </c>
      <c r="G2962" t="s">
        <v>2139</v>
      </c>
      <c r="H2962" t="s">
        <v>4607</v>
      </c>
      <c r="I2962">
        <v>100</v>
      </c>
      <c r="J2962">
        <v>118.59999847412109</v>
      </c>
      <c r="CH2962">
        <v>51</v>
      </c>
      <c r="CI2962">
        <v>43</v>
      </c>
    </row>
    <row r="2963" spans="1:91" x14ac:dyDescent="0.3">
      <c r="A2963">
        <v>416</v>
      </c>
      <c r="B2963" t="s">
        <v>2129</v>
      </c>
      <c r="C2963" t="s">
        <v>1263</v>
      </c>
      <c r="D2963" t="s">
        <v>21</v>
      </c>
      <c r="E2963" t="s">
        <v>22</v>
      </c>
      <c r="F2963" s="30">
        <v>45838</v>
      </c>
      <c r="G2963" t="s">
        <v>2139</v>
      </c>
      <c r="H2963" t="s">
        <v>4604</v>
      </c>
      <c r="I2963">
        <v>100</v>
      </c>
      <c r="J2963">
        <v>80</v>
      </c>
      <c r="CH2963">
        <v>80</v>
      </c>
      <c r="CI2963">
        <v>100</v>
      </c>
    </row>
    <row r="2964" spans="1:91" x14ac:dyDescent="0.3">
      <c r="A2964">
        <v>417</v>
      </c>
      <c r="B2964" t="s">
        <v>2142</v>
      </c>
      <c r="C2964" t="s">
        <v>1263</v>
      </c>
      <c r="D2964" t="s">
        <v>21</v>
      </c>
      <c r="E2964" t="s">
        <v>22</v>
      </c>
      <c r="F2964" s="30">
        <v>45838</v>
      </c>
      <c r="G2964" t="s">
        <v>2152</v>
      </c>
      <c r="H2964" t="s">
        <v>4560</v>
      </c>
      <c r="I2964">
        <v>100</v>
      </c>
      <c r="J2964">
        <v>117.9100036621094</v>
      </c>
      <c r="CJ2964">
        <v>79</v>
      </c>
      <c r="CK2964">
        <v>67</v>
      </c>
    </row>
    <row r="2965" spans="1:91" x14ac:dyDescent="0.3">
      <c r="A2965">
        <v>417</v>
      </c>
      <c r="B2965" t="s">
        <v>2142</v>
      </c>
      <c r="C2965" t="s">
        <v>1263</v>
      </c>
      <c r="D2965" t="s">
        <v>21</v>
      </c>
      <c r="E2965" t="s">
        <v>22</v>
      </c>
      <c r="F2965" s="30">
        <v>45838</v>
      </c>
      <c r="G2965" t="s">
        <v>2152</v>
      </c>
      <c r="H2965" t="s">
        <v>4561</v>
      </c>
      <c r="I2965">
        <v>100</v>
      </c>
      <c r="J2965">
        <v>88.889999389648438</v>
      </c>
      <c r="CJ2965">
        <v>64</v>
      </c>
      <c r="CK2965">
        <v>72</v>
      </c>
    </row>
    <row r="2966" spans="1:91" x14ac:dyDescent="0.3">
      <c r="A2966">
        <v>417</v>
      </c>
      <c r="B2966" t="s">
        <v>2142</v>
      </c>
      <c r="C2966" t="s">
        <v>1263</v>
      </c>
      <c r="D2966" t="s">
        <v>21</v>
      </c>
      <c r="E2966" t="s">
        <v>22</v>
      </c>
      <c r="F2966" s="30">
        <v>45838</v>
      </c>
      <c r="G2966" t="s">
        <v>2152</v>
      </c>
      <c r="H2966" t="s">
        <v>4562</v>
      </c>
      <c r="I2966">
        <v>100</v>
      </c>
      <c r="J2966">
        <v>112</v>
      </c>
      <c r="CJ2966">
        <v>84</v>
      </c>
      <c r="CK2966">
        <v>75</v>
      </c>
    </row>
    <row r="2967" spans="1:91" x14ac:dyDescent="0.3">
      <c r="A2967">
        <v>417</v>
      </c>
      <c r="B2967" t="s">
        <v>2142</v>
      </c>
      <c r="C2967" t="s">
        <v>1263</v>
      </c>
      <c r="D2967" t="s">
        <v>21</v>
      </c>
      <c r="E2967" t="s">
        <v>22</v>
      </c>
      <c r="F2967" s="30">
        <v>45838</v>
      </c>
      <c r="G2967" t="s">
        <v>2152</v>
      </c>
      <c r="H2967" t="s">
        <v>4564</v>
      </c>
      <c r="I2967">
        <v>100</v>
      </c>
      <c r="J2967">
        <v>88.889999389648438</v>
      </c>
      <c r="CJ2967">
        <v>48</v>
      </c>
      <c r="CK2967">
        <v>54</v>
      </c>
    </row>
    <row r="2968" spans="1:91" x14ac:dyDescent="0.3">
      <c r="A2968">
        <v>417</v>
      </c>
      <c r="B2968" t="s">
        <v>2142</v>
      </c>
      <c r="C2968" t="s">
        <v>1263</v>
      </c>
      <c r="D2968" t="s">
        <v>21</v>
      </c>
      <c r="E2968" t="s">
        <v>22</v>
      </c>
      <c r="F2968" s="30">
        <v>45838</v>
      </c>
      <c r="G2968" t="s">
        <v>2152</v>
      </c>
      <c r="H2968" t="s">
        <v>4565</v>
      </c>
      <c r="I2968">
        <v>100</v>
      </c>
      <c r="J2968">
        <v>90.910003662109375</v>
      </c>
      <c r="CJ2968">
        <v>50</v>
      </c>
      <c r="CK2968">
        <v>55</v>
      </c>
    </row>
    <row r="2969" spans="1:91" x14ac:dyDescent="0.3">
      <c r="A2969">
        <v>417</v>
      </c>
      <c r="B2969" t="s">
        <v>2142</v>
      </c>
      <c r="C2969" t="s">
        <v>1263</v>
      </c>
      <c r="D2969" t="s">
        <v>21</v>
      </c>
      <c r="E2969" t="s">
        <v>22</v>
      </c>
      <c r="F2969" s="30">
        <v>45838</v>
      </c>
      <c r="G2969" t="s">
        <v>2152</v>
      </c>
      <c r="H2969" t="s">
        <v>4563</v>
      </c>
      <c r="I2969">
        <v>100</v>
      </c>
      <c r="J2969">
        <v>109.0899963378906</v>
      </c>
      <c r="CJ2969">
        <v>60</v>
      </c>
      <c r="CK2969">
        <v>55</v>
      </c>
    </row>
    <row r="2970" spans="1:91" x14ac:dyDescent="0.3">
      <c r="A2970">
        <v>418</v>
      </c>
      <c r="B2970" t="s">
        <v>2155</v>
      </c>
      <c r="C2970" t="s">
        <v>1263</v>
      </c>
      <c r="D2970" t="s">
        <v>21</v>
      </c>
      <c r="E2970" t="s">
        <v>22</v>
      </c>
      <c r="F2970" s="30">
        <v>45838</v>
      </c>
      <c r="G2970" t="s">
        <v>2165</v>
      </c>
      <c r="H2970" t="s">
        <v>4566</v>
      </c>
      <c r="I2970">
        <v>100</v>
      </c>
      <c r="J2970">
        <v>105.6600036621094</v>
      </c>
      <c r="CL2970">
        <v>56</v>
      </c>
      <c r="CM2970">
        <v>53</v>
      </c>
    </row>
    <row r="2971" spans="1:91" x14ac:dyDescent="0.3">
      <c r="A2971">
        <v>418</v>
      </c>
      <c r="B2971" t="s">
        <v>2155</v>
      </c>
      <c r="C2971" t="s">
        <v>1263</v>
      </c>
      <c r="D2971" t="s">
        <v>21</v>
      </c>
      <c r="E2971" t="s">
        <v>22</v>
      </c>
      <c r="F2971" s="30">
        <v>45838</v>
      </c>
      <c r="G2971" t="s">
        <v>2165</v>
      </c>
      <c r="H2971" t="s">
        <v>4567</v>
      </c>
      <c r="I2971">
        <v>100</v>
      </c>
      <c r="J2971">
        <v>100</v>
      </c>
      <c r="CL2971">
        <v>32</v>
      </c>
      <c r="CM2971">
        <v>32</v>
      </c>
    </row>
    <row r="2972" spans="1:91" x14ac:dyDescent="0.3">
      <c r="A2972">
        <v>418</v>
      </c>
      <c r="B2972" t="s">
        <v>2155</v>
      </c>
      <c r="C2972" t="s">
        <v>1263</v>
      </c>
      <c r="D2972" t="s">
        <v>21</v>
      </c>
      <c r="E2972" t="s">
        <v>22</v>
      </c>
      <c r="F2972" s="30">
        <v>45838</v>
      </c>
      <c r="G2972" t="s">
        <v>2165</v>
      </c>
      <c r="H2972" t="s">
        <v>4568</v>
      </c>
      <c r="I2972">
        <v>100</v>
      </c>
      <c r="J2972">
        <v>100</v>
      </c>
      <c r="CL2972">
        <v>75</v>
      </c>
      <c r="CM2972">
        <v>75</v>
      </c>
    </row>
    <row r="2973" spans="1:91" x14ac:dyDescent="0.3">
      <c r="A2973">
        <v>418</v>
      </c>
      <c r="B2973" t="s">
        <v>2155</v>
      </c>
      <c r="C2973" t="s">
        <v>1263</v>
      </c>
      <c r="D2973" t="s">
        <v>21</v>
      </c>
      <c r="E2973" t="s">
        <v>22</v>
      </c>
      <c r="F2973" s="30">
        <v>45838</v>
      </c>
      <c r="G2973" t="s">
        <v>2165</v>
      </c>
      <c r="H2973" t="s">
        <v>4569</v>
      </c>
      <c r="I2973">
        <v>100</v>
      </c>
      <c r="J2973">
        <v>133.33000183105469</v>
      </c>
      <c r="CL2973">
        <v>76</v>
      </c>
      <c r="CM2973">
        <v>57</v>
      </c>
    </row>
    <row r="2974" spans="1:91" x14ac:dyDescent="0.3">
      <c r="A2974">
        <v>418</v>
      </c>
      <c r="B2974" t="s">
        <v>2155</v>
      </c>
      <c r="C2974" t="s">
        <v>1263</v>
      </c>
      <c r="D2974" t="s">
        <v>21</v>
      </c>
      <c r="E2974" t="s">
        <v>22</v>
      </c>
      <c r="F2974" s="30">
        <v>45838</v>
      </c>
      <c r="G2974" t="s">
        <v>2165</v>
      </c>
      <c r="H2974" t="s">
        <v>4570</v>
      </c>
      <c r="I2974">
        <v>100</v>
      </c>
      <c r="J2974">
        <v>0</v>
      </c>
      <c r="CL2974">
        <v>0</v>
      </c>
      <c r="CM2974">
        <v>0</v>
      </c>
    </row>
    <row r="2975" spans="1:91" x14ac:dyDescent="0.3">
      <c r="A2975">
        <v>418</v>
      </c>
      <c r="B2975" t="s">
        <v>2155</v>
      </c>
      <c r="C2975" t="s">
        <v>1263</v>
      </c>
      <c r="D2975" t="s">
        <v>21</v>
      </c>
      <c r="E2975" t="s">
        <v>22</v>
      </c>
      <c r="F2975" s="30">
        <v>45838</v>
      </c>
      <c r="G2975" t="s">
        <v>2165</v>
      </c>
      <c r="H2975" t="s">
        <v>4571</v>
      </c>
      <c r="I2975">
        <v>100</v>
      </c>
      <c r="J2975">
        <v>100</v>
      </c>
      <c r="CL2975">
        <v>78</v>
      </c>
      <c r="CM2975">
        <v>78</v>
      </c>
    </row>
    <row r="2976" spans="1:91" x14ac:dyDescent="0.3">
      <c r="A2976">
        <v>418</v>
      </c>
      <c r="B2976" t="s">
        <v>2155</v>
      </c>
      <c r="C2976" t="s">
        <v>1263</v>
      </c>
      <c r="D2976" t="s">
        <v>21</v>
      </c>
      <c r="E2976" t="s">
        <v>22</v>
      </c>
      <c r="F2976" s="30">
        <v>45838</v>
      </c>
      <c r="G2976" t="s">
        <v>2165</v>
      </c>
      <c r="H2976" t="s">
        <v>4572</v>
      </c>
      <c r="I2976">
        <v>100</v>
      </c>
      <c r="J2976">
        <v>98.610000610351563</v>
      </c>
      <c r="CL2976">
        <v>71</v>
      </c>
      <c r="CM2976">
        <v>72</v>
      </c>
    </row>
    <row r="2977" spans="1:98" x14ac:dyDescent="0.3">
      <c r="A2977">
        <v>418</v>
      </c>
      <c r="B2977" t="s">
        <v>2155</v>
      </c>
      <c r="C2977" t="s">
        <v>1263</v>
      </c>
      <c r="D2977" t="s">
        <v>21</v>
      </c>
      <c r="E2977" t="s">
        <v>22</v>
      </c>
      <c r="F2977" s="30">
        <v>45838</v>
      </c>
      <c r="G2977" t="s">
        <v>2165</v>
      </c>
      <c r="H2977" t="s">
        <v>4573</v>
      </c>
      <c r="I2977">
        <v>100</v>
      </c>
      <c r="J2977">
        <v>95.889999389648438</v>
      </c>
      <c r="CL2977">
        <v>70</v>
      </c>
      <c r="CM2977">
        <v>73</v>
      </c>
    </row>
    <row r="2978" spans="1:98" x14ac:dyDescent="0.3">
      <c r="A2978">
        <v>418</v>
      </c>
      <c r="B2978" t="s">
        <v>2155</v>
      </c>
      <c r="C2978" t="s">
        <v>1263</v>
      </c>
      <c r="D2978" t="s">
        <v>21</v>
      </c>
      <c r="E2978" t="s">
        <v>22</v>
      </c>
      <c r="F2978" s="30">
        <v>45838</v>
      </c>
      <c r="G2978" t="s">
        <v>2165</v>
      </c>
      <c r="H2978" t="s">
        <v>4528</v>
      </c>
      <c r="I2978">
        <v>100</v>
      </c>
      <c r="J2978">
        <v>113.1600036621094</v>
      </c>
      <c r="CL2978">
        <v>86</v>
      </c>
      <c r="CM2978">
        <v>76</v>
      </c>
    </row>
    <row r="2979" spans="1:98" x14ac:dyDescent="0.3">
      <c r="A2979">
        <v>420</v>
      </c>
      <c r="B2979" t="s">
        <v>2172</v>
      </c>
      <c r="C2979" t="s">
        <v>1263</v>
      </c>
      <c r="D2979" t="s">
        <v>21</v>
      </c>
      <c r="E2979" t="s">
        <v>22</v>
      </c>
      <c r="F2979" s="30">
        <v>45838</v>
      </c>
      <c r="G2979" t="s">
        <v>2182</v>
      </c>
      <c r="H2979" t="s">
        <v>4574</v>
      </c>
      <c r="I2979">
        <v>100</v>
      </c>
      <c r="J2979">
        <v>93.099998474121094</v>
      </c>
      <c r="CN2979">
        <v>54</v>
      </c>
      <c r="CO2979">
        <v>58</v>
      </c>
    </row>
    <row r="2980" spans="1:98" x14ac:dyDescent="0.3">
      <c r="A2980">
        <v>420</v>
      </c>
      <c r="B2980" t="s">
        <v>2172</v>
      </c>
      <c r="C2980" t="s">
        <v>1263</v>
      </c>
      <c r="D2980" t="s">
        <v>21</v>
      </c>
      <c r="E2980" t="s">
        <v>22</v>
      </c>
      <c r="F2980" s="30">
        <v>45838</v>
      </c>
      <c r="G2980" t="s">
        <v>2182</v>
      </c>
      <c r="H2980" t="s">
        <v>4575</v>
      </c>
      <c r="I2980">
        <v>100</v>
      </c>
      <c r="J2980">
        <v>134.7799987792969</v>
      </c>
      <c r="CN2980">
        <v>31</v>
      </c>
      <c r="CO2980">
        <v>23</v>
      </c>
    </row>
    <row r="2981" spans="1:98" x14ac:dyDescent="0.3">
      <c r="A2981">
        <v>420</v>
      </c>
      <c r="B2981" t="s">
        <v>2172</v>
      </c>
      <c r="C2981" t="s">
        <v>1263</v>
      </c>
      <c r="D2981" t="s">
        <v>21</v>
      </c>
      <c r="E2981" t="s">
        <v>22</v>
      </c>
      <c r="F2981" s="30">
        <v>45838</v>
      </c>
      <c r="G2981" t="s">
        <v>2182</v>
      </c>
      <c r="H2981" t="s">
        <v>4576</v>
      </c>
      <c r="I2981">
        <v>100</v>
      </c>
      <c r="J2981">
        <v>114.2900009155273</v>
      </c>
      <c r="CN2981">
        <v>64</v>
      </c>
      <c r="CO2981">
        <v>56</v>
      </c>
    </row>
    <row r="2982" spans="1:98" x14ac:dyDescent="0.3">
      <c r="A2982">
        <v>420</v>
      </c>
      <c r="B2982" t="s">
        <v>2172</v>
      </c>
      <c r="C2982" t="s">
        <v>1263</v>
      </c>
      <c r="D2982" t="s">
        <v>21</v>
      </c>
      <c r="E2982" t="s">
        <v>22</v>
      </c>
      <c r="F2982" s="30">
        <v>45838</v>
      </c>
      <c r="G2982" t="s">
        <v>2182</v>
      </c>
      <c r="H2982" t="s">
        <v>4577</v>
      </c>
      <c r="I2982">
        <v>100</v>
      </c>
      <c r="J2982">
        <v>107.69000244140619</v>
      </c>
      <c r="CN2982">
        <v>42</v>
      </c>
      <c r="CO2982">
        <v>39</v>
      </c>
    </row>
    <row r="2983" spans="1:98" x14ac:dyDescent="0.3">
      <c r="A2983">
        <v>420</v>
      </c>
      <c r="B2983" t="s">
        <v>2172</v>
      </c>
      <c r="C2983" t="s">
        <v>1263</v>
      </c>
      <c r="D2983" t="s">
        <v>21</v>
      </c>
      <c r="E2983" t="s">
        <v>22</v>
      </c>
      <c r="F2983" s="30">
        <v>45838</v>
      </c>
      <c r="G2983" t="s">
        <v>2182</v>
      </c>
      <c r="H2983" t="s">
        <v>2703</v>
      </c>
      <c r="I2983">
        <v>100</v>
      </c>
      <c r="J2983">
        <v>101.75</v>
      </c>
      <c r="CN2983">
        <v>58</v>
      </c>
      <c r="CO2983">
        <v>57</v>
      </c>
    </row>
    <row r="2984" spans="1:98" x14ac:dyDescent="0.3">
      <c r="A2984">
        <v>420</v>
      </c>
      <c r="B2984" t="s">
        <v>2172</v>
      </c>
      <c r="C2984" t="s">
        <v>1263</v>
      </c>
      <c r="D2984" t="s">
        <v>21</v>
      </c>
      <c r="E2984" t="s">
        <v>22</v>
      </c>
      <c r="F2984" s="30">
        <v>45838</v>
      </c>
      <c r="G2984" t="s">
        <v>2182</v>
      </c>
      <c r="H2984" t="s">
        <v>4578</v>
      </c>
      <c r="I2984">
        <v>100</v>
      </c>
      <c r="J2984">
        <v>99.519996643066406</v>
      </c>
      <c r="CN2984">
        <v>68.39</v>
      </c>
      <c r="CO2984">
        <v>68.72</v>
      </c>
    </row>
    <row r="2985" spans="1:98" x14ac:dyDescent="0.3">
      <c r="A2985">
        <v>432</v>
      </c>
      <c r="B2985" t="s">
        <v>2247</v>
      </c>
      <c r="C2985" t="s">
        <v>138</v>
      </c>
      <c r="D2985" t="s">
        <v>21</v>
      </c>
      <c r="E2985" t="s">
        <v>22</v>
      </c>
      <c r="F2985" s="30">
        <v>45838</v>
      </c>
      <c r="G2985" t="s">
        <v>2257</v>
      </c>
      <c r="H2985" t="s">
        <v>4583</v>
      </c>
      <c r="I2985">
        <v>90</v>
      </c>
      <c r="J2985">
        <v>100</v>
      </c>
      <c r="CS2985">
        <v>8</v>
      </c>
      <c r="CT2985">
        <v>8</v>
      </c>
    </row>
    <row r="2986" spans="1:98" x14ac:dyDescent="0.3">
      <c r="A2986">
        <v>432</v>
      </c>
      <c r="B2986" t="s">
        <v>2247</v>
      </c>
      <c r="C2986" t="s">
        <v>138</v>
      </c>
      <c r="D2986" t="s">
        <v>21</v>
      </c>
      <c r="E2986" t="s">
        <v>22</v>
      </c>
      <c r="F2986" s="30">
        <v>45838</v>
      </c>
      <c r="G2986" t="s">
        <v>2257</v>
      </c>
      <c r="H2986" t="s">
        <v>4584</v>
      </c>
      <c r="I2986">
        <v>90</v>
      </c>
      <c r="J2986">
        <v>100</v>
      </c>
      <c r="CS2986">
        <v>16</v>
      </c>
      <c r="CT2986">
        <v>16</v>
      </c>
    </row>
    <row r="2987" spans="1:98" x14ac:dyDescent="0.3">
      <c r="A2987">
        <v>432</v>
      </c>
      <c r="B2987" t="s">
        <v>2247</v>
      </c>
      <c r="C2987" t="s">
        <v>138</v>
      </c>
      <c r="D2987" t="s">
        <v>21</v>
      </c>
      <c r="E2987" t="s">
        <v>22</v>
      </c>
      <c r="F2987" s="30">
        <v>45838</v>
      </c>
      <c r="G2987" t="s">
        <v>2257</v>
      </c>
      <c r="H2987" t="s">
        <v>4585</v>
      </c>
      <c r="I2987">
        <v>90</v>
      </c>
      <c r="J2987">
        <v>100</v>
      </c>
      <c r="CS2987">
        <v>24</v>
      </c>
      <c r="CT2987">
        <v>24</v>
      </c>
    </row>
    <row r="2988" spans="1:98" x14ac:dyDescent="0.3">
      <c r="A2988">
        <v>432</v>
      </c>
      <c r="B2988" t="s">
        <v>2247</v>
      </c>
      <c r="C2988" t="s">
        <v>138</v>
      </c>
      <c r="D2988" t="s">
        <v>21</v>
      </c>
      <c r="E2988" t="s">
        <v>22</v>
      </c>
      <c r="F2988" s="30">
        <v>45838</v>
      </c>
      <c r="G2988" t="s">
        <v>2257</v>
      </c>
      <c r="H2988" t="s">
        <v>4586</v>
      </c>
      <c r="I2988">
        <v>90</v>
      </c>
      <c r="J2988">
        <v>100</v>
      </c>
      <c r="CS2988">
        <v>10</v>
      </c>
      <c r="CT2988">
        <v>10</v>
      </c>
    </row>
    <row r="2989" spans="1:98" x14ac:dyDescent="0.3">
      <c r="A2989">
        <v>432</v>
      </c>
      <c r="B2989" t="s">
        <v>2247</v>
      </c>
      <c r="C2989" t="s">
        <v>138</v>
      </c>
      <c r="D2989" t="s">
        <v>21</v>
      </c>
      <c r="E2989" t="s">
        <v>22</v>
      </c>
      <c r="F2989" s="30">
        <v>45838</v>
      </c>
      <c r="G2989" t="s">
        <v>2257</v>
      </c>
      <c r="H2989" t="s">
        <v>4588</v>
      </c>
      <c r="I2989">
        <v>90</v>
      </c>
      <c r="J2989">
        <v>100</v>
      </c>
      <c r="CS2989">
        <v>4</v>
      </c>
      <c r="CT2989">
        <v>4</v>
      </c>
    </row>
    <row r="2990" spans="1:98" x14ac:dyDescent="0.3">
      <c r="A2990">
        <v>432</v>
      </c>
      <c r="B2990" t="s">
        <v>2247</v>
      </c>
      <c r="C2990" t="s">
        <v>138</v>
      </c>
      <c r="D2990" t="s">
        <v>21</v>
      </c>
      <c r="E2990" t="s">
        <v>22</v>
      </c>
      <c r="F2990" s="30">
        <v>45838</v>
      </c>
      <c r="G2990" t="s">
        <v>2257</v>
      </c>
      <c r="H2990" t="s">
        <v>4589</v>
      </c>
      <c r="I2990">
        <v>90</v>
      </c>
      <c r="J2990">
        <v>100</v>
      </c>
      <c r="CS2990">
        <v>1</v>
      </c>
      <c r="CT2990">
        <v>1</v>
      </c>
    </row>
    <row r="2991" spans="1:98" x14ac:dyDescent="0.3">
      <c r="A2991">
        <v>432</v>
      </c>
      <c r="B2991" t="s">
        <v>2247</v>
      </c>
      <c r="C2991" t="s">
        <v>138</v>
      </c>
      <c r="D2991" t="s">
        <v>21</v>
      </c>
      <c r="E2991" t="s">
        <v>22</v>
      </c>
      <c r="F2991" s="30">
        <v>45838</v>
      </c>
      <c r="G2991" t="s">
        <v>2257</v>
      </c>
      <c r="H2991" t="s">
        <v>4590</v>
      </c>
      <c r="I2991">
        <v>90</v>
      </c>
      <c r="J2991">
        <v>100</v>
      </c>
      <c r="CS2991">
        <v>2</v>
      </c>
      <c r="CT2991">
        <v>2</v>
      </c>
    </row>
    <row r="2992" spans="1:98" x14ac:dyDescent="0.3">
      <c r="A2992">
        <v>432</v>
      </c>
      <c r="B2992" t="s">
        <v>2247</v>
      </c>
      <c r="C2992" t="s">
        <v>138</v>
      </c>
      <c r="D2992" t="s">
        <v>21</v>
      </c>
      <c r="E2992" t="s">
        <v>22</v>
      </c>
      <c r="F2992" s="30">
        <v>45838</v>
      </c>
      <c r="G2992" t="s">
        <v>2257</v>
      </c>
      <c r="H2992" t="s">
        <v>4591</v>
      </c>
      <c r="I2992">
        <v>90</v>
      </c>
      <c r="J2992">
        <v>100</v>
      </c>
      <c r="CS2992">
        <v>15</v>
      </c>
      <c r="CT2992">
        <v>15</v>
      </c>
    </row>
    <row r="2993" spans="1:132" x14ac:dyDescent="0.3">
      <c r="A2993">
        <v>432</v>
      </c>
      <c r="B2993" t="s">
        <v>2247</v>
      </c>
      <c r="C2993" t="s">
        <v>138</v>
      </c>
      <c r="D2993" t="s">
        <v>21</v>
      </c>
      <c r="E2993" t="s">
        <v>22</v>
      </c>
      <c r="F2993" s="30">
        <v>45838</v>
      </c>
      <c r="G2993" t="s">
        <v>2257</v>
      </c>
      <c r="H2993" t="s">
        <v>4587</v>
      </c>
      <c r="I2993">
        <v>90</v>
      </c>
      <c r="J2993">
        <v>100</v>
      </c>
      <c r="CS2993">
        <v>3</v>
      </c>
      <c r="CT2993">
        <v>3</v>
      </c>
    </row>
    <row r="2994" spans="1:132" x14ac:dyDescent="0.3">
      <c r="A2994">
        <v>456</v>
      </c>
      <c r="B2994" t="s">
        <v>2419</v>
      </c>
      <c r="C2994" t="s">
        <v>207</v>
      </c>
      <c r="D2994" t="s">
        <v>21</v>
      </c>
      <c r="E2994" t="s">
        <v>22</v>
      </c>
      <c r="F2994" s="30">
        <v>45838</v>
      </c>
      <c r="G2994" t="s">
        <v>2423</v>
      </c>
      <c r="H2994" t="s">
        <v>4511</v>
      </c>
      <c r="I2994">
        <v>100</v>
      </c>
      <c r="J2994">
        <v>110</v>
      </c>
      <c r="DY2994">
        <v>60</v>
      </c>
      <c r="DZ2994">
        <v>66</v>
      </c>
    </row>
    <row r="2995" spans="1:132" x14ac:dyDescent="0.3">
      <c r="A2995">
        <v>456</v>
      </c>
      <c r="B2995" t="s">
        <v>2419</v>
      </c>
      <c r="C2995" t="s">
        <v>207</v>
      </c>
      <c r="D2995" t="s">
        <v>21</v>
      </c>
      <c r="E2995" t="s">
        <v>22</v>
      </c>
      <c r="F2995" s="30">
        <v>45838</v>
      </c>
      <c r="G2995" t="s">
        <v>2423</v>
      </c>
      <c r="H2995" t="s">
        <v>4512</v>
      </c>
      <c r="I2995">
        <v>100</v>
      </c>
      <c r="J2995">
        <v>93.330001831054688</v>
      </c>
      <c r="DY2995">
        <v>15</v>
      </c>
      <c r="DZ2995">
        <v>14</v>
      </c>
    </row>
    <row r="2996" spans="1:132" x14ac:dyDescent="0.3">
      <c r="A2996">
        <v>456</v>
      </c>
      <c r="B2996" t="s">
        <v>2419</v>
      </c>
      <c r="C2996" t="s">
        <v>207</v>
      </c>
      <c r="D2996" t="s">
        <v>21</v>
      </c>
      <c r="E2996" t="s">
        <v>22</v>
      </c>
      <c r="F2996" s="30">
        <v>45838</v>
      </c>
      <c r="G2996" t="s">
        <v>2423</v>
      </c>
      <c r="H2996" t="s">
        <v>4636</v>
      </c>
      <c r="I2996">
        <v>100</v>
      </c>
      <c r="J2996">
        <v>95.449996948242188</v>
      </c>
      <c r="DY2996">
        <v>22</v>
      </c>
      <c r="DZ2996">
        <v>21</v>
      </c>
    </row>
    <row r="2997" spans="1:132" x14ac:dyDescent="0.3">
      <c r="A2997">
        <v>457</v>
      </c>
      <c r="B2997" t="s">
        <v>2426</v>
      </c>
      <c r="C2997" t="s">
        <v>207</v>
      </c>
      <c r="D2997" t="s">
        <v>21</v>
      </c>
      <c r="E2997" t="s">
        <v>22</v>
      </c>
      <c r="F2997" s="30">
        <v>45838</v>
      </c>
      <c r="G2997" t="s">
        <v>2430</v>
      </c>
      <c r="H2997" t="s">
        <v>4511</v>
      </c>
      <c r="I2997">
        <v>100</v>
      </c>
      <c r="J2997">
        <v>100</v>
      </c>
      <c r="EA2997">
        <v>2</v>
      </c>
      <c r="EB2997">
        <v>2</v>
      </c>
    </row>
    <row r="2998" spans="1:132" x14ac:dyDescent="0.3">
      <c r="A2998">
        <v>457</v>
      </c>
      <c r="B2998" t="s">
        <v>2426</v>
      </c>
      <c r="C2998" t="s">
        <v>207</v>
      </c>
      <c r="D2998" t="s">
        <v>21</v>
      </c>
      <c r="E2998" t="s">
        <v>22</v>
      </c>
      <c r="F2998" s="30">
        <v>45838</v>
      </c>
      <c r="G2998" t="s">
        <v>2430</v>
      </c>
      <c r="H2998" t="s">
        <v>4636</v>
      </c>
      <c r="I2998">
        <v>100</v>
      </c>
      <c r="J2998">
        <v>50</v>
      </c>
      <c r="EA2998">
        <v>2</v>
      </c>
      <c r="EB2998">
        <v>1</v>
      </c>
    </row>
    <row r="2999" spans="1:132" x14ac:dyDescent="0.3">
      <c r="A2999">
        <v>457</v>
      </c>
      <c r="B2999" t="s">
        <v>2426</v>
      </c>
      <c r="C2999" t="s">
        <v>207</v>
      </c>
      <c r="D2999" t="s">
        <v>21</v>
      </c>
      <c r="E2999" t="s">
        <v>22</v>
      </c>
      <c r="F2999" s="30">
        <v>45838</v>
      </c>
      <c r="G2999" t="s">
        <v>2430</v>
      </c>
      <c r="H2999" t="s">
        <v>4512</v>
      </c>
      <c r="I2999">
        <v>100</v>
      </c>
      <c r="J2999">
        <v>100</v>
      </c>
      <c r="EA2999">
        <v>2</v>
      </c>
      <c r="EB2999">
        <v>2</v>
      </c>
    </row>
    <row r="3000" spans="1:132" x14ac:dyDescent="0.3">
      <c r="A3000">
        <v>469</v>
      </c>
      <c r="B3000" t="s">
        <v>2168</v>
      </c>
      <c r="C3000" t="s">
        <v>1263</v>
      </c>
      <c r="D3000" t="s">
        <v>21</v>
      </c>
      <c r="E3000" t="s">
        <v>22</v>
      </c>
      <c r="F3000" s="30">
        <v>45838</v>
      </c>
      <c r="G3000" t="s">
        <v>2462</v>
      </c>
      <c r="H3000" t="s">
        <v>4612</v>
      </c>
      <c r="I3000">
        <v>100</v>
      </c>
      <c r="J3000">
        <v>114.80999755859381</v>
      </c>
      <c r="DF3000">
        <v>62</v>
      </c>
      <c r="DG3000">
        <v>54</v>
      </c>
    </row>
    <row r="3001" spans="1:132" x14ac:dyDescent="0.3">
      <c r="A3001">
        <v>469</v>
      </c>
      <c r="B3001" t="s">
        <v>2168</v>
      </c>
      <c r="C3001" t="s">
        <v>1263</v>
      </c>
      <c r="D3001" t="s">
        <v>21</v>
      </c>
      <c r="E3001" t="s">
        <v>22</v>
      </c>
      <c r="F3001" s="30">
        <v>45838</v>
      </c>
      <c r="G3001" t="s">
        <v>2462</v>
      </c>
      <c r="H3001" t="s">
        <v>4610</v>
      </c>
      <c r="I3001">
        <v>100</v>
      </c>
      <c r="J3001">
        <v>96</v>
      </c>
      <c r="DF3001">
        <v>48</v>
      </c>
      <c r="DG3001">
        <v>50</v>
      </c>
    </row>
    <row r="3002" spans="1:132" x14ac:dyDescent="0.3">
      <c r="A3002">
        <v>469</v>
      </c>
      <c r="B3002" t="s">
        <v>2168</v>
      </c>
      <c r="C3002" t="s">
        <v>1263</v>
      </c>
      <c r="D3002" t="s">
        <v>21</v>
      </c>
      <c r="E3002" t="s">
        <v>22</v>
      </c>
      <c r="F3002" s="30">
        <v>45838</v>
      </c>
      <c r="G3002" t="s">
        <v>2462</v>
      </c>
      <c r="H3002" t="s">
        <v>4617</v>
      </c>
      <c r="I3002">
        <v>100</v>
      </c>
      <c r="J3002">
        <v>113.0400009155273</v>
      </c>
      <c r="DF3002">
        <v>52</v>
      </c>
      <c r="DG3002">
        <v>46</v>
      </c>
    </row>
    <row r="3003" spans="1:132" x14ac:dyDescent="0.3">
      <c r="A3003">
        <v>469</v>
      </c>
      <c r="B3003" t="s">
        <v>2168</v>
      </c>
      <c r="C3003" t="s">
        <v>1263</v>
      </c>
      <c r="D3003" t="s">
        <v>21</v>
      </c>
      <c r="E3003" t="s">
        <v>22</v>
      </c>
      <c r="F3003" s="30">
        <v>45838</v>
      </c>
      <c r="G3003" t="s">
        <v>2462</v>
      </c>
      <c r="H3003" t="s">
        <v>4614</v>
      </c>
      <c r="I3003">
        <v>100</v>
      </c>
      <c r="J3003">
        <v>96.150001525878906</v>
      </c>
      <c r="DF3003">
        <v>50</v>
      </c>
      <c r="DG3003">
        <v>52</v>
      </c>
    </row>
    <row r="3004" spans="1:132" x14ac:dyDescent="0.3">
      <c r="A3004">
        <v>469</v>
      </c>
      <c r="B3004" t="s">
        <v>2168</v>
      </c>
      <c r="C3004" t="s">
        <v>1263</v>
      </c>
      <c r="D3004" t="s">
        <v>21</v>
      </c>
      <c r="E3004" t="s">
        <v>22</v>
      </c>
      <c r="F3004" s="30">
        <v>45838</v>
      </c>
      <c r="G3004" t="s">
        <v>2462</v>
      </c>
      <c r="H3004" t="s">
        <v>4609</v>
      </c>
      <c r="I3004">
        <v>100</v>
      </c>
      <c r="J3004">
        <v>122.9499969482422</v>
      </c>
      <c r="DF3004">
        <v>75</v>
      </c>
      <c r="DG3004">
        <v>61</v>
      </c>
    </row>
    <row r="3005" spans="1:132" x14ac:dyDescent="0.3">
      <c r="A3005">
        <v>469</v>
      </c>
      <c r="B3005" t="s">
        <v>2168</v>
      </c>
      <c r="C3005" t="s">
        <v>1263</v>
      </c>
      <c r="D3005" t="s">
        <v>21</v>
      </c>
      <c r="E3005" t="s">
        <v>22</v>
      </c>
      <c r="F3005" s="30">
        <v>45838</v>
      </c>
      <c r="G3005" t="s">
        <v>2462</v>
      </c>
      <c r="H3005" t="s">
        <v>4616</v>
      </c>
      <c r="I3005">
        <v>100</v>
      </c>
      <c r="J3005">
        <v>132.6499938964844</v>
      </c>
      <c r="DF3005">
        <v>65</v>
      </c>
      <c r="DG3005">
        <v>49</v>
      </c>
    </row>
    <row r="3006" spans="1:132" x14ac:dyDescent="0.3">
      <c r="A3006">
        <v>469</v>
      </c>
      <c r="B3006" t="s">
        <v>2168</v>
      </c>
      <c r="C3006" t="s">
        <v>1263</v>
      </c>
      <c r="D3006" t="s">
        <v>21</v>
      </c>
      <c r="E3006" t="s">
        <v>22</v>
      </c>
      <c r="F3006" s="30">
        <v>45838</v>
      </c>
      <c r="G3006" t="s">
        <v>2462</v>
      </c>
      <c r="H3006" t="s">
        <v>4613</v>
      </c>
      <c r="I3006">
        <v>100</v>
      </c>
      <c r="J3006">
        <v>81.129997253417969</v>
      </c>
      <c r="DF3006">
        <v>43</v>
      </c>
      <c r="DG3006">
        <v>53</v>
      </c>
    </row>
    <row r="3007" spans="1:132" x14ac:dyDescent="0.3">
      <c r="A3007">
        <v>469</v>
      </c>
      <c r="B3007" t="s">
        <v>2168</v>
      </c>
      <c r="C3007" t="s">
        <v>1263</v>
      </c>
      <c r="D3007" t="s">
        <v>21</v>
      </c>
      <c r="E3007" t="s">
        <v>22</v>
      </c>
      <c r="F3007" s="30">
        <v>45838</v>
      </c>
      <c r="G3007" t="s">
        <v>2462</v>
      </c>
      <c r="H3007" t="s">
        <v>4611</v>
      </c>
      <c r="I3007">
        <v>100</v>
      </c>
      <c r="J3007">
        <v>82.349998474121094</v>
      </c>
      <c r="DF3007">
        <v>56</v>
      </c>
      <c r="DG3007">
        <v>68</v>
      </c>
    </row>
    <row r="3008" spans="1:132" x14ac:dyDescent="0.3">
      <c r="A3008">
        <v>469</v>
      </c>
      <c r="B3008" t="s">
        <v>2168</v>
      </c>
      <c r="C3008" t="s">
        <v>1263</v>
      </c>
      <c r="D3008" t="s">
        <v>21</v>
      </c>
      <c r="E3008" t="s">
        <v>22</v>
      </c>
      <c r="F3008" s="30">
        <v>45838</v>
      </c>
      <c r="G3008" t="s">
        <v>2462</v>
      </c>
      <c r="H3008" t="s">
        <v>4615</v>
      </c>
      <c r="I3008">
        <v>100</v>
      </c>
      <c r="J3008">
        <v>92.589996337890625</v>
      </c>
      <c r="DF3008">
        <v>50</v>
      </c>
      <c r="DG3008">
        <v>54</v>
      </c>
    </row>
    <row r="3009" spans="1:145" x14ac:dyDescent="0.3">
      <c r="A3009">
        <v>470</v>
      </c>
      <c r="B3009" t="s">
        <v>2465</v>
      </c>
      <c r="C3009" t="s">
        <v>1263</v>
      </c>
      <c r="D3009" t="s">
        <v>21</v>
      </c>
      <c r="E3009" t="s">
        <v>22</v>
      </c>
      <c r="F3009" s="30">
        <v>45838</v>
      </c>
      <c r="G3009" t="s">
        <v>2471</v>
      </c>
      <c r="H3009" t="s">
        <v>4620</v>
      </c>
      <c r="I3009">
        <v>100</v>
      </c>
      <c r="J3009">
        <v>100</v>
      </c>
      <c r="DH3009">
        <v>38</v>
      </c>
      <c r="DI3009">
        <v>38</v>
      </c>
    </row>
    <row r="3010" spans="1:145" x14ac:dyDescent="0.3">
      <c r="A3010">
        <v>470</v>
      </c>
      <c r="B3010" t="s">
        <v>2465</v>
      </c>
      <c r="C3010" t="s">
        <v>1263</v>
      </c>
      <c r="D3010" t="s">
        <v>21</v>
      </c>
      <c r="E3010" t="s">
        <v>22</v>
      </c>
      <c r="F3010" s="30">
        <v>45838</v>
      </c>
      <c r="G3010" t="s">
        <v>2471</v>
      </c>
      <c r="H3010" t="s">
        <v>4621</v>
      </c>
      <c r="I3010">
        <v>100</v>
      </c>
      <c r="J3010">
        <v>172.9700012207031</v>
      </c>
      <c r="DH3010">
        <v>64</v>
      </c>
      <c r="DI3010">
        <v>37</v>
      </c>
    </row>
    <row r="3011" spans="1:145" x14ac:dyDescent="0.3">
      <c r="A3011">
        <v>470</v>
      </c>
      <c r="B3011" t="s">
        <v>2465</v>
      </c>
      <c r="C3011" t="s">
        <v>1263</v>
      </c>
      <c r="D3011" t="s">
        <v>21</v>
      </c>
      <c r="E3011" t="s">
        <v>22</v>
      </c>
      <c r="F3011" s="30">
        <v>45838</v>
      </c>
      <c r="G3011" t="s">
        <v>2471</v>
      </c>
      <c r="H3011" t="s">
        <v>4622</v>
      </c>
      <c r="I3011">
        <v>100</v>
      </c>
      <c r="J3011">
        <v>150.94000244140619</v>
      </c>
      <c r="DH3011">
        <v>80</v>
      </c>
      <c r="DI3011">
        <v>53</v>
      </c>
    </row>
    <row r="3012" spans="1:145" x14ac:dyDescent="0.3">
      <c r="A3012">
        <v>470</v>
      </c>
      <c r="B3012" t="s">
        <v>2465</v>
      </c>
      <c r="C3012" t="s">
        <v>1263</v>
      </c>
      <c r="D3012" t="s">
        <v>21</v>
      </c>
      <c r="E3012" t="s">
        <v>22</v>
      </c>
      <c r="F3012" s="30">
        <v>45838</v>
      </c>
      <c r="G3012" t="s">
        <v>2471</v>
      </c>
      <c r="H3012" t="s">
        <v>4619</v>
      </c>
      <c r="I3012">
        <v>100</v>
      </c>
      <c r="J3012">
        <v>81.129997253417969</v>
      </c>
      <c r="DH3012">
        <v>43</v>
      </c>
      <c r="DI3012">
        <v>53</v>
      </c>
    </row>
    <row r="3013" spans="1:145" x14ac:dyDescent="0.3">
      <c r="A3013">
        <v>470</v>
      </c>
      <c r="B3013" t="s">
        <v>2465</v>
      </c>
      <c r="C3013" t="s">
        <v>1263</v>
      </c>
      <c r="D3013" t="s">
        <v>21</v>
      </c>
      <c r="E3013" t="s">
        <v>22</v>
      </c>
      <c r="F3013" s="30">
        <v>45838</v>
      </c>
      <c r="G3013" t="s">
        <v>2471</v>
      </c>
      <c r="H3013" t="s">
        <v>4618</v>
      </c>
      <c r="I3013">
        <v>100</v>
      </c>
      <c r="J3013">
        <v>236.8399963378906</v>
      </c>
      <c r="DH3013">
        <v>90</v>
      </c>
      <c r="DI3013">
        <v>38</v>
      </c>
    </row>
    <row r="3014" spans="1:145" x14ac:dyDescent="0.3">
      <c r="A3014">
        <v>471</v>
      </c>
      <c r="B3014" t="s">
        <v>2474</v>
      </c>
      <c r="C3014" t="s">
        <v>1263</v>
      </c>
      <c r="D3014" t="s">
        <v>21</v>
      </c>
      <c r="E3014" t="s">
        <v>22</v>
      </c>
      <c r="F3014" s="30">
        <v>45838</v>
      </c>
      <c r="G3014" t="s">
        <v>2480</v>
      </c>
      <c r="H3014" t="s">
        <v>4625</v>
      </c>
      <c r="I3014">
        <v>100</v>
      </c>
      <c r="J3014">
        <v>100</v>
      </c>
      <c r="DJ3014">
        <v>34</v>
      </c>
      <c r="DK3014">
        <v>34</v>
      </c>
    </row>
    <row r="3015" spans="1:145" x14ac:dyDescent="0.3">
      <c r="A3015">
        <v>471</v>
      </c>
      <c r="B3015" t="s">
        <v>2474</v>
      </c>
      <c r="C3015" t="s">
        <v>1263</v>
      </c>
      <c r="D3015" t="s">
        <v>21</v>
      </c>
      <c r="E3015" t="s">
        <v>22</v>
      </c>
      <c r="F3015" s="30">
        <v>45838</v>
      </c>
      <c r="G3015" t="s">
        <v>2480</v>
      </c>
      <c r="H3015" t="s">
        <v>4623</v>
      </c>
      <c r="I3015">
        <v>100</v>
      </c>
      <c r="J3015">
        <v>73.330001831054688</v>
      </c>
      <c r="DJ3015">
        <v>22</v>
      </c>
      <c r="DK3015">
        <v>30</v>
      </c>
    </row>
    <row r="3016" spans="1:145" x14ac:dyDescent="0.3">
      <c r="A3016">
        <v>471</v>
      </c>
      <c r="B3016" t="s">
        <v>2474</v>
      </c>
      <c r="C3016" t="s">
        <v>1263</v>
      </c>
      <c r="D3016" t="s">
        <v>21</v>
      </c>
      <c r="E3016" t="s">
        <v>22</v>
      </c>
      <c r="F3016" s="30">
        <v>45838</v>
      </c>
      <c r="G3016" t="s">
        <v>2480</v>
      </c>
      <c r="H3016" t="s">
        <v>4626</v>
      </c>
      <c r="I3016">
        <v>100</v>
      </c>
      <c r="J3016">
        <v>87.180000305175781</v>
      </c>
      <c r="DJ3016">
        <v>34</v>
      </c>
      <c r="DK3016">
        <v>39</v>
      </c>
    </row>
    <row r="3017" spans="1:145" x14ac:dyDescent="0.3">
      <c r="A3017">
        <v>471</v>
      </c>
      <c r="B3017" t="s">
        <v>2474</v>
      </c>
      <c r="C3017" t="s">
        <v>1263</v>
      </c>
      <c r="D3017" t="s">
        <v>21</v>
      </c>
      <c r="E3017" t="s">
        <v>22</v>
      </c>
      <c r="F3017" s="30">
        <v>45838</v>
      </c>
      <c r="G3017" t="s">
        <v>2480</v>
      </c>
      <c r="H3017" t="s">
        <v>4627</v>
      </c>
      <c r="I3017">
        <v>100</v>
      </c>
      <c r="J3017">
        <v>87.5</v>
      </c>
      <c r="DJ3017">
        <v>21</v>
      </c>
      <c r="DK3017">
        <v>24</v>
      </c>
    </row>
    <row r="3018" spans="1:145" x14ac:dyDescent="0.3">
      <c r="A3018">
        <v>471</v>
      </c>
      <c r="B3018" t="s">
        <v>2474</v>
      </c>
      <c r="C3018" t="s">
        <v>1263</v>
      </c>
      <c r="D3018" t="s">
        <v>21</v>
      </c>
      <c r="E3018" t="s">
        <v>22</v>
      </c>
      <c r="F3018" s="30">
        <v>45838</v>
      </c>
      <c r="G3018" t="s">
        <v>2480</v>
      </c>
      <c r="H3018" t="s">
        <v>4624</v>
      </c>
      <c r="I3018">
        <v>100</v>
      </c>
      <c r="J3018">
        <v>104.34999847412109</v>
      </c>
      <c r="DJ3018">
        <v>24</v>
      </c>
      <c r="DK3018">
        <v>23</v>
      </c>
    </row>
    <row r="3019" spans="1:145" x14ac:dyDescent="0.3">
      <c r="A3019">
        <v>471</v>
      </c>
      <c r="B3019" t="s">
        <v>2474</v>
      </c>
      <c r="C3019" t="s">
        <v>1263</v>
      </c>
      <c r="D3019" t="s">
        <v>21</v>
      </c>
      <c r="E3019" t="s">
        <v>22</v>
      </c>
      <c r="F3019" s="30">
        <v>45838</v>
      </c>
      <c r="G3019" t="s">
        <v>2480</v>
      </c>
      <c r="H3019" t="s">
        <v>4629</v>
      </c>
      <c r="I3019">
        <v>100</v>
      </c>
      <c r="J3019">
        <v>105.879997253418</v>
      </c>
      <c r="DJ3019">
        <v>54</v>
      </c>
      <c r="DK3019">
        <v>51</v>
      </c>
    </row>
    <row r="3020" spans="1:145" x14ac:dyDescent="0.3">
      <c r="A3020">
        <v>471</v>
      </c>
      <c r="B3020" t="s">
        <v>2474</v>
      </c>
      <c r="C3020" t="s">
        <v>1263</v>
      </c>
      <c r="D3020" t="s">
        <v>21</v>
      </c>
      <c r="E3020" t="s">
        <v>22</v>
      </c>
      <c r="F3020" s="30">
        <v>45838</v>
      </c>
      <c r="G3020" t="s">
        <v>2480</v>
      </c>
      <c r="H3020" t="s">
        <v>4628</v>
      </c>
      <c r="I3020">
        <v>100</v>
      </c>
      <c r="J3020">
        <v>99.879997253417969</v>
      </c>
      <c r="DJ3020">
        <v>50</v>
      </c>
      <c r="DK3020">
        <v>50.06</v>
      </c>
    </row>
    <row r="3021" spans="1:145" x14ac:dyDescent="0.3">
      <c r="A3021">
        <v>510</v>
      </c>
      <c r="B3021" t="s">
        <v>2634</v>
      </c>
      <c r="C3021" t="s">
        <v>1490</v>
      </c>
      <c r="D3021" t="s">
        <v>21</v>
      </c>
      <c r="E3021" t="s">
        <v>22</v>
      </c>
      <c r="F3021" s="30">
        <v>45838</v>
      </c>
      <c r="G3021" t="s">
        <v>2636</v>
      </c>
      <c r="H3021" t="s">
        <v>4652</v>
      </c>
      <c r="EL3021">
        <v>0</v>
      </c>
      <c r="EM3021">
        <v>128</v>
      </c>
    </row>
    <row r="3022" spans="1:145" x14ac:dyDescent="0.3">
      <c r="A3022">
        <v>511</v>
      </c>
      <c r="B3022" t="s">
        <v>2639</v>
      </c>
      <c r="C3022" t="s">
        <v>1490</v>
      </c>
      <c r="D3022" t="s">
        <v>21</v>
      </c>
      <c r="E3022" t="s">
        <v>22</v>
      </c>
      <c r="F3022" s="30">
        <v>45838</v>
      </c>
      <c r="G3022" t="s">
        <v>2641</v>
      </c>
      <c r="H3022" t="s">
        <v>4653</v>
      </c>
      <c r="J3022">
        <v>80.849998474121094</v>
      </c>
      <c r="EN3022">
        <v>38</v>
      </c>
      <c r="EO3022">
        <v>47</v>
      </c>
    </row>
    <row r="3023" spans="1:145" x14ac:dyDescent="0.3">
      <c r="A3023">
        <v>511</v>
      </c>
      <c r="B3023" t="s">
        <v>2639</v>
      </c>
      <c r="C3023" t="s">
        <v>1490</v>
      </c>
      <c r="D3023" t="s">
        <v>21</v>
      </c>
      <c r="E3023" t="s">
        <v>22</v>
      </c>
      <c r="F3023" s="30">
        <v>45838</v>
      </c>
      <c r="G3023" t="s">
        <v>2641</v>
      </c>
      <c r="H3023" t="s">
        <v>4654</v>
      </c>
      <c r="J3023">
        <v>100</v>
      </c>
      <c r="EN3023">
        <v>48</v>
      </c>
      <c r="EO3023">
        <v>48</v>
      </c>
    </row>
    <row r="3024" spans="1:145" x14ac:dyDescent="0.3">
      <c r="A3024">
        <v>511</v>
      </c>
      <c r="B3024" t="s">
        <v>2639</v>
      </c>
      <c r="C3024" t="s">
        <v>1490</v>
      </c>
      <c r="D3024" t="s">
        <v>21</v>
      </c>
      <c r="E3024" t="s">
        <v>22</v>
      </c>
      <c r="F3024" s="30">
        <v>45838</v>
      </c>
      <c r="G3024" t="s">
        <v>2641</v>
      </c>
      <c r="H3024" t="s">
        <v>4655</v>
      </c>
      <c r="J3024">
        <v>100</v>
      </c>
      <c r="EN3024">
        <v>21</v>
      </c>
      <c r="EO3024">
        <v>21</v>
      </c>
    </row>
    <row r="3025" spans="1:145" x14ac:dyDescent="0.3">
      <c r="A3025">
        <v>511</v>
      </c>
      <c r="B3025" t="s">
        <v>2639</v>
      </c>
      <c r="C3025" t="s">
        <v>1490</v>
      </c>
      <c r="D3025" t="s">
        <v>21</v>
      </c>
      <c r="E3025" t="s">
        <v>22</v>
      </c>
      <c r="F3025" s="30">
        <v>45838</v>
      </c>
      <c r="G3025" t="s">
        <v>2641</v>
      </c>
      <c r="H3025" t="s">
        <v>4656</v>
      </c>
      <c r="J3025">
        <v>92.860000610351563</v>
      </c>
      <c r="EN3025">
        <v>13</v>
      </c>
      <c r="EO3025">
        <v>14</v>
      </c>
    </row>
    <row r="3026" spans="1:145" x14ac:dyDescent="0.3">
      <c r="A3026">
        <v>511</v>
      </c>
      <c r="B3026" t="s">
        <v>2639</v>
      </c>
      <c r="C3026" t="s">
        <v>1490</v>
      </c>
      <c r="D3026" t="s">
        <v>21</v>
      </c>
      <c r="E3026" t="s">
        <v>22</v>
      </c>
      <c r="F3026" s="30">
        <v>45838</v>
      </c>
      <c r="G3026" t="s">
        <v>2641</v>
      </c>
      <c r="H3026" t="s">
        <v>4657</v>
      </c>
      <c r="J3026">
        <v>75</v>
      </c>
      <c r="EN3026">
        <v>9</v>
      </c>
      <c r="EO3026">
        <v>12</v>
      </c>
    </row>
    <row r="3027" spans="1:145" x14ac:dyDescent="0.3">
      <c r="A3027">
        <v>511</v>
      </c>
      <c r="B3027" t="s">
        <v>2639</v>
      </c>
      <c r="C3027" t="s">
        <v>1490</v>
      </c>
      <c r="D3027" t="s">
        <v>21</v>
      </c>
      <c r="E3027" t="s">
        <v>22</v>
      </c>
      <c r="F3027" s="30">
        <v>45838</v>
      </c>
      <c r="G3027" t="s">
        <v>2641</v>
      </c>
      <c r="H3027" t="s">
        <v>4658</v>
      </c>
      <c r="J3027">
        <v>82.319999694824219</v>
      </c>
      <c r="EN3027">
        <v>163</v>
      </c>
      <c r="EO3027">
        <v>198</v>
      </c>
    </row>
    <row r="3028" spans="1:145" x14ac:dyDescent="0.3">
      <c r="A3028">
        <v>511</v>
      </c>
      <c r="B3028" t="s">
        <v>2639</v>
      </c>
      <c r="C3028" t="s">
        <v>1490</v>
      </c>
      <c r="D3028" t="s">
        <v>21</v>
      </c>
      <c r="E3028" t="s">
        <v>22</v>
      </c>
      <c r="F3028" s="30">
        <v>45838</v>
      </c>
      <c r="G3028" t="s">
        <v>2641</v>
      </c>
      <c r="H3028" t="s">
        <v>4659</v>
      </c>
      <c r="J3028">
        <v>100</v>
      </c>
      <c r="EN3028">
        <v>12</v>
      </c>
      <c r="EO3028">
        <v>12</v>
      </c>
    </row>
    <row r="3029" spans="1:145" x14ac:dyDescent="0.3">
      <c r="A3029">
        <v>208</v>
      </c>
      <c r="B3029" t="s">
        <v>707</v>
      </c>
      <c r="C3029" t="s">
        <v>251</v>
      </c>
      <c r="D3029" t="s">
        <v>73</v>
      </c>
      <c r="E3029" t="s">
        <v>56</v>
      </c>
      <c r="F3029" s="30">
        <v>45869</v>
      </c>
      <c r="G3029" t="s">
        <v>751</v>
      </c>
      <c r="H3029" t="s">
        <v>4468</v>
      </c>
      <c r="I3029">
        <v>950</v>
      </c>
      <c r="J3029">
        <v>484</v>
      </c>
      <c r="K3029">
        <v>484</v>
      </c>
    </row>
    <row r="3030" spans="1:145" x14ac:dyDescent="0.3">
      <c r="A3030">
        <v>208</v>
      </c>
      <c r="B3030" t="s">
        <v>707</v>
      </c>
      <c r="C3030" t="s">
        <v>251</v>
      </c>
      <c r="D3030" t="s">
        <v>73</v>
      </c>
      <c r="E3030" t="s">
        <v>56</v>
      </c>
      <c r="F3030" s="30">
        <v>45869</v>
      </c>
      <c r="G3030" t="s">
        <v>751</v>
      </c>
      <c r="H3030" t="s">
        <v>4477</v>
      </c>
      <c r="I3030">
        <v>25</v>
      </c>
      <c r="J3030">
        <v>13</v>
      </c>
      <c r="K3030">
        <v>13</v>
      </c>
    </row>
    <row r="3031" spans="1:145" x14ac:dyDescent="0.3">
      <c r="A3031">
        <v>208</v>
      </c>
      <c r="B3031" t="s">
        <v>707</v>
      </c>
      <c r="C3031" t="s">
        <v>251</v>
      </c>
      <c r="D3031" t="s">
        <v>73</v>
      </c>
      <c r="E3031" t="s">
        <v>56</v>
      </c>
      <c r="F3031" s="30">
        <v>45869</v>
      </c>
      <c r="G3031" t="s">
        <v>751</v>
      </c>
      <c r="H3031" t="s">
        <v>4469</v>
      </c>
      <c r="I3031">
        <v>200</v>
      </c>
      <c r="J3031">
        <v>123</v>
      </c>
      <c r="K3031">
        <v>123</v>
      </c>
    </row>
    <row r="3032" spans="1:145" x14ac:dyDescent="0.3">
      <c r="A3032">
        <v>208</v>
      </c>
      <c r="B3032" t="s">
        <v>707</v>
      </c>
      <c r="C3032" t="s">
        <v>251</v>
      </c>
      <c r="D3032" t="s">
        <v>73</v>
      </c>
      <c r="E3032" t="s">
        <v>56</v>
      </c>
      <c r="F3032" s="30">
        <v>45869</v>
      </c>
      <c r="G3032" t="s">
        <v>751</v>
      </c>
      <c r="H3032" t="s">
        <v>4476</v>
      </c>
      <c r="I3032">
        <v>0</v>
      </c>
      <c r="J3032">
        <v>0</v>
      </c>
      <c r="K3032">
        <v>0</v>
      </c>
    </row>
    <row r="3033" spans="1:145" x14ac:dyDescent="0.3">
      <c r="A3033">
        <v>208</v>
      </c>
      <c r="B3033" t="s">
        <v>707</v>
      </c>
      <c r="C3033" t="s">
        <v>251</v>
      </c>
      <c r="D3033" t="s">
        <v>73</v>
      </c>
      <c r="E3033" t="s">
        <v>56</v>
      </c>
      <c r="F3033" s="30">
        <v>45869</v>
      </c>
      <c r="G3033" t="s">
        <v>751</v>
      </c>
      <c r="H3033" t="s">
        <v>4478</v>
      </c>
      <c r="I3033">
        <v>25</v>
      </c>
      <c r="J3033">
        <v>14</v>
      </c>
      <c r="K3033">
        <v>14</v>
      </c>
    </row>
    <row r="3034" spans="1:145" x14ac:dyDescent="0.3">
      <c r="A3034">
        <v>208</v>
      </c>
      <c r="B3034" t="s">
        <v>707</v>
      </c>
      <c r="C3034" t="s">
        <v>251</v>
      </c>
      <c r="D3034" t="s">
        <v>73</v>
      </c>
      <c r="E3034" t="s">
        <v>56</v>
      </c>
      <c r="F3034" s="30">
        <v>45869</v>
      </c>
      <c r="G3034" t="s">
        <v>751</v>
      </c>
      <c r="H3034" t="s">
        <v>4470</v>
      </c>
      <c r="I3034">
        <v>350</v>
      </c>
      <c r="J3034">
        <v>409.5</v>
      </c>
      <c r="K3034">
        <v>409.5</v>
      </c>
    </row>
    <row r="3035" spans="1:145" x14ac:dyDescent="0.3">
      <c r="A3035">
        <v>214</v>
      </c>
      <c r="B3035" t="s">
        <v>774</v>
      </c>
      <c r="C3035" t="s">
        <v>251</v>
      </c>
      <c r="D3035" t="s">
        <v>73</v>
      </c>
      <c r="E3035" t="s">
        <v>56</v>
      </c>
      <c r="F3035" s="30">
        <v>45869</v>
      </c>
      <c r="G3035" t="s">
        <v>818</v>
      </c>
      <c r="H3035" t="s">
        <v>4470</v>
      </c>
      <c r="I3035">
        <v>1000</v>
      </c>
      <c r="J3035">
        <v>992.47998046875</v>
      </c>
      <c r="L3035">
        <v>237.25</v>
      </c>
      <c r="M3035">
        <v>755.23</v>
      </c>
    </row>
    <row r="3036" spans="1:145" x14ac:dyDescent="0.3">
      <c r="A3036">
        <v>214</v>
      </c>
      <c r="B3036" t="s">
        <v>774</v>
      </c>
      <c r="C3036" t="s">
        <v>251</v>
      </c>
      <c r="D3036" t="s">
        <v>73</v>
      </c>
      <c r="E3036" t="s">
        <v>56</v>
      </c>
      <c r="F3036" s="30">
        <v>45869</v>
      </c>
      <c r="G3036" t="s">
        <v>818</v>
      </c>
      <c r="H3036" t="s">
        <v>4477</v>
      </c>
      <c r="I3036">
        <v>7500</v>
      </c>
      <c r="J3036">
        <v>3.6400001049041748</v>
      </c>
      <c r="L3036">
        <v>0</v>
      </c>
      <c r="M3036">
        <v>3.64</v>
      </c>
    </row>
    <row r="3037" spans="1:145" x14ac:dyDescent="0.3">
      <c r="A3037">
        <v>214</v>
      </c>
      <c r="B3037" t="s">
        <v>774</v>
      </c>
      <c r="C3037" t="s">
        <v>251</v>
      </c>
      <c r="D3037" t="s">
        <v>73</v>
      </c>
      <c r="E3037" t="s">
        <v>56</v>
      </c>
      <c r="F3037" s="30">
        <v>45869</v>
      </c>
      <c r="G3037" t="s">
        <v>818</v>
      </c>
      <c r="H3037" t="s">
        <v>4469</v>
      </c>
      <c r="I3037">
        <v>1000</v>
      </c>
      <c r="J3037">
        <v>496.10000610351563</v>
      </c>
      <c r="L3037">
        <v>23.6</v>
      </c>
      <c r="M3037">
        <v>472.5</v>
      </c>
    </row>
    <row r="3038" spans="1:145" x14ac:dyDescent="0.3">
      <c r="A3038">
        <v>214</v>
      </c>
      <c r="B3038" t="s">
        <v>774</v>
      </c>
      <c r="C3038" t="s">
        <v>251</v>
      </c>
      <c r="D3038" t="s">
        <v>73</v>
      </c>
      <c r="E3038" t="s">
        <v>56</v>
      </c>
      <c r="F3038" s="30">
        <v>45869</v>
      </c>
      <c r="G3038" t="s">
        <v>818</v>
      </c>
      <c r="H3038" t="s">
        <v>4476</v>
      </c>
      <c r="I3038">
        <v>1</v>
      </c>
      <c r="J3038">
        <v>103.30999755859381</v>
      </c>
      <c r="L3038">
        <v>9.91</v>
      </c>
      <c r="M3038">
        <v>93.4</v>
      </c>
    </row>
    <row r="3039" spans="1:145" x14ac:dyDescent="0.3">
      <c r="A3039">
        <v>214</v>
      </c>
      <c r="B3039" t="s">
        <v>774</v>
      </c>
      <c r="C3039" t="s">
        <v>251</v>
      </c>
      <c r="D3039" t="s">
        <v>73</v>
      </c>
      <c r="E3039" t="s">
        <v>56</v>
      </c>
      <c r="F3039" s="30">
        <v>45869</v>
      </c>
      <c r="G3039" t="s">
        <v>818</v>
      </c>
      <c r="H3039" t="s">
        <v>4478</v>
      </c>
      <c r="I3039">
        <v>1</v>
      </c>
      <c r="J3039">
        <v>48.950000762939453</v>
      </c>
      <c r="L3039">
        <v>22.15</v>
      </c>
      <c r="M3039">
        <v>26.8</v>
      </c>
    </row>
    <row r="3040" spans="1:145" x14ac:dyDescent="0.3">
      <c r="A3040">
        <v>214</v>
      </c>
      <c r="B3040" t="s">
        <v>774</v>
      </c>
      <c r="C3040" t="s">
        <v>251</v>
      </c>
      <c r="D3040" t="s">
        <v>73</v>
      </c>
      <c r="E3040" t="s">
        <v>56</v>
      </c>
      <c r="F3040" s="30">
        <v>45869</v>
      </c>
      <c r="G3040" t="s">
        <v>818</v>
      </c>
      <c r="H3040" t="s">
        <v>4468</v>
      </c>
      <c r="I3040">
        <v>5500</v>
      </c>
      <c r="J3040">
        <v>812.3499755859375</v>
      </c>
      <c r="L3040">
        <v>194.75</v>
      </c>
      <c r="M3040">
        <v>617.6</v>
      </c>
    </row>
    <row r="3041" spans="1:46" x14ac:dyDescent="0.3">
      <c r="A3041">
        <v>217</v>
      </c>
      <c r="B3041" t="s">
        <v>840</v>
      </c>
      <c r="C3041" t="s">
        <v>251</v>
      </c>
      <c r="D3041" t="s">
        <v>73</v>
      </c>
      <c r="E3041" t="s">
        <v>22</v>
      </c>
      <c r="F3041" s="30">
        <v>45869</v>
      </c>
      <c r="G3041" t="s">
        <v>882</v>
      </c>
      <c r="H3041" t="s">
        <v>4470</v>
      </c>
      <c r="I3041">
        <v>20</v>
      </c>
      <c r="J3041">
        <v>23.89999961853027</v>
      </c>
      <c r="L3041">
        <v>237.25</v>
      </c>
      <c r="M3041">
        <v>755.23</v>
      </c>
      <c r="AS3041">
        <v>237.25</v>
      </c>
    </row>
    <row r="3042" spans="1:46" x14ac:dyDescent="0.3">
      <c r="A3042">
        <v>217</v>
      </c>
      <c r="B3042" t="s">
        <v>840</v>
      </c>
      <c r="C3042" t="s">
        <v>251</v>
      </c>
      <c r="D3042" t="s">
        <v>73</v>
      </c>
      <c r="E3042" t="s">
        <v>22</v>
      </c>
      <c r="F3042" s="30">
        <v>45869</v>
      </c>
      <c r="G3042" t="s">
        <v>882</v>
      </c>
      <c r="H3042" t="s">
        <v>4477</v>
      </c>
      <c r="I3042">
        <v>20</v>
      </c>
      <c r="J3042">
        <v>0</v>
      </c>
      <c r="L3042">
        <v>0</v>
      </c>
      <c r="M3042">
        <v>3.64</v>
      </c>
      <c r="AS3042">
        <v>0</v>
      </c>
    </row>
    <row r="3043" spans="1:46" x14ac:dyDescent="0.3">
      <c r="A3043">
        <v>217</v>
      </c>
      <c r="B3043" t="s">
        <v>840</v>
      </c>
      <c r="C3043" t="s">
        <v>251</v>
      </c>
      <c r="D3043" t="s">
        <v>73</v>
      </c>
      <c r="E3043" t="s">
        <v>22</v>
      </c>
      <c r="F3043" s="30">
        <v>45869</v>
      </c>
      <c r="G3043" t="s">
        <v>882</v>
      </c>
      <c r="H3043" t="s">
        <v>4469</v>
      </c>
      <c r="I3043">
        <v>20</v>
      </c>
      <c r="J3043">
        <v>4.7600002288818359</v>
      </c>
      <c r="L3043">
        <v>23.6</v>
      </c>
      <c r="M3043">
        <v>472.5</v>
      </c>
      <c r="AS3043">
        <v>23.6</v>
      </c>
    </row>
    <row r="3044" spans="1:46" x14ac:dyDescent="0.3">
      <c r="A3044">
        <v>217</v>
      </c>
      <c r="B3044" t="s">
        <v>840</v>
      </c>
      <c r="C3044" t="s">
        <v>251</v>
      </c>
      <c r="D3044" t="s">
        <v>73</v>
      </c>
      <c r="E3044" t="s">
        <v>22</v>
      </c>
      <c r="F3044" s="30">
        <v>45869</v>
      </c>
      <c r="G3044" t="s">
        <v>882</v>
      </c>
      <c r="H3044" t="s">
        <v>4476</v>
      </c>
      <c r="I3044">
        <v>20</v>
      </c>
      <c r="J3044">
        <v>9.5900001525878906</v>
      </c>
      <c r="L3044">
        <v>9.91</v>
      </c>
      <c r="M3044">
        <v>93.4</v>
      </c>
      <c r="AS3044">
        <v>9.91</v>
      </c>
    </row>
    <row r="3045" spans="1:46" x14ac:dyDescent="0.3">
      <c r="A3045">
        <v>217</v>
      </c>
      <c r="B3045" t="s">
        <v>840</v>
      </c>
      <c r="C3045" t="s">
        <v>251</v>
      </c>
      <c r="D3045" t="s">
        <v>73</v>
      </c>
      <c r="E3045" t="s">
        <v>22</v>
      </c>
      <c r="F3045" s="30">
        <v>45869</v>
      </c>
      <c r="G3045" t="s">
        <v>882</v>
      </c>
      <c r="H3045" t="s">
        <v>4478</v>
      </c>
      <c r="I3045">
        <v>20</v>
      </c>
      <c r="J3045">
        <v>45.25</v>
      </c>
      <c r="L3045">
        <v>22.15</v>
      </c>
      <c r="M3045">
        <v>26.8</v>
      </c>
      <c r="AS3045">
        <v>22.15</v>
      </c>
    </row>
    <row r="3046" spans="1:46" x14ac:dyDescent="0.3">
      <c r="A3046">
        <v>217</v>
      </c>
      <c r="B3046" t="s">
        <v>840</v>
      </c>
      <c r="C3046" t="s">
        <v>251</v>
      </c>
      <c r="D3046" t="s">
        <v>73</v>
      </c>
      <c r="E3046" t="s">
        <v>22</v>
      </c>
      <c r="F3046" s="30">
        <v>45869</v>
      </c>
      <c r="G3046" t="s">
        <v>882</v>
      </c>
      <c r="H3046" t="s">
        <v>4468</v>
      </c>
      <c r="I3046">
        <v>20</v>
      </c>
      <c r="J3046">
        <v>116.6699981689453</v>
      </c>
      <c r="L3046">
        <v>194.75</v>
      </c>
      <c r="M3046">
        <v>617.6</v>
      </c>
      <c r="AS3046">
        <v>947.75</v>
      </c>
    </row>
    <row r="3047" spans="1:46" x14ac:dyDescent="0.3">
      <c r="A3047">
        <v>218</v>
      </c>
      <c r="B3047" t="s">
        <v>888</v>
      </c>
      <c r="C3047" t="s">
        <v>251</v>
      </c>
      <c r="D3047" t="s">
        <v>73</v>
      </c>
      <c r="E3047" t="s">
        <v>56</v>
      </c>
      <c r="F3047" s="30">
        <v>45869</v>
      </c>
      <c r="G3047" t="s">
        <v>932</v>
      </c>
      <c r="H3047" t="s">
        <v>4470</v>
      </c>
      <c r="I3047">
        <v>76000</v>
      </c>
      <c r="J3047">
        <v>39900</v>
      </c>
      <c r="N3047">
        <v>39900</v>
      </c>
    </row>
    <row r="3048" spans="1:46" x14ac:dyDescent="0.3">
      <c r="A3048">
        <v>218</v>
      </c>
      <c r="B3048" t="s">
        <v>888</v>
      </c>
      <c r="C3048" t="s">
        <v>251</v>
      </c>
      <c r="D3048" t="s">
        <v>73</v>
      </c>
      <c r="E3048" t="s">
        <v>56</v>
      </c>
      <c r="F3048" s="30">
        <v>45869</v>
      </c>
      <c r="G3048" t="s">
        <v>932</v>
      </c>
      <c r="H3048" t="s">
        <v>4477</v>
      </c>
      <c r="I3048">
        <v>5000</v>
      </c>
      <c r="J3048">
        <v>3960</v>
      </c>
      <c r="N3048">
        <v>3960</v>
      </c>
    </row>
    <row r="3049" spans="1:46" x14ac:dyDescent="0.3">
      <c r="A3049">
        <v>218</v>
      </c>
      <c r="B3049" t="s">
        <v>888</v>
      </c>
      <c r="C3049" t="s">
        <v>251</v>
      </c>
      <c r="D3049" t="s">
        <v>73</v>
      </c>
      <c r="E3049" t="s">
        <v>56</v>
      </c>
      <c r="F3049" s="30">
        <v>45869</v>
      </c>
      <c r="G3049" t="s">
        <v>932</v>
      </c>
      <c r="H3049" t="s">
        <v>4469</v>
      </c>
      <c r="I3049">
        <v>24000</v>
      </c>
      <c r="J3049">
        <v>15532</v>
      </c>
      <c r="N3049">
        <v>15532</v>
      </c>
    </row>
    <row r="3050" spans="1:46" x14ac:dyDescent="0.3">
      <c r="A3050">
        <v>218</v>
      </c>
      <c r="B3050" t="s">
        <v>888</v>
      </c>
      <c r="C3050" t="s">
        <v>251</v>
      </c>
      <c r="D3050" t="s">
        <v>73</v>
      </c>
      <c r="E3050" t="s">
        <v>56</v>
      </c>
      <c r="F3050" s="30">
        <v>45869</v>
      </c>
      <c r="G3050" t="s">
        <v>932</v>
      </c>
      <c r="H3050" t="s">
        <v>4476</v>
      </c>
      <c r="I3050">
        <v>5000</v>
      </c>
      <c r="J3050">
        <v>4290</v>
      </c>
      <c r="N3050">
        <v>4290</v>
      </c>
    </row>
    <row r="3051" spans="1:46" x14ac:dyDescent="0.3">
      <c r="A3051">
        <v>218</v>
      </c>
      <c r="B3051" t="s">
        <v>888</v>
      </c>
      <c r="C3051" t="s">
        <v>251</v>
      </c>
      <c r="D3051" t="s">
        <v>73</v>
      </c>
      <c r="E3051" t="s">
        <v>56</v>
      </c>
      <c r="F3051" s="30">
        <v>45869</v>
      </c>
      <c r="G3051" t="s">
        <v>932</v>
      </c>
      <c r="H3051" t="s">
        <v>4478</v>
      </c>
      <c r="I3051">
        <v>2000</v>
      </c>
      <c r="J3051">
        <v>2398</v>
      </c>
      <c r="N3051">
        <v>2398</v>
      </c>
    </row>
    <row r="3052" spans="1:46" x14ac:dyDescent="0.3">
      <c r="A3052">
        <v>218</v>
      </c>
      <c r="B3052" t="s">
        <v>888</v>
      </c>
      <c r="C3052" t="s">
        <v>251</v>
      </c>
      <c r="D3052" t="s">
        <v>73</v>
      </c>
      <c r="E3052" t="s">
        <v>56</v>
      </c>
      <c r="F3052" s="30">
        <v>45869</v>
      </c>
      <c r="G3052" t="s">
        <v>932</v>
      </c>
      <c r="H3052" t="s">
        <v>4468</v>
      </c>
      <c r="I3052">
        <v>76000</v>
      </c>
      <c r="J3052">
        <v>60391.6484375</v>
      </c>
      <c r="N3052">
        <v>60391.65</v>
      </c>
    </row>
    <row r="3053" spans="1:46" x14ac:dyDescent="0.3">
      <c r="A3053">
        <v>225</v>
      </c>
      <c r="B3053" t="s">
        <v>976</v>
      </c>
      <c r="C3053" t="s">
        <v>251</v>
      </c>
      <c r="D3053" t="s">
        <v>73</v>
      </c>
      <c r="E3053" t="s">
        <v>22</v>
      </c>
      <c r="F3053" s="30">
        <v>45869</v>
      </c>
      <c r="G3053" t="s">
        <v>1019</v>
      </c>
      <c r="H3053" t="s">
        <v>4468</v>
      </c>
      <c r="I3053">
        <v>1</v>
      </c>
      <c r="J3053">
        <v>6</v>
      </c>
      <c r="AT3053">
        <v>6</v>
      </c>
    </row>
    <row r="3054" spans="1:46" x14ac:dyDescent="0.3">
      <c r="A3054">
        <v>225</v>
      </c>
      <c r="B3054" t="s">
        <v>976</v>
      </c>
      <c r="C3054" t="s">
        <v>251</v>
      </c>
      <c r="D3054" t="s">
        <v>73</v>
      </c>
      <c r="E3054" t="s">
        <v>22</v>
      </c>
      <c r="F3054" s="30">
        <v>45869</v>
      </c>
      <c r="G3054" t="s">
        <v>1019</v>
      </c>
      <c r="H3054" t="s">
        <v>4470</v>
      </c>
      <c r="I3054">
        <v>1</v>
      </c>
      <c r="J3054">
        <v>0</v>
      </c>
      <c r="AT3054">
        <v>0</v>
      </c>
    </row>
    <row r="3055" spans="1:46" x14ac:dyDescent="0.3">
      <c r="A3055">
        <v>225</v>
      </c>
      <c r="B3055" t="s">
        <v>976</v>
      </c>
      <c r="C3055" t="s">
        <v>251</v>
      </c>
      <c r="D3055" t="s">
        <v>73</v>
      </c>
      <c r="E3055" t="s">
        <v>22</v>
      </c>
      <c r="F3055" s="30">
        <v>45869</v>
      </c>
      <c r="G3055" t="s">
        <v>1019</v>
      </c>
      <c r="H3055" t="s">
        <v>4477</v>
      </c>
      <c r="I3055">
        <v>1</v>
      </c>
      <c r="J3055">
        <v>0</v>
      </c>
      <c r="AT3055">
        <v>0</v>
      </c>
    </row>
    <row r="3056" spans="1:46" x14ac:dyDescent="0.3">
      <c r="A3056">
        <v>225</v>
      </c>
      <c r="B3056" t="s">
        <v>976</v>
      </c>
      <c r="C3056" t="s">
        <v>251</v>
      </c>
      <c r="D3056" t="s">
        <v>73</v>
      </c>
      <c r="E3056" t="s">
        <v>22</v>
      </c>
      <c r="F3056" s="30">
        <v>45869</v>
      </c>
      <c r="G3056" t="s">
        <v>1019</v>
      </c>
      <c r="H3056" t="s">
        <v>4469</v>
      </c>
      <c r="I3056">
        <v>1</v>
      </c>
      <c r="J3056">
        <v>10</v>
      </c>
      <c r="AT3056">
        <v>10</v>
      </c>
    </row>
    <row r="3057" spans="1:134" x14ac:dyDescent="0.3">
      <c r="A3057">
        <v>225</v>
      </c>
      <c r="B3057" t="s">
        <v>976</v>
      </c>
      <c r="C3057" t="s">
        <v>251</v>
      </c>
      <c r="D3057" t="s">
        <v>73</v>
      </c>
      <c r="E3057" t="s">
        <v>22</v>
      </c>
      <c r="F3057" s="30">
        <v>45869</v>
      </c>
      <c r="G3057" t="s">
        <v>1019</v>
      </c>
      <c r="H3057" t="s">
        <v>4476</v>
      </c>
      <c r="I3057">
        <v>1</v>
      </c>
      <c r="J3057">
        <v>1</v>
      </c>
      <c r="AT3057">
        <v>1</v>
      </c>
    </row>
    <row r="3058" spans="1:134" x14ac:dyDescent="0.3">
      <c r="A3058">
        <v>225</v>
      </c>
      <c r="B3058" t="s">
        <v>976</v>
      </c>
      <c r="C3058" t="s">
        <v>251</v>
      </c>
      <c r="D3058" t="s">
        <v>73</v>
      </c>
      <c r="E3058" t="s">
        <v>22</v>
      </c>
      <c r="F3058" s="30">
        <v>45869</v>
      </c>
      <c r="G3058" t="s">
        <v>1019</v>
      </c>
      <c r="H3058" t="s">
        <v>4478</v>
      </c>
      <c r="I3058">
        <v>1</v>
      </c>
      <c r="J3058">
        <v>1</v>
      </c>
      <c r="AT3058">
        <v>1</v>
      </c>
    </row>
    <row r="3059" spans="1:134" x14ac:dyDescent="0.3">
      <c r="A3059">
        <v>239</v>
      </c>
      <c r="B3059" t="s">
        <v>1095</v>
      </c>
      <c r="C3059" t="s">
        <v>1096</v>
      </c>
      <c r="D3059" t="s">
        <v>73</v>
      </c>
      <c r="E3059" t="s">
        <v>22</v>
      </c>
      <c r="F3059" s="30">
        <v>45869</v>
      </c>
      <c r="G3059" t="s">
        <v>1138</v>
      </c>
      <c r="H3059" t="s">
        <v>4479</v>
      </c>
      <c r="J3059">
        <v>1</v>
      </c>
      <c r="AU3059">
        <v>1</v>
      </c>
    </row>
    <row r="3060" spans="1:134" x14ac:dyDescent="0.3">
      <c r="A3060">
        <v>239</v>
      </c>
      <c r="B3060" t="s">
        <v>1095</v>
      </c>
      <c r="C3060" t="s">
        <v>1096</v>
      </c>
      <c r="D3060" t="s">
        <v>73</v>
      </c>
      <c r="E3060" t="s">
        <v>22</v>
      </c>
      <c r="F3060" s="30">
        <v>45869</v>
      </c>
      <c r="G3060" t="s">
        <v>1138</v>
      </c>
      <c r="H3060" t="s">
        <v>4480</v>
      </c>
      <c r="J3060">
        <v>0</v>
      </c>
      <c r="AU3060">
        <v>0</v>
      </c>
    </row>
    <row r="3061" spans="1:134" x14ac:dyDescent="0.3">
      <c r="A3061">
        <v>239</v>
      </c>
      <c r="B3061" t="s">
        <v>1095</v>
      </c>
      <c r="C3061" t="s">
        <v>1096</v>
      </c>
      <c r="D3061" t="s">
        <v>73</v>
      </c>
      <c r="E3061" t="s">
        <v>22</v>
      </c>
      <c r="F3061" s="30">
        <v>45869</v>
      </c>
      <c r="G3061" t="s">
        <v>1138</v>
      </c>
      <c r="H3061" t="s">
        <v>4481</v>
      </c>
      <c r="J3061">
        <v>23</v>
      </c>
      <c r="AU3061">
        <v>23</v>
      </c>
    </row>
    <row r="3062" spans="1:134" x14ac:dyDescent="0.3">
      <c r="A3062">
        <v>239</v>
      </c>
      <c r="B3062" t="s">
        <v>1095</v>
      </c>
      <c r="C3062" t="s">
        <v>1096</v>
      </c>
      <c r="D3062" t="s">
        <v>73</v>
      </c>
      <c r="E3062" t="s">
        <v>22</v>
      </c>
      <c r="F3062" s="30">
        <v>45869</v>
      </c>
      <c r="G3062" t="s">
        <v>1138</v>
      </c>
      <c r="H3062" t="s">
        <v>4651</v>
      </c>
      <c r="J3062">
        <v>3</v>
      </c>
      <c r="AU3062">
        <v>3</v>
      </c>
    </row>
    <row r="3063" spans="1:134" x14ac:dyDescent="0.3">
      <c r="A3063">
        <v>239</v>
      </c>
      <c r="B3063" t="s">
        <v>1095</v>
      </c>
      <c r="C3063" t="s">
        <v>1096</v>
      </c>
      <c r="D3063" t="s">
        <v>73</v>
      </c>
      <c r="E3063" t="s">
        <v>22</v>
      </c>
      <c r="F3063" s="30">
        <v>45869</v>
      </c>
      <c r="G3063" t="s">
        <v>1138</v>
      </c>
      <c r="H3063" t="s">
        <v>3622</v>
      </c>
      <c r="J3063">
        <v>15</v>
      </c>
      <c r="AU3063">
        <v>15</v>
      </c>
    </row>
    <row r="3064" spans="1:134" x14ac:dyDescent="0.3">
      <c r="A3064">
        <v>434</v>
      </c>
      <c r="B3064" t="s">
        <v>2267</v>
      </c>
      <c r="C3064" t="s">
        <v>251</v>
      </c>
      <c r="D3064" t="s">
        <v>73</v>
      </c>
      <c r="E3064" t="s">
        <v>56</v>
      </c>
      <c r="F3064" s="30">
        <v>45869</v>
      </c>
      <c r="G3064" t="s">
        <v>2298</v>
      </c>
      <c r="H3064" t="s">
        <v>4468</v>
      </c>
      <c r="I3064">
        <v>100</v>
      </c>
      <c r="J3064">
        <v>310.39999389648438</v>
      </c>
      <c r="AV3064">
        <v>310.39999999999998</v>
      </c>
    </row>
    <row r="3065" spans="1:134" x14ac:dyDescent="0.3">
      <c r="A3065">
        <v>434</v>
      </c>
      <c r="B3065" t="s">
        <v>2267</v>
      </c>
      <c r="C3065" t="s">
        <v>251</v>
      </c>
      <c r="D3065" t="s">
        <v>73</v>
      </c>
      <c r="E3065" t="s">
        <v>56</v>
      </c>
      <c r="F3065" s="30">
        <v>45869</v>
      </c>
      <c r="G3065" t="s">
        <v>2298</v>
      </c>
      <c r="H3065" t="s">
        <v>4477</v>
      </c>
      <c r="I3065">
        <v>200</v>
      </c>
      <c r="J3065">
        <v>0</v>
      </c>
      <c r="AV3065">
        <v>0</v>
      </c>
    </row>
    <row r="3066" spans="1:134" x14ac:dyDescent="0.3">
      <c r="A3066">
        <v>434</v>
      </c>
      <c r="B3066" t="s">
        <v>2267</v>
      </c>
      <c r="C3066" t="s">
        <v>251</v>
      </c>
      <c r="D3066" t="s">
        <v>73</v>
      </c>
      <c r="E3066" t="s">
        <v>56</v>
      </c>
      <c r="F3066" s="30">
        <v>45869</v>
      </c>
      <c r="G3066" t="s">
        <v>2298</v>
      </c>
      <c r="H3066" t="s">
        <v>4469</v>
      </c>
      <c r="I3066">
        <v>25</v>
      </c>
      <c r="J3066">
        <v>0</v>
      </c>
      <c r="AV3066">
        <v>0</v>
      </c>
    </row>
    <row r="3067" spans="1:134" x14ac:dyDescent="0.3">
      <c r="A3067">
        <v>434</v>
      </c>
      <c r="B3067" t="s">
        <v>2267</v>
      </c>
      <c r="C3067" t="s">
        <v>251</v>
      </c>
      <c r="D3067" t="s">
        <v>73</v>
      </c>
      <c r="E3067" t="s">
        <v>56</v>
      </c>
      <c r="F3067" s="30">
        <v>45869</v>
      </c>
      <c r="G3067" t="s">
        <v>2298</v>
      </c>
      <c r="H3067" t="s">
        <v>4476</v>
      </c>
      <c r="I3067">
        <v>10</v>
      </c>
      <c r="J3067">
        <v>0</v>
      </c>
      <c r="AV3067">
        <v>0</v>
      </c>
    </row>
    <row r="3068" spans="1:134" x14ac:dyDescent="0.3">
      <c r="A3068">
        <v>434</v>
      </c>
      <c r="B3068" t="s">
        <v>2267</v>
      </c>
      <c r="C3068" t="s">
        <v>251</v>
      </c>
      <c r="D3068" t="s">
        <v>73</v>
      </c>
      <c r="E3068" t="s">
        <v>56</v>
      </c>
      <c r="F3068" s="30">
        <v>45869</v>
      </c>
      <c r="G3068" t="s">
        <v>2298</v>
      </c>
      <c r="H3068" t="s">
        <v>4478</v>
      </c>
      <c r="I3068">
        <v>200</v>
      </c>
      <c r="J3068">
        <v>0</v>
      </c>
      <c r="AV3068">
        <v>0</v>
      </c>
    </row>
    <row r="3069" spans="1:134" x14ac:dyDescent="0.3">
      <c r="A3069">
        <v>434</v>
      </c>
      <c r="B3069" t="s">
        <v>2267</v>
      </c>
      <c r="C3069" t="s">
        <v>251</v>
      </c>
      <c r="D3069" t="s">
        <v>73</v>
      </c>
      <c r="E3069" t="s">
        <v>56</v>
      </c>
      <c r="F3069" s="30">
        <v>45869</v>
      </c>
      <c r="G3069" t="s">
        <v>2298</v>
      </c>
      <c r="H3069" t="s">
        <v>4470</v>
      </c>
      <c r="I3069">
        <v>25</v>
      </c>
      <c r="J3069">
        <v>1.7100000381469731</v>
      </c>
      <c r="AV3069">
        <v>1.71</v>
      </c>
    </row>
    <row r="3070" spans="1:134" x14ac:dyDescent="0.3">
      <c r="A3070">
        <v>436</v>
      </c>
      <c r="B3070" t="s">
        <v>2311</v>
      </c>
      <c r="C3070" t="s">
        <v>258</v>
      </c>
      <c r="D3070" t="s">
        <v>73</v>
      </c>
      <c r="E3070" t="s">
        <v>56</v>
      </c>
      <c r="F3070" s="30">
        <v>45869</v>
      </c>
      <c r="G3070" t="s">
        <v>2342</v>
      </c>
      <c r="H3070" t="s">
        <v>4579</v>
      </c>
      <c r="I3070">
        <v>7</v>
      </c>
      <c r="J3070">
        <v>4.5900001525878906</v>
      </c>
      <c r="CP3070">
        <v>4.59</v>
      </c>
    </row>
    <row r="3071" spans="1:134" x14ac:dyDescent="0.3">
      <c r="A3071">
        <v>436</v>
      </c>
      <c r="B3071" t="s">
        <v>2311</v>
      </c>
      <c r="C3071" t="s">
        <v>258</v>
      </c>
      <c r="D3071" t="s">
        <v>73</v>
      </c>
      <c r="E3071" t="s">
        <v>56</v>
      </c>
      <c r="F3071" s="30">
        <v>45869</v>
      </c>
      <c r="G3071" t="s">
        <v>2342</v>
      </c>
      <c r="H3071" t="s">
        <v>4580</v>
      </c>
      <c r="I3071">
        <v>7</v>
      </c>
      <c r="J3071">
        <v>8.8199996948242188</v>
      </c>
      <c r="CP3071">
        <v>8.82</v>
      </c>
    </row>
    <row r="3072" spans="1:134" x14ac:dyDescent="0.3">
      <c r="A3072">
        <v>485</v>
      </c>
      <c r="B3072" t="s">
        <v>2525</v>
      </c>
      <c r="C3072" t="s">
        <v>258</v>
      </c>
      <c r="D3072" t="s">
        <v>73</v>
      </c>
      <c r="E3072" t="s">
        <v>22</v>
      </c>
      <c r="F3072" s="30">
        <v>45869</v>
      </c>
      <c r="G3072" t="s">
        <v>2543</v>
      </c>
      <c r="H3072" t="s">
        <v>4639</v>
      </c>
      <c r="I3072">
        <v>80</v>
      </c>
      <c r="J3072">
        <v>100</v>
      </c>
      <c r="EC3072">
        <v>1</v>
      </c>
      <c r="ED3072">
        <v>1</v>
      </c>
    </row>
    <row r="3073" spans="1:141" x14ac:dyDescent="0.3">
      <c r="A3073">
        <v>485</v>
      </c>
      <c r="B3073" t="s">
        <v>2525</v>
      </c>
      <c r="C3073" t="s">
        <v>258</v>
      </c>
      <c r="D3073" t="s">
        <v>73</v>
      </c>
      <c r="E3073" t="s">
        <v>22</v>
      </c>
      <c r="F3073" s="30">
        <v>45869</v>
      </c>
      <c r="G3073" t="s">
        <v>2543</v>
      </c>
      <c r="H3073" t="s">
        <v>4576</v>
      </c>
      <c r="I3073">
        <v>80</v>
      </c>
      <c r="J3073">
        <v>100</v>
      </c>
      <c r="EC3073">
        <v>1</v>
      </c>
      <c r="ED3073">
        <v>1</v>
      </c>
    </row>
    <row r="3074" spans="1:141" x14ac:dyDescent="0.3">
      <c r="A3074">
        <v>485</v>
      </c>
      <c r="B3074" t="s">
        <v>2525</v>
      </c>
      <c r="C3074" t="s">
        <v>258</v>
      </c>
      <c r="D3074" t="s">
        <v>73</v>
      </c>
      <c r="E3074" t="s">
        <v>22</v>
      </c>
      <c r="F3074" s="30">
        <v>45869</v>
      </c>
      <c r="G3074" t="s">
        <v>2543</v>
      </c>
      <c r="H3074" t="s">
        <v>154</v>
      </c>
      <c r="I3074">
        <v>80</v>
      </c>
      <c r="J3074">
        <v>0</v>
      </c>
      <c r="EC3074">
        <v>0</v>
      </c>
      <c r="ED3074">
        <v>0</v>
      </c>
    </row>
    <row r="3075" spans="1:141" x14ac:dyDescent="0.3">
      <c r="A3075">
        <v>485</v>
      </c>
      <c r="B3075" t="s">
        <v>2525</v>
      </c>
      <c r="C3075" t="s">
        <v>258</v>
      </c>
      <c r="D3075" t="s">
        <v>73</v>
      </c>
      <c r="E3075" t="s">
        <v>22</v>
      </c>
      <c r="F3075" s="30">
        <v>45869</v>
      </c>
      <c r="G3075" t="s">
        <v>2543</v>
      </c>
      <c r="H3075" t="s">
        <v>4640</v>
      </c>
      <c r="I3075">
        <v>80</v>
      </c>
      <c r="J3075">
        <v>0</v>
      </c>
      <c r="EC3075">
        <v>0</v>
      </c>
      <c r="ED3075">
        <v>0</v>
      </c>
    </row>
    <row r="3076" spans="1:141" x14ac:dyDescent="0.3">
      <c r="A3076">
        <v>485</v>
      </c>
      <c r="B3076" t="s">
        <v>2525</v>
      </c>
      <c r="C3076" t="s">
        <v>258</v>
      </c>
      <c r="D3076" t="s">
        <v>73</v>
      </c>
      <c r="E3076" t="s">
        <v>22</v>
      </c>
      <c r="F3076" s="30">
        <v>45869</v>
      </c>
      <c r="G3076" t="s">
        <v>2543</v>
      </c>
      <c r="H3076" t="s">
        <v>4641</v>
      </c>
      <c r="I3076">
        <v>80</v>
      </c>
      <c r="J3076">
        <v>0</v>
      </c>
      <c r="EC3076">
        <v>0</v>
      </c>
      <c r="ED3076">
        <v>1</v>
      </c>
    </row>
    <row r="3077" spans="1:141" x14ac:dyDescent="0.3">
      <c r="A3077">
        <v>488</v>
      </c>
      <c r="B3077" t="s">
        <v>2555</v>
      </c>
      <c r="C3077" t="s">
        <v>258</v>
      </c>
      <c r="D3077" t="s">
        <v>73</v>
      </c>
      <c r="E3077" t="s">
        <v>22</v>
      </c>
      <c r="F3077" s="30">
        <v>45869</v>
      </c>
      <c r="G3077" t="s">
        <v>2574</v>
      </c>
      <c r="H3077" t="s">
        <v>4637</v>
      </c>
      <c r="I3077">
        <v>85</v>
      </c>
      <c r="J3077">
        <v>33.330001831054688</v>
      </c>
      <c r="EE3077">
        <v>1</v>
      </c>
      <c r="EF3077">
        <v>3</v>
      </c>
    </row>
    <row r="3078" spans="1:141" x14ac:dyDescent="0.3">
      <c r="A3078">
        <v>488</v>
      </c>
      <c r="B3078" t="s">
        <v>2555</v>
      </c>
      <c r="C3078" t="s">
        <v>258</v>
      </c>
      <c r="D3078" t="s">
        <v>73</v>
      </c>
      <c r="E3078" t="s">
        <v>22</v>
      </c>
      <c r="F3078" s="30">
        <v>45869</v>
      </c>
      <c r="G3078" t="s">
        <v>2574</v>
      </c>
      <c r="H3078" t="s">
        <v>4638</v>
      </c>
      <c r="I3078">
        <v>85</v>
      </c>
      <c r="J3078">
        <v>60</v>
      </c>
      <c r="EE3078">
        <v>6</v>
      </c>
      <c r="EF3078">
        <v>10</v>
      </c>
    </row>
    <row r="3079" spans="1:141" x14ac:dyDescent="0.3">
      <c r="A3079">
        <v>488</v>
      </c>
      <c r="B3079" t="s">
        <v>2555</v>
      </c>
      <c r="C3079" t="s">
        <v>258</v>
      </c>
      <c r="D3079" t="s">
        <v>73</v>
      </c>
      <c r="E3079" t="s">
        <v>22</v>
      </c>
      <c r="F3079" s="30">
        <v>45869</v>
      </c>
      <c r="G3079" t="s">
        <v>2574</v>
      </c>
      <c r="H3079" t="s">
        <v>4639</v>
      </c>
      <c r="I3079">
        <v>85</v>
      </c>
      <c r="J3079">
        <v>100</v>
      </c>
      <c r="EE3079">
        <v>7</v>
      </c>
      <c r="EF3079">
        <v>7</v>
      </c>
    </row>
    <row r="3080" spans="1:141" x14ac:dyDescent="0.3">
      <c r="A3080">
        <v>488</v>
      </c>
      <c r="B3080" t="s">
        <v>2555</v>
      </c>
      <c r="C3080" t="s">
        <v>258</v>
      </c>
      <c r="D3080" t="s">
        <v>73</v>
      </c>
      <c r="E3080" t="s">
        <v>22</v>
      </c>
      <c r="F3080" s="30">
        <v>45869</v>
      </c>
      <c r="G3080" t="s">
        <v>2574</v>
      </c>
      <c r="H3080" t="s">
        <v>4576</v>
      </c>
      <c r="I3080">
        <v>85</v>
      </c>
      <c r="J3080">
        <v>89.470001220703125</v>
      </c>
      <c r="EE3080">
        <v>34</v>
      </c>
      <c r="EF3080">
        <v>38</v>
      </c>
    </row>
    <row r="3081" spans="1:141" x14ac:dyDescent="0.3">
      <c r="A3081">
        <v>488</v>
      </c>
      <c r="B3081" t="s">
        <v>2555</v>
      </c>
      <c r="C3081" t="s">
        <v>258</v>
      </c>
      <c r="D3081" t="s">
        <v>73</v>
      </c>
      <c r="E3081" t="s">
        <v>22</v>
      </c>
      <c r="F3081" s="30">
        <v>45869</v>
      </c>
      <c r="G3081" t="s">
        <v>2574</v>
      </c>
      <c r="H3081" t="s">
        <v>154</v>
      </c>
      <c r="I3081">
        <v>85</v>
      </c>
      <c r="J3081">
        <v>0</v>
      </c>
      <c r="EE3081">
        <v>0</v>
      </c>
      <c r="EF3081">
        <v>0</v>
      </c>
    </row>
    <row r="3082" spans="1:141" x14ac:dyDescent="0.3">
      <c r="A3082">
        <v>488</v>
      </c>
      <c r="B3082" t="s">
        <v>2555</v>
      </c>
      <c r="C3082" t="s">
        <v>258</v>
      </c>
      <c r="D3082" t="s">
        <v>73</v>
      </c>
      <c r="E3082" t="s">
        <v>22</v>
      </c>
      <c r="F3082" s="30">
        <v>45869</v>
      </c>
      <c r="G3082" t="s">
        <v>2574</v>
      </c>
      <c r="H3082" t="s">
        <v>4640</v>
      </c>
      <c r="I3082">
        <v>85</v>
      </c>
      <c r="J3082">
        <v>0</v>
      </c>
      <c r="EE3082">
        <v>0</v>
      </c>
      <c r="EF3082">
        <v>0</v>
      </c>
    </row>
    <row r="3083" spans="1:141" x14ac:dyDescent="0.3">
      <c r="A3083">
        <v>488</v>
      </c>
      <c r="B3083" t="s">
        <v>2555</v>
      </c>
      <c r="C3083" t="s">
        <v>258</v>
      </c>
      <c r="D3083" t="s">
        <v>73</v>
      </c>
      <c r="E3083" t="s">
        <v>22</v>
      </c>
      <c r="F3083" s="30">
        <v>45869</v>
      </c>
      <c r="G3083" t="s">
        <v>2574</v>
      </c>
      <c r="H3083" t="s">
        <v>4538</v>
      </c>
      <c r="I3083">
        <v>85</v>
      </c>
      <c r="J3083">
        <v>0</v>
      </c>
      <c r="EE3083">
        <v>0</v>
      </c>
      <c r="EF3083">
        <v>0</v>
      </c>
    </row>
    <row r="3084" spans="1:141" x14ac:dyDescent="0.3">
      <c r="A3084">
        <v>488</v>
      </c>
      <c r="B3084" t="s">
        <v>2555</v>
      </c>
      <c r="C3084" t="s">
        <v>258</v>
      </c>
      <c r="D3084" t="s">
        <v>73</v>
      </c>
      <c r="E3084" t="s">
        <v>22</v>
      </c>
      <c r="F3084" s="30">
        <v>45869</v>
      </c>
      <c r="G3084" t="s">
        <v>2574</v>
      </c>
      <c r="H3084" t="s">
        <v>4642</v>
      </c>
      <c r="I3084">
        <v>85</v>
      </c>
      <c r="J3084">
        <v>0</v>
      </c>
      <c r="EE3084">
        <v>0</v>
      </c>
      <c r="EF3084">
        <v>0</v>
      </c>
    </row>
    <row r="3085" spans="1:141" x14ac:dyDescent="0.3">
      <c r="A3085">
        <v>488</v>
      </c>
      <c r="B3085" t="s">
        <v>2555</v>
      </c>
      <c r="C3085" t="s">
        <v>258</v>
      </c>
      <c r="D3085" t="s">
        <v>73</v>
      </c>
      <c r="E3085" t="s">
        <v>22</v>
      </c>
      <c r="F3085" s="30">
        <v>45869</v>
      </c>
      <c r="G3085" t="s">
        <v>2574</v>
      </c>
      <c r="H3085" t="s">
        <v>4641</v>
      </c>
      <c r="I3085">
        <v>85</v>
      </c>
      <c r="J3085">
        <v>85.709999084472656</v>
      </c>
      <c r="EE3085">
        <v>18</v>
      </c>
      <c r="EF3085">
        <v>21</v>
      </c>
    </row>
    <row r="3086" spans="1:141" x14ac:dyDescent="0.3">
      <c r="A3086">
        <v>509</v>
      </c>
      <c r="B3086" t="s">
        <v>2622</v>
      </c>
      <c r="C3086" t="s">
        <v>1096</v>
      </c>
      <c r="D3086" t="s">
        <v>73</v>
      </c>
      <c r="E3086" t="s">
        <v>22</v>
      </c>
      <c r="F3086" s="30">
        <v>45869</v>
      </c>
      <c r="G3086" t="s">
        <v>2629</v>
      </c>
      <c r="H3086" t="s">
        <v>3449</v>
      </c>
      <c r="I3086">
        <v>90</v>
      </c>
      <c r="J3086">
        <v>100</v>
      </c>
      <c r="EJ3086">
        <v>55</v>
      </c>
      <c r="EK3086">
        <v>55</v>
      </c>
    </row>
    <row r="3087" spans="1:141" x14ac:dyDescent="0.3">
      <c r="A3087">
        <v>509</v>
      </c>
      <c r="B3087" t="s">
        <v>2622</v>
      </c>
      <c r="C3087" t="s">
        <v>1096</v>
      </c>
      <c r="D3087" t="s">
        <v>73</v>
      </c>
      <c r="E3087" t="s">
        <v>22</v>
      </c>
      <c r="F3087" s="30">
        <v>45869</v>
      </c>
      <c r="G3087" t="s">
        <v>2629</v>
      </c>
      <c r="H3087" t="s">
        <v>3457</v>
      </c>
      <c r="I3087">
        <v>90</v>
      </c>
      <c r="J3087">
        <v>89.889999389648438</v>
      </c>
      <c r="EJ3087">
        <v>89</v>
      </c>
      <c r="EK3087">
        <v>80</v>
      </c>
    </row>
    <row r="3088" spans="1:141" x14ac:dyDescent="0.3">
      <c r="A3088">
        <v>509</v>
      </c>
      <c r="B3088" t="s">
        <v>2622</v>
      </c>
      <c r="C3088" t="s">
        <v>1096</v>
      </c>
      <c r="D3088" t="s">
        <v>73</v>
      </c>
      <c r="E3088" t="s">
        <v>22</v>
      </c>
      <c r="F3088" s="30">
        <v>45869</v>
      </c>
      <c r="G3088" t="s">
        <v>2629</v>
      </c>
      <c r="H3088" t="s">
        <v>3572</v>
      </c>
      <c r="I3088">
        <v>90</v>
      </c>
      <c r="J3088">
        <v>95.919998168945313</v>
      </c>
      <c r="EJ3088">
        <v>98</v>
      </c>
      <c r="EK3088">
        <v>94</v>
      </c>
    </row>
    <row r="3089" spans="1:141" x14ac:dyDescent="0.3">
      <c r="A3089">
        <v>509</v>
      </c>
      <c r="B3089" t="s">
        <v>2622</v>
      </c>
      <c r="C3089" t="s">
        <v>1096</v>
      </c>
      <c r="D3089" t="s">
        <v>73</v>
      </c>
      <c r="E3089" t="s">
        <v>22</v>
      </c>
      <c r="F3089" s="30">
        <v>45869</v>
      </c>
      <c r="G3089" t="s">
        <v>2629</v>
      </c>
      <c r="H3089" t="s">
        <v>3451</v>
      </c>
      <c r="I3089">
        <v>90</v>
      </c>
      <c r="J3089">
        <v>0</v>
      </c>
      <c r="EJ3089">
        <v>0</v>
      </c>
      <c r="EK3089">
        <v>0</v>
      </c>
    </row>
    <row r="3090" spans="1:141" x14ac:dyDescent="0.3">
      <c r="A3090">
        <v>509</v>
      </c>
      <c r="B3090" t="s">
        <v>2622</v>
      </c>
      <c r="C3090" t="s">
        <v>1096</v>
      </c>
      <c r="D3090" t="s">
        <v>73</v>
      </c>
      <c r="E3090" t="s">
        <v>22</v>
      </c>
      <c r="F3090" s="30">
        <v>45869</v>
      </c>
      <c r="G3090" t="s">
        <v>2629</v>
      </c>
      <c r="H3090" t="s">
        <v>3453</v>
      </c>
      <c r="I3090">
        <v>90</v>
      </c>
      <c r="J3090">
        <v>98.569999694824219</v>
      </c>
      <c r="EJ3090">
        <v>70</v>
      </c>
      <c r="EK3090">
        <v>69</v>
      </c>
    </row>
    <row r="3091" spans="1:141" x14ac:dyDescent="0.3">
      <c r="A3091">
        <v>509</v>
      </c>
      <c r="B3091" t="s">
        <v>2622</v>
      </c>
      <c r="C3091" t="s">
        <v>1096</v>
      </c>
      <c r="D3091" t="s">
        <v>73</v>
      </c>
      <c r="E3091" t="s">
        <v>22</v>
      </c>
      <c r="F3091" s="30">
        <v>45869</v>
      </c>
      <c r="G3091" t="s">
        <v>2629</v>
      </c>
      <c r="H3091" t="s">
        <v>3461</v>
      </c>
      <c r="I3091">
        <v>90</v>
      </c>
      <c r="J3091">
        <v>0</v>
      </c>
      <c r="EJ3091">
        <v>0</v>
      </c>
      <c r="EK3091">
        <v>0</v>
      </c>
    </row>
    <row r="3092" spans="1:141" x14ac:dyDescent="0.3">
      <c r="A3092">
        <v>509</v>
      </c>
      <c r="B3092" t="s">
        <v>2622</v>
      </c>
      <c r="C3092" t="s">
        <v>1096</v>
      </c>
      <c r="D3092" t="s">
        <v>73</v>
      </c>
      <c r="E3092" t="s">
        <v>22</v>
      </c>
      <c r="F3092" s="30">
        <v>45869</v>
      </c>
      <c r="G3092" t="s">
        <v>2629</v>
      </c>
      <c r="H3092" t="s">
        <v>3463</v>
      </c>
      <c r="I3092">
        <v>90</v>
      </c>
      <c r="J3092">
        <v>95.449996948242188</v>
      </c>
      <c r="EJ3092">
        <v>22</v>
      </c>
      <c r="EK3092">
        <v>21</v>
      </c>
    </row>
    <row r="3093" spans="1:141" x14ac:dyDescent="0.3">
      <c r="A3093">
        <v>509</v>
      </c>
      <c r="B3093" t="s">
        <v>2622</v>
      </c>
      <c r="C3093" t="s">
        <v>1096</v>
      </c>
      <c r="D3093" t="s">
        <v>73</v>
      </c>
      <c r="E3093" t="s">
        <v>22</v>
      </c>
      <c r="F3093" s="30">
        <v>45869</v>
      </c>
      <c r="G3093" t="s">
        <v>2629</v>
      </c>
      <c r="H3093" t="s">
        <v>3470</v>
      </c>
      <c r="I3093">
        <v>90</v>
      </c>
      <c r="J3093">
        <v>0</v>
      </c>
      <c r="EJ3093">
        <v>0</v>
      </c>
      <c r="EK3093">
        <v>0</v>
      </c>
    </row>
    <row r="3094" spans="1:141" x14ac:dyDescent="0.3">
      <c r="A3094">
        <v>509</v>
      </c>
      <c r="B3094" t="s">
        <v>2622</v>
      </c>
      <c r="C3094" t="s">
        <v>1096</v>
      </c>
      <c r="D3094" t="s">
        <v>73</v>
      </c>
      <c r="E3094" t="s">
        <v>22</v>
      </c>
      <c r="F3094" s="30">
        <v>45869</v>
      </c>
      <c r="G3094" t="s">
        <v>2629</v>
      </c>
      <c r="H3094" t="s">
        <v>3465</v>
      </c>
      <c r="I3094">
        <v>90</v>
      </c>
      <c r="J3094">
        <v>0</v>
      </c>
      <c r="EJ3094">
        <v>0</v>
      </c>
      <c r="EK3094">
        <v>0</v>
      </c>
    </row>
    <row r="3095" spans="1:141" x14ac:dyDescent="0.3">
      <c r="A3095">
        <v>509</v>
      </c>
      <c r="B3095" t="s">
        <v>2622</v>
      </c>
      <c r="C3095" t="s">
        <v>1096</v>
      </c>
      <c r="D3095" t="s">
        <v>73</v>
      </c>
      <c r="E3095" t="s">
        <v>22</v>
      </c>
      <c r="F3095" s="30">
        <v>45869</v>
      </c>
      <c r="G3095" t="s">
        <v>2629</v>
      </c>
      <c r="H3095" t="s">
        <v>3467</v>
      </c>
      <c r="I3095">
        <v>90</v>
      </c>
      <c r="J3095">
        <v>0</v>
      </c>
      <c r="EJ3095">
        <v>0</v>
      </c>
      <c r="EK3095">
        <v>0</v>
      </c>
    </row>
    <row r="3096" spans="1:141" x14ac:dyDescent="0.3">
      <c r="A3096">
        <v>509</v>
      </c>
      <c r="B3096" t="s">
        <v>2622</v>
      </c>
      <c r="C3096" t="s">
        <v>1096</v>
      </c>
      <c r="D3096" t="s">
        <v>73</v>
      </c>
      <c r="E3096" t="s">
        <v>22</v>
      </c>
      <c r="F3096" s="30">
        <v>45869</v>
      </c>
      <c r="G3096" t="s">
        <v>2629</v>
      </c>
      <c r="H3096" t="s">
        <v>3472</v>
      </c>
      <c r="I3096">
        <v>90</v>
      </c>
      <c r="J3096">
        <v>97.139999389648438</v>
      </c>
      <c r="EJ3096">
        <v>70</v>
      </c>
      <c r="EK3096">
        <v>68</v>
      </c>
    </row>
    <row r="3097" spans="1:141" x14ac:dyDescent="0.3">
      <c r="A3097">
        <v>509</v>
      </c>
      <c r="B3097" t="s">
        <v>2622</v>
      </c>
      <c r="C3097" t="s">
        <v>1096</v>
      </c>
      <c r="D3097" t="s">
        <v>73</v>
      </c>
      <c r="E3097" t="s">
        <v>22</v>
      </c>
      <c r="F3097" s="30">
        <v>45869</v>
      </c>
      <c r="G3097" t="s">
        <v>2629</v>
      </c>
      <c r="H3097" t="s">
        <v>4647</v>
      </c>
      <c r="I3097">
        <v>90</v>
      </c>
      <c r="J3097">
        <v>0</v>
      </c>
      <c r="EJ3097">
        <v>0</v>
      </c>
      <c r="EK3097">
        <v>0</v>
      </c>
    </row>
    <row r="3098" spans="1:141" x14ac:dyDescent="0.3">
      <c r="A3098">
        <v>509</v>
      </c>
      <c r="B3098" t="s">
        <v>2622</v>
      </c>
      <c r="C3098" t="s">
        <v>1096</v>
      </c>
      <c r="D3098" t="s">
        <v>73</v>
      </c>
      <c r="E3098" t="s">
        <v>22</v>
      </c>
      <c r="F3098" s="30">
        <v>45869</v>
      </c>
      <c r="G3098" t="s">
        <v>2629</v>
      </c>
      <c r="H3098" t="s">
        <v>4648</v>
      </c>
      <c r="I3098">
        <v>90</v>
      </c>
      <c r="J3098">
        <v>0</v>
      </c>
      <c r="EJ3098">
        <v>0</v>
      </c>
      <c r="EK3098">
        <v>0</v>
      </c>
    </row>
    <row r="3099" spans="1:141" x14ac:dyDescent="0.3">
      <c r="A3099">
        <v>509</v>
      </c>
      <c r="B3099" t="s">
        <v>2622</v>
      </c>
      <c r="C3099" t="s">
        <v>1096</v>
      </c>
      <c r="D3099" t="s">
        <v>73</v>
      </c>
      <c r="E3099" t="s">
        <v>22</v>
      </c>
      <c r="F3099" s="30">
        <v>45869</v>
      </c>
      <c r="G3099" t="s">
        <v>2629</v>
      </c>
      <c r="H3099" t="s">
        <v>4649</v>
      </c>
      <c r="I3099">
        <v>90</v>
      </c>
      <c r="J3099">
        <v>0</v>
      </c>
      <c r="EJ3099">
        <v>0</v>
      </c>
      <c r="EK3099">
        <v>0</v>
      </c>
    </row>
    <row r="3100" spans="1:141" x14ac:dyDescent="0.3">
      <c r="A3100">
        <v>509</v>
      </c>
      <c r="B3100" t="s">
        <v>2622</v>
      </c>
      <c r="C3100" t="s">
        <v>1096</v>
      </c>
      <c r="D3100" t="s">
        <v>73</v>
      </c>
      <c r="E3100" t="s">
        <v>22</v>
      </c>
      <c r="F3100" s="30">
        <v>45869</v>
      </c>
      <c r="G3100" t="s">
        <v>2629</v>
      </c>
      <c r="H3100" t="s">
        <v>4650</v>
      </c>
      <c r="I3100">
        <v>90</v>
      </c>
      <c r="J3100">
        <v>0</v>
      </c>
      <c r="EJ3100">
        <v>0</v>
      </c>
      <c r="EK3100">
        <v>0</v>
      </c>
    </row>
    <row r="3101" spans="1:141" x14ac:dyDescent="0.3">
      <c r="A3101">
        <v>509</v>
      </c>
      <c r="B3101" t="s">
        <v>2622</v>
      </c>
      <c r="C3101" t="s">
        <v>1096</v>
      </c>
      <c r="D3101" t="s">
        <v>73</v>
      </c>
      <c r="E3101" t="s">
        <v>22</v>
      </c>
      <c r="F3101" s="30">
        <v>45869</v>
      </c>
      <c r="G3101" t="s">
        <v>2629</v>
      </c>
      <c r="H3101" t="s">
        <v>3455</v>
      </c>
      <c r="I3101">
        <v>90</v>
      </c>
      <c r="J3101">
        <v>0</v>
      </c>
      <c r="EJ3101">
        <v>0</v>
      </c>
      <c r="EK3101">
        <v>0</v>
      </c>
    </row>
    <row r="3102" spans="1:141" x14ac:dyDescent="0.3">
      <c r="A3102">
        <v>509</v>
      </c>
      <c r="B3102" t="s">
        <v>2622</v>
      </c>
      <c r="C3102" t="s">
        <v>1096</v>
      </c>
      <c r="D3102" t="s">
        <v>73</v>
      </c>
      <c r="E3102" t="s">
        <v>22</v>
      </c>
      <c r="F3102" s="30">
        <v>45869</v>
      </c>
      <c r="G3102" t="s">
        <v>2629</v>
      </c>
      <c r="H3102" t="s">
        <v>3476</v>
      </c>
      <c r="I3102">
        <v>90</v>
      </c>
      <c r="J3102">
        <v>0</v>
      </c>
      <c r="EJ3102">
        <v>0</v>
      </c>
      <c r="EK3102">
        <v>0</v>
      </c>
    </row>
    <row r="3103" spans="1:141" x14ac:dyDescent="0.3">
      <c r="A3103">
        <v>509</v>
      </c>
      <c r="B3103" t="s">
        <v>2622</v>
      </c>
      <c r="C3103" t="s">
        <v>1096</v>
      </c>
      <c r="D3103" t="s">
        <v>73</v>
      </c>
      <c r="E3103" t="s">
        <v>22</v>
      </c>
      <c r="F3103" s="30">
        <v>45869</v>
      </c>
      <c r="G3103" t="s">
        <v>2629</v>
      </c>
      <c r="H3103" t="s">
        <v>3459</v>
      </c>
      <c r="I3103">
        <v>90</v>
      </c>
      <c r="J3103">
        <v>100</v>
      </c>
      <c r="EJ3103">
        <v>25</v>
      </c>
      <c r="EK3103">
        <v>25</v>
      </c>
    </row>
    <row r="3104" spans="1:141" x14ac:dyDescent="0.3">
      <c r="A3104">
        <v>208</v>
      </c>
      <c r="B3104" t="s">
        <v>707</v>
      </c>
      <c r="C3104" t="s">
        <v>251</v>
      </c>
      <c r="D3104" t="s">
        <v>73</v>
      </c>
      <c r="E3104" t="s">
        <v>56</v>
      </c>
      <c r="F3104" s="30">
        <v>45900</v>
      </c>
      <c r="G3104" t="s">
        <v>752</v>
      </c>
      <c r="H3104" t="s">
        <v>4468</v>
      </c>
      <c r="I3104">
        <v>950</v>
      </c>
      <c r="J3104">
        <v>659</v>
      </c>
      <c r="K3104">
        <v>659</v>
      </c>
    </row>
    <row r="3105" spans="1:45" x14ac:dyDescent="0.3">
      <c r="A3105">
        <v>208</v>
      </c>
      <c r="B3105" t="s">
        <v>707</v>
      </c>
      <c r="C3105" t="s">
        <v>251</v>
      </c>
      <c r="D3105" t="s">
        <v>73</v>
      </c>
      <c r="E3105" t="s">
        <v>56</v>
      </c>
      <c r="F3105" s="30">
        <v>45900</v>
      </c>
      <c r="G3105" t="s">
        <v>752</v>
      </c>
      <c r="H3105" t="s">
        <v>4477</v>
      </c>
      <c r="I3105">
        <v>25</v>
      </c>
      <c r="J3105">
        <v>5.5</v>
      </c>
      <c r="K3105">
        <v>5.5</v>
      </c>
    </row>
    <row r="3106" spans="1:45" x14ac:dyDescent="0.3">
      <c r="A3106">
        <v>208</v>
      </c>
      <c r="B3106" t="s">
        <v>707</v>
      </c>
      <c r="C3106" t="s">
        <v>251</v>
      </c>
      <c r="D3106" t="s">
        <v>73</v>
      </c>
      <c r="E3106" t="s">
        <v>56</v>
      </c>
      <c r="F3106" s="30">
        <v>45900</v>
      </c>
      <c r="G3106" t="s">
        <v>752</v>
      </c>
      <c r="H3106" t="s">
        <v>4469</v>
      </c>
      <c r="I3106">
        <v>200</v>
      </c>
      <c r="J3106">
        <v>169</v>
      </c>
      <c r="K3106">
        <v>169</v>
      </c>
    </row>
    <row r="3107" spans="1:45" x14ac:dyDescent="0.3">
      <c r="A3107">
        <v>208</v>
      </c>
      <c r="B3107" t="s">
        <v>707</v>
      </c>
      <c r="C3107" t="s">
        <v>251</v>
      </c>
      <c r="D3107" t="s">
        <v>73</v>
      </c>
      <c r="E3107" t="s">
        <v>56</v>
      </c>
      <c r="F3107" s="30">
        <v>45900</v>
      </c>
      <c r="G3107" t="s">
        <v>752</v>
      </c>
      <c r="H3107" t="s">
        <v>4476</v>
      </c>
      <c r="I3107">
        <v>0</v>
      </c>
      <c r="J3107">
        <v>0</v>
      </c>
      <c r="K3107">
        <v>0</v>
      </c>
    </row>
    <row r="3108" spans="1:45" x14ac:dyDescent="0.3">
      <c r="A3108">
        <v>208</v>
      </c>
      <c r="B3108" t="s">
        <v>707</v>
      </c>
      <c r="C3108" t="s">
        <v>251</v>
      </c>
      <c r="D3108" t="s">
        <v>73</v>
      </c>
      <c r="E3108" t="s">
        <v>56</v>
      </c>
      <c r="F3108" s="30">
        <v>45900</v>
      </c>
      <c r="G3108" t="s">
        <v>752</v>
      </c>
      <c r="H3108" t="s">
        <v>4478</v>
      </c>
      <c r="I3108">
        <v>25</v>
      </c>
      <c r="J3108">
        <v>18</v>
      </c>
      <c r="K3108">
        <v>18</v>
      </c>
    </row>
    <row r="3109" spans="1:45" x14ac:dyDescent="0.3">
      <c r="A3109">
        <v>208</v>
      </c>
      <c r="B3109" t="s">
        <v>707</v>
      </c>
      <c r="C3109" t="s">
        <v>251</v>
      </c>
      <c r="D3109" t="s">
        <v>73</v>
      </c>
      <c r="E3109" t="s">
        <v>56</v>
      </c>
      <c r="F3109" s="30">
        <v>45900</v>
      </c>
      <c r="G3109" t="s">
        <v>752</v>
      </c>
      <c r="H3109" t="s">
        <v>4470</v>
      </c>
      <c r="I3109">
        <v>350</v>
      </c>
      <c r="J3109">
        <v>409.5</v>
      </c>
      <c r="K3109">
        <v>409.5</v>
      </c>
    </row>
    <row r="3110" spans="1:45" x14ac:dyDescent="0.3">
      <c r="A3110">
        <v>214</v>
      </c>
      <c r="B3110" t="s">
        <v>774</v>
      </c>
      <c r="C3110" t="s">
        <v>251</v>
      </c>
      <c r="D3110" t="s">
        <v>73</v>
      </c>
      <c r="E3110" t="s">
        <v>56</v>
      </c>
      <c r="F3110" s="30">
        <v>45900</v>
      </c>
      <c r="G3110" t="s">
        <v>819</v>
      </c>
      <c r="H3110" t="s">
        <v>4468</v>
      </c>
      <c r="I3110">
        <v>5500</v>
      </c>
      <c r="J3110">
        <v>2743.510009765625</v>
      </c>
      <c r="L3110">
        <v>139.21</v>
      </c>
      <c r="M3110">
        <v>2604.3000000000002</v>
      </c>
    </row>
    <row r="3111" spans="1:45" x14ac:dyDescent="0.3">
      <c r="A3111">
        <v>214</v>
      </c>
      <c r="B3111" t="s">
        <v>774</v>
      </c>
      <c r="C3111" t="s">
        <v>251</v>
      </c>
      <c r="D3111" t="s">
        <v>73</v>
      </c>
      <c r="E3111" t="s">
        <v>56</v>
      </c>
      <c r="F3111" s="30">
        <v>45900</v>
      </c>
      <c r="G3111" t="s">
        <v>819</v>
      </c>
      <c r="H3111" t="s">
        <v>4470</v>
      </c>
      <c r="I3111">
        <v>1000</v>
      </c>
      <c r="J3111">
        <v>1181.77001953125</v>
      </c>
      <c r="L3111">
        <v>251.79</v>
      </c>
      <c r="M3111">
        <v>929.98</v>
      </c>
    </row>
    <row r="3112" spans="1:45" x14ac:dyDescent="0.3">
      <c r="A3112">
        <v>214</v>
      </c>
      <c r="B3112" t="s">
        <v>774</v>
      </c>
      <c r="C3112" t="s">
        <v>251</v>
      </c>
      <c r="D3112" t="s">
        <v>73</v>
      </c>
      <c r="E3112" t="s">
        <v>56</v>
      </c>
      <c r="F3112" s="30">
        <v>45900</v>
      </c>
      <c r="G3112" t="s">
        <v>819</v>
      </c>
      <c r="H3112" t="s">
        <v>4477</v>
      </c>
      <c r="I3112">
        <v>7500</v>
      </c>
      <c r="J3112">
        <v>18.670000076293949</v>
      </c>
      <c r="L3112">
        <v>10.6</v>
      </c>
      <c r="M3112">
        <v>8.07</v>
      </c>
    </row>
    <row r="3113" spans="1:45" x14ac:dyDescent="0.3">
      <c r="A3113">
        <v>214</v>
      </c>
      <c r="B3113" t="s">
        <v>774</v>
      </c>
      <c r="C3113" t="s">
        <v>251</v>
      </c>
      <c r="D3113" t="s">
        <v>73</v>
      </c>
      <c r="E3113" t="s">
        <v>56</v>
      </c>
      <c r="F3113" s="30">
        <v>45900</v>
      </c>
      <c r="G3113" t="s">
        <v>819</v>
      </c>
      <c r="H3113" t="s">
        <v>4476</v>
      </c>
      <c r="I3113">
        <v>1</v>
      </c>
      <c r="J3113">
        <v>167.6499938964844</v>
      </c>
      <c r="L3113">
        <v>23.52</v>
      </c>
      <c r="M3113">
        <v>144.13</v>
      </c>
    </row>
    <row r="3114" spans="1:45" x14ac:dyDescent="0.3">
      <c r="A3114">
        <v>214</v>
      </c>
      <c r="B3114" t="s">
        <v>774</v>
      </c>
      <c r="C3114" t="s">
        <v>251</v>
      </c>
      <c r="D3114" t="s">
        <v>73</v>
      </c>
      <c r="E3114" t="s">
        <v>56</v>
      </c>
      <c r="F3114" s="30">
        <v>45900</v>
      </c>
      <c r="G3114" t="s">
        <v>819</v>
      </c>
      <c r="H3114" t="s">
        <v>4478</v>
      </c>
      <c r="I3114">
        <v>1</v>
      </c>
      <c r="J3114">
        <v>25.29999923706055</v>
      </c>
      <c r="L3114">
        <v>4.88</v>
      </c>
      <c r="M3114">
        <v>20.420000000000002</v>
      </c>
    </row>
    <row r="3115" spans="1:45" x14ac:dyDescent="0.3">
      <c r="A3115">
        <v>214</v>
      </c>
      <c r="B3115" t="s">
        <v>774</v>
      </c>
      <c r="C3115" t="s">
        <v>251</v>
      </c>
      <c r="D3115" t="s">
        <v>73</v>
      </c>
      <c r="E3115" t="s">
        <v>56</v>
      </c>
      <c r="F3115" s="30">
        <v>45900</v>
      </c>
      <c r="G3115" t="s">
        <v>819</v>
      </c>
      <c r="H3115" t="s">
        <v>4469</v>
      </c>
      <c r="I3115">
        <v>1000</v>
      </c>
      <c r="J3115">
        <v>983.97998046875</v>
      </c>
      <c r="L3115">
        <v>63.08</v>
      </c>
      <c r="M3115">
        <v>920.9</v>
      </c>
    </row>
    <row r="3116" spans="1:45" x14ac:dyDescent="0.3">
      <c r="A3116">
        <v>217</v>
      </c>
      <c r="B3116" t="s">
        <v>840</v>
      </c>
      <c r="C3116" t="s">
        <v>251</v>
      </c>
      <c r="D3116" t="s">
        <v>73</v>
      </c>
      <c r="E3116" t="s">
        <v>22</v>
      </c>
      <c r="F3116" s="30">
        <v>45900</v>
      </c>
      <c r="G3116" t="s">
        <v>883</v>
      </c>
      <c r="H3116" t="s">
        <v>4468</v>
      </c>
      <c r="I3116">
        <v>20</v>
      </c>
      <c r="J3116">
        <v>38.310001373291023</v>
      </c>
      <c r="L3116">
        <v>139.21</v>
      </c>
      <c r="M3116">
        <v>2604.3000000000002</v>
      </c>
      <c r="AS3116">
        <v>1050.9100000000001</v>
      </c>
    </row>
    <row r="3117" spans="1:45" x14ac:dyDescent="0.3">
      <c r="A3117">
        <v>217</v>
      </c>
      <c r="B3117" t="s">
        <v>840</v>
      </c>
      <c r="C3117" t="s">
        <v>251</v>
      </c>
      <c r="D3117" t="s">
        <v>73</v>
      </c>
      <c r="E3117" t="s">
        <v>22</v>
      </c>
      <c r="F3117" s="30">
        <v>45900</v>
      </c>
      <c r="G3117" t="s">
        <v>883</v>
      </c>
      <c r="H3117" t="s">
        <v>4470</v>
      </c>
      <c r="I3117">
        <v>20</v>
      </c>
      <c r="J3117">
        <v>21.309999465942379</v>
      </c>
      <c r="L3117">
        <v>251.79</v>
      </c>
      <c r="M3117">
        <v>929.98</v>
      </c>
      <c r="AS3117">
        <v>251.79</v>
      </c>
    </row>
    <row r="3118" spans="1:45" x14ac:dyDescent="0.3">
      <c r="A3118">
        <v>217</v>
      </c>
      <c r="B3118" t="s">
        <v>840</v>
      </c>
      <c r="C3118" t="s">
        <v>251</v>
      </c>
      <c r="D3118" t="s">
        <v>73</v>
      </c>
      <c r="E3118" t="s">
        <v>22</v>
      </c>
      <c r="F3118" s="30">
        <v>45900</v>
      </c>
      <c r="G3118" t="s">
        <v>883</v>
      </c>
      <c r="H3118" t="s">
        <v>4477</v>
      </c>
      <c r="I3118">
        <v>20</v>
      </c>
      <c r="J3118">
        <v>56.779998779296882</v>
      </c>
      <c r="L3118">
        <v>10.6</v>
      </c>
      <c r="M3118">
        <v>8.07</v>
      </c>
      <c r="AS3118">
        <v>10.6</v>
      </c>
    </row>
    <row r="3119" spans="1:45" x14ac:dyDescent="0.3">
      <c r="A3119">
        <v>217</v>
      </c>
      <c r="B3119" t="s">
        <v>840</v>
      </c>
      <c r="C3119" t="s">
        <v>251</v>
      </c>
      <c r="D3119" t="s">
        <v>73</v>
      </c>
      <c r="E3119" t="s">
        <v>22</v>
      </c>
      <c r="F3119" s="30">
        <v>45900</v>
      </c>
      <c r="G3119" t="s">
        <v>883</v>
      </c>
      <c r="H3119" t="s">
        <v>4476</v>
      </c>
      <c r="I3119">
        <v>20</v>
      </c>
      <c r="J3119">
        <v>14.02999973297119</v>
      </c>
      <c r="L3119">
        <v>23.52</v>
      </c>
      <c r="M3119">
        <v>144.13</v>
      </c>
      <c r="AS3119">
        <v>23.52</v>
      </c>
    </row>
    <row r="3120" spans="1:45" x14ac:dyDescent="0.3">
      <c r="A3120">
        <v>217</v>
      </c>
      <c r="B3120" t="s">
        <v>840</v>
      </c>
      <c r="C3120" t="s">
        <v>251</v>
      </c>
      <c r="D3120" t="s">
        <v>73</v>
      </c>
      <c r="E3120" t="s">
        <v>22</v>
      </c>
      <c r="F3120" s="30">
        <v>45900</v>
      </c>
      <c r="G3120" t="s">
        <v>883</v>
      </c>
      <c r="H3120" t="s">
        <v>4478</v>
      </c>
      <c r="I3120">
        <v>20</v>
      </c>
      <c r="J3120">
        <v>19.29000091552734</v>
      </c>
      <c r="L3120">
        <v>4.88</v>
      </c>
      <c r="M3120">
        <v>20.420000000000002</v>
      </c>
      <c r="AS3120">
        <v>4.88</v>
      </c>
    </row>
    <row r="3121" spans="1:47" x14ac:dyDescent="0.3">
      <c r="A3121">
        <v>217</v>
      </c>
      <c r="B3121" t="s">
        <v>840</v>
      </c>
      <c r="C3121" t="s">
        <v>251</v>
      </c>
      <c r="D3121" t="s">
        <v>73</v>
      </c>
      <c r="E3121" t="s">
        <v>22</v>
      </c>
      <c r="F3121" s="30">
        <v>45900</v>
      </c>
      <c r="G3121" t="s">
        <v>883</v>
      </c>
      <c r="H3121" t="s">
        <v>4469</v>
      </c>
      <c r="I3121">
        <v>20</v>
      </c>
      <c r="J3121">
        <v>6.4800000190734863</v>
      </c>
      <c r="L3121">
        <v>63.08</v>
      </c>
      <c r="M3121">
        <v>920.9</v>
      </c>
      <c r="AS3121">
        <v>63.8</v>
      </c>
    </row>
    <row r="3122" spans="1:47" x14ac:dyDescent="0.3">
      <c r="A3122">
        <v>218</v>
      </c>
      <c r="B3122" t="s">
        <v>888</v>
      </c>
      <c r="C3122" t="s">
        <v>251</v>
      </c>
      <c r="D3122" t="s">
        <v>73</v>
      </c>
      <c r="E3122" t="s">
        <v>56</v>
      </c>
      <c r="F3122" s="30">
        <v>45900</v>
      </c>
      <c r="G3122" t="s">
        <v>933</v>
      </c>
      <c r="H3122" t="s">
        <v>4468</v>
      </c>
      <c r="I3122">
        <v>76000</v>
      </c>
      <c r="J3122">
        <v>66504.6171875</v>
      </c>
      <c r="N3122">
        <v>66504.62</v>
      </c>
    </row>
    <row r="3123" spans="1:47" x14ac:dyDescent="0.3">
      <c r="A3123">
        <v>218</v>
      </c>
      <c r="B3123" t="s">
        <v>888</v>
      </c>
      <c r="C3123" t="s">
        <v>251</v>
      </c>
      <c r="D3123" t="s">
        <v>73</v>
      </c>
      <c r="E3123" t="s">
        <v>56</v>
      </c>
      <c r="F3123" s="30">
        <v>45900</v>
      </c>
      <c r="G3123" t="s">
        <v>933</v>
      </c>
      <c r="H3123" t="s">
        <v>4477</v>
      </c>
      <c r="I3123">
        <v>5000</v>
      </c>
      <c r="J3123">
        <v>3900</v>
      </c>
      <c r="N3123">
        <v>3900</v>
      </c>
    </row>
    <row r="3124" spans="1:47" x14ac:dyDescent="0.3">
      <c r="A3124">
        <v>218</v>
      </c>
      <c r="B3124" t="s">
        <v>888</v>
      </c>
      <c r="C3124" t="s">
        <v>251</v>
      </c>
      <c r="D3124" t="s">
        <v>73</v>
      </c>
      <c r="E3124" t="s">
        <v>56</v>
      </c>
      <c r="F3124" s="30">
        <v>45900</v>
      </c>
      <c r="G3124" t="s">
        <v>933</v>
      </c>
      <c r="H3124" t="s">
        <v>4469</v>
      </c>
      <c r="I3124">
        <v>24000</v>
      </c>
      <c r="J3124">
        <v>20638</v>
      </c>
      <c r="N3124">
        <v>20638</v>
      </c>
    </row>
    <row r="3125" spans="1:47" x14ac:dyDescent="0.3">
      <c r="A3125">
        <v>218</v>
      </c>
      <c r="B3125" t="s">
        <v>888</v>
      </c>
      <c r="C3125" t="s">
        <v>251</v>
      </c>
      <c r="D3125" t="s">
        <v>73</v>
      </c>
      <c r="E3125" t="s">
        <v>56</v>
      </c>
      <c r="F3125" s="30">
        <v>45900</v>
      </c>
      <c r="G3125" t="s">
        <v>933</v>
      </c>
      <c r="H3125" t="s">
        <v>4476</v>
      </c>
      <c r="I3125">
        <v>5000</v>
      </c>
      <c r="J3125">
        <v>6874</v>
      </c>
      <c r="N3125">
        <v>6874</v>
      </c>
    </row>
    <row r="3126" spans="1:47" x14ac:dyDescent="0.3">
      <c r="A3126">
        <v>218</v>
      </c>
      <c r="B3126" t="s">
        <v>888</v>
      </c>
      <c r="C3126" t="s">
        <v>251</v>
      </c>
      <c r="D3126" t="s">
        <v>73</v>
      </c>
      <c r="E3126" t="s">
        <v>56</v>
      </c>
      <c r="F3126" s="30">
        <v>45900</v>
      </c>
      <c r="G3126" t="s">
        <v>933</v>
      </c>
      <c r="H3126" t="s">
        <v>4478</v>
      </c>
      <c r="I3126">
        <v>2000</v>
      </c>
      <c r="J3126">
        <v>2522</v>
      </c>
      <c r="N3126">
        <v>2522</v>
      </c>
    </row>
    <row r="3127" spans="1:47" x14ac:dyDescent="0.3">
      <c r="A3127">
        <v>218</v>
      </c>
      <c r="B3127" t="s">
        <v>888</v>
      </c>
      <c r="C3127" t="s">
        <v>251</v>
      </c>
      <c r="D3127" t="s">
        <v>73</v>
      </c>
      <c r="E3127" t="s">
        <v>56</v>
      </c>
      <c r="F3127" s="30">
        <v>45900</v>
      </c>
      <c r="G3127" t="s">
        <v>933</v>
      </c>
      <c r="H3127" t="s">
        <v>4470</v>
      </c>
      <c r="I3127">
        <v>76000</v>
      </c>
      <c r="J3127">
        <v>42180</v>
      </c>
      <c r="N3127">
        <v>42180</v>
      </c>
    </row>
    <row r="3128" spans="1:47" x14ac:dyDescent="0.3">
      <c r="A3128">
        <v>225</v>
      </c>
      <c r="B3128" t="s">
        <v>976</v>
      </c>
      <c r="C3128" t="s">
        <v>251</v>
      </c>
      <c r="D3128" t="s">
        <v>73</v>
      </c>
      <c r="E3128" t="s">
        <v>22</v>
      </c>
      <c r="F3128" s="30">
        <v>45900</v>
      </c>
      <c r="G3128" t="s">
        <v>1020</v>
      </c>
      <c r="H3128" t="s">
        <v>4468</v>
      </c>
      <c r="I3128">
        <v>1</v>
      </c>
      <c r="J3128">
        <v>5</v>
      </c>
      <c r="AT3128">
        <v>5</v>
      </c>
    </row>
    <row r="3129" spans="1:47" x14ac:dyDescent="0.3">
      <c r="A3129">
        <v>225</v>
      </c>
      <c r="B3129" t="s">
        <v>976</v>
      </c>
      <c r="C3129" t="s">
        <v>251</v>
      </c>
      <c r="D3129" t="s">
        <v>73</v>
      </c>
      <c r="E3129" t="s">
        <v>22</v>
      </c>
      <c r="F3129" s="30">
        <v>45900</v>
      </c>
      <c r="G3129" t="s">
        <v>1020</v>
      </c>
      <c r="H3129" t="s">
        <v>4470</v>
      </c>
      <c r="I3129">
        <v>1</v>
      </c>
      <c r="J3129">
        <v>0</v>
      </c>
      <c r="AT3129">
        <v>0</v>
      </c>
    </row>
    <row r="3130" spans="1:47" x14ac:dyDescent="0.3">
      <c r="A3130">
        <v>225</v>
      </c>
      <c r="B3130" t="s">
        <v>976</v>
      </c>
      <c r="C3130" t="s">
        <v>251</v>
      </c>
      <c r="D3130" t="s">
        <v>73</v>
      </c>
      <c r="E3130" t="s">
        <v>22</v>
      </c>
      <c r="F3130" s="30">
        <v>45900</v>
      </c>
      <c r="G3130" t="s">
        <v>1020</v>
      </c>
      <c r="H3130" t="s">
        <v>4477</v>
      </c>
      <c r="I3130">
        <v>1</v>
      </c>
      <c r="J3130">
        <v>0</v>
      </c>
      <c r="AT3130">
        <v>0</v>
      </c>
    </row>
    <row r="3131" spans="1:47" x14ac:dyDescent="0.3">
      <c r="A3131">
        <v>225</v>
      </c>
      <c r="B3131" t="s">
        <v>976</v>
      </c>
      <c r="C3131" t="s">
        <v>251</v>
      </c>
      <c r="D3131" t="s">
        <v>73</v>
      </c>
      <c r="E3131" t="s">
        <v>22</v>
      </c>
      <c r="F3131" s="30">
        <v>45900</v>
      </c>
      <c r="G3131" t="s">
        <v>1020</v>
      </c>
      <c r="H3131" t="s">
        <v>4469</v>
      </c>
      <c r="I3131">
        <v>1</v>
      </c>
      <c r="J3131">
        <v>10</v>
      </c>
      <c r="AT3131">
        <v>10</v>
      </c>
    </row>
    <row r="3132" spans="1:47" x14ac:dyDescent="0.3">
      <c r="A3132">
        <v>225</v>
      </c>
      <c r="B3132" t="s">
        <v>976</v>
      </c>
      <c r="C3132" t="s">
        <v>251</v>
      </c>
      <c r="D3132" t="s">
        <v>73</v>
      </c>
      <c r="E3132" t="s">
        <v>22</v>
      </c>
      <c r="F3132" s="30">
        <v>45900</v>
      </c>
      <c r="G3132" t="s">
        <v>1020</v>
      </c>
      <c r="H3132" t="s">
        <v>4476</v>
      </c>
      <c r="I3132">
        <v>1</v>
      </c>
      <c r="J3132">
        <v>1</v>
      </c>
      <c r="AT3132">
        <v>1</v>
      </c>
    </row>
    <row r="3133" spans="1:47" x14ac:dyDescent="0.3">
      <c r="A3133">
        <v>225</v>
      </c>
      <c r="B3133" t="s">
        <v>976</v>
      </c>
      <c r="C3133" t="s">
        <v>251</v>
      </c>
      <c r="D3133" t="s">
        <v>73</v>
      </c>
      <c r="E3133" t="s">
        <v>22</v>
      </c>
      <c r="F3133" s="30">
        <v>45900</v>
      </c>
      <c r="G3133" t="s">
        <v>1020</v>
      </c>
      <c r="H3133" t="s">
        <v>4478</v>
      </c>
      <c r="I3133">
        <v>1</v>
      </c>
      <c r="J3133">
        <v>1</v>
      </c>
      <c r="AT3133">
        <v>1</v>
      </c>
    </row>
    <row r="3134" spans="1:47" x14ac:dyDescent="0.3">
      <c r="A3134">
        <v>239</v>
      </c>
      <c r="B3134" t="s">
        <v>1095</v>
      </c>
      <c r="C3134" t="s">
        <v>1096</v>
      </c>
      <c r="D3134" t="s">
        <v>73</v>
      </c>
      <c r="E3134" t="s">
        <v>22</v>
      </c>
      <c r="F3134" s="30">
        <v>45900</v>
      </c>
      <c r="G3134" t="s">
        <v>1139</v>
      </c>
      <c r="H3134" t="s">
        <v>4479</v>
      </c>
      <c r="J3134">
        <v>1</v>
      </c>
      <c r="AU3134">
        <v>1</v>
      </c>
    </row>
    <row r="3135" spans="1:47" x14ac:dyDescent="0.3">
      <c r="A3135">
        <v>239</v>
      </c>
      <c r="B3135" t="s">
        <v>1095</v>
      </c>
      <c r="C3135" t="s">
        <v>1096</v>
      </c>
      <c r="D3135" t="s">
        <v>73</v>
      </c>
      <c r="E3135" t="s">
        <v>22</v>
      </c>
      <c r="F3135" s="30">
        <v>45900</v>
      </c>
      <c r="G3135" t="s">
        <v>1139</v>
      </c>
      <c r="H3135" t="s">
        <v>3622</v>
      </c>
      <c r="J3135">
        <v>14</v>
      </c>
      <c r="AU3135">
        <v>14</v>
      </c>
    </row>
    <row r="3136" spans="1:47" x14ac:dyDescent="0.3">
      <c r="A3136">
        <v>239</v>
      </c>
      <c r="B3136" t="s">
        <v>1095</v>
      </c>
      <c r="C3136" t="s">
        <v>1096</v>
      </c>
      <c r="D3136" t="s">
        <v>73</v>
      </c>
      <c r="E3136" t="s">
        <v>22</v>
      </c>
      <c r="F3136" s="30">
        <v>45900</v>
      </c>
      <c r="G3136" t="s">
        <v>1139</v>
      </c>
      <c r="H3136" t="s">
        <v>4481</v>
      </c>
      <c r="J3136">
        <v>23</v>
      </c>
      <c r="AU3136">
        <v>23</v>
      </c>
    </row>
    <row r="3137" spans="1:136" x14ac:dyDescent="0.3">
      <c r="A3137">
        <v>239</v>
      </c>
      <c r="B3137" t="s">
        <v>1095</v>
      </c>
      <c r="C3137" t="s">
        <v>1096</v>
      </c>
      <c r="D3137" t="s">
        <v>73</v>
      </c>
      <c r="E3137" t="s">
        <v>22</v>
      </c>
      <c r="F3137" s="30">
        <v>45900</v>
      </c>
      <c r="G3137" t="s">
        <v>1139</v>
      </c>
      <c r="H3137" t="s">
        <v>4651</v>
      </c>
      <c r="J3137">
        <v>3</v>
      </c>
      <c r="AU3137">
        <v>3</v>
      </c>
    </row>
    <row r="3138" spans="1:136" x14ac:dyDescent="0.3">
      <c r="A3138">
        <v>239</v>
      </c>
      <c r="B3138" t="s">
        <v>1095</v>
      </c>
      <c r="C3138" t="s">
        <v>1096</v>
      </c>
      <c r="D3138" t="s">
        <v>73</v>
      </c>
      <c r="E3138" t="s">
        <v>22</v>
      </c>
      <c r="F3138" s="30">
        <v>45900</v>
      </c>
      <c r="G3138" t="s">
        <v>1139</v>
      </c>
      <c r="H3138" t="s">
        <v>4480</v>
      </c>
      <c r="AU3138">
        <v>0</v>
      </c>
    </row>
    <row r="3139" spans="1:136" x14ac:dyDescent="0.3">
      <c r="A3139">
        <v>434</v>
      </c>
      <c r="B3139" t="s">
        <v>2267</v>
      </c>
      <c r="C3139" t="s">
        <v>251</v>
      </c>
      <c r="D3139" t="s">
        <v>73</v>
      </c>
      <c r="E3139" t="s">
        <v>56</v>
      </c>
      <c r="F3139" s="30">
        <v>45900</v>
      </c>
      <c r="G3139" t="s">
        <v>2299</v>
      </c>
      <c r="H3139" t="s">
        <v>4468</v>
      </c>
      <c r="I3139">
        <v>100</v>
      </c>
      <c r="J3139">
        <v>63.909999847412109</v>
      </c>
      <c r="AV3139">
        <v>63.91</v>
      </c>
    </row>
    <row r="3140" spans="1:136" x14ac:dyDescent="0.3">
      <c r="A3140">
        <v>434</v>
      </c>
      <c r="B3140" t="s">
        <v>2267</v>
      </c>
      <c r="C3140" t="s">
        <v>251</v>
      </c>
      <c r="D3140" t="s">
        <v>73</v>
      </c>
      <c r="E3140" t="s">
        <v>56</v>
      </c>
      <c r="F3140" s="30">
        <v>45900</v>
      </c>
      <c r="G3140" t="s">
        <v>2299</v>
      </c>
      <c r="H3140" t="s">
        <v>4477</v>
      </c>
      <c r="I3140">
        <v>200</v>
      </c>
      <c r="J3140">
        <v>0</v>
      </c>
      <c r="AV3140">
        <v>0</v>
      </c>
    </row>
    <row r="3141" spans="1:136" x14ac:dyDescent="0.3">
      <c r="A3141">
        <v>434</v>
      </c>
      <c r="B3141" t="s">
        <v>2267</v>
      </c>
      <c r="C3141" t="s">
        <v>251</v>
      </c>
      <c r="D3141" t="s">
        <v>73</v>
      </c>
      <c r="E3141" t="s">
        <v>56</v>
      </c>
      <c r="F3141" s="30">
        <v>45900</v>
      </c>
      <c r="G3141" t="s">
        <v>2299</v>
      </c>
      <c r="H3141" t="s">
        <v>4469</v>
      </c>
      <c r="I3141">
        <v>25</v>
      </c>
      <c r="J3141">
        <v>19</v>
      </c>
      <c r="AV3141">
        <v>19</v>
      </c>
    </row>
    <row r="3142" spans="1:136" x14ac:dyDescent="0.3">
      <c r="A3142">
        <v>434</v>
      </c>
      <c r="B3142" t="s">
        <v>2267</v>
      </c>
      <c r="C3142" t="s">
        <v>251</v>
      </c>
      <c r="D3142" t="s">
        <v>73</v>
      </c>
      <c r="E3142" t="s">
        <v>56</v>
      </c>
      <c r="F3142" s="30">
        <v>45900</v>
      </c>
      <c r="G3142" t="s">
        <v>2299</v>
      </c>
      <c r="H3142" t="s">
        <v>4476</v>
      </c>
      <c r="I3142">
        <v>10</v>
      </c>
      <c r="J3142">
        <v>0.5</v>
      </c>
      <c r="AV3142">
        <v>0.5</v>
      </c>
    </row>
    <row r="3143" spans="1:136" x14ac:dyDescent="0.3">
      <c r="A3143">
        <v>434</v>
      </c>
      <c r="B3143" t="s">
        <v>2267</v>
      </c>
      <c r="C3143" t="s">
        <v>251</v>
      </c>
      <c r="D3143" t="s">
        <v>73</v>
      </c>
      <c r="E3143" t="s">
        <v>56</v>
      </c>
      <c r="F3143" s="30">
        <v>45900</v>
      </c>
      <c r="G3143" t="s">
        <v>2299</v>
      </c>
      <c r="H3143" t="s">
        <v>4478</v>
      </c>
      <c r="I3143">
        <v>200</v>
      </c>
      <c r="J3143">
        <v>0</v>
      </c>
      <c r="AV3143">
        <v>0</v>
      </c>
    </row>
    <row r="3144" spans="1:136" x14ac:dyDescent="0.3">
      <c r="A3144">
        <v>434</v>
      </c>
      <c r="B3144" t="s">
        <v>2267</v>
      </c>
      <c r="C3144" t="s">
        <v>251</v>
      </c>
      <c r="D3144" t="s">
        <v>73</v>
      </c>
      <c r="E3144" t="s">
        <v>56</v>
      </c>
      <c r="F3144" s="30">
        <v>45900</v>
      </c>
      <c r="G3144" t="s">
        <v>2299</v>
      </c>
      <c r="H3144" t="s">
        <v>4470</v>
      </c>
      <c r="I3144">
        <v>25</v>
      </c>
      <c r="J3144">
        <v>1.3400000333786011</v>
      </c>
      <c r="AV3144">
        <v>1.34</v>
      </c>
    </row>
    <row r="3145" spans="1:136" x14ac:dyDescent="0.3">
      <c r="A3145">
        <v>436</v>
      </c>
      <c r="B3145" t="s">
        <v>2311</v>
      </c>
      <c r="C3145" t="s">
        <v>258</v>
      </c>
      <c r="D3145" t="s">
        <v>73</v>
      </c>
      <c r="E3145" t="s">
        <v>56</v>
      </c>
      <c r="F3145" s="30">
        <v>45900</v>
      </c>
      <c r="G3145" t="s">
        <v>2343</v>
      </c>
      <c r="H3145" t="s">
        <v>4579</v>
      </c>
      <c r="I3145">
        <v>7</v>
      </c>
      <c r="J3145">
        <v>5.9499998092651367</v>
      </c>
      <c r="CP3145">
        <v>5.95</v>
      </c>
    </row>
    <row r="3146" spans="1:136" x14ac:dyDescent="0.3">
      <c r="A3146">
        <v>436</v>
      </c>
      <c r="B3146" t="s">
        <v>2311</v>
      </c>
      <c r="C3146" t="s">
        <v>258</v>
      </c>
      <c r="D3146" t="s">
        <v>73</v>
      </c>
      <c r="E3146" t="s">
        <v>56</v>
      </c>
      <c r="F3146" s="30">
        <v>45900</v>
      </c>
      <c r="G3146" t="s">
        <v>2343</v>
      </c>
      <c r="H3146" t="s">
        <v>4580</v>
      </c>
      <c r="I3146">
        <v>7</v>
      </c>
      <c r="J3146">
        <v>8.2200002670288086</v>
      </c>
      <c r="CP3146">
        <v>8.2200000000000006</v>
      </c>
    </row>
    <row r="3147" spans="1:136" x14ac:dyDescent="0.3">
      <c r="A3147">
        <v>485</v>
      </c>
      <c r="B3147" t="s">
        <v>2525</v>
      </c>
      <c r="C3147" t="s">
        <v>258</v>
      </c>
      <c r="D3147" t="s">
        <v>73</v>
      </c>
      <c r="E3147" t="s">
        <v>22</v>
      </c>
      <c r="F3147" s="30">
        <v>45900</v>
      </c>
      <c r="G3147" t="s">
        <v>2544</v>
      </c>
      <c r="H3147" t="s">
        <v>4637</v>
      </c>
      <c r="I3147">
        <v>80</v>
      </c>
      <c r="J3147">
        <v>100</v>
      </c>
      <c r="EC3147">
        <v>1</v>
      </c>
      <c r="ED3147">
        <v>1</v>
      </c>
    </row>
    <row r="3148" spans="1:136" x14ac:dyDescent="0.3">
      <c r="A3148">
        <v>485</v>
      </c>
      <c r="B3148" t="s">
        <v>2525</v>
      </c>
      <c r="C3148" t="s">
        <v>258</v>
      </c>
      <c r="D3148" t="s">
        <v>73</v>
      </c>
      <c r="E3148" t="s">
        <v>22</v>
      </c>
      <c r="F3148" s="30">
        <v>45900</v>
      </c>
      <c r="G3148" t="s">
        <v>2544</v>
      </c>
      <c r="H3148" t="s">
        <v>4638</v>
      </c>
      <c r="I3148">
        <v>80</v>
      </c>
      <c r="J3148">
        <v>0</v>
      </c>
      <c r="EC3148">
        <v>0</v>
      </c>
      <c r="ED3148">
        <v>2</v>
      </c>
    </row>
    <row r="3149" spans="1:136" x14ac:dyDescent="0.3">
      <c r="A3149">
        <v>485</v>
      </c>
      <c r="B3149" t="s">
        <v>2525</v>
      </c>
      <c r="C3149" t="s">
        <v>258</v>
      </c>
      <c r="D3149" t="s">
        <v>73</v>
      </c>
      <c r="E3149" t="s">
        <v>22</v>
      </c>
      <c r="F3149" s="30">
        <v>45900</v>
      </c>
      <c r="G3149" t="s">
        <v>2544</v>
      </c>
      <c r="H3149" t="s">
        <v>4639</v>
      </c>
      <c r="I3149">
        <v>80</v>
      </c>
      <c r="J3149">
        <v>0</v>
      </c>
      <c r="EC3149">
        <v>0</v>
      </c>
      <c r="ED3149">
        <v>0</v>
      </c>
    </row>
    <row r="3150" spans="1:136" x14ac:dyDescent="0.3">
      <c r="A3150">
        <v>485</v>
      </c>
      <c r="B3150" t="s">
        <v>2525</v>
      </c>
      <c r="C3150" t="s">
        <v>258</v>
      </c>
      <c r="D3150" t="s">
        <v>73</v>
      </c>
      <c r="E3150" t="s">
        <v>22</v>
      </c>
      <c r="F3150" s="30">
        <v>45900</v>
      </c>
      <c r="G3150" t="s">
        <v>2544</v>
      </c>
      <c r="H3150" t="s">
        <v>4576</v>
      </c>
      <c r="I3150">
        <v>80</v>
      </c>
      <c r="J3150">
        <v>0</v>
      </c>
      <c r="EC3150">
        <v>0</v>
      </c>
      <c r="ED3150">
        <v>0</v>
      </c>
    </row>
    <row r="3151" spans="1:136" x14ac:dyDescent="0.3">
      <c r="A3151">
        <v>485</v>
      </c>
      <c r="B3151" t="s">
        <v>2525</v>
      </c>
      <c r="C3151" t="s">
        <v>258</v>
      </c>
      <c r="D3151" t="s">
        <v>73</v>
      </c>
      <c r="E3151" t="s">
        <v>22</v>
      </c>
      <c r="F3151" s="30">
        <v>45900</v>
      </c>
      <c r="G3151" t="s">
        <v>2544</v>
      </c>
      <c r="H3151" t="s">
        <v>4641</v>
      </c>
      <c r="I3151">
        <v>80</v>
      </c>
      <c r="J3151">
        <v>100</v>
      </c>
      <c r="EC3151">
        <v>1</v>
      </c>
      <c r="ED3151">
        <v>1</v>
      </c>
    </row>
    <row r="3152" spans="1:136" x14ac:dyDescent="0.3">
      <c r="A3152">
        <v>488</v>
      </c>
      <c r="B3152" t="s">
        <v>2555</v>
      </c>
      <c r="C3152" t="s">
        <v>258</v>
      </c>
      <c r="D3152" t="s">
        <v>73</v>
      </c>
      <c r="E3152" t="s">
        <v>22</v>
      </c>
      <c r="F3152" s="30">
        <v>45900</v>
      </c>
      <c r="G3152" t="s">
        <v>2575</v>
      </c>
      <c r="H3152" t="s">
        <v>4637</v>
      </c>
      <c r="I3152">
        <v>85</v>
      </c>
      <c r="J3152">
        <v>92.860000610351563</v>
      </c>
      <c r="EE3152">
        <v>13</v>
      </c>
      <c r="EF3152">
        <v>14</v>
      </c>
    </row>
    <row r="3153" spans="1:141" x14ac:dyDescent="0.3">
      <c r="A3153">
        <v>488</v>
      </c>
      <c r="B3153" t="s">
        <v>2555</v>
      </c>
      <c r="C3153" t="s">
        <v>258</v>
      </c>
      <c r="D3153" t="s">
        <v>73</v>
      </c>
      <c r="E3153" t="s">
        <v>22</v>
      </c>
      <c r="F3153" s="30">
        <v>45900</v>
      </c>
      <c r="G3153" t="s">
        <v>2575</v>
      </c>
      <c r="H3153" t="s">
        <v>4638</v>
      </c>
      <c r="I3153">
        <v>85</v>
      </c>
      <c r="J3153">
        <v>100</v>
      </c>
      <c r="EE3153">
        <v>2</v>
      </c>
      <c r="EF3153">
        <v>2</v>
      </c>
    </row>
    <row r="3154" spans="1:141" x14ac:dyDescent="0.3">
      <c r="A3154">
        <v>488</v>
      </c>
      <c r="B3154" t="s">
        <v>2555</v>
      </c>
      <c r="C3154" t="s">
        <v>258</v>
      </c>
      <c r="D3154" t="s">
        <v>73</v>
      </c>
      <c r="E3154" t="s">
        <v>22</v>
      </c>
      <c r="F3154" s="30">
        <v>45900</v>
      </c>
      <c r="G3154" t="s">
        <v>2575</v>
      </c>
      <c r="H3154" t="s">
        <v>4639</v>
      </c>
      <c r="I3154">
        <v>85</v>
      </c>
      <c r="J3154">
        <v>100</v>
      </c>
      <c r="EE3154">
        <v>5</v>
      </c>
      <c r="EF3154">
        <v>5</v>
      </c>
    </row>
    <row r="3155" spans="1:141" x14ac:dyDescent="0.3">
      <c r="A3155">
        <v>488</v>
      </c>
      <c r="B3155" t="s">
        <v>2555</v>
      </c>
      <c r="C3155" t="s">
        <v>258</v>
      </c>
      <c r="D3155" t="s">
        <v>73</v>
      </c>
      <c r="E3155" t="s">
        <v>22</v>
      </c>
      <c r="F3155" s="30">
        <v>45900</v>
      </c>
      <c r="G3155" t="s">
        <v>2575</v>
      </c>
      <c r="H3155" t="s">
        <v>4576</v>
      </c>
      <c r="I3155">
        <v>85</v>
      </c>
      <c r="J3155">
        <v>77.550003051757813</v>
      </c>
      <c r="EE3155">
        <v>38</v>
      </c>
      <c r="EF3155">
        <v>49</v>
      </c>
    </row>
    <row r="3156" spans="1:141" x14ac:dyDescent="0.3">
      <c r="A3156">
        <v>488</v>
      </c>
      <c r="B3156" t="s">
        <v>2555</v>
      </c>
      <c r="C3156" t="s">
        <v>258</v>
      </c>
      <c r="D3156" t="s">
        <v>73</v>
      </c>
      <c r="E3156" t="s">
        <v>22</v>
      </c>
      <c r="F3156" s="30">
        <v>45900</v>
      </c>
      <c r="G3156" t="s">
        <v>2575</v>
      </c>
      <c r="H3156" t="s">
        <v>154</v>
      </c>
      <c r="I3156">
        <v>85</v>
      </c>
      <c r="J3156">
        <v>0</v>
      </c>
      <c r="EE3156">
        <v>0</v>
      </c>
      <c r="EF3156">
        <v>0</v>
      </c>
    </row>
    <row r="3157" spans="1:141" x14ac:dyDescent="0.3">
      <c r="A3157">
        <v>488</v>
      </c>
      <c r="B3157" t="s">
        <v>2555</v>
      </c>
      <c r="C3157" t="s">
        <v>258</v>
      </c>
      <c r="D3157" t="s">
        <v>73</v>
      </c>
      <c r="E3157" t="s">
        <v>22</v>
      </c>
      <c r="F3157" s="30">
        <v>45900</v>
      </c>
      <c r="G3157" t="s">
        <v>2575</v>
      </c>
      <c r="H3157" t="s">
        <v>4640</v>
      </c>
      <c r="I3157">
        <v>85</v>
      </c>
      <c r="J3157">
        <v>0</v>
      </c>
      <c r="EE3157">
        <v>0</v>
      </c>
      <c r="EF3157">
        <v>0</v>
      </c>
    </row>
    <row r="3158" spans="1:141" x14ac:dyDescent="0.3">
      <c r="A3158">
        <v>488</v>
      </c>
      <c r="B3158" t="s">
        <v>2555</v>
      </c>
      <c r="C3158" t="s">
        <v>258</v>
      </c>
      <c r="D3158" t="s">
        <v>73</v>
      </c>
      <c r="E3158" t="s">
        <v>22</v>
      </c>
      <c r="F3158" s="30">
        <v>45900</v>
      </c>
      <c r="G3158" t="s">
        <v>2575</v>
      </c>
      <c r="H3158" t="s">
        <v>4641</v>
      </c>
      <c r="I3158">
        <v>85</v>
      </c>
      <c r="J3158">
        <v>66.669998168945313</v>
      </c>
      <c r="EE3158">
        <v>6</v>
      </c>
      <c r="EF3158">
        <v>9</v>
      </c>
    </row>
    <row r="3159" spans="1:141" x14ac:dyDescent="0.3">
      <c r="A3159">
        <v>488</v>
      </c>
      <c r="B3159" t="s">
        <v>2555</v>
      </c>
      <c r="C3159" t="s">
        <v>258</v>
      </c>
      <c r="D3159" t="s">
        <v>73</v>
      </c>
      <c r="E3159" t="s">
        <v>22</v>
      </c>
      <c r="F3159" s="30">
        <v>45900</v>
      </c>
      <c r="G3159" t="s">
        <v>2575</v>
      </c>
      <c r="H3159" t="s">
        <v>4538</v>
      </c>
      <c r="I3159">
        <v>85</v>
      </c>
      <c r="J3159">
        <v>0</v>
      </c>
      <c r="EE3159">
        <v>0</v>
      </c>
      <c r="EF3159">
        <v>0</v>
      </c>
    </row>
    <row r="3160" spans="1:141" x14ac:dyDescent="0.3">
      <c r="A3160">
        <v>488</v>
      </c>
      <c r="B3160" t="s">
        <v>2555</v>
      </c>
      <c r="C3160" t="s">
        <v>258</v>
      </c>
      <c r="D3160" t="s">
        <v>73</v>
      </c>
      <c r="E3160" t="s">
        <v>22</v>
      </c>
      <c r="F3160" s="30">
        <v>45900</v>
      </c>
      <c r="G3160" t="s">
        <v>2575</v>
      </c>
      <c r="H3160" t="s">
        <v>4642</v>
      </c>
      <c r="I3160">
        <v>85</v>
      </c>
      <c r="J3160">
        <v>0</v>
      </c>
      <c r="EE3160">
        <v>0</v>
      </c>
      <c r="EF3160">
        <v>0</v>
      </c>
    </row>
    <row r="3161" spans="1:141" x14ac:dyDescent="0.3">
      <c r="A3161">
        <v>509</v>
      </c>
      <c r="B3161" t="s">
        <v>2622</v>
      </c>
      <c r="C3161" t="s">
        <v>1096</v>
      </c>
      <c r="D3161" t="s">
        <v>73</v>
      </c>
      <c r="E3161" t="s">
        <v>22</v>
      </c>
      <c r="F3161" s="30">
        <v>45900</v>
      </c>
      <c r="G3161" t="s">
        <v>2630</v>
      </c>
      <c r="H3161" t="s">
        <v>3449</v>
      </c>
      <c r="I3161">
        <v>90</v>
      </c>
      <c r="J3161">
        <v>98.510002136230469</v>
      </c>
      <c r="EJ3161">
        <v>67</v>
      </c>
      <c r="EK3161">
        <v>66</v>
      </c>
    </row>
    <row r="3162" spans="1:141" x14ac:dyDescent="0.3">
      <c r="A3162">
        <v>509</v>
      </c>
      <c r="B3162" t="s">
        <v>2622</v>
      </c>
      <c r="C3162" t="s">
        <v>1096</v>
      </c>
      <c r="D3162" t="s">
        <v>73</v>
      </c>
      <c r="E3162" t="s">
        <v>22</v>
      </c>
      <c r="F3162" s="30">
        <v>45900</v>
      </c>
      <c r="G3162" t="s">
        <v>2630</v>
      </c>
      <c r="H3162" t="s">
        <v>3457</v>
      </c>
      <c r="I3162">
        <v>90</v>
      </c>
      <c r="J3162">
        <v>91.360000610351563</v>
      </c>
      <c r="EJ3162">
        <v>81</v>
      </c>
      <c r="EK3162">
        <v>74</v>
      </c>
    </row>
    <row r="3163" spans="1:141" x14ac:dyDescent="0.3">
      <c r="A3163">
        <v>509</v>
      </c>
      <c r="B3163" t="s">
        <v>2622</v>
      </c>
      <c r="C3163" t="s">
        <v>1096</v>
      </c>
      <c r="D3163" t="s">
        <v>73</v>
      </c>
      <c r="E3163" t="s">
        <v>22</v>
      </c>
      <c r="F3163" s="30">
        <v>45900</v>
      </c>
      <c r="G3163" t="s">
        <v>2630</v>
      </c>
      <c r="H3163" t="s">
        <v>3572</v>
      </c>
      <c r="I3163">
        <v>90</v>
      </c>
      <c r="J3163">
        <v>102.0800018310547</v>
      </c>
      <c r="EJ3163">
        <v>96</v>
      </c>
      <c r="EK3163">
        <v>98</v>
      </c>
    </row>
    <row r="3164" spans="1:141" x14ac:dyDescent="0.3">
      <c r="A3164">
        <v>509</v>
      </c>
      <c r="B3164" t="s">
        <v>2622</v>
      </c>
      <c r="C3164" t="s">
        <v>1096</v>
      </c>
      <c r="D3164" t="s">
        <v>73</v>
      </c>
      <c r="E3164" t="s">
        <v>22</v>
      </c>
      <c r="F3164" s="30">
        <v>45900</v>
      </c>
      <c r="G3164" t="s">
        <v>2630</v>
      </c>
      <c r="H3164" t="s">
        <v>3451</v>
      </c>
      <c r="I3164">
        <v>90</v>
      </c>
      <c r="J3164">
        <v>95.830001831054688</v>
      </c>
      <c r="EJ3164">
        <v>48</v>
      </c>
      <c r="EK3164">
        <v>46</v>
      </c>
    </row>
    <row r="3165" spans="1:141" x14ac:dyDescent="0.3">
      <c r="A3165">
        <v>509</v>
      </c>
      <c r="B3165" t="s">
        <v>2622</v>
      </c>
      <c r="C3165" t="s">
        <v>1096</v>
      </c>
      <c r="D3165" t="s">
        <v>73</v>
      </c>
      <c r="E3165" t="s">
        <v>22</v>
      </c>
      <c r="F3165" s="30">
        <v>45900</v>
      </c>
      <c r="G3165" t="s">
        <v>2630</v>
      </c>
      <c r="H3165" t="s">
        <v>3453</v>
      </c>
      <c r="I3165">
        <v>90</v>
      </c>
      <c r="J3165">
        <v>100</v>
      </c>
      <c r="EJ3165">
        <v>74</v>
      </c>
      <c r="EK3165">
        <v>74</v>
      </c>
    </row>
    <row r="3166" spans="1:141" x14ac:dyDescent="0.3">
      <c r="A3166">
        <v>509</v>
      </c>
      <c r="B3166" t="s">
        <v>2622</v>
      </c>
      <c r="C3166" t="s">
        <v>1096</v>
      </c>
      <c r="D3166" t="s">
        <v>73</v>
      </c>
      <c r="E3166" t="s">
        <v>22</v>
      </c>
      <c r="F3166" s="30">
        <v>45900</v>
      </c>
      <c r="G3166" t="s">
        <v>2630</v>
      </c>
      <c r="H3166" t="s">
        <v>3461</v>
      </c>
      <c r="I3166">
        <v>90</v>
      </c>
      <c r="J3166">
        <v>21.430000305175781</v>
      </c>
      <c r="EJ3166">
        <v>56</v>
      </c>
      <c r="EK3166">
        <v>12</v>
      </c>
    </row>
    <row r="3167" spans="1:141" x14ac:dyDescent="0.3">
      <c r="A3167">
        <v>509</v>
      </c>
      <c r="B3167" t="s">
        <v>2622</v>
      </c>
      <c r="C3167" t="s">
        <v>1096</v>
      </c>
      <c r="D3167" t="s">
        <v>73</v>
      </c>
      <c r="E3167" t="s">
        <v>22</v>
      </c>
      <c r="F3167" s="30">
        <v>45900</v>
      </c>
      <c r="G3167" t="s">
        <v>2630</v>
      </c>
      <c r="H3167" t="s">
        <v>3463</v>
      </c>
      <c r="I3167">
        <v>90</v>
      </c>
      <c r="J3167">
        <v>92.30999755859375</v>
      </c>
      <c r="EJ3167">
        <v>26</v>
      </c>
      <c r="EK3167">
        <v>24</v>
      </c>
    </row>
    <row r="3168" spans="1:141" x14ac:dyDescent="0.3">
      <c r="A3168">
        <v>509</v>
      </c>
      <c r="B3168" t="s">
        <v>2622</v>
      </c>
      <c r="C3168" t="s">
        <v>1096</v>
      </c>
      <c r="D3168" t="s">
        <v>73</v>
      </c>
      <c r="E3168" t="s">
        <v>22</v>
      </c>
      <c r="F3168" s="30">
        <v>45900</v>
      </c>
      <c r="G3168" t="s">
        <v>2630</v>
      </c>
      <c r="H3168" t="s">
        <v>3470</v>
      </c>
      <c r="I3168">
        <v>90</v>
      </c>
      <c r="J3168">
        <v>94.510002136230469</v>
      </c>
      <c r="EJ3168">
        <v>91</v>
      </c>
      <c r="EK3168">
        <v>86</v>
      </c>
    </row>
    <row r="3169" spans="1:141" x14ac:dyDescent="0.3">
      <c r="A3169">
        <v>509</v>
      </c>
      <c r="B3169" t="s">
        <v>2622</v>
      </c>
      <c r="C3169" t="s">
        <v>1096</v>
      </c>
      <c r="D3169" t="s">
        <v>73</v>
      </c>
      <c r="E3169" t="s">
        <v>22</v>
      </c>
      <c r="F3169" s="30">
        <v>45900</v>
      </c>
      <c r="G3169" t="s">
        <v>2630</v>
      </c>
      <c r="H3169" t="s">
        <v>3465</v>
      </c>
      <c r="I3169">
        <v>90</v>
      </c>
      <c r="J3169">
        <v>95.05999755859375</v>
      </c>
      <c r="EJ3169">
        <v>81</v>
      </c>
      <c r="EK3169">
        <v>77</v>
      </c>
    </row>
    <row r="3170" spans="1:141" x14ac:dyDescent="0.3">
      <c r="A3170">
        <v>509</v>
      </c>
      <c r="B3170" t="s">
        <v>2622</v>
      </c>
      <c r="C3170" t="s">
        <v>1096</v>
      </c>
      <c r="D3170" t="s">
        <v>73</v>
      </c>
      <c r="E3170" t="s">
        <v>22</v>
      </c>
      <c r="F3170" s="30">
        <v>45900</v>
      </c>
      <c r="G3170" t="s">
        <v>2630</v>
      </c>
      <c r="H3170" t="s">
        <v>3467</v>
      </c>
      <c r="I3170">
        <v>90</v>
      </c>
      <c r="J3170">
        <v>96.839996337890625</v>
      </c>
      <c r="EJ3170">
        <v>95</v>
      </c>
      <c r="EK3170">
        <v>92</v>
      </c>
    </row>
    <row r="3171" spans="1:141" x14ac:dyDescent="0.3">
      <c r="A3171">
        <v>509</v>
      </c>
      <c r="B3171" t="s">
        <v>2622</v>
      </c>
      <c r="C3171" t="s">
        <v>1096</v>
      </c>
      <c r="D3171" t="s">
        <v>73</v>
      </c>
      <c r="E3171" t="s">
        <v>22</v>
      </c>
      <c r="F3171" s="30">
        <v>45900</v>
      </c>
      <c r="G3171" t="s">
        <v>2630</v>
      </c>
      <c r="H3171" t="s">
        <v>3472</v>
      </c>
      <c r="I3171">
        <v>90</v>
      </c>
      <c r="J3171">
        <v>0</v>
      </c>
      <c r="EJ3171">
        <v>0</v>
      </c>
      <c r="EK3171">
        <v>0</v>
      </c>
    </row>
    <row r="3172" spans="1:141" x14ac:dyDescent="0.3">
      <c r="A3172">
        <v>509</v>
      </c>
      <c r="B3172" t="s">
        <v>2622</v>
      </c>
      <c r="C3172" t="s">
        <v>1096</v>
      </c>
      <c r="D3172" t="s">
        <v>73</v>
      </c>
      <c r="E3172" t="s">
        <v>22</v>
      </c>
      <c r="F3172" s="30">
        <v>45900</v>
      </c>
      <c r="G3172" t="s">
        <v>2630</v>
      </c>
      <c r="H3172" t="s">
        <v>4647</v>
      </c>
      <c r="I3172">
        <v>90</v>
      </c>
      <c r="J3172">
        <v>0</v>
      </c>
      <c r="EJ3172">
        <v>0</v>
      </c>
      <c r="EK3172">
        <v>0</v>
      </c>
    </row>
    <row r="3173" spans="1:141" x14ac:dyDescent="0.3">
      <c r="A3173">
        <v>509</v>
      </c>
      <c r="B3173" t="s">
        <v>2622</v>
      </c>
      <c r="C3173" t="s">
        <v>1096</v>
      </c>
      <c r="D3173" t="s">
        <v>73</v>
      </c>
      <c r="E3173" t="s">
        <v>22</v>
      </c>
      <c r="F3173" s="30">
        <v>45900</v>
      </c>
      <c r="G3173" t="s">
        <v>2630</v>
      </c>
      <c r="H3173" t="s">
        <v>4648</v>
      </c>
      <c r="I3173">
        <v>90</v>
      </c>
      <c r="J3173">
        <v>0</v>
      </c>
      <c r="EJ3173">
        <v>0</v>
      </c>
      <c r="EK3173">
        <v>0</v>
      </c>
    </row>
    <row r="3174" spans="1:141" x14ac:dyDescent="0.3">
      <c r="A3174">
        <v>509</v>
      </c>
      <c r="B3174" t="s">
        <v>2622</v>
      </c>
      <c r="C3174" t="s">
        <v>1096</v>
      </c>
      <c r="D3174" t="s">
        <v>73</v>
      </c>
      <c r="E3174" t="s">
        <v>22</v>
      </c>
      <c r="F3174" s="30">
        <v>45900</v>
      </c>
      <c r="G3174" t="s">
        <v>2630</v>
      </c>
      <c r="H3174" t="s">
        <v>4649</v>
      </c>
      <c r="I3174">
        <v>90</v>
      </c>
      <c r="J3174">
        <v>0</v>
      </c>
      <c r="EJ3174">
        <v>0</v>
      </c>
      <c r="EK3174">
        <v>0</v>
      </c>
    </row>
    <row r="3175" spans="1:141" x14ac:dyDescent="0.3">
      <c r="A3175">
        <v>509</v>
      </c>
      <c r="B3175" t="s">
        <v>2622</v>
      </c>
      <c r="C3175" t="s">
        <v>1096</v>
      </c>
      <c r="D3175" t="s">
        <v>73</v>
      </c>
      <c r="E3175" t="s">
        <v>22</v>
      </c>
      <c r="F3175" s="30">
        <v>45900</v>
      </c>
      <c r="G3175" t="s">
        <v>2630</v>
      </c>
      <c r="H3175" t="s">
        <v>4650</v>
      </c>
      <c r="I3175">
        <v>90</v>
      </c>
      <c r="J3175">
        <v>0</v>
      </c>
      <c r="EJ3175">
        <v>0</v>
      </c>
      <c r="EK3175">
        <v>0</v>
      </c>
    </row>
    <row r="3176" spans="1:141" x14ac:dyDescent="0.3">
      <c r="A3176">
        <v>509</v>
      </c>
      <c r="B3176" t="s">
        <v>2622</v>
      </c>
      <c r="C3176" t="s">
        <v>1096</v>
      </c>
      <c r="D3176" t="s">
        <v>73</v>
      </c>
      <c r="E3176" t="s">
        <v>22</v>
      </c>
      <c r="F3176" s="30">
        <v>45900</v>
      </c>
      <c r="G3176" t="s">
        <v>2630</v>
      </c>
      <c r="H3176" t="s">
        <v>3455</v>
      </c>
      <c r="I3176">
        <v>90</v>
      </c>
      <c r="J3176">
        <v>100</v>
      </c>
      <c r="EJ3176">
        <v>46</v>
      </c>
      <c r="EK3176">
        <v>46</v>
      </c>
    </row>
    <row r="3177" spans="1:141" x14ac:dyDescent="0.3">
      <c r="A3177">
        <v>509</v>
      </c>
      <c r="B3177" t="s">
        <v>2622</v>
      </c>
      <c r="C3177" t="s">
        <v>1096</v>
      </c>
      <c r="D3177" t="s">
        <v>73</v>
      </c>
      <c r="E3177" t="s">
        <v>22</v>
      </c>
      <c r="F3177" s="30">
        <v>45900</v>
      </c>
      <c r="G3177" t="s">
        <v>2630</v>
      </c>
      <c r="H3177" t="s">
        <v>3476</v>
      </c>
      <c r="I3177">
        <v>90</v>
      </c>
      <c r="J3177">
        <v>0</v>
      </c>
      <c r="EJ3177">
        <v>0</v>
      </c>
      <c r="EK3177">
        <v>0</v>
      </c>
    </row>
    <row r="3178" spans="1:141" x14ac:dyDescent="0.3">
      <c r="A3178">
        <v>509</v>
      </c>
      <c r="B3178" t="s">
        <v>2622</v>
      </c>
      <c r="C3178" t="s">
        <v>1096</v>
      </c>
      <c r="D3178" t="s">
        <v>73</v>
      </c>
      <c r="E3178" t="s">
        <v>22</v>
      </c>
      <c r="F3178" s="30">
        <v>45900</v>
      </c>
      <c r="G3178" t="s">
        <v>2630</v>
      </c>
      <c r="H3178" t="s">
        <v>3459</v>
      </c>
      <c r="I3178">
        <v>90</v>
      </c>
      <c r="J3178">
        <v>95.120002746582031</v>
      </c>
      <c r="EJ3178">
        <v>41</v>
      </c>
      <c r="EK3178">
        <v>39</v>
      </c>
    </row>
    <row r="3179" spans="1:141" x14ac:dyDescent="0.3">
      <c r="A3179">
        <v>208</v>
      </c>
      <c r="B3179" t="s">
        <v>707</v>
      </c>
      <c r="C3179" t="s">
        <v>251</v>
      </c>
      <c r="D3179" t="s">
        <v>73</v>
      </c>
      <c r="E3179" t="s">
        <v>56</v>
      </c>
      <c r="F3179" s="30">
        <v>45930</v>
      </c>
      <c r="G3179" t="s">
        <v>753</v>
      </c>
      <c r="H3179" t="s">
        <v>4468</v>
      </c>
      <c r="I3179">
        <v>950</v>
      </c>
      <c r="J3179">
        <v>757</v>
      </c>
      <c r="K3179">
        <v>757</v>
      </c>
    </row>
    <row r="3180" spans="1:141" x14ac:dyDescent="0.3">
      <c r="A3180">
        <v>208</v>
      </c>
      <c r="B3180" t="s">
        <v>707</v>
      </c>
      <c r="C3180" t="s">
        <v>251</v>
      </c>
      <c r="D3180" t="s">
        <v>73</v>
      </c>
      <c r="E3180" t="s">
        <v>56</v>
      </c>
      <c r="F3180" s="30">
        <v>45930</v>
      </c>
      <c r="G3180" t="s">
        <v>753</v>
      </c>
      <c r="H3180" t="s">
        <v>4477</v>
      </c>
      <c r="I3180">
        <v>25</v>
      </c>
      <c r="J3180">
        <v>5.5</v>
      </c>
      <c r="K3180">
        <v>5.5</v>
      </c>
    </row>
    <row r="3181" spans="1:141" x14ac:dyDescent="0.3">
      <c r="A3181">
        <v>208</v>
      </c>
      <c r="B3181" t="s">
        <v>707</v>
      </c>
      <c r="C3181" t="s">
        <v>251</v>
      </c>
      <c r="D3181" t="s">
        <v>73</v>
      </c>
      <c r="E3181" t="s">
        <v>56</v>
      </c>
      <c r="F3181" s="30">
        <v>45930</v>
      </c>
      <c r="G3181" t="s">
        <v>753</v>
      </c>
      <c r="H3181" t="s">
        <v>4469</v>
      </c>
      <c r="I3181">
        <v>200</v>
      </c>
      <c r="J3181">
        <v>210</v>
      </c>
      <c r="K3181">
        <v>210</v>
      </c>
    </row>
    <row r="3182" spans="1:141" x14ac:dyDescent="0.3">
      <c r="A3182">
        <v>208</v>
      </c>
      <c r="B3182" t="s">
        <v>707</v>
      </c>
      <c r="C3182" t="s">
        <v>251</v>
      </c>
      <c r="D3182" t="s">
        <v>73</v>
      </c>
      <c r="E3182" t="s">
        <v>56</v>
      </c>
      <c r="F3182" s="30">
        <v>45930</v>
      </c>
      <c r="G3182" t="s">
        <v>753</v>
      </c>
      <c r="H3182" t="s">
        <v>4476</v>
      </c>
      <c r="I3182">
        <v>0</v>
      </c>
      <c r="J3182">
        <v>0</v>
      </c>
      <c r="K3182">
        <v>0</v>
      </c>
    </row>
    <row r="3183" spans="1:141" x14ac:dyDescent="0.3">
      <c r="A3183">
        <v>208</v>
      </c>
      <c r="B3183" t="s">
        <v>707</v>
      </c>
      <c r="C3183" t="s">
        <v>251</v>
      </c>
      <c r="D3183" t="s">
        <v>73</v>
      </c>
      <c r="E3183" t="s">
        <v>56</v>
      </c>
      <c r="F3183" s="30">
        <v>45930</v>
      </c>
      <c r="G3183" t="s">
        <v>753</v>
      </c>
      <c r="H3183" t="s">
        <v>4478</v>
      </c>
      <c r="I3183">
        <v>25</v>
      </c>
      <c r="J3183">
        <v>21</v>
      </c>
      <c r="K3183">
        <v>21</v>
      </c>
    </row>
    <row r="3184" spans="1:141" x14ac:dyDescent="0.3">
      <c r="A3184">
        <v>208</v>
      </c>
      <c r="B3184" t="s">
        <v>707</v>
      </c>
      <c r="C3184" t="s">
        <v>251</v>
      </c>
      <c r="D3184" t="s">
        <v>73</v>
      </c>
      <c r="E3184" t="s">
        <v>56</v>
      </c>
      <c r="F3184" s="30">
        <v>45930</v>
      </c>
      <c r="G3184" t="s">
        <v>753</v>
      </c>
      <c r="H3184" t="s">
        <v>4470</v>
      </c>
      <c r="I3184">
        <v>350</v>
      </c>
      <c r="J3184">
        <v>358.5</v>
      </c>
      <c r="K3184">
        <v>358.5</v>
      </c>
    </row>
    <row r="3185" spans="1:45" x14ac:dyDescent="0.3">
      <c r="A3185">
        <v>214</v>
      </c>
      <c r="B3185" t="s">
        <v>774</v>
      </c>
      <c r="C3185" t="s">
        <v>251</v>
      </c>
      <c r="D3185" t="s">
        <v>73</v>
      </c>
      <c r="E3185" t="s">
        <v>56</v>
      </c>
      <c r="F3185" s="30">
        <v>45930</v>
      </c>
      <c r="G3185" t="s">
        <v>820</v>
      </c>
      <c r="H3185" t="s">
        <v>4468</v>
      </c>
      <c r="I3185">
        <v>5500</v>
      </c>
      <c r="J3185">
        <v>2462.0400390625</v>
      </c>
      <c r="L3185">
        <v>62.71</v>
      </c>
      <c r="M3185">
        <v>2399.33</v>
      </c>
    </row>
    <row r="3186" spans="1:45" x14ac:dyDescent="0.3">
      <c r="A3186">
        <v>214</v>
      </c>
      <c r="B3186" t="s">
        <v>774</v>
      </c>
      <c r="C3186" t="s">
        <v>251</v>
      </c>
      <c r="D3186" t="s">
        <v>73</v>
      </c>
      <c r="E3186" t="s">
        <v>56</v>
      </c>
      <c r="F3186" s="30">
        <v>45930</v>
      </c>
      <c r="G3186" t="s">
        <v>820</v>
      </c>
      <c r="H3186" t="s">
        <v>4470</v>
      </c>
      <c r="I3186">
        <v>1000</v>
      </c>
      <c r="J3186">
        <v>1334.030029296875</v>
      </c>
      <c r="L3186">
        <v>329.69</v>
      </c>
      <c r="M3186">
        <v>1004.34</v>
      </c>
    </row>
    <row r="3187" spans="1:45" x14ac:dyDescent="0.3">
      <c r="A3187">
        <v>214</v>
      </c>
      <c r="B3187" t="s">
        <v>774</v>
      </c>
      <c r="C3187" t="s">
        <v>251</v>
      </c>
      <c r="D3187" t="s">
        <v>73</v>
      </c>
      <c r="E3187" t="s">
        <v>56</v>
      </c>
      <c r="F3187" s="30">
        <v>45930</v>
      </c>
      <c r="G3187" t="s">
        <v>820</v>
      </c>
      <c r="H3187" t="s">
        <v>4477</v>
      </c>
      <c r="I3187">
        <v>7500</v>
      </c>
      <c r="J3187">
        <v>84.300003051757813</v>
      </c>
      <c r="L3187">
        <v>26.97</v>
      </c>
      <c r="M3187">
        <v>57.33</v>
      </c>
    </row>
    <row r="3188" spans="1:45" x14ac:dyDescent="0.3">
      <c r="A3188">
        <v>214</v>
      </c>
      <c r="B3188" t="s">
        <v>774</v>
      </c>
      <c r="C3188" t="s">
        <v>251</v>
      </c>
      <c r="D3188" t="s">
        <v>73</v>
      </c>
      <c r="E3188" t="s">
        <v>56</v>
      </c>
      <c r="F3188" s="30">
        <v>45930</v>
      </c>
      <c r="G3188" t="s">
        <v>820</v>
      </c>
      <c r="H3188" t="s">
        <v>4476</v>
      </c>
      <c r="I3188">
        <v>1</v>
      </c>
      <c r="J3188">
        <v>240.3999938964844</v>
      </c>
      <c r="L3188">
        <v>24.4</v>
      </c>
      <c r="M3188">
        <v>216</v>
      </c>
    </row>
    <row r="3189" spans="1:45" x14ac:dyDescent="0.3">
      <c r="A3189">
        <v>214</v>
      </c>
      <c r="B3189" t="s">
        <v>774</v>
      </c>
      <c r="C3189" t="s">
        <v>251</v>
      </c>
      <c r="D3189" t="s">
        <v>73</v>
      </c>
      <c r="E3189" t="s">
        <v>56</v>
      </c>
      <c r="F3189" s="30">
        <v>45930</v>
      </c>
      <c r="G3189" t="s">
        <v>820</v>
      </c>
      <c r="H3189" t="s">
        <v>4478</v>
      </c>
      <c r="I3189">
        <v>1</v>
      </c>
      <c r="J3189">
        <v>35.720001220703118</v>
      </c>
      <c r="L3189">
        <v>8.82</v>
      </c>
      <c r="M3189">
        <v>26.9</v>
      </c>
    </row>
    <row r="3190" spans="1:45" x14ac:dyDescent="0.3">
      <c r="A3190">
        <v>214</v>
      </c>
      <c r="B3190" t="s">
        <v>774</v>
      </c>
      <c r="C3190" t="s">
        <v>251</v>
      </c>
      <c r="D3190" t="s">
        <v>73</v>
      </c>
      <c r="E3190" t="s">
        <v>56</v>
      </c>
      <c r="F3190" s="30">
        <v>45930</v>
      </c>
      <c r="G3190" t="s">
        <v>820</v>
      </c>
      <c r="H3190" t="s">
        <v>4469</v>
      </c>
      <c r="I3190">
        <v>1000</v>
      </c>
      <c r="J3190">
        <v>1165.099975585938</v>
      </c>
      <c r="L3190">
        <v>233.4</v>
      </c>
      <c r="M3190">
        <v>931.7</v>
      </c>
    </row>
    <row r="3191" spans="1:45" x14ac:dyDescent="0.3">
      <c r="A3191">
        <v>217</v>
      </c>
      <c r="B3191" t="s">
        <v>840</v>
      </c>
      <c r="C3191" t="s">
        <v>251</v>
      </c>
      <c r="D3191" t="s">
        <v>73</v>
      </c>
      <c r="E3191" t="s">
        <v>22</v>
      </c>
      <c r="F3191" s="30">
        <v>45930</v>
      </c>
      <c r="G3191" t="s">
        <v>884</v>
      </c>
      <c r="H3191" t="s">
        <v>4468</v>
      </c>
      <c r="I3191">
        <v>20</v>
      </c>
      <c r="J3191">
        <v>59.959999084472663</v>
      </c>
      <c r="L3191">
        <v>62.71</v>
      </c>
      <c r="M3191">
        <v>2399.33</v>
      </c>
      <c r="AS3191">
        <v>1476.23</v>
      </c>
    </row>
    <row r="3192" spans="1:45" x14ac:dyDescent="0.3">
      <c r="A3192">
        <v>217</v>
      </c>
      <c r="B3192" t="s">
        <v>840</v>
      </c>
      <c r="C3192" t="s">
        <v>251</v>
      </c>
      <c r="D3192" t="s">
        <v>73</v>
      </c>
      <c r="E3192" t="s">
        <v>22</v>
      </c>
      <c r="F3192" s="30">
        <v>45930</v>
      </c>
      <c r="G3192" t="s">
        <v>884</v>
      </c>
      <c r="H3192" t="s">
        <v>4470</v>
      </c>
      <c r="I3192">
        <v>20</v>
      </c>
      <c r="J3192">
        <v>24.70999908447266</v>
      </c>
      <c r="L3192">
        <v>329.69</v>
      </c>
      <c r="M3192">
        <v>1004.34</v>
      </c>
      <c r="AS3192">
        <v>329.69</v>
      </c>
    </row>
    <row r="3193" spans="1:45" x14ac:dyDescent="0.3">
      <c r="A3193">
        <v>217</v>
      </c>
      <c r="B3193" t="s">
        <v>840</v>
      </c>
      <c r="C3193" t="s">
        <v>251</v>
      </c>
      <c r="D3193" t="s">
        <v>73</v>
      </c>
      <c r="E3193" t="s">
        <v>22</v>
      </c>
      <c r="F3193" s="30">
        <v>45930</v>
      </c>
      <c r="G3193" t="s">
        <v>884</v>
      </c>
      <c r="H3193" t="s">
        <v>4477</v>
      </c>
      <c r="I3193">
        <v>20</v>
      </c>
      <c r="J3193">
        <v>35.080001831054688</v>
      </c>
      <c r="L3193">
        <v>26.97</v>
      </c>
      <c r="M3193">
        <v>57.33</v>
      </c>
      <c r="AS3193">
        <v>29.57</v>
      </c>
    </row>
    <row r="3194" spans="1:45" x14ac:dyDescent="0.3">
      <c r="A3194">
        <v>217</v>
      </c>
      <c r="B3194" t="s">
        <v>840</v>
      </c>
      <c r="C3194" t="s">
        <v>251</v>
      </c>
      <c r="D3194" t="s">
        <v>73</v>
      </c>
      <c r="E3194" t="s">
        <v>22</v>
      </c>
      <c r="F3194" s="30">
        <v>45930</v>
      </c>
      <c r="G3194" t="s">
        <v>884</v>
      </c>
      <c r="H3194" t="s">
        <v>4476</v>
      </c>
      <c r="I3194">
        <v>20</v>
      </c>
      <c r="J3194">
        <v>10.14999961853027</v>
      </c>
      <c r="L3194">
        <v>24.4</v>
      </c>
      <c r="M3194">
        <v>216</v>
      </c>
      <c r="AS3194">
        <v>24.4</v>
      </c>
    </row>
    <row r="3195" spans="1:45" x14ac:dyDescent="0.3">
      <c r="A3195">
        <v>217</v>
      </c>
      <c r="B3195" t="s">
        <v>840</v>
      </c>
      <c r="C3195" t="s">
        <v>251</v>
      </c>
      <c r="D3195" t="s">
        <v>73</v>
      </c>
      <c r="E3195" t="s">
        <v>22</v>
      </c>
      <c r="F3195" s="30">
        <v>45930</v>
      </c>
      <c r="G3195" t="s">
        <v>884</v>
      </c>
      <c r="H3195" t="s">
        <v>4478</v>
      </c>
      <c r="I3195">
        <v>20</v>
      </c>
      <c r="J3195">
        <v>24.690000534057621</v>
      </c>
      <c r="L3195">
        <v>8.82</v>
      </c>
      <c r="M3195">
        <v>26.9</v>
      </c>
      <c r="AS3195">
        <v>8.82</v>
      </c>
    </row>
    <row r="3196" spans="1:45" x14ac:dyDescent="0.3">
      <c r="A3196">
        <v>217</v>
      </c>
      <c r="B3196" t="s">
        <v>840</v>
      </c>
      <c r="C3196" t="s">
        <v>251</v>
      </c>
      <c r="D3196" t="s">
        <v>73</v>
      </c>
      <c r="E3196" t="s">
        <v>22</v>
      </c>
      <c r="F3196" s="30">
        <v>45930</v>
      </c>
      <c r="G3196" t="s">
        <v>884</v>
      </c>
      <c r="H3196" t="s">
        <v>4469</v>
      </c>
      <c r="I3196">
        <v>20</v>
      </c>
      <c r="J3196">
        <v>20.030000686645511</v>
      </c>
      <c r="L3196">
        <v>233.4</v>
      </c>
      <c r="M3196">
        <v>931.7</v>
      </c>
      <c r="AS3196">
        <v>233.4</v>
      </c>
    </row>
    <row r="3197" spans="1:45" x14ac:dyDescent="0.3">
      <c r="A3197">
        <v>218</v>
      </c>
      <c r="B3197" t="s">
        <v>888</v>
      </c>
      <c r="C3197" t="s">
        <v>251</v>
      </c>
      <c r="D3197" t="s">
        <v>73</v>
      </c>
      <c r="E3197" t="s">
        <v>56</v>
      </c>
      <c r="F3197" s="30">
        <v>45930</v>
      </c>
      <c r="G3197" t="s">
        <v>934</v>
      </c>
      <c r="H3197" t="s">
        <v>4470</v>
      </c>
      <c r="I3197">
        <v>76000</v>
      </c>
      <c r="J3197">
        <v>46740</v>
      </c>
      <c r="N3197">
        <v>46740</v>
      </c>
    </row>
    <row r="3198" spans="1:45" x14ac:dyDescent="0.3">
      <c r="A3198">
        <v>218</v>
      </c>
      <c r="B3198" t="s">
        <v>888</v>
      </c>
      <c r="C3198" t="s">
        <v>251</v>
      </c>
      <c r="D3198" t="s">
        <v>73</v>
      </c>
      <c r="E3198" t="s">
        <v>56</v>
      </c>
      <c r="F3198" s="30">
        <v>45930</v>
      </c>
      <c r="G3198" t="s">
        <v>934</v>
      </c>
      <c r="H3198" t="s">
        <v>4477</v>
      </c>
      <c r="I3198">
        <v>5000</v>
      </c>
      <c r="J3198">
        <v>4620</v>
      </c>
      <c r="N3198">
        <v>4620</v>
      </c>
    </row>
    <row r="3199" spans="1:45" x14ac:dyDescent="0.3">
      <c r="A3199">
        <v>218</v>
      </c>
      <c r="B3199" t="s">
        <v>888</v>
      </c>
      <c r="C3199" t="s">
        <v>251</v>
      </c>
      <c r="D3199" t="s">
        <v>73</v>
      </c>
      <c r="E3199" t="s">
        <v>56</v>
      </c>
      <c r="F3199" s="30">
        <v>45930</v>
      </c>
      <c r="G3199" t="s">
        <v>934</v>
      </c>
      <c r="H3199" t="s">
        <v>4469</v>
      </c>
      <c r="I3199">
        <v>24000</v>
      </c>
      <c r="J3199">
        <v>21654</v>
      </c>
      <c r="N3199">
        <v>21654</v>
      </c>
    </row>
    <row r="3200" spans="1:45" x14ac:dyDescent="0.3">
      <c r="A3200">
        <v>218</v>
      </c>
      <c r="B3200" t="s">
        <v>888</v>
      </c>
      <c r="C3200" t="s">
        <v>251</v>
      </c>
      <c r="D3200" t="s">
        <v>73</v>
      </c>
      <c r="E3200" t="s">
        <v>56</v>
      </c>
      <c r="F3200" s="30">
        <v>45930</v>
      </c>
      <c r="G3200" t="s">
        <v>934</v>
      </c>
      <c r="H3200" t="s">
        <v>4476</v>
      </c>
      <c r="I3200">
        <v>5000</v>
      </c>
      <c r="J3200">
        <v>8843</v>
      </c>
      <c r="N3200">
        <v>8843</v>
      </c>
    </row>
    <row r="3201" spans="1:48" x14ac:dyDescent="0.3">
      <c r="A3201">
        <v>218</v>
      </c>
      <c r="B3201" t="s">
        <v>888</v>
      </c>
      <c r="C3201" t="s">
        <v>251</v>
      </c>
      <c r="D3201" t="s">
        <v>73</v>
      </c>
      <c r="E3201" t="s">
        <v>56</v>
      </c>
      <c r="F3201" s="30">
        <v>45930</v>
      </c>
      <c r="G3201" t="s">
        <v>934</v>
      </c>
      <c r="H3201" t="s">
        <v>4478</v>
      </c>
      <c r="I3201">
        <v>2000</v>
      </c>
      <c r="J3201">
        <v>2800</v>
      </c>
      <c r="N3201">
        <v>2800</v>
      </c>
    </row>
    <row r="3202" spans="1:48" x14ac:dyDescent="0.3">
      <c r="A3202">
        <v>218</v>
      </c>
      <c r="B3202" t="s">
        <v>888</v>
      </c>
      <c r="C3202" t="s">
        <v>251</v>
      </c>
      <c r="D3202" t="s">
        <v>73</v>
      </c>
      <c r="E3202" t="s">
        <v>56</v>
      </c>
      <c r="F3202" s="30">
        <v>45930</v>
      </c>
      <c r="G3202" t="s">
        <v>934</v>
      </c>
      <c r="H3202" t="s">
        <v>4468</v>
      </c>
      <c r="I3202">
        <v>76000</v>
      </c>
      <c r="J3202">
        <v>69944.59375</v>
      </c>
      <c r="N3202">
        <v>69944.59</v>
      </c>
    </row>
    <row r="3203" spans="1:48" x14ac:dyDescent="0.3">
      <c r="A3203">
        <v>225</v>
      </c>
      <c r="B3203" t="s">
        <v>976</v>
      </c>
      <c r="C3203" t="s">
        <v>251</v>
      </c>
      <c r="D3203" t="s">
        <v>73</v>
      </c>
      <c r="E3203" t="s">
        <v>22</v>
      </c>
      <c r="F3203" s="30">
        <v>45930</v>
      </c>
      <c r="G3203" t="s">
        <v>1021</v>
      </c>
      <c r="H3203" t="s">
        <v>4468</v>
      </c>
      <c r="I3203">
        <v>1</v>
      </c>
      <c r="J3203">
        <v>7</v>
      </c>
      <c r="AT3203">
        <v>7</v>
      </c>
    </row>
    <row r="3204" spans="1:48" x14ac:dyDescent="0.3">
      <c r="A3204">
        <v>225</v>
      </c>
      <c r="B3204" t="s">
        <v>976</v>
      </c>
      <c r="C3204" t="s">
        <v>251</v>
      </c>
      <c r="D3204" t="s">
        <v>73</v>
      </c>
      <c r="E3204" t="s">
        <v>22</v>
      </c>
      <c r="F3204" s="30">
        <v>45930</v>
      </c>
      <c r="G3204" t="s">
        <v>1021</v>
      </c>
      <c r="H3204" t="s">
        <v>4477</v>
      </c>
      <c r="I3204">
        <v>1</v>
      </c>
      <c r="J3204">
        <v>0</v>
      </c>
      <c r="AT3204">
        <v>0</v>
      </c>
    </row>
    <row r="3205" spans="1:48" x14ac:dyDescent="0.3">
      <c r="A3205">
        <v>225</v>
      </c>
      <c r="B3205" t="s">
        <v>976</v>
      </c>
      <c r="C3205" t="s">
        <v>251</v>
      </c>
      <c r="D3205" t="s">
        <v>73</v>
      </c>
      <c r="E3205" t="s">
        <v>22</v>
      </c>
      <c r="F3205" s="30">
        <v>45930</v>
      </c>
      <c r="G3205" t="s">
        <v>1021</v>
      </c>
      <c r="H3205" t="s">
        <v>4469</v>
      </c>
      <c r="I3205">
        <v>1</v>
      </c>
      <c r="J3205">
        <v>10</v>
      </c>
      <c r="AT3205">
        <v>10</v>
      </c>
    </row>
    <row r="3206" spans="1:48" x14ac:dyDescent="0.3">
      <c r="A3206">
        <v>225</v>
      </c>
      <c r="B3206" t="s">
        <v>976</v>
      </c>
      <c r="C3206" t="s">
        <v>251</v>
      </c>
      <c r="D3206" t="s">
        <v>73</v>
      </c>
      <c r="E3206" t="s">
        <v>22</v>
      </c>
      <c r="F3206" s="30">
        <v>45930</v>
      </c>
      <c r="G3206" t="s">
        <v>1021</v>
      </c>
      <c r="H3206" t="s">
        <v>4476</v>
      </c>
      <c r="I3206">
        <v>1</v>
      </c>
      <c r="J3206">
        <v>1</v>
      </c>
      <c r="AT3206">
        <v>1</v>
      </c>
    </row>
    <row r="3207" spans="1:48" x14ac:dyDescent="0.3">
      <c r="A3207">
        <v>225</v>
      </c>
      <c r="B3207" t="s">
        <v>976</v>
      </c>
      <c r="C3207" t="s">
        <v>251</v>
      </c>
      <c r="D3207" t="s">
        <v>73</v>
      </c>
      <c r="E3207" t="s">
        <v>22</v>
      </c>
      <c r="F3207" s="30">
        <v>45930</v>
      </c>
      <c r="G3207" t="s">
        <v>1021</v>
      </c>
      <c r="H3207" t="s">
        <v>4478</v>
      </c>
      <c r="I3207">
        <v>1</v>
      </c>
      <c r="J3207">
        <v>1</v>
      </c>
      <c r="AT3207">
        <v>1</v>
      </c>
    </row>
    <row r="3208" spans="1:48" x14ac:dyDescent="0.3">
      <c r="A3208">
        <v>225</v>
      </c>
      <c r="B3208" t="s">
        <v>976</v>
      </c>
      <c r="C3208" t="s">
        <v>251</v>
      </c>
      <c r="D3208" t="s">
        <v>73</v>
      </c>
      <c r="E3208" t="s">
        <v>22</v>
      </c>
      <c r="F3208" s="30">
        <v>45930</v>
      </c>
      <c r="G3208" t="s">
        <v>1021</v>
      </c>
      <c r="H3208" t="s">
        <v>4470</v>
      </c>
      <c r="I3208">
        <v>1</v>
      </c>
      <c r="AT3208">
        <v>0</v>
      </c>
    </row>
    <row r="3209" spans="1:48" x14ac:dyDescent="0.3">
      <c r="A3209">
        <v>239</v>
      </c>
      <c r="B3209" t="s">
        <v>1095</v>
      </c>
      <c r="C3209" t="s">
        <v>1096</v>
      </c>
      <c r="D3209" t="s">
        <v>73</v>
      </c>
      <c r="E3209" t="s">
        <v>22</v>
      </c>
      <c r="F3209" s="30">
        <v>45930</v>
      </c>
      <c r="G3209" t="s">
        <v>1140</v>
      </c>
      <c r="H3209" t="s">
        <v>4479</v>
      </c>
      <c r="J3209">
        <v>2</v>
      </c>
      <c r="AU3209">
        <v>2</v>
      </c>
    </row>
    <row r="3210" spans="1:48" x14ac:dyDescent="0.3">
      <c r="A3210">
        <v>239</v>
      </c>
      <c r="B3210" t="s">
        <v>1095</v>
      </c>
      <c r="C3210" t="s">
        <v>1096</v>
      </c>
      <c r="D3210" t="s">
        <v>73</v>
      </c>
      <c r="E3210" t="s">
        <v>22</v>
      </c>
      <c r="F3210" s="30">
        <v>45930</v>
      </c>
      <c r="G3210" t="s">
        <v>1140</v>
      </c>
      <c r="H3210" t="s">
        <v>3622</v>
      </c>
      <c r="J3210">
        <v>12</v>
      </c>
      <c r="AU3210">
        <v>12</v>
      </c>
    </row>
    <row r="3211" spans="1:48" x14ac:dyDescent="0.3">
      <c r="A3211">
        <v>239</v>
      </c>
      <c r="B3211" t="s">
        <v>1095</v>
      </c>
      <c r="C3211" t="s">
        <v>1096</v>
      </c>
      <c r="D3211" t="s">
        <v>73</v>
      </c>
      <c r="E3211" t="s">
        <v>22</v>
      </c>
      <c r="F3211" s="30">
        <v>45930</v>
      </c>
      <c r="G3211" t="s">
        <v>1140</v>
      </c>
      <c r="H3211" t="s">
        <v>4480</v>
      </c>
      <c r="J3211">
        <v>2</v>
      </c>
      <c r="AU3211">
        <v>2</v>
      </c>
    </row>
    <row r="3212" spans="1:48" x14ac:dyDescent="0.3">
      <c r="A3212">
        <v>239</v>
      </c>
      <c r="B3212" t="s">
        <v>1095</v>
      </c>
      <c r="C3212" t="s">
        <v>1096</v>
      </c>
      <c r="D3212" t="s">
        <v>73</v>
      </c>
      <c r="E3212" t="s">
        <v>22</v>
      </c>
      <c r="F3212" s="30">
        <v>45930</v>
      </c>
      <c r="G3212" t="s">
        <v>1140</v>
      </c>
      <c r="H3212" t="s">
        <v>4481</v>
      </c>
      <c r="J3212">
        <v>23</v>
      </c>
      <c r="AU3212">
        <v>23</v>
      </c>
    </row>
    <row r="3213" spans="1:48" x14ac:dyDescent="0.3">
      <c r="A3213">
        <v>239</v>
      </c>
      <c r="B3213" t="s">
        <v>1095</v>
      </c>
      <c r="C3213" t="s">
        <v>1096</v>
      </c>
      <c r="D3213" t="s">
        <v>73</v>
      </c>
      <c r="E3213" t="s">
        <v>22</v>
      </c>
      <c r="F3213" s="30">
        <v>45930</v>
      </c>
      <c r="G3213" t="s">
        <v>1140</v>
      </c>
      <c r="H3213" t="s">
        <v>4651</v>
      </c>
      <c r="J3213">
        <v>4</v>
      </c>
      <c r="AU3213">
        <v>4</v>
      </c>
    </row>
    <row r="3214" spans="1:48" x14ac:dyDescent="0.3">
      <c r="A3214">
        <v>434</v>
      </c>
      <c r="B3214" t="s">
        <v>2267</v>
      </c>
      <c r="C3214" t="s">
        <v>251</v>
      </c>
      <c r="D3214" t="s">
        <v>73</v>
      </c>
      <c r="E3214" t="s">
        <v>56</v>
      </c>
      <c r="F3214" s="30">
        <v>45930</v>
      </c>
      <c r="G3214" t="s">
        <v>2300</v>
      </c>
      <c r="H3214" t="s">
        <v>4468</v>
      </c>
      <c r="I3214">
        <v>100</v>
      </c>
      <c r="J3214">
        <v>83.720001220703125</v>
      </c>
      <c r="AV3214">
        <v>83.72</v>
      </c>
    </row>
    <row r="3215" spans="1:48" x14ac:dyDescent="0.3">
      <c r="A3215">
        <v>434</v>
      </c>
      <c r="B3215" t="s">
        <v>2267</v>
      </c>
      <c r="C3215" t="s">
        <v>251</v>
      </c>
      <c r="D3215" t="s">
        <v>73</v>
      </c>
      <c r="E3215" t="s">
        <v>56</v>
      </c>
      <c r="F3215" s="30">
        <v>45930</v>
      </c>
      <c r="G3215" t="s">
        <v>2300</v>
      </c>
      <c r="H3215" t="s">
        <v>4477</v>
      </c>
      <c r="I3215">
        <v>200</v>
      </c>
      <c r="J3215">
        <v>0</v>
      </c>
      <c r="AV3215">
        <v>0</v>
      </c>
    </row>
    <row r="3216" spans="1:48" x14ac:dyDescent="0.3">
      <c r="A3216">
        <v>434</v>
      </c>
      <c r="B3216" t="s">
        <v>2267</v>
      </c>
      <c r="C3216" t="s">
        <v>251</v>
      </c>
      <c r="D3216" t="s">
        <v>73</v>
      </c>
      <c r="E3216" t="s">
        <v>56</v>
      </c>
      <c r="F3216" s="30">
        <v>45930</v>
      </c>
      <c r="G3216" t="s">
        <v>2300</v>
      </c>
      <c r="H3216" t="s">
        <v>4469</v>
      </c>
      <c r="I3216">
        <v>25</v>
      </c>
      <c r="J3216">
        <v>23.39999961853027</v>
      </c>
      <c r="AV3216">
        <v>23.4</v>
      </c>
    </row>
    <row r="3217" spans="1:136" x14ac:dyDescent="0.3">
      <c r="A3217">
        <v>434</v>
      </c>
      <c r="B3217" t="s">
        <v>2267</v>
      </c>
      <c r="C3217" t="s">
        <v>251</v>
      </c>
      <c r="D3217" t="s">
        <v>73</v>
      </c>
      <c r="E3217" t="s">
        <v>56</v>
      </c>
      <c r="F3217" s="30">
        <v>45930</v>
      </c>
      <c r="G3217" t="s">
        <v>2300</v>
      </c>
      <c r="H3217" t="s">
        <v>4476</v>
      </c>
      <c r="I3217">
        <v>10</v>
      </c>
      <c r="J3217">
        <v>0.10000000149011611</v>
      </c>
      <c r="AV3217">
        <v>0.1</v>
      </c>
    </row>
    <row r="3218" spans="1:136" x14ac:dyDescent="0.3">
      <c r="A3218">
        <v>434</v>
      </c>
      <c r="B3218" t="s">
        <v>2267</v>
      </c>
      <c r="C3218" t="s">
        <v>251</v>
      </c>
      <c r="D3218" t="s">
        <v>73</v>
      </c>
      <c r="E3218" t="s">
        <v>56</v>
      </c>
      <c r="F3218" s="30">
        <v>45930</v>
      </c>
      <c r="G3218" t="s">
        <v>2300</v>
      </c>
      <c r="H3218" t="s">
        <v>4478</v>
      </c>
      <c r="I3218">
        <v>200</v>
      </c>
      <c r="J3218">
        <v>0</v>
      </c>
      <c r="AV3218">
        <v>0</v>
      </c>
    </row>
    <row r="3219" spans="1:136" x14ac:dyDescent="0.3">
      <c r="A3219">
        <v>434</v>
      </c>
      <c r="B3219" t="s">
        <v>2267</v>
      </c>
      <c r="C3219" t="s">
        <v>251</v>
      </c>
      <c r="D3219" t="s">
        <v>73</v>
      </c>
      <c r="E3219" t="s">
        <v>56</v>
      </c>
      <c r="F3219" s="30">
        <v>45930</v>
      </c>
      <c r="G3219" t="s">
        <v>2300</v>
      </c>
      <c r="H3219" t="s">
        <v>4470</v>
      </c>
      <c r="I3219">
        <v>25</v>
      </c>
      <c r="J3219">
        <v>2.5099999904632568</v>
      </c>
      <c r="AV3219">
        <v>2.5099999999999998</v>
      </c>
    </row>
    <row r="3220" spans="1:136" x14ac:dyDescent="0.3">
      <c r="A3220">
        <v>436</v>
      </c>
      <c r="B3220" t="s">
        <v>2311</v>
      </c>
      <c r="C3220" t="s">
        <v>258</v>
      </c>
      <c r="D3220" t="s">
        <v>73</v>
      </c>
      <c r="E3220" t="s">
        <v>56</v>
      </c>
      <c r="F3220" s="30">
        <v>45930</v>
      </c>
      <c r="G3220" t="s">
        <v>2344</v>
      </c>
      <c r="H3220" t="s">
        <v>4579</v>
      </c>
      <c r="I3220">
        <v>7</v>
      </c>
      <c r="J3220">
        <v>3.529999971389771</v>
      </c>
      <c r="CP3220">
        <v>3.53</v>
      </c>
    </row>
    <row r="3221" spans="1:136" x14ac:dyDescent="0.3">
      <c r="A3221">
        <v>436</v>
      </c>
      <c r="B3221" t="s">
        <v>2311</v>
      </c>
      <c r="C3221" t="s">
        <v>258</v>
      </c>
      <c r="D3221" t="s">
        <v>73</v>
      </c>
      <c r="E3221" t="s">
        <v>56</v>
      </c>
      <c r="F3221" s="30">
        <v>45930</v>
      </c>
      <c r="G3221" t="s">
        <v>2344</v>
      </c>
      <c r="H3221" t="s">
        <v>4580</v>
      </c>
      <c r="I3221">
        <v>7</v>
      </c>
      <c r="J3221">
        <v>3.5499999523162842</v>
      </c>
      <c r="CP3221">
        <v>3.55</v>
      </c>
    </row>
    <row r="3222" spans="1:136" x14ac:dyDescent="0.3">
      <c r="A3222">
        <v>485</v>
      </c>
      <c r="B3222" t="s">
        <v>2525</v>
      </c>
      <c r="C3222" t="s">
        <v>258</v>
      </c>
      <c r="D3222" t="s">
        <v>73</v>
      </c>
      <c r="E3222" t="s">
        <v>22</v>
      </c>
      <c r="F3222" s="30">
        <v>45930</v>
      </c>
      <c r="G3222" t="s">
        <v>2545</v>
      </c>
      <c r="H3222" t="s">
        <v>4638</v>
      </c>
      <c r="I3222">
        <v>80</v>
      </c>
      <c r="J3222">
        <v>100</v>
      </c>
      <c r="EC3222">
        <v>4</v>
      </c>
      <c r="ED3222">
        <v>4</v>
      </c>
    </row>
    <row r="3223" spans="1:136" x14ac:dyDescent="0.3">
      <c r="A3223">
        <v>485</v>
      </c>
      <c r="B3223" t="s">
        <v>2525</v>
      </c>
      <c r="C3223" t="s">
        <v>258</v>
      </c>
      <c r="D3223" t="s">
        <v>73</v>
      </c>
      <c r="E3223" t="s">
        <v>22</v>
      </c>
      <c r="F3223" s="30">
        <v>45930</v>
      </c>
      <c r="G3223" t="s">
        <v>2545</v>
      </c>
      <c r="H3223" t="s">
        <v>4639</v>
      </c>
      <c r="I3223">
        <v>80</v>
      </c>
      <c r="J3223">
        <v>0</v>
      </c>
      <c r="EC3223">
        <v>0</v>
      </c>
      <c r="ED3223">
        <v>0</v>
      </c>
    </row>
    <row r="3224" spans="1:136" x14ac:dyDescent="0.3">
      <c r="A3224">
        <v>485</v>
      </c>
      <c r="B3224" t="s">
        <v>2525</v>
      </c>
      <c r="C3224" t="s">
        <v>258</v>
      </c>
      <c r="D3224" t="s">
        <v>73</v>
      </c>
      <c r="E3224" t="s">
        <v>22</v>
      </c>
      <c r="F3224" s="30">
        <v>45930</v>
      </c>
      <c r="G3224" t="s">
        <v>2545</v>
      </c>
      <c r="H3224" t="s">
        <v>4576</v>
      </c>
      <c r="I3224">
        <v>80</v>
      </c>
      <c r="J3224">
        <v>0</v>
      </c>
      <c r="EC3224">
        <v>0</v>
      </c>
      <c r="ED3224">
        <v>2</v>
      </c>
    </row>
    <row r="3225" spans="1:136" x14ac:dyDescent="0.3">
      <c r="A3225">
        <v>485</v>
      </c>
      <c r="B3225" t="s">
        <v>2525</v>
      </c>
      <c r="C3225" t="s">
        <v>258</v>
      </c>
      <c r="D3225" t="s">
        <v>73</v>
      </c>
      <c r="E3225" t="s">
        <v>22</v>
      </c>
      <c r="F3225" s="30">
        <v>45930</v>
      </c>
      <c r="G3225" t="s">
        <v>2545</v>
      </c>
      <c r="H3225" t="s">
        <v>154</v>
      </c>
      <c r="I3225">
        <v>80</v>
      </c>
      <c r="J3225">
        <v>0</v>
      </c>
      <c r="EC3225">
        <v>0</v>
      </c>
      <c r="ED3225">
        <v>0</v>
      </c>
    </row>
    <row r="3226" spans="1:136" x14ac:dyDescent="0.3">
      <c r="A3226">
        <v>485</v>
      </c>
      <c r="B3226" t="s">
        <v>2525</v>
      </c>
      <c r="C3226" t="s">
        <v>258</v>
      </c>
      <c r="D3226" t="s">
        <v>73</v>
      </c>
      <c r="E3226" t="s">
        <v>22</v>
      </c>
      <c r="F3226" s="30">
        <v>45930</v>
      </c>
      <c r="G3226" t="s">
        <v>2545</v>
      </c>
      <c r="H3226" t="s">
        <v>4640</v>
      </c>
      <c r="I3226">
        <v>80</v>
      </c>
      <c r="J3226">
        <v>0</v>
      </c>
      <c r="EC3226">
        <v>0</v>
      </c>
      <c r="ED3226">
        <v>0</v>
      </c>
    </row>
    <row r="3227" spans="1:136" x14ac:dyDescent="0.3">
      <c r="A3227">
        <v>485</v>
      </c>
      <c r="B3227" t="s">
        <v>2525</v>
      </c>
      <c r="C3227" t="s">
        <v>258</v>
      </c>
      <c r="D3227" t="s">
        <v>73</v>
      </c>
      <c r="E3227" t="s">
        <v>22</v>
      </c>
      <c r="F3227" s="30">
        <v>45930</v>
      </c>
      <c r="G3227" t="s">
        <v>2545</v>
      </c>
      <c r="H3227" t="s">
        <v>4641</v>
      </c>
      <c r="I3227">
        <v>80</v>
      </c>
      <c r="J3227">
        <v>100</v>
      </c>
      <c r="EC3227">
        <v>1</v>
      </c>
      <c r="ED3227">
        <v>1</v>
      </c>
    </row>
    <row r="3228" spans="1:136" x14ac:dyDescent="0.3">
      <c r="A3228">
        <v>485</v>
      </c>
      <c r="B3228" t="s">
        <v>2525</v>
      </c>
      <c r="C3228" t="s">
        <v>258</v>
      </c>
      <c r="D3228" t="s">
        <v>73</v>
      </c>
      <c r="E3228" t="s">
        <v>22</v>
      </c>
      <c r="F3228" s="30">
        <v>45930</v>
      </c>
      <c r="G3228" t="s">
        <v>2545</v>
      </c>
      <c r="H3228" t="s">
        <v>4642</v>
      </c>
      <c r="I3228">
        <v>80</v>
      </c>
      <c r="J3228">
        <v>0</v>
      </c>
      <c r="EC3228">
        <v>0</v>
      </c>
      <c r="ED3228">
        <v>0</v>
      </c>
    </row>
    <row r="3229" spans="1:136" x14ac:dyDescent="0.3">
      <c r="A3229">
        <v>485</v>
      </c>
      <c r="B3229" t="s">
        <v>2525</v>
      </c>
      <c r="C3229" t="s">
        <v>258</v>
      </c>
      <c r="D3229" t="s">
        <v>73</v>
      </c>
      <c r="E3229" t="s">
        <v>22</v>
      </c>
      <c r="F3229" s="30">
        <v>45930</v>
      </c>
      <c r="G3229" t="s">
        <v>2545</v>
      </c>
      <c r="H3229" t="s">
        <v>4637</v>
      </c>
      <c r="I3229">
        <v>80</v>
      </c>
      <c r="EC3229">
        <v>0</v>
      </c>
      <c r="ED3229">
        <v>1</v>
      </c>
    </row>
    <row r="3230" spans="1:136" x14ac:dyDescent="0.3">
      <c r="A3230">
        <v>488</v>
      </c>
      <c r="B3230" t="s">
        <v>2555</v>
      </c>
      <c r="C3230" t="s">
        <v>258</v>
      </c>
      <c r="D3230" t="s">
        <v>73</v>
      </c>
      <c r="E3230" t="s">
        <v>22</v>
      </c>
      <c r="F3230" s="30">
        <v>45930</v>
      </c>
      <c r="G3230" t="s">
        <v>2576</v>
      </c>
      <c r="H3230" t="s">
        <v>4638</v>
      </c>
      <c r="I3230">
        <v>85</v>
      </c>
      <c r="J3230">
        <v>0</v>
      </c>
      <c r="EE3230">
        <v>0</v>
      </c>
      <c r="EF3230">
        <v>0</v>
      </c>
    </row>
    <row r="3231" spans="1:136" x14ac:dyDescent="0.3">
      <c r="A3231">
        <v>488</v>
      </c>
      <c r="B3231" t="s">
        <v>2555</v>
      </c>
      <c r="C3231" t="s">
        <v>258</v>
      </c>
      <c r="D3231" t="s">
        <v>73</v>
      </c>
      <c r="E3231" t="s">
        <v>22</v>
      </c>
      <c r="F3231" s="30">
        <v>45930</v>
      </c>
      <c r="G3231" t="s">
        <v>2576</v>
      </c>
      <c r="H3231" t="s">
        <v>4639</v>
      </c>
      <c r="I3231">
        <v>85</v>
      </c>
      <c r="J3231">
        <v>0</v>
      </c>
      <c r="EE3231">
        <v>0</v>
      </c>
      <c r="EF3231">
        <v>1</v>
      </c>
    </row>
    <row r="3232" spans="1:136" x14ac:dyDescent="0.3">
      <c r="A3232">
        <v>488</v>
      </c>
      <c r="B3232" t="s">
        <v>2555</v>
      </c>
      <c r="C3232" t="s">
        <v>258</v>
      </c>
      <c r="D3232" t="s">
        <v>73</v>
      </c>
      <c r="E3232" t="s">
        <v>22</v>
      </c>
      <c r="F3232" s="30">
        <v>45930</v>
      </c>
      <c r="G3232" t="s">
        <v>2576</v>
      </c>
      <c r="H3232" t="s">
        <v>4576</v>
      </c>
      <c r="I3232">
        <v>85</v>
      </c>
      <c r="J3232">
        <v>96.430000305175781</v>
      </c>
      <c r="EE3232">
        <v>54</v>
      </c>
      <c r="EF3232">
        <v>56</v>
      </c>
    </row>
    <row r="3233" spans="1:141" x14ac:dyDescent="0.3">
      <c r="A3233">
        <v>488</v>
      </c>
      <c r="B3233" t="s">
        <v>2555</v>
      </c>
      <c r="C3233" t="s">
        <v>258</v>
      </c>
      <c r="D3233" t="s">
        <v>73</v>
      </c>
      <c r="E3233" t="s">
        <v>22</v>
      </c>
      <c r="F3233" s="30">
        <v>45930</v>
      </c>
      <c r="G3233" t="s">
        <v>2576</v>
      </c>
      <c r="H3233" t="s">
        <v>154</v>
      </c>
      <c r="I3233">
        <v>85</v>
      </c>
      <c r="J3233">
        <v>0</v>
      </c>
      <c r="EE3233">
        <v>0</v>
      </c>
      <c r="EF3233">
        <v>0</v>
      </c>
    </row>
    <row r="3234" spans="1:141" x14ac:dyDescent="0.3">
      <c r="A3234">
        <v>488</v>
      </c>
      <c r="B3234" t="s">
        <v>2555</v>
      </c>
      <c r="C3234" t="s">
        <v>258</v>
      </c>
      <c r="D3234" t="s">
        <v>73</v>
      </c>
      <c r="E3234" t="s">
        <v>22</v>
      </c>
      <c r="F3234" s="30">
        <v>45930</v>
      </c>
      <c r="G3234" t="s">
        <v>2576</v>
      </c>
      <c r="H3234" t="s">
        <v>4640</v>
      </c>
      <c r="I3234">
        <v>85</v>
      </c>
      <c r="J3234">
        <v>0</v>
      </c>
      <c r="EE3234">
        <v>0</v>
      </c>
      <c r="EF3234">
        <v>0</v>
      </c>
    </row>
    <row r="3235" spans="1:141" x14ac:dyDescent="0.3">
      <c r="A3235">
        <v>488</v>
      </c>
      <c r="B3235" t="s">
        <v>2555</v>
      </c>
      <c r="C3235" t="s">
        <v>258</v>
      </c>
      <c r="D3235" t="s">
        <v>73</v>
      </c>
      <c r="E3235" t="s">
        <v>22</v>
      </c>
      <c r="F3235" s="30">
        <v>45930</v>
      </c>
      <c r="G3235" t="s">
        <v>2576</v>
      </c>
      <c r="H3235" t="s">
        <v>4641</v>
      </c>
      <c r="I3235">
        <v>85</v>
      </c>
      <c r="J3235">
        <v>68</v>
      </c>
      <c r="EE3235">
        <v>17</v>
      </c>
      <c r="EF3235">
        <v>25</v>
      </c>
    </row>
    <row r="3236" spans="1:141" x14ac:dyDescent="0.3">
      <c r="A3236">
        <v>488</v>
      </c>
      <c r="B3236" t="s">
        <v>2555</v>
      </c>
      <c r="C3236" t="s">
        <v>258</v>
      </c>
      <c r="D3236" t="s">
        <v>73</v>
      </c>
      <c r="E3236" t="s">
        <v>22</v>
      </c>
      <c r="F3236" s="30">
        <v>45930</v>
      </c>
      <c r="G3236" t="s">
        <v>2576</v>
      </c>
      <c r="H3236" t="s">
        <v>4538</v>
      </c>
      <c r="I3236">
        <v>85</v>
      </c>
      <c r="J3236">
        <v>0</v>
      </c>
      <c r="EE3236">
        <v>0</v>
      </c>
      <c r="EF3236">
        <v>0</v>
      </c>
    </row>
    <row r="3237" spans="1:141" x14ac:dyDescent="0.3">
      <c r="A3237">
        <v>488</v>
      </c>
      <c r="B3237" t="s">
        <v>2555</v>
      </c>
      <c r="C3237" t="s">
        <v>258</v>
      </c>
      <c r="D3237" t="s">
        <v>73</v>
      </c>
      <c r="E3237" t="s">
        <v>22</v>
      </c>
      <c r="F3237" s="30">
        <v>45930</v>
      </c>
      <c r="G3237" t="s">
        <v>2576</v>
      </c>
      <c r="H3237" t="s">
        <v>4642</v>
      </c>
      <c r="I3237">
        <v>85</v>
      </c>
      <c r="J3237">
        <v>0</v>
      </c>
      <c r="EE3237">
        <v>0</v>
      </c>
      <c r="EF3237">
        <v>0</v>
      </c>
    </row>
    <row r="3238" spans="1:141" x14ac:dyDescent="0.3">
      <c r="A3238">
        <v>488</v>
      </c>
      <c r="B3238" t="s">
        <v>2555</v>
      </c>
      <c r="C3238" t="s">
        <v>258</v>
      </c>
      <c r="D3238" t="s">
        <v>73</v>
      </c>
      <c r="E3238" t="s">
        <v>22</v>
      </c>
      <c r="F3238" s="30">
        <v>45930</v>
      </c>
      <c r="G3238" t="s">
        <v>2576</v>
      </c>
      <c r="H3238" t="s">
        <v>4637</v>
      </c>
      <c r="I3238">
        <v>85</v>
      </c>
      <c r="J3238">
        <v>87.5</v>
      </c>
      <c r="EE3238">
        <v>35</v>
      </c>
      <c r="EF3238">
        <v>40</v>
      </c>
    </row>
    <row r="3239" spans="1:141" x14ac:dyDescent="0.3">
      <c r="A3239">
        <v>509</v>
      </c>
      <c r="B3239" t="s">
        <v>2622</v>
      </c>
      <c r="C3239" t="s">
        <v>1096</v>
      </c>
      <c r="D3239" t="s">
        <v>73</v>
      </c>
      <c r="E3239" t="s">
        <v>22</v>
      </c>
      <c r="F3239" s="30">
        <v>45930</v>
      </c>
      <c r="G3239" t="s">
        <v>2631</v>
      </c>
      <c r="H3239" t="s">
        <v>3449</v>
      </c>
      <c r="I3239">
        <v>90</v>
      </c>
      <c r="J3239">
        <v>96.389999389648438</v>
      </c>
      <c r="EJ3239">
        <v>83</v>
      </c>
      <c r="EK3239">
        <v>80</v>
      </c>
    </row>
    <row r="3240" spans="1:141" x14ac:dyDescent="0.3">
      <c r="A3240">
        <v>509</v>
      </c>
      <c r="B3240" t="s">
        <v>2622</v>
      </c>
      <c r="C3240" t="s">
        <v>1096</v>
      </c>
      <c r="D3240" t="s">
        <v>73</v>
      </c>
      <c r="E3240" t="s">
        <v>22</v>
      </c>
      <c r="F3240" s="30">
        <v>45930</v>
      </c>
      <c r="G3240" t="s">
        <v>2631</v>
      </c>
      <c r="H3240" t="s">
        <v>3457</v>
      </c>
      <c r="I3240">
        <v>90</v>
      </c>
      <c r="J3240">
        <v>91.110000610351563</v>
      </c>
      <c r="EJ3240">
        <v>90</v>
      </c>
      <c r="EK3240">
        <v>82</v>
      </c>
    </row>
    <row r="3241" spans="1:141" x14ac:dyDescent="0.3">
      <c r="A3241">
        <v>509</v>
      </c>
      <c r="B3241" t="s">
        <v>2622</v>
      </c>
      <c r="C3241" t="s">
        <v>1096</v>
      </c>
      <c r="D3241" t="s">
        <v>73</v>
      </c>
      <c r="E3241" t="s">
        <v>22</v>
      </c>
      <c r="F3241" s="30">
        <v>45930</v>
      </c>
      <c r="G3241" t="s">
        <v>2631</v>
      </c>
      <c r="H3241" t="s">
        <v>3572</v>
      </c>
      <c r="I3241">
        <v>90</v>
      </c>
      <c r="J3241">
        <v>99</v>
      </c>
      <c r="EJ3241">
        <v>100</v>
      </c>
      <c r="EK3241">
        <v>99</v>
      </c>
    </row>
    <row r="3242" spans="1:141" x14ac:dyDescent="0.3">
      <c r="A3242">
        <v>509</v>
      </c>
      <c r="B3242" t="s">
        <v>2622</v>
      </c>
      <c r="C3242" t="s">
        <v>1096</v>
      </c>
      <c r="D3242" t="s">
        <v>73</v>
      </c>
      <c r="E3242" t="s">
        <v>22</v>
      </c>
      <c r="F3242" s="30">
        <v>45930</v>
      </c>
      <c r="G3242" t="s">
        <v>2631</v>
      </c>
      <c r="H3242" t="s">
        <v>3451</v>
      </c>
      <c r="I3242">
        <v>90</v>
      </c>
      <c r="J3242">
        <v>98.699996948242188</v>
      </c>
      <c r="EJ3242">
        <v>77</v>
      </c>
      <c r="EK3242">
        <v>76</v>
      </c>
    </row>
    <row r="3243" spans="1:141" x14ac:dyDescent="0.3">
      <c r="A3243">
        <v>509</v>
      </c>
      <c r="B3243" t="s">
        <v>2622</v>
      </c>
      <c r="C3243" t="s">
        <v>1096</v>
      </c>
      <c r="D3243" t="s">
        <v>73</v>
      </c>
      <c r="E3243" t="s">
        <v>22</v>
      </c>
      <c r="F3243" s="30">
        <v>45930</v>
      </c>
      <c r="G3243" t="s">
        <v>2631</v>
      </c>
      <c r="H3243" t="s">
        <v>3453</v>
      </c>
      <c r="I3243">
        <v>90</v>
      </c>
      <c r="J3243">
        <v>98.849998474121094</v>
      </c>
      <c r="EJ3243">
        <v>87</v>
      </c>
      <c r="EK3243">
        <v>86</v>
      </c>
    </row>
    <row r="3244" spans="1:141" x14ac:dyDescent="0.3">
      <c r="A3244">
        <v>509</v>
      </c>
      <c r="B3244" t="s">
        <v>2622</v>
      </c>
      <c r="C3244" t="s">
        <v>1096</v>
      </c>
      <c r="D3244" t="s">
        <v>73</v>
      </c>
      <c r="E3244" t="s">
        <v>22</v>
      </c>
      <c r="F3244" s="30">
        <v>45930</v>
      </c>
      <c r="G3244" t="s">
        <v>2631</v>
      </c>
      <c r="H3244" t="s">
        <v>3461</v>
      </c>
      <c r="I3244">
        <v>90</v>
      </c>
      <c r="J3244">
        <v>0</v>
      </c>
      <c r="EJ3244">
        <v>0</v>
      </c>
      <c r="EK3244">
        <v>0</v>
      </c>
    </row>
    <row r="3245" spans="1:141" x14ac:dyDescent="0.3">
      <c r="A3245">
        <v>509</v>
      </c>
      <c r="B3245" t="s">
        <v>2622</v>
      </c>
      <c r="C3245" t="s">
        <v>1096</v>
      </c>
      <c r="D3245" t="s">
        <v>73</v>
      </c>
      <c r="E3245" t="s">
        <v>22</v>
      </c>
      <c r="F3245" s="30">
        <v>45930</v>
      </c>
      <c r="G3245" t="s">
        <v>2631</v>
      </c>
      <c r="H3245" t="s">
        <v>3463</v>
      </c>
      <c r="I3245">
        <v>90</v>
      </c>
      <c r="J3245">
        <v>92.449996948242188</v>
      </c>
      <c r="EJ3245">
        <v>53</v>
      </c>
      <c r="EK3245">
        <v>49</v>
      </c>
    </row>
    <row r="3246" spans="1:141" x14ac:dyDescent="0.3">
      <c r="A3246">
        <v>509</v>
      </c>
      <c r="B3246" t="s">
        <v>2622</v>
      </c>
      <c r="C3246" t="s">
        <v>1096</v>
      </c>
      <c r="D3246" t="s">
        <v>73</v>
      </c>
      <c r="E3246" t="s">
        <v>22</v>
      </c>
      <c r="F3246" s="30">
        <v>45930</v>
      </c>
      <c r="G3246" t="s">
        <v>2631</v>
      </c>
      <c r="H3246" t="s">
        <v>3470</v>
      </c>
      <c r="I3246">
        <v>90</v>
      </c>
      <c r="J3246">
        <v>97.94000244140625</v>
      </c>
      <c r="EJ3246">
        <v>97</v>
      </c>
      <c r="EK3246">
        <v>95</v>
      </c>
    </row>
    <row r="3247" spans="1:141" x14ac:dyDescent="0.3">
      <c r="A3247">
        <v>509</v>
      </c>
      <c r="B3247" t="s">
        <v>2622</v>
      </c>
      <c r="C3247" t="s">
        <v>1096</v>
      </c>
      <c r="D3247" t="s">
        <v>73</v>
      </c>
      <c r="E3247" t="s">
        <v>22</v>
      </c>
      <c r="F3247" s="30">
        <v>45930</v>
      </c>
      <c r="G3247" t="s">
        <v>2631</v>
      </c>
      <c r="H3247" t="s">
        <v>3465</v>
      </c>
      <c r="I3247">
        <v>90</v>
      </c>
      <c r="J3247">
        <v>97.94000244140625</v>
      </c>
      <c r="EJ3247">
        <v>97</v>
      </c>
      <c r="EK3247">
        <v>95</v>
      </c>
    </row>
    <row r="3248" spans="1:141" x14ac:dyDescent="0.3">
      <c r="A3248">
        <v>509</v>
      </c>
      <c r="B3248" t="s">
        <v>2622</v>
      </c>
      <c r="C3248" t="s">
        <v>1096</v>
      </c>
      <c r="D3248" t="s">
        <v>73</v>
      </c>
      <c r="E3248" t="s">
        <v>22</v>
      </c>
      <c r="F3248" s="30">
        <v>45930</v>
      </c>
      <c r="G3248" t="s">
        <v>2631</v>
      </c>
      <c r="H3248" t="s">
        <v>3467</v>
      </c>
      <c r="I3248">
        <v>90</v>
      </c>
      <c r="J3248">
        <v>95.55999755859375</v>
      </c>
      <c r="EJ3248">
        <v>90</v>
      </c>
      <c r="EK3248">
        <v>86</v>
      </c>
    </row>
    <row r="3249" spans="1:141" x14ac:dyDescent="0.3">
      <c r="A3249">
        <v>509</v>
      </c>
      <c r="B3249" t="s">
        <v>2622</v>
      </c>
      <c r="C3249" t="s">
        <v>1096</v>
      </c>
      <c r="D3249" t="s">
        <v>73</v>
      </c>
      <c r="E3249" t="s">
        <v>22</v>
      </c>
      <c r="F3249" s="30">
        <v>45930</v>
      </c>
      <c r="G3249" t="s">
        <v>2631</v>
      </c>
      <c r="H3249" t="s">
        <v>3472</v>
      </c>
      <c r="I3249">
        <v>90</v>
      </c>
      <c r="J3249">
        <v>94.44000244140625</v>
      </c>
      <c r="EJ3249">
        <v>90</v>
      </c>
      <c r="EK3249">
        <v>85</v>
      </c>
    </row>
    <row r="3250" spans="1:141" x14ac:dyDescent="0.3">
      <c r="A3250">
        <v>509</v>
      </c>
      <c r="B3250" t="s">
        <v>2622</v>
      </c>
      <c r="C3250" t="s">
        <v>1096</v>
      </c>
      <c r="D3250" t="s">
        <v>73</v>
      </c>
      <c r="E3250" t="s">
        <v>22</v>
      </c>
      <c r="F3250" s="30">
        <v>45930</v>
      </c>
      <c r="G3250" t="s">
        <v>2631</v>
      </c>
      <c r="H3250" t="s">
        <v>4647</v>
      </c>
      <c r="I3250">
        <v>90</v>
      </c>
      <c r="J3250">
        <v>0</v>
      </c>
      <c r="EJ3250">
        <v>0</v>
      </c>
      <c r="EK3250">
        <v>0</v>
      </c>
    </row>
    <row r="3251" spans="1:141" x14ac:dyDescent="0.3">
      <c r="A3251">
        <v>509</v>
      </c>
      <c r="B3251" t="s">
        <v>2622</v>
      </c>
      <c r="C3251" t="s">
        <v>1096</v>
      </c>
      <c r="D3251" t="s">
        <v>73</v>
      </c>
      <c r="E3251" t="s">
        <v>22</v>
      </c>
      <c r="F3251" s="30">
        <v>45930</v>
      </c>
      <c r="G3251" t="s">
        <v>2631</v>
      </c>
      <c r="H3251" t="s">
        <v>4648</v>
      </c>
      <c r="I3251">
        <v>90</v>
      </c>
      <c r="J3251">
        <v>0</v>
      </c>
      <c r="EJ3251">
        <v>0</v>
      </c>
      <c r="EK3251">
        <v>0</v>
      </c>
    </row>
    <row r="3252" spans="1:141" x14ac:dyDescent="0.3">
      <c r="A3252">
        <v>509</v>
      </c>
      <c r="B3252" t="s">
        <v>2622</v>
      </c>
      <c r="C3252" t="s">
        <v>1096</v>
      </c>
      <c r="D3252" t="s">
        <v>73</v>
      </c>
      <c r="E3252" t="s">
        <v>22</v>
      </c>
      <c r="F3252" s="30">
        <v>45930</v>
      </c>
      <c r="G3252" t="s">
        <v>2631</v>
      </c>
      <c r="H3252" t="s">
        <v>4649</v>
      </c>
      <c r="I3252">
        <v>90</v>
      </c>
      <c r="J3252">
        <v>0</v>
      </c>
      <c r="EJ3252">
        <v>0</v>
      </c>
      <c r="EK3252">
        <v>0</v>
      </c>
    </row>
    <row r="3253" spans="1:141" x14ac:dyDescent="0.3">
      <c r="A3253">
        <v>509</v>
      </c>
      <c r="B3253" t="s">
        <v>2622</v>
      </c>
      <c r="C3253" t="s">
        <v>1096</v>
      </c>
      <c r="D3253" t="s">
        <v>73</v>
      </c>
      <c r="E3253" t="s">
        <v>22</v>
      </c>
      <c r="F3253" s="30">
        <v>45930</v>
      </c>
      <c r="G3253" t="s">
        <v>2631</v>
      </c>
      <c r="H3253" t="s">
        <v>4650</v>
      </c>
      <c r="I3253">
        <v>90</v>
      </c>
      <c r="J3253">
        <v>0</v>
      </c>
      <c r="EJ3253">
        <v>0</v>
      </c>
      <c r="EK3253">
        <v>0</v>
      </c>
    </row>
    <row r="3254" spans="1:141" x14ac:dyDescent="0.3">
      <c r="A3254">
        <v>509</v>
      </c>
      <c r="B3254" t="s">
        <v>2622</v>
      </c>
      <c r="C3254" t="s">
        <v>1096</v>
      </c>
      <c r="D3254" t="s">
        <v>73</v>
      </c>
      <c r="E3254" t="s">
        <v>22</v>
      </c>
      <c r="F3254" s="30">
        <v>45930</v>
      </c>
      <c r="G3254" t="s">
        <v>2631</v>
      </c>
      <c r="H3254" t="s">
        <v>3455</v>
      </c>
      <c r="I3254">
        <v>90</v>
      </c>
      <c r="J3254">
        <v>97.139999389648438</v>
      </c>
      <c r="EJ3254">
        <v>70</v>
      </c>
      <c r="EK3254">
        <v>68</v>
      </c>
    </row>
    <row r="3255" spans="1:141" x14ac:dyDescent="0.3">
      <c r="A3255">
        <v>509</v>
      </c>
      <c r="B3255" t="s">
        <v>2622</v>
      </c>
      <c r="C3255" t="s">
        <v>1096</v>
      </c>
      <c r="D3255" t="s">
        <v>73</v>
      </c>
      <c r="E3255" t="s">
        <v>22</v>
      </c>
      <c r="F3255" s="30">
        <v>45930</v>
      </c>
      <c r="G3255" t="s">
        <v>2631</v>
      </c>
      <c r="H3255" t="s">
        <v>3476</v>
      </c>
      <c r="I3255">
        <v>90</v>
      </c>
      <c r="J3255">
        <v>0</v>
      </c>
      <c r="EJ3255">
        <v>0</v>
      </c>
      <c r="EK3255">
        <v>0</v>
      </c>
    </row>
    <row r="3256" spans="1:141" x14ac:dyDescent="0.3">
      <c r="A3256">
        <v>509</v>
      </c>
      <c r="B3256" t="s">
        <v>2622</v>
      </c>
      <c r="C3256" t="s">
        <v>1096</v>
      </c>
      <c r="D3256" t="s">
        <v>73</v>
      </c>
      <c r="E3256" t="s">
        <v>22</v>
      </c>
      <c r="F3256" s="30">
        <v>45930</v>
      </c>
      <c r="G3256" t="s">
        <v>2631</v>
      </c>
      <c r="H3256" t="s">
        <v>3459</v>
      </c>
      <c r="I3256">
        <v>90</v>
      </c>
      <c r="J3256">
        <v>100</v>
      </c>
      <c r="EJ3256">
        <v>56</v>
      </c>
      <c r="EK3256">
        <v>56</v>
      </c>
    </row>
    <row r="3257" spans="1:141" x14ac:dyDescent="0.3">
      <c r="A3257">
        <v>213</v>
      </c>
      <c r="B3257" t="s">
        <v>757</v>
      </c>
      <c r="C3257" t="s">
        <v>251</v>
      </c>
      <c r="D3257" t="s">
        <v>21</v>
      </c>
      <c r="E3257" t="s">
        <v>22</v>
      </c>
      <c r="F3257" s="30">
        <v>45930</v>
      </c>
      <c r="G3257" t="s">
        <v>772</v>
      </c>
      <c r="H3257" t="s">
        <v>4487</v>
      </c>
      <c r="I3257">
        <v>90</v>
      </c>
      <c r="J3257">
        <v>100</v>
      </c>
      <c r="AW3257">
        <v>63</v>
      </c>
      <c r="AX3257">
        <v>63</v>
      </c>
    </row>
    <row r="3258" spans="1:141" x14ac:dyDescent="0.3">
      <c r="A3258">
        <v>213</v>
      </c>
      <c r="B3258" t="s">
        <v>757</v>
      </c>
      <c r="C3258" t="s">
        <v>251</v>
      </c>
      <c r="D3258" t="s">
        <v>21</v>
      </c>
      <c r="E3258" t="s">
        <v>22</v>
      </c>
      <c r="F3258" s="30">
        <v>45930</v>
      </c>
      <c r="G3258" t="s">
        <v>772</v>
      </c>
      <c r="H3258" t="s">
        <v>4482</v>
      </c>
      <c r="I3258">
        <v>90</v>
      </c>
      <c r="J3258">
        <v>100</v>
      </c>
      <c r="AW3258">
        <v>6</v>
      </c>
      <c r="AX3258">
        <v>6</v>
      </c>
    </row>
    <row r="3259" spans="1:141" x14ac:dyDescent="0.3">
      <c r="A3259">
        <v>213</v>
      </c>
      <c r="B3259" t="s">
        <v>757</v>
      </c>
      <c r="C3259" t="s">
        <v>251</v>
      </c>
      <c r="D3259" t="s">
        <v>21</v>
      </c>
      <c r="E3259" t="s">
        <v>22</v>
      </c>
      <c r="F3259" s="30">
        <v>45930</v>
      </c>
      <c r="G3259" t="s">
        <v>772</v>
      </c>
      <c r="H3259" t="s">
        <v>4483</v>
      </c>
      <c r="I3259">
        <v>90</v>
      </c>
      <c r="J3259">
        <v>100</v>
      </c>
      <c r="AW3259">
        <v>35</v>
      </c>
      <c r="AX3259">
        <v>35</v>
      </c>
    </row>
    <row r="3260" spans="1:141" x14ac:dyDescent="0.3">
      <c r="A3260">
        <v>213</v>
      </c>
      <c r="B3260" t="s">
        <v>757</v>
      </c>
      <c r="C3260" t="s">
        <v>251</v>
      </c>
      <c r="D3260" t="s">
        <v>21</v>
      </c>
      <c r="E3260" t="s">
        <v>22</v>
      </c>
      <c r="F3260" s="30">
        <v>45930</v>
      </c>
      <c r="G3260" t="s">
        <v>772</v>
      </c>
      <c r="H3260" t="s">
        <v>4484</v>
      </c>
      <c r="I3260">
        <v>90</v>
      </c>
      <c r="J3260">
        <v>100</v>
      </c>
      <c r="AW3260">
        <v>20</v>
      </c>
      <c r="AX3260">
        <v>20</v>
      </c>
    </row>
    <row r="3261" spans="1:141" x14ac:dyDescent="0.3">
      <c r="A3261">
        <v>213</v>
      </c>
      <c r="B3261" t="s">
        <v>757</v>
      </c>
      <c r="C3261" t="s">
        <v>251</v>
      </c>
      <c r="D3261" t="s">
        <v>21</v>
      </c>
      <c r="E3261" t="s">
        <v>22</v>
      </c>
      <c r="F3261" s="30">
        <v>45930</v>
      </c>
      <c r="G3261" t="s">
        <v>772</v>
      </c>
      <c r="H3261" t="s">
        <v>4533</v>
      </c>
      <c r="I3261">
        <v>90</v>
      </c>
      <c r="J3261">
        <v>100</v>
      </c>
      <c r="AW3261">
        <v>10</v>
      </c>
      <c r="AX3261">
        <v>10</v>
      </c>
    </row>
    <row r="3262" spans="1:141" x14ac:dyDescent="0.3">
      <c r="A3262">
        <v>213</v>
      </c>
      <c r="B3262" t="s">
        <v>757</v>
      </c>
      <c r="C3262" t="s">
        <v>251</v>
      </c>
      <c r="D3262" t="s">
        <v>21</v>
      </c>
      <c r="E3262" t="s">
        <v>22</v>
      </c>
      <c r="F3262" s="30">
        <v>45930</v>
      </c>
      <c r="G3262" t="s">
        <v>772</v>
      </c>
      <c r="H3262" t="s">
        <v>4534</v>
      </c>
      <c r="I3262">
        <v>90</v>
      </c>
      <c r="J3262">
        <v>100</v>
      </c>
      <c r="AW3262">
        <v>3</v>
      </c>
      <c r="AX3262">
        <v>3</v>
      </c>
    </row>
    <row r="3263" spans="1:141" x14ac:dyDescent="0.3">
      <c r="A3263">
        <v>213</v>
      </c>
      <c r="B3263" t="s">
        <v>757</v>
      </c>
      <c r="C3263" t="s">
        <v>251</v>
      </c>
      <c r="D3263" t="s">
        <v>21</v>
      </c>
      <c r="E3263" t="s">
        <v>22</v>
      </c>
      <c r="F3263" s="30">
        <v>45930</v>
      </c>
      <c r="G3263" t="s">
        <v>772</v>
      </c>
      <c r="H3263" t="s">
        <v>4485</v>
      </c>
      <c r="I3263">
        <v>90</v>
      </c>
      <c r="J3263">
        <v>100</v>
      </c>
      <c r="AW3263">
        <v>30</v>
      </c>
      <c r="AX3263">
        <v>30</v>
      </c>
    </row>
    <row r="3264" spans="1:141" x14ac:dyDescent="0.3">
      <c r="A3264">
        <v>213</v>
      </c>
      <c r="B3264" t="s">
        <v>757</v>
      </c>
      <c r="C3264" t="s">
        <v>251</v>
      </c>
      <c r="D3264" t="s">
        <v>21</v>
      </c>
      <c r="E3264" t="s">
        <v>22</v>
      </c>
      <c r="F3264" s="30">
        <v>45930</v>
      </c>
      <c r="G3264" t="s">
        <v>772</v>
      </c>
      <c r="H3264" t="s">
        <v>4486</v>
      </c>
      <c r="I3264">
        <v>90</v>
      </c>
      <c r="J3264">
        <v>100</v>
      </c>
      <c r="AW3264">
        <v>30</v>
      </c>
      <c r="AX3264">
        <v>30</v>
      </c>
    </row>
    <row r="3265" spans="1:79" x14ac:dyDescent="0.3">
      <c r="A3265">
        <v>238</v>
      </c>
      <c r="B3265" t="s">
        <v>1077</v>
      </c>
      <c r="C3265" t="s">
        <v>251</v>
      </c>
      <c r="D3265" t="s">
        <v>21</v>
      </c>
      <c r="E3265" t="s">
        <v>22</v>
      </c>
      <c r="F3265" s="30">
        <v>45930</v>
      </c>
      <c r="G3265" t="s">
        <v>1093</v>
      </c>
      <c r="H3265" t="s">
        <v>4488</v>
      </c>
      <c r="I3265">
        <v>90</v>
      </c>
      <c r="J3265">
        <v>94.739997863769531</v>
      </c>
      <c r="AY3265">
        <v>18</v>
      </c>
      <c r="AZ3265">
        <v>19</v>
      </c>
    </row>
    <row r="3266" spans="1:79" x14ac:dyDescent="0.3">
      <c r="A3266">
        <v>238</v>
      </c>
      <c r="B3266" t="s">
        <v>1077</v>
      </c>
      <c r="C3266" t="s">
        <v>251</v>
      </c>
      <c r="D3266" t="s">
        <v>21</v>
      </c>
      <c r="E3266" t="s">
        <v>22</v>
      </c>
      <c r="F3266" s="30">
        <v>45930</v>
      </c>
      <c r="G3266" t="s">
        <v>1093</v>
      </c>
      <c r="H3266" t="s">
        <v>4489</v>
      </c>
      <c r="I3266">
        <v>90</v>
      </c>
      <c r="J3266">
        <v>88.889999389648438</v>
      </c>
      <c r="AY3266">
        <v>8</v>
      </c>
      <c r="AZ3266">
        <v>9</v>
      </c>
    </row>
    <row r="3267" spans="1:79" x14ac:dyDescent="0.3">
      <c r="A3267">
        <v>238</v>
      </c>
      <c r="B3267" t="s">
        <v>1077</v>
      </c>
      <c r="C3267" t="s">
        <v>251</v>
      </c>
      <c r="D3267" t="s">
        <v>21</v>
      </c>
      <c r="E3267" t="s">
        <v>22</v>
      </c>
      <c r="F3267" s="30">
        <v>45930</v>
      </c>
      <c r="G3267" t="s">
        <v>1093</v>
      </c>
      <c r="H3267" t="s">
        <v>4490</v>
      </c>
      <c r="I3267">
        <v>90</v>
      </c>
      <c r="J3267">
        <v>100</v>
      </c>
      <c r="AY3267">
        <v>3</v>
      </c>
      <c r="AZ3267">
        <v>3</v>
      </c>
    </row>
    <row r="3268" spans="1:79" x14ac:dyDescent="0.3">
      <c r="A3268">
        <v>238</v>
      </c>
      <c r="B3268" t="s">
        <v>1077</v>
      </c>
      <c r="C3268" t="s">
        <v>251</v>
      </c>
      <c r="D3268" t="s">
        <v>21</v>
      </c>
      <c r="E3268" t="s">
        <v>22</v>
      </c>
      <c r="F3268" s="30">
        <v>45930</v>
      </c>
      <c r="G3268" t="s">
        <v>1093</v>
      </c>
      <c r="H3268" t="s">
        <v>4491</v>
      </c>
      <c r="I3268">
        <v>90</v>
      </c>
      <c r="J3268">
        <v>100</v>
      </c>
      <c r="AY3268">
        <v>3</v>
      </c>
      <c r="AZ3268">
        <v>3</v>
      </c>
    </row>
    <row r="3269" spans="1:79" x14ac:dyDescent="0.3">
      <c r="A3269">
        <v>238</v>
      </c>
      <c r="B3269" t="s">
        <v>1077</v>
      </c>
      <c r="C3269" t="s">
        <v>251</v>
      </c>
      <c r="D3269" t="s">
        <v>21</v>
      </c>
      <c r="E3269" t="s">
        <v>22</v>
      </c>
      <c r="F3269" s="30">
        <v>45930</v>
      </c>
      <c r="G3269" t="s">
        <v>1093</v>
      </c>
      <c r="H3269" t="s">
        <v>4535</v>
      </c>
      <c r="I3269">
        <v>90</v>
      </c>
      <c r="J3269">
        <v>0</v>
      </c>
      <c r="AY3269">
        <v>0</v>
      </c>
      <c r="AZ3269">
        <v>0</v>
      </c>
    </row>
    <row r="3270" spans="1:79" x14ac:dyDescent="0.3">
      <c r="A3270">
        <v>238</v>
      </c>
      <c r="B3270" t="s">
        <v>1077</v>
      </c>
      <c r="C3270" t="s">
        <v>251</v>
      </c>
      <c r="D3270" t="s">
        <v>21</v>
      </c>
      <c r="E3270" t="s">
        <v>22</v>
      </c>
      <c r="F3270" s="30">
        <v>45930</v>
      </c>
      <c r="G3270" t="s">
        <v>1093</v>
      </c>
      <c r="H3270" t="s">
        <v>4492</v>
      </c>
      <c r="I3270">
        <v>90</v>
      </c>
      <c r="J3270">
        <v>100</v>
      </c>
      <c r="AY3270">
        <v>3</v>
      </c>
      <c r="AZ3270">
        <v>3</v>
      </c>
    </row>
    <row r="3271" spans="1:79" x14ac:dyDescent="0.3">
      <c r="A3271">
        <v>238</v>
      </c>
      <c r="B3271" t="s">
        <v>1077</v>
      </c>
      <c r="C3271" t="s">
        <v>251</v>
      </c>
      <c r="D3271" t="s">
        <v>21</v>
      </c>
      <c r="E3271" t="s">
        <v>22</v>
      </c>
      <c r="F3271" s="30">
        <v>45930</v>
      </c>
      <c r="G3271" t="s">
        <v>1093</v>
      </c>
      <c r="H3271" t="s">
        <v>4536</v>
      </c>
      <c r="I3271">
        <v>90</v>
      </c>
      <c r="J3271">
        <v>0</v>
      </c>
      <c r="AY3271">
        <v>0</v>
      </c>
      <c r="AZ3271">
        <v>0</v>
      </c>
    </row>
    <row r="3272" spans="1:79" x14ac:dyDescent="0.3">
      <c r="A3272">
        <v>238</v>
      </c>
      <c r="B3272" t="s">
        <v>1077</v>
      </c>
      <c r="C3272" t="s">
        <v>251</v>
      </c>
      <c r="D3272" t="s">
        <v>21</v>
      </c>
      <c r="E3272" t="s">
        <v>22</v>
      </c>
      <c r="F3272" s="30">
        <v>45930</v>
      </c>
      <c r="G3272" t="s">
        <v>1093</v>
      </c>
      <c r="H3272" t="s">
        <v>4493</v>
      </c>
      <c r="I3272">
        <v>90</v>
      </c>
      <c r="J3272">
        <v>0</v>
      </c>
      <c r="AY3272">
        <v>0</v>
      </c>
      <c r="AZ3272">
        <v>0</v>
      </c>
    </row>
    <row r="3273" spans="1:79" x14ac:dyDescent="0.3">
      <c r="A3273">
        <v>306</v>
      </c>
      <c r="B3273" t="s">
        <v>1543</v>
      </c>
      <c r="C3273" t="s">
        <v>1241</v>
      </c>
      <c r="D3273" t="s">
        <v>21</v>
      </c>
      <c r="E3273" t="s">
        <v>22</v>
      </c>
      <c r="F3273" s="30">
        <v>45930</v>
      </c>
      <c r="G3273" t="s">
        <v>1553</v>
      </c>
      <c r="H3273" t="s">
        <v>4542</v>
      </c>
      <c r="I3273">
        <v>100</v>
      </c>
      <c r="J3273">
        <v>100</v>
      </c>
      <c r="BY3273">
        <v>100</v>
      </c>
    </row>
    <row r="3274" spans="1:79" x14ac:dyDescent="0.3">
      <c r="A3274">
        <v>306</v>
      </c>
      <c r="B3274" t="s">
        <v>1543</v>
      </c>
      <c r="C3274" t="s">
        <v>1241</v>
      </c>
      <c r="D3274" t="s">
        <v>21</v>
      </c>
      <c r="E3274" t="s">
        <v>22</v>
      </c>
      <c r="F3274" s="30">
        <v>45930</v>
      </c>
      <c r="G3274" t="s">
        <v>1553</v>
      </c>
      <c r="H3274" t="s">
        <v>4540</v>
      </c>
      <c r="I3274">
        <v>100</v>
      </c>
      <c r="J3274">
        <v>119</v>
      </c>
      <c r="BY3274">
        <v>119</v>
      </c>
    </row>
    <row r="3275" spans="1:79" x14ac:dyDescent="0.3">
      <c r="A3275">
        <v>306</v>
      </c>
      <c r="B3275" t="s">
        <v>1543</v>
      </c>
      <c r="C3275" t="s">
        <v>1241</v>
      </c>
      <c r="D3275" t="s">
        <v>21</v>
      </c>
      <c r="E3275" t="s">
        <v>22</v>
      </c>
      <c r="F3275" s="30">
        <v>45930</v>
      </c>
      <c r="G3275" t="s">
        <v>1553</v>
      </c>
      <c r="H3275" t="s">
        <v>4539</v>
      </c>
      <c r="I3275">
        <v>100</v>
      </c>
      <c r="J3275">
        <v>104</v>
      </c>
      <c r="BY3275">
        <v>104</v>
      </c>
    </row>
    <row r="3276" spans="1:79" x14ac:dyDescent="0.3">
      <c r="A3276">
        <v>306</v>
      </c>
      <c r="B3276" t="s">
        <v>1543</v>
      </c>
      <c r="C3276" t="s">
        <v>1241</v>
      </c>
      <c r="D3276" t="s">
        <v>21</v>
      </c>
      <c r="E3276" t="s">
        <v>22</v>
      </c>
      <c r="F3276" s="30">
        <v>45930</v>
      </c>
      <c r="G3276" t="s">
        <v>1553</v>
      </c>
      <c r="H3276" t="s">
        <v>4538</v>
      </c>
      <c r="I3276">
        <v>100</v>
      </c>
      <c r="J3276">
        <v>103</v>
      </c>
      <c r="BY3276">
        <v>103</v>
      </c>
    </row>
    <row r="3277" spans="1:79" x14ac:dyDescent="0.3">
      <c r="A3277">
        <v>306</v>
      </c>
      <c r="B3277" t="s">
        <v>1543</v>
      </c>
      <c r="C3277" t="s">
        <v>1241</v>
      </c>
      <c r="D3277" t="s">
        <v>21</v>
      </c>
      <c r="E3277" t="s">
        <v>22</v>
      </c>
      <c r="F3277" s="30">
        <v>45930</v>
      </c>
      <c r="G3277" t="s">
        <v>1553</v>
      </c>
      <c r="H3277" t="s">
        <v>4537</v>
      </c>
      <c r="I3277">
        <v>100</v>
      </c>
      <c r="J3277">
        <v>104</v>
      </c>
      <c r="BY3277">
        <v>104</v>
      </c>
    </row>
    <row r="3278" spans="1:79" x14ac:dyDescent="0.3">
      <c r="A3278">
        <v>306</v>
      </c>
      <c r="B3278" t="s">
        <v>1543</v>
      </c>
      <c r="C3278" t="s">
        <v>1241</v>
      </c>
      <c r="D3278" t="s">
        <v>21</v>
      </c>
      <c r="E3278" t="s">
        <v>22</v>
      </c>
      <c r="F3278" s="30">
        <v>45930</v>
      </c>
      <c r="G3278" t="s">
        <v>1553</v>
      </c>
      <c r="H3278" t="s">
        <v>4541</v>
      </c>
      <c r="I3278">
        <v>100</v>
      </c>
      <c r="J3278">
        <v>105</v>
      </c>
      <c r="BY3278">
        <v>105</v>
      </c>
    </row>
    <row r="3279" spans="1:79" x14ac:dyDescent="0.3">
      <c r="A3279">
        <v>373</v>
      </c>
      <c r="B3279" t="s">
        <v>1856</v>
      </c>
      <c r="C3279" t="s">
        <v>1263</v>
      </c>
      <c r="D3279" t="s">
        <v>21</v>
      </c>
      <c r="E3279" t="s">
        <v>22</v>
      </c>
      <c r="F3279" s="30">
        <v>45930</v>
      </c>
      <c r="G3279" t="s">
        <v>1867</v>
      </c>
      <c r="H3279" t="s">
        <v>4542</v>
      </c>
      <c r="I3279">
        <v>100</v>
      </c>
      <c r="J3279">
        <v>96.699996948242188</v>
      </c>
      <c r="BZ3279">
        <v>88</v>
      </c>
      <c r="CA3279">
        <v>91</v>
      </c>
    </row>
    <row r="3280" spans="1:79" x14ac:dyDescent="0.3">
      <c r="A3280">
        <v>373</v>
      </c>
      <c r="B3280" t="s">
        <v>1856</v>
      </c>
      <c r="C3280" t="s">
        <v>1263</v>
      </c>
      <c r="D3280" t="s">
        <v>21</v>
      </c>
      <c r="E3280" t="s">
        <v>22</v>
      </c>
      <c r="F3280" s="30">
        <v>45930</v>
      </c>
      <c r="G3280" t="s">
        <v>1867</v>
      </c>
      <c r="H3280" t="s">
        <v>4541</v>
      </c>
      <c r="I3280">
        <v>100</v>
      </c>
      <c r="J3280">
        <v>97.75</v>
      </c>
      <c r="BZ3280">
        <v>87</v>
      </c>
      <c r="CA3280">
        <v>89</v>
      </c>
    </row>
    <row r="3281" spans="1:81" x14ac:dyDescent="0.3">
      <c r="A3281">
        <v>373</v>
      </c>
      <c r="B3281" t="s">
        <v>1856</v>
      </c>
      <c r="C3281" t="s">
        <v>1263</v>
      </c>
      <c r="D3281" t="s">
        <v>21</v>
      </c>
      <c r="E3281" t="s">
        <v>22</v>
      </c>
      <c r="F3281" s="30">
        <v>45930</v>
      </c>
      <c r="G3281" t="s">
        <v>1867</v>
      </c>
      <c r="H3281" t="s">
        <v>4540</v>
      </c>
      <c r="I3281">
        <v>100</v>
      </c>
      <c r="J3281">
        <v>94.510002136230469</v>
      </c>
      <c r="BZ3281">
        <v>86</v>
      </c>
      <c r="CA3281">
        <v>91</v>
      </c>
    </row>
    <row r="3282" spans="1:81" x14ac:dyDescent="0.3">
      <c r="A3282">
        <v>373</v>
      </c>
      <c r="B3282" t="s">
        <v>1856</v>
      </c>
      <c r="C3282" t="s">
        <v>1263</v>
      </c>
      <c r="D3282" t="s">
        <v>21</v>
      </c>
      <c r="E3282" t="s">
        <v>22</v>
      </c>
      <c r="F3282" s="30">
        <v>45930</v>
      </c>
      <c r="G3282" t="s">
        <v>1867</v>
      </c>
      <c r="H3282" t="s">
        <v>4538</v>
      </c>
      <c r="I3282">
        <v>100</v>
      </c>
      <c r="J3282">
        <v>96.739997863769531</v>
      </c>
      <c r="BZ3282">
        <v>89</v>
      </c>
      <c r="CA3282">
        <v>92</v>
      </c>
    </row>
    <row r="3283" spans="1:81" x14ac:dyDescent="0.3">
      <c r="A3283">
        <v>373</v>
      </c>
      <c r="B3283" t="s">
        <v>1856</v>
      </c>
      <c r="C3283" t="s">
        <v>1263</v>
      </c>
      <c r="D3283" t="s">
        <v>21</v>
      </c>
      <c r="E3283" t="s">
        <v>22</v>
      </c>
      <c r="F3283" s="30">
        <v>45930</v>
      </c>
      <c r="G3283" t="s">
        <v>1867</v>
      </c>
      <c r="H3283" t="s">
        <v>4537</v>
      </c>
      <c r="I3283">
        <v>100</v>
      </c>
      <c r="J3283">
        <v>97.75</v>
      </c>
      <c r="BZ3283">
        <v>87</v>
      </c>
      <c r="CA3283">
        <v>89</v>
      </c>
    </row>
    <row r="3284" spans="1:81" x14ac:dyDescent="0.3">
      <c r="A3284">
        <v>373</v>
      </c>
      <c r="B3284" t="s">
        <v>1856</v>
      </c>
      <c r="C3284" t="s">
        <v>1263</v>
      </c>
      <c r="D3284" t="s">
        <v>21</v>
      </c>
      <c r="E3284" t="s">
        <v>22</v>
      </c>
      <c r="F3284" s="30">
        <v>45930</v>
      </c>
      <c r="G3284" t="s">
        <v>1867</v>
      </c>
      <c r="H3284" t="s">
        <v>4539</v>
      </c>
      <c r="I3284">
        <v>100</v>
      </c>
      <c r="J3284">
        <v>94.44000244140625</v>
      </c>
      <c r="BZ3284">
        <v>85</v>
      </c>
      <c r="CA3284">
        <v>90</v>
      </c>
    </row>
    <row r="3285" spans="1:81" x14ac:dyDescent="0.3">
      <c r="A3285">
        <v>390</v>
      </c>
      <c r="B3285" t="s">
        <v>1970</v>
      </c>
      <c r="C3285" t="s">
        <v>1263</v>
      </c>
      <c r="D3285" t="s">
        <v>21</v>
      </c>
      <c r="E3285" t="s">
        <v>22</v>
      </c>
      <c r="F3285" s="30">
        <v>45930</v>
      </c>
      <c r="G3285" t="s">
        <v>1981</v>
      </c>
      <c r="H3285" t="s">
        <v>4514</v>
      </c>
      <c r="I3285">
        <v>100</v>
      </c>
      <c r="J3285">
        <v>98.800003051757813</v>
      </c>
      <c r="CB3285">
        <v>82</v>
      </c>
      <c r="CC3285">
        <v>83</v>
      </c>
    </row>
    <row r="3286" spans="1:81" x14ac:dyDescent="0.3">
      <c r="A3286">
        <v>390</v>
      </c>
      <c r="B3286" t="s">
        <v>1970</v>
      </c>
      <c r="C3286" t="s">
        <v>1263</v>
      </c>
      <c r="D3286" t="s">
        <v>21</v>
      </c>
      <c r="E3286" t="s">
        <v>22</v>
      </c>
      <c r="F3286" s="30">
        <v>45930</v>
      </c>
      <c r="G3286" t="s">
        <v>1981</v>
      </c>
      <c r="H3286" t="s">
        <v>4515</v>
      </c>
      <c r="I3286">
        <v>100</v>
      </c>
      <c r="J3286">
        <v>96.430000305175781</v>
      </c>
      <c r="CB3286">
        <v>81</v>
      </c>
      <c r="CC3286">
        <v>84</v>
      </c>
    </row>
    <row r="3287" spans="1:81" x14ac:dyDescent="0.3">
      <c r="A3287">
        <v>390</v>
      </c>
      <c r="B3287" t="s">
        <v>1970</v>
      </c>
      <c r="C3287" t="s">
        <v>1263</v>
      </c>
      <c r="D3287" t="s">
        <v>21</v>
      </c>
      <c r="E3287" t="s">
        <v>22</v>
      </c>
      <c r="F3287" s="30">
        <v>45930</v>
      </c>
      <c r="G3287" t="s">
        <v>1981</v>
      </c>
      <c r="H3287" t="s">
        <v>4516</v>
      </c>
      <c r="I3287">
        <v>100</v>
      </c>
      <c r="J3287">
        <v>115.120002746582</v>
      </c>
      <c r="CB3287">
        <v>99</v>
      </c>
      <c r="CC3287">
        <v>86</v>
      </c>
    </row>
    <row r="3288" spans="1:81" x14ac:dyDescent="0.3">
      <c r="A3288">
        <v>390</v>
      </c>
      <c r="B3288" t="s">
        <v>1970</v>
      </c>
      <c r="C3288" t="s">
        <v>1263</v>
      </c>
      <c r="D3288" t="s">
        <v>21</v>
      </c>
      <c r="E3288" t="s">
        <v>22</v>
      </c>
      <c r="F3288" s="30">
        <v>45930</v>
      </c>
      <c r="G3288" t="s">
        <v>1981</v>
      </c>
      <c r="H3288" t="s">
        <v>4517</v>
      </c>
      <c r="I3288">
        <v>100</v>
      </c>
      <c r="J3288">
        <v>100</v>
      </c>
      <c r="CB3288">
        <v>83</v>
      </c>
      <c r="CC3288">
        <v>83</v>
      </c>
    </row>
    <row r="3289" spans="1:81" x14ac:dyDescent="0.3">
      <c r="A3289">
        <v>390</v>
      </c>
      <c r="B3289" t="s">
        <v>1970</v>
      </c>
      <c r="C3289" t="s">
        <v>1263</v>
      </c>
      <c r="D3289" t="s">
        <v>21</v>
      </c>
      <c r="E3289" t="s">
        <v>22</v>
      </c>
      <c r="F3289" s="30">
        <v>45930</v>
      </c>
      <c r="G3289" t="s">
        <v>1981</v>
      </c>
      <c r="H3289" t="s">
        <v>4518</v>
      </c>
      <c r="I3289">
        <v>100</v>
      </c>
      <c r="J3289">
        <v>101.2200012207031</v>
      </c>
      <c r="CB3289">
        <v>83</v>
      </c>
      <c r="CC3289">
        <v>82</v>
      </c>
    </row>
    <row r="3290" spans="1:81" x14ac:dyDescent="0.3">
      <c r="A3290">
        <v>390</v>
      </c>
      <c r="B3290" t="s">
        <v>1970</v>
      </c>
      <c r="C3290" t="s">
        <v>1263</v>
      </c>
      <c r="D3290" t="s">
        <v>21</v>
      </c>
      <c r="E3290" t="s">
        <v>22</v>
      </c>
      <c r="F3290" s="30">
        <v>45930</v>
      </c>
      <c r="G3290" t="s">
        <v>1981</v>
      </c>
      <c r="H3290" t="s">
        <v>4519</v>
      </c>
      <c r="I3290">
        <v>100</v>
      </c>
      <c r="J3290">
        <v>104.40000152587891</v>
      </c>
      <c r="CB3290">
        <v>95</v>
      </c>
      <c r="CC3290">
        <v>91</v>
      </c>
    </row>
    <row r="3291" spans="1:81" x14ac:dyDescent="0.3">
      <c r="A3291">
        <v>390</v>
      </c>
      <c r="B3291" t="s">
        <v>1970</v>
      </c>
      <c r="C3291" t="s">
        <v>1263</v>
      </c>
      <c r="D3291" t="s">
        <v>21</v>
      </c>
      <c r="E3291" t="s">
        <v>22</v>
      </c>
      <c r="F3291" s="30">
        <v>45930</v>
      </c>
      <c r="G3291" t="s">
        <v>1981</v>
      </c>
      <c r="H3291" t="s">
        <v>4520</v>
      </c>
      <c r="I3291">
        <v>100</v>
      </c>
      <c r="J3291">
        <v>105.6800003051758</v>
      </c>
      <c r="CB3291">
        <v>93</v>
      </c>
      <c r="CC3291">
        <v>88</v>
      </c>
    </row>
    <row r="3292" spans="1:81" x14ac:dyDescent="0.3">
      <c r="A3292">
        <v>390</v>
      </c>
      <c r="B3292" t="s">
        <v>1970</v>
      </c>
      <c r="C3292" t="s">
        <v>1263</v>
      </c>
      <c r="D3292" t="s">
        <v>21</v>
      </c>
      <c r="E3292" t="s">
        <v>22</v>
      </c>
      <c r="F3292" s="30">
        <v>45930</v>
      </c>
      <c r="G3292" t="s">
        <v>1981</v>
      </c>
      <c r="H3292" t="s">
        <v>4521</v>
      </c>
      <c r="I3292">
        <v>100</v>
      </c>
      <c r="J3292">
        <v>95.510002136230469</v>
      </c>
      <c r="CB3292">
        <v>85</v>
      </c>
      <c r="CC3292">
        <v>89</v>
      </c>
    </row>
    <row r="3293" spans="1:81" x14ac:dyDescent="0.3">
      <c r="A3293">
        <v>390</v>
      </c>
      <c r="B3293" t="s">
        <v>1970</v>
      </c>
      <c r="C3293" t="s">
        <v>1263</v>
      </c>
      <c r="D3293" t="s">
        <v>21</v>
      </c>
      <c r="E3293" t="s">
        <v>22</v>
      </c>
      <c r="F3293" s="30">
        <v>45930</v>
      </c>
      <c r="G3293" t="s">
        <v>1981</v>
      </c>
      <c r="H3293" t="s">
        <v>4522</v>
      </c>
      <c r="I3293">
        <v>100</v>
      </c>
      <c r="J3293">
        <v>95.510002136230469</v>
      </c>
      <c r="CB3293">
        <v>85</v>
      </c>
      <c r="CC3293">
        <v>89</v>
      </c>
    </row>
    <row r="3294" spans="1:81" x14ac:dyDescent="0.3">
      <c r="A3294">
        <v>390</v>
      </c>
      <c r="B3294" t="s">
        <v>1970</v>
      </c>
      <c r="C3294" t="s">
        <v>1263</v>
      </c>
      <c r="D3294" t="s">
        <v>21</v>
      </c>
      <c r="E3294" t="s">
        <v>22</v>
      </c>
      <c r="F3294" s="30">
        <v>45930</v>
      </c>
      <c r="G3294" t="s">
        <v>1981</v>
      </c>
      <c r="H3294" t="s">
        <v>4523</v>
      </c>
      <c r="I3294">
        <v>100</v>
      </c>
      <c r="J3294">
        <v>101.120002746582</v>
      </c>
      <c r="CB3294">
        <v>90</v>
      </c>
      <c r="CC3294">
        <v>89</v>
      </c>
    </row>
    <row r="3295" spans="1:81" x14ac:dyDescent="0.3">
      <c r="A3295">
        <v>390</v>
      </c>
      <c r="B3295" t="s">
        <v>1970</v>
      </c>
      <c r="C3295" t="s">
        <v>1263</v>
      </c>
      <c r="D3295" t="s">
        <v>21</v>
      </c>
      <c r="E3295" t="s">
        <v>22</v>
      </c>
      <c r="F3295" s="30">
        <v>45930</v>
      </c>
      <c r="G3295" t="s">
        <v>1981</v>
      </c>
      <c r="H3295" t="s">
        <v>4524</v>
      </c>
      <c r="I3295">
        <v>100</v>
      </c>
      <c r="J3295">
        <v>99.169998168945313</v>
      </c>
      <c r="CB3295">
        <v>88</v>
      </c>
      <c r="CC3295">
        <v>88.74</v>
      </c>
    </row>
    <row r="3296" spans="1:81" x14ac:dyDescent="0.3">
      <c r="A3296">
        <v>390</v>
      </c>
      <c r="B3296" t="s">
        <v>1970</v>
      </c>
      <c r="C3296" t="s">
        <v>1263</v>
      </c>
      <c r="D3296" t="s">
        <v>21</v>
      </c>
      <c r="E3296" t="s">
        <v>22</v>
      </c>
      <c r="F3296" s="30">
        <v>45930</v>
      </c>
      <c r="G3296" t="s">
        <v>1981</v>
      </c>
      <c r="H3296" t="s">
        <v>4525</v>
      </c>
      <c r="I3296">
        <v>100</v>
      </c>
      <c r="J3296">
        <v>101.120002746582</v>
      </c>
      <c r="CB3296">
        <v>90</v>
      </c>
      <c r="CC3296">
        <v>89</v>
      </c>
    </row>
    <row r="3297" spans="1:85" x14ac:dyDescent="0.3">
      <c r="A3297">
        <v>414</v>
      </c>
      <c r="B3297" t="s">
        <v>2103</v>
      </c>
      <c r="C3297" t="s">
        <v>1263</v>
      </c>
      <c r="D3297" t="s">
        <v>21</v>
      </c>
      <c r="E3297" t="s">
        <v>22</v>
      </c>
      <c r="F3297" s="30">
        <v>45930</v>
      </c>
      <c r="G3297" t="s">
        <v>2114</v>
      </c>
      <c r="H3297" t="s">
        <v>4543</v>
      </c>
      <c r="I3297">
        <v>100</v>
      </c>
      <c r="J3297">
        <v>91.839996337890625</v>
      </c>
      <c r="CD3297">
        <v>90</v>
      </c>
      <c r="CE3297">
        <v>98</v>
      </c>
    </row>
    <row r="3298" spans="1:85" x14ac:dyDescent="0.3">
      <c r="A3298">
        <v>414</v>
      </c>
      <c r="B3298" t="s">
        <v>2103</v>
      </c>
      <c r="C3298" t="s">
        <v>1263</v>
      </c>
      <c r="D3298" t="s">
        <v>21</v>
      </c>
      <c r="E3298" t="s">
        <v>22</v>
      </c>
      <c r="F3298" s="30">
        <v>45930</v>
      </c>
      <c r="G3298" t="s">
        <v>2114</v>
      </c>
      <c r="H3298" t="s">
        <v>4544</v>
      </c>
      <c r="I3298">
        <v>100</v>
      </c>
      <c r="J3298">
        <v>92</v>
      </c>
      <c r="CD3298">
        <v>92</v>
      </c>
      <c r="CE3298">
        <v>100</v>
      </c>
    </row>
    <row r="3299" spans="1:85" x14ac:dyDescent="0.3">
      <c r="A3299">
        <v>414</v>
      </c>
      <c r="B3299" t="s">
        <v>2103</v>
      </c>
      <c r="C3299" t="s">
        <v>1263</v>
      </c>
      <c r="D3299" t="s">
        <v>21</v>
      </c>
      <c r="E3299" t="s">
        <v>22</v>
      </c>
      <c r="F3299" s="30">
        <v>45930</v>
      </c>
      <c r="G3299" t="s">
        <v>2114</v>
      </c>
      <c r="H3299" t="s">
        <v>4545</v>
      </c>
      <c r="I3299">
        <v>100</v>
      </c>
      <c r="J3299">
        <v>87.779998779296875</v>
      </c>
      <c r="CD3299">
        <v>79</v>
      </c>
      <c r="CE3299">
        <v>90</v>
      </c>
    </row>
    <row r="3300" spans="1:85" x14ac:dyDescent="0.3">
      <c r="A3300">
        <v>414</v>
      </c>
      <c r="B3300" t="s">
        <v>2103</v>
      </c>
      <c r="C3300" t="s">
        <v>1263</v>
      </c>
      <c r="D3300" t="s">
        <v>21</v>
      </c>
      <c r="E3300" t="s">
        <v>22</v>
      </c>
      <c r="F3300" s="30">
        <v>45930</v>
      </c>
      <c r="G3300" t="s">
        <v>2114</v>
      </c>
      <c r="H3300" t="s">
        <v>4546</v>
      </c>
      <c r="I3300">
        <v>100</v>
      </c>
      <c r="J3300">
        <v>102.0400009155273</v>
      </c>
      <c r="CD3300">
        <v>100</v>
      </c>
      <c r="CE3300">
        <v>98</v>
      </c>
    </row>
    <row r="3301" spans="1:85" x14ac:dyDescent="0.3">
      <c r="A3301">
        <v>414</v>
      </c>
      <c r="B3301" t="s">
        <v>2103</v>
      </c>
      <c r="C3301" t="s">
        <v>1263</v>
      </c>
      <c r="D3301" t="s">
        <v>21</v>
      </c>
      <c r="E3301" t="s">
        <v>22</v>
      </c>
      <c r="F3301" s="30">
        <v>45930</v>
      </c>
      <c r="G3301" t="s">
        <v>2114</v>
      </c>
      <c r="H3301" t="s">
        <v>4547</v>
      </c>
      <c r="I3301">
        <v>100</v>
      </c>
      <c r="J3301">
        <v>99.889999389648438</v>
      </c>
      <c r="CD3301">
        <v>87.9</v>
      </c>
      <c r="CE3301">
        <v>88</v>
      </c>
    </row>
    <row r="3302" spans="1:85" x14ac:dyDescent="0.3">
      <c r="A3302">
        <v>414</v>
      </c>
      <c r="B3302" t="s">
        <v>2103</v>
      </c>
      <c r="C3302" t="s">
        <v>1263</v>
      </c>
      <c r="D3302" t="s">
        <v>21</v>
      </c>
      <c r="E3302" t="s">
        <v>22</v>
      </c>
      <c r="F3302" s="30">
        <v>45930</v>
      </c>
      <c r="G3302" t="s">
        <v>2114</v>
      </c>
      <c r="H3302" t="s">
        <v>4549</v>
      </c>
      <c r="I3302">
        <v>100</v>
      </c>
      <c r="J3302">
        <v>105.2600021362305</v>
      </c>
      <c r="CD3302">
        <v>100</v>
      </c>
      <c r="CE3302">
        <v>95</v>
      </c>
    </row>
    <row r="3303" spans="1:85" x14ac:dyDescent="0.3">
      <c r="A3303">
        <v>414</v>
      </c>
      <c r="B3303" t="s">
        <v>2103</v>
      </c>
      <c r="C3303" t="s">
        <v>1263</v>
      </c>
      <c r="D3303" t="s">
        <v>21</v>
      </c>
      <c r="E3303" t="s">
        <v>22</v>
      </c>
      <c r="F3303" s="30">
        <v>45930</v>
      </c>
      <c r="G3303" t="s">
        <v>2114</v>
      </c>
      <c r="H3303" t="s">
        <v>4550</v>
      </c>
      <c r="I3303">
        <v>100</v>
      </c>
      <c r="J3303">
        <v>93.099998474121094</v>
      </c>
      <c r="CD3303">
        <v>81</v>
      </c>
      <c r="CE3303">
        <v>87</v>
      </c>
    </row>
    <row r="3304" spans="1:85" x14ac:dyDescent="0.3">
      <c r="A3304">
        <v>414</v>
      </c>
      <c r="B3304" t="s">
        <v>2103</v>
      </c>
      <c r="C3304" t="s">
        <v>1263</v>
      </c>
      <c r="D3304" t="s">
        <v>21</v>
      </c>
      <c r="E3304" t="s">
        <v>22</v>
      </c>
      <c r="F3304" s="30">
        <v>45930</v>
      </c>
      <c r="G3304" t="s">
        <v>2114</v>
      </c>
      <c r="H3304" t="s">
        <v>4597</v>
      </c>
      <c r="I3304">
        <v>100</v>
      </c>
      <c r="J3304">
        <v>92.680000305175781</v>
      </c>
      <c r="CD3304">
        <v>76</v>
      </c>
      <c r="CE3304">
        <v>82</v>
      </c>
    </row>
    <row r="3305" spans="1:85" x14ac:dyDescent="0.3">
      <c r="A3305">
        <v>414</v>
      </c>
      <c r="B3305" t="s">
        <v>2103</v>
      </c>
      <c r="C3305" t="s">
        <v>1263</v>
      </c>
      <c r="D3305" t="s">
        <v>21</v>
      </c>
      <c r="E3305" t="s">
        <v>22</v>
      </c>
      <c r="F3305" s="30">
        <v>45930</v>
      </c>
      <c r="G3305" t="s">
        <v>2114</v>
      </c>
      <c r="H3305" t="s">
        <v>4548</v>
      </c>
      <c r="I3305">
        <v>100</v>
      </c>
      <c r="J3305">
        <v>77.779998779296875</v>
      </c>
      <c r="CD3305">
        <v>63</v>
      </c>
      <c r="CE3305">
        <v>81</v>
      </c>
    </row>
    <row r="3306" spans="1:85" x14ac:dyDescent="0.3">
      <c r="A3306">
        <v>415</v>
      </c>
      <c r="B3306" t="s">
        <v>2116</v>
      </c>
      <c r="C3306" t="s">
        <v>1263</v>
      </c>
      <c r="D3306" t="s">
        <v>21</v>
      </c>
      <c r="E3306" t="s">
        <v>22</v>
      </c>
      <c r="F3306" s="30">
        <v>45930</v>
      </c>
      <c r="G3306" t="s">
        <v>2127</v>
      </c>
      <c r="H3306" t="s">
        <v>4551</v>
      </c>
      <c r="I3306">
        <v>100</v>
      </c>
      <c r="J3306">
        <v>98.900001525878906</v>
      </c>
      <c r="CF3306">
        <v>90</v>
      </c>
      <c r="CG3306">
        <v>91</v>
      </c>
    </row>
    <row r="3307" spans="1:85" x14ac:dyDescent="0.3">
      <c r="A3307">
        <v>415</v>
      </c>
      <c r="B3307" t="s">
        <v>2116</v>
      </c>
      <c r="C3307" t="s">
        <v>1263</v>
      </c>
      <c r="D3307" t="s">
        <v>21</v>
      </c>
      <c r="E3307" t="s">
        <v>22</v>
      </c>
      <c r="F3307" s="30">
        <v>45930</v>
      </c>
      <c r="G3307" t="s">
        <v>2127</v>
      </c>
      <c r="H3307" t="s">
        <v>4552</v>
      </c>
      <c r="I3307">
        <v>100</v>
      </c>
      <c r="J3307">
        <v>89.800003051757813</v>
      </c>
      <c r="CF3307">
        <v>88</v>
      </c>
      <c r="CG3307">
        <v>98</v>
      </c>
    </row>
    <row r="3308" spans="1:85" x14ac:dyDescent="0.3">
      <c r="A3308">
        <v>415</v>
      </c>
      <c r="B3308" t="s">
        <v>2116</v>
      </c>
      <c r="C3308" t="s">
        <v>1263</v>
      </c>
      <c r="D3308" t="s">
        <v>21</v>
      </c>
      <c r="E3308" t="s">
        <v>22</v>
      </c>
      <c r="F3308" s="30">
        <v>45930</v>
      </c>
      <c r="G3308" t="s">
        <v>2127</v>
      </c>
      <c r="H3308" t="s">
        <v>4553</v>
      </c>
      <c r="I3308">
        <v>100</v>
      </c>
      <c r="J3308">
        <v>86.169998168945313</v>
      </c>
      <c r="CF3308">
        <v>81</v>
      </c>
      <c r="CG3308">
        <v>94</v>
      </c>
    </row>
    <row r="3309" spans="1:85" x14ac:dyDescent="0.3">
      <c r="A3309">
        <v>415</v>
      </c>
      <c r="B3309" t="s">
        <v>2116</v>
      </c>
      <c r="C3309" t="s">
        <v>1263</v>
      </c>
      <c r="D3309" t="s">
        <v>21</v>
      </c>
      <c r="E3309" t="s">
        <v>22</v>
      </c>
      <c r="F3309" s="30">
        <v>45930</v>
      </c>
      <c r="G3309" t="s">
        <v>2127</v>
      </c>
      <c r="H3309" t="s">
        <v>4554</v>
      </c>
      <c r="I3309">
        <v>100</v>
      </c>
      <c r="J3309">
        <v>119.61000061035161</v>
      </c>
      <c r="CF3309">
        <v>61</v>
      </c>
      <c r="CG3309">
        <v>51</v>
      </c>
    </row>
    <row r="3310" spans="1:85" x14ac:dyDescent="0.3">
      <c r="A3310">
        <v>415</v>
      </c>
      <c r="B3310" t="s">
        <v>2116</v>
      </c>
      <c r="C3310" t="s">
        <v>1263</v>
      </c>
      <c r="D3310" t="s">
        <v>21</v>
      </c>
      <c r="E3310" t="s">
        <v>22</v>
      </c>
      <c r="F3310" s="30">
        <v>45930</v>
      </c>
      <c r="G3310" t="s">
        <v>2127</v>
      </c>
      <c r="H3310" t="s">
        <v>4555</v>
      </c>
      <c r="I3310">
        <v>100</v>
      </c>
      <c r="J3310">
        <v>98.919998168945313</v>
      </c>
      <c r="CF3310">
        <v>92</v>
      </c>
      <c r="CG3310">
        <v>93</v>
      </c>
    </row>
    <row r="3311" spans="1:85" x14ac:dyDescent="0.3">
      <c r="A3311">
        <v>415</v>
      </c>
      <c r="B3311" t="s">
        <v>2116</v>
      </c>
      <c r="C3311" t="s">
        <v>1263</v>
      </c>
      <c r="D3311" t="s">
        <v>21</v>
      </c>
      <c r="E3311" t="s">
        <v>22</v>
      </c>
      <c r="F3311" s="30">
        <v>45930</v>
      </c>
      <c r="G3311" t="s">
        <v>2127</v>
      </c>
      <c r="H3311" t="s">
        <v>4556</v>
      </c>
      <c r="I3311">
        <v>100</v>
      </c>
      <c r="J3311">
        <v>101.11000061035161</v>
      </c>
      <c r="CF3311">
        <v>91</v>
      </c>
      <c r="CG3311">
        <v>90</v>
      </c>
    </row>
    <row r="3312" spans="1:85" x14ac:dyDescent="0.3">
      <c r="A3312">
        <v>415</v>
      </c>
      <c r="B3312" t="s">
        <v>2116</v>
      </c>
      <c r="C3312" t="s">
        <v>1263</v>
      </c>
      <c r="D3312" t="s">
        <v>21</v>
      </c>
      <c r="E3312" t="s">
        <v>22</v>
      </c>
      <c r="F3312" s="30">
        <v>45930</v>
      </c>
      <c r="G3312" t="s">
        <v>2127</v>
      </c>
      <c r="H3312" t="s">
        <v>4557</v>
      </c>
      <c r="I3312">
        <v>100</v>
      </c>
      <c r="J3312">
        <v>82.470001220703125</v>
      </c>
      <c r="CF3312">
        <v>80</v>
      </c>
      <c r="CG3312">
        <v>97</v>
      </c>
    </row>
    <row r="3313" spans="1:89" x14ac:dyDescent="0.3">
      <c r="A3313">
        <v>415</v>
      </c>
      <c r="B3313" t="s">
        <v>2116</v>
      </c>
      <c r="C3313" t="s">
        <v>1263</v>
      </c>
      <c r="D3313" t="s">
        <v>21</v>
      </c>
      <c r="E3313" t="s">
        <v>22</v>
      </c>
      <c r="F3313" s="30">
        <v>45930</v>
      </c>
      <c r="G3313" t="s">
        <v>2127</v>
      </c>
      <c r="H3313" t="s">
        <v>4592</v>
      </c>
      <c r="I3313">
        <v>100</v>
      </c>
      <c r="J3313">
        <v>90.430000305175781</v>
      </c>
      <c r="CF3313">
        <v>85</v>
      </c>
      <c r="CG3313">
        <v>94</v>
      </c>
    </row>
    <row r="3314" spans="1:89" x14ac:dyDescent="0.3">
      <c r="A3314">
        <v>415</v>
      </c>
      <c r="B3314" t="s">
        <v>2116</v>
      </c>
      <c r="C3314" t="s">
        <v>1263</v>
      </c>
      <c r="D3314" t="s">
        <v>21</v>
      </c>
      <c r="E3314" t="s">
        <v>22</v>
      </c>
      <c r="F3314" s="30">
        <v>45930</v>
      </c>
      <c r="G3314" t="s">
        <v>2127</v>
      </c>
      <c r="H3314" t="s">
        <v>4600</v>
      </c>
      <c r="I3314">
        <v>100</v>
      </c>
      <c r="J3314">
        <v>0</v>
      </c>
      <c r="CF3314">
        <v>0</v>
      </c>
      <c r="CG3314">
        <v>0</v>
      </c>
    </row>
    <row r="3315" spans="1:89" x14ac:dyDescent="0.3">
      <c r="A3315">
        <v>415</v>
      </c>
      <c r="B3315" t="s">
        <v>2116</v>
      </c>
      <c r="C3315" t="s">
        <v>1263</v>
      </c>
      <c r="D3315" t="s">
        <v>21</v>
      </c>
      <c r="E3315" t="s">
        <v>22</v>
      </c>
      <c r="F3315" s="30">
        <v>45930</v>
      </c>
      <c r="G3315" t="s">
        <v>2127</v>
      </c>
      <c r="H3315" t="s">
        <v>4598</v>
      </c>
      <c r="I3315">
        <v>100</v>
      </c>
      <c r="J3315">
        <v>90.319999694824219</v>
      </c>
      <c r="CF3315">
        <v>84</v>
      </c>
      <c r="CG3315">
        <v>93</v>
      </c>
    </row>
    <row r="3316" spans="1:89" x14ac:dyDescent="0.3">
      <c r="A3316">
        <v>415</v>
      </c>
      <c r="B3316" t="s">
        <v>2116</v>
      </c>
      <c r="C3316" t="s">
        <v>1263</v>
      </c>
      <c r="D3316" t="s">
        <v>21</v>
      </c>
      <c r="E3316" t="s">
        <v>22</v>
      </c>
      <c r="F3316" s="30">
        <v>45930</v>
      </c>
      <c r="G3316" t="s">
        <v>2127</v>
      </c>
      <c r="H3316" t="s">
        <v>4603</v>
      </c>
      <c r="I3316">
        <v>100</v>
      </c>
      <c r="J3316">
        <v>102.05999755859381</v>
      </c>
      <c r="CF3316">
        <v>99</v>
      </c>
      <c r="CG3316">
        <v>97</v>
      </c>
    </row>
    <row r="3317" spans="1:89" x14ac:dyDescent="0.3">
      <c r="A3317">
        <v>415</v>
      </c>
      <c r="B3317" t="s">
        <v>2116</v>
      </c>
      <c r="C3317" t="s">
        <v>1263</v>
      </c>
      <c r="D3317" t="s">
        <v>21</v>
      </c>
      <c r="E3317" t="s">
        <v>22</v>
      </c>
      <c r="F3317" s="30">
        <v>45930</v>
      </c>
      <c r="G3317" t="s">
        <v>2127</v>
      </c>
      <c r="H3317" t="s">
        <v>4601</v>
      </c>
      <c r="I3317">
        <v>100</v>
      </c>
      <c r="J3317">
        <v>94.680000305175781</v>
      </c>
      <c r="CF3317">
        <v>89</v>
      </c>
      <c r="CG3317">
        <v>94</v>
      </c>
    </row>
    <row r="3318" spans="1:89" x14ac:dyDescent="0.3">
      <c r="A3318">
        <v>415</v>
      </c>
      <c r="B3318" t="s">
        <v>2116</v>
      </c>
      <c r="C3318" t="s">
        <v>1263</v>
      </c>
      <c r="D3318" t="s">
        <v>21</v>
      </c>
      <c r="E3318" t="s">
        <v>22</v>
      </c>
      <c r="F3318" s="30">
        <v>45930</v>
      </c>
      <c r="G3318" t="s">
        <v>2127</v>
      </c>
      <c r="H3318" t="s">
        <v>4599</v>
      </c>
      <c r="I3318">
        <v>100</v>
      </c>
      <c r="J3318">
        <v>96</v>
      </c>
      <c r="CF3318">
        <v>96</v>
      </c>
      <c r="CG3318">
        <v>100</v>
      </c>
    </row>
    <row r="3319" spans="1:89" x14ac:dyDescent="0.3">
      <c r="A3319">
        <v>415</v>
      </c>
      <c r="B3319" t="s">
        <v>2116</v>
      </c>
      <c r="C3319" t="s">
        <v>1263</v>
      </c>
      <c r="D3319" t="s">
        <v>21</v>
      </c>
      <c r="E3319" t="s">
        <v>22</v>
      </c>
      <c r="F3319" s="30">
        <v>45930</v>
      </c>
      <c r="G3319" t="s">
        <v>2127</v>
      </c>
      <c r="H3319" t="s">
        <v>4602</v>
      </c>
      <c r="I3319">
        <v>100</v>
      </c>
      <c r="J3319">
        <v>91.75</v>
      </c>
      <c r="CF3319">
        <v>89</v>
      </c>
      <c r="CG3319">
        <v>97</v>
      </c>
    </row>
    <row r="3320" spans="1:89" x14ac:dyDescent="0.3">
      <c r="A3320">
        <v>416</v>
      </c>
      <c r="B3320" t="s">
        <v>2129</v>
      </c>
      <c r="C3320" t="s">
        <v>1263</v>
      </c>
      <c r="D3320" t="s">
        <v>21</v>
      </c>
      <c r="E3320" t="s">
        <v>22</v>
      </c>
      <c r="F3320" s="30">
        <v>45930</v>
      </c>
      <c r="G3320" t="s">
        <v>2140</v>
      </c>
      <c r="H3320" t="s">
        <v>4558</v>
      </c>
      <c r="I3320">
        <v>100</v>
      </c>
      <c r="J3320">
        <v>100</v>
      </c>
      <c r="CH3320">
        <v>95</v>
      </c>
      <c r="CI3320">
        <v>95</v>
      </c>
    </row>
    <row r="3321" spans="1:89" x14ac:dyDescent="0.3">
      <c r="A3321">
        <v>416</v>
      </c>
      <c r="B3321" t="s">
        <v>2129</v>
      </c>
      <c r="C3321" t="s">
        <v>1263</v>
      </c>
      <c r="D3321" t="s">
        <v>21</v>
      </c>
      <c r="E3321" t="s">
        <v>22</v>
      </c>
      <c r="F3321" s="30">
        <v>45930</v>
      </c>
      <c r="G3321" t="s">
        <v>2140</v>
      </c>
      <c r="H3321" t="s">
        <v>4559</v>
      </c>
      <c r="I3321">
        <v>100</v>
      </c>
      <c r="J3321">
        <v>88</v>
      </c>
      <c r="CH3321">
        <v>88</v>
      </c>
      <c r="CI3321">
        <v>100</v>
      </c>
    </row>
    <row r="3322" spans="1:89" x14ac:dyDescent="0.3">
      <c r="A3322">
        <v>416</v>
      </c>
      <c r="B3322" t="s">
        <v>2129</v>
      </c>
      <c r="C3322" t="s">
        <v>1263</v>
      </c>
      <c r="D3322" t="s">
        <v>21</v>
      </c>
      <c r="E3322" t="s">
        <v>22</v>
      </c>
      <c r="F3322" s="30">
        <v>45930</v>
      </c>
      <c r="G3322" t="s">
        <v>2140</v>
      </c>
      <c r="H3322" t="s">
        <v>4605</v>
      </c>
      <c r="I3322">
        <v>100</v>
      </c>
      <c r="J3322">
        <v>98</v>
      </c>
      <c r="CH3322">
        <v>98</v>
      </c>
      <c r="CI3322">
        <v>100</v>
      </c>
    </row>
    <row r="3323" spans="1:89" x14ac:dyDescent="0.3">
      <c r="A3323">
        <v>416</v>
      </c>
      <c r="B3323" t="s">
        <v>2129</v>
      </c>
      <c r="C3323" t="s">
        <v>1263</v>
      </c>
      <c r="D3323" t="s">
        <v>21</v>
      </c>
      <c r="E3323" t="s">
        <v>22</v>
      </c>
      <c r="F3323" s="30">
        <v>45930</v>
      </c>
      <c r="G3323" t="s">
        <v>2140</v>
      </c>
      <c r="H3323" t="s">
        <v>4606</v>
      </c>
      <c r="I3323">
        <v>100</v>
      </c>
      <c r="J3323">
        <v>105.2600021362305</v>
      </c>
      <c r="CH3323">
        <v>100</v>
      </c>
      <c r="CI3323">
        <v>95</v>
      </c>
    </row>
    <row r="3324" spans="1:89" x14ac:dyDescent="0.3">
      <c r="A3324">
        <v>416</v>
      </c>
      <c r="B3324" t="s">
        <v>2129</v>
      </c>
      <c r="C3324" t="s">
        <v>1263</v>
      </c>
      <c r="D3324" t="s">
        <v>21</v>
      </c>
      <c r="E3324" t="s">
        <v>22</v>
      </c>
      <c r="F3324" s="30">
        <v>45930</v>
      </c>
      <c r="G3324" t="s">
        <v>2140</v>
      </c>
      <c r="H3324" t="s">
        <v>4607</v>
      </c>
      <c r="I3324">
        <v>100</v>
      </c>
      <c r="J3324">
        <v>87.629997253417969</v>
      </c>
      <c r="CH3324">
        <v>85</v>
      </c>
      <c r="CI3324">
        <v>97</v>
      </c>
    </row>
    <row r="3325" spans="1:89" x14ac:dyDescent="0.3">
      <c r="A3325">
        <v>416</v>
      </c>
      <c r="B3325" t="s">
        <v>2129</v>
      </c>
      <c r="C3325" t="s">
        <v>1263</v>
      </c>
      <c r="D3325" t="s">
        <v>21</v>
      </c>
      <c r="E3325" t="s">
        <v>22</v>
      </c>
      <c r="F3325" s="30">
        <v>45930</v>
      </c>
      <c r="G3325" t="s">
        <v>2140</v>
      </c>
      <c r="H3325" t="s">
        <v>4604</v>
      </c>
      <c r="I3325">
        <v>100</v>
      </c>
      <c r="J3325">
        <v>100</v>
      </c>
      <c r="CH3325">
        <v>100</v>
      </c>
      <c r="CI3325">
        <v>100</v>
      </c>
    </row>
    <row r="3326" spans="1:89" x14ac:dyDescent="0.3">
      <c r="A3326">
        <v>417</v>
      </c>
      <c r="B3326" t="s">
        <v>2142</v>
      </c>
      <c r="C3326" t="s">
        <v>1263</v>
      </c>
      <c r="D3326" t="s">
        <v>21</v>
      </c>
      <c r="E3326" t="s">
        <v>22</v>
      </c>
      <c r="F3326" s="30">
        <v>45930</v>
      </c>
      <c r="G3326" t="s">
        <v>2153</v>
      </c>
      <c r="H3326" t="s">
        <v>4560</v>
      </c>
      <c r="I3326">
        <v>100</v>
      </c>
      <c r="J3326">
        <v>98.949996948242188</v>
      </c>
      <c r="CJ3326">
        <v>94</v>
      </c>
      <c r="CK3326">
        <v>95</v>
      </c>
    </row>
    <row r="3327" spans="1:89" x14ac:dyDescent="0.3">
      <c r="A3327">
        <v>417</v>
      </c>
      <c r="B3327" t="s">
        <v>2142</v>
      </c>
      <c r="C3327" t="s">
        <v>1263</v>
      </c>
      <c r="D3327" t="s">
        <v>21</v>
      </c>
      <c r="E3327" t="s">
        <v>22</v>
      </c>
      <c r="F3327" s="30">
        <v>45930</v>
      </c>
      <c r="G3327" t="s">
        <v>2153</v>
      </c>
      <c r="H3327" t="s">
        <v>4561</v>
      </c>
      <c r="I3327">
        <v>100</v>
      </c>
      <c r="J3327">
        <v>82.610000610351563</v>
      </c>
      <c r="CJ3327">
        <v>76</v>
      </c>
      <c r="CK3327">
        <v>92</v>
      </c>
    </row>
    <row r="3328" spans="1:89" x14ac:dyDescent="0.3">
      <c r="A3328">
        <v>417</v>
      </c>
      <c r="B3328" t="s">
        <v>2142</v>
      </c>
      <c r="C3328" t="s">
        <v>1263</v>
      </c>
      <c r="D3328" t="s">
        <v>21</v>
      </c>
      <c r="E3328" t="s">
        <v>22</v>
      </c>
      <c r="F3328" s="30">
        <v>45930</v>
      </c>
      <c r="G3328" t="s">
        <v>2153</v>
      </c>
      <c r="H3328" t="s">
        <v>4562</v>
      </c>
      <c r="I3328">
        <v>100</v>
      </c>
      <c r="J3328">
        <v>104.44000244140619</v>
      </c>
      <c r="CJ3328">
        <v>94</v>
      </c>
      <c r="CK3328">
        <v>90</v>
      </c>
    </row>
    <row r="3329" spans="1:93" x14ac:dyDescent="0.3">
      <c r="A3329">
        <v>417</v>
      </c>
      <c r="B3329" t="s">
        <v>2142</v>
      </c>
      <c r="C3329" t="s">
        <v>1263</v>
      </c>
      <c r="D3329" t="s">
        <v>21</v>
      </c>
      <c r="E3329" t="s">
        <v>22</v>
      </c>
      <c r="F3329" s="30">
        <v>45930</v>
      </c>
      <c r="G3329" t="s">
        <v>2153</v>
      </c>
      <c r="H3329" t="s">
        <v>4563</v>
      </c>
      <c r="I3329">
        <v>100</v>
      </c>
      <c r="J3329">
        <v>101.120002746582</v>
      </c>
      <c r="CJ3329">
        <v>90</v>
      </c>
      <c r="CK3329">
        <v>89</v>
      </c>
    </row>
    <row r="3330" spans="1:93" x14ac:dyDescent="0.3">
      <c r="A3330">
        <v>417</v>
      </c>
      <c r="B3330" t="s">
        <v>2142</v>
      </c>
      <c r="C3330" t="s">
        <v>1263</v>
      </c>
      <c r="D3330" t="s">
        <v>21</v>
      </c>
      <c r="E3330" t="s">
        <v>22</v>
      </c>
      <c r="F3330" s="30">
        <v>45930</v>
      </c>
      <c r="G3330" t="s">
        <v>2153</v>
      </c>
      <c r="H3330" t="s">
        <v>4565</v>
      </c>
      <c r="I3330">
        <v>100</v>
      </c>
      <c r="J3330">
        <v>104.65000152587891</v>
      </c>
      <c r="CJ3330">
        <v>90</v>
      </c>
      <c r="CK3330">
        <v>86</v>
      </c>
    </row>
    <row r="3331" spans="1:93" x14ac:dyDescent="0.3">
      <c r="A3331">
        <v>417</v>
      </c>
      <c r="B3331" t="s">
        <v>2142</v>
      </c>
      <c r="C3331" t="s">
        <v>1263</v>
      </c>
      <c r="D3331" t="s">
        <v>21</v>
      </c>
      <c r="E3331" t="s">
        <v>22</v>
      </c>
      <c r="F3331" s="30">
        <v>45930</v>
      </c>
      <c r="G3331" t="s">
        <v>2153</v>
      </c>
      <c r="H3331" t="s">
        <v>4564</v>
      </c>
      <c r="I3331">
        <v>100</v>
      </c>
      <c r="J3331">
        <v>104.2600021362305</v>
      </c>
      <c r="CJ3331">
        <v>98</v>
      </c>
      <c r="CK3331">
        <v>94</v>
      </c>
    </row>
    <row r="3332" spans="1:93" x14ac:dyDescent="0.3">
      <c r="A3332">
        <v>418</v>
      </c>
      <c r="B3332" t="s">
        <v>2155</v>
      </c>
      <c r="C3332" t="s">
        <v>1263</v>
      </c>
      <c r="D3332" t="s">
        <v>21</v>
      </c>
      <c r="E3332" t="s">
        <v>22</v>
      </c>
      <c r="F3332" s="30">
        <v>45930</v>
      </c>
      <c r="G3332" t="s">
        <v>2166</v>
      </c>
      <c r="H3332" t="s">
        <v>4566</v>
      </c>
      <c r="I3332">
        <v>100</v>
      </c>
      <c r="J3332">
        <v>107.23000335693359</v>
      </c>
      <c r="CL3332">
        <v>89</v>
      </c>
      <c r="CM3332">
        <v>83</v>
      </c>
    </row>
    <row r="3333" spans="1:93" x14ac:dyDescent="0.3">
      <c r="A3333">
        <v>418</v>
      </c>
      <c r="B3333" t="s">
        <v>2155</v>
      </c>
      <c r="C3333" t="s">
        <v>1263</v>
      </c>
      <c r="D3333" t="s">
        <v>21</v>
      </c>
      <c r="E3333" t="s">
        <v>22</v>
      </c>
      <c r="F3333" s="30">
        <v>45930</v>
      </c>
      <c r="G3333" t="s">
        <v>2166</v>
      </c>
      <c r="H3333" t="s">
        <v>4567</v>
      </c>
      <c r="I3333">
        <v>100</v>
      </c>
      <c r="J3333">
        <v>81.519996643066406</v>
      </c>
      <c r="CL3333">
        <v>75</v>
      </c>
      <c r="CM3333">
        <v>92</v>
      </c>
    </row>
    <row r="3334" spans="1:93" x14ac:dyDescent="0.3">
      <c r="A3334">
        <v>418</v>
      </c>
      <c r="B3334" t="s">
        <v>2155</v>
      </c>
      <c r="C3334" t="s">
        <v>1263</v>
      </c>
      <c r="D3334" t="s">
        <v>21</v>
      </c>
      <c r="E3334" t="s">
        <v>22</v>
      </c>
      <c r="F3334" s="30">
        <v>45930</v>
      </c>
      <c r="G3334" t="s">
        <v>2166</v>
      </c>
      <c r="H3334" t="s">
        <v>4568</v>
      </c>
      <c r="I3334">
        <v>100</v>
      </c>
      <c r="J3334">
        <v>91.75</v>
      </c>
      <c r="CL3334">
        <v>89</v>
      </c>
      <c r="CM3334">
        <v>97</v>
      </c>
    </row>
    <row r="3335" spans="1:93" x14ac:dyDescent="0.3">
      <c r="A3335">
        <v>418</v>
      </c>
      <c r="B3335" t="s">
        <v>2155</v>
      </c>
      <c r="C3335" t="s">
        <v>1263</v>
      </c>
      <c r="D3335" t="s">
        <v>21</v>
      </c>
      <c r="E3335" t="s">
        <v>22</v>
      </c>
      <c r="F3335" s="30">
        <v>45930</v>
      </c>
      <c r="G3335" t="s">
        <v>2166</v>
      </c>
      <c r="H3335" t="s">
        <v>4569</v>
      </c>
      <c r="I3335">
        <v>100</v>
      </c>
      <c r="J3335">
        <v>101.09999847412109</v>
      </c>
      <c r="CL3335">
        <v>92</v>
      </c>
      <c r="CM3335">
        <v>91</v>
      </c>
    </row>
    <row r="3336" spans="1:93" x14ac:dyDescent="0.3">
      <c r="A3336">
        <v>418</v>
      </c>
      <c r="B3336" t="s">
        <v>2155</v>
      </c>
      <c r="C3336" t="s">
        <v>1263</v>
      </c>
      <c r="D3336" t="s">
        <v>21</v>
      </c>
      <c r="E3336" t="s">
        <v>22</v>
      </c>
      <c r="F3336" s="30">
        <v>45930</v>
      </c>
      <c r="G3336" t="s">
        <v>2166</v>
      </c>
      <c r="H3336" t="s">
        <v>4570</v>
      </c>
      <c r="I3336">
        <v>100</v>
      </c>
      <c r="J3336">
        <v>0</v>
      </c>
      <c r="CL3336">
        <v>0</v>
      </c>
      <c r="CM3336">
        <v>0</v>
      </c>
    </row>
    <row r="3337" spans="1:93" x14ac:dyDescent="0.3">
      <c r="A3337">
        <v>418</v>
      </c>
      <c r="B3337" t="s">
        <v>2155</v>
      </c>
      <c r="C3337" t="s">
        <v>1263</v>
      </c>
      <c r="D3337" t="s">
        <v>21</v>
      </c>
      <c r="E3337" t="s">
        <v>22</v>
      </c>
      <c r="F3337" s="30">
        <v>45930</v>
      </c>
      <c r="G3337" t="s">
        <v>2166</v>
      </c>
      <c r="H3337" t="s">
        <v>4571</v>
      </c>
      <c r="I3337">
        <v>100</v>
      </c>
      <c r="J3337">
        <v>81.519996643066406</v>
      </c>
      <c r="CL3337">
        <v>75</v>
      </c>
      <c r="CM3337">
        <v>92</v>
      </c>
    </row>
    <row r="3338" spans="1:93" x14ac:dyDescent="0.3">
      <c r="A3338">
        <v>418</v>
      </c>
      <c r="B3338" t="s">
        <v>2155</v>
      </c>
      <c r="C3338" t="s">
        <v>1263</v>
      </c>
      <c r="D3338" t="s">
        <v>21</v>
      </c>
      <c r="E3338" t="s">
        <v>22</v>
      </c>
      <c r="F3338" s="30">
        <v>45930</v>
      </c>
      <c r="G3338" t="s">
        <v>2166</v>
      </c>
      <c r="H3338" t="s">
        <v>4572</v>
      </c>
      <c r="I3338">
        <v>100</v>
      </c>
      <c r="J3338">
        <v>90.720001220703125</v>
      </c>
      <c r="CL3338">
        <v>88</v>
      </c>
      <c r="CM3338">
        <v>97</v>
      </c>
    </row>
    <row r="3339" spans="1:93" x14ac:dyDescent="0.3">
      <c r="A3339">
        <v>418</v>
      </c>
      <c r="B3339" t="s">
        <v>2155</v>
      </c>
      <c r="C3339" t="s">
        <v>1263</v>
      </c>
      <c r="D3339" t="s">
        <v>21</v>
      </c>
      <c r="E3339" t="s">
        <v>22</v>
      </c>
      <c r="F3339" s="30">
        <v>45930</v>
      </c>
      <c r="G3339" t="s">
        <v>2166</v>
      </c>
      <c r="H3339" t="s">
        <v>4573</v>
      </c>
      <c r="I3339">
        <v>100</v>
      </c>
      <c r="J3339">
        <v>96.839996337890625</v>
      </c>
      <c r="CL3339">
        <v>92</v>
      </c>
      <c r="CM3339">
        <v>95</v>
      </c>
    </row>
    <row r="3340" spans="1:93" x14ac:dyDescent="0.3">
      <c r="A3340">
        <v>418</v>
      </c>
      <c r="B3340" t="s">
        <v>2155</v>
      </c>
      <c r="C3340" t="s">
        <v>1263</v>
      </c>
      <c r="D3340" t="s">
        <v>21</v>
      </c>
      <c r="E3340" t="s">
        <v>22</v>
      </c>
      <c r="F3340" s="30">
        <v>45930</v>
      </c>
      <c r="G3340" t="s">
        <v>2166</v>
      </c>
      <c r="H3340" t="s">
        <v>4528</v>
      </c>
      <c r="I3340">
        <v>100</v>
      </c>
      <c r="J3340">
        <v>101.0299987792969</v>
      </c>
      <c r="CL3340">
        <v>98</v>
      </c>
      <c r="CM3340">
        <v>97</v>
      </c>
    </row>
    <row r="3341" spans="1:93" x14ac:dyDescent="0.3">
      <c r="A3341">
        <v>420</v>
      </c>
      <c r="B3341" t="s">
        <v>2172</v>
      </c>
      <c r="C3341" t="s">
        <v>1263</v>
      </c>
      <c r="D3341" t="s">
        <v>21</v>
      </c>
      <c r="E3341" t="s">
        <v>22</v>
      </c>
      <c r="F3341" s="30">
        <v>45930</v>
      </c>
      <c r="G3341" t="s">
        <v>2183</v>
      </c>
      <c r="H3341" t="s">
        <v>4575</v>
      </c>
      <c r="I3341">
        <v>100</v>
      </c>
      <c r="J3341">
        <v>127.26999664306641</v>
      </c>
      <c r="CN3341">
        <v>84</v>
      </c>
      <c r="CO3341">
        <v>66</v>
      </c>
    </row>
    <row r="3342" spans="1:93" x14ac:dyDescent="0.3">
      <c r="A3342">
        <v>420</v>
      </c>
      <c r="B3342" t="s">
        <v>2172</v>
      </c>
      <c r="C3342" t="s">
        <v>1263</v>
      </c>
      <c r="D3342" t="s">
        <v>21</v>
      </c>
      <c r="E3342" t="s">
        <v>22</v>
      </c>
      <c r="F3342" s="30">
        <v>45930</v>
      </c>
      <c r="G3342" t="s">
        <v>2183</v>
      </c>
      <c r="H3342" t="s">
        <v>4576</v>
      </c>
      <c r="I3342">
        <v>100</v>
      </c>
      <c r="J3342">
        <v>97.830001831054688</v>
      </c>
      <c r="CN3342">
        <v>90</v>
      </c>
      <c r="CO3342">
        <v>92</v>
      </c>
    </row>
    <row r="3343" spans="1:93" x14ac:dyDescent="0.3">
      <c r="A3343">
        <v>420</v>
      </c>
      <c r="B3343" t="s">
        <v>2172</v>
      </c>
      <c r="C3343" t="s">
        <v>1263</v>
      </c>
      <c r="D3343" t="s">
        <v>21</v>
      </c>
      <c r="E3343" t="s">
        <v>22</v>
      </c>
      <c r="F3343" s="30">
        <v>45930</v>
      </c>
      <c r="G3343" t="s">
        <v>2183</v>
      </c>
      <c r="H3343" t="s">
        <v>4577</v>
      </c>
      <c r="I3343">
        <v>100</v>
      </c>
      <c r="J3343">
        <v>84.879997253417969</v>
      </c>
      <c r="CN3343">
        <v>73</v>
      </c>
      <c r="CO3343">
        <v>86</v>
      </c>
    </row>
    <row r="3344" spans="1:93" x14ac:dyDescent="0.3">
      <c r="A3344">
        <v>420</v>
      </c>
      <c r="B3344" t="s">
        <v>2172</v>
      </c>
      <c r="C3344" t="s">
        <v>1263</v>
      </c>
      <c r="D3344" t="s">
        <v>21</v>
      </c>
      <c r="E3344" t="s">
        <v>22</v>
      </c>
      <c r="F3344" s="30">
        <v>45930</v>
      </c>
      <c r="G3344" t="s">
        <v>2183</v>
      </c>
      <c r="H3344" t="s">
        <v>4578</v>
      </c>
      <c r="I3344">
        <v>100</v>
      </c>
      <c r="J3344">
        <v>95.790000915527344</v>
      </c>
      <c r="CN3344">
        <v>91</v>
      </c>
      <c r="CO3344">
        <v>95</v>
      </c>
    </row>
    <row r="3345" spans="1:132" x14ac:dyDescent="0.3">
      <c r="A3345">
        <v>420</v>
      </c>
      <c r="B3345" t="s">
        <v>2172</v>
      </c>
      <c r="C3345" t="s">
        <v>1263</v>
      </c>
      <c r="D3345" t="s">
        <v>21</v>
      </c>
      <c r="E3345" t="s">
        <v>22</v>
      </c>
      <c r="F3345" s="30">
        <v>45930</v>
      </c>
      <c r="G3345" t="s">
        <v>2183</v>
      </c>
      <c r="H3345" t="s">
        <v>2703</v>
      </c>
      <c r="I3345">
        <v>100</v>
      </c>
      <c r="J3345">
        <v>100</v>
      </c>
      <c r="CN3345">
        <v>98</v>
      </c>
      <c r="CO3345">
        <v>98</v>
      </c>
    </row>
    <row r="3346" spans="1:132" x14ac:dyDescent="0.3">
      <c r="A3346">
        <v>420</v>
      </c>
      <c r="B3346" t="s">
        <v>2172</v>
      </c>
      <c r="C3346" t="s">
        <v>1263</v>
      </c>
      <c r="D3346" t="s">
        <v>21</v>
      </c>
      <c r="E3346" t="s">
        <v>22</v>
      </c>
      <c r="F3346" s="30">
        <v>45930</v>
      </c>
      <c r="G3346" t="s">
        <v>2183</v>
      </c>
      <c r="H3346" t="s">
        <v>4574</v>
      </c>
      <c r="I3346">
        <v>100</v>
      </c>
      <c r="J3346">
        <v>96</v>
      </c>
      <c r="CN3346">
        <v>72</v>
      </c>
      <c r="CO3346">
        <v>75</v>
      </c>
    </row>
    <row r="3347" spans="1:132" x14ac:dyDescent="0.3">
      <c r="A3347">
        <v>432</v>
      </c>
      <c r="B3347" t="s">
        <v>2247</v>
      </c>
      <c r="C3347" t="s">
        <v>138</v>
      </c>
      <c r="D3347" t="s">
        <v>21</v>
      </c>
      <c r="E3347" t="s">
        <v>22</v>
      </c>
      <c r="F3347" s="30">
        <v>45930</v>
      </c>
      <c r="G3347" t="s">
        <v>2258</v>
      </c>
      <c r="H3347" t="s">
        <v>4583</v>
      </c>
      <c r="I3347">
        <v>90</v>
      </c>
      <c r="J3347">
        <v>100</v>
      </c>
      <c r="CS3347">
        <v>10</v>
      </c>
      <c r="CT3347">
        <v>10</v>
      </c>
    </row>
    <row r="3348" spans="1:132" x14ac:dyDescent="0.3">
      <c r="A3348">
        <v>432</v>
      </c>
      <c r="B3348" t="s">
        <v>2247</v>
      </c>
      <c r="C3348" t="s">
        <v>138</v>
      </c>
      <c r="D3348" t="s">
        <v>21</v>
      </c>
      <c r="E3348" t="s">
        <v>22</v>
      </c>
      <c r="F3348" s="30">
        <v>45930</v>
      </c>
      <c r="G3348" t="s">
        <v>2258</v>
      </c>
      <c r="H3348" t="s">
        <v>4584</v>
      </c>
      <c r="I3348">
        <v>90</v>
      </c>
      <c r="J3348">
        <v>100</v>
      </c>
      <c r="CS3348">
        <v>13</v>
      </c>
      <c r="CT3348">
        <v>13</v>
      </c>
    </row>
    <row r="3349" spans="1:132" x14ac:dyDescent="0.3">
      <c r="A3349">
        <v>432</v>
      </c>
      <c r="B3349" t="s">
        <v>2247</v>
      </c>
      <c r="C3349" t="s">
        <v>138</v>
      </c>
      <c r="D3349" t="s">
        <v>21</v>
      </c>
      <c r="E3349" t="s">
        <v>22</v>
      </c>
      <c r="F3349" s="30">
        <v>45930</v>
      </c>
      <c r="G3349" t="s">
        <v>2258</v>
      </c>
      <c r="H3349" t="s">
        <v>4585</v>
      </c>
      <c r="I3349">
        <v>90</v>
      </c>
      <c r="J3349">
        <v>100</v>
      </c>
      <c r="CS3349">
        <v>9</v>
      </c>
      <c r="CT3349">
        <v>9</v>
      </c>
    </row>
    <row r="3350" spans="1:132" x14ac:dyDescent="0.3">
      <c r="A3350">
        <v>432</v>
      </c>
      <c r="B3350" t="s">
        <v>2247</v>
      </c>
      <c r="C3350" t="s">
        <v>138</v>
      </c>
      <c r="D3350" t="s">
        <v>21</v>
      </c>
      <c r="E3350" t="s">
        <v>22</v>
      </c>
      <c r="F3350" s="30">
        <v>45930</v>
      </c>
      <c r="G3350" t="s">
        <v>2258</v>
      </c>
      <c r="H3350" t="s">
        <v>4587</v>
      </c>
      <c r="I3350">
        <v>90</v>
      </c>
      <c r="J3350">
        <v>100</v>
      </c>
      <c r="CS3350">
        <v>18</v>
      </c>
      <c r="CT3350">
        <v>18</v>
      </c>
    </row>
    <row r="3351" spans="1:132" x14ac:dyDescent="0.3">
      <c r="A3351">
        <v>432</v>
      </c>
      <c r="B3351" t="s">
        <v>2247</v>
      </c>
      <c r="C3351" t="s">
        <v>138</v>
      </c>
      <c r="D3351" t="s">
        <v>21</v>
      </c>
      <c r="E3351" t="s">
        <v>22</v>
      </c>
      <c r="F3351" s="30">
        <v>45930</v>
      </c>
      <c r="G3351" t="s">
        <v>2258</v>
      </c>
      <c r="H3351" t="s">
        <v>4588</v>
      </c>
      <c r="I3351">
        <v>90</v>
      </c>
      <c r="J3351">
        <v>100</v>
      </c>
      <c r="CS3351">
        <v>2</v>
      </c>
      <c r="CT3351">
        <v>2</v>
      </c>
    </row>
    <row r="3352" spans="1:132" x14ac:dyDescent="0.3">
      <c r="A3352">
        <v>432</v>
      </c>
      <c r="B3352" t="s">
        <v>2247</v>
      </c>
      <c r="C3352" t="s">
        <v>138</v>
      </c>
      <c r="D3352" t="s">
        <v>21</v>
      </c>
      <c r="E3352" t="s">
        <v>22</v>
      </c>
      <c r="F3352" s="30">
        <v>45930</v>
      </c>
      <c r="G3352" t="s">
        <v>2258</v>
      </c>
      <c r="H3352" t="s">
        <v>4589</v>
      </c>
      <c r="I3352">
        <v>90</v>
      </c>
      <c r="J3352">
        <v>100</v>
      </c>
      <c r="CS3352">
        <v>5</v>
      </c>
      <c r="CT3352">
        <v>5</v>
      </c>
    </row>
    <row r="3353" spans="1:132" x14ac:dyDescent="0.3">
      <c r="A3353">
        <v>432</v>
      </c>
      <c r="B3353" t="s">
        <v>2247</v>
      </c>
      <c r="C3353" t="s">
        <v>138</v>
      </c>
      <c r="D3353" t="s">
        <v>21</v>
      </c>
      <c r="E3353" t="s">
        <v>22</v>
      </c>
      <c r="F3353" s="30">
        <v>45930</v>
      </c>
      <c r="G3353" t="s">
        <v>2258</v>
      </c>
      <c r="H3353" t="s">
        <v>4590</v>
      </c>
      <c r="I3353">
        <v>90</v>
      </c>
      <c r="J3353">
        <v>100</v>
      </c>
      <c r="CS3353">
        <v>9</v>
      </c>
      <c r="CT3353">
        <v>9</v>
      </c>
    </row>
    <row r="3354" spans="1:132" x14ac:dyDescent="0.3">
      <c r="A3354">
        <v>432</v>
      </c>
      <c r="B3354" t="s">
        <v>2247</v>
      </c>
      <c r="C3354" t="s">
        <v>138</v>
      </c>
      <c r="D3354" t="s">
        <v>21</v>
      </c>
      <c r="E3354" t="s">
        <v>22</v>
      </c>
      <c r="F3354" s="30">
        <v>45930</v>
      </c>
      <c r="G3354" t="s">
        <v>2258</v>
      </c>
      <c r="H3354" t="s">
        <v>4591</v>
      </c>
      <c r="I3354">
        <v>90</v>
      </c>
      <c r="J3354">
        <v>100</v>
      </c>
      <c r="CS3354">
        <v>20</v>
      </c>
      <c r="CT3354">
        <v>20</v>
      </c>
    </row>
    <row r="3355" spans="1:132" x14ac:dyDescent="0.3">
      <c r="A3355">
        <v>432</v>
      </c>
      <c r="B3355" t="s">
        <v>2247</v>
      </c>
      <c r="C3355" t="s">
        <v>138</v>
      </c>
      <c r="D3355" t="s">
        <v>21</v>
      </c>
      <c r="E3355" t="s">
        <v>22</v>
      </c>
      <c r="F3355" s="30">
        <v>45930</v>
      </c>
      <c r="G3355" t="s">
        <v>2258</v>
      </c>
      <c r="H3355" t="s">
        <v>4586</v>
      </c>
      <c r="I3355">
        <v>90</v>
      </c>
      <c r="J3355">
        <v>100</v>
      </c>
      <c r="CS3355">
        <v>7</v>
      </c>
      <c r="CT3355">
        <v>7</v>
      </c>
    </row>
    <row r="3356" spans="1:132" x14ac:dyDescent="0.3">
      <c r="A3356">
        <v>456</v>
      </c>
      <c r="B3356" t="s">
        <v>2419</v>
      </c>
      <c r="C3356" t="s">
        <v>207</v>
      </c>
      <c r="D3356" t="s">
        <v>21</v>
      </c>
      <c r="E3356" t="s">
        <v>22</v>
      </c>
      <c r="F3356" s="30">
        <v>45930</v>
      </c>
      <c r="G3356" t="s">
        <v>2424</v>
      </c>
      <c r="H3356" t="s">
        <v>4511</v>
      </c>
      <c r="I3356">
        <v>100</v>
      </c>
      <c r="J3356">
        <v>116.6699981689453</v>
      </c>
      <c r="DY3356">
        <v>60</v>
      </c>
      <c r="DZ3356">
        <v>70</v>
      </c>
    </row>
    <row r="3357" spans="1:132" x14ac:dyDescent="0.3">
      <c r="A3357">
        <v>456</v>
      </c>
      <c r="B3357" t="s">
        <v>2419</v>
      </c>
      <c r="C3357" t="s">
        <v>207</v>
      </c>
      <c r="D3357" t="s">
        <v>21</v>
      </c>
      <c r="E3357" t="s">
        <v>22</v>
      </c>
      <c r="F3357" s="30">
        <v>45930</v>
      </c>
      <c r="G3357" t="s">
        <v>2424</v>
      </c>
      <c r="H3357" t="s">
        <v>4512</v>
      </c>
      <c r="I3357">
        <v>100</v>
      </c>
      <c r="J3357">
        <v>160</v>
      </c>
      <c r="DY3357">
        <v>20</v>
      </c>
      <c r="DZ3357">
        <v>32</v>
      </c>
    </row>
    <row r="3358" spans="1:132" x14ac:dyDescent="0.3">
      <c r="A3358">
        <v>456</v>
      </c>
      <c r="B3358" t="s">
        <v>2419</v>
      </c>
      <c r="C3358" t="s">
        <v>207</v>
      </c>
      <c r="D3358" t="s">
        <v>21</v>
      </c>
      <c r="E3358" t="s">
        <v>22</v>
      </c>
      <c r="F3358" s="30">
        <v>45930</v>
      </c>
      <c r="G3358" t="s">
        <v>2424</v>
      </c>
      <c r="H3358" t="s">
        <v>4636</v>
      </c>
      <c r="I3358">
        <v>100</v>
      </c>
      <c r="J3358">
        <v>100</v>
      </c>
      <c r="DY3358">
        <v>22</v>
      </c>
      <c r="DZ3358">
        <v>22</v>
      </c>
    </row>
    <row r="3359" spans="1:132" x14ac:dyDescent="0.3">
      <c r="A3359">
        <v>457</v>
      </c>
      <c r="B3359" t="s">
        <v>2426</v>
      </c>
      <c r="C3359" t="s">
        <v>207</v>
      </c>
      <c r="D3359" t="s">
        <v>21</v>
      </c>
      <c r="E3359" t="s">
        <v>22</v>
      </c>
      <c r="F3359" s="30">
        <v>45930</v>
      </c>
      <c r="G3359" t="s">
        <v>2431</v>
      </c>
      <c r="H3359" t="s">
        <v>4511</v>
      </c>
      <c r="I3359">
        <v>100</v>
      </c>
      <c r="J3359">
        <v>100</v>
      </c>
      <c r="EA3359">
        <v>2</v>
      </c>
      <c r="EB3359">
        <v>2</v>
      </c>
    </row>
    <row r="3360" spans="1:132" x14ac:dyDescent="0.3">
      <c r="A3360">
        <v>457</v>
      </c>
      <c r="B3360" t="s">
        <v>2426</v>
      </c>
      <c r="C3360" t="s">
        <v>207</v>
      </c>
      <c r="D3360" t="s">
        <v>21</v>
      </c>
      <c r="E3360" t="s">
        <v>22</v>
      </c>
      <c r="F3360" s="30">
        <v>45930</v>
      </c>
      <c r="G3360" t="s">
        <v>2431</v>
      </c>
      <c r="H3360" t="s">
        <v>4512</v>
      </c>
      <c r="I3360">
        <v>100</v>
      </c>
      <c r="J3360">
        <v>66.669998168945313</v>
      </c>
      <c r="EA3360">
        <v>3</v>
      </c>
      <c r="EB3360">
        <v>2</v>
      </c>
    </row>
    <row r="3361" spans="1:132" x14ac:dyDescent="0.3">
      <c r="A3361">
        <v>457</v>
      </c>
      <c r="B3361" t="s">
        <v>2426</v>
      </c>
      <c r="C3361" t="s">
        <v>207</v>
      </c>
      <c r="D3361" t="s">
        <v>21</v>
      </c>
      <c r="E3361" t="s">
        <v>22</v>
      </c>
      <c r="F3361" s="30">
        <v>45930</v>
      </c>
      <c r="G3361" t="s">
        <v>2431</v>
      </c>
      <c r="H3361" t="s">
        <v>4636</v>
      </c>
      <c r="I3361">
        <v>100</v>
      </c>
      <c r="J3361">
        <v>100</v>
      </c>
      <c r="EA3361">
        <v>2</v>
      </c>
      <c r="EB3361">
        <v>2</v>
      </c>
    </row>
    <row r="3362" spans="1:132" x14ac:dyDescent="0.3">
      <c r="A3362">
        <v>469</v>
      </c>
      <c r="B3362" t="s">
        <v>2168</v>
      </c>
      <c r="C3362" t="s">
        <v>1263</v>
      </c>
      <c r="D3362" t="s">
        <v>21</v>
      </c>
      <c r="E3362" t="s">
        <v>22</v>
      </c>
      <c r="F3362" s="30">
        <v>45930</v>
      </c>
      <c r="G3362" t="s">
        <v>2463</v>
      </c>
      <c r="H3362" t="s">
        <v>4612</v>
      </c>
      <c r="I3362">
        <v>100</v>
      </c>
      <c r="J3362">
        <v>100</v>
      </c>
      <c r="DF3362">
        <v>89</v>
      </c>
      <c r="DG3362">
        <v>89</v>
      </c>
    </row>
    <row r="3363" spans="1:132" x14ac:dyDescent="0.3">
      <c r="A3363">
        <v>469</v>
      </c>
      <c r="B3363" t="s">
        <v>2168</v>
      </c>
      <c r="C3363" t="s">
        <v>1263</v>
      </c>
      <c r="D3363" t="s">
        <v>21</v>
      </c>
      <c r="E3363" t="s">
        <v>22</v>
      </c>
      <c r="F3363" s="30">
        <v>45930</v>
      </c>
      <c r="G3363" t="s">
        <v>2463</v>
      </c>
      <c r="H3363" t="s">
        <v>4610</v>
      </c>
      <c r="I3363">
        <v>100</v>
      </c>
      <c r="J3363">
        <v>0</v>
      </c>
      <c r="DF3363">
        <v>0</v>
      </c>
      <c r="DG3363">
        <v>0</v>
      </c>
    </row>
    <row r="3364" spans="1:132" x14ac:dyDescent="0.3">
      <c r="A3364">
        <v>469</v>
      </c>
      <c r="B3364" t="s">
        <v>2168</v>
      </c>
      <c r="C3364" t="s">
        <v>1263</v>
      </c>
      <c r="D3364" t="s">
        <v>21</v>
      </c>
      <c r="E3364" t="s">
        <v>22</v>
      </c>
      <c r="F3364" s="30">
        <v>45930</v>
      </c>
      <c r="G3364" t="s">
        <v>2463</v>
      </c>
      <c r="H3364" t="s">
        <v>4617</v>
      </c>
      <c r="I3364">
        <v>100</v>
      </c>
      <c r="J3364">
        <v>96.389999389648438</v>
      </c>
      <c r="DF3364">
        <v>80</v>
      </c>
      <c r="DG3364">
        <v>83</v>
      </c>
    </row>
    <row r="3365" spans="1:132" x14ac:dyDescent="0.3">
      <c r="A3365">
        <v>469</v>
      </c>
      <c r="B3365" t="s">
        <v>2168</v>
      </c>
      <c r="C3365" t="s">
        <v>1263</v>
      </c>
      <c r="D3365" t="s">
        <v>21</v>
      </c>
      <c r="E3365" t="s">
        <v>22</v>
      </c>
      <c r="F3365" s="30">
        <v>45930</v>
      </c>
      <c r="G3365" t="s">
        <v>2463</v>
      </c>
      <c r="H3365" t="s">
        <v>4614</v>
      </c>
      <c r="I3365">
        <v>100</v>
      </c>
      <c r="J3365">
        <v>100</v>
      </c>
      <c r="DF3365">
        <v>86</v>
      </c>
      <c r="DG3365">
        <v>86</v>
      </c>
    </row>
    <row r="3366" spans="1:132" x14ac:dyDescent="0.3">
      <c r="A3366">
        <v>469</v>
      </c>
      <c r="B3366" t="s">
        <v>2168</v>
      </c>
      <c r="C3366" t="s">
        <v>1263</v>
      </c>
      <c r="D3366" t="s">
        <v>21</v>
      </c>
      <c r="E3366" t="s">
        <v>22</v>
      </c>
      <c r="F3366" s="30">
        <v>45930</v>
      </c>
      <c r="G3366" t="s">
        <v>2463</v>
      </c>
      <c r="H3366" t="s">
        <v>4609</v>
      </c>
      <c r="I3366">
        <v>100</v>
      </c>
      <c r="J3366">
        <v>107.69000244140619</v>
      </c>
      <c r="DF3366">
        <v>98</v>
      </c>
      <c r="DG3366">
        <v>91</v>
      </c>
    </row>
    <row r="3367" spans="1:132" x14ac:dyDescent="0.3">
      <c r="A3367">
        <v>469</v>
      </c>
      <c r="B3367" t="s">
        <v>2168</v>
      </c>
      <c r="C3367" t="s">
        <v>1263</v>
      </c>
      <c r="D3367" t="s">
        <v>21</v>
      </c>
      <c r="E3367" t="s">
        <v>22</v>
      </c>
      <c r="F3367" s="30">
        <v>45930</v>
      </c>
      <c r="G3367" t="s">
        <v>2463</v>
      </c>
      <c r="H3367" t="s">
        <v>4616</v>
      </c>
      <c r="I3367">
        <v>100</v>
      </c>
      <c r="J3367">
        <v>100</v>
      </c>
      <c r="DF3367">
        <v>83</v>
      </c>
      <c r="DG3367">
        <v>83</v>
      </c>
    </row>
    <row r="3368" spans="1:132" x14ac:dyDescent="0.3">
      <c r="A3368">
        <v>469</v>
      </c>
      <c r="B3368" t="s">
        <v>2168</v>
      </c>
      <c r="C3368" t="s">
        <v>1263</v>
      </c>
      <c r="D3368" t="s">
        <v>21</v>
      </c>
      <c r="E3368" t="s">
        <v>22</v>
      </c>
      <c r="F3368" s="30">
        <v>45930</v>
      </c>
      <c r="G3368" t="s">
        <v>2463</v>
      </c>
      <c r="H3368" t="s">
        <v>4613</v>
      </c>
      <c r="I3368">
        <v>100</v>
      </c>
      <c r="J3368">
        <v>87.639999389648438</v>
      </c>
      <c r="DF3368">
        <v>78</v>
      </c>
      <c r="DG3368">
        <v>89</v>
      </c>
    </row>
    <row r="3369" spans="1:132" x14ac:dyDescent="0.3">
      <c r="A3369">
        <v>469</v>
      </c>
      <c r="B3369" t="s">
        <v>2168</v>
      </c>
      <c r="C3369" t="s">
        <v>1263</v>
      </c>
      <c r="D3369" t="s">
        <v>21</v>
      </c>
      <c r="E3369" t="s">
        <v>22</v>
      </c>
      <c r="F3369" s="30">
        <v>45930</v>
      </c>
      <c r="G3369" t="s">
        <v>2463</v>
      </c>
      <c r="H3369" t="s">
        <v>4615</v>
      </c>
      <c r="I3369">
        <v>100</v>
      </c>
      <c r="J3369">
        <v>84.269996643066406</v>
      </c>
      <c r="DF3369">
        <v>75</v>
      </c>
      <c r="DG3369">
        <v>89</v>
      </c>
    </row>
    <row r="3370" spans="1:132" x14ac:dyDescent="0.3">
      <c r="A3370">
        <v>469</v>
      </c>
      <c r="B3370" t="s">
        <v>2168</v>
      </c>
      <c r="C3370" t="s">
        <v>1263</v>
      </c>
      <c r="D3370" t="s">
        <v>21</v>
      </c>
      <c r="E3370" t="s">
        <v>22</v>
      </c>
      <c r="F3370" s="30">
        <v>45930</v>
      </c>
      <c r="G3370" t="s">
        <v>2463</v>
      </c>
      <c r="H3370" t="s">
        <v>4611</v>
      </c>
      <c r="I3370">
        <v>100</v>
      </c>
      <c r="J3370">
        <v>65.220001220703125</v>
      </c>
      <c r="DF3370">
        <v>60</v>
      </c>
      <c r="DG3370">
        <v>92</v>
      </c>
    </row>
    <row r="3371" spans="1:132" x14ac:dyDescent="0.3">
      <c r="A3371">
        <v>470</v>
      </c>
      <c r="B3371" t="s">
        <v>2465</v>
      </c>
      <c r="C3371" t="s">
        <v>1263</v>
      </c>
      <c r="D3371" t="s">
        <v>21</v>
      </c>
      <c r="E3371" t="s">
        <v>22</v>
      </c>
      <c r="F3371" s="30">
        <v>45930</v>
      </c>
      <c r="G3371" t="s">
        <v>2472</v>
      </c>
      <c r="H3371" t="s">
        <v>4620</v>
      </c>
      <c r="I3371">
        <v>100</v>
      </c>
      <c r="J3371">
        <v>100</v>
      </c>
      <c r="DH3371">
        <v>87</v>
      </c>
      <c r="DI3371">
        <v>87</v>
      </c>
    </row>
    <row r="3372" spans="1:132" x14ac:dyDescent="0.3">
      <c r="A3372">
        <v>470</v>
      </c>
      <c r="B3372" t="s">
        <v>2465</v>
      </c>
      <c r="C3372" t="s">
        <v>1263</v>
      </c>
      <c r="D3372" t="s">
        <v>21</v>
      </c>
      <c r="E3372" t="s">
        <v>22</v>
      </c>
      <c r="F3372" s="30">
        <v>45930</v>
      </c>
      <c r="G3372" t="s">
        <v>2472</v>
      </c>
      <c r="H3372" t="s">
        <v>4622</v>
      </c>
      <c r="I3372">
        <v>100</v>
      </c>
      <c r="J3372">
        <v>106.379997253418</v>
      </c>
      <c r="DH3372">
        <v>100</v>
      </c>
      <c r="DI3372">
        <v>94</v>
      </c>
    </row>
    <row r="3373" spans="1:132" x14ac:dyDescent="0.3">
      <c r="A3373">
        <v>470</v>
      </c>
      <c r="B3373" t="s">
        <v>2465</v>
      </c>
      <c r="C3373" t="s">
        <v>1263</v>
      </c>
      <c r="D3373" t="s">
        <v>21</v>
      </c>
      <c r="E3373" t="s">
        <v>22</v>
      </c>
      <c r="F3373" s="30">
        <v>45930</v>
      </c>
      <c r="G3373" t="s">
        <v>2472</v>
      </c>
      <c r="H3373" t="s">
        <v>4619</v>
      </c>
      <c r="I3373">
        <v>100</v>
      </c>
      <c r="J3373">
        <v>103.0899963378906</v>
      </c>
      <c r="DH3373">
        <v>100</v>
      </c>
      <c r="DI3373">
        <v>97</v>
      </c>
    </row>
    <row r="3374" spans="1:132" x14ac:dyDescent="0.3">
      <c r="A3374">
        <v>470</v>
      </c>
      <c r="B3374" t="s">
        <v>2465</v>
      </c>
      <c r="C3374" t="s">
        <v>1263</v>
      </c>
      <c r="D3374" t="s">
        <v>21</v>
      </c>
      <c r="E3374" t="s">
        <v>22</v>
      </c>
      <c r="F3374" s="30">
        <v>45930</v>
      </c>
      <c r="G3374" t="s">
        <v>2472</v>
      </c>
      <c r="H3374" t="s">
        <v>4618</v>
      </c>
      <c r="I3374">
        <v>100</v>
      </c>
      <c r="J3374">
        <v>103.23000335693359</v>
      </c>
      <c r="DH3374">
        <v>96</v>
      </c>
      <c r="DI3374">
        <v>93</v>
      </c>
    </row>
    <row r="3375" spans="1:132" x14ac:dyDescent="0.3">
      <c r="A3375">
        <v>470</v>
      </c>
      <c r="B3375" t="s">
        <v>2465</v>
      </c>
      <c r="C3375" t="s">
        <v>1263</v>
      </c>
      <c r="D3375" t="s">
        <v>21</v>
      </c>
      <c r="E3375" t="s">
        <v>22</v>
      </c>
      <c r="F3375" s="30">
        <v>45930</v>
      </c>
      <c r="G3375" t="s">
        <v>2472</v>
      </c>
      <c r="H3375" t="s">
        <v>4621</v>
      </c>
      <c r="I3375">
        <v>100</v>
      </c>
      <c r="J3375">
        <v>115.2900009155273</v>
      </c>
      <c r="DH3375">
        <v>98</v>
      </c>
      <c r="DI3375">
        <v>85</v>
      </c>
    </row>
    <row r="3376" spans="1:132" x14ac:dyDescent="0.3">
      <c r="A3376">
        <v>471</v>
      </c>
      <c r="B3376" t="s">
        <v>2474</v>
      </c>
      <c r="C3376" t="s">
        <v>1263</v>
      </c>
      <c r="D3376" t="s">
        <v>21</v>
      </c>
      <c r="E3376" t="s">
        <v>22</v>
      </c>
      <c r="F3376" s="30">
        <v>45930</v>
      </c>
      <c r="G3376" t="s">
        <v>2481</v>
      </c>
      <c r="H3376" t="s">
        <v>4625</v>
      </c>
      <c r="I3376">
        <v>100</v>
      </c>
      <c r="J3376">
        <v>93.550003051757813</v>
      </c>
      <c r="DJ3376">
        <v>87</v>
      </c>
      <c r="DK3376">
        <v>93</v>
      </c>
    </row>
    <row r="3377" spans="1:167" x14ac:dyDescent="0.3">
      <c r="A3377">
        <v>471</v>
      </c>
      <c r="B3377" t="s">
        <v>2474</v>
      </c>
      <c r="C3377" t="s">
        <v>1263</v>
      </c>
      <c r="D3377" t="s">
        <v>21</v>
      </c>
      <c r="E3377" t="s">
        <v>22</v>
      </c>
      <c r="F3377" s="30">
        <v>45930</v>
      </c>
      <c r="G3377" t="s">
        <v>2481</v>
      </c>
      <c r="H3377" t="s">
        <v>4623</v>
      </c>
      <c r="I3377">
        <v>100</v>
      </c>
      <c r="J3377">
        <v>106.5899963378906</v>
      </c>
      <c r="DJ3377">
        <v>97</v>
      </c>
      <c r="DK3377">
        <v>91</v>
      </c>
    </row>
    <row r="3378" spans="1:167" x14ac:dyDescent="0.3">
      <c r="A3378">
        <v>471</v>
      </c>
      <c r="B3378" t="s">
        <v>2474</v>
      </c>
      <c r="C3378" t="s">
        <v>1263</v>
      </c>
      <c r="D3378" t="s">
        <v>21</v>
      </c>
      <c r="E3378" t="s">
        <v>22</v>
      </c>
      <c r="F3378" s="30">
        <v>45930</v>
      </c>
      <c r="G3378" t="s">
        <v>2481</v>
      </c>
      <c r="H3378" t="s">
        <v>4626</v>
      </c>
      <c r="I3378">
        <v>100</v>
      </c>
      <c r="J3378">
        <v>102.129997253418</v>
      </c>
      <c r="DJ3378">
        <v>96</v>
      </c>
      <c r="DK3378">
        <v>94</v>
      </c>
    </row>
    <row r="3379" spans="1:167" x14ac:dyDescent="0.3">
      <c r="A3379">
        <v>471</v>
      </c>
      <c r="B3379" t="s">
        <v>2474</v>
      </c>
      <c r="C3379" t="s">
        <v>1263</v>
      </c>
      <c r="D3379" t="s">
        <v>21</v>
      </c>
      <c r="E3379" t="s">
        <v>22</v>
      </c>
      <c r="F3379" s="30">
        <v>45930</v>
      </c>
      <c r="G3379" t="s">
        <v>2481</v>
      </c>
      <c r="H3379" t="s">
        <v>4627</v>
      </c>
      <c r="I3379">
        <v>100</v>
      </c>
      <c r="J3379">
        <v>73.680000305175781</v>
      </c>
      <c r="DJ3379">
        <v>70</v>
      </c>
      <c r="DK3379">
        <v>95</v>
      </c>
    </row>
    <row r="3380" spans="1:167" x14ac:dyDescent="0.3">
      <c r="A3380">
        <v>471</v>
      </c>
      <c r="B3380" t="s">
        <v>2474</v>
      </c>
      <c r="C3380" t="s">
        <v>1263</v>
      </c>
      <c r="D3380" t="s">
        <v>21</v>
      </c>
      <c r="E3380" t="s">
        <v>22</v>
      </c>
      <c r="F3380" s="30">
        <v>45930</v>
      </c>
      <c r="G3380" t="s">
        <v>2481</v>
      </c>
      <c r="H3380" t="s">
        <v>4624</v>
      </c>
      <c r="I3380">
        <v>100</v>
      </c>
      <c r="J3380">
        <v>113.9499969482422</v>
      </c>
      <c r="DJ3380">
        <v>98</v>
      </c>
      <c r="DK3380">
        <v>86</v>
      </c>
    </row>
    <row r="3381" spans="1:167" x14ac:dyDescent="0.3">
      <c r="A3381">
        <v>471</v>
      </c>
      <c r="B3381" t="s">
        <v>2474</v>
      </c>
      <c r="C3381" t="s">
        <v>1263</v>
      </c>
      <c r="D3381" t="s">
        <v>21</v>
      </c>
      <c r="E3381" t="s">
        <v>22</v>
      </c>
      <c r="F3381" s="30">
        <v>45930</v>
      </c>
      <c r="G3381" t="s">
        <v>2481</v>
      </c>
      <c r="H3381" t="s">
        <v>4629</v>
      </c>
      <c r="I3381">
        <v>100</v>
      </c>
      <c r="J3381">
        <v>82.110000610351563</v>
      </c>
      <c r="DJ3381">
        <v>78</v>
      </c>
      <c r="DK3381">
        <v>95</v>
      </c>
    </row>
    <row r="3382" spans="1:167" x14ac:dyDescent="0.3">
      <c r="A3382">
        <v>471</v>
      </c>
      <c r="B3382" t="s">
        <v>2474</v>
      </c>
      <c r="C3382" t="s">
        <v>1263</v>
      </c>
      <c r="D3382" t="s">
        <v>21</v>
      </c>
      <c r="E3382" t="s">
        <v>22</v>
      </c>
      <c r="F3382" s="30">
        <v>45930</v>
      </c>
      <c r="G3382" t="s">
        <v>2481</v>
      </c>
      <c r="H3382" t="s">
        <v>4628</v>
      </c>
      <c r="I3382">
        <v>100</v>
      </c>
      <c r="J3382">
        <v>120.48000335693359</v>
      </c>
      <c r="DJ3382">
        <v>100</v>
      </c>
      <c r="DK3382">
        <v>83</v>
      </c>
    </row>
    <row r="3383" spans="1:167" x14ac:dyDescent="0.3">
      <c r="A3383">
        <v>510</v>
      </c>
      <c r="B3383" t="s">
        <v>2634</v>
      </c>
      <c r="C3383" t="s">
        <v>1490</v>
      </c>
      <c r="D3383" t="s">
        <v>21</v>
      </c>
      <c r="E3383" t="s">
        <v>22</v>
      </c>
      <c r="F3383" s="30">
        <v>45930</v>
      </c>
      <c r="G3383" t="s">
        <v>2637</v>
      </c>
      <c r="H3383" t="s">
        <v>4652</v>
      </c>
      <c r="EL3383">
        <v>0</v>
      </c>
      <c r="EM3383">
        <v>128</v>
      </c>
    </row>
    <row r="3384" spans="1:167" x14ac:dyDescent="0.3">
      <c r="A3384">
        <v>511</v>
      </c>
      <c r="B3384" t="s">
        <v>2639</v>
      </c>
      <c r="C3384" t="s">
        <v>1490</v>
      </c>
      <c r="D3384" t="s">
        <v>21</v>
      </c>
      <c r="E3384" t="s">
        <v>22</v>
      </c>
      <c r="F3384" s="30">
        <v>45930</v>
      </c>
      <c r="G3384" t="s">
        <v>2642</v>
      </c>
      <c r="H3384" t="s">
        <v>4653</v>
      </c>
      <c r="J3384">
        <v>80.849998474121094</v>
      </c>
      <c r="EN3384">
        <v>38</v>
      </c>
      <c r="EO3384">
        <v>47</v>
      </c>
    </row>
    <row r="3385" spans="1:167" x14ac:dyDescent="0.3">
      <c r="A3385">
        <v>511</v>
      </c>
      <c r="B3385" t="s">
        <v>2639</v>
      </c>
      <c r="C3385" t="s">
        <v>1490</v>
      </c>
      <c r="D3385" t="s">
        <v>21</v>
      </c>
      <c r="E3385" t="s">
        <v>22</v>
      </c>
      <c r="F3385" s="30">
        <v>45930</v>
      </c>
      <c r="G3385" t="s">
        <v>2642</v>
      </c>
      <c r="H3385" t="s">
        <v>4654</v>
      </c>
      <c r="J3385">
        <v>100</v>
      </c>
      <c r="EN3385">
        <v>48</v>
      </c>
      <c r="EO3385">
        <v>48</v>
      </c>
    </row>
    <row r="3386" spans="1:167" x14ac:dyDescent="0.3">
      <c r="A3386">
        <v>511</v>
      </c>
      <c r="B3386" t="s">
        <v>2639</v>
      </c>
      <c r="C3386" t="s">
        <v>1490</v>
      </c>
      <c r="D3386" t="s">
        <v>21</v>
      </c>
      <c r="E3386" t="s">
        <v>22</v>
      </c>
      <c r="F3386" s="30">
        <v>45930</v>
      </c>
      <c r="G3386" t="s">
        <v>2642</v>
      </c>
      <c r="H3386" t="s">
        <v>4655</v>
      </c>
      <c r="J3386">
        <v>100</v>
      </c>
      <c r="EN3386">
        <v>21</v>
      </c>
      <c r="EO3386">
        <v>21</v>
      </c>
    </row>
    <row r="3387" spans="1:167" x14ac:dyDescent="0.3">
      <c r="A3387">
        <v>511</v>
      </c>
      <c r="B3387" t="s">
        <v>2639</v>
      </c>
      <c r="C3387" t="s">
        <v>1490</v>
      </c>
      <c r="D3387" t="s">
        <v>21</v>
      </c>
      <c r="E3387" t="s">
        <v>22</v>
      </c>
      <c r="F3387" s="30">
        <v>45930</v>
      </c>
      <c r="G3387" t="s">
        <v>2642</v>
      </c>
      <c r="H3387" t="s">
        <v>4656</v>
      </c>
      <c r="J3387">
        <v>92.860000610351563</v>
      </c>
      <c r="EN3387">
        <v>13</v>
      </c>
      <c r="EO3387">
        <v>14</v>
      </c>
    </row>
    <row r="3388" spans="1:167" x14ac:dyDescent="0.3">
      <c r="A3388">
        <v>511</v>
      </c>
      <c r="B3388" t="s">
        <v>2639</v>
      </c>
      <c r="C3388" t="s">
        <v>1490</v>
      </c>
      <c r="D3388" t="s">
        <v>21</v>
      </c>
      <c r="E3388" t="s">
        <v>22</v>
      </c>
      <c r="F3388" s="30">
        <v>45930</v>
      </c>
      <c r="G3388" t="s">
        <v>2642</v>
      </c>
      <c r="H3388" t="s">
        <v>4657</v>
      </c>
      <c r="J3388">
        <v>75</v>
      </c>
      <c r="EN3388">
        <v>9</v>
      </c>
      <c r="EO3388">
        <v>12</v>
      </c>
    </row>
    <row r="3389" spans="1:167" x14ac:dyDescent="0.3">
      <c r="A3389">
        <v>511</v>
      </c>
      <c r="B3389" t="s">
        <v>2639</v>
      </c>
      <c r="C3389" t="s">
        <v>1490</v>
      </c>
      <c r="D3389" t="s">
        <v>21</v>
      </c>
      <c r="E3389" t="s">
        <v>22</v>
      </c>
      <c r="F3389" s="30">
        <v>45930</v>
      </c>
      <c r="G3389" t="s">
        <v>2642</v>
      </c>
      <c r="H3389" t="s">
        <v>4658</v>
      </c>
      <c r="J3389">
        <v>82.319999694824219</v>
      </c>
      <c r="EN3389">
        <v>163</v>
      </c>
      <c r="EO3389">
        <v>198</v>
      </c>
    </row>
    <row r="3390" spans="1:167" x14ac:dyDescent="0.3">
      <c r="A3390">
        <v>511</v>
      </c>
      <c r="B3390" t="s">
        <v>2639</v>
      </c>
      <c r="C3390" t="s">
        <v>1490</v>
      </c>
      <c r="D3390" t="s">
        <v>21</v>
      </c>
      <c r="E3390" t="s">
        <v>22</v>
      </c>
      <c r="F3390" s="30">
        <v>45930</v>
      </c>
      <c r="G3390" t="s">
        <v>2642</v>
      </c>
      <c r="H3390" t="s">
        <v>4659</v>
      </c>
      <c r="J3390">
        <v>100</v>
      </c>
      <c r="EN3390">
        <v>12</v>
      </c>
      <c r="EO3390">
        <v>12</v>
      </c>
    </row>
    <row r="3391" spans="1:167" x14ac:dyDescent="0.3">
      <c r="A3391">
        <v>529</v>
      </c>
      <c r="B3391" t="s">
        <v>2659</v>
      </c>
      <c r="C3391" t="s">
        <v>224</v>
      </c>
      <c r="D3391" t="s">
        <v>21</v>
      </c>
      <c r="E3391" t="s">
        <v>22</v>
      </c>
      <c r="F3391" s="30">
        <v>45930</v>
      </c>
      <c r="G3391" t="s">
        <v>2660</v>
      </c>
      <c r="H3391" t="s">
        <v>4508</v>
      </c>
      <c r="I3391">
        <v>90</v>
      </c>
      <c r="J3391">
        <v>96.19000244140625</v>
      </c>
      <c r="FJ3391">
        <v>210</v>
      </c>
      <c r="FK3391">
        <v>202</v>
      </c>
    </row>
    <row r="3392" spans="1:167" x14ac:dyDescent="0.3">
      <c r="A3392">
        <v>529</v>
      </c>
      <c r="B3392" t="s">
        <v>2659</v>
      </c>
      <c r="C3392" t="s">
        <v>224</v>
      </c>
      <c r="D3392" t="s">
        <v>21</v>
      </c>
      <c r="E3392" t="s">
        <v>22</v>
      </c>
      <c r="F3392" s="30">
        <v>45930</v>
      </c>
      <c r="G3392" t="s">
        <v>2660</v>
      </c>
      <c r="H3392" t="s">
        <v>4509</v>
      </c>
      <c r="I3392">
        <v>90</v>
      </c>
      <c r="J3392">
        <v>100</v>
      </c>
      <c r="FJ3392">
        <v>95</v>
      </c>
      <c r="FK3392">
        <v>95</v>
      </c>
    </row>
    <row r="3393" spans="1:45" x14ac:dyDescent="0.3">
      <c r="A3393">
        <v>208</v>
      </c>
      <c r="B3393" t="s">
        <v>707</v>
      </c>
      <c r="C3393" t="s">
        <v>251</v>
      </c>
      <c r="D3393" t="s">
        <v>73</v>
      </c>
      <c r="E3393" t="s">
        <v>56</v>
      </c>
      <c r="F3393" s="30">
        <v>45961</v>
      </c>
      <c r="G3393" t="s">
        <v>754</v>
      </c>
      <c r="H3393" t="s">
        <v>4468</v>
      </c>
      <c r="I3393">
        <v>950</v>
      </c>
      <c r="J3393">
        <v>686</v>
      </c>
      <c r="K3393">
        <v>686</v>
      </c>
    </row>
    <row r="3394" spans="1:45" x14ac:dyDescent="0.3">
      <c r="A3394">
        <v>208</v>
      </c>
      <c r="B3394" t="s">
        <v>707</v>
      </c>
      <c r="C3394" t="s">
        <v>251</v>
      </c>
      <c r="D3394" t="s">
        <v>73</v>
      </c>
      <c r="E3394" t="s">
        <v>56</v>
      </c>
      <c r="F3394" s="30">
        <v>45961</v>
      </c>
      <c r="G3394" t="s">
        <v>754</v>
      </c>
      <c r="H3394" t="s">
        <v>4470</v>
      </c>
      <c r="I3394">
        <v>350</v>
      </c>
      <c r="J3394">
        <v>358.5</v>
      </c>
      <c r="K3394">
        <v>358.5</v>
      </c>
    </row>
    <row r="3395" spans="1:45" x14ac:dyDescent="0.3">
      <c r="A3395">
        <v>208</v>
      </c>
      <c r="B3395" t="s">
        <v>707</v>
      </c>
      <c r="C3395" t="s">
        <v>251</v>
      </c>
      <c r="D3395" t="s">
        <v>73</v>
      </c>
      <c r="E3395" t="s">
        <v>56</v>
      </c>
      <c r="F3395" s="30">
        <v>45961</v>
      </c>
      <c r="G3395" t="s">
        <v>754</v>
      </c>
      <c r="H3395" t="s">
        <v>4469</v>
      </c>
      <c r="I3395">
        <v>200</v>
      </c>
      <c r="J3395">
        <v>194</v>
      </c>
      <c r="K3395">
        <v>194</v>
      </c>
    </row>
    <row r="3396" spans="1:45" x14ac:dyDescent="0.3">
      <c r="A3396">
        <v>208</v>
      </c>
      <c r="B3396" t="s">
        <v>707</v>
      </c>
      <c r="C3396" t="s">
        <v>251</v>
      </c>
      <c r="D3396" t="s">
        <v>73</v>
      </c>
      <c r="E3396" t="s">
        <v>56</v>
      </c>
      <c r="F3396" s="30">
        <v>45961</v>
      </c>
      <c r="G3396" t="s">
        <v>754</v>
      </c>
      <c r="H3396" t="s">
        <v>4476</v>
      </c>
      <c r="I3396">
        <v>0</v>
      </c>
      <c r="J3396">
        <v>0</v>
      </c>
      <c r="K3396">
        <v>0</v>
      </c>
    </row>
    <row r="3397" spans="1:45" x14ac:dyDescent="0.3">
      <c r="A3397">
        <v>208</v>
      </c>
      <c r="B3397" t="s">
        <v>707</v>
      </c>
      <c r="C3397" t="s">
        <v>251</v>
      </c>
      <c r="D3397" t="s">
        <v>73</v>
      </c>
      <c r="E3397" t="s">
        <v>56</v>
      </c>
      <c r="F3397" s="30">
        <v>45961</v>
      </c>
      <c r="G3397" t="s">
        <v>754</v>
      </c>
      <c r="H3397" t="s">
        <v>4478</v>
      </c>
      <c r="I3397">
        <v>25</v>
      </c>
      <c r="J3397">
        <v>18</v>
      </c>
      <c r="K3397">
        <v>18</v>
      </c>
    </row>
    <row r="3398" spans="1:45" x14ac:dyDescent="0.3">
      <c r="A3398">
        <v>208</v>
      </c>
      <c r="B3398" t="s">
        <v>707</v>
      </c>
      <c r="C3398" t="s">
        <v>251</v>
      </c>
      <c r="D3398" t="s">
        <v>73</v>
      </c>
      <c r="E3398" t="s">
        <v>56</v>
      </c>
      <c r="F3398" s="30">
        <v>45961</v>
      </c>
      <c r="G3398" t="s">
        <v>754</v>
      </c>
      <c r="H3398" t="s">
        <v>4477</v>
      </c>
      <c r="I3398">
        <v>25</v>
      </c>
      <c r="J3398">
        <v>4</v>
      </c>
      <c r="K3398">
        <v>4</v>
      </c>
    </row>
    <row r="3399" spans="1:45" x14ac:dyDescent="0.3">
      <c r="A3399">
        <v>214</v>
      </c>
      <c r="B3399" t="s">
        <v>774</v>
      </c>
      <c r="C3399" t="s">
        <v>251</v>
      </c>
      <c r="D3399" t="s">
        <v>73</v>
      </c>
      <c r="E3399" t="s">
        <v>56</v>
      </c>
      <c r="F3399" s="30">
        <v>45961</v>
      </c>
      <c r="G3399" t="s">
        <v>821</v>
      </c>
      <c r="H3399" t="s">
        <v>4470</v>
      </c>
      <c r="I3399">
        <v>1000</v>
      </c>
      <c r="J3399">
        <v>1201.599975585938</v>
      </c>
      <c r="L3399">
        <v>274.45</v>
      </c>
      <c r="M3399">
        <v>927.15</v>
      </c>
    </row>
    <row r="3400" spans="1:45" x14ac:dyDescent="0.3">
      <c r="A3400">
        <v>214</v>
      </c>
      <c r="B3400" t="s">
        <v>774</v>
      </c>
      <c r="C3400" t="s">
        <v>251</v>
      </c>
      <c r="D3400" t="s">
        <v>73</v>
      </c>
      <c r="E3400" t="s">
        <v>56</v>
      </c>
      <c r="F3400" s="30">
        <v>45961</v>
      </c>
      <c r="G3400" t="s">
        <v>821</v>
      </c>
      <c r="H3400" t="s">
        <v>4477</v>
      </c>
      <c r="I3400">
        <v>7500</v>
      </c>
      <c r="J3400">
        <v>72.430000305175781</v>
      </c>
      <c r="L3400">
        <v>22.73</v>
      </c>
      <c r="M3400">
        <v>49.7</v>
      </c>
    </row>
    <row r="3401" spans="1:45" x14ac:dyDescent="0.3">
      <c r="A3401">
        <v>214</v>
      </c>
      <c r="B3401" t="s">
        <v>774</v>
      </c>
      <c r="C3401" t="s">
        <v>251</v>
      </c>
      <c r="D3401" t="s">
        <v>73</v>
      </c>
      <c r="E3401" t="s">
        <v>56</v>
      </c>
      <c r="F3401" s="30">
        <v>45961</v>
      </c>
      <c r="G3401" t="s">
        <v>821</v>
      </c>
      <c r="H3401" t="s">
        <v>4469</v>
      </c>
      <c r="I3401">
        <v>1000</v>
      </c>
      <c r="J3401">
        <v>734.20001220703125</v>
      </c>
      <c r="L3401">
        <v>0</v>
      </c>
      <c r="M3401">
        <v>734.2</v>
      </c>
    </row>
    <row r="3402" spans="1:45" x14ac:dyDescent="0.3">
      <c r="A3402">
        <v>214</v>
      </c>
      <c r="B3402" t="s">
        <v>774</v>
      </c>
      <c r="C3402" t="s">
        <v>251</v>
      </c>
      <c r="D3402" t="s">
        <v>73</v>
      </c>
      <c r="E3402" t="s">
        <v>56</v>
      </c>
      <c r="F3402" s="30">
        <v>45961</v>
      </c>
      <c r="G3402" t="s">
        <v>821</v>
      </c>
      <c r="H3402" t="s">
        <v>4476</v>
      </c>
      <c r="I3402">
        <v>1</v>
      </c>
      <c r="J3402">
        <v>176.28999328613281</v>
      </c>
      <c r="L3402">
        <v>23.54</v>
      </c>
      <c r="M3402">
        <v>152.75</v>
      </c>
    </row>
    <row r="3403" spans="1:45" x14ac:dyDescent="0.3">
      <c r="A3403">
        <v>214</v>
      </c>
      <c r="B3403" t="s">
        <v>774</v>
      </c>
      <c r="C3403" t="s">
        <v>251</v>
      </c>
      <c r="D3403" t="s">
        <v>73</v>
      </c>
      <c r="E3403" t="s">
        <v>56</v>
      </c>
      <c r="F3403" s="30">
        <v>45961</v>
      </c>
      <c r="G3403" t="s">
        <v>821</v>
      </c>
      <c r="H3403" t="s">
        <v>4478</v>
      </c>
      <c r="I3403">
        <v>1</v>
      </c>
      <c r="J3403">
        <v>32.360000610351563</v>
      </c>
      <c r="L3403">
        <v>8.66</v>
      </c>
      <c r="M3403">
        <v>23.7</v>
      </c>
    </row>
    <row r="3404" spans="1:45" x14ac:dyDescent="0.3">
      <c r="A3404">
        <v>214</v>
      </c>
      <c r="B3404" t="s">
        <v>774</v>
      </c>
      <c r="C3404" t="s">
        <v>251</v>
      </c>
      <c r="D3404" t="s">
        <v>73</v>
      </c>
      <c r="E3404" t="s">
        <v>56</v>
      </c>
      <c r="F3404" s="30">
        <v>45961</v>
      </c>
      <c r="G3404" t="s">
        <v>821</v>
      </c>
      <c r="H3404" t="s">
        <v>4468</v>
      </c>
      <c r="I3404">
        <v>5500</v>
      </c>
      <c r="J3404">
        <v>1781.68994140625</v>
      </c>
      <c r="L3404">
        <v>235.45</v>
      </c>
      <c r="M3404">
        <v>1546.24</v>
      </c>
    </row>
    <row r="3405" spans="1:45" x14ac:dyDescent="0.3">
      <c r="A3405">
        <v>217</v>
      </c>
      <c r="B3405" t="s">
        <v>840</v>
      </c>
      <c r="C3405" t="s">
        <v>251</v>
      </c>
      <c r="D3405" t="s">
        <v>73</v>
      </c>
      <c r="E3405" t="s">
        <v>22</v>
      </c>
      <c r="F3405" s="30">
        <v>45961</v>
      </c>
      <c r="G3405" t="s">
        <v>885</v>
      </c>
      <c r="H3405" t="s">
        <v>4470</v>
      </c>
      <c r="I3405">
        <v>20</v>
      </c>
      <c r="J3405">
        <v>55.709999084472663</v>
      </c>
      <c r="L3405">
        <v>274.45</v>
      </c>
      <c r="M3405">
        <v>927.15</v>
      </c>
      <c r="AS3405">
        <v>669.45</v>
      </c>
    </row>
    <row r="3406" spans="1:45" x14ac:dyDescent="0.3">
      <c r="A3406">
        <v>217</v>
      </c>
      <c r="B3406" t="s">
        <v>840</v>
      </c>
      <c r="C3406" t="s">
        <v>251</v>
      </c>
      <c r="D3406" t="s">
        <v>73</v>
      </c>
      <c r="E3406" t="s">
        <v>22</v>
      </c>
      <c r="F3406" s="30">
        <v>45961</v>
      </c>
      <c r="G3406" t="s">
        <v>885</v>
      </c>
      <c r="H3406" t="s">
        <v>4477</v>
      </c>
      <c r="I3406">
        <v>20</v>
      </c>
      <c r="J3406">
        <v>31.379999160766602</v>
      </c>
      <c r="L3406">
        <v>22.73</v>
      </c>
      <c r="M3406">
        <v>49.7</v>
      </c>
      <c r="AS3406">
        <v>22.73</v>
      </c>
    </row>
    <row r="3407" spans="1:45" x14ac:dyDescent="0.3">
      <c r="A3407">
        <v>217</v>
      </c>
      <c r="B3407" t="s">
        <v>840</v>
      </c>
      <c r="C3407" t="s">
        <v>251</v>
      </c>
      <c r="D3407" t="s">
        <v>73</v>
      </c>
      <c r="E3407" t="s">
        <v>22</v>
      </c>
      <c r="F3407" s="30">
        <v>45961</v>
      </c>
      <c r="G3407" t="s">
        <v>885</v>
      </c>
      <c r="H3407" t="s">
        <v>4469</v>
      </c>
      <c r="I3407">
        <v>20</v>
      </c>
      <c r="J3407">
        <v>0</v>
      </c>
      <c r="L3407">
        <v>0</v>
      </c>
      <c r="M3407">
        <v>734.2</v>
      </c>
      <c r="AS3407">
        <v>0</v>
      </c>
    </row>
    <row r="3408" spans="1:45" x14ac:dyDescent="0.3">
      <c r="A3408">
        <v>217</v>
      </c>
      <c r="B3408" t="s">
        <v>840</v>
      </c>
      <c r="C3408" t="s">
        <v>251</v>
      </c>
      <c r="D3408" t="s">
        <v>73</v>
      </c>
      <c r="E3408" t="s">
        <v>22</v>
      </c>
      <c r="F3408" s="30">
        <v>45961</v>
      </c>
      <c r="G3408" t="s">
        <v>885</v>
      </c>
      <c r="H3408" t="s">
        <v>4476</v>
      </c>
      <c r="I3408">
        <v>20</v>
      </c>
      <c r="J3408">
        <v>13.35000038146973</v>
      </c>
      <c r="L3408">
        <v>23.54</v>
      </c>
      <c r="M3408">
        <v>152.75</v>
      </c>
      <c r="AS3408">
        <v>23.54</v>
      </c>
    </row>
    <row r="3409" spans="1:47" x14ac:dyDescent="0.3">
      <c r="A3409">
        <v>217</v>
      </c>
      <c r="B3409" t="s">
        <v>840</v>
      </c>
      <c r="C3409" t="s">
        <v>251</v>
      </c>
      <c r="D3409" t="s">
        <v>73</v>
      </c>
      <c r="E3409" t="s">
        <v>22</v>
      </c>
      <c r="F3409" s="30">
        <v>45961</v>
      </c>
      <c r="G3409" t="s">
        <v>885</v>
      </c>
      <c r="H3409" t="s">
        <v>4478</v>
      </c>
      <c r="I3409">
        <v>20</v>
      </c>
      <c r="J3409">
        <v>26.760000228881839</v>
      </c>
      <c r="L3409">
        <v>8.66</v>
      </c>
      <c r="M3409">
        <v>23.7</v>
      </c>
      <c r="AS3409">
        <v>8.66</v>
      </c>
    </row>
    <row r="3410" spans="1:47" x14ac:dyDescent="0.3">
      <c r="A3410">
        <v>217</v>
      </c>
      <c r="B3410" t="s">
        <v>840</v>
      </c>
      <c r="C3410" t="s">
        <v>251</v>
      </c>
      <c r="D3410" t="s">
        <v>73</v>
      </c>
      <c r="E3410" t="s">
        <v>22</v>
      </c>
      <c r="F3410" s="30">
        <v>45961</v>
      </c>
      <c r="G3410" t="s">
        <v>885</v>
      </c>
      <c r="H3410" t="s">
        <v>4468</v>
      </c>
      <c r="I3410">
        <v>20</v>
      </c>
      <c r="J3410">
        <v>292.6199951171875</v>
      </c>
      <c r="L3410">
        <v>235.45</v>
      </c>
      <c r="M3410">
        <v>1546.24</v>
      </c>
      <c r="AS3410">
        <v>5213.6499999999996</v>
      </c>
    </row>
    <row r="3411" spans="1:47" x14ac:dyDescent="0.3">
      <c r="A3411">
        <v>218</v>
      </c>
      <c r="B3411" t="s">
        <v>888</v>
      </c>
      <c r="C3411" t="s">
        <v>251</v>
      </c>
      <c r="D3411" t="s">
        <v>73</v>
      </c>
      <c r="E3411" t="s">
        <v>56</v>
      </c>
      <c r="F3411" s="30">
        <v>45961</v>
      </c>
      <c r="G3411" t="s">
        <v>935</v>
      </c>
      <c r="H3411" t="s">
        <v>4468</v>
      </c>
      <c r="I3411">
        <v>76000</v>
      </c>
      <c r="J3411">
        <v>71285.75</v>
      </c>
      <c r="N3411">
        <v>71285.75</v>
      </c>
    </row>
    <row r="3412" spans="1:47" x14ac:dyDescent="0.3">
      <c r="A3412">
        <v>218</v>
      </c>
      <c r="B3412" t="s">
        <v>888</v>
      </c>
      <c r="C3412" t="s">
        <v>251</v>
      </c>
      <c r="D3412" t="s">
        <v>73</v>
      </c>
      <c r="E3412" t="s">
        <v>56</v>
      </c>
      <c r="F3412" s="30">
        <v>45961</v>
      </c>
      <c r="G3412" t="s">
        <v>935</v>
      </c>
      <c r="H3412" t="s">
        <v>4477</v>
      </c>
      <c r="I3412">
        <v>5000</v>
      </c>
      <c r="J3412">
        <v>4620</v>
      </c>
      <c r="N3412">
        <v>4620</v>
      </c>
    </row>
    <row r="3413" spans="1:47" x14ac:dyDescent="0.3">
      <c r="A3413">
        <v>218</v>
      </c>
      <c r="B3413" t="s">
        <v>888</v>
      </c>
      <c r="C3413" t="s">
        <v>251</v>
      </c>
      <c r="D3413" t="s">
        <v>73</v>
      </c>
      <c r="E3413" t="s">
        <v>56</v>
      </c>
      <c r="F3413" s="30">
        <v>45961</v>
      </c>
      <c r="G3413" t="s">
        <v>935</v>
      </c>
      <c r="H3413" t="s">
        <v>4469</v>
      </c>
      <c r="I3413">
        <v>24000</v>
      </c>
      <c r="J3413">
        <v>16956</v>
      </c>
      <c r="N3413">
        <v>16956</v>
      </c>
    </row>
    <row r="3414" spans="1:47" x14ac:dyDescent="0.3">
      <c r="A3414">
        <v>218</v>
      </c>
      <c r="B3414" t="s">
        <v>888</v>
      </c>
      <c r="C3414" t="s">
        <v>251</v>
      </c>
      <c r="D3414" t="s">
        <v>73</v>
      </c>
      <c r="E3414" t="s">
        <v>56</v>
      </c>
      <c r="F3414" s="30">
        <v>45961</v>
      </c>
      <c r="G3414" t="s">
        <v>935</v>
      </c>
      <c r="H3414" t="s">
        <v>4476</v>
      </c>
      <c r="I3414">
        <v>5000</v>
      </c>
      <c r="J3414">
        <v>7748</v>
      </c>
      <c r="N3414">
        <v>7748</v>
      </c>
    </row>
    <row r="3415" spans="1:47" x14ac:dyDescent="0.3">
      <c r="A3415">
        <v>218</v>
      </c>
      <c r="B3415" t="s">
        <v>888</v>
      </c>
      <c r="C3415" t="s">
        <v>251</v>
      </c>
      <c r="D3415" t="s">
        <v>73</v>
      </c>
      <c r="E3415" t="s">
        <v>56</v>
      </c>
      <c r="F3415" s="30">
        <v>45961</v>
      </c>
      <c r="G3415" t="s">
        <v>935</v>
      </c>
      <c r="H3415" t="s">
        <v>4478</v>
      </c>
      <c r="I3415">
        <v>2000</v>
      </c>
      <c r="J3415">
        <v>2566</v>
      </c>
      <c r="N3415">
        <v>2566</v>
      </c>
    </row>
    <row r="3416" spans="1:47" x14ac:dyDescent="0.3">
      <c r="A3416">
        <v>218</v>
      </c>
      <c r="B3416" t="s">
        <v>888</v>
      </c>
      <c r="C3416" t="s">
        <v>251</v>
      </c>
      <c r="D3416" t="s">
        <v>73</v>
      </c>
      <c r="E3416" t="s">
        <v>56</v>
      </c>
      <c r="F3416" s="30">
        <v>45961</v>
      </c>
      <c r="G3416" t="s">
        <v>935</v>
      </c>
      <c r="H3416" t="s">
        <v>4470</v>
      </c>
      <c r="I3416">
        <v>76000</v>
      </c>
      <c r="J3416">
        <v>47310</v>
      </c>
      <c r="N3416">
        <v>47310</v>
      </c>
    </row>
    <row r="3417" spans="1:47" x14ac:dyDescent="0.3">
      <c r="A3417">
        <v>225</v>
      </c>
      <c r="B3417" t="s">
        <v>976</v>
      </c>
      <c r="C3417" t="s">
        <v>251</v>
      </c>
      <c r="D3417" t="s">
        <v>73</v>
      </c>
      <c r="E3417" t="s">
        <v>22</v>
      </c>
      <c r="F3417" s="30">
        <v>45961</v>
      </c>
      <c r="G3417" t="s">
        <v>1022</v>
      </c>
      <c r="H3417" t="s">
        <v>4468</v>
      </c>
      <c r="I3417">
        <v>1</v>
      </c>
      <c r="J3417">
        <v>0</v>
      </c>
      <c r="AT3417">
        <v>0</v>
      </c>
    </row>
    <row r="3418" spans="1:47" x14ac:dyDescent="0.3">
      <c r="A3418">
        <v>225</v>
      </c>
      <c r="B3418" t="s">
        <v>976</v>
      </c>
      <c r="C3418" t="s">
        <v>251</v>
      </c>
      <c r="D3418" t="s">
        <v>73</v>
      </c>
      <c r="E3418" t="s">
        <v>22</v>
      </c>
      <c r="F3418" s="30">
        <v>45961</v>
      </c>
      <c r="G3418" t="s">
        <v>1022</v>
      </c>
      <c r="H3418" t="s">
        <v>4470</v>
      </c>
      <c r="I3418">
        <v>1</v>
      </c>
      <c r="J3418">
        <v>0</v>
      </c>
      <c r="AT3418">
        <v>0</v>
      </c>
    </row>
    <row r="3419" spans="1:47" x14ac:dyDescent="0.3">
      <c r="A3419">
        <v>225</v>
      </c>
      <c r="B3419" t="s">
        <v>976</v>
      </c>
      <c r="C3419" t="s">
        <v>251</v>
      </c>
      <c r="D3419" t="s">
        <v>73</v>
      </c>
      <c r="E3419" t="s">
        <v>22</v>
      </c>
      <c r="F3419" s="30">
        <v>45961</v>
      </c>
      <c r="G3419" t="s">
        <v>1022</v>
      </c>
      <c r="H3419" t="s">
        <v>4477</v>
      </c>
      <c r="I3419">
        <v>1</v>
      </c>
      <c r="J3419">
        <v>0</v>
      </c>
      <c r="AT3419">
        <v>0</v>
      </c>
    </row>
    <row r="3420" spans="1:47" x14ac:dyDescent="0.3">
      <c r="A3420">
        <v>225</v>
      </c>
      <c r="B3420" t="s">
        <v>976</v>
      </c>
      <c r="C3420" t="s">
        <v>251</v>
      </c>
      <c r="D3420" t="s">
        <v>73</v>
      </c>
      <c r="E3420" t="s">
        <v>22</v>
      </c>
      <c r="F3420" s="30">
        <v>45961</v>
      </c>
      <c r="G3420" t="s">
        <v>1022</v>
      </c>
      <c r="H3420" t="s">
        <v>4469</v>
      </c>
      <c r="I3420">
        <v>1</v>
      </c>
      <c r="J3420">
        <v>0</v>
      </c>
      <c r="AT3420">
        <v>0</v>
      </c>
    </row>
    <row r="3421" spans="1:47" x14ac:dyDescent="0.3">
      <c r="A3421">
        <v>225</v>
      </c>
      <c r="B3421" t="s">
        <v>976</v>
      </c>
      <c r="C3421" t="s">
        <v>251</v>
      </c>
      <c r="D3421" t="s">
        <v>73</v>
      </c>
      <c r="E3421" t="s">
        <v>22</v>
      </c>
      <c r="F3421" s="30">
        <v>45961</v>
      </c>
      <c r="G3421" t="s">
        <v>1022</v>
      </c>
      <c r="H3421" t="s">
        <v>4478</v>
      </c>
      <c r="I3421">
        <v>1</v>
      </c>
      <c r="J3421">
        <v>0</v>
      </c>
      <c r="AT3421">
        <v>0</v>
      </c>
    </row>
    <row r="3422" spans="1:47" x14ac:dyDescent="0.3">
      <c r="A3422">
        <v>225</v>
      </c>
      <c r="B3422" t="s">
        <v>976</v>
      </c>
      <c r="C3422" t="s">
        <v>251</v>
      </c>
      <c r="D3422" t="s">
        <v>73</v>
      </c>
      <c r="E3422" t="s">
        <v>22</v>
      </c>
      <c r="F3422" s="30">
        <v>45961</v>
      </c>
      <c r="G3422" t="s">
        <v>1022</v>
      </c>
      <c r="H3422" t="s">
        <v>4476</v>
      </c>
      <c r="I3422">
        <v>1</v>
      </c>
      <c r="J3422">
        <v>11</v>
      </c>
      <c r="AT3422">
        <v>11</v>
      </c>
    </row>
    <row r="3423" spans="1:47" x14ac:dyDescent="0.3">
      <c r="A3423">
        <v>239</v>
      </c>
      <c r="B3423" t="s">
        <v>1095</v>
      </c>
      <c r="C3423" t="s">
        <v>1096</v>
      </c>
      <c r="D3423" t="s">
        <v>73</v>
      </c>
      <c r="E3423" t="s">
        <v>22</v>
      </c>
      <c r="F3423" s="30">
        <v>45961</v>
      </c>
      <c r="G3423" t="s">
        <v>1141</v>
      </c>
      <c r="H3423" t="s">
        <v>4479</v>
      </c>
      <c r="J3423">
        <v>2</v>
      </c>
      <c r="AU3423">
        <v>2</v>
      </c>
    </row>
    <row r="3424" spans="1:47" x14ac:dyDescent="0.3">
      <c r="A3424">
        <v>239</v>
      </c>
      <c r="B3424" t="s">
        <v>1095</v>
      </c>
      <c r="C3424" t="s">
        <v>1096</v>
      </c>
      <c r="D3424" t="s">
        <v>73</v>
      </c>
      <c r="E3424" t="s">
        <v>22</v>
      </c>
      <c r="F3424" s="30">
        <v>45961</v>
      </c>
      <c r="G3424" t="s">
        <v>1141</v>
      </c>
      <c r="H3424" t="s">
        <v>3622</v>
      </c>
      <c r="J3424">
        <v>12</v>
      </c>
      <c r="AU3424">
        <v>12</v>
      </c>
    </row>
    <row r="3425" spans="1:134" x14ac:dyDescent="0.3">
      <c r="A3425">
        <v>239</v>
      </c>
      <c r="B3425" t="s">
        <v>1095</v>
      </c>
      <c r="C3425" t="s">
        <v>1096</v>
      </c>
      <c r="D3425" t="s">
        <v>73</v>
      </c>
      <c r="E3425" t="s">
        <v>22</v>
      </c>
      <c r="F3425" s="30">
        <v>45961</v>
      </c>
      <c r="G3425" t="s">
        <v>1141</v>
      </c>
      <c r="H3425" t="s">
        <v>4480</v>
      </c>
      <c r="J3425">
        <v>2</v>
      </c>
      <c r="AU3425">
        <v>2</v>
      </c>
    </row>
    <row r="3426" spans="1:134" x14ac:dyDescent="0.3">
      <c r="A3426">
        <v>239</v>
      </c>
      <c r="B3426" t="s">
        <v>1095</v>
      </c>
      <c r="C3426" t="s">
        <v>1096</v>
      </c>
      <c r="D3426" t="s">
        <v>73</v>
      </c>
      <c r="E3426" t="s">
        <v>22</v>
      </c>
      <c r="F3426" s="30">
        <v>45961</v>
      </c>
      <c r="G3426" t="s">
        <v>1141</v>
      </c>
      <c r="H3426" t="s">
        <v>4651</v>
      </c>
      <c r="J3426">
        <v>4</v>
      </c>
      <c r="AU3426">
        <v>4</v>
      </c>
    </row>
    <row r="3427" spans="1:134" x14ac:dyDescent="0.3">
      <c r="A3427">
        <v>239</v>
      </c>
      <c r="B3427" t="s">
        <v>1095</v>
      </c>
      <c r="C3427" t="s">
        <v>1096</v>
      </c>
      <c r="D3427" t="s">
        <v>73</v>
      </c>
      <c r="E3427" t="s">
        <v>22</v>
      </c>
      <c r="F3427" s="30">
        <v>45961</v>
      </c>
      <c r="G3427" t="s">
        <v>1141</v>
      </c>
      <c r="H3427" t="s">
        <v>4481</v>
      </c>
      <c r="J3427">
        <v>23</v>
      </c>
      <c r="AU3427">
        <v>23</v>
      </c>
    </row>
    <row r="3428" spans="1:134" x14ac:dyDescent="0.3">
      <c r="A3428">
        <v>434</v>
      </c>
      <c r="B3428" t="s">
        <v>2267</v>
      </c>
      <c r="C3428" t="s">
        <v>251</v>
      </c>
      <c r="D3428" t="s">
        <v>73</v>
      </c>
      <c r="E3428" t="s">
        <v>56</v>
      </c>
      <c r="F3428" s="30">
        <v>45961</v>
      </c>
      <c r="G3428" t="s">
        <v>2301</v>
      </c>
      <c r="H3428" t="s">
        <v>4468</v>
      </c>
      <c r="I3428">
        <v>100</v>
      </c>
      <c r="J3428">
        <v>4006.199951171875</v>
      </c>
      <c r="AV3428">
        <v>4006.2</v>
      </c>
    </row>
    <row r="3429" spans="1:134" x14ac:dyDescent="0.3">
      <c r="A3429">
        <v>434</v>
      </c>
      <c r="B3429" t="s">
        <v>2267</v>
      </c>
      <c r="C3429" t="s">
        <v>251</v>
      </c>
      <c r="D3429" t="s">
        <v>73</v>
      </c>
      <c r="E3429" t="s">
        <v>56</v>
      </c>
      <c r="F3429" s="30">
        <v>45961</v>
      </c>
      <c r="G3429" t="s">
        <v>2301</v>
      </c>
      <c r="H3429" t="s">
        <v>4470</v>
      </c>
      <c r="I3429">
        <v>25</v>
      </c>
      <c r="J3429">
        <v>68.459999084472656</v>
      </c>
      <c r="AV3429">
        <v>68.459999999999994</v>
      </c>
    </row>
    <row r="3430" spans="1:134" x14ac:dyDescent="0.3">
      <c r="A3430">
        <v>434</v>
      </c>
      <c r="B3430" t="s">
        <v>2267</v>
      </c>
      <c r="C3430" t="s">
        <v>251</v>
      </c>
      <c r="D3430" t="s">
        <v>73</v>
      </c>
      <c r="E3430" t="s">
        <v>56</v>
      </c>
      <c r="F3430" s="30">
        <v>45961</v>
      </c>
      <c r="G3430" t="s">
        <v>2301</v>
      </c>
      <c r="H3430" t="s">
        <v>4477</v>
      </c>
      <c r="I3430">
        <v>200</v>
      </c>
      <c r="J3430">
        <v>0</v>
      </c>
      <c r="AV3430">
        <v>0</v>
      </c>
    </row>
    <row r="3431" spans="1:134" x14ac:dyDescent="0.3">
      <c r="A3431">
        <v>434</v>
      </c>
      <c r="B3431" t="s">
        <v>2267</v>
      </c>
      <c r="C3431" t="s">
        <v>251</v>
      </c>
      <c r="D3431" t="s">
        <v>73</v>
      </c>
      <c r="E3431" t="s">
        <v>56</v>
      </c>
      <c r="F3431" s="30">
        <v>45961</v>
      </c>
      <c r="G3431" t="s">
        <v>2301</v>
      </c>
      <c r="H3431" t="s">
        <v>4476</v>
      </c>
      <c r="I3431">
        <v>10</v>
      </c>
      <c r="J3431">
        <v>0.10000000149011611</v>
      </c>
      <c r="AV3431">
        <v>0.1</v>
      </c>
    </row>
    <row r="3432" spans="1:134" x14ac:dyDescent="0.3">
      <c r="A3432">
        <v>434</v>
      </c>
      <c r="B3432" t="s">
        <v>2267</v>
      </c>
      <c r="C3432" t="s">
        <v>251</v>
      </c>
      <c r="D3432" t="s">
        <v>73</v>
      </c>
      <c r="E3432" t="s">
        <v>56</v>
      </c>
      <c r="F3432" s="30">
        <v>45961</v>
      </c>
      <c r="G3432" t="s">
        <v>2301</v>
      </c>
      <c r="H3432" t="s">
        <v>4478</v>
      </c>
      <c r="I3432">
        <v>200</v>
      </c>
      <c r="J3432">
        <v>0</v>
      </c>
      <c r="AV3432">
        <v>0</v>
      </c>
    </row>
    <row r="3433" spans="1:134" x14ac:dyDescent="0.3">
      <c r="A3433">
        <v>434</v>
      </c>
      <c r="B3433" t="s">
        <v>2267</v>
      </c>
      <c r="C3433" t="s">
        <v>251</v>
      </c>
      <c r="D3433" t="s">
        <v>73</v>
      </c>
      <c r="E3433" t="s">
        <v>56</v>
      </c>
      <c r="F3433" s="30">
        <v>45961</v>
      </c>
      <c r="G3433" t="s">
        <v>2301</v>
      </c>
      <c r="H3433" t="s">
        <v>4469</v>
      </c>
      <c r="I3433">
        <v>25</v>
      </c>
      <c r="J3433">
        <v>449.70001220703119</v>
      </c>
      <c r="AV3433">
        <v>449.7</v>
      </c>
    </row>
    <row r="3434" spans="1:134" x14ac:dyDescent="0.3">
      <c r="A3434">
        <v>436</v>
      </c>
      <c r="B3434" t="s">
        <v>2311</v>
      </c>
      <c r="C3434" t="s">
        <v>258</v>
      </c>
      <c r="D3434" t="s">
        <v>73</v>
      </c>
      <c r="E3434" t="s">
        <v>56</v>
      </c>
      <c r="F3434" s="30">
        <v>45961</v>
      </c>
      <c r="G3434" t="s">
        <v>2345</v>
      </c>
      <c r="H3434" t="s">
        <v>4579</v>
      </c>
      <c r="I3434">
        <v>7</v>
      </c>
      <c r="J3434">
        <v>4.7399997711181641</v>
      </c>
      <c r="CP3434">
        <v>4.74</v>
      </c>
    </row>
    <row r="3435" spans="1:134" x14ac:dyDescent="0.3">
      <c r="A3435">
        <v>436</v>
      </c>
      <c r="B3435" t="s">
        <v>2311</v>
      </c>
      <c r="C3435" t="s">
        <v>258</v>
      </c>
      <c r="D3435" t="s">
        <v>73</v>
      </c>
      <c r="E3435" t="s">
        <v>56</v>
      </c>
      <c r="F3435" s="30">
        <v>45961</v>
      </c>
      <c r="G3435" t="s">
        <v>2345</v>
      </c>
      <c r="H3435" t="s">
        <v>4580</v>
      </c>
      <c r="I3435">
        <v>7</v>
      </c>
      <c r="J3435">
        <v>10.75</v>
      </c>
      <c r="CP3435">
        <v>10.75</v>
      </c>
    </row>
    <row r="3436" spans="1:134" x14ac:dyDescent="0.3">
      <c r="A3436">
        <v>485</v>
      </c>
      <c r="B3436" t="s">
        <v>2525</v>
      </c>
      <c r="C3436" t="s">
        <v>258</v>
      </c>
      <c r="D3436" t="s">
        <v>73</v>
      </c>
      <c r="E3436" t="s">
        <v>22</v>
      </c>
      <c r="F3436" s="30">
        <v>45961</v>
      </c>
      <c r="G3436" t="s">
        <v>2546</v>
      </c>
      <c r="H3436" t="s">
        <v>4638</v>
      </c>
      <c r="I3436">
        <v>80</v>
      </c>
      <c r="J3436">
        <v>100</v>
      </c>
      <c r="EC3436">
        <v>1</v>
      </c>
      <c r="ED3436">
        <v>1</v>
      </c>
    </row>
    <row r="3437" spans="1:134" x14ac:dyDescent="0.3">
      <c r="A3437">
        <v>485</v>
      </c>
      <c r="B3437" t="s">
        <v>2525</v>
      </c>
      <c r="C3437" t="s">
        <v>258</v>
      </c>
      <c r="D3437" t="s">
        <v>73</v>
      </c>
      <c r="E3437" t="s">
        <v>22</v>
      </c>
      <c r="F3437" s="30">
        <v>45961</v>
      </c>
      <c r="G3437" t="s">
        <v>2546</v>
      </c>
      <c r="H3437" t="s">
        <v>4639</v>
      </c>
      <c r="I3437">
        <v>80</v>
      </c>
      <c r="J3437">
        <v>100</v>
      </c>
      <c r="EC3437">
        <v>2</v>
      </c>
      <c r="ED3437">
        <v>2</v>
      </c>
    </row>
    <row r="3438" spans="1:134" x14ac:dyDescent="0.3">
      <c r="A3438">
        <v>485</v>
      </c>
      <c r="B3438" t="s">
        <v>2525</v>
      </c>
      <c r="C3438" t="s">
        <v>258</v>
      </c>
      <c r="D3438" t="s">
        <v>73</v>
      </c>
      <c r="E3438" t="s">
        <v>22</v>
      </c>
      <c r="F3438" s="30">
        <v>45961</v>
      </c>
      <c r="G3438" t="s">
        <v>2546</v>
      </c>
      <c r="H3438" t="s">
        <v>4576</v>
      </c>
      <c r="I3438">
        <v>80</v>
      </c>
      <c r="J3438">
        <v>0</v>
      </c>
      <c r="EC3438">
        <v>0</v>
      </c>
      <c r="ED3438">
        <v>0</v>
      </c>
    </row>
    <row r="3439" spans="1:134" x14ac:dyDescent="0.3">
      <c r="A3439">
        <v>485</v>
      </c>
      <c r="B3439" t="s">
        <v>2525</v>
      </c>
      <c r="C3439" t="s">
        <v>258</v>
      </c>
      <c r="D3439" t="s">
        <v>73</v>
      </c>
      <c r="E3439" t="s">
        <v>22</v>
      </c>
      <c r="F3439" s="30">
        <v>45961</v>
      </c>
      <c r="G3439" t="s">
        <v>2546</v>
      </c>
      <c r="H3439" t="s">
        <v>154</v>
      </c>
      <c r="I3439">
        <v>80</v>
      </c>
      <c r="J3439">
        <v>0</v>
      </c>
      <c r="EC3439">
        <v>0</v>
      </c>
      <c r="ED3439">
        <v>0</v>
      </c>
    </row>
    <row r="3440" spans="1:134" x14ac:dyDescent="0.3">
      <c r="A3440">
        <v>485</v>
      </c>
      <c r="B3440" t="s">
        <v>2525</v>
      </c>
      <c r="C3440" t="s">
        <v>258</v>
      </c>
      <c r="D3440" t="s">
        <v>73</v>
      </c>
      <c r="E3440" t="s">
        <v>22</v>
      </c>
      <c r="F3440" s="30">
        <v>45961</v>
      </c>
      <c r="G3440" t="s">
        <v>2546</v>
      </c>
      <c r="H3440" t="s">
        <v>4640</v>
      </c>
      <c r="I3440">
        <v>80</v>
      </c>
      <c r="J3440">
        <v>0</v>
      </c>
      <c r="EC3440">
        <v>0</v>
      </c>
      <c r="ED3440">
        <v>0</v>
      </c>
    </row>
    <row r="3441" spans="1:136" x14ac:dyDescent="0.3">
      <c r="A3441">
        <v>485</v>
      </c>
      <c r="B3441" t="s">
        <v>2525</v>
      </c>
      <c r="C3441" t="s">
        <v>258</v>
      </c>
      <c r="D3441" t="s">
        <v>73</v>
      </c>
      <c r="E3441" t="s">
        <v>22</v>
      </c>
      <c r="F3441" s="30">
        <v>45961</v>
      </c>
      <c r="G3441" t="s">
        <v>2546</v>
      </c>
      <c r="H3441" t="s">
        <v>4641</v>
      </c>
      <c r="I3441">
        <v>80</v>
      </c>
      <c r="J3441">
        <v>0</v>
      </c>
      <c r="EC3441">
        <v>0</v>
      </c>
      <c r="ED3441">
        <v>0</v>
      </c>
    </row>
    <row r="3442" spans="1:136" x14ac:dyDescent="0.3">
      <c r="A3442">
        <v>485</v>
      </c>
      <c r="B3442" t="s">
        <v>2525</v>
      </c>
      <c r="C3442" t="s">
        <v>258</v>
      </c>
      <c r="D3442" t="s">
        <v>73</v>
      </c>
      <c r="E3442" t="s">
        <v>22</v>
      </c>
      <c r="F3442" s="30">
        <v>45961</v>
      </c>
      <c r="G3442" t="s">
        <v>2546</v>
      </c>
      <c r="H3442" t="s">
        <v>4538</v>
      </c>
      <c r="I3442">
        <v>80</v>
      </c>
      <c r="J3442">
        <v>0</v>
      </c>
      <c r="EC3442">
        <v>0</v>
      </c>
      <c r="ED3442">
        <v>0</v>
      </c>
    </row>
    <row r="3443" spans="1:136" x14ac:dyDescent="0.3">
      <c r="A3443">
        <v>485</v>
      </c>
      <c r="B3443" t="s">
        <v>2525</v>
      </c>
      <c r="C3443" t="s">
        <v>258</v>
      </c>
      <c r="D3443" t="s">
        <v>73</v>
      </c>
      <c r="E3443" t="s">
        <v>22</v>
      </c>
      <c r="F3443" s="30">
        <v>45961</v>
      </c>
      <c r="G3443" t="s">
        <v>2546</v>
      </c>
      <c r="H3443" t="s">
        <v>4642</v>
      </c>
      <c r="I3443">
        <v>80</v>
      </c>
      <c r="J3443">
        <v>0</v>
      </c>
      <c r="EC3443">
        <v>0</v>
      </c>
      <c r="ED3443">
        <v>0</v>
      </c>
    </row>
    <row r="3444" spans="1:136" x14ac:dyDescent="0.3">
      <c r="A3444">
        <v>488</v>
      </c>
      <c r="B3444" t="s">
        <v>2555</v>
      </c>
      <c r="C3444" t="s">
        <v>258</v>
      </c>
      <c r="D3444" t="s">
        <v>73</v>
      </c>
      <c r="E3444" t="s">
        <v>22</v>
      </c>
      <c r="F3444" s="30">
        <v>45961</v>
      </c>
      <c r="G3444" t="s">
        <v>2577</v>
      </c>
      <c r="H3444" t="s">
        <v>4637</v>
      </c>
      <c r="I3444">
        <v>85</v>
      </c>
      <c r="J3444">
        <v>82.349998474121094</v>
      </c>
      <c r="EE3444">
        <v>14</v>
      </c>
      <c r="EF3444">
        <v>17</v>
      </c>
    </row>
    <row r="3445" spans="1:136" x14ac:dyDescent="0.3">
      <c r="A3445">
        <v>488</v>
      </c>
      <c r="B3445" t="s">
        <v>2555</v>
      </c>
      <c r="C3445" t="s">
        <v>258</v>
      </c>
      <c r="D3445" t="s">
        <v>73</v>
      </c>
      <c r="E3445" t="s">
        <v>22</v>
      </c>
      <c r="F3445" s="30">
        <v>45961</v>
      </c>
      <c r="G3445" t="s">
        <v>2577</v>
      </c>
      <c r="H3445" t="s">
        <v>4638</v>
      </c>
      <c r="I3445">
        <v>85</v>
      </c>
      <c r="J3445">
        <v>0</v>
      </c>
      <c r="EE3445">
        <v>0</v>
      </c>
      <c r="EF3445">
        <v>0</v>
      </c>
    </row>
    <row r="3446" spans="1:136" x14ac:dyDescent="0.3">
      <c r="A3446">
        <v>488</v>
      </c>
      <c r="B3446" t="s">
        <v>2555</v>
      </c>
      <c r="C3446" t="s">
        <v>258</v>
      </c>
      <c r="D3446" t="s">
        <v>73</v>
      </c>
      <c r="E3446" t="s">
        <v>22</v>
      </c>
      <c r="F3446" s="30">
        <v>45961</v>
      </c>
      <c r="G3446" t="s">
        <v>2577</v>
      </c>
      <c r="H3446" t="s">
        <v>4639</v>
      </c>
      <c r="I3446">
        <v>85</v>
      </c>
      <c r="J3446">
        <v>83.330001831054688</v>
      </c>
      <c r="EE3446">
        <v>5</v>
      </c>
      <c r="EF3446">
        <v>6</v>
      </c>
    </row>
    <row r="3447" spans="1:136" x14ac:dyDescent="0.3">
      <c r="A3447">
        <v>488</v>
      </c>
      <c r="B3447" t="s">
        <v>2555</v>
      </c>
      <c r="C3447" t="s">
        <v>258</v>
      </c>
      <c r="D3447" t="s">
        <v>73</v>
      </c>
      <c r="E3447" t="s">
        <v>22</v>
      </c>
      <c r="F3447" s="30">
        <v>45961</v>
      </c>
      <c r="G3447" t="s">
        <v>2577</v>
      </c>
      <c r="H3447" t="s">
        <v>4576</v>
      </c>
      <c r="I3447">
        <v>85</v>
      </c>
      <c r="J3447">
        <v>97.830001831054688</v>
      </c>
      <c r="EE3447">
        <v>45</v>
      </c>
      <c r="EF3447">
        <v>46</v>
      </c>
    </row>
    <row r="3448" spans="1:136" x14ac:dyDescent="0.3">
      <c r="A3448">
        <v>488</v>
      </c>
      <c r="B3448" t="s">
        <v>2555</v>
      </c>
      <c r="C3448" t="s">
        <v>258</v>
      </c>
      <c r="D3448" t="s">
        <v>73</v>
      </c>
      <c r="E3448" t="s">
        <v>22</v>
      </c>
      <c r="F3448" s="30">
        <v>45961</v>
      </c>
      <c r="G3448" t="s">
        <v>2577</v>
      </c>
      <c r="H3448" t="s">
        <v>154</v>
      </c>
      <c r="I3448">
        <v>85</v>
      </c>
      <c r="J3448">
        <v>0</v>
      </c>
      <c r="EE3448">
        <v>0</v>
      </c>
      <c r="EF3448">
        <v>0</v>
      </c>
    </row>
    <row r="3449" spans="1:136" x14ac:dyDescent="0.3">
      <c r="A3449">
        <v>488</v>
      </c>
      <c r="B3449" t="s">
        <v>2555</v>
      </c>
      <c r="C3449" t="s">
        <v>258</v>
      </c>
      <c r="D3449" t="s">
        <v>73</v>
      </c>
      <c r="E3449" t="s">
        <v>22</v>
      </c>
      <c r="F3449" s="30">
        <v>45961</v>
      </c>
      <c r="G3449" t="s">
        <v>2577</v>
      </c>
      <c r="H3449" t="s">
        <v>4640</v>
      </c>
      <c r="I3449">
        <v>85</v>
      </c>
      <c r="J3449">
        <v>0</v>
      </c>
      <c r="EE3449">
        <v>0</v>
      </c>
      <c r="EF3449">
        <v>0</v>
      </c>
    </row>
    <row r="3450" spans="1:136" x14ac:dyDescent="0.3">
      <c r="A3450">
        <v>488</v>
      </c>
      <c r="B3450" t="s">
        <v>2555</v>
      </c>
      <c r="C3450" t="s">
        <v>258</v>
      </c>
      <c r="D3450" t="s">
        <v>73</v>
      </c>
      <c r="E3450" t="s">
        <v>22</v>
      </c>
      <c r="F3450" s="30">
        <v>45961</v>
      </c>
      <c r="G3450" t="s">
        <v>2577</v>
      </c>
      <c r="H3450" t="s">
        <v>4641</v>
      </c>
      <c r="I3450">
        <v>85</v>
      </c>
      <c r="J3450">
        <v>73.80999755859375</v>
      </c>
      <c r="EE3450">
        <v>31</v>
      </c>
      <c r="EF3450">
        <v>42</v>
      </c>
    </row>
    <row r="3451" spans="1:136" x14ac:dyDescent="0.3">
      <c r="A3451">
        <v>488</v>
      </c>
      <c r="B3451" t="s">
        <v>2555</v>
      </c>
      <c r="C3451" t="s">
        <v>258</v>
      </c>
      <c r="D3451" t="s">
        <v>73</v>
      </c>
      <c r="E3451" t="s">
        <v>22</v>
      </c>
      <c r="F3451" s="30">
        <v>45961</v>
      </c>
      <c r="G3451" t="s">
        <v>2577</v>
      </c>
      <c r="H3451" t="s">
        <v>4538</v>
      </c>
      <c r="I3451">
        <v>85</v>
      </c>
      <c r="J3451">
        <v>0</v>
      </c>
      <c r="EE3451">
        <v>0</v>
      </c>
      <c r="EF3451">
        <v>0</v>
      </c>
    </row>
    <row r="3452" spans="1:136" x14ac:dyDescent="0.3">
      <c r="A3452">
        <v>488</v>
      </c>
      <c r="B3452" t="s">
        <v>2555</v>
      </c>
      <c r="C3452" t="s">
        <v>258</v>
      </c>
      <c r="D3452" t="s">
        <v>73</v>
      </c>
      <c r="E3452" t="s">
        <v>22</v>
      </c>
      <c r="F3452" s="30">
        <v>45961</v>
      </c>
      <c r="G3452" t="s">
        <v>2577</v>
      </c>
      <c r="H3452" t="s">
        <v>4642</v>
      </c>
      <c r="I3452">
        <v>85</v>
      </c>
      <c r="J3452">
        <v>0</v>
      </c>
      <c r="EE3452">
        <v>0</v>
      </c>
      <c r="EF3452">
        <v>0</v>
      </c>
    </row>
    <row r="3453" spans="1:136" x14ac:dyDescent="0.3">
      <c r="A3453">
        <v>208</v>
      </c>
      <c r="B3453" t="s">
        <v>707</v>
      </c>
      <c r="C3453" t="s">
        <v>251</v>
      </c>
      <c r="D3453" t="s">
        <v>73</v>
      </c>
      <c r="E3453" t="s">
        <v>56</v>
      </c>
      <c r="F3453" s="30">
        <v>45991</v>
      </c>
      <c r="G3453" t="s">
        <v>755</v>
      </c>
      <c r="H3453" t="s">
        <v>4468</v>
      </c>
      <c r="I3453">
        <v>950</v>
      </c>
      <c r="J3453">
        <v>671</v>
      </c>
      <c r="K3453">
        <v>671</v>
      </c>
    </row>
    <row r="3454" spans="1:136" x14ac:dyDescent="0.3">
      <c r="A3454">
        <v>208</v>
      </c>
      <c r="B3454" t="s">
        <v>707</v>
      </c>
      <c r="C3454" t="s">
        <v>251</v>
      </c>
      <c r="D3454" t="s">
        <v>73</v>
      </c>
      <c r="E3454" t="s">
        <v>56</v>
      </c>
      <c r="F3454" s="30">
        <v>45991</v>
      </c>
      <c r="G3454" t="s">
        <v>755</v>
      </c>
      <c r="H3454" t="s">
        <v>4470</v>
      </c>
      <c r="I3454">
        <v>350</v>
      </c>
      <c r="J3454">
        <v>266</v>
      </c>
      <c r="K3454">
        <v>266</v>
      </c>
    </row>
    <row r="3455" spans="1:136" x14ac:dyDescent="0.3">
      <c r="A3455">
        <v>208</v>
      </c>
      <c r="B3455" t="s">
        <v>707</v>
      </c>
      <c r="C3455" t="s">
        <v>251</v>
      </c>
      <c r="D3455" t="s">
        <v>73</v>
      </c>
      <c r="E3455" t="s">
        <v>56</v>
      </c>
      <c r="F3455" s="30">
        <v>45991</v>
      </c>
      <c r="G3455" t="s">
        <v>755</v>
      </c>
      <c r="H3455" t="s">
        <v>4477</v>
      </c>
      <c r="I3455">
        <v>25</v>
      </c>
      <c r="J3455">
        <v>4</v>
      </c>
      <c r="K3455">
        <v>4</v>
      </c>
    </row>
    <row r="3456" spans="1:136" x14ac:dyDescent="0.3">
      <c r="A3456">
        <v>208</v>
      </c>
      <c r="B3456" t="s">
        <v>707</v>
      </c>
      <c r="C3456" t="s">
        <v>251</v>
      </c>
      <c r="D3456" t="s">
        <v>73</v>
      </c>
      <c r="E3456" t="s">
        <v>56</v>
      </c>
      <c r="F3456" s="30">
        <v>45991</v>
      </c>
      <c r="G3456" t="s">
        <v>755</v>
      </c>
      <c r="H3456" t="s">
        <v>4469</v>
      </c>
      <c r="I3456">
        <v>200</v>
      </c>
      <c r="J3456">
        <v>168</v>
      </c>
      <c r="K3456">
        <v>168</v>
      </c>
    </row>
    <row r="3457" spans="1:45" x14ac:dyDescent="0.3">
      <c r="A3457">
        <v>208</v>
      </c>
      <c r="B3457" t="s">
        <v>707</v>
      </c>
      <c r="C3457" t="s">
        <v>251</v>
      </c>
      <c r="D3457" t="s">
        <v>73</v>
      </c>
      <c r="E3457" t="s">
        <v>56</v>
      </c>
      <c r="F3457" s="30">
        <v>45991</v>
      </c>
      <c r="G3457" t="s">
        <v>755</v>
      </c>
      <c r="H3457" t="s">
        <v>4476</v>
      </c>
      <c r="I3457">
        <v>0</v>
      </c>
      <c r="J3457">
        <v>0</v>
      </c>
      <c r="K3457">
        <v>0</v>
      </c>
    </row>
    <row r="3458" spans="1:45" x14ac:dyDescent="0.3">
      <c r="A3458">
        <v>208</v>
      </c>
      <c r="B3458" t="s">
        <v>707</v>
      </c>
      <c r="C3458" t="s">
        <v>251</v>
      </c>
      <c r="D3458" t="s">
        <v>73</v>
      </c>
      <c r="E3458" t="s">
        <v>56</v>
      </c>
      <c r="F3458" s="30">
        <v>45991</v>
      </c>
      <c r="G3458" t="s">
        <v>755</v>
      </c>
      <c r="H3458" t="s">
        <v>4478</v>
      </c>
      <c r="I3458">
        <v>25</v>
      </c>
      <c r="J3458">
        <v>17</v>
      </c>
      <c r="K3458">
        <v>17</v>
      </c>
    </row>
    <row r="3459" spans="1:45" x14ac:dyDescent="0.3">
      <c r="A3459">
        <v>214</v>
      </c>
      <c r="B3459" t="s">
        <v>774</v>
      </c>
      <c r="C3459" t="s">
        <v>251</v>
      </c>
      <c r="D3459" t="s">
        <v>73</v>
      </c>
      <c r="E3459" t="s">
        <v>56</v>
      </c>
      <c r="F3459" s="30">
        <v>45991</v>
      </c>
      <c r="G3459" t="s">
        <v>822</v>
      </c>
      <c r="H3459" t="s">
        <v>4468</v>
      </c>
      <c r="I3459">
        <v>5500</v>
      </c>
      <c r="J3459">
        <v>2866.3798828125</v>
      </c>
      <c r="L3459">
        <v>1071.44</v>
      </c>
      <c r="M3459">
        <v>1794.94</v>
      </c>
    </row>
    <row r="3460" spans="1:45" x14ac:dyDescent="0.3">
      <c r="A3460">
        <v>214</v>
      </c>
      <c r="B3460" t="s">
        <v>774</v>
      </c>
      <c r="C3460" t="s">
        <v>251</v>
      </c>
      <c r="D3460" t="s">
        <v>73</v>
      </c>
      <c r="E3460" t="s">
        <v>56</v>
      </c>
      <c r="F3460" s="30">
        <v>45991</v>
      </c>
      <c r="G3460" t="s">
        <v>822</v>
      </c>
      <c r="H3460" t="s">
        <v>4477</v>
      </c>
      <c r="I3460">
        <v>7500</v>
      </c>
      <c r="J3460">
        <v>48.979999542236328</v>
      </c>
      <c r="L3460">
        <v>2.9</v>
      </c>
      <c r="M3460">
        <v>46.08</v>
      </c>
    </row>
    <row r="3461" spans="1:45" x14ac:dyDescent="0.3">
      <c r="A3461">
        <v>214</v>
      </c>
      <c r="B3461" t="s">
        <v>774</v>
      </c>
      <c r="C3461" t="s">
        <v>251</v>
      </c>
      <c r="D3461" t="s">
        <v>73</v>
      </c>
      <c r="E3461" t="s">
        <v>56</v>
      </c>
      <c r="F3461" s="30">
        <v>45991</v>
      </c>
      <c r="G3461" t="s">
        <v>822</v>
      </c>
      <c r="H3461" t="s">
        <v>4469</v>
      </c>
      <c r="I3461">
        <v>1000</v>
      </c>
      <c r="J3461">
        <v>1052.300048828125</v>
      </c>
      <c r="L3461">
        <v>0</v>
      </c>
      <c r="M3461">
        <v>1052.3</v>
      </c>
    </row>
    <row r="3462" spans="1:45" x14ac:dyDescent="0.3">
      <c r="A3462">
        <v>214</v>
      </c>
      <c r="B3462" t="s">
        <v>774</v>
      </c>
      <c r="C3462" t="s">
        <v>251</v>
      </c>
      <c r="D3462" t="s">
        <v>73</v>
      </c>
      <c r="E3462" t="s">
        <v>56</v>
      </c>
      <c r="F3462" s="30">
        <v>45991</v>
      </c>
      <c r="G3462" t="s">
        <v>822</v>
      </c>
      <c r="H3462" t="s">
        <v>4476</v>
      </c>
      <c r="I3462">
        <v>1</v>
      </c>
      <c r="J3462">
        <v>146.8800048828125</v>
      </c>
      <c r="L3462">
        <v>20.3</v>
      </c>
      <c r="M3462">
        <v>126.58</v>
      </c>
    </row>
    <row r="3463" spans="1:45" x14ac:dyDescent="0.3">
      <c r="A3463">
        <v>214</v>
      </c>
      <c r="B3463" t="s">
        <v>774</v>
      </c>
      <c r="C3463" t="s">
        <v>251</v>
      </c>
      <c r="D3463" t="s">
        <v>73</v>
      </c>
      <c r="E3463" t="s">
        <v>56</v>
      </c>
      <c r="F3463" s="30">
        <v>45991</v>
      </c>
      <c r="G3463" t="s">
        <v>822</v>
      </c>
      <c r="H3463" t="s">
        <v>4478</v>
      </c>
      <c r="I3463">
        <v>1</v>
      </c>
      <c r="J3463">
        <v>31.059999465942379</v>
      </c>
      <c r="L3463">
        <v>9.66</v>
      </c>
      <c r="M3463">
        <v>21.4</v>
      </c>
    </row>
    <row r="3464" spans="1:45" x14ac:dyDescent="0.3">
      <c r="A3464">
        <v>214</v>
      </c>
      <c r="B3464" t="s">
        <v>774</v>
      </c>
      <c r="C3464" t="s">
        <v>251</v>
      </c>
      <c r="D3464" t="s">
        <v>73</v>
      </c>
      <c r="E3464" t="s">
        <v>56</v>
      </c>
      <c r="F3464" s="30">
        <v>45991</v>
      </c>
      <c r="G3464" t="s">
        <v>822</v>
      </c>
      <c r="H3464" t="s">
        <v>4470</v>
      </c>
      <c r="I3464">
        <v>1000</v>
      </c>
      <c r="J3464">
        <v>1118.400024414062</v>
      </c>
      <c r="L3464">
        <v>153.56</v>
      </c>
      <c r="M3464">
        <v>964.84</v>
      </c>
    </row>
    <row r="3465" spans="1:45" x14ac:dyDescent="0.3">
      <c r="A3465">
        <v>217</v>
      </c>
      <c r="B3465" t="s">
        <v>840</v>
      </c>
      <c r="C3465" t="s">
        <v>251</v>
      </c>
      <c r="D3465" t="s">
        <v>73</v>
      </c>
      <c r="E3465" t="s">
        <v>22</v>
      </c>
      <c r="F3465" s="30">
        <v>45991</v>
      </c>
      <c r="G3465" t="s">
        <v>886</v>
      </c>
      <c r="H3465" t="s">
        <v>4468</v>
      </c>
      <c r="I3465">
        <v>20</v>
      </c>
      <c r="J3465">
        <v>409.66000366210938</v>
      </c>
      <c r="L3465">
        <v>1071.44</v>
      </c>
      <c r="M3465">
        <v>1794.94</v>
      </c>
      <c r="AS3465">
        <v>11742.36</v>
      </c>
    </row>
    <row r="3466" spans="1:45" x14ac:dyDescent="0.3">
      <c r="A3466">
        <v>217</v>
      </c>
      <c r="B3466" t="s">
        <v>840</v>
      </c>
      <c r="C3466" t="s">
        <v>251</v>
      </c>
      <c r="D3466" t="s">
        <v>73</v>
      </c>
      <c r="E3466" t="s">
        <v>22</v>
      </c>
      <c r="F3466" s="30">
        <v>45991</v>
      </c>
      <c r="G3466" t="s">
        <v>886</v>
      </c>
      <c r="H3466" t="s">
        <v>4477</v>
      </c>
      <c r="I3466">
        <v>20</v>
      </c>
      <c r="J3466">
        <v>5.9200000762939453</v>
      </c>
      <c r="L3466">
        <v>2.9</v>
      </c>
      <c r="M3466">
        <v>46.08</v>
      </c>
      <c r="AS3466">
        <v>2.9</v>
      </c>
    </row>
    <row r="3467" spans="1:45" x14ac:dyDescent="0.3">
      <c r="A3467">
        <v>217</v>
      </c>
      <c r="B3467" t="s">
        <v>840</v>
      </c>
      <c r="C3467" t="s">
        <v>251</v>
      </c>
      <c r="D3467" t="s">
        <v>73</v>
      </c>
      <c r="E3467" t="s">
        <v>22</v>
      </c>
      <c r="F3467" s="30">
        <v>45991</v>
      </c>
      <c r="G3467" t="s">
        <v>886</v>
      </c>
      <c r="H3467" t="s">
        <v>4469</v>
      </c>
      <c r="I3467">
        <v>20</v>
      </c>
      <c r="J3467">
        <v>1.5199999809265139</v>
      </c>
      <c r="L3467">
        <v>0</v>
      </c>
      <c r="M3467">
        <v>1052.3</v>
      </c>
      <c r="AS3467">
        <v>16.02</v>
      </c>
    </row>
    <row r="3468" spans="1:45" x14ac:dyDescent="0.3">
      <c r="A3468">
        <v>217</v>
      </c>
      <c r="B3468" t="s">
        <v>840</v>
      </c>
      <c r="C3468" t="s">
        <v>251</v>
      </c>
      <c r="D3468" t="s">
        <v>73</v>
      </c>
      <c r="E3468" t="s">
        <v>22</v>
      </c>
      <c r="F3468" s="30">
        <v>45991</v>
      </c>
      <c r="G3468" t="s">
        <v>886</v>
      </c>
      <c r="H3468" t="s">
        <v>4476</v>
      </c>
      <c r="I3468">
        <v>20</v>
      </c>
      <c r="J3468">
        <v>13.819999694824221</v>
      </c>
      <c r="L3468">
        <v>20.3</v>
      </c>
      <c r="M3468">
        <v>126.58</v>
      </c>
      <c r="AS3468">
        <v>20.3</v>
      </c>
    </row>
    <row r="3469" spans="1:45" x14ac:dyDescent="0.3">
      <c r="A3469">
        <v>217</v>
      </c>
      <c r="B3469" t="s">
        <v>840</v>
      </c>
      <c r="C3469" t="s">
        <v>251</v>
      </c>
      <c r="D3469" t="s">
        <v>73</v>
      </c>
      <c r="E3469" t="s">
        <v>22</v>
      </c>
      <c r="F3469" s="30">
        <v>45991</v>
      </c>
      <c r="G3469" t="s">
        <v>886</v>
      </c>
      <c r="H3469" t="s">
        <v>4478</v>
      </c>
      <c r="I3469">
        <v>20</v>
      </c>
      <c r="J3469">
        <v>31.10000038146973</v>
      </c>
      <c r="L3469">
        <v>9.66</v>
      </c>
      <c r="M3469">
        <v>21.4</v>
      </c>
      <c r="AS3469">
        <v>9.66</v>
      </c>
    </row>
    <row r="3470" spans="1:45" x14ac:dyDescent="0.3">
      <c r="A3470">
        <v>217</v>
      </c>
      <c r="B3470" t="s">
        <v>840</v>
      </c>
      <c r="C3470" t="s">
        <v>251</v>
      </c>
      <c r="D3470" t="s">
        <v>73</v>
      </c>
      <c r="E3470" t="s">
        <v>22</v>
      </c>
      <c r="F3470" s="30">
        <v>45991</v>
      </c>
      <c r="G3470" t="s">
        <v>886</v>
      </c>
      <c r="H3470" t="s">
        <v>4470</v>
      </c>
      <c r="I3470">
        <v>20</v>
      </c>
      <c r="J3470">
        <v>23.719999313354489</v>
      </c>
      <c r="L3470">
        <v>153.56</v>
      </c>
      <c r="M3470">
        <v>964.84</v>
      </c>
      <c r="AS3470">
        <v>265.26</v>
      </c>
    </row>
    <row r="3471" spans="1:45" x14ac:dyDescent="0.3">
      <c r="A3471">
        <v>218</v>
      </c>
      <c r="B3471" t="s">
        <v>888</v>
      </c>
      <c r="C3471" t="s">
        <v>251</v>
      </c>
      <c r="D3471" t="s">
        <v>73</v>
      </c>
      <c r="E3471" t="s">
        <v>56</v>
      </c>
      <c r="F3471" s="30">
        <v>45991</v>
      </c>
      <c r="G3471" t="s">
        <v>936</v>
      </c>
      <c r="H3471" t="s">
        <v>4470</v>
      </c>
      <c r="I3471">
        <v>76000</v>
      </c>
      <c r="J3471">
        <v>43320</v>
      </c>
      <c r="N3471">
        <v>43320</v>
      </c>
    </row>
    <row r="3472" spans="1:45" x14ac:dyDescent="0.3">
      <c r="A3472">
        <v>218</v>
      </c>
      <c r="B3472" t="s">
        <v>888</v>
      </c>
      <c r="C3472" t="s">
        <v>251</v>
      </c>
      <c r="D3472" t="s">
        <v>73</v>
      </c>
      <c r="E3472" t="s">
        <v>56</v>
      </c>
      <c r="F3472" s="30">
        <v>45991</v>
      </c>
      <c r="G3472" t="s">
        <v>936</v>
      </c>
      <c r="H3472" t="s">
        <v>4477</v>
      </c>
      <c r="I3472">
        <v>5000</v>
      </c>
      <c r="J3472">
        <v>4920</v>
      </c>
      <c r="N3472">
        <v>4920</v>
      </c>
    </row>
    <row r="3473" spans="1:48" x14ac:dyDescent="0.3">
      <c r="A3473">
        <v>218</v>
      </c>
      <c r="B3473" t="s">
        <v>888</v>
      </c>
      <c r="C3473" t="s">
        <v>251</v>
      </c>
      <c r="D3473" t="s">
        <v>73</v>
      </c>
      <c r="E3473" t="s">
        <v>56</v>
      </c>
      <c r="F3473" s="30">
        <v>45991</v>
      </c>
      <c r="G3473" t="s">
        <v>936</v>
      </c>
      <c r="H3473" t="s">
        <v>4469</v>
      </c>
      <c r="I3473">
        <v>24000</v>
      </c>
      <c r="J3473">
        <v>17697</v>
      </c>
      <c r="N3473">
        <v>17697</v>
      </c>
    </row>
    <row r="3474" spans="1:48" x14ac:dyDescent="0.3">
      <c r="A3474">
        <v>218</v>
      </c>
      <c r="B3474" t="s">
        <v>888</v>
      </c>
      <c r="C3474" t="s">
        <v>251</v>
      </c>
      <c r="D3474" t="s">
        <v>73</v>
      </c>
      <c r="E3474" t="s">
        <v>56</v>
      </c>
      <c r="F3474" s="30">
        <v>45991</v>
      </c>
      <c r="G3474" t="s">
        <v>936</v>
      </c>
      <c r="H3474" t="s">
        <v>4476</v>
      </c>
      <c r="I3474">
        <v>5000</v>
      </c>
      <c r="J3474">
        <v>7642</v>
      </c>
      <c r="N3474">
        <v>7642</v>
      </c>
    </row>
    <row r="3475" spans="1:48" x14ac:dyDescent="0.3">
      <c r="A3475">
        <v>218</v>
      </c>
      <c r="B3475" t="s">
        <v>888</v>
      </c>
      <c r="C3475" t="s">
        <v>251</v>
      </c>
      <c r="D3475" t="s">
        <v>73</v>
      </c>
      <c r="E3475" t="s">
        <v>56</v>
      </c>
      <c r="F3475" s="30">
        <v>45991</v>
      </c>
      <c r="G3475" t="s">
        <v>936</v>
      </c>
      <c r="H3475" t="s">
        <v>4478</v>
      </c>
      <c r="I3475">
        <v>2000</v>
      </c>
      <c r="J3475">
        <v>2350</v>
      </c>
      <c r="N3475">
        <v>2350</v>
      </c>
    </row>
    <row r="3476" spans="1:48" x14ac:dyDescent="0.3">
      <c r="A3476">
        <v>218</v>
      </c>
      <c r="B3476" t="s">
        <v>888</v>
      </c>
      <c r="C3476" t="s">
        <v>251</v>
      </c>
      <c r="D3476" t="s">
        <v>73</v>
      </c>
      <c r="E3476" t="s">
        <v>56</v>
      </c>
      <c r="F3476" s="30">
        <v>45991</v>
      </c>
      <c r="G3476" t="s">
        <v>936</v>
      </c>
      <c r="H3476" t="s">
        <v>4468</v>
      </c>
      <c r="I3476">
        <v>76000</v>
      </c>
      <c r="J3476">
        <v>67490.75</v>
      </c>
      <c r="N3476">
        <v>67490.75</v>
      </c>
    </row>
    <row r="3477" spans="1:48" x14ac:dyDescent="0.3">
      <c r="A3477">
        <v>225</v>
      </c>
      <c r="B3477" t="s">
        <v>976</v>
      </c>
      <c r="C3477" t="s">
        <v>251</v>
      </c>
      <c r="D3477" t="s">
        <v>73</v>
      </c>
      <c r="E3477" t="s">
        <v>22</v>
      </c>
      <c r="F3477" s="30">
        <v>45991</v>
      </c>
      <c r="G3477" t="s">
        <v>1023</v>
      </c>
      <c r="H3477" t="s">
        <v>4468</v>
      </c>
      <c r="I3477">
        <v>1</v>
      </c>
      <c r="J3477">
        <v>9</v>
      </c>
      <c r="AT3477">
        <v>9</v>
      </c>
    </row>
    <row r="3478" spans="1:48" x14ac:dyDescent="0.3">
      <c r="A3478">
        <v>225</v>
      </c>
      <c r="B3478" t="s">
        <v>976</v>
      </c>
      <c r="C3478" t="s">
        <v>251</v>
      </c>
      <c r="D3478" t="s">
        <v>73</v>
      </c>
      <c r="E3478" t="s">
        <v>22</v>
      </c>
      <c r="F3478" s="30">
        <v>45991</v>
      </c>
      <c r="G3478" t="s">
        <v>1023</v>
      </c>
      <c r="H3478" t="s">
        <v>4470</v>
      </c>
      <c r="I3478">
        <v>1</v>
      </c>
      <c r="J3478">
        <v>2</v>
      </c>
      <c r="AT3478">
        <v>2</v>
      </c>
    </row>
    <row r="3479" spans="1:48" x14ac:dyDescent="0.3">
      <c r="A3479">
        <v>225</v>
      </c>
      <c r="B3479" t="s">
        <v>976</v>
      </c>
      <c r="C3479" t="s">
        <v>251</v>
      </c>
      <c r="D3479" t="s">
        <v>73</v>
      </c>
      <c r="E3479" t="s">
        <v>22</v>
      </c>
      <c r="F3479" s="30">
        <v>45991</v>
      </c>
      <c r="G3479" t="s">
        <v>1023</v>
      </c>
      <c r="H3479" t="s">
        <v>4477</v>
      </c>
      <c r="I3479">
        <v>1</v>
      </c>
      <c r="J3479">
        <v>0</v>
      </c>
      <c r="AT3479">
        <v>0</v>
      </c>
    </row>
    <row r="3480" spans="1:48" x14ac:dyDescent="0.3">
      <c r="A3480">
        <v>225</v>
      </c>
      <c r="B3480" t="s">
        <v>976</v>
      </c>
      <c r="C3480" t="s">
        <v>251</v>
      </c>
      <c r="D3480" t="s">
        <v>73</v>
      </c>
      <c r="E3480" t="s">
        <v>22</v>
      </c>
      <c r="F3480" s="30">
        <v>45991</v>
      </c>
      <c r="G3480" t="s">
        <v>1023</v>
      </c>
      <c r="H3480" t="s">
        <v>4469</v>
      </c>
      <c r="I3480">
        <v>1</v>
      </c>
      <c r="J3480">
        <v>12</v>
      </c>
      <c r="AT3480">
        <v>12</v>
      </c>
    </row>
    <row r="3481" spans="1:48" x14ac:dyDescent="0.3">
      <c r="A3481">
        <v>225</v>
      </c>
      <c r="B3481" t="s">
        <v>976</v>
      </c>
      <c r="C3481" t="s">
        <v>251</v>
      </c>
      <c r="D3481" t="s">
        <v>73</v>
      </c>
      <c r="E3481" t="s">
        <v>22</v>
      </c>
      <c r="F3481" s="30">
        <v>45991</v>
      </c>
      <c r="G3481" t="s">
        <v>1023</v>
      </c>
      <c r="H3481" t="s">
        <v>4476</v>
      </c>
      <c r="I3481">
        <v>1</v>
      </c>
      <c r="J3481">
        <v>1</v>
      </c>
      <c r="AT3481">
        <v>1</v>
      </c>
    </row>
    <row r="3482" spans="1:48" x14ac:dyDescent="0.3">
      <c r="A3482">
        <v>225</v>
      </c>
      <c r="B3482" t="s">
        <v>976</v>
      </c>
      <c r="C3482" t="s">
        <v>251</v>
      </c>
      <c r="D3482" t="s">
        <v>73</v>
      </c>
      <c r="E3482" t="s">
        <v>22</v>
      </c>
      <c r="F3482" s="30">
        <v>45991</v>
      </c>
      <c r="G3482" t="s">
        <v>1023</v>
      </c>
      <c r="H3482" t="s">
        <v>4478</v>
      </c>
      <c r="I3482">
        <v>1</v>
      </c>
      <c r="J3482">
        <v>1</v>
      </c>
      <c r="AT3482">
        <v>1</v>
      </c>
    </row>
    <row r="3483" spans="1:48" x14ac:dyDescent="0.3">
      <c r="A3483">
        <v>239</v>
      </c>
      <c r="B3483" t="s">
        <v>1095</v>
      </c>
      <c r="C3483" t="s">
        <v>1096</v>
      </c>
      <c r="D3483" t="s">
        <v>73</v>
      </c>
      <c r="E3483" t="s">
        <v>22</v>
      </c>
      <c r="F3483" s="30">
        <v>45991</v>
      </c>
      <c r="G3483" t="s">
        <v>1142</v>
      </c>
      <c r="H3483" t="s">
        <v>4479</v>
      </c>
      <c r="J3483">
        <v>2</v>
      </c>
      <c r="AU3483">
        <v>2</v>
      </c>
    </row>
    <row r="3484" spans="1:48" x14ac:dyDescent="0.3">
      <c r="A3484">
        <v>239</v>
      </c>
      <c r="B3484" t="s">
        <v>1095</v>
      </c>
      <c r="C3484" t="s">
        <v>1096</v>
      </c>
      <c r="D3484" t="s">
        <v>73</v>
      </c>
      <c r="E3484" t="s">
        <v>22</v>
      </c>
      <c r="F3484" s="30">
        <v>45991</v>
      </c>
      <c r="G3484" t="s">
        <v>1142</v>
      </c>
      <c r="H3484" t="s">
        <v>3622</v>
      </c>
      <c r="J3484">
        <v>12</v>
      </c>
      <c r="AU3484">
        <v>12</v>
      </c>
    </row>
    <row r="3485" spans="1:48" x14ac:dyDescent="0.3">
      <c r="A3485">
        <v>239</v>
      </c>
      <c r="B3485" t="s">
        <v>1095</v>
      </c>
      <c r="C3485" t="s">
        <v>1096</v>
      </c>
      <c r="D3485" t="s">
        <v>73</v>
      </c>
      <c r="E3485" t="s">
        <v>22</v>
      </c>
      <c r="F3485" s="30">
        <v>45991</v>
      </c>
      <c r="G3485" t="s">
        <v>1142</v>
      </c>
      <c r="H3485" t="s">
        <v>4480</v>
      </c>
      <c r="J3485">
        <v>3</v>
      </c>
      <c r="AU3485">
        <v>3</v>
      </c>
    </row>
    <row r="3486" spans="1:48" x14ac:dyDescent="0.3">
      <c r="A3486">
        <v>239</v>
      </c>
      <c r="B3486" t="s">
        <v>1095</v>
      </c>
      <c r="C3486" t="s">
        <v>1096</v>
      </c>
      <c r="D3486" t="s">
        <v>73</v>
      </c>
      <c r="E3486" t="s">
        <v>22</v>
      </c>
      <c r="F3486" s="30">
        <v>45991</v>
      </c>
      <c r="G3486" t="s">
        <v>1142</v>
      </c>
      <c r="H3486" t="s">
        <v>4481</v>
      </c>
      <c r="J3486">
        <v>23</v>
      </c>
      <c r="AU3486">
        <v>23</v>
      </c>
    </row>
    <row r="3487" spans="1:48" x14ac:dyDescent="0.3">
      <c r="A3487">
        <v>239</v>
      </c>
      <c r="B3487" t="s">
        <v>1095</v>
      </c>
      <c r="C3487" t="s">
        <v>1096</v>
      </c>
      <c r="D3487" t="s">
        <v>73</v>
      </c>
      <c r="E3487" t="s">
        <v>22</v>
      </c>
      <c r="F3487" s="30">
        <v>45991</v>
      </c>
      <c r="G3487" t="s">
        <v>1142</v>
      </c>
      <c r="H3487" t="s">
        <v>4651</v>
      </c>
      <c r="J3487">
        <v>3</v>
      </c>
      <c r="AU3487">
        <v>3</v>
      </c>
    </row>
    <row r="3488" spans="1:48" x14ac:dyDescent="0.3">
      <c r="A3488">
        <v>434</v>
      </c>
      <c r="B3488" t="s">
        <v>2267</v>
      </c>
      <c r="C3488" t="s">
        <v>251</v>
      </c>
      <c r="D3488" t="s">
        <v>73</v>
      </c>
      <c r="E3488" t="s">
        <v>56</v>
      </c>
      <c r="F3488" s="30">
        <v>45991</v>
      </c>
      <c r="G3488" t="s">
        <v>2302</v>
      </c>
      <c r="H3488" t="s">
        <v>4470</v>
      </c>
      <c r="I3488">
        <v>25</v>
      </c>
      <c r="J3488">
        <v>142.25999450683591</v>
      </c>
      <c r="AV3488">
        <v>142.26</v>
      </c>
    </row>
    <row r="3489" spans="1:136" x14ac:dyDescent="0.3">
      <c r="A3489">
        <v>434</v>
      </c>
      <c r="B3489" t="s">
        <v>2267</v>
      </c>
      <c r="C3489" t="s">
        <v>251</v>
      </c>
      <c r="D3489" t="s">
        <v>73</v>
      </c>
      <c r="E3489" t="s">
        <v>56</v>
      </c>
      <c r="F3489" s="30">
        <v>45991</v>
      </c>
      <c r="G3489" t="s">
        <v>2302</v>
      </c>
      <c r="H3489" t="s">
        <v>4477</v>
      </c>
      <c r="I3489">
        <v>200</v>
      </c>
      <c r="J3489">
        <v>0</v>
      </c>
      <c r="AV3489">
        <v>0</v>
      </c>
    </row>
    <row r="3490" spans="1:136" x14ac:dyDescent="0.3">
      <c r="A3490">
        <v>434</v>
      </c>
      <c r="B3490" t="s">
        <v>2267</v>
      </c>
      <c r="C3490" t="s">
        <v>251</v>
      </c>
      <c r="D3490" t="s">
        <v>73</v>
      </c>
      <c r="E3490" t="s">
        <v>56</v>
      </c>
      <c r="F3490" s="30">
        <v>45991</v>
      </c>
      <c r="G3490" t="s">
        <v>2302</v>
      </c>
      <c r="H3490" t="s">
        <v>4469</v>
      </c>
      <c r="I3490">
        <v>25</v>
      </c>
      <c r="J3490">
        <v>17.29999923706055</v>
      </c>
      <c r="AV3490">
        <v>17.3</v>
      </c>
    </row>
    <row r="3491" spans="1:136" x14ac:dyDescent="0.3">
      <c r="A3491">
        <v>434</v>
      </c>
      <c r="B3491" t="s">
        <v>2267</v>
      </c>
      <c r="C3491" t="s">
        <v>251</v>
      </c>
      <c r="D3491" t="s">
        <v>73</v>
      </c>
      <c r="E3491" t="s">
        <v>56</v>
      </c>
      <c r="F3491" s="30">
        <v>45991</v>
      </c>
      <c r="G3491" t="s">
        <v>2302</v>
      </c>
      <c r="H3491" t="s">
        <v>4476</v>
      </c>
      <c r="I3491">
        <v>10</v>
      </c>
      <c r="J3491">
        <v>0.20000000298023221</v>
      </c>
      <c r="AV3491">
        <v>0.2</v>
      </c>
    </row>
    <row r="3492" spans="1:136" x14ac:dyDescent="0.3">
      <c r="A3492">
        <v>434</v>
      </c>
      <c r="B3492" t="s">
        <v>2267</v>
      </c>
      <c r="C3492" t="s">
        <v>251</v>
      </c>
      <c r="D3492" t="s">
        <v>73</v>
      </c>
      <c r="E3492" t="s">
        <v>56</v>
      </c>
      <c r="F3492" s="30">
        <v>45991</v>
      </c>
      <c r="G3492" t="s">
        <v>2302</v>
      </c>
      <c r="H3492" t="s">
        <v>4478</v>
      </c>
      <c r="I3492">
        <v>200</v>
      </c>
      <c r="J3492">
        <v>0</v>
      </c>
      <c r="AV3492">
        <v>0</v>
      </c>
    </row>
    <row r="3493" spans="1:136" x14ac:dyDescent="0.3">
      <c r="A3493">
        <v>434</v>
      </c>
      <c r="B3493" t="s">
        <v>2267</v>
      </c>
      <c r="C3493" t="s">
        <v>251</v>
      </c>
      <c r="D3493" t="s">
        <v>73</v>
      </c>
      <c r="E3493" t="s">
        <v>56</v>
      </c>
      <c r="F3493" s="30">
        <v>45991</v>
      </c>
      <c r="G3493" t="s">
        <v>2302</v>
      </c>
      <c r="H3493" t="s">
        <v>4468</v>
      </c>
      <c r="I3493">
        <v>100</v>
      </c>
      <c r="J3493">
        <v>125.38999938964839</v>
      </c>
      <c r="AV3493">
        <v>125.39</v>
      </c>
    </row>
    <row r="3494" spans="1:136" x14ac:dyDescent="0.3">
      <c r="A3494">
        <v>436</v>
      </c>
      <c r="B3494" t="s">
        <v>2311</v>
      </c>
      <c r="C3494" t="s">
        <v>258</v>
      </c>
      <c r="D3494" t="s">
        <v>73</v>
      </c>
      <c r="E3494" t="s">
        <v>56</v>
      </c>
      <c r="F3494" s="30">
        <v>45991</v>
      </c>
      <c r="G3494" t="s">
        <v>2346</v>
      </c>
      <c r="H3494" t="s">
        <v>4579</v>
      </c>
      <c r="I3494">
        <v>7</v>
      </c>
      <c r="J3494">
        <v>4</v>
      </c>
      <c r="CP3494">
        <v>4</v>
      </c>
    </row>
    <row r="3495" spans="1:136" x14ac:dyDescent="0.3">
      <c r="A3495">
        <v>436</v>
      </c>
      <c r="B3495" t="s">
        <v>2311</v>
      </c>
      <c r="C3495" t="s">
        <v>258</v>
      </c>
      <c r="D3495" t="s">
        <v>73</v>
      </c>
      <c r="E3495" t="s">
        <v>56</v>
      </c>
      <c r="F3495" s="30">
        <v>45991</v>
      </c>
      <c r="G3495" t="s">
        <v>2346</v>
      </c>
      <c r="H3495" t="s">
        <v>4580</v>
      </c>
      <c r="I3495">
        <v>7</v>
      </c>
      <c r="J3495">
        <v>4.119999885559082</v>
      </c>
      <c r="CP3495">
        <v>4.12</v>
      </c>
    </row>
    <row r="3496" spans="1:136" x14ac:dyDescent="0.3">
      <c r="A3496">
        <v>485</v>
      </c>
      <c r="B3496" t="s">
        <v>2525</v>
      </c>
      <c r="C3496" t="s">
        <v>258</v>
      </c>
      <c r="D3496" t="s">
        <v>73</v>
      </c>
      <c r="E3496" t="s">
        <v>22</v>
      </c>
      <c r="F3496" s="30">
        <v>45991</v>
      </c>
      <c r="G3496" t="s">
        <v>2547</v>
      </c>
      <c r="H3496" t="s">
        <v>154</v>
      </c>
      <c r="I3496">
        <v>80</v>
      </c>
      <c r="J3496">
        <v>0</v>
      </c>
      <c r="EC3496">
        <v>0</v>
      </c>
      <c r="ED3496">
        <v>0</v>
      </c>
    </row>
    <row r="3497" spans="1:136" x14ac:dyDescent="0.3">
      <c r="A3497">
        <v>485</v>
      </c>
      <c r="B3497" t="s">
        <v>2525</v>
      </c>
      <c r="C3497" t="s">
        <v>258</v>
      </c>
      <c r="D3497" t="s">
        <v>73</v>
      </c>
      <c r="E3497" t="s">
        <v>22</v>
      </c>
      <c r="F3497" s="30">
        <v>45991</v>
      </c>
      <c r="G3497" t="s">
        <v>2547</v>
      </c>
      <c r="H3497" t="s">
        <v>4640</v>
      </c>
      <c r="I3497">
        <v>80</v>
      </c>
      <c r="J3497">
        <v>0</v>
      </c>
      <c r="EC3497">
        <v>0</v>
      </c>
      <c r="ED3497">
        <v>0</v>
      </c>
    </row>
    <row r="3498" spans="1:136" x14ac:dyDescent="0.3">
      <c r="A3498">
        <v>485</v>
      </c>
      <c r="B3498" t="s">
        <v>2525</v>
      </c>
      <c r="C3498" t="s">
        <v>258</v>
      </c>
      <c r="D3498" t="s">
        <v>73</v>
      </c>
      <c r="E3498" t="s">
        <v>22</v>
      </c>
      <c r="F3498" s="30">
        <v>45991</v>
      </c>
      <c r="G3498" t="s">
        <v>2547</v>
      </c>
      <c r="H3498" t="s">
        <v>4641</v>
      </c>
      <c r="I3498">
        <v>80</v>
      </c>
      <c r="J3498">
        <v>50</v>
      </c>
      <c r="EC3498">
        <v>1</v>
      </c>
      <c r="ED3498">
        <v>2</v>
      </c>
    </row>
    <row r="3499" spans="1:136" x14ac:dyDescent="0.3">
      <c r="A3499">
        <v>485</v>
      </c>
      <c r="B3499" t="s">
        <v>2525</v>
      </c>
      <c r="C3499" t="s">
        <v>258</v>
      </c>
      <c r="D3499" t="s">
        <v>73</v>
      </c>
      <c r="E3499" t="s">
        <v>22</v>
      </c>
      <c r="F3499" s="30">
        <v>45991</v>
      </c>
      <c r="G3499" t="s">
        <v>2547</v>
      </c>
      <c r="H3499" t="s">
        <v>4538</v>
      </c>
      <c r="I3499">
        <v>80</v>
      </c>
      <c r="J3499">
        <v>0</v>
      </c>
      <c r="EC3499">
        <v>0</v>
      </c>
      <c r="ED3499">
        <v>0</v>
      </c>
    </row>
    <row r="3500" spans="1:136" x14ac:dyDescent="0.3">
      <c r="A3500">
        <v>485</v>
      </c>
      <c r="B3500" t="s">
        <v>2525</v>
      </c>
      <c r="C3500" t="s">
        <v>258</v>
      </c>
      <c r="D3500" t="s">
        <v>73</v>
      </c>
      <c r="E3500" t="s">
        <v>22</v>
      </c>
      <c r="F3500" s="30">
        <v>45991</v>
      </c>
      <c r="G3500" t="s">
        <v>2547</v>
      </c>
      <c r="H3500" t="s">
        <v>4642</v>
      </c>
      <c r="I3500">
        <v>80</v>
      </c>
      <c r="J3500">
        <v>0</v>
      </c>
      <c r="EC3500">
        <v>0</v>
      </c>
      <c r="ED3500">
        <v>0</v>
      </c>
    </row>
    <row r="3501" spans="1:136" x14ac:dyDescent="0.3">
      <c r="A3501">
        <v>485</v>
      </c>
      <c r="B3501" t="s">
        <v>2525</v>
      </c>
      <c r="C3501" t="s">
        <v>258</v>
      </c>
      <c r="D3501" t="s">
        <v>73</v>
      </c>
      <c r="E3501" t="s">
        <v>22</v>
      </c>
      <c r="F3501" s="30">
        <v>45991</v>
      </c>
      <c r="G3501" t="s">
        <v>2547</v>
      </c>
      <c r="H3501" t="s">
        <v>4576</v>
      </c>
      <c r="I3501">
        <v>80</v>
      </c>
      <c r="J3501">
        <v>100</v>
      </c>
      <c r="EC3501">
        <v>5</v>
      </c>
      <c r="ED3501">
        <v>5</v>
      </c>
    </row>
    <row r="3502" spans="1:136" x14ac:dyDescent="0.3">
      <c r="A3502">
        <v>488</v>
      </c>
      <c r="B3502" t="s">
        <v>2555</v>
      </c>
      <c r="C3502" t="s">
        <v>258</v>
      </c>
      <c r="D3502" t="s">
        <v>73</v>
      </c>
      <c r="E3502" t="s">
        <v>22</v>
      </c>
      <c r="F3502" s="30">
        <v>45991</v>
      </c>
      <c r="G3502" t="s">
        <v>2578</v>
      </c>
      <c r="H3502" t="s">
        <v>4637</v>
      </c>
      <c r="I3502">
        <v>85</v>
      </c>
      <c r="J3502">
        <v>70.589996337890625</v>
      </c>
      <c r="EE3502">
        <v>12</v>
      </c>
      <c r="EF3502">
        <v>17</v>
      </c>
    </row>
    <row r="3503" spans="1:136" x14ac:dyDescent="0.3">
      <c r="A3503">
        <v>488</v>
      </c>
      <c r="B3503" t="s">
        <v>2555</v>
      </c>
      <c r="C3503" t="s">
        <v>258</v>
      </c>
      <c r="D3503" t="s">
        <v>73</v>
      </c>
      <c r="E3503" t="s">
        <v>22</v>
      </c>
      <c r="F3503" s="30">
        <v>45991</v>
      </c>
      <c r="G3503" t="s">
        <v>2578</v>
      </c>
      <c r="H3503" t="s">
        <v>4638</v>
      </c>
      <c r="I3503">
        <v>85</v>
      </c>
      <c r="J3503">
        <v>0</v>
      </c>
      <c r="EE3503">
        <v>0</v>
      </c>
      <c r="EF3503">
        <v>0</v>
      </c>
    </row>
    <row r="3504" spans="1:136" x14ac:dyDescent="0.3">
      <c r="A3504">
        <v>488</v>
      </c>
      <c r="B3504" t="s">
        <v>2555</v>
      </c>
      <c r="C3504" t="s">
        <v>258</v>
      </c>
      <c r="D3504" t="s">
        <v>73</v>
      </c>
      <c r="E3504" t="s">
        <v>22</v>
      </c>
      <c r="F3504" s="30">
        <v>45991</v>
      </c>
      <c r="G3504" t="s">
        <v>2578</v>
      </c>
      <c r="H3504" t="s">
        <v>4639</v>
      </c>
      <c r="I3504">
        <v>85</v>
      </c>
      <c r="J3504">
        <v>100</v>
      </c>
      <c r="EE3504">
        <v>5</v>
      </c>
      <c r="EF3504">
        <v>5</v>
      </c>
    </row>
    <row r="3505" spans="1:141" x14ac:dyDescent="0.3">
      <c r="A3505">
        <v>488</v>
      </c>
      <c r="B3505" t="s">
        <v>2555</v>
      </c>
      <c r="C3505" t="s">
        <v>258</v>
      </c>
      <c r="D3505" t="s">
        <v>73</v>
      </c>
      <c r="E3505" t="s">
        <v>22</v>
      </c>
      <c r="F3505" s="30">
        <v>45991</v>
      </c>
      <c r="G3505" t="s">
        <v>2578</v>
      </c>
      <c r="H3505" t="s">
        <v>4576</v>
      </c>
      <c r="I3505">
        <v>85</v>
      </c>
      <c r="J3505">
        <v>74.290000915527344</v>
      </c>
      <c r="EE3505">
        <v>26</v>
      </c>
      <c r="EF3505">
        <v>35</v>
      </c>
    </row>
    <row r="3506" spans="1:141" x14ac:dyDescent="0.3">
      <c r="A3506">
        <v>488</v>
      </c>
      <c r="B3506" t="s">
        <v>2555</v>
      </c>
      <c r="C3506" t="s">
        <v>258</v>
      </c>
      <c r="D3506" t="s">
        <v>73</v>
      </c>
      <c r="E3506" t="s">
        <v>22</v>
      </c>
      <c r="F3506" s="30">
        <v>45991</v>
      </c>
      <c r="G3506" t="s">
        <v>2578</v>
      </c>
      <c r="H3506" t="s">
        <v>154</v>
      </c>
      <c r="I3506">
        <v>85</v>
      </c>
      <c r="J3506">
        <v>0</v>
      </c>
      <c r="EE3506">
        <v>0</v>
      </c>
      <c r="EF3506">
        <v>0</v>
      </c>
    </row>
    <row r="3507" spans="1:141" x14ac:dyDescent="0.3">
      <c r="A3507">
        <v>488</v>
      </c>
      <c r="B3507" t="s">
        <v>2555</v>
      </c>
      <c r="C3507" t="s">
        <v>258</v>
      </c>
      <c r="D3507" t="s">
        <v>73</v>
      </c>
      <c r="E3507" t="s">
        <v>22</v>
      </c>
      <c r="F3507" s="30">
        <v>45991</v>
      </c>
      <c r="G3507" t="s">
        <v>2578</v>
      </c>
      <c r="H3507" t="s">
        <v>4640</v>
      </c>
      <c r="I3507">
        <v>85</v>
      </c>
      <c r="J3507">
        <v>0</v>
      </c>
      <c r="EE3507">
        <v>0</v>
      </c>
      <c r="EF3507">
        <v>0</v>
      </c>
    </row>
    <row r="3508" spans="1:141" x14ac:dyDescent="0.3">
      <c r="A3508">
        <v>488</v>
      </c>
      <c r="B3508" t="s">
        <v>2555</v>
      </c>
      <c r="C3508" t="s">
        <v>258</v>
      </c>
      <c r="D3508" t="s">
        <v>73</v>
      </c>
      <c r="E3508" t="s">
        <v>22</v>
      </c>
      <c r="F3508" s="30">
        <v>45991</v>
      </c>
      <c r="G3508" t="s">
        <v>2578</v>
      </c>
      <c r="H3508" t="s">
        <v>4538</v>
      </c>
      <c r="I3508">
        <v>85</v>
      </c>
      <c r="J3508">
        <v>0</v>
      </c>
      <c r="EE3508">
        <v>0</v>
      </c>
      <c r="EF3508">
        <v>0</v>
      </c>
    </row>
    <row r="3509" spans="1:141" x14ac:dyDescent="0.3">
      <c r="A3509">
        <v>488</v>
      </c>
      <c r="B3509" t="s">
        <v>2555</v>
      </c>
      <c r="C3509" t="s">
        <v>258</v>
      </c>
      <c r="D3509" t="s">
        <v>73</v>
      </c>
      <c r="E3509" t="s">
        <v>22</v>
      </c>
      <c r="F3509" s="30">
        <v>45991</v>
      </c>
      <c r="G3509" t="s">
        <v>2578</v>
      </c>
      <c r="H3509" t="s">
        <v>4642</v>
      </c>
      <c r="I3509">
        <v>85</v>
      </c>
      <c r="J3509">
        <v>100</v>
      </c>
      <c r="EE3509">
        <v>3</v>
      </c>
      <c r="EF3509">
        <v>3</v>
      </c>
    </row>
    <row r="3510" spans="1:141" x14ac:dyDescent="0.3">
      <c r="A3510">
        <v>488</v>
      </c>
      <c r="B3510" t="s">
        <v>2555</v>
      </c>
      <c r="C3510" t="s">
        <v>258</v>
      </c>
      <c r="D3510" t="s">
        <v>73</v>
      </c>
      <c r="E3510" t="s">
        <v>22</v>
      </c>
      <c r="F3510" s="30">
        <v>45991</v>
      </c>
      <c r="G3510" t="s">
        <v>2578</v>
      </c>
      <c r="H3510" t="s">
        <v>4641</v>
      </c>
      <c r="I3510">
        <v>85</v>
      </c>
      <c r="J3510">
        <v>72.5</v>
      </c>
      <c r="EE3510">
        <v>29</v>
      </c>
      <c r="EF3510">
        <v>40</v>
      </c>
    </row>
    <row r="3511" spans="1:141" x14ac:dyDescent="0.3">
      <c r="A3511">
        <v>509</v>
      </c>
      <c r="B3511" t="s">
        <v>2622</v>
      </c>
      <c r="C3511" t="s">
        <v>1096</v>
      </c>
      <c r="D3511" t="s">
        <v>73</v>
      </c>
      <c r="E3511" t="s">
        <v>22</v>
      </c>
      <c r="F3511" s="30">
        <v>45991</v>
      </c>
      <c r="G3511" t="s">
        <v>2632</v>
      </c>
      <c r="H3511" t="s">
        <v>3449</v>
      </c>
      <c r="I3511">
        <v>90</v>
      </c>
      <c r="J3511">
        <v>100</v>
      </c>
      <c r="EJ3511">
        <v>91</v>
      </c>
      <c r="EK3511">
        <v>91</v>
      </c>
    </row>
    <row r="3512" spans="1:141" x14ac:dyDescent="0.3">
      <c r="A3512">
        <v>509</v>
      </c>
      <c r="B3512" t="s">
        <v>2622</v>
      </c>
      <c r="C3512" t="s">
        <v>1096</v>
      </c>
      <c r="D3512" t="s">
        <v>73</v>
      </c>
      <c r="E3512" t="s">
        <v>22</v>
      </c>
      <c r="F3512" s="30">
        <v>45991</v>
      </c>
      <c r="G3512" t="s">
        <v>2632</v>
      </c>
      <c r="H3512" t="s">
        <v>3457</v>
      </c>
      <c r="I3512">
        <v>90</v>
      </c>
      <c r="J3512">
        <v>91.110000610351563</v>
      </c>
      <c r="EJ3512">
        <v>90</v>
      </c>
      <c r="EK3512">
        <v>82</v>
      </c>
    </row>
    <row r="3513" spans="1:141" x14ac:dyDescent="0.3">
      <c r="A3513">
        <v>509</v>
      </c>
      <c r="B3513" t="s">
        <v>2622</v>
      </c>
      <c r="C3513" t="s">
        <v>1096</v>
      </c>
      <c r="D3513" t="s">
        <v>73</v>
      </c>
      <c r="E3513" t="s">
        <v>22</v>
      </c>
      <c r="F3513" s="30">
        <v>45991</v>
      </c>
      <c r="G3513" t="s">
        <v>2632</v>
      </c>
      <c r="H3513" t="s">
        <v>3572</v>
      </c>
      <c r="I3513">
        <v>90</v>
      </c>
      <c r="J3513">
        <v>100</v>
      </c>
      <c r="EJ3513">
        <v>100</v>
      </c>
      <c r="EK3513">
        <v>100</v>
      </c>
    </row>
    <row r="3514" spans="1:141" x14ac:dyDescent="0.3">
      <c r="A3514">
        <v>509</v>
      </c>
      <c r="B3514" t="s">
        <v>2622</v>
      </c>
      <c r="C3514" t="s">
        <v>1096</v>
      </c>
      <c r="D3514" t="s">
        <v>73</v>
      </c>
      <c r="E3514" t="s">
        <v>22</v>
      </c>
      <c r="F3514" s="30">
        <v>45991</v>
      </c>
      <c r="G3514" t="s">
        <v>2632</v>
      </c>
      <c r="H3514" t="s">
        <v>3451</v>
      </c>
      <c r="I3514">
        <v>90</v>
      </c>
      <c r="J3514">
        <v>98.699996948242188</v>
      </c>
      <c r="EJ3514">
        <v>77</v>
      </c>
      <c r="EK3514">
        <v>76</v>
      </c>
    </row>
    <row r="3515" spans="1:141" x14ac:dyDescent="0.3">
      <c r="A3515">
        <v>509</v>
      </c>
      <c r="B3515" t="s">
        <v>2622</v>
      </c>
      <c r="C3515" t="s">
        <v>1096</v>
      </c>
      <c r="D3515" t="s">
        <v>73</v>
      </c>
      <c r="E3515" t="s">
        <v>22</v>
      </c>
      <c r="F3515" s="30">
        <v>45991</v>
      </c>
      <c r="G3515" t="s">
        <v>2632</v>
      </c>
      <c r="H3515" t="s">
        <v>3453</v>
      </c>
      <c r="I3515">
        <v>90</v>
      </c>
      <c r="J3515">
        <v>98.900001525878906</v>
      </c>
      <c r="EJ3515">
        <v>91</v>
      </c>
      <c r="EK3515">
        <v>90</v>
      </c>
    </row>
    <row r="3516" spans="1:141" x14ac:dyDescent="0.3">
      <c r="A3516">
        <v>509</v>
      </c>
      <c r="B3516" t="s">
        <v>2622</v>
      </c>
      <c r="C3516" t="s">
        <v>1096</v>
      </c>
      <c r="D3516" t="s">
        <v>73</v>
      </c>
      <c r="E3516" t="s">
        <v>22</v>
      </c>
      <c r="F3516" s="30">
        <v>45991</v>
      </c>
      <c r="G3516" t="s">
        <v>2632</v>
      </c>
      <c r="H3516" t="s">
        <v>3461</v>
      </c>
      <c r="I3516">
        <v>90</v>
      </c>
      <c r="J3516">
        <v>100</v>
      </c>
      <c r="EJ3516">
        <v>6</v>
      </c>
      <c r="EK3516">
        <v>6</v>
      </c>
    </row>
    <row r="3517" spans="1:141" x14ac:dyDescent="0.3">
      <c r="A3517">
        <v>509</v>
      </c>
      <c r="B3517" t="s">
        <v>2622</v>
      </c>
      <c r="C3517" t="s">
        <v>1096</v>
      </c>
      <c r="D3517" t="s">
        <v>73</v>
      </c>
      <c r="E3517" t="s">
        <v>22</v>
      </c>
      <c r="F3517" s="30">
        <v>45991</v>
      </c>
      <c r="G3517" t="s">
        <v>2632</v>
      </c>
      <c r="H3517" t="s">
        <v>3463</v>
      </c>
      <c r="I3517">
        <v>90</v>
      </c>
      <c r="J3517">
        <v>95</v>
      </c>
      <c r="EJ3517">
        <v>60</v>
      </c>
      <c r="EK3517">
        <v>57</v>
      </c>
    </row>
    <row r="3518" spans="1:141" x14ac:dyDescent="0.3">
      <c r="A3518">
        <v>509</v>
      </c>
      <c r="B3518" t="s">
        <v>2622</v>
      </c>
      <c r="C3518" t="s">
        <v>1096</v>
      </c>
      <c r="D3518" t="s">
        <v>73</v>
      </c>
      <c r="E3518" t="s">
        <v>22</v>
      </c>
      <c r="F3518" s="30">
        <v>45991</v>
      </c>
      <c r="G3518" t="s">
        <v>2632</v>
      </c>
      <c r="H3518" t="s">
        <v>3470</v>
      </c>
      <c r="I3518">
        <v>90</v>
      </c>
      <c r="J3518">
        <v>97.94000244140625</v>
      </c>
      <c r="EJ3518">
        <v>97</v>
      </c>
      <c r="EK3518">
        <v>95</v>
      </c>
    </row>
    <row r="3519" spans="1:141" x14ac:dyDescent="0.3">
      <c r="A3519">
        <v>509</v>
      </c>
      <c r="B3519" t="s">
        <v>2622</v>
      </c>
      <c r="C3519" t="s">
        <v>1096</v>
      </c>
      <c r="D3519" t="s">
        <v>73</v>
      </c>
      <c r="E3519" t="s">
        <v>22</v>
      </c>
      <c r="F3519" s="30">
        <v>45991</v>
      </c>
      <c r="G3519" t="s">
        <v>2632</v>
      </c>
      <c r="H3519" t="s">
        <v>3465</v>
      </c>
      <c r="I3519">
        <v>90</v>
      </c>
      <c r="J3519">
        <v>97.94000244140625</v>
      </c>
      <c r="EJ3519">
        <v>97</v>
      </c>
      <c r="EK3519">
        <v>95</v>
      </c>
    </row>
    <row r="3520" spans="1:141" x14ac:dyDescent="0.3">
      <c r="A3520">
        <v>509</v>
      </c>
      <c r="B3520" t="s">
        <v>2622</v>
      </c>
      <c r="C3520" t="s">
        <v>1096</v>
      </c>
      <c r="D3520" t="s">
        <v>73</v>
      </c>
      <c r="E3520" t="s">
        <v>22</v>
      </c>
      <c r="F3520" s="30">
        <v>45991</v>
      </c>
      <c r="G3520" t="s">
        <v>2632</v>
      </c>
      <c r="H3520" t="s">
        <v>3467</v>
      </c>
      <c r="I3520">
        <v>90</v>
      </c>
      <c r="J3520">
        <v>96.669998168945313</v>
      </c>
      <c r="EJ3520">
        <v>90</v>
      </c>
      <c r="EK3520">
        <v>87</v>
      </c>
    </row>
    <row r="3521" spans="1:141" x14ac:dyDescent="0.3">
      <c r="A3521">
        <v>509</v>
      </c>
      <c r="B3521" t="s">
        <v>2622</v>
      </c>
      <c r="C3521" t="s">
        <v>1096</v>
      </c>
      <c r="D3521" t="s">
        <v>73</v>
      </c>
      <c r="E3521" t="s">
        <v>22</v>
      </c>
      <c r="F3521" s="30">
        <v>45991</v>
      </c>
      <c r="G3521" t="s">
        <v>2632</v>
      </c>
      <c r="H3521" t="s">
        <v>3472</v>
      </c>
      <c r="I3521">
        <v>90</v>
      </c>
      <c r="J3521">
        <v>94.44000244140625</v>
      </c>
      <c r="EJ3521">
        <v>90</v>
      </c>
      <c r="EK3521">
        <v>85</v>
      </c>
    </row>
    <row r="3522" spans="1:141" x14ac:dyDescent="0.3">
      <c r="A3522">
        <v>509</v>
      </c>
      <c r="B3522" t="s">
        <v>2622</v>
      </c>
      <c r="C3522" t="s">
        <v>1096</v>
      </c>
      <c r="D3522" t="s">
        <v>73</v>
      </c>
      <c r="E3522" t="s">
        <v>22</v>
      </c>
      <c r="F3522" s="30">
        <v>45991</v>
      </c>
      <c r="G3522" t="s">
        <v>2632</v>
      </c>
      <c r="H3522" t="s">
        <v>4647</v>
      </c>
      <c r="I3522">
        <v>90</v>
      </c>
      <c r="J3522">
        <v>0</v>
      </c>
      <c r="EJ3522">
        <v>0</v>
      </c>
      <c r="EK3522">
        <v>0</v>
      </c>
    </row>
    <row r="3523" spans="1:141" x14ac:dyDescent="0.3">
      <c r="A3523">
        <v>509</v>
      </c>
      <c r="B3523" t="s">
        <v>2622</v>
      </c>
      <c r="C3523" t="s">
        <v>1096</v>
      </c>
      <c r="D3523" t="s">
        <v>73</v>
      </c>
      <c r="E3523" t="s">
        <v>22</v>
      </c>
      <c r="F3523" s="30">
        <v>45991</v>
      </c>
      <c r="G3523" t="s">
        <v>2632</v>
      </c>
      <c r="H3523" t="s">
        <v>4648</v>
      </c>
      <c r="I3523">
        <v>90</v>
      </c>
      <c r="J3523">
        <v>0</v>
      </c>
      <c r="EJ3523">
        <v>0</v>
      </c>
      <c r="EK3523">
        <v>0</v>
      </c>
    </row>
    <row r="3524" spans="1:141" x14ac:dyDescent="0.3">
      <c r="A3524">
        <v>509</v>
      </c>
      <c r="B3524" t="s">
        <v>2622</v>
      </c>
      <c r="C3524" t="s">
        <v>1096</v>
      </c>
      <c r="D3524" t="s">
        <v>73</v>
      </c>
      <c r="E3524" t="s">
        <v>22</v>
      </c>
      <c r="F3524" s="30">
        <v>45991</v>
      </c>
      <c r="G3524" t="s">
        <v>2632</v>
      </c>
      <c r="H3524" t="s">
        <v>4649</v>
      </c>
      <c r="I3524">
        <v>90</v>
      </c>
      <c r="J3524">
        <v>0</v>
      </c>
      <c r="EJ3524">
        <v>0</v>
      </c>
      <c r="EK3524">
        <v>0</v>
      </c>
    </row>
    <row r="3525" spans="1:141" x14ac:dyDescent="0.3">
      <c r="A3525">
        <v>509</v>
      </c>
      <c r="B3525" t="s">
        <v>2622</v>
      </c>
      <c r="C3525" t="s">
        <v>1096</v>
      </c>
      <c r="D3525" t="s">
        <v>73</v>
      </c>
      <c r="E3525" t="s">
        <v>22</v>
      </c>
      <c r="F3525" s="30">
        <v>45991</v>
      </c>
      <c r="G3525" t="s">
        <v>2632</v>
      </c>
      <c r="H3525" t="s">
        <v>4650</v>
      </c>
      <c r="I3525">
        <v>90</v>
      </c>
      <c r="J3525">
        <v>0</v>
      </c>
      <c r="EJ3525">
        <v>0</v>
      </c>
      <c r="EK3525">
        <v>0</v>
      </c>
    </row>
    <row r="3526" spans="1:141" x14ac:dyDescent="0.3">
      <c r="A3526">
        <v>509</v>
      </c>
      <c r="B3526" t="s">
        <v>2622</v>
      </c>
      <c r="C3526" t="s">
        <v>1096</v>
      </c>
      <c r="D3526" t="s">
        <v>73</v>
      </c>
      <c r="E3526" t="s">
        <v>22</v>
      </c>
      <c r="F3526" s="30">
        <v>45991</v>
      </c>
      <c r="G3526" t="s">
        <v>2632</v>
      </c>
      <c r="H3526" t="s">
        <v>3455</v>
      </c>
      <c r="I3526">
        <v>90</v>
      </c>
      <c r="J3526">
        <v>92</v>
      </c>
      <c r="EJ3526">
        <v>75</v>
      </c>
      <c r="EK3526">
        <v>69</v>
      </c>
    </row>
    <row r="3527" spans="1:141" x14ac:dyDescent="0.3">
      <c r="A3527">
        <v>509</v>
      </c>
      <c r="B3527" t="s">
        <v>2622</v>
      </c>
      <c r="C3527" t="s">
        <v>1096</v>
      </c>
      <c r="D3527" t="s">
        <v>73</v>
      </c>
      <c r="E3527" t="s">
        <v>22</v>
      </c>
      <c r="F3527" s="30">
        <v>45991</v>
      </c>
      <c r="G3527" t="s">
        <v>2632</v>
      </c>
      <c r="H3527" t="s">
        <v>3476</v>
      </c>
      <c r="I3527">
        <v>90</v>
      </c>
      <c r="J3527">
        <v>0</v>
      </c>
      <c r="EJ3527">
        <v>0</v>
      </c>
      <c r="EK3527">
        <v>0</v>
      </c>
    </row>
    <row r="3528" spans="1:141" x14ac:dyDescent="0.3">
      <c r="A3528">
        <v>509</v>
      </c>
      <c r="B3528" t="s">
        <v>2622</v>
      </c>
      <c r="C3528" t="s">
        <v>1096</v>
      </c>
      <c r="D3528" t="s">
        <v>73</v>
      </c>
      <c r="E3528" t="s">
        <v>22</v>
      </c>
      <c r="F3528" s="30">
        <v>45991</v>
      </c>
      <c r="G3528" t="s">
        <v>2632</v>
      </c>
      <c r="H3528" t="s">
        <v>3459</v>
      </c>
      <c r="I3528">
        <v>90</v>
      </c>
      <c r="J3528">
        <v>100</v>
      </c>
      <c r="EJ3528">
        <v>67</v>
      </c>
      <c r="EK3528">
        <v>67</v>
      </c>
    </row>
    <row r="3529" spans="1:141" x14ac:dyDescent="0.3">
      <c r="A3529">
        <v>208</v>
      </c>
      <c r="B3529" t="s">
        <v>707</v>
      </c>
      <c r="C3529" t="s">
        <v>251</v>
      </c>
      <c r="D3529" t="s">
        <v>73</v>
      </c>
      <c r="E3529" t="s">
        <v>56</v>
      </c>
      <c r="F3529" s="30">
        <v>46022</v>
      </c>
      <c r="G3529" t="s">
        <v>756</v>
      </c>
      <c r="H3529" t="s">
        <v>4468</v>
      </c>
      <c r="I3529">
        <v>950</v>
      </c>
      <c r="J3529">
        <v>643</v>
      </c>
      <c r="K3529">
        <v>643</v>
      </c>
    </row>
    <row r="3530" spans="1:141" x14ac:dyDescent="0.3">
      <c r="A3530">
        <v>208</v>
      </c>
      <c r="B3530" t="s">
        <v>707</v>
      </c>
      <c r="C3530" t="s">
        <v>251</v>
      </c>
      <c r="D3530" t="s">
        <v>73</v>
      </c>
      <c r="E3530" t="s">
        <v>56</v>
      </c>
      <c r="F3530" s="30">
        <v>46022</v>
      </c>
      <c r="G3530" t="s">
        <v>756</v>
      </c>
      <c r="H3530" t="s">
        <v>4470</v>
      </c>
      <c r="I3530">
        <v>350</v>
      </c>
      <c r="J3530">
        <v>266</v>
      </c>
      <c r="K3530">
        <v>266</v>
      </c>
    </row>
    <row r="3531" spans="1:141" x14ac:dyDescent="0.3">
      <c r="A3531">
        <v>208</v>
      </c>
      <c r="B3531" t="s">
        <v>707</v>
      </c>
      <c r="C3531" t="s">
        <v>251</v>
      </c>
      <c r="D3531" t="s">
        <v>73</v>
      </c>
      <c r="E3531" t="s">
        <v>56</v>
      </c>
      <c r="F3531" s="30">
        <v>46022</v>
      </c>
      <c r="G3531" t="s">
        <v>756</v>
      </c>
      <c r="H3531" t="s">
        <v>4477</v>
      </c>
      <c r="I3531">
        <v>25</v>
      </c>
      <c r="J3531">
        <v>14</v>
      </c>
      <c r="K3531">
        <v>14</v>
      </c>
    </row>
    <row r="3532" spans="1:141" x14ac:dyDescent="0.3">
      <c r="A3532">
        <v>208</v>
      </c>
      <c r="B3532" t="s">
        <v>707</v>
      </c>
      <c r="C3532" t="s">
        <v>251</v>
      </c>
      <c r="D3532" t="s">
        <v>73</v>
      </c>
      <c r="E3532" t="s">
        <v>56</v>
      </c>
      <c r="F3532" s="30">
        <v>46022</v>
      </c>
      <c r="G3532" t="s">
        <v>756</v>
      </c>
      <c r="H3532" t="s">
        <v>4469</v>
      </c>
      <c r="I3532">
        <v>200</v>
      </c>
      <c r="J3532">
        <v>124</v>
      </c>
      <c r="K3532">
        <v>124</v>
      </c>
    </row>
    <row r="3533" spans="1:141" x14ac:dyDescent="0.3">
      <c r="A3533">
        <v>208</v>
      </c>
      <c r="B3533" t="s">
        <v>707</v>
      </c>
      <c r="C3533" t="s">
        <v>251</v>
      </c>
      <c r="D3533" t="s">
        <v>73</v>
      </c>
      <c r="E3533" t="s">
        <v>56</v>
      </c>
      <c r="F3533" s="30">
        <v>46022</v>
      </c>
      <c r="G3533" t="s">
        <v>756</v>
      </c>
      <c r="H3533" t="s">
        <v>4476</v>
      </c>
      <c r="I3533">
        <v>0</v>
      </c>
      <c r="J3533">
        <v>0</v>
      </c>
      <c r="K3533">
        <v>0</v>
      </c>
    </row>
    <row r="3534" spans="1:141" x14ac:dyDescent="0.3">
      <c r="A3534">
        <v>208</v>
      </c>
      <c r="B3534" t="s">
        <v>707</v>
      </c>
      <c r="C3534" t="s">
        <v>251</v>
      </c>
      <c r="D3534" t="s">
        <v>73</v>
      </c>
      <c r="E3534" t="s">
        <v>56</v>
      </c>
      <c r="F3534" s="30">
        <v>46022</v>
      </c>
      <c r="G3534" t="s">
        <v>756</v>
      </c>
      <c r="H3534" t="s">
        <v>4478</v>
      </c>
      <c r="I3534">
        <v>25</v>
      </c>
      <c r="J3534">
        <v>12</v>
      </c>
      <c r="K3534">
        <v>12</v>
      </c>
    </row>
    <row r="3535" spans="1:141" x14ac:dyDescent="0.3">
      <c r="A3535">
        <v>214</v>
      </c>
      <c r="B3535" t="s">
        <v>774</v>
      </c>
      <c r="C3535" t="s">
        <v>251</v>
      </c>
      <c r="D3535" t="s">
        <v>73</v>
      </c>
      <c r="E3535" t="s">
        <v>56</v>
      </c>
      <c r="F3535" s="30">
        <v>46022</v>
      </c>
      <c r="G3535" t="s">
        <v>823</v>
      </c>
      <c r="H3535" t="s">
        <v>4468</v>
      </c>
      <c r="I3535">
        <v>5500</v>
      </c>
      <c r="J3535">
        <v>1243.900024414062</v>
      </c>
      <c r="L3535">
        <v>315.38</v>
      </c>
      <c r="M3535">
        <v>928.52</v>
      </c>
    </row>
    <row r="3536" spans="1:141" x14ac:dyDescent="0.3">
      <c r="A3536">
        <v>214</v>
      </c>
      <c r="B3536" t="s">
        <v>774</v>
      </c>
      <c r="C3536" t="s">
        <v>251</v>
      </c>
      <c r="D3536" t="s">
        <v>73</v>
      </c>
      <c r="E3536" t="s">
        <v>56</v>
      </c>
      <c r="F3536" s="30">
        <v>46022</v>
      </c>
      <c r="G3536" t="s">
        <v>823</v>
      </c>
      <c r="H3536" t="s">
        <v>4470</v>
      </c>
      <c r="I3536">
        <v>1000</v>
      </c>
      <c r="J3536">
        <v>162.17999267578119</v>
      </c>
      <c r="L3536">
        <v>28.62</v>
      </c>
      <c r="M3536">
        <v>133.56</v>
      </c>
    </row>
    <row r="3537" spans="1:45" x14ac:dyDescent="0.3">
      <c r="A3537">
        <v>214</v>
      </c>
      <c r="B3537" t="s">
        <v>774</v>
      </c>
      <c r="C3537" t="s">
        <v>251</v>
      </c>
      <c r="D3537" t="s">
        <v>73</v>
      </c>
      <c r="E3537" t="s">
        <v>56</v>
      </c>
      <c r="F3537" s="30">
        <v>46022</v>
      </c>
      <c r="G3537" t="s">
        <v>823</v>
      </c>
      <c r="H3537" t="s">
        <v>4477</v>
      </c>
      <c r="I3537">
        <v>7500</v>
      </c>
      <c r="J3537">
        <v>26.370000839233398</v>
      </c>
      <c r="L3537">
        <v>8.18</v>
      </c>
      <c r="M3537">
        <v>18.190000000000001</v>
      </c>
    </row>
    <row r="3538" spans="1:45" x14ac:dyDescent="0.3">
      <c r="A3538">
        <v>214</v>
      </c>
      <c r="B3538" t="s">
        <v>774</v>
      </c>
      <c r="C3538" t="s">
        <v>251</v>
      </c>
      <c r="D3538" t="s">
        <v>73</v>
      </c>
      <c r="E3538" t="s">
        <v>56</v>
      </c>
      <c r="F3538" s="30">
        <v>46022</v>
      </c>
      <c r="G3538" t="s">
        <v>823</v>
      </c>
      <c r="H3538" t="s">
        <v>4476</v>
      </c>
      <c r="I3538">
        <v>1</v>
      </c>
      <c r="J3538">
        <v>27.79000091552734</v>
      </c>
      <c r="L3538">
        <v>0</v>
      </c>
      <c r="M3538">
        <v>27.79</v>
      </c>
    </row>
    <row r="3539" spans="1:45" x14ac:dyDescent="0.3">
      <c r="A3539">
        <v>214</v>
      </c>
      <c r="B3539" t="s">
        <v>774</v>
      </c>
      <c r="C3539" t="s">
        <v>251</v>
      </c>
      <c r="D3539" t="s">
        <v>73</v>
      </c>
      <c r="E3539" t="s">
        <v>56</v>
      </c>
      <c r="F3539" s="30">
        <v>46022</v>
      </c>
      <c r="G3539" t="s">
        <v>823</v>
      </c>
      <c r="H3539" t="s">
        <v>4478</v>
      </c>
      <c r="I3539">
        <v>1</v>
      </c>
      <c r="J3539">
        <v>11.439999580383301</v>
      </c>
      <c r="L3539">
        <v>1.68</v>
      </c>
      <c r="M3539">
        <v>9.76</v>
      </c>
    </row>
    <row r="3540" spans="1:45" x14ac:dyDescent="0.3">
      <c r="A3540">
        <v>214</v>
      </c>
      <c r="B3540" t="s">
        <v>774</v>
      </c>
      <c r="C3540" t="s">
        <v>251</v>
      </c>
      <c r="D3540" t="s">
        <v>73</v>
      </c>
      <c r="E3540" t="s">
        <v>56</v>
      </c>
      <c r="F3540" s="30">
        <v>46022</v>
      </c>
      <c r="G3540" t="s">
        <v>823</v>
      </c>
      <c r="H3540" t="s">
        <v>4469</v>
      </c>
      <c r="I3540">
        <v>1000</v>
      </c>
      <c r="J3540">
        <v>697.8599853515625</v>
      </c>
      <c r="L3540">
        <v>0</v>
      </c>
      <c r="M3540">
        <v>697.86</v>
      </c>
    </row>
    <row r="3541" spans="1:45" x14ac:dyDescent="0.3">
      <c r="A3541">
        <v>217</v>
      </c>
      <c r="B3541" t="s">
        <v>840</v>
      </c>
      <c r="C3541" t="s">
        <v>251</v>
      </c>
      <c r="D3541" t="s">
        <v>73</v>
      </c>
      <c r="E3541" t="s">
        <v>22</v>
      </c>
      <c r="F3541" s="30">
        <v>46022</v>
      </c>
      <c r="G3541" t="s">
        <v>887</v>
      </c>
      <c r="H3541" t="s">
        <v>4468</v>
      </c>
      <c r="I3541">
        <v>20</v>
      </c>
      <c r="J3541">
        <v>80.419998168945313</v>
      </c>
      <c r="L3541">
        <v>315.38</v>
      </c>
      <c r="M3541">
        <v>928.52</v>
      </c>
      <c r="AS3541">
        <v>1000.38</v>
      </c>
    </row>
    <row r="3542" spans="1:45" x14ac:dyDescent="0.3">
      <c r="A3542">
        <v>217</v>
      </c>
      <c r="B3542" t="s">
        <v>840</v>
      </c>
      <c r="C3542" t="s">
        <v>251</v>
      </c>
      <c r="D3542" t="s">
        <v>73</v>
      </c>
      <c r="E3542" t="s">
        <v>22</v>
      </c>
      <c r="F3542" s="30">
        <v>46022</v>
      </c>
      <c r="G3542" t="s">
        <v>887</v>
      </c>
      <c r="H3542" t="s">
        <v>4470</v>
      </c>
      <c r="I3542">
        <v>20</v>
      </c>
      <c r="J3542">
        <v>17.64999961853027</v>
      </c>
      <c r="L3542">
        <v>28.62</v>
      </c>
      <c r="M3542">
        <v>133.56</v>
      </c>
      <c r="AS3542">
        <v>28.62</v>
      </c>
    </row>
    <row r="3543" spans="1:45" x14ac:dyDescent="0.3">
      <c r="A3543">
        <v>217</v>
      </c>
      <c r="B3543" t="s">
        <v>840</v>
      </c>
      <c r="C3543" t="s">
        <v>251</v>
      </c>
      <c r="D3543" t="s">
        <v>73</v>
      </c>
      <c r="E3543" t="s">
        <v>22</v>
      </c>
      <c r="F3543" s="30">
        <v>46022</v>
      </c>
      <c r="G3543" t="s">
        <v>887</v>
      </c>
      <c r="H3543" t="s">
        <v>4477</v>
      </c>
      <c r="I3543">
        <v>20</v>
      </c>
      <c r="J3543">
        <v>31.020000457763668</v>
      </c>
      <c r="L3543">
        <v>8.18</v>
      </c>
      <c r="M3543">
        <v>18.190000000000001</v>
      </c>
      <c r="AS3543">
        <v>8.18</v>
      </c>
    </row>
    <row r="3544" spans="1:45" x14ac:dyDescent="0.3">
      <c r="A3544">
        <v>217</v>
      </c>
      <c r="B3544" t="s">
        <v>840</v>
      </c>
      <c r="C3544" t="s">
        <v>251</v>
      </c>
      <c r="D3544" t="s">
        <v>73</v>
      </c>
      <c r="E3544" t="s">
        <v>22</v>
      </c>
      <c r="F3544" s="30">
        <v>46022</v>
      </c>
      <c r="G3544" t="s">
        <v>887</v>
      </c>
      <c r="H3544" t="s">
        <v>4476</v>
      </c>
      <c r="I3544">
        <v>20</v>
      </c>
      <c r="J3544">
        <v>0</v>
      </c>
      <c r="L3544">
        <v>0</v>
      </c>
      <c r="M3544">
        <v>27.79</v>
      </c>
      <c r="AS3544">
        <v>0</v>
      </c>
    </row>
    <row r="3545" spans="1:45" x14ac:dyDescent="0.3">
      <c r="A3545">
        <v>217</v>
      </c>
      <c r="B3545" t="s">
        <v>840</v>
      </c>
      <c r="C3545" t="s">
        <v>251</v>
      </c>
      <c r="D3545" t="s">
        <v>73</v>
      </c>
      <c r="E3545" t="s">
        <v>22</v>
      </c>
      <c r="F3545" s="30">
        <v>46022</v>
      </c>
      <c r="G3545" t="s">
        <v>887</v>
      </c>
      <c r="H3545" t="s">
        <v>4478</v>
      </c>
      <c r="I3545">
        <v>20</v>
      </c>
      <c r="J3545">
        <v>14.689999580383301</v>
      </c>
      <c r="L3545">
        <v>1.68</v>
      </c>
      <c r="M3545">
        <v>9.76</v>
      </c>
      <c r="AS3545">
        <v>1.68</v>
      </c>
    </row>
    <row r="3546" spans="1:45" x14ac:dyDescent="0.3">
      <c r="A3546">
        <v>217</v>
      </c>
      <c r="B3546" t="s">
        <v>840</v>
      </c>
      <c r="C3546" t="s">
        <v>251</v>
      </c>
      <c r="D3546" t="s">
        <v>73</v>
      </c>
      <c r="E3546" t="s">
        <v>22</v>
      </c>
      <c r="F3546" s="30">
        <v>46022</v>
      </c>
      <c r="G3546" t="s">
        <v>887</v>
      </c>
      <c r="H3546" t="s">
        <v>4469</v>
      </c>
      <c r="I3546">
        <v>20</v>
      </c>
      <c r="J3546">
        <v>1.429999947547913</v>
      </c>
      <c r="L3546">
        <v>0</v>
      </c>
      <c r="M3546">
        <v>697.86</v>
      </c>
      <c r="AS3546">
        <v>10</v>
      </c>
    </row>
    <row r="3547" spans="1:45" x14ac:dyDescent="0.3">
      <c r="A3547">
        <v>218</v>
      </c>
      <c r="B3547" t="s">
        <v>888</v>
      </c>
      <c r="C3547" t="s">
        <v>251</v>
      </c>
      <c r="D3547" t="s">
        <v>73</v>
      </c>
      <c r="E3547" t="s">
        <v>56</v>
      </c>
      <c r="F3547" s="30">
        <v>46022</v>
      </c>
      <c r="G3547" t="s">
        <v>937</v>
      </c>
      <c r="H3547" t="s">
        <v>4468</v>
      </c>
      <c r="I3547">
        <v>76000</v>
      </c>
      <c r="J3547">
        <v>53458.0390625</v>
      </c>
      <c r="N3547">
        <v>53458.04</v>
      </c>
    </row>
    <row r="3548" spans="1:45" x14ac:dyDescent="0.3">
      <c r="A3548">
        <v>218</v>
      </c>
      <c r="B3548" t="s">
        <v>888</v>
      </c>
      <c r="C3548" t="s">
        <v>251</v>
      </c>
      <c r="D3548" t="s">
        <v>73</v>
      </c>
      <c r="E3548" t="s">
        <v>56</v>
      </c>
      <c r="F3548" s="30">
        <v>46022</v>
      </c>
      <c r="G3548" t="s">
        <v>937</v>
      </c>
      <c r="H3548" t="s">
        <v>4470</v>
      </c>
      <c r="I3548">
        <v>76000</v>
      </c>
      <c r="J3548">
        <v>46170</v>
      </c>
      <c r="N3548">
        <v>46170</v>
      </c>
    </row>
    <row r="3549" spans="1:45" x14ac:dyDescent="0.3">
      <c r="A3549">
        <v>218</v>
      </c>
      <c r="B3549" t="s">
        <v>888</v>
      </c>
      <c r="C3549" t="s">
        <v>251</v>
      </c>
      <c r="D3549" t="s">
        <v>73</v>
      </c>
      <c r="E3549" t="s">
        <v>56</v>
      </c>
      <c r="F3549" s="30">
        <v>46022</v>
      </c>
      <c r="G3549" t="s">
        <v>937</v>
      </c>
      <c r="H3549" t="s">
        <v>4477</v>
      </c>
      <c r="I3549">
        <v>5000</v>
      </c>
      <c r="J3549">
        <v>4080</v>
      </c>
      <c r="N3549">
        <v>4080</v>
      </c>
    </row>
    <row r="3550" spans="1:45" x14ac:dyDescent="0.3">
      <c r="A3550">
        <v>218</v>
      </c>
      <c r="B3550" t="s">
        <v>888</v>
      </c>
      <c r="C3550" t="s">
        <v>251</v>
      </c>
      <c r="D3550" t="s">
        <v>73</v>
      </c>
      <c r="E3550" t="s">
        <v>56</v>
      </c>
      <c r="F3550" s="30">
        <v>46022</v>
      </c>
      <c r="G3550" t="s">
        <v>937</v>
      </c>
      <c r="H3550" t="s">
        <v>4469</v>
      </c>
      <c r="I3550">
        <v>24000</v>
      </c>
      <c r="J3550">
        <v>11717</v>
      </c>
      <c r="N3550">
        <v>11717</v>
      </c>
    </row>
    <row r="3551" spans="1:45" x14ac:dyDescent="0.3">
      <c r="A3551">
        <v>218</v>
      </c>
      <c r="B3551" t="s">
        <v>888</v>
      </c>
      <c r="C3551" t="s">
        <v>251</v>
      </c>
      <c r="D3551" t="s">
        <v>73</v>
      </c>
      <c r="E3551" t="s">
        <v>56</v>
      </c>
      <c r="F3551" s="30">
        <v>46022</v>
      </c>
      <c r="G3551" t="s">
        <v>937</v>
      </c>
      <c r="H3551" t="s">
        <v>4476</v>
      </c>
      <c r="I3551">
        <v>5000</v>
      </c>
      <c r="J3551">
        <v>6243</v>
      </c>
      <c r="N3551">
        <v>6243</v>
      </c>
    </row>
    <row r="3552" spans="1:45" x14ac:dyDescent="0.3">
      <c r="A3552">
        <v>218</v>
      </c>
      <c r="B3552" t="s">
        <v>888</v>
      </c>
      <c r="C3552" t="s">
        <v>251</v>
      </c>
      <c r="D3552" t="s">
        <v>73</v>
      </c>
      <c r="E3552" t="s">
        <v>56</v>
      </c>
      <c r="F3552" s="30">
        <v>46022</v>
      </c>
      <c r="G3552" t="s">
        <v>937</v>
      </c>
      <c r="H3552" t="s">
        <v>4478</v>
      </c>
      <c r="I3552">
        <v>2000</v>
      </c>
      <c r="J3552">
        <v>2152</v>
      </c>
      <c r="N3552">
        <v>2152</v>
      </c>
    </row>
    <row r="3553" spans="1:94" x14ac:dyDescent="0.3">
      <c r="A3553">
        <v>225</v>
      </c>
      <c r="B3553" t="s">
        <v>976</v>
      </c>
      <c r="C3553" t="s">
        <v>251</v>
      </c>
      <c r="D3553" t="s">
        <v>73</v>
      </c>
      <c r="E3553" t="s">
        <v>22</v>
      </c>
      <c r="F3553" s="30">
        <v>46022</v>
      </c>
      <c r="G3553" t="s">
        <v>1024</v>
      </c>
      <c r="H3553" t="s">
        <v>4468</v>
      </c>
      <c r="I3553">
        <v>1</v>
      </c>
      <c r="J3553">
        <v>0</v>
      </c>
      <c r="AT3553">
        <v>0</v>
      </c>
    </row>
    <row r="3554" spans="1:94" x14ac:dyDescent="0.3">
      <c r="A3554">
        <v>225</v>
      </c>
      <c r="B3554" t="s">
        <v>976</v>
      </c>
      <c r="C3554" t="s">
        <v>251</v>
      </c>
      <c r="D3554" t="s">
        <v>73</v>
      </c>
      <c r="E3554" t="s">
        <v>22</v>
      </c>
      <c r="F3554" s="30">
        <v>46022</v>
      </c>
      <c r="G3554" t="s">
        <v>1024</v>
      </c>
      <c r="H3554" t="s">
        <v>4470</v>
      </c>
      <c r="I3554">
        <v>1</v>
      </c>
      <c r="J3554">
        <v>0</v>
      </c>
      <c r="AT3554">
        <v>0</v>
      </c>
    </row>
    <row r="3555" spans="1:94" x14ac:dyDescent="0.3">
      <c r="A3555">
        <v>225</v>
      </c>
      <c r="B3555" t="s">
        <v>976</v>
      </c>
      <c r="C3555" t="s">
        <v>251</v>
      </c>
      <c r="D3555" t="s">
        <v>73</v>
      </c>
      <c r="E3555" t="s">
        <v>22</v>
      </c>
      <c r="F3555" s="30">
        <v>46022</v>
      </c>
      <c r="G3555" t="s">
        <v>1024</v>
      </c>
      <c r="H3555" t="s">
        <v>4477</v>
      </c>
      <c r="I3555">
        <v>1</v>
      </c>
      <c r="J3555">
        <v>0</v>
      </c>
      <c r="AT3555">
        <v>0</v>
      </c>
    </row>
    <row r="3556" spans="1:94" x14ac:dyDescent="0.3">
      <c r="A3556">
        <v>225</v>
      </c>
      <c r="B3556" t="s">
        <v>976</v>
      </c>
      <c r="C3556" t="s">
        <v>251</v>
      </c>
      <c r="D3556" t="s">
        <v>73</v>
      </c>
      <c r="E3556" t="s">
        <v>22</v>
      </c>
      <c r="F3556" s="30">
        <v>46022</v>
      </c>
      <c r="G3556" t="s">
        <v>1024</v>
      </c>
      <c r="H3556" t="s">
        <v>4469</v>
      </c>
      <c r="I3556">
        <v>1</v>
      </c>
      <c r="J3556">
        <v>0</v>
      </c>
      <c r="AT3556">
        <v>0</v>
      </c>
    </row>
    <row r="3557" spans="1:94" x14ac:dyDescent="0.3">
      <c r="A3557">
        <v>225</v>
      </c>
      <c r="B3557" t="s">
        <v>976</v>
      </c>
      <c r="C3557" t="s">
        <v>251</v>
      </c>
      <c r="D3557" t="s">
        <v>73</v>
      </c>
      <c r="E3557" t="s">
        <v>22</v>
      </c>
      <c r="F3557" s="30">
        <v>46022</v>
      </c>
      <c r="G3557" t="s">
        <v>1024</v>
      </c>
      <c r="H3557" t="s">
        <v>4478</v>
      </c>
      <c r="I3557">
        <v>1</v>
      </c>
      <c r="J3557">
        <v>0</v>
      </c>
      <c r="AT3557">
        <v>0</v>
      </c>
    </row>
    <row r="3558" spans="1:94" x14ac:dyDescent="0.3">
      <c r="A3558">
        <v>225</v>
      </c>
      <c r="B3558" t="s">
        <v>976</v>
      </c>
      <c r="C3558" t="s">
        <v>251</v>
      </c>
      <c r="D3558" t="s">
        <v>73</v>
      </c>
      <c r="E3558" t="s">
        <v>22</v>
      </c>
      <c r="F3558" s="30">
        <v>46022</v>
      </c>
      <c r="G3558" t="s">
        <v>1024</v>
      </c>
      <c r="H3558" t="s">
        <v>4476</v>
      </c>
      <c r="I3558">
        <v>1</v>
      </c>
      <c r="J3558">
        <v>0</v>
      </c>
      <c r="AT3558">
        <v>0</v>
      </c>
    </row>
    <row r="3559" spans="1:94" x14ac:dyDescent="0.3">
      <c r="A3559">
        <v>239</v>
      </c>
      <c r="B3559" t="s">
        <v>1095</v>
      </c>
      <c r="C3559" t="s">
        <v>1096</v>
      </c>
      <c r="D3559" t="s">
        <v>73</v>
      </c>
      <c r="E3559" t="s">
        <v>22</v>
      </c>
      <c r="F3559" s="30">
        <v>46022</v>
      </c>
      <c r="G3559" t="s">
        <v>1143</v>
      </c>
      <c r="H3559" t="s">
        <v>4479</v>
      </c>
      <c r="J3559">
        <v>2</v>
      </c>
      <c r="AU3559">
        <v>2</v>
      </c>
    </row>
    <row r="3560" spans="1:94" x14ac:dyDescent="0.3">
      <c r="A3560">
        <v>239</v>
      </c>
      <c r="B3560" t="s">
        <v>1095</v>
      </c>
      <c r="C3560" t="s">
        <v>1096</v>
      </c>
      <c r="D3560" t="s">
        <v>73</v>
      </c>
      <c r="E3560" t="s">
        <v>22</v>
      </c>
      <c r="F3560" s="30">
        <v>46022</v>
      </c>
      <c r="G3560" t="s">
        <v>1143</v>
      </c>
      <c r="H3560" t="s">
        <v>3622</v>
      </c>
      <c r="J3560">
        <v>12</v>
      </c>
      <c r="AU3560">
        <v>12</v>
      </c>
    </row>
    <row r="3561" spans="1:94" x14ac:dyDescent="0.3">
      <c r="A3561">
        <v>239</v>
      </c>
      <c r="B3561" t="s">
        <v>1095</v>
      </c>
      <c r="C3561" t="s">
        <v>1096</v>
      </c>
      <c r="D3561" t="s">
        <v>73</v>
      </c>
      <c r="E3561" t="s">
        <v>22</v>
      </c>
      <c r="F3561" s="30">
        <v>46022</v>
      </c>
      <c r="G3561" t="s">
        <v>1143</v>
      </c>
      <c r="H3561" t="s">
        <v>4480</v>
      </c>
      <c r="J3561">
        <v>4</v>
      </c>
      <c r="AU3561">
        <v>4</v>
      </c>
    </row>
    <row r="3562" spans="1:94" x14ac:dyDescent="0.3">
      <c r="A3562">
        <v>239</v>
      </c>
      <c r="B3562" t="s">
        <v>1095</v>
      </c>
      <c r="C3562" t="s">
        <v>1096</v>
      </c>
      <c r="D3562" t="s">
        <v>73</v>
      </c>
      <c r="E3562" t="s">
        <v>22</v>
      </c>
      <c r="F3562" s="30">
        <v>46022</v>
      </c>
      <c r="G3562" t="s">
        <v>1143</v>
      </c>
      <c r="H3562" t="s">
        <v>4651</v>
      </c>
      <c r="J3562">
        <v>3</v>
      </c>
      <c r="AU3562">
        <v>3</v>
      </c>
    </row>
    <row r="3563" spans="1:94" x14ac:dyDescent="0.3">
      <c r="A3563">
        <v>239</v>
      </c>
      <c r="B3563" t="s">
        <v>1095</v>
      </c>
      <c r="C3563" t="s">
        <v>1096</v>
      </c>
      <c r="D3563" t="s">
        <v>73</v>
      </c>
      <c r="E3563" t="s">
        <v>22</v>
      </c>
      <c r="F3563" s="30">
        <v>46022</v>
      </c>
      <c r="G3563" t="s">
        <v>1143</v>
      </c>
      <c r="H3563" t="s">
        <v>4481</v>
      </c>
      <c r="J3563">
        <v>23</v>
      </c>
      <c r="AU3563">
        <v>23</v>
      </c>
    </row>
    <row r="3564" spans="1:94" x14ac:dyDescent="0.3">
      <c r="A3564">
        <v>434</v>
      </c>
      <c r="B3564" t="s">
        <v>2267</v>
      </c>
      <c r="C3564" t="s">
        <v>251</v>
      </c>
      <c r="D3564" t="s">
        <v>73</v>
      </c>
      <c r="E3564" t="s">
        <v>56</v>
      </c>
      <c r="F3564" s="30">
        <v>46022</v>
      </c>
      <c r="G3564" t="s">
        <v>2303</v>
      </c>
      <c r="H3564" t="s">
        <v>4468</v>
      </c>
      <c r="I3564">
        <v>100</v>
      </c>
      <c r="J3564">
        <v>139.1499938964844</v>
      </c>
      <c r="AV3564">
        <v>139.15</v>
      </c>
    </row>
    <row r="3565" spans="1:94" x14ac:dyDescent="0.3">
      <c r="A3565">
        <v>434</v>
      </c>
      <c r="B3565" t="s">
        <v>2267</v>
      </c>
      <c r="C3565" t="s">
        <v>251</v>
      </c>
      <c r="D3565" t="s">
        <v>73</v>
      </c>
      <c r="E3565" t="s">
        <v>56</v>
      </c>
      <c r="F3565" s="30">
        <v>46022</v>
      </c>
      <c r="G3565" t="s">
        <v>2303</v>
      </c>
      <c r="H3565" t="s">
        <v>4470</v>
      </c>
      <c r="I3565">
        <v>25</v>
      </c>
      <c r="J3565">
        <v>0.47999998927116388</v>
      </c>
      <c r="AV3565">
        <v>0.48</v>
      </c>
    </row>
    <row r="3566" spans="1:94" x14ac:dyDescent="0.3">
      <c r="A3566">
        <v>434</v>
      </c>
      <c r="B3566" t="s">
        <v>2267</v>
      </c>
      <c r="C3566" t="s">
        <v>251</v>
      </c>
      <c r="D3566" t="s">
        <v>73</v>
      </c>
      <c r="E3566" t="s">
        <v>56</v>
      </c>
      <c r="F3566" s="30">
        <v>46022</v>
      </c>
      <c r="G3566" t="s">
        <v>2303</v>
      </c>
      <c r="H3566" t="s">
        <v>4469</v>
      </c>
      <c r="I3566">
        <v>25</v>
      </c>
      <c r="J3566">
        <v>10.39999961853027</v>
      </c>
      <c r="AV3566">
        <v>10.4</v>
      </c>
    </row>
    <row r="3567" spans="1:94" x14ac:dyDescent="0.3">
      <c r="A3567">
        <v>434</v>
      </c>
      <c r="B3567" t="s">
        <v>2267</v>
      </c>
      <c r="C3567" t="s">
        <v>251</v>
      </c>
      <c r="D3567" t="s">
        <v>73</v>
      </c>
      <c r="E3567" t="s">
        <v>56</v>
      </c>
      <c r="F3567" s="30">
        <v>46022</v>
      </c>
      <c r="G3567" t="s">
        <v>2303</v>
      </c>
      <c r="H3567" t="s">
        <v>4476</v>
      </c>
      <c r="I3567">
        <v>10</v>
      </c>
      <c r="J3567">
        <v>0.10000000149011611</v>
      </c>
      <c r="AV3567">
        <v>0.1</v>
      </c>
    </row>
    <row r="3568" spans="1:94" x14ac:dyDescent="0.3">
      <c r="A3568">
        <v>436</v>
      </c>
      <c r="B3568" t="s">
        <v>2311</v>
      </c>
      <c r="C3568" t="s">
        <v>258</v>
      </c>
      <c r="D3568" t="s">
        <v>73</v>
      </c>
      <c r="E3568" t="s">
        <v>56</v>
      </c>
      <c r="F3568" s="30">
        <v>46022</v>
      </c>
      <c r="G3568" t="s">
        <v>2347</v>
      </c>
      <c r="H3568" t="s">
        <v>4579</v>
      </c>
      <c r="I3568">
        <v>7</v>
      </c>
      <c r="J3568">
        <v>5.1700000762939453</v>
      </c>
      <c r="CP3568">
        <v>5.17</v>
      </c>
    </row>
    <row r="3569" spans="1:136" x14ac:dyDescent="0.3">
      <c r="A3569">
        <v>436</v>
      </c>
      <c r="B3569" t="s">
        <v>2311</v>
      </c>
      <c r="C3569" t="s">
        <v>258</v>
      </c>
      <c r="D3569" t="s">
        <v>73</v>
      </c>
      <c r="E3569" t="s">
        <v>56</v>
      </c>
      <c r="F3569" s="30">
        <v>46022</v>
      </c>
      <c r="G3569" t="s">
        <v>2347</v>
      </c>
      <c r="H3569" t="s">
        <v>4580</v>
      </c>
      <c r="I3569">
        <v>7</v>
      </c>
      <c r="J3569">
        <v>6.5999999046325684</v>
      </c>
      <c r="CP3569">
        <v>6.6</v>
      </c>
    </row>
    <row r="3570" spans="1:136" x14ac:dyDescent="0.3">
      <c r="A3570">
        <v>485</v>
      </c>
      <c r="B3570" t="s">
        <v>2525</v>
      </c>
      <c r="C3570" t="s">
        <v>258</v>
      </c>
      <c r="D3570" t="s">
        <v>73</v>
      </c>
      <c r="E3570" t="s">
        <v>22</v>
      </c>
      <c r="F3570" s="30">
        <v>46022</v>
      </c>
      <c r="G3570" t="s">
        <v>2548</v>
      </c>
      <c r="H3570" t="s">
        <v>4637</v>
      </c>
      <c r="I3570">
        <v>80</v>
      </c>
      <c r="J3570">
        <v>0</v>
      </c>
      <c r="EC3570">
        <v>0</v>
      </c>
      <c r="ED3570">
        <v>0</v>
      </c>
    </row>
    <row r="3571" spans="1:136" x14ac:dyDescent="0.3">
      <c r="A3571">
        <v>485</v>
      </c>
      <c r="B3571" t="s">
        <v>2525</v>
      </c>
      <c r="C3571" t="s">
        <v>258</v>
      </c>
      <c r="D3571" t="s">
        <v>73</v>
      </c>
      <c r="E3571" t="s">
        <v>22</v>
      </c>
      <c r="F3571" s="30">
        <v>46022</v>
      </c>
      <c r="G3571" t="s">
        <v>2548</v>
      </c>
      <c r="H3571" t="s">
        <v>4638</v>
      </c>
      <c r="I3571">
        <v>80</v>
      </c>
      <c r="J3571">
        <v>0</v>
      </c>
      <c r="EC3571">
        <v>0</v>
      </c>
      <c r="ED3571">
        <v>0</v>
      </c>
    </row>
    <row r="3572" spans="1:136" x14ac:dyDescent="0.3">
      <c r="A3572">
        <v>485</v>
      </c>
      <c r="B3572" t="s">
        <v>2525</v>
      </c>
      <c r="C3572" t="s">
        <v>258</v>
      </c>
      <c r="D3572" t="s">
        <v>73</v>
      </c>
      <c r="E3572" t="s">
        <v>22</v>
      </c>
      <c r="F3572" s="30">
        <v>46022</v>
      </c>
      <c r="G3572" t="s">
        <v>2548</v>
      </c>
      <c r="H3572" t="s">
        <v>4639</v>
      </c>
      <c r="I3572">
        <v>80</v>
      </c>
      <c r="J3572">
        <v>0</v>
      </c>
      <c r="EC3572">
        <v>0</v>
      </c>
      <c r="ED3572">
        <v>0</v>
      </c>
    </row>
    <row r="3573" spans="1:136" x14ac:dyDescent="0.3">
      <c r="A3573">
        <v>485</v>
      </c>
      <c r="B3573" t="s">
        <v>2525</v>
      </c>
      <c r="C3573" t="s">
        <v>258</v>
      </c>
      <c r="D3573" t="s">
        <v>73</v>
      </c>
      <c r="E3573" t="s">
        <v>22</v>
      </c>
      <c r="F3573" s="30">
        <v>46022</v>
      </c>
      <c r="G3573" t="s">
        <v>2548</v>
      </c>
      <c r="H3573" t="s">
        <v>4576</v>
      </c>
      <c r="I3573">
        <v>80</v>
      </c>
      <c r="J3573">
        <v>0</v>
      </c>
      <c r="EC3573">
        <v>0</v>
      </c>
      <c r="ED3573">
        <v>0</v>
      </c>
    </row>
    <row r="3574" spans="1:136" x14ac:dyDescent="0.3">
      <c r="A3574">
        <v>485</v>
      </c>
      <c r="B3574" t="s">
        <v>2525</v>
      </c>
      <c r="C3574" t="s">
        <v>258</v>
      </c>
      <c r="D3574" t="s">
        <v>73</v>
      </c>
      <c r="E3574" t="s">
        <v>22</v>
      </c>
      <c r="F3574" s="30">
        <v>46022</v>
      </c>
      <c r="G3574" t="s">
        <v>2548</v>
      </c>
      <c r="H3574" t="s">
        <v>154</v>
      </c>
      <c r="I3574">
        <v>80</v>
      </c>
      <c r="J3574">
        <v>0</v>
      </c>
      <c r="EC3574">
        <v>0</v>
      </c>
      <c r="ED3574">
        <v>0</v>
      </c>
    </row>
    <row r="3575" spans="1:136" x14ac:dyDescent="0.3">
      <c r="A3575">
        <v>485</v>
      </c>
      <c r="B3575" t="s">
        <v>2525</v>
      </c>
      <c r="C3575" t="s">
        <v>258</v>
      </c>
      <c r="D3575" t="s">
        <v>73</v>
      </c>
      <c r="E3575" t="s">
        <v>22</v>
      </c>
      <c r="F3575" s="30">
        <v>46022</v>
      </c>
      <c r="G3575" t="s">
        <v>2548</v>
      </c>
      <c r="H3575" t="s">
        <v>4640</v>
      </c>
      <c r="I3575">
        <v>80</v>
      </c>
      <c r="J3575">
        <v>0</v>
      </c>
      <c r="EC3575">
        <v>0</v>
      </c>
      <c r="ED3575">
        <v>0</v>
      </c>
    </row>
    <row r="3576" spans="1:136" x14ac:dyDescent="0.3">
      <c r="A3576">
        <v>485</v>
      </c>
      <c r="B3576" t="s">
        <v>2525</v>
      </c>
      <c r="C3576" t="s">
        <v>258</v>
      </c>
      <c r="D3576" t="s">
        <v>73</v>
      </c>
      <c r="E3576" t="s">
        <v>22</v>
      </c>
      <c r="F3576" s="30">
        <v>46022</v>
      </c>
      <c r="G3576" t="s">
        <v>2548</v>
      </c>
      <c r="H3576" t="s">
        <v>4641</v>
      </c>
      <c r="I3576">
        <v>80</v>
      </c>
      <c r="J3576">
        <v>0</v>
      </c>
      <c r="EC3576">
        <v>0</v>
      </c>
      <c r="ED3576">
        <v>0</v>
      </c>
    </row>
    <row r="3577" spans="1:136" x14ac:dyDescent="0.3">
      <c r="A3577">
        <v>485</v>
      </c>
      <c r="B3577" t="s">
        <v>2525</v>
      </c>
      <c r="C3577" t="s">
        <v>258</v>
      </c>
      <c r="D3577" t="s">
        <v>73</v>
      </c>
      <c r="E3577" t="s">
        <v>22</v>
      </c>
      <c r="F3577" s="30">
        <v>46022</v>
      </c>
      <c r="G3577" t="s">
        <v>2548</v>
      </c>
      <c r="H3577" t="s">
        <v>4538</v>
      </c>
      <c r="I3577">
        <v>80</v>
      </c>
      <c r="J3577">
        <v>0</v>
      </c>
      <c r="EC3577">
        <v>0</v>
      </c>
      <c r="ED3577">
        <v>0</v>
      </c>
    </row>
    <row r="3578" spans="1:136" x14ac:dyDescent="0.3">
      <c r="A3578">
        <v>485</v>
      </c>
      <c r="B3578" t="s">
        <v>2525</v>
      </c>
      <c r="C3578" t="s">
        <v>258</v>
      </c>
      <c r="D3578" t="s">
        <v>73</v>
      </c>
      <c r="E3578" t="s">
        <v>22</v>
      </c>
      <c r="F3578" s="30">
        <v>46022</v>
      </c>
      <c r="G3578" t="s">
        <v>2548</v>
      </c>
      <c r="H3578" t="s">
        <v>4642</v>
      </c>
      <c r="I3578">
        <v>80</v>
      </c>
      <c r="J3578">
        <v>0</v>
      </c>
      <c r="EC3578">
        <v>0</v>
      </c>
      <c r="ED3578">
        <v>0</v>
      </c>
    </row>
    <row r="3579" spans="1:136" x14ac:dyDescent="0.3">
      <c r="A3579">
        <v>488</v>
      </c>
      <c r="B3579" t="s">
        <v>2555</v>
      </c>
      <c r="C3579" t="s">
        <v>258</v>
      </c>
      <c r="D3579" t="s">
        <v>73</v>
      </c>
      <c r="E3579" t="s">
        <v>22</v>
      </c>
      <c r="F3579" s="30">
        <v>46022</v>
      </c>
      <c r="G3579" t="s">
        <v>2579</v>
      </c>
      <c r="H3579" t="s">
        <v>4637</v>
      </c>
      <c r="I3579">
        <v>85</v>
      </c>
      <c r="J3579">
        <v>20</v>
      </c>
      <c r="EE3579">
        <v>1</v>
      </c>
      <c r="EF3579">
        <v>5</v>
      </c>
    </row>
    <row r="3580" spans="1:136" x14ac:dyDescent="0.3">
      <c r="A3580">
        <v>488</v>
      </c>
      <c r="B3580" t="s">
        <v>2555</v>
      </c>
      <c r="C3580" t="s">
        <v>258</v>
      </c>
      <c r="D3580" t="s">
        <v>73</v>
      </c>
      <c r="E3580" t="s">
        <v>22</v>
      </c>
      <c r="F3580" s="30">
        <v>46022</v>
      </c>
      <c r="G3580" t="s">
        <v>2579</v>
      </c>
      <c r="H3580" t="s">
        <v>4638</v>
      </c>
      <c r="I3580">
        <v>85</v>
      </c>
      <c r="J3580">
        <v>82.760002136230469</v>
      </c>
      <c r="EE3580">
        <v>24</v>
      </c>
      <c r="EF3580">
        <v>29</v>
      </c>
    </row>
    <row r="3581" spans="1:136" x14ac:dyDescent="0.3">
      <c r="A3581">
        <v>488</v>
      </c>
      <c r="B3581" t="s">
        <v>2555</v>
      </c>
      <c r="C3581" t="s">
        <v>258</v>
      </c>
      <c r="D3581" t="s">
        <v>73</v>
      </c>
      <c r="E3581" t="s">
        <v>22</v>
      </c>
      <c r="F3581" s="30">
        <v>46022</v>
      </c>
      <c r="G3581" t="s">
        <v>2579</v>
      </c>
      <c r="H3581" t="s">
        <v>4639</v>
      </c>
      <c r="I3581">
        <v>85</v>
      </c>
      <c r="J3581">
        <v>40</v>
      </c>
      <c r="EE3581">
        <v>2</v>
      </c>
      <c r="EF3581">
        <v>5</v>
      </c>
    </row>
    <row r="3582" spans="1:136" x14ac:dyDescent="0.3">
      <c r="A3582">
        <v>488</v>
      </c>
      <c r="B3582" t="s">
        <v>2555</v>
      </c>
      <c r="C3582" t="s">
        <v>258</v>
      </c>
      <c r="D3582" t="s">
        <v>73</v>
      </c>
      <c r="E3582" t="s">
        <v>22</v>
      </c>
      <c r="F3582" s="30">
        <v>46022</v>
      </c>
      <c r="G3582" t="s">
        <v>2579</v>
      </c>
      <c r="H3582" t="s">
        <v>4576</v>
      </c>
      <c r="I3582">
        <v>85</v>
      </c>
      <c r="J3582">
        <v>93.330001831054688</v>
      </c>
      <c r="EE3582">
        <v>28</v>
      </c>
      <c r="EF3582">
        <v>30</v>
      </c>
    </row>
    <row r="3583" spans="1:136" x14ac:dyDescent="0.3">
      <c r="A3583">
        <v>488</v>
      </c>
      <c r="B3583" t="s">
        <v>2555</v>
      </c>
      <c r="C3583" t="s">
        <v>258</v>
      </c>
      <c r="D3583" t="s">
        <v>73</v>
      </c>
      <c r="E3583" t="s">
        <v>22</v>
      </c>
      <c r="F3583" s="30">
        <v>46022</v>
      </c>
      <c r="G3583" t="s">
        <v>2579</v>
      </c>
      <c r="H3583" t="s">
        <v>154</v>
      </c>
      <c r="I3583">
        <v>85</v>
      </c>
      <c r="J3583">
        <v>0</v>
      </c>
      <c r="EE3583">
        <v>0</v>
      </c>
      <c r="EF3583">
        <v>0</v>
      </c>
    </row>
    <row r="3584" spans="1:136" x14ac:dyDescent="0.3">
      <c r="A3584">
        <v>488</v>
      </c>
      <c r="B3584" t="s">
        <v>2555</v>
      </c>
      <c r="C3584" t="s">
        <v>258</v>
      </c>
      <c r="D3584" t="s">
        <v>73</v>
      </c>
      <c r="E3584" t="s">
        <v>22</v>
      </c>
      <c r="F3584" s="30">
        <v>46022</v>
      </c>
      <c r="G3584" t="s">
        <v>2579</v>
      </c>
      <c r="H3584" t="s">
        <v>4640</v>
      </c>
      <c r="I3584">
        <v>85</v>
      </c>
      <c r="J3584">
        <v>0</v>
      </c>
      <c r="EE3584">
        <v>0</v>
      </c>
      <c r="EF3584">
        <v>0</v>
      </c>
    </row>
    <row r="3585" spans="1:141" x14ac:dyDescent="0.3">
      <c r="A3585">
        <v>488</v>
      </c>
      <c r="B3585" t="s">
        <v>2555</v>
      </c>
      <c r="C3585" t="s">
        <v>258</v>
      </c>
      <c r="D3585" t="s">
        <v>73</v>
      </c>
      <c r="E3585" t="s">
        <v>22</v>
      </c>
      <c r="F3585" s="30">
        <v>46022</v>
      </c>
      <c r="G3585" t="s">
        <v>2579</v>
      </c>
      <c r="H3585" t="s">
        <v>4538</v>
      </c>
      <c r="I3585">
        <v>85</v>
      </c>
      <c r="J3585">
        <v>0</v>
      </c>
      <c r="EE3585">
        <v>0</v>
      </c>
      <c r="EF3585">
        <v>0</v>
      </c>
    </row>
    <row r="3586" spans="1:141" x14ac:dyDescent="0.3">
      <c r="A3586">
        <v>488</v>
      </c>
      <c r="B3586" t="s">
        <v>2555</v>
      </c>
      <c r="C3586" t="s">
        <v>258</v>
      </c>
      <c r="D3586" t="s">
        <v>73</v>
      </c>
      <c r="E3586" t="s">
        <v>22</v>
      </c>
      <c r="F3586" s="30">
        <v>46022</v>
      </c>
      <c r="G3586" t="s">
        <v>2579</v>
      </c>
      <c r="H3586" t="s">
        <v>4642</v>
      </c>
      <c r="I3586">
        <v>85</v>
      </c>
      <c r="J3586">
        <v>0</v>
      </c>
      <c r="EE3586">
        <v>0</v>
      </c>
      <c r="EF3586">
        <v>0</v>
      </c>
    </row>
    <row r="3587" spans="1:141" x14ac:dyDescent="0.3">
      <c r="A3587">
        <v>488</v>
      </c>
      <c r="B3587" t="s">
        <v>2555</v>
      </c>
      <c r="C3587" t="s">
        <v>258</v>
      </c>
      <c r="D3587" t="s">
        <v>73</v>
      </c>
      <c r="E3587" t="s">
        <v>22</v>
      </c>
      <c r="F3587" s="30">
        <v>46022</v>
      </c>
      <c r="G3587" t="s">
        <v>2579</v>
      </c>
      <c r="H3587" t="s">
        <v>4641</v>
      </c>
      <c r="I3587">
        <v>85</v>
      </c>
      <c r="J3587">
        <v>64.709999084472656</v>
      </c>
      <c r="EE3587">
        <v>11</v>
      </c>
      <c r="EF3587">
        <v>17</v>
      </c>
    </row>
    <row r="3588" spans="1:141" x14ac:dyDescent="0.3">
      <c r="A3588">
        <v>509</v>
      </c>
      <c r="B3588" t="s">
        <v>2622</v>
      </c>
      <c r="C3588" t="s">
        <v>1096</v>
      </c>
      <c r="D3588" t="s">
        <v>73</v>
      </c>
      <c r="E3588" t="s">
        <v>22</v>
      </c>
      <c r="F3588" s="30">
        <v>46022</v>
      </c>
      <c r="G3588" t="s">
        <v>2633</v>
      </c>
      <c r="H3588" t="s">
        <v>3449</v>
      </c>
      <c r="I3588">
        <v>90</v>
      </c>
      <c r="J3588">
        <v>100</v>
      </c>
      <c r="EJ3588">
        <v>95</v>
      </c>
      <c r="EK3588">
        <v>95</v>
      </c>
    </row>
    <row r="3589" spans="1:141" x14ac:dyDescent="0.3">
      <c r="A3589">
        <v>509</v>
      </c>
      <c r="B3589" t="s">
        <v>2622</v>
      </c>
      <c r="C3589" t="s">
        <v>1096</v>
      </c>
      <c r="D3589" t="s">
        <v>73</v>
      </c>
      <c r="E3589" t="s">
        <v>22</v>
      </c>
      <c r="F3589" s="30">
        <v>46022</v>
      </c>
      <c r="G3589" t="s">
        <v>2633</v>
      </c>
      <c r="H3589" t="s">
        <v>3457</v>
      </c>
      <c r="I3589">
        <v>90</v>
      </c>
      <c r="J3589">
        <v>94.680000305175781</v>
      </c>
      <c r="EJ3589">
        <v>94</v>
      </c>
      <c r="EK3589">
        <v>89</v>
      </c>
    </row>
    <row r="3590" spans="1:141" x14ac:dyDescent="0.3">
      <c r="A3590">
        <v>509</v>
      </c>
      <c r="B3590" t="s">
        <v>2622</v>
      </c>
      <c r="C3590" t="s">
        <v>1096</v>
      </c>
      <c r="D3590" t="s">
        <v>73</v>
      </c>
      <c r="E3590" t="s">
        <v>22</v>
      </c>
      <c r="F3590" s="30">
        <v>46022</v>
      </c>
      <c r="G3590" t="s">
        <v>2633</v>
      </c>
      <c r="H3590" t="s">
        <v>3572</v>
      </c>
      <c r="I3590">
        <v>90</v>
      </c>
      <c r="J3590">
        <v>99</v>
      </c>
      <c r="EJ3590">
        <v>100</v>
      </c>
      <c r="EK3590">
        <v>99</v>
      </c>
    </row>
    <row r="3591" spans="1:141" x14ac:dyDescent="0.3">
      <c r="A3591">
        <v>509</v>
      </c>
      <c r="B3591" t="s">
        <v>2622</v>
      </c>
      <c r="C3591" t="s">
        <v>1096</v>
      </c>
      <c r="D3591" t="s">
        <v>73</v>
      </c>
      <c r="E3591" t="s">
        <v>22</v>
      </c>
      <c r="F3591" s="30">
        <v>46022</v>
      </c>
      <c r="G3591" t="s">
        <v>2633</v>
      </c>
      <c r="H3591" t="s">
        <v>3451</v>
      </c>
      <c r="I3591">
        <v>90</v>
      </c>
      <c r="J3591">
        <v>98.699996948242188</v>
      </c>
      <c r="EJ3591">
        <v>77</v>
      </c>
      <c r="EK3591">
        <v>76</v>
      </c>
    </row>
    <row r="3592" spans="1:141" x14ac:dyDescent="0.3">
      <c r="A3592">
        <v>509</v>
      </c>
      <c r="B3592" t="s">
        <v>2622</v>
      </c>
      <c r="C3592" t="s">
        <v>1096</v>
      </c>
      <c r="D3592" t="s">
        <v>73</v>
      </c>
      <c r="E3592" t="s">
        <v>22</v>
      </c>
      <c r="F3592" s="30">
        <v>46022</v>
      </c>
      <c r="G3592" t="s">
        <v>2633</v>
      </c>
      <c r="H3592" t="s">
        <v>3453</v>
      </c>
      <c r="I3592">
        <v>90</v>
      </c>
      <c r="J3592">
        <v>98.900001525878906</v>
      </c>
      <c r="EJ3592">
        <v>91</v>
      </c>
      <c r="EK3592">
        <v>90</v>
      </c>
    </row>
    <row r="3593" spans="1:141" x14ac:dyDescent="0.3">
      <c r="A3593">
        <v>509</v>
      </c>
      <c r="B3593" t="s">
        <v>2622</v>
      </c>
      <c r="C3593" t="s">
        <v>1096</v>
      </c>
      <c r="D3593" t="s">
        <v>73</v>
      </c>
      <c r="E3593" t="s">
        <v>22</v>
      </c>
      <c r="F3593" s="30">
        <v>46022</v>
      </c>
      <c r="G3593" t="s">
        <v>2633</v>
      </c>
      <c r="H3593" t="s">
        <v>3461</v>
      </c>
      <c r="I3593">
        <v>90</v>
      </c>
      <c r="J3593">
        <v>100</v>
      </c>
      <c r="EJ3593">
        <v>8</v>
      </c>
      <c r="EK3593">
        <v>8</v>
      </c>
    </row>
    <row r="3594" spans="1:141" x14ac:dyDescent="0.3">
      <c r="A3594">
        <v>509</v>
      </c>
      <c r="B3594" t="s">
        <v>2622</v>
      </c>
      <c r="C3594" t="s">
        <v>1096</v>
      </c>
      <c r="D3594" t="s">
        <v>73</v>
      </c>
      <c r="E3594" t="s">
        <v>22</v>
      </c>
      <c r="F3594" s="30">
        <v>46022</v>
      </c>
      <c r="G3594" t="s">
        <v>2633</v>
      </c>
      <c r="H3594" t="s">
        <v>3463</v>
      </c>
      <c r="I3594">
        <v>90</v>
      </c>
      <c r="J3594">
        <v>95</v>
      </c>
      <c r="EJ3594">
        <v>60</v>
      </c>
      <c r="EK3594">
        <v>57</v>
      </c>
    </row>
    <row r="3595" spans="1:141" x14ac:dyDescent="0.3">
      <c r="A3595">
        <v>509</v>
      </c>
      <c r="B3595" t="s">
        <v>2622</v>
      </c>
      <c r="C3595" t="s">
        <v>1096</v>
      </c>
      <c r="D3595" t="s">
        <v>73</v>
      </c>
      <c r="E3595" t="s">
        <v>22</v>
      </c>
      <c r="F3595" s="30">
        <v>46022</v>
      </c>
      <c r="G3595" t="s">
        <v>2633</v>
      </c>
      <c r="H3595" t="s">
        <v>3470</v>
      </c>
      <c r="I3595">
        <v>90</v>
      </c>
      <c r="J3595">
        <v>98.980003356933594</v>
      </c>
      <c r="EJ3595">
        <v>98</v>
      </c>
      <c r="EK3595">
        <v>97</v>
      </c>
    </row>
    <row r="3596" spans="1:141" x14ac:dyDescent="0.3">
      <c r="A3596">
        <v>509</v>
      </c>
      <c r="B3596" t="s">
        <v>2622</v>
      </c>
      <c r="C3596" t="s">
        <v>1096</v>
      </c>
      <c r="D3596" t="s">
        <v>73</v>
      </c>
      <c r="E3596" t="s">
        <v>22</v>
      </c>
      <c r="F3596" s="30">
        <v>46022</v>
      </c>
      <c r="G3596" t="s">
        <v>2633</v>
      </c>
      <c r="H3596" t="s">
        <v>3465</v>
      </c>
      <c r="I3596">
        <v>90</v>
      </c>
      <c r="J3596">
        <v>96.910003662109375</v>
      </c>
      <c r="EJ3596">
        <v>97</v>
      </c>
      <c r="EK3596">
        <v>94</v>
      </c>
    </row>
    <row r="3597" spans="1:141" x14ac:dyDescent="0.3">
      <c r="A3597">
        <v>509</v>
      </c>
      <c r="B3597" t="s">
        <v>2622</v>
      </c>
      <c r="C3597" t="s">
        <v>1096</v>
      </c>
      <c r="D3597" t="s">
        <v>73</v>
      </c>
      <c r="E3597" t="s">
        <v>22</v>
      </c>
      <c r="F3597" s="30">
        <v>46022</v>
      </c>
      <c r="G3597" t="s">
        <v>2633</v>
      </c>
      <c r="H3597" t="s">
        <v>3467</v>
      </c>
      <c r="I3597">
        <v>90</v>
      </c>
      <c r="J3597">
        <v>96.669998168945313</v>
      </c>
      <c r="EJ3597">
        <v>90</v>
      </c>
      <c r="EK3597">
        <v>87</v>
      </c>
    </row>
    <row r="3598" spans="1:141" x14ac:dyDescent="0.3">
      <c r="A3598">
        <v>509</v>
      </c>
      <c r="B3598" t="s">
        <v>2622</v>
      </c>
      <c r="C3598" t="s">
        <v>1096</v>
      </c>
      <c r="D3598" t="s">
        <v>73</v>
      </c>
      <c r="E3598" t="s">
        <v>22</v>
      </c>
      <c r="F3598" s="30">
        <v>46022</v>
      </c>
      <c r="G3598" t="s">
        <v>2633</v>
      </c>
      <c r="H3598" t="s">
        <v>3472</v>
      </c>
      <c r="I3598">
        <v>90</v>
      </c>
      <c r="J3598">
        <v>94.739997863769531</v>
      </c>
      <c r="EJ3598">
        <v>95</v>
      </c>
      <c r="EK3598">
        <v>90</v>
      </c>
    </row>
    <row r="3599" spans="1:141" x14ac:dyDescent="0.3">
      <c r="A3599">
        <v>509</v>
      </c>
      <c r="B3599" t="s">
        <v>2622</v>
      </c>
      <c r="C3599" t="s">
        <v>1096</v>
      </c>
      <c r="D3599" t="s">
        <v>73</v>
      </c>
      <c r="E3599" t="s">
        <v>22</v>
      </c>
      <c r="F3599" s="30">
        <v>46022</v>
      </c>
      <c r="G3599" t="s">
        <v>2633</v>
      </c>
      <c r="H3599" t="s">
        <v>4647</v>
      </c>
      <c r="I3599">
        <v>90</v>
      </c>
      <c r="J3599">
        <v>0</v>
      </c>
      <c r="EJ3599">
        <v>0</v>
      </c>
      <c r="EK3599">
        <v>0</v>
      </c>
    </row>
    <row r="3600" spans="1:141" x14ac:dyDescent="0.3">
      <c r="A3600">
        <v>509</v>
      </c>
      <c r="B3600" t="s">
        <v>2622</v>
      </c>
      <c r="C3600" t="s">
        <v>1096</v>
      </c>
      <c r="D3600" t="s">
        <v>73</v>
      </c>
      <c r="E3600" t="s">
        <v>22</v>
      </c>
      <c r="F3600" s="30">
        <v>46022</v>
      </c>
      <c r="G3600" t="s">
        <v>2633</v>
      </c>
      <c r="H3600" t="s">
        <v>4648</v>
      </c>
      <c r="I3600">
        <v>90</v>
      </c>
      <c r="J3600">
        <v>0</v>
      </c>
      <c r="EJ3600">
        <v>0</v>
      </c>
      <c r="EK3600">
        <v>0</v>
      </c>
    </row>
    <row r="3601" spans="1:141" x14ac:dyDescent="0.3">
      <c r="A3601">
        <v>509</v>
      </c>
      <c r="B3601" t="s">
        <v>2622</v>
      </c>
      <c r="C3601" t="s">
        <v>1096</v>
      </c>
      <c r="D3601" t="s">
        <v>73</v>
      </c>
      <c r="E3601" t="s">
        <v>22</v>
      </c>
      <c r="F3601" s="30">
        <v>46022</v>
      </c>
      <c r="G3601" t="s">
        <v>2633</v>
      </c>
      <c r="H3601" t="s">
        <v>4649</v>
      </c>
      <c r="I3601">
        <v>90</v>
      </c>
      <c r="J3601">
        <v>0</v>
      </c>
      <c r="EJ3601">
        <v>0</v>
      </c>
      <c r="EK3601">
        <v>0</v>
      </c>
    </row>
    <row r="3602" spans="1:141" x14ac:dyDescent="0.3">
      <c r="A3602">
        <v>509</v>
      </c>
      <c r="B3602" t="s">
        <v>2622</v>
      </c>
      <c r="C3602" t="s">
        <v>1096</v>
      </c>
      <c r="D3602" t="s">
        <v>73</v>
      </c>
      <c r="E3602" t="s">
        <v>22</v>
      </c>
      <c r="F3602" s="30">
        <v>46022</v>
      </c>
      <c r="G3602" t="s">
        <v>2633</v>
      </c>
      <c r="H3602" t="s">
        <v>4650</v>
      </c>
      <c r="I3602">
        <v>90</v>
      </c>
      <c r="J3602">
        <v>0</v>
      </c>
      <c r="EJ3602">
        <v>0</v>
      </c>
      <c r="EK3602">
        <v>0</v>
      </c>
    </row>
    <row r="3603" spans="1:141" x14ac:dyDescent="0.3">
      <c r="A3603">
        <v>509</v>
      </c>
      <c r="B3603" t="s">
        <v>2622</v>
      </c>
      <c r="C3603" t="s">
        <v>1096</v>
      </c>
      <c r="D3603" t="s">
        <v>73</v>
      </c>
      <c r="E3603" t="s">
        <v>22</v>
      </c>
      <c r="F3603" s="30">
        <v>46022</v>
      </c>
      <c r="G3603" t="s">
        <v>2633</v>
      </c>
      <c r="H3603" t="s">
        <v>3455</v>
      </c>
      <c r="I3603">
        <v>90</v>
      </c>
      <c r="J3603">
        <v>93.330001831054688</v>
      </c>
      <c r="EJ3603">
        <v>75</v>
      </c>
      <c r="EK3603">
        <v>70</v>
      </c>
    </row>
    <row r="3604" spans="1:141" x14ac:dyDescent="0.3">
      <c r="A3604">
        <v>509</v>
      </c>
      <c r="B3604" t="s">
        <v>2622</v>
      </c>
      <c r="C3604" t="s">
        <v>1096</v>
      </c>
      <c r="D3604" t="s">
        <v>73</v>
      </c>
      <c r="E3604" t="s">
        <v>22</v>
      </c>
      <c r="F3604" s="30">
        <v>46022</v>
      </c>
      <c r="G3604" t="s">
        <v>2633</v>
      </c>
      <c r="H3604" t="s">
        <v>3476</v>
      </c>
      <c r="I3604">
        <v>90</v>
      </c>
      <c r="J3604">
        <v>0</v>
      </c>
      <c r="EJ3604">
        <v>0</v>
      </c>
      <c r="EK3604">
        <v>0</v>
      </c>
    </row>
    <row r="3605" spans="1:141" x14ac:dyDescent="0.3">
      <c r="A3605">
        <v>509</v>
      </c>
      <c r="B3605" t="s">
        <v>2622</v>
      </c>
      <c r="C3605" t="s">
        <v>1096</v>
      </c>
      <c r="D3605" t="s">
        <v>73</v>
      </c>
      <c r="E3605" t="s">
        <v>22</v>
      </c>
      <c r="F3605" s="30">
        <v>46022</v>
      </c>
      <c r="G3605" t="s">
        <v>2633</v>
      </c>
      <c r="H3605" t="s">
        <v>3459</v>
      </c>
      <c r="I3605">
        <v>90</v>
      </c>
      <c r="J3605">
        <v>100</v>
      </c>
      <c r="EJ3605">
        <v>67</v>
      </c>
      <c r="EK3605">
        <v>67</v>
      </c>
    </row>
    <row r="3606" spans="1:141" x14ac:dyDescent="0.3">
      <c r="A3606">
        <v>203</v>
      </c>
      <c r="B3606" t="s">
        <v>676</v>
      </c>
      <c r="C3606" t="s">
        <v>210</v>
      </c>
      <c r="D3606" t="s">
        <v>39</v>
      </c>
      <c r="E3606" t="s">
        <v>22</v>
      </c>
      <c r="F3606" s="30">
        <v>46022</v>
      </c>
      <c r="G3606" t="s">
        <v>684</v>
      </c>
      <c r="H3606" t="s">
        <v>4494</v>
      </c>
      <c r="I3606">
        <v>95</v>
      </c>
      <c r="J3606">
        <v>111.2799987792969</v>
      </c>
      <c r="BA3606">
        <v>279503836869</v>
      </c>
      <c r="BB3606">
        <v>311038928809</v>
      </c>
    </row>
    <row r="3607" spans="1:141" x14ac:dyDescent="0.3">
      <c r="A3607">
        <v>203</v>
      </c>
      <c r="B3607" t="s">
        <v>676</v>
      </c>
      <c r="C3607" t="s">
        <v>210</v>
      </c>
      <c r="D3607" t="s">
        <v>39</v>
      </c>
      <c r="E3607" t="s">
        <v>22</v>
      </c>
      <c r="F3607" s="30">
        <v>46022</v>
      </c>
      <c r="G3607" t="s">
        <v>684</v>
      </c>
      <c r="H3607" t="s">
        <v>4496</v>
      </c>
      <c r="I3607">
        <v>95</v>
      </c>
      <c r="J3607">
        <v>117.0800018310547</v>
      </c>
      <c r="BA3607">
        <v>12742618008</v>
      </c>
      <c r="BB3607">
        <v>14919272182</v>
      </c>
    </row>
    <row r="3608" spans="1:141" x14ac:dyDescent="0.3">
      <c r="A3608">
        <v>203</v>
      </c>
      <c r="B3608" t="s">
        <v>676</v>
      </c>
      <c r="C3608" t="s">
        <v>210</v>
      </c>
      <c r="D3608" t="s">
        <v>39</v>
      </c>
      <c r="E3608" t="s">
        <v>22</v>
      </c>
      <c r="F3608" s="30">
        <v>46022</v>
      </c>
      <c r="G3608" t="s">
        <v>684</v>
      </c>
      <c r="H3608" t="s">
        <v>4495</v>
      </c>
      <c r="I3608">
        <v>95</v>
      </c>
      <c r="J3608">
        <v>107.8300018310547</v>
      </c>
      <c r="BA3608">
        <v>17058242411</v>
      </c>
      <c r="BB3608">
        <v>18394058771</v>
      </c>
    </row>
    <row r="3609" spans="1:141" x14ac:dyDescent="0.3">
      <c r="A3609">
        <v>215</v>
      </c>
      <c r="B3609" t="s">
        <v>824</v>
      </c>
      <c r="C3609" t="s">
        <v>251</v>
      </c>
      <c r="D3609" t="s">
        <v>39</v>
      </c>
      <c r="E3609" t="s">
        <v>22</v>
      </c>
      <c r="F3609" s="30">
        <v>46022</v>
      </c>
      <c r="G3609" t="s">
        <v>834</v>
      </c>
      <c r="H3609" t="s">
        <v>4468</v>
      </c>
      <c r="I3609">
        <v>1</v>
      </c>
      <c r="J3609">
        <v>39.419998168945313</v>
      </c>
      <c r="AC3609">
        <v>1.04</v>
      </c>
      <c r="AD3609">
        <v>0.63</v>
      </c>
    </row>
    <row r="3610" spans="1:141" x14ac:dyDescent="0.3">
      <c r="A3610">
        <v>215</v>
      </c>
      <c r="B3610" t="s">
        <v>824</v>
      </c>
      <c r="C3610" t="s">
        <v>251</v>
      </c>
      <c r="D3610" t="s">
        <v>39</v>
      </c>
      <c r="E3610" t="s">
        <v>22</v>
      </c>
      <c r="F3610" s="30">
        <v>46022</v>
      </c>
      <c r="G3610" t="s">
        <v>834</v>
      </c>
      <c r="H3610" t="s">
        <v>4470</v>
      </c>
      <c r="I3610">
        <v>1</v>
      </c>
      <c r="J3610">
        <v>-37.139999389648438</v>
      </c>
      <c r="AC3610">
        <v>0.35</v>
      </c>
      <c r="AD3610">
        <v>0.48</v>
      </c>
    </row>
    <row r="3611" spans="1:141" x14ac:dyDescent="0.3">
      <c r="A3611">
        <v>215</v>
      </c>
      <c r="B3611" t="s">
        <v>824</v>
      </c>
      <c r="C3611" t="s">
        <v>251</v>
      </c>
      <c r="D3611" t="s">
        <v>39</v>
      </c>
      <c r="E3611" t="s">
        <v>22</v>
      </c>
      <c r="F3611" s="30">
        <v>46022</v>
      </c>
      <c r="G3611" t="s">
        <v>834</v>
      </c>
      <c r="H3611" t="s">
        <v>4477</v>
      </c>
      <c r="I3611">
        <v>1</v>
      </c>
      <c r="J3611">
        <v>-39.020000457763672</v>
      </c>
      <c r="AC3611">
        <v>0.82</v>
      </c>
      <c r="AD3611">
        <v>1.1399999999999999</v>
      </c>
    </row>
    <row r="3612" spans="1:141" x14ac:dyDescent="0.3">
      <c r="A3612">
        <v>215</v>
      </c>
      <c r="B3612" t="s">
        <v>824</v>
      </c>
      <c r="C3612" t="s">
        <v>251</v>
      </c>
      <c r="D3612" t="s">
        <v>39</v>
      </c>
      <c r="E3612" t="s">
        <v>22</v>
      </c>
      <c r="F3612" s="30">
        <v>46022</v>
      </c>
      <c r="G3612" t="s">
        <v>834</v>
      </c>
      <c r="H3612" t="s">
        <v>4476</v>
      </c>
      <c r="I3612">
        <v>1</v>
      </c>
      <c r="J3612">
        <v>-733.33001708984375</v>
      </c>
      <c r="AC3612">
        <v>0.03</v>
      </c>
      <c r="AD3612">
        <v>0.25</v>
      </c>
    </row>
    <row r="3613" spans="1:141" x14ac:dyDescent="0.3">
      <c r="A3613">
        <v>215</v>
      </c>
      <c r="B3613" t="s">
        <v>824</v>
      </c>
      <c r="C3613" t="s">
        <v>251</v>
      </c>
      <c r="D3613" t="s">
        <v>39</v>
      </c>
      <c r="E3613" t="s">
        <v>22</v>
      </c>
      <c r="F3613" s="30">
        <v>46022</v>
      </c>
      <c r="G3613" t="s">
        <v>834</v>
      </c>
      <c r="H3613" t="s">
        <v>4478</v>
      </c>
      <c r="I3613">
        <v>1</v>
      </c>
      <c r="J3613">
        <v>-1.2699999809265139</v>
      </c>
      <c r="AC3613">
        <v>3.16</v>
      </c>
      <c r="AD3613">
        <v>3.2</v>
      </c>
    </row>
    <row r="3614" spans="1:141" x14ac:dyDescent="0.3">
      <c r="A3614">
        <v>215</v>
      </c>
      <c r="B3614" t="s">
        <v>824</v>
      </c>
      <c r="C3614" t="s">
        <v>251</v>
      </c>
      <c r="D3614" t="s">
        <v>39</v>
      </c>
      <c r="E3614" t="s">
        <v>22</v>
      </c>
      <c r="F3614" s="30">
        <v>46022</v>
      </c>
      <c r="G3614" t="s">
        <v>834</v>
      </c>
      <c r="H3614" t="s">
        <v>4469</v>
      </c>
      <c r="I3614">
        <v>0</v>
      </c>
      <c r="J3614">
        <v>-20</v>
      </c>
      <c r="AC3614">
        <v>0.35</v>
      </c>
      <c r="AD3614">
        <v>0.42</v>
      </c>
    </row>
    <row r="3615" spans="1:141" x14ac:dyDescent="0.3">
      <c r="A3615">
        <v>219</v>
      </c>
      <c r="B3615" t="s">
        <v>938</v>
      </c>
      <c r="C3615" t="s">
        <v>251</v>
      </c>
      <c r="D3615" t="s">
        <v>39</v>
      </c>
      <c r="E3615" t="s">
        <v>22</v>
      </c>
      <c r="F3615" s="30">
        <v>46022</v>
      </c>
      <c r="G3615" t="s">
        <v>946</v>
      </c>
      <c r="H3615" t="s">
        <v>4468</v>
      </c>
      <c r="I3615">
        <v>1</v>
      </c>
      <c r="J3615">
        <v>-1.919999957084656</v>
      </c>
      <c r="O3615">
        <v>2326</v>
      </c>
      <c r="P3615">
        <v>2279</v>
      </c>
      <c r="Q3615">
        <v>14235</v>
      </c>
      <c r="R3615">
        <v>0</v>
      </c>
      <c r="S3615">
        <v>2338</v>
      </c>
      <c r="T3615">
        <v>2240</v>
      </c>
      <c r="U3615">
        <v>14736</v>
      </c>
      <c r="V3615">
        <v>0</v>
      </c>
      <c r="W3615">
        <v>389075.4</v>
      </c>
      <c r="X3615">
        <v>391333.21</v>
      </c>
    </row>
    <row r="3616" spans="1:141" x14ac:dyDescent="0.3">
      <c r="A3616">
        <v>219</v>
      </c>
      <c r="B3616" t="s">
        <v>938</v>
      </c>
      <c r="C3616" t="s">
        <v>251</v>
      </c>
      <c r="D3616" t="s">
        <v>39</v>
      </c>
      <c r="E3616" t="s">
        <v>22</v>
      </c>
      <c r="F3616" s="30">
        <v>46022</v>
      </c>
      <c r="G3616" t="s">
        <v>946</v>
      </c>
      <c r="H3616" t="s">
        <v>4470</v>
      </c>
      <c r="I3616">
        <v>1</v>
      </c>
      <c r="J3616">
        <v>-21.930000305175781</v>
      </c>
      <c r="O3616">
        <v>467</v>
      </c>
      <c r="P3616">
        <v>18</v>
      </c>
      <c r="Q3616">
        <v>8892</v>
      </c>
      <c r="R3616">
        <v>3010</v>
      </c>
      <c r="S3616">
        <v>483</v>
      </c>
      <c r="T3616">
        <v>23</v>
      </c>
      <c r="U3616">
        <v>11976</v>
      </c>
      <c r="V3616">
        <v>3010</v>
      </c>
      <c r="W3616">
        <v>265619</v>
      </c>
      <c r="X3616">
        <v>272460</v>
      </c>
    </row>
    <row r="3617" spans="1:137" x14ac:dyDescent="0.3">
      <c r="A3617">
        <v>219</v>
      </c>
      <c r="B3617" t="s">
        <v>938</v>
      </c>
      <c r="C3617" t="s">
        <v>251</v>
      </c>
      <c r="D3617" t="s">
        <v>39</v>
      </c>
      <c r="E3617" t="s">
        <v>22</v>
      </c>
      <c r="F3617" s="30">
        <v>46022</v>
      </c>
      <c r="G3617" t="s">
        <v>946</v>
      </c>
      <c r="H3617" t="s">
        <v>4469</v>
      </c>
      <c r="I3617">
        <v>1</v>
      </c>
      <c r="J3617">
        <v>-18.629999160766602</v>
      </c>
      <c r="O3617">
        <v>355</v>
      </c>
      <c r="P3617">
        <v>853</v>
      </c>
      <c r="Q3617">
        <v>10724</v>
      </c>
      <c r="R3617">
        <v>144</v>
      </c>
      <c r="S3617">
        <v>387</v>
      </c>
      <c r="T3617">
        <v>810</v>
      </c>
      <c r="U3617">
        <v>13541</v>
      </c>
      <c r="V3617">
        <v>144</v>
      </c>
      <c r="W3617">
        <v>104194</v>
      </c>
      <c r="X3617">
        <v>108240</v>
      </c>
    </row>
    <row r="3618" spans="1:137" x14ac:dyDescent="0.3">
      <c r="A3618">
        <v>219</v>
      </c>
      <c r="B3618" t="s">
        <v>938</v>
      </c>
      <c r="C3618" t="s">
        <v>251</v>
      </c>
      <c r="D3618" t="s">
        <v>39</v>
      </c>
      <c r="E3618" t="s">
        <v>22</v>
      </c>
      <c r="F3618" s="30">
        <v>46022</v>
      </c>
      <c r="G3618" t="s">
        <v>946</v>
      </c>
      <c r="H3618" t="s">
        <v>4476</v>
      </c>
      <c r="I3618">
        <v>1</v>
      </c>
      <c r="J3618">
        <v>-4403.85009765625</v>
      </c>
      <c r="O3618">
        <v>36</v>
      </c>
      <c r="P3618">
        <v>30</v>
      </c>
      <c r="Q3618">
        <v>3402</v>
      </c>
      <c r="R3618">
        <v>0</v>
      </c>
      <c r="S3618">
        <v>24</v>
      </c>
      <c r="T3618">
        <v>24</v>
      </c>
      <c r="U3618">
        <v>3553</v>
      </c>
      <c r="V3618">
        <v>0</v>
      </c>
      <c r="W3618">
        <v>41640</v>
      </c>
      <c r="X3618">
        <v>960</v>
      </c>
    </row>
    <row r="3619" spans="1:137" x14ac:dyDescent="0.3">
      <c r="A3619">
        <v>219</v>
      </c>
      <c r="B3619" t="s">
        <v>938</v>
      </c>
      <c r="C3619" t="s">
        <v>251</v>
      </c>
      <c r="D3619" t="s">
        <v>39</v>
      </c>
      <c r="E3619" t="s">
        <v>22</v>
      </c>
      <c r="F3619" s="30">
        <v>46022</v>
      </c>
      <c r="G3619" t="s">
        <v>946</v>
      </c>
      <c r="H3619" t="s">
        <v>4478</v>
      </c>
      <c r="I3619">
        <v>1</v>
      </c>
      <c r="J3619">
        <v>-48.5</v>
      </c>
      <c r="O3619">
        <v>12</v>
      </c>
      <c r="P3619">
        <v>10</v>
      </c>
      <c r="Q3619">
        <v>36</v>
      </c>
      <c r="R3619">
        <v>0</v>
      </c>
      <c r="S3619">
        <v>12</v>
      </c>
      <c r="T3619">
        <v>10</v>
      </c>
      <c r="U3619">
        <v>60</v>
      </c>
      <c r="V3619">
        <v>0</v>
      </c>
      <c r="W3619">
        <v>14788</v>
      </c>
      <c r="X3619">
        <v>14079</v>
      </c>
    </row>
    <row r="3620" spans="1:137" x14ac:dyDescent="0.3">
      <c r="A3620">
        <v>219</v>
      </c>
      <c r="B3620" t="s">
        <v>938</v>
      </c>
      <c r="C3620" t="s">
        <v>251</v>
      </c>
      <c r="D3620" t="s">
        <v>39</v>
      </c>
      <c r="E3620" t="s">
        <v>22</v>
      </c>
      <c r="F3620" s="30">
        <v>46022</v>
      </c>
      <c r="G3620" t="s">
        <v>946</v>
      </c>
      <c r="H3620" t="s">
        <v>4477</v>
      </c>
      <c r="I3620">
        <v>1</v>
      </c>
      <c r="J3620">
        <v>-34.970001220703118</v>
      </c>
      <c r="O3620">
        <v>51</v>
      </c>
      <c r="P3620">
        <v>38</v>
      </c>
      <c r="Q3620">
        <v>135</v>
      </c>
      <c r="R3620">
        <v>0</v>
      </c>
      <c r="S3620">
        <v>51</v>
      </c>
      <c r="T3620">
        <v>38</v>
      </c>
      <c r="U3620">
        <v>189</v>
      </c>
      <c r="V3620">
        <v>0</v>
      </c>
      <c r="W3620">
        <v>26100</v>
      </c>
      <c r="X3620">
        <v>24000</v>
      </c>
    </row>
    <row r="3621" spans="1:137" x14ac:dyDescent="0.3">
      <c r="A3621">
        <v>220</v>
      </c>
      <c r="B3621" t="s">
        <v>947</v>
      </c>
      <c r="C3621" t="s">
        <v>251</v>
      </c>
      <c r="D3621" t="s">
        <v>39</v>
      </c>
      <c r="E3621" t="s">
        <v>22</v>
      </c>
      <c r="F3621" s="30">
        <v>46022</v>
      </c>
      <c r="G3621" t="s">
        <v>955</v>
      </c>
      <c r="H3621" t="s">
        <v>4468</v>
      </c>
      <c r="I3621">
        <v>1</v>
      </c>
      <c r="J3621">
        <v>-3.869999885559082</v>
      </c>
      <c r="O3621">
        <v>2326</v>
      </c>
      <c r="P3621">
        <v>2279</v>
      </c>
      <c r="Q3621">
        <v>14235</v>
      </c>
      <c r="R3621">
        <v>0</v>
      </c>
      <c r="S3621">
        <v>2338</v>
      </c>
      <c r="T3621">
        <v>2240</v>
      </c>
      <c r="U3621">
        <v>14736</v>
      </c>
      <c r="V3621">
        <v>0</v>
      </c>
      <c r="Y3621">
        <v>3900</v>
      </c>
      <c r="Z3621">
        <v>3849</v>
      </c>
    </row>
    <row r="3622" spans="1:137" x14ac:dyDescent="0.3">
      <c r="A3622">
        <v>220</v>
      </c>
      <c r="B3622" t="s">
        <v>947</v>
      </c>
      <c r="C3622" t="s">
        <v>251</v>
      </c>
      <c r="D3622" t="s">
        <v>39</v>
      </c>
      <c r="E3622" t="s">
        <v>22</v>
      </c>
      <c r="F3622" s="30">
        <v>46022</v>
      </c>
      <c r="G3622" t="s">
        <v>955</v>
      </c>
      <c r="H3622" t="s">
        <v>4470</v>
      </c>
      <c r="I3622">
        <v>1</v>
      </c>
      <c r="J3622">
        <v>-13.840000152587891</v>
      </c>
      <c r="O3622">
        <v>467</v>
      </c>
      <c r="P3622">
        <v>18</v>
      </c>
      <c r="Q3622">
        <v>8892</v>
      </c>
      <c r="R3622">
        <v>3010</v>
      </c>
      <c r="S3622">
        <v>483</v>
      </c>
      <c r="T3622">
        <v>23</v>
      </c>
      <c r="U3622">
        <v>11976</v>
      </c>
      <c r="V3622">
        <v>3010</v>
      </c>
      <c r="Y3622">
        <v>2069</v>
      </c>
      <c r="Z3622">
        <v>2273</v>
      </c>
    </row>
    <row r="3623" spans="1:137" x14ac:dyDescent="0.3">
      <c r="A3623">
        <v>220</v>
      </c>
      <c r="B3623" t="s">
        <v>947</v>
      </c>
      <c r="C3623" t="s">
        <v>251</v>
      </c>
      <c r="D3623" t="s">
        <v>39</v>
      </c>
      <c r="E3623" t="s">
        <v>22</v>
      </c>
      <c r="F3623" s="30">
        <v>46022</v>
      </c>
      <c r="G3623" t="s">
        <v>955</v>
      </c>
      <c r="H3623" t="s">
        <v>4477</v>
      </c>
      <c r="I3623">
        <v>1</v>
      </c>
      <c r="J3623">
        <v>44.299999237060547</v>
      </c>
      <c r="O3623">
        <v>51</v>
      </c>
      <c r="P3623">
        <v>38</v>
      </c>
      <c r="Q3623">
        <v>135</v>
      </c>
      <c r="R3623">
        <v>0</v>
      </c>
      <c r="S3623">
        <v>51</v>
      </c>
      <c r="T3623">
        <v>38</v>
      </c>
      <c r="U3623">
        <v>189</v>
      </c>
      <c r="V3623">
        <v>0</v>
      </c>
      <c r="Y3623">
        <v>46</v>
      </c>
      <c r="Z3623">
        <v>102.5</v>
      </c>
    </row>
    <row r="3624" spans="1:137" x14ac:dyDescent="0.3">
      <c r="A3624">
        <v>220</v>
      </c>
      <c r="B3624" t="s">
        <v>947</v>
      </c>
      <c r="C3624" t="s">
        <v>251</v>
      </c>
      <c r="D3624" t="s">
        <v>39</v>
      </c>
      <c r="E3624" t="s">
        <v>22</v>
      </c>
      <c r="F3624" s="30">
        <v>46022</v>
      </c>
      <c r="G3624" t="s">
        <v>955</v>
      </c>
      <c r="H3624" t="s">
        <v>4469</v>
      </c>
      <c r="I3624">
        <v>1</v>
      </c>
      <c r="J3624">
        <v>-8.2299995422363281</v>
      </c>
      <c r="O3624">
        <v>355</v>
      </c>
      <c r="P3624">
        <v>853</v>
      </c>
      <c r="Q3624">
        <v>10724</v>
      </c>
      <c r="R3624">
        <v>144</v>
      </c>
      <c r="S3624">
        <v>387</v>
      </c>
      <c r="T3624">
        <v>810</v>
      </c>
      <c r="U3624">
        <v>13541</v>
      </c>
      <c r="V3624">
        <v>144</v>
      </c>
      <c r="Y3624">
        <v>988</v>
      </c>
      <c r="Z3624">
        <v>1125</v>
      </c>
    </row>
    <row r="3625" spans="1:137" x14ac:dyDescent="0.3">
      <c r="A3625">
        <v>220</v>
      </c>
      <c r="B3625" t="s">
        <v>947</v>
      </c>
      <c r="C3625" t="s">
        <v>251</v>
      </c>
      <c r="D3625" t="s">
        <v>39</v>
      </c>
      <c r="E3625" t="s">
        <v>22</v>
      </c>
      <c r="F3625" s="30">
        <v>46022</v>
      </c>
      <c r="G3625" t="s">
        <v>955</v>
      </c>
      <c r="H3625" t="s">
        <v>4476</v>
      </c>
      <c r="I3625">
        <v>1</v>
      </c>
      <c r="J3625">
        <v>0</v>
      </c>
      <c r="O3625">
        <v>36</v>
      </c>
      <c r="P3625">
        <v>30</v>
      </c>
      <c r="Q3625">
        <v>3402</v>
      </c>
      <c r="R3625">
        <v>0</v>
      </c>
      <c r="S3625">
        <v>24</v>
      </c>
      <c r="T3625">
        <v>24</v>
      </c>
      <c r="U3625">
        <v>3553</v>
      </c>
      <c r="V3625">
        <v>0</v>
      </c>
      <c r="Y3625">
        <v>0</v>
      </c>
      <c r="Z3625">
        <v>0</v>
      </c>
    </row>
    <row r="3626" spans="1:137" x14ac:dyDescent="0.3">
      <c r="A3626">
        <v>220</v>
      </c>
      <c r="B3626" t="s">
        <v>947</v>
      </c>
      <c r="C3626" t="s">
        <v>251</v>
      </c>
      <c r="D3626" t="s">
        <v>39</v>
      </c>
      <c r="E3626" t="s">
        <v>22</v>
      </c>
      <c r="F3626" s="30">
        <v>46022</v>
      </c>
      <c r="G3626" t="s">
        <v>955</v>
      </c>
      <c r="H3626" t="s">
        <v>4478</v>
      </c>
      <c r="I3626">
        <v>1</v>
      </c>
      <c r="J3626">
        <v>-14037.9296875</v>
      </c>
      <c r="O3626">
        <v>12</v>
      </c>
      <c r="P3626">
        <v>10</v>
      </c>
      <c r="Q3626">
        <v>36</v>
      </c>
      <c r="R3626">
        <v>0</v>
      </c>
      <c r="S3626">
        <v>12</v>
      </c>
      <c r="T3626">
        <v>10</v>
      </c>
      <c r="U3626">
        <v>60</v>
      </c>
      <c r="V3626">
        <v>0</v>
      </c>
      <c r="Y3626">
        <v>100</v>
      </c>
      <c r="Z3626">
        <v>1</v>
      </c>
    </row>
    <row r="3627" spans="1:137" x14ac:dyDescent="0.3">
      <c r="A3627">
        <v>274</v>
      </c>
      <c r="B3627" t="s">
        <v>1369</v>
      </c>
      <c r="C3627" t="s">
        <v>1292</v>
      </c>
      <c r="D3627" t="s">
        <v>39</v>
      </c>
      <c r="E3627" t="s">
        <v>22</v>
      </c>
      <c r="F3627" s="30">
        <v>46022</v>
      </c>
      <c r="G3627" t="s">
        <v>1374</v>
      </c>
      <c r="H3627" t="s">
        <v>4497</v>
      </c>
      <c r="I3627">
        <v>100</v>
      </c>
      <c r="J3627">
        <v>110.61000061035161</v>
      </c>
      <c r="BC3627">
        <v>396</v>
      </c>
      <c r="BD3627">
        <v>358</v>
      </c>
    </row>
    <row r="3628" spans="1:137" x14ac:dyDescent="0.3">
      <c r="A3628">
        <v>274</v>
      </c>
      <c r="B3628" t="s">
        <v>1369</v>
      </c>
      <c r="C3628" t="s">
        <v>1292</v>
      </c>
      <c r="D3628" t="s">
        <v>39</v>
      </c>
      <c r="E3628" t="s">
        <v>22</v>
      </c>
      <c r="F3628" s="30">
        <v>46022</v>
      </c>
      <c r="G3628" t="s">
        <v>1374</v>
      </c>
      <c r="H3628" t="s">
        <v>4498</v>
      </c>
      <c r="I3628">
        <v>100</v>
      </c>
      <c r="J3628">
        <v>100.65000152587891</v>
      </c>
      <c r="BC3628">
        <v>7002</v>
      </c>
      <c r="BD3628">
        <v>6957</v>
      </c>
    </row>
    <row r="3629" spans="1:137" x14ac:dyDescent="0.3">
      <c r="A3629">
        <v>274</v>
      </c>
      <c r="B3629" t="s">
        <v>1369</v>
      </c>
      <c r="C3629" t="s">
        <v>1292</v>
      </c>
      <c r="D3629" t="s">
        <v>39</v>
      </c>
      <c r="E3629" t="s">
        <v>22</v>
      </c>
      <c r="F3629" s="30">
        <v>46022</v>
      </c>
      <c r="G3629" t="s">
        <v>1374</v>
      </c>
      <c r="H3629" t="s">
        <v>4500</v>
      </c>
      <c r="I3629">
        <v>100</v>
      </c>
      <c r="J3629">
        <v>111.0899963378906</v>
      </c>
      <c r="BC3629">
        <v>2364</v>
      </c>
      <c r="BD3629">
        <v>2128</v>
      </c>
    </row>
    <row r="3630" spans="1:137" x14ac:dyDescent="0.3">
      <c r="A3630">
        <v>274</v>
      </c>
      <c r="B3630" t="s">
        <v>1369</v>
      </c>
      <c r="C3630" t="s">
        <v>1292</v>
      </c>
      <c r="D3630" t="s">
        <v>39</v>
      </c>
      <c r="E3630" t="s">
        <v>22</v>
      </c>
      <c r="F3630" s="30">
        <v>46022</v>
      </c>
      <c r="G3630" t="s">
        <v>1374</v>
      </c>
      <c r="H3630" t="s">
        <v>4499</v>
      </c>
      <c r="I3630">
        <v>100</v>
      </c>
      <c r="J3630">
        <v>101.6699981689453</v>
      </c>
      <c r="BC3630">
        <v>35884</v>
      </c>
      <c r="BD3630">
        <v>35294</v>
      </c>
    </row>
    <row r="3631" spans="1:137" x14ac:dyDescent="0.3">
      <c r="A3631">
        <v>275</v>
      </c>
      <c r="B3631" t="s">
        <v>1375</v>
      </c>
      <c r="C3631" t="s">
        <v>1376</v>
      </c>
      <c r="D3631" t="s">
        <v>39</v>
      </c>
      <c r="E3631" t="s">
        <v>22</v>
      </c>
      <c r="F3631" s="30">
        <v>46022</v>
      </c>
      <c r="G3631" t="s">
        <v>1381</v>
      </c>
      <c r="H3631" t="s">
        <v>4644</v>
      </c>
      <c r="I3631">
        <v>80</v>
      </c>
      <c r="J3631">
        <v>91.900001525878906</v>
      </c>
      <c r="EG3631">
        <v>91.9</v>
      </c>
    </row>
    <row r="3632" spans="1:137" x14ac:dyDescent="0.3">
      <c r="A3632">
        <v>275</v>
      </c>
      <c r="B3632" t="s">
        <v>1375</v>
      </c>
      <c r="C3632" t="s">
        <v>1376</v>
      </c>
      <c r="D3632" t="s">
        <v>39</v>
      </c>
      <c r="E3632" t="s">
        <v>22</v>
      </c>
      <c r="F3632" s="30">
        <v>46022</v>
      </c>
      <c r="G3632" t="s">
        <v>1381</v>
      </c>
      <c r="H3632" t="s">
        <v>4512</v>
      </c>
      <c r="I3632">
        <v>80</v>
      </c>
      <c r="J3632">
        <v>89</v>
      </c>
      <c r="EG3632">
        <v>89</v>
      </c>
    </row>
    <row r="3633" spans="1:137" x14ac:dyDescent="0.3">
      <c r="A3633">
        <v>275</v>
      </c>
      <c r="B3633" t="s">
        <v>1375</v>
      </c>
      <c r="C3633" t="s">
        <v>1376</v>
      </c>
      <c r="D3633" t="s">
        <v>39</v>
      </c>
      <c r="E3633" t="s">
        <v>22</v>
      </c>
      <c r="F3633" s="30">
        <v>46022</v>
      </c>
      <c r="G3633" t="s">
        <v>1381</v>
      </c>
      <c r="H3633" t="s">
        <v>4643</v>
      </c>
      <c r="I3633">
        <v>80</v>
      </c>
      <c r="J3633">
        <v>94.099998474121094</v>
      </c>
      <c r="EG3633">
        <v>94.1</v>
      </c>
    </row>
    <row r="3634" spans="1:137" x14ac:dyDescent="0.3">
      <c r="A3634">
        <v>278</v>
      </c>
      <c r="B3634" t="s">
        <v>1399</v>
      </c>
      <c r="C3634" t="s">
        <v>1383</v>
      </c>
      <c r="D3634" t="s">
        <v>39</v>
      </c>
      <c r="E3634" t="s">
        <v>22</v>
      </c>
      <c r="F3634" s="30">
        <v>46022</v>
      </c>
      <c r="G3634" t="s">
        <v>1401</v>
      </c>
      <c r="H3634" t="s">
        <v>4501</v>
      </c>
      <c r="J3634">
        <v>686</v>
      </c>
      <c r="BE3634">
        <v>686</v>
      </c>
    </row>
    <row r="3635" spans="1:137" x14ac:dyDescent="0.3">
      <c r="A3635">
        <v>278</v>
      </c>
      <c r="B3635" t="s">
        <v>1399</v>
      </c>
      <c r="C3635" t="s">
        <v>1383</v>
      </c>
      <c r="D3635" t="s">
        <v>39</v>
      </c>
      <c r="E3635" t="s">
        <v>22</v>
      </c>
      <c r="F3635" s="30">
        <v>46022</v>
      </c>
      <c r="G3635" t="s">
        <v>1401</v>
      </c>
      <c r="H3635" t="s">
        <v>4502</v>
      </c>
      <c r="J3635">
        <v>289</v>
      </c>
      <c r="BE3635">
        <v>289</v>
      </c>
    </row>
    <row r="3636" spans="1:137" x14ac:dyDescent="0.3">
      <c r="A3636">
        <v>278</v>
      </c>
      <c r="B3636" t="s">
        <v>1399</v>
      </c>
      <c r="C3636" t="s">
        <v>1383</v>
      </c>
      <c r="D3636" t="s">
        <v>39</v>
      </c>
      <c r="E3636" t="s">
        <v>22</v>
      </c>
      <c r="F3636" s="30">
        <v>46022</v>
      </c>
      <c r="G3636" t="s">
        <v>1401</v>
      </c>
      <c r="H3636" t="s">
        <v>4503</v>
      </c>
      <c r="J3636">
        <v>96</v>
      </c>
      <c r="BE3636">
        <v>96</v>
      </c>
    </row>
    <row r="3637" spans="1:137" x14ac:dyDescent="0.3">
      <c r="A3637">
        <v>286</v>
      </c>
      <c r="B3637" t="s">
        <v>1433</v>
      </c>
      <c r="C3637" t="s">
        <v>1383</v>
      </c>
      <c r="D3637" t="s">
        <v>39</v>
      </c>
      <c r="E3637" t="s">
        <v>22</v>
      </c>
      <c r="F3637" s="30">
        <v>46022</v>
      </c>
      <c r="G3637" t="s">
        <v>1435</v>
      </c>
      <c r="H3637" t="s">
        <v>4504</v>
      </c>
      <c r="J3637">
        <v>90</v>
      </c>
      <c r="BF3637">
        <v>90</v>
      </c>
    </row>
    <row r="3638" spans="1:137" x14ac:dyDescent="0.3">
      <c r="A3638">
        <v>286</v>
      </c>
      <c r="B3638" t="s">
        <v>1433</v>
      </c>
      <c r="C3638" t="s">
        <v>1383</v>
      </c>
      <c r="D3638" t="s">
        <v>39</v>
      </c>
      <c r="E3638" t="s">
        <v>22</v>
      </c>
      <c r="F3638" s="30">
        <v>46022</v>
      </c>
      <c r="G3638" t="s">
        <v>1435</v>
      </c>
      <c r="H3638" t="s">
        <v>4506</v>
      </c>
      <c r="J3638">
        <v>100</v>
      </c>
      <c r="BF3638">
        <v>100</v>
      </c>
    </row>
    <row r="3639" spans="1:137" x14ac:dyDescent="0.3">
      <c r="A3639">
        <v>286</v>
      </c>
      <c r="B3639" t="s">
        <v>1433</v>
      </c>
      <c r="C3639" t="s">
        <v>1383</v>
      </c>
      <c r="D3639" t="s">
        <v>39</v>
      </c>
      <c r="E3639" t="s">
        <v>22</v>
      </c>
      <c r="F3639" s="30">
        <v>46022</v>
      </c>
      <c r="G3639" t="s">
        <v>1435</v>
      </c>
      <c r="H3639" t="s">
        <v>4507</v>
      </c>
      <c r="J3639">
        <v>64</v>
      </c>
      <c r="BF3639">
        <v>64</v>
      </c>
    </row>
    <row r="3640" spans="1:137" x14ac:dyDescent="0.3">
      <c r="A3640">
        <v>286</v>
      </c>
      <c r="B3640" t="s">
        <v>1433</v>
      </c>
      <c r="C3640" t="s">
        <v>1383</v>
      </c>
      <c r="D3640" t="s">
        <v>39</v>
      </c>
      <c r="E3640" t="s">
        <v>22</v>
      </c>
      <c r="F3640" s="30">
        <v>46022</v>
      </c>
      <c r="G3640" t="s">
        <v>1435</v>
      </c>
      <c r="H3640" t="s">
        <v>4505</v>
      </c>
      <c r="J3640">
        <v>817</v>
      </c>
      <c r="BF3640">
        <v>817</v>
      </c>
    </row>
    <row r="3641" spans="1:137" x14ac:dyDescent="0.3">
      <c r="A3641">
        <v>292</v>
      </c>
      <c r="B3641" t="s">
        <v>1465</v>
      </c>
      <c r="C3641" t="s">
        <v>1460</v>
      </c>
      <c r="D3641" t="s">
        <v>39</v>
      </c>
      <c r="E3641" t="s">
        <v>22</v>
      </c>
      <c r="F3641" s="30">
        <v>46022</v>
      </c>
      <c r="G3641" t="s">
        <v>1471</v>
      </c>
      <c r="H3641" t="s">
        <v>4508</v>
      </c>
      <c r="I3641">
        <v>8</v>
      </c>
      <c r="J3641">
        <v>13.560000419616699</v>
      </c>
      <c r="BG3641">
        <v>2136</v>
      </c>
      <c r="BH3641">
        <v>1881</v>
      </c>
    </row>
    <row r="3642" spans="1:137" x14ac:dyDescent="0.3">
      <c r="A3642">
        <v>292</v>
      </c>
      <c r="B3642" t="s">
        <v>1465</v>
      </c>
      <c r="C3642" t="s">
        <v>1460</v>
      </c>
      <c r="D3642" t="s">
        <v>39</v>
      </c>
      <c r="E3642" t="s">
        <v>22</v>
      </c>
      <c r="F3642" s="30">
        <v>46022</v>
      </c>
      <c r="G3642" t="s">
        <v>1471</v>
      </c>
      <c r="H3642" t="s">
        <v>4509</v>
      </c>
      <c r="I3642">
        <v>8</v>
      </c>
      <c r="J3642">
        <v>27.79999923706055</v>
      </c>
      <c r="BG3642">
        <v>685</v>
      </c>
      <c r="BH3642">
        <v>536</v>
      </c>
    </row>
    <row r="3643" spans="1:137" x14ac:dyDescent="0.3">
      <c r="A3643">
        <v>292</v>
      </c>
      <c r="B3643" t="s">
        <v>1465</v>
      </c>
      <c r="C3643" t="s">
        <v>1460</v>
      </c>
      <c r="D3643" t="s">
        <v>39</v>
      </c>
      <c r="E3643" t="s">
        <v>22</v>
      </c>
      <c r="F3643" s="30">
        <v>46022</v>
      </c>
      <c r="G3643" t="s">
        <v>1471</v>
      </c>
      <c r="H3643" t="s">
        <v>4510</v>
      </c>
      <c r="I3643">
        <v>8</v>
      </c>
      <c r="J3643">
        <v>-12.079999923706049</v>
      </c>
      <c r="BG3643">
        <v>502</v>
      </c>
      <c r="BH3643">
        <v>571</v>
      </c>
    </row>
    <row r="3644" spans="1:137" x14ac:dyDescent="0.3">
      <c r="A3644">
        <v>294</v>
      </c>
      <c r="B3644" t="s">
        <v>1481</v>
      </c>
      <c r="C3644" t="s">
        <v>1460</v>
      </c>
      <c r="D3644" t="s">
        <v>39</v>
      </c>
      <c r="E3644" t="s">
        <v>22</v>
      </c>
      <c r="F3644" s="30">
        <v>46022</v>
      </c>
      <c r="G3644" t="s">
        <v>1484</v>
      </c>
      <c r="H3644" t="s">
        <v>4508</v>
      </c>
      <c r="I3644">
        <v>8</v>
      </c>
      <c r="J3644">
        <v>62.720001220703118</v>
      </c>
      <c r="BI3644">
        <v>934</v>
      </c>
      <c r="BJ3644">
        <v>574</v>
      </c>
    </row>
    <row r="3645" spans="1:137" x14ac:dyDescent="0.3">
      <c r="A3645">
        <v>294</v>
      </c>
      <c r="B3645" t="s">
        <v>1481</v>
      </c>
      <c r="C3645" t="s">
        <v>1460</v>
      </c>
      <c r="D3645" t="s">
        <v>39</v>
      </c>
      <c r="E3645" t="s">
        <v>22</v>
      </c>
      <c r="F3645" s="30">
        <v>46022</v>
      </c>
      <c r="G3645" t="s">
        <v>1484</v>
      </c>
      <c r="H3645" t="s">
        <v>4509</v>
      </c>
      <c r="I3645">
        <v>8</v>
      </c>
      <c r="J3645">
        <v>57.560001373291023</v>
      </c>
      <c r="BI3645">
        <v>646</v>
      </c>
      <c r="BJ3645">
        <v>410</v>
      </c>
    </row>
    <row r="3646" spans="1:137" x14ac:dyDescent="0.3">
      <c r="A3646">
        <v>294</v>
      </c>
      <c r="B3646" t="s">
        <v>1481</v>
      </c>
      <c r="C3646" t="s">
        <v>1460</v>
      </c>
      <c r="D3646" t="s">
        <v>39</v>
      </c>
      <c r="E3646" t="s">
        <v>22</v>
      </c>
      <c r="F3646" s="30">
        <v>46022</v>
      </c>
      <c r="G3646" t="s">
        <v>1484</v>
      </c>
      <c r="H3646" t="s">
        <v>4510</v>
      </c>
      <c r="I3646">
        <v>8</v>
      </c>
      <c r="J3646">
        <v>10.19999980926514</v>
      </c>
      <c r="BI3646">
        <v>162</v>
      </c>
      <c r="BJ3646">
        <v>147</v>
      </c>
    </row>
    <row r="3647" spans="1:137" x14ac:dyDescent="0.3">
      <c r="A3647">
        <v>302</v>
      </c>
      <c r="B3647" t="s">
        <v>1524</v>
      </c>
      <c r="C3647" t="s">
        <v>1336</v>
      </c>
      <c r="D3647" t="s">
        <v>39</v>
      </c>
      <c r="E3647" t="s">
        <v>22</v>
      </c>
      <c r="F3647" s="30">
        <v>46022</v>
      </c>
      <c r="G3647" t="s">
        <v>1526</v>
      </c>
      <c r="H3647" t="s">
        <v>4630</v>
      </c>
      <c r="J3647">
        <v>29088</v>
      </c>
      <c r="DL3647">
        <v>29088</v>
      </c>
    </row>
    <row r="3648" spans="1:137" x14ac:dyDescent="0.3">
      <c r="A3648">
        <v>302</v>
      </c>
      <c r="B3648" t="s">
        <v>1524</v>
      </c>
      <c r="C3648" t="s">
        <v>1336</v>
      </c>
      <c r="D3648" t="s">
        <v>39</v>
      </c>
      <c r="E3648" t="s">
        <v>22</v>
      </c>
      <c r="F3648" s="30">
        <v>46022</v>
      </c>
      <c r="G3648" t="s">
        <v>1526</v>
      </c>
      <c r="H3648" t="s">
        <v>4633</v>
      </c>
      <c r="J3648">
        <v>796</v>
      </c>
      <c r="DL3648">
        <v>796</v>
      </c>
    </row>
    <row r="3649" spans="1:116" x14ac:dyDescent="0.3">
      <c r="A3649">
        <v>302</v>
      </c>
      <c r="B3649" t="s">
        <v>1524</v>
      </c>
      <c r="C3649" t="s">
        <v>1336</v>
      </c>
      <c r="D3649" t="s">
        <v>39</v>
      </c>
      <c r="E3649" t="s">
        <v>22</v>
      </c>
      <c r="F3649" s="30">
        <v>46022</v>
      </c>
      <c r="G3649" t="s">
        <v>1526</v>
      </c>
      <c r="H3649" t="s">
        <v>4631</v>
      </c>
      <c r="J3649">
        <v>1024</v>
      </c>
      <c r="DL3649">
        <v>1024</v>
      </c>
    </row>
    <row r="3650" spans="1:116" x14ac:dyDescent="0.3">
      <c r="A3650">
        <v>302</v>
      </c>
      <c r="B3650" t="s">
        <v>1524</v>
      </c>
      <c r="C3650" t="s">
        <v>1336</v>
      </c>
      <c r="D3650" t="s">
        <v>39</v>
      </c>
      <c r="E3650" t="s">
        <v>22</v>
      </c>
      <c r="F3650" s="30">
        <v>46022</v>
      </c>
      <c r="G3650" t="s">
        <v>1526</v>
      </c>
      <c r="H3650" t="s">
        <v>4632</v>
      </c>
      <c r="J3650">
        <v>463</v>
      </c>
      <c r="DL3650">
        <v>463</v>
      </c>
    </row>
    <row r="3651" spans="1:116" x14ac:dyDescent="0.3">
      <c r="A3651">
        <v>303</v>
      </c>
      <c r="B3651" t="s">
        <v>1527</v>
      </c>
      <c r="C3651" t="s">
        <v>1528</v>
      </c>
      <c r="D3651" t="s">
        <v>39</v>
      </c>
      <c r="E3651" t="s">
        <v>22</v>
      </c>
      <c r="F3651" s="30">
        <v>46022</v>
      </c>
      <c r="G3651" t="s">
        <v>1534</v>
      </c>
      <c r="H3651" t="s">
        <v>4508</v>
      </c>
      <c r="I3651">
        <v>95</v>
      </c>
      <c r="J3651">
        <v>100</v>
      </c>
      <c r="BK3651">
        <v>11</v>
      </c>
      <c r="BL3651">
        <v>11</v>
      </c>
    </row>
    <row r="3652" spans="1:116" x14ac:dyDescent="0.3">
      <c r="A3652">
        <v>303</v>
      </c>
      <c r="B3652" t="s">
        <v>1527</v>
      </c>
      <c r="C3652" t="s">
        <v>1528</v>
      </c>
      <c r="D3652" t="s">
        <v>39</v>
      </c>
      <c r="E3652" t="s">
        <v>22</v>
      </c>
      <c r="F3652" s="30">
        <v>46022</v>
      </c>
      <c r="G3652" t="s">
        <v>1534</v>
      </c>
      <c r="H3652" t="s">
        <v>4509</v>
      </c>
      <c r="I3652">
        <v>95</v>
      </c>
      <c r="J3652">
        <v>100</v>
      </c>
      <c r="BK3652">
        <v>25</v>
      </c>
      <c r="BL3652">
        <v>25</v>
      </c>
    </row>
    <row r="3653" spans="1:116" x14ac:dyDescent="0.3">
      <c r="A3653">
        <v>303</v>
      </c>
      <c r="B3653" t="s">
        <v>1527</v>
      </c>
      <c r="C3653" t="s">
        <v>1528</v>
      </c>
      <c r="D3653" t="s">
        <v>39</v>
      </c>
      <c r="E3653" t="s">
        <v>22</v>
      </c>
      <c r="F3653" s="30">
        <v>46022</v>
      </c>
      <c r="G3653" t="s">
        <v>1534</v>
      </c>
      <c r="H3653" t="s">
        <v>4510</v>
      </c>
      <c r="I3653">
        <v>95</v>
      </c>
      <c r="J3653">
        <v>100</v>
      </c>
      <c r="BK3653">
        <v>18</v>
      </c>
      <c r="BL3653">
        <v>18</v>
      </c>
    </row>
    <row r="3654" spans="1:116" x14ac:dyDescent="0.3">
      <c r="A3654">
        <v>362</v>
      </c>
      <c r="B3654" t="s">
        <v>1800</v>
      </c>
      <c r="C3654" t="s">
        <v>1801</v>
      </c>
      <c r="D3654" t="s">
        <v>39</v>
      </c>
      <c r="E3654" t="s">
        <v>22</v>
      </c>
      <c r="F3654" s="30">
        <v>46022</v>
      </c>
      <c r="G3654" t="s">
        <v>1807</v>
      </c>
      <c r="H3654" t="s">
        <v>4498</v>
      </c>
      <c r="I3654">
        <v>98</v>
      </c>
      <c r="J3654">
        <v>99.830001831054688</v>
      </c>
      <c r="CU3654">
        <v>8116</v>
      </c>
      <c r="CV3654">
        <v>8130</v>
      </c>
    </row>
    <row r="3655" spans="1:116" x14ac:dyDescent="0.3">
      <c r="A3655">
        <v>362</v>
      </c>
      <c r="B3655" t="s">
        <v>1800</v>
      </c>
      <c r="C3655" t="s">
        <v>1801</v>
      </c>
      <c r="D3655" t="s">
        <v>39</v>
      </c>
      <c r="E3655" t="s">
        <v>22</v>
      </c>
      <c r="F3655" s="30">
        <v>46022</v>
      </c>
      <c r="G3655" t="s">
        <v>1807</v>
      </c>
      <c r="H3655" t="s">
        <v>4497</v>
      </c>
      <c r="I3655">
        <v>98</v>
      </c>
      <c r="J3655">
        <v>98.019996643066406</v>
      </c>
      <c r="CU3655">
        <v>593</v>
      </c>
      <c r="CV3655">
        <v>605</v>
      </c>
    </row>
    <row r="3656" spans="1:116" x14ac:dyDescent="0.3">
      <c r="A3656">
        <v>369</v>
      </c>
      <c r="B3656" t="s">
        <v>1835</v>
      </c>
      <c r="C3656" t="s">
        <v>1796</v>
      </c>
      <c r="D3656" t="s">
        <v>39</v>
      </c>
      <c r="E3656" t="s">
        <v>22</v>
      </c>
      <c r="F3656" s="30">
        <v>46022</v>
      </c>
      <c r="G3656" t="s">
        <v>1841</v>
      </c>
      <c r="H3656" t="s">
        <v>4512</v>
      </c>
      <c r="I3656">
        <v>100</v>
      </c>
      <c r="J3656">
        <v>95.919998168945313</v>
      </c>
      <c r="BM3656">
        <v>94</v>
      </c>
      <c r="BN3656">
        <v>98</v>
      </c>
    </row>
    <row r="3657" spans="1:116" x14ac:dyDescent="0.3">
      <c r="A3657">
        <v>369</v>
      </c>
      <c r="B3657" t="s">
        <v>1835</v>
      </c>
      <c r="C3657" t="s">
        <v>1796</v>
      </c>
      <c r="D3657" t="s">
        <v>39</v>
      </c>
      <c r="E3657" t="s">
        <v>22</v>
      </c>
      <c r="F3657" s="30">
        <v>46022</v>
      </c>
      <c r="G3657" t="s">
        <v>1841</v>
      </c>
      <c r="H3657" t="s">
        <v>4511</v>
      </c>
      <c r="I3657">
        <v>100</v>
      </c>
      <c r="J3657">
        <v>218.17999267578119</v>
      </c>
      <c r="BM3657">
        <v>24</v>
      </c>
      <c r="BN3657">
        <v>11</v>
      </c>
    </row>
    <row r="3658" spans="1:116" x14ac:dyDescent="0.3">
      <c r="A3658">
        <v>375</v>
      </c>
      <c r="B3658" t="s">
        <v>1871</v>
      </c>
      <c r="C3658" t="s">
        <v>1801</v>
      </c>
      <c r="D3658" t="s">
        <v>39</v>
      </c>
      <c r="E3658" t="s">
        <v>22</v>
      </c>
      <c r="F3658" s="30">
        <v>46022</v>
      </c>
      <c r="G3658" t="s">
        <v>1877</v>
      </c>
      <c r="H3658" t="s">
        <v>4498</v>
      </c>
      <c r="I3658">
        <v>100</v>
      </c>
      <c r="J3658">
        <v>100</v>
      </c>
      <c r="CW3658">
        <v>829</v>
      </c>
      <c r="CX3658">
        <v>829</v>
      </c>
    </row>
    <row r="3659" spans="1:116" x14ac:dyDescent="0.3">
      <c r="A3659">
        <v>375</v>
      </c>
      <c r="B3659" t="s">
        <v>1871</v>
      </c>
      <c r="C3659" t="s">
        <v>1801</v>
      </c>
      <c r="D3659" t="s">
        <v>39</v>
      </c>
      <c r="E3659" t="s">
        <v>22</v>
      </c>
      <c r="F3659" s="30">
        <v>46022</v>
      </c>
      <c r="G3659" t="s">
        <v>1877</v>
      </c>
      <c r="H3659" t="s">
        <v>4497</v>
      </c>
      <c r="I3659">
        <v>100</v>
      </c>
      <c r="J3659">
        <v>100</v>
      </c>
      <c r="CW3659">
        <v>364</v>
      </c>
      <c r="CX3659">
        <v>364</v>
      </c>
    </row>
    <row r="3660" spans="1:116" x14ac:dyDescent="0.3">
      <c r="A3660">
        <v>386</v>
      </c>
      <c r="B3660" t="s">
        <v>1951</v>
      </c>
      <c r="C3660" t="s">
        <v>1946</v>
      </c>
      <c r="D3660" t="s">
        <v>39</v>
      </c>
      <c r="E3660" t="s">
        <v>22</v>
      </c>
      <c r="F3660" s="30">
        <v>46022</v>
      </c>
      <c r="G3660" t="s">
        <v>1957</v>
      </c>
      <c r="H3660" t="s">
        <v>3584</v>
      </c>
      <c r="I3660">
        <v>100</v>
      </c>
      <c r="J3660">
        <v>106.0699996948242</v>
      </c>
      <c r="BO3660">
        <v>4342163212</v>
      </c>
      <c r="BP3660">
        <v>4093698206</v>
      </c>
    </row>
    <row r="3661" spans="1:116" x14ac:dyDescent="0.3">
      <c r="A3661">
        <v>386</v>
      </c>
      <c r="B3661" t="s">
        <v>1951</v>
      </c>
      <c r="C3661" t="s">
        <v>1946</v>
      </c>
      <c r="D3661" t="s">
        <v>39</v>
      </c>
      <c r="E3661" t="s">
        <v>22</v>
      </c>
      <c r="F3661" s="30">
        <v>46022</v>
      </c>
      <c r="G3661" t="s">
        <v>1957</v>
      </c>
      <c r="H3661" t="s">
        <v>4513</v>
      </c>
      <c r="I3661">
        <v>100</v>
      </c>
      <c r="J3661">
        <v>89.720001220703125</v>
      </c>
      <c r="BO3661">
        <v>6848139002</v>
      </c>
      <c r="BP3661">
        <v>7633001463</v>
      </c>
    </row>
    <row r="3662" spans="1:116" x14ac:dyDescent="0.3">
      <c r="A3662">
        <v>386</v>
      </c>
      <c r="B3662" t="s">
        <v>1951</v>
      </c>
      <c r="C3662" t="s">
        <v>1946</v>
      </c>
      <c r="D3662" t="s">
        <v>39</v>
      </c>
      <c r="E3662" t="s">
        <v>22</v>
      </c>
      <c r="F3662" s="30">
        <v>46022</v>
      </c>
      <c r="G3662" t="s">
        <v>1957</v>
      </c>
      <c r="H3662" t="s">
        <v>3588</v>
      </c>
      <c r="I3662">
        <v>100</v>
      </c>
      <c r="J3662">
        <v>129.36000061035159</v>
      </c>
      <c r="BO3662">
        <v>7383847983</v>
      </c>
      <c r="BP3662">
        <v>5707998802</v>
      </c>
    </row>
    <row r="3663" spans="1:116" x14ac:dyDescent="0.3">
      <c r="A3663">
        <v>408</v>
      </c>
      <c r="B3663" t="s">
        <v>2074</v>
      </c>
      <c r="C3663" t="s">
        <v>1627</v>
      </c>
      <c r="D3663" t="s">
        <v>39</v>
      </c>
      <c r="E3663" t="s">
        <v>22</v>
      </c>
      <c r="F3663" s="30">
        <v>46022</v>
      </c>
      <c r="G3663" t="s">
        <v>2080</v>
      </c>
      <c r="H3663" t="s">
        <v>4528</v>
      </c>
      <c r="I3663">
        <v>100</v>
      </c>
      <c r="J3663">
        <v>100</v>
      </c>
      <c r="BR3663">
        <v>2</v>
      </c>
      <c r="BS3663">
        <v>2</v>
      </c>
    </row>
    <row r="3664" spans="1:116" x14ac:dyDescent="0.3">
      <c r="A3664">
        <v>427</v>
      </c>
      <c r="B3664" t="s">
        <v>2212</v>
      </c>
      <c r="C3664" t="s">
        <v>251</v>
      </c>
      <c r="D3664" t="s">
        <v>39</v>
      </c>
      <c r="E3664" t="s">
        <v>56</v>
      </c>
      <c r="F3664" s="30">
        <v>46022</v>
      </c>
      <c r="G3664" t="s">
        <v>2218</v>
      </c>
      <c r="H3664" t="s">
        <v>4468</v>
      </c>
      <c r="I3664">
        <v>0.3</v>
      </c>
      <c r="J3664">
        <v>0.2099999934434891</v>
      </c>
      <c r="O3664">
        <v>2326</v>
      </c>
      <c r="P3664">
        <v>2279</v>
      </c>
      <c r="Q3664">
        <v>14235</v>
      </c>
      <c r="R3664">
        <v>0</v>
      </c>
      <c r="Y3664">
        <v>3900</v>
      </c>
    </row>
    <row r="3665" spans="1:28" x14ac:dyDescent="0.3">
      <c r="A3665">
        <v>427</v>
      </c>
      <c r="B3665" t="s">
        <v>2212</v>
      </c>
      <c r="C3665" t="s">
        <v>251</v>
      </c>
      <c r="D3665" t="s">
        <v>39</v>
      </c>
      <c r="E3665" t="s">
        <v>56</v>
      </c>
      <c r="F3665" s="30">
        <v>46022</v>
      </c>
      <c r="G3665" t="s">
        <v>2218</v>
      </c>
      <c r="H3665" t="s">
        <v>4470</v>
      </c>
      <c r="I3665">
        <v>0.15</v>
      </c>
      <c r="J3665">
        <v>0.17000000178813929</v>
      </c>
      <c r="O3665">
        <v>467</v>
      </c>
      <c r="P3665">
        <v>18</v>
      </c>
      <c r="Q3665">
        <v>8892</v>
      </c>
      <c r="R3665">
        <v>3010</v>
      </c>
      <c r="Y3665">
        <v>2069</v>
      </c>
    </row>
    <row r="3666" spans="1:28" x14ac:dyDescent="0.3">
      <c r="A3666">
        <v>427</v>
      </c>
      <c r="B3666" t="s">
        <v>2212</v>
      </c>
      <c r="C3666" t="s">
        <v>251</v>
      </c>
      <c r="D3666" t="s">
        <v>39</v>
      </c>
      <c r="E3666" t="s">
        <v>56</v>
      </c>
      <c r="F3666" s="30">
        <v>46022</v>
      </c>
      <c r="G3666" t="s">
        <v>2218</v>
      </c>
      <c r="H3666" t="s">
        <v>4469</v>
      </c>
      <c r="I3666">
        <v>0.1</v>
      </c>
      <c r="J3666">
        <v>7.9999998211860657E-2</v>
      </c>
      <c r="O3666">
        <v>355</v>
      </c>
      <c r="P3666">
        <v>853</v>
      </c>
      <c r="Q3666">
        <v>10724</v>
      </c>
      <c r="R3666">
        <v>144</v>
      </c>
      <c r="Y3666">
        <v>988</v>
      </c>
    </row>
    <row r="3667" spans="1:28" x14ac:dyDescent="0.3">
      <c r="A3667">
        <v>427</v>
      </c>
      <c r="B3667" t="s">
        <v>2212</v>
      </c>
      <c r="C3667" t="s">
        <v>251</v>
      </c>
      <c r="D3667" t="s">
        <v>39</v>
      </c>
      <c r="E3667" t="s">
        <v>56</v>
      </c>
      <c r="F3667" s="30">
        <v>46022</v>
      </c>
      <c r="G3667" t="s">
        <v>2218</v>
      </c>
      <c r="H3667" t="s">
        <v>4476</v>
      </c>
      <c r="I3667">
        <v>0.2</v>
      </c>
      <c r="J3667">
        <v>0</v>
      </c>
      <c r="O3667">
        <v>36</v>
      </c>
      <c r="P3667">
        <v>30</v>
      </c>
      <c r="Q3667">
        <v>3402</v>
      </c>
      <c r="R3667">
        <v>0</v>
      </c>
      <c r="Y3667">
        <v>0</v>
      </c>
    </row>
    <row r="3668" spans="1:28" x14ac:dyDescent="0.3">
      <c r="A3668">
        <v>427</v>
      </c>
      <c r="B3668" t="s">
        <v>2212</v>
      </c>
      <c r="C3668" t="s">
        <v>251</v>
      </c>
      <c r="D3668" t="s">
        <v>39</v>
      </c>
      <c r="E3668" t="s">
        <v>56</v>
      </c>
      <c r="F3668" s="30">
        <v>46022</v>
      </c>
      <c r="G3668" t="s">
        <v>2218</v>
      </c>
      <c r="H3668" t="s">
        <v>4478</v>
      </c>
      <c r="I3668">
        <v>0.2</v>
      </c>
      <c r="J3668">
        <v>1.720000028610229</v>
      </c>
      <c r="O3668">
        <v>12</v>
      </c>
      <c r="P3668">
        <v>10</v>
      </c>
      <c r="Q3668">
        <v>36</v>
      </c>
      <c r="R3668">
        <v>0</v>
      </c>
      <c r="Y3668">
        <v>100</v>
      </c>
    </row>
    <row r="3669" spans="1:28" x14ac:dyDescent="0.3">
      <c r="A3669">
        <v>427</v>
      </c>
      <c r="B3669" t="s">
        <v>2212</v>
      </c>
      <c r="C3669" t="s">
        <v>251</v>
      </c>
      <c r="D3669" t="s">
        <v>39</v>
      </c>
      <c r="E3669" t="s">
        <v>56</v>
      </c>
      <c r="F3669" s="30">
        <v>46022</v>
      </c>
      <c r="G3669" t="s">
        <v>2218</v>
      </c>
      <c r="H3669" t="s">
        <v>4477</v>
      </c>
      <c r="I3669">
        <v>0.2</v>
      </c>
      <c r="J3669">
        <v>0.2099999934434891</v>
      </c>
      <c r="O3669">
        <v>51</v>
      </c>
      <c r="P3669">
        <v>38</v>
      </c>
      <c r="Q3669">
        <v>135</v>
      </c>
      <c r="R3669">
        <v>0</v>
      </c>
      <c r="Y3669">
        <v>46</v>
      </c>
    </row>
    <row r="3670" spans="1:28" x14ac:dyDescent="0.3">
      <c r="A3670">
        <v>428</v>
      </c>
      <c r="B3670" t="s">
        <v>2219</v>
      </c>
      <c r="C3670" t="s">
        <v>251</v>
      </c>
      <c r="D3670" t="s">
        <v>39</v>
      </c>
      <c r="E3670" t="s">
        <v>56</v>
      </c>
      <c r="F3670" s="30">
        <v>46022</v>
      </c>
      <c r="G3670" t="s">
        <v>2225</v>
      </c>
      <c r="H3670" t="s">
        <v>4468</v>
      </c>
      <c r="I3670">
        <v>22</v>
      </c>
      <c r="J3670">
        <v>20.64999961853027</v>
      </c>
      <c r="O3670">
        <v>2326</v>
      </c>
      <c r="P3670">
        <v>2279</v>
      </c>
      <c r="Q3670">
        <v>14235</v>
      </c>
      <c r="R3670">
        <v>0</v>
      </c>
      <c r="W3670">
        <v>389075.4</v>
      </c>
    </row>
    <row r="3671" spans="1:28" x14ac:dyDescent="0.3">
      <c r="A3671">
        <v>428</v>
      </c>
      <c r="B3671" t="s">
        <v>2219</v>
      </c>
      <c r="C3671" t="s">
        <v>251</v>
      </c>
      <c r="D3671" t="s">
        <v>39</v>
      </c>
      <c r="E3671" t="s">
        <v>56</v>
      </c>
      <c r="F3671" s="30">
        <v>46022</v>
      </c>
      <c r="G3671" t="s">
        <v>2225</v>
      </c>
      <c r="H3671" t="s">
        <v>4470</v>
      </c>
      <c r="I3671">
        <v>25</v>
      </c>
      <c r="J3671">
        <v>21.440000534057621</v>
      </c>
      <c r="O3671">
        <v>467</v>
      </c>
      <c r="P3671">
        <v>18</v>
      </c>
      <c r="Q3671">
        <v>8892</v>
      </c>
      <c r="R3671">
        <v>3010</v>
      </c>
      <c r="W3671">
        <v>265619</v>
      </c>
    </row>
    <row r="3672" spans="1:28" x14ac:dyDescent="0.3">
      <c r="A3672">
        <v>428</v>
      </c>
      <c r="B3672" t="s">
        <v>2219</v>
      </c>
      <c r="C3672" t="s">
        <v>251</v>
      </c>
      <c r="D3672" t="s">
        <v>39</v>
      </c>
      <c r="E3672" t="s">
        <v>56</v>
      </c>
      <c r="F3672" s="30">
        <v>46022</v>
      </c>
      <c r="G3672" t="s">
        <v>2225</v>
      </c>
      <c r="H3672" t="s">
        <v>4469</v>
      </c>
      <c r="I3672">
        <v>11</v>
      </c>
      <c r="J3672">
        <v>8.630000114440918</v>
      </c>
      <c r="O3672">
        <v>355</v>
      </c>
      <c r="P3672">
        <v>853</v>
      </c>
      <c r="Q3672">
        <v>10724</v>
      </c>
      <c r="R3672">
        <v>144</v>
      </c>
      <c r="W3672">
        <v>104194</v>
      </c>
    </row>
    <row r="3673" spans="1:28" x14ac:dyDescent="0.3">
      <c r="A3673">
        <v>428</v>
      </c>
      <c r="B3673" t="s">
        <v>2219</v>
      </c>
      <c r="C3673" t="s">
        <v>251</v>
      </c>
      <c r="D3673" t="s">
        <v>39</v>
      </c>
      <c r="E3673" t="s">
        <v>56</v>
      </c>
      <c r="F3673" s="30">
        <v>46022</v>
      </c>
      <c r="G3673" t="s">
        <v>2225</v>
      </c>
      <c r="H3673" t="s">
        <v>4476</v>
      </c>
      <c r="I3673">
        <v>7</v>
      </c>
      <c r="J3673">
        <v>12.010000228881839</v>
      </c>
      <c r="O3673">
        <v>36</v>
      </c>
      <c r="P3673">
        <v>30</v>
      </c>
      <c r="Q3673">
        <v>3402</v>
      </c>
      <c r="R3673">
        <v>0</v>
      </c>
      <c r="W3673">
        <v>41640</v>
      </c>
    </row>
    <row r="3674" spans="1:28" x14ac:dyDescent="0.3">
      <c r="A3674">
        <v>428</v>
      </c>
      <c r="B3674" t="s">
        <v>2219</v>
      </c>
      <c r="C3674" t="s">
        <v>251</v>
      </c>
      <c r="D3674" t="s">
        <v>39</v>
      </c>
      <c r="E3674" t="s">
        <v>56</v>
      </c>
      <c r="F3674" s="30">
        <v>46022</v>
      </c>
      <c r="G3674" t="s">
        <v>2225</v>
      </c>
      <c r="H3674" t="s">
        <v>4478</v>
      </c>
      <c r="I3674">
        <v>1</v>
      </c>
      <c r="J3674">
        <v>254.9700012207031</v>
      </c>
      <c r="O3674">
        <v>12</v>
      </c>
      <c r="P3674">
        <v>10</v>
      </c>
      <c r="Q3674">
        <v>36</v>
      </c>
      <c r="R3674">
        <v>0</v>
      </c>
      <c r="W3674">
        <v>14788</v>
      </c>
    </row>
    <row r="3675" spans="1:28" x14ac:dyDescent="0.3">
      <c r="A3675">
        <v>428</v>
      </c>
      <c r="B3675" t="s">
        <v>2219</v>
      </c>
      <c r="C3675" t="s">
        <v>251</v>
      </c>
      <c r="D3675" t="s">
        <v>39</v>
      </c>
      <c r="E3675" t="s">
        <v>56</v>
      </c>
      <c r="F3675" s="30">
        <v>46022</v>
      </c>
      <c r="G3675" t="s">
        <v>2225</v>
      </c>
      <c r="H3675" t="s">
        <v>4477</v>
      </c>
      <c r="I3675">
        <v>1</v>
      </c>
      <c r="J3675">
        <v>116.51999664306641</v>
      </c>
      <c r="O3675">
        <v>51</v>
      </c>
      <c r="P3675">
        <v>38</v>
      </c>
      <c r="Q3675">
        <v>135</v>
      </c>
      <c r="R3675">
        <v>0</v>
      </c>
      <c r="W3675">
        <v>26100</v>
      </c>
    </row>
    <row r="3676" spans="1:28" x14ac:dyDescent="0.3">
      <c r="A3676">
        <v>429</v>
      </c>
      <c r="B3676" t="s">
        <v>2226</v>
      </c>
      <c r="C3676" t="s">
        <v>251</v>
      </c>
      <c r="D3676" t="s">
        <v>39</v>
      </c>
      <c r="E3676" t="s">
        <v>56</v>
      </c>
      <c r="F3676" s="30">
        <v>46022</v>
      </c>
      <c r="G3676" t="s">
        <v>2232</v>
      </c>
      <c r="H3676" t="s">
        <v>4468</v>
      </c>
      <c r="I3676">
        <v>0.4</v>
      </c>
      <c r="J3676">
        <v>0.62999999523162842</v>
      </c>
      <c r="O3676">
        <v>2326</v>
      </c>
      <c r="P3676">
        <v>2279</v>
      </c>
      <c r="Q3676">
        <v>14235</v>
      </c>
      <c r="R3676">
        <v>0</v>
      </c>
      <c r="AA3676">
        <v>2018.94</v>
      </c>
      <c r="AB3676">
        <v>9890.93</v>
      </c>
    </row>
    <row r="3677" spans="1:28" x14ac:dyDescent="0.3">
      <c r="A3677">
        <v>429</v>
      </c>
      <c r="B3677" t="s">
        <v>2226</v>
      </c>
      <c r="C3677" t="s">
        <v>251</v>
      </c>
      <c r="D3677" t="s">
        <v>39</v>
      </c>
      <c r="E3677" t="s">
        <v>56</v>
      </c>
      <c r="F3677" s="30">
        <v>46022</v>
      </c>
      <c r="G3677" t="s">
        <v>2232</v>
      </c>
      <c r="H3677" t="s">
        <v>4470</v>
      </c>
      <c r="I3677">
        <v>0.38</v>
      </c>
      <c r="J3677">
        <v>0.47999998927116388</v>
      </c>
      <c r="O3677">
        <v>467</v>
      </c>
      <c r="P3677">
        <v>18</v>
      </c>
      <c r="Q3677">
        <v>8892</v>
      </c>
      <c r="R3677">
        <v>3010</v>
      </c>
      <c r="AA3677">
        <v>1275.3599999999999</v>
      </c>
      <c r="AB3677">
        <v>4715.1000000000004</v>
      </c>
    </row>
    <row r="3678" spans="1:28" x14ac:dyDescent="0.3">
      <c r="A3678">
        <v>429</v>
      </c>
      <c r="B3678" t="s">
        <v>2226</v>
      </c>
      <c r="C3678" t="s">
        <v>251</v>
      </c>
      <c r="D3678" t="s">
        <v>39</v>
      </c>
      <c r="E3678" t="s">
        <v>56</v>
      </c>
      <c r="F3678" s="30">
        <v>46022</v>
      </c>
      <c r="G3678" t="s">
        <v>2232</v>
      </c>
      <c r="H3678" t="s">
        <v>4477</v>
      </c>
      <c r="I3678">
        <v>0.76</v>
      </c>
      <c r="J3678">
        <v>1.139999985694885</v>
      </c>
      <c r="O3678">
        <v>51</v>
      </c>
      <c r="P3678">
        <v>38</v>
      </c>
      <c r="Q3678">
        <v>135</v>
      </c>
      <c r="R3678">
        <v>0</v>
      </c>
      <c r="AA3678">
        <v>71.38</v>
      </c>
      <c r="AB3678">
        <v>183.01</v>
      </c>
    </row>
    <row r="3679" spans="1:28" x14ac:dyDescent="0.3">
      <c r="A3679">
        <v>429</v>
      </c>
      <c r="B3679" t="s">
        <v>2226</v>
      </c>
      <c r="C3679" t="s">
        <v>251</v>
      </c>
      <c r="D3679" t="s">
        <v>39</v>
      </c>
      <c r="E3679" t="s">
        <v>56</v>
      </c>
      <c r="F3679" s="30">
        <v>46022</v>
      </c>
      <c r="G3679" t="s">
        <v>2232</v>
      </c>
      <c r="H3679" t="s">
        <v>4469</v>
      </c>
      <c r="I3679">
        <v>0.41</v>
      </c>
      <c r="J3679">
        <v>0.41999998688697809</v>
      </c>
      <c r="O3679">
        <v>355</v>
      </c>
      <c r="P3679">
        <v>853</v>
      </c>
      <c r="Q3679">
        <v>10724</v>
      </c>
      <c r="R3679">
        <v>144</v>
      </c>
      <c r="AA3679">
        <v>320.08</v>
      </c>
      <c r="AB3679">
        <v>4809.46</v>
      </c>
    </row>
    <row r="3680" spans="1:28" x14ac:dyDescent="0.3">
      <c r="A3680">
        <v>429</v>
      </c>
      <c r="B3680" t="s">
        <v>2226</v>
      </c>
      <c r="C3680" t="s">
        <v>251</v>
      </c>
      <c r="D3680" t="s">
        <v>39</v>
      </c>
      <c r="E3680" t="s">
        <v>56</v>
      </c>
      <c r="F3680" s="30">
        <v>46022</v>
      </c>
      <c r="G3680" t="s">
        <v>2232</v>
      </c>
      <c r="H3680" t="s">
        <v>4476</v>
      </c>
      <c r="I3680">
        <v>0.76</v>
      </c>
      <c r="J3680">
        <v>0.25</v>
      </c>
      <c r="O3680">
        <v>36</v>
      </c>
      <c r="P3680">
        <v>30</v>
      </c>
      <c r="Q3680">
        <v>3402</v>
      </c>
      <c r="R3680">
        <v>0</v>
      </c>
      <c r="AA3680">
        <v>101.67</v>
      </c>
      <c r="AB3680">
        <v>760.65</v>
      </c>
    </row>
    <row r="3681" spans="1:76" x14ac:dyDescent="0.3">
      <c r="A3681">
        <v>429</v>
      </c>
      <c r="B3681" t="s">
        <v>2226</v>
      </c>
      <c r="C3681" t="s">
        <v>251</v>
      </c>
      <c r="D3681" t="s">
        <v>39</v>
      </c>
      <c r="E3681" t="s">
        <v>56</v>
      </c>
      <c r="F3681" s="30">
        <v>46022</v>
      </c>
      <c r="G3681" t="s">
        <v>2232</v>
      </c>
      <c r="H3681" t="s">
        <v>4478</v>
      </c>
      <c r="I3681">
        <v>0.76</v>
      </c>
      <c r="J3681">
        <v>3.2000000476837158</v>
      </c>
      <c r="O3681">
        <v>12</v>
      </c>
      <c r="P3681">
        <v>10</v>
      </c>
      <c r="Q3681">
        <v>36</v>
      </c>
      <c r="R3681">
        <v>0</v>
      </c>
      <c r="AA3681">
        <v>55.85</v>
      </c>
      <c r="AB3681">
        <v>129.97999999999999</v>
      </c>
    </row>
    <row r="3682" spans="1:76" x14ac:dyDescent="0.3">
      <c r="A3682">
        <v>430</v>
      </c>
      <c r="B3682" t="s">
        <v>2233</v>
      </c>
      <c r="C3682" t="s">
        <v>210</v>
      </c>
      <c r="D3682" t="s">
        <v>39</v>
      </c>
      <c r="E3682" t="s">
        <v>22</v>
      </c>
      <c r="F3682" s="30">
        <v>46022</v>
      </c>
      <c r="G3682" t="s">
        <v>2239</v>
      </c>
      <c r="H3682" t="s">
        <v>4529</v>
      </c>
      <c r="I3682">
        <v>95</v>
      </c>
      <c r="J3682">
        <v>111.63999938964839</v>
      </c>
      <c r="BT3682">
        <v>5077859383</v>
      </c>
      <c r="BU3682">
        <v>5668747521</v>
      </c>
    </row>
    <row r="3683" spans="1:76" x14ac:dyDescent="0.3">
      <c r="A3683">
        <v>430</v>
      </c>
      <c r="B3683" t="s">
        <v>2233</v>
      </c>
      <c r="C3683" t="s">
        <v>210</v>
      </c>
      <c r="D3683" t="s">
        <v>39</v>
      </c>
      <c r="E3683" t="s">
        <v>22</v>
      </c>
      <c r="F3683" s="30">
        <v>46022</v>
      </c>
      <c r="G3683" t="s">
        <v>2239</v>
      </c>
      <c r="H3683" t="s">
        <v>4530</v>
      </c>
      <c r="I3683">
        <v>95</v>
      </c>
      <c r="J3683">
        <v>101.4899978637695</v>
      </c>
      <c r="BT3683">
        <v>20968626250</v>
      </c>
      <c r="BU3683">
        <v>21280774206</v>
      </c>
    </row>
    <row r="3684" spans="1:76" x14ac:dyDescent="0.3">
      <c r="A3684">
        <v>430</v>
      </c>
      <c r="B3684" t="s">
        <v>2233</v>
      </c>
      <c r="C3684" t="s">
        <v>210</v>
      </c>
      <c r="D3684" t="s">
        <v>39</v>
      </c>
      <c r="E3684" t="s">
        <v>22</v>
      </c>
      <c r="F3684" s="30">
        <v>46022</v>
      </c>
      <c r="G3684" t="s">
        <v>2239</v>
      </c>
      <c r="H3684" t="s">
        <v>4532</v>
      </c>
      <c r="I3684">
        <v>95</v>
      </c>
      <c r="J3684">
        <v>118.4300003051758</v>
      </c>
      <c r="BT3684">
        <v>81061892240</v>
      </c>
      <c r="BU3684">
        <v>96004377074</v>
      </c>
    </row>
    <row r="3685" spans="1:76" x14ac:dyDescent="0.3">
      <c r="A3685">
        <v>430</v>
      </c>
      <c r="B3685" t="s">
        <v>2233</v>
      </c>
      <c r="C3685" t="s">
        <v>210</v>
      </c>
      <c r="D3685" t="s">
        <v>39</v>
      </c>
      <c r="E3685" t="s">
        <v>22</v>
      </c>
      <c r="F3685" s="30">
        <v>46022</v>
      </c>
      <c r="G3685" t="s">
        <v>2239</v>
      </c>
      <c r="H3685" t="s">
        <v>4531</v>
      </c>
      <c r="I3685">
        <v>95</v>
      </c>
      <c r="J3685">
        <v>102.51999664306641</v>
      </c>
      <c r="BT3685">
        <v>35199212763</v>
      </c>
      <c r="BU3685">
        <v>36085084526</v>
      </c>
    </row>
    <row r="3686" spans="1:76" x14ac:dyDescent="0.3">
      <c r="A3686">
        <v>433</v>
      </c>
      <c r="B3686" t="s">
        <v>2260</v>
      </c>
      <c r="C3686" t="s">
        <v>251</v>
      </c>
      <c r="D3686" t="s">
        <v>39</v>
      </c>
      <c r="E3686" t="s">
        <v>56</v>
      </c>
      <c r="F3686" s="30">
        <v>46022</v>
      </c>
      <c r="G3686" t="s">
        <v>2266</v>
      </c>
      <c r="H3686" t="s">
        <v>4468</v>
      </c>
      <c r="I3686">
        <v>0.1</v>
      </c>
      <c r="J3686">
        <v>0.37000000476837158</v>
      </c>
      <c r="O3686">
        <v>2326</v>
      </c>
      <c r="P3686">
        <v>2279</v>
      </c>
      <c r="Q3686">
        <v>14235</v>
      </c>
      <c r="R3686">
        <v>0</v>
      </c>
      <c r="BV3686">
        <v>7056.86</v>
      </c>
    </row>
    <row r="3687" spans="1:76" x14ac:dyDescent="0.3">
      <c r="A3687">
        <v>433</v>
      </c>
      <c r="B3687" t="s">
        <v>2260</v>
      </c>
      <c r="C3687" t="s">
        <v>251</v>
      </c>
      <c r="D3687" t="s">
        <v>39</v>
      </c>
      <c r="E3687" t="s">
        <v>56</v>
      </c>
      <c r="F3687" s="30">
        <v>46022</v>
      </c>
      <c r="G3687" t="s">
        <v>2266</v>
      </c>
      <c r="H3687" t="s">
        <v>4470</v>
      </c>
      <c r="I3687">
        <v>0.05</v>
      </c>
      <c r="J3687">
        <v>2.999999932944775E-2</v>
      </c>
      <c r="O3687">
        <v>467</v>
      </c>
      <c r="P3687">
        <v>18</v>
      </c>
      <c r="Q3687">
        <v>8892</v>
      </c>
      <c r="R3687">
        <v>3010</v>
      </c>
      <c r="BV3687">
        <v>334.53</v>
      </c>
    </row>
    <row r="3688" spans="1:76" x14ac:dyDescent="0.3">
      <c r="A3688">
        <v>433</v>
      </c>
      <c r="B3688" t="s">
        <v>2260</v>
      </c>
      <c r="C3688" t="s">
        <v>251</v>
      </c>
      <c r="D3688" t="s">
        <v>39</v>
      </c>
      <c r="E3688" t="s">
        <v>56</v>
      </c>
      <c r="F3688" s="30">
        <v>46022</v>
      </c>
      <c r="G3688" t="s">
        <v>2266</v>
      </c>
      <c r="H3688" t="s">
        <v>4477</v>
      </c>
      <c r="I3688">
        <v>0.05</v>
      </c>
      <c r="J3688">
        <v>0</v>
      </c>
      <c r="O3688">
        <v>51</v>
      </c>
      <c r="P3688">
        <v>38</v>
      </c>
      <c r="Q3688">
        <v>135</v>
      </c>
      <c r="R3688">
        <v>0</v>
      </c>
      <c r="BV3688">
        <v>0</v>
      </c>
    </row>
    <row r="3689" spans="1:76" x14ac:dyDescent="0.3">
      <c r="A3689">
        <v>433</v>
      </c>
      <c r="B3689" t="s">
        <v>2260</v>
      </c>
      <c r="C3689" t="s">
        <v>251</v>
      </c>
      <c r="D3689" t="s">
        <v>39</v>
      </c>
      <c r="E3689" t="s">
        <v>56</v>
      </c>
      <c r="F3689" s="30">
        <v>46022</v>
      </c>
      <c r="G3689" t="s">
        <v>2266</v>
      </c>
      <c r="H3689" t="s">
        <v>4476</v>
      </c>
      <c r="I3689">
        <v>0.05</v>
      </c>
      <c r="J3689">
        <v>0</v>
      </c>
      <c r="O3689">
        <v>36</v>
      </c>
      <c r="P3689">
        <v>30</v>
      </c>
      <c r="Q3689">
        <v>3402</v>
      </c>
      <c r="R3689">
        <v>0</v>
      </c>
      <c r="BV3689">
        <v>1.3</v>
      </c>
    </row>
    <row r="3690" spans="1:76" x14ac:dyDescent="0.3">
      <c r="A3690">
        <v>433</v>
      </c>
      <c r="B3690" t="s">
        <v>2260</v>
      </c>
      <c r="C3690" t="s">
        <v>251</v>
      </c>
      <c r="D3690" t="s">
        <v>39</v>
      </c>
      <c r="E3690" t="s">
        <v>56</v>
      </c>
      <c r="F3690" s="30">
        <v>46022</v>
      </c>
      <c r="G3690" t="s">
        <v>2266</v>
      </c>
      <c r="H3690" t="s">
        <v>4478</v>
      </c>
      <c r="I3690">
        <v>0.05</v>
      </c>
      <c r="J3690">
        <v>0</v>
      </c>
      <c r="O3690">
        <v>12</v>
      </c>
      <c r="P3690">
        <v>10</v>
      </c>
      <c r="Q3690">
        <v>36</v>
      </c>
      <c r="R3690">
        <v>0</v>
      </c>
      <c r="BV3690">
        <v>0</v>
      </c>
    </row>
    <row r="3691" spans="1:76" x14ac:dyDescent="0.3">
      <c r="A3691">
        <v>433</v>
      </c>
      <c r="B3691" t="s">
        <v>2260</v>
      </c>
      <c r="C3691" t="s">
        <v>251</v>
      </c>
      <c r="D3691" t="s">
        <v>39</v>
      </c>
      <c r="E3691" t="s">
        <v>56</v>
      </c>
      <c r="F3691" s="30">
        <v>46022</v>
      </c>
      <c r="G3691" t="s">
        <v>2266</v>
      </c>
      <c r="H3691" t="s">
        <v>4469</v>
      </c>
      <c r="I3691">
        <v>0.05</v>
      </c>
      <c r="J3691">
        <v>3.9999999105930328E-2</v>
      </c>
      <c r="O3691">
        <v>355</v>
      </c>
      <c r="P3691">
        <v>853</v>
      </c>
      <c r="Q3691">
        <v>10724</v>
      </c>
      <c r="R3691">
        <v>144</v>
      </c>
      <c r="BV3691">
        <v>541</v>
      </c>
    </row>
    <row r="3692" spans="1:76" x14ac:dyDescent="0.3">
      <c r="A3692">
        <v>435</v>
      </c>
      <c r="B3692" t="s">
        <v>2304</v>
      </c>
      <c r="C3692" t="s">
        <v>251</v>
      </c>
      <c r="D3692" t="s">
        <v>39</v>
      </c>
      <c r="E3692" t="s">
        <v>22</v>
      </c>
      <c r="F3692" s="30">
        <v>46022</v>
      </c>
      <c r="G3692" t="s">
        <v>2310</v>
      </c>
      <c r="H3692" t="s">
        <v>4468</v>
      </c>
      <c r="I3692">
        <v>100</v>
      </c>
      <c r="J3692">
        <v>-640</v>
      </c>
      <c r="BW3692">
        <v>0.05</v>
      </c>
      <c r="BX3692">
        <v>0.37</v>
      </c>
    </row>
    <row r="3693" spans="1:76" x14ac:dyDescent="0.3">
      <c r="A3693">
        <v>435</v>
      </c>
      <c r="B3693" t="s">
        <v>2304</v>
      </c>
      <c r="C3693" t="s">
        <v>251</v>
      </c>
      <c r="D3693" t="s">
        <v>39</v>
      </c>
      <c r="E3693" t="s">
        <v>22</v>
      </c>
      <c r="F3693" s="30">
        <v>46022</v>
      </c>
      <c r="G3693" t="s">
        <v>2310</v>
      </c>
      <c r="H3693" t="s">
        <v>4477</v>
      </c>
      <c r="I3693">
        <v>100</v>
      </c>
      <c r="J3693">
        <v>0</v>
      </c>
      <c r="BW3693">
        <v>0</v>
      </c>
      <c r="BX3693">
        <v>0</v>
      </c>
    </row>
    <row r="3694" spans="1:76" x14ac:dyDescent="0.3">
      <c r="A3694">
        <v>435</v>
      </c>
      <c r="B3694" t="s">
        <v>2304</v>
      </c>
      <c r="C3694" t="s">
        <v>251</v>
      </c>
      <c r="D3694" t="s">
        <v>39</v>
      </c>
      <c r="E3694" t="s">
        <v>22</v>
      </c>
      <c r="F3694" s="30">
        <v>46022</v>
      </c>
      <c r="G3694" t="s">
        <v>2310</v>
      </c>
      <c r="H3694" t="s">
        <v>4469</v>
      </c>
      <c r="I3694">
        <v>100</v>
      </c>
      <c r="J3694">
        <v>-3900</v>
      </c>
      <c r="BW3694">
        <v>1E-3</v>
      </c>
      <c r="BX3694">
        <v>0.04</v>
      </c>
    </row>
    <row r="3695" spans="1:76" x14ac:dyDescent="0.3">
      <c r="A3695">
        <v>435</v>
      </c>
      <c r="B3695" t="s">
        <v>2304</v>
      </c>
      <c r="C3695" t="s">
        <v>251</v>
      </c>
      <c r="D3695" t="s">
        <v>39</v>
      </c>
      <c r="E3695" t="s">
        <v>22</v>
      </c>
      <c r="F3695" s="30">
        <v>46022</v>
      </c>
      <c r="G3695" t="s">
        <v>2310</v>
      </c>
      <c r="H3695" t="s">
        <v>4476</v>
      </c>
      <c r="I3695">
        <v>100</v>
      </c>
      <c r="J3695">
        <v>0</v>
      </c>
      <c r="BW3695">
        <v>1E-3</v>
      </c>
      <c r="BX3695">
        <v>1E-3</v>
      </c>
    </row>
    <row r="3696" spans="1:76" x14ac:dyDescent="0.3">
      <c r="A3696">
        <v>435</v>
      </c>
      <c r="B3696" t="s">
        <v>2304</v>
      </c>
      <c r="C3696" t="s">
        <v>251</v>
      </c>
      <c r="D3696" t="s">
        <v>39</v>
      </c>
      <c r="E3696" t="s">
        <v>22</v>
      </c>
      <c r="F3696" s="30">
        <v>46022</v>
      </c>
      <c r="G3696" t="s">
        <v>2310</v>
      </c>
      <c r="H3696" t="s">
        <v>4478</v>
      </c>
      <c r="I3696">
        <v>100</v>
      </c>
      <c r="J3696">
        <v>0</v>
      </c>
      <c r="BW3696">
        <v>0</v>
      </c>
      <c r="BX3696">
        <v>0</v>
      </c>
    </row>
    <row r="3697" spans="1:151" x14ac:dyDescent="0.3">
      <c r="A3697">
        <v>435</v>
      </c>
      <c r="B3697" t="s">
        <v>2304</v>
      </c>
      <c r="C3697" t="s">
        <v>251</v>
      </c>
      <c r="D3697" t="s">
        <v>39</v>
      </c>
      <c r="E3697" t="s">
        <v>22</v>
      </c>
      <c r="F3697" s="30">
        <v>46022</v>
      </c>
      <c r="G3697" t="s">
        <v>2310</v>
      </c>
      <c r="H3697" t="s">
        <v>4470</v>
      </c>
      <c r="I3697">
        <v>100</v>
      </c>
      <c r="J3697">
        <v>-2900</v>
      </c>
      <c r="BW3697">
        <v>1E-3</v>
      </c>
      <c r="BX3697">
        <v>0.03</v>
      </c>
    </row>
    <row r="3698" spans="1:151" x14ac:dyDescent="0.3">
      <c r="A3698">
        <v>439</v>
      </c>
      <c r="B3698" t="s">
        <v>2354</v>
      </c>
      <c r="C3698" t="s">
        <v>1801</v>
      </c>
      <c r="D3698" t="s">
        <v>39</v>
      </c>
      <c r="E3698" t="s">
        <v>22</v>
      </c>
      <c r="F3698" s="30">
        <v>46022</v>
      </c>
      <c r="G3698" t="s">
        <v>2360</v>
      </c>
      <c r="H3698" t="s">
        <v>4500</v>
      </c>
      <c r="I3698">
        <v>100</v>
      </c>
      <c r="J3698">
        <v>100</v>
      </c>
      <c r="CY3698">
        <v>342</v>
      </c>
      <c r="CZ3698">
        <v>342</v>
      </c>
    </row>
    <row r="3699" spans="1:151" x14ac:dyDescent="0.3">
      <c r="A3699">
        <v>439</v>
      </c>
      <c r="B3699" t="s">
        <v>2354</v>
      </c>
      <c r="C3699" t="s">
        <v>1801</v>
      </c>
      <c r="D3699" t="s">
        <v>39</v>
      </c>
      <c r="E3699" t="s">
        <v>22</v>
      </c>
      <c r="F3699" s="30">
        <v>46022</v>
      </c>
      <c r="G3699" t="s">
        <v>2360</v>
      </c>
      <c r="H3699" t="s">
        <v>4499</v>
      </c>
      <c r="I3699">
        <v>100</v>
      </c>
      <c r="J3699">
        <v>100</v>
      </c>
      <c r="CY3699">
        <v>861</v>
      </c>
      <c r="CZ3699">
        <v>861</v>
      </c>
    </row>
    <row r="3700" spans="1:151" x14ac:dyDescent="0.3">
      <c r="A3700">
        <v>440</v>
      </c>
      <c r="B3700" t="s">
        <v>2361</v>
      </c>
      <c r="C3700" t="s">
        <v>1801</v>
      </c>
      <c r="D3700" t="s">
        <v>39</v>
      </c>
      <c r="E3700" t="s">
        <v>22</v>
      </c>
      <c r="F3700" s="30">
        <v>46022</v>
      </c>
      <c r="G3700" t="s">
        <v>2367</v>
      </c>
      <c r="H3700" t="s">
        <v>4499</v>
      </c>
      <c r="I3700">
        <v>98</v>
      </c>
      <c r="J3700">
        <v>99.769996643066406</v>
      </c>
      <c r="DA3700">
        <v>43932</v>
      </c>
      <c r="DB3700">
        <v>44035</v>
      </c>
    </row>
    <row r="3701" spans="1:151" x14ac:dyDescent="0.3">
      <c r="A3701">
        <v>440</v>
      </c>
      <c r="B3701" t="s">
        <v>2361</v>
      </c>
      <c r="C3701" t="s">
        <v>1801</v>
      </c>
      <c r="D3701" t="s">
        <v>39</v>
      </c>
      <c r="E3701" t="s">
        <v>22</v>
      </c>
      <c r="F3701" s="30">
        <v>46022</v>
      </c>
      <c r="G3701" t="s">
        <v>2367</v>
      </c>
      <c r="H3701" t="s">
        <v>4500</v>
      </c>
      <c r="I3701">
        <v>98</v>
      </c>
      <c r="J3701">
        <v>99.430000305175781</v>
      </c>
      <c r="DA3701">
        <v>4004</v>
      </c>
      <c r="DB3701">
        <v>4027</v>
      </c>
    </row>
    <row r="3702" spans="1:151" x14ac:dyDescent="0.3">
      <c r="A3702">
        <v>473</v>
      </c>
      <c r="B3702" t="s">
        <v>2488</v>
      </c>
      <c r="C3702" t="s">
        <v>1234</v>
      </c>
      <c r="D3702" t="s">
        <v>39</v>
      </c>
      <c r="E3702" t="s">
        <v>22</v>
      </c>
      <c r="F3702" s="30">
        <v>46022</v>
      </c>
      <c r="G3702" t="s">
        <v>2491</v>
      </c>
      <c r="H3702" t="s">
        <v>4634</v>
      </c>
      <c r="I3702">
        <v>100</v>
      </c>
      <c r="J3702">
        <v>0</v>
      </c>
      <c r="DM3702">
        <v>0</v>
      </c>
      <c r="DN3702">
        <v>0</v>
      </c>
    </row>
    <row r="3703" spans="1:151" x14ac:dyDescent="0.3">
      <c r="A3703">
        <v>473</v>
      </c>
      <c r="B3703" t="s">
        <v>2488</v>
      </c>
      <c r="C3703" t="s">
        <v>1234</v>
      </c>
      <c r="D3703" t="s">
        <v>39</v>
      </c>
      <c r="E3703" t="s">
        <v>22</v>
      </c>
      <c r="F3703" s="30">
        <v>46022</v>
      </c>
      <c r="G3703" t="s">
        <v>2491</v>
      </c>
      <c r="H3703" t="s">
        <v>4635</v>
      </c>
      <c r="I3703">
        <v>100</v>
      </c>
      <c r="J3703">
        <v>0</v>
      </c>
      <c r="DM3703">
        <v>0</v>
      </c>
      <c r="DN3703">
        <v>0</v>
      </c>
    </row>
    <row r="3704" spans="1:151" x14ac:dyDescent="0.3">
      <c r="A3704">
        <v>473</v>
      </c>
      <c r="B3704" t="s">
        <v>2488</v>
      </c>
      <c r="C3704" t="s">
        <v>1234</v>
      </c>
      <c r="D3704" t="s">
        <v>39</v>
      </c>
      <c r="E3704" t="s">
        <v>22</v>
      </c>
      <c r="F3704" s="30">
        <v>46022</v>
      </c>
      <c r="G3704" t="s">
        <v>2491</v>
      </c>
      <c r="H3704" t="s">
        <v>4645</v>
      </c>
      <c r="I3704">
        <v>100</v>
      </c>
      <c r="J3704">
        <v>0</v>
      </c>
      <c r="DM3704">
        <v>0</v>
      </c>
      <c r="DN3704">
        <v>0</v>
      </c>
    </row>
    <row r="3705" spans="1:151" x14ac:dyDescent="0.3">
      <c r="A3705">
        <v>476</v>
      </c>
      <c r="B3705" t="s">
        <v>2499</v>
      </c>
      <c r="C3705" t="s">
        <v>1234</v>
      </c>
      <c r="D3705" t="s">
        <v>39</v>
      </c>
      <c r="E3705" t="s">
        <v>22</v>
      </c>
      <c r="F3705" s="30">
        <v>46022</v>
      </c>
      <c r="G3705" t="s">
        <v>2503</v>
      </c>
      <c r="H3705" t="s">
        <v>4645</v>
      </c>
      <c r="I3705">
        <v>100</v>
      </c>
      <c r="J3705">
        <v>100</v>
      </c>
      <c r="DQ3705">
        <v>36</v>
      </c>
      <c r="DR3705">
        <v>36</v>
      </c>
    </row>
    <row r="3706" spans="1:151" x14ac:dyDescent="0.3">
      <c r="A3706">
        <v>519</v>
      </c>
      <c r="B3706" t="s">
        <v>2648</v>
      </c>
      <c r="C3706" t="s">
        <v>1998</v>
      </c>
      <c r="D3706" t="s">
        <v>39</v>
      </c>
      <c r="E3706" t="s">
        <v>22</v>
      </c>
      <c r="F3706" s="30">
        <v>46022</v>
      </c>
      <c r="G3706" t="s">
        <v>2650</v>
      </c>
      <c r="H3706" t="s">
        <v>56</v>
      </c>
      <c r="I3706">
        <v>100</v>
      </c>
      <c r="J3706">
        <v>148.1499938964844</v>
      </c>
      <c r="EP3706">
        <v>2</v>
      </c>
      <c r="EQ3706">
        <v>1.35</v>
      </c>
    </row>
    <row r="3707" spans="1:151" x14ac:dyDescent="0.3">
      <c r="A3707">
        <v>519</v>
      </c>
      <c r="B3707" t="s">
        <v>2648</v>
      </c>
      <c r="C3707" t="s">
        <v>1998</v>
      </c>
      <c r="D3707" t="s">
        <v>39</v>
      </c>
      <c r="E3707" t="s">
        <v>22</v>
      </c>
      <c r="F3707" s="30">
        <v>46022</v>
      </c>
      <c r="G3707" t="s">
        <v>2650</v>
      </c>
      <c r="H3707" t="s">
        <v>4660</v>
      </c>
      <c r="I3707">
        <v>100</v>
      </c>
      <c r="J3707">
        <v>114.11000061035161</v>
      </c>
      <c r="EP3707">
        <v>38</v>
      </c>
      <c r="EQ3707">
        <v>33.299999999999997</v>
      </c>
    </row>
    <row r="3708" spans="1:151" x14ac:dyDescent="0.3">
      <c r="A3708">
        <v>523</v>
      </c>
      <c r="B3708" t="s">
        <v>1945</v>
      </c>
      <c r="C3708" t="s">
        <v>210</v>
      </c>
      <c r="D3708" t="s">
        <v>39</v>
      </c>
      <c r="E3708" t="s">
        <v>22</v>
      </c>
      <c r="F3708" s="30">
        <v>46022</v>
      </c>
      <c r="G3708" t="s">
        <v>2653</v>
      </c>
      <c r="H3708" t="s">
        <v>4513</v>
      </c>
      <c r="I3708">
        <v>95</v>
      </c>
      <c r="J3708">
        <v>85.889999389648438</v>
      </c>
      <c r="ER3708">
        <v>4791179140</v>
      </c>
      <c r="ES3708">
        <v>4114986324</v>
      </c>
    </row>
    <row r="3709" spans="1:151" x14ac:dyDescent="0.3">
      <c r="A3709">
        <v>523</v>
      </c>
      <c r="B3709" t="s">
        <v>1945</v>
      </c>
      <c r="C3709" t="s">
        <v>210</v>
      </c>
      <c r="D3709" t="s">
        <v>39</v>
      </c>
      <c r="E3709" t="s">
        <v>22</v>
      </c>
      <c r="F3709" s="30">
        <v>46022</v>
      </c>
      <c r="G3709" t="s">
        <v>2653</v>
      </c>
      <c r="H3709" t="s">
        <v>4661</v>
      </c>
      <c r="I3709">
        <v>95</v>
      </c>
      <c r="J3709">
        <v>103.9100036621094</v>
      </c>
      <c r="ER3709">
        <v>2480947219</v>
      </c>
      <c r="ES3709">
        <v>2577870000</v>
      </c>
    </row>
    <row r="3710" spans="1:151" x14ac:dyDescent="0.3">
      <c r="A3710">
        <v>523</v>
      </c>
      <c r="B3710" t="s">
        <v>1945</v>
      </c>
      <c r="C3710" t="s">
        <v>210</v>
      </c>
      <c r="D3710" t="s">
        <v>39</v>
      </c>
      <c r="E3710" t="s">
        <v>22</v>
      </c>
      <c r="F3710" s="30">
        <v>46022</v>
      </c>
      <c r="G3710" t="s">
        <v>2653</v>
      </c>
      <c r="H3710" t="s">
        <v>4662</v>
      </c>
      <c r="I3710">
        <v>95</v>
      </c>
      <c r="J3710">
        <v>105.1800003051758</v>
      </c>
      <c r="ER3710">
        <v>2940238740</v>
      </c>
      <c r="ES3710">
        <v>3092685378</v>
      </c>
    </row>
    <row r="3711" spans="1:151" x14ac:dyDescent="0.3">
      <c r="A3711">
        <v>524</v>
      </c>
      <c r="B3711" t="s">
        <v>2185</v>
      </c>
      <c r="C3711" t="s">
        <v>2186</v>
      </c>
      <c r="D3711" t="s">
        <v>39</v>
      </c>
      <c r="E3711" t="s">
        <v>22</v>
      </c>
      <c r="F3711" s="30">
        <v>46022</v>
      </c>
      <c r="G3711" t="s">
        <v>2655</v>
      </c>
      <c r="H3711" t="s">
        <v>4663</v>
      </c>
      <c r="I3711">
        <v>143.41200000000001</v>
      </c>
      <c r="J3711">
        <v>99.639999389648438</v>
      </c>
      <c r="ET3711">
        <v>87620</v>
      </c>
      <c r="EU3711">
        <v>87937</v>
      </c>
    </row>
    <row r="3712" spans="1:151" x14ac:dyDescent="0.3">
      <c r="A3712">
        <v>524</v>
      </c>
      <c r="B3712" t="s">
        <v>2185</v>
      </c>
      <c r="C3712" t="s">
        <v>2186</v>
      </c>
      <c r="D3712" t="s">
        <v>39</v>
      </c>
      <c r="E3712" t="s">
        <v>22</v>
      </c>
      <c r="F3712" s="30">
        <v>46022</v>
      </c>
      <c r="G3712" t="s">
        <v>2655</v>
      </c>
      <c r="H3712" t="s">
        <v>4665</v>
      </c>
      <c r="I3712">
        <v>143.41200000000001</v>
      </c>
      <c r="J3712">
        <v>69.75</v>
      </c>
      <c r="ET3712">
        <v>3539</v>
      </c>
      <c r="EU3712">
        <v>5074</v>
      </c>
    </row>
    <row r="3713" spans="1:161" x14ac:dyDescent="0.3">
      <c r="A3713">
        <v>524</v>
      </c>
      <c r="B3713" t="s">
        <v>2185</v>
      </c>
      <c r="C3713" t="s">
        <v>2186</v>
      </c>
      <c r="D3713" t="s">
        <v>39</v>
      </c>
      <c r="E3713" t="s">
        <v>22</v>
      </c>
      <c r="F3713" s="30">
        <v>46022</v>
      </c>
      <c r="G3713" t="s">
        <v>2655</v>
      </c>
      <c r="H3713" t="s">
        <v>4666</v>
      </c>
      <c r="I3713">
        <v>143.41200000000001</v>
      </c>
      <c r="J3713">
        <v>116.23000335693359</v>
      </c>
      <c r="ET3713">
        <v>43583</v>
      </c>
      <c r="EU3713">
        <v>37497</v>
      </c>
    </row>
    <row r="3714" spans="1:161" x14ac:dyDescent="0.3">
      <c r="A3714">
        <v>524</v>
      </c>
      <c r="B3714" t="s">
        <v>2185</v>
      </c>
      <c r="C3714" t="s">
        <v>2186</v>
      </c>
      <c r="D3714" t="s">
        <v>39</v>
      </c>
      <c r="E3714" t="s">
        <v>22</v>
      </c>
      <c r="F3714" s="30">
        <v>46022</v>
      </c>
      <c r="G3714" t="s">
        <v>2655</v>
      </c>
      <c r="H3714" t="s">
        <v>4667</v>
      </c>
      <c r="I3714">
        <v>143.41200000000001</v>
      </c>
      <c r="J3714">
        <v>125.86000061035161</v>
      </c>
      <c r="ET3714">
        <v>1280</v>
      </c>
      <c r="EU3714">
        <v>1017</v>
      </c>
    </row>
    <row r="3715" spans="1:161" x14ac:dyDescent="0.3">
      <c r="A3715">
        <v>524</v>
      </c>
      <c r="B3715" t="s">
        <v>2185</v>
      </c>
      <c r="C3715" t="s">
        <v>2186</v>
      </c>
      <c r="D3715" t="s">
        <v>39</v>
      </c>
      <c r="E3715" t="s">
        <v>22</v>
      </c>
      <c r="F3715" s="30">
        <v>46022</v>
      </c>
      <c r="G3715" t="s">
        <v>2655</v>
      </c>
      <c r="H3715" t="s">
        <v>4668</v>
      </c>
      <c r="I3715">
        <v>143.41200000000001</v>
      </c>
      <c r="J3715">
        <v>236.5899963378906</v>
      </c>
      <c r="ET3715">
        <v>1843</v>
      </c>
      <c r="EU3715">
        <v>779</v>
      </c>
    </row>
    <row r="3716" spans="1:161" x14ac:dyDescent="0.3">
      <c r="A3716">
        <v>524</v>
      </c>
      <c r="B3716" t="s">
        <v>2185</v>
      </c>
      <c r="C3716" t="s">
        <v>2186</v>
      </c>
      <c r="D3716" t="s">
        <v>39</v>
      </c>
      <c r="E3716" t="s">
        <v>22</v>
      </c>
      <c r="F3716" s="30">
        <v>46022</v>
      </c>
      <c r="G3716" t="s">
        <v>2655</v>
      </c>
      <c r="H3716" t="s">
        <v>4664</v>
      </c>
      <c r="I3716">
        <v>143.41200000000001</v>
      </c>
      <c r="J3716">
        <v>128.36000061035159</v>
      </c>
      <c r="ET3716">
        <v>14259</v>
      </c>
      <c r="EU3716">
        <v>11109</v>
      </c>
    </row>
    <row r="3717" spans="1:161" x14ac:dyDescent="0.3">
      <c r="A3717">
        <v>532</v>
      </c>
      <c r="B3717" t="s">
        <v>2664</v>
      </c>
      <c r="C3717" t="s">
        <v>454</v>
      </c>
      <c r="D3717" t="s">
        <v>39</v>
      </c>
      <c r="E3717" t="s">
        <v>22</v>
      </c>
      <c r="F3717" s="30">
        <v>46022</v>
      </c>
      <c r="G3717" t="s">
        <v>2666</v>
      </c>
      <c r="H3717" t="s">
        <v>1555</v>
      </c>
      <c r="I3717">
        <v>100</v>
      </c>
      <c r="J3717">
        <v>233.33000183105469</v>
      </c>
      <c r="EV3717">
        <v>70</v>
      </c>
      <c r="EW3717">
        <v>30</v>
      </c>
    </row>
    <row r="3718" spans="1:161" x14ac:dyDescent="0.3">
      <c r="A3718">
        <v>532</v>
      </c>
      <c r="B3718" t="s">
        <v>2664</v>
      </c>
      <c r="C3718" t="s">
        <v>454</v>
      </c>
      <c r="D3718" t="s">
        <v>39</v>
      </c>
      <c r="E3718" t="s">
        <v>22</v>
      </c>
      <c r="F3718" s="30">
        <v>46022</v>
      </c>
      <c r="G3718" t="s">
        <v>2666</v>
      </c>
      <c r="H3718" t="s">
        <v>1581</v>
      </c>
      <c r="I3718">
        <v>100</v>
      </c>
      <c r="J3718">
        <v>109</v>
      </c>
      <c r="EV3718">
        <v>109</v>
      </c>
      <c r="EW3718">
        <v>100</v>
      </c>
    </row>
    <row r="3719" spans="1:161" x14ac:dyDescent="0.3">
      <c r="A3719">
        <v>532</v>
      </c>
      <c r="B3719" t="s">
        <v>2664</v>
      </c>
      <c r="C3719" t="s">
        <v>454</v>
      </c>
      <c r="D3719" t="s">
        <v>39</v>
      </c>
      <c r="E3719" t="s">
        <v>22</v>
      </c>
      <c r="F3719" s="30">
        <v>46022</v>
      </c>
      <c r="G3719" t="s">
        <v>2666</v>
      </c>
      <c r="H3719" t="s">
        <v>1586</v>
      </c>
      <c r="I3719">
        <v>100</v>
      </c>
      <c r="J3719">
        <v>150</v>
      </c>
      <c r="EV3719">
        <v>9</v>
      </c>
      <c r="EW3719">
        <v>6</v>
      </c>
    </row>
    <row r="3720" spans="1:161" x14ac:dyDescent="0.3">
      <c r="A3720">
        <v>532</v>
      </c>
      <c r="B3720" t="s">
        <v>2664</v>
      </c>
      <c r="C3720" t="s">
        <v>454</v>
      </c>
      <c r="D3720" t="s">
        <v>39</v>
      </c>
      <c r="E3720" t="s">
        <v>22</v>
      </c>
      <c r="F3720" s="30">
        <v>46022</v>
      </c>
      <c r="G3720" t="s">
        <v>2666</v>
      </c>
      <c r="H3720" t="s">
        <v>1591</v>
      </c>
      <c r="I3720">
        <v>100</v>
      </c>
      <c r="J3720">
        <v>116</v>
      </c>
      <c r="EV3720">
        <v>29</v>
      </c>
      <c r="EW3720">
        <v>25</v>
      </c>
    </row>
    <row r="3721" spans="1:161" x14ac:dyDescent="0.3">
      <c r="A3721">
        <v>533</v>
      </c>
      <c r="B3721" t="s">
        <v>2667</v>
      </c>
      <c r="C3721" t="s">
        <v>454</v>
      </c>
      <c r="D3721" t="s">
        <v>39</v>
      </c>
      <c r="E3721" t="s">
        <v>22</v>
      </c>
      <c r="F3721" s="30">
        <v>46022</v>
      </c>
      <c r="G3721" t="s">
        <v>2669</v>
      </c>
      <c r="H3721" t="s">
        <v>1571</v>
      </c>
      <c r="I3721">
        <v>100</v>
      </c>
      <c r="J3721">
        <v>246.25</v>
      </c>
      <c r="EX3721">
        <v>80</v>
      </c>
      <c r="EY3721">
        <v>197</v>
      </c>
    </row>
    <row r="3722" spans="1:161" x14ac:dyDescent="0.3">
      <c r="A3722">
        <v>533</v>
      </c>
      <c r="B3722" t="s">
        <v>2667</v>
      </c>
      <c r="C3722" t="s">
        <v>454</v>
      </c>
      <c r="D3722" t="s">
        <v>39</v>
      </c>
      <c r="E3722" t="s">
        <v>22</v>
      </c>
      <c r="F3722" s="30">
        <v>46022</v>
      </c>
      <c r="G3722" t="s">
        <v>2669</v>
      </c>
      <c r="H3722" t="s">
        <v>4669</v>
      </c>
      <c r="I3722">
        <v>100</v>
      </c>
      <c r="J3722">
        <v>171.1300048828125</v>
      </c>
      <c r="EX3722">
        <v>800</v>
      </c>
      <c r="EY3722">
        <v>1369</v>
      </c>
    </row>
    <row r="3723" spans="1:161" x14ac:dyDescent="0.3">
      <c r="A3723">
        <v>534</v>
      </c>
      <c r="B3723" t="s">
        <v>2670</v>
      </c>
      <c r="C3723" t="s">
        <v>454</v>
      </c>
      <c r="D3723" t="s">
        <v>39</v>
      </c>
      <c r="E3723" t="s">
        <v>22</v>
      </c>
      <c r="F3723" s="30">
        <v>46022</v>
      </c>
      <c r="G3723" t="s">
        <v>2672</v>
      </c>
      <c r="H3723" t="s">
        <v>1576</v>
      </c>
      <c r="I3723">
        <v>100</v>
      </c>
      <c r="J3723">
        <v>165.28999328613281</v>
      </c>
      <c r="EZ3723">
        <v>170</v>
      </c>
      <c r="FA3723">
        <v>281</v>
      </c>
    </row>
    <row r="3724" spans="1:161" x14ac:dyDescent="0.3">
      <c r="A3724">
        <v>534</v>
      </c>
      <c r="B3724" t="s">
        <v>2670</v>
      </c>
      <c r="C3724" t="s">
        <v>454</v>
      </c>
      <c r="D3724" t="s">
        <v>39</v>
      </c>
      <c r="E3724" t="s">
        <v>22</v>
      </c>
      <c r="F3724" s="30">
        <v>46022</v>
      </c>
      <c r="G3724" t="s">
        <v>2672</v>
      </c>
      <c r="H3724" t="s">
        <v>4670</v>
      </c>
      <c r="I3724">
        <v>100</v>
      </c>
      <c r="J3724">
        <v>129.30000305175781</v>
      </c>
      <c r="EZ3724">
        <v>1000</v>
      </c>
      <c r="FA3724">
        <v>1293</v>
      </c>
    </row>
    <row r="3725" spans="1:161" x14ac:dyDescent="0.3">
      <c r="A3725">
        <v>535</v>
      </c>
      <c r="B3725" t="s">
        <v>2673</v>
      </c>
      <c r="C3725" t="s">
        <v>454</v>
      </c>
      <c r="D3725" t="s">
        <v>39</v>
      </c>
      <c r="E3725" t="s">
        <v>22</v>
      </c>
      <c r="F3725" s="30">
        <v>46022</v>
      </c>
      <c r="G3725" t="s">
        <v>2675</v>
      </c>
      <c r="H3725" t="s">
        <v>1560</v>
      </c>
      <c r="I3725">
        <v>100</v>
      </c>
      <c r="J3725">
        <v>154.55000305175781</v>
      </c>
      <c r="FB3725">
        <v>55</v>
      </c>
      <c r="FC3725">
        <v>85</v>
      </c>
    </row>
    <row r="3726" spans="1:161" x14ac:dyDescent="0.3">
      <c r="A3726">
        <v>535</v>
      </c>
      <c r="B3726" t="s">
        <v>2673</v>
      </c>
      <c r="C3726" t="s">
        <v>454</v>
      </c>
      <c r="D3726" t="s">
        <v>39</v>
      </c>
      <c r="E3726" t="s">
        <v>22</v>
      </c>
      <c r="F3726" s="30">
        <v>46022</v>
      </c>
      <c r="G3726" t="s">
        <v>2675</v>
      </c>
      <c r="H3726" t="s">
        <v>4671</v>
      </c>
      <c r="I3726">
        <v>100</v>
      </c>
      <c r="J3726">
        <v>247.5</v>
      </c>
      <c r="FB3726">
        <v>80</v>
      </c>
      <c r="FC3726">
        <v>198</v>
      </c>
    </row>
    <row r="3727" spans="1:161" x14ac:dyDescent="0.3">
      <c r="A3727">
        <v>536</v>
      </c>
      <c r="B3727" t="s">
        <v>2676</v>
      </c>
      <c r="C3727" t="s">
        <v>454</v>
      </c>
      <c r="D3727" t="s">
        <v>39</v>
      </c>
      <c r="E3727" t="s">
        <v>22</v>
      </c>
      <c r="F3727" s="30">
        <v>46022</v>
      </c>
      <c r="G3727" t="s">
        <v>2678</v>
      </c>
      <c r="H3727" t="s">
        <v>1565</v>
      </c>
      <c r="I3727">
        <v>100</v>
      </c>
      <c r="J3727">
        <v>160</v>
      </c>
      <c r="FD3727">
        <v>85</v>
      </c>
      <c r="FE3727">
        <v>136</v>
      </c>
    </row>
    <row r="3728" spans="1:161" x14ac:dyDescent="0.3">
      <c r="A3728">
        <v>536</v>
      </c>
      <c r="B3728" t="s">
        <v>2676</v>
      </c>
      <c r="C3728" t="s">
        <v>454</v>
      </c>
      <c r="D3728" t="s">
        <v>39</v>
      </c>
      <c r="E3728" t="s">
        <v>22</v>
      </c>
      <c r="F3728" s="30">
        <v>46022</v>
      </c>
      <c r="G3728" t="s">
        <v>2678</v>
      </c>
      <c r="H3728" t="s">
        <v>4672</v>
      </c>
      <c r="I3728">
        <v>100</v>
      </c>
      <c r="J3728">
        <v>650</v>
      </c>
      <c r="FD3728">
        <v>22</v>
      </c>
      <c r="FE3728">
        <v>143</v>
      </c>
    </row>
    <row r="3729" spans="1:165" x14ac:dyDescent="0.3">
      <c r="A3729">
        <v>544</v>
      </c>
      <c r="B3729" t="s">
        <v>2688</v>
      </c>
      <c r="C3729" t="s">
        <v>2044</v>
      </c>
      <c r="D3729" t="s">
        <v>39</v>
      </c>
      <c r="E3729" t="s">
        <v>22</v>
      </c>
      <c r="F3729" s="30">
        <v>46022</v>
      </c>
      <c r="G3729" t="s">
        <v>2690</v>
      </c>
      <c r="H3729" t="s">
        <v>4675</v>
      </c>
      <c r="I3729">
        <v>100</v>
      </c>
      <c r="J3729">
        <v>150</v>
      </c>
      <c r="FH3729">
        <v>2</v>
      </c>
      <c r="FI3729">
        <v>3</v>
      </c>
    </row>
    <row r="3730" spans="1:165" x14ac:dyDescent="0.3">
      <c r="A3730">
        <v>544</v>
      </c>
      <c r="B3730" t="s">
        <v>2688</v>
      </c>
      <c r="C3730" t="s">
        <v>2044</v>
      </c>
      <c r="D3730" t="s">
        <v>39</v>
      </c>
      <c r="E3730" t="s">
        <v>22</v>
      </c>
      <c r="F3730" s="30">
        <v>46022</v>
      </c>
      <c r="G3730" t="s">
        <v>2690</v>
      </c>
      <c r="H3730" t="s">
        <v>4676</v>
      </c>
      <c r="I3730">
        <v>100</v>
      </c>
      <c r="J3730">
        <v>200</v>
      </c>
      <c r="FH3730">
        <v>2</v>
      </c>
      <c r="FI3730">
        <v>4</v>
      </c>
    </row>
    <row r="3731" spans="1:165" x14ac:dyDescent="0.3">
      <c r="A3731">
        <v>544</v>
      </c>
      <c r="B3731" t="s">
        <v>2688</v>
      </c>
      <c r="C3731" t="s">
        <v>2044</v>
      </c>
      <c r="D3731" t="s">
        <v>39</v>
      </c>
      <c r="E3731" t="s">
        <v>22</v>
      </c>
      <c r="F3731" s="30">
        <v>46022</v>
      </c>
      <c r="G3731" t="s">
        <v>2690</v>
      </c>
      <c r="H3731" t="s">
        <v>4678</v>
      </c>
      <c r="I3731">
        <v>100</v>
      </c>
      <c r="J3731">
        <v>200</v>
      </c>
      <c r="FH3731">
        <v>2</v>
      </c>
      <c r="FI3731">
        <v>4</v>
      </c>
    </row>
    <row r="3732" spans="1:165" x14ac:dyDescent="0.3">
      <c r="A3732">
        <v>544</v>
      </c>
      <c r="B3732" t="s">
        <v>2688</v>
      </c>
      <c r="C3732" t="s">
        <v>2044</v>
      </c>
      <c r="D3732" t="s">
        <v>39</v>
      </c>
      <c r="E3732" t="s">
        <v>22</v>
      </c>
      <c r="F3732" s="30">
        <v>46022</v>
      </c>
      <c r="G3732" t="s">
        <v>2690</v>
      </c>
      <c r="H3732" t="s">
        <v>4677</v>
      </c>
      <c r="I3732">
        <v>100</v>
      </c>
      <c r="J3732">
        <v>100</v>
      </c>
      <c r="FH3732">
        <v>2</v>
      </c>
      <c r="FI3732">
        <v>2</v>
      </c>
    </row>
    <row r="3733" spans="1:165" x14ac:dyDescent="0.3">
      <c r="A3733">
        <v>213</v>
      </c>
      <c r="B3733" t="s">
        <v>757</v>
      </c>
      <c r="C3733" t="s">
        <v>251</v>
      </c>
      <c r="D3733" t="s">
        <v>21</v>
      </c>
      <c r="E3733" t="s">
        <v>22</v>
      </c>
      <c r="F3733" s="30">
        <v>46022</v>
      </c>
      <c r="G3733" t="s">
        <v>773</v>
      </c>
      <c r="H3733" t="s">
        <v>4487</v>
      </c>
      <c r="I3733">
        <v>90</v>
      </c>
      <c r="J3733">
        <v>100</v>
      </c>
      <c r="AW3733">
        <v>75</v>
      </c>
      <c r="AX3733">
        <v>75</v>
      </c>
    </row>
    <row r="3734" spans="1:165" x14ac:dyDescent="0.3">
      <c r="A3734">
        <v>213</v>
      </c>
      <c r="B3734" t="s">
        <v>757</v>
      </c>
      <c r="C3734" t="s">
        <v>251</v>
      </c>
      <c r="D3734" t="s">
        <v>21</v>
      </c>
      <c r="E3734" t="s">
        <v>22</v>
      </c>
      <c r="F3734" s="30">
        <v>46022</v>
      </c>
      <c r="G3734" t="s">
        <v>773</v>
      </c>
      <c r="H3734" t="s">
        <v>4482</v>
      </c>
      <c r="I3734">
        <v>90</v>
      </c>
      <c r="J3734">
        <v>100</v>
      </c>
      <c r="AW3734">
        <v>6</v>
      </c>
      <c r="AX3734">
        <v>6</v>
      </c>
    </row>
    <row r="3735" spans="1:165" x14ac:dyDescent="0.3">
      <c r="A3735">
        <v>213</v>
      </c>
      <c r="B3735" t="s">
        <v>757</v>
      </c>
      <c r="C3735" t="s">
        <v>251</v>
      </c>
      <c r="D3735" t="s">
        <v>21</v>
      </c>
      <c r="E3735" t="s">
        <v>22</v>
      </c>
      <c r="F3735" s="30">
        <v>46022</v>
      </c>
      <c r="G3735" t="s">
        <v>773</v>
      </c>
      <c r="H3735" t="s">
        <v>4484</v>
      </c>
      <c r="I3735">
        <v>90</v>
      </c>
      <c r="J3735">
        <v>100</v>
      </c>
      <c r="AW3735">
        <v>4</v>
      </c>
      <c r="AX3735">
        <v>4</v>
      </c>
    </row>
    <row r="3736" spans="1:165" x14ac:dyDescent="0.3">
      <c r="A3736">
        <v>213</v>
      </c>
      <c r="B3736" t="s">
        <v>757</v>
      </c>
      <c r="C3736" t="s">
        <v>251</v>
      </c>
      <c r="D3736" t="s">
        <v>21</v>
      </c>
      <c r="E3736" t="s">
        <v>22</v>
      </c>
      <c r="F3736" s="30">
        <v>46022</v>
      </c>
      <c r="G3736" t="s">
        <v>773</v>
      </c>
      <c r="H3736" t="s">
        <v>4533</v>
      </c>
      <c r="I3736">
        <v>90</v>
      </c>
      <c r="J3736">
        <v>100</v>
      </c>
      <c r="AW3736">
        <v>9</v>
      </c>
      <c r="AX3736">
        <v>9</v>
      </c>
    </row>
    <row r="3737" spans="1:165" x14ac:dyDescent="0.3">
      <c r="A3737">
        <v>213</v>
      </c>
      <c r="B3737" t="s">
        <v>757</v>
      </c>
      <c r="C3737" t="s">
        <v>251</v>
      </c>
      <c r="D3737" t="s">
        <v>21</v>
      </c>
      <c r="E3737" t="s">
        <v>22</v>
      </c>
      <c r="F3737" s="30">
        <v>46022</v>
      </c>
      <c r="G3737" t="s">
        <v>773</v>
      </c>
      <c r="H3737" t="s">
        <v>4534</v>
      </c>
      <c r="I3737">
        <v>90</v>
      </c>
      <c r="J3737">
        <v>100</v>
      </c>
      <c r="AW3737">
        <v>5</v>
      </c>
      <c r="AX3737">
        <v>5</v>
      </c>
    </row>
    <row r="3738" spans="1:165" x14ac:dyDescent="0.3">
      <c r="A3738">
        <v>213</v>
      </c>
      <c r="B3738" t="s">
        <v>757</v>
      </c>
      <c r="C3738" t="s">
        <v>251</v>
      </c>
      <c r="D3738" t="s">
        <v>21</v>
      </c>
      <c r="E3738" t="s">
        <v>22</v>
      </c>
      <c r="F3738" s="30">
        <v>46022</v>
      </c>
      <c r="G3738" t="s">
        <v>773</v>
      </c>
      <c r="H3738" t="s">
        <v>4485</v>
      </c>
      <c r="I3738">
        <v>90</v>
      </c>
      <c r="J3738">
        <v>100</v>
      </c>
      <c r="AW3738">
        <v>26</v>
      </c>
      <c r="AX3738">
        <v>26</v>
      </c>
    </row>
    <row r="3739" spans="1:165" x14ac:dyDescent="0.3">
      <c r="A3739">
        <v>213</v>
      </c>
      <c r="B3739" t="s">
        <v>757</v>
      </c>
      <c r="C3739" t="s">
        <v>251</v>
      </c>
      <c r="D3739" t="s">
        <v>21</v>
      </c>
      <c r="E3739" t="s">
        <v>22</v>
      </c>
      <c r="F3739" s="30">
        <v>46022</v>
      </c>
      <c r="G3739" t="s">
        <v>773</v>
      </c>
      <c r="H3739" t="s">
        <v>4486</v>
      </c>
      <c r="I3739">
        <v>90</v>
      </c>
      <c r="J3739">
        <v>100</v>
      </c>
      <c r="AW3739">
        <v>38</v>
      </c>
      <c r="AX3739">
        <v>38</v>
      </c>
    </row>
    <row r="3740" spans="1:165" x14ac:dyDescent="0.3">
      <c r="A3740">
        <v>213</v>
      </c>
      <c r="B3740" t="s">
        <v>757</v>
      </c>
      <c r="C3740" t="s">
        <v>251</v>
      </c>
      <c r="D3740" t="s">
        <v>21</v>
      </c>
      <c r="E3740" t="s">
        <v>22</v>
      </c>
      <c r="F3740" s="30">
        <v>46022</v>
      </c>
      <c r="G3740" t="s">
        <v>773</v>
      </c>
      <c r="H3740" t="s">
        <v>4483</v>
      </c>
      <c r="I3740">
        <v>90</v>
      </c>
      <c r="J3740">
        <v>100</v>
      </c>
      <c r="AW3740">
        <v>22</v>
      </c>
      <c r="AX3740">
        <v>22</v>
      </c>
    </row>
    <row r="3741" spans="1:165" x14ac:dyDescent="0.3">
      <c r="A3741">
        <v>238</v>
      </c>
      <c r="B3741" t="s">
        <v>1077</v>
      </c>
      <c r="C3741" t="s">
        <v>251</v>
      </c>
      <c r="D3741" t="s">
        <v>21</v>
      </c>
      <c r="E3741" t="s">
        <v>22</v>
      </c>
      <c r="F3741" s="30">
        <v>46022</v>
      </c>
      <c r="G3741" t="s">
        <v>1094</v>
      </c>
      <c r="H3741" t="s">
        <v>4488</v>
      </c>
      <c r="I3741">
        <v>90</v>
      </c>
      <c r="J3741">
        <v>68.419998168945313</v>
      </c>
      <c r="AY3741">
        <v>26</v>
      </c>
      <c r="AZ3741">
        <v>38</v>
      </c>
    </row>
    <row r="3742" spans="1:165" x14ac:dyDescent="0.3">
      <c r="A3742">
        <v>238</v>
      </c>
      <c r="B3742" t="s">
        <v>1077</v>
      </c>
      <c r="C3742" t="s">
        <v>251</v>
      </c>
      <c r="D3742" t="s">
        <v>21</v>
      </c>
      <c r="E3742" t="s">
        <v>22</v>
      </c>
      <c r="F3742" s="30">
        <v>46022</v>
      </c>
      <c r="G3742" t="s">
        <v>1094</v>
      </c>
      <c r="H3742" t="s">
        <v>4489</v>
      </c>
      <c r="I3742">
        <v>90</v>
      </c>
      <c r="J3742">
        <v>64.290000915527344</v>
      </c>
      <c r="AY3742">
        <v>9</v>
      </c>
      <c r="AZ3742">
        <v>14</v>
      </c>
    </row>
    <row r="3743" spans="1:165" x14ac:dyDescent="0.3">
      <c r="A3743">
        <v>238</v>
      </c>
      <c r="B3743" t="s">
        <v>1077</v>
      </c>
      <c r="C3743" t="s">
        <v>251</v>
      </c>
      <c r="D3743" t="s">
        <v>21</v>
      </c>
      <c r="E3743" t="s">
        <v>22</v>
      </c>
      <c r="F3743" s="30">
        <v>46022</v>
      </c>
      <c r="G3743" t="s">
        <v>1094</v>
      </c>
      <c r="H3743" t="s">
        <v>4490</v>
      </c>
      <c r="I3743">
        <v>90</v>
      </c>
      <c r="J3743">
        <v>80</v>
      </c>
      <c r="AY3743">
        <v>4</v>
      </c>
      <c r="AZ3743">
        <v>5</v>
      </c>
    </row>
    <row r="3744" spans="1:165" x14ac:dyDescent="0.3">
      <c r="A3744">
        <v>238</v>
      </c>
      <c r="B3744" t="s">
        <v>1077</v>
      </c>
      <c r="C3744" t="s">
        <v>251</v>
      </c>
      <c r="D3744" t="s">
        <v>21</v>
      </c>
      <c r="E3744" t="s">
        <v>22</v>
      </c>
      <c r="F3744" s="30">
        <v>46022</v>
      </c>
      <c r="G3744" t="s">
        <v>1094</v>
      </c>
      <c r="H3744" t="s">
        <v>4491</v>
      </c>
      <c r="I3744">
        <v>90</v>
      </c>
      <c r="J3744">
        <v>57.139999389648438</v>
      </c>
      <c r="AY3744">
        <v>4</v>
      </c>
      <c r="AZ3744">
        <v>7</v>
      </c>
    </row>
    <row r="3745" spans="1:79" x14ac:dyDescent="0.3">
      <c r="A3745">
        <v>238</v>
      </c>
      <c r="B3745" t="s">
        <v>1077</v>
      </c>
      <c r="C3745" t="s">
        <v>251</v>
      </c>
      <c r="D3745" t="s">
        <v>21</v>
      </c>
      <c r="E3745" t="s">
        <v>22</v>
      </c>
      <c r="F3745" s="30">
        <v>46022</v>
      </c>
      <c r="G3745" t="s">
        <v>1094</v>
      </c>
      <c r="H3745" t="s">
        <v>4535</v>
      </c>
      <c r="I3745">
        <v>90</v>
      </c>
      <c r="J3745">
        <v>50</v>
      </c>
      <c r="AY3745">
        <v>1</v>
      </c>
      <c r="AZ3745">
        <v>2</v>
      </c>
    </row>
    <row r="3746" spans="1:79" x14ac:dyDescent="0.3">
      <c r="A3746">
        <v>238</v>
      </c>
      <c r="B3746" t="s">
        <v>1077</v>
      </c>
      <c r="C3746" t="s">
        <v>251</v>
      </c>
      <c r="D3746" t="s">
        <v>21</v>
      </c>
      <c r="E3746" t="s">
        <v>22</v>
      </c>
      <c r="F3746" s="30">
        <v>46022</v>
      </c>
      <c r="G3746" t="s">
        <v>1094</v>
      </c>
      <c r="H3746" t="s">
        <v>4492</v>
      </c>
      <c r="I3746">
        <v>90</v>
      </c>
      <c r="J3746">
        <v>33.330001831054688</v>
      </c>
      <c r="AY3746">
        <v>1</v>
      </c>
      <c r="AZ3746">
        <v>3</v>
      </c>
    </row>
    <row r="3747" spans="1:79" x14ac:dyDescent="0.3">
      <c r="A3747">
        <v>238</v>
      </c>
      <c r="B3747" t="s">
        <v>1077</v>
      </c>
      <c r="C3747" t="s">
        <v>251</v>
      </c>
      <c r="D3747" t="s">
        <v>21</v>
      </c>
      <c r="E3747" t="s">
        <v>22</v>
      </c>
      <c r="F3747" s="30">
        <v>46022</v>
      </c>
      <c r="G3747" t="s">
        <v>1094</v>
      </c>
      <c r="H3747" t="s">
        <v>4493</v>
      </c>
      <c r="I3747">
        <v>90</v>
      </c>
      <c r="J3747">
        <v>100</v>
      </c>
      <c r="AY3747">
        <v>3</v>
      </c>
      <c r="AZ3747">
        <v>3</v>
      </c>
    </row>
    <row r="3748" spans="1:79" x14ac:dyDescent="0.3">
      <c r="A3748">
        <v>238</v>
      </c>
      <c r="B3748" t="s">
        <v>1077</v>
      </c>
      <c r="C3748" t="s">
        <v>251</v>
      </c>
      <c r="D3748" t="s">
        <v>21</v>
      </c>
      <c r="E3748" t="s">
        <v>22</v>
      </c>
      <c r="F3748" s="30">
        <v>46022</v>
      </c>
      <c r="G3748" t="s">
        <v>1094</v>
      </c>
      <c r="H3748" t="s">
        <v>4536</v>
      </c>
      <c r="I3748">
        <v>90</v>
      </c>
      <c r="J3748">
        <v>100</v>
      </c>
      <c r="AY3748">
        <v>3</v>
      </c>
      <c r="AZ3748">
        <v>3</v>
      </c>
    </row>
    <row r="3749" spans="1:79" x14ac:dyDescent="0.3">
      <c r="A3749">
        <v>306</v>
      </c>
      <c r="B3749" t="s">
        <v>1543</v>
      </c>
      <c r="C3749" t="s">
        <v>1241</v>
      </c>
      <c r="D3749" t="s">
        <v>21</v>
      </c>
      <c r="E3749" t="s">
        <v>22</v>
      </c>
      <c r="F3749" s="30">
        <v>46022</v>
      </c>
      <c r="G3749" t="s">
        <v>1554</v>
      </c>
      <c r="H3749" t="s">
        <v>4542</v>
      </c>
      <c r="I3749">
        <v>100</v>
      </c>
      <c r="J3749">
        <v>99.699996948242188</v>
      </c>
      <c r="BY3749">
        <v>99.7</v>
      </c>
    </row>
    <row r="3750" spans="1:79" x14ac:dyDescent="0.3">
      <c r="A3750">
        <v>306</v>
      </c>
      <c r="B3750" t="s">
        <v>1543</v>
      </c>
      <c r="C3750" t="s">
        <v>1241</v>
      </c>
      <c r="D3750" t="s">
        <v>21</v>
      </c>
      <c r="E3750" t="s">
        <v>22</v>
      </c>
      <c r="F3750" s="30">
        <v>46022</v>
      </c>
      <c r="G3750" t="s">
        <v>1554</v>
      </c>
      <c r="H3750" t="s">
        <v>4541</v>
      </c>
      <c r="I3750">
        <v>100</v>
      </c>
      <c r="J3750">
        <v>109</v>
      </c>
      <c r="BY3750">
        <v>109</v>
      </c>
    </row>
    <row r="3751" spans="1:79" x14ac:dyDescent="0.3">
      <c r="A3751">
        <v>306</v>
      </c>
      <c r="B3751" t="s">
        <v>1543</v>
      </c>
      <c r="C3751" t="s">
        <v>1241</v>
      </c>
      <c r="D3751" t="s">
        <v>21</v>
      </c>
      <c r="E3751" t="s">
        <v>22</v>
      </c>
      <c r="F3751" s="30">
        <v>46022</v>
      </c>
      <c r="G3751" t="s">
        <v>1554</v>
      </c>
      <c r="H3751" t="s">
        <v>4540</v>
      </c>
      <c r="I3751">
        <v>100</v>
      </c>
      <c r="J3751">
        <v>110</v>
      </c>
      <c r="BY3751">
        <v>110</v>
      </c>
    </row>
    <row r="3752" spans="1:79" x14ac:dyDescent="0.3">
      <c r="A3752">
        <v>306</v>
      </c>
      <c r="B3752" t="s">
        <v>1543</v>
      </c>
      <c r="C3752" t="s">
        <v>1241</v>
      </c>
      <c r="D3752" t="s">
        <v>21</v>
      </c>
      <c r="E3752" t="s">
        <v>22</v>
      </c>
      <c r="F3752" s="30">
        <v>46022</v>
      </c>
      <c r="G3752" t="s">
        <v>1554</v>
      </c>
      <c r="H3752" t="s">
        <v>4538</v>
      </c>
      <c r="I3752">
        <v>100</v>
      </c>
      <c r="J3752">
        <v>103</v>
      </c>
      <c r="BY3752">
        <v>103</v>
      </c>
    </row>
    <row r="3753" spans="1:79" x14ac:dyDescent="0.3">
      <c r="A3753">
        <v>306</v>
      </c>
      <c r="B3753" t="s">
        <v>1543</v>
      </c>
      <c r="C3753" t="s">
        <v>1241</v>
      </c>
      <c r="D3753" t="s">
        <v>21</v>
      </c>
      <c r="E3753" t="s">
        <v>22</v>
      </c>
      <c r="F3753" s="30">
        <v>46022</v>
      </c>
      <c r="G3753" t="s">
        <v>1554</v>
      </c>
      <c r="H3753" t="s">
        <v>4537</v>
      </c>
      <c r="I3753">
        <v>100</v>
      </c>
      <c r="J3753">
        <v>112</v>
      </c>
      <c r="BY3753">
        <v>112</v>
      </c>
    </row>
    <row r="3754" spans="1:79" x14ac:dyDescent="0.3">
      <c r="A3754">
        <v>306</v>
      </c>
      <c r="B3754" t="s">
        <v>1543</v>
      </c>
      <c r="C3754" t="s">
        <v>1241</v>
      </c>
      <c r="D3754" t="s">
        <v>21</v>
      </c>
      <c r="E3754" t="s">
        <v>22</v>
      </c>
      <c r="F3754" s="30">
        <v>46022</v>
      </c>
      <c r="G3754" t="s">
        <v>1554</v>
      </c>
      <c r="H3754" t="s">
        <v>4539</v>
      </c>
      <c r="I3754">
        <v>100</v>
      </c>
      <c r="J3754">
        <v>112</v>
      </c>
      <c r="BY3754">
        <v>112</v>
      </c>
    </row>
    <row r="3755" spans="1:79" x14ac:dyDescent="0.3">
      <c r="A3755">
        <v>373</v>
      </c>
      <c r="B3755" t="s">
        <v>1856</v>
      </c>
      <c r="C3755" t="s">
        <v>1263</v>
      </c>
      <c r="D3755" t="s">
        <v>21</v>
      </c>
      <c r="E3755" t="s">
        <v>22</v>
      </c>
      <c r="F3755" s="30">
        <v>46022</v>
      </c>
      <c r="G3755" t="s">
        <v>1868</v>
      </c>
      <c r="H3755" t="s">
        <v>4542</v>
      </c>
      <c r="I3755">
        <v>100</v>
      </c>
      <c r="J3755">
        <v>100</v>
      </c>
      <c r="BZ3755">
        <v>100</v>
      </c>
      <c r="CA3755">
        <v>100</v>
      </c>
    </row>
    <row r="3756" spans="1:79" x14ac:dyDescent="0.3">
      <c r="A3756">
        <v>373</v>
      </c>
      <c r="B3756" t="s">
        <v>1856</v>
      </c>
      <c r="C3756" t="s">
        <v>1263</v>
      </c>
      <c r="D3756" t="s">
        <v>21</v>
      </c>
      <c r="E3756" t="s">
        <v>22</v>
      </c>
      <c r="F3756" s="30">
        <v>46022</v>
      </c>
      <c r="G3756" t="s">
        <v>1868</v>
      </c>
      <c r="H3756" t="s">
        <v>4540</v>
      </c>
      <c r="I3756">
        <v>100</v>
      </c>
      <c r="J3756">
        <v>98</v>
      </c>
      <c r="BZ3756">
        <v>98</v>
      </c>
      <c r="CA3756">
        <v>100</v>
      </c>
    </row>
    <row r="3757" spans="1:79" x14ac:dyDescent="0.3">
      <c r="A3757">
        <v>373</v>
      </c>
      <c r="B3757" t="s">
        <v>1856</v>
      </c>
      <c r="C3757" t="s">
        <v>1263</v>
      </c>
      <c r="D3757" t="s">
        <v>21</v>
      </c>
      <c r="E3757" t="s">
        <v>22</v>
      </c>
      <c r="F3757" s="30">
        <v>46022</v>
      </c>
      <c r="G3757" t="s">
        <v>1868</v>
      </c>
      <c r="H3757" t="s">
        <v>4539</v>
      </c>
      <c r="I3757">
        <v>100</v>
      </c>
      <c r="J3757">
        <v>100</v>
      </c>
      <c r="BZ3757">
        <v>100</v>
      </c>
      <c r="CA3757">
        <v>100</v>
      </c>
    </row>
    <row r="3758" spans="1:79" x14ac:dyDescent="0.3">
      <c r="A3758">
        <v>373</v>
      </c>
      <c r="B3758" t="s">
        <v>1856</v>
      </c>
      <c r="C3758" t="s">
        <v>1263</v>
      </c>
      <c r="D3758" t="s">
        <v>21</v>
      </c>
      <c r="E3758" t="s">
        <v>22</v>
      </c>
      <c r="F3758" s="30">
        <v>46022</v>
      </c>
      <c r="G3758" t="s">
        <v>1868</v>
      </c>
      <c r="H3758" t="s">
        <v>4538</v>
      </c>
      <c r="I3758">
        <v>100</v>
      </c>
      <c r="J3758">
        <v>99</v>
      </c>
      <c r="BZ3758">
        <v>99</v>
      </c>
      <c r="CA3758">
        <v>100</v>
      </c>
    </row>
    <row r="3759" spans="1:79" x14ac:dyDescent="0.3">
      <c r="A3759">
        <v>373</v>
      </c>
      <c r="B3759" t="s">
        <v>1856</v>
      </c>
      <c r="C3759" t="s">
        <v>1263</v>
      </c>
      <c r="D3759" t="s">
        <v>21</v>
      </c>
      <c r="E3759" t="s">
        <v>22</v>
      </c>
      <c r="F3759" s="30">
        <v>46022</v>
      </c>
      <c r="G3759" t="s">
        <v>1868</v>
      </c>
      <c r="H3759" t="s">
        <v>4537</v>
      </c>
      <c r="I3759">
        <v>100</v>
      </c>
      <c r="J3759">
        <v>99</v>
      </c>
      <c r="BZ3759">
        <v>99</v>
      </c>
      <c r="CA3759">
        <v>100</v>
      </c>
    </row>
    <row r="3760" spans="1:79" x14ac:dyDescent="0.3">
      <c r="A3760">
        <v>373</v>
      </c>
      <c r="B3760" t="s">
        <v>1856</v>
      </c>
      <c r="C3760" t="s">
        <v>1263</v>
      </c>
      <c r="D3760" t="s">
        <v>21</v>
      </c>
      <c r="E3760" t="s">
        <v>22</v>
      </c>
      <c r="F3760" s="30">
        <v>46022</v>
      </c>
      <c r="G3760" t="s">
        <v>1868</v>
      </c>
      <c r="H3760" t="s">
        <v>4541</v>
      </c>
      <c r="I3760">
        <v>100</v>
      </c>
      <c r="J3760">
        <v>100</v>
      </c>
      <c r="BZ3760">
        <v>100</v>
      </c>
      <c r="CA3760">
        <v>100</v>
      </c>
    </row>
    <row r="3761" spans="1:83" x14ac:dyDescent="0.3">
      <c r="A3761">
        <v>390</v>
      </c>
      <c r="B3761" t="s">
        <v>1970</v>
      </c>
      <c r="C3761" t="s">
        <v>1263</v>
      </c>
      <c r="D3761" t="s">
        <v>21</v>
      </c>
      <c r="E3761" t="s">
        <v>22</v>
      </c>
      <c r="F3761" s="30">
        <v>46022</v>
      </c>
      <c r="G3761" t="s">
        <v>1982</v>
      </c>
      <c r="H3761" t="s">
        <v>4514</v>
      </c>
      <c r="I3761">
        <v>100</v>
      </c>
      <c r="J3761">
        <v>100</v>
      </c>
      <c r="CB3761">
        <v>100</v>
      </c>
      <c r="CC3761">
        <v>100</v>
      </c>
    </row>
    <row r="3762" spans="1:83" x14ac:dyDescent="0.3">
      <c r="A3762">
        <v>390</v>
      </c>
      <c r="B3762" t="s">
        <v>1970</v>
      </c>
      <c r="C3762" t="s">
        <v>1263</v>
      </c>
      <c r="D3762" t="s">
        <v>21</v>
      </c>
      <c r="E3762" t="s">
        <v>22</v>
      </c>
      <c r="F3762" s="30">
        <v>46022</v>
      </c>
      <c r="G3762" t="s">
        <v>1982</v>
      </c>
      <c r="H3762" t="s">
        <v>4515</v>
      </c>
      <c r="I3762">
        <v>100</v>
      </c>
      <c r="J3762">
        <v>98.169998168945313</v>
      </c>
      <c r="CB3762">
        <v>98.17</v>
      </c>
      <c r="CC3762">
        <v>100</v>
      </c>
    </row>
    <row r="3763" spans="1:83" x14ac:dyDescent="0.3">
      <c r="A3763">
        <v>390</v>
      </c>
      <c r="B3763" t="s">
        <v>1970</v>
      </c>
      <c r="C3763" t="s">
        <v>1263</v>
      </c>
      <c r="D3763" t="s">
        <v>21</v>
      </c>
      <c r="E3763" t="s">
        <v>22</v>
      </c>
      <c r="F3763" s="30">
        <v>46022</v>
      </c>
      <c r="G3763" t="s">
        <v>1982</v>
      </c>
      <c r="H3763" t="s">
        <v>4516</v>
      </c>
      <c r="I3763">
        <v>100</v>
      </c>
      <c r="J3763">
        <v>100</v>
      </c>
      <c r="CB3763">
        <v>100</v>
      </c>
      <c r="CC3763">
        <v>100</v>
      </c>
    </row>
    <row r="3764" spans="1:83" x14ac:dyDescent="0.3">
      <c r="A3764">
        <v>390</v>
      </c>
      <c r="B3764" t="s">
        <v>1970</v>
      </c>
      <c r="C3764" t="s">
        <v>1263</v>
      </c>
      <c r="D3764" t="s">
        <v>21</v>
      </c>
      <c r="E3764" t="s">
        <v>22</v>
      </c>
      <c r="F3764" s="30">
        <v>46022</v>
      </c>
      <c r="G3764" t="s">
        <v>1982</v>
      </c>
      <c r="H3764" t="s">
        <v>4517</v>
      </c>
      <c r="I3764">
        <v>100</v>
      </c>
      <c r="J3764">
        <v>100</v>
      </c>
      <c r="CB3764">
        <v>100</v>
      </c>
      <c r="CC3764">
        <v>100</v>
      </c>
    </row>
    <row r="3765" spans="1:83" x14ac:dyDescent="0.3">
      <c r="A3765">
        <v>390</v>
      </c>
      <c r="B3765" t="s">
        <v>1970</v>
      </c>
      <c r="C3765" t="s">
        <v>1263</v>
      </c>
      <c r="D3765" t="s">
        <v>21</v>
      </c>
      <c r="E3765" t="s">
        <v>22</v>
      </c>
      <c r="F3765" s="30">
        <v>46022</v>
      </c>
      <c r="G3765" t="s">
        <v>1982</v>
      </c>
      <c r="H3765" t="s">
        <v>4518</v>
      </c>
      <c r="I3765">
        <v>100</v>
      </c>
      <c r="J3765">
        <v>99.169998168945313</v>
      </c>
      <c r="CB3765">
        <v>99.17</v>
      </c>
      <c r="CC3765">
        <v>100</v>
      </c>
    </row>
    <row r="3766" spans="1:83" x14ac:dyDescent="0.3">
      <c r="A3766">
        <v>390</v>
      </c>
      <c r="B3766" t="s">
        <v>1970</v>
      </c>
      <c r="C3766" t="s">
        <v>1263</v>
      </c>
      <c r="D3766" t="s">
        <v>21</v>
      </c>
      <c r="E3766" t="s">
        <v>22</v>
      </c>
      <c r="F3766" s="30">
        <v>46022</v>
      </c>
      <c r="G3766" t="s">
        <v>1982</v>
      </c>
      <c r="H3766" t="s">
        <v>4519</v>
      </c>
      <c r="I3766">
        <v>100</v>
      </c>
      <c r="J3766">
        <v>100</v>
      </c>
      <c r="CB3766">
        <v>100</v>
      </c>
      <c r="CC3766">
        <v>100</v>
      </c>
    </row>
    <row r="3767" spans="1:83" x14ac:dyDescent="0.3">
      <c r="A3767">
        <v>390</v>
      </c>
      <c r="B3767" t="s">
        <v>1970</v>
      </c>
      <c r="C3767" t="s">
        <v>1263</v>
      </c>
      <c r="D3767" t="s">
        <v>21</v>
      </c>
      <c r="E3767" t="s">
        <v>22</v>
      </c>
      <c r="F3767" s="30">
        <v>46022</v>
      </c>
      <c r="G3767" t="s">
        <v>1982</v>
      </c>
      <c r="H3767" t="s">
        <v>4520</v>
      </c>
      <c r="I3767">
        <v>100</v>
      </c>
      <c r="J3767">
        <v>100</v>
      </c>
      <c r="CB3767">
        <v>100</v>
      </c>
      <c r="CC3767">
        <v>100</v>
      </c>
    </row>
    <row r="3768" spans="1:83" x14ac:dyDescent="0.3">
      <c r="A3768">
        <v>390</v>
      </c>
      <c r="B3768" t="s">
        <v>1970</v>
      </c>
      <c r="C3768" t="s">
        <v>1263</v>
      </c>
      <c r="D3768" t="s">
        <v>21</v>
      </c>
      <c r="E3768" t="s">
        <v>22</v>
      </c>
      <c r="F3768" s="30">
        <v>46022</v>
      </c>
      <c r="G3768" t="s">
        <v>1982</v>
      </c>
      <c r="H3768" t="s">
        <v>4521</v>
      </c>
      <c r="I3768">
        <v>100</v>
      </c>
      <c r="J3768">
        <v>100</v>
      </c>
      <c r="CB3768">
        <v>100</v>
      </c>
      <c r="CC3768">
        <v>100</v>
      </c>
    </row>
    <row r="3769" spans="1:83" x14ac:dyDescent="0.3">
      <c r="A3769">
        <v>390</v>
      </c>
      <c r="B3769" t="s">
        <v>1970</v>
      </c>
      <c r="C3769" t="s">
        <v>1263</v>
      </c>
      <c r="D3769" t="s">
        <v>21</v>
      </c>
      <c r="E3769" t="s">
        <v>22</v>
      </c>
      <c r="F3769" s="30">
        <v>46022</v>
      </c>
      <c r="G3769" t="s">
        <v>1982</v>
      </c>
      <c r="H3769" t="s">
        <v>4522</v>
      </c>
      <c r="I3769">
        <v>100</v>
      </c>
      <c r="J3769">
        <v>100</v>
      </c>
      <c r="CB3769">
        <v>100</v>
      </c>
      <c r="CC3769">
        <v>100</v>
      </c>
    </row>
    <row r="3770" spans="1:83" x14ac:dyDescent="0.3">
      <c r="A3770">
        <v>390</v>
      </c>
      <c r="B3770" t="s">
        <v>1970</v>
      </c>
      <c r="C3770" t="s">
        <v>1263</v>
      </c>
      <c r="D3770" t="s">
        <v>21</v>
      </c>
      <c r="E3770" t="s">
        <v>22</v>
      </c>
      <c r="F3770" s="30">
        <v>46022</v>
      </c>
      <c r="G3770" t="s">
        <v>1982</v>
      </c>
      <c r="H3770" t="s">
        <v>4523</v>
      </c>
      <c r="I3770">
        <v>100</v>
      </c>
      <c r="J3770">
        <v>100</v>
      </c>
      <c r="CB3770">
        <v>100</v>
      </c>
      <c r="CC3770">
        <v>100</v>
      </c>
    </row>
    <row r="3771" spans="1:83" x14ac:dyDescent="0.3">
      <c r="A3771">
        <v>390</v>
      </c>
      <c r="B3771" t="s">
        <v>1970</v>
      </c>
      <c r="C3771" t="s">
        <v>1263</v>
      </c>
      <c r="D3771" t="s">
        <v>21</v>
      </c>
      <c r="E3771" t="s">
        <v>22</v>
      </c>
      <c r="F3771" s="30">
        <v>46022</v>
      </c>
      <c r="G3771" t="s">
        <v>1982</v>
      </c>
      <c r="H3771" t="s">
        <v>4524</v>
      </c>
      <c r="I3771">
        <v>100</v>
      </c>
      <c r="J3771">
        <v>100</v>
      </c>
      <c r="CB3771">
        <v>100</v>
      </c>
      <c r="CC3771">
        <v>100</v>
      </c>
    </row>
    <row r="3772" spans="1:83" x14ac:dyDescent="0.3">
      <c r="A3772">
        <v>390</v>
      </c>
      <c r="B3772" t="s">
        <v>1970</v>
      </c>
      <c r="C3772" t="s">
        <v>1263</v>
      </c>
      <c r="D3772" t="s">
        <v>21</v>
      </c>
      <c r="E3772" t="s">
        <v>22</v>
      </c>
      <c r="F3772" s="30">
        <v>46022</v>
      </c>
      <c r="G3772" t="s">
        <v>1982</v>
      </c>
      <c r="H3772" t="s">
        <v>4525</v>
      </c>
      <c r="I3772">
        <v>100</v>
      </c>
      <c r="J3772">
        <v>100</v>
      </c>
      <c r="CB3772">
        <v>100</v>
      </c>
      <c r="CC3772">
        <v>100</v>
      </c>
    </row>
    <row r="3773" spans="1:83" x14ac:dyDescent="0.3">
      <c r="A3773">
        <v>414</v>
      </c>
      <c r="B3773" t="s">
        <v>2103</v>
      </c>
      <c r="C3773" t="s">
        <v>1263</v>
      </c>
      <c r="D3773" t="s">
        <v>21</v>
      </c>
      <c r="E3773" t="s">
        <v>22</v>
      </c>
      <c r="F3773" s="30">
        <v>46022</v>
      </c>
      <c r="G3773" t="s">
        <v>2115</v>
      </c>
      <c r="H3773" t="s">
        <v>4543</v>
      </c>
      <c r="I3773">
        <v>100</v>
      </c>
      <c r="J3773">
        <v>100</v>
      </c>
      <c r="CD3773">
        <v>100</v>
      </c>
      <c r="CE3773">
        <v>100</v>
      </c>
    </row>
    <row r="3774" spans="1:83" x14ac:dyDescent="0.3">
      <c r="A3774">
        <v>414</v>
      </c>
      <c r="B3774" t="s">
        <v>2103</v>
      </c>
      <c r="C3774" t="s">
        <v>1263</v>
      </c>
      <c r="D3774" t="s">
        <v>21</v>
      </c>
      <c r="E3774" t="s">
        <v>22</v>
      </c>
      <c r="F3774" s="30">
        <v>46022</v>
      </c>
      <c r="G3774" t="s">
        <v>2115</v>
      </c>
      <c r="H3774" t="s">
        <v>4544</v>
      </c>
      <c r="I3774">
        <v>100</v>
      </c>
      <c r="J3774">
        <v>100</v>
      </c>
      <c r="CD3774">
        <v>100</v>
      </c>
      <c r="CE3774">
        <v>100</v>
      </c>
    </row>
    <row r="3775" spans="1:83" x14ac:dyDescent="0.3">
      <c r="A3775">
        <v>414</v>
      </c>
      <c r="B3775" t="s">
        <v>2103</v>
      </c>
      <c r="C3775" t="s">
        <v>1263</v>
      </c>
      <c r="D3775" t="s">
        <v>21</v>
      </c>
      <c r="E3775" t="s">
        <v>22</v>
      </c>
      <c r="F3775" s="30">
        <v>46022</v>
      </c>
      <c r="G3775" t="s">
        <v>2115</v>
      </c>
      <c r="H3775" t="s">
        <v>4545</v>
      </c>
      <c r="I3775">
        <v>100</v>
      </c>
      <c r="J3775">
        <v>91.120002746582031</v>
      </c>
      <c r="CD3775">
        <v>91.12</v>
      </c>
      <c r="CE3775">
        <v>100</v>
      </c>
    </row>
    <row r="3776" spans="1:83" x14ac:dyDescent="0.3">
      <c r="A3776">
        <v>414</v>
      </c>
      <c r="B3776" t="s">
        <v>2103</v>
      </c>
      <c r="C3776" t="s">
        <v>1263</v>
      </c>
      <c r="D3776" t="s">
        <v>21</v>
      </c>
      <c r="E3776" t="s">
        <v>22</v>
      </c>
      <c r="F3776" s="30">
        <v>46022</v>
      </c>
      <c r="G3776" t="s">
        <v>2115</v>
      </c>
      <c r="H3776" t="s">
        <v>4546</v>
      </c>
      <c r="I3776">
        <v>100</v>
      </c>
      <c r="J3776">
        <v>100</v>
      </c>
      <c r="CD3776">
        <v>100</v>
      </c>
      <c r="CE3776">
        <v>100</v>
      </c>
    </row>
    <row r="3777" spans="1:85" x14ac:dyDescent="0.3">
      <c r="A3777">
        <v>414</v>
      </c>
      <c r="B3777" t="s">
        <v>2103</v>
      </c>
      <c r="C3777" t="s">
        <v>1263</v>
      </c>
      <c r="D3777" t="s">
        <v>21</v>
      </c>
      <c r="E3777" t="s">
        <v>22</v>
      </c>
      <c r="F3777" s="30">
        <v>46022</v>
      </c>
      <c r="G3777" t="s">
        <v>2115</v>
      </c>
      <c r="H3777" t="s">
        <v>4547</v>
      </c>
      <c r="I3777">
        <v>100</v>
      </c>
      <c r="J3777">
        <v>100</v>
      </c>
      <c r="CD3777">
        <v>100</v>
      </c>
      <c r="CE3777">
        <v>100</v>
      </c>
    </row>
    <row r="3778" spans="1:85" x14ac:dyDescent="0.3">
      <c r="A3778">
        <v>414</v>
      </c>
      <c r="B3778" t="s">
        <v>2103</v>
      </c>
      <c r="C3778" t="s">
        <v>1263</v>
      </c>
      <c r="D3778" t="s">
        <v>21</v>
      </c>
      <c r="E3778" t="s">
        <v>22</v>
      </c>
      <c r="F3778" s="30">
        <v>46022</v>
      </c>
      <c r="G3778" t="s">
        <v>2115</v>
      </c>
      <c r="H3778" t="s">
        <v>4548</v>
      </c>
      <c r="I3778">
        <v>100</v>
      </c>
      <c r="J3778">
        <v>98.75</v>
      </c>
      <c r="CD3778">
        <v>98.75</v>
      </c>
      <c r="CE3778">
        <v>100</v>
      </c>
    </row>
    <row r="3779" spans="1:85" x14ac:dyDescent="0.3">
      <c r="A3779">
        <v>414</v>
      </c>
      <c r="B3779" t="s">
        <v>2103</v>
      </c>
      <c r="C3779" t="s">
        <v>1263</v>
      </c>
      <c r="D3779" t="s">
        <v>21</v>
      </c>
      <c r="E3779" t="s">
        <v>22</v>
      </c>
      <c r="F3779" s="30">
        <v>46022</v>
      </c>
      <c r="G3779" t="s">
        <v>2115</v>
      </c>
      <c r="H3779" t="s">
        <v>4549</v>
      </c>
      <c r="I3779">
        <v>100</v>
      </c>
      <c r="J3779">
        <v>100</v>
      </c>
      <c r="CD3779">
        <v>100</v>
      </c>
      <c r="CE3779">
        <v>100</v>
      </c>
    </row>
    <row r="3780" spans="1:85" x14ac:dyDescent="0.3">
      <c r="A3780">
        <v>414</v>
      </c>
      <c r="B3780" t="s">
        <v>2103</v>
      </c>
      <c r="C3780" t="s">
        <v>1263</v>
      </c>
      <c r="D3780" t="s">
        <v>21</v>
      </c>
      <c r="E3780" t="s">
        <v>22</v>
      </c>
      <c r="F3780" s="30">
        <v>46022</v>
      </c>
      <c r="G3780" t="s">
        <v>2115</v>
      </c>
      <c r="H3780" t="s">
        <v>4550</v>
      </c>
      <c r="I3780">
        <v>100</v>
      </c>
      <c r="J3780">
        <v>100</v>
      </c>
      <c r="CD3780">
        <v>100</v>
      </c>
      <c r="CE3780">
        <v>100</v>
      </c>
    </row>
    <row r="3781" spans="1:85" x14ac:dyDescent="0.3">
      <c r="A3781">
        <v>414</v>
      </c>
      <c r="B3781" t="s">
        <v>2103</v>
      </c>
      <c r="C3781" t="s">
        <v>1263</v>
      </c>
      <c r="D3781" t="s">
        <v>21</v>
      </c>
      <c r="E3781" t="s">
        <v>22</v>
      </c>
      <c r="F3781" s="30">
        <v>46022</v>
      </c>
      <c r="G3781" t="s">
        <v>2115</v>
      </c>
      <c r="H3781" t="s">
        <v>4597</v>
      </c>
      <c r="I3781">
        <v>100</v>
      </c>
      <c r="J3781">
        <v>100</v>
      </c>
      <c r="CD3781">
        <v>100</v>
      </c>
      <c r="CE3781">
        <v>100</v>
      </c>
    </row>
    <row r="3782" spans="1:85" x14ac:dyDescent="0.3">
      <c r="A3782">
        <v>415</v>
      </c>
      <c r="B3782" t="s">
        <v>2116</v>
      </c>
      <c r="C3782" t="s">
        <v>1263</v>
      </c>
      <c r="D3782" t="s">
        <v>21</v>
      </c>
      <c r="E3782" t="s">
        <v>22</v>
      </c>
      <c r="F3782" s="30">
        <v>46022</v>
      </c>
      <c r="G3782" t="s">
        <v>2128</v>
      </c>
      <c r="H3782" t="s">
        <v>4551</v>
      </c>
      <c r="I3782">
        <v>100</v>
      </c>
      <c r="J3782">
        <v>100</v>
      </c>
      <c r="CF3782">
        <v>100</v>
      </c>
      <c r="CG3782">
        <v>100</v>
      </c>
    </row>
    <row r="3783" spans="1:85" x14ac:dyDescent="0.3">
      <c r="A3783">
        <v>415</v>
      </c>
      <c r="B3783" t="s">
        <v>2116</v>
      </c>
      <c r="C3783" t="s">
        <v>1263</v>
      </c>
      <c r="D3783" t="s">
        <v>21</v>
      </c>
      <c r="E3783" t="s">
        <v>22</v>
      </c>
      <c r="F3783" s="30">
        <v>46022</v>
      </c>
      <c r="G3783" t="s">
        <v>2128</v>
      </c>
      <c r="H3783" t="s">
        <v>4552</v>
      </c>
      <c r="I3783">
        <v>100</v>
      </c>
      <c r="J3783">
        <v>100</v>
      </c>
      <c r="CF3783">
        <v>100</v>
      </c>
      <c r="CG3783">
        <v>100</v>
      </c>
    </row>
    <row r="3784" spans="1:85" x14ac:dyDescent="0.3">
      <c r="A3784">
        <v>415</v>
      </c>
      <c r="B3784" t="s">
        <v>2116</v>
      </c>
      <c r="C3784" t="s">
        <v>1263</v>
      </c>
      <c r="D3784" t="s">
        <v>21</v>
      </c>
      <c r="E3784" t="s">
        <v>22</v>
      </c>
      <c r="F3784" s="30">
        <v>46022</v>
      </c>
      <c r="G3784" t="s">
        <v>2128</v>
      </c>
      <c r="H3784" t="s">
        <v>4553</v>
      </c>
      <c r="I3784">
        <v>100</v>
      </c>
      <c r="J3784">
        <v>100</v>
      </c>
      <c r="CF3784">
        <v>100</v>
      </c>
      <c r="CG3784">
        <v>100</v>
      </c>
    </row>
    <row r="3785" spans="1:85" x14ac:dyDescent="0.3">
      <c r="A3785">
        <v>415</v>
      </c>
      <c r="B3785" t="s">
        <v>2116</v>
      </c>
      <c r="C3785" t="s">
        <v>1263</v>
      </c>
      <c r="D3785" t="s">
        <v>21</v>
      </c>
      <c r="E3785" t="s">
        <v>22</v>
      </c>
      <c r="F3785" s="30">
        <v>46022</v>
      </c>
      <c r="G3785" t="s">
        <v>2128</v>
      </c>
      <c r="H3785" t="s">
        <v>4554</v>
      </c>
      <c r="I3785">
        <v>100</v>
      </c>
      <c r="J3785">
        <v>100</v>
      </c>
      <c r="CF3785">
        <v>100</v>
      </c>
      <c r="CG3785">
        <v>100</v>
      </c>
    </row>
    <row r="3786" spans="1:85" x14ac:dyDescent="0.3">
      <c r="A3786">
        <v>415</v>
      </c>
      <c r="B3786" t="s">
        <v>2116</v>
      </c>
      <c r="C3786" t="s">
        <v>1263</v>
      </c>
      <c r="D3786" t="s">
        <v>21</v>
      </c>
      <c r="E3786" t="s">
        <v>22</v>
      </c>
      <c r="F3786" s="30">
        <v>46022</v>
      </c>
      <c r="G3786" t="s">
        <v>2128</v>
      </c>
      <c r="H3786" t="s">
        <v>4555</v>
      </c>
      <c r="I3786">
        <v>100</v>
      </c>
      <c r="J3786">
        <v>100</v>
      </c>
      <c r="CF3786">
        <v>100</v>
      </c>
      <c r="CG3786">
        <v>100</v>
      </c>
    </row>
    <row r="3787" spans="1:85" x14ac:dyDescent="0.3">
      <c r="A3787">
        <v>415</v>
      </c>
      <c r="B3787" t="s">
        <v>2116</v>
      </c>
      <c r="C3787" t="s">
        <v>1263</v>
      </c>
      <c r="D3787" t="s">
        <v>21</v>
      </c>
      <c r="E3787" t="s">
        <v>22</v>
      </c>
      <c r="F3787" s="30">
        <v>46022</v>
      </c>
      <c r="G3787" t="s">
        <v>2128</v>
      </c>
      <c r="H3787" t="s">
        <v>4556</v>
      </c>
      <c r="I3787">
        <v>100</v>
      </c>
      <c r="J3787">
        <v>99.25</v>
      </c>
      <c r="CF3787">
        <v>99.25</v>
      </c>
      <c r="CG3787">
        <v>100</v>
      </c>
    </row>
    <row r="3788" spans="1:85" x14ac:dyDescent="0.3">
      <c r="A3788">
        <v>415</v>
      </c>
      <c r="B3788" t="s">
        <v>2116</v>
      </c>
      <c r="C3788" t="s">
        <v>1263</v>
      </c>
      <c r="D3788" t="s">
        <v>21</v>
      </c>
      <c r="E3788" t="s">
        <v>22</v>
      </c>
      <c r="F3788" s="30">
        <v>46022</v>
      </c>
      <c r="G3788" t="s">
        <v>2128</v>
      </c>
      <c r="H3788" t="s">
        <v>4557</v>
      </c>
      <c r="I3788">
        <v>100</v>
      </c>
      <c r="J3788">
        <v>91.599998474121094</v>
      </c>
      <c r="CF3788">
        <v>91.6</v>
      </c>
      <c r="CG3788">
        <v>100</v>
      </c>
    </row>
    <row r="3789" spans="1:85" x14ac:dyDescent="0.3">
      <c r="A3789">
        <v>415</v>
      </c>
      <c r="B3789" t="s">
        <v>2116</v>
      </c>
      <c r="C3789" t="s">
        <v>1263</v>
      </c>
      <c r="D3789" t="s">
        <v>21</v>
      </c>
      <c r="E3789" t="s">
        <v>22</v>
      </c>
      <c r="F3789" s="30">
        <v>46022</v>
      </c>
      <c r="G3789" t="s">
        <v>2128</v>
      </c>
      <c r="H3789" t="s">
        <v>4592</v>
      </c>
      <c r="I3789">
        <v>100</v>
      </c>
      <c r="J3789">
        <v>100</v>
      </c>
      <c r="CF3789">
        <v>100</v>
      </c>
      <c r="CG3789">
        <v>100</v>
      </c>
    </row>
    <row r="3790" spans="1:85" x14ac:dyDescent="0.3">
      <c r="A3790">
        <v>415</v>
      </c>
      <c r="B3790" t="s">
        <v>2116</v>
      </c>
      <c r="C3790" t="s">
        <v>1263</v>
      </c>
      <c r="D3790" t="s">
        <v>21</v>
      </c>
      <c r="E3790" t="s">
        <v>22</v>
      </c>
      <c r="F3790" s="30">
        <v>46022</v>
      </c>
      <c r="G3790" t="s">
        <v>2128</v>
      </c>
      <c r="H3790" t="s">
        <v>4598</v>
      </c>
      <c r="I3790">
        <v>100</v>
      </c>
      <c r="J3790">
        <v>100</v>
      </c>
      <c r="CF3790">
        <v>100</v>
      </c>
      <c r="CG3790">
        <v>100</v>
      </c>
    </row>
    <row r="3791" spans="1:85" x14ac:dyDescent="0.3">
      <c r="A3791">
        <v>415</v>
      </c>
      <c r="B3791" t="s">
        <v>2116</v>
      </c>
      <c r="C3791" t="s">
        <v>1263</v>
      </c>
      <c r="D3791" t="s">
        <v>21</v>
      </c>
      <c r="E3791" t="s">
        <v>22</v>
      </c>
      <c r="F3791" s="30">
        <v>46022</v>
      </c>
      <c r="G3791" t="s">
        <v>2128</v>
      </c>
      <c r="H3791" t="s">
        <v>4601</v>
      </c>
      <c r="I3791">
        <v>100</v>
      </c>
      <c r="J3791">
        <v>100</v>
      </c>
      <c r="CF3791">
        <v>100</v>
      </c>
      <c r="CG3791">
        <v>100</v>
      </c>
    </row>
    <row r="3792" spans="1:85" x14ac:dyDescent="0.3">
      <c r="A3792">
        <v>415</v>
      </c>
      <c r="B3792" t="s">
        <v>2116</v>
      </c>
      <c r="C3792" t="s">
        <v>1263</v>
      </c>
      <c r="D3792" t="s">
        <v>21</v>
      </c>
      <c r="E3792" t="s">
        <v>22</v>
      </c>
      <c r="F3792" s="30">
        <v>46022</v>
      </c>
      <c r="G3792" t="s">
        <v>2128</v>
      </c>
      <c r="H3792" t="s">
        <v>4599</v>
      </c>
      <c r="I3792">
        <v>100</v>
      </c>
      <c r="J3792">
        <v>100</v>
      </c>
      <c r="CF3792">
        <v>100</v>
      </c>
      <c r="CG3792">
        <v>100</v>
      </c>
    </row>
    <row r="3793" spans="1:91" x14ac:dyDescent="0.3">
      <c r="A3793">
        <v>415</v>
      </c>
      <c r="B3793" t="s">
        <v>2116</v>
      </c>
      <c r="C3793" t="s">
        <v>1263</v>
      </c>
      <c r="D3793" t="s">
        <v>21</v>
      </c>
      <c r="E3793" t="s">
        <v>22</v>
      </c>
      <c r="F3793" s="30">
        <v>46022</v>
      </c>
      <c r="G3793" t="s">
        <v>2128</v>
      </c>
      <c r="H3793" t="s">
        <v>4602</v>
      </c>
      <c r="I3793">
        <v>100</v>
      </c>
      <c r="J3793">
        <v>100</v>
      </c>
      <c r="CF3793">
        <v>100</v>
      </c>
      <c r="CG3793">
        <v>100</v>
      </c>
    </row>
    <row r="3794" spans="1:91" x14ac:dyDescent="0.3">
      <c r="A3794">
        <v>415</v>
      </c>
      <c r="B3794" t="s">
        <v>2116</v>
      </c>
      <c r="C3794" t="s">
        <v>1263</v>
      </c>
      <c r="D3794" t="s">
        <v>21</v>
      </c>
      <c r="E3794" t="s">
        <v>22</v>
      </c>
      <c r="F3794" s="30">
        <v>46022</v>
      </c>
      <c r="G3794" t="s">
        <v>2128</v>
      </c>
      <c r="H3794" t="s">
        <v>4603</v>
      </c>
      <c r="I3794">
        <v>100</v>
      </c>
      <c r="J3794">
        <v>100</v>
      </c>
      <c r="CF3794">
        <v>100</v>
      </c>
      <c r="CG3794">
        <v>100</v>
      </c>
    </row>
    <row r="3795" spans="1:91" x14ac:dyDescent="0.3">
      <c r="A3795">
        <v>416</v>
      </c>
      <c r="B3795" t="s">
        <v>2129</v>
      </c>
      <c r="C3795" t="s">
        <v>1263</v>
      </c>
      <c r="D3795" t="s">
        <v>21</v>
      </c>
      <c r="E3795" t="s">
        <v>22</v>
      </c>
      <c r="F3795" s="30">
        <v>46022</v>
      </c>
      <c r="G3795" t="s">
        <v>2141</v>
      </c>
      <c r="H3795" t="s">
        <v>4558</v>
      </c>
      <c r="I3795">
        <v>100</v>
      </c>
      <c r="J3795">
        <v>100</v>
      </c>
      <c r="CH3795">
        <v>100</v>
      </c>
      <c r="CI3795">
        <v>100</v>
      </c>
    </row>
    <row r="3796" spans="1:91" x14ac:dyDescent="0.3">
      <c r="A3796">
        <v>416</v>
      </c>
      <c r="B3796" t="s">
        <v>2129</v>
      </c>
      <c r="C3796" t="s">
        <v>1263</v>
      </c>
      <c r="D3796" t="s">
        <v>21</v>
      </c>
      <c r="E3796" t="s">
        <v>22</v>
      </c>
      <c r="F3796" s="30">
        <v>46022</v>
      </c>
      <c r="G3796" t="s">
        <v>2141</v>
      </c>
      <c r="H3796" t="s">
        <v>4559</v>
      </c>
      <c r="I3796">
        <v>100</v>
      </c>
      <c r="J3796">
        <v>100</v>
      </c>
      <c r="CH3796">
        <v>100</v>
      </c>
      <c r="CI3796">
        <v>100</v>
      </c>
    </row>
    <row r="3797" spans="1:91" x14ac:dyDescent="0.3">
      <c r="A3797">
        <v>416</v>
      </c>
      <c r="B3797" t="s">
        <v>2129</v>
      </c>
      <c r="C3797" t="s">
        <v>1263</v>
      </c>
      <c r="D3797" t="s">
        <v>21</v>
      </c>
      <c r="E3797" t="s">
        <v>22</v>
      </c>
      <c r="F3797" s="30">
        <v>46022</v>
      </c>
      <c r="G3797" t="s">
        <v>2141</v>
      </c>
      <c r="H3797" t="s">
        <v>4605</v>
      </c>
      <c r="I3797">
        <v>100</v>
      </c>
      <c r="J3797">
        <v>100</v>
      </c>
      <c r="CH3797">
        <v>100</v>
      </c>
      <c r="CI3797">
        <v>100</v>
      </c>
    </row>
    <row r="3798" spans="1:91" x14ac:dyDescent="0.3">
      <c r="A3798">
        <v>416</v>
      </c>
      <c r="B3798" t="s">
        <v>2129</v>
      </c>
      <c r="C3798" t="s">
        <v>1263</v>
      </c>
      <c r="D3798" t="s">
        <v>21</v>
      </c>
      <c r="E3798" t="s">
        <v>22</v>
      </c>
      <c r="F3798" s="30">
        <v>46022</v>
      </c>
      <c r="G3798" t="s">
        <v>2141</v>
      </c>
      <c r="H3798" t="s">
        <v>4606</v>
      </c>
      <c r="I3798">
        <v>100</v>
      </c>
      <c r="J3798">
        <v>100</v>
      </c>
      <c r="CH3798">
        <v>100</v>
      </c>
      <c r="CI3798">
        <v>100</v>
      </c>
    </row>
    <row r="3799" spans="1:91" x14ac:dyDescent="0.3">
      <c r="A3799">
        <v>416</v>
      </c>
      <c r="B3799" t="s">
        <v>2129</v>
      </c>
      <c r="C3799" t="s">
        <v>1263</v>
      </c>
      <c r="D3799" t="s">
        <v>21</v>
      </c>
      <c r="E3799" t="s">
        <v>22</v>
      </c>
      <c r="F3799" s="30">
        <v>46022</v>
      </c>
      <c r="G3799" t="s">
        <v>2141</v>
      </c>
      <c r="H3799" t="s">
        <v>4607</v>
      </c>
      <c r="I3799">
        <v>100</v>
      </c>
      <c r="J3799">
        <v>100</v>
      </c>
      <c r="CH3799">
        <v>100</v>
      </c>
      <c r="CI3799">
        <v>100</v>
      </c>
    </row>
    <row r="3800" spans="1:91" x14ac:dyDescent="0.3">
      <c r="A3800">
        <v>416</v>
      </c>
      <c r="B3800" t="s">
        <v>2129</v>
      </c>
      <c r="C3800" t="s">
        <v>1263</v>
      </c>
      <c r="D3800" t="s">
        <v>21</v>
      </c>
      <c r="E3800" t="s">
        <v>22</v>
      </c>
      <c r="F3800" s="30">
        <v>46022</v>
      </c>
      <c r="G3800" t="s">
        <v>2141</v>
      </c>
      <c r="H3800" t="s">
        <v>4604</v>
      </c>
      <c r="I3800">
        <v>100</v>
      </c>
      <c r="J3800">
        <v>100</v>
      </c>
      <c r="CH3800">
        <v>100</v>
      </c>
      <c r="CI3800">
        <v>100</v>
      </c>
    </row>
    <row r="3801" spans="1:91" x14ac:dyDescent="0.3">
      <c r="A3801">
        <v>417</v>
      </c>
      <c r="B3801" t="s">
        <v>2142</v>
      </c>
      <c r="C3801" t="s">
        <v>1263</v>
      </c>
      <c r="D3801" t="s">
        <v>21</v>
      </c>
      <c r="E3801" t="s">
        <v>22</v>
      </c>
      <c r="F3801" s="30">
        <v>46022</v>
      </c>
      <c r="G3801" t="s">
        <v>2154</v>
      </c>
      <c r="H3801" t="s">
        <v>4560</v>
      </c>
      <c r="I3801">
        <v>100</v>
      </c>
      <c r="J3801">
        <v>100</v>
      </c>
      <c r="CJ3801">
        <v>100</v>
      </c>
      <c r="CK3801">
        <v>100</v>
      </c>
    </row>
    <row r="3802" spans="1:91" x14ac:dyDescent="0.3">
      <c r="A3802">
        <v>417</v>
      </c>
      <c r="B3802" t="s">
        <v>2142</v>
      </c>
      <c r="C3802" t="s">
        <v>1263</v>
      </c>
      <c r="D3802" t="s">
        <v>21</v>
      </c>
      <c r="E3802" t="s">
        <v>22</v>
      </c>
      <c r="F3802" s="30">
        <v>46022</v>
      </c>
      <c r="G3802" t="s">
        <v>2154</v>
      </c>
      <c r="H3802" t="s">
        <v>4562</v>
      </c>
      <c r="I3802">
        <v>100</v>
      </c>
      <c r="J3802">
        <v>100</v>
      </c>
      <c r="CJ3802">
        <v>100</v>
      </c>
      <c r="CK3802">
        <v>100</v>
      </c>
    </row>
    <row r="3803" spans="1:91" x14ac:dyDescent="0.3">
      <c r="A3803">
        <v>417</v>
      </c>
      <c r="B3803" t="s">
        <v>2142</v>
      </c>
      <c r="C3803" t="s">
        <v>1263</v>
      </c>
      <c r="D3803" t="s">
        <v>21</v>
      </c>
      <c r="E3803" t="s">
        <v>22</v>
      </c>
      <c r="F3803" s="30">
        <v>46022</v>
      </c>
      <c r="G3803" t="s">
        <v>2154</v>
      </c>
      <c r="H3803" t="s">
        <v>4563</v>
      </c>
      <c r="I3803">
        <v>100</v>
      </c>
      <c r="J3803">
        <v>100</v>
      </c>
      <c r="CJ3803">
        <v>100</v>
      </c>
      <c r="CK3803">
        <v>100</v>
      </c>
    </row>
    <row r="3804" spans="1:91" x14ac:dyDescent="0.3">
      <c r="A3804">
        <v>417</v>
      </c>
      <c r="B3804" t="s">
        <v>2142</v>
      </c>
      <c r="C3804" t="s">
        <v>1263</v>
      </c>
      <c r="D3804" t="s">
        <v>21</v>
      </c>
      <c r="E3804" t="s">
        <v>22</v>
      </c>
      <c r="F3804" s="30">
        <v>46022</v>
      </c>
      <c r="G3804" t="s">
        <v>2154</v>
      </c>
      <c r="H3804" t="s">
        <v>4564</v>
      </c>
      <c r="I3804">
        <v>100</v>
      </c>
      <c r="J3804">
        <v>100</v>
      </c>
      <c r="CJ3804">
        <v>100</v>
      </c>
      <c r="CK3804">
        <v>100</v>
      </c>
    </row>
    <row r="3805" spans="1:91" x14ac:dyDescent="0.3">
      <c r="A3805">
        <v>417</v>
      </c>
      <c r="B3805" t="s">
        <v>2142</v>
      </c>
      <c r="C3805" t="s">
        <v>1263</v>
      </c>
      <c r="D3805" t="s">
        <v>21</v>
      </c>
      <c r="E3805" t="s">
        <v>22</v>
      </c>
      <c r="F3805" s="30">
        <v>46022</v>
      </c>
      <c r="G3805" t="s">
        <v>2154</v>
      </c>
      <c r="H3805" t="s">
        <v>4565</v>
      </c>
      <c r="I3805">
        <v>100</v>
      </c>
      <c r="J3805">
        <v>99</v>
      </c>
      <c r="CJ3805">
        <v>99</v>
      </c>
      <c r="CK3805">
        <v>100</v>
      </c>
    </row>
    <row r="3806" spans="1:91" x14ac:dyDescent="0.3">
      <c r="A3806">
        <v>417</v>
      </c>
      <c r="B3806" t="s">
        <v>2142</v>
      </c>
      <c r="C3806" t="s">
        <v>1263</v>
      </c>
      <c r="D3806" t="s">
        <v>21</v>
      </c>
      <c r="E3806" t="s">
        <v>22</v>
      </c>
      <c r="F3806" s="30">
        <v>46022</v>
      </c>
      <c r="G3806" t="s">
        <v>2154</v>
      </c>
      <c r="H3806" t="s">
        <v>4561</v>
      </c>
      <c r="I3806">
        <v>100</v>
      </c>
      <c r="J3806">
        <v>88.959999084472656</v>
      </c>
      <c r="CJ3806">
        <v>88.96</v>
      </c>
      <c r="CK3806">
        <v>100</v>
      </c>
    </row>
    <row r="3807" spans="1:91" x14ac:dyDescent="0.3">
      <c r="A3807">
        <v>418</v>
      </c>
      <c r="B3807" t="s">
        <v>2155</v>
      </c>
      <c r="C3807" t="s">
        <v>1263</v>
      </c>
      <c r="D3807" t="s">
        <v>21</v>
      </c>
      <c r="E3807" t="s">
        <v>22</v>
      </c>
      <c r="F3807" s="30">
        <v>46022</v>
      </c>
      <c r="G3807" t="s">
        <v>2167</v>
      </c>
      <c r="H3807" t="s">
        <v>4566</v>
      </c>
      <c r="I3807">
        <v>100</v>
      </c>
      <c r="J3807">
        <v>100</v>
      </c>
      <c r="CL3807">
        <v>100</v>
      </c>
      <c r="CM3807">
        <v>100</v>
      </c>
    </row>
    <row r="3808" spans="1:91" x14ac:dyDescent="0.3">
      <c r="A3808">
        <v>418</v>
      </c>
      <c r="B3808" t="s">
        <v>2155</v>
      </c>
      <c r="C3808" t="s">
        <v>1263</v>
      </c>
      <c r="D3808" t="s">
        <v>21</v>
      </c>
      <c r="E3808" t="s">
        <v>22</v>
      </c>
      <c r="F3808" s="30">
        <v>46022</v>
      </c>
      <c r="G3808" t="s">
        <v>2167</v>
      </c>
      <c r="H3808" t="s">
        <v>4567</v>
      </c>
      <c r="I3808">
        <v>100</v>
      </c>
      <c r="J3808">
        <v>99.379997253417969</v>
      </c>
      <c r="CL3808">
        <v>99.38</v>
      </c>
      <c r="CM3808">
        <v>100</v>
      </c>
    </row>
    <row r="3809" spans="1:98" x14ac:dyDescent="0.3">
      <c r="A3809">
        <v>418</v>
      </c>
      <c r="B3809" t="s">
        <v>2155</v>
      </c>
      <c r="C3809" t="s">
        <v>1263</v>
      </c>
      <c r="D3809" t="s">
        <v>21</v>
      </c>
      <c r="E3809" t="s">
        <v>22</v>
      </c>
      <c r="F3809" s="30">
        <v>46022</v>
      </c>
      <c r="G3809" t="s">
        <v>2167</v>
      </c>
      <c r="H3809" t="s">
        <v>4568</v>
      </c>
      <c r="I3809">
        <v>100</v>
      </c>
      <c r="J3809">
        <v>97.5</v>
      </c>
      <c r="CL3809">
        <v>97.5</v>
      </c>
      <c r="CM3809">
        <v>100</v>
      </c>
    </row>
    <row r="3810" spans="1:98" x14ac:dyDescent="0.3">
      <c r="A3810">
        <v>418</v>
      </c>
      <c r="B3810" t="s">
        <v>2155</v>
      </c>
      <c r="C3810" t="s">
        <v>1263</v>
      </c>
      <c r="D3810" t="s">
        <v>21</v>
      </c>
      <c r="E3810" t="s">
        <v>22</v>
      </c>
      <c r="F3810" s="30">
        <v>46022</v>
      </c>
      <c r="G3810" t="s">
        <v>2167</v>
      </c>
      <c r="H3810" t="s">
        <v>4569</v>
      </c>
      <c r="I3810">
        <v>100</v>
      </c>
      <c r="J3810">
        <v>100</v>
      </c>
      <c r="CL3810">
        <v>100</v>
      </c>
      <c r="CM3810">
        <v>100</v>
      </c>
    </row>
    <row r="3811" spans="1:98" x14ac:dyDescent="0.3">
      <c r="A3811">
        <v>418</v>
      </c>
      <c r="B3811" t="s">
        <v>2155</v>
      </c>
      <c r="C3811" t="s">
        <v>1263</v>
      </c>
      <c r="D3811" t="s">
        <v>21</v>
      </c>
      <c r="E3811" t="s">
        <v>22</v>
      </c>
      <c r="F3811" s="30">
        <v>46022</v>
      </c>
      <c r="G3811" t="s">
        <v>2167</v>
      </c>
      <c r="H3811" t="s">
        <v>4571</v>
      </c>
      <c r="I3811">
        <v>100</v>
      </c>
      <c r="J3811">
        <v>100</v>
      </c>
      <c r="CL3811">
        <v>100</v>
      </c>
      <c r="CM3811">
        <v>100</v>
      </c>
    </row>
    <row r="3812" spans="1:98" x14ac:dyDescent="0.3">
      <c r="A3812">
        <v>418</v>
      </c>
      <c r="B3812" t="s">
        <v>2155</v>
      </c>
      <c r="C3812" t="s">
        <v>1263</v>
      </c>
      <c r="D3812" t="s">
        <v>21</v>
      </c>
      <c r="E3812" t="s">
        <v>22</v>
      </c>
      <c r="F3812" s="30">
        <v>46022</v>
      </c>
      <c r="G3812" t="s">
        <v>2167</v>
      </c>
      <c r="H3812" t="s">
        <v>4572</v>
      </c>
      <c r="I3812">
        <v>100</v>
      </c>
      <c r="J3812">
        <v>100</v>
      </c>
      <c r="CL3812">
        <v>100</v>
      </c>
      <c r="CM3812">
        <v>100</v>
      </c>
    </row>
    <row r="3813" spans="1:98" x14ac:dyDescent="0.3">
      <c r="A3813">
        <v>418</v>
      </c>
      <c r="B3813" t="s">
        <v>2155</v>
      </c>
      <c r="C3813" t="s">
        <v>1263</v>
      </c>
      <c r="D3813" t="s">
        <v>21</v>
      </c>
      <c r="E3813" t="s">
        <v>22</v>
      </c>
      <c r="F3813" s="30">
        <v>46022</v>
      </c>
      <c r="G3813" t="s">
        <v>2167</v>
      </c>
      <c r="H3813" t="s">
        <v>4573</v>
      </c>
      <c r="I3813">
        <v>100</v>
      </c>
      <c r="J3813">
        <v>100</v>
      </c>
      <c r="CL3813">
        <v>100</v>
      </c>
      <c r="CM3813">
        <v>100</v>
      </c>
    </row>
    <row r="3814" spans="1:98" x14ac:dyDescent="0.3">
      <c r="A3814">
        <v>418</v>
      </c>
      <c r="B3814" t="s">
        <v>2155</v>
      </c>
      <c r="C3814" t="s">
        <v>1263</v>
      </c>
      <c r="D3814" t="s">
        <v>21</v>
      </c>
      <c r="E3814" t="s">
        <v>22</v>
      </c>
      <c r="F3814" s="30">
        <v>46022</v>
      </c>
      <c r="G3814" t="s">
        <v>2167</v>
      </c>
      <c r="H3814" t="s">
        <v>4528</v>
      </c>
      <c r="I3814">
        <v>100</v>
      </c>
      <c r="J3814">
        <v>100</v>
      </c>
      <c r="CL3814">
        <v>100</v>
      </c>
      <c r="CM3814">
        <v>100</v>
      </c>
    </row>
    <row r="3815" spans="1:98" x14ac:dyDescent="0.3">
      <c r="A3815">
        <v>420</v>
      </c>
      <c r="B3815" t="s">
        <v>2172</v>
      </c>
      <c r="C3815" t="s">
        <v>1263</v>
      </c>
      <c r="D3815" t="s">
        <v>21</v>
      </c>
      <c r="E3815" t="s">
        <v>22</v>
      </c>
      <c r="F3815" s="30">
        <v>46022</v>
      </c>
      <c r="G3815" t="s">
        <v>2184</v>
      </c>
      <c r="H3815" t="s">
        <v>4574</v>
      </c>
      <c r="I3815">
        <v>100</v>
      </c>
      <c r="J3815">
        <v>100</v>
      </c>
      <c r="CN3815">
        <v>100</v>
      </c>
      <c r="CO3815">
        <v>100</v>
      </c>
    </row>
    <row r="3816" spans="1:98" x14ac:dyDescent="0.3">
      <c r="A3816">
        <v>420</v>
      </c>
      <c r="B3816" t="s">
        <v>2172</v>
      </c>
      <c r="C3816" t="s">
        <v>1263</v>
      </c>
      <c r="D3816" t="s">
        <v>21</v>
      </c>
      <c r="E3816" t="s">
        <v>22</v>
      </c>
      <c r="F3816" s="30">
        <v>46022</v>
      </c>
      <c r="G3816" t="s">
        <v>2184</v>
      </c>
      <c r="H3816" t="s">
        <v>4575</v>
      </c>
      <c r="I3816">
        <v>100</v>
      </c>
      <c r="J3816">
        <v>100</v>
      </c>
      <c r="CN3816">
        <v>100</v>
      </c>
      <c r="CO3816">
        <v>100</v>
      </c>
    </row>
    <row r="3817" spans="1:98" x14ac:dyDescent="0.3">
      <c r="A3817">
        <v>420</v>
      </c>
      <c r="B3817" t="s">
        <v>2172</v>
      </c>
      <c r="C3817" t="s">
        <v>1263</v>
      </c>
      <c r="D3817" t="s">
        <v>21</v>
      </c>
      <c r="E3817" t="s">
        <v>22</v>
      </c>
      <c r="F3817" s="30">
        <v>46022</v>
      </c>
      <c r="G3817" t="s">
        <v>2184</v>
      </c>
      <c r="H3817" t="s">
        <v>4576</v>
      </c>
      <c r="I3817">
        <v>100</v>
      </c>
      <c r="J3817">
        <v>100</v>
      </c>
      <c r="CN3817">
        <v>100</v>
      </c>
      <c r="CO3817">
        <v>100</v>
      </c>
    </row>
    <row r="3818" spans="1:98" x14ac:dyDescent="0.3">
      <c r="A3818">
        <v>420</v>
      </c>
      <c r="B3818" t="s">
        <v>2172</v>
      </c>
      <c r="C3818" t="s">
        <v>1263</v>
      </c>
      <c r="D3818" t="s">
        <v>21</v>
      </c>
      <c r="E3818" t="s">
        <v>22</v>
      </c>
      <c r="F3818" s="30">
        <v>46022</v>
      </c>
      <c r="G3818" t="s">
        <v>2184</v>
      </c>
      <c r="H3818" t="s">
        <v>4577</v>
      </c>
      <c r="I3818">
        <v>100</v>
      </c>
      <c r="J3818">
        <v>100</v>
      </c>
      <c r="CN3818">
        <v>100</v>
      </c>
      <c r="CO3818">
        <v>100</v>
      </c>
    </row>
    <row r="3819" spans="1:98" x14ac:dyDescent="0.3">
      <c r="A3819">
        <v>420</v>
      </c>
      <c r="B3819" t="s">
        <v>2172</v>
      </c>
      <c r="C3819" t="s">
        <v>1263</v>
      </c>
      <c r="D3819" t="s">
        <v>21</v>
      </c>
      <c r="E3819" t="s">
        <v>22</v>
      </c>
      <c r="F3819" s="30">
        <v>46022</v>
      </c>
      <c r="G3819" t="s">
        <v>2184</v>
      </c>
      <c r="H3819" t="s">
        <v>4578</v>
      </c>
      <c r="I3819">
        <v>100</v>
      </c>
      <c r="J3819">
        <v>100</v>
      </c>
      <c r="CN3819">
        <v>100</v>
      </c>
      <c r="CO3819">
        <v>100</v>
      </c>
    </row>
    <row r="3820" spans="1:98" x14ac:dyDescent="0.3">
      <c r="A3820">
        <v>420</v>
      </c>
      <c r="B3820" t="s">
        <v>2172</v>
      </c>
      <c r="C3820" t="s">
        <v>1263</v>
      </c>
      <c r="D3820" t="s">
        <v>21</v>
      </c>
      <c r="E3820" t="s">
        <v>22</v>
      </c>
      <c r="F3820" s="30">
        <v>46022</v>
      </c>
      <c r="G3820" t="s">
        <v>2184</v>
      </c>
      <c r="H3820" t="s">
        <v>2703</v>
      </c>
      <c r="I3820">
        <v>100</v>
      </c>
      <c r="J3820">
        <v>100</v>
      </c>
      <c r="CN3820">
        <v>100</v>
      </c>
      <c r="CO3820">
        <v>100</v>
      </c>
    </row>
    <row r="3821" spans="1:98" x14ac:dyDescent="0.3">
      <c r="A3821">
        <v>432</v>
      </c>
      <c r="B3821" t="s">
        <v>2247</v>
      </c>
      <c r="C3821" t="s">
        <v>138</v>
      </c>
      <c r="D3821" t="s">
        <v>21</v>
      </c>
      <c r="E3821" t="s">
        <v>22</v>
      </c>
      <c r="F3821" s="30">
        <v>46022</v>
      </c>
      <c r="G3821" t="s">
        <v>2259</v>
      </c>
      <c r="H3821" t="s">
        <v>4584</v>
      </c>
      <c r="I3821">
        <v>90</v>
      </c>
      <c r="J3821">
        <v>100</v>
      </c>
      <c r="CS3821">
        <v>7</v>
      </c>
      <c r="CT3821">
        <v>7</v>
      </c>
    </row>
    <row r="3822" spans="1:98" x14ac:dyDescent="0.3">
      <c r="A3822">
        <v>432</v>
      </c>
      <c r="B3822" t="s">
        <v>2247</v>
      </c>
      <c r="C3822" t="s">
        <v>138</v>
      </c>
      <c r="D3822" t="s">
        <v>21</v>
      </c>
      <c r="E3822" t="s">
        <v>22</v>
      </c>
      <c r="F3822" s="30">
        <v>46022</v>
      </c>
      <c r="G3822" t="s">
        <v>2259</v>
      </c>
      <c r="H3822" t="s">
        <v>4585</v>
      </c>
      <c r="I3822">
        <v>90</v>
      </c>
      <c r="J3822">
        <v>100</v>
      </c>
      <c r="CS3822">
        <v>14</v>
      </c>
      <c r="CT3822">
        <v>14</v>
      </c>
    </row>
    <row r="3823" spans="1:98" x14ac:dyDescent="0.3">
      <c r="A3823">
        <v>432</v>
      </c>
      <c r="B3823" t="s">
        <v>2247</v>
      </c>
      <c r="C3823" t="s">
        <v>138</v>
      </c>
      <c r="D3823" t="s">
        <v>21</v>
      </c>
      <c r="E3823" t="s">
        <v>22</v>
      </c>
      <c r="F3823" s="30">
        <v>46022</v>
      </c>
      <c r="G3823" t="s">
        <v>2259</v>
      </c>
      <c r="H3823" t="s">
        <v>4586</v>
      </c>
      <c r="I3823">
        <v>90</v>
      </c>
      <c r="J3823">
        <v>100</v>
      </c>
      <c r="CS3823">
        <v>11</v>
      </c>
      <c r="CT3823">
        <v>11</v>
      </c>
    </row>
    <row r="3824" spans="1:98" x14ac:dyDescent="0.3">
      <c r="A3824">
        <v>432</v>
      </c>
      <c r="B3824" t="s">
        <v>2247</v>
      </c>
      <c r="C3824" t="s">
        <v>138</v>
      </c>
      <c r="D3824" t="s">
        <v>21</v>
      </c>
      <c r="E3824" t="s">
        <v>22</v>
      </c>
      <c r="F3824" s="30">
        <v>46022</v>
      </c>
      <c r="G3824" t="s">
        <v>2259</v>
      </c>
      <c r="H3824" t="s">
        <v>4587</v>
      </c>
      <c r="I3824">
        <v>90</v>
      </c>
      <c r="J3824">
        <v>100</v>
      </c>
      <c r="CS3824">
        <v>14</v>
      </c>
      <c r="CT3824">
        <v>14</v>
      </c>
    </row>
    <row r="3825" spans="1:132" x14ac:dyDescent="0.3">
      <c r="A3825">
        <v>432</v>
      </c>
      <c r="B3825" t="s">
        <v>2247</v>
      </c>
      <c r="C3825" t="s">
        <v>138</v>
      </c>
      <c r="D3825" t="s">
        <v>21</v>
      </c>
      <c r="E3825" t="s">
        <v>22</v>
      </c>
      <c r="F3825" s="30">
        <v>46022</v>
      </c>
      <c r="G3825" t="s">
        <v>2259</v>
      </c>
      <c r="H3825" t="s">
        <v>4588</v>
      </c>
      <c r="I3825">
        <v>90</v>
      </c>
      <c r="J3825">
        <v>100</v>
      </c>
      <c r="CS3825">
        <v>4</v>
      </c>
      <c r="CT3825">
        <v>4</v>
      </c>
    </row>
    <row r="3826" spans="1:132" x14ac:dyDescent="0.3">
      <c r="A3826">
        <v>432</v>
      </c>
      <c r="B3826" t="s">
        <v>2247</v>
      </c>
      <c r="C3826" t="s">
        <v>138</v>
      </c>
      <c r="D3826" t="s">
        <v>21</v>
      </c>
      <c r="E3826" t="s">
        <v>22</v>
      </c>
      <c r="F3826" s="30">
        <v>46022</v>
      </c>
      <c r="G3826" t="s">
        <v>2259</v>
      </c>
      <c r="H3826" t="s">
        <v>4589</v>
      </c>
      <c r="I3826">
        <v>90</v>
      </c>
      <c r="J3826">
        <v>100</v>
      </c>
      <c r="CS3826">
        <v>2</v>
      </c>
      <c r="CT3826">
        <v>2</v>
      </c>
    </row>
    <row r="3827" spans="1:132" x14ac:dyDescent="0.3">
      <c r="A3827">
        <v>432</v>
      </c>
      <c r="B3827" t="s">
        <v>2247</v>
      </c>
      <c r="C3827" t="s">
        <v>138</v>
      </c>
      <c r="D3827" t="s">
        <v>21</v>
      </c>
      <c r="E3827" t="s">
        <v>22</v>
      </c>
      <c r="F3827" s="30">
        <v>46022</v>
      </c>
      <c r="G3827" t="s">
        <v>2259</v>
      </c>
      <c r="H3827" t="s">
        <v>4590</v>
      </c>
      <c r="I3827">
        <v>90</v>
      </c>
      <c r="J3827">
        <v>100</v>
      </c>
      <c r="CS3827">
        <v>5</v>
      </c>
      <c r="CT3827">
        <v>5</v>
      </c>
    </row>
    <row r="3828" spans="1:132" x14ac:dyDescent="0.3">
      <c r="A3828">
        <v>432</v>
      </c>
      <c r="B3828" t="s">
        <v>2247</v>
      </c>
      <c r="C3828" t="s">
        <v>138</v>
      </c>
      <c r="D3828" t="s">
        <v>21</v>
      </c>
      <c r="E3828" t="s">
        <v>22</v>
      </c>
      <c r="F3828" s="30">
        <v>46022</v>
      </c>
      <c r="G3828" t="s">
        <v>2259</v>
      </c>
      <c r="H3828" t="s">
        <v>4591</v>
      </c>
      <c r="I3828">
        <v>90</v>
      </c>
      <c r="J3828">
        <v>100</v>
      </c>
      <c r="CS3828">
        <v>15</v>
      </c>
      <c r="CT3828">
        <v>15</v>
      </c>
    </row>
    <row r="3829" spans="1:132" x14ac:dyDescent="0.3">
      <c r="A3829">
        <v>432</v>
      </c>
      <c r="B3829" t="s">
        <v>2247</v>
      </c>
      <c r="C3829" t="s">
        <v>138</v>
      </c>
      <c r="D3829" t="s">
        <v>21</v>
      </c>
      <c r="E3829" t="s">
        <v>22</v>
      </c>
      <c r="F3829" s="30">
        <v>46022</v>
      </c>
      <c r="G3829" t="s">
        <v>2259</v>
      </c>
      <c r="H3829" t="s">
        <v>4583</v>
      </c>
      <c r="I3829">
        <v>90</v>
      </c>
      <c r="J3829">
        <v>100</v>
      </c>
      <c r="CS3829">
        <v>15</v>
      </c>
      <c r="CT3829">
        <v>15</v>
      </c>
    </row>
    <row r="3830" spans="1:132" x14ac:dyDescent="0.3">
      <c r="A3830">
        <v>456</v>
      </c>
      <c r="B3830" t="s">
        <v>2419</v>
      </c>
      <c r="C3830" t="s">
        <v>207</v>
      </c>
      <c r="D3830" t="s">
        <v>21</v>
      </c>
      <c r="E3830" t="s">
        <v>22</v>
      </c>
      <c r="F3830" s="30">
        <v>46022</v>
      </c>
      <c r="G3830" t="s">
        <v>2425</v>
      </c>
      <c r="H3830" t="s">
        <v>4511</v>
      </c>
      <c r="I3830">
        <v>100</v>
      </c>
      <c r="J3830">
        <v>106.6699981689453</v>
      </c>
      <c r="DY3830">
        <v>60</v>
      </c>
      <c r="DZ3830">
        <v>64</v>
      </c>
    </row>
    <row r="3831" spans="1:132" x14ac:dyDescent="0.3">
      <c r="A3831">
        <v>456</v>
      </c>
      <c r="B3831" t="s">
        <v>2419</v>
      </c>
      <c r="C3831" t="s">
        <v>207</v>
      </c>
      <c r="D3831" t="s">
        <v>21</v>
      </c>
      <c r="E3831" t="s">
        <v>22</v>
      </c>
      <c r="F3831" s="30">
        <v>46022</v>
      </c>
      <c r="G3831" t="s">
        <v>2425</v>
      </c>
      <c r="H3831" t="s">
        <v>4512</v>
      </c>
      <c r="I3831">
        <v>100</v>
      </c>
      <c r="J3831">
        <v>153.33000183105469</v>
      </c>
      <c r="DY3831">
        <v>15</v>
      </c>
      <c r="DZ3831">
        <v>23</v>
      </c>
    </row>
    <row r="3832" spans="1:132" x14ac:dyDescent="0.3">
      <c r="A3832">
        <v>456</v>
      </c>
      <c r="B3832" t="s">
        <v>2419</v>
      </c>
      <c r="C3832" t="s">
        <v>207</v>
      </c>
      <c r="D3832" t="s">
        <v>21</v>
      </c>
      <c r="E3832" t="s">
        <v>22</v>
      </c>
      <c r="F3832" s="30">
        <v>46022</v>
      </c>
      <c r="G3832" t="s">
        <v>2425</v>
      </c>
      <c r="H3832" t="s">
        <v>4636</v>
      </c>
      <c r="I3832">
        <v>100</v>
      </c>
      <c r="J3832">
        <v>109.0899963378906</v>
      </c>
      <c r="DY3832">
        <v>22</v>
      </c>
      <c r="DZ3832">
        <v>24</v>
      </c>
    </row>
    <row r="3833" spans="1:132" x14ac:dyDescent="0.3">
      <c r="A3833">
        <v>457</v>
      </c>
      <c r="B3833" t="s">
        <v>2426</v>
      </c>
      <c r="C3833" t="s">
        <v>207</v>
      </c>
      <c r="D3833" t="s">
        <v>21</v>
      </c>
      <c r="E3833" t="s">
        <v>22</v>
      </c>
      <c r="F3833" s="30">
        <v>46022</v>
      </c>
      <c r="G3833" t="s">
        <v>2432</v>
      </c>
      <c r="H3833" t="s">
        <v>4511</v>
      </c>
      <c r="I3833">
        <v>100</v>
      </c>
      <c r="J3833">
        <v>50</v>
      </c>
      <c r="EA3833">
        <v>2</v>
      </c>
      <c r="EB3833">
        <v>1</v>
      </c>
    </row>
    <row r="3834" spans="1:132" x14ac:dyDescent="0.3">
      <c r="A3834">
        <v>457</v>
      </c>
      <c r="B3834" t="s">
        <v>2426</v>
      </c>
      <c r="C3834" t="s">
        <v>207</v>
      </c>
      <c r="D3834" t="s">
        <v>21</v>
      </c>
      <c r="E3834" t="s">
        <v>22</v>
      </c>
      <c r="F3834" s="30">
        <v>46022</v>
      </c>
      <c r="G3834" t="s">
        <v>2432</v>
      </c>
      <c r="H3834" t="s">
        <v>4512</v>
      </c>
      <c r="I3834">
        <v>100</v>
      </c>
      <c r="J3834">
        <v>100</v>
      </c>
      <c r="EA3834">
        <v>2</v>
      </c>
      <c r="EB3834">
        <v>2</v>
      </c>
    </row>
    <row r="3835" spans="1:132" x14ac:dyDescent="0.3">
      <c r="A3835">
        <v>457</v>
      </c>
      <c r="B3835" t="s">
        <v>2426</v>
      </c>
      <c r="C3835" t="s">
        <v>207</v>
      </c>
      <c r="D3835" t="s">
        <v>21</v>
      </c>
      <c r="E3835" t="s">
        <v>22</v>
      </c>
      <c r="F3835" s="30">
        <v>46022</v>
      </c>
      <c r="G3835" t="s">
        <v>2432</v>
      </c>
      <c r="H3835" t="s">
        <v>4636</v>
      </c>
      <c r="I3835">
        <v>100</v>
      </c>
      <c r="J3835">
        <v>100</v>
      </c>
      <c r="EA3835">
        <v>2</v>
      </c>
      <c r="EB3835">
        <v>2</v>
      </c>
    </row>
    <row r="3836" spans="1:132" x14ac:dyDescent="0.3">
      <c r="A3836">
        <v>469</v>
      </c>
      <c r="B3836" t="s">
        <v>2168</v>
      </c>
      <c r="C3836" t="s">
        <v>1263</v>
      </c>
      <c r="D3836" t="s">
        <v>21</v>
      </c>
      <c r="E3836" t="s">
        <v>22</v>
      </c>
      <c r="F3836" s="30">
        <v>46022</v>
      </c>
      <c r="G3836" t="s">
        <v>2464</v>
      </c>
      <c r="H3836" t="s">
        <v>4612</v>
      </c>
      <c r="I3836">
        <v>100</v>
      </c>
      <c r="J3836">
        <v>100</v>
      </c>
      <c r="DF3836">
        <v>100</v>
      </c>
      <c r="DG3836">
        <v>100</v>
      </c>
    </row>
    <row r="3837" spans="1:132" x14ac:dyDescent="0.3">
      <c r="A3837">
        <v>469</v>
      </c>
      <c r="B3837" t="s">
        <v>2168</v>
      </c>
      <c r="C3837" t="s">
        <v>1263</v>
      </c>
      <c r="D3837" t="s">
        <v>21</v>
      </c>
      <c r="E3837" t="s">
        <v>22</v>
      </c>
      <c r="F3837" s="30">
        <v>46022</v>
      </c>
      <c r="G3837" t="s">
        <v>2464</v>
      </c>
      <c r="H3837" t="s">
        <v>4617</v>
      </c>
      <c r="I3837">
        <v>100</v>
      </c>
      <c r="J3837">
        <v>100</v>
      </c>
      <c r="DF3837">
        <v>100</v>
      </c>
      <c r="DG3837">
        <v>100</v>
      </c>
    </row>
    <row r="3838" spans="1:132" x14ac:dyDescent="0.3">
      <c r="A3838">
        <v>469</v>
      </c>
      <c r="B3838" t="s">
        <v>2168</v>
      </c>
      <c r="C3838" t="s">
        <v>1263</v>
      </c>
      <c r="D3838" t="s">
        <v>21</v>
      </c>
      <c r="E3838" t="s">
        <v>22</v>
      </c>
      <c r="F3838" s="30">
        <v>46022</v>
      </c>
      <c r="G3838" t="s">
        <v>2464</v>
      </c>
      <c r="H3838" t="s">
        <v>4614</v>
      </c>
      <c r="I3838">
        <v>100</v>
      </c>
      <c r="J3838">
        <v>100</v>
      </c>
      <c r="DF3838">
        <v>100</v>
      </c>
      <c r="DG3838">
        <v>100</v>
      </c>
    </row>
    <row r="3839" spans="1:132" x14ac:dyDescent="0.3">
      <c r="A3839">
        <v>469</v>
      </c>
      <c r="B3839" t="s">
        <v>2168</v>
      </c>
      <c r="C3839" t="s">
        <v>1263</v>
      </c>
      <c r="D3839" t="s">
        <v>21</v>
      </c>
      <c r="E3839" t="s">
        <v>22</v>
      </c>
      <c r="F3839" s="30">
        <v>46022</v>
      </c>
      <c r="G3839" t="s">
        <v>2464</v>
      </c>
      <c r="H3839" t="s">
        <v>4609</v>
      </c>
      <c r="I3839">
        <v>100</v>
      </c>
      <c r="J3839">
        <v>100</v>
      </c>
      <c r="DF3839">
        <v>100</v>
      </c>
      <c r="DG3839">
        <v>100</v>
      </c>
    </row>
    <row r="3840" spans="1:132" x14ac:dyDescent="0.3">
      <c r="A3840">
        <v>469</v>
      </c>
      <c r="B3840" t="s">
        <v>2168</v>
      </c>
      <c r="C3840" t="s">
        <v>1263</v>
      </c>
      <c r="D3840" t="s">
        <v>21</v>
      </c>
      <c r="E3840" t="s">
        <v>22</v>
      </c>
      <c r="F3840" s="30">
        <v>46022</v>
      </c>
      <c r="G3840" t="s">
        <v>2464</v>
      </c>
      <c r="H3840" t="s">
        <v>4616</v>
      </c>
      <c r="I3840">
        <v>100</v>
      </c>
      <c r="J3840">
        <v>100</v>
      </c>
      <c r="DF3840">
        <v>100</v>
      </c>
      <c r="DG3840">
        <v>100</v>
      </c>
    </row>
    <row r="3841" spans="1:143" x14ac:dyDescent="0.3">
      <c r="A3841">
        <v>469</v>
      </c>
      <c r="B3841" t="s">
        <v>2168</v>
      </c>
      <c r="C3841" t="s">
        <v>1263</v>
      </c>
      <c r="D3841" t="s">
        <v>21</v>
      </c>
      <c r="E3841" t="s">
        <v>22</v>
      </c>
      <c r="F3841" s="30">
        <v>46022</v>
      </c>
      <c r="G3841" t="s">
        <v>2464</v>
      </c>
      <c r="H3841" t="s">
        <v>4613</v>
      </c>
      <c r="I3841">
        <v>100</v>
      </c>
      <c r="J3841">
        <v>100</v>
      </c>
      <c r="DF3841">
        <v>100</v>
      </c>
      <c r="DG3841">
        <v>100</v>
      </c>
    </row>
    <row r="3842" spans="1:143" x14ac:dyDescent="0.3">
      <c r="A3842">
        <v>469</v>
      </c>
      <c r="B3842" t="s">
        <v>2168</v>
      </c>
      <c r="C3842" t="s">
        <v>1263</v>
      </c>
      <c r="D3842" t="s">
        <v>21</v>
      </c>
      <c r="E3842" t="s">
        <v>22</v>
      </c>
      <c r="F3842" s="30">
        <v>46022</v>
      </c>
      <c r="G3842" t="s">
        <v>2464</v>
      </c>
      <c r="H3842" t="s">
        <v>4611</v>
      </c>
      <c r="I3842">
        <v>100</v>
      </c>
      <c r="J3842">
        <v>93</v>
      </c>
      <c r="DF3842">
        <v>93</v>
      </c>
      <c r="DG3842">
        <v>100</v>
      </c>
    </row>
    <row r="3843" spans="1:143" x14ac:dyDescent="0.3">
      <c r="A3843">
        <v>469</v>
      </c>
      <c r="B3843" t="s">
        <v>2168</v>
      </c>
      <c r="C3843" t="s">
        <v>1263</v>
      </c>
      <c r="D3843" t="s">
        <v>21</v>
      </c>
      <c r="E3843" t="s">
        <v>22</v>
      </c>
      <c r="F3843" s="30">
        <v>46022</v>
      </c>
      <c r="G3843" t="s">
        <v>2464</v>
      </c>
      <c r="H3843" t="s">
        <v>4615</v>
      </c>
      <c r="I3843">
        <v>100</v>
      </c>
      <c r="J3843">
        <v>100</v>
      </c>
      <c r="DF3843">
        <v>100</v>
      </c>
      <c r="DG3843">
        <v>100</v>
      </c>
    </row>
    <row r="3844" spans="1:143" x14ac:dyDescent="0.3">
      <c r="A3844">
        <v>470</v>
      </c>
      <c r="B3844" t="s">
        <v>2465</v>
      </c>
      <c r="C3844" t="s">
        <v>1263</v>
      </c>
      <c r="D3844" t="s">
        <v>21</v>
      </c>
      <c r="E3844" t="s">
        <v>22</v>
      </c>
      <c r="F3844" s="30">
        <v>46022</v>
      </c>
      <c r="G3844" t="s">
        <v>2473</v>
      </c>
      <c r="H3844" t="s">
        <v>4620</v>
      </c>
      <c r="I3844">
        <v>100</v>
      </c>
      <c r="J3844">
        <v>100</v>
      </c>
      <c r="DH3844">
        <v>100</v>
      </c>
      <c r="DI3844">
        <v>100</v>
      </c>
    </row>
    <row r="3845" spans="1:143" x14ac:dyDescent="0.3">
      <c r="A3845">
        <v>470</v>
      </c>
      <c r="B3845" t="s">
        <v>2465</v>
      </c>
      <c r="C3845" t="s">
        <v>1263</v>
      </c>
      <c r="D3845" t="s">
        <v>21</v>
      </c>
      <c r="E3845" t="s">
        <v>22</v>
      </c>
      <c r="F3845" s="30">
        <v>46022</v>
      </c>
      <c r="G3845" t="s">
        <v>2473</v>
      </c>
      <c r="H3845" t="s">
        <v>4622</v>
      </c>
      <c r="I3845">
        <v>100</v>
      </c>
      <c r="J3845">
        <v>100</v>
      </c>
      <c r="DH3845">
        <v>100</v>
      </c>
      <c r="DI3845">
        <v>100</v>
      </c>
    </row>
    <row r="3846" spans="1:143" x14ac:dyDescent="0.3">
      <c r="A3846">
        <v>470</v>
      </c>
      <c r="B3846" t="s">
        <v>2465</v>
      </c>
      <c r="C3846" t="s">
        <v>1263</v>
      </c>
      <c r="D3846" t="s">
        <v>21</v>
      </c>
      <c r="E3846" t="s">
        <v>22</v>
      </c>
      <c r="F3846" s="30">
        <v>46022</v>
      </c>
      <c r="G3846" t="s">
        <v>2473</v>
      </c>
      <c r="H3846" t="s">
        <v>4619</v>
      </c>
      <c r="I3846">
        <v>100</v>
      </c>
      <c r="J3846">
        <v>100</v>
      </c>
      <c r="DH3846">
        <v>100</v>
      </c>
      <c r="DI3846">
        <v>100</v>
      </c>
    </row>
    <row r="3847" spans="1:143" x14ac:dyDescent="0.3">
      <c r="A3847">
        <v>470</v>
      </c>
      <c r="B3847" t="s">
        <v>2465</v>
      </c>
      <c r="C3847" t="s">
        <v>1263</v>
      </c>
      <c r="D3847" t="s">
        <v>21</v>
      </c>
      <c r="E3847" t="s">
        <v>22</v>
      </c>
      <c r="F3847" s="30">
        <v>46022</v>
      </c>
      <c r="G3847" t="s">
        <v>2473</v>
      </c>
      <c r="H3847" t="s">
        <v>4618</v>
      </c>
      <c r="I3847">
        <v>100</v>
      </c>
      <c r="J3847">
        <v>100</v>
      </c>
      <c r="DH3847">
        <v>100</v>
      </c>
      <c r="DI3847">
        <v>100</v>
      </c>
    </row>
    <row r="3848" spans="1:143" x14ac:dyDescent="0.3">
      <c r="A3848">
        <v>470</v>
      </c>
      <c r="B3848" t="s">
        <v>2465</v>
      </c>
      <c r="C3848" t="s">
        <v>1263</v>
      </c>
      <c r="D3848" t="s">
        <v>21</v>
      </c>
      <c r="E3848" t="s">
        <v>22</v>
      </c>
      <c r="F3848" s="30">
        <v>46022</v>
      </c>
      <c r="G3848" t="s">
        <v>2473</v>
      </c>
      <c r="H3848" t="s">
        <v>4621</v>
      </c>
      <c r="I3848">
        <v>100</v>
      </c>
      <c r="J3848">
        <v>100</v>
      </c>
      <c r="DH3848">
        <v>100</v>
      </c>
      <c r="DI3848">
        <v>100</v>
      </c>
    </row>
    <row r="3849" spans="1:143" x14ac:dyDescent="0.3">
      <c r="A3849">
        <v>471</v>
      </c>
      <c r="B3849" t="s">
        <v>2474</v>
      </c>
      <c r="C3849" t="s">
        <v>1263</v>
      </c>
      <c r="D3849" t="s">
        <v>21</v>
      </c>
      <c r="E3849" t="s">
        <v>22</v>
      </c>
      <c r="F3849" s="30">
        <v>46022</v>
      </c>
      <c r="G3849" t="s">
        <v>2482</v>
      </c>
      <c r="H3849" t="s">
        <v>4625</v>
      </c>
      <c r="I3849">
        <v>100</v>
      </c>
      <c r="J3849">
        <v>99</v>
      </c>
      <c r="DJ3849">
        <v>99</v>
      </c>
      <c r="DK3849">
        <v>100</v>
      </c>
    </row>
    <row r="3850" spans="1:143" x14ac:dyDescent="0.3">
      <c r="A3850">
        <v>471</v>
      </c>
      <c r="B3850" t="s">
        <v>2474</v>
      </c>
      <c r="C3850" t="s">
        <v>1263</v>
      </c>
      <c r="D3850" t="s">
        <v>21</v>
      </c>
      <c r="E3850" t="s">
        <v>22</v>
      </c>
      <c r="F3850" s="30">
        <v>46022</v>
      </c>
      <c r="G3850" t="s">
        <v>2482</v>
      </c>
      <c r="H3850" t="s">
        <v>4623</v>
      </c>
      <c r="I3850">
        <v>100</v>
      </c>
      <c r="J3850">
        <v>100</v>
      </c>
      <c r="DJ3850">
        <v>100</v>
      </c>
      <c r="DK3850">
        <v>100</v>
      </c>
    </row>
    <row r="3851" spans="1:143" x14ac:dyDescent="0.3">
      <c r="A3851">
        <v>471</v>
      </c>
      <c r="B3851" t="s">
        <v>2474</v>
      </c>
      <c r="C3851" t="s">
        <v>1263</v>
      </c>
      <c r="D3851" t="s">
        <v>21</v>
      </c>
      <c r="E3851" t="s">
        <v>22</v>
      </c>
      <c r="F3851" s="30">
        <v>46022</v>
      </c>
      <c r="G3851" t="s">
        <v>2482</v>
      </c>
      <c r="H3851" t="s">
        <v>4628</v>
      </c>
      <c r="I3851">
        <v>100</v>
      </c>
      <c r="J3851">
        <v>100</v>
      </c>
      <c r="DJ3851">
        <v>100</v>
      </c>
      <c r="DK3851">
        <v>100</v>
      </c>
    </row>
    <row r="3852" spans="1:143" x14ac:dyDescent="0.3">
      <c r="A3852">
        <v>471</v>
      </c>
      <c r="B3852" t="s">
        <v>2474</v>
      </c>
      <c r="C3852" t="s">
        <v>1263</v>
      </c>
      <c r="D3852" t="s">
        <v>21</v>
      </c>
      <c r="E3852" t="s">
        <v>22</v>
      </c>
      <c r="F3852" s="30">
        <v>46022</v>
      </c>
      <c r="G3852" t="s">
        <v>2482</v>
      </c>
      <c r="H3852" t="s">
        <v>4626</v>
      </c>
      <c r="I3852">
        <v>100</v>
      </c>
      <c r="J3852">
        <v>100</v>
      </c>
      <c r="DJ3852">
        <v>100</v>
      </c>
      <c r="DK3852">
        <v>100</v>
      </c>
    </row>
    <row r="3853" spans="1:143" x14ac:dyDescent="0.3">
      <c r="A3853">
        <v>471</v>
      </c>
      <c r="B3853" t="s">
        <v>2474</v>
      </c>
      <c r="C3853" t="s">
        <v>1263</v>
      </c>
      <c r="D3853" t="s">
        <v>21</v>
      </c>
      <c r="E3853" t="s">
        <v>22</v>
      </c>
      <c r="F3853" s="30">
        <v>46022</v>
      </c>
      <c r="G3853" t="s">
        <v>2482</v>
      </c>
      <c r="H3853" t="s">
        <v>4627</v>
      </c>
      <c r="I3853">
        <v>100</v>
      </c>
      <c r="J3853">
        <v>100</v>
      </c>
      <c r="DJ3853">
        <v>100</v>
      </c>
      <c r="DK3853">
        <v>100</v>
      </c>
    </row>
    <row r="3854" spans="1:143" x14ac:dyDescent="0.3">
      <c r="A3854">
        <v>471</v>
      </c>
      <c r="B3854" t="s">
        <v>2474</v>
      </c>
      <c r="C3854" t="s">
        <v>1263</v>
      </c>
      <c r="D3854" t="s">
        <v>21</v>
      </c>
      <c r="E3854" t="s">
        <v>22</v>
      </c>
      <c r="F3854" s="30">
        <v>46022</v>
      </c>
      <c r="G3854" t="s">
        <v>2482</v>
      </c>
      <c r="H3854" t="s">
        <v>4624</v>
      </c>
      <c r="I3854">
        <v>100</v>
      </c>
      <c r="J3854">
        <v>100</v>
      </c>
      <c r="DJ3854">
        <v>100</v>
      </c>
      <c r="DK3854">
        <v>100</v>
      </c>
    </row>
    <row r="3855" spans="1:143" x14ac:dyDescent="0.3">
      <c r="A3855">
        <v>471</v>
      </c>
      <c r="B3855" t="s">
        <v>2474</v>
      </c>
      <c r="C3855" t="s">
        <v>1263</v>
      </c>
      <c r="D3855" t="s">
        <v>21</v>
      </c>
      <c r="E3855" t="s">
        <v>22</v>
      </c>
      <c r="F3855" s="30">
        <v>46022</v>
      </c>
      <c r="G3855" t="s">
        <v>2482</v>
      </c>
      <c r="H3855" t="s">
        <v>4629</v>
      </c>
      <c r="I3855">
        <v>100</v>
      </c>
      <c r="J3855">
        <v>100</v>
      </c>
      <c r="DJ3855">
        <v>100</v>
      </c>
      <c r="DK3855">
        <v>100</v>
      </c>
    </row>
    <row r="3856" spans="1:143" x14ac:dyDescent="0.3">
      <c r="A3856">
        <v>510</v>
      </c>
      <c r="B3856" t="s">
        <v>2634</v>
      </c>
      <c r="C3856" t="s">
        <v>1490</v>
      </c>
      <c r="D3856" t="s">
        <v>21</v>
      </c>
      <c r="E3856" t="s">
        <v>22</v>
      </c>
      <c r="F3856" s="30">
        <v>46022</v>
      </c>
      <c r="G3856" t="s">
        <v>2638</v>
      </c>
      <c r="H3856" t="s">
        <v>4652</v>
      </c>
      <c r="J3856">
        <v>0</v>
      </c>
      <c r="EL3856">
        <v>0</v>
      </c>
      <c r="EM3856">
        <v>140</v>
      </c>
    </row>
    <row r="3857" spans="1:167" x14ac:dyDescent="0.3">
      <c r="A3857">
        <v>511</v>
      </c>
      <c r="B3857" t="s">
        <v>2639</v>
      </c>
      <c r="C3857" t="s">
        <v>1490</v>
      </c>
      <c r="D3857" t="s">
        <v>21</v>
      </c>
      <c r="E3857" t="s">
        <v>22</v>
      </c>
      <c r="F3857" s="30">
        <v>46022</v>
      </c>
      <c r="G3857" t="s">
        <v>2643</v>
      </c>
      <c r="H3857" t="s">
        <v>4653</v>
      </c>
      <c r="J3857">
        <v>74.290000915527344</v>
      </c>
      <c r="EN3857">
        <v>26</v>
      </c>
      <c r="EO3857">
        <v>35</v>
      </c>
    </row>
    <row r="3858" spans="1:167" x14ac:dyDescent="0.3">
      <c r="A3858">
        <v>511</v>
      </c>
      <c r="B3858" t="s">
        <v>2639</v>
      </c>
      <c r="C3858" t="s">
        <v>1490</v>
      </c>
      <c r="D3858" t="s">
        <v>21</v>
      </c>
      <c r="E3858" t="s">
        <v>22</v>
      </c>
      <c r="F3858" s="30">
        <v>46022</v>
      </c>
      <c r="G3858" t="s">
        <v>2643</v>
      </c>
      <c r="H3858" t="s">
        <v>4654</v>
      </c>
      <c r="J3858">
        <v>100</v>
      </c>
      <c r="EN3858">
        <v>11</v>
      </c>
      <c r="EO3858">
        <v>11</v>
      </c>
    </row>
    <row r="3859" spans="1:167" x14ac:dyDescent="0.3">
      <c r="A3859">
        <v>511</v>
      </c>
      <c r="B3859" t="s">
        <v>2639</v>
      </c>
      <c r="C3859" t="s">
        <v>1490</v>
      </c>
      <c r="D3859" t="s">
        <v>21</v>
      </c>
      <c r="E3859" t="s">
        <v>22</v>
      </c>
      <c r="F3859" s="30">
        <v>46022</v>
      </c>
      <c r="G3859" t="s">
        <v>2643</v>
      </c>
      <c r="H3859" t="s">
        <v>4655</v>
      </c>
      <c r="J3859">
        <v>100</v>
      </c>
      <c r="EN3859">
        <v>24</v>
      </c>
      <c r="EO3859">
        <v>24</v>
      </c>
    </row>
    <row r="3860" spans="1:167" x14ac:dyDescent="0.3">
      <c r="A3860">
        <v>511</v>
      </c>
      <c r="B3860" t="s">
        <v>2639</v>
      </c>
      <c r="C3860" t="s">
        <v>1490</v>
      </c>
      <c r="D3860" t="s">
        <v>21</v>
      </c>
      <c r="E3860" t="s">
        <v>22</v>
      </c>
      <c r="F3860" s="30">
        <v>46022</v>
      </c>
      <c r="G3860" t="s">
        <v>2643</v>
      </c>
      <c r="H3860" t="s">
        <v>4656</v>
      </c>
      <c r="J3860">
        <v>93.330001831054688</v>
      </c>
      <c r="EN3860">
        <v>14</v>
      </c>
      <c r="EO3860">
        <v>15</v>
      </c>
    </row>
    <row r="3861" spans="1:167" x14ac:dyDescent="0.3">
      <c r="A3861">
        <v>511</v>
      </c>
      <c r="B3861" t="s">
        <v>2639</v>
      </c>
      <c r="C3861" t="s">
        <v>1490</v>
      </c>
      <c r="D3861" t="s">
        <v>21</v>
      </c>
      <c r="E3861" t="s">
        <v>22</v>
      </c>
      <c r="F3861" s="30">
        <v>46022</v>
      </c>
      <c r="G3861" t="s">
        <v>2643</v>
      </c>
      <c r="H3861" t="s">
        <v>4657</v>
      </c>
      <c r="J3861">
        <v>100</v>
      </c>
      <c r="EN3861">
        <v>8</v>
      </c>
      <c r="EO3861">
        <v>8</v>
      </c>
    </row>
    <row r="3862" spans="1:167" x14ac:dyDescent="0.3">
      <c r="A3862">
        <v>511</v>
      </c>
      <c r="B3862" t="s">
        <v>2639</v>
      </c>
      <c r="C3862" t="s">
        <v>1490</v>
      </c>
      <c r="D3862" t="s">
        <v>21</v>
      </c>
      <c r="E3862" t="s">
        <v>22</v>
      </c>
      <c r="F3862" s="30">
        <v>46022</v>
      </c>
      <c r="G3862" t="s">
        <v>2643</v>
      </c>
      <c r="H3862" t="s">
        <v>4658</v>
      </c>
      <c r="J3862">
        <v>81.660003662109375</v>
      </c>
      <c r="EN3862">
        <v>138</v>
      </c>
      <c r="EO3862">
        <v>169</v>
      </c>
    </row>
    <row r="3863" spans="1:167" x14ac:dyDescent="0.3">
      <c r="A3863">
        <v>511</v>
      </c>
      <c r="B3863" t="s">
        <v>2639</v>
      </c>
      <c r="C3863" t="s">
        <v>1490</v>
      </c>
      <c r="D3863" t="s">
        <v>21</v>
      </c>
      <c r="E3863" t="s">
        <v>22</v>
      </c>
      <c r="F3863" s="30">
        <v>46022</v>
      </c>
      <c r="G3863" t="s">
        <v>2643</v>
      </c>
      <c r="H3863" t="s">
        <v>4659</v>
      </c>
      <c r="J3863">
        <v>100</v>
      </c>
      <c r="EN3863">
        <v>7</v>
      </c>
      <c r="EO3863">
        <v>7</v>
      </c>
    </row>
    <row r="3864" spans="1:167" x14ac:dyDescent="0.3">
      <c r="A3864">
        <v>529</v>
      </c>
      <c r="B3864" t="s">
        <v>2659</v>
      </c>
      <c r="C3864" t="s">
        <v>224</v>
      </c>
      <c r="D3864" t="s">
        <v>21</v>
      </c>
      <c r="E3864" t="s">
        <v>22</v>
      </c>
      <c r="F3864" s="30">
        <v>46022</v>
      </c>
      <c r="G3864" t="s">
        <v>2661</v>
      </c>
      <c r="H3864" t="s">
        <v>4508</v>
      </c>
      <c r="I3864">
        <v>90</v>
      </c>
      <c r="J3864">
        <v>96</v>
      </c>
      <c r="FJ3864">
        <v>50</v>
      </c>
      <c r="FK3864">
        <v>48</v>
      </c>
    </row>
    <row r="3865" spans="1:167" x14ac:dyDescent="0.3">
      <c r="A3865">
        <v>529</v>
      </c>
      <c r="B3865" t="s">
        <v>2659</v>
      </c>
      <c r="C3865" t="s">
        <v>224</v>
      </c>
      <c r="D3865" t="s">
        <v>21</v>
      </c>
      <c r="E3865" t="s">
        <v>22</v>
      </c>
      <c r="F3865" s="30">
        <v>46022</v>
      </c>
      <c r="G3865" t="s">
        <v>2661</v>
      </c>
      <c r="H3865" t="s">
        <v>4509</v>
      </c>
      <c r="I3865">
        <v>90</v>
      </c>
      <c r="J3865">
        <v>98.980003356933594</v>
      </c>
      <c r="FJ3865">
        <v>98</v>
      </c>
      <c r="FK3865">
        <v>97</v>
      </c>
    </row>
    <row r="3866" spans="1:167" x14ac:dyDescent="0.3">
      <c r="A3866">
        <v>216</v>
      </c>
      <c r="B3866" t="s">
        <v>835</v>
      </c>
      <c r="C3866" t="s">
        <v>251</v>
      </c>
      <c r="D3866" t="s">
        <v>139</v>
      </c>
      <c r="E3866" t="s">
        <v>22</v>
      </c>
      <c r="F3866" s="30">
        <v>46022</v>
      </c>
      <c r="G3866" t="s">
        <v>839</v>
      </c>
      <c r="H3866" t="s">
        <v>4468</v>
      </c>
      <c r="I3866">
        <v>100</v>
      </c>
      <c r="J3866">
        <v>100</v>
      </c>
      <c r="AE3866">
        <v>9001.27</v>
      </c>
      <c r="AF3866">
        <v>9001.27</v>
      </c>
    </row>
    <row r="3867" spans="1:167" x14ac:dyDescent="0.3">
      <c r="A3867">
        <v>216</v>
      </c>
      <c r="B3867" t="s">
        <v>835</v>
      </c>
      <c r="C3867" t="s">
        <v>251</v>
      </c>
      <c r="D3867" t="s">
        <v>139</v>
      </c>
      <c r="E3867" t="s">
        <v>22</v>
      </c>
      <c r="F3867" s="30">
        <v>46022</v>
      </c>
      <c r="G3867" t="s">
        <v>839</v>
      </c>
      <c r="H3867" t="s">
        <v>4470</v>
      </c>
      <c r="I3867">
        <v>100</v>
      </c>
      <c r="J3867">
        <v>100</v>
      </c>
      <c r="AE3867">
        <v>271.68</v>
      </c>
      <c r="AF3867">
        <v>271.68</v>
      </c>
    </row>
    <row r="3868" spans="1:167" x14ac:dyDescent="0.3">
      <c r="A3868">
        <v>216</v>
      </c>
      <c r="B3868" t="s">
        <v>835</v>
      </c>
      <c r="C3868" t="s">
        <v>251</v>
      </c>
      <c r="D3868" t="s">
        <v>139</v>
      </c>
      <c r="E3868" t="s">
        <v>22</v>
      </c>
      <c r="F3868" s="30">
        <v>46022</v>
      </c>
      <c r="G3868" t="s">
        <v>839</v>
      </c>
      <c r="H3868" t="s">
        <v>4477</v>
      </c>
      <c r="I3868">
        <v>100</v>
      </c>
      <c r="J3868">
        <v>0</v>
      </c>
      <c r="AE3868">
        <v>0</v>
      </c>
      <c r="AF3868">
        <v>0</v>
      </c>
    </row>
    <row r="3869" spans="1:167" x14ac:dyDescent="0.3">
      <c r="A3869">
        <v>216</v>
      </c>
      <c r="B3869" t="s">
        <v>835</v>
      </c>
      <c r="C3869" t="s">
        <v>251</v>
      </c>
      <c r="D3869" t="s">
        <v>139</v>
      </c>
      <c r="E3869" t="s">
        <v>22</v>
      </c>
      <c r="F3869" s="30">
        <v>46022</v>
      </c>
      <c r="G3869" t="s">
        <v>839</v>
      </c>
      <c r="H3869" t="s">
        <v>4469</v>
      </c>
      <c r="I3869">
        <v>100</v>
      </c>
      <c r="J3869">
        <v>100</v>
      </c>
      <c r="AE3869">
        <v>541</v>
      </c>
      <c r="AF3869">
        <v>541</v>
      </c>
    </row>
    <row r="3870" spans="1:167" x14ac:dyDescent="0.3">
      <c r="A3870">
        <v>216</v>
      </c>
      <c r="B3870" t="s">
        <v>835</v>
      </c>
      <c r="C3870" t="s">
        <v>251</v>
      </c>
      <c r="D3870" t="s">
        <v>139</v>
      </c>
      <c r="E3870" t="s">
        <v>22</v>
      </c>
      <c r="F3870" s="30">
        <v>46022</v>
      </c>
      <c r="G3870" t="s">
        <v>839</v>
      </c>
      <c r="H3870" t="s">
        <v>4476</v>
      </c>
      <c r="I3870">
        <v>100</v>
      </c>
      <c r="J3870">
        <v>100</v>
      </c>
      <c r="AE3870">
        <v>1.3</v>
      </c>
      <c r="AF3870">
        <v>1.3</v>
      </c>
    </row>
    <row r="3871" spans="1:167" x14ac:dyDescent="0.3">
      <c r="A3871">
        <v>216</v>
      </c>
      <c r="B3871" t="s">
        <v>835</v>
      </c>
      <c r="C3871" t="s">
        <v>251</v>
      </c>
      <c r="D3871" t="s">
        <v>139</v>
      </c>
      <c r="E3871" t="s">
        <v>22</v>
      </c>
      <c r="F3871" s="30">
        <v>46022</v>
      </c>
      <c r="G3871" t="s">
        <v>839</v>
      </c>
      <c r="H3871" t="s">
        <v>4478</v>
      </c>
      <c r="I3871">
        <v>100</v>
      </c>
      <c r="J3871">
        <v>0</v>
      </c>
      <c r="AE3871">
        <v>0</v>
      </c>
      <c r="AF3871">
        <v>0</v>
      </c>
    </row>
    <row r="3872" spans="1:167" x14ac:dyDescent="0.3">
      <c r="A3872">
        <v>221</v>
      </c>
      <c r="B3872" t="s">
        <v>956</v>
      </c>
      <c r="C3872" t="s">
        <v>251</v>
      </c>
      <c r="D3872" t="s">
        <v>139</v>
      </c>
      <c r="E3872" t="s">
        <v>22</v>
      </c>
      <c r="F3872" s="30">
        <v>46022</v>
      </c>
      <c r="G3872" t="s">
        <v>960</v>
      </c>
      <c r="H3872" t="s">
        <v>4468</v>
      </c>
      <c r="I3872">
        <v>100</v>
      </c>
      <c r="J3872">
        <v>10</v>
      </c>
      <c r="AG3872">
        <v>1</v>
      </c>
      <c r="AH3872">
        <v>10</v>
      </c>
    </row>
    <row r="3873" spans="1:169" x14ac:dyDescent="0.3">
      <c r="A3873">
        <v>221</v>
      </c>
      <c r="B3873" t="s">
        <v>956</v>
      </c>
      <c r="C3873" t="s">
        <v>251</v>
      </c>
      <c r="D3873" t="s">
        <v>139</v>
      </c>
      <c r="E3873" t="s">
        <v>22</v>
      </c>
      <c r="F3873" s="30">
        <v>46022</v>
      </c>
      <c r="G3873" t="s">
        <v>960</v>
      </c>
      <c r="H3873" t="s">
        <v>4470</v>
      </c>
      <c r="I3873">
        <v>100</v>
      </c>
      <c r="J3873">
        <v>0</v>
      </c>
      <c r="AG3873">
        <v>0</v>
      </c>
      <c r="AH3873">
        <v>5</v>
      </c>
    </row>
    <row r="3874" spans="1:169" x14ac:dyDescent="0.3">
      <c r="A3874">
        <v>221</v>
      </c>
      <c r="B3874" t="s">
        <v>956</v>
      </c>
      <c r="C3874" t="s">
        <v>251</v>
      </c>
      <c r="D3874" t="s">
        <v>139</v>
      </c>
      <c r="E3874" t="s">
        <v>22</v>
      </c>
      <c r="F3874" s="30">
        <v>46022</v>
      </c>
      <c r="G3874" t="s">
        <v>960</v>
      </c>
      <c r="H3874" t="s">
        <v>4469</v>
      </c>
      <c r="I3874">
        <v>100</v>
      </c>
      <c r="J3874">
        <v>100</v>
      </c>
      <c r="AG3874">
        <v>3</v>
      </c>
      <c r="AH3874">
        <v>3</v>
      </c>
    </row>
    <row r="3875" spans="1:169" x14ac:dyDescent="0.3">
      <c r="A3875">
        <v>221</v>
      </c>
      <c r="B3875" t="s">
        <v>956</v>
      </c>
      <c r="C3875" t="s">
        <v>251</v>
      </c>
      <c r="D3875" t="s">
        <v>139</v>
      </c>
      <c r="E3875" t="s">
        <v>22</v>
      </c>
      <c r="F3875" s="30">
        <v>46022</v>
      </c>
      <c r="G3875" t="s">
        <v>960</v>
      </c>
      <c r="H3875" t="s">
        <v>4476</v>
      </c>
      <c r="I3875">
        <v>100</v>
      </c>
      <c r="J3875">
        <v>0</v>
      </c>
      <c r="AG3875">
        <v>0</v>
      </c>
      <c r="AH3875">
        <v>0</v>
      </c>
    </row>
    <row r="3876" spans="1:169" x14ac:dyDescent="0.3">
      <c r="A3876">
        <v>221</v>
      </c>
      <c r="B3876" t="s">
        <v>956</v>
      </c>
      <c r="C3876" t="s">
        <v>251</v>
      </c>
      <c r="D3876" t="s">
        <v>139</v>
      </c>
      <c r="E3876" t="s">
        <v>22</v>
      </c>
      <c r="F3876" s="30">
        <v>46022</v>
      </c>
      <c r="G3876" t="s">
        <v>960</v>
      </c>
      <c r="H3876" t="s">
        <v>4478</v>
      </c>
      <c r="I3876">
        <v>100</v>
      </c>
      <c r="J3876">
        <v>0</v>
      </c>
      <c r="AG3876">
        <v>0</v>
      </c>
      <c r="AH3876">
        <v>0</v>
      </c>
    </row>
    <row r="3877" spans="1:169" x14ac:dyDescent="0.3">
      <c r="A3877">
        <v>221</v>
      </c>
      <c r="B3877" t="s">
        <v>956</v>
      </c>
      <c r="C3877" t="s">
        <v>251</v>
      </c>
      <c r="D3877" t="s">
        <v>139</v>
      </c>
      <c r="E3877" t="s">
        <v>22</v>
      </c>
      <c r="F3877" s="30">
        <v>46022</v>
      </c>
      <c r="G3877" t="s">
        <v>960</v>
      </c>
      <c r="H3877" t="s">
        <v>4477</v>
      </c>
      <c r="I3877">
        <v>100</v>
      </c>
      <c r="J3877">
        <v>0</v>
      </c>
      <c r="AG3877">
        <v>0</v>
      </c>
      <c r="AH3877">
        <v>2</v>
      </c>
    </row>
    <row r="3878" spans="1:169" x14ac:dyDescent="0.3">
      <c r="A3878">
        <v>222</v>
      </c>
      <c r="B3878" t="s">
        <v>961</v>
      </c>
      <c r="C3878" t="s">
        <v>251</v>
      </c>
      <c r="D3878" t="s">
        <v>139</v>
      </c>
      <c r="E3878" t="s">
        <v>22</v>
      </c>
      <c r="F3878" s="30">
        <v>46022</v>
      </c>
      <c r="G3878" t="s">
        <v>965</v>
      </c>
      <c r="H3878" t="s">
        <v>4468</v>
      </c>
      <c r="I3878">
        <v>90</v>
      </c>
      <c r="J3878">
        <v>68.75</v>
      </c>
      <c r="AI3878">
        <v>11</v>
      </c>
      <c r="AJ3878">
        <v>16</v>
      </c>
    </row>
    <row r="3879" spans="1:169" x14ac:dyDescent="0.3">
      <c r="A3879">
        <v>223</v>
      </c>
      <c r="B3879" t="s">
        <v>966</v>
      </c>
      <c r="C3879" t="s">
        <v>251</v>
      </c>
      <c r="D3879" t="s">
        <v>139</v>
      </c>
      <c r="E3879" t="s">
        <v>22</v>
      </c>
      <c r="F3879" s="30">
        <v>46022</v>
      </c>
      <c r="G3879" t="s">
        <v>970</v>
      </c>
      <c r="H3879" t="s">
        <v>4509</v>
      </c>
      <c r="I3879">
        <v>100</v>
      </c>
      <c r="J3879">
        <v>100</v>
      </c>
      <c r="DC3879">
        <v>2</v>
      </c>
      <c r="DD3879">
        <v>2</v>
      </c>
    </row>
    <row r="3880" spans="1:169" x14ac:dyDescent="0.3">
      <c r="A3880">
        <v>223</v>
      </c>
      <c r="B3880" t="s">
        <v>966</v>
      </c>
      <c r="C3880" t="s">
        <v>251</v>
      </c>
      <c r="D3880" t="s">
        <v>139</v>
      </c>
      <c r="E3880" t="s">
        <v>22</v>
      </c>
      <c r="F3880" s="30">
        <v>46022</v>
      </c>
      <c r="G3880" t="s">
        <v>970</v>
      </c>
      <c r="H3880" t="s">
        <v>4508</v>
      </c>
      <c r="I3880">
        <v>100</v>
      </c>
      <c r="J3880">
        <v>90</v>
      </c>
      <c r="DC3880">
        <v>9</v>
      </c>
      <c r="DD3880">
        <v>10</v>
      </c>
    </row>
    <row r="3881" spans="1:169" x14ac:dyDescent="0.3">
      <c r="A3881">
        <v>224</v>
      </c>
      <c r="B3881" t="s">
        <v>971</v>
      </c>
      <c r="C3881" t="s">
        <v>251</v>
      </c>
      <c r="D3881" t="s">
        <v>139</v>
      </c>
      <c r="E3881" t="s">
        <v>22</v>
      </c>
      <c r="F3881" s="30">
        <v>46022</v>
      </c>
      <c r="G3881" t="s">
        <v>975</v>
      </c>
      <c r="H3881" t="s">
        <v>4468</v>
      </c>
      <c r="I3881">
        <v>100</v>
      </c>
      <c r="J3881">
        <v>100</v>
      </c>
      <c r="AK3881">
        <v>4</v>
      </c>
      <c r="AL3881">
        <v>4</v>
      </c>
    </row>
    <row r="3882" spans="1:169" x14ac:dyDescent="0.3">
      <c r="A3882">
        <v>224</v>
      </c>
      <c r="B3882" t="s">
        <v>971</v>
      </c>
      <c r="C3882" t="s">
        <v>251</v>
      </c>
      <c r="D3882" t="s">
        <v>139</v>
      </c>
      <c r="E3882" t="s">
        <v>22</v>
      </c>
      <c r="F3882" s="30">
        <v>46022</v>
      </c>
      <c r="G3882" t="s">
        <v>975</v>
      </c>
      <c r="H3882" t="s">
        <v>4477</v>
      </c>
      <c r="I3882">
        <v>100</v>
      </c>
      <c r="J3882">
        <v>0</v>
      </c>
      <c r="AK3882">
        <v>0</v>
      </c>
      <c r="AL3882">
        <v>0</v>
      </c>
    </row>
    <row r="3883" spans="1:169" x14ac:dyDescent="0.3">
      <c r="A3883">
        <v>224</v>
      </c>
      <c r="B3883" t="s">
        <v>971</v>
      </c>
      <c r="C3883" t="s">
        <v>251</v>
      </c>
      <c r="D3883" t="s">
        <v>139</v>
      </c>
      <c r="E3883" t="s">
        <v>22</v>
      </c>
      <c r="F3883" s="30">
        <v>46022</v>
      </c>
      <c r="G3883" t="s">
        <v>975</v>
      </c>
      <c r="H3883" t="s">
        <v>4469</v>
      </c>
      <c r="I3883">
        <v>100</v>
      </c>
      <c r="J3883">
        <v>100</v>
      </c>
      <c r="AK3883">
        <v>2</v>
      </c>
      <c r="AL3883">
        <v>2</v>
      </c>
    </row>
    <row r="3884" spans="1:169" x14ac:dyDescent="0.3">
      <c r="A3884">
        <v>224</v>
      </c>
      <c r="B3884" t="s">
        <v>971</v>
      </c>
      <c r="C3884" t="s">
        <v>251</v>
      </c>
      <c r="D3884" t="s">
        <v>139</v>
      </c>
      <c r="E3884" t="s">
        <v>22</v>
      </c>
      <c r="F3884" s="30">
        <v>46022</v>
      </c>
      <c r="G3884" t="s">
        <v>975</v>
      </c>
      <c r="H3884" t="s">
        <v>4476</v>
      </c>
      <c r="I3884">
        <v>100</v>
      </c>
      <c r="J3884">
        <v>100</v>
      </c>
      <c r="AK3884">
        <v>1</v>
      </c>
      <c r="AL3884">
        <v>1</v>
      </c>
    </row>
    <row r="3885" spans="1:169" x14ac:dyDescent="0.3">
      <c r="A3885">
        <v>224</v>
      </c>
      <c r="B3885" t="s">
        <v>971</v>
      </c>
      <c r="C3885" t="s">
        <v>251</v>
      </c>
      <c r="D3885" t="s">
        <v>139</v>
      </c>
      <c r="E3885" t="s">
        <v>22</v>
      </c>
      <c r="F3885" s="30">
        <v>46022</v>
      </c>
      <c r="G3885" t="s">
        <v>975</v>
      </c>
      <c r="H3885" t="s">
        <v>4478</v>
      </c>
      <c r="I3885">
        <v>100</v>
      </c>
      <c r="J3885">
        <v>0</v>
      </c>
      <c r="AK3885">
        <v>0</v>
      </c>
      <c r="AL3885">
        <v>0</v>
      </c>
    </row>
    <row r="3886" spans="1:169" x14ac:dyDescent="0.3">
      <c r="A3886">
        <v>224</v>
      </c>
      <c r="B3886" t="s">
        <v>971</v>
      </c>
      <c r="C3886" t="s">
        <v>251</v>
      </c>
      <c r="D3886" t="s">
        <v>139</v>
      </c>
      <c r="E3886" t="s">
        <v>22</v>
      </c>
      <c r="F3886" s="30">
        <v>46022</v>
      </c>
      <c r="G3886" t="s">
        <v>975</v>
      </c>
      <c r="H3886" t="s">
        <v>4470</v>
      </c>
      <c r="I3886">
        <v>100</v>
      </c>
      <c r="J3886">
        <v>100</v>
      </c>
      <c r="AK3886">
        <v>1</v>
      </c>
      <c r="AL3886">
        <v>1</v>
      </c>
    </row>
    <row r="3887" spans="1:169" x14ac:dyDescent="0.3">
      <c r="A3887">
        <v>542</v>
      </c>
      <c r="B3887" t="s">
        <v>2684</v>
      </c>
      <c r="C3887" t="s">
        <v>1654</v>
      </c>
      <c r="D3887" t="s">
        <v>139</v>
      </c>
      <c r="E3887" t="s">
        <v>22</v>
      </c>
      <c r="F3887" s="30">
        <v>46022</v>
      </c>
      <c r="G3887" t="s">
        <v>2685</v>
      </c>
      <c r="H3887" t="s">
        <v>4679</v>
      </c>
      <c r="J3887">
        <v>80.019996643066406</v>
      </c>
      <c r="FL3887">
        <v>6280</v>
      </c>
      <c r="FM3887">
        <v>5025</v>
      </c>
    </row>
    <row r="3888" spans="1:169" x14ac:dyDescent="0.3">
      <c r="A3888">
        <v>542</v>
      </c>
      <c r="B3888" t="s">
        <v>2684</v>
      </c>
      <c r="C3888" t="s">
        <v>1654</v>
      </c>
      <c r="D3888" t="s">
        <v>139</v>
      </c>
      <c r="E3888" t="s">
        <v>22</v>
      </c>
      <c r="F3888" s="30">
        <v>46022</v>
      </c>
      <c r="G3888" t="s">
        <v>2685</v>
      </c>
      <c r="H3888" t="s">
        <v>4680</v>
      </c>
      <c r="J3888">
        <v>80.680000305175781</v>
      </c>
      <c r="FL3888">
        <v>1175</v>
      </c>
      <c r="FM3888">
        <v>948</v>
      </c>
    </row>
    <row r="3889" spans="1:171" x14ac:dyDescent="0.3">
      <c r="A3889">
        <v>542</v>
      </c>
      <c r="B3889" t="s">
        <v>2684</v>
      </c>
      <c r="C3889" t="s">
        <v>1654</v>
      </c>
      <c r="D3889" t="s">
        <v>139</v>
      </c>
      <c r="E3889" t="s">
        <v>22</v>
      </c>
      <c r="F3889" s="30">
        <v>46022</v>
      </c>
      <c r="G3889" t="s">
        <v>2685</v>
      </c>
      <c r="H3889" t="s">
        <v>4681</v>
      </c>
      <c r="J3889">
        <v>83.839996337890625</v>
      </c>
      <c r="FL3889">
        <v>631</v>
      </c>
      <c r="FM3889">
        <v>529</v>
      </c>
    </row>
    <row r="3890" spans="1:171" x14ac:dyDescent="0.3">
      <c r="A3890">
        <v>542</v>
      </c>
      <c r="B3890" t="s">
        <v>2684</v>
      </c>
      <c r="C3890" t="s">
        <v>1654</v>
      </c>
      <c r="D3890" t="s">
        <v>139</v>
      </c>
      <c r="E3890" t="s">
        <v>22</v>
      </c>
      <c r="F3890" s="30">
        <v>46022</v>
      </c>
      <c r="G3890" t="s">
        <v>2685</v>
      </c>
      <c r="H3890" t="s">
        <v>4682</v>
      </c>
      <c r="J3890">
        <v>80.410003662109375</v>
      </c>
      <c r="FL3890">
        <v>8086</v>
      </c>
      <c r="FM3890">
        <v>6502</v>
      </c>
    </row>
    <row r="3891" spans="1:171" x14ac:dyDescent="0.3">
      <c r="A3891">
        <v>546</v>
      </c>
      <c r="B3891" t="s">
        <v>2691</v>
      </c>
      <c r="C3891" t="s">
        <v>1654</v>
      </c>
      <c r="D3891" t="s">
        <v>139</v>
      </c>
      <c r="E3891" t="s">
        <v>22</v>
      </c>
      <c r="F3891" s="30">
        <v>46022</v>
      </c>
      <c r="G3891" t="s">
        <v>2692</v>
      </c>
      <c r="H3891" t="s">
        <v>4679</v>
      </c>
      <c r="I3891">
        <v>90</v>
      </c>
      <c r="J3891">
        <v>98.790000915527344</v>
      </c>
      <c r="FN3891">
        <v>6285</v>
      </c>
      <c r="FO3891">
        <v>6362</v>
      </c>
    </row>
    <row r="3892" spans="1:171" x14ac:dyDescent="0.3">
      <c r="A3892">
        <v>546</v>
      </c>
      <c r="B3892" t="s">
        <v>2691</v>
      </c>
      <c r="C3892" t="s">
        <v>1654</v>
      </c>
      <c r="D3892" t="s">
        <v>139</v>
      </c>
      <c r="E3892" t="s">
        <v>22</v>
      </c>
      <c r="F3892" s="30">
        <v>46022</v>
      </c>
      <c r="G3892" t="s">
        <v>2692</v>
      </c>
      <c r="H3892" t="s">
        <v>4680</v>
      </c>
      <c r="I3892">
        <v>9</v>
      </c>
      <c r="J3892">
        <v>8.5900001525878906</v>
      </c>
      <c r="FN3892">
        <v>1175</v>
      </c>
      <c r="FO3892">
        <v>13671</v>
      </c>
    </row>
    <row r="3893" spans="1:171" x14ac:dyDescent="0.3">
      <c r="A3893">
        <v>546</v>
      </c>
      <c r="B3893" t="s">
        <v>2691</v>
      </c>
      <c r="C3893" t="s">
        <v>1654</v>
      </c>
      <c r="D3893" t="s">
        <v>139</v>
      </c>
      <c r="E3893" t="s">
        <v>22</v>
      </c>
      <c r="F3893" s="30">
        <v>46022</v>
      </c>
      <c r="G3893" t="s">
        <v>2692</v>
      </c>
      <c r="H3893" t="s">
        <v>4681</v>
      </c>
      <c r="I3893">
        <v>3.5</v>
      </c>
      <c r="J3893">
        <v>6</v>
      </c>
      <c r="FN3893">
        <v>631</v>
      </c>
      <c r="FO3893">
        <v>10522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706"/>
  <sheetViews>
    <sheetView workbookViewId="0"/>
  </sheetViews>
  <sheetFormatPr baseColWidth="10" defaultColWidth="8.88671875" defaultRowHeight="14.4" x14ac:dyDescent="0.3"/>
  <sheetData>
    <row r="1" spans="1:34" x14ac:dyDescent="0.3">
      <c r="A1" t="s">
        <v>0</v>
      </c>
      <c r="B1" t="s">
        <v>1</v>
      </c>
      <c r="C1" t="s">
        <v>4683</v>
      </c>
      <c r="D1" t="s">
        <v>2</v>
      </c>
      <c r="E1" t="s">
        <v>3</v>
      </c>
      <c r="F1" t="s">
        <v>4</v>
      </c>
      <c r="G1" t="s">
        <v>4684</v>
      </c>
      <c r="H1" t="s">
        <v>4685</v>
      </c>
      <c r="I1" t="s">
        <v>3611</v>
      </c>
      <c r="J1" t="s">
        <v>4686</v>
      </c>
      <c r="K1" t="s">
        <v>4687</v>
      </c>
      <c r="L1" t="s">
        <v>4688</v>
      </c>
      <c r="M1" t="s">
        <v>4689</v>
      </c>
      <c r="N1" t="s">
        <v>4690</v>
      </c>
      <c r="O1" t="s">
        <v>4691</v>
      </c>
      <c r="P1" t="s">
        <v>4692</v>
      </c>
      <c r="Q1" t="s">
        <v>4693</v>
      </c>
      <c r="R1" t="s">
        <v>4694</v>
      </c>
      <c r="S1" t="s">
        <v>4695</v>
      </c>
      <c r="T1" t="s">
        <v>4696</v>
      </c>
      <c r="U1" t="s">
        <v>4697</v>
      </c>
      <c r="V1" t="s">
        <v>4698</v>
      </c>
      <c r="W1" t="s">
        <v>4699</v>
      </c>
      <c r="X1" t="s">
        <v>4700</v>
      </c>
      <c r="Y1" t="s">
        <v>4701</v>
      </c>
      <c r="Z1" t="s">
        <v>4702</v>
      </c>
      <c r="AA1" t="s">
        <v>4703</v>
      </c>
      <c r="AB1" t="s">
        <v>4704</v>
      </c>
      <c r="AC1" t="s">
        <v>4705</v>
      </c>
      <c r="AD1" t="s">
        <v>4706</v>
      </c>
      <c r="AE1" t="s">
        <v>4707</v>
      </c>
      <c r="AF1" t="s">
        <v>4708</v>
      </c>
      <c r="AG1" t="s">
        <v>4709</v>
      </c>
      <c r="AH1" t="s">
        <v>4710</v>
      </c>
    </row>
    <row r="2" spans="1:34" x14ac:dyDescent="0.3">
      <c r="A2" t="s">
        <v>3579</v>
      </c>
      <c r="B2" t="s">
        <v>4711</v>
      </c>
      <c r="C2" t="s">
        <v>4712</v>
      </c>
      <c r="D2" t="s">
        <v>1303</v>
      </c>
      <c r="E2" t="s">
        <v>21</v>
      </c>
      <c r="F2" t="s">
        <v>22</v>
      </c>
      <c r="I2" t="s">
        <v>4713</v>
      </c>
      <c r="J2" t="s">
        <v>4480</v>
      </c>
      <c r="K2" t="s">
        <v>4654</v>
      </c>
      <c r="L2" t="s">
        <v>203</v>
      </c>
      <c r="M2" t="s">
        <v>1303</v>
      </c>
      <c r="N2" t="s">
        <v>4714</v>
      </c>
      <c r="O2" t="s">
        <v>4715</v>
      </c>
      <c r="P2" t="s">
        <v>4716</v>
      </c>
      <c r="Q2">
        <v>0</v>
      </c>
      <c r="R2">
        <v>454</v>
      </c>
      <c r="S2">
        <v>0</v>
      </c>
      <c r="V2" t="s">
        <v>4717</v>
      </c>
      <c r="AA2" t="s">
        <v>4718</v>
      </c>
      <c r="AB2" t="s">
        <v>4719</v>
      </c>
      <c r="AC2">
        <v>1</v>
      </c>
      <c r="AE2">
        <v>1</v>
      </c>
      <c r="AF2">
        <v>1</v>
      </c>
      <c r="AG2">
        <v>1</v>
      </c>
      <c r="AH2">
        <v>0</v>
      </c>
    </row>
    <row r="3" spans="1:34" x14ac:dyDescent="0.3">
      <c r="A3" t="s">
        <v>2726</v>
      </c>
      <c r="B3" t="s">
        <v>2727</v>
      </c>
      <c r="C3" t="s">
        <v>4712</v>
      </c>
      <c r="D3" t="s">
        <v>625</v>
      </c>
      <c r="E3" t="s">
        <v>21</v>
      </c>
      <c r="F3" t="s">
        <v>22</v>
      </c>
      <c r="I3" t="s">
        <v>4713</v>
      </c>
      <c r="J3" t="s">
        <v>4720</v>
      </c>
      <c r="K3" t="s">
        <v>4721</v>
      </c>
      <c r="L3" t="s">
        <v>203</v>
      </c>
      <c r="M3" t="s">
        <v>625</v>
      </c>
      <c r="N3" t="s">
        <v>4541</v>
      </c>
      <c r="O3" t="s">
        <v>4722</v>
      </c>
      <c r="P3" t="s">
        <v>4723</v>
      </c>
      <c r="Q3">
        <v>0</v>
      </c>
      <c r="R3">
        <v>23</v>
      </c>
      <c r="S3">
        <v>0</v>
      </c>
      <c r="V3" t="s">
        <v>4544</v>
      </c>
      <c r="AA3" t="s">
        <v>4724</v>
      </c>
      <c r="AB3" t="s">
        <v>4725</v>
      </c>
      <c r="AC3">
        <v>1</v>
      </c>
      <c r="AD3">
        <v>1</v>
      </c>
      <c r="AE3">
        <v>1</v>
      </c>
      <c r="AF3">
        <v>1</v>
      </c>
      <c r="AG3">
        <v>1</v>
      </c>
      <c r="AH3">
        <v>0</v>
      </c>
    </row>
    <row r="4" spans="1:34" x14ac:dyDescent="0.3">
      <c r="A4" t="s">
        <v>2731</v>
      </c>
      <c r="B4" t="s">
        <v>2732</v>
      </c>
      <c r="C4" t="s">
        <v>4712</v>
      </c>
      <c r="D4" t="s">
        <v>625</v>
      </c>
      <c r="E4" t="s">
        <v>21</v>
      </c>
      <c r="F4" t="s">
        <v>22</v>
      </c>
      <c r="I4" t="s">
        <v>4713</v>
      </c>
      <c r="J4" t="s">
        <v>4720</v>
      </c>
      <c r="K4" t="s">
        <v>4726</v>
      </c>
      <c r="L4" t="s">
        <v>203</v>
      </c>
      <c r="M4" t="s">
        <v>625</v>
      </c>
      <c r="N4" t="s">
        <v>4541</v>
      </c>
      <c r="O4" t="s">
        <v>4722</v>
      </c>
      <c r="P4" t="s">
        <v>4723</v>
      </c>
      <c r="Q4">
        <v>0</v>
      </c>
      <c r="R4">
        <v>26</v>
      </c>
      <c r="S4">
        <v>0</v>
      </c>
      <c r="V4" t="s">
        <v>4544</v>
      </c>
      <c r="AA4" t="s">
        <v>4718</v>
      </c>
      <c r="AB4" t="s">
        <v>4727</v>
      </c>
      <c r="AC4">
        <v>1</v>
      </c>
      <c r="AD4">
        <v>1</v>
      </c>
      <c r="AG4">
        <v>1</v>
      </c>
      <c r="AH4">
        <v>0</v>
      </c>
    </row>
    <row r="5" spans="1:34" x14ac:dyDescent="0.3">
      <c r="A5" t="s">
        <v>2736</v>
      </c>
      <c r="B5" t="s">
        <v>2737</v>
      </c>
      <c r="C5" t="s">
        <v>4712</v>
      </c>
      <c r="D5" t="s">
        <v>625</v>
      </c>
      <c r="E5" t="s">
        <v>21</v>
      </c>
      <c r="F5" t="s">
        <v>22</v>
      </c>
      <c r="I5" t="s">
        <v>4713</v>
      </c>
      <c r="J5" t="s">
        <v>4720</v>
      </c>
      <c r="K5" t="s">
        <v>4726</v>
      </c>
      <c r="L5" t="s">
        <v>203</v>
      </c>
      <c r="M5" t="s">
        <v>625</v>
      </c>
      <c r="N5" t="s">
        <v>4541</v>
      </c>
      <c r="O5" t="s">
        <v>4722</v>
      </c>
      <c r="P5" t="s">
        <v>4723</v>
      </c>
      <c r="Q5">
        <v>0</v>
      </c>
      <c r="R5">
        <v>27</v>
      </c>
      <c r="S5">
        <v>0</v>
      </c>
      <c r="V5" t="s">
        <v>4544</v>
      </c>
      <c r="AA5" t="s">
        <v>4718</v>
      </c>
      <c r="AB5" t="s">
        <v>4727</v>
      </c>
      <c r="AC5">
        <v>1</v>
      </c>
      <c r="AD5">
        <v>1</v>
      </c>
      <c r="AG5">
        <v>1</v>
      </c>
      <c r="AH5">
        <v>0</v>
      </c>
    </row>
    <row r="6" spans="1:34" x14ac:dyDescent="0.3">
      <c r="A6" t="s">
        <v>2741</v>
      </c>
      <c r="B6" t="s">
        <v>2742</v>
      </c>
      <c r="C6" t="s">
        <v>4712</v>
      </c>
      <c r="D6" t="s">
        <v>625</v>
      </c>
      <c r="E6" t="s">
        <v>21</v>
      </c>
      <c r="F6" t="s">
        <v>22</v>
      </c>
      <c r="I6" t="s">
        <v>4713</v>
      </c>
      <c r="J6" t="s">
        <v>4720</v>
      </c>
      <c r="K6" t="s">
        <v>4726</v>
      </c>
      <c r="L6" t="s">
        <v>203</v>
      </c>
      <c r="M6" t="s">
        <v>625</v>
      </c>
      <c r="N6" t="s">
        <v>4541</v>
      </c>
      <c r="O6" t="s">
        <v>4722</v>
      </c>
      <c r="P6" t="s">
        <v>4723</v>
      </c>
      <c r="Q6">
        <v>0</v>
      </c>
      <c r="R6">
        <v>28</v>
      </c>
      <c r="S6">
        <v>0</v>
      </c>
      <c r="V6" t="s">
        <v>4544</v>
      </c>
      <c r="AA6" t="s">
        <v>4718</v>
      </c>
      <c r="AB6" t="s">
        <v>4727</v>
      </c>
      <c r="AC6">
        <v>1</v>
      </c>
      <c r="AD6">
        <v>1</v>
      </c>
      <c r="AG6">
        <v>1</v>
      </c>
      <c r="AH6">
        <v>0</v>
      </c>
    </row>
    <row r="7" spans="1:34" x14ac:dyDescent="0.3">
      <c r="A7" t="s">
        <v>2746</v>
      </c>
      <c r="B7" t="s">
        <v>2747</v>
      </c>
      <c r="C7" t="s">
        <v>4712</v>
      </c>
      <c r="D7" t="s">
        <v>625</v>
      </c>
      <c r="E7" t="s">
        <v>21</v>
      </c>
      <c r="F7" t="s">
        <v>22</v>
      </c>
      <c r="I7" t="s">
        <v>4713</v>
      </c>
      <c r="J7" t="s">
        <v>4720</v>
      </c>
      <c r="K7" t="s">
        <v>4726</v>
      </c>
      <c r="L7" t="s">
        <v>203</v>
      </c>
      <c r="M7" t="s">
        <v>625</v>
      </c>
      <c r="N7" t="s">
        <v>4541</v>
      </c>
      <c r="O7" t="s">
        <v>4722</v>
      </c>
      <c r="P7" t="s">
        <v>4723</v>
      </c>
      <c r="Q7">
        <v>0</v>
      </c>
      <c r="R7">
        <v>29</v>
      </c>
      <c r="S7">
        <v>0</v>
      </c>
      <c r="V7" t="s">
        <v>4544</v>
      </c>
      <c r="AA7" t="s">
        <v>4718</v>
      </c>
      <c r="AB7" t="s">
        <v>4727</v>
      </c>
      <c r="AC7">
        <v>1</v>
      </c>
      <c r="AD7">
        <v>1</v>
      </c>
      <c r="AG7">
        <v>1</v>
      </c>
      <c r="AH7">
        <v>0</v>
      </c>
    </row>
    <row r="8" spans="1:34" x14ac:dyDescent="0.3">
      <c r="A8">
        <v>68</v>
      </c>
      <c r="B8" t="s">
        <v>19</v>
      </c>
      <c r="C8" t="s">
        <v>4728</v>
      </c>
      <c r="D8" t="s">
        <v>20</v>
      </c>
      <c r="E8" t="s">
        <v>21</v>
      </c>
      <c r="F8" t="s">
        <v>22</v>
      </c>
      <c r="G8" t="s">
        <v>3607</v>
      </c>
      <c r="H8" t="s">
        <v>4729</v>
      </c>
      <c r="I8" t="s">
        <v>4730</v>
      </c>
      <c r="J8" t="s">
        <v>4731</v>
      </c>
      <c r="L8" t="s">
        <v>25</v>
      </c>
      <c r="M8" t="s">
        <v>20</v>
      </c>
      <c r="N8" t="s">
        <v>4732</v>
      </c>
      <c r="O8" t="s">
        <v>4733</v>
      </c>
      <c r="Q8">
        <v>0</v>
      </c>
      <c r="R8">
        <v>448</v>
      </c>
      <c r="S8">
        <v>0</v>
      </c>
      <c r="U8" t="s">
        <v>4734</v>
      </c>
      <c r="V8" t="s">
        <v>4735</v>
      </c>
      <c r="W8" t="s">
        <v>4736</v>
      </c>
      <c r="X8" t="s">
        <v>4736</v>
      </c>
      <c r="Z8" t="s">
        <v>4737</v>
      </c>
      <c r="AA8" t="s">
        <v>4738</v>
      </c>
      <c r="AB8" t="s">
        <v>4739</v>
      </c>
      <c r="AF8">
        <v>1</v>
      </c>
      <c r="AG8">
        <v>1</v>
      </c>
      <c r="AH8">
        <v>1</v>
      </c>
    </row>
    <row r="9" spans="1:34" x14ac:dyDescent="0.3">
      <c r="A9">
        <v>69</v>
      </c>
      <c r="B9" t="s">
        <v>38</v>
      </c>
      <c r="C9" t="s">
        <v>4728</v>
      </c>
      <c r="D9" t="s">
        <v>20</v>
      </c>
      <c r="E9" t="s">
        <v>39</v>
      </c>
      <c r="F9" t="s">
        <v>22</v>
      </c>
      <c r="G9" t="s">
        <v>3607</v>
      </c>
      <c r="H9" t="s">
        <v>4729</v>
      </c>
      <c r="I9" t="s">
        <v>4730</v>
      </c>
      <c r="J9" t="s">
        <v>4731</v>
      </c>
      <c r="L9" t="s">
        <v>25</v>
      </c>
      <c r="M9" t="s">
        <v>20</v>
      </c>
      <c r="N9" t="s">
        <v>4732</v>
      </c>
      <c r="O9" t="s">
        <v>4733</v>
      </c>
      <c r="Q9">
        <v>0</v>
      </c>
      <c r="R9">
        <v>265</v>
      </c>
      <c r="S9">
        <v>0</v>
      </c>
      <c r="U9" t="s">
        <v>4740</v>
      </c>
      <c r="V9" t="s">
        <v>4735</v>
      </c>
      <c r="W9" t="s">
        <v>4741</v>
      </c>
      <c r="X9" t="s">
        <v>4741</v>
      </c>
      <c r="Z9" t="s">
        <v>4737</v>
      </c>
      <c r="AA9" t="s">
        <v>4738</v>
      </c>
      <c r="AB9" t="s">
        <v>4739</v>
      </c>
      <c r="AF9">
        <v>1</v>
      </c>
      <c r="AG9">
        <v>1</v>
      </c>
      <c r="AH9">
        <v>1</v>
      </c>
    </row>
    <row r="10" spans="1:34" x14ac:dyDescent="0.3">
      <c r="A10">
        <v>73</v>
      </c>
      <c r="B10" t="s">
        <v>54</v>
      </c>
      <c r="C10" t="s">
        <v>4728</v>
      </c>
      <c r="D10" t="s">
        <v>55</v>
      </c>
      <c r="E10" t="s">
        <v>21</v>
      </c>
      <c r="F10" t="s">
        <v>56</v>
      </c>
      <c r="G10" t="s">
        <v>3607</v>
      </c>
      <c r="H10" t="s">
        <v>4729</v>
      </c>
      <c r="I10" t="s">
        <v>4730</v>
      </c>
      <c r="J10" t="s">
        <v>4731</v>
      </c>
      <c r="L10" t="s">
        <v>57</v>
      </c>
      <c r="M10" t="s">
        <v>55</v>
      </c>
      <c r="N10" t="s">
        <v>4732</v>
      </c>
      <c r="O10" t="s">
        <v>4742</v>
      </c>
      <c r="Q10">
        <v>0</v>
      </c>
      <c r="R10">
        <v>266</v>
      </c>
      <c r="S10">
        <v>0</v>
      </c>
      <c r="U10" t="s">
        <v>4743</v>
      </c>
      <c r="V10" t="s">
        <v>4744</v>
      </c>
      <c r="W10" t="s">
        <v>4745</v>
      </c>
      <c r="X10" t="s">
        <v>4745</v>
      </c>
      <c r="Z10" t="s">
        <v>4737</v>
      </c>
      <c r="AA10" t="s">
        <v>4738</v>
      </c>
      <c r="AB10" t="s">
        <v>4746</v>
      </c>
      <c r="AF10">
        <v>1</v>
      </c>
      <c r="AG10">
        <v>1</v>
      </c>
      <c r="AH10">
        <v>1</v>
      </c>
    </row>
    <row r="11" spans="1:34" x14ac:dyDescent="0.3">
      <c r="A11">
        <v>74</v>
      </c>
      <c r="B11" t="s">
        <v>64</v>
      </c>
      <c r="C11" t="s">
        <v>4728</v>
      </c>
      <c r="D11" t="s">
        <v>55</v>
      </c>
      <c r="E11" t="s">
        <v>21</v>
      </c>
      <c r="F11" t="s">
        <v>22</v>
      </c>
      <c r="G11" t="s">
        <v>3607</v>
      </c>
      <c r="H11" t="s">
        <v>4729</v>
      </c>
      <c r="I11" t="s">
        <v>4730</v>
      </c>
      <c r="J11" t="s">
        <v>4731</v>
      </c>
      <c r="L11" t="s">
        <v>25</v>
      </c>
      <c r="M11" t="s">
        <v>55</v>
      </c>
      <c r="N11" t="s">
        <v>4732</v>
      </c>
      <c r="O11" t="s">
        <v>4733</v>
      </c>
      <c r="Q11">
        <v>0</v>
      </c>
      <c r="R11">
        <v>267</v>
      </c>
      <c r="S11">
        <v>0</v>
      </c>
      <c r="U11" t="s">
        <v>4747</v>
      </c>
      <c r="V11" t="s">
        <v>4744</v>
      </c>
      <c r="W11" t="s">
        <v>4748</v>
      </c>
      <c r="X11" t="s">
        <v>4748</v>
      </c>
      <c r="Z11" t="s">
        <v>4737</v>
      </c>
      <c r="AA11" t="s">
        <v>4738</v>
      </c>
      <c r="AB11" t="s">
        <v>4746</v>
      </c>
      <c r="AF11">
        <v>1</v>
      </c>
      <c r="AG11">
        <v>1</v>
      </c>
      <c r="AH11">
        <v>1</v>
      </c>
    </row>
    <row r="12" spans="1:34" x14ac:dyDescent="0.3">
      <c r="A12">
        <v>77</v>
      </c>
      <c r="B12" t="s">
        <v>71</v>
      </c>
      <c r="C12" t="s">
        <v>4712</v>
      </c>
      <c r="D12" t="s">
        <v>72</v>
      </c>
      <c r="E12" t="s">
        <v>73</v>
      </c>
      <c r="F12" t="s">
        <v>22</v>
      </c>
      <c r="G12" t="s">
        <v>3607</v>
      </c>
      <c r="H12" t="s">
        <v>4729</v>
      </c>
      <c r="I12" t="s">
        <v>4730</v>
      </c>
      <c r="J12" t="s">
        <v>4731</v>
      </c>
      <c r="L12" t="s">
        <v>25</v>
      </c>
      <c r="M12" t="s">
        <v>72</v>
      </c>
      <c r="N12" t="s">
        <v>4732</v>
      </c>
      <c r="O12" t="s">
        <v>4749</v>
      </c>
      <c r="P12" t="s">
        <v>4750</v>
      </c>
      <c r="Q12">
        <v>0</v>
      </c>
      <c r="R12">
        <v>57</v>
      </c>
      <c r="S12">
        <v>0</v>
      </c>
      <c r="U12" t="s">
        <v>4751</v>
      </c>
      <c r="V12" t="s">
        <v>4544</v>
      </c>
      <c r="W12" t="s">
        <v>4752</v>
      </c>
      <c r="X12" t="s">
        <v>4753</v>
      </c>
      <c r="Z12" t="s">
        <v>4737</v>
      </c>
      <c r="AA12" t="s">
        <v>4738</v>
      </c>
      <c r="AB12" t="s">
        <v>4754</v>
      </c>
      <c r="AC12">
        <v>1</v>
      </c>
      <c r="AD12">
        <v>1</v>
      </c>
      <c r="AF12">
        <v>1</v>
      </c>
      <c r="AG12">
        <v>1</v>
      </c>
      <c r="AH12">
        <v>1</v>
      </c>
    </row>
    <row r="13" spans="1:34" x14ac:dyDescent="0.3">
      <c r="A13">
        <v>78</v>
      </c>
      <c r="B13" t="s">
        <v>119</v>
      </c>
      <c r="C13" t="s">
        <v>4712</v>
      </c>
      <c r="D13" t="s">
        <v>120</v>
      </c>
      <c r="E13" t="s">
        <v>121</v>
      </c>
      <c r="F13" t="s">
        <v>22</v>
      </c>
      <c r="H13" t="s">
        <v>4755</v>
      </c>
      <c r="I13" t="s">
        <v>4755</v>
      </c>
      <c r="J13" t="s">
        <v>4731</v>
      </c>
      <c r="L13" t="s">
        <v>25</v>
      </c>
      <c r="M13" t="s">
        <v>120</v>
      </c>
      <c r="N13" t="s">
        <v>4732</v>
      </c>
      <c r="O13" t="s">
        <v>4733</v>
      </c>
      <c r="P13" t="s">
        <v>4756</v>
      </c>
      <c r="Q13">
        <v>0</v>
      </c>
      <c r="R13">
        <v>268</v>
      </c>
      <c r="S13">
        <v>0</v>
      </c>
      <c r="U13" t="s">
        <v>4757</v>
      </c>
      <c r="V13" t="s">
        <v>4758</v>
      </c>
      <c r="W13" t="s">
        <v>4759</v>
      </c>
      <c r="X13" t="s">
        <v>4759</v>
      </c>
      <c r="Z13" t="s">
        <v>4737</v>
      </c>
      <c r="AA13" t="s">
        <v>4760</v>
      </c>
      <c r="AB13" t="s">
        <v>4761</v>
      </c>
      <c r="AF13">
        <v>1</v>
      </c>
      <c r="AG13">
        <v>1</v>
      </c>
      <c r="AH13">
        <v>0</v>
      </c>
    </row>
    <row r="14" spans="1:34" x14ac:dyDescent="0.3">
      <c r="A14">
        <v>79</v>
      </c>
      <c r="B14" t="s">
        <v>132</v>
      </c>
      <c r="C14" t="s">
        <v>4728</v>
      </c>
      <c r="D14" t="s">
        <v>120</v>
      </c>
      <c r="E14" t="s">
        <v>121</v>
      </c>
      <c r="F14" t="s">
        <v>22</v>
      </c>
      <c r="H14" t="s">
        <v>4755</v>
      </c>
      <c r="I14" t="s">
        <v>4755</v>
      </c>
      <c r="J14" t="s">
        <v>4731</v>
      </c>
      <c r="L14" t="s">
        <v>25</v>
      </c>
      <c r="M14" t="s">
        <v>120</v>
      </c>
      <c r="N14" t="s">
        <v>4732</v>
      </c>
      <c r="O14" t="s">
        <v>4733</v>
      </c>
      <c r="Q14">
        <v>0</v>
      </c>
      <c r="R14">
        <v>269</v>
      </c>
      <c r="S14">
        <v>0</v>
      </c>
      <c r="V14" t="s">
        <v>4762</v>
      </c>
      <c r="AA14" t="s">
        <v>4760</v>
      </c>
      <c r="AB14" t="s">
        <v>4761</v>
      </c>
      <c r="AF14">
        <v>1</v>
      </c>
      <c r="AG14">
        <v>1</v>
      </c>
      <c r="AH14">
        <v>0</v>
      </c>
    </row>
    <row r="15" spans="1:34" x14ac:dyDescent="0.3">
      <c r="A15" t="s">
        <v>4763</v>
      </c>
      <c r="B15" t="s">
        <v>4764</v>
      </c>
      <c r="D15" t="s">
        <v>1376</v>
      </c>
      <c r="I15" t="s">
        <v>4713</v>
      </c>
      <c r="L15" t="s">
        <v>25</v>
      </c>
      <c r="M15" t="s">
        <v>1376</v>
      </c>
      <c r="N15" t="s">
        <v>4538</v>
      </c>
      <c r="O15" t="s">
        <v>4765</v>
      </c>
      <c r="Q15">
        <v>0</v>
      </c>
      <c r="R15">
        <v>191</v>
      </c>
      <c r="S15">
        <v>0</v>
      </c>
      <c r="V15" t="s">
        <v>4544</v>
      </c>
      <c r="AA15" t="s">
        <v>4766</v>
      </c>
      <c r="AB15" t="s">
        <v>4761</v>
      </c>
      <c r="AF15">
        <v>0</v>
      </c>
      <c r="AG15">
        <v>0</v>
      </c>
      <c r="AH15">
        <v>0</v>
      </c>
    </row>
    <row r="16" spans="1:34" x14ac:dyDescent="0.3">
      <c r="A16" t="s">
        <v>4767</v>
      </c>
      <c r="B16" t="s">
        <v>4768</v>
      </c>
      <c r="D16" t="s">
        <v>1376</v>
      </c>
      <c r="I16" t="s">
        <v>4713</v>
      </c>
      <c r="L16" t="s">
        <v>25</v>
      </c>
      <c r="M16" t="s">
        <v>1376</v>
      </c>
      <c r="N16" t="s">
        <v>4538</v>
      </c>
      <c r="O16" t="s">
        <v>4765</v>
      </c>
      <c r="Q16">
        <v>0</v>
      </c>
      <c r="R16">
        <v>192</v>
      </c>
      <c r="S16">
        <v>0</v>
      </c>
      <c r="V16" t="s">
        <v>4544</v>
      </c>
      <c r="AA16" t="s">
        <v>4766</v>
      </c>
      <c r="AB16" t="s">
        <v>4761</v>
      </c>
      <c r="AF16">
        <v>0</v>
      </c>
      <c r="AG16">
        <v>1</v>
      </c>
      <c r="AH16">
        <v>0</v>
      </c>
    </row>
    <row r="17" spans="1:34" x14ac:dyDescent="0.3">
      <c r="A17">
        <v>84</v>
      </c>
      <c r="B17" t="s">
        <v>137</v>
      </c>
      <c r="C17" t="s">
        <v>4712</v>
      </c>
      <c r="D17" t="s">
        <v>138</v>
      </c>
      <c r="E17" t="s">
        <v>139</v>
      </c>
      <c r="F17" t="s">
        <v>22</v>
      </c>
      <c r="G17" t="s">
        <v>3607</v>
      </c>
      <c r="H17" t="s">
        <v>4729</v>
      </c>
      <c r="I17" t="s">
        <v>4730</v>
      </c>
      <c r="J17" t="s">
        <v>4480</v>
      </c>
      <c r="L17" t="s">
        <v>25</v>
      </c>
      <c r="M17" t="s">
        <v>138</v>
      </c>
      <c r="N17" t="s">
        <v>4732</v>
      </c>
      <c r="O17" t="s">
        <v>4742</v>
      </c>
      <c r="Q17">
        <v>0</v>
      </c>
      <c r="R17">
        <v>270</v>
      </c>
      <c r="S17">
        <v>0</v>
      </c>
      <c r="U17" t="s">
        <v>4769</v>
      </c>
      <c r="V17" t="s">
        <v>4744</v>
      </c>
      <c r="W17" t="s">
        <v>4770</v>
      </c>
      <c r="X17" t="s">
        <v>4770</v>
      </c>
      <c r="Z17" t="s">
        <v>4771</v>
      </c>
      <c r="AA17" t="s">
        <v>4724</v>
      </c>
      <c r="AB17" t="s">
        <v>4772</v>
      </c>
      <c r="AF17">
        <v>1</v>
      </c>
      <c r="AG17">
        <v>1</v>
      </c>
      <c r="AH17">
        <v>1</v>
      </c>
    </row>
    <row r="18" spans="1:34" x14ac:dyDescent="0.3">
      <c r="A18">
        <v>85</v>
      </c>
      <c r="B18" t="s">
        <v>143</v>
      </c>
      <c r="C18" t="s">
        <v>4728</v>
      </c>
      <c r="D18" t="s">
        <v>138</v>
      </c>
      <c r="E18" t="s">
        <v>139</v>
      </c>
      <c r="F18" t="s">
        <v>22</v>
      </c>
      <c r="G18" t="s">
        <v>3607</v>
      </c>
      <c r="H18" t="s">
        <v>4729</v>
      </c>
      <c r="I18" t="s">
        <v>4730</v>
      </c>
      <c r="J18" t="s">
        <v>4480</v>
      </c>
      <c r="L18" t="s">
        <v>25</v>
      </c>
      <c r="M18" t="s">
        <v>138</v>
      </c>
      <c r="N18" t="s">
        <v>4732</v>
      </c>
      <c r="O18" t="s">
        <v>4742</v>
      </c>
      <c r="Q18">
        <v>0</v>
      </c>
      <c r="R18">
        <v>271</v>
      </c>
      <c r="S18">
        <v>0</v>
      </c>
      <c r="U18" t="s">
        <v>4773</v>
      </c>
      <c r="V18" t="s">
        <v>4744</v>
      </c>
      <c r="W18" t="s">
        <v>4774</v>
      </c>
      <c r="X18" t="s">
        <v>4775</v>
      </c>
      <c r="Z18" t="s">
        <v>4737</v>
      </c>
      <c r="AA18" t="s">
        <v>4738</v>
      </c>
      <c r="AB18" t="s">
        <v>4754</v>
      </c>
      <c r="AF18">
        <v>1</v>
      </c>
      <c r="AG18">
        <v>1</v>
      </c>
      <c r="AH18">
        <v>1</v>
      </c>
    </row>
    <row r="19" spans="1:34" x14ac:dyDescent="0.3">
      <c r="A19">
        <v>86</v>
      </c>
      <c r="B19" t="s">
        <v>147</v>
      </c>
      <c r="C19" t="s">
        <v>4712</v>
      </c>
      <c r="D19" t="s">
        <v>138</v>
      </c>
      <c r="E19" t="s">
        <v>21</v>
      </c>
      <c r="F19" t="s">
        <v>22</v>
      </c>
      <c r="G19" t="s">
        <v>3607</v>
      </c>
      <c r="H19" t="s">
        <v>4729</v>
      </c>
      <c r="I19" t="s">
        <v>4730</v>
      </c>
      <c r="J19" t="s">
        <v>4731</v>
      </c>
      <c r="L19" t="s">
        <v>25</v>
      </c>
      <c r="M19" t="s">
        <v>138</v>
      </c>
      <c r="N19" t="s">
        <v>4732</v>
      </c>
      <c r="O19" t="s">
        <v>4742</v>
      </c>
      <c r="Q19">
        <v>0</v>
      </c>
      <c r="R19">
        <v>272</v>
      </c>
      <c r="S19">
        <v>0</v>
      </c>
      <c r="U19" t="s">
        <v>4776</v>
      </c>
      <c r="V19" t="s">
        <v>4744</v>
      </c>
      <c r="W19" t="s">
        <v>4777</v>
      </c>
      <c r="X19" t="s">
        <v>4777</v>
      </c>
      <c r="Z19" t="s">
        <v>4771</v>
      </c>
      <c r="AA19" t="s">
        <v>4738</v>
      </c>
      <c r="AB19" t="s">
        <v>4746</v>
      </c>
      <c r="AF19">
        <v>1</v>
      </c>
      <c r="AG19">
        <v>1</v>
      </c>
      <c r="AH19">
        <v>1</v>
      </c>
    </row>
    <row r="20" spans="1:34" x14ac:dyDescent="0.3">
      <c r="A20">
        <v>87</v>
      </c>
      <c r="B20" t="s">
        <v>154</v>
      </c>
      <c r="C20" t="s">
        <v>4728</v>
      </c>
      <c r="D20" t="s">
        <v>138</v>
      </c>
      <c r="E20" t="s">
        <v>139</v>
      </c>
      <c r="F20" t="s">
        <v>22</v>
      </c>
      <c r="G20" t="s">
        <v>3607</v>
      </c>
      <c r="H20" t="s">
        <v>4729</v>
      </c>
      <c r="I20" t="s">
        <v>4730</v>
      </c>
      <c r="J20" t="s">
        <v>4480</v>
      </c>
      <c r="L20" t="s">
        <v>25</v>
      </c>
      <c r="M20" t="s">
        <v>138</v>
      </c>
      <c r="N20" t="s">
        <v>4732</v>
      </c>
      <c r="O20" t="s">
        <v>4742</v>
      </c>
      <c r="Q20">
        <v>0</v>
      </c>
      <c r="R20">
        <v>273</v>
      </c>
      <c r="S20">
        <v>0</v>
      </c>
      <c r="U20" t="s">
        <v>4778</v>
      </c>
      <c r="V20" t="s">
        <v>4744</v>
      </c>
      <c r="W20" t="s">
        <v>4770</v>
      </c>
      <c r="X20" t="s">
        <v>4770</v>
      </c>
      <c r="Z20" t="s">
        <v>4771</v>
      </c>
      <c r="AA20" t="s">
        <v>4760</v>
      </c>
      <c r="AB20" t="s">
        <v>4779</v>
      </c>
      <c r="AF20">
        <v>1</v>
      </c>
      <c r="AG20">
        <v>1</v>
      </c>
      <c r="AH20">
        <v>1</v>
      </c>
    </row>
    <row r="21" spans="1:34" x14ac:dyDescent="0.3">
      <c r="A21">
        <v>88</v>
      </c>
      <c r="B21" t="s">
        <v>158</v>
      </c>
      <c r="C21" t="s">
        <v>4728</v>
      </c>
      <c r="D21" t="s">
        <v>138</v>
      </c>
      <c r="E21" t="s">
        <v>139</v>
      </c>
      <c r="F21" t="s">
        <v>22</v>
      </c>
      <c r="G21" t="s">
        <v>3607</v>
      </c>
      <c r="H21" t="s">
        <v>4729</v>
      </c>
      <c r="I21" t="s">
        <v>4730</v>
      </c>
      <c r="J21" t="s">
        <v>4480</v>
      </c>
      <c r="L21" t="s">
        <v>25</v>
      </c>
      <c r="M21" t="s">
        <v>138</v>
      </c>
      <c r="N21" t="s">
        <v>4732</v>
      </c>
      <c r="O21" t="s">
        <v>4742</v>
      </c>
      <c r="Q21">
        <v>0</v>
      </c>
      <c r="R21">
        <v>274</v>
      </c>
      <c r="S21">
        <v>1</v>
      </c>
      <c r="U21" t="s">
        <v>4780</v>
      </c>
      <c r="V21" t="s">
        <v>4744</v>
      </c>
      <c r="W21" t="s">
        <v>4770</v>
      </c>
      <c r="X21" t="s">
        <v>4770</v>
      </c>
      <c r="Z21" t="s">
        <v>4771</v>
      </c>
      <c r="AA21" t="s">
        <v>4738</v>
      </c>
      <c r="AB21" t="s">
        <v>4746</v>
      </c>
      <c r="AF21">
        <v>1</v>
      </c>
      <c r="AG21">
        <v>1</v>
      </c>
      <c r="AH21">
        <v>1</v>
      </c>
    </row>
    <row r="22" spans="1:34" x14ac:dyDescent="0.3">
      <c r="A22">
        <v>89</v>
      </c>
      <c r="B22" t="s">
        <v>162</v>
      </c>
      <c r="C22" t="s">
        <v>4728</v>
      </c>
      <c r="D22" t="s">
        <v>138</v>
      </c>
      <c r="E22" t="s">
        <v>139</v>
      </c>
      <c r="F22" t="s">
        <v>22</v>
      </c>
      <c r="G22" t="s">
        <v>3607</v>
      </c>
      <c r="H22" t="s">
        <v>4729</v>
      </c>
      <c r="I22" t="s">
        <v>4730</v>
      </c>
      <c r="J22" t="s">
        <v>4480</v>
      </c>
      <c r="L22" t="s">
        <v>25</v>
      </c>
      <c r="M22" t="s">
        <v>138</v>
      </c>
      <c r="N22" t="s">
        <v>4732</v>
      </c>
      <c r="O22" t="s">
        <v>4742</v>
      </c>
      <c r="Q22">
        <v>0</v>
      </c>
      <c r="R22">
        <v>275</v>
      </c>
      <c r="S22">
        <v>0</v>
      </c>
      <c r="U22" t="s">
        <v>4781</v>
      </c>
      <c r="V22" t="s">
        <v>4744</v>
      </c>
      <c r="W22" t="s">
        <v>4770</v>
      </c>
      <c r="X22" t="s">
        <v>4770</v>
      </c>
      <c r="Z22" t="s">
        <v>4771</v>
      </c>
      <c r="AA22" t="s">
        <v>4782</v>
      </c>
      <c r="AB22" t="s">
        <v>4783</v>
      </c>
      <c r="AF22">
        <v>1</v>
      </c>
      <c r="AG22">
        <v>1</v>
      </c>
      <c r="AH22">
        <v>1</v>
      </c>
    </row>
    <row r="23" spans="1:34" x14ac:dyDescent="0.3">
      <c r="A23">
        <v>90</v>
      </c>
      <c r="B23" t="s">
        <v>166</v>
      </c>
      <c r="C23" t="s">
        <v>4728</v>
      </c>
      <c r="D23" t="s">
        <v>138</v>
      </c>
      <c r="E23" t="s">
        <v>139</v>
      </c>
      <c r="F23" t="s">
        <v>22</v>
      </c>
      <c r="G23" t="s">
        <v>3607</v>
      </c>
      <c r="H23" t="s">
        <v>4729</v>
      </c>
      <c r="I23" t="s">
        <v>4730</v>
      </c>
      <c r="J23" t="s">
        <v>4480</v>
      </c>
      <c r="L23" t="s">
        <v>25</v>
      </c>
      <c r="M23" t="s">
        <v>138</v>
      </c>
      <c r="N23" t="s">
        <v>4732</v>
      </c>
      <c r="O23" t="s">
        <v>4742</v>
      </c>
      <c r="Q23">
        <v>0</v>
      </c>
      <c r="R23">
        <v>276</v>
      </c>
      <c r="S23">
        <v>0</v>
      </c>
      <c r="U23" t="s">
        <v>4784</v>
      </c>
      <c r="V23" t="s">
        <v>4744</v>
      </c>
      <c r="W23" t="s">
        <v>4774</v>
      </c>
      <c r="X23" t="s">
        <v>4775</v>
      </c>
      <c r="Z23" t="s">
        <v>4737</v>
      </c>
      <c r="AA23" t="s">
        <v>4738</v>
      </c>
      <c r="AB23" t="s">
        <v>4754</v>
      </c>
      <c r="AF23">
        <v>1</v>
      </c>
      <c r="AG23">
        <v>1</v>
      </c>
      <c r="AH23">
        <v>1</v>
      </c>
    </row>
    <row r="24" spans="1:34" x14ac:dyDescent="0.3">
      <c r="A24">
        <v>91</v>
      </c>
      <c r="B24" t="s">
        <v>170</v>
      </c>
      <c r="C24" t="s">
        <v>4728</v>
      </c>
      <c r="D24" t="s">
        <v>138</v>
      </c>
      <c r="E24" t="s">
        <v>139</v>
      </c>
      <c r="F24" t="s">
        <v>22</v>
      </c>
      <c r="G24" t="s">
        <v>3607</v>
      </c>
      <c r="H24" t="s">
        <v>4729</v>
      </c>
      <c r="I24" t="s">
        <v>4730</v>
      </c>
      <c r="J24" t="s">
        <v>4480</v>
      </c>
      <c r="L24" t="s">
        <v>25</v>
      </c>
      <c r="M24" t="s">
        <v>138</v>
      </c>
      <c r="N24" t="s">
        <v>4732</v>
      </c>
      <c r="O24" t="s">
        <v>4742</v>
      </c>
      <c r="Q24">
        <v>0</v>
      </c>
      <c r="R24">
        <v>277</v>
      </c>
      <c r="S24">
        <v>0</v>
      </c>
      <c r="U24" t="s">
        <v>4781</v>
      </c>
      <c r="V24" t="s">
        <v>4744</v>
      </c>
      <c r="W24" t="s">
        <v>4774</v>
      </c>
      <c r="X24" t="s">
        <v>4775</v>
      </c>
      <c r="Z24" t="s">
        <v>4737</v>
      </c>
      <c r="AA24" t="s">
        <v>4782</v>
      </c>
      <c r="AB24" t="s">
        <v>4783</v>
      </c>
      <c r="AF24">
        <v>1</v>
      </c>
      <c r="AG24">
        <v>1</v>
      </c>
      <c r="AH24">
        <v>1</v>
      </c>
    </row>
    <row r="25" spans="1:34" x14ac:dyDescent="0.3">
      <c r="A25">
        <v>92</v>
      </c>
      <c r="B25" t="s">
        <v>174</v>
      </c>
      <c r="C25" t="s">
        <v>4728</v>
      </c>
      <c r="D25" t="s">
        <v>138</v>
      </c>
      <c r="E25" t="s">
        <v>139</v>
      </c>
      <c r="F25" t="s">
        <v>22</v>
      </c>
      <c r="G25" t="s">
        <v>3607</v>
      </c>
      <c r="H25" t="s">
        <v>4729</v>
      </c>
      <c r="I25" t="s">
        <v>4730</v>
      </c>
      <c r="J25" t="s">
        <v>4480</v>
      </c>
      <c r="L25" t="s">
        <v>25</v>
      </c>
      <c r="M25" t="s">
        <v>138</v>
      </c>
      <c r="N25" t="s">
        <v>4732</v>
      </c>
      <c r="O25" t="s">
        <v>4742</v>
      </c>
      <c r="Q25">
        <v>0</v>
      </c>
      <c r="R25">
        <v>278</v>
      </c>
      <c r="S25">
        <v>0</v>
      </c>
      <c r="U25" t="s">
        <v>4785</v>
      </c>
      <c r="V25" t="s">
        <v>4744</v>
      </c>
      <c r="W25" t="s">
        <v>4770</v>
      </c>
      <c r="X25" t="s">
        <v>4770</v>
      </c>
      <c r="AA25" t="s">
        <v>4724</v>
      </c>
      <c r="AB25" t="s">
        <v>4772</v>
      </c>
      <c r="AF25">
        <v>1</v>
      </c>
      <c r="AG25">
        <v>1</v>
      </c>
      <c r="AH25">
        <v>1</v>
      </c>
    </row>
    <row r="26" spans="1:34" x14ac:dyDescent="0.3">
      <c r="A26" t="s">
        <v>4786</v>
      </c>
      <c r="B26" t="s">
        <v>4787</v>
      </c>
      <c r="D26" t="s">
        <v>1376</v>
      </c>
      <c r="I26" t="s">
        <v>4713</v>
      </c>
      <c r="L26" t="s">
        <v>25</v>
      </c>
      <c r="M26" t="s">
        <v>1376</v>
      </c>
      <c r="N26" t="s">
        <v>4538</v>
      </c>
      <c r="O26" t="s">
        <v>4765</v>
      </c>
      <c r="Q26">
        <v>0</v>
      </c>
      <c r="R26">
        <v>193</v>
      </c>
      <c r="S26">
        <v>0</v>
      </c>
      <c r="V26" t="s">
        <v>4544</v>
      </c>
      <c r="AA26" t="s">
        <v>4766</v>
      </c>
      <c r="AB26" t="s">
        <v>4761</v>
      </c>
      <c r="AF26">
        <v>0</v>
      </c>
      <c r="AG26">
        <v>0</v>
      </c>
      <c r="AH26">
        <v>0</v>
      </c>
    </row>
    <row r="27" spans="1:34" x14ac:dyDescent="0.3">
      <c r="A27">
        <v>94</v>
      </c>
      <c r="B27" t="s">
        <v>178</v>
      </c>
      <c r="C27" t="s">
        <v>4728</v>
      </c>
      <c r="D27" t="s">
        <v>138</v>
      </c>
      <c r="E27" t="s">
        <v>139</v>
      </c>
      <c r="F27" t="s">
        <v>22</v>
      </c>
      <c r="G27" t="s">
        <v>3607</v>
      </c>
      <c r="H27" t="s">
        <v>4729</v>
      </c>
      <c r="I27" t="s">
        <v>4730</v>
      </c>
      <c r="J27" t="s">
        <v>4480</v>
      </c>
      <c r="L27" t="s">
        <v>25</v>
      </c>
      <c r="M27" t="s">
        <v>138</v>
      </c>
      <c r="N27" t="s">
        <v>4732</v>
      </c>
      <c r="O27" t="s">
        <v>4742</v>
      </c>
      <c r="Q27">
        <v>0</v>
      </c>
      <c r="R27">
        <v>279</v>
      </c>
      <c r="S27">
        <v>0</v>
      </c>
      <c r="U27" t="s">
        <v>4788</v>
      </c>
      <c r="V27" t="s">
        <v>4744</v>
      </c>
      <c r="W27" t="s">
        <v>4770</v>
      </c>
      <c r="X27" t="s">
        <v>4770</v>
      </c>
      <c r="AA27" t="s">
        <v>4724</v>
      </c>
      <c r="AB27" t="s">
        <v>4772</v>
      </c>
      <c r="AF27">
        <v>1</v>
      </c>
      <c r="AG27">
        <v>1</v>
      </c>
      <c r="AH27">
        <v>1</v>
      </c>
    </row>
    <row r="28" spans="1:34" x14ac:dyDescent="0.3">
      <c r="A28">
        <v>95</v>
      </c>
      <c r="B28" t="s">
        <v>182</v>
      </c>
      <c r="C28" t="s">
        <v>4728</v>
      </c>
      <c r="D28" t="s">
        <v>138</v>
      </c>
      <c r="E28" t="s">
        <v>21</v>
      </c>
      <c r="F28" t="s">
        <v>22</v>
      </c>
      <c r="G28" t="s">
        <v>3607</v>
      </c>
      <c r="H28" t="s">
        <v>4729</v>
      </c>
      <c r="I28" t="s">
        <v>4730</v>
      </c>
      <c r="J28" t="s">
        <v>4731</v>
      </c>
      <c r="L28" t="s">
        <v>25</v>
      </c>
      <c r="M28" t="s">
        <v>138</v>
      </c>
      <c r="N28" t="s">
        <v>4732</v>
      </c>
      <c r="O28" t="s">
        <v>4742</v>
      </c>
      <c r="Q28">
        <v>0</v>
      </c>
      <c r="R28">
        <v>280</v>
      </c>
      <c r="S28">
        <v>0</v>
      </c>
      <c r="U28" t="s">
        <v>182</v>
      </c>
      <c r="V28" t="s">
        <v>4744</v>
      </c>
      <c r="W28" t="s">
        <v>4774</v>
      </c>
      <c r="X28" t="s">
        <v>4775</v>
      </c>
      <c r="AA28" t="s">
        <v>4738</v>
      </c>
      <c r="AB28" t="s">
        <v>4754</v>
      </c>
      <c r="AF28">
        <v>1</v>
      </c>
      <c r="AG28">
        <v>1</v>
      </c>
      <c r="AH28">
        <v>1</v>
      </c>
    </row>
    <row r="29" spans="1:34" x14ac:dyDescent="0.3">
      <c r="A29">
        <v>96</v>
      </c>
      <c r="B29" t="s">
        <v>4789</v>
      </c>
      <c r="C29" t="s">
        <v>4728</v>
      </c>
      <c r="D29" t="s">
        <v>138</v>
      </c>
      <c r="E29" t="s">
        <v>139</v>
      </c>
      <c r="F29" t="s">
        <v>22</v>
      </c>
      <c r="H29" t="s">
        <v>4755</v>
      </c>
      <c r="I29" t="s">
        <v>4755</v>
      </c>
      <c r="J29" t="s">
        <v>4480</v>
      </c>
      <c r="L29" t="s">
        <v>203</v>
      </c>
      <c r="M29" t="s">
        <v>190</v>
      </c>
      <c r="N29" t="s">
        <v>4542</v>
      </c>
      <c r="O29" t="s">
        <v>4790</v>
      </c>
      <c r="P29" t="s">
        <v>4791</v>
      </c>
      <c r="Q29">
        <v>0</v>
      </c>
      <c r="R29">
        <v>8</v>
      </c>
      <c r="S29">
        <v>0</v>
      </c>
      <c r="V29" t="s">
        <v>4546</v>
      </c>
      <c r="Z29">
        <v>1</v>
      </c>
      <c r="AA29" t="s">
        <v>4792</v>
      </c>
      <c r="AB29" t="s">
        <v>4793</v>
      </c>
      <c r="AC29">
        <v>1</v>
      </c>
      <c r="AD29">
        <v>1</v>
      </c>
      <c r="AE29">
        <v>1</v>
      </c>
      <c r="AF29">
        <v>0</v>
      </c>
      <c r="AG29">
        <v>1</v>
      </c>
      <c r="AH29">
        <v>0</v>
      </c>
    </row>
    <row r="30" spans="1:34" x14ac:dyDescent="0.3">
      <c r="A30" t="s">
        <v>4794</v>
      </c>
      <c r="B30" t="s">
        <v>3564</v>
      </c>
      <c r="C30" t="s">
        <v>4712</v>
      </c>
      <c r="D30" t="s">
        <v>2186</v>
      </c>
      <c r="E30" t="s">
        <v>21</v>
      </c>
      <c r="F30" t="s">
        <v>22</v>
      </c>
      <c r="I30" t="s">
        <v>4713</v>
      </c>
      <c r="J30" t="s">
        <v>4480</v>
      </c>
      <c r="L30" t="s">
        <v>203</v>
      </c>
      <c r="M30" t="s">
        <v>2186</v>
      </c>
      <c r="N30" t="s">
        <v>4541</v>
      </c>
      <c r="O30" t="s">
        <v>4722</v>
      </c>
      <c r="P30" t="s">
        <v>4795</v>
      </c>
      <c r="Q30">
        <v>0</v>
      </c>
      <c r="R30">
        <v>151</v>
      </c>
      <c r="S30">
        <v>0</v>
      </c>
      <c r="V30" t="s">
        <v>4543</v>
      </c>
      <c r="AA30" t="s">
        <v>4718</v>
      </c>
      <c r="AB30" t="s">
        <v>4719</v>
      </c>
      <c r="AD30">
        <v>1</v>
      </c>
      <c r="AF30">
        <v>0</v>
      </c>
      <c r="AG30">
        <v>1</v>
      </c>
      <c r="AH30">
        <v>0</v>
      </c>
    </row>
    <row r="31" spans="1:34" x14ac:dyDescent="0.3">
      <c r="A31" t="s">
        <v>4796</v>
      </c>
      <c r="B31" t="s">
        <v>3565</v>
      </c>
      <c r="C31" t="s">
        <v>4712</v>
      </c>
      <c r="D31" t="s">
        <v>2186</v>
      </c>
      <c r="E31" t="s">
        <v>21</v>
      </c>
      <c r="F31" t="s">
        <v>22</v>
      </c>
      <c r="I31" t="s">
        <v>4713</v>
      </c>
      <c r="J31" t="s">
        <v>4480</v>
      </c>
      <c r="L31" t="s">
        <v>203</v>
      </c>
      <c r="M31" t="s">
        <v>2186</v>
      </c>
      <c r="N31" t="s">
        <v>4541</v>
      </c>
      <c r="O31" t="s">
        <v>4722</v>
      </c>
      <c r="P31" t="s">
        <v>4795</v>
      </c>
      <c r="Q31">
        <v>0</v>
      </c>
      <c r="R31">
        <v>152</v>
      </c>
      <c r="S31">
        <v>0</v>
      </c>
      <c r="V31" t="s">
        <v>4543</v>
      </c>
      <c r="AA31" t="s">
        <v>4718</v>
      </c>
      <c r="AB31" t="s">
        <v>4719</v>
      </c>
      <c r="AD31">
        <v>1</v>
      </c>
      <c r="AF31">
        <v>0</v>
      </c>
      <c r="AG31">
        <v>1</v>
      </c>
      <c r="AH31">
        <v>0</v>
      </c>
    </row>
    <row r="32" spans="1:34" x14ac:dyDescent="0.3">
      <c r="A32">
        <v>100</v>
      </c>
      <c r="B32" t="s">
        <v>192</v>
      </c>
      <c r="C32" t="s">
        <v>4728</v>
      </c>
      <c r="D32" t="s">
        <v>138</v>
      </c>
      <c r="E32" t="s">
        <v>139</v>
      </c>
      <c r="F32" t="s">
        <v>22</v>
      </c>
      <c r="G32" t="s">
        <v>3607</v>
      </c>
      <c r="H32" t="s">
        <v>4729</v>
      </c>
      <c r="I32" t="s">
        <v>4730</v>
      </c>
      <c r="J32" t="s">
        <v>4480</v>
      </c>
      <c r="L32" t="s">
        <v>25</v>
      </c>
      <c r="M32" t="s">
        <v>138</v>
      </c>
      <c r="N32" t="s">
        <v>4732</v>
      </c>
      <c r="O32" t="s">
        <v>4742</v>
      </c>
      <c r="Q32">
        <v>0</v>
      </c>
      <c r="R32">
        <v>281</v>
      </c>
      <c r="S32">
        <v>0</v>
      </c>
      <c r="U32" t="s">
        <v>4797</v>
      </c>
      <c r="V32" t="s">
        <v>4744</v>
      </c>
      <c r="W32" t="s">
        <v>4774</v>
      </c>
      <c r="X32" t="s">
        <v>4775</v>
      </c>
      <c r="AA32" t="s">
        <v>4738</v>
      </c>
      <c r="AB32" t="s">
        <v>4754</v>
      </c>
      <c r="AF32">
        <v>1</v>
      </c>
      <c r="AG32">
        <v>1</v>
      </c>
      <c r="AH32">
        <v>1</v>
      </c>
    </row>
    <row r="33" spans="1:34" x14ac:dyDescent="0.3">
      <c r="A33">
        <v>104</v>
      </c>
      <c r="B33" t="s">
        <v>196</v>
      </c>
      <c r="C33" t="s">
        <v>4728</v>
      </c>
      <c r="D33" t="s">
        <v>138</v>
      </c>
      <c r="E33" t="s">
        <v>139</v>
      </c>
      <c r="F33" t="s">
        <v>56</v>
      </c>
      <c r="G33" t="s">
        <v>3607</v>
      </c>
      <c r="H33" t="s">
        <v>4729</v>
      </c>
      <c r="I33" t="s">
        <v>4730</v>
      </c>
      <c r="J33" t="s">
        <v>4480</v>
      </c>
      <c r="L33" t="s">
        <v>197</v>
      </c>
      <c r="M33" t="s">
        <v>138</v>
      </c>
      <c r="N33" t="s">
        <v>4732</v>
      </c>
      <c r="O33" t="s">
        <v>4742</v>
      </c>
      <c r="Q33">
        <v>0</v>
      </c>
      <c r="R33">
        <v>282</v>
      </c>
      <c r="S33">
        <v>0</v>
      </c>
      <c r="U33" t="s">
        <v>4798</v>
      </c>
      <c r="V33" t="s">
        <v>4744</v>
      </c>
      <c r="W33" t="s">
        <v>4774</v>
      </c>
      <c r="X33" t="s">
        <v>4775</v>
      </c>
      <c r="AA33" t="s">
        <v>4738</v>
      </c>
      <c r="AB33" t="s">
        <v>4754</v>
      </c>
      <c r="AF33">
        <v>1</v>
      </c>
      <c r="AG33">
        <v>1</v>
      </c>
      <c r="AH33">
        <v>1</v>
      </c>
    </row>
    <row r="34" spans="1:34" x14ac:dyDescent="0.3">
      <c r="A34">
        <v>106</v>
      </c>
      <c r="B34" t="s">
        <v>201</v>
      </c>
      <c r="C34" t="s">
        <v>4728</v>
      </c>
      <c r="D34" t="s">
        <v>138</v>
      </c>
      <c r="E34" t="s">
        <v>139</v>
      </c>
      <c r="F34" t="s">
        <v>56</v>
      </c>
      <c r="G34" t="s">
        <v>3607</v>
      </c>
      <c r="H34" t="s">
        <v>4729</v>
      </c>
      <c r="I34" t="s">
        <v>4730</v>
      </c>
      <c r="J34" t="s">
        <v>4480</v>
      </c>
      <c r="L34" t="s">
        <v>197</v>
      </c>
      <c r="M34" t="s">
        <v>138</v>
      </c>
      <c r="N34" t="s">
        <v>4732</v>
      </c>
      <c r="O34" t="s">
        <v>4742</v>
      </c>
      <c r="Q34">
        <v>0</v>
      </c>
      <c r="R34">
        <v>283</v>
      </c>
      <c r="S34">
        <v>0</v>
      </c>
      <c r="U34" t="s">
        <v>4799</v>
      </c>
      <c r="V34" t="s">
        <v>4744</v>
      </c>
      <c r="W34" t="s">
        <v>4774</v>
      </c>
      <c r="X34" t="s">
        <v>4775</v>
      </c>
      <c r="AA34" t="s">
        <v>4738</v>
      </c>
      <c r="AB34" t="s">
        <v>4754</v>
      </c>
      <c r="AF34">
        <v>1</v>
      </c>
      <c r="AG34">
        <v>1</v>
      </c>
      <c r="AH34">
        <v>1</v>
      </c>
    </row>
    <row r="35" spans="1:34" x14ac:dyDescent="0.3">
      <c r="A35" t="s">
        <v>4800</v>
      </c>
      <c r="B35" t="s">
        <v>206</v>
      </c>
      <c r="C35" t="s">
        <v>4712</v>
      </c>
      <c r="D35" t="s">
        <v>3486</v>
      </c>
      <c r="E35" t="s">
        <v>139</v>
      </c>
      <c r="F35" t="s">
        <v>22</v>
      </c>
      <c r="I35" t="s">
        <v>4713</v>
      </c>
      <c r="J35" t="s">
        <v>4480</v>
      </c>
      <c r="L35" t="s">
        <v>25</v>
      </c>
      <c r="M35" t="s">
        <v>3486</v>
      </c>
      <c r="N35" t="s">
        <v>4538</v>
      </c>
      <c r="O35" t="s">
        <v>4765</v>
      </c>
      <c r="Q35">
        <v>0</v>
      </c>
      <c r="R35">
        <v>221</v>
      </c>
      <c r="S35">
        <v>0</v>
      </c>
      <c r="U35" t="s">
        <v>4801</v>
      </c>
      <c r="V35" t="s">
        <v>4758</v>
      </c>
      <c r="W35" t="s">
        <v>4802</v>
      </c>
      <c r="X35" t="s">
        <v>4803</v>
      </c>
      <c r="AA35" t="s">
        <v>4804</v>
      </c>
      <c r="AB35" t="s">
        <v>4805</v>
      </c>
      <c r="AF35">
        <v>0</v>
      </c>
      <c r="AG35">
        <v>0</v>
      </c>
      <c r="AH35">
        <v>0</v>
      </c>
    </row>
    <row r="36" spans="1:34" x14ac:dyDescent="0.3">
      <c r="A36" t="s">
        <v>4806</v>
      </c>
      <c r="B36" t="s">
        <v>2584</v>
      </c>
      <c r="C36" t="s">
        <v>4728</v>
      </c>
      <c r="D36" t="s">
        <v>1263</v>
      </c>
      <c r="E36" t="s">
        <v>139</v>
      </c>
      <c r="F36" t="s">
        <v>22</v>
      </c>
      <c r="I36" t="s">
        <v>4713</v>
      </c>
      <c r="J36" t="s">
        <v>4480</v>
      </c>
      <c r="L36" t="s">
        <v>25</v>
      </c>
      <c r="M36" t="s">
        <v>1263</v>
      </c>
      <c r="N36" t="s">
        <v>4538</v>
      </c>
      <c r="O36" t="s">
        <v>4765</v>
      </c>
      <c r="Q36">
        <v>0</v>
      </c>
      <c r="R36">
        <v>194</v>
      </c>
      <c r="S36">
        <v>0</v>
      </c>
      <c r="V36" t="s">
        <v>4762</v>
      </c>
      <c r="AA36" t="s">
        <v>4738</v>
      </c>
      <c r="AB36" t="s">
        <v>4807</v>
      </c>
      <c r="AF36">
        <v>1</v>
      </c>
      <c r="AG36">
        <v>1</v>
      </c>
      <c r="AH36">
        <v>0</v>
      </c>
    </row>
    <row r="37" spans="1:34" x14ac:dyDescent="0.3">
      <c r="A37" t="s">
        <v>4808</v>
      </c>
      <c r="B37" t="s">
        <v>2600</v>
      </c>
      <c r="C37" t="s">
        <v>4728</v>
      </c>
      <c r="D37" t="s">
        <v>1336</v>
      </c>
      <c r="E37" t="s">
        <v>139</v>
      </c>
      <c r="F37" t="s">
        <v>22</v>
      </c>
      <c r="I37" t="s">
        <v>4713</v>
      </c>
      <c r="J37" t="s">
        <v>4480</v>
      </c>
      <c r="L37" t="s">
        <v>25</v>
      </c>
      <c r="M37" t="s">
        <v>1336</v>
      </c>
      <c r="N37" t="s">
        <v>4538</v>
      </c>
      <c r="O37" t="s">
        <v>4765</v>
      </c>
      <c r="Q37">
        <v>0</v>
      </c>
      <c r="R37">
        <v>204</v>
      </c>
      <c r="S37">
        <v>0</v>
      </c>
      <c r="V37" t="s">
        <v>4546</v>
      </c>
      <c r="AA37" t="s">
        <v>4766</v>
      </c>
      <c r="AB37" t="s">
        <v>4807</v>
      </c>
      <c r="AF37">
        <v>1</v>
      </c>
      <c r="AG37">
        <v>1</v>
      </c>
      <c r="AH37">
        <v>0</v>
      </c>
    </row>
    <row r="38" spans="1:34" x14ac:dyDescent="0.3">
      <c r="A38" t="s">
        <v>4809</v>
      </c>
      <c r="B38" t="s">
        <v>2588</v>
      </c>
      <c r="C38" t="s">
        <v>4728</v>
      </c>
      <c r="D38" t="s">
        <v>1241</v>
      </c>
      <c r="E38" t="s">
        <v>139</v>
      </c>
      <c r="F38" t="s">
        <v>22</v>
      </c>
      <c r="I38" t="s">
        <v>4713</v>
      </c>
      <c r="J38" t="s">
        <v>4480</v>
      </c>
      <c r="L38" t="s">
        <v>25</v>
      </c>
      <c r="M38" t="s">
        <v>1241</v>
      </c>
      <c r="N38" t="s">
        <v>4538</v>
      </c>
      <c r="O38" t="s">
        <v>4765</v>
      </c>
      <c r="Q38">
        <v>0</v>
      </c>
      <c r="R38">
        <v>205</v>
      </c>
      <c r="S38">
        <v>0</v>
      </c>
      <c r="V38" t="s">
        <v>4762</v>
      </c>
      <c r="AA38" t="s">
        <v>4738</v>
      </c>
      <c r="AB38" t="s">
        <v>4807</v>
      </c>
      <c r="AF38">
        <v>1</v>
      </c>
      <c r="AG38">
        <v>1</v>
      </c>
      <c r="AH38">
        <v>0</v>
      </c>
    </row>
    <row r="39" spans="1:34" x14ac:dyDescent="0.3">
      <c r="A39" t="s">
        <v>4810</v>
      </c>
      <c r="B39" t="s">
        <v>2616</v>
      </c>
      <c r="C39" t="s">
        <v>4728</v>
      </c>
      <c r="D39" t="s">
        <v>1781</v>
      </c>
      <c r="E39" t="s">
        <v>139</v>
      </c>
      <c r="F39" t="s">
        <v>22</v>
      </c>
      <c r="I39" t="s">
        <v>4713</v>
      </c>
      <c r="J39" t="s">
        <v>4480</v>
      </c>
      <c r="L39" t="s">
        <v>25</v>
      </c>
      <c r="M39" t="s">
        <v>1781</v>
      </c>
      <c r="N39" t="s">
        <v>4538</v>
      </c>
      <c r="O39" t="s">
        <v>4765</v>
      </c>
      <c r="Q39">
        <v>0</v>
      </c>
      <c r="R39">
        <v>207</v>
      </c>
      <c r="S39">
        <v>0</v>
      </c>
      <c r="V39" t="s">
        <v>4546</v>
      </c>
      <c r="AA39" t="s">
        <v>4718</v>
      </c>
      <c r="AB39" t="s">
        <v>4807</v>
      </c>
      <c r="AF39">
        <v>1</v>
      </c>
      <c r="AG39">
        <v>1</v>
      </c>
      <c r="AH39">
        <v>0</v>
      </c>
    </row>
    <row r="40" spans="1:34" x14ac:dyDescent="0.3">
      <c r="A40" t="s">
        <v>4811</v>
      </c>
      <c r="B40" t="s">
        <v>4812</v>
      </c>
      <c r="C40" t="s">
        <v>4728</v>
      </c>
      <c r="D40" t="s">
        <v>509</v>
      </c>
      <c r="E40" t="s">
        <v>139</v>
      </c>
      <c r="F40" t="s">
        <v>22</v>
      </c>
      <c r="I40" t="s">
        <v>4713</v>
      </c>
      <c r="J40" t="s">
        <v>4480</v>
      </c>
      <c r="L40" t="s">
        <v>25</v>
      </c>
      <c r="M40" t="s">
        <v>509</v>
      </c>
      <c r="N40" t="s">
        <v>4538</v>
      </c>
      <c r="O40" t="s">
        <v>4765</v>
      </c>
      <c r="Q40">
        <v>0</v>
      </c>
      <c r="R40">
        <v>208</v>
      </c>
      <c r="S40">
        <v>0</v>
      </c>
      <c r="V40" t="s">
        <v>4546</v>
      </c>
      <c r="AA40" t="s">
        <v>4792</v>
      </c>
      <c r="AB40" t="s">
        <v>4807</v>
      </c>
      <c r="AF40">
        <v>1</v>
      </c>
      <c r="AG40">
        <v>1</v>
      </c>
      <c r="AH40">
        <v>0</v>
      </c>
    </row>
    <row r="41" spans="1:34" x14ac:dyDescent="0.3">
      <c r="A41" t="s">
        <v>4813</v>
      </c>
      <c r="B41" t="s">
        <v>4814</v>
      </c>
      <c r="C41" t="s">
        <v>4728</v>
      </c>
      <c r="D41" t="s">
        <v>1215</v>
      </c>
      <c r="E41" t="s">
        <v>139</v>
      </c>
      <c r="F41" t="s">
        <v>22</v>
      </c>
      <c r="I41" t="s">
        <v>4713</v>
      </c>
      <c r="J41" t="s">
        <v>4480</v>
      </c>
      <c r="L41" t="s">
        <v>25</v>
      </c>
      <c r="M41" t="s">
        <v>1215</v>
      </c>
      <c r="N41" t="s">
        <v>4538</v>
      </c>
      <c r="O41" t="s">
        <v>4765</v>
      </c>
      <c r="Q41">
        <v>0</v>
      </c>
      <c r="R41">
        <v>209</v>
      </c>
      <c r="S41">
        <v>0</v>
      </c>
      <c r="V41" t="s">
        <v>4544</v>
      </c>
      <c r="AA41" t="s">
        <v>4718</v>
      </c>
      <c r="AB41" t="s">
        <v>4807</v>
      </c>
      <c r="AF41">
        <v>1</v>
      </c>
      <c r="AG41">
        <v>1</v>
      </c>
      <c r="AH41">
        <v>0</v>
      </c>
    </row>
    <row r="42" spans="1:34" x14ac:dyDescent="0.3">
      <c r="A42" t="s">
        <v>4815</v>
      </c>
      <c r="B42" t="s">
        <v>4816</v>
      </c>
      <c r="C42" t="s">
        <v>4728</v>
      </c>
      <c r="D42" t="s">
        <v>1758</v>
      </c>
      <c r="E42" t="s">
        <v>139</v>
      </c>
      <c r="F42" t="s">
        <v>22</v>
      </c>
      <c r="I42" t="s">
        <v>4713</v>
      </c>
      <c r="J42" t="s">
        <v>4480</v>
      </c>
      <c r="L42" t="s">
        <v>25</v>
      </c>
      <c r="M42" t="s">
        <v>1758</v>
      </c>
      <c r="N42" t="s">
        <v>4538</v>
      </c>
      <c r="O42" t="s">
        <v>4765</v>
      </c>
      <c r="Q42">
        <v>0</v>
      </c>
      <c r="R42">
        <v>206</v>
      </c>
      <c r="S42">
        <v>0</v>
      </c>
      <c r="V42" t="s">
        <v>4544</v>
      </c>
      <c r="AA42" t="s">
        <v>4766</v>
      </c>
      <c r="AB42" t="s">
        <v>4807</v>
      </c>
      <c r="AF42">
        <v>1</v>
      </c>
      <c r="AG42">
        <v>1</v>
      </c>
      <c r="AH42">
        <v>0</v>
      </c>
    </row>
    <row r="43" spans="1:34" x14ac:dyDescent="0.3">
      <c r="A43" t="s">
        <v>4817</v>
      </c>
      <c r="B43" t="s">
        <v>206</v>
      </c>
      <c r="D43" t="s">
        <v>138</v>
      </c>
      <c r="E43" t="s">
        <v>139</v>
      </c>
      <c r="F43" t="s">
        <v>22</v>
      </c>
      <c r="I43" t="s">
        <v>4713</v>
      </c>
      <c r="J43" t="s">
        <v>4480</v>
      </c>
      <c r="L43" t="s">
        <v>197</v>
      </c>
      <c r="M43" t="s">
        <v>138</v>
      </c>
      <c r="V43" t="s">
        <v>4744</v>
      </c>
    </row>
    <row r="44" spans="1:34" x14ac:dyDescent="0.3">
      <c r="A44" t="s">
        <v>4818</v>
      </c>
      <c r="B44" t="s">
        <v>4819</v>
      </c>
      <c r="C44" t="s">
        <v>4728</v>
      </c>
      <c r="D44" t="s">
        <v>1528</v>
      </c>
      <c r="E44" t="s">
        <v>139</v>
      </c>
      <c r="F44" t="s">
        <v>22</v>
      </c>
      <c r="I44" t="s">
        <v>4713</v>
      </c>
      <c r="J44" t="s">
        <v>4480</v>
      </c>
      <c r="L44" t="s">
        <v>25</v>
      </c>
      <c r="M44" t="s">
        <v>1528</v>
      </c>
      <c r="N44" t="s">
        <v>4538</v>
      </c>
      <c r="O44" t="s">
        <v>4765</v>
      </c>
      <c r="Q44">
        <v>0</v>
      </c>
      <c r="R44">
        <v>195</v>
      </c>
      <c r="S44">
        <v>0</v>
      </c>
      <c r="V44" t="s">
        <v>4544</v>
      </c>
      <c r="AA44" t="s">
        <v>4724</v>
      </c>
      <c r="AB44" t="s">
        <v>4807</v>
      </c>
      <c r="AF44">
        <v>1</v>
      </c>
      <c r="AG44">
        <v>1</v>
      </c>
      <c r="AH44">
        <v>0</v>
      </c>
    </row>
    <row r="45" spans="1:34" x14ac:dyDescent="0.3">
      <c r="A45" t="s">
        <v>4820</v>
      </c>
      <c r="B45" t="s">
        <v>206</v>
      </c>
      <c r="D45" t="s">
        <v>207</v>
      </c>
      <c r="E45" t="s">
        <v>139</v>
      </c>
      <c r="F45" t="s">
        <v>22</v>
      </c>
      <c r="I45" t="s">
        <v>4713</v>
      </c>
      <c r="J45" t="s">
        <v>4480</v>
      </c>
      <c r="L45" t="s">
        <v>25</v>
      </c>
      <c r="M45" t="s">
        <v>207</v>
      </c>
      <c r="V45" t="s">
        <v>4744</v>
      </c>
    </row>
    <row r="46" spans="1:34" x14ac:dyDescent="0.3">
      <c r="A46" t="s">
        <v>4821</v>
      </c>
      <c r="B46" t="s">
        <v>4822</v>
      </c>
      <c r="C46" t="s">
        <v>4728</v>
      </c>
      <c r="D46" t="s">
        <v>1501</v>
      </c>
      <c r="E46" t="s">
        <v>139</v>
      </c>
      <c r="F46" t="s">
        <v>22</v>
      </c>
      <c r="I46" t="s">
        <v>4713</v>
      </c>
      <c r="J46" t="s">
        <v>4480</v>
      </c>
      <c r="L46" t="s">
        <v>25</v>
      </c>
      <c r="M46" t="s">
        <v>1501</v>
      </c>
      <c r="N46" t="s">
        <v>4538</v>
      </c>
      <c r="O46" t="s">
        <v>4765</v>
      </c>
      <c r="Q46">
        <v>0</v>
      </c>
      <c r="R46">
        <v>198</v>
      </c>
      <c r="S46">
        <v>0</v>
      </c>
      <c r="V46" t="s">
        <v>4735</v>
      </c>
      <c r="AA46" t="s">
        <v>4766</v>
      </c>
      <c r="AB46" t="s">
        <v>4807</v>
      </c>
      <c r="AF46">
        <v>1</v>
      </c>
      <c r="AG46">
        <v>1</v>
      </c>
      <c r="AH46">
        <v>0</v>
      </c>
    </row>
    <row r="47" spans="1:34" x14ac:dyDescent="0.3">
      <c r="A47" t="s">
        <v>4823</v>
      </c>
      <c r="B47" t="s">
        <v>2594</v>
      </c>
      <c r="C47" t="s">
        <v>4728</v>
      </c>
      <c r="D47" t="s">
        <v>1721</v>
      </c>
      <c r="E47" t="s">
        <v>139</v>
      </c>
      <c r="F47" t="s">
        <v>22</v>
      </c>
      <c r="I47" t="s">
        <v>4713</v>
      </c>
      <c r="J47" t="s">
        <v>4480</v>
      </c>
      <c r="L47" t="s">
        <v>25</v>
      </c>
      <c r="M47" t="s">
        <v>1721</v>
      </c>
      <c r="N47" t="s">
        <v>4538</v>
      </c>
      <c r="O47" t="s">
        <v>4765</v>
      </c>
      <c r="Q47">
        <v>0</v>
      </c>
      <c r="R47">
        <v>199</v>
      </c>
      <c r="S47">
        <v>0</v>
      </c>
      <c r="V47" t="s">
        <v>4735</v>
      </c>
      <c r="AA47" t="s">
        <v>4766</v>
      </c>
      <c r="AB47" t="s">
        <v>4807</v>
      </c>
      <c r="AF47">
        <v>1</v>
      </c>
      <c r="AG47">
        <v>1</v>
      </c>
      <c r="AH47">
        <v>0</v>
      </c>
    </row>
    <row r="48" spans="1:34" x14ac:dyDescent="0.3">
      <c r="A48" t="s">
        <v>4824</v>
      </c>
      <c r="B48" t="s">
        <v>2598</v>
      </c>
      <c r="C48" t="s">
        <v>4728</v>
      </c>
      <c r="D48" t="s">
        <v>1765</v>
      </c>
      <c r="E48" t="s">
        <v>139</v>
      </c>
      <c r="F48" t="s">
        <v>22</v>
      </c>
      <c r="I48" t="s">
        <v>4713</v>
      </c>
      <c r="J48" t="s">
        <v>4480</v>
      </c>
      <c r="L48" t="s">
        <v>25</v>
      </c>
      <c r="M48" t="s">
        <v>1765</v>
      </c>
      <c r="N48" t="s">
        <v>4538</v>
      </c>
      <c r="O48" t="s">
        <v>4765</v>
      </c>
      <c r="Q48">
        <v>0</v>
      </c>
      <c r="R48">
        <v>200</v>
      </c>
      <c r="S48">
        <v>0</v>
      </c>
      <c r="V48" t="s">
        <v>4735</v>
      </c>
      <c r="AA48" t="s">
        <v>4766</v>
      </c>
      <c r="AB48" t="s">
        <v>4807</v>
      </c>
      <c r="AF48">
        <v>1</v>
      </c>
      <c r="AG48">
        <v>1</v>
      </c>
      <c r="AH48">
        <v>0</v>
      </c>
    </row>
    <row r="49" spans="1:34" x14ac:dyDescent="0.3">
      <c r="A49" t="s">
        <v>4825</v>
      </c>
      <c r="B49" t="s">
        <v>4826</v>
      </c>
      <c r="C49" t="s">
        <v>4728</v>
      </c>
      <c r="D49" t="s">
        <v>1303</v>
      </c>
      <c r="E49" t="s">
        <v>139</v>
      </c>
      <c r="F49" t="s">
        <v>22</v>
      </c>
      <c r="I49" t="s">
        <v>4713</v>
      </c>
      <c r="J49" t="s">
        <v>4480</v>
      </c>
      <c r="L49" t="s">
        <v>25</v>
      </c>
      <c r="M49" t="s">
        <v>1303</v>
      </c>
      <c r="N49" t="s">
        <v>4538</v>
      </c>
      <c r="O49" t="s">
        <v>4765</v>
      </c>
      <c r="Q49">
        <v>0</v>
      </c>
      <c r="R49">
        <v>201</v>
      </c>
      <c r="S49">
        <v>0</v>
      </c>
      <c r="V49" t="s">
        <v>4717</v>
      </c>
      <c r="AA49" t="s">
        <v>4766</v>
      </c>
      <c r="AB49" t="s">
        <v>4807</v>
      </c>
      <c r="AF49">
        <v>1</v>
      </c>
      <c r="AG49">
        <v>1</v>
      </c>
      <c r="AH49">
        <v>0</v>
      </c>
    </row>
    <row r="50" spans="1:34" x14ac:dyDescent="0.3">
      <c r="A50" t="s">
        <v>4827</v>
      </c>
      <c r="B50" t="s">
        <v>4828</v>
      </c>
      <c r="C50" t="s">
        <v>4728</v>
      </c>
      <c r="D50" t="s">
        <v>1096</v>
      </c>
      <c r="E50" t="s">
        <v>139</v>
      </c>
      <c r="F50" t="s">
        <v>22</v>
      </c>
      <c r="I50" t="s">
        <v>4713</v>
      </c>
      <c r="J50" t="s">
        <v>4480</v>
      </c>
      <c r="L50" t="s">
        <v>25</v>
      </c>
      <c r="M50" t="s">
        <v>1096</v>
      </c>
      <c r="N50" t="s">
        <v>4538</v>
      </c>
      <c r="O50" t="s">
        <v>4765</v>
      </c>
      <c r="Q50">
        <v>0</v>
      </c>
      <c r="R50">
        <v>203</v>
      </c>
      <c r="S50">
        <v>0</v>
      </c>
      <c r="V50" t="s">
        <v>4762</v>
      </c>
      <c r="AA50" t="s">
        <v>4766</v>
      </c>
      <c r="AB50" t="s">
        <v>4807</v>
      </c>
      <c r="AF50">
        <v>1</v>
      </c>
      <c r="AG50">
        <v>1</v>
      </c>
      <c r="AH50">
        <v>0</v>
      </c>
    </row>
    <row r="51" spans="1:34" x14ac:dyDescent="0.3">
      <c r="A51">
        <v>109</v>
      </c>
      <c r="B51" t="s">
        <v>206</v>
      </c>
      <c r="C51" t="s">
        <v>4712</v>
      </c>
      <c r="D51" t="s">
        <v>207</v>
      </c>
      <c r="E51" t="s">
        <v>139</v>
      </c>
      <c r="F51" t="s">
        <v>22</v>
      </c>
      <c r="G51" t="s">
        <v>3607</v>
      </c>
      <c r="H51" t="s">
        <v>4729</v>
      </c>
      <c r="I51" t="s">
        <v>4730</v>
      </c>
      <c r="J51" t="s">
        <v>4480</v>
      </c>
      <c r="L51" t="s">
        <v>25</v>
      </c>
      <c r="M51" t="s">
        <v>207</v>
      </c>
      <c r="N51" t="s">
        <v>4732</v>
      </c>
      <c r="O51" t="s">
        <v>4742</v>
      </c>
      <c r="Q51">
        <v>0</v>
      </c>
      <c r="R51">
        <v>197</v>
      </c>
      <c r="S51">
        <v>0</v>
      </c>
      <c r="U51" t="s">
        <v>4829</v>
      </c>
      <c r="V51" t="s">
        <v>4543</v>
      </c>
      <c r="AA51" t="s">
        <v>4766</v>
      </c>
      <c r="AB51" t="s">
        <v>4807</v>
      </c>
      <c r="AD51">
        <v>1</v>
      </c>
      <c r="AF51">
        <v>1</v>
      </c>
      <c r="AG51">
        <v>1</v>
      </c>
      <c r="AH51">
        <v>1</v>
      </c>
    </row>
    <row r="52" spans="1:34" x14ac:dyDescent="0.3">
      <c r="A52">
        <v>110</v>
      </c>
      <c r="B52" t="s">
        <v>206</v>
      </c>
      <c r="C52" t="s">
        <v>4712</v>
      </c>
      <c r="D52" t="s">
        <v>3492</v>
      </c>
      <c r="E52" t="s">
        <v>139</v>
      </c>
      <c r="F52" t="s">
        <v>22</v>
      </c>
      <c r="H52" t="s">
        <v>4755</v>
      </c>
      <c r="I52" t="s">
        <v>4755</v>
      </c>
      <c r="J52" t="s">
        <v>4480</v>
      </c>
      <c r="L52" t="s">
        <v>25</v>
      </c>
      <c r="M52" t="s">
        <v>3492</v>
      </c>
      <c r="N52" t="s">
        <v>4538</v>
      </c>
      <c r="O52" t="s">
        <v>4765</v>
      </c>
      <c r="Q52">
        <v>0</v>
      </c>
      <c r="R52">
        <v>155</v>
      </c>
      <c r="S52">
        <v>0</v>
      </c>
      <c r="U52" t="s">
        <v>4829</v>
      </c>
      <c r="V52" t="s">
        <v>4735</v>
      </c>
      <c r="W52" t="s">
        <v>4830</v>
      </c>
      <c r="X52" t="s">
        <v>4830</v>
      </c>
      <c r="AA52" t="s">
        <v>4738</v>
      </c>
      <c r="AB52" t="s">
        <v>4831</v>
      </c>
      <c r="AF52">
        <v>0</v>
      </c>
      <c r="AG52">
        <v>0</v>
      </c>
      <c r="AH52">
        <v>0</v>
      </c>
    </row>
    <row r="53" spans="1:34" x14ac:dyDescent="0.3">
      <c r="A53">
        <v>111</v>
      </c>
      <c r="B53" t="s">
        <v>206</v>
      </c>
      <c r="C53" t="s">
        <v>4728</v>
      </c>
      <c r="D53" t="s">
        <v>20</v>
      </c>
      <c r="E53" t="s">
        <v>39</v>
      </c>
      <c r="F53" t="s">
        <v>22</v>
      </c>
      <c r="G53" t="s">
        <v>3607</v>
      </c>
      <c r="H53" t="s">
        <v>4729</v>
      </c>
      <c r="I53" t="s">
        <v>4730</v>
      </c>
      <c r="J53" t="s">
        <v>4731</v>
      </c>
      <c r="L53" t="s">
        <v>25</v>
      </c>
      <c r="M53" t="s">
        <v>20</v>
      </c>
      <c r="N53" t="s">
        <v>4538</v>
      </c>
      <c r="O53" t="s">
        <v>4765</v>
      </c>
      <c r="Q53">
        <v>0</v>
      </c>
      <c r="R53">
        <v>156</v>
      </c>
      <c r="S53">
        <v>0</v>
      </c>
      <c r="U53" t="s">
        <v>4801</v>
      </c>
      <c r="V53" t="s">
        <v>4735</v>
      </c>
      <c r="W53" t="s">
        <v>4832</v>
      </c>
      <c r="X53" t="s">
        <v>4832</v>
      </c>
      <c r="Z53" t="s">
        <v>4737</v>
      </c>
      <c r="AA53" t="s">
        <v>4738</v>
      </c>
      <c r="AB53" t="s">
        <v>4739</v>
      </c>
      <c r="AF53">
        <v>1</v>
      </c>
      <c r="AG53">
        <v>1</v>
      </c>
      <c r="AH53">
        <v>1</v>
      </c>
    </row>
    <row r="54" spans="1:34" x14ac:dyDescent="0.3">
      <c r="A54">
        <v>112</v>
      </c>
      <c r="B54" t="s">
        <v>206</v>
      </c>
      <c r="C54" t="s">
        <v>4712</v>
      </c>
      <c r="D54" t="s">
        <v>224</v>
      </c>
      <c r="E54" t="s">
        <v>139</v>
      </c>
      <c r="F54" t="s">
        <v>22</v>
      </c>
      <c r="G54" t="s">
        <v>3607</v>
      </c>
      <c r="H54" t="s">
        <v>4729</v>
      </c>
      <c r="I54" t="s">
        <v>4730</v>
      </c>
      <c r="J54" t="s">
        <v>4480</v>
      </c>
      <c r="L54" t="s">
        <v>25</v>
      </c>
      <c r="M54" t="s">
        <v>224</v>
      </c>
      <c r="N54" t="s">
        <v>4732</v>
      </c>
      <c r="O54" t="s">
        <v>4733</v>
      </c>
      <c r="Q54">
        <v>0</v>
      </c>
      <c r="R54">
        <v>284</v>
      </c>
      <c r="S54">
        <v>0</v>
      </c>
      <c r="U54" t="s">
        <v>4801</v>
      </c>
      <c r="V54" t="s">
        <v>4735</v>
      </c>
      <c r="W54" t="s">
        <v>4833</v>
      </c>
      <c r="X54" t="s">
        <v>4834</v>
      </c>
      <c r="AA54" t="s">
        <v>4738</v>
      </c>
      <c r="AB54" t="s">
        <v>4754</v>
      </c>
      <c r="AF54">
        <v>0</v>
      </c>
      <c r="AG54">
        <v>0</v>
      </c>
      <c r="AH54">
        <v>1</v>
      </c>
    </row>
    <row r="55" spans="1:34" x14ac:dyDescent="0.3">
      <c r="A55">
        <v>113</v>
      </c>
      <c r="B55" t="s">
        <v>206</v>
      </c>
      <c r="C55" t="s">
        <v>4728</v>
      </c>
      <c r="D55" t="s">
        <v>55</v>
      </c>
      <c r="E55" t="s">
        <v>139</v>
      </c>
      <c r="F55" t="s">
        <v>22</v>
      </c>
      <c r="G55" t="s">
        <v>3607</v>
      </c>
      <c r="H55" t="s">
        <v>4729</v>
      </c>
      <c r="I55" t="s">
        <v>4730</v>
      </c>
      <c r="J55" t="s">
        <v>4480</v>
      </c>
      <c r="L55" t="s">
        <v>25</v>
      </c>
      <c r="M55" t="s">
        <v>55</v>
      </c>
      <c r="N55" t="s">
        <v>4538</v>
      </c>
      <c r="O55" t="s">
        <v>4765</v>
      </c>
      <c r="Q55">
        <v>0</v>
      </c>
      <c r="R55">
        <v>157</v>
      </c>
      <c r="S55">
        <v>0</v>
      </c>
      <c r="U55" t="s">
        <v>4801</v>
      </c>
      <c r="V55" t="s">
        <v>4744</v>
      </c>
      <c r="W55" t="s">
        <v>4835</v>
      </c>
      <c r="X55" t="s">
        <v>4835</v>
      </c>
      <c r="Z55" t="s">
        <v>4737</v>
      </c>
      <c r="AA55" t="s">
        <v>4738</v>
      </c>
      <c r="AB55" t="s">
        <v>4746</v>
      </c>
      <c r="AF55">
        <v>1</v>
      </c>
      <c r="AG55">
        <v>0</v>
      </c>
      <c r="AH55">
        <v>1</v>
      </c>
    </row>
    <row r="56" spans="1:34" x14ac:dyDescent="0.3">
      <c r="A56">
        <v>114</v>
      </c>
      <c r="B56" t="s">
        <v>206</v>
      </c>
      <c r="C56" t="s">
        <v>4712</v>
      </c>
      <c r="D56" t="s">
        <v>72</v>
      </c>
      <c r="E56" t="s">
        <v>139</v>
      </c>
      <c r="F56" t="s">
        <v>22</v>
      </c>
      <c r="G56" t="s">
        <v>3607</v>
      </c>
      <c r="H56" t="s">
        <v>4729</v>
      </c>
      <c r="I56" t="s">
        <v>4730</v>
      </c>
      <c r="J56" t="s">
        <v>4480</v>
      </c>
      <c r="L56" t="s">
        <v>25</v>
      </c>
      <c r="M56" t="s">
        <v>72</v>
      </c>
      <c r="N56" t="s">
        <v>4538</v>
      </c>
      <c r="O56" t="s">
        <v>4765</v>
      </c>
      <c r="Q56">
        <v>0</v>
      </c>
      <c r="R56">
        <v>158</v>
      </c>
      <c r="S56">
        <v>0</v>
      </c>
      <c r="U56" t="s">
        <v>4801</v>
      </c>
      <c r="V56" t="s">
        <v>4544</v>
      </c>
      <c r="W56" t="s">
        <v>4836</v>
      </c>
      <c r="X56" t="s">
        <v>4836</v>
      </c>
      <c r="Z56" t="s">
        <v>4737</v>
      </c>
      <c r="AA56" t="s">
        <v>4738</v>
      </c>
      <c r="AB56" t="s">
        <v>4754</v>
      </c>
      <c r="AF56">
        <v>1</v>
      </c>
      <c r="AG56">
        <v>0</v>
      </c>
      <c r="AH56">
        <v>1</v>
      </c>
    </row>
    <row r="57" spans="1:34" x14ac:dyDescent="0.3">
      <c r="A57">
        <v>115</v>
      </c>
      <c r="B57" t="s">
        <v>206</v>
      </c>
      <c r="C57" t="s">
        <v>4712</v>
      </c>
      <c r="D57" t="s">
        <v>138</v>
      </c>
      <c r="E57" t="s">
        <v>139</v>
      </c>
      <c r="F57" t="s">
        <v>22</v>
      </c>
      <c r="G57" t="s">
        <v>3607</v>
      </c>
      <c r="H57" t="s">
        <v>4729</v>
      </c>
      <c r="I57" t="s">
        <v>4730</v>
      </c>
      <c r="J57" t="s">
        <v>4480</v>
      </c>
      <c r="L57" t="s">
        <v>25</v>
      </c>
      <c r="M57" t="s">
        <v>138</v>
      </c>
      <c r="N57" t="s">
        <v>4538</v>
      </c>
      <c r="O57" t="s">
        <v>4765</v>
      </c>
      <c r="Q57">
        <v>0</v>
      </c>
      <c r="R57">
        <v>159</v>
      </c>
      <c r="S57">
        <v>0</v>
      </c>
      <c r="U57" t="s">
        <v>4801</v>
      </c>
      <c r="V57" t="s">
        <v>4744</v>
      </c>
      <c r="W57" t="s">
        <v>4774</v>
      </c>
      <c r="X57" t="s">
        <v>4775</v>
      </c>
      <c r="AA57" t="s">
        <v>4738</v>
      </c>
      <c r="AB57" t="s">
        <v>4754</v>
      </c>
      <c r="AF57">
        <v>1</v>
      </c>
      <c r="AG57">
        <v>0</v>
      </c>
      <c r="AH57">
        <v>1</v>
      </c>
    </row>
    <row r="58" spans="1:34" x14ac:dyDescent="0.3">
      <c r="A58">
        <v>116</v>
      </c>
      <c r="B58" t="s">
        <v>206</v>
      </c>
      <c r="C58" t="s">
        <v>4712</v>
      </c>
      <c r="D58" t="s">
        <v>120</v>
      </c>
      <c r="E58" t="s">
        <v>139</v>
      </c>
      <c r="F58" t="s">
        <v>22</v>
      </c>
      <c r="G58" t="s">
        <v>3607</v>
      </c>
      <c r="H58" t="s">
        <v>4729</v>
      </c>
      <c r="I58" t="s">
        <v>4730</v>
      </c>
      <c r="J58" t="s">
        <v>4480</v>
      </c>
      <c r="L58" t="s">
        <v>25</v>
      </c>
      <c r="M58" t="s">
        <v>120</v>
      </c>
      <c r="N58" t="s">
        <v>4538</v>
      </c>
      <c r="O58" t="s">
        <v>4765</v>
      </c>
      <c r="Q58">
        <v>0</v>
      </c>
      <c r="R58">
        <v>160</v>
      </c>
      <c r="S58">
        <v>0</v>
      </c>
      <c r="U58" t="s">
        <v>4837</v>
      </c>
      <c r="V58" t="s">
        <v>4758</v>
      </c>
      <c r="W58" t="s">
        <v>4838</v>
      </c>
      <c r="X58" t="s">
        <v>4838</v>
      </c>
      <c r="Z58" t="s">
        <v>4737</v>
      </c>
      <c r="AA58" t="s">
        <v>4760</v>
      </c>
      <c r="AB58" t="s">
        <v>4761</v>
      </c>
      <c r="AF58">
        <v>1</v>
      </c>
      <c r="AG58">
        <v>1</v>
      </c>
      <c r="AH58">
        <v>1</v>
      </c>
    </row>
    <row r="59" spans="1:34" x14ac:dyDescent="0.3">
      <c r="A59">
        <v>117</v>
      </c>
      <c r="B59" t="s">
        <v>206</v>
      </c>
      <c r="C59" t="s">
        <v>4712</v>
      </c>
      <c r="D59" t="s">
        <v>251</v>
      </c>
      <c r="E59" t="s">
        <v>139</v>
      </c>
      <c r="F59" t="s">
        <v>22</v>
      </c>
      <c r="G59" t="s">
        <v>3607</v>
      </c>
      <c r="H59" t="s">
        <v>4729</v>
      </c>
      <c r="I59" t="s">
        <v>4730</v>
      </c>
      <c r="J59" t="s">
        <v>4480</v>
      </c>
      <c r="L59" t="s">
        <v>25</v>
      </c>
      <c r="M59" t="s">
        <v>251</v>
      </c>
      <c r="N59" t="s">
        <v>4538</v>
      </c>
      <c r="O59" t="s">
        <v>4765</v>
      </c>
      <c r="Q59">
        <v>0</v>
      </c>
      <c r="R59">
        <v>196</v>
      </c>
      <c r="S59">
        <v>0</v>
      </c>
      <c r="U59" t="s">
        <v>4801</v>
      </c>
      <c r="V59" t="s">
        <v>4758</v>
      </c>
      <c r="W59" t="s">
        <v>4839</v>
      </c>
      <c r="X59" t="s">
        <v>4839</v>
      </c>
      <c r="Z59" t="s">
        <v>4737</v>
      </c>
      <c r="AA59" t="s">
        <v>4840</v>
      </c>
      <c r="AB59" t="s">
        <v>4841</v>
      </c>
      <c r="AF59">
        <v>1</v>
      </c>
      <c r="AG59">
        <v>1</v>
      </c>
      <c r="AH59">
        <v>1</v>
      </c>
    </row>
    <row r="60" spans="1:34" x14ac:dyDescent="0.3">
      <c r="A60">
        <v>118</v>
      </c>
      <c r="B60" t="s">
        <v>257</v>
      </c>
      <c r="C60" t="s">
        <v>4712</v>
      </c>
      <c r="D60" t="s">
        <v>258</v>
      </c>
      <c r="E60" t="s">
        <v>139</v>
      </c>
      <c r="F60" t="s">
        <v>22</v>
      </c>
      <c r="G60" t="s">
        <v>3607</v>
      </c>
      <c r="H60" t="s">
        <v>4729</v>
      </c>
      <c r="I60" t="s">
        <v>4730</v>
      </c>
      <c r="J60" t="s">
        <v>4480</v>
      </c>
      <c r="L60" t="s">
        <v>25</v>
      </c>
      <c r="M60" t="s">
        <v>258</v>
      </c>
      <c r="N60" t="s">
        <v>4538</v>
      </c>
      <c r="O60" t="s">
        <v>4765</v>
      </c>
      <c r="Q60">
        <v>0</v>
      </c>
      <c r="R60">
        <v>161</v>
      </c>
      <c r="S60">
        <v>0</v>
      </c>
      <c r="U60" t="s">
        <v>4801</v>
      </c>
      <c r="V60" t="s">
        <v>4758</v>
      </c>
      <c r="W60" t="s">
        <v>4842</v>
      </c>
      <c r="X60" t="s">
        <v>4842</v>
      </c>
      <c r="Z60" t="s">
        <v>4737</v>
      </c>
      <c r="AA60" t="s">
        <v>4760</v>
      </c>
      <c r="AB60" t="s">
        <v>4761</v>
      </c>
      <c r="AF60">
        <v>0</v>
      </c>
      <c r="AG60">
        <v>1</v>
      </c>
      <c r="AH60">
        <v>1</v>
      </c>
    </row>
    <row r="61" spans="1:34" x14ac:dyDescent="0.3">
      <c r="A61">
        <v>121</v>
      </c>
      <c r="B61" t="s">
        <v>263</v>
      </c>
      <c r="C61" t="s">
        <v>4728</v>
      </c>
      <c r="D61" t="s">
        <v>55</v>
      </c>
      <c r="E61" t="s">
        <v>73</v>
      </c>
      <c r="F61" t="s">
        <v>56</v>
      </c>
      <c r="G61" t="s">
        <v>3607</v>
      </c>
      <c r="H61" t="s">
        <v>4729</v>
      </c>
      <c r="I61" t="s">
        <v>4730</v>
      </c>
      <c r="J61" t="s">
        <v>4480</v>
      </c>
      <c r="L61" t="s">
        <v>264</v>
      </c>
      <c r="M61" t="s">
        <v>55</v>
      </c>
      <c r="N61" t="s">
        <v>4537</v>
      </c>
      <c r="O61" t="s">
        <v>4843</v>
      </c>
      <c r="Q61">
        <v>0</v>
      </c>
      <c r="R61">
        <v>264</v>
      </c>
      <c r="S61">
        <v>0</v>
      </c>
      <c r="U61" t="s">
        <v>4844</v>
      </c>
      <c r="V61" t="s">
        <v>4744</v>
      </c>
      <c r="W61" t="s">
        <v>4845</v>
      </c>
      <c r="X61" t="s">
        <v>4846</v>
      </c>
      <c r="Z61" t="s">
        <v>4737</v>
      </c>
      <c r="AA61" t="s">
        <v>4738</v>
      </c>
      <c r="AB61" t="s">
        <v>4831</v>
      </c>
      <c r="AF61">
        <v>1</v>
      </c>
      <c r="AG61">
        <v>1</v>
      </c>
      <c r="AH61">
        <v>1</v>
      </c>
    </row>
    <row r="62" spans="1:34" x14ac:dyDescent="0.3">
      <c r="A62">
        <v>122</v>
      </c>
      <c r="B62" t="s">
        <v>301</v>
      </c>
      <c r="C62" t="s">
        <v>4728</v>
      </c>
      <c r="D62" t="s">
        <v>258</v>
      </c>
      <c r="E62" t="s">
        <v>73</v>
      </c>
      <c r="F62" t="s">
        <v>22</v>
      </c>
      <c r="G62" t="s">
        <v>3607</v>
      </c>
      <c r="H62" t="s">
        <v>4729</v>
      </c>
      <c r="I62" t="s">
        <v>4730</v>
      </c>
      <c r="J62" t="s">
        <v>4731</v>
      </c>
      <c r="L62" t="s">
        <v>25</v>
      </c>
      <c r="M62" t="s">
        <v>258</v>
      </c>
      <c r="N62" t="s">
        <v>4732</v>
      </c>
      <c r="O62" t="s">
        <v>4733</v>
      </c>
      <c r="Q62">
        <v>0</v>
      </c>
      <c r="R62">
        <v>285</v>
      </c>
      <c r="S62">
        <v>0</v>
      </c>
      <c r="U62" t="s">
        <v>4847</v>
      </c>
      <c r="V62" t="s">
        <v>4758</v>
      </c>
      <c r="W62" t="s">
        <v>4848</v>
      </c>
      <c r="X62" t="s">
        <v>4848</v>
      </c>
      <c r="Z62" t="s">
        <v>4737</v>
      </c>
      <c r="AA62" t="s">
        <v>4738</v>
      </c>
      <c r="AB62" t="s">
        <v>4739</v>
      </c>
      <c r="AF62">
        <v>1</v>
      </c>
      <c r="AG62">
        <v>1</v>
      </c>
      <c r="AH62">
        <v>1</v>
      </c>
    </row>
    <row r="63" spans="1:34" x14ac:dyDescent="0.3">
      <c r="A63">
        <v>124</v>
      </c>
      <c r="B63" t="s">
        <v>335</v>
      </c>
      <c r="C63" t="s">
        <v>4728</v>
      </c>
      <c r="D63" t="s">
        <v>138</v>
      </c>
      <c r="E63" t="s">
        <v>73</v>
      </c>
      <c r="F63" t="s">
        <v>56</v>
      </c>
      <c r="G63" t="s">
        <v>3607</v>
      </c>
      <c r="H63" t="s">
        <v>4729</v>
      </c>
      <c r="I63" t="s">
        <v>4730</v>
      </c>
      <c r="J63" t="s">
        <v>4731</v>
      </c>
      <c r="L63" t="s">
        <v>197</v>
      </c>
      <c r="M63" t="s">
        <v>138</v>
      </c>
      <c r="N63" t="s">
        <v>4732</v>
      </c>
      <c r="O63" t="s">
        <v>4742</v>
      </c>
      <c r="Q63">
        <v>0</v>
      </c>
      <c r="R63">
        <v>286</v>
      </c>
      <c r="S63">
        <v>0</v>
      </c>
      <c r="U63" t="s">
        <v>4849</v>
      </c>
      <c r="V63" t="s">
        <v>4744</v>
      </c>
      <c r="W63" t="s">
        <v>4774</v>
      </c>
      <c r="X63" t="s">
        <v>4775</v>
      </c>
      <c r="AA63" t="s">
        <v>4738</v>
      </c>
      <c r="AB63" t="s">
        <v>4754</v>
      </c>
      <c r="AF63">
        <v>1</v>
      </c>
      <c r="AG63">
        <v>1</v>
      </c>
      <c r="AH63">
        <v>1</v>
      </c>
    </row>
    <row r="64" spans="1:34" x14ac:dyDescent="0.3">
      <c r="A64">
        <v>125</v>
      </c>
      <c r="B64" t="s">
        <v>372</v>
      </c>
      <c r="C64" t="s">
        <v>4728</v>
      </c>
      <c r="D64" t="s">
        <v>138</v>
      </c>
      <c r="E64" t="s">
        <v>73</v>
      </c>
      <c r="F64" t="s">
        <v>56</v>
      </c>
      <c r="G64" t="s">
        <v>3607</v>
      </c>
      <c r="H64" t="s">
        <v>4729</v>
      </c>
      <c r="I64" t="s">
        <v>4730</v>
      </c>
      <c r="J64" t="s">
        <v>4731</v>
      </c>
      <c r="L64" t="s">
        <v>197</v>
      </c>
      <c r="M64" t="s">
        <v>138</v>
      </c>
      <c r="N64" t="s">
        <v>4732</v>
      </c>
      <c r="O64" t="s">
        <v>4742</v>
      </c>
      <c r="Q64">
        <v>0</v>
      </c>
      <c r="R64">
        <v>287</v>
      </c>
      <c r="S64">
        <v>0</v>
      </c>
      <c r="U64" t="s">
        <v>4850</v>
      </c>
      <c r="V64" t="s">
        <v>4744</v>
      </c>
      <c r="W64" t="s">
        <v>4774</v>
      </c>
      <c r="X64" t="s">
        <v>4775</v>
      </c>
      <c r="AA64" t="s">
        <v>4738</v>
      </c>
      <c r="AB64" t="s">
        <v>4754</v>
      </c>
      <c r="AF64">
        <v>1</v>
      </c>
      <c r="AG64">
        <v>1</v>
      </c>
      <c r="AH64">
        <v>1</v>
      </c>
    </row>
    <row r="65" spans="1:34" x14ac:dyDescent="0.3">
      <c r="A65">
        <v>126</v>
      </c>
      <c r="B65" t="s">
        <v>409</v>
      </c>
      <c r="C65" t="s">
        <v>4728</v>
      </c>
      <c r="D65" t="s">
        <v>138</v>
      </c>
      <c r="E65" t="s">
        <v>139</v>
      </c>
      <c r="F65" t="s">
        <v>56</v>
      </c>
      <c r="G65" t="s">
        <v>3607</v>
      </c>
      <c r="H65" t="s">
        <v>4729</v>
      </c>
      <c r="I65" t="s">
        <v>4730</v>
      </c>
      <c r="J65" t="s">
        <v>4480</v>
      </c>
      <c r="L65" t="s">
        <v>197</v>
      </c>
      <c r="M65" t="s">
        <v>138</v>
      </c>
      <c r="N65" t="s">
        <v>4732</v>
      </c>
      <c r="O65" t="s">
        <v>4742</v>
      </c>
      <c r="Q65">
        <v>0</v>
      </c>
      <c r="R65">
        <v>288</v>
      </c>
      <c r="S65">
        <v>0</v>
      </c>
      <c r="U65" t="s">
        <v>4851</v>
      </c>
      <c r="V65" t="s">
        <v>4744</v>
      </c>
      <c r="W65" t="s">
        <v>4774</v>
      </c>
      <c r="X65" t="s">
        <v>4775</v>
      </c>
      <c r="AA65" t="s">
        <v>4738</v>
      </c>
      <c r="AB65" t="s">
        <v>4754</v>
      </c>
      <c r="AF65">
        <v>1</v>
      </c>
      <c r="AG65">
        <v>1</v>
      </c>
      <c r="AH65">
        <v>1</v>
      </c>
    </row>
    <row r="66" spans="1:34" x14ac:dyDescent="0.3">
      <c r="A66">
        <v>127</v>
      </c>
      <c r="B66" t="s">
        <v>413</v>
      </c>
      <c r="C66" t="s">
        <v>4728</v>
      </c>
      <c r="D66" t="s">
        <v>138</v>
      </c>
      <c r="E66" t="s">
        <v>139</v>
      </c>
      <c r="F66" t="s">
        <v>56</v>
      </c>
      <c r="G66" t="s">
        <v>3607</v>
      </c>
      <c r="H66" t="s">
        <v>4729</v>
      </c>
      <c r="I66" t="s">
        <v>4730</v>
      </c>
      <c r="J66" t="s">
        <v>4480</v>
      </c>
      <c r="L66" t="s">
        <v>197</v>
      </c>
      <c r="M66" t="s">
        <v>138</v>
      </c>
      <c r="N66" t="s">
        <v>4732</v>
      </c>
      <c r="O66" t="s">
        <v>4742</v>
      </c>
      <c r="Q66">
        <v>0</v>
      </c>
      <c r="R66">
        <v>289</v>
      </c>
      <c r="S66">
        <v>0</v>
      </c>
      <c r="U66" t="s">
        <v>4852</v>
      </c>
      <c r="V66" t="s">
        <v>4744</v>
      </c>
      <c r="W66" t="s">
        <v>4774</v>
      </c>
      <c r="X66" t="s">
        <v>4775</v>
      </c>
      <c r="AA66" t="s">
        <v>4738</v>
      </c>
      <c r="AB66" t="s">
        <v>4754</v>
      </c>
      <c r="AF66">
        <v>1</v>
      </c>
      <c r="AG66">
        <v>1</v>
      </c>
      <c r="AH66">
        <v>1</v>
      </c>
    </row>
    <row r="67" spans="1:34" x14ac:dyDescent="0.3">
      <c r="A67">
        <v>128</v>
      </c>
      <c r="B67" t="s">
        <v>417</v>
      </c>
      <c r="C67" t="s">
        <v>4728</v>
      </c>
      <c r="D67" t="s">
        <v>138</v>
      </c>
      <c r="E67" t="s">
        <v>73</v>
      </c>
      <c r="F67" t="s">
        <v>56</v>
      </c>
      <c r="G67" t="s">
        <v>3607</v>
      </c>
      <c r="H67" t="s">
        <v>4729</v>
      </c>
      <c r="I67" t="s">
        <v>4730</v>
      </c>
      <c r="J67" t="s">
        <v>4731</v>
      </c>
      <c r="L67" t="s">
        <v>197</v>
      </c>
      <c r="M67" t="s">
        <v>138</v>
      </c>
      <c r="N67" t="s">
        <v>4732</v>
      </c>
      <c r="O67" t="s">
        <v>4742</v>
      </c>
      <c r="Q67">
        <v>0</v>
      </c>
      <c r="R67">
        <v>290</v>
      </c>
      <c r="S67">
        <v>0</v>
      </c>
      <c r="U67" t="s">
        <v>4853</v>
      </c>
      <c r="V67" t="s">
        <v>4744</v>
      </c>
      <c r="W67" t="s">
        <v>4774</v>
      </c>
      <c r="X67" t="s">
        <v>4775</v>
      </c>
      <c r="AA67" t="s">
        <v>4738</v>
      </c>
      <c r="AB67" t="s">
        <v>4754</v>
      </c>
      <c r="AF67">
        <v>1</v>
      </c>
      <c r="AG67">
        <v>1</v>
      </c>
      <c r="AH67">
        <v>1</v>
      </c>
    </row>
    <row r="68" spans="1:34" x14ac:dyDescent="0.3">
      <c r="A68">
        <v>133</v>
      </c>
      <c r="B68" t="s">
        <v>206</v>
      </c>
      <c r="C68" t="s">
        <v>4712</v>
      </c>
      <c r="D68" t="s">
        <v>454</v>
      </c>
      <c r="E68" t="s">
        <v>139</v>
      </c>
      <c r="F68" t="s">
        <v>22</v>
      </c>
      <c r="G68" t="s">
        <v>3607</v>
      </c>
      <c r="H68" t="s">
        <v>4729</v>
      </c>
      <c r="I68" t="s">
        <v>4730</v>
      </c>
      <c r="J68" t="s">
        <v>4480</v>
      </c>
      <c r="L68" t="s">
        <v>25</v>
      </c>
      <c r="M68" t="s">
        <v>454</v>
      </c>
      <c r="N68" t="s">
        <v>4538</v>
      </c>
      <c r="O68" t="s">
        <v>4765</v>
      </c>
      <c r="Q68">
        <v>0</v>
      </c>
      <c r="R68">
        <v>162</v>
      </c>
      <c r="S68">
        <v>0</v>
      </c>
      <c r="U68" t="s">
        <v>4854</v>
      </c>
      <c r="V68" t="s">
        <v>4546</v>
      </c>
      <c r="W68" t="s">
        <v>4855</v>
      </c>
      <c r="X68" t="s">
        <v>4855</v>
      </c>
      <c r="Z68" t="s">
        <v>4737</v>
      </c>
      <c r="AA68" t="s">
        <v>4856</v>
      </c>
      <c r="AB68" t="s">
        <v>4857</v>
      </c>
      <c r="AF68">
        <v>0</v>
      </c>
      <c r="AG68">
        <v>0</v>
      </c>
      <c r="AH68">
        <v>1</v>
      </c>
    </row>
    <row r="69" spans="1:34" x14ac:dyDescent="0.3">
      <c r="A69">
        <v>136</v>
      </c>
      <c r="B69" t="s">
        <v>460</v>
      </c>
      <c r="C69" t="s">
        <v>4728</v>
      </c>
      <c r="D69" t="s">
        <v>461</v>
      </c>
      <c r="E69" t="s">
        <v>21</v>
      </c>
      <c r="F69" t="s">
        <v>22</v>
      </c>
      <c r="H69" t="s">
        <v>4755</v>
      </c>
      <c r="I69" t="s">
        <v>4755</v>
      </c>
      <c r="J69" t="s">
        <v>4731</v>
      </c>
      <c r="L69" t="s">
        <v>25</v>
      </c>
      <c r="M69" t="s">
        <v>461</v>
      </c>
      <c r="N69" t="s">
        <v>4538</v>
      </c>
      <c r="O69" t="s">
        <v>4765</v>
      </c>
      <c r="Q69">
        <v>0</v>
      </c>
      <c r="R69">
        <v>163</v>
      </c>
      <c r="S69">
        <v>0</v>
      </c>
      <c r="V69" t="s">
        <v>4546</v>
      </c>
      <c r="AA69" t="s">
        <v>4766</v>
      </c>
      <c r="AB69" t="s">
        <v>4858</v>
      </c>
      <c r="AF69">
        <v>1</v>
      </c>
      <c r="AG69">
        <v>1</v>
      </c>
      <c r="AH69">
        <v>0</v>
      </c>
    </row>
    <row r="70" spans="1:34" x14ac:dyDescent="0.3">
      <c r="A70">
        <v>137</v>
      </c>
      <c r="B70" t="s">
        <v>464</v>
      </c>
      <c r="C70" t="s">
        <v>4728</v>
      </c>
      <c r="D70" t="s">
        <v>461</v>
      </c>
      <c r="E70" t="s">
        <v>39</v>
      </c>
      <c r="F70" t="s">
        <v>22</v>
      </c>
      <c r="H70" t="s">
        <v>4755</v>
      </c>
      <c r="I70" t="s">
        <v>4755</v>
      </c>
      <c r="J70" t="s">
        <v>4731</v>
      </c>
      <c r="L70" t="s">
        <v>203</v>
      </c>
      <c r="M70" t="s">
        <v>461</v>
      </c>
      <c r="N70" t="s">
        <v>4538</v>
      </c>
      <c r="O70" t="s">
        <v>4765</v>
      </c>
      <c r="Q70">
        <v>0</v>
      </c>
      <c r="R70">
        <v>164</v>
      </c>
      <c r="S70">
        <v>0</v>
      </c>
      <c r="V70" t="s">
        <v>4546</v>
      </c>
      <c r="AA70" t="s">
        <v>4718</v>
      </c>
      <c r="AB70" t="s">
        <v>4859</v>
      </c>
      <c r="AF70">
        <v>1</v>
      </c>
      <c r="AG70">
        <v>1</v>
      </c>
      <c r="AH70">
        <v>0</v>
      </c>
    </row>
    <row r="71" spans="1:34" x14ac:dyDescent="0.3">
      <c r="A71">
        <v>139</v>
      </c>
      <c r="B71" t="s">
        <v>469</v>
      </c>
      <c r="C71" t="s">
        <v>4728</v>
      </c>
      <c r="D71" t="s">
        <v>461</v>
      </c>
      <c r="E71" t="s">
        <v>73</v>
      </c>
      <c r="F71" t="s">
        <v>56</v>
      </c>
      <c r="H71" t="s">
        <v>4755</v>
      </c>
      <c r="I71" t="s">
        <v>4755</v>
      </c>
      <c r="J71" t="s">
        <v>4480</v>
      </c>
      <c r="L71" t="s">
        <v>264</v>
      </c>
      <c r="M71" t="s">
        <v>461</v>
      </c>
      <c r="N71" t="s">
        <v>4537</v>
      </c>
      <c r="O71" t="s">
        <v>4843</v>
      </c>
      <c r="Q71">
        <v>0</v>
      </c>
      <c r="R71">
        <v>222</v>
      </c>
      <c r="S71">
        <v>0</v>
      </c>
      <c r="U71" t="s">
        <v>4860</v>
      </c>
      <c r="V71" t="s">
        <v>4546</v>
      </c>
      <c r="W71" t="s">
        <v>4861</v>
      </c>
      <c r="X71" t="s">
        <v>4862</v>
      </c>
      <c r="Z71" t="s">
        <v>4737</v>
      </c>
      <c r="AA71" t="s">
        <v>4738</v>
      </c>
      <c r="AB71" t="s">
        <v>4831</v>
      </c>
      <c r="AF71">
        <v>1</v>
      </c>
      <c r="AG71">
        <v>1</v>
      </c>
      <c r="AH71">
        <v>0</v>
      </c>
    </row>
    <row r="72" spans="1:34" x14ac:dyDescent="0.3">
      <c r="A72">
        <v>143</v>
      </c>
      <c r="B72" t="s">
        <v>494</v>
      </c>
      <c r="C72" t="s">
        <v>4728</v>
      </c>
      <c r="D72" t="s">
        <v>190</v>
      </c>
      <c r="E72" t="s">
        <v>21</v>
      </c>
      <c r="F72" t="s">
        <v>22</v>
      </c>
      <c r="G72" t="s">
        <v>3607</v>
      </c>
      <c r="H72" t="s">
        <v>4729</v>
      </c>
      <c r="I72" t="s">
        <v>4730</v>
      </c>
      <c r="J72" t="s">
        <v>4731</v>
      </c>
      <c r="L72" t="s">
        <v>203</v>
      </c>
      <c r="M72" t="s">
        <v>190</v>
      </c>
      <c r="N72" t="s">
        <v>4542</v>
      </c>
      <c r="O72" t="s">
        <v>4863</v>
      </c>
      <c r="P72" t="s">
        <v>4864</v>
      </c>
      <c r="Q72">
        <v>0</v>
      </c>
      <c r="R72">
        <v>134</v>
      </c>
      <c r="S72">
        <v>0</v>
      </c>
      <c r="U72" t="s">
        <v>4865</v>
      </c>
      <c r="V72" t="s">
        <v>4546</v>
      </c>
      <c r="W72" t="s">
        <v>4866</v>
      </c>
      <c r="X72" t="s">
        <v>4866</v>
      </c>
      <c r="Z72" t="s">
        <v>4737</v>
      </c>
      <c r="AA72" t="s">
        <v>4792</v>
      </c>
      <c r="AB72" t="s">
        <v>4867</v>
      </c>
      <c r="AF72">
        <v>1</v>
      </c>
      <c r="AG72">
        <v>1</v>
      </c>
      <c r="AH72">
        <v>1</v>
      </c>
    </row>
    <row r="73" spans="1:34" x14ac:dyDescent="0.3">
      <c r="A73">
        <v>144</v>
      </c>
      <c r="B73" t="s">
        <v>503</v>
      </c>
      <c r="C73" t="s">
        <v>4712</v>
      </c>
      <c r="D73" t="s">
        <v>190</v>
      </c>
      <c r="E73" t="s">
        <v>139</v>
      </c>
      <c r="F73" t="s">
        <v>22</v>
      </c>
      <c r="G73" t="s">
        <v>3607</v>
      </c>
      <c r="H73" t="s">
        <v>4729</v>
      </c>
      <c r="I73" t="s">
        <v>4730</v>
      </c>
      <c r="J73" t="s">
        <v>4480</v>
      </c>
      <c r="L73" t="s">
        <v>197</v>
      </c>
      <c r="M73" t="s">
        <v>190</v>
      </c>
      <c r="N73" t="s">
        <v>4542</v>
      </c>
      <c r="O73" t="s">
        <v>4790</v>
      </c>
      <c r="Q73">
        <v>0</v>
      </c>
      <c r="R73">
        <v>84</v>
      </c>
      <c r="S73">
        <v>0</v>
      </c>
      <c r="U73" t="s">
        <v>4868</v>
      </c>
      <c r="V73" t="s">
        <v>4546</v>
      </c>
      <c r="W73" t="s">
        <v>4869</v>
      </c>
      <c r="X73" t="s">
        <v>4869</v>
      </c>
      <c r="Z73" t="s">
        <v>4771</v>
      </c>
      <c r="AA73" t="s">
        <v>4792</v>
      </c>
      <c r="AB73" t="s">
        <v>4867</v>
      </c>
      <c r="AF73">
        <v>1</v>
      </c>
      <c r="AG73">
        <v>1</v>
      </c>
      <c r="AH73">
        <v>1</v>
      </c>
    </row>
    <row r="74" spans="1:34" x14ac:dyDescent="0.3">
      <c r="A74">
        <v>145</v>
      </c>
      <c r="B74" t="s">
        <v>508</v>
      </c>
      <c r="C74" t="s">
        <v>4712</v>
      </c>
      <c r="D74" t="s">
        <v>509</v>
      </c>
      <c r="E74" t="s">
        <v>21</v>
      </c>
      <c r="F74" t="s">
        <v>22</v>
      </c>
      <c r="G74" t="s">
        <v>3607</v>
      </c>
      <c r="H74" t="s">
        <v>4729</v>
      </c>
      <c r="I74" t="s">
        <v>4730</v>
      </c>
      <c r="J74" t="s">
        <v>4731</v>
      </c>
      <c r="L74" t="s">
        <v>203</v>
      </c>
      <c r="M74" t="s">
        <v>509</v>
      </c>
      <c r="N74" t="s">
        <v>4542</v>
      </c>
      <c r="O74" t="s">
        <v>4863</v>
      </c>
      <c r="Q74">
        <v>0</v>
      </c>
      <c r="R74">
        <v>85</v>
      </c>
      <c r="S74">
        <v>0</v>
      </c>
      <c r="U74" t="s">
        <v>4870</v>
      </c>
      <c r="V74" t="s">
        <v>4546</v>
      </c>
      <c r="W74" t="s">
        <v>4871</v>
      </c>
      <c r="X74" t="s">
        <v>4871</v>
      </c>
      <c r="Z74" t="s">
        <v>4771</v>
      </c>
      <c r="AA74" t="s">
        <v>4792</v>
      </c>
      <c r="AB74" t="s">
        <v>4793</v>
      </c>
      <c r="AF74">
        <v>1</v>
      </c>
      <c r="AG74">
        <v>1</v>
      </c>
      <c r="AH74">
        <v>1</v>
      </c>
    </row>
    <row r="75" spans="1:34" x14ac:dyDescent="0.3">
      <c r="A75">
        <v>146</v>
      </c>
      <c r="B75" t="s">
        <v>516</v>
      </c>
      <c r="C75" t="s">
        <v>4712</v>
      </c>
      <c r="D75" t="s">
        <v>190</v>
      </c>
      <c r="E75" t="s">
        <v>21</v>
      </c>
      <c r="F75" t="s">
        <v>22</v>
      </c>
      <c r="G75" t="s">
        <v>3607</v>
      </c>
      <c r="H75" t="s">
        <v>4729</v>
      </c>
      <c r="I75" t="s">
        <v>4730</v>
      </c>
      <c r="J75" t="s">
        <v>4731</v>
      </c>
      <c r="L75" t="s">
        <v>203</v>
      </c>
      <c r="M75" t="s">
        <v>190</v>
      </c>
      <c r="N75" t="s">
        <v>4542</v>
      </c>
      <c r="O75" t="s">
        <v>4863</v>
      </c>
      <c r="Q75">
        <v>0</v>
      </c>
      <c r="R75">
        <v>86</v>
      </c>
      <c r="S75">
        <v>0</v>
      </c>
      <c r="U75" t="s">
        <v>4872</v>
      </c>
      <c r="V75" t="s">
        <v>4546</v>
      </c>
      <c r="W75" t="s">
        <v>4873</v>
      </c>
      <c r="X75" t="s">
        <v>4874</v>
      </c>
      <c r="Z75" t="s">
        <v>4771</v>
      </c>
      <c r="AA75" t="s">
        <v>4792</v>
      </c>
      <c r="AB75" t="s">
        <v>4867</v>
      </c>
      <c r="AF75">
        <v>1</v>
      </c>
      <c r="AG75">
        <v>1</v>
      </c>
      <c r="AH75">
        <v>1</v>
      </c>
    </row>
    <row r="76" spans="1:34" x14ac:dyDescent="0.3">
      <c r="A76">
        <v>147</v>
      </c>
      <c r="B76" t="s">
        <v>523</v>
      </c>
      <c r="C76" t="s">
        <v>4728</v>
      </c>
      <c r="D76" t="s">
        <v>190</v>
      </c>
      <c r="E76" t="s">
        <v>139</v>
      </c>
      <c r="F76" t="s">
        <v>22</v>
      </c>
      <c r="G76" t="s">
        <v>3607</v>
      </c>
      <c r="H76" t="s">
        <v>4729</v>
      </c>
      <c r="I76" t="s">
        <v>4730</v>
      </c>
      <c r="J76" t="s">
        <v>4480</v>
      </c>
      <c r="L76" t="s">
        <v>203</v>
      </c>
      <c r="M76" t="s">
        <v>190</v>
      </c>
      <c r="N76" t="s">
        <v>4542</v>
      </c>
      <c r="O76" t="s">
        <v>4863</v>
      </c>
      <c r="Q76">
        <v>0</v>
      </c>
      <c r="R76">
        <v>87</v>
      </c>
      <c r="S76">
        <v>0</v>
      </c>
      <c r="U76" t="s">
        <v>4875</v>
      </c>
      <c r="V76" t="s">
        <v>4546</v>
      </c>
      <c r="W76" t="s">
        <v>4869</v>
      </c>
      <c r="X76" t="s">
        <v>4869</v>
      </c>
      <c r="Z76">
        <v>1</v>
      </c>
      <c r="AA76" t="s">
        <v>4792</v>
      </c>
      <c r="AB76" t="s">
        <v>4867</v>
      </c>
      <c r="AF76">
        <v>1</v>
      </c>
      <c r="AG76">
        <v>1</v>
      </c>
      <c r="AH76">
        <v>1</v>
      </c>
    </row>
    <row r="77" spans="1:34" x14ac:dyDescent="0.3">
      <c r="A77">
        <v>148</v>
      </c>
      <c r="B77" t="s">
        <v>527</v>
      </c>
      <c r="C77" t="s">
        <v>4712</v>
      </c>
      <c r="D77" t="s">
        <v>509</v>
      </c>
      <c r="E77" t="s">
        <v>21</v>
      </c>
      <c r="F77" t="s">
        <v>22</v>
      </c>
      <c r="G77" t="s">
        <v>3607</v>
      </c>
      <c r="H77" t="s">
        <v>4729</v>
      </c>
      <c r="I77" t="s">
        <v>4730</v>
      </c>
      <c r="J77" t="s">
        <v>4480</v>
      </c>
      <c r="L77" t="s">
        <v>25</v>
      </c>
      <c r="M77" t="s">
        <v>509</v>
      </c>
      <c r="N77" t="s">
        <v>4542</v>
      </c>
      <c r="O77" t="s">
        <v>4790</v>
      </c>
      <c r="P77" t="s">
        <v>4791</v>
      </c>
      <c r="Q77">
        <v>0</v>
      </c>
      <c r="R77">
        <v>7</v>
      </c>
      <c r="S77">
        <v>0</v>
      </c>
      <c r="U77" t="s">
        <v>4876</v>
      </c>
      <c r="V77" t="s">
        <v>4546</v>
      </c>
      <c r="W77" t="s">
        <v>4877</v>
      </c>
      <c r="X77" t="s">
        <v>4877</v>
      </c>
      <c r="Z77">
        <v>1</v>
      </c>
      <c r="AA77" t="s">
        <v>4792</v>
      </c>
      <c r="AB77" t="s">
        <v>4793</v>
      </c>
      <c r="AD77">
        <v>1</v>
      </c>
      <c r="AF77">
        <v>1</v>
      </c>
      <c r="AG77">
        <v>1</v>
      </c>
      <c r="AH77">
        <v>1</v>
      </c>
    </row>
    <row r="78" spans="1:34" x14ac:dyDescent="0.3">
      <c r="A78">
        <v>150</v>
      </c>
      <c r="B78" t="s">
        <v>540</v>
      </c>
      <c r="C78" t="s">
        <v>4712</v>
      </c>
      <c r="D78" t="s">
        <v>190</v>
      </c>
      <c r="E78" t="s">
        <v>139</v>
      </c>
      <c r="F78" t="s">
        <v>22</v>
      </c>
      <c r="G78" t="s">
        <v>3607</v>
      </c>
      <c r="H78" t="s">
        <v>4729</v>
      </c>
      <c r="I78" t="s">
        <v>4730</v>
      </c>
      <c r="J78" t="s">
        <v>4480</v>
      </c>
      <c r="L78" t="s">
        <v>25</v>
      </c>
      <c r="M78" t="s">
        <v>190</v>
      </c>
      <c r="N78" t="s">
        <v>4542</v>
      </c>
      <c r="O78" t="s">
        <v>4863</v>
      </c>
      <c r="Q78">
        <v>0</v>
      </c>
      <c r="R78">
        <v>88</v>
      </c>
      <c r="S78">
        <v>0</v>
      </c>
      <c r="U78" t="s">
        <v>4801</v>
      </c>
      <c r="V78" t="s">
        <v>4546</v>
      </c>
      <c r="W78" t="s">
        <v>4878</v>
      </c>
      <c r="X78" t="s">
        <v>4878</v>
      </c>
      <c r="AA78" t="s">
        <v>4792</v>
      </c>
      <c r="AB78" t="s">
        <v>4867</v>
      </c>
      <c r="AF78">
        <v>1</v>
      </c>
      <c r="AG78">
        <v>0</v>
      </c>
      <c r="AH78">
        <v>1</v>
      </c>
    </row>
    <row r="79" spans="1:34" x14ac:dyDescent="0.3">
      <c r="A79">
        <v>151</v>
      </c>
      <c r="B79" t="s">
        <v>206</v>
      </c>
      <c r="C79" t="s">
        <v>4712</v>
      </c>
      <c r="D79" t="s">
        <v>461</v>
      </c>
      <c r="E79" t="s">
        <v>139</v>
      </c>
      <c r="F79" t="s">
        <v>22</v>
      </c>
      <c r="G79" t="s">
        <v>3607</v>
      </c>
      <c r="H79" t="s">
        <v>4729</v>
      </c>
      <c r="I79" t="s">
        <v>4730</v>
      </c>
      <c r="J79" t="s">
        <v>4480</v>
      </c>
      <c r="L79" t="s">
        <v>25</v>
      </c>
      <c r="M79" t="s">
        <v>461</v>
      </c>
      <c r="N79" t="s">
        <v>4538</v>
      </c>
      <c r="O79" t="s">
        <v>4765</v>
      </c>
      <c r="Q79">
        <v>0</v>
      </c>
      <c r="R79">
        <v>165</v>
      </c>
      <c r="S79">
        <v>0</v>
      </c>
      <c r="U79" t="s">
        <v>4879</v>
      </c>
      <c r="V79" t="s">
        <v>4546</v>
      </c>
      <c r="W79" t="s">
        <v>4880</v>
      </c>
      <c r="X79" t="s">
        <v>4880</v>
      </c>
      <c r="Z79" t="s">
        <v>4737</v>
      </c>
      <c r="AA79" t="s">
        <v>4724</v>
      </c>
      <c r="AB79" t="s">
        <v>4807</v>
      </c>
      <c r="AF79">
        <v>0</v>
      </c>
      <c r="AG79">
        <v>0</v>
      </c>
      <c r="AH79">
        <v>1</v>
      </c>
    </row>
    <row r="80" spans="1:34" x14ac:dyDescent="0.3">
      <c r="A80">
        <v>157</v>
      </c>
      <c r="B80" t="s">
        <v>545</v>
      </c>
      <c r="C80" t="s">
        <v>4712</v>
      </c>
      <c r="D80" t="s">
        <v>546</v>
      </c>
      <c r="E80" t="s">
        <v>139</v>
      </c>
      <c r="F80" t="s">
        <v>22</v>
      </c>
      <c r="H80" t="s">
        <v>4755</v>
      </c>
      <c r="I80" t="s">
        <v>4755</v>
      </c>
      <c r="J80" t="s">
        <v>4480</v>
      </c>
      <c r="L80" t="s">
        <v>203</v>
      </c>
      <c r="M80" t="s">
        <v>546</v>
      </c>
      <c r="N80" t="s">
        <v>4732</v>
      </c>
      <c r="O80" t="s">
        <v>4733</v>
      </c>
      <c r="Q80">
        <v>0</v>
      </c>
      <c r="R80">
        <v>291</v>
      </c>
      <c r="S80">
        <v>0</v>
      </c>
      <c r="U80" t="s">
        <v>4881</v>
      </c>
      <c r="V80" t="s">
        <v>4546</v>
      </c>
      <c r="W80" t="s">
        <v>4882</v>
      </c>
      <c r="X80" t="s">
        <v>4882</v>
      </c>
      <c r="Z80" t="s">
        <v>4737</v>
      </c>
      <c r="AA80" t="s">
        <v>4738</v>
      </c>
      <c r="AB80" t="s">
        <v>4754</v>
      </c>
      <c r="AF80">
        <v>0</v>
      </c>
      <c r="AG80">
        <v>1</v>
      </c>
      <c r="AH80">
        <v>0</v>
      </c>
    </row>
    <row r="81" spans="1:34" x14ac:dyDescent="0.3">
      <c r="A81">
        <v>159</v>
      </c>
      <c r="B81" t="s">
        <v>206</v>
      </c>
      <c r="C81" t="s">
        <v>4712</v>
      </c>
      <c r="D81" t="s">
        <v>546</v>
      </c>
      <c r="E81" t="s">
        <v>21</v>
      </c>
      <c r="F81" t="s">
        <v>22</v>
      </c>
      <c r="G81" t="s">
        <v>3607</v>
      </c>
      <c r="H81" t="s">
        <v>4729</v>
      </c>
      <c r="I81" t="s">
        <v>4730</v>
      </c>
      <c r="J81" t="s">
        <v>4731</v>
      </c>
      <c r="L81" t="s">
        <v>25</v>
      </c>
      <c r="M81" t="s">
        <v>546</v>
      </c>
      <c r="N81" t="s">
        <v>4732</v>
      </c>
      <c r="O81" t="s">
        <v>4733</v>
      </c>
      <c r="Q81">
        <v>0</v>
      </c>
      <c r="R81">
        <v>292</v>
      </c>
      <c r="S81">
        <v>0</v>
      </c>
      <c r="U81" t="s">
        <v>4801</v>
      </c>
      <c r="V81" t="s">
        <v>4546</v>
      </c>
      <c r="W81" t="s">
        <v>4882</v>
      </c>
      <c r="X81" t="s">
        <v>4882</v>
      </c>
      <c r="Z81" t="s">
        <v>4737</v>
      </c>
      <c r="AA81" t="s">
        <v>4738</v>
      </c>
      <c r="AB81" t="s">
        <v>4746</v>
      </c>
      <c r="AF81">
        <v>1</v>
      </c>
      <c r="AG81">
        <v>1</v>
      </c>
      <c r="AH81">
        <v>1</v>
      </c>
    </row>
    <row r="82" spans="1:34" x14ac:dyDescent="0.3">
      <c r="A82">
        <v>167</v>
      </c>
      <c r="B82" t="s">
        <v>556</v>
      </c>
      <c r="C82" t="s">
        <v>4728</v>
      </c>
      <c r="D82" t="s">
        <v>55</v>
      </c>
      <c r="E82" t="s">
        <v>21</v>
      </c>
      <c r="F82" t="s">
        <v>22</v>
      </c>
      <c r="G82" t="s">
        <v>3607</v>
      </c>
      <c r="H82" t="s">
        <v>4729</v>
      </c>
      <c r="I82" t="s">
        <v>4730</v>
      </c>
      <c r="J82" t="s">
        <v>4731</v>
      </c>
      <c r="L82" t="s">
        <v>25</v>
      </c>
      <c r="M82" t="s">
        <v>55</v>
      </c>
      <c r="N82" t="s">
        <v>4732</v>
      </c>
      <c r="O82" t="s">
        <v>4742</v>
      </c>
      <c r="Q82">
        <v>0</v>
      </c>
      <c r="R82">
        <v>293</v>
      </c>
      <c r="S82">
        <v>0</v>
      </c>
      <c r="U82" t="s">
        <v>4883</v>
      </c>
      <c r="V82" t="s">
        <v>4744</v>
      </c>
      <c r="W82" t="s">
        <v>4884</v>
      </c>
      <c r="X82" t="s">
        <v>4884</v>
      </c>
      <c r="Z82" t="s">
        <v>4737</v>
      </c>
      <c r="AA82" t="s">
        <v>4724</v>
      </c>
      <c r="AB82" t="s">
        <v>4885</v>
      </c>
      <c r="AF82">
        <v>1</v>
      </c>
      <c r="AG82">
        <v>1</v>
      </c>
      <c r="AH82">
        <v>1</v>
      </c>
    </row>
    <row r="83" spans="1:34" x14ac:dyDescent="0.3">
      <c r="A83" t="s">
        <v>4886</v>
      </c>
      <c r="B83" t="s">
        <v>2311</v>
      </c>
      <c r="C83" t="s">
        <v>4728</v>
      </c>
      <c r="D83" t="s">
        <v>258</v>
      </c>
      <c r="E83" t="s">
        <v>121</v>
      </c>
      <c r="F83" t="s">
        <v>56</v>
      </c>
      <c r="I83" t="s">
        <v>4713</v>
      </c>
      <c r="J83" t="s">
        <v>4731</v>
      </c>
      <c r="L83" t="s">
        <v>197</v>
      </c>
      <c r="M83" t="s">
        <v>258</v>
      </c>
      <c r="N83" t="s">
        <v>4732</v>
      </c>
      <c r="O83" t="s">
        <v>4733</v>
      </c>
      <c r="Q83">
        <v>0</v>
      </c>
      <c r="R83">
        <v>294</v>
      </c>
      <c r="S83">
        <v>0</v>
      </c>
      <c r="V83" t="s">
        <v>4762</v>
      </c>
      <c r="AA83" t="s">
        <v>4738</v>
      </c>
      <c r="AB83" t="s">
        <v>4746</v>
      </c>
      <c r="AF83">
        <v>1</v>
      </c>
      <c r="AG83">
        <v>1</v>
      </c>
      <c r="AH83">
        <v>0</v>
      </c>
    </row>
    <row r="84" spans="1:34" x14ac:dyDescent="0.3">
      <c r="A84">
        <v>172</v>
      </c>
      <c r="B84" t="s">
        <v>564</v>
      </c>
      <c r="C84" t="s">
        <v>4728</v>
      </c>
      <c r="D84" t="s">
        <v>258</v>
      </c>
      <c r="E84" t="s">
        <v>73</v>
      </c>
      <c r="F84" t="s">
        <v>22</v>
      </c>
      <c r="G84" t="s">
        <v>3607</v>
      </c>
      <c r="H84" t="s">
        <v>4729</v>
      </c>
      <c r="I84" t="s">
        <v>4730</v>
      </c>
      <c r="J84" t="s">
        <v>4731</v>
      </c>
      <c r="L84" t="s">
        <v>25</v>
      </c>
      <c r="M84" t="s">
        <v>258</v>
      </c>
      <c r="N84" t="s">
        <v>4732</v>
      </c>
      <c r="O84" t="s">
        <v>4733</v>
      </c>
      <c r="P84" t="s">
        <v>4887</v>
      </c>
      <c r="Q84">
        <v>0</v>
      </c>
      <c r="R84">
        <v>295</v>
      </c>
      <c r="S84">
        <v>0</v>
      </c>
      <c r="U84" t="s">
        <v>4888</v>
      </c>
      <c r="V84" t="s">
        <v>4758</v>
      </c>
      <c r="W84" t="s">
        <v>4802</v>
      </c>
      <c r="X84" t="s">
        <v>4889</v>
      </c>
      <c r="Z84" t="s">
        <v>4737</v>
      </c>
      <c r="AA84" t="s">
        <v>4760</v>
      </c>
      <c r="AB84" t="s">
        <v>4761</v>
      </c>
      <c r="AF84">
        <v>1</v>
      </c>
      <c r="AG84">
        <v>1</v>
      </c>
      <c r="AH84">
        <v>1</v>
      </c>
    </row>
    <row r="85" spans="1:34" x14ac:dyDescent="0.3">
      <c r="A85">
        <v>174</v>
      </c>
      <c r="B85" t="s">
        <v>600</v>
      </c>
      <c r="C85" t="s">
        <v>4728</v>
      </c>
      <c r="D85" t="s">
        <v>258</v>
      </c>
      <c r="E85" t="s">
        <v>21</v>
      </c>
      <c r="F85" t="s">
        <v>22</v>
      </c>
      <c r="H85" t="s">
        <v>4755</v>
      </c>
      <c r="I85" t="s">
        <v>4755</v>
      </c>
      <c r="J85" t="s">
        <v>4480</v>
      </c>
      <c r="L85" t="s">
        <v>25</v>
      </c>
      <c r="M85" t="s">
        <v>258</v>
      </c>
      <c r="N85" t="s">
        <v>4732</v>
      </c>
      <c r="O85" t="s">
        <v>4733</v>
      </c>
      <c r="Q85">
        <v>0</v>
      </c>
      <c r="R85">
        <v>296</v>
      </c>
      <c r="S85">
        <v>0</v>
      </c>
      <c r="U85" t="s">
        <v>4890</v>
      </c>
      <c r="V85" t="s">
        <v>4758</v>
      </c>
      <c r="W85" t="s">
        <v>4802</v>
      </c>
      <c r="X85" t="s">
        <v>4889</v>
      </c>
      <c r="Z85" t="s">
        <v>4737</v>
      </c>
      <c r="AA85" t="s">
        <v>4782</v>
      </c>
      <c r="AB85" t="s">
        <v>4783</v>
      </c>
      <c r="AF85">
        <v>1</v>
      </c>
      <c r="AG85">
        <v>1</v>
      </c>
      <c r="AH85">
        <v>0</v>
      </c>
    </row>
    <row r="86" spans="1:34" x14ac:dyDescent="0.3">
      <c r="A86">
        <v>176</v>
      </c>
      <c r="B86" t="s">
        <v>603</v>
      </c>
      <c r="C86" t="s">
        <v>4728</v>
      </c>
      <c r="D86" t="s">
        <v>258</v>
      </c>
      <c r="E86" t="s">
        <v>73</v>
      </c>
      <c r="F86" t="s">
        <v>22</v>
      </c>
      <c r="H86" t="s">
        <v>4755</v>
      </c>
      <c r="I86" t="s">
        <v>4755</v>
      </c>
      <c r="J86" t="s">
        <v>4731</v>
      </c>
      <c r="L86" t="s">
        <v>25</v>
      </c>
      <c r="M86" t="s">
        <v>258</v>
      </c>
      <c r="N86" t="s">
        <v>4732</v>
      </c>
      <c r="O86" t="s">
        <v>4733</v>
      </c>
      <c r="P86" t="s">
        <v>4756</v>
      </c>
      <c r="Q86">
        <v>0</v>
      </c>
      <c r="R86">
        <v>297</v>
      </c>
      <c r="S86">
        <v>0</v>
      </c>
      <c r="U86" t="s">
        <v>4891</v>
      </c>
      <c r="V86" t="s">
        <v>4758</v>
      </c>
      <c r="W86" t="s">
        <v>4802</v>
      </c>
      <c r="X86" t="s">
        <v>4889</v>
      </c>
      <c r="Z86" t="s">
        <v>4737</v>
      </c>
      <c r="AA86" t="s">
        <v>4760</v>
      </c>
      <c r="AB86" t="s">
        <v>4761</v>
      </c>
      <c r="AF86">
        <v>1</v>
      </c>
      <c r="AG86">
        <v>1</v>
      </c>
      <c r="AH86">
        <v>0</v>
      </c>
    </row>
    <row r="87" spans="1:34" x14ac:dyDescent="0.3">
      <c r="A87">
        <v>193</v>
      </c>
      <c r="B87" t="s">
        <v>632</v>
      </c>
      <c r="C87" t="s">
        <v>4712</v>
      </c>
      <c r="D87" t="s">
        <v>625</v>
      </c>
      <c r="E87" t="s">
        <v>21</v>
      </c>
      <c r="F87" t="s">
        <v>22</v>
      </c>
      <c r="G87" t="s">
        <v>3607</v>
      </c>
      <c r="H87" t="s">
        <v>4729</v>
      </c>
      <c r="I87" t="s">
        <v>4730</v>
      </c>
      <c r="J87" t="s">
        <v>4731</v>
      </c>
      <c r="L87" t="s">
        <v>25</v>
      </c>
      <c r="M87" t="s">
        <v>625</v>
      </c>
      <c r="N87" t="s">
        <v>4538</v>
      </c>
      <c r="O87" t="s">
        <v>4765</v>
      </c>
      <c r="P87" t="s">
        <v>4892</v>
      </c>
      <c r="Q87">
        <v>0</v>
      </c>
      <c r="R87">
        <v>34</v>
      </c>
      <c r="S87">
        <v>0</v>
      </c>
      <c r="U87" t="s">
        <v>4893</v>
      </c>
      <c r="V87" t="s">
        <v>4544</v>
      </c>
      <c r="W87" t="s">
        <v>4894</v>
      </c>
      <c r="X87" t="s">
        <v>4895</v>
      </c>
      <c r="Z87" t="s">
        <v>4737</v>
      </c>
      <c r="AA87" t="s">
        <v>4738</v>
      </c>
      <c r="AB87" t="s">
        <v>4746</v>
      </c>
      <c r="AC87">
        <v>1</v>
      </c>
      <c r="AD87">
        <v>1</v>
      </c>
      <c r="AF87">
        <v>1</v>
      </c>
      <c r="AG87">
        <v>1</v>
      </c>
      <c r="AH87">
        <v>1</v>
      </c>
    </row>
    <row r="88" spans="1:34" x14ac:dyDescent="0.3">
      <c r="A88">
        <v>194</v>
      </c>
      <c r="B88" t="s">
        <v>633</v>
      </c>
      <c r="C88" t="s">
        <v>4712</v>
      </c>
      <c r="D88" t="s">
        <v>625</v>
      </c>
      <c r="E88" t="s">
        <v>21</v>
      </c>
      <c r="F88" t="s">
        <v>22</v>
      </c>
      <c r="H88" t="s">
        <v>4755</v>
      </c>
      <c r="I88" t="s">
        <v>4755</v>
      </c>
      <c r="J88" t="s">
        <v>4480</v>
      </c>
      <c r="L88" t="s">
        <v>25</v>
      </c>
      <c r="M88" t="s">
        <v>625</v>
      </c>
      <c r="N88" t="s">
        <v>4538</v>
      </c>
      <c r="O88" t="s">
        <v>4765</v>
      </c>
      <c r="P88" t="s">
        <v>4896</v>
      </c>
      <c r="Q88">
        <v>0</v>
      </c>
      <c r="R88">
        <v>33</v>
      </c>
      <c r="S88">
        <v>0</v>
      </c>
      <c r="U88" t="s">
        <v>4897</v>
      </c>
      <c r="V88" t="s">
        <v>4544</v>
      </c>
      <c r="W88" t="s">
        <v>4898</v>
      </c>
      <c r="X88" t="s">
        <v>4898</v>
      </c>
      <c r="Z88" t="s">
        <v>4737</v>
      </c>
      <c r="AA88" t="s">
        <v>4724</v>
      </c>
      <c r="AB88" t="s">
        <v>4885</v>
      </c>
      <c r="AC88">
        <v>1</v>
      </c>
      <c r="AD88">
        <v>1</v>
      </c>
      <c r="AF88">
        <v>1</v>
      </c>
      <c r="AG88">
        <v>1</v>
      </c>
      <c r="AH88">
        <v>0</v>
      </c>
    </row>
    <row r="89" spans="1:34" x14ac:dyDescent="0.3">
      <c r="A89">
        <v>195</v>
      </c>
      <c r="B89" t="s">
        <v>640</v>
      </c>
      <c r="C89" t="s">
        <v>4712</v>
      </c>
      <c r="D89" t="s">
        <v>625</v>
      </c>
      <c r="E89" t="s">
        <v>21</v>
      </c>
      <c r="F89" t="s">
        <v>22</v>
      </c>
      <c r="H89" t="s">
        <v>4755</v>
      </c>
      <c r="I89" t="s">
        <v>4755</v>
      </c>
      <c r="J89" t="s">
        <v>4731</v>
      </c>
      <c r="L89" t="s">
        <v>203</v>
      </c>
      <c r="M89" t="s">
        <v>625</v>
      </c>
      <c r="N89" t="s">
        <v>4538</v>
      </c>
      <c r="O89" t="s">
        <v>4765</v>
      </c>
      <c r="P89" t="s">
        <v>4899</v>
      </c>
      <c r="Q89">
        <v>0</v>
      </c>
      <c r="R89">
        <v>219</v>
      </c>
      <c r="S89">
        <v>0</v>
      </c>
      <c r="U89" t="s">
        <v>4900</v>
      </c>
      <c r="V89" t="s">
        <v>4544</v>
      </c>
      <c r="W89" t="s">
        <v>4901</v>
      </c>
      <c r="X89" t="s">
        <v>4901</v>
      </c>
      <c r="Z89" t="s">
        <v>4737</v>
      </c>
      <c r="AA89" t="s">
        <v>4804</v>
      </c>
      <c r="AB89" t="s">
        <v>4805</v>
      </c>
      <c r="AF89">
        <v>1</v>
      </c>
      <c r="AG89">
        <v>1</v>
      </c>
      <c r="AH89">
        <v>0</v>
      </c>
    </row>
    <row r="90" spans="1:34" x14ac:dyDescent="0.3">
      <c r="A90">
        <v>196</v>
      </c>
      <c r="B90" t="s">
        <v>645</v>
      </c>
      <c r="C90" t="s">
        <v>4712</v>
      </c>
      <c r="D90" t="s">
        <v>625</v>
      </c>
      <c r="E90" t="s">
        <v>21</v>
      </c>
      <c r="F90" t="s">
        <v>56</v>
      </c>
      <c r="H90" t="s">
        <v>4755</v>
      </c>
      <c r="I90" t="s">
        <v>4755</v>
      </c>
      <c r="J90" t="s">
        <v>4480</v>
      </c>
      <c r="L90" t="s">
        <v>25</v>
      </c>
      <c r="M90" t="s">
        <v>625</v>
      </c>
      <c r="N90" t="s">
        <v>4538</v>
      </c>
      <c r="O90" t="s">
        <v>4765</v>
      </c>
      <c r="Q90">
        <v>0</v>
      </c>
      <c r="R90">
        <v>166</v>
      </c>
      <c r="S90">
        <v>0</v>
      </c>
      <c r="V90" t="s">
        <v>4544</v>
      </c>
      <c r="AA90" t="s">
        <v>4738</v>
      </c>
      <c r="AB90" t="s">
        <v>4739</v>
      </c>
      <c r="AF90">
        <v>1</v>
      </c>
      <c r="AG90">
        <v>1</v>
      </c>
      <c r="AH90">
        <v>0</v>
      </c>
    </row>
    <row r="91" spans="1:34" x14ac:dyDescent="0.3">
      <c r="A91">
        <v>197</v>
      </c>
      <c r="B91" t="s">
        <v>648</v>
      </c>
      <c r="C91" t="s">
        <v>4712</v>
      </c>
      <c r="D91" t="s">
        <v>224</v>
      </c>
      <c r="E91" t="s">
        <v>39</v>
      </c>
      <c r="F91" t="s">
        <v>22</v>
      </c>
      <c r="G91" t="s">
        <v>3607</v>
      </c>
      <c r="H91" t="s">
        <v>4729</v>
      </c>
      <c r="I91" t="s">
        <v>4730</v>
      </c>
      <c r="J91" t="s">
        <v>4731</v>
      </c>
      <c r="L91" t="s">
        <v>25</v>
      </c>
      <c r="M91" t="s">
        <v>224</v>
      </c>
      <c r="N91" t="s">
        <v>4732</v>
      </c>
      <c r="O91" t="s">
        <v>4733</v>
      </c>
      <c r="Q91">
        <v>0</v>
      </c>
      <c r="R91">
        <v>298</v>
      </c>
      <c r="S91">
        <v>0</v>
      </c>
      <c r="U91" t="s">
        <v>4902</v>
      </c>
      <c r="V91" t="s">
        <v>4735</v>
      </c>
      <c r="W91" t="s">
        <v>4903</v>
      </c>
      <c r="X91" t="s">
        <v>4904</v>
      </c>
      <c r="Z91" t="s">
        <v>4737</v>
      </c>
      <c r="AA91" t="s">
        <v>4738</v>
      </c>
      <c r="AB91" t="s">
        <v>4754</v>
      </c>
      <c r="AF91">
        <v>1</v>
      </c>
      <c r="AG91">
        <v>1</v>
      </c>
      <c r="AH91">
        <v>1</v>
      </c>
    </row>
    <row r="92" spans="1:34" x14ac:dyDescent="0.3">
      <c r="A92">
        <v>199</v>
      </c>
      <c r="B92" t="s">
        <v>661</v>
      </c>
      <c r="C92" t="s">
        <v>4728</v>
      </c>
      <c r="D92" t="s">
        <v>55</v>
      </c>
      <c r="E92" t="s">
        <v>21</v>
      </c>
      <c r="F92" t="s">
        <v>22</v>
      </c>
      <c r="G92" t="s">
        <v>3607</v>
      </c>
      <c r="H92" t="s">
        <v>4729</v>
      </c>
      <c r="I92" t="s">
        <v>4730</v>
      </c>
      <c r="J92" t="s">
        <v>4731</v>
      </c>
      <c r="L92" t="s">
        <v>25</v>
      </c>
      <c r="M92" t="s">
        <v>55</v>
      </c>
      <c r="N92" t="s">
        <v>4732</v>
      </c>
      <c r="O92" t="s">
        <v>4742</v>
      </c>
      <c r="Q92">
        <v>0</v>
      </c>
      <c r="R92">
        <v>299</v>
      </c>
      <c r="S92">
        <v>0</v>
      </c>
      <c r="U92" t="s">
        <v>4905</v>
      </c>
      <c r="V92" t="s">
        <v>4744</v>
      </c>
      <c r="W92" t="s">
        <v>4906</v>
      </c>
      <c r="X92" t="s">
        <v>4906</v>
      </c>
      <c r="Z92" t="s">
        <v>4737</v>
      </c>
      <c r="AA92" t="s">
        <v>4782</v>
      </c>
      <c r="AB92" t="s">
        <v>4783</v>
      </c>
      <c r="AF92">
        <v>1</v>
      </c>
      <c r="AG92">
        <v>1</v>
      </c>
      <c r="AH92">
        <v>1</v>
      </c>
    </row>
    <row r="93" spans="1:34" x14ac:dyDescent="0.3">
      <c r="A93">
        <v>200</v>
      </c>
      <c r="B93" t="s">
        <v>668</v>
      </c>
      <c r="C93" t="s">
        <v>4712</v>
      </c>
      <c r="D93" t="s">
        <v>55</v>
      </c>
      <c r="E93" t="s">
        <v>139</v>
      </c>
      <c r="F93" t="s">
        <v>22</v>
      </c>
      <c r="G93" t="s">
        <v>3607</v>
      </c>
      <c r="H93" t="s">
        <v>4729</v>
      </c>
      <c r="I93" t="s">
        <v>4730</v>
      </c>
      <c r="J93" t="s">
        <v>4480</v>
      </c>
      <c r="L93" t="s">
        <v>25</v>
      </c>
      <c r="M93" t="s">
        <v>55</v>
      </c>
      <c r="N93" t="s">
        <v>4732</v>
      </c>
      <c r="O93" t="s">
        <v>4742</v>
      </c>
      <c r="P93" t="s">
        <v>4907</v>
      </c>
      <c r="Q93">
        <v>0</v>
      </c>
      <c r="R93">
        <v>66</v>
      </c>
      <c r="S93">
        <v>0</v>
      </c>
      <c r="U93" t="s">
        <v>4908</v>
      </c>
      <c r="V93" t="s">
        <v>4744</v>
      </c>
      <c r="W93" t="s">
        <v>4906</v>
      </c>
      <c r="X93" t="s">
        <v>4906</v>
      </c>
      <c r="Z93" t="s">
        <v>4737</v>
      </c>
      <c r="AA93" t="s">
        <v>4782</v>
      </c>
      <c r="AB93" t="s">
        <v>4783</v>
      </c>
      <c r="AD93">
        <v>1</v>
      </c>
      <c r="AF93">
        <v>1</v>
      </c>
      <c r="AG93">
        <v>1</v>
      </c>
      <c r="AH93">
        <v>1</v>
      </c>
    </row>
    <row r="94" spans="1:34" x14ac:dyDescent="0.3">
      <c r="A94">
        <v>202</v>
      </c>
      <c r="B94" t="s">
        <v>673</v>
      </c>
      <c r="C94" t="s">
        <v>4712</v>
      </c>
      <c r="D94" t="s">
        <v>55</v>
      </c>
      <c r="E94" t="s">
        <v>139</v>
      </c>
      <c r="F94" t="s">
        <v>22</v>
      </c>
      <c r="G94" t="s">
        <v>3607</v>
      </c>
      <c r="H94" t="s">
        <v>4729</v>
      </c>
      <c r="I94" t="s">
        <v>4730</v>
      </c>
      <c r="J94" t="s">
        <v>4480</v>
      </c>
      <c r="L94" t="s">
        <v>197</v>
      </c>
      <c r="M94" t="s">
        <v>55</v>
      </c>
      <c r="N94" t="s">
        <v>4732</v>
      </c>
      <c r="O94" t="s">
        <v>4742</v>
      </c>
      <c r="P94" t="s">
        <v>4909</v>
      </c>
      <c r="Q94">
        <v>0</v>
      </c>
      <c r="R94">
        <v>67</v>
      </c>
      <c r="S94">
        <v>0</v>
      </c>
      <c r="U94" t="s">
        <v>4910</v>
      </c>
      <c r="V94" t="s">
        <v>4744</v>
      </c>
      <c r="W94" t="s">
        <v>4911</v>
      </c>
      <c r="X94" t="s">
        <v>4911</v>
      </c>
      <c r="Z94" t="s">
        <v>4737</v>
      </c>
      <c r="AA94" t="s">
        <v>4738</v>
      </c>
      <c r="AB94" t="s">
        <v>4746</v>
      </c>
      <c r="AC94">
        <v>1</v>
      </c>
      <c r="AD94">
        <v>1</v>
      </c>
      <c r="AF94">
        <v>1</v>
      </c>
      <c r="AG94">
        <v>1</v>
      </c>
      <c r="AH94">
        <v>1</v>
      </c>
    </row>
    <row r="95" spans="1:34" x14ac:dyDescent="0.3">
      <c r="A95">
        <v>203</v>
      </c>
      <c r="B95" t="s">
        <v>676</v>
      </c>
      <c r="C95" t="s">
        <v>4712</v>
      </c>
      <c r="D95" t="s">
        <v>210</v>
      </c>
      <c r="E95" t="s">
        <v>21</v>
      </c>
      <c r="F95" t="s">
        <v>22</v>
      </c>
      <c r="G95" t="s">
        <v>3608</v>
      </c>
      <c r="H95" t="s">
        <v>4729</v>
      </c>
      <c r="I95" t="s">
        <v>4730</v>
      </c>
      <c r="J95" t="s">
        <v>4480</v>
      </c>
      <c r="L95" t="s">
        <v>264</v>
      </c>
      <c r="M95" t="s">
        <v>210</v>
      </c>
      <c r="N95" t="s">
        <v>4537</v>
      </c>
      <c r="O95" t="s">
        <v>4843</v>
      </c>
      <c r="P95" t="s">
        <v>4912</v>
      </c>
      <c r="Q95">
        <v>0</v>
      </c>
      <c r="R95">
        <v>43</v>
      </c>
      <c r="S95">
        <v>0</v>
      </c>
      <c r="U95" t="s">
        <v>4913</v>
      </c>
      <c r="V95" t="s">
        <v>4735</v>
      </c>
      <c r="W95" t="s">
        <v>4914</v>
      </c>
      <c r="X95" t="s">
        <v>4914</v>
      </c>
      <c r="Z95" t="s">
        <v>4771</v>
      </c>
      <c r="AA95" t="s">
        <v>4738</v>
      </c>
      <c r="AB95" t="s">
        <v>4831</v>
      </c>
      <c r="AC95">
        <v>1</v>
      </c>
      <c r="AD95">
        <v>1</v>
      </c>
      <c r="AF95">
        <v>1</v>
      </c>
      <c r="AG95">
        <v>1</v>
      </c>
      <c r="AH95">
        <v>1</v>
      </c>
    </row>
    <row r="96" spans="1:34" x14ac:dyDescent="0.3">
      <c r="A96">
        <v>204</v>
      </c>
      <c r="B96" t="s">
        <v>685</v>
      </c>
      <c r="C96" t="s">
        <v>4712</v>
      </c>
      <c r="D96" t="s">
        <v>210</v>
      </c>
      <c r="E96" t="s">
        <v>21</v>
      </c>
      <c r="F96" t="s">
        <v>22</v>
      </c>
      <c r="G96" t="s">
        <v>3607</v>
      </c>
      <c r="H96" t="s">
        <v>4729</v>
      </c>
      <c r="I96" t="s">
        <v>4730</v>
      </c>
      <c r="J96" t="s">
        <v>4480</v>
      </c>
      <c r="L96" t="s">
        <v>264</v>
      </c>
      <c r="M96" t="s">
        <v>210</v>
      </c>
      <c r="N96" t="s">
        <v>4537</v>
      </c>
      <c r="O96" t="s">
        <v>4843</v>
      </c>
      <c r="P96" t="s">
        <v>4912</v>
      </c>
      <c r="Q96">
        <v>0</v>
      </c>
      <c r="R96">
        <v>46</v>
      </c>
      <c r="S96">
        <v>0</v>
      </c>
      <c r="U96" t="s">
        <v>4915</v>
      </c>
      <c r="V96" t="s">
        <v>4735</v>
      </c>
      <c r="W96" t="s">
        <v>4916</v>
      </c>
      <c r="X96" t="s">
        <v>4916</v>
      </c>
      <c r="Z96" t="s">
        <v>4771</v>
      </c>
      <c r="AA96" t="s">
        <v>4738</v>
      </c>
      <c r="AB96" t="s">
        <v>4831</v>
      </c>
      <c r="AC96">
        <v>1</v>
      </c>
      <c r="AD96">
        <v>1</v>
      </c>
      <c r="AF96">
        <v>1</v>
      </c>
      <c r="AG96">
        <v>1</v>
      </c>
      <c r="AH96">
        <v>1</v>
      </c>
    </row>
    <row r="97" spans="1:34" x14ac:dyDescent="0.3">
      <c r="A97">
        <v>205</v>
      </c>
      <c r="B97" t="s">
        <v>692</v>
      </c>
      <c r="C97" t="s">
        <v>4712</v>
      </c>
      <c r="D97" t="s">
        <v>210</v>
      </c>
      <c r="E97" t="s">
        <v>21</v>
      </c>
      <c r="F97" t="s">
        <v>22</v>
      </c>
      <c r="G97" t="s">
        <v>3607</v>
      </c>
      <c r="H97" t="s">
        <v>4729</v>
      </c>
      <c r="I97" t="s">
        <v>4730</v>
      </c>
      <c r="J97" t="s">
        <v>4480</v>
      </c>
      <c r="L97" t="s">
        <v>264</v>
      </c>
      <c r="M97" t="s">
        <v>210</v>
      </c>
      <c r="N97" t="s">
        <v>4537</v>
      </c>
      <c r="O97" t="s">
        <v>4843</v>
      </c>
      <c r="P97" t="s">
        <v>4912</v>
      </c>
      <c r="Q97">
        <v>0</v>
      </c>
      <c r="R97">
        <v>45</v>
      </c>
      <c r="S97">
        <v>0</v>
      </c>
      <c r="U97" t="s">
        <v>4917</v>
      </c>
      <c r="V97" t="s">
        <v>4735</v>
      </c>
      <c r="W97" t="s">
        <v>4918</v>
      </c>
      <c r="X97" t="s">
        <v>4919</v>
      </c>
      <c r="Z97" t="s">
        <v>4771</v>
      </c>
      <c r="AA97" t="s">
        <v>4738</v>
      </c>
      <c r="AB97" t="s">
        <v>4831</v>
      </c>
      <c r="AD97">
        <v>1</v>
      </c>
      <c r="AF97">
        <v>1</v>
      </c>
      <c r="AG97">
        <v>1</v>
      </c>
      <c r="AH97">
        <v>1</v>
      </c>
    </row>
    <row r="98" spans="1:34" x14ac:dyDescent="0.3">
      <c r="A98">
        <v>206</v>
      </c>
      <c r="B98" t="s">
        <v>698</v>
      </c>
      <c r="C98" t="s">
        <v>4712</v>
      </c>
      <c r="D98" t="s">
        <v>210</v>
      </c>
      <c r="E98" t="s">
        <v>139</v>
      </c>
      <c r="F98" t="s">
        <v>22</v>
      </c>
      <c r="G98" t="s">
        <v>3607</v>
      </c>
      <c r="H98" t="s">
        <v>4729</v>
      </c>
      <c r="I98" t="s">
        <v>4730</v>
      </c>
      <c r="J98" t="s">
        <v>4480</v>
      </c>
      <c r="L98" t="s">
        <v>25</v>
      </c>
      <c r="M98" t="s">
        <v>210</v>
      </c>
      <c r="N98" t="s">
        <v>4537</v>
      </c>
      <c r="O98" t="s">
        <v>4843</v>
      </c>
      <c r="P98" t="s">
        <v>4912</v>
      </c>
      <c r="Q98">
        <v>0</v>
      </c>
      <c r="R98">
        <v>47</v>
      </c>
      <c r="S98">
        <v>0</v>
      </c>
      <c r="U98" t="s">
        <v>4920</v>
      </c>
      <c r="V98" t="s">
        <v>4735</v>
      </c>
      <c r="W98" t="s">
        <v>4921</v>
      </c>
      <c r="X98" t="s">
        <v>4921</v>
      </c>
      <c r="Z98" t="s">
        <v>4737</v>
      </c>
      <c r="AA98" t="s">
        <v>4738</v>
      </c>
      <c r="AB98" t="s">
        <v>4831</v>
      </c>
      <c r="AD98">
        <v>1</v>
      </c>
      <c r="AF98">
        <v>1</v>
      </c>
      <c r="AG98">
        <v>1</v>
      </c>
      <c r="AH98">
        <v>1</v>
      </c>
    </row>
    <row r="99" spans="1:34" x14ac:dyDescent="0.3">
      <c r="A99">
        <v>207</v>
      </c>
      <c r="B99" t="s">
        <v>702</v>
      </c>
      <c r="C99" t="s">
        <v>4712</v>
      </c>
      <c r="D99" t="s">
        <v>210</v>
      </c>
      <c r="E99" t="s">
        <v>21</v>
      </c>
      <c r="F99" t="s">
        <v>56</v>
      </c>
      <c r="G99" t="s">
        <v>3607</v>
      </c>
      <c r="H99" t="s">
        <v>4729</v>
      </c>
      <c r="I99" t="s">
        <v>4730</v>
      </c>
      <c r="J99" t="s">
        <v>4480</v>
      </c>
      <c r="L99" t="s">
        <v>264</v>
      </c>
      <c r="M99" t="s">
        <v>210</v>
      </c>
      <c r="N99" t="s">
        <v>4537</v>
      </c>
      <c r="O99" t="s">
        <v>4843</v>
      </c>
      <c r="P99" t="s">
        <v>4912</v>
      </c>
      <c r="Q99">
        <v>0</v>
      </c>
      <c r="R99">
        <v>48</v>
      </c>
      <c r="S99">
        <v>0</v>
      </c>
      <c r="U99" t="s">
        <v>4922</v>
      </c>
      <c r="V99" t="s">
        <v>4735</v>
      </c>
      <c r="W99" t="s">
        <v>4923</v>
      </c>
      <c r="X99" t="s">
        <v>4923</v>
      </c>
      <c r="Z99" t="s">
        <v>4737</v>
      </c>
      <c r="AA99" t="s">
        <v>4738</v>
      </c>
      <c r="AB99" t="s">
        <v>4831</v>
      </c>
      <c r="AD99">
        <v>1</v>
      </c>
      <c r="AF99">
        <v>1</v>
      </c>
      <c r="AG99">
        <v>1</v>
      </c>
      <c r="AH99">
        <v>1</v>
      </c>
    </row>
    <row r="100" spans="1:34" x14ac:dyDescent="0.3">
      <c r="A100">
        <v>208</v>
      </c>
      <c r="B100" t="s">
        <v>707</v>
      </c>
      <c r="C100" t="s">
        <v>4728</v>
      </c>
      <c r="D100" t="s">
        <v>251</v>
      </c>
      <c r="E100" t="s">
        <v>73</v>
      </c>
      <c r="F100" t="s">
        <v>56</v>
      </c>
      <c r="G100" t="s">
        <v>3608</v>
      </c>
      <c r="H100" t="s">
        <v>4729</v>
      </c>
      <c r="I100" t="s">
        <v>4730</v>
      </c>
      <c r="J100" t="s">
        <v>4731</v>
      </c>
      <c r="L100" t="s">
        <v>708</v>
      </c>
      <c r="M100" t="s">
        <v>251</v>
      </c>
      <c r="N100" t="s">
        <v>4537</v>
      </c>
      <c r="O100" t="s">
        <v>4924</v>
      </c>
      <c r="Q100">
        <v>0</v>
      </c>
      <c r="R100">
        <v>223</v>
      </c>
      <c r="S100">
        <v>0</v>
      </c>
      <c r="U100" t="s">
        <v>707</v>
      </c>
      <c r="V100" t="s">
        <v>4758</v>
      </c>
      <c r="W100" t="s">
        <v>4925</v>
      </c>
      <c r="X100" t="s">
        <v>4925</v>
      </c>
      <c r="AA100" t="s">
        <v>4738</v>
      </c>
      <c r="AB100" t="s">
        <v>4754</v>
      </c>
      <c r="AF100">
        <v>1</v>
      </c>
      <c r="AG100">
        <v>1</v>
      </c>
      <c r="AH100">
        <v>1</v>
      </c>
    </row>
    <row r="101" spans="1:34" x14ac:dyDescent="0.3">
      <c r="A101" t="s">
        <v>4926</v>
      </c>
      <c r="B101" t="s">
        <v>3507</v>
      </c>
      <c r="C101" t="s">
        <v>4712</v>
      </c>
      <c r="D101" t="s">
        <v>251</v>
      </c>
      <c r="E101" t="s">
        <v>139</v>
      </c>
      <c r="F101" t="s">
        <v>22</v>
      </c>
      <c r="I101" t="s">
        <v>4713</v>
      </c>
      <c r="J101" t="s">
        <v>4480</v>
      </c>
      <c r="L101" t="s">
        <v>25</v>
      </c>
      <c r="M101" t="s">
        <v>251</v>
      </c>
      <c r="N101" t="s">
        <v>4537</v>
      </c>
      <c r="O101" t="s">
        <v>4924</v>
      </c>
      <c r="Q101">
        <v>0</v>
      </c>
      <c r="R101">
        <v>224</v>
      </c>
      <c r="S101">
        <v>0</v>
      </c>
      <c r="V101" t="s">
        <v>4762</v>
      </c>
      <c r="AA101" t="s">
        <v>4738</v>
      </c>
      <c r="AB101" t="s">
        <v>4754</v>
      </c>
      <c r="AF101">
        <v>0</v>
      </c>
      <c r="AG101">
        <v>1</v>
      </c>
      <c r="AH101">
        <v>0</v>
      </c>
    </row>
    <row r="102" spans="1:34" x14ac:dyDescent="0.3">
      <c r="A102">
        <v>213</v>
      </c>
      <c r="B102" t="s">
        <v>757</v>
      </c>
      <c r="C102" t="s">
        <v>4712</v>
      </c>
      <c r="D102" t="s">
        <v>251</v>
      </c>
      <c r="E102" t="s">
        <v>39</v>
      </c>
      <c r="F102" t="s">
        <v>22</v>
      </c>
      <c r="G102" t="s">
        <v>3608</v>
      </c>
      <c r="H102" t="s">
        <v>4729</v>
      </c>
      <c r="I102" t="s">
        <v>4730</v>
      </c>
      <c r="J102" t="s">
        <v>4480</v>
      </c>
      <c r="L102" t="s">
        <v>25</v>
      </c>
      <c r="M102" t="s">
        <v>251</v>
      </c>
      <c r="N102" t="s">
        <v>4537</v>
      </c>
      <c r="O102" t="s">
        <v>4924</v>
      </c>
      <c r="Q102">
        <v>0</v>
      </c>
      <c r="R102">
        <v>225</v>
      </c>
      <c r="S102">
        <v>0</v>
      </c>
      <c r="U102" t="s">
        <v>757</v>
      </c>
      <c r="V102" t="s">
        <v>4758</v>
      </c>
      <c r="W102" t="s">
        <v>4927</v>
      </c>
      <c r="X102" t="s">
        <v>4925</v>
      </c>
      <c r="AA102" t="s">
        <v>4760</v>
      </c>
      <c r="AB102" t="s">
        <v>4928</v>
      </c>
      <c r="AF102">
        <v>1</v>
      </c>
      <c r="AG102">
        <v>1</v>
      </c>
      <c r="AH102">
        <v>1</v>
      </c>
    </row>
    <row r="103" spans="1:34" x14ac:dyDescent="0.3">
      <c r="A103">
        <v>214</v>
      </c>
      <c r="B103" t="s">
        <v>774</v>
      </c>
      <c r="C103" t="s">
        <v>4728</v>
      </c>
      <c r="D103" t="s">
        <v>251</v>
      </c>
      <c r="E103" t="s">
        <v>73</v>
      </c>
      <c r="F103" t="s">
        <v>56</v>
      </c>
      <c r="G103" t="s">
        <v>3608</v>
      </c>
      <c r="H103" t="s">
        <v>4729</v>
      </c>
      <c r="I103" t="s">
        <v>4730</v>
      </c>
      <c r="J103" t="s">
        <v>4720</v>
      </c>
      <c r="L103" t="s">
        <v>775</v>
      </c>
      <c r="M103" t="s">
        <v>251</v>
      </c>
      <c r="N103" t="s">
        <v>4537</v>
      </c>
      <c r="O103" t="s">
        <v>4924</v>
      </c>
      <c r="Q103">
        <v>0</v>
      </c>
      <c r="R103">
        <v>226</v>
      </c>
      <c r="S103">
        <v>0</v>
      </c>
      <c r="U103" t="s">
        <v>774</v>
      </c>
      <c r="V103" t="s">
        <v>4758</v>
      </c>
      <c r="W103" t="s">
        <v>4925</v>
      </c>
      <c r="X103" t="s">
        <v>4925</v>
      </c>
      <c r="AA103" t="s">
        <v>4738</v>
      </c>
      <c r="AB103" t="s">
        <v>4754</v>
      </c>
      <c r="AF103">
        <v>1</v>
      </c>
      <c r="AG103">
        <v>1</v>
      </c>
      <c r="AH103">
        <v>1</v>
      </c>
    </row>
    <row r="104" spans="1:34" x14ac:dyDescent="0.3">
      <c r="A104">
        <v>215</v>
      </c>
      <c r="B104" t="s">
        <v>824</v>
      </c>
      <c r="C104" t="s">
        <v>4728</v>
      </c>
      <c r="D104" t="s">
        <v>251</v>
      </c>
      <c r="E104" t="s">
        <v>21</v>
      </c>
      <c r="F104" t="s">
        <v>22</v>
      </c>
      <c r="G104" t="s">
        <v>3608</v>
      </c>
      <c r="H104" t="s">
        <v>4729</v>
      </c>
      <c r="I104" t="s">
        <v>4730</v>
      </c>
      <c r="J104" t="s">
        <v>4731</v>
      </c>
      <c r="L104" t="s">
        <v>25</v>
      </c>
      <c r="M104" t="s">
        <v>251</v>
      </c>
      <c r="N104" t="s">
        <v>4537</v>
      </c>
      <c r="O104" t="s">
        <v>4924</v>
      </c>
      <c r="Q104">
        <v>0</v>
      </c>
      <c r="R104">
        <v>227</v>
      </c>
      <c r="S104">
        <v>0</v>
      </c>
      <c r="U104" t="s">
        <v>824</v>
      </c>
      <c r="V104" t="s">
        <v>4758</v>
      </c>
      <c r="W104" t="s">
        <v>4925</v>
      </c>
      <c r="X104" t="s">
        <v>4925</v>
      </c>
      <c r="AA104" t="s">
        <v>4738</v>
      </c>
      <c r="AB104" t="s">
        <v>4754</v>
      </c>
      <c r="AF104">
        <v>1</v>
      </c>
      <c r="AG104">
        <v>1</v>
      </c>
      <c r="AH104">
        <v>1</v>
      </c>
    </row>
    <row r="105" spans="1:34" x14ac:dyDescent="0.3">
      <c r="A105">
        <v>216</v>
      </c>
      <c r="B105" t="s">
        <v>835</v>
      </c>
      <c r="C105" t="s">
        <v>4712</v>
      </c>
      <c r="D105" t="s">
        <v>251</v>
      </c>
      <c r="E105" t="s">
        <v>139</v>
      </c>
      <c r="F105" t="s">
        <v>22</v>
      </c>
      <c r="G105" t="s">
        <v>3608</v>
      </c>
      <c r="H105" t="s">
        <v>4729</v>
      </c>
      <c r="I105" t="s">
        <v>4730</v>
      </c>
      <c r="J105" t="s">
        <v>4731</v>
      </c>
      <c r="L105" t="s">
        <v>25</v>
      </c>
      <c r="M105" t="s">
        <v>251</v>
      </c>
      <c r="N105" t="s">
        <v>4537</v>
      </c>
      <c r="O105" t="s">
        <v>4924</v>
      </c>
      <c r="Q105">
        <v>0</v>
      </c>
      <c r="R105">
        <v>228</v>
      </c>
      <c r="S105">
        <v>0</v>
      </c>
      <c r="U105" t="s">
        <v>835</v>
      </c>
      <c r="V105" t="s">
        <v>4758</v>
      </c>
      <c r="W105" t="s">
        <v>4925</v>
      </c>
      <c r="X105" t="s">
        <v>4925</v>
      </c>
      <c r="AA105" t="s">
        <v>4738</v>
      </c>
      <c r="AB105" t="s">
        <v>4754</v>
      </c>
      <c r="AF105">
        <v>0</v>
      </c>
      <c r="AG105">
        <v>1</v>
      </c>
      <c r="AH105">
        <v>1</v>
      </c>
    </row>
    <row r="106" spans="1:34" x14ac:dyDescent="0.3">
      <c r="A106">
        <v>217</v>
      </c>
      <c r="B106" t="s">
        <v>840</v>
      </c>
      <c r="C106" t="s">
        <v>4712</v>
      </c>
      <c r="D106" t="s">
        <v>251</v>
      </c>
      <c r="E106" t="s">
        <v>73</v>
      </c>
      <c r="F106" t="s">
        <v>22</v>
      </c>
      <c r="G106" t="s">
        <v>3608</v>
      </c>
      <c r="H106" t="s">
        <v>4729</v>
      </c>
      <c r="I106" t="s">
        <v>4730</v>
      </c>
      <c r="J106" t="s">
        <v>4720</v>
      </c>
      <c r="L106" t="s">
        <v>25</v>
      </c>
      <c r="M106" t="s">
        <v>251</v>
      </c>
      <c r="N106" t="s">
        <v>4537</v>
      </c>
      <c r="O106" t="s">
        <v>4924</v>
      </c>
      <c r="Q106">
        <v>0</v>
      </c>
      <c r="R106">
        <v>229</v>
      </c>
      <c r="S106">
        <v>0</v>
      </c>
      <c r="U106" t="s">
        <v>840</v>
      </c>
      <c r="V106" t="s">
        <v>4758</v>
      </c>
      <c r="W106" t="s">
        <v>4925</v>
      </c>
      <c r="X106" t="s">
        <v>4927</v>
      </c>
      <c r="AA106" t="s">
        <v>4738</v>
      </c>
      <c r="AB106" t="s">
        <v>4754</v>
      </c>
      <c r="AF106">
        <v>1</v>
      </c>
      <c r="AG106">
        <v>1</v>
      </c>
      <c r="AH106">
        <v>1</v>
      </c>
    </row>
    <row r="107" spans="1:34" x14ac:dyDescent="0.3">
      <c r="A107">
        <v>218</v>
      </c>
      <c r="B107" t="s">
        <v>888</v>
      </c>
      <c r="C107" t="s">
        <v>4728</v>
      </c>
      <c r="D107" t="s">
        <v>251</v>
      </c>
      <c r="E107" t="s">
        <v>73</v>
      </c>
      <c r="F107" t="s">
        <v>56</v>
      </c>
      <c r="G107" t="s">
        <v>3608</v>
      </c>
      <c r="H107" t="s">
        <v>4729</v>
      </c>
      <c r="I107" t="s">
        <v>4730</v>
      </c>
      <c r="J107" t="s">
        <v>4720</v>
      </c>
      <c r="L107" t="s">
        <v>889</v>
      </c>
      <c r="M107" t="s">
        <v>251</v>
      </c>
      <c r="N107" t="s">
        <v>4537</v>
      </c>
      <c r="O107" t="s">
        <v>4924</v>
      </c>
      <c r="Q107">
        <v>0</v>
      </c>
      <c r="R107">
        <v>230</v>
      </c>
      <c r="S107">
        <v>0</v>
      </c>
      <c r="U107" t="s">
        <v>888</v>
      </c>
      <c r="V107" t="s">
        <v>4758</v>
      </c>
      <c r="W107" t="s">
        <v>4925</v>
      </c>
      <c r="X107" t="s">
        <v>4925</v>
      </c>
      <c r="AA107" t="s">
        <v>4738</v>
      </c>
      <c r="AB107" t="s">
        <v>4754</v>
      </c>
      <c r="AF107">
        <v>1</v>
      </c>
      <c r="AG107">
        <v>1</v>
      </c>
      <c r="AH107">
        <v>1</v>
      </c>
    </row>
    <row r="108" spans="1:34" x14ac:dyDescent="0.3">
      <c r="A108">
        <v>219</v>
      </c>
      <c r="B108" t="s">
        <v>938</v>
      </c>
      <c r="C108" t="s">
        <v>4728</v>
      </c>
      <c r="D108" t="s">
        <v>251</v>
      </c>
      <c r="E108" t="s">
        <v>21</v>
      </c>
      <c r="F108" t="s">
        <v>22</v>
      </c>
      <c r="G108" t="s">
        <v>3608</v>
      </c>
      <c r="H108" t="s">
        <v>4729</v>
      </c>
      <c r="I108" t="s">
        <v>4730</v>
      </c>
      <c r="J108" t="s">
        <v>4731</v>
      </c>
      <c r="L108" t="s">
        <v>25</v>
      </c>
      <c r="M108" t="s">
        <v>251</v>
      </c>
      <c r="N108" t="s">
        <v>4537</v>
      </c>
      <c r="O108" t="s">
        <v>4924</v>
      </c>
      <c r="Q108">
        <v>0</v>
      </c>
      <c r="R108">
        <v>231</v>
      </c>
      <c r="S108">
        <v>0</v>
      </c>
      <c r="U108" t="s">
        <v>938</v>
      </c>
      <c r="V108" t="s">
        <v>4758</v>
      </c>
      <c r="W108" t="s">
        <v>4927</v>
      </c>
      <c r="X108" t="s">
        <v>4927</v>
      </c>
      <c r="AA108" t="s">
        <v>4738</v>
      </c>
      <c r="AB108" t="s">
        <v>4754</v>
      </c>
      <c r="AF108">
        <v>1</v>
      </c>
      <c r="AG108">
        <v>1</v>
      </c>
      <c r="AH108">
        <v>1</v>
      </c>
    </row>
    <row r="109" spans="1:34" x14ac:dyDescent="0.3">
      <c r="A109">
        <v>220</v>
      </c>
      <c r="B109" t="s">
        <v>947</v>
      </c>
      <c r="C109" t="s">
        <v>4728</v>
      </c>
      <c r="D109" t="s">
        <v>251</v>
      </c>
      <c r="E109" t="s">
        <v>21</v>
      </c>
      <c r="F109" t="s">
        <v>22</v>
      </c>
      <c r="G109" t="s">
        <v>3608</v>
      </c>
      <c r="H109" t="s">
        <v>4729</v>
      </c>
      <c r="I109" t="s">
        <v>4730</v>
      </c>
      <c r="J109" t="s">
        <v>4731</v>
      </c>
      <c r="L109" t="s">
        <v>25</v>
      </c>
      <c r="M109" t="s">
        <v>251</v>
      </c>
      <c r="N109" t="s">
        <v>4537</v>
      </c>
      <c r="O109" t="s">
        <v>4924</v>
      </c>
      <c r="Q109">
        <v>0</v>
      </c>
      <c r="R109">
        <v>232</v>
      </c>
      <c r="S109">
        <v>0</v>
      </c>
      <c r="U109" t="s">
        <v>947</v>
      </c>
      <c r="V109" t="s">
        <v>4758</v>
      </c>
      <c r="W109" t="s">
        <v>4925</v>
      </c>
      <c r="X109" t="s">
        <v>4925</v>
      </c>
      <c r="AA109" t="s">
        <v>4738</v>
      </c>
      <c r="AB109" t="s">
        <v>4754</v>
      </c>
      <c r="AF109">
        <v>1</v>
      </c>
      <c r="AG109">
        <v>1</v>
      </c>
      <c r="AH109">
        <v>1</v>
      </c>
    </row>
    <row r="110" spans="1:34" x14ac:dyDescent="0.3">
      <c r="A110">
        <v>221</v>
      </c>
      <c r="B110" t="s">
        <v>956</v>
      </c>
      <c r="C110" t="s">
        <v>4728</v>
      </c>
      <c r="D110" t="s">
        <v>251</v>
      </c>
      <c r="E110" t="s">
        <v>139</v>
      </c>
      <c r="F110" t="s">
        <v>22</v>
      </c>
      <c r="G110" t="s">
        <v>3608</v>
      </c>
      <c r="H110" t="s">
        <v>4729</v>
      </c>
      <c r="I110" t="s">
        <v>4730</v>
      </c>
      <c r="J110" t="s">
        <v>4731</v>
      </c>
      <c r="L110" t="s">
        <v>25</v>
      </c>
      <c r="M110" t="s">
        <v>251</v>
      </c>
      <c r="N110" t="s">
        <v>4537</v>
      </c>
      <c r="O110" t="s">
        <v>4924</v>
      </c>
      <c r="Q110">
        <v>0</v>
      </c>
      <c r="R110">
        <v>233</v>
      </c>
      <c r="S110">
        <v>0</v>
      </c>
      <c r="U110" t="s">
        <v>956</v>
      </c>
      <c r="V110" t="s">
        <v>4758</v>
      </c>
      <c r="W110" t="s">
        <v>4925</v>
      </c>
      <c r="X110" t="s">
        <v>4925</v>
      </c>
      <c r="AA110" t="s">
        <v>4738</v>
      </c>
      <c r="AB110" t="s">
        <v>4754</v>
      </c>
      <c r="AF110">
        <v>0</v>
      </c>
      <c r="AG110">
        <v>1</v>
      </c>
      <c r="AH110">
        <v>1</v>
      </c>
    </row>
    <row r="111" spans="1:34" x14ac:dyDescent="0.3">
      <c r="A111">
        <v>222</v>
      </c>
      <c r="B111" t="s">
        <v>961</v>
      </c>
      <c r="C111" t="s">
        <v>4728</v>
      </c>
      <c r="D111" t="s">
        <v>251</v>
      </c>
      <c r="E111" t="s">
        <v>139</v>
      </c>
      <c r="F111" t="s">
        <v>22</v>
      </c>
      <c r="G111" t="s">
        <v>3608</v>
      </c>
      <c r="H111" t="s">
        <v>4729</v>
      </c>
      <c r="I111" t="s">
        <v>4730</v>
      </c>
      <c r="J111" t="s">
        <v>4720</v>
      </c>
      <c r="L111" t="s">
        <v>25</v>
      </c>
      <c r="M111" t="s">
        <v>251</v>
      </c>
      <c r="N111" t="s">
        <v>4537</v>
      </c>
      <c r="O111" t="s">
        <v>4924</v>
      </c>
      <c r="Q111">
        <v>0</v>
      </c>
      <c r="R111">
        <v>234</v>
      </c>
      <c r="S111">
        <v>0</v>
      </c>
      <c r="U111" t="s">
        <v>961</v>
      </c>
      <c r="V111" t="s">
        <v>4758</v>
      </c>
      <c r="W111" t="s">
        <v>4925</v>
      </c>
      <c r="X111" t="s">
        <v>4925</v>
      </c>
      <c r="AA111" t="s">
        <v>4738</v>
      </c>
      <c r="AB111" t="s">
        <v>4754</v>
      </c>
      <c r="AF111">
        <v>0</v>
      </c>
      <c r="AG111">
        <v>1</v>
      </c>
      <c r="AH111">
        <v>1</v>
      </c>
    </row>
    <row r="112" spans="1:34" x14ac:dyDescent="0.3">
      <c r="A112">
        <v>223</v>
      </c>
      <c r="B112" t="s">
        <v>966</v>
      </c>
      <c r="C112" t="s">
        <v>4728</v>
      </c>
      <c r="D112" t="s">
        <v>251</v>
      </c>
      <c r="E112" t="s">
        <v>139</v>
      </c>
      <c r="F112" t="s">
        <v>22</v>
      </c>
      <c r="G112" t="s">
        <v>3608</v>
      </c>
      <c r="H112" t="s">
        <v>4729</v>
      </c>
      <c r="I112" t="s">
        <v>4730</v>
      </c>
      <c r="J112" t="s">
        <v>4480</v>
      </c>
      <c r="L112" t="s">
        <v>25</v>
      </c>
      <c r="M112" t="s">
        <v>251</v>
      </c>
      <c r="N112" t="s">
        <v>4537</v>
      </c>
      <c r="O112" t="s">
        <v>4924</v>
      </c>
      <c r="Q112">
        <v>0</v>
      </c>
      <c r="R112">
        <v>235</v>
      </c>
      <c r="S112">
        <v>0</v>
      </c>
      <c r="U112" t="s">
        <v>966</v>
      </c>
      <c r="V112" t="s">
        <v>4758</v>
      </c>
      <c r="W112" t="s">
        <v>4925</v>
      </c>
      <c r="X112" t="s">
        <v>4925</v>
      </c>
      <c r="AA112" t="s">
        <v>4738</v>
      </c>
      <c r="AB112" t="s">
        <v>4746</v>
      </c>
      <c r="AF112">
        <v>0</v>
      </c>
      <c r="AG112">
        <v>1</v>
      </c>
      <c r="AH112">
        <v>1</v>
      </c>
    </row>
    <row r="113" spans="1:34" x14ac:dyDescent="0.3">
      <c r="A113">
        <v>224</v>
      </c>
      <c r="B113" t="s">
        <v>971</v>
      </c>
      <c r="C113" t="s">
        <v>4728</v>
      </c>
      <c r="D113" t="s">
        <v>251</v>
      </c>
      <c r="E113" t="s">
        <v>139</v>
      </c>
      <c r="F113" t="s">
        <v>22</v>
      </c>
      <c r="G113" t="s">
        <v>3608</v>
      </c>
      <c r="H113" t="s">
        <v>4729</v>
      </c>
      <c r="I113" t="s">
        <v>4730</v>
      </c>
      <c r="J113" t="s">
        <v>4720</v>
      </c>
      <c r="L113" t="s">
        <v>25</v>
      </c>
      <c r="M113" t="s">
        <v>251</v>
      </c>
      <c r="N113" t="s">
        <v>4537</v>
      </c>
      <c r="O113" t="s">
        <v>4924</v>
      </c>
      <c r="Q113">
        <v>0</v>
      </c>
      <c r="R113">
        <v>236</v>
      </c>
      <c r="S113">
        <v>0</v>
      </c>
      <c r="U113" t="s">
        <v>4929</v>
      </c>
      <c r="V113" t="s">
        <v>4758</v>
      </c>
      <c r="W113" t="s">
        <v>4927</v>
      </c>
      <c r="X113" t="s">
        <v>4925</v>
      </c>
      <c r="AA113" t="s">
        <v>4738</v>
      </c>
      <c r="AB113" t="s">
        <v>4754</v>
      </c>
      <c r="AF113">
        <v>0</v>
      </c>
      <c r="AG113">
        <v>1</v>
      </c>
      <c r="AH113">
        <v>1</v>
      </c>
    </row>
    <row r="114" spans="1:34" x14ac:dyDescent="0.3">
      <c r="A114">
        <v>225</v>
      </c>
      <c r="B114" t="s">
        <v>976</v>
      </c>
      <c r="C114" t="s">
        <v>4728</v>
      </c>
      <c r="D114" t="s">
        <v>251</v>
      </c>
      <c r="E114" t="s">
        <v>73</v>
      </c>
      <c r="F114" t="s">
        <v>22</v>
      </c>
      <c r="G114" t="s">
        <v>3608</v>
      </c>
      <c r="H114" t="s">
        <v>4729</v>
      </c>
      <c r="I114" t="s">
        <v>4730</v>
      </c>
      <c r="J114" t="s">
        <v>4731</v>
      </c>
      <c r="L114" t="s">
        <v>25</v>
      </c>
      <c r="M114" t="s">
        <v>251</v>
      </c>
      <c r="N114" t="s">
        <v>4537</v>
      </c>
      <c r="O114" t="s">
        <v>4924</v>
      </c>
      <c r="Q114">
        <v>0</v>
      </c>
      <c r="R114">
        <v>237</v>
      </c>
      <c r="S114">
        <v>0</v>
      </c>
      <c r="U114" t="s">
        <v>976</v>
      </c>
      <c r="V114" t="s">
        <v>4758</v>
      </c>
      <c r="W114" t="s">
        <v>4927</v>
      </c>
      <c r="X114" t="s">
        <v>4927</v>
      </c>
      <c r="AA114" t="s">
        <v>4738</v>
      </c>
      <c r="AB114" t="s">
        <v>4754</v>
      </c>
      <c r="AF114">
        <v>1</v>
      </c>
      <c r="AG114">
        <v>1</v>
      </c>
      <c r="AH114">
        <v>1</v>
      </c>
    </row>
    <row r="115" spans="1:34" x14ac:dyDescent="0.3">
      <c r="A115">
        <v>226</v>
      </c>
      <c r="B115" t="s">
        <v>1025</v>
      </c>
      <c r="C115" t="s">
        <v>4728</v>
      </c>
      <c r="D115" t="s">
        <v>251</v>
      </c>
      <c r="E115" t="s">
        <v>139</v>
      </c>
      <c r="F115" t="s">
        <v>22</v>
      </c>
      <c r="G115" t="s">
        <v>3608</v>
      </c>
      <c r="H115" t="s">
        <v>4729</v>
      </c>
      <c r="I115" t="s">
        <v>4730</v>
      </c>
      <c r="J115" t="s">
        <v>4480</v>
      </c>
      <c r="L115" t="s">
        <v>25</v>
      </c>
      <c r="M115" t="s">
        <v>251</v>
      </c>
      <c r="N115" t="s">
        <v>4537</v>
      </c>
      <c r="O115" t="s">
        <v>4924</v>
      </c>
      <c r="Q115">
        <v>0</v>
      </c>
      <c r="R115">
        <v>238</v>
      </c>
      <c r="S115">
        <v>0</v>
      </c>
      <c r="U115" t="s">
        <v>1025</v>
      </c>
      <c r="V115" t="s">
        <v>4758</v>
      </c>
      <c r="W115" t="s">
        <v>4927</v>
      </c>
      <c r="X115" t="s">
        <v>4925</v>
      </c>
      <c r="AA115" t="s">
        <v>4738</v>
      </c>
      <c r="AB115" t="s">
        <v>4754</v>
      </c>
      <c r="AF115">
        <v>0</v>
      </c>
      <c r="AG115">
        <v>1</v>
      </c>
      <c r="AH115">
        <v>1</v>
      </c>
    </row>
    <row r="116" spans="1:34" x14ac:dyDescent="0.3">
      <c r="A116">
        <v>227</v>
      </c>
      <c r="B116" t="s">
        <v>1029</v>
      </c>
      <c r="C116" t="s">
        <v>4728</v>
      </c>
      <c r="D116" t="s">
        <v>251</v>
      </c>
      <c r="E116" t="s">
        <v>139</v>
      </c>
      <c r="F116" t="s">
        <v>56</v>
      </c>
      <c r="G116" t="s">
        <v>3608</v>
      </c>
      <c r="H116" t="s">
        <v>4729</v>
      </c>
      <c r="I116" t="s">
        <v>4730</v>
      </c>
      <c r="J116" t="s">
        <v>4731</v>
      </c>
      <c r="L116" t="s">
        <v>25</v>
      </c>
      <c r="M116" t="s">
        <v>251</v>
      </c>
      <c r="N116" t="s">
        <v>4537</v>
      </c>
      <c r="O116" t="s">
        <v>4924</v>
      </c>
      <c r="Q116">
        <v>0</v>
      </c>
      <c r="R116">
        <v>239</v>
      </c>
      <c r="S116">
        <v>0</v>
      </c>
      <c r="U116" t="s">
        <v>1029</v>
      </c>
      <c r="V116" t="s">
        <v>4758</v>
      </c>
      <c r="W116" t="s">
        <v>4930</v>
      </c>
      <c r="X116" t="s">
        <v>4930</v>
      </c>
      <c r="AA116" t="s">
        <v>4738</v>
      </c>
      <c r="AB116" t="s">
        <v>4754</v>
      </c>
      <c r="AF116">
        <v>0</v>
      </c>
      <c r="AG116">
        <v>1</v>
      </c>
      <c r="AH116">
        <v>1</v>
      </c>
    </row>
    <row r="117" spans="1:34" x14ac:dyDescent="0.3">
      <c r="A117">
        <v>228</v>
      </c>
      <c r="B117" t="s">
        <v>1033</v>
      </c>
      <c r="C117" t="s">
        <v>4728</v>
      </c>
      <c r="D117" t="s">
        <v>251</v>
      </c>
      <c r="E117" t="s">
        <v>139</v>
      </c>
      <c r="F117" t="s">
        <v>22</v>
      </c>
      <c r="G117" t="s">
        <v>3608</v>
      </c>
      <c r="H117" t="s">
        <v>4729</v>
      </c>
      <c r="I117" t="s">
        <v>4730</v>
      </c>
      <c r="J117" t="s">
        <v>4480</v>
      </c>
      <c r="L117" t="s">
        <v>1034</v>
      </c>
      <c r="M117" t="s">
        <v>251</v>
      </c>
      <c r="N117" t="s">
        <v>4537</v>
      </c>
      <c r="O117" t="s">
        <v>4924</v>
      </c>
      <c r="P117" t="s">
        <v>4931</v>
      </c>
      <c r="Q117">
        <v>0</v>
      </c>
      <c r="R117">
        <v>53</v>
      </c>
      <c r="S117">
        <v>0</v>
      </c>
      <c r="U117" t="s">
        <v>1033</v>
      </c>
      <c r="V117" t="s">
        <v>4758</v>
      </c>
      <c r="W117" t="s">
        <v>4932</v>
      </c>
      <c r="X117" t="s">
        <v>4932</v>
      </c>
      <c r="Z117" t="s">
        <v>4737</v>
      </c>
      <c r="AA117" t="s">
        <v>4738</v>
      </c>
      <c r="AB117" t="s">
        <v>4754</v>
      </c>
      <c r="AD117">
        <v>1</v>
      </c>
      <c r="AF117">
        <v>0</v>
      </c>
      <c r="AG117">
        <v>1</v>
      </c>
      <c r="AH117">
        <v>1</v>
      </c>
    </row>
    <row r="118" spans="1:34" x14ac:dyDescent="0.3">
      <c r="A118">
        <v>230</v>
      </c>
      <c r="B118" t="s">
        <v>1038</v>
      </c>
      <c r="C118" t="s">
        <v>4728</v>
      </c>
      <c r="D118" t="s">
        <v>251</v>
      </c>
      <c r="E118" t="s">
        <v>21</v>
      </c>
      <c r="F118" t="s">
        <v>22</v>
      </c>
      <c r="G118" t="s">
        <v>3607</v>
      </c>
      <c r="H118" t="s">
        <v>4729</v>
      </c>
      <c r="I118" t="s">
        <v>4730</v>
      </c>
      <c r="J118" t="s">
        <v>4731</v>
      </c>
      <c r="L118" t="s">
        <v>25</v>
      </c>
      <c r="M118" t="s">
        <v>251</v>
      </c>
      <c r="N118" t="s">
        <v>4537</v>
      </c>
      <c r="O118" t="s">
        <v>4924</v>
      </c>
      <c r="Q118">
        <v>0</v>
      </c>
      <c r="R118">
        <v>240</v>
      </c>
      <c r="S118">
        <v>0</v>
      </c>
      <c r="U118" t="s">
        <v>1038</v>
      </c>
      <c r="V118" t="s">
        <v>4758</v>
      </c>
      <c r="W118" t="s">
        <v>4933</v>
      </c>
      <c r="X118" t="s">
        <v>4933</v>
      </c>
      <c r="AA118" t="s">
        <v>4760</v>
      </c>
      <c r="AB118" t="s">
        <v>4761</v>
      </c>
      <c r="AF118">
        <v>1</v>
      </c>
      <c r="AG118">
        <v>1</v>
      </c>
      <c r="AH118">
        <v>1</v>
      </c>
    </row>
    <row r="119" spans="1:34" x14ac:dyDescent="0.3">
      <c r="A119">
        <v>231</v>
      </c>
      <c r="B119" t="s">
        <v>1043</v>
      </c>
      <c r="C119" t="s">
        <v>4728</v>
      </c>
      <c r="D119" t="s">
        <v>251</v>
      </c>
      <c r="E119" t="s">
        <v>21</v>
      </c>
      <c r="F119" t="s">
        <v>22</v>
      </c>
      <c r="G119" t="s">
        <v>3607</v>
      </c>
      <c r="H119" t="s">
        <v>4729</v>
      </c>
      <c r="I119" t="s">
        <v>4730</v>
      </c>
      <c r="J119" t="s">
        <v>4720</v>
      </c>
      <c r="L119" t="s">
        <v>25</v>
      </c>
      <c r="M119" t="s">
        <v>251</v>
      </c>
      <c r="N119" t="s">
        <v>4537</v>
      </c>
      <c r="O119" t="s">
        <v>4924</v>
      </c>
      <c r="Q119">
        <v>0</v>
      </c>
      <c r="R119">
        <v>241</v>
      </c>
      <c r="S119">
        <v>0</v>
      </c>
      <c r="U119" t="s">
        <v>4934</v>
      </c>
      <c r="V119" t="s">
        <v>4758</v>
      </c>
      <c r="W119" t="s">
        <v>4933</v>
      </c>
      <c r="X119" t="s">
        <v>4933</v>
      </c>
      <c r="AA119" t="s">
        <v>4760</v>
      </c>
      <c r="AB119" t="s">
        <v>4761</v>
      </c>
      <c r="AF119">
        <v>1</v>
      </c>
      <c r="AG119">
        <v>1</v>
      </c>
      <c r="AH119">
        <v>1</v>
      </c>
    </row>
    <row r="120" spans="1:34" x14ac:dyDescent="0.3">
      <c r="A120">
        <v>232</v>
      </c>
      <c r="B120" t="s">
        <v>1048</v>
      </c>
      <c r="C120" t="s">
        <v>4728</v>
      </c>
      <c r="D120" t="s">
        <v>251</v>
      </c>
      <c r="E120" t="s">
        <v>21</v>
      </c>
      <c r="F120" t="s">
        <v>22</v>
      </c>
      <c r="G120" t="s">
        <v>3607</v>
      </c>
      <c r="H120" t="s">
        <v>4729</v>
      </c>
      <c r="I120" t="s">
        <v>4730</v>
      </c>
      <c r="J120" t="s">
        <v>4720</v>
      </c>
      <c r="L120" t="s">
        <v>25</v>
      </c>
      <c r="M120" t="s">
        <v>251</v>
      </c>
      <c r="N120" t="s">
        <v>4537</v>
      </c>
      <c r="O120" t="s">
        <v>4924</v>
      </c>
      <c r="Q120">
        <v>0</v>
      </c>
      <c r="R120">
        <v>242</v>
      </c>
      <c r="S120">
        <v>0</v>
      </c>
      <c r="U120" t="s">
        <v>1048</v>
      </c>
      <c r="V120" t="s">
        <v>4758</v>
      </c>
      <c r="W120" t="s">
        <v>4933</v>
      </c>
      <c r="X120" t="s">
        <v>4933</v>
      </c>
      <c r="AA120" t="s">
        <v>4760</v>
      </c>
      <c r="AB120" t="s">
        <v>4761</v>
      </c>
      <c r="AF120">
        <v>1</v>
      </c>
      <c r="AG120">
        <v>1</v>
      </c>
      <c r="AH120">
        <v>1</v>
      </c>
    </row>
    <row r="121" spans="1:34" x14ac:dyDescent="0.3">
      <c r="A121">
        <v>233</v>
      </c>
      <c r="B121" t="s">
        <v>1053</v>
      </c>
      <c r="C121" t="s">
        <v>4728</v>
      </c>
      <c r="D121" t="s">
        <v>251</v>
      </c>
      <c r="E121" t="s">
        <v>39</v>
      </c>
      <c r="F121" t="s">
        <v>22</v>
      </c>
      <c r="G121" t="s">
        <v>3607</v>
      </c>
      <c r="H121" t="s">
        <v>4729</v>
      </c>
      <c r="I121" t="s">
        <v>4730</v>
      </c>
      <c r="J121" t="s">
        <v>4731</v>
      </c>
      <c r="L121" t="s">
        <v>25</v>
      </c>
      <c r="M121" t="s">
        <v>251</v>
      </c>
      <c r="N121" t="s">
        <v>4537</v>
      </c>
      <c r="O121" t="s">
        <v>4924</v>
      </c>
      <c r="Q121">
        <v>0</v>
      </c>
      <c r="R121">
        <v>243</v>
      </c>
      <c r="S121">
        <v>0</v>
      </c>
      <c r="U121" t="s">
        <v>1053</v>
      </c>
      <c r="V121" t="s">
        <v>4758</v>
      </c>
      <c r="W121" t="s">
        <v>4839</v>
      </c>
      <c r="X121" t="s">
        <v>4839</v>
      </c>
      <c r="AA121" t="s">
        <v>4760</v>
      </c>
      <c r="AB121" t="s">
        <v>4779</v>
      </c>
      <c r="AF121">
        <v>1</v>
      </c>
      <c r="AG121">
        <v>1</v>
      </c>
      <c r="AH121">
        <v>1</v>
      </c>
    </row>
    <row r="122" spans="1:34" x14ac:dyDescent="0.3">
      <c r="A122">
        <v>234</v>
      </c>
      <c r="B122" t="s">
        <v>1062</v>
      </c>
      <c r="C122" t="s">
        <v>4728</v>
      </c>
      <c r="D122" t="s">
        <v>251</v>
      </c>
      <c r="E122" t="s">
        <v>39</v>
      </c>
      <c r="F122" t="s">
        <v>22</v>
      </c>
      <c r="G122" t="s">
        <v>3607</v>
      </c>
      <c r="H122" t="s">
        <v>4729</v>
      </c>
      <c r="I122" t="s">
        <v>4730</v>
      </c>
      <c r="J122" t="s">
        <v>4731</v>
      </c>
      <c r="L122" t="s">
        <v>203</v>
      </c>
      <c r="M122" t="s">
        <v>251</v>
      </c>
      <c r="N122" t="s">
        <v>4537</v>
      </c>
      <c r="O122" t="s">
        <v>4924</v>
      </c>
      <c r="Q122">
        <v>0</v>
      </c>
      <c r="R122">
        <v>244</v>
      </c>
      <c r="S122">
        <v>0</v>
      </c>
      <c r="U122" t="s">
        <v>1062</v>
      </c>
      <c r="V122" t="s">
        <v>4758</v>
      </c>
      <c r="W122" t="s">
        <v>4935</v>
      </c>
      <c r="X122" t="s">
        <v>4935</v>
      </c>
      <c r="AA122" t="s">
        <v>4760</v>
      </c>
      <c r="AB122" t="s">
        <v>4779</v>
      </c>
      <c r="AF122">
        <v>1</v>
      </c>
      <c r="AG122">
        <v>1</v>
      </c>
      <c r="AH122">
        <v>1</v>
      </c>
    </row>
    <row r="123" spans="1:34" x14ac:dyDescent="0.3">
      <c r="A123">
        <v>235</v>
      </c>
      <c r="B123" t="s">
        <v>1071</v>
      </c>
      <c r="C123" t="s">
        <v>4728</v>
      </c>
      <c r="D123" t="s">
        <v>251</v>
      </c>
      <c r="E123" t="s">
        <v>139</v>
      </c>
      <c r="F123" t="s">
        <v>22</v>
      </c>
      <c r="G123" t="s">
        <v>3607</v>
      </c>
      <c r="H123" t="s">
        <v>4729</v>
      </c>
      <c r="I123" t="s">
        <v>4730</v>
      </c>
      <c r="J123" t="s">
        <v>4480</v>
      </c>
      <c r="L123" t="s">
        <v>25</v>
      </c>
      <c r="M123" t="s">
        <v>251</v>
      </c>
      <c r="N123" t="s">
        <v>4537</v>
      </c>
      <c r="O123" t="s">
        <v>4924</v>
      </c>
      <c r="Q123">
        <v>0</v>
      </c>
      <c r="R123">
        <v>245</v>
      </c>
      <c r="S123">
        <v>0</v>
      </c>
      <c r="U123" t="s">
        <v>1071</v>
      </c>
      <c r="V123" t="s">
        <v>4758</v>
      </c>
      <c r="W123" t="s">
        <v>4839</v>
      </c>
      <c r="X123" t="s">
        <v>4839</v>
      </c>
      <c r="AA123" t="s">
        <v>4738</v>
      </c>
      <c r="AB123" t="s">
        <v>4754</v>
      </c>
      <c r="AF123">
        <v>0</v>
      </c>
      <c r="AG123">
        <v>1</v>
      </c>
      <c r="AH123">
        <v>1</v>
      </c>
    </row>
    <row r="124" spans="1:34" x14ac:dyDescent="0.3">
      <c r="A124">
        <v>236</v>
      </c>
      <c r="B124" t="s">
        <v>1074</v>
      </c>
      <c r="C124" t="s">
        <v>4728</v>
      </c>
      <c r="D124" t="s">
        <v>251</v>
      </c>
      <c r="E124" t="s">
        <v>139</v>
      </c>
      <c r="F124" t="s">
        <v>56</v>
      </c>
      <c r="G124" t="s">
        <v>3607</v>
      </c>
      <c r="H124" t="s">
        <v>4729</v>
      </c>
      <c r="I124" t="s">
        <v>4730</v>
      </c>
      <c r="J124" t="s">
        <v>4480</v>
      </c>
      <c r="L124" t="s">
        <v>25</v>
      </c>
      <c r="M124" t="s">
        <v>251</v>
      </c>
      <c r="N124" t="s">
        <v>4537</v>
      </c>
      <c r="O124" t="s">
        <v>4924</v>
      </c>
      <c r="Q124">
        <v>0</v>
      </c>
      <c r="R124">
        <v>246</v>
      </c>
      <c r="S124">
        <v>0</v>
      </c>
      <c r="U124" t="s">
        <v>1074</v>
      </c>
      <c r="V124" t="s">
        <v>4758</v>
      </c>
      <c r="W124" t="s">
        <v>4839</v>
      </c>
      <c r="X124" t="s">
        <v>4925</v>
      </c>
      <c r="AA124" t="s">
        <v>4738</v>
      </c>
      <c r="AB124" t="s">
        <v>4754</v>
      </c>
      <c r="AF124">
        <v>0</v>
      </c>
      <c r="AG124">
        <v>1</v>
      </c>
      <c r="AH124">
        <v>1</v>
      </c>
    </row>
    <row r="125" spans="1:34" x14ac:dyDescent="0.3">
      <c r="A125" t="s">
        <v>4936</v>
      </c>
      <c r="B125" t="s">
        <v>4937</v>
      </c>
      <c r="C125" t="s">
        <v>4712</v>
      </c>
      <c r="D125" t="s">
        <v>1448</v>
      </c>
      <c r="E125" t="s">
        <v>73</v>
      </c>
      <c r="F125" t="s">
        <v>22</v>
      </c>
      <c r="I125" t="s">
        <v>4713</v>
      </c>
      <c r="L125" t="s">
        <v>25</v>
      </c>
      <c r="M125" t="s">
        <v>1448</v>
      </c>
      <c r="N125" t="s">
        <v>4732</v>
      </c>
      <c r="O125" t="s">
        <v>4733</v>
      </c>
      <c r="P125" t="s">
        <v>4887</v>
      </c>
      <c r="Q125">
        <v>0</v>
      </c>
      <c r="R125">
        <v>300</v>
      </c>
      <c r="S125">
        <v>0</v>
      </c>
      <c r="V125" t="s">
        <v>4762</v>
      </c>
      <c r="AA125" t="s">
        <v>4738</v>
      </c>
      <c r="AB125" t="s">
        <v>4831</v>
      </c>
      <c r="AF125">
        <v>1</v>
      </c>
      <c r="AG125">
        <v>1</v>
      </c>
      <c r="AH125">
        <v>0</v>
      </c>
    </row>
    <row r="126" spans="1:34" x14ac:dyDescent="0.3">
      <c r="A126">
        <v>238</v>
      </c>
      <c r="B126" t="s">
        <v>1077</v>
      </c>
      <c r="C126" t="s">
        <v>4712</v>
      </c>
      <c r="D126" t="s">
        <v>251</v>
      </c>
      <c r="E126" t="s">
        <v>39</v>
      </c>
      <c r="F126" t="s">
        <v>22</v>
      </c>
      <c r="G126" t="s">
        <v>3608</v>
      </c>
      <c r="H126" t="s">
        <v>4729</v>
      </c>
      <c r="I126" t="s">
        <v>4730</v>
      </c>
      <c r="J126" t="s">
        <v>4731</v>
      </c>
      <c r="L126" t="s">
        <v>25</v>
      </c>
      <c r="M126" t="s">
        <v>251</v>
      </c>
      <c r="N126" t="s">
        <v>4537</v>
      </c>
      <c r="O126" t="s">
        <v>4924</v>
      </c>
      <c r="Q126">
        <v>0</v>
      </c>
      <c r="R126">
        <v>247</v>
      </c>
      <c r="S126">
        <v>0</v>
      </c>
      <c r="U126" t="s">
        <v>4938</v>
      </c>
      <c r="V126" t="s">
        <v>4758</v>
      </c>
      <c r="W126" t="s">
        <v>4839</v>
      </c>
      <c r="X126" t="s">
        <v>4839</v>
      </c>
      <c r="AA126" t="s">
        <v>4738</v>
      </c>
      <c r="AB126" t="s">
        <v>4754</v>
      </c>
      <c r="AF126">
        <v>1</v>
      </c>
      <c r="AG126">
        <v>1</v>
      </c>
      <c r="AH126">
        <v>1</v>
      </c>
    </row>
    <row r="127" spans="1:34" x14ac:dyDescent="0.3">
      <c r="A127">
        <v>239</v>
      </c>
      <c r="B127" t="s">
        <v>1095</v>
      </c>
      <c r="C127" t="s">
        <v>4728</v>
      </c>
      <c r="D127" t="s">
        <v>1096</v>
      </c>
      <c r="E127" t="s">
        <v>73</v>
      </c>
      <c r="F127" t="s">
        <v>22</v>
      </c>
      <c r="G127" t="s">
        <v>3608</v>
      </c>
      <c r="H127" t="s">
        <v>4729</v>
      </c>
      <c r="I127" t="s">
        <v>4730</v>
      </c>
      <c r="J127" t="s">
        <v>4480</v>
      </c>
      <c r="L127" t="s">
        <v>203</v>
      </c>
      <c r="M127" t="s">
        <v>1096</v>
      </c>
      <c r="N127" t="s">
        <v>4732</v>
      </c>
      <c r="O127" t="s">
        <v>4733</v>
      </c>
      <c r="Q127">
        <v>0</v>
      </c>
      <c r="R127">
        <v>301</v>
      </c>
      <c r="S127">
        <v>0</v>
      </c>
      <c r="U127" t="s">
        <v>4939</v>
      </c>
      <c r="V127" t="s">
        <v>4758</v>
      </c>
      <c r="W127" t="s">
        <v>4940</v>
      </c>
      <c r="X127" t="s">
        <v>4940</v>
      </c>
      <c r="Z127" t="s">
        <v>4737</v>
      </c>
      <c r="AA127" t="s">
        <v>4738</v>
      </c>
      <c r="AB127" t="s">
        <v>4739</v>
      </c>
      <c r="AF127">
        <v>1</v>
      </c>
      <c r="AG127">
        <v>1</v>
      </c>
      <c r="AH127">
        <v>1</v>
      </c>
    </row>
    <row r="128" spans="1:34" x14ac:dyDescent="0.3">
      <c r="A128">
        <v>240</v>
      </c>
      <c r="B128" t="s">
        <v>1144</v>
      </c>
      <c r="C128" t="s">
        <v>4728</v>
      </c>
      <c r="D128" t="s">
        <v>1096</v>
      </c>
      <c r="E128" t="s">
        <v>39</v>
      </c>
      <c r="F128" t="s">
        <v>22</v>
      </c>
      <c r="G128" t="s">
        <v>3607</v>
      </c>
      <c r="H128" t="s">
        <v>4729</v>
      </c>
      <c r="I128" t="s">
        <v>4730</v>
      </c>
      <c r="J128" t="s">
        <v>4731</v>
      </c>
      <c r="L128" t="s">
        <v>25</v>
      </c>
      <c r="M128" t="s">
        <v>1096</v>
      </c>
      <c r="N128" t="s">
        <v>4732</v>
      </c>
      <c r="O128" t="s">
        <v>4733</v>
      </c>
      <c r="P128" t="s">
        <v>4756</v>
      </c>
      <c r="Q128">
        <v>0</v>
      </c>
      <c r="R128">
        <v>302</v>
      </c>
      <c r="S128">
        <v>0</v>
      </c>
      <c r="U128" t="s">
        <v>4941</v>
      </c>
      <c r="V128" t="s">
        <v>4758</v>
      </c>
      <c r="W128" t="s">
        <v>4940</v>
      </c>
      <c r="X128" t="s">
        <v>4940</v>
      </c>
      <c r="Z128" t="s">
        <v>4737</v>
      </c>
      <c r="AA128" t="s">
        <v>4738</v>
      </c>
      <c r="AB128" t="s">
        <v>4739</v>
      </c>
      <c r="AF128">
        <v>1</v>
      </c>
      <c r="AG128">
        <v>1</v>
      </c>
      <c r="AH128">
        <v>1</v>
      </c>
    </row>
    <row r="129" spans="1:34" x14ac:dyDescent="0.3">
      <c r="A129">
        <v>241</v>
      </c>
      <c r="B129" t="s">
        <v>1153</v>
      </c>
      <c r="C129" t="s">
        <v>4728</v>
      </c>
      <c r="D129" t="s">
        <v>1096</v>
      </c>
      <c r="E129" t="s">
        <v>73</v>
      </c>
      <c r="F129" t="s">
        <v>22</v>
      </c>
      <c r="G129" t="s">
        <v>3607</v>
      </c>
      <c r="H129" t="s">
        <v>4729</v>
      </c>
      <c r="I129" t="s">
        <v>4730</v>
      </c>
      <c r="J129" t="s">
        <v>4731</v>
      </c>
      <c r="L129" t="s">
        <v>25</v>
      </c>
      <c r="M129" t="s">
        <v>1096</v>
      </c>
      <c r="N129" t="s">
        <v>4732</v>
      </c>
      <c r="O129" t="s">
        <v>4733</v>
      </c>
      <c r="Q129">
        <v>0</v>
      </c>
      <c r="R129">
        <v>303</v>
      </c>
      <c r="S129">
        <v>0</v>
      </c>
      <c r="U129" t="s">
        <v>4942</v>
      </c>
      <c r="V129" t="s">
        <v>4758</v>
      </c>
      <c r="W129" t="s">
        <v>4940</v>
      </c>
      <c r="X129" t="s">
        <v>4940</v>
      </c>
      <c r="Z129" t="s">
        <v>4737</v>
      </c>
      <c r="AA129" t="s">
        <v>4738</v>
      </c>
      <c r="AB129" t="s">
        <v>4739</v>
      </c>
      <c r="AF129">
        <v>1</v>
      </c>
      <c r="AG129">
        <v>1</v>
      </c>
      <c r="AH129">
        <v>1</v>
      </c>
    </row>
    <row r="130" spans="1:34" x14ac:dyDescent="0.3">
      <c r="A130">
        <v>242</v>
      </c>
      <c r="B130" t="s">
        <v>3509</v>
      </c>
      <c r="C130" t="s">
        <v>4712</v>
      </c>
      <c r="D130" t="s">
        <v>1096</v>
      </c>
      <c r="E130" t="s">
        <v>73</v>
      </c>
      <c r="F130" t="s">
        <v>22</v>
      </c>
      <c r="H130" t="s">
        <v>4755</v>
      </c>
      <c r="I130" t="s">
        <v>4755</v>
      </c>
      <c r="J130" t="s">
        <v>4480</v>
      </c>
      <c r="L130" t="s">
        <v>25</v>
      </c>
      <c r="M130" t="s">
        <v>1096</v>
      </c>
      <c r="N130" t="s">
        <v>4732</v>
      </c>
      <c r="O130" t="s">
        <v>4733</v>
      </c>
      <c r="Q130">
        <v>0</v>
      </c>
      <c r="R130">
        <v>304</v>
      </c>
      <c r="S130">
        <v>0</v>
      </c>
      <c r="V130" t="s">
        <v>4762</v>
      </c>
      <c r="AA130" t="s">
        <v>4738</v>
      </c>
      <c r="AB130" t="s">
        <v>4739</v>
      </c>
      <c r="AF130">
        <v>1</v>
      </c>
      <c r="AG130">
        <v>1</v>
      </c>
      <c r="AH130">
        <v>0</v>
      </c>
    </row>
    <row r="131" spans="1:34" x14ac:dyDescent="0.3">
      <c r="A131">
        <v>243</v>
      </c>
      <c r="B131" t="s">
        <v>1191</v>
      </c>
      <c r="C131" t="s">
        <v>4728</v>
      </c>
      <c r="D131" t="s">
        <v>1096</v>
      </c>
      <c r="E131" t="s">
        <v>73</v>
      </c>
      <c r="F131" t="s">
        <v>56</v>
      </c>
      <c r="H131" t="s">
        <v>4755</v>
      </c>
      <c r="I131" t="s">
        <v>4755</v>
      </c>
      <c r="J131" t="s">
        <v>4731</v>
      </c>
      <c r="L131" t="s">
        <v>25</v>
      </c>
      <c r="M131" t="s">
        <v>1096</v>
      </c>
      <c r="N131" t="s">
        <v>4732</v>
      </c>
      <c r="O131" t="s">
        <v>4733</v>
      </c>
      <c r="Q131">
        <v>0</v>
      </c>
      <c r="R131">
        <v>305</v>
      </c>
      <c r="S131">
        <v>0</v>
      </c>
      <c r="V131" t="s">
        <v>4762</v>
      </c>
      <c r="AA131" t="s">
        <v>4738</v>
      </c>
      <c r="AB131" t="s">
        <v>4739</v>
      </c>
      <c r="AF131">
        <v>1</v>
      </c>
      <c r="AG131">
        <v>1</v>
      </c>
      <c r="AH131">
        <v>0</v>
      </c>
    </row>
    <row r="132" spans="1:34" x14ac:dyDescent="0.3">
      <c r="A132">
        <v>244</v>
      </c>
      <c r="B132" t="s">
        <v>1204</v>
      </c>
      <c r="C132" t="s">
        <v>4712</v>
      </c>
      <c r="D132" t="s">
        <v>251</v>
      </c>
      <c r="E132" t="s">
        <v>139</v>
      </c>
      <c r="F132" t="s">
        <v>56</v>
      </c>
      <c r="G132" t="s">
        <v>3607</v>
      </c>
      <c r="H132" t="s">
        <v>4729</v>
      </c>
      <c r="I132" t="s">
        <v>4730</v>
      </c>
      <c r="J132" t="s">
        <v>4480</v>
      </c>
      <c r="L132" t="s">
        <v>203</v>
      </c>
      <c r="M132" t="s">
        <v>251</v>
      </c>
      <c r="N132" t="s">
        <v>4537</v>
      </c>
      <c r="O132" t="s">
        <v>4924</v>
      </c>
      <c r="P132" t="s">
        <v>4931</v>
      </c>
      <c r="Q132">
        <v>0</v>
      </c>
      <c r="R132">
        <v>248</v>
      </c>
      <c r="S132">
        <v>0</v>
      </c>
      <c r="U132" t="s">
        <v>4943</v>
      </c>
      <c r="V132" t="s">
        <v>4758</v>
      </c>
      <c r="W132" t="s">
        <v>4839</v>
      </c>
      <c r="X132" t="s">
        <v>4839</v>
      </c>
      <c r="Z132" t="s">
        <v>4737</v>
      </c>
      <c r="AA132" t="s">
        <v>4738</v>
      </c>
      <c r="AB132" t="s">
        <v>4754</v>
      </c>
      <c r="AD132">
        <v>1</v>
      </c>
      <c r="AF132">
        <v>0</v>
      </c>
      <c r="AG132">
        <v>1</v>
      </c>
      <c r="AH132">
        <v>1</v>
      </c>
    </row>
    <row r="133" spans="1:34" x14ac:dyDescent="0.3">
      <c r="A133">
        <v>245</v>
      </c>
      <c r="B133" t="s">
        <v>1213</v>
      </c>
      <c r="C133" t="s">
        <v>4712</v>
      </c>
      <c r="D133" t="s">
        <v>1208</v>
      </c>
      <c r="E133" t="s">
        <v>21</v>
      </c>
      <c r="F133" t="s">
        <v>22</v>
      </c>
      <c r="G133" t="s">
        <v>3607</v>
      </c>
      <c r="H133" t="s">
        <v>4729</v>
      </c>
      <c r="I133" t="s">
        <v>4730</v>
      </c>
      <c r="J133" t="s">
        <v>4480</v>
      </c>
      <c r="L133" t="s">
        <v>25</v>
      </c>
      <c r="M133" t="s">
        <v>1208</v>
      </c>
      <c r="N133" t="s">
        <v>4538</v>
      </c>
      <c r="O133" t="s">
        <v>4765</v>
      </c>
      <c r="P133" t="s">
        <v>4896</v>
      </c>
      <c r="Q133">
        <v>0</v>
      </c>
      <c r="R133">
        <v>36</v>
      </c>
      <c r="S133">
        <v>0</v>
      </c>
      <c r="U133" t="s">
        <v>4944</v>
      </c>
      <c r="V133" t="s">
        <v>4544</v>
      </c>
      <c r="W133" t="s">
        <v>4945</v>
      </c>
      <c r="X133" t="s">
        <v>4945</v>
      </c>
      <c r="Z133" t="s">
        <v>4737</v>
      </c>
      <c r="AA133" t="s">
        <v>4724</v>
      </c>
      <c r="AB133" t="s">
        <v>4725</v>
      </c>
      <c r="AC133">
        <v>1</v>
      </c>
      <c r="AD133">
        <v>1</v>
      </c>
      <c r="AE133">
        <v>1</v>
      </c>
      <c r="AF133">
        <v>1</v>
      </c>
      <c r="AG133">
        <v>1</v>
      </c>
      <c r="AH133">
        <v>1</v>
      </c>
    </row>
    <row r="134" spans="1:34" x14ac:dyDescent="0.3">
      <c r="A134">
        <v>246</v>
      </c>
      <c r="B134" t="s">
        <v>1217</v>
      </c>
      <c r="C134" t="s">
        <v>4712</v>
      </c>
      <c r="D134" t="s">
        <v>1215</v>
      </c>
      <c r="E134" t="s">
        <v>21</v>
      </c>
      <c r="F134" t="s">
        <v>22</v>
      </c>
      <c r="G134" t="s">
        <v>3607</v>
      </c>
      <c r="H134" t="s">
        <v>4729</v>
      </c>
      <c r="I134" t="s">
        <v>4730</v>
      </c>
      <c r="J134" t="s">
        <v>4480</v>
      </c>
      <c r="L134" t="s">
        <v>25</v>
      </c>
      <c r="M134" t="s">
        <v>1215</v>
      </c>
      <c r="N134" t="s">
        <v>4538</v>
      </c>
      <c r="O134" t="s">
        <v>4765</v>
      </c>
      <c r="Q134">
        <v>0</v>
      </c>
      <c r="R134">
        <v>167</v>
      </c>
      <c r="S134">
        <v>0</v>
      </c>
      <c r="U134" t="s">
        <v>4946</v>
      </c>
      <c r="V134" t="s">
        <v>4544</v>
      </c>
      <c r="W134" t="s">
        <v>4947</v>
      </c>
      <c r="X134" t="s">
        <v>4947</v>
      </c>
      <c r="Z134" t="s">
        <v>4737</v>
      </c>
      <c r="AA134" t="s">
        <v>4724</v>
      </c>
      <c r="AB134" t="s">
        <v>4885</v>
      </c>
      <c r="AF134">
        <v>1</v>
      </c>
      <c r="AH134">
        <v>1</v>
      </c>
    </row>
    <row r="135" spans="1:34" x14ac:dyDescent="0.3">
      <c r="A135">
        <v>247</v>
      </c>
      <c r="B135" t="s">
        <v>1220</v>
      </c>
      <c r="C135" t="s">
        <v>4728</v>
      </c>
      <c r="D135" t="s">
        <v>1215</v>
      </c>
      <c r="E135" t="s">
        <v>73</v>
      </c>
      <c r="F135" t="s">
        <v>22</v>
      </c>
      <c r="H135" t="s">
        <v>4755</v>
      </c>
      <c r="I135" t="s">
        <v>4755</v>
      </c>
      <c r="J135" t="s">
        <v>4731</v>
      </c>
      <c r="L135" t="s">
        <v>197</v>
      </c>
      <c r="M135" t="s">
        <v>1215</v>
      </c>
      <c r="N135" t="s">
        <v>4732</v>
      </c>
      <c r="O135" t="s">
        <v>4733</v>
      </c>
      <c r="Q135">
        <v>0</v>
      </c>
      <c r="R135">
        <v>306</v>
      </c>
      <c r="S135">
        <v>0</v>
      </c>
      <c r="V135" t="s">
        <v>4544</v>
      </c>
      <c r="AA135" t="s">
        <v>4724</v>
      </c>
      <c r="AB135" t="s">
        <v>4885</v>
      </c>
      <c r="AF135">
        <v>1</v>
      </c>
      <c r="AG135">
        <v>1</v>
      </c>
      <c r="AH135">
        <v>0</v>
      </c>
    </row>
    <row r="136" spans="1:34" x14ac:dyDescent="0.3">
      <c r="A136">
        <v>248</v>
      </c>
      <c r="B136" t="s">
        <v>1233</v>
      </c>
      <c r="C136" t="s">
        <v>4712</v>
      </c>
      <c r="D136" t="s">
        <v>1234</v>
      </c>
      <c r="E136" t="s">
        <v>21</v>
      </c>
      <c r="F136" t="s">
        <v>22</v>
      </c>
      <c r="H136" t="s">
        <v>4755</v>
      </c>
      <c r="I136" t="s">
        <v>4755</v>
      </c>
      <c r="J136" t="s">
        <v>4720</v>
      </c>
      <c r="L136" t="s">
        <v>203</v>
      </c>
      <c r="M136" t="s">
        <v>1234</v>
      </c>
      <c r="N136" t="s">
        <v>4542</v>
      </c>
      <c r="O136" t="s">
        <v>4863</v>
      </c>
      <c r="P136" t="s">
        <v>4948</v>
      </c>
      <c r="Q136">
        <v>0</v>
      </c>
      <c r="R136">
        <v>9</v>
      </c>
      <c r="S136">
        <v>0</v>
      </c>
      <c r="V136" t="s">
        <v>4546</v>
      </c>
      <c r="AA136" t="s">
        <v>4718</v>
      </c>
      <c r="AB136" t="s">
        <v>4859</v>
      </c>
      <c r="AF136">
        <v>1</v>
      </c>
      <c r="AG136">
        <v>1</v>
      </c>
      <c r="AH136">
        <v>0</v>
      </c>
    </row>
    <row r="137" spans="1:34" x14ac:dyDescent="0.3">
      <c r="A137">
        <v>249</v>
      </c>
      <c r="B137" t="s">
        <v>1237</v>
      </c>
      <c r="C137" t="s">
        <v>4712</v>
      </c>
      <c r="D137" t="s">
        <v>1234</v>
      </c>
      <c r="E137" t="s">
        <v>21</v>
      </c>
      <c r="F137" t="s">
        <v>22</v>
      </c>
      <c r="H137" t="s">
        <v>4755</v>
      </c>
      <c r="I137" t="s">
        <v>4755</v>
      </c>
      <c r="J137" t="s">
        <v>4720</v>
      </c>
      <c r="L137" t="s">
        <v>203</v>
      </c>
      <c r="M137" t="s">
        <v>1234</v>
      </c>
      <c r="N137" t="s">
        <v>4542</v>
      </c>
      <c r="O137" t="s">
        <v>4863</v>
      </c>
      <c r="P137" t="s">
        <v>4948</v>
      </c>
      <c r="Q137">
        <v>0</v>
      </c>
      <c r="R137">
        <v>10</v>
      </c>
      <c r="S137">
        <v>0</v>
      </c>
      <c r="V137" t="s">
        <v>4546</v>
      </c>
      <c r="AA137" t="s">
        <v>4718</v>
      </c>
      <c r="AB137" t="s">
        <v>4949</v>
      </c>
      <c r="AF137">
        <v>1</v>
      </c>
      <c r="AG137">
        <v>1</v>
      </c>
      <c r="AH137">
        <v>0</v>
      </c>
    </row>
    <row r="138" spans="1:34" x14ac:dyDescent="0.3">
      <c r="A138">
        <v>251</v>
      </c>
      <c r="B138" t="s">
        <v>1245</v>
      </c>
      <c r="C138" t="s">
        <v>4712</v>
      </c>
      <c r="D138" t="s">
        <v>1241</v>
      </c>
      <c r="E138" t="s">
        <v>39</v>
      </c>
      <c r="F138" t="s">
        <v>22</v>
      </c>
      <c r="G138" t="s">
        <v>3607</v>
      </c>
      <c r="H138" t="s">
        <v>4729</v>
      </c>
      <c r="I138" t="s">
        <v>4730</v>
      </c>
      <c r="J138" t="s">
        <v>4480</v>
      </c>
      <c r="L138" t="s">
        <v>25</v>
      </c>
      <c r="M138" t="s">
        <v>1241</v>
      </c>
      <c r="N138" t="s">
        <v>4732</v>
      </c>
      <c r="O138" t="s">
        <v>4733</v>
      </c>
      <c r="P138" t="s">
        <v>4887</v>
      </c>
      <c r="Q138">
        <v>0</v>
      </c>
      <c r="R138">
        <v>308</v>
      </c>
      <c r="S138">
        <v>0</v>
      </c>
      <c r="U138" t="s">
        <v>4950</v>
      </c>
      <c r="V138" t="s">
        <v>4758</v>
      </c>
      <c r="W138" t="s">
        <v>4951</v>
      </c>
      <c r="X138" t="s">
        <v>4951</v>
      </c>
      <c r="Z138" t="s">
        <v>4737</v>
      </c>
      <c r="AA138" t="s">
        <v>4738</v>
      </c>
      <c r="AB138" t="s">
        <v>4739</v>
      </c>
      <c r="AF138">
        <v>1</v>
      </c>
      <c r="AG138">
        <v>1</v>
      </c>
      <c r="AH138">
        <v>1</v>
      </c>
    </row>
    <row r="139" spans="1:34" x14ac:dyDescent="0.3">
      <c r="A139">
        <v>252</v>
      </c>
      <c r="B139" t="s">
        <v>1255</v>
      </c>
      <c r="C139" t="s">
        <v>4712</v>
      </c>
      <c r="D139" t="s">
        <v>1208</v>
      </c>
      <c r="E139" t="s">
        <v>21</v>
      </c>
      <c r="F139" t="s">
        <v>22</v>
      </c>
      <c r="G139" t="s">
        <v>3607</v>
      </c>
      <c r="H139" t="s">
        <v>4729</v>
      </c>
      <c r="I139" t="s">
        <v>4730</v>
      </c>
      <c r="J139" t="s">
        <v>4480</v>
      </c>
      <c r="L139" t="s">
        <v>25</v>
      </c>
      <c r="M139" t="s">
        <v>1208</v>
      </c>
      <c r="N139" t="s">
        <v>4538</v>
      </c>
      <c r="O139" t="s">
        <v>4765</v>
      </c>
      <c r="Q139">
        <v>0</v>
      </c>
      <c r="R139">
        <v>168</v>
      </c>
      <c r="S139">
        <v>0</v>
      </c>
      <c r="U139" t="s">
        <v>4952</v>
      </c>
      <c r="V139" t="s">
        <v>4544</v>
      </c>
      <c r="W139" t="s">
        <v>4945</v>
      </c>
      <c r="X139" t="s">
        <v>4945</v>
      </c>
      <c r="Z139" t="s">
        <v>4737</v>
      </c>
      <c r="AA139" t="s">
        <v>4724</v>
      </c>
      <c r="AB139" t="s">
        <v>4725</v>
      </c>
      <c r="AE139">
        <v>1</v>
      </c>
      <c r="AF139">
        <v>1</v>
      </c>
      <c r="AG139">
        <v>1</v>
      </c>
      <c r="AH139">
        <v>1</v>
      </c>
    </row>
    <row r="140" spans="1:34" x14ac:dyDescent="0.3">
      <c r="A140">
        <v>253</v>
      </c>
      <c r="B140" t="s">
        <v>1256</v>
      </c>
      <c r="C140" t="s">
        <v>4712</v>
      </c>
      <c r="D140" t="s">
        <v>120</v>
      </c>
      <c r="E140" t="s">
        <v>121</v>
      </c>
      <c r="F140" t="s">
        <v>56</v>
      </c>
      <c r="H140" t="s">
        <v>4755</v>
      </c>
      <c r="I140" t="s">
        <v>4755</v>
      </c>
      <c r="J140" t="s">
        <v>4731</v>
      </c>
      <c r="L140" t="s">
        <v>57</v>
      </c>
      <c r="M140" t="s">
        <v>120</v>
      </c>
      <c r="N140" t="s">
        <v>4732</v>
      </c>
      <c r="O140" t="s">
        <v>4733</v>
      </c>
      <c r="Q140">
        <v>0</v>
      </c>
      <c r="R140">
        <v>309</v>
      </c>
      <c r="S140">
        <v>0</v>
      </c>
      <c r="V140" t="s">
        <v>4762</v>
      </c>
      <c r="AA140" t="s">
        <v>4760</v>
      </c>
      <c r="AB140" t="s">
        <v>4779</v>
      </c>
      <c r="AF140">
        <v>1</v>
      </c>
      <c r="AG140">
        <v>1</v>
      </c>
      <c r="AH140">
        <v>0</v>
      </c>
    </row>
    <row r="141" spans="1:34" x14ac:dyDescent="0.3">
      <c r="A141">
        <v>254</v>
      </c>
      <c r="B141" t="s">
        <v>1262</v>
      </c>
      <c r="C141" t="s">
        <v>4712</v>
      </c>
      <c r="D141" t="s">
        <v>1263</v>
      </c>
      <c r="E141" t="s">
        <v>39</v>
      </c>
      <c r="F141" t="s">
        <v>22</v>
      </c>
      <c r="G141" t="s">
        <v>3607</v>
      </c>
      <c r="H141" t="s">
        <v>4729</v>
      </c>
      <c r="I141" t="s">
        <v>4730</v>
      </c>
      <c r="J141" t="s">
        <v>4480</v>
      </c>
      <c r="L141" t="s">
        <v>203</v>
      </c>
      <c r="M141" t="s">
        <v>1263</v>
      </c>
      <c r="N141" t="s">
        <v>4732</v>
      </c>
      <c r="O141" t="s">
        <v>4733</v>
      </c>
      <c r="Q141">
        <v>0</v>
      </c>
      <c r="R141">
        <v>307</v>
      </c>
      <c r="S141">
        <v>0</v>
      </c>
      <c r="U141" t="s">
        <v>4953</v>
      </c>
      <c r="V141" t="s">
        <v>4758</v>
      </c>
      <c r="W141" t="s">
        <v>4954</v>
      </c>
      <c r="X141" t="s">
        <v>4954</v>
      </c>
      <c r="Z141" t="s">
        <v>4737</v>
      </c>
      <c r="AA141" t="s">
        <v>4760</v>
      </c>
      <c r="AB141" t="s">
        <v>4955</v>
      </c>
      <c r="AF141">
        <v>1</v>
      </c>
      <c r="AG141">
        <v>1</v>
      </c>
      <c r="AH141">
        <v>1</v>
      </c>
    </row>
    <row r="142" spans="1:34" x14ac:dyDescent="0.3">
      <c r="A142">
        <v>255</v>
      </c>
      <c r="B142" t="s">
        <v>1276</v>
      </c>
      <c r="C142" t="s">
        <v>4712</v>
      </c>
      <c r="D142" t="s">
        <v>546</v>
      </c>
      <c r="E142" t="s">
        <v>139</v>
      </c>
      <c r="F142" t="s">
        <v>22</v>
      </c>
      <c r="G142" t="s">
        <v>3608</v>
      </c>
      <c r="H142" t="s">
        <v>4729</v>
      </c>
      <c r="I142" t="s">
        <v>4730</v>
      </c>
      <c r="J142" t="s">
        <v>4480</v>
      </c>
      <c r="L142" t="s">
        <v>203</v>
      </c>
      <c r="M142" t="s">
        <v>546</v>
      </c>
      <c r="N142" t="s">
        <v>4732</v>
      </c>
      <c r="O142" t="s">
        <v>4733</v>
      </c>
      <c r="Q142">
        <v>0</v>
      </c>
      <c r="R142">
        <v>310</v>
      </c>
      <c r="S142">
        <v>0</v>
      </c>
      <c r="U142" t="s">
        <v>4956</v>
      </c>
      <c r="V142" t="s">
        <v>4546</v>
      </c>
      <c r="W142" t="s">
        <v>4882</v>
      </c>
      <c r="X142" t="s">
        <v>4882</v>
      </c>
      <c r="Z142" t="s">
        <v>4737</v>
      </c>
      <c r="AA142" t="s">
        <v>4760</v>
      </c>
      <c r="AB142" t="s">
        <v>4761</v>
      </c>
      <c r="AF142">
        <v>0</v>
      </c>
      <c r="AG142">
        <v>1</v>
      </c>
      <c r="AH142">
        <v>1</v>
      </c>
    </row>
    <row r="143" spans="1:34" x14ac:dyDescent="0.3">
      <c r="A143">
        <v>256</v>
      </c>
      <c r="B143" t="s">
        <v>1277</v>
      </c>
      <c r="C143" t="s">
        <v>4712</v>
      </c>
      <c r="D143" t="s">
        <v>546</v>
      </c>
      <c r="E143" t="s">
        <v>21</v>
      </c>
      <c r="F143" t="s">
        <v>22</v>
      </c>
      <c r="G143" t="s">
        <v>3607</v>
      </c>
      <c r="H143" t="s">
        <v>4729</v>
      </c>
      <c r="I143" t="s">
        <v>4730</v>
      </c>
      <c r="J143" t="s">
        <v>4720</v>
      </c>
      <c r="L143" t="s">
        <v>203</v>
      </c>
      <c r="M143" t="s">
        <v>546</v>
      </c>
      <c r="N143" t="s">
        <v>4732</v>
      </c>
      <c r="O143" t="s">
        <v>4733</v>
      </c>
      <c r="Q143">
        <v>0</v>
      </c>
      <c r="R143">
        <v>311</v>
      </c>
      <c r="S143">
        <v>0</v>
      </c>
      <c r="U143" t="s">
        <v>4957</v>
      </c>
      <c r="V143" t="s">
        <v>4546</v>
      </c>
      <c r="W143" t="s">
        <v>4882</v>
      </c>
      <c r="X143" t="s">
        <v>4882</v>
      </c>
      <c r="Z143" t="s">
        <v>4737</v>
      </c>
      <c r="AA143" t="s">
        <v>4792</v>
      </c>
      <c r="AB143" t="s">
        <v>4793</v>
      </c>
      <c r="AF143">
        <v>1</v>
      </c>
      <c r="AG143">
        <v>1</v>
      </c>
      <c r="AH143">
        <v>1</v>
      </c>
    </row>
    <row r="144" spans="1:34" x14ac:dyDescent="0.3">
      <c r="A144">
        <v>257</v>
      </c>
      <c r="B144" t="s">
        <v>1282</v>
      </c>
      <c r="C144" t="s">
        <v>4712</v>
      </c>
      <c r="D144" t="s">
        <v>546</v>
      </c>
      <c r="E144" t="s">
        <v>21</v>
      </c>
      <c r="F144" t="s">
        <v>22</v>
      </c>
      <c r="H144" t="s">
        <v>4755</v>
      </c>
      <c r="I144" t="s">
        <v>4755</v>
      </c>
      <c r="J144" t="s">
        <v>4480</v>
      </c>
      <c r="L144" t="s">
        <v>203</v>
      </c>
      <c r="M144" t="s">
        <v>546</v>
      </c>
      <c r="N144" t="s">
        <v>4732</v>
      </c>
      <c r="O144" t="s">
        <v>4733</v>
      </c>
      <c r="Q144">
        <v>0</v>
      </c>
      <c r="R144">
        <v>312</v>
      </c>
      <c r="S144">
        <v>0</v>
      </c>
      <c r="V144" t="s">
        <v>4546</v>
      </c>
      <c r="AA144" t="s">
        <v>4792</v>
      </c>
      <c r="AB144" t="s">
        <v>4793</v>
      </c>
      <c r="AF144">
        <v>1</v>
      </c>
      <c r="AG144">
        <v>1</v>
      </c>
      <c r="AH144">
        <v>0</v>
      </c>
    </row>
    <row r="145" spans="1:34" x14ac:dyDescent="0.3">
      <c r="A145">
        <v>259</v>
      </c>
      <c r="B145" t="s">
        <v>1285</v>
      </c>
      <c r="C145" t="s">
        <v>4728</v>
      </c>
      <c r="D145" t="s">
        <v>1241</v>
      </c>
      <c r="E145" t="s">
        <v>39</v>
      </c>
      <c r="F145" t="s">
        <v>22</v>
      </c>
      <c r="H145" t="s">
        <v>4755</v>
      </c>
      <c r="I145" t="s">
        <v>4755</v>
      </c>
      <c r="J145" t="s">
        <v>4480</v>
      </c>
      <c r="L145" t="s">
        <v>25</v>
      </c>
      <c r="M145" t="s">
        <v>1241</v>
      </c>
      <c r="N145" t="s">
        <v>4732</v>
      </c>
      <c r="O145" t="s">
        <v>4733</v>
      </c>
      <c r="P145" t="s">
        <v>4756</v>
      </c>
      <c r="Q145">
        <v>0</v>
      </c>
      <c r="R145">
        <v>313</v>
      </c>
      <c r="S145">
        <v>0</v>
      </c>
      <c r="U145" t="s">
        <v>4958</v>
      </c>
      <c r="V145" t="s">
        <v>4758</v>
      </c>
      <c r="W145" t="s">
        <v>4951</v>
      </c>
      <c r="X145" t="s">
        <v>4951</v>
      </c>
      <c r="Z145" t="s">
        <v>4737</v>
      </c>
      <c r="AA145" t="s">
        <v>4738</v>
      </c>
      <c r="AB145" t="s">
        <v>4739</v>
      </c>
      <c r="AF145">
        <v>1</v>
      </c>
      <c r="AG145">
        <v>1</v>
      </c>
      <c r="AH145">
        <v>0</v>
      </c>
    </row>
    <row r="146" spans="1:34" x14ac:dyDescent="0.3">
      <c r="A146">
        <v>260</v>
      </c>
      <c r="B146" t="s">
        <v>1291</v>
      </c>
      <c r="C146" t="s">
        <v>4712</v>
      </c>
      <c r="D146" t="s">
        <v>1292</v>
      </c>
      <c r="E146" t="s">
        <v>21</v>
      </c>
      <c r="F146" t="s">
        <v>56</v>
      </c>
      <c r="G146" t="s">
        <v>3607</v>
      </c>
      <c r="H146" t="s">
        <v>4729</v>
      </c>
      <c r="I146" t="s">
        <v>4730</v>
      </c>
      <c r="J146" t="s">
        <v>4480</v>
      </c>
      <c r="L146" t="s">
        <v>197</v>
      </c>
      <c r="M146" t="s">
        <v>1292</v>
      </c>
      <c r="N146" t="s">
        <v>4538</v>
      </c>
      <c r="O146" t="s">
        <v>4765</v>
      </c>
      <c r="Q146">
        <v>0</v>
      </c>
      <c r="R146">
        <v>169</v>
      </c>
      <c r="S146">
        <v>0</v>
      </c>
      <c r="U146" t="s">
        <v>4959</v>
      </c>
      <c r="V146" t="s">
        <v>4544</v>
      </c>
      <c r="W146" t="s">
        <v>4960</v>
      </c>
      <c r="X146" t="s">
        <v>4960</v>
      </c>
      <c r="Z146" t="s">
        <v>4737</v>
      </c>
      <c r="AA146" t="s">
        <v>4724</v>
      </c>
      <c r="AB146" t="s">
        <v>4885</v>
      </c>
      <c r="AF146">
        <v>1</v>
      </c>
      <c r="AG146">
        <v>1</v>
      </c>
      <c r="AH146">
        <v>1</v>
      </c>
    </row>
    <row r="147" spans="1:34" x14ac:dyDescent="0.3">
      <c r="A147">
        <v>261</v>
      </c>
      <c r="B147" t="s">
        <v>1297</v>
      </c>
      <c r="C147" t="s">
        <v>4712</v>
      </c>
      <c r="D147" t="s">
        <v>625</v>
      </c>
      <c r="E147" t="s">
        <v>21</v>
      </c>
      <c r="F147" t="s">
        <v>56</v>
      </c>
      <c r="G147" t="s">
        <v>3607</v>
      </c>
      <c r="H147" t="s">
        <v>4729</v>
      </c>
      <c r="I147" t="s">
        <v>4730</v>
      </c>
      <c r="J147" t="s">
        <v>4480</v>
      </c>
      <c r="L147" t="s">
        <v>197</v>
      </c>
      <c r="M147" t="s">
        <v>625</v>
      </c>
      <c r="N147" t="s">
        <v>4538</v>
      </c>
      <c r="O147" t="s">
        <v>4765</v>
      </c>
      <c r="Q147">
        <v>0</v>
      </c>
      <c r="R147">
        <v>170</v>
      </c>
      <c r="S147">
        <v>0</v>
      </c>
      <c r="U147" t="s">
        <v>4961</v>
      </c>
      <c r="V147" t="s">
        <v>4544</v>
      </c>
      <c r="W147" t="s">
        <v>4962</v>
      </c>
      <c r="X147" t="s">
        <v>4962</v>
      </c>
      <c r="Z147" t="s">
        <v>4737</v>
      </c>
      <c r="AA147" t="s">
        <v>4724</v>
      </c>
      <c r="AB147" t="s">
        <v>4885</v>
      </c>
      <c r="AF147">
        <v>1</v>
      </c>
      <c r="AG147">
        <v>1</v>
      </c>
      <c r="AH147">
        <v>1</v>
      </c>
    </row>
    <row r="148" spans="1:34" x14ac:dyDescent="0.3">
      <c r="A148">
        <v>262</v>
      </c>
      <c r="B148" t="s">
        <v>1306</v>
      </c>
      <c r="C148" t="s">
        <v>4712</v>
      </c>
      <c r="D148" t="s">
        <v>1303</v>
      </c>
      <c r="E148" t="s">
        <v>21</v>
      </c>
      <c r="F148" t="s">
        <v>56</v>
      </c>
      <c r="G148" t="s">
        <v>3607</v>
      </c>
      <c r="H148" t="s">
        <v>4729</v>
      </c>
      <c r="I148" t="s">
        <v>4730</v>
      </c>
      <c r="J148" t="s">
        <v>4480</v>
      </c>
      <c r="L148" t="s">
        <v>25</v>
      </c>
      <c r="M148" t="s">
        <v>1303</v>
      </c>
      <c r="N148" t="s">
        <v>4537</v>
      </c>
      <c r="O148" t="s">
        <v>4843</v>
      </c>
      <c r="Q148">
        <v>0</v>
      </c>
      <c r="R148">
        <v>249</v>
      </c>
      <c r="S148">
        <v>0</v>
      </c>
      <c r="U148" t="s">
        <v>1306</v>
      </c>
      <c r="V148" t="s">
        <v>4717</v>
      </c>
      <c r="W148" t="s">
        <v>4963</v>
      </c>
      <c r="X148" t="s">
        <v>4963</v>
      </c>
      <c r="Z148" t="s">
        <v>4737</v>
      </c>
      <c r="AA148" t="s">
        <v>4804</v>
      </c>
      <c r="AB148" t="s">
        <v>4964</v>
      </c>
      <c r="AF148">
        <v>1</v>
      </c>
      <c r="AG148">
        <v>1</v>
      </c>
      <c r="AH148">
        <v>1</v>
      </c>
    </row>
    <row r="149" spans="1:34" x14ac:dyDescent="0.3">
      <c r="A149">
        <v>263</v>
      </c>
      <c r="B149" t="s">
        <v>1309</v>
      </c>
      <c r="C149" t="s">
        <v>4712</v>
      </c>
      <c r="D149" t="s">
        <v>1303</v>
      </c>
      <c r="E149" t="s">
        <v>39</v>
      </c>
      <c r="F149" t="s">
        <v>22</v>
      </c>
      <c r="G149" t="s">
        <v>3607</v>
      </c>
      <c r="H149" t="s">
        <v>4729</v>
      </c>
      <c r="I149" t="s">
        <v>4730</v>
      </c>
      <c r="J149" t="s">
        <v>4731</v>
      </c>
      <c r="L149" t="s">
        <v>25</v>
      </c>
      <c r="M149" t="s">
        <v>1303</v>
      </c>
      <c r="N149" t="s">
        <v>4732</v>
      </c>
      <c r="O149" t="s">
        <v>4733</v>
      </c>
      <c r="Q149">
        <v>0</v>
      </c>
      <c r="R149">
        <v>314</v>
      </c>
      <c r="S149">
        <v>0</v>
      </c>
      <c r="U149" t="s">
        <v>4965</v>
      </c>
      <c r="V149" t="s">
        <v>4717</v>
      </c>
      <c r="W149" t="s">
        <v>4963</v>
      </c>
      <c r="X149" t="s">
        <v>4963</v>
      </c>
      <c r="Z149" t="s">
        <v>4737</v>
      </c>
      <c r="AA149" t="s">
        <v>4804</v>
      </c>
      <c r="AB149" t="s">
        <v>4805</v>
      </c>
      <c r="AF149">
        <v>1</v>
      </c>
      <c r="AG149">
        <v>1</v>
      </c>
      <c r="AH149">
        <v>1</v>
      </c>
    </row>
    <row r="150" spans="1:34" x14ac:dyDescent="0.3">
      <c r="A150">
        <v>264</v>
      </c>
      <c r="B150" t="s">
        <v>1321</v>
      </c>
      <c r="C150" t="s">
        <v>4712</v>
      </c>
      <c r="D150" t="s">
        <v>1303</v>
      </c>
      <c r="E150" t="s">
        <v>21</v>
      </c>
      <c r="F150" t="s">
        <v>22</v>
      </c>
      <c r="H150" t="s">
        <v>4755</v>
      </c>
      <c r="I150" t="s">
        <v>4755</v>
      </c>
      <c r="J150" t="s">
        <v>4731</v>
      </c>
      <c r="L150" t="s">
        <v>25</v>
      </c>
      <c r="M150" t="s">
        <v>1303</v>
      </c>
      <c r="N150" t="s">
        <v>4732</v>
      </c>
      <c r="O150" t="s">
        <v>4733</v>
      </c>
      <c r="Q150">
        <v>0</v>
      </c>
      <c r="R150">
        <v>315</v>
      </c>
      <c r="S150">
        <v>0</v>
      </c>
      <c r="U150" t="s">
        <v>4966</v>
      </c>
      <c r="V150" t="s">
        <v>4717</v>
      </c>
      <c r="W150" t="s">
        <v>4963</v>
      </c>
      <c r="X150" t="s">
        <v>4963</v>
      </c>
      <c r="Z150" t="s">
        <v>4737</v>
      </c>
      <c r="AA150" t="s">
        <v>4804</v>
      </c>
      <c r="AB150" t="s">
        <v>4805</v>
      </c>
      <c r="AF150">
        <v>1</v>
      </c>
      <c r="AG150">
        <v>1</v>
      </c>
      <c r="AH150">
        <v>0</v>
      </c>
    </row>
    <row r="151" spans="1:34" x14ac:dyDescent="0.3">
      <c r="A151">
        <v>265</v>
      </c>
      <c r="B151" t="s">
        <v>1327</v>
      </c>
      <c r="C151" t="s">
        <v>4712</v>
      </c>
      <c r="D151" t="s">
        <v>1303</v>
      </c>
      <c r="E151" t="s">
        <v>39</v>
      </c>
      <c r="F151" t="s">
        <v>22</v>
      </c>
      <c r="G151" t="s">
        <v>3607</v>
      </c>
      <c r="H151" t="s">
        <v>4729</v>
      </c>
      <c r="I151" t="s">
        <v>4730</v>
      </c>
      <c r="J151" t="s">
        <v>4731</v>
      </c>
      <c r="L151" t="s">
        <v>25</v>
      </c>
      <c r="M151" t="s">
        <v>1303</v>
      </c>
      <c r="N151" t="s">
        <v>4732</v>
      </c>
      <c r="O151" t="s">
        <v>4733</v>
      </c>
      <c r="Q151">
        <v>0</v>
      </c>
      <c r="R151">
        <v>316</v>
      </c>
      <c r="S151">
        <v>0</v>
      </c>
      <c r="U151" t="s">
        <v>4967</v>
      </c>
      <c r="V151" t="s">
        <v>4717</v>
      </c>
      <c r="W151" t="s">
        <v>4968</v>
      </c>
      <c r="X151" t="s">
        <v>4968</v>
      </c>
      <c r="Z151" t="s">
        <v>4737</v>
      </c>
      <c r="AA151" t="s">
        <v>4804</v>
      </c>
      <c r="AB151" t="s">
        <v>4805</v>
      </c>
      <c r="AF151">
        <v>1</v>
      </c>
      <c r="AG151">
        <v>1</v>
      </c>
      <c r="AH151">
        <v>1</v>
      </c>
    </row>
    <row r="152" spans="1:34" x14ac:dyDescent="0.3">
      <c r="A152">
        <v>266</v>
      </c>
      <c r="B152" t="s">
        <v>1330</v>
      </c>
      <c r="C152" t="s">
        <v>4712</v>
      </c>
      <c r="D152" t="s">
        <v>1303</v>
      </c>
      <c r="E152" t="s">
        <v>39</v>
      </c>
      <c r="F152" t="s">
        <v>22</v>
      </c>
      <c r="G152" t="s">
        <v>3607</v>
      </c>
      <c r="H152" t="s">
        <v>4729</v>
      </c>
      <c r="I152" t="s">
        <v>4730</v>
      </c>
      <c r="J152" t="s">
        <v>4731</v>
      </c>
      <c r="L152" t="s">
        <v>25</v>
      </c>
      <c r="M152" t="s">
        <v>1303</v>
      </c>
      <c r="N152" t="s">
        <v>4732</v>
      </c>
      <c r="O152" t="s">
        <v>4733</v>
      </c>
      <c r="Q152">
        <v>0</v>
      </c>
      <c r="R152">
        <v>317</v>
      </c>
      <c r="S152">
        <v>0</v>
      </c>
      <c r="U152" t="s">
        <v>4969</v>
      </c>
      <c r="V152" t="s">
        <v>4717</v>
      </c>
      <c r="W152" t="s">
        <v>4968</v>
      </c>
      <c r="X152" t="s">
        <v>4968</v>
      </c>
      <c r="Z152" t="s">
        <v>4737</v>
      </c>
      <c r="AA152" t="s">
        <v>4804</v>
      </c>
      <c r="AB152" t="s">
        <v>4805</v>
      </c>
      <c r="AF152">
        <v>1</v>
      </c>
      <c r="AG152">
        <v>1</v>
      </c>
      <c r="AH152">
        <v>1</v>
      </c>
    </row>
    <row r="153" spans="1:34" x14ac:dyDescent="0.3">
      <c r="A153" t="s">
        <v>4970</v>
      </c>
      <c r="B153" t="s">
        <v>3511</v>
      </c>
      <c r="C153" t="s">
        <v>4712</v>
      </c>
      <c r="D153" t="s">
        <v>1215</v>
      </c>
      <c r="E153" t="s">
        <v>139</v>
      </c>
      <c r="F153" t="s">
        <v>22</v>
      </c>
      <c r="I153" t="s">
        <v>4713</v>
      </c>
      <c r="J153" t="s">
        <v>4480</v>
      </c>
      <c r="L153" t="s">
        <v>25</v>
      </c>
      <c r="M153" t="s">
        <v>1215</v>
      </c>
      <c r="N153" t="s">
        <v>4538</v>
      </c>
      <c r="O153" t="s">
        <v>4765</v>
      </c>
      <c r="Q153">
        <v>0</v>
      </c>
      <c r="R153">
        <v>171</v>
      </c>
      <c r="S153">
        <v>0</v>
      </c>
      <c r="V153" t="s">
        <v>4544</v>
      </c>
      <c r="AA153" t="s">
        <v>4724</v>
      </c>
      <c r="AB153" t="s">
        <v>4885</v>
      </c>
      <c r="AF153">
        <v>1</v>
      </c>
      <c r="AG153">
        <v>1</v>
      </c>
      <c r="AH153">
        <v>0</v>
      </c>
    </row>
    <row r="154" spans="1:34" x14ac:dyDescent="0.3">
      <c r="A154">
        <v>268</v>
      </c>
      <c r="B154" t="s">
        <v>1341</v>
      </c>
      <c r="C154" t="s">
        <v>4712</v>
      </c>
      <c r="D154" t="s">
        <v>1336</v>
      </c>
      <c r="E154" t="s">
        <v>21</v>
      </c>
      <c r="F154" t="s">
        <v>22</v>
      </c>
      <c r="G154" t="s">
        <v>3607</v>
      </c>
      <c r="H154" t="s">
        <v>4729</v>
      </c>
      <c r="I154" t="s">
        <v>4730</v>
      </c>
      <c r="J154" t="s">
        <v>4480</v>
      </c>
      <c r="L154" t="s">
        <v>203</v>
      </c>
      <c r="M154" t="s">
        <v>1336</v>
      </c>
      <c r="N154" t="s">
        <v>4732</v>
      </c>
      <c r="O154" t="s">
        <v>4733</v>
      </c>
      <c r="Q154">
        <v>0</v>
      </c>
      <c r="R154">
        <v>318</v>
      </c>
      <c r="S154">
        <v>0</v>
      </c>
      <c r="U154" t="s">
        <v>4971</v>
      </c>
      <c r="V154" t="s">
        <v>4546</v>
      </c>
      <c r="W154" t="s">
        <v>4972</v>
      </c>
      <c r="X154" t="s">
        <v>4972</v>
      </c>
      <c r="AA154" t="s">
        <v>4738</v>
      </c>
      <c r="AB154" t="s">
        <v>4746</v>
      </c>
      <c r="AF154">
        <v>1</v>
      </c>
      <c r="AG154">
        <v>1</v>
      </c>
      <c r="AH154">
        <v>1</v>
      </c>
    </row>
    <row r="155" spans="1:34" x14ac:dyDescent="0.3">
      <c r="A155">
        <v>269</v>
      </c>
      <c r="B155" t="s">
        <v>1347</v>
      </c>
      <c r="C155" t="s">
        <v>4728</v>
      </c>
      <c r="D155" t="s">
        <v>1336</v>
      </c>
      <c r="E155" t="s">
        <v>21</v>
      </c>
      <c r="F155" t="s">
        <v>22</v>
      </c>
      <c r="G155" t="s">
        <v>3607</v>
      </c>
      <c r="H155" t="s">
        <v>4729</v>
      </c>
      <c r="I155" t="s">
        <v>4730</v>
      </c>
      <c r="J155" t="s">
        <v>4480</v>
      </c>
      <c r="L155" t="s">
        <v>197</v>
      </c>
      <c r="M155" t="s">
        <v>1336</v>
      </c>
      <c r="N155" t="s">
        <v>4732</v>
      </c>
      <c r="O155" t="s">
        <v>4733</v>
      </c>
      <c r="Q155">
        <v>0</v>
      </c>
      <c r="R155">
        <v>319</v>
      </c>
      <c r="S155">
        <v>0</v>
      </c>
      <c r="U155" t="s">
        <v>4973</v>
      </c>
      <c r="V155" t="s">
        <v>4546</v>
      </c>
      <c r="W155" t="s">
        <v>4972</v>
      </c>
      <c r="X155" t="s">
        <v>4972</v>
      </c>
      <c r="AA155" t="s">
        <v>4738</v>
      </c>
      <c r="AB155" t="s">
        <v>4746</v>
      </c>
      <c r="AF155">
        <v>1</v>
      </c>
      <c r="AG155">
        <v>1</v>
      </c>
      <c r="AH155">
        <v>1</v>
      </c>
    </row>
    <row r="156" spans="1:34" x14ac:dyDescent="0.3">
      <c r="A156">
        <v>270</v>
      </c>
      <c r="B156" t="s">
        <v>1353</v>
      </c>
      <c r="C156" t="s">
        <v>4728</v>
      </c>
      <c r="D156" t="s">
        <v>1336</v>
      </c>
      <c r="E156" t="s">
        <v>21</v>
      </c>
      <c r="F156" t="s">
        <v>22</v>
      </c>
      <c r="G156" t="s">
        <v>3607</v>
      </c>
      <c r="H156" t="s">
        <v>4729</v>
      </c>
      <c r="I156" t="s">
        <v>4730</v>
      </c>
      <c r="J156" t="s">
        <v>4480</v>
      </c>
      <c r="L156" t="s">
        <v>203</v>
      </c>
      <c r="M156" t="s">
        <v>1336</v>
      </c>
      <c r="N156" t="s">
        <v>4732</v>
      </c>
      <c r="O156" t="s">
        <v>4733</v>
      </c>
      <c r="Q156">
        <v>0</v>
      </c>
      <c r="R156">
        <v>320</v>
      </c>
      <c r="S156">
        <v>0</v>
      </c>
      <c r="U156" t="s">
        <v>4974</v>
      </c>
      <c r="V156" t="s">
        <v>4546</v>
      </c>
      <c r="W156" t="s">
        <v>4972</v>
      </c>
      <c r="X156" t="s">
        <v>4972</v>
      </c>
      <c r="AA156" t="s">
        <v>4738</v>
      </c>
      <c r="AB156" t="s">
        <v>4746</v>
      </c>
      <c r="AF156">
        <v>1</v>
      </c>
      <c r="AG156">
        <v>1</v>
      </c>
      <c r="AH156">
        <v>1</v>
      </c>
    </row>
    <row r="157" spans="1:34" x14ac:dyDescent="0.3">
      <c r="A157">
        <v>271</v>
      </c>
      <c r="B157" t="s">
        <v>1358</v>
      </c>
      <c r="C157" t="s">
        <v>4728</v>
      </c>
      <c r="D157" t="s">
        <v>1336</v>
      </c>
      <c r="E157" t="s">
        <v>21</v>
      </c>
      <c r="F157" t="s">
        <v>22</v>
      </c>
      <c r="G157" t="s">
        <v>3607</v>
      </c>
      <c r="H157" t="s">
        <v>4729</v>
      </c>
      <c r="I157" t="s">
        <v>4730</v>
      </c>
      <c r="J157" t="s">
        <v>4480</v>
      </c>
      <c r="L157" t="s">
        <v>203</v>
      </c>
      <c r="M157" t="s">
        <v>1336</v>
      </c>
      <c r="N157" t="s">
        <v>4732</v>
      </c>
      <c r="O157" t="s">
        <v>4733</v>
      </c>
      <c r="Q157">
        <v>0</v>
      </c>
      <c r="R157">
        <v>321</v>
      </c>
      <c r="S157">
        <v>0</v>
      </c>
      <c r="U157" t="s">
        <v>4975</v>
      </c>
      <c r="V157" t="s">
        <v>4546</v>
      </c>
      <c r="W157" t="s">
        <v>4972</v>
      </c>
      <c r="X157" t="s">
        <v>4972</v>
      </c>
      <c r="AA157" t="s">
        <v>4738</v>
      </c>
      <c r="AB157" t="s">
        <v>4746</v>
      </c>
      <c r="AF157">
        <v>1</v>
      </c>
      <c r="AG157">
        <v>1</v>
      </c>
      <c r="AH157">
        <v>1</v>
      </c>
    </row>
    <row r="158" spans="1:34" x14ac:dyDescent="0.3">
      <c r="A158">
        <v>272</v>
      </c>
      <c r="B158" t="s">
        <v>1360</v>
      </c>
      <c r="C158" t="s">
        <v>4712</v>
      </c>
      <c r="D158" t="s">
        <v>138</v>
      </c>
      <c r="E158" t="s">
        <v>139</v>
      </c>
      <c r="F158" t="s">
        <v>56</v>
      </c>
      <c r="G158" t="s">
        <v>3607</v>
      </c>
      <c r="H158" t="s">
        <v>4729</v>
      </c>
      <c r="I158" t="s">
        <v>4730</v>
      </c>
      <c r="J158" t="s">
        <v>4480</v>
      </c>
      <c r="L158" t="s">
        <v>203</v>
      </c>
      <c r="M158" t="s">
        <v>138</v>
      </c>
      <c r="N158" t="s">
        <v>4732</v>
      </c>
      <c r="O158" t="s">
        <v>4742</v>
      </c>
      <c r="Q158">
        <v>0</v>
      </c>
      <c r="R158">
        <v>322</v>
      </c>
      <c r="S158">
        <v>0</v>
      </c>
      <c r="U158" t="s">
        <v>1360</v>
      </c>
      <c r="V158" t="s">
        <v>4744</v>
      </c>
      <c r="W158" t="s">
        <v>4774</v>
      </c>
      <c r="X158" t="s">
        <v>4775</v>
      </c>
      <c r="AA158" t="s">
        <v>4760</v>
      </c>
      <c r="AB158" t="s">
        <v>4976</v>
      </c>
      <c r="AF158">
        <v>1</v>
      </c>
      <c r="AG158">
        <v>1</v>
      </c>
      <c r="AH158">
        <v>1</v>
      </c>
    </row>
    <row r="159" spans="1:34" x14ac:dyDescent="0.3">
      <c r="A159">
        <v>273</v>
      </c>
      <c r="B159" t="s">
        <v>1363</v>
      </c>
      <c r="C159" t="s">
        <v>4712</v>
      </c>
      <c r="D159" t="s">
        <v>1364</v>
      </c>
      <c r="E159" t="s">
        <v>21</v>
      </c>
      <c r="F159" t="s">
        <v>22</v>
      </c>
      <c r="G159" t="s">
        <v>3607</v>
      </c>
      <c r="H159" t="s">
        <v>4729</v>
      </c>
      <c r="I159" t="s">
        <v>4730</v>
      </c>
      <c r="J159" t="s">
        <v>4720</v>
      </c>
      <c r="L159" t="s">
        <v>203</v>
      </c>
      <c r="M159" t="s">
        <v>1364</v>
      </c>
      <c r="N159" t="s">
        <v>4542</v>
      </c>
      <c r="O159" t="s">
        <v>4790</v>
      </c>
      <c r="Q159">
        <v>0</v>
      </c>
      <c r="R159">
        <v>89</v>
      </c>
      <c r="S159">
        <v>0</v>
      </c>
      <c r="U159" t="s">
        <v>4977</v>
      </c>
      <c r="V159" t="s">
        <v>4546</v>
      </c>
      <c r="W159" t="s">
        <v>4978</v>
      </c>
      <c r="X159" t="s">
        <v>4978</v>
      </c>
      <c r="Z159" t="s">
        <v>4737</v>
      </c>
      <c r="AA159" t="s">
        <v>4718</v>
      </c>
      <c r="AB159" t="s">
        <v>4719</v>
      </c>
      <c r="AF159">
        <v>1</v>
      </c>
      <c r="AG159">
        <v>1</v>
      </c>
      <c r="AH159">
        <v>1</v>
      </c>
    </row>
    <row r="160" spans="1:34" x14ac:dyDescent="0.3">
      <c r="A160">
        <v>274</v>
      </c>
      <c r="B160" t="s">
        <v>1369</v>
      </c>
      <c r="C160" t="s">
        <v>4712</v>
      </c>
      <c r="D160" t="s">
        <v>1292</v>
      </c>
      <c r="E160" t="s">
        <v>21</v>
      </c>
      <c r="F160" t="s">
        <v>22</v>
      </c>
      <c r="G160" t="s">
        <v>3608</v>
      </c>
      <c r="H160" t="s">
        <v>4729</v>
      </c>
      <c r="I160" t="s">
        <v>4730</v>
      </c>
      <c r="J160" t="s">
        <v>4720</v>
      </c>
      <c r="L160" t="s">
        <v>203</v>
      </c>
      <c r="M160" t="s">
        <v>1292</v>
      </c>
      <c r="N160" t="s">
        <v>4541</v>
      </c>
      <c r="O160" t="s">
        <v>4722</v>
      </c>
      <c r="P160" t="s">
        <v>4723</v>
      </c>
      <c r="Q160">
        <v>0</v>
      </c>
      <c r="R160">
        <v>25</v>
      </c>
      <c r="S160">
        <v>0</v>
      </c>
      <c r="U160" t="s">
        <v>4979</v>
      </c>
      <c r="V160" t="s">
        <v>4544</v>
      </c>
      <c r="W160" t="s">
        <v>4980</v>
      </c>
      <c r="X160" t="s">
        <v>4980</v>
      </c>
      <c r="Z160" t="s">
        <v>4737</v>
      </c>
      <c r="AA160" t="s">
        <v>4724</v>
      </c>
      <c r="AB160" t="s">
        <v>4725</v>
      </c>
      <c r="AC160">
        <v>1</v>
      </c>
      <c r="AD160">
        <v>1</v>
      </c>
      <c r="AF160">
        <v>1</v>
      </c>
      <c r="AG160">
        <v>1</v>
      </c>
      <c r="AH160">
        <v>1</v>
      </c>
    </row>
    <row r="161" spans="1:34" x14ac:dyDescent="0.3">
      <c r="A161">
        <v>275</v>
      </c>
      <c r="B161" t="s">
        <v>1375</v>
      </c>
      <c r="C161" t="s">
        <v>4712</v>
      </c>
      <c r="D161" t="s">
        <v>1376</v>
      </c>
      <c r="E161" t="s">
        <v>21</v>
      </c>
      <c r="F161" t="s">
        <v>22</v>
      </c>
      <c r="G161" t="s">
        <v>3608</v>
      </c>
      <c r="H161" t="s">
        <v>4729</v>
      </c>
      <c r="I161" t="s">
        <v>4730</v>
      </c>
      <c r="J161" t="s">
        <v>4731</v>
      </c>
      <c r="L161" t="s">
        <v>25</v>
      </c>
      <c r="M161" t="s">
        <v>1376</v>
      </c>
      <c r="N161" t="s">
        <v>4538</v>
      </c>
      <c r="O161" t="s">
        <v>4765</v>
      </c>
      <c r="Q161">
        <v>0</v>
      </c>
      <c r="R161">
        <v>172</v>
      </c>
      <c r="S161">
        <v>0</v>
      </c>
      <c r="U161" t="s">
        <v>4981</v>
      </c>
      <c r="V161" t="s">
        <v>4544</v>
      </c>
      <c r="W161" t="s">
        <v>4901</v>
      </c>
      <c r="X161" t="s">
        <v>4901</v>
      </c>
      <c r="Z161" t="s">
        <v>4737</v>
      </c>
      <c r="AA161" t="s">
        <v>4804</v>
      </c>
      <c r="AB161" t="s">
        <v>4805</v>
      </c>
      <c r="AF161">
        <v>0</v>
      </c>
      <c r="AG161">
        <v>1</v>
      </c>
      <c r="AH161">
        <v>1</v>
      </c>
    </row>
    <row r="162" spans="1:34" x14ac:dyDescent="0.3">
      <c r="A162">
        <v>276</v>
      </c>
      <c r="B162" t="s">
        <v>1382</v>
      </c>
      <c r="C162" t="s">
        <v>4712</v>
      </c>
      <c r="D162" t="s">
        <v>1383</v>
      </c>
      <c r="E162" t="s">
        <v>21</v>
      </c>
      <c r="F162" t="s">
        <v>56</v>
      </c>
      <c r="G162" t="s">
        <v>3607</v>
      </c>
      <c r="H162" t="s">
        <v>4729</v>
      </c>
      <c r="I162" t="s">
        <v>4730</v>
      </c>
      <c r="J162" t="s">
        <v>4480</v>
      </c>
      <c r="L162" t="s">
        <v>203</v>
      </c>
      <c r="M162" t="s">
        <v>1383</v>
      </c>
      <c r="N162" t="s">
        <v>4542</v>
      </c>
      <c r="O162" t="s">
        <v>4790</v>
      </c>
      <c r="P162" t="s">
        <v>4791</v>
      </c>
      <c r="Q162">
        <v>0</v>
      </c>
      <c r="R162">
        <v>6</v>
      </c>
      <c r="S162">
        <v>0</v>
      </c>
      <c r="U162" t="s">
        <v>4982</v>
      </c>
      <c r="V162" t="s">
        <v>4546</v>
      </c>
      <c r="W162" t="s">
        <v>4983</v>
      </c>
      <c r="X162" t="s">
        <v>4983</v>
      </c>
      <c r="Z162" t="s">
        <v>4771</v>
      </c>
      <c r="AA162" t="s">
        <v>4718</v>
      </c>
      <c r="AB162" t="s">
        <v>4984</v>
      </c>
      <c r="AC162">
        <v>1</v>
      </c>
      <c r="AD162">
        <v>1</v>
      </c>
      <c r="AF162">
        <v>1</v>
      </c>
      <c r="AG162">
        <v>1</v>
      </c>
      <c r="AH162">
        <v>1</v>
      </c>
    </row>
    <row r="163" spans="1:34" x14ac:dyDescent="0.3">
      <c r="A163">
        <v>277</v>
      </c>
      <c r="B163" t="s">
        <v>1393</v>
      </c>
      <c r="C163" t="s">
        <v>4712</v>
      </c>
      <c r="D163" t="s">
        <v>1383</v>
      </c>
      <c r="E163" t="s">
        <v>21</v>
      </c>
      <c r="F163" t="s">
        <v>56</v>
      </c>
      <c r="G163" t="s">
        <v>3607</v>
      </c>
      <c r="H163" t="s">
        <v>4729</v>
      </c>
      <c r="I163" t="s">
        <v>4730</v>
      </c>
      <c r="J163" t="s">
        <v>4480</v>
      </c>
      <c r="L163" t="s">
        <v>197</v>
      </c>
      <c r="M163" t="s">
        <v>1383</v>
      </c>
      <c r="N163" t="s">
        <v>4542</v>
      </c>
      <c r="O163" t="s">
        <v>4790</v>
      </c>
      <c r="P163" t="s">
        <v>4791</v>
      </c>
      <c r="Q163">
        <v>0</v>
      </c>
      <c r="R163">
        <v>90</v>
      </c>
      <c r="S163">
        <v>0</v>
      </c>
      <c r="U163" t="s">
        <v>1388</v>
      </c>
      <c r="V163" t="s">
        <v>4546</v>
      </c>
      <c r="W163" t="s">
        <v>4985</v>
      </c>
      <c r="X163" t="s">
        <v>4985</v>
      </c>
      <c r="Z163">
        <v>1</v>
      </c>
      <c r="AA163" t="s">
        <v>4718</v>
      </c>
      <c r="AB163" t="s">
        <v>4984</v>
      </c>
      <c r="AD163">
        <v>1</v>
      </c>
      <c r="AF163">
        <v>1</v>
      </c>
      <c r="AG163">
        <v>1</v>
      </c>
      <c r="AH163">
        <v>1</v>
      </c>
    </row>
    <row r="164" spans="1:34" x14ac:dyDescent="0.3">
      <c r="A164">
        <v>278</v>
      </c>
      <c r="B164" t="s">
        <v>1399</v>
      </c>
      <c r="C164" t="s">
        <v>4728</v>
      </c>
      <c r="D164" t="s">
        <v>1383</v>
      </c>
      <c r="E164" t="s">
        <v>21</v>
      </c>
      <c r="F164" t="s">
        <v>22</v>
      </c>
      <c r="G164" t="s">
        <v>3608</v>
      </c>
      <c r="H164" t="s">
        <v>4729</v>
      </c>
      <c r="I164" t="s">
        <v>4730</v>
      </c>
      <c r="J164" t="s">
        <v>4720</v>
      </c>
      <c r="L164" t="s">
        <v>203</v>
      </c>
      <c r="M164" t="s">
        <v>1383</v>
      </c>
      <c r="N164" t="s">
        <v>4542</v>
      </c>
      <c r="O164" t="s">
        <v>4790</v>
      </c>
      <c r="Q164">
        <v>0</v>
      </c>
      <c r="R164">
        <v>91</v>
      </c>
      <c r="S164">
        <v>0</v>
      </c>
      <c r="U164" t="s">
        <v>4986</v>
      </c>
      <c r="V164" t="s">
        <v>4546</v>
      </c>
      <c r="W164" t="s">
        <v>4570</v>
      </c>
      <c r="X164" t="s">
        <v>4987</v>
      </c>
      <c r="Z164" t="s">
        <v>4771</v>
      </c>
      <c r="AA164" t="s">
        <v>4782</v>
      </c>
      <c r="AB164" t="s">
        <v>4988</v>
      </c>
      <c r="AF164">
        <v>1</v>
      </c>
      <c r="AG164">
        <v>1</v>
      </c>
      <c r="AH164">
        <v>1</v>
      </c>
    </row>
    <row r="165" spans="1:34" x14ac:dyDescent="0.3">
      <c r="A165">
        <v>279</v>
      </c>
      <c r="B165" t="s">
        <v>1402</v>
      </c>
      <c r="C165" t="s">
        <v>4728</v>
      </c>
      <c r="D165" t="s">
        <v>1383</v>
      </c>
      <c r="E165" t="s">
        <v>21</v>
      </c>
      <c r="F165" t="s">
        <v>22</v>
      </c>
      <c r="H165" t="s">
        <v>4755</v>
      </c>
      <c r="I165" t="s">
        <v>4755</v>
      </c>
      <c r="J165" t="s">
        <v>4720</v>
      </c>
      <c r="L165" t="s">
        <v>203</v>
      </c>
      <c r="M165" t="s">
        <v>1383</v>
      </c>
      <c r="N165" t="s">
        <v>4542</v>
      </c>
      <c r="O165" t="s">
        <v>4790</v>
      </c>
      <c r="Q165">
        <v>0</v>
      </c>
      <c r="R165">
        <v>92</v>
      </c>
      <c r="S165">
        <v>0</v>
      </c>
      <c r="V165" t="s">
        <v>4546</v>
      </c>
      <c r="AA165" t="s">
        <v>4782</v>
      </c>
      <c r="AB165" t="s">
        <v>4988</v>
      </c>
      <c r="AF165">
        <v>1</v>
      </c>
      <c r="AG165">
        <v>1</v>
      </c>
      <c r="AH165">
        <v>0</v>
      </c>
    </row>
    <row r="166" spans="1:34" x14ac:dyDescent="0.3">
      <c r="A166">
        <v>280</v>
      </c>
      <c r="B166" t="s">
        <v>1404</v>
      </c>
      <c r="C166" t="s">
        <v>4728</v>
      </c>
      <c r="D166" t="s">
        <v>1383</v>
      </c>
      <c r="E166" t="s">
        <v>21</v>
      </c>
      <c r="F166" t="s">
        <v>22</v>
      </c>
      <c r="H166" t="s">
        <v>4755</v>
      </c>
      <c r="I166" t="s">
        <v>4755</v>
      </c>
      <c r="J166" t="s">
        <v>4720</v>
      </c>
      <c r="L166" t="s">
        <v>203</v>
      </c>
      <c r="M166" t="s">
        <v>1383</v>
      </c>
      <c r="N166" t="s">
        <v>4542</v>
      </c>
      <c r="O166" t="s">
        <v>4790</v>
      </c>
      <c r="Q166">
        <v>0</v>
      </c>
      <c r="R166">
        <v>93</v>
      </c>
      <c r="S166">
        <v>0</v>
      </c>
      <c r="V166" t="s">
        <v>4546</v>
      </c>
      <c r="AA166" t="s">
        <v>4782</v>
      </c>
      <c r="AB166" t="s">
        <v>4988</v>
      </c>
      <c r="AF166">
        <v>1</v>
      </c>
      <c r="AG166">
        <v>1</v>
      </c>
      <c r="AH166">
        <v>0</v>
      </c>
    </row>
    <row r="167" spans="1:34" x14ac:dyDescent="0.3">
      <c r="A167">
        <v>281</v>
      </c>
      <c r="B167" t="s">
        <v>1407</v>
      </c>
      <c r="C167" t="s">
        <v>4728</v>
      </c>
      <c r="D167" t="s">
        <v>1383</v>
      </c>
      <c r="E167" t="s">
        <v>21</v>
      </c>
      <c r="F167" t="s">
        <v>22</v>
      </c>
      <c r="H167" t="s">
        <v>4755</v>
      </c>
      <c r="I167" t="s">
        <v>4755</v>
      </c>
      <c r="J167" t="s">
        <v>4720</v>
      </c>
      <c r="L167" t="s">
        <v>203</v>
      </c>
      <c r="M167" t="s">
        <v>1383</v>
      </c>
      <c r="N167" t="s">
        <v>4542</v>
      </c>
      <c r="O167" t="s">
        <v>4790</v>
      </c>
      <c r="Q167">
        <v>0</v>
      </c>
      <c r="R167">
        <v>94</v>
      </c>
      <c r="S167">
        <v>0</v>
      </c>
      <c r="V167" t="s">
        <v>4546</v>
      </c>
      <c r="AA167" t="s">
        <v>4782</v>
      </c>
      <c r="AB167" t="s">
        <v>4988</v>
      </c>
      <c r="AF167">
        <v>1</v>
      </c>
      <c r="AG167">
        <v>1</v>
      </c>
      <c r="AH167">
        <v>0</v>
      </c>
    </row>
    <row r="168" spans="1:34" x14ac:dyDescent="0.3">
      <c r="A168">
        <v>282</v>
      </c>
      <c r="B168" t="s">
        <v>1410</v>
      </c>
      <c r="C168" t="s">
        <v>4728</v>
      </c>
      <c r="D168" t="s">
        <v>1383</v>
      </c>
      <c r="E168" t="s">
        <v>21</v>
      </c>
      <c r="F168" t="s">
        <v>22</v>
      </c>
      <c r="G168" t="s">
        <v>3607</v>
      </c>
      <c r="H168" t="s">
        <v>4729</v>
      </c>
      <c r="I168" t="s">
        <v>4730</v>
      </c>
      <c r="J168" t="s">
        <v>4720</v>
      </c>
      <c r="L168" t="s">
        <v>25</v>
      </c>
      <c r="M168" t="s">
        <v>1383</v>
      </c>
      <c r="N168" t="s">
        <v>4542</v>
      </c>
      <c r="O168" t="s">
        <v>4790</v>
      </c>
      <c r="Q168">
        <v>0</v>
      </c>
      <c r="R168">
        <v>95</v>
      </c>
      <c r="S168">
        <v>0</v>
      </c>
      <c r="U168" t="s">
        <v>4989</v>
      </c>
      <c r="V168" t="s">
        <v>4546</v>
      </c>
      <c r="W168" t="s">
        <v>4990</v>
      </c>
      <c r="X168" t="s">
        <v>4990</v>
      </c>
      <c r="Z168" t="s">
        <v>4771</v>
      </c>
      <c r="AA168" t="s">
        <v>4782</v>
      </c>
      <c r="AB168" t="s">
        <v>4991</v>
      </c>
      <c r="AF168">
        <v>1</v>
      </c>
      <c r="AG168">
        <v>1</v>
      </c>
      <c r="AH168">
        <v>1</v>
      </c>
    </row>
    <row r="169" spans="1:34" x14ac:dyDescent="0.3">
      <c r="A169">
        <v>283</v>
      </c>
      <c r="B169" t="s">
        <v>1415</v>
      </c>
      <c r="C169" t="s">
        <v>4728</v>
      </c>
      <c r="D169" t="s">
        <v>1383</v>
      </c>
      <c r="E169" t="s">
        <v>21</v>
      </c>
      <c r="F169" t="s">
        <v>22</v>
      </c>
      <c r="G169" t="s">
        <v>3607</v>
      </c>
      <c r="H169" t="s">
        <v>4729</v>
      </c>
      <c r="I169" t="s">
        <v>4730</v>
      </c>
      <c r="J169" t="s">
        <v>4480</v>
      </c>
      <c r="L169" t="s">
        <v>197</v>
      </c>
      <c r="M169" t="s">
        <v>1383</v>
      </c>
      <c r="N169" t="s">
        <v>4542</v>
      </c>
      <c r="O169" t="s">
        <v>4790</v>
      </c>
      <c r="Q169">
        <v>0</v>
      </c>
      <c r="R169">
        <v>96</v>
      </c>
      <c r="S169">
        <v>0</v>
      </c>
      <c r="U169" t="s">
        <v>4992</v>
      </c>
      <c r="V169" t="s">
        <v>4546</v>
      </c>
      <c r="W169" t="s">
        <v>4993</v>
      </c>
      <c r="X169" t="s">
        <v>4993</v>
      </c>
      <c r="Z169">
        <v>1</v>
      </c>
      <c r="AA169" t="s">
        <v>4782</v>
      </c>
      <c r="AB169" t="s">
        <v>4991</v>
      </c>
      <c r="AF169">
        <v>1</v>
      </c>
      <c r="AG169">
        <v>1</v>
      </c>
      <c r="AH169">
        <v>1</v>
      </c>
    </row>
    <row r="170" spans="1:34" x14ac:dyDescent="0.3">
      <c r="A170">
        <v>284</v>
      </c>
      <c r="B170" t="s">
        <v>1420</v>
      </c>
      <c r="C170" t="s">
        <v>4728</v>
      </c>
      <c r="D170" t="s">
        <v>1383</v>
      </c>
      <c r="E170" t="s">
        <v>21</v>
      </c>
      <c r="F170" t="s">
        <v>22</v>
      </c>
      <c r="H170" t="s">
        <v>4755</v>
      </c>
      <c r="I170" t="s">
        <v>4755</v>
      </c>
      <c r="J170" t="s">
        <v>4720</v>
      </c>
      <c r="L170" t="s">
        <v>203</v>
      </c>
      <c r="M170" t="s">
        <v>1383</v>
      </c>
      <c r="N170" t="s">
        <v>4542</v>
      </c>
      <c r="O170" t="s">
        <v>4790</v>
      </c>
      <c r="Q170">
        <v>0</v>
      </c>
      <c r="R170">
        <v>97</v>
      </c>
      <c r="S170">
        <v>0</v>
      </c>
      <c r="V170" t="s">
        <v>4546</v>
      </c>
      <c r="AA170" t="s">
        <v>4782</v>
      </c>
      <c r="AB170" t="s">
        <v>4994</v>
      </c>
      <c r="AF170">
        <v>1</v>
      </c>
      <c r="AG170">
        <v>1</v>
      </c>
      <c r="AH170">
        <v>0</v>
      </c>
    </row>
    <row r="171" spans="1:34" x14ac:dyDescent="0.3">
      <c r="A171">
        <v>285</v>
      </c>
      <c r="B171" t="s">
        <v>1423</v>
      </c>
      <c r="C171" t="s">
        <v>4728</v>
      </c>
      <c r="D171" t="s">
        <v>1383</v>
      </c>
      <c r="E171" t="s">
        <v>21</v>
      </c>
      <c r="F171" t="s">
        <v>22</v>
      </c>
      <c r="G171" t="s">
        <v>3607</v>
      </c>
      <c r="H171" t="s">
        <v>4729</v>
      </c>
      <c r="I171" t="s">
        <v>4730</v>
      </c>
      <c r="J171" t="s">
        <v>4480</v>
      </c>
      <c r="L171" t="s">
        <v>25</v>
      </c>
      <c r="M171" t="s">
        <v>1383</v>
      </c>
      <c r="N171" t="s">
        <v>4732</v>
      </c>
      <c r="O171" t="s">
        <v>4733</v>
      </c>
      <c r="Q171">
        <v>0</v>
      </c>
      <c r="R171">
        <v>323</v>
      </c>
      <c r="S171">
        <v>0</v>
      </c>
      <c r="U171" t="s">
        <v>4995</v>
      </c>
      <c r="V171" t="s">
        <v>4546</v>
      </c>
      <c r="W171" t="s">
        <v>4570</v>
      </c>
      <c r="X171" t="s">
        <v>4996</v>
      </c>
      <c r="Z171" t="s">
        <v>4771</v>
      </c>
      <c r="AA171" t="s">
        <v>4782</v>
      </c>
      <c r="AB171" t="s">
        <v>4783</v>
      </c>
      <c r="AF171">
        <v>1</v>
      </c>
      <c r="AG171">
        <v>1</v>
      </c>
      <c r="AH171">
        <v>1</v>
      </c>
    </row>
    <row r="172" spans="1:34" x14ac:dyDescent="0.3">
      <c r="A172">
        <v>286</v>
      </c>
      <c r="B172" t="s">
        <v>1433</v>
      </c>
      <c r="C172" t="s">
        <v>4728</v>
      </c>
      <c r="D172" t="s">
        <v>1383</v>
      </c>
      <c r="E172" t="s">
        <v>21</v>
      </c>
      <c r="F172" t="s">
        <v>22</v>
      </c>
      <c r="G172" t="s">
        <v>3608</v>
      </c>
      <c r="H172" t="s">
        <v>4729</v>
      </c>
      <c r="I172" t="s">
        <v>4730</v>
      </c>
      <c r="J172" t="s">
        <v>4720</v>
      </c>
      <c r="L172" t="s">
        <v>203</v>
      </c>
      <c r="M172" t="s">
        <v>1383</v>
      </c>
      <c r="N172" t="s">
        <v>4732</v>
      </c>
      <c r="O172" t="s">
        <v>4742</v>
      </c>
      <c r="Q172">
        <v>0</v>
      </c>
      <c r="R172">
        <v>324</v>
      </c>
      <c r="S172">
        <v>0</v>
      </c>
      <c r="U172" t="s">
        <v>4997</v>
      </c>
      <c r="V172" t="s">
        <v>4546</v>
      </c>
      <c r="W172" t="s">
        <v>4570</v>
      </c>
      <c r="X172" t="s">
        <v>4998</v>
      </c>
      <c r="Z172">
        <v>1</v>
      </c>
      <c r="AA172" t="s">
        <v>4782</v>
      </c>
      <c r="AB172" t="s">
        <v>4988</v>
      </c>
      <c r="AF172">
        <v>1</v>
      </c>
      <c r="AG172">
        <v>1</v>
      </c>
      <c r="AH172">
        <v>1</v>
      </c>
    </row>
    <row r="173" spans="1:34" x14ac:dyDescent="0.3">
      <c r="A173" t="s">
        <v>4999</v>
      </c>
      <c r="B173" t="s">
        <v>5000</v>
      </c>
      <c r="D173" t="s">
        <v>1383</v>
      </c>
      <c r="I173" t="s">
        <v>4713</v>
      </c>
      <c r="L173" t="s">
        <v>25</v>
      </c>
      <c r="M173" t="s">
        <v>1383</v>
      </c>
      <c r="N173" t="s">
        <v>4732</v>
      </c>
      <c r="O173" t="s">
        <v>4742</v>
      </c>
      <c r="Q173">
        <v>0</v>
      </c>
      <c r="R173">
        <v>325</v>
      </c>
      <c r="S173">
        <v>0</v>
      </c>
      <c r="V173" t="s">
        <v>4546</v>
      </c>
      <c r="AA173" t="s">
        <v>4782</v>
      </c>
      <c r="AB173" t="s">
        <v>4994</v>
      </c>
      <c r="AF173">
        <v>1</v>
      </c>
      <c r="AG173">
        <v>1</v>
      </c>
      <c r="AH173">
        <v>0</v>
      </c>
    </row>
    <row r="174" spans="1:34" x14ac:dyDescent="0.3">
      <c r="A174">
        <v>288</v>
      </c>
      <c r="B174" t="s">
        <v>1436</v>
      </c>
      <c r="C174" t="s">
        <v>4728</v>
      </c>
      <c r="D174" t="s">
        <v>1383</v>
      </c>
      <c r="E174" t="s">
        <v>139</v>
      </c>
      <c r="F174" t="s">
        <v>22</v>
      </c>
      <c r="G174" t="s">
        <v>3607</v>
      </c>
      <c r="H174" t="s">
        <v>4729</v>
      </c>
      <c r="I174" t="s">
        <v>4730</v>
      </c>
      <c r="J174" t="s">
        <v>4480</v>
      </c>
      <c r="L174" t="s">
        <v>203</v>
      </c>
      <c r="M174" t="s">
        <v>1383</v>
      </c>
      <c r="N174" t="s">
        <v>4732</v>
      </c>
      <c r="O174" t="s">
        <v>4742</v>
      </c>
      <c r="Q174">
        <v>0</v>
      </c>
      <c r="R174">
        <v>326</v>
      </c>
      <c r="S174">
        <v>0</v>
      </c>
      <c r="U174" t="s">
        <v>5001</v>
      </c>
      <c r="V174" t="s">
        <v>4546</v>
      </c>
      <c r="W174" t="s">
        <v>5002</v>
      </c>
      <c r="X174" t="s">
        <v>5002</v>
      </c>
      <c r="Z174" t="s">
        <v>4737</v>
      </c>
      <c r="AA174" t="s">
        <v>4782</v>
      </c>
      <c r="AB174" t="s">
        <v>4994</v>
      </c>
      <c r="AF174">
        <v>1</v>
      </c>
      <c r="AG174">
        <v>1</v>
      </c>
      <c r="AH174">
        <v>1</v>
      </c>
    </row>
    <row r="175" spans="1:34" x14ac:dyDescent="0.3">
      <c r="A175">
        <v>289</v>
      </c>
      <c r="B175" t="s">
        <v>1441</v>
      </c>
      <c r="C175" t="s">
        <v>4728</v>
      </c>
      <c r="D175" t="s">
        <v>258</v>
      </c>
      <c r="E175" t="s">
        <v>39</v>
      </c>
      <c r="F175" t="s">
        <v>22</v>
      </c>
      <c r="H175" t="s">
        <v>4755</v>
      </c>
      <c r="I175" t="s">
        <v>4755</v>
      </c>
      <c r="J175" t="s">
        <v>4480</v>
      </c>
      <c r="L175" t="s">
        <v>25</v>
      </c>
      <c r="M175" t="s">
        <v>258</v>
      </c>
      <c r="N175" t="s">
        <v>4732</v>
      </c>
      <c r="O175" t="s">
        <v>4733</v>
      </c>
      <c r="Q175">
        <v>0</v>
      </c>
      <c r="R175">
        <v>327</v>
      </c>
      <c r="S175">
        <v>0</v>
      </c>
      <c r="U175" t="s">
        <v>5003</v>
      </c>
      <c r="V175" t="s">
        <v>4758</v>
      </c>
      <c r="W175" t="s">
        <v>4802</v>
      </c>
      <c r="X175" t="s">
        <v>4889</v>
      </c>
      <c r="Z175" t="s">
        <v>4737</v>
      </c>
      <c r="AA175" t="s">
        <v>4760</v>
      </c>
      <c r="AB175" t="s">
        <v>4761</v>
      </c>
      <c r="AF175">
        <v>1</v>
      </c>
      <c r="AG175">
        <v>1</v>
      </c>
      <c r="AH175">
        <v>0</v>
      </c>
    </row>
    <row r="176" spans="1:34" x14ac:dyDescent="0.3">
      <c r="A176">
        <v>290</v>
      </c>
      <c r="B176" t="s">
        <v>1447</v>
      </c>
      <c r="C176" t="s">
        <v>4712</v>
      </c>
      <c r="D176" t="s">
        <v>1448</v>
      </c>
      <c r="E176" t="s">
        <v>121</v>
      </c>
      <c r="F176" t="s">
        <v>22</v>
      </c>
      <c r="G176" t="s">
        <v>3608</v>
      </c>
      <c r="H176" t="s">
        <v>4729</v>
      </c>
      <c r="I176" t="s">
        <v>4730</v>
      </c>
      <c r="J176" t="s">
        <v>4480</v>
      </c>
      <c r="L176" t="s">
        <v>25</v>
      </c>
      <c r="M176" t="s">
        <v>1448</v>
      </c>
      <c r="N176" t="s">
        <v>4732</v>
      </c>
      <c r="O176" t="s">
        <v>4733</v>
      </c>
      <c r="Q176">
        <v>0</v>
      </c>
      <c r="R176">
        <v>328</v>
      </c>
      <c r="S176">
        <v>0</v>
      </c>
      <c r="U176" t="s">
        <v>5004</v>
      </c>
      <c r="V176" t="s">
        <v>4758</v>
      </c>
      <c r="W176" t="s">
        <v>4842</v>
      </c>
      <c r="X176" t="s">
        <v>4842</v>
      </c>
      <c r="Z176" t="s">
        <v>4737</v>
      </c>
      <c r="AA176" t="s">
        <v>4760</v>
      </c>
      <c r="AB176" t="s">
        <v>4955</v>
      </c>
      <c r="AF176">
        <v>1</v>
      </c>
      <c r="AG176">
        <v>1</v>
      </c>
      <c r="AH176">
        <v>1</v>
      </c>
    </row>
    <row r="177" spans="1:34" x14ac:dyDescent="0.3">
      <c r="A177">
        <v>291</v>
      </c>
      <c r="B177" t="s">
        <v>1459</v>
      </c>
      <c r="C177" t="s">
        <v>4728</v>
      </c>
      <c r="D177" t="s">
        <v>1460</v>
      </c>
      <c r="E177" t="s">
        <v>21</v>
      </c>
      <c r="F177" t="s">
        <v>22</v>
      </c>
      <c r="H177" t="s">
        <v>4755</v>
      </c>
      <c r="I177" t="s">
        <v>4755</v>
      </c>
      <c r="J177" t="s">
        <v>4731</v>
      </c>
      <c r="L177" t="s">
        <v>25</v>
      </c>
      <c r="M177" t="s">
        <v>1460</v>
      </c>
      <c r="N177" t="s">
        <v>4538</v>
      </c>
      <c r="O177" t="s">
        <v>4765</v>
      </c>
      <c r="Q177">
        <v>0</v>
      </c>
      <c r="R177">
        <v>173</v>
      </c>
      <c r="S177">
        <v>0</v>
      </c>
      <c r="U177" t="s">
        <v>5005</v>
      </c>
      <c r="V177" t="s">
        <v>4544</v>
      </c>
      <c r="W177" t="s">
        <v>5006</v>
      </c>
      <c r="X177" t="s">
        <v>5006</v>
      </c>
      <c r="Z177" t="s">
        <v>4737</v>
      </c>
      <c r="AA177" t="s">
        <v>4724</v>
      </c>
      <c r="AB177" t="s">
        <v>4885</v>
      </c>
      <c r="AF177">
        <v>1</v>
      </c>
      <c r="AG177">
        <v>1</v>
      </c>
      <c r="AH177">
        <v>0</v>
      </c>
    </row>
    <row r="178" spans="1:34" x14ac:dyDescent="0.3">
      <c r="A178">
        <v>292</v>
      </c>
      <c r="B178" t="s">
        <v>1465</v>
      </c>
      <c r="C178" t="s">
        <v>4728</v>
      </c>
      <c r="D178" t="s">
        <v>1460</v>
      </c>
      <c r="E178" t="s">
        <v>21</v>
      </c>
      <c r="F178" t="s">
        <v>22</v>
      </c>
      <c r="G178" t="s">
        <v>3608</v>
      </c>
      <c r="H178" t="s">
        <v>4729</v>
      </c>
      <c r="I178" t="s">
        <v>4730</v>
      </c>
      <c r="J178" t="s">
        <v>4720</v>
      </c>
      <c r="L178" t="s">
        <v>25</v>
      </c>
      <c r="M178" t="s">
        <v>1460</v>
      </c>
      <c r="N178" t="s">
        <v>4538</v>
      </c>
      <c r="O178" t="s">
        <v>4765</v>
      </c>
      <c r="Q178">
        <v>0</v>
      </c>
      <c r="R178">
        <v>174</v>
      </c>
      <c r="S178">
        <v>0</v>
      </c>
      <c r="U178" t="s">
        <v>5007</v>
      </c>
      <c r="V178" t="s">
        <v>4544</v>
      </c>
      <c r="W178" t="s">
        <v>5006</v>
      </c>
      <c r="X178" t="s">
        <v>5006</v>
      </c>
      <c r="Z178">
        <v>1</v>
      </c>
      <c r="AA178" t="s">
        <v>4724</v>
      </c>
      <c r="AB178" t="s">
        <v>4885</v>
      </c>
      <c r="AF178">
        <v>1</v>
      </c>
      <c r="AG178">
        <v>1</v>
      </c>
      <c r="AH178">
        <v>1</v>
      </c>
    </row>
    <row r="179" spans="1:34" x14ac:dyDescent="0.3">
      <c r="A179">
        <v>293</v>
      </c>
      <c r="B179" t="s">
        <v>1472</v>
      </c>
      <c r="C179" t="s">
        <v>4728</v>
      </c>
      <c r="D179" t="s">
        <v>1460</v>
      </c>
      <c r="E179" t="s">
        <v>21</v>
      </c>
      <c r="F179" t="s">
        <v>22</v>
      </c>
      <c r="H179" t="s">
        <v>4755</v>
      </c>
      <c r="I179" t="s">
        <v>4755</v>
      </c>
      <c r="J179" t="s">
        <v>4731</v>
      </c>
      <c r="L179" t="s">
        <v>25</v>
      </c>
      <c r="M179" t="s">
        <v>1460</v>
      </c>
      <c r="N179" t="s">
        <v>4538</v>
      </c>
      <c r="O179" t="s">
        <v>4765</v>
      </c>
      <c r="Q179">
        <v>0</v>
      </c>
      <c r="R179">
        <v>175</v>
      </c>
      <c r="S179">
        <v>0</v>
      </c>
      <c r="U179" t="s">
        <v>5008</v>
      </c>
      <c r="V179" t="s">
        <v>4544</v>
      </c>
      <c r="W179" t="s">
        <v>5006</v>
      </c>
      <c r="X179" t="s">
        <v>5006</v>
      </c>
      <c r="Z179" t="s">
        <v>4737</v>
      </c>
      <c r="AA179" t="s">
        <v>4724</v>
      </c>
      <c r="AB179" t="s">
        <v>4885</v>
      </c>
      <c r="AF179">
        <v>1</v>
      </c>
      <c r="AG179">
        <v>1</v>
      </c>
      <c r="AH179">
        <v>0</v>
      </c>
    </row>
    <row r="180" spans="1:34" x14ac:dyDescent="0.3">
      <c r="A180">
        <v>294</v>
      </c>
      <c r="B180" t="s">
        <v>1481</v>
      </c>
      <c r="C180" t="s">
        <v>4728</v>
      </c>
      <c r="D180" t="s">
        <v>1460</v>
      </c>
      <c r="E180" t="s">
        <v>21</v>
      </c>
      <c r="F180" t="s">
        <v>22</v>
      </c>
      <c r="G180" t="s">
        <v>3608</v>
      </c>
      <c r="H180" t="s">
        <v>4729</v>
      </c>
      <c r="I180" t="s">
        <v>4730</v>
      </c>
      <c r="J180" t="s">
        <v>4720</v>
      </c>
      <c r="L180" t="s">
        <v>25</v>
      </c>
      <c r="M180" t="s">
        <v>1460</v>
      </c>
      <c r="N180" t="s">
        <v>4538</v>
      </c>
      <c r="O180" t="s">
        <v>4765</v>
      </c>
      <c r="Q180">
        <v>0</v>
      </c>
      <c r="R180">
        <v>176</v>
      </c>
      <c r="S180">
        <v>0</v>
      </c>
      <c r="U180" t="s">
        <v>1477</v>
      </c>
      <c r="V180" t="s">
        <v>4544</v>
      </c>
      <c r="W180" t="s">
        <v>5006</v>
      </c>
      <c r="X180" t="s">
        <v>5006</v>
      </c>
      <c r="Z180">
        <v>1</v>
      </c>
      <c r="AA180" t="s">
        <v>4724</v>
      </c>
      <c r="AB180" t="s">
        <v>4885</v>
      </c>
      <c r="AF180">
        <v>1</v>
      </c>
      <c r="AG180">
        <v>1</v>
      </c>
      <c r="AH180">
        <v>1</v>
      </c>
    </row>
    <row r="181" spans="1:34" x14ac:dyDescent="0.3">
      <c r="A181">
        <v>295</v>
      </c>
      <c r="B181" t="s">
        <v>5009</v>
      </c>
      <c r="C181" t="s">
        <v>4728</v>
      </c>
      <c r="D181" t="s">
        <v>120</v>
      </c>
      <c r="E181" t="s">
        <v>21</v>
      </c>
      <c r="F181" t="s">
        <v>22</v>
      </c>
      <c r="H181" t="s">
        <v>4755</v>
      </c>
      <c r="I181" t="s">
        <v>4755</v>
      </c>
      <c r="J181" t="s">
        <v>4731</v>
      </c>
      <c r="L181" t="s">
        <v>203</v>
      </c>
      <c r="M181" t="s">
        <v>120</v>
      </c>
      <c r="N181" t="s">
        <v>4732</v>
      </c>
      <c r="O181" t="s">
        <v>4733</v>
      </c>
      <c r="Q181">
        <v>0</v>
      </c>
      <c r="R181">
        <v>329</v>
      </c>
      <c r="S181">
        <v>0</v>
      </c>
      <c r="V181" t="s">
        <v>4762</v>
      </c>
      <c r="AA181" t="s">
        <v>4760</v>
      </c>
      <c r="AB181" t="s">
        <v>4761</v>
      </c>
      <c r="AF181">
        <v>1</v>
      </c>
      <c r="AG181">
        <v>1</v>
      </c>
      <c r="AH181">
        <v>0</v>
      </c>
    </row>
    <row r="182" spans="1:34" x14ac:dyDescent="0.3">
      <c r="A182">
        <v>296</v>
      </c>
      <c r="B182" t="s">
        <v>1489</v>
      </c>
      <c r="C182" t="s">
        <v>4728</v>
      </c>
      <c r="D182" t="s">
        <v>1490</v>
      </c>
      <c r="E182" t="s">
        <v>121</v>
      </c>
      <c r="F182" t="s">
        <v>22</v>
      </c>
      <c r="H182" t="s">
        <v>4755</v>
      </c>
      <c r="I182" t="s">
        <v>4755</v>
      </c>
      <c r="J182" t="s">
        <v>4731</v>
      </c>
      <c r="L182" t="s">
        <v>197</v>
      </c>
      <c r="M182" t="s">
        <v>1490</v>
      </c>
      <c r="N182" t="s">
        <v>4732</v>
      </c>
      <c r="O182" t="s">
        <v>4733</v>
      </c>
      <c r="Q182">
        <v>0</v>
      </c>
      <c r="R182">
        <v>330</v>
      </c>
      <c r="S182">
        <v>0</v>
      </c>
      <c r="V182" t="s">
        <v>4762</v>
      </c>
      <c r="AA182" t="s">
        <v>4792</v>
      </c>
      <c r="AB182" t="s">
        <v>4793</v>
      </c>
      <c r="AF182">
        <v>0</v>
      </c>
      <c r="AG182">
        <v>1</v>
      </c>
      <c r="AH182">
        <v>0</v>
      </c>
    </row>
    <row r="183" spans="1:34" x14ac:dyDescent="0.3">
      <c r="A183">
        <v>297</v>
      </c>
      <c r="B183" t="s">
        <v>1494</v>
      </c>
      <c r="C183" t="s">
        <v>4728</v>
      </c>
      <c r="D183" t="s">
        <v>1490</v>
      </c>
      <c r="E183" t="s">
        <v>121</v>
      </c>
      <c r="F183" t="s">
        <v>56</v>
      </c>
      <c r="H183" t="s">
        <v>4755</v>
      </c>
      <c r="I183" t="s">
        <v>4755</v>
      </c>
      <c r="J183" t="s">
        <v>4731</v>
      </c>
      <c r="L183" t="s">
        <v>197</v>
      </c>
      <c r="M183" t="s">
        <v>1490</v>
      </c>
      <c r="N183" t="s">
        <v>4732</v>
      </c>
      <c r="O183" t="s">
        <v>4733</v>
      </c>
      <c r="Q183">
        <v>0</v>
      </c>
      <c r="R183">
        <v>331</v>
      </c>
      <c r="S183">
        <v>0</v>
      </c>
      <c r="V183" t="s">
        <v>4762</v>
      </c>
      <c r="AA183" t="s">
        <v>4792</v>
      </c>
      <c r="AB183" t="s">
        <v>4793</v>
      </c>
      <c r="AF183">
        <v>0</v>
      </c>
      <c r="AG183">
        <v>1</v>
      </c>
      <c r="AH183">
        <v>0</v>
      </c>
    </row>
    <row r="184" spans="1:34" x14ac:dyDescent="0.3">
      <c r="A184">
        <v>298</v>
      </c>
      <c r="B184" t="s">
        <v>1498</v>
      </c>
      <c r="C184" t="s">
        <v>4728</v>
      </c>
      <c r="D184" t="s">
        <v>1490</v>
      </c>
      <c r="E184" t="s">
        <v>21</v>
      </c>
      <c r="F184" t="s">
        <v>56</v>
      </c>
      <c r="H184" t="s">
        <v>4755</v>
      </c>
      <c r="I184" t="s">
        <v>4755</v>
      </c>
      <c r="J184" t="s">
        <v>4720</v>
      </c>
      <c r="L184" t="s">
        <v>203</v>
      </c>
      <c r="M184" t="s">
        <v>1490</v>
      </c>
      <c r="N184" t="s">
        <v>4732</v>
      </c>
      <c r="O184" t="s">
        <v>4733</v>
      </c>
      <c r="Q184">
        <v>0</v>
      </c>
      <c r="R184">
        <v>332</v>
      </c>
      <c r="S184">
        <v>0</v>
      </c>
      <c r="V184" t="s">
        <v>4762</v>
      </c>
      <c r="AA184" t="s">
        <v>4792</v>
      </c>
      <c r="AB184" t="s">
        <v>4793</v>
      </c>
      <c r="AF184">
        <v>0</v>
      </c>
      <c r="AG184">
        <v>1</v>
      </c>
      <c r="AH184">
        <v>0</v>
      </c>
    </row>
    <row r="185" spans="1:34" x14ac:dyDescent="0.3">
      <c r="A185">
        <v>300</v>
      </c>
      <c r="B185" t="s">
        <v>1500</v>
      </c>
      <c r="C185" t="s">
        <v>4728</v>
      </c>
      <c r="D185" t="s">
        <v>1501</v>
      </c>
      <c r="E185" t="s">
        <v>39</v>
      </c>
      <c r="F185" t="s">
        <v>22</v>
      </c>
      <c r="G185" t="s">
        <v>3607</v>
      </c>
      <c r="H185" t="s">
        <v>4729</v>
      </c>
      <c r="I185" t="s">
        <v>4730</v>
      </c>
      <c r="J185" t="s">
        <v>4731</v>
      </c>
      <c r="L185" t="s">
        <v>25</v>
      </c>
      <c r="M185" t="s">
        <v>1501</v>
      </c>
      <c r="N185" t="s">
        <v>4732</v>
      </c>
      <c r="O185" t="s">
        <v>4733</v>
      </c>
      <c r="Q185">
        <v>0</v>
      </c>
      <c r="R185">
        <v>333</v>
      </c>
      <c r="S185">
        <v>0</v>
      </c>
      <c r="U185" t="s">
        <v>5010</v>
      </c>
      <c r="V185" t="s">
        <v>4735</v>
      </c>
      <c r="W185" t="s">
        <v>5011</v>
      </c>
      <c r="X185" t="s">
        <v>5011</v>
      </c>
      <c r="Z185" t="s">
        <v>4737</v>
      </c>
      <c r="AA185" t="s">
        <v>4760</v>
      </c>
      <c r="AB185" t="s">
        <v>4761</v>
      </c>
      <c r="AF185">
        <v>1</v>
      </c>
      <c r="AG185">
        <v>1</v>
      </c>
      <c r="AH185">
        <v>1</v>
      </c>
    </row>
    <row r="186" spans="1:34" x14ac:dyDescent="0.3">
      <c r="A186">
        <v>301</v>
      </c>
      <c r="B186" t="s">
        <v>1510</v>
      </c>
      <c r="C186" t="s">
        <v>4728</v>
      </c>
      <c r="D186" t="s">
        <v>1501</v>
      </c>
      <c r="E186" t="s">
        <v>39</v>
      </c>
      <c r="F186" t="s">
        <v>22</v>
      </c>
      <c r="G186" t="s">
        <v>3607</v>
      </c>
      <c r="H186" t="s">
        <v>4729</v>
      </c>
      <c r="I186" t="s">
        <v>4730</v>
      </c>
      <c r="J186" t="s">
        <v>4731</v>
      </c>
      <c r="L186" t="s">
        <v>25</v>
      </c>
      <c r="M186" t="s">
        <v>1501</v>
      </c>
      <c r="N186" t="s">
        <v>4732</v>
      </c>
      <c r="O186" t="s">
        <v>4733</v>
      </c>
      <c r="Q186">
        <v>0</v>
      </c>
      <c r="R186">
        <v>334</v>
      </c>
      <c r="S186">
        <v>0</v>
      </c>
      <c r="U186" t="s">
        <v>5012</v>
      </c>
      <c r="V186" t="s">
        <v>4735</v>
      </c>
      <c r="W186" t="s">
        <v>5013</v>
      </c>
      <c r="X186" t="s">
        <v>5013</v>
      </c>
      <c r="Z186" t="s">
        <v>4737</v>
      </c>
      <c r="AA186" t="s">
        <v>4760</v>
      </c>
      <c r="AB186" t="s">
        <v>4761</v>
      </c>
      <c r="AF186">
        <v>1</v>
      </c>
      <c r="AG186">
        <v>1</v>
      </c>
      <c r="AH186">
        <v>1</v>
      </c>
    </row>
    <row r="187" spans="1:34" x14ac:dyDescent="0.3">
      <c r="A187">
        <v>302</v>
      </c>
      <c r="B187" t="s">
        <v>1524</v>
      </c>
      <c r="C187" t="s">
        <v>4728</v>
      </c>
      <c r="D187" t="s">
        <v>1336</v>
      </c>
      <c r="E187" t="s">
        <v>21</v>
      </c>
      <c r="F187" t="s">
        <v>22</v>
      </c>
      <c r="G187" t="s">
        <v>3608</v>
      </c>
      <c r="H187" t="s">
        <v>4729</v>
      </c>
      <c r="I187" t="s">
        <v>4730</v>
      </c>
      <c r="J187" t="s">
        <v>4720</v>
      </c>
      <c r="L187" t="s">
        <v>203</v>
      </c>
      <c r="M187" t="s">
        <v>1336</v>
      </c>
      <c r="N187" t="s">
        <v>4732</v>
      </c>
      <c r="O187" t="s">
        <v>4733</v>
      </c>
      <c r="Q187">
        <v>0</v>
      </c>
      <c r="R187">
        <v>335</v>
      </c>
      <c r="S187">
        <v>0</v>
      </c>
      <c r="U187" t="s">
        <v>5014</v>
      </c>
      <c r="V187" t="s">
        <v>4546</v>
      </c>
      <c r="W187" t="s">
        <v>4972</v>
      </c>
      <c r="X187" t="s">
        <v>4972</v>
      </c>
      <c r="AA187" t="s">
        <v>4738</v>
      </c>
      <c r="AB187" t="s">
        <v>4746</v>
      </c>
      <c r="AF187">
        <v>1</v>
      </c>
      <c r="AG187">
        <v>1</v>
      </c>
      <c r="AH187">
        <v>1</v>
      </c>
    </row>
    <row r="188" spans="1:34" x14ac:dyDescent="0.3">
      <c r="A188">
        <v>303</v>
      </c>
      <c r="B188" t="s">
        <v>1527</v>
      </c>
      <c r="C188" t="s">
        <v>4728</v>
      </c>
      <c r="D188" t="s">
        <v>1528</v>
      </c>
      <c r="E188" t="s">
        <v>21</v>
      </c>
      <c r="F188" t="s">
        <v>22</v>
      </c>
      <c r="G188" t="s">
        <v>3608</v>
      </c>
      <c r="H188" t="s">
        <v>4729</v>
      </c>
      <c r="I188" t="s">
        <v>4730</v>
      </c>
      <c r="J188" t="s">
        <v>4720</v>
      </c>
      <c r="L188" t="s">
        <v>25</v>
      </c>
      <c r="M188" t="s">
        <v>1528</v>
      </c>
      <c r="N188" t="s">
        <v>4732</v>
      </c>
      <c r="O188" t="s">
        <v>4733</v>
      </c>
      <c r="Q188">
        <v>0</v>
      </c>
      <c r="R188">
        <v>336</v>
      </c>
      <c r="S188">
        <v>0</v>
      </c>
      <c r="U188" t="s">
        <v>5015</v>
      </c>
      <c r="V188" t="s">
        <v>4544</v>
      </c>
      <c r="W188" t="s">
        <v>5016</v>
      </c>
      <c r="X188" t="s">
        <v>5016</v>
      </c>
      <c r="Z188" t="s">
        <v>4737</v>
      </c>
      <c r="AA188" t="s">
        <v>4724</v>
      </c>
      <c r="AB188" t="s">
        <v>4885</v>
      </c>
      <c r="AF188">
        <v>1</v>
      </c>
      <c r="AG188">
        <v>1</v>
      </c>
      <c r="AH188">
        <v>1</v>
      </c>
    </row>
    <row r="189" spans="1:34" x14ac:dyDescent="0.3">
      <c r="A189">
        <v>304</v>
      </c>
      <c r="B189" t="s">
        <v>1535</v>
      </c>
      <c r="C189" t="s">
        <v>4728</v>
      </c>
      <c r="D189" t="s">
        <v>1528</v>
      </c>
      <c r="E189" t="s">
        <v>21</v>
      </c>
      <c r="F189" t="s">
        <v>22</v>
      </c>
      <c r="G189" t="s">
        <v>3607</v>
      </c>
      <c r="H189" t="s">
        <v>4729</v>
      </c>
      <c r="I189" t="s">
        <v>4730</v>
      </c>
      <c r="J189" t="s">
        <v>4720</v>
      </c>
      <c r="L189" t="s">
        <v>203</v>
      </c>
      <c r="M189" t="s">
        <v>1528</v>
      </c>
      <c r="N189" t="s">
        <v>4732</v>
      </c>
      <c r="O189" t="s">
        <v>4733</v>
      </c>
      <c r="Q189">
        <v>0</v>
      </c>
      <c r="R189">
        <v>337</v>
      </c>
      <c r="S189">
        <v>0</v>
      </c>
      <c r="U189" t="s">
        <v>5017</v>
      </c>
      <c r="V189" t="s">
        <v>4544</v>
      </c>
      <c r="W189" t="s">
        <v>5016</v>
      </c>
      <c r="X189" t="s">
        <v>5016</v>
      </c>
      <c r="Z189" t="s">
        <v>4771</v>
      </c>
      <c r="AA189" t="s">
        <v>4724</v>
      </c>
      <c r="AB189" t="s">
        <v>4885</v>
      </c>
      <c r="AF189">
        <v>1</v>
      </c>
      <c r="AG189">
        <v>1</v>
      </c>
      <c r="AH189">
        <v>1</v>
      </c>
    </row>
    <row r="190" spans="1:34" x14ac:dyDescent="0.3">
      <c r="A190">
        <v>305</v>
      </c>
      <c r="B190" t="s">
        <v>1540</v>
      </c>
      <c r="C190" t="s">
        <v>4728</v>
      </c>
      <c r="D190" t="s">
        <v>1528</v>
      </c>
      <c r="E190" t="s">
        <v>139</v>
      </c>
      <c r="F190" t="s">
        <v>22</v>
      </c>
      <c r="H190" t="s">
        <v>4755</v>
      </c>
      <c r="I190" t="s">
        <v>4755</v>
      </c>
      <c r="J190" t="s">
        <v>4480</v>
      </c>
      <c r="L190" t="s">
        <v>25</v>
      </c>
      <c r="M190" t="s">
        <v>1528</v>
      </c>
      <c r="N190" t="s">
        <v>4732</v>
      </c>
      <c r="O190" t="s">
        <v>4733</v>
      </c>
      <c r="Q190">
        <v>0</v>
      </c>
      <c r="R190">
        <v>338</v>
      </c>
      <c r="S190">
        <v>0</v>
      </c>
      <c r="U190" t="s">
        <v>5018</v>
      </c>
      <c r="V190" t="s">
        <v>4544</v>
      </c>
      <c r="W190" t="s">
        <v>5016</v>
      </c>
      <c r="X190" t="s">
        <v>5016</v>
      </c>
      <c r="Z190" t="s">
        <v>4737</v>
      </c>
      <c r="AA190" t="s">
        <v>4760</v>
      </c>
      <c r="AB190" t="s">
        <v>4928</v>
      </c>
      <c r="AF190">
        <v>0</v>
      </c>
      <c r="AG190">
        <v>1</v>
      </c>
      <c r="AH190">
        <v>0</v>
      </c>
    </row>
    <row r="191" spans="1:34" x14ac:dyDescent="0.3">
      <c r="A191">
        <v>306</v>
      </c>
      <c r="B191" t="s">
        <v>1543</v>
      </c>
      <c r="C191" t="s">
        <v>4712</v>
      </c>
      <c r="D191" t="s">
        <v>1241</v>
      </c>
      <c r="E191" t="s">
        <v>39</v>
      </c>
      <c r="F191" t="s">
        <v>22</v>
      </c>
      <c r="G191" t="s">
        <v>3608</v>
      </c>
      <c r="H191" t="s">
        <v>4729</v>
      </c>
      <c r="I191" t="s">
        <v>4730</v>
      </c>
      <c r="J191" t="s">
        <v>4731</v>
      </c>
      <c r="L191" t="s">
        <v>25</v>
      </c>
      <c r="M191" t="s">
        <v>1241</v>
      </c>
      <c r="N191" t="s">
        <v>4732</v>
      </c>
      <c r="O191" t="s">
        <v>4733</v>
      </c>
      <c r="P191" t="s">
        <v>4756</v>
      </c>
      <c r="Q191">
        <v>0</v>
      </c>
      <c r="R191">
        <v>339</v>
      </c>
      <c r="S191">
        <v>0</v>
      </c>
      <c r="U191" t="s">
        <v>5019</v>
      </c>
      <c r="V191" t="s">
        <v>4758</v>
      </c>
      <c r="W191" t="s">
        <v>4951</v>
      </c>
      <c r="X191" t="s">
        <v>4951</v>
      </c>
      <c r="Z191" t="s">
        <v>4737</v>
      </c>
      <c r="AA191" t="s">
        <v>4738</v>
      </c>
      <c r="AB191" t="s">
        <v>4739</v>
      </c>
      <c r="AF191">
        <v>0</v>
      </c>
      <c r="AG191">
        <v>0</v>
      </c>
      <c r="AH191">
        <v>1</v>
      </c>
    </row>
    <row r="192" spans="1:34" x14ac:dyDescent="0.3">
      <c r="A192">
        <v>307</v>
      </c>
      <c r="B192" t="s">
        <v>1555</v>
      </c>
      <c r="C192" t="s">
        <v>4712</v>
      </c>
      <c r="D192" t="s">
        <v>454</v>
      </c>
      <c r="E192" t="s">
        <v>21</v>
      </c>
      <c r="F192" t="s">
        <v>22</v>
      </c>
      <c r="H192" t="s">
        <v>4755</v>
      </c>
      <c r="I192" t="s">
        <v>4755</v>
      </c>
      <c r="J192" t="s">
        <v>4720</v>
      </c>
      <c r="L192" t="s">
        <v>203</v>
      </c>
      <c r="M192" t="s">
        <v>454</v>
      </c>
      <c r="N192" t="s">
        <v>4542</v>
      </c>
      <c r="O192" t="s">
        <v>4863</v>
      </c>
      <c r="Q192">
        <v>0</v>
      </c>
      <c r="R192">
        <v>98</v>
      </c>
      <c r="S192">
        <v>0</v>
      </c>
      <c r="U192" t="s">
        <v>5020</v>
      </c>
      <c r="V192" t="s">
        <v>4546</v>
      </c>
      <c r="W192" t="s">
        <v>5021</v>
      </c>
      <c r="X192" t="s">
        <v>5021</v>
      </c>
      <c r="Z192" t="s">
        <v>4737</v>
      </c>
      <c r="AA192" t="s">
        <v>4856</v>
      </c>
      <c r="AB192" t="s">
        <v>4857</v>
      </c>
      <c r="AF192">
        <v>1</v>
      </c>
      <c r="AG192">
        <v>1</v>
      </c>
      <c r="AH192">
        <v>0</v>
      </c>
    </row>
    <row r="193" spans="1:34" x14ac:dyDescent="0.3">
      <c r="A193">
        <v>308</v>
      </c>
      <c r="B193" t="s">
        <v>1560</v>
      </c>
      <c r="C193" t="s">
        <v>4712</v>
      </c>
      <c r="D193" t="s">
        <v>454</v>
      </c>
      <c r="E193" t="s">
        <v>21</v>
      </c>
      <c r="F193" t="s">
        <v>22</v>
      </c>
      <c r="H193" t="s">
        <v>4755</v>
      </c>
      <c r="I193" t="s">
        <v>4755</v>
      </c>
      <c r="J193" t="s">
        <v>4720</v>
      </c>
      <c r="L193" t="s">
        <v>203</v>
      </c>
      <c r="M193" t="s">
        <v>454</v>
      </c>
      <c r="N193" t="s">
        <v>4542</v>
      </c>
      <c r="O193" t="s">
        <v>4863</v>
      </c>
      <c r="Q193">
        <v>0</v>
      </c>
      <c r="R193">
        <v>99</v>
      </c>
      <c r="S193">
        <v>0</v>
      </c>
      <c r="U193" t="s">
        <v>5022</v>
      </c>
      <c r="V193" t="s">
        <v>4546</v>
      </c>
      <c r="W193" t="s">
        <v>5021</v>
      </c>
      <c r="X193" t="s">
        <v>5021</v>
      </c>
      <c r="Z193" t="s">
        <v>4737</v>
      </c>
      <c r="AA193" t="s">
        <v>4782</v>
      </c>
      <c r="AB193" t="s">
        <v>4988</v>
      </c>
      <c r="AF193">
        <v>1</v>
      </c>
      <c r="AG193">
        <v>1</v>
      </c>
      <c r="AH193">
        <v>0</v>
      </c>
    </row>
    <row r="194" spans="1:34" x14ac:dyDescent="0.3">
      <c r="A194">
        <v>309</v>
      </c>
      <c r="B194" t="s">
        <v>1565</v>
      </c>
      <c r="C194" t="s">
        <v>4712</v>
      </c>
      <c r="D194" t="s">
        <v>454</v>
      </c>
      <c r="E194" t="s">
        <v>21</v>
      </c>
      <c r="F194" t="s">
        <v>22</v>
      </c>
      <c r="H194" t="s">
        <v>4755</v>
      </c>
      <c r="I194" t="s">
        <v>4755</v>
      </c>
      <c r="J194" t="s">
        <v>4720</v>
      </c>
      <c r="L194" t="s">
        <v>203</v>
      </c>
      <c r="M194" t="s">
        <v>454</v>
      </c>
      <c r="N194" t="s">
        <v>4542</v>
      </c>
      <c r="O194" t="s">
        <v>4863</v>
      </c>
      <c r="Q194">
        <v>0</v>
      </c>
      <c r="R194">
        <v>100</v>
      </c>
      <c r="S194">
        <v>0</v>
      </c>
      <c r="U194" t="s">
        <v>5023</v>
      </c>
      <c r="V194" t="s">
        <v>4546</v>
      </c>
      <c r="W194" t="s">
        <v>5021</v>
      </c>
      <c r="X194" t="s">
        <v>5021</v>
      </c>
      <c r="Z194" t="s">
        <v>4737</v>
      </c>
      <c r="AA194" t="s">
        <v>4782</v>
      </c>
      <c r="AB194" t="s">
        <v>4988</v>
      </c>
      <c r="AF194">
        <v>1</v>
      </c>
      <c r="AG194">
        <v>1</v>
      </c>
      <c r="AH194">
        <v>0</v>
      </c>
    </row>
    <row r="195" spans="1:34" x14ac:dyDescent="0.3">
      <c r="A195">
        <v>310</v>
      </c>
      <c r="B195" t="s">
        <v>1571</v>
      </c>
      <c r="C195" t="s">
        <v>4712</v>
      </c>
      <c r="D195" t="s">
        <v>454</v>
      </c>
      <c r="E195" t="s">
        <v>21</v>
      </c>
      <c r="F195" t="s">
        <v>22</v>
      </c>
      <c r="H195" t="s">
        <v>4755</v>
      </c>
      <c r="I195" t="s">
        <v>4755</v>
      </c>
      <c r="J195" t="s">
        <v>4720</v>
      </c>
      <c r="L195" t="s">
        <v>203</v>
      </c>
      <c r="M195" t="s">
        <v>454</v>
      </c>
      <c r="N195" t="s">
        <v>4542</v>
      </c>
      <c r="O195" t="s">
        <v>4863</v>
      </c>
      <c r="Q195">
        <v>0</v>
      </c>
      <c r="R195">
        <v>101</v>
      </c>
      <c r="S195">
        <v>0</v>
      </c>
      <c r="U195" t="s">
        <v>5024</v>
      </c>
      <c r="V195" t="s">
        <v>4546</v>
      </c>
      <c r="W195" t="s">
        <v>5021</v>
      </c>
      <c r="X195" t="s">
        <v>5021</v>
      </c>
      <c r="Z195" t="s">
        <v>4737</v>
      </c>
      <c r="AA195" t="s">
        <v>4724</v>
      </c>
      <c r="AB195" t="s">
        <v>4725</v>
      </c>
      <c r="AF195">
        <v>1</v>
      </c>
      <c r="AG195">
        <v>1</v>
      </c>
      <c r="AH195">
        <v>0</v>
      </c>
    </row>
    <row r="196" spans="1:34" x14ac:dyDescent="0.3">
      <c r="A196">
        <v>311</v>
      </c>
      <c r="B196" t="s">
        <v>1576</v>
      </c>
      <c r="C196" t="s">
        <v>4712</v>
      </c>
      <c r="D196" t="s">
        <v>454</v>
      </c>
      <c r="E196" t="s">
        <v>21</v>
      </c>
      <c r="F196" t="s">
        <v>22</v>
      </c>
      <c r="H196" t="s">
        <v>4755</v>
      </c>
      <c r="I196" t="s">
        <v>4755</v>
      </c>
      <c r="J196" t="s">
        <v>4720</v>
      </c>
      <c r="L196" t="s">
        <v>203</v>
      </c>
      <c r="M196" t="s">
        <v>454</v>
      </c>
      <c r="N196" t="s">
        <v>4542</v>
      </c>
      <c r="O196" t="s">
        <v>4863</v>
      </c>
      <c r="Q196">
        <v>0</v>
      </c>
      <c r="R196">
        <v>102</v>
      </c>
      <c r="S196">
        <v>0</v>
      </c>
      <c r="U196" t="s">
        <v>5025</v>
      </c>
      <c r="V196" t="s">
        <v>4546</v>
      </c>
      <c r="W196" t="s">
        <v>5021</v>
      </c>
      <c r="X196" t="s">
        <v>5021</v>
      </c>
      <c r="Z196" t="s">
        <v>4737</v>
      </c>
      <c r="AA196" t="s">
        <v>4724</v>
      </c>
      <c r="AB196" t="s">
        <v>4725</v>
      </c>
      <c r="AF196">
        <v>1</v>
      </c>
      <c r="AG196">
        <v>1</v>
      </c>
      <c r="AH196">
        <v>0</v>
      </c>
    </row>
    <row r="197" spans="1:34" x14ac:dyDescent="0.3">
      <c r="A197">
        <v>312</v>
      </c>
      <c r="B197" t="s">
        <v>1581</v>
      </c>
      <c r="C197" t="s">
        <v>4712</v>
      </c>
      <c r="D197" t="s">
        <v>454</v>
      </c>
      <c r="E197" t="s">
        <v>21</v>
      </c>
      <c r="F197" t="s">
        <v>22</v>
      </c>
      <c r="H197" t="s">
        <v>4755</v>
      </c>
      <c r="I197" t="s">
        <v>4755</v>
      </c>
      <c r="J197" t="s">
        <v>4720</v>
      </c>
      <c r="L197" t="s">
        <v>203</v>
      </c>
      <c r="M197" t="s">
        <v>454</v>
      </c>
      <c r="N197" t="s">
        <v>4542</v>
      </c>
      <c r="O197" t="s">
        <v>4863</v>
      </c>
      <c r="Q197">
        <v>0</v>
      </c>
      <c r="R197">
        <v>103</v>
      </c>
      <c r="S197">
        <v>0</v>
      </c>
      <c r="U197" t="s">
        <v>5026</v>
      </c>
      <c r="V197" t="s">
        <v>4546</v>
      </c>
      <c r="W197" t="s">
        <v>5021</v>
      </c>
      <c r="X197" t="s">
        <v>5021</v>
      </c>
      <c r="Z197" t="s">
        <v>4737</v>
      </c>
      <c r="AA197" t="s">
        <v>4718</v>
      </c>
      <c r="AB197" t="s">
        <v>4984</v>
      </c>
      <c r="AF197">
        <v>1</v>
      </c>
      <c r="AG197">
        <v>1</v>
      </c>
      <c r="AH197">
        <v>0</v>
      </c>
    </row>
    <row r="198" spans="1:34" x14ac:dyDescent="0.3">
      <c r="A198">
        <v>313</v>
      </c>
      <c r="B198" t="s">
        <v>1586</v>
      </c>
      <c r="C198" t="s">
        <v>4712</v>
      </c>
      <c r="D198" t="s">
        <v>454</v>
      </c>
      <c r="E198" t="s">
        <v>21</v>
      </c>
      <c r="F198" t="s">
        <v>22</v>
      </c>
      <c r="H198" t="s">
        <v>4755</v>
      </c>
      <c r="I198" t="s">
        <v>4755</v>
      </c>
      <c r="J198" t="s">
        <v>4720</v>
      </c>
      <c r="L198" t="s">
        <v>203</v>
      </c>
      <c r="M198" t="s">
        <v>454</v>
      </c>
      <c r="N198" t="s">
        <v>4542</v>
      </c>
      <c r="O198" t="s">
        <v>4863</v>
      </c>
      <c r="Q198">
        <v>0</v>
      </c>
      <c r="R198">
        <v>104</v>
      </c>
      <c r="S198">
        <v>0</v>
      </c>
      <c r="U198" t="s">
        <v>5027</v>
      </c>
      <c r="V198" t="s">
        <v>4546</v>
      </c>
      <c r="W198" t="s">
        <v>5021</v>
      </c>
      <c r="X198" t="s">
        <v>5021</v>
      </c>
      <c r="Z198" t="s">
        <v>4737</v>
      </c>
      <c r="AA198" t="s">
        <v>4856</v>
      </c>
      <c r="AB198" t="s">
        <v>4857</v>
      </c>
      <c r="AF198">
        <v>1</v>
      </c>
      <c r="AG198">
        <v>1</v>
      </c>
      <c r="AH198">
        <v>0</v>
      </c>
    </row>
    <row r="199" spans="1:34" x14ac:dyDescent="0.3">
      <c r="A199">
        <v>314</v>
      </c>
      <c r="B199" t="s">
        <v>1591</v>
      </c>
      <c r="C199" t="s">
        <v>4712</v>
      </c>
      <c r="D199" t="s">
        <v>454</v>
      </c>
      <c r="E199" t="s">
        <v>21</v>
      </c>
      <c r="F199" t="s">
        <v>22</v>
      </c>
      <c r="H199" t="s">
        <v>4755</v>
      </c>
      <c r="I199" t="s">
        <v>4755</v>
      </c>
      <c r="J199" t="s">
        <v>4720</v>
      </c>
      <c r="L199" t="s">
        <v>203</v>
      </c>
      <c r="M199" t="s">
        <v>454</v>
      </c>
      <c r="N199" t="s">
        <v>4542</v>
      </c>
      <c r="O199" t="s">
        <v>4863</v>
      </c>
      <c r="Q199">
        <v>0</v>
      </c>
      <c r="R199">
        <v>105</v>
      </c>
      <c r="S199">
        <v>0</v>
      </c>
      <c r="U199" t="s">
        <v>5028</v>
      </c>
      <c r="V199" t="s">
        <v>4546</v>
      </c>
      <c r="W199" t="s">
        <v>5021</v>
      </c>
      <c r="X199" t="s">
        <v>5021</v>
      </c>
      <c r="Z199" t="s">
        <v>4737</v>
      </c>
      <c r="AA199" t="s">
        <v>4856</v>
      </c>
      <c r="AB199" t="s">
        <v>4857</v>
      </c>
      <c r="AF199">
        <v>1</v>
      </c>
      <c r="AG199">
        <v>1</v>
      </c>
      <c r="AH199">
        <v>0</v>
      </c>
    </row>
    <row r="200" spans="1:34" x14ac:dyDescent="0.3">
      <c r="A200">
        <v>315</v>
      </c>
      <c r="B200" t="s">
        <v>3518</v>
      </c>
      <c r="C200" t="s">
        <v>4728</v>
      </c>
      <c r="D200" t="s">
        <v>454</v>
      </c>
      <c r="E200" t="s">
        <v>21</v>
      </c>
      <c r="F200" t="s">
        <v>22</v>
      </c>
      <c r="H200" t="s">
        <v>4755</v>
      </c>
      <c r="I200" t="s">
        <v>4755</v>
      </c>
      <c r="J200" t="s">
        <v>4720</v>
      </c>
      <c r="L200" t="s">
        <v>203</v>
      </c>
      <c r="M200" t="s">
        <v>454</v>
      </c>
      <c r="N200" t="s">
        <v>4542</v>
      </c>
      <c r="O200" t="s">
        <v>4863</v>
      </c>
      <c r="Q200">
        <v>0</v>
      </c>
      <c r="R200">
        <v>106</v>
      </c>
      <c r="S200">
        <v>0</v>
      </c>
      <c r="V200" t="s">
        <v>4546</v>
      </c>
      <c r="AA200" t="s">
        <v>4856</v>
      </c>
      <c r="AB200" t="s">
        <v>4857</v>
      </c>
      <c r="AF200">
        <v>1</v>
      </c>
      <c r="AG200">
        <v>1</v>
      </c>
      <c r="AH200">
        <v>0</v>
      </c>
    </row>
    <row r="201" spans="1:34" x14ac:dyDescent="0.3">
      <c r="A201">
        <v>316</v>
      </c>
      <c r="B201" t="s">
        <v>1598</v>
      </c>
      <c r="C201" t="s">
        <v>4712</v>
      </c>
      <c r="D201" t="s">
        <v>454</v>
      </c>
      <c r="E201" t="s">
        <v>21</v>
      </c>
      <c r="F201" t="s">
        <v>22</v>
      </c>
      <c r="H201" t="s">
        <v>4755</v>
      </c>
      <c r="I201" t="s">
        <v>4755</v>
      </c>
      <c r="J201" t="s">
        <v>4720</v>
      </c>
      <c r="L201" t="s">
        <v>203</v>
      </c>
      <c r="M201" t="s">
        <v>454</v>
      </c>
      <c r="N201" t="s">
        <v>4542</v>
      </c>
      <c r="O201" t="s">
        <v>4863</v>
      </c>
      <c r="Q201">
        <v>0</v>
      </c>
      <c r="R201">
        <v>107</v>
      </c>
      <c r="S201">
        <v>0</v>
      </c>
      <c r="V201" t="s">
        <v>4546</v>
      </c>
      <c r="AA201" t="s">
        <v>4856</v>
      </c>
      <c r="AB201" t="s">
        <v>4857</v>
      </c>
      <c r="AF201">
        <v>1</v>
      </c>
      <c r="AG201">
        <v>1</v>
      </c>
      <c r="AH201">
        <v>0</v>
      </c>
    </row>
    <row r="202" spans="1:34" x14ac:dyDescent="0.3">
      <c r="A202">
        <v>317</v>
      </c>
      <c r="B202" t="s">
        <v>1601</v>
      </c>
      <c r="C202" t="s">
        <v>4728</v>
      </c>
      <c r="D202" t="s">
        <v>454</v>
      </c>
      <c r="E202" t="s">
        <v>139</v>
      </c>
      <c r="F202" t="s">
        <v>22</v>
      </c>
      <c r="H202" t="s">
        <v>4755</v>
      </c>
      <c r="I202" t="s">
        <v>4755</v>
      </c>
      <c r="J202" t="s">
        <v>4480</v>
      </c>
      <c r="L202" t="s">
        <v>203</v>
      </c>
      <c r="M202" t="s">
        <v>454</v>
      </c>
      <c r="N202" t="s">
        <v>4542</v>
      </c>
      <c r="O202" t="s">
        <v>4863</v>
      </c>
      <c r="Q202">
        <v>0</v>
      </c>
      <c r="R202">
        <v>108</v>
      </c>
      <c r="S202">
        <v>0</v>
      </c>
      <c r="U202" t="s">
        <v>1601</v>
      </c>
      <c r="V202" t="s">
        <v>4546</v>
      </c>
      <c r="W202" t="s">
        <v>5021</v>
      </c>
      <c r="X202" t="s">
        <v>5021</v>
      </c>
      <c r="Z202" t="s">
        <v>4737</v>
      </c>
      <c r="AA202" t="s">
        <v>4856</v>
      </c>
      <c r="AB202" t="s">
        <v>4857</v>
      </c>
      <c r="AF202">
        <v>0</v>
      </c>
      <c r="AG202">
        <v>1</v>
      </c>
      <c r="AH202">
        <v>0</v>
      </c>
    </row>
    <row r="203" spans="1:34" x14ac:dyDescent="0.3">
      <c r="A203">
        <v>318</v>
      </c>
      <c r="B203" t="s">
        <v>1607</v>
      </c>
      <c r="C203" t="s">
        <v>4728</v>
      </c>
      <c r="D203" t="s">
        <v>454</v>
      </c>
      <c r="E203" t="s">
        <v>139</v>
      </c>
      <c r="F203" t="s">
        <v>22</v>
      </c>
      <c r="G203" t="s">
        <v>3607</v>
      </c>
      <c r="H203" t="s">
        <v>4729</v>
      </c>
      <c r="I203" t="s">
        <v>4730</v>
      </c>
      <c r="J203" t="s">
        <v>4480</v>
      </c>
      <c r="L203" t="s">
        <v>25</v>
      </c>
      <c r="M203" t="s">
        <v>454</v>
      </c>
      <c r="N203" t="s">
        <v>4542</v>
      </c>
      <c r="O203" t="s">
        <v>4863</v>
      </c>
      <c r="Q203">
        <v>0</v>
      </c>
      <c r="R203">
        <v>109</v>
      </c>
      <c r="S203">
        <v>0</v>
      </c>
      <c r="U203" t="s">
        <v>5029</v>
      </c>
      <c r="V203" t="s">
        <v>4546</v>
      </c>
      <c r="W203" t="s">
        <v>5021</v>
      </c>
      <c r="X203" t="s">
        <v>5021</v>
      </c>
      <c r="AA203" t="s">
        <v>4856</v>
      </c>
      <c r="AB203" t="s">
        <v>4857</v>
      </c>
      <c r="AF203">
        <v>1</v>
      </c>
      <c r="AG203">
        <v>1</v>
      </c>
      <c r="AH203">
        <v>1</v>
      </c>
    </row>
    <row r="204" spans="1:34" x14ac:dyDescent="0.3">
      <c r="A204">
        <v>319</v>
      </c>
      <c r="B204" t="s">
        <v>1609</v>
      </c>
      <c r="C204" t="s">
        <v>4728</v>
      </c>
      <c r="D204" t="s">
        <v>454</v>
      </c>
      <c r="E204" t="s">
        <v>21</v>
      </c>
      <c r="F204" t="s">
        <v>22</v>
      </c>
      <c r="H204" t="s">
        <v>4755</v>
      </c>
      <c r="I204" t="s">
        <v>4755</v>
      </c>
      <c r="J204" t="s">
        <v>4720</v>
      </c>
      <c r="L204" t="s">
        <v>25</v>
      </c>
      <c r="M204" t="s">
        <v>454</v>
      </c>
      <c r="N204" t="s">
        <v>4542</v>
      </c>
      <c r="O204" t="s">
        <v>4863</v>
      </c>
      <c r="Q204">
        <v>0</v>
      </c>
      <c r="R204">
        <v>110</v>
      </c>
      <c r="S204">
        <v>0</v>
      </c>
      <c r="U204" t="s">
        <v>5030</v>
      </c>
      <c r="V204" t="s">
        <v>4546</v>
      </c>
      <c r="W204" t="s">
        <v>5021</v>
      </c>
      <c r="X204" t="s">
        <v>5021</v>
      </c>
      <c r="Z204" t="s">
        <v>4737</v>
      </c>
      <c r="AA204" t="s">
        <v>4856</v>
      </c>
      <c r="AB204" t="s">
        <v>4857</v>
      </c>
      <c r="AF204">
        <v>1</v>
      </c>
      <c r="AG204">
        <v>1</v>
      </c>
      <c r="AH204">
        <v>0</v>
      </c>
    </row>
    <row r="205" spans="1:34" x14ac:dyDescent="0.3">
      <c r="A205">
        <v>320</v>
      </c>
      <c r="B205" t="s">
        <v>1617</v>
      </c>
      <c r="C205" t="s">
        <v>4712</v>
      </c>
      <c r="D205" t="s">
        <v>454</v>
      </c>
      <c r="E205" t="s">
        <v>21</v>
      </c>
      <c r="F205" t="s">
        <v>22</v>
      </c>
      <c r="H205" t="s">
        <v>4755</v>
      </c>
      <c r="I205" t="s">
        <v>4755</v>
      </c>
      <c r="J205" t="s">
        <v>4720</v>
      </c>
      <c r="L205" t="s">
        <v>203</v>
      </c>
      <c r="M205" t="s">
        <v>454</v>
      </c>
      <c r="N205" t="s">
        <v>4542</v>
      </c>
      <c r="O205" t="s">
        <v>4863</v>
      </c>
      <c r="Q205">
        <v>0</v>
      </c>
      <c r="R205">
        <v>111</v>
      </c>
      <c r="S205">
        <v>0</v>
      </c>
      <c r="U205" t="s">
        <v>5031</v>
      </c>
      <c r="V205" t="s">
        <v>4546</v>
      </c>
      <c r="W205" t="s">
        <v>5021</v>
      </c>
      <c r="X205" t="s">
        <v>5021</v>
      </c>
      <c r="Z205" t="s">
        <v>4737</v>
      </c>
      <c r="AA205" t="s">
        <v>4856</v>
      </c>
      <c r="AB205" t="s">
        <v>4857</v>
      </c>
      <c r="AF205">
        <v>1</v>
      </c>
      <c r="AG205">
        <v>1</v>
      </c>
      <c r="AH205">
        <v>0</v>
      </c>
    </row>
    <row r="206" spans="1:34" x14ac:dyDescent="0.3">
      <c r="A206">
        <v>321</v>
      </c>
      <c r="B206" t="s">
        <v>1623</v>
      </c>
      <c r="C206" t="s">
        <v>4712</v>
      </c>
      <c r="D206" t="s">
        <v>454</v>
      </c>
      <c r="E206" t="s">
        <v>21</v>
      </c>
      <c r="F206" t="s">
        <v>22</v>
      </c>
      <c r="H206" t="s">
        <v>4755</v>
      </c>
      <c r="I206" t="s">
        <v>4755</v>
      </c>
      <c r="J206" t="s">
        <v>4720</v>
      </c>
      <c r="L206" t="s">
        <v>203</v>
      </c>
      <c r="M206" t="s">
        <v>454</v>
      </c>
      <c r="N206" t="s">
        <v>4542</v>
      </c>
      <c r="O206" t="s">
        <v>4863</v>
      </c>
      <c r="Q206">
        <v>0</v>
      </c>
      <c r="R206">
        <v>112</v>
      </c>
      <c r="S206">
        <v>0</v>
      </c>
      <c r="U206" t="s">
        <v>1623</v>
      </c>
      <c r="V206" t="s">
        <v>4546</v>
      </c>
      <c r="W206" t="s">
        <v>5021</v>
      </c>
      <c r="X206" t="s">
        <v>5021</v>
      </c>
      <c r="Z206" t="s">
        <v>4737</v>
      </c>
      <c r="AA206" t="s">
        <v>4856</v>
      </c>
      <c r="AB206" t="s">
        <v>4857</v>
      </c>
      <c r="AF206">
        <v>1</v>
      </c>
      <c r="AG206">
        <v>1</v>
      </c>
      <c r="AH206">
        <v>0</v>
      </c>
    </row>
    <row r="207" spans="1:34" x14ac:dyDescent="0.3">
      <c r="A207">
        <v>323</v>
      </c>
      <c r="B207" t="s">
        <v>1626</v>
      </c>
      <c r="C207" t="s">
        <v>4712</v>
      </c>
      <c r="D207" t="s">
        <v>1627</v>
      </c>
      <c r="E207" t="s">
        <v>21</v>
      </c>
      <c r="F207" t="s">
        <v>22</v>
      </c>
      <c r="G207" t="s">
        <v>3607</v>
      </c>
      <c r="H207" t="s">
        <v>4729</v>
      </c>
      <c r="I207" t="s">
        <v>4730</v>
      </c>
      <c r="J207" t="s">
        <v>4720</v>
      </c>
      <c r="L207" t="s">
        <v>203</v>
      </c>
      <c r="M207" t="s">
        <v>1627</v>
      </c>
      <c r="N207" t="s">
        <v>4542</v>
      </c>
      <c r="O207" t="s">
        <v>4863</v>
      </c>
      <c r="P207" t="s">
        <v>5032</v>
      </c>
      <c r="Q207">
        <v>0</v>
      </c>
      <c r="R207">
        <v>4</v>
      </c>
      <c r="S207">
        <v>0</v>
      </c>
      <c r="U207" t="s">
        <v>5033</v>
      </c>
      <c r="V207" t="s">
        <v>4546</v>
      </c>
      <c r="W207" t="s">
        <v>5034</v>
      </c>
      <c r="X207" t="s">
        <v>5035</v>
      </c>
      <c r="Z207">
        <v>1</v>
      </c>
      <c r="AA207" t="s">
        <v>4718</v>
      </c>
      <c r="AB207" t="s">
        <v>4719</v>
      </c>
      <c r="AC207">
        <v>1</v>
      </c>
      <c r="AD207">
        <v>1</v>
      </c>
      <c r="AF207">
        <v>1</v>
      </c>
      <c r="AG207">
        <v>1</v>
      </c>
      <c r="AH207">
        <v>1</v>
      </c>
    </row>
    <row r="208" spans="1:34" x14ac:dyDescent="0.3">
      <c r="A208">
        <v>324</v>
      </c>
      <c r="B208" t="s">
        <v>1632</v>
      </c>
      <c r="C208" t="s">
        <v>4712</v>
      </c>
      <c r="D208" t="s">
        <v>1627</v>
      </c>
      <c r="E208" t="s">
        <v>21</v>
      </c>
      <c r="F208" t="s">
        <v>22</v>
      </c>
      <c r="G208" t="s">
        <v>3607</v>
      </c>
      <c r="H208" t="s">
        <v>4729</v>
      </c>
      <c r="I208" t="s">
        <v>4730</v>
      </c>
      <c r="J208" t="s">
        <v>4720</v>
      </c>
      <c r="L208" t="s">
        <v>203</v>
      </c>
      <c r="M208" t="s">
        <v>1627</v>
      </c>
      <c r="N208" t="s">
        <v>4542</v>
      </c>
      <c r="O208" t="s">
        <v>4863</v>
      </c>
      <c r="Q208">
        <v>0</v>
      </c>
      <c r="R208">
        <v>113</v>
      </c>
      <c r="S208">
        <v>0</v>
      </c>
      <c r="U208" t="s">
        <v>5036</v>
      </c>
      <c r="V208" t="s">
        <v>4546</v>
      </c>
      <c r="W208" t="s">
        <v>5037</v>
      </c>
      <c r="X208" t="s">
        <v>5038</v>
      </c>
      <c r="Z208" t="s">
        <v>4737</v>
      </c>
      <c r="AA208" t="s">
        <v>4718</v>
      </c>
      <c r="AB208" t="s">
        <v>4719</v>
      </c>
      <c r="AF208">
        <v>1</v>
      </c>
      <c r="AG208">
        <v>1</v>
      </c>
      <c r="AH208">
        <v>1</v>
      </c>
    </row>
    <row r="209" spans="1:34" x14ac:dyDescent="0.3">
      <c r="A209">
        <v>325</v>
      </c>
      <c r="B209" t="s">
        <v>1642</v>
      </c>
      <c r="C209" t="s">
        <v>4712</v>
      </c>
      <c r="D209" t="s">
        <v>1627</v>
      </c>
      <c r="E209" t="s">
        <v>21</v>
      </c>
      <c r="F209" t="s">
        <v>22</v>
      </c>
      <c r="G209" t="s">
        <v>3607</v>
      </c>
      <c r="H209" t="s">
        <v>4729</v>
      </c>
      <c r="I209" t="s">
        <v>4730</v>
      </c>
      <c r="J209" t="s">
        <v>4720</v>
      </c>
      <c r="L209" t="s">
        <v>203</v>
      </c>
      <c r="M209" t="s">
        <v>1627</v>
      </c>
      <c r="N209" t="s">
        <v>4542</v>
      </c>
      <c r="O209" t="s">
        <v>4863</v>
      </c>
      <c r="P209" t="s">
        <v>5032</v>
      </c>
      <c r="Q209">
        <v>0</v>
      </c>
      <c r="R209">
        <v>3</v>
      </c>
      <c r="S209">
        <v>0</v>
      </c>
      <c r="U209" t="s">
        <v>5039</v>
      </c>
      <c r="V209" t="s">
        <v>4546</v>
      </c>
      <c r="W209" t="s">
        <v>5037</v>
      </c>
      <c r="X209" t="s">
        <v>5038</v>
      </c>
      <c r="Z209">
        <v>1</v>
      </c>
      <c r="AA209" t="s">
        <v>4718</v>
      </c>
      <c r="AB209" t="s">
        <v>4719</v>
      </c>
      <c r="AC209">
        <v>1</v>
      </c>
      <c r="AD209">
        <v>1</v>
      </c>
      <c r="AF209">
        <v>1</v>
      </c>
      <c r="AG209">
        <v>1</v>
      </c>
      <c r="AH209">
        <v>1</v>
      </c>
    </row>
    <row r="210" spans="1:34" x14ac:dyDescent="0.3">
      <c r="A210" t="s">
        <v>5040</v>
      </c>
      <c r="B210" t="s">
        <v>3564</v>
      </c>
      <c r="D210" t="s">
        <v>1627</v>
      </c>
      <c r="E210" t="s">
        <v>21</v>
      </c>
      <c r="F210" t="s">
        <v>22</v>
      </c>
      <c r="I210" t="s">
        <v>4713</v>
      </c>
      <c r="J210" t="s">
        <v>4720</v>
      </c>
      <c r="L210" t="s">
        <v>203</v>
      </c>
      <c r="M210" t="s">
        <v>1627</v>
      </c>
      <c r="V210" t="s">
        <v>4546</v>
      </c>
    </row>
    <row r="211" spans="1:34" x14ac:dyDescent="0.3">
      <c r="A211" t="s">
        <v>5041</v>
      </c>
      <c r="B211" t="s">
        <v>3565</v>
      </c>
      <c r="D211" t="s">
        <v>1627</v>
      </c>
      <c r="E211" t="s">
        <v>21</v>
      </c>
      <c r="F211" t="s">
        <v>22</v>
      </c>
      <c r="I211" t="s">
        <v>4713</v>
      </c>
      <c r="J211" t="s">
        <v>4720</v>
      </c>
      <c r="L211" t="s">
        <v>203</v>
      </c>
      <c r="M211" t="s">
        <v>1627</v>
      </c>
      <c r="V211" t="s">
        <v>4546</v>
      </c>
    </row>
    <row r="212" spans="1:34" x14ac:dyDescent="0.3">
      <c r="A212">
        <v>326</v>
      </c>
      <c r="B212" t="s">
        <v>1645</v>
      </c>
      <c r="C212" t="s">
        <v>4728</v>
      </c>
      <c r="D212" t="s">
        <v>1364</v>
      </c>
      <c r="E212" t="s">
        <v>139</v>
      </c>
      <c r="F212" t="s">
        <v>22</v>
      </c>
      <c r="G212" t="s">
        <v>3607</v>
      </c>
      <c r="H212" t="s">
        <v>4729</v>
      </c>
      <c r="I212" t="s">
        <v>4730</v>
      </c>
      <c r="J212" t="s">
        <v>4480</v>
      </c>
      <c r="L212" t="s">
        <v>203</v>
      </c>
      <c r="M212" t="s">
        <v>1364</v>
      </c>
      <c r="N212" t="s">
        <v>4542</v>
      </c>
      <c r="O212" t="s">
        <v>4790</v>
      </c>
      <c r="Q212">
        <v>0</v>
      </c>
      <c r="R212">
        <v>114</v>
      </c>
      <c r="S212">
        <v>0</v>
      </c>
      <c r="U212" t="s">
        <v>5042</v>
      </c>
      <c r="V212" t="s">
        <v>4546</v>
      </c>
      <c r="W212" t="s">
        <v>5038</v>
      </c>
      <c r="X212" t="s">
        <v>5038</v>
      </c>
      <c r="Z212" t="s">
        <v>4737</v>
      </c>
      <c r="AA212" t="s">
        <v>4760</v>
      </c>
      <c r="AB212" t="s">
        <v>4779</v>
      </c>
      <c r="AF212">
        <v>0</v>
      </c>
      <c r="AG212">
        <v>1</v>
      </c>
      <c r="AH212">
        <v>1</v>
      </c>
    </row>
    <row r="213" spans="1:34" x14ac:dyDescent="0.3">
      <c r="A213">
        <v>327</v>
      </c>
      <c r="B213" t="s">
        <v>1652</v>
      </c>
      <c r="C213" t="s">
        <v>4712</v>
      </c>
      <c r="D213" t="s">
        <v>1364</v>
      </c>
      <c r="E213" t="s">
        <v>21</v>
      </c>
      <c r="F213" t="s">
        <v>22</v>
      </c>
      <c r="G213" t="s">
        <v>3607</v>
      </c>
      <c r="H213" t="s">
        <v>4729</v>
      </c>
      <c r="I213" t="s">
        <v>4730</v>
      </c>
      <c r="J213" t="s">
        <v>4720</v>
      </c>
      <c r="L213" t="s">
        <v>203</v>
      </c>
      <c r="M213" t="s">
        <v>1364</v>
      </c>
      <c r="N213" t="s">
        <v>4542</v>
      </c>
      <c r="O213" t="s">
        <v>4790</v>
      </c>
      <c r="P213" t="s">
        <v>4791</v>
      </c>
      <c r="Q213">
        <v>0</v>
      </c>
      <c r="R213">
        <v>5</v>
      </c>
      <c r="S213">
        <v>0</v>
      </c>
      <c r="U213" t="s">
        <v>5043</v>
      </c>
      <c r="V213" t="s">
        <v>4546</v>
      </c>
      <c r="W213" t="s">
        <v>5038</v>
      </c>
      <c r="X213" t="s">
        <v>5038</v>
      </c>
      <c r="Z213" t="s">
        <v>4737</v>
      </c>
      <c r="AA213" t="s">
        <v>4760</v>
      </c>
      <c r="AB213" t="s">
        <v>4779</v>
      </c>
      <c r="AD213">
        <v>0</v>
      </c>
      <c r="AF213">
        <v>1</v>
      </c>
      <c r="AG213">
        <v>1</v>
      </c>
      <c r="AH213">
        <v>1</v>
      </c>
    </row>
    <row r="214" spans="1:34" x14ac:dyDescent="0.3">
      <c r="A214">
        <v>328</v>
      </c>
      <c r="B214" t="s">
        <v>1653</v>
      </c>
      <c r="C214" t="s">
        <v>4712</v>
      </c>
      <c r="D214" t="s">
        <v>1654</v>
      </c>
      <c r="E214" t="s">
        <v>139</v>
      </c>
      <c r="F214" t="s">
        <v>22</v>
      </c>
      <c r="H214" t="s">
        <v>4755</v>
      </c>
      <c r="I214" t="s">
        <v>4755</v>
      </c>
      <c r="J214" t="s">
        <v>4480</v>
      </c>
      <c r="L214" t="s">
        <v>203</v>
      </c>
      <c r="M214" t="s">
        <v>1654</v>
      </c>
      <c r="N214" t="s">
        <v>4538</v>
      </c>
      <c r="O214" t="s">
        <v>4765</v>
      </c>
      <c r="Q214">
        <v>0</v>
      </c>
      <c r="R214">
        <v>177</v>
      </c>
      <c r="S214">
        <v>0</v>
      </c>
      <c r="U214" t="s">
        <v>5044</v>
      </c>
      <c r="V214" t="s">
        <v>4546</v>
      </c>
      <c r="W214" t="s">
        <v>5045</v>
      </c>
      <c r="X214" t="s">
        <v>5045</v>
      </c>
      <c r="Z214" t="s">
        <v>4737</v>
      </c>
      <c r="AA214" t="s">
        <v>5046</v>
      </c>
      <c r="AB214" t="s">
        <v>5047</v>
      </c>
      <c r="AF214">
        <v>1</v>
      </c>
      <c r="AG214">
        <v>1</v>
      </c>
      <c r="AH214">
        <v>0</v>
      </c>
    </row>
    <row r="215" spans="1:34" x14ac:dyDescent="0.3">
      <c r="A215">
        <v>329</v>
      </c>
      <c r="B215" t="s">
        <v>1657</v>
      </c>
      <c r="C215" t="s">
        <v>4728</v>
      </c>
      <c r="D215" t="s">
        <v>1654</v>
      </c>
      <c r="E215" t="s">
        <v>139</v>
      </c>
      <c r="F215" t="s">
        <v>22</v>
      </c>
      <c r="H215" t="s">
        <v>4755</v>
      </c>
      <c r="I215" t="s">
        <v>4755</v>
      </c>
      <c r="J215" t="s">
        <v>4480</v>
      </c>
      <c r="L215" t="s">
        <v>203</v>
      </c>
      <c r="M215" t="s">
        <v>1654</v>
      </c>
      <c r="N215" t="s">
        <v>4538</v>
      </c>
      <c r="O215" t="s">
        <v>4765</v>
      </c>
      <c r="Q215">
        <v>0</v>
      </c>
      <c r="R215">
        <v>178</v>
      </c>
      <c r="S215">
        <v>0</v>
      </c>
      <c r="V215" t="s">
        <v>4546</v>
      </c>
      <c r="AA215" t="s">
        <v>5046</v>
      </c>
      <c r="AB215" t="s">
        <v>5047</v>
      </c>
      <c r="AF215">
        <v>1</v>
      </c>
      <c r="AG215">
        <v>1</v>
      </c>
      <c r="AH215">
        <v>0</v>
      </c>
    </row>
    <row r="216" spans="1:34" x14ac:dyDescent="0.3">
      <c r="A216">
        <v>331</v>
      </c>
      <c r="B216" t="s">
        <v>1660</v>
      </c>
      <c r="C216" t="s">
        <v>4728</v>
      </c>
      <c r="D216" t="s">
        <v>1654</v>
      </c>
      <c r="E216" t="s">
        <v>139</v>
      </c>
      <c r="F216" t="s">
        <v>22</v>
      </c>
      <c r="H216" t="s">
        <v>4755</v>
      </c>
      <c r="I216" t="s">
        <v>4755</v>
      </c>
      <c r="J216" t="s">
        <v>4480</v>
      </c>
      <c r="L216" t="s">
        <v>25</v>
      </c>
      <c r="M216" t="s">
        <v>1654</v>
      </c>
      <c r="N216" t="s">
        <v>4537</v>
      </c>
      <c r="O216" t="s">
        <v>4924</v>
      </c>
      <c r="P216" t="s">
        <v>5048</v>
      </c>
      <c r="Q216">
        <v>0</v>
      </c>
      <c r="R216">
        <v>51</v>
      </c>
      <c r="S216">
        <v>0</v>
      </c>
      <c r="U216" t="s">
        <v>5049</v>
      </c>
      <c r="V216" t="s">
        <v>4546</v>
      </c>
      <c r="W216" t="s">
        <v>5045</v>
      </c>
      <c r="X216" t="s">
        <v>5045</v>
      </c>
      <c r="Z216" t="s">
        <v>4771</v>
      </c>
      <c r="AA216" t="s">
        <v>5046</v>
      </c>
      <c r="AB216" t="s">
        <v>5047</v>
      </c>
      <c r="AD216">
        <v>1</v>
      </c>
      <c r="AF216">
        <v>1</v>
      </c>
      <c r="AG216">
        <v>1</v>
      </c>
      <c r="AH216">
        <v>0</v>
      </c>
    </row>
    <row r="217" spans="1:34" x14ac:dyDescent="0.3">
      <c r="A217">
        <v>332</v>
      </c>
      <c r="B217" t="s">
        <v>1663</v>
      </c>
      <c r="C217" t="s">
        <v>4712</v>
      </c>
      <c r="D217" t="s">
        <v>55</v>
      </c>
      <c r="E217" t="s">
        <v>21</v>
      </c>
      <c r="F217" t="s">
        <v>56</v>
      </c>
      <c r="G217" t="s">
        <v>3607</v>
      </c>
      <c r="H217" t="s">
        <v>4729</v>
      </c>
      <c r="I217" t="s">
        <v>4730</v>
      </c>
      <c r="J217" t="s">
        <v>4731</v>
      </c>
      <c r="L217" t="s">
        <v>197</v>
      </c>
      <c r="M217" t="s">
        <v>55</v>
      </c>
      <c r="N217" t="s">
        <v>4732</v>
      </c>
      <c r="O217" t="s">
        <v>4742</v>
      </c>
      <c r="P217" t="s">
        <v>5050</v>
      </c>
      <c r="Q217">
        <v>0</v>
      </c>
      <c r="R217">
        <v>63</v>
      </c>
      <c r="S217">
        <v>0</v>
      </c>
      <c r="U217" t="s">
        <v>5051</v>
      </c>
      <c r="V217" t="s">
        <v>4744</v>
      </c>
      <c r="W217" t="s">
        <v>5052</v>
      </c>
      <c r="X217" t="s">
        <v>5052</v>
      </c>
      <c r="Z217" t="s">
        <v>4737</v>
      </c>
      <c r="AA217" t="s">
        <v>4782</v>
      </c>
      <c r="AB217" t="s">
        <v>4783</v>
      </c>
      <c r="AC217">
        <v>1</v>
      </c>
      <c r="AD217">
        <v>1</v>
      </c>
      <c r="AF217">
        <v>1</v>
      </c>
      <c r="AG217">
        <v>1</v>
      </c>
      <c r="AH217">
        <v>1</v>
      </c>
    </row>
    <row r="218" spans="1:34" x14ac:dyDescent="0.3">
      <c r="A218">
        <v>334</v>
      </c>
      <c r="B218" t="s">
        <v>1668</v>
      </c>
      <c r="C218" t="s">
        <v>4728</v>
      </c>
      <c r="D218" t="s">
        <v>55</v>
      </c>
      <c r="E218" t="s">
        <v>139</v>
      </c>
      <c r="F218" t="s">
        <v>22</v>
      </c>
      <c r="G218" t="s">
        <v>3607</v>
      </c>
      <c r="H218" t="s">
        <v>4729</v>
      </c>
      <c r="I218" t="s">
        <v>4730</v>
      </c>
      <c r="J218" t="s">
        <v>4480</v>
      </c>
      <c r="L218" t="s">
        <v>203</v>
      </c>
      <c r="M218" t="s">
        <v>55</v>
      </c>
      <c r="N218" t="s">
        <v>4732</v>
      </c>
      <c r="O218" t="s">
        <v>4742</v>
      </c>
      <c r="P218" t="s">
        <v>5050</v>
      </c>
      <c r="Q218">
        <v>0</v>
      </c>
      <c r="R218">
        <v>68</v>
      </c>
      <c r="S218">
        <v>0</v>
      </c>
      <c r="U218" t="s">
        <v>5053</v>
      </c>
      <c r="V218" t="s">
        <v>4744</v>
      </c>
      <c r="W218" t="s">
        <v>4906</v>
      </c>
      <c r="X218" t="s">
        <v>4906</v>
      </c>
      <c r="Z218">
        <v>1</v>
      </c>
      <c r="AA218" t="s">
        <v>4782</v>
      </c>
      <c r="AB218" t="s">
        <v>4991</v>
      </c>
      <c r="AC218">
        <v>1</v>
      </c>
      <c r="AD218">
        <v>1</v>
      </c>
      <c r="AF218">
        <v>1</v>
      </c>
      <c r="AG218">
        <v>1</v>
      </c>
      <c r="AH218">
        <v>1</v>
      </c>
    </row>
    <row r="219" spans="1:34" x14ac:dyDescent="0.3">
      <c r="A219">
        <v>335</v>
      </c>
      <c r="B219" t="s">
        <v>1671</v>
      </c>
      <c r="C219" t="s">
        <v>4728</v>
      </c>
      <c r="D219" t="s">
        <v>55</v>
      </c>
      <c r="E219" t="s">
        <v>139</v>
      </c>
      <c r="F219" t="s">
        <v>22</v>
      </c>
      <c r="H219" t="s">
        <v>4755</v>
      </c>
      <c r="I219" t="s">
        <v>4755</v>
      </c>
      <c r="J219" t="s">
        <v>4480</v>
      </c>
      <c r="L219" t="s">
        <v>25</v>
      </c>
      <c r="M219" t="s">
        <v>55</v>
      </c>
      <c r="N219" t="s">
        <v>4732</v>
      </c>
      <c r="O219" t="s">
        <v>4742</v>
      </c>
      <c r="Q219">
        <v>0</v>
      </c>
      <c r="R219">
        <v>340</v>
      </c>
      <c r="S219">
        <v>0</v>
      </c>
      <c r="U219" t="s">
        <v>5054</v>
      </c>
      <c r="V219" t="s">
        <v>4744</v>
      </c>
      <c r="W219" t="s">
        <v>4906</v>
      </c>
      <c r="X219" t="s">
        <v>4906</v>
      </c>
      <c r="Z219" t="s">
        <v>4737</v>
      </c>
      <c r="AA219" t="s">
        <v>4782</v>
      </c>
      <c r="AB219" t="s">
        <v>4783</v>
      </c>
      <c r="AD219">
        <v>1</v>
      </c>
      <c r="AF219">
        <v>1</v>
      </c>
      <c r="AG219">
        <v>1</v>
      </c>
      <c r="AH219">
        <v>0</v>
      </c>
    </row>
    <row r="220" spans="1:34" x14ac:dyDescent="0.3">
      <c r="A220">
        <v>336</v>
      </c>
      <c r="B220" t="s">
        <v>1674</v>
      </c>
      <c r="C220" t="s">
        <v>4728</v>
      </c>
      <c r="D220" t="s">
        <v>461</v>
      </c>
      <c r="E220" t="s">
        <v>139</v>
      </c>
      <c r="F220" t="s">
        <v>56</v>
      </c>
      <c r="G220" t="s">
        <v>3607</v>
      </c>
      <c r="H220" t="s">
        <v>4729</v>
      </c>
      <c r="I220" t="s">
        <v>4730</v>
      </c>
      <c r="J220" t="s">
        <v>4480</v>
      </c>
      <c r="L220" t="s">
        <v>25</v>
      </c>
      <c r="M220" t="s">
        <v>461</v>
      </c>
      <c r="N220" t="s">
        <v>4732</v>
      </c>
      <c r="O220" t="s">
        <v>4733</v>
      </c>
      <c r="Q220">
        <v>0</v>
      </c>
      <c r="R220">
        <v>341</v>
      </c>
      <c r="S220">
        <v>0</v>
      </c>
      <c r="U220" t="s">
        <v>5055</v>
      </c>
      <c r="V220" t="s">
        <v>4546</v>
      </c>
      <c r="W220" t="s">
        <v>5056</v>
      </c>
      <c r="X220" t="s">
        <v>5056</v>
      </c>
      <c r="Z220" t="s">
        <v>4737</v>
      </c>
      <c r="AA220" t="s">
        <v>4724</v>
      </c>
      <c r="AB220" t="s">
        <v>4885</v>
      </c>
      <c r="AF220">
        <v>1</v>
      </c>
      <c r="AG220">
        <v>1</v>
      </c>
      <c r="AH220">
        <v>1</v>
      </c>
    </row>
    <row r="221" spans="1:34" x14ac:dyDescent="0.3">
      <c r="A221">
        <v>337</v>
      </c>
      <c r="B221" t="s">
        <v>1677</v>
      </c>
      <c r="C221" t="s">
        <v>4712</v>
      </c>
      <c r="D221" t="s">
        <v>1364</v>
      </c>
      <c r="E221" t="s">
        <v>21</v>
      </c>
      <c r="F221" t="s">
        <v>22</v>
      </c>
      <c r="G221" t="s">
        <v>3607</v>
      </c>
      <c r="H221" t="s">
        <v>4729</v>
      </c>
      <c r="I221" t="s">
        <v>4730</v>
      </c>
      <c r="J221" t="s">
        <v>4720</v>
      </c>
      <c r="L221" t="s">
        <v>203</v>
      </c>
      <c r="M221" t="s">
        <v>1364</v>
      </c>
      <c r="N221" t="s">
        <v>4542</v>
      </c>
      <c r="O221" t="s">
        <v>4790</v>
      </c>
      <c r="Q221">
        <v>0</v>
      </c>
      <c r="R221">
        <v>115</v>
      </c>
      <c r="S221">
        <v>0</v>
      </c>
      <c r="U221" t="s">
        <v>5057</v>
      </c>
      <c r="V221" t="s">
        <v>4546</v>
      </c>
      <c r="W221" t="s">
        <v>5037</v>
      </c>
      <c r="X221" t="s">
        <v>5038</v>
      </c>
      <c r="Z221" t="s">
        <v>4737</v>
      </c>
      <c r="AA221" t="s">
        <v>4760</v>
      </c>
      <c r="AB221" t="s">
        <v>4779</v>
      </c>
      <c r="AF221">
        <v>1</v>
      </c>
      <c r="AG221">
        <v>1</v>
      </c>
      <c r="AH221">
        <v>1</v>
      </c>
    </row>
    <row r="222" spans="1:34" x14ac:dyDescent="0.3">
      <c r="A222">
        <v>338</v>
      </c>
      <c r="B222" t="s">
        <v>1685</v>
      </c>
      <c r="C222" t="s">
        <v>4712</v>
      </c>
      <c r="D222" t="s">
        <v>1364</v>
      </c>
      <c r="E222" t="s">
        <v>21</v>
      </c>
      <c r="F222" t="s">
        <v>22</v>
      </c>
      <c r="G222" t="s">
        <v>3607</v>
      </c>
      <c r="H222" t="s">
        <v>4729</v>
      </c>
      <c r="I222" t="s">
        <v>4730</v>
      </c>
      <c r="J222" t="s">
        <v>4720</v>
      </c>
      <c r="L222" t="s">
        <v>203</v>
      </c>
      <c r="M222" t="s">
        <v>1364</v>
      </c>
      <c r="N222" t="s">
        <v>4542</v>
      </c>
      <c r="O222" t="s">
        <v>4790</v>
      </c>
      <c r="P222" t="s">
        <v>5058</v>
      </c>
      <c r="Q222">
        <v>0</v>
      </c>
      <c r="R222">
        <v>116</v>
      </c>
      <c r="S222">
        <v>0</v>
      </c>
      <c r="U222" t="s">
        <v>5059</v>
      </c>
      <c r="V222" t="s">
        <v>4546</v>
      </c>
      <c r="W222" t="s">
        <v>5038</v>
      </c>
      <c r="X222" t="s">
        <v>5038</v>
      </c>
      <c r="Z222" t="s">
        <v>4737</v>
      </c>
      <c r="AA222" t="s">
        <v>4718</v>
      </c>
      <c r="AB222" t="s">
        <v>4719</v>
      </c>
      <c r="AE222">
        <v>1</v>
      </c>
      <c r="AF222">
        <v>1</v>
      </c>
      <c r="AG222">
        <v>1</v>
      </c>
      <c r="AH222">
        <v>1</v>
      </c>
    </row>
    <row r="223" spans="1:34" x14ac:dyDescent="0.3">
      <c r="A223">
        <v>339</v>
      </c>
      <c r="B223" t="s">
        <v>1690</v>
      </c>
      <c r="C223" t="s">
        <v>4712</v>
      </c>
      <c r="D223" t="s">
        <v>1691</v>
      </c>
      <c r="E223" t="s">
        <v>139</v>
      </c>
      <c r="F223" t="s">
        <v>22</v>
      </c>
      <c r="G223" t="s">
        <v>3607</v>
      </c>
      <c r="H223" t="s">
        <v>4729</v>
      </c>
      <c r="I223" t="s">
        <v>4730</v>
      </c>
      <c r="J223" t="s">
        <v>4480</v>
      </c>
      <c r="L223" t="s">
        <v>25</v>
      </c>
      <c r="M223" t="s">
        <v>1691</v>
      </c>
      <c r="N223" t="s">
        <v>4542</v>
      </c>
      <c r="O223" t="s">
        <v>4790</v>
      </c>
      <c r="P223" t="s">
        <v>4791</v>
      </c>
      <c r="Q223">
        <v>0</v>
      </c>
      <c r="R223">
        <v>2</v>
      </c>
      <c r="S223">
        <v>0</v>
      </c>
      <c r="U223" t="s">
        <v>5060</v>
      </c>
      <c r="V223" t="s">
        <v>4546</v>
      </c>
      <c r="W223" t="s">
        <v>5037</v>
      </c>
      <c r="X223" t="s">
        <v>5038</v>
      </c>
      <c r="Z223">
        <v>1</v>
      </c>
      <c r="AA223" t="s">
        <v>4718</v>
      </c>
      <c r="AB223" t="s">
        <v>4719</v>
      </c>
      <c r="AD223">
        <v>1</v>
      </c>
      <c r="AF223">
        <v>1</v>
      </c>
      <c r="AG223">
        <v>1</v>
      </c>
      <c r="AH223">
        <v>1</v>
      </c>
    </row>
    <row r="224" spans="1:34" x14ac:dyDescent="0.3">
      <c r="A224">
        <v>340</v>
      </c>
      <c r="B224" t="s">
        <v>1694</v>
      </c>
      <c r="C224" t="s">
        <v>4728</v>
      </c>
      <c r="D224" t="s">
        <v>224</v>
      </c>
      <c r="E224" t="s">
        <v>39</v>
      </c>
      <c r="F224" t="s">
        <v>22</v>
      </c>
      <c r="H224" t="s">
        <v>4755</v>
      </c>
      <c r="I224" t="s">
        <v>4755</v>
      </c>
      <c r="J224" t="s">
        <v>4480</v>
      </c>
      <c r="L224" t="s">
        <v>25</v>
      </c>
      <c r="M224" t="s">
        <v>224</v>
      </c>
      <c r="N224" t="s">
        <v>4732</v>
      </c>
      <c r="O224" t="s">
        <v>4733</v>
      </c>
      <c r="Q224">
        <v>0</v>
      </c>
      <c r="R224">
        <v>342</v>
      </c>
      <c r="S224">
        <v>0</v>
      </c>
      <c r="U224" t="s">
        <v>5061</v>
      </c>
      <c r="V224" t="s">
        <v>4735</v>
      </c>
      <c r="W224" t="s">
        <v>4903</v>
      </c>
      <c r="X224" t="s">
        <v>4904</v>
      </c>
      <c r="Z224" t="s">
        <v>4737</v>
      </c>
      <c r="AA224" t="s">
        <v>4738</v>
      </c>
      <c r="AB224" t="s">
        <v>4754</v>
      </c>
      <c r="AF224">
        <v>1</v>
      </c>
      <c r="AG224">
        <v>1</v>
      </c>
      <c r="AH224">
        <v>0</v>
      </c>
    </row>
    <row r="225" spans="1:34" x14ac:dyDescent="0.3">
      <c r="A225">
        <v>341</v>
      </c>
      <c r="B225" t="s">
        <v>1709</v>
      </c>
      <c r="C225" t="s">
        <v>4712</v>
      </c>
      <c r="D225" t="s">
        <v>20</v>
      </c>
      <c r="E225" t="s">
        <v>21</v>
      </c>
      <c r="F225" t="s">
        <v>22</v>
      </c>
      <c r="G225" t="s">
        <v>3607</v>
      </c>
      <c r="H225" t="s">
        <v>4729</v>
      </c>
      <c r="I225" t="s">
        <v>4730</v>
      </c>
      <c r="J225" t="s">
        <v>4720</v>
      </c>
      <c r="L225" t="s">
        <v>264</v>
      </c>
      <c r="M225" t="s">
        <v>20</v>
      </c>
      <c r="N225" t="s">
        <v>4537</v>
      </c>
      <c r="O225" t="s">
        <v>4843</v>
      </c>
      <c r="Q225">
        <v>0</v>
      </c>
      <c r="R225">
        <v>250</v>
      </c>
      <c r="S225">
        <v>0</v>
      </c>
      <c r="U225" t="s">
        <v>5062</v>
      </c>
      <c r="V225" t="s">
        <v>4735</v>
      </c>
      <c r="W225" t="s">
        <v>4736</v>
      </c>
      <c r="X225" t="s">
        <v>4736</v>
      </c>
      <c r="Z225" t="s">
        <v>4737</v>
      </c>
      <c r="AA225" t="s">
        <v>4738</v>
      </c>
      <c r="AB225" t="s">
        <v>4831</v>
      </c>
      <c r="AF225">
        <v>1</v>
      </c>
      <c r="AG225">
        <v>1</v>
      </c>
      <c r="AH225">
        <v>1</v>
      </c>
    </row>
    <row r="226" spans="1:34" x14ac:dyDescent="0.3">
      <c r="A226">
        <v>344</v>
      </c>
      <c r="B226" t="s">
        <v>1710</v>
      </c>
      <c r="C226" t="s">
        <v>4712</v>
      </c>
      <c r="D226" t="s">
        <v>55</v>
      </c>
      <c r="E226" t="s">
        <v>21</v>
      </c>
      <c r="F226" t="s">
        <v>22</v>
      </c>
      <c r="G226" t="s">
        <v>3607</v>
      </c>
      <c r="H226" t="s">
        <v>4729</v>
      </c>
      <c r="I226" t="s">
        <v>4730</v>
      </c>
      <c r="J226" t="s">
        <v>4731</v>
      </c>
      <c r="L226" t="s">
        <v>25</v>
      </c>
      <c r="M226" t="s">
        <v>55</v>
      </c>
      <c r="N226" t="s">
        <v>4732</v>
      </c>
      <c r="O226" t="s">
        <v>4742</v>
      </c>
      <c r="Q226">
        <v>0</v>
      </c>
      <c r="R226">
        <v>343</v>
      </c>
      <c r="S226">
        <v>0</v>
      </c>
      <c r="U226" t="s">
        <v>5063</v>
      </c>
      <c r="V226" t="s">
        <v>4744</v>
      </c>
      <c r="W226" t="s">
        <v>5064</v>
      </c>
      <c r="X226" t="s">
        <v>5064</v>
      </c>
      <c r="Z226" t="s">
        <v>4737</v>
      </c>
      <c r="AA226" t="s">
        <v>4782</v>
      </c>
      <c r="AB226" t="s">
        <v>4783</v>
      </c>
      <c r="AF226">
        <v>1</v>
      </c>
      <c r="AG226">
        <v>1</v>
      </c>
      <c r="AH226">
        <v>1</v>
      </c>
    </row>
    <row r="227" spans="1:34" x14ac:dyDescent="0.3">
      <c r="A227">
        <v>345</v>
      </c>
      <c r="B227" t="s">
        <v>1715</v>
      </c>
      <c r="C227" t="s">
        <v>4728</v>
      </c>
      <c r="D227" t="s">
        <v>55</v>
      </c>
      <c r="E227" t="s">
        <v>139</v>
      </c>
      <c r="F227" t="s">
        <v>22</v>
      </c>
      <c r="H227" t="s">
        <v>4755</v>
      </c>
      <c r="I227" t="s">
        <v>4755</v>
      </c>
      <c r="J227" t="s">
        <v>4480</v>
      </c>
      <c r="L227" t="s">
        <v>25</v>
      </c>
      <c r="M227" t="s">
        <v>55</v>
      </c>
      <c r="N227" t="s">
        <v>4542</v>
      </c>
      <c r="O227" t="s">
        <v>4863</v>
      </c>
      <c r="P227" t="s">
        <v>4864</v>
      </c>
      <c r="Q227">
        <v>0</v>
      </c>
      <c r="R227">
        <v>69</v>
      </c>
      <c r="S227">
        <v>0</v>
      </c>
      <c r="V227" t="s">
        <v>4744</v>
      </c>
      <c r="Z227">
        <v>1</v>
      </c>
      <c r="AA227" t="s">
        <v>4782</v>
      </c>
      <c r="AB227" t="s">
        <v>4783</v>
      </c>
      <c r="AD227">
        <v>0</v>
      </c>
      <c r="AF227">
        <v>1</v>
      </c>
      <c r="AG227">
        <v>1</v>
      </c>
      <c r="AH227">
        <v>0</v>
      </c>
    </row>
    <row r="228" spans="1:34" x14ac:dyDescent="0.3">
      <c r="A228">
        <v>346</v>
      </c>
      <c r="B228" t="s">
        <v>1717</v>
      </c>
      <c r="C228" t="s">
        <v>4728</v>
      </c>
      <c r="D228" t="s">
        <v>55</v>
      </c>
      <c r="E228" t="s">
        <v>139</v>
      </c>
      <c r="F228" t="s">
        <v>22</v>
      </c>
      <c r="G228" t="s">
        <v>3607</v>
      </c>
      <c r="H228" t="s">
        <v>4729</v>
      </c>
      <c r="I228" t="s">
        <v>4730</v>
      </c>
      <c r="J228" t="s">
        <v>4480</v>
      </c>
      <c r="L228" t="s">
        <v>25</v>
      </c>
      <c r="M228" t="s">
        <v>55</v>
      </c>
      <c r="N228" t="s">
        <v>4732</v>
      </c>
      <c r="O228" t="s">
        <v>4742</v>
      </c>
      <c r="Q228">
        <v>0</v>
      </c>
      <c r="R228">
        <v>344</v>
      </c>
      <c r="S228">
        <v>0</v>
      </c>
      <c r="U228" t="s">
        <v>5065</v>
      </c>
      <c r="V228" t="s">
        <v>4744</v>
      </c>
      <c r="W228" t="s">
        <v>4884</v>
      </c>
      <c r="X228" t="s">
        <v>4884</v>
      </c>
      <c r="Z228" t="s">
        <v>4737</v>
      </c>
      <c r="AA228" t="s">
        <v>4782</v>
      </c>
      <c r="AB228" t="s">
        <v>4783</v>
      </c>
      <c r="AF228">
        <v>1</v>
      </c>
      <c r="AG228">
        <v>1</v>
      </c>
      <c r="AH228">
        <v>1</v>
      </c>
    </row>
    <row r="229" spans="1:34" x14ac:dyDescent="0.3">
      <c r="A229">
        <v>347</v>
      </c>
      <c r="B229" t="s">
        <v>1720</v>
      </c>
      <c r="C229" t="s">
        <v>4728</v>
      </c>
      <c r="D229" t="s">
        <v>1721</v>
      </c>
      <c r="E229" t="s">
        <v>39</v>
      </c>
      <c r="F229" t="s">
        <v>56</v>
      </c>
      <c r="G229" t="s">
        <v>3607</v>
      </c>
      <c r="H229" t="s">
        <v>4729</v>
      </c>
      <c r="I229" t="s">
        <v>4730</v>
      </c>
      <c r="J229" t="s">
        <v>4731</v>
      </c>
      <c r="L229" t="s">
        <v>203</v>
      </c>
      <c r="M229" t="s">
        <v>1721</v>
      </c>
      <c r="N229" t="s">
        <v>4732</v>
      </c>
      <c r="O229" t="s">
        <v>4733</v>
      </c>
      <c r="Q229">
        <v>0</v>
      </c>
      <c r="R229">
        <v>345</v>
      </c>
      <c r="S229">
        <v>0</v>
      </c>
      <c r="U229" t="s">
        <v>5066</v>
      </c>
      <c r="V229" t="s">
        <v>4735</v>
      </c>
      <c r="W229" t="s">
        <v>5067</v>
      </c>
      <c r="X229" t="s">
        <v>5068</v>
      </c>
      <c r="Z229" t="s">
        <v>4737</v>
      </c>
      <c r="AA229" t="s">
        <v>4738</v>
      </c>
      <c r="AB229" t="s">
        <v>4831</v>
      </c>
      <c r="AF229">
        <v>1</v>
      </c>
      <c r="AG229">
        <v>1</v>
      </c>
      <c r="AH229">
        <v>1</v>
      </c>
    </row>
    <row r="230" spans="1:34" x14ac:dyDescent="0.3">
      <c r="A230">
        <v>348</v>
      </c>
      <c r="B230" t="s">
        <v>1730</v>
      </c>
      <c r="C230" t="s">
        <v>4728</v>
      </c>
      <c r="D230" t="s">
        <v>1721</v>
      </c>
      <c r="E230" t="s">
        <v>39</v>
      </c>
      <c r="F230" t="s">
        <v>22</v>
      </c>
      <c r="G230" t="s">
        <v>3607</v>
      </c>
      <c r="H230" t="s">
        <v>4729</v>
      </c>
      <c r="I230" t="s">
        <v>4730</v>
      </c>
      <c r="J230" t="s">
        <v>4731</v>
      </c>
      <c r="L230" t="s">
        <v>25</v>
      </c>
      <c r="M230" t="s">
        <v>1721</v>
      </c>
      <c r="N230" t="s">
        <v>4732</v>
      </c>
      <c r="O230" t="s">
        <v>4733</v>
      </c>
      <c r="Q230">
        <v>0</v>
      </c>
      <c r="R230">
        <v>346</v>
      </c>
      <c r="S230">
        <v>0</v>
      </c>
      <c r="U230" t="s">
        <v>5069</v>
      </c>
      <c r="V230" t="s">
        <v>4735</v>
      </c>
      <c r="W230" t="s">
        <v>5070</v>
      </c>
      <c r="X230" t="s">
        <v>5071</v>
      </c>
      <c r="Z230" t="s">
        <v>4737</v>
      </c>
      <c r="AA230" t="s">
        <v>4738</v>
      </c>
      <c r="AB230" t="s">
        <v>4831</v>
      </c>
      <c r="AF230">
        <v>1</v>
      </c>
      <c r="AG230">
        <v>1</v>
      </c>
      <c r="AH230">
        <v>1</v>
      </c>
    </row>
    <row r="231" spans="1:34" x14ac:dyDescent="0.3">
      <c r="A231" t="s">
        <v>5072</v>
      </c>
      <c r="B231" t="s">
        <v>3521</v>
      </c>
      <c r="C231" t="s">
        <v>4728</v>
      </c>
      <c r="D231" t="s">
        <v>190</v>
      </c>
      <c r="E231" t="s">
        <v>139</v>
      </c>
      <c r="F231" t="s">
        <v>22</v>
      </c>
      <c r="I231" t="s">
        <v>4713</v>
      </c>
      <c r="J231" t="s">
        <v>4480</v>
      </c>
      <c r="L231" t="s">
        <v>197</v>
      </c>
      <c r="M231" t="s">
        <v>190</v>
      </c>
      <c r="N231" t="s">
        <v>4542</v>
      </c>
      <c r="O231" t="s">
        <v>4790</v>
      </c>
      <c r="Q231">
        <v>0</v>
      </c>
      <c r="R231">
        <v>117</v>
      </c>
      <c r="S231">
        <v>0</v>
      </c>
      <c r="V231" t="s">
        <v>4546</v>
      </c>
      <c r="AA231" t="s">
        <v>4792</v>
      </c>
      <c r="AB231" t="s">
        <v>4793</v>
      </c>
      <c r="AF231">
        <v>0</v>
      </c>
      <c r="AG231">
        <v>1</v>
      </c>
      <c r="AH231">
        <v>0</v>
      </c>
    </row>
    <row r="232" spans="1:34" x14ac:dyDescent="0.3">
      <c r="A232" t="s">
        <v>5073</v>
      </c>
      <c r="B232" t="s">
        <v>3523</v>
      </c>
      <c r="C232" t="s">
        <v>4728</v>
      </c>
      <c r="D232" t="s">
        <v>190</v>
      </c>
      <c r="E232" t="s">
        <v>139</v>
      </c>
      <c r="F232" t="s">
        <v>22</v>
      </c>
      <c r="I232" t="s">
        <v>4713</v>
      </c>
      <c r="J232" t="s">
        <v>4480</v>
      </c>
      <c r="L232" t="s">
        <v>197</v>
      </c>
      <c r="M232" t="s">
        <v>190</v>
      </c>
      <c r="N232" t="s">
        <v>4542</v>
      </c>
      <c r="O232" t="s">
        <v>4790</v>
      </c>
      <c r="Q232">
        <v>0</v>
      </c>
      <c r="R232">
        <v>118</v>
      </c>
      <c r="S232">
        <v>0</v>
      </c>
      <c r="V232" t="s">
        <v>4546</v>
      </c>
      <c r="AA232" t="s">
        <v>4792</v>
      </c>
      <c r="AB232" t="s">
        <v>4793</v>
      </c>
      <c r="AF232">
        <v>0</v>
      </c>
      <c r="AG232">
        <v>1</v>
      </c>
      <c r="AH232">
        <v>0</v>
      </c>
    </row>
    <row r="233" spans="1:34" x14ac:dyDescent="0.3">
      <c r="A233">
        <v>351</v>
      </c>
      <c r="B233" t="s">
        <v>1739</v>
      </c>
      <c r="C233" t="s">
        <v>4728</v>
      </c>
      <c r="D233" t="s">
        <v>1721</v>
      </c>
      <c r="E233" t="s">
        <v>39</v>
      </c>
      <c r="F233" t="s">
        <v>56</v>
      </c>
      <c r="G233" t="s">
        <v>3607</v>
      </c>
      <c r="H233" t="s">
        <v>4729</v>
      </c>
      <c r="I233" t="s">
        <v>4730</v>
      </c>
      <c r="J233" t="s">
        <v>4731</v>
      </c>
      <c r="L233" t="s">
        <v>197</v>
      </c>
      <c r="M233" t="s">
        <v>1721</v>
      </c>
      <c r="N233" t="s">
        <v>4732</v>
      </c>
      <c r="O233" t="s">
        <v>4733</v>
      </c>
      <c r="Q233">
        <v>0</v>
      </c>
      <c r="R233">
        <v>347</v>
      </c>
      <c r="S233">
        <v>0</v>
      </c>
      <c r="U233" t="s">
        <v>5074</v>
      </c>
      <c r="V233" t="s">
        <v>4735</v>
      </c>
      <c r="W233" t="s">
        <v>5075</v>
      </c>
      <c r="X233" t="s">
        <v>5071</v>
      </c>
      <c r="Z233" t="s">
        <v>4737</v>
      </c>
      <c r="AA233" t="s">
        <v>4738</v>
      </c>
      <c r="AB233" t="s">
        <v>4831</v>
      </c>
      <c r="AF233">
        <v>1</v>
      </c>
      <c r="AG233">
        <v>1</v>
      </c>
      <c r="AH233">
        <v>1</v>
      </c>
    </row>
    <row r="234" spans="1:34" x14ac:dyDescent="0.3">
      <c r="A234">
        <v>352</v>
      </c>
      <c r="B234" t="s">
        <v>1748</v>
      </c>
      <c r="C234" t="s">
        <v>4728</v>
      </c>
      <c r="D234" t="s">
        <v>1721</v>
      </c>
      <c r="E234" t="s">
        <v>39</v>
      </c>
      <c r="F234" t="s">
        <v>56</v>
      </c>
      <c r="G234" t="s">
        <v>3607</v>
      </c>
      <c r="H234" t="s">
        <v>4729</v>
      </c>
      <c r="I234" t="s">
        <v>4730</v>
      </c>
      <c r="J234" t="s">
        <v>4731</v>
      </c>
      <c r="L234" t="s">
        <v>25</v>
      </c>
      <c r="M234" t="s">
        <v>1721</v>
      </c>
      <c r="N234" t="s">
        <v>4732</v>
      </c>
      <c r="O234" t="s">
        <v>4733</v>
      </c>
      <c r="Q234">
        <v>0</v>
      </c>
      <c r="R234">
        <v>348</v>
      </c>
      <c r="S234">
        <v>0</v>
      </c>
      <c r="U234" t="s">
        <v>5076</v>
      </c>
      <c r="V234" t="s">
        <v>4735</v>
      </c>
      <c r="W234" t="s">
        <v>5077</v>
      </c>
      <c r="X234" t="s">
        <v>5071</v>
      </c>
      <c r="Z234" t="s">
        <v>4737</v>
      </c>
      <c r="AA234" t="s">
        <v>4738</v>
      </c>
      <c r="AB234" t="s">
        <v>4831</v>
      </c>
      <c r="AF234">
        <v>1</v>
      </c>
      <c r="AG234">
        <v>1</v>
      </c>
      <c r="AH234">
        <v>1</v>
      </c>
    </row>
    <row r="235" spans="1:34" x14ac:dyDescent="0.3">
      <c r="A235">
        <v>353</v>
      </c>
      <c r="B235" t="s">
        <v>1757</v>
      </c>
      <c r="C235" t="s">
        <v>4712</v>
      </c>
      <c r="D235" t="s">
        <v>1758</v>
      </c>
      <c r="E235" t="s">
        <v>21</v>
      </c>
      <c r="F235" t="s">
        <v>22</v>
      </c>
      <c r="H235" t="s">
        <v>4755</v>
      </c>
      <c r="I235" t="s">
        <v>4755</v>
      </c>
      <c r="J235" t="s">
        <v>4480</v>
      </c>
      <c r="L235" t="s">
        <v>203</v>
      </c>
      <c r="M235" t="s">
        <v>1758</v>
      </c>
      <c r="N235" t="s">
        <v>4732</v>
      </c>
      <c r="O235" t="s">
        <v>4733</v>
      </c>
      <c r="P235" t="s">
        <v>5078</v>
      </c>
      <c r="Q235">
        <v>0</v>
      </c>
      <c r="R235">
        <v>58</v>
      </c>
      <c r="S235">
        <v>0</v>
      </c>
      <c r="V235" t="s">
        <v>4544</v>
      </c>
      <c r="AA235" t="s">
        <v>4766</v>
      </c>
      <c r="AB235" t="s">
        <v>4761</v>
      </c>
      <c r="AD235">
        <v>1</v>
      </c>
      <c r="AF235">
        <v>1</v>
      </c>
      <c r="AG235">
        <v>1</v>
      </c>
      <c r="AH235">
        <v>0</v>
      </c>
    </row>
    <row r="236" spans="1:34" x14ac:dyDescent="0.3">
      <c r="A236">
        <v>354</v>
      </c>
      <c r="B236" t="s">
        <v>1761</v>
      </c>
      <c r="C236" t="s">
        <v>4728</v>
      </c>
      <c r="D236" t="s">
        <v>1758</v>
      </c>
      <c r="E236" t="s">
        <v>21</v>
      </c>
      <c r="F236" t="s">
        <v>22</v>
      </c>
      <c r="H236" t="s">
        <v>4755</v>
      </c>
      <c r="I236" t="s">
        <v>4755</v>
      </c>
      <c r="J236" t="s">
        <v>4480</v>
      </c>
      <c r="L236" t="s">
        <v>197</v>
      </c>
      <c r="M236" t="s">
        <v>1758</v>
      </c>
      <c r="N236" t="s">
        <v>4732</v>
      </c>
      <c r="O236" t="s">
        <v>4733</v>
      </c>
      <c r="Q236">
        <v>0</v>
      </c>
      <c r="R236">
        <v>349</v>
      </c>
      <c r="S236">
        <v>0</v>
      </c>
      <c r="V236" t="s">
        <v>4544</v>
      </c>
      <c r="AA236" t="s">
        <v>4766</v>
      </c>
      <c r="AB236" t="s">
        <v>5079</v>
      </c>
      <c r="AF236">
        <v>1</v>
      </c>
      <c r="AG236">
        <v>1</v>
      </c>
      <c r="AH236">
        <v>0</v>
      </c>
    </row>
    <row r="237" spans="1:34" x14ac:dyDescent="0.3">
      <c r="A237">
        <v>355</v>
      </c>
      <c r="B237" t="s">
        <v>1764</v>
      </c>
      <c r="C237" t="s">
        <v>4712</v>
      </c>
      <c r="D237" t="s">
        <v>1765</v>
      </c>
      <c r="E237" t="s">
        <v>139</v>
      </c>
      <c r="F237" t="s">
        <v>22</v>
      </c>
      <c r="G237" t="s">
        <v>3607</v>
      </c>
      <c r="H237" t="s">
        <v>4729</v>
      </c>
      <c r="I237" t="s">
        <v>4730</v>
      </c>
      <c r="J237" t="s">
        <v>4480</v>
      </c>
      <c r="L237" t="s">
        <v>197</v>
      </c>
      <c r="M237" t="s">
        <v>1765</v>
      </c>
      <c r="N237" t="s">
        <v>4537</v>
      </c>
      <c r="O237" t="s">
        <v>4843</v>
      </c>
      <c r="Q237">
        <v>0</v>
      </c>
      <c r="R237">
        <v>251</v>
      </c>
      <c r="S237">
        <v>0</v>
      </c>
      <c r="U237" t="s">
        <v>5080</v>
      </c>
      <c r="V237" t="s">
        <v>4735</v>
      </c>
      <c r="W237" t="s">
        <v>5081</v>
      </c>
      <c r="X237" t="s">
        <v>5081</v>
      </c>
      <c r="Z237" t="s">
        <v>4737</v>
      </c>
      <c r="AA237" t="s">
        <v>4738</v>
      </c>
      <c r="AB237" t="s">
        <v>4831</v>
      </c>
      <c r="AF237">
        <v>1</v>
      </c>
      <c r="AG237">
        <v>1</v>
      </c>
      <c r="AH237">
        <v>1</v>
      </c>
    </row>
    <row r="238" spans="1:34" x14ac:dyDescent="0.3">
      <c r="A238">
        <v>356</v>
      </c>
      <c r="B238" t="s">
        <v>1769</v>
      </c>
      <c r="C238" t="s">
        <v>4712</v>
      </c>
      <c r="D238" t="s">
        <v>1765</v>
      </c>
      <c r="E238" t="s">
        <v>21</v>
      </c>
      <c r="F238" t="s">
        <v>56</v>
      </c>
      <c r="G238" t="s">
        <v>3607</v>
      </c>
      <c r="H238" t="s">
        <v>4729</v>
      </c>
      <c r="I238" t="s">
        <v>4730</v>
      </c>
      <c r="J238" t="s">
        <v>4731</v>
      </c>
      <c r="L238" t="s">
        <v>25</v>
      </c>
      <c r="M238" t="s">
        <v>1765</v>
      </c>
      <c r="N238" t="s">
        <v>4537</v>
      </c>
      <c r="O238" t="s">
        <v>4843</v>
      </c>
      <c r="Q238">
        <v>0</v>
      </c>
      <c r="R238">
        <v>252</v>
      </c>
      <c r="S238">
        <v>0</v>
      </c>
      <c r="U238" t="s">
        <v>5082</v>
      </c>
      <c r="V238" t="s">
        <v>4735</v>
      </c>
      <c r="W238" t="s">
        <v>5081</v>
      </c>
      <c r="X238" t="s">
        <v>5081</v>
      </c>
      <c r="Z238" t="s">
        <v>4737</v>
      </c>
      <c r="AA238" t="s">
        <v>4738</v>
      </c>
      <c r="AB238" t="s">
        <v>4831</v>
      </c>
      <c r="AF238">
        <v>1</v>
      </c>
      <c r="AG238">
        <v>1</v>
      </c>
      <c r="AH238">
        <v>1</v>
      </c>
    </row>
    <row r="239" spans="1:34" x14ac:dyDescent="0.3">
      <c r="A239">
        <v>357</v>
      </c>
      <c r="B239" t="s">
        <v>1779</v>
      </c>
      <c r="C239" t="s">
        <v>4712</v>
      </c>
      <c r="D239" t="s">
        <v>1765</v>
      </c>
      <c r="E239" t="s">
        <v>21</v>
      </c>
      <c r="F239" t="s">
        <v>22</v>
      </c>
      <c r="G239" t="s">
        <v>3607</v>
      </c>
      <c r="H239" t="s">
        <v>4729</v>
      </c>
      <c r="I239" t="s">
        <v>4730</v>
      </c>
      <c r="J239" t="s">
        <v>4480</v>
      </c>
      <c r="L239" t="s">
        <v>264</v>
      </c>
      <c r="M239" t="s">
        <v>1765</v>
      </c>
      <c r="N239" t="s">
        <v>4537</v>
      </c>
      <c r="O239" t="s">
        <v>4843</v>
      </c>
      <c r="Q239">
        <v>0</v>
      </c>
      <c r="R239">
        <v>253</v>
      </c>
      <c r="S239">
        <v>0</v>
      </c>
      <c r="U239" t="s">
        <v>5083</v>
      </c>
      <c r="V239" t="s">
        <v>4735</v>
      </c>
      <c r="W239" t="s">
        <v>5081</v>
      </c>
      <c r="X239" t="s">
        <v>5081</v>
      </c>
      <c r="Z239" t="s">
        <v>4737</v>
      </c>
      <c r="AA239" t="s">
        <v>4738</v>
      </c>
      <c r="AB239" t="s">
        <v>4831</v>
      </c>
      <c r="AF239">
        <v>1</v>
      </c>
      <c r="AG239">
        <v>1</v>
      </c>
      <c r="AH239">
        <v>1</v>
      </c>
    </row>
    <row r="240" spans="1:34" x14ac:dyDescent="0.3">
      <c r="A240">
        <v>358</v>
      </c>
      <c r="B240" t="s">
        <v>1786</v>
      </c>
      <c r="C240" t="s">
        <v>4728</v>
      </c>
      <c r="D240" t="s">
        <v>1781</v>
      </c>
      <c r="E240" t="s">
        <v>21</v>
      </c>
      <c r="F240" t="s">
        <v>22</v>
      </c>
      <c r="G240" t="s">
        <v>3607</v>
      </c>
      <c r="H240" t="s">
        <v>4729</v>
      </c>
      <c r="I240" t="s">
        <v>4730</v>
      </c>
      <c r="J240" t="s">
        <v>4731</v>
      </c>
      <c r="L240" t="s">
        <v>25</v>
      </c>
      <c r="M240" t="s">
        <v>1781</v>
      </c>
      <c r="N240" t="s">
        <v>4542</v>
      </c>
      <c r="O240" t="s">
        <v>4863</v>
      </c>
      <c r="Q240">
        <v>0</v>
      </c>
      <c r="R240">
        <v>119</v>
      </c>
      <c r="S240">
        <v>0</v>
      </c>
      <c r="U240" t="s">
        <v>5084</v>
      </c>
      <c r="V240" t="s">
        <v>4546</v>
      </c>
      <c r="W240" t="s">
        <v>5085</v>
      </c>
      <c r="X240" t="s">
        <v>5085</v>
      </c>
      <c r="Z240" t="s">
        <v>4737</v>
      </c>
      <c r="AA240" t="s">
        <v>4724</v>
      </c>
      <c r="AB240" t="s">
        <v>4725</v>
      </c>
      <c r="AF240">
        <v>1</v>
      </c>
      <c r="AG240">
        <v>1</v>
      </c>
      <c r="AH240">
        <v>1</v>
      </c>
    </row>
    <row r="241" spans="1:34" x14ac:dyDescent="0.3">
      <c r="A241">
        <v>359</v>
      </c>
      <c r="B241" t="s">
        <v>1787</v>
      </c>
      <c r="C241" t="s">
        <v>4712</v>
      </c>
      <c r="D241" t="s">
        <v>1376</v>
      </c>
      <c r="E241" t="s">
        <v>21</v>
      </c>
      <c r="F241" t="s">
        <v>22</v>
      </c>
      <c r="G241" t="s">
        <v>3607</v>
      </c>
      <c r="H241" t="s">
        <v>4729</v>
      </c>
      <c r="I241" t="s">
        <v>4730</v>
      </c>
      <c r="J241" t="s">
        <v>4480</v>
      </c>
      <c r="L241" t="s">
        <v>25</v>
      </c>
      <c r="M241" t="s">
        <v>1376</v>
      </c>
      <c r="N241" t="s">
        <v>4538</v>
      </c>
      <c r="O241" t="s">
        <v>4765</v>
      </c>
      <c r="Q241">
        <v>0</v>
      </c>
      <c r="R241">
        <v>179</v>
      </c>
      <c r="S241">
        <v>0</v>
      </c>
      <c r="U241" t="s">
        <v>5086</v>
      </c>
      <c r="V241" t="s">
        <v>4544</v>
      </c>
      <c r="W241" t="s">
        <v>4901</v>
      </c>
      <c r="X241" t="s">
        <v>5087</v>
      </c>
      <c r="Z241" t="s">
        <v>4737</v>
      </c>
      <c r="AA241" t="s">
        <v>4724</v>
      </c>
      <c r="AB241" t="s">
        <v>4885</v>
      </c>
      <c r="AF241">
        <v>0</v>
      </c>
      <c r="AG241">
        <v>1</v>
      </c>
      <c r="AH241">
        <v>1</v>
      </c>
    </row>
    <row r="242" spans="1:34" x14ac:dyDescent="0.3">
      <c r="A242">
        <v>360</v>
      </c>
      <c r="B242" t="s">
        <v>1791</v>
      </c>
      <c r="C242" t="s">
        <v>4728</v>
      </c>
      <c r="D242" t="s">
        <v>1376</v>
      </c>
      <c r="E242" t="s">
        <v>21</v>
      </c>
      <c r="F242" t="s">
        <v>22</v>
      </c>
      <c r="H242" t="s">
        <v>4755</v>
      </c>
      <c r="I242" t="s">
        <v>4755</v>
      </c>
      <c r="J242" t="s">
        <v>4480</v>
      </c>
      <c r="L242" t="s">
        <v>25</v>
      </c>
      <c r="M242" t="s">
        <v>1376</v>
      </c>
      <c r="N242" t="s">
        <v>4538</v>
      </c>
      <c r="O242" t="s">
        <v>4765</v>
      </c>
      <c r="Q242">
        <v>0</v>
      </c>
      <c r="R242">
        <v>180</v>
      </c>
      <c r="S242">
        <v>0</v>
      </c>
      <c r="V242" t="s">
        <v>4544</v>
      </c>
      <c r="AA242" t="s">
        <v>4738</v>
      </c>
      <c r="AB242" t="s">
        <v>4739</v>
      </c>
      <c r="AF242">
        <v>0</v>
      </c>
      <c r="AG242">
        <v>1</v>
      </c>
      <c r="AH242">
        <v>0</v>
      </c>
    </row>
    <row r="243" spans="1:34" x14ac:dyDescent="0.3">
      <c r="A243">
        <v>361</v>
      </c>
      <c r="B243" t="s">
        <v>1798</v>
      </c>
      <c r="C243" t="s">
        <v>4712</v>
      </c>
      <c r="D243" t="s">
        <v>1796</v>
      </c>
      <c r="E243" t="s">
        <v>139</v>
      </c>
      <c r="F243" t="s">
        <v>22</v>
      </c>
      <c r="G243" t="s">
        <v>3607</v>
      </c>
      <c r="H243" t="s">
        <v>4729</v>
      </c>
      <c r="I243" t="s">
        <v>4730</v>
      </c>
      <c r="J243" t="s">
        <v>4480</v>
      </c>
      <c r="L243" t="s">
        <v>197</v>
      </c>
      <c r="M243" t="s">
        <v>1796</v>
      </c>
      <c r="N243" t="s">
        <v>4537</v>
      </c>
      <c r="O243" t="s">
        <v>4924</v>
      </c>
      <c r="P243" t="s">
        <v>5088</v>
      </c>
      <c r="Q243">
        <v>0</v>
      </c>
      <c r="R243">
        <v>49</v>
      </c>
      <c r="S243">
        <v>0</v>
      </c>
      <c r="U243" t="s">
        <v>5089</v>
      </c>
      <c r="V243" t="s">
        <v>4544</v>
      </c>
      <c r="W243" t="s">
        <v>4901</v>
      </c>
      <c r="X243" t="s">
        <v>4901</v>
      </c>
      <c r="Z243" t="s">
        <v>4771</v>
      </c>
      <c r="AA243" t="s">
        <v>4724</v>
      </c>
      <c r="AB243" t="s">
        <v>4885</v>
      </c>
      <c r="AD243">
        <v>1</v>
      </c>
      <c r="AE243">
        <v>1</v>
      </c>
      <c r="AF243">
        <v>1</v>
      </c>
      <c r="AG243">
        <v>1</v>
      </c>
      <c r="AH243">
        <v>1</v>
      </c>
    </row>
    <row r="244" spans="1:34" x14ac:dyDescent="0.3">
      <c r="A244">
        <v>362</v>
      </c>
      <c r="B244" t="s">
        <v>1800</v>
      </c>
      <c r="C244" t="s">
        <v>4728</v>
      </c>
      <c r="D244" t="s">
        <v>1801</v>
      </c>
      <c r="E244" t="s">
        <v>21</v>
      </c>
      <c r="F244" t="s">
        <v>22</v>
      </c>
      <c r="G244" t="s">
        <v>3608</v>
      </c>
      <c r="H244" t="s">
        <v>4729</v>
      </c>
      <c r="I244" t="s">
        <v>4730</v>
      </c>
      <c r="J244" t="s">
        <v>4720</v>
      </c>
      <c r="L244" t="s">
        <v>25</v>
      </c>
      <c r="M244" t="s">
        <v>1801</v>
      </c>
      <c r="N244" t="s">
        <v>4538</v>
      </c>
      <c r="O244" t="s">
        <v>4765</v>
      </c>
      <c r="Q244">
        <v>0</v>
      </c>
      <c r="R244">
        <v>181</v>
      </c>
      <c r="S244">
        <v>0</v>
      </c>
      <c r="U244" t="s">
        <v>5090</v>
      </c>
      <c r="V244" t="s">
        <v>4544</v>
      </c>
      <c r="W244" t="s">
        <v>5091</v>
      </c>
      <c r="X244" t="s">
        <v>5092</v>
      </c>
      <c r="Z244" t="s">
        <v>4737</v>
      </c>
      <c r="AA244" t="s">
        <v>4724</v>
      </c>
      <c r="AB244" t="s">
        <v>4725</v>
      </c>
      <c r="AF244">
        <v>1</v>
      </c>
      <c r="AG244">
        <v>1</v>
      </c>
      <c r="AH244">
        <v>1</v>
      </c>
    </row>
    <row r="245" spans="1:34" x14ac:dyDescent="0.3">
      <c r="A245">
        <v>363</v>
      </c>
      <c r="B245" t="s">
        <v>1808</v>
      </c>
      <c r="C245" t="s">
        <v>4728</v>
      </c>
      <c r="D245" t="s">
        <v>1801</v>
      </c>
      <c r="E245" t="s">
        <v>21</v>
      </c>
      <c r="F245" t="s">
        <v>22</v>
      </c>
      <c r="G245" t="s">
        <v>3607</v>
      </c>
      <c r="H245" t="s">
        <v>4729</v>
      </c>
      <c r="I245" t="s">
        <v>4730</v>
      </c>
      <c r="J245" t="s">
        <v>4731</v>
      </c>
      <c r="L245" t="s">
        <v>25</v>
      </c>
      <c r="M245" t="s">
        <v>1801</v>
      </c>
      <c r="N245" t="s">
        <v>4538</v>
      </c>
      <c r="O245" t="s">
        <v>4765</v>
      </c>
      <c r="Q245">
        <v>0</v>
      </c>
      <c r="R245">
        <v>182</v>
      </c>
      <c r="S245">
        <v>0</v>
      </c>
      <c r="U245" t="s">
        <v>5093</v>
      </c>
      <c r="V245" t="s">
        <v>4544</v>
      </c>
      <c r="W245" t="s">
        <v>5094</v>
      </c>
      <c r="X245" t="s">
        <v>5095</v>
      </c>
      <c r="Z245" t="s">
        <v>4737</v>
      </c>
      <c r="AA245" t="s">
        <v>4766</v>
      </c>
      <c r="AB245" t="s">
        <v>5079</v>
      </c>
      <c r="AF245">
        <v>0</v>
      </c>
      <c r="AG245">
        <v>1</v>
      </c>
      <c r="AH245">
        <v>1</v>
      </c>
    </row>
    <row r="246" spans="1:34" x14ac:dyDescent="0.3">
      <c r="A246">
        <v>364</v>
      </c>
      <c r="B246" t="s">
        <v>1812</v>
      </c>
      <c r="C246" t="s">
        <v>4728</v>
      </c>
      <c r="D246" t="s">
        <v>1796</v>
      </c>
      <c r="E246" t="s">
        <v>21</v>
      </c>
      <c r="F246" t="s">
        <v>22</v>
      </c>
      <c r="G246" t="s">
        <v>3607</v>
      </c>
      <c r="H246" t="s">
        <v>4729</v>
      </c>
      <c r="I246" t="s">
        <v>4730</v>
      </c>
      <c r="J246" t="s">
        <v>4720</v>
      </c>
      <c r="L246" t="s">
        <v>203</v>
      </c>
      <c r="M246" t="s">
        <v>1796</v>
      </c>
      <c r="N246" t="s">
        <v>4537</v>
      </c>
      <c r="O246" t="s">
        <v>4924</v>
      </c>
      <c r="P246" t="s">
        <v>5096</v>
      </c>
      <c r="Q246">
        <v>0</v>
      </c>
      <c r="R246">
        <v>54</v>
      </c>
      <c r="S246">
        <v>0</v>
      </c>
      <c r="U246" t="s">
        <v>1812</v>
      </c>
      <c r="V246" t="s">
        <v>4544</v>
      </c>
      <c r="W246" t="s">
        <v>5097</v>
      </c>
      <c r="X246" t="s">
        <v>5097</v>
      </c>
      <c r="Z246">
        <v>1</v>
      </c>
      <c r="AA246" t="s">
        <v>4856</v>
      </c>
      <c r="AB246" t="s">
        <v>4857</v>
      </c>
      <c r="AD246">
        <v>1</v>
      </c>
      <c r="AF246">
        <v>1</v>
      </c>
      <c r="AG246">
        <v>1</v>
      </c>
      <c r="AH246">
        <v>1</v>
      </c>
    </row>
    <row r="247" spans="1:34" x14ac:dyDescent="0.3">
      <c r="A247">
        <v>365</v>
      </c>
      <c r="B247" t="s">
        <v>1817</v>
      </c>
      <c r="C247" t="s">
        <v>4712</v>
      </c>
      <c r="D247" t="s">
        <v>3528</v>
      </c>
      <c r="E247" t="s">
        <v>21</v>
      </c>
      <c r="F247" t="s">
        <v>22</v>
      </c>
      <c r="H247" t="s">
        <v>4755</v>
      </c>
      <c r="I247" t="s">
        <v>4755</v>
      </c>
      <c r="J247" t="s">
        <v>4731</v>
      </c>
      <c r="L247" t="s">
        <v>25</v>
      </c>
      <c r="M247" t="s">
        <v>1801</v>
      </c>
      <c r="N247" t="s">
        <v>4538</v>
      </c>
      <c r="O247" t="s">
        <v>4765</v>
      </c>
      <c r="Q247">
        <v>0</v>
      </c>
      <c r="R247">
        <v>183</v>
      </c>
      <c r="S247">
        <v>0</v>
      </c>
      <c r="V247" t="s">
        <v>4544</v>
      </c>
      <c r="AA247" t="s">
        <v>4782</v>
      </c>
      <c r="AB247" t="s">
        <v>4988</v>
      </c>
      <c r="AF247">
        <v>1</v>
      </c>
      <c r="AG247">
        <v>1</v>
      </c>
      <c r="AH247">
        <v>0</v>
      </c>
    </row>
    <row r="248" spans="1:34" x14ac:dyDescent="0.3">
      <c r="A248">
        <v>366</v>
      </c>
      <c r="B248" t="s">
        <v>1819</v>
      </c>
      <c r="C248" t="s">
        <v>4728</v>
      </c>
      <c r="D248" t="s">
        <v>1801</v>
      </c>
      <c r="E248" t="s">
        <v>139</v>
      </c>
      <c r="F248" t="s">
        <v>22</v>
      </c>
      <c r="G248" t="s">
        <v>3607</v>
      </c>
      <c r="H248" t="s">
        <v>4729</v>
      </c>
      <c r="I248" t="s">
        <v>4730</v>
      </c>
      <c r="J248" t="s">
        <v>4480</v>
      </c>
      <c r="L248" t="s">
        <v>203</v>
      </c>
      <c r="M248" t="s">
        <v>1801</v>
      </c>
      <c r="N248" t="s">
        <v>4538</v>
      </c>
      <c r="O248" t="s">
        <v>4765</v>
      </c>
      <c r="Q248">
        <v>0</v>
      </c>
      <c r="R248">
        <v>184</v>
      </c>
      <c r="S248">
        <v>0</v>
      </c>
      <c r="U248" t="s">
        <v>5098</v>
      </c>
      <c r="V248" t="s">
        <v>4544</v>
      </c>
      <c r="W248" t="s">
        <v>5099</v>
      </c>
      <c r="X248" t="s">
        <v>5100</v>
      </c>
      <c r="Z248" t="s">
        <v>4737</v>
      </c>
      <c r="AA248" t="s">
        <v>4738</v>
      </c>
      <c r="AB248" t="s">
        <v>4831</v>
      </c>
      <c r="AF248">
        <v>1</v>
      </c>
      <c r="AG248">
        <v>1</v>
      </c>
      <c r="AH248">
        <v>1</v>
      </c>
    </row>
    <row r="249" spans="1:34" x14ac:dyDescent="0.3">
      <c r="A249">
        <v>367</v>
      </c>
      <c r="B249" t="s">
        <v>1824</v>
      </c>
      <c r="C249" t="s">
        <v>4712</v>
      </c>
      <c r="D249" t="s">
        <v>1796</v>
      </c>
      <c r="E249" t="s">
        <v>139</v>
      </c>
      <c r="F249" t="s">
        <v>22</v>
      </c>
      <c r="G249" t="s">
        <v>3607</v>
      </c>
      <c r="H249" t="s">
        <v>4729</v>
      </c>
      <c r="I249" t="s">
        <v>4730</v>
      </c>
      <c r="J249" t="s">
        <v>4480</v>
      </c>
      <c r="L249" t="s">
        <v>25</v>
      </c>
      <c r="M249" t="s">
        <v>1796</v>
      </c>
      <c r="N249" t="s">
        <v>4537</v>
      </c>
      <c r="O249" t="s">
        <v>4924</v>
      </c>
      <c r="P249" t="s">
        <v>5101</v>
      </c>
      <c r="Q249">
        <v>0</v>
      </c>
      <c r="R249">
        <v>50</v>
      </c>
      <c r="S249">
        <v>0</v>
      </c>
      <c r="U249" t="s">
        <v>5102</v>
      </c>
      <c r="V249" t="s">
        <v>4544</v>
      </c>
      <c r="W249" t="s">
        <v>5103</v>
      </c>
      <c r="X249" t="s">
        <v>5103</v>
      </c>
      <c r="Z249">
        <v>1</v>
      </c>
      <c r="AA249" t="s">
        <v>4724</v>
      </c>
      <c r="AB249" t="s">
        <v>4725</v>
      </c>
      <c r="AC249">
        <v>1</v>
      </c>
      <c r="AD249">
        <v>1</v>
      </c>
      <c r="AF249">
        <v>0</v>
      </c>
      <c r="AG249">
        <v>1</v>
      </c>
      <c r="AH249">
        <v>1</v>
      </c>
    </row>
    <row r="250" spans="1:34" x14ac:dyDescent="0.3">
      <c r="A250">
        <v>368</v>
      </c>
      <c r="B250" t="s">
        <v>1826</v>
      </c>
      <c r="C250" t="s">
        <v>4728</v>
      </c>
      <c r="D250" t="s">
        <v>1834</v>
      </c>
      <c r="E250" t="s">
        <v>39</v>
      </c>
      <c r="F250" t="s">
        <v>22</v>
      </c>
      <c r="G250" t="s">
        <v>3607</v>
      </c>
      <c r="H250" t="s">
        <v>4729</v>
      </c>
      <c r="I250" t="s">
        <v>4730</v>
      </c>
      <c r="J250" t="s">
        <v>4731</v>
      </c>
      <c r="L250" t="s">
        <v>25</v>
      </c>
      <c r="M250" t="s">
        <v>5104</v>
      </c>
      <c r="N250" t="s">
        <v>4714</v>
      </c>
      <c r="O250" t="s">
        <v>5105</v>
      </c>
      <c r="Q250">
        <v>0</v>
      </c>
      <c r="R250">
        <v>449</v>
      </c>
      <c r="S250">
        <v>0</v>
      </c>
      <c r="U250" t="s">
        <v>5106</v>
      </c>
      <c r="V250" t="s">
        <v>4544</v>
      </c>
      <c r="W250" t="s">
        <v>5107</v>
      </c>
      <c r="X250" t="s">
        <v>5108</v>
      </c>
      <c r="Z250" t="s">
        <v>4737</v>
      </c>
      <c r="AA250" t="s">
        <v>4724</v>
      </c>
      <c r="AB250" t="s">
        <v>4725</v>
      </c>
      <c r="AF250">
        <v>0</v>
      </c>
      <c r="AG250">
        <v>1</v>
      </c>
      <c r="AH250">
        <v>1</v>
      </c>
    </row>
    <row r="251" spans="1:34" x14ac:dyDescent="0.3">
      <c r="A251">
        <v>369</v>
      </c>
      <c r="B251" t="s">
        <v>1835</v>
      </c>
      <c r="C251" t="s">
        <v>4712</v>
      </c>
      <c r="D251" t="s">
        <v>1796</v>
      </c>
      <c r="E251" t="s">
        <v>21</v>
      </c>
      <c r="F251" t="s">
        <v>22</v>
      </c>
      <c r="G251" t="s">
        <v>3608</v>
      </c>
      <c r="H251" t="s">
        <v>4729</v>
      </c>
      <c r="I251" t="s">
        <v>4730</v>
      </c>
      <c r="J251" t="s">
        <v>4720</v>
      </c>
      <c r="L251" t="s">
        <v>203</v>
      </c>
      <c r="M251" t="s">
        <v>1796</v>
      </c>
      <c r="N251" t="s">
        <v>4537</v>
      </c>
      <c r="O251" t="s">
        <v>4924</v>
      </c>
      <c r="P251" t="s">
        <v>5096</v>
      </c>
      <c r="Q251">
        <v>0</v>
      </c>
      <c r="R251">
        <v>52</v>
      </c>
      <c r="S251">
        <v>0</v>
      </c>
      <c r="U251" t="s">
        <v>5109</v>
      </c>
      <c r="V251" t="s">
        <v>4544</v>
      </c>
      <c r="W251" t="s">
        <v>5097</v>
      </c>
      <c r="X251" t="s">
        <v>5097</v>
      </c>
      <c r="Z251" t="s">
        <v>4737</v>
      </c>
      <c r="AA251" t="s">
        <v>4724</v>
      </c>
      <c r="AB251" t="s">
        <v>4725</v>
      </c>
      <c r="AD251">
        <v>1</v>
      </c>
      <c r="AF251">
        <v>1</v>
      </c>
      <c r="AG251">
        <v>1</v>
      </c>
      <c r="AH251">
        <v>1</v>
      </c>
    </row>
    <row r="252" spans="1:34" x14ac:dyDescent="0.3">
      <c r="A252">
        <v>370</v>
      </c>
      <c r="B252" t="s">
        <v>1842</v>
      </c>
      <c r="C252" t="s">
        <v>4728</v>
      </c>
      <c r="D252" t="s">
        <v>1796</v>
      </c>
      <c r="E252" t="s">
        <v>21</v>
      </c>
      <c r="F252" t="s">
        <v>22</v>
      </c>
      <c r="H252" t="s">
        <v>4755</v>
      </c>
      <c r="I252" t="s">
        <v>4755</v>
      </c>
      <c r="J252" t="s">
        <v>4480</v>
      </c>
      <c r="L252" t="s">
        <v>203</v>
      </c>
      <c r="M252" t="s">
        <v>1796</v>
      </c>
      <c r="N252" t="s">
        <v>4732</v>
      </c>
      <c r="O252" t="s">
        <v>4733</v>
      </c>
      <c r="Q252">
        <v>0</v>
      </c>
      <c r="R252">
        <v>350</v>
      </c>
      <c r="S252">
        <v>0</v>
      </c>
      <c r="V252" t="s">
        <v>4544</v>
      </c>
      <c r="AA252" t="s">
        <v>4840</v>
      </c>
      <c r="AB252" t="s">
        <v>5110</v>
      </c>
      <c r="AF252">
        <v>1</v>
      </c>
      <c r="AG252">
        <v>1</v>
      </c>
      <c r="AH252">
        <v>0</v>
      </c>
    </row>
    <row r="253" spans="1:34" x14ac:dyDescent="0.3">
      <c r="A253">
        <v>371</v>
      </c>
      <c r="B253" t="s">
        <v>1844</v>
      </c>
      <c r="C253" t="s">
        <v>4712</v>
      </c>
      <c r="D253" t="s">
        <v>1796</v>
      </c>
      <c r="E253" t="s">
        <v>21</v>
      </c>
      <c r="F253" t="s">
        <v>22</v>
      </c>
      <c r="G253" t="s">
        <v>3607</v>
      </c>
      <c r="H253" t="s">
        <v>4729</v>
      </c>
      <c r="I253" t="s">
        <v>4730</v>
      </c>
      <c r="J253" t="s">
        <v>4720</v>
      </c>
      <c r="L253" t="s">
        <v>264</v>
      </c>
      <c r="M253" t="s">
        <v>1796</v>
      </c>
      <c r="N253" t="s">
        <v>4541</v>
      </c>
      <c r="O253" t="s">
        <v>4722</v>
      </c>
      <c r="Q253">
        <v>0</v>
      </c>
      <c r="R253">
        <v>153</v>
      </c>
      <c r="S253">
        <v>0</v>
      </c>
      <c r="U253" t="s">
        <v>5111</v>
      </c>
      <c r="V253" t="s">
        <v>4544</v>
      </c>
      <c r="W253" t="s">
        <v>5112</v>
      </c>
      <c r="X253" t="s">
        <v>5113</v>
      </c>
      <c r="Z253" t="s">
        <v>4737</v>
      </c>
      <c r="AA253" t="s">
        <v>4738</v>
      </c>
      <c r="AB253" t="s">
        <v>4831</v>
      </c>
      <c r="AF253">
        <v>1</v>
      </c>
      <c r="AG253">
        <v>1</v>
      </c>
      <c r="AH253">
        <v>1</v>
      </c>
    </row>
    <row r="254" spans="1:34" x14ac:dyDescent="0.3">
      <c r="A254">
        <v>372</v>
      </c>
      <c r="B254" t="s">
        <v>1849</v>
      </c>
      <c r="C254" t="s">
        <v>4728</v>
      </c>
      <c r="D254" t="s">
        <v>1834</v>
      </c>
      <c r="E254" t="s">
        <v>39</v>
      </c>
      <c r="F254" t="s">
        <v>22</v>
      </c>
      <c r="G254" t="s">
        <v>3607</v>
      </c>
      <c r="H254" t="s">
        <v>4729</v>
      </c>
      <c r="I254" t="s">
        <v>4730</v>
      </c>
      <c r="J254" t="s">
        <v>4731</v>
      </c>
      <c r="L254" t="s">
        <v>25</v>
      </c>
      <c r="M254" t="s">
        <v>5104</v>
      </c>
      <c r="N254" t="s">
        <v>4714</v>
      </c>
      <c r="O254" t="s">
        <v>5105</v>
      </c>
      <c r="Q254">
        <v>0</v>
      </c>
      <c r="R254">
        <v>450</v>
      </c>
      <c r="S254">
        <v>0</v>
      </c>
      <c r="U254" t="s">
        <v>5114</v>
      </c>
      <c r="V254" t="s">
        <v>4544</v>
      </c>
      <c r="W254" t="s">
        <v>5115</v>
      </c>
      <c r="X254" t="s">
        <v>5115</v>
      </c>
      <c r="Z254" t="s">
        <v>4737</v>
      </c>
      <c r="AA254" t="s">
        <v>4724</v>
      </c>
      <c r="AB254" t="s">
        <v>4725</v>
      </c>
      <c r="AF254">
        <v>0</v>
      </c>
      <c r="AG254">
        <v>1</v>
      </c>
      <c r="AH254">
        <v>1</v>
      </c>
    </row>
    <row r="255" spans="1:34" x14ac:dyDescent="0.3">
      <c r="A255">
        <v>373</v>
      </c>
      <c r="B255" t="s">
        <v>1856</v>
      </c>
      <c r="C255" t="s">
        <v>4712</v>
      </c>
      <c r="D255" t="s">
        <v>1263</v>
      </c>
      <c r="E255" t="s">
        <v>39</v>
      </c>
      <c r="F255" t="s">
        <v>22</v>
      </c>
      <c r="G255" t="s">
        <v>3608</v>
      </c>
      <c r="H255" t="s">
        <v>4729</v>
      </c>
      <c r="I255" t="s">
        <v>4730</v>
      </c>
      <c r="J255" t="s">
        <v>4731</v>
      </c>
      <c r="L255" t="s">
        <v>25</v>
      </c>
      <c r="M255" t="s">
        <v>1263</v>
      </c>
      <c r="N255" t="s">
        <v>4732</v>
      </c>
      <c r="O255" t="s">
        <v>4733</v>
      </c>
      <c r="Q255">
        <v>0</v>
      </c>
      <c r="R255">
        <v>351</v>
      </c>
      <c r="S255">
        <v>1</v>
      </c>
      <c r="U255" t="s">
        <v>5116</v>
      </c>
      <c r="V255" t="s">
        <v>4758</v>
      </c>
      <c r="W255" t="s">
        <v>4954</v>
      </c>
      <c r="X255" t="s">
        <v>4954</v>
      </c>
      <c r="Z255" t="s">
        <v>4737</v>
      </c>
      <c r="AA255" t="s">
        <v>4738</v>
      </c>
      <c r="AB255" t="s">
        <v>4739</v>
      </c>
      <c r="AF255">
        <v>1</v>
      </c>
      <c r="AG255">
        <v>1</v>
      </c>
      <c r="AH255">
        <v>1</v>
      </c>
    </row>
    <row r="256" spans="1:34" x14ac:dyDescent="0.3">
      <c r="A256" t="s">
        <v>2751</v>
      </c>
      <c r="B256" t="s">
        <v>2752</v>
      </c>
      <c r="D256" t="s">
        <v>1263</v>
      </c>
      <c r="E256" t="s">
        <v>39</v>
      </c>
      <c r="F256" t="s">
        <v>22</v>
      </c>
      <c r="H256" t="s">
        <v>4755</v>
      </c>
      <c r="I256" t="s">
        <v>4755</v>
      </c>
      <c r="L256" t="s">
        <v>25</v>
      </c>
    </row>
    <row r="257" spans="1:34" x14ac:dyDescent="0.3">
      <c r="A257" t="s">
        <v>2758</v>
      </c>
      <c r="B257" t="s">
        <v>2759</v>
      </c>
      <c r="D257" t="s">
        <v>1263</v>
      </c>
      <c r="E257" t="s">
        <v>39</v>
      </c>
      <c r="F257" t="s">
        <v>22</v>
      </c>
      <c r="H257" t="s">
        <v>4755</v>
      </c>
      <c r="I257" t="s">
        <v>4755</v>
      </c>
      <c r="L257" t="s">
        <v>25</v>
      </c>
    </row>
    <row r="258" spans="1:34" x14ac:dyDescent="0.3">
      <c r="A258" t="s">
        <v>2765</v>
      </c>
      <c r="B258" t="s">
        <v>2766</v>
      </c>
      <c r="D258" t="s">
        <v>1263</v>
      </c>
      <c r="E258" t="s">
        <v>39</v>
      </c>
      <c r="F258" t="s">
        <v>22</v>
      </c>
      <c r="H258" t="s">
        <v>4755</v>
      </c>
      <c r="I258" t="s">
        <v>4755</v>
      </c>
      <c r="L258" t="s">
        <v>25</v>
      </c>
    </row>
    <row r="259" spans="1:34" x14ac:dyDescent="0.3">
      <c r="A259" t="s">
        <v>2772</v>
      </c>
      <c r="B259" t="s">
        <v>2773</v>
      </c>
      <c r="D259" t="s">
        <v>1263</v>
      </c>
      <c r="E259" t="s">
        <v>39</v>
      </c>
      <c r="F259" t="s">
        <v>22</v>
      </c>
      <c r="H259" t="s">
        <v>4755</v>
      </c>
      <c r="I259" t="s">
        <v>4755</v>
      </c>
      <c r="L259" t="s">
        <v>25</v>
      </c>
    </row>
    <row r="260" spans="1:34" x14ac:dyDescent="0.3">
      <c r="A260" t="s">
        <v>2779</v>
      </c>
      <c r="B260" t="s">
        <v>2780</v>
      </c>
      <c r="D260" t="s">
        <v>1263</v>
      </c>
      <c r="E260" t="s">
        <v>39</v>
      </c>
      <c r="F260" t="s">
        <v>22</v>
      </c>
      <c r="H260" t="s">
        <v>4755</v>
      </c>
      <c r="I260" t="s">
        <v>4755</v>
      </c>
      <c r="L260" t="s">
        <v>25</v>
      </c>
    </row>
    <row r="261" spans="1:34" x14ac:dyDescent="0.3">
      <c r="A261" t="s">
        <v>2788</v>
      </c>
      <c r="B261" t="s">
        <v>2789</v>
      </c>
      <c r="D261" t="s">
        <v>1263</v>
      </c>
      <c r="E261" t="s">
        <v>39</v>
      </c>
      <c r="F261" t="s">
        <v>22</v>
      </c>
      <c r="H261" t="s">
        <v>4755</v>
      </c>
      <c r="I261" t="s">
        <v>4755</v>
      </c>
      <c r="L261" t="s">
        <v>25</v>
      </c>
    </row>
    <row r="262" spans="1:34" x14ac:dyDescent="0.3">
      <c r="A262">
        <v>374</v>
      </c>
      <c r="B262" t="s">
        <v>1869</v>
      </c>
      <c r="C262" t="s">
        <v>4728</v>
      </c>
      <c r="D262" t="s">
        <v>3529</v>
      </c>
      <c r="E262" t="s">
        <v>21</v>
      </c>
      <c r="F262" t="s">
        <v>22</v>
      </c>
      <c r="H262" t="s">
        <v>4755</v>
      </c>
      <c r="I262" t="s">
        <v>4755</v>
      </c>
      <c r="J262" t="s">
        <v>4731</v>
      </c>
      <c r="L262" t="s">
        <v>203</v>
      </c>
      <c r="M262" t="s">
        <v>1801</v>
      </c>
      <c r="N262" t="s">
        <v>4538</v>
      </c>
      <c r="O262" t="s">
        <v>4765</v>
      </c>
      <c r="Q262">
        <v>0</v>
      </c>
      <c r="R262">
        <v>185</v>
      </c>
      <c r="S262">
        <v>0</v>
      </c>
      <c r="V262" t="s">
        <v>4544</v>
      </c>
      <c r="AA262" t="s">
        <v>4718</v>
      </c>
      <c r="AB262" t="s">
        <v>4719</v>
      </c>
      <c r="AF262">
        <v>0</v>
      </c>
      <c r="AG262">
        <v>1</v>
      </c>
      <c r="AH262">
        <v>0</v>
      </c>
    </row>
    <row r="263" spans="1:34" x14ac:dyDescent="0.3">
      <c r="A263">
        <v>375</v>
      </c>
      <c r="B263" t="s">
        <v>1871</v>
      </c>
      <c r="C263" t="s">
        <v>4728</v>
      </c>
      <c r="D263" t="s">
        <v>1801</v>
      </c>
      <c r="E263" t="s">
        <v>21</v>
      </c>
      <c r="F263" t="s">
        <v>22</v>
      </c>
      <c r="G263" t="s">
        <v>3608</v>
      </c>
      <c r="H263" t="s">
        <v>4729</v>
      </c>
      <c r="I263" t="s">
        <v>4730</v>
      </c>
      <c r="J263" t="s">
        <v>4731</v>
      </c>
      <c r="L263" t="s">
        <v>25</v>
      </c>
      <c r="M263" t="s">
        <v>1801</v>
      </c>
      <c r="N263" t="s">
        <v>4538</v>
      </c>
      <c r="O263" t="s">
        <v>4765</v>
      </c>
      <c r="Q263">
        <v>0</v>
      </c>
      <c r="R263">
        <v>186</v>
      </c>
      <c r="S263">
        <v>0</v>
      </c>
      <c r="U263" t="s">
        <v>5117</v>
      </c>
      <c r="V263" t="s">
        <v>4544</v>
      </c>
      <c r="W263" t="s">
        <v>5118</v>
      </c>
      <c r="X263" t="s">
        <v>5119</v>
      </c>
      <c r="Z263" t="s">
        <v>4737</v>
      </c>
      <c r="AA263" t="s">
        <v>4718</v>
      </c>
      <c r="AB263" t="s">
        <v>4719</v>
      </c>
      <c r="AF263">
        <v>1</v>
      </c>
      <c r="AG263">
        <v>1</v>
      </c>
      <c r="AH263">
        <v>1</v>
      </c>
    </row>
    <row r="264" spans="1:34" x14ac:dyDescent="0.3">
      <c r="A264">
        <v>376</v>
      </c>
      <c r="B264" t="s">
        <v>1882</v>
      </c>
      <c r="C264" t="s">
        <v>4712</v>
      </c>
      <c r="D264" t="s">
        <v>210</v>
      </c>
      <c r="E264" t="s">
        <v>21</v>
      </c>
      <c r="F264" t="s">
        <v>22</v>
      </c>
      <c r="G264" t="s">
        <v>3607</v>
      </c>
      <c r="H264" t="s">
        <v>4729</v>
      </c>
      <c r="I264" t="s">
        <v>4730</v>
      </c>
      <c r="J264" t="s">
        <v>4480</v>
      </c>
      <c r="L264" t="s">
        <v>264</v>
      </c>
      <c r="M264" t="s">
        <v>210</v>
      </c>
      <c r="N264" t="s">
        <v>4537</v>
      </c>
      <c r="O264" t="s">
        <v>4843</v>
      </c>
      <c r="P264" t="s">
        <v>4912</v>
      </c>
      <c r="Q264">
        <v>0</v>
      </c>
      <c r="R264">
        <v>44</v>
      </c>
      <c r="S264">
        <v>0</v>
      </c>
      <c r="U264" t="s">
        <v>5120</v>
      </c>
      <c r="V264" t="s">
        <v>4735</v>
      </c>
      <c r="W264" t="s">
        <v>5121</v>
      </c>
      <c r="X264" t="s">
        <v>5121</v>
      </c>
      <c r="Z264" t="s">
        <v>4737</v>
      </c>
      <c r="AA264" t="s">
        <v>4738</v>
      </c>
      <c r="AB264" t="s">
        <v>4831</v>
      </c>
      <c r="AC264">
        <v>1</v>
      </c>
      <c r="AD264">
        <v>1</v>
      </c>
      <c r="AF264">
        <v>1</v>
      </c>
      <c r="AG264">
        <v>1</v>
      </c>
      <c r="AH264">
        <v>1</v>
      </c>
    </row>
    <row r="265" spans="1:34" x14ac:dyDescent="0.3">
      <c r="A265">
        <v>377</v>
      </c>
      <c r="B265" t="s">
        <v>1884</v>
      </c>
      <c r="C265" t="s">
        <v>4712</v>
      </c>
      <c r="D265" t="s">
        <v>210</v>
      </c>
      <c r="E265" t="s">
        <v>139</v>
      </c>
      <c r="F265" t="s">
        <v>22</v>
      </c>
      <c r="G265" t="s">
        <v>3607</v>
      </c>
      <c r="H265" t="s">
        <v>4729</v>
      </c>
      <c r="I265" t="s">
        <v>4730</v>
      </c>
      <c r="J265" t="s">
        <v>4480</v>
      </c>
      <c r="L265" t="s">
        <v>264</v>
      </c>
      <c r="M265" t="s">
        <v>210</v>
      </c>
      <c r="N265" t="s">
        <v>4537</v>
      </c>
      <c r="O265" t="s">
        <v>4843</v>
      </c>
      <c r="P265" t="s">
        <v>4912</v>
      </c>
      <c r="Q265">
        <v>0</v>
      </c>
      <c r="R265">
        <v>55</v>
      </c>
      <c r="S265">
        <v>0</v>
      </c>
      <c r="U265" t="s">
        <v>5122</v>
      </c>
      <c r="V265" t="s">
        <v>4735</v>
      </c>
      <c r="W265" t="s">
        <v>5121</v>
      </c>
      <c r="X265" t="s">
        <v>5121</v>
      </c>
      <c r="Z265" t="s">
        <v>4737</v>
      </c>
      <c r="AA265" t="s">
        <v>4738</v>
      </c>
      <c r="AB265" t="s">
        <v>4831</v>
      </c>
      <c r="AD265">
        <v>1</v>
      </c>
      <c r="AF265">
        <v>1</v>
      </c>
      <c r="AG265">
        <v>1</v>
      </c>
      <c r="AH265">
        <v>1</v>
      </c>
    </row>
    <row r="266" spans="1:34" x14ac:dyDescent="0.3">
      <c r="A266">
        <v>378</v>
      </c>
      <c r="B266" t="s">
        <v>1889</v>
      </c>
      <c r="C266" t="s">
        <v>4712</v>
      </c>
      <c r="D266" t="s">
        <v>72</v>
      </c>
      <c r="E266" t="s">
        <v>73</v>
      </c>
      <c r="F266" t="s">
        <v>22</v>
      </c>
      <c r="H266" t="s">
        <v>4755</v>
      </c>
      <c r="I266" t="s">
        <v>4755</v>
      </c>
      <c r="J266" t="s">
        <v>4731</v>
      </c>
      <c r="L266" t="s">
        <v>25</v>
      </c>
      <c r="M266" t="s">
        <v>72</v>
      </c>
      <c r="N266" t="s">
        <v>4732</v>
      </c>
      <c r="O266" t="s">
        <v>4749</v>
      </c>
      <c r="Q266">
        <v>0</v>
      </c>
      <c r="R266">
        <v>352</v>
      </c>
      <c r="S266">
        <v>0</v>
      </c>
      <c r="U266" t="s">
        <v>5123</v>
      </c>
      <c r="V266" t="s">
        <v>4544</v>
      </c>
      <c r="W266" t="s">
        <v>5124</v>
      </c>
      <c r="X266" t="s">
        <v>5124</v>
      </c>
      <c r="Z266" t="s">
        <v>4737</v>
      </c>
      <c r="AA266" t="s">
        <v>4792</v>
      </c>
      <c r="AB266" t="s">
        <v>4793</v>
      </c>
      <c r="AF266">
        <v>1</v>
      </c>
      <c r="AG266">
        <v>1</v>
      </c>
      <c r="AH266">
        <v>0</v>
      </c>
    </row>
    <row r="267" spans="1:34" x14ac:dyDescent="0.3">
      <c r="A267">
        <v>379</v>
      </c>
      <c r="B267" t="s">
        <v>1914</v>
      </c>
      <c r="C267" t="s">
        <v>4712</v>
      </c>
      <c r="D267" t="s">
        <v>1915</v>
      </c>
      <c r="E267" t="s">
        <v>21</v>
      </c>
      <c r="F267" t="s">
        <v>22</v>
      </c>
      <c r="G267" t="s">
        <v>3607</v>
      </c>
      <c r="H267" t="s">
        <v>4729</v>
      </c>
      <c r="I267" t="s">
        <v>4730</v>
      </c>
      <c r="J267" t="s">
        <v>4720</v>
      </c>
      <c r="L267" t="s">
        <v>203</v>
      </c>
      <c r="M267" t="s">
        <v>1915</v>
      </c>
      <c r="N267" t="s">
        <v>4541</v>
      </c>
      <c r="O267" t="s">
        <v>4722</v>
      </c>
      <c r="P267" t="s">
        <v>4723</v>
      </c>
      <c r="Q267">
        <v>0</v>
      </c>
      <c r="R267">
        <v>24</v>
      </c>
      <c r="S267">
        <v>0</v>
      </c>
      <c r="U267" t="s">
        <v>5125</v>
      </c>
      <c r="V267" t="s">
        <v>4543</v>
      </c>
      <c r="W267" t="s">
        <v>5126</v>
      </c>
      <c r="X267" t="s">
        <v>5126</v>
      </c>
      <c r="Z267" t="s">
        <v>4771</v>
      </c>
      <c r="AA267" t="s">
        <v>4724</v>
      </c>
      <c r="AB267" t="s">
        <v>4725</v>
      </c>
      <c r="AC267">
        <v>1</v>
      </c>
      <c r="AD267">
        <v>1</v>
      </c>
      <c r="AF267">
        <v>1</v>
      </c>
      <c r="AG267">
        <v>1</v>
      </c>
      <c r="AH267">
        <v>1</v>
      </c>
    </row>
    <row r="268" spans="1:34" x14ac:dyDescent="0.3">
      <c r="A268">
        <v>380</v>
      </c>
      <c r="B268" t="s">
        <v>1920</v>
      </c>
      <c r="C268" t="s">
        <v>4712</v>
      </c>
      <c r="D268" t="s">
        <v>1915</v>
      </c>
      <c r="E268" t="s">
        <v>21</v>
      </c>
      <c r="F268" t="s">
        <v>22</v>
      </c>
      <c r="H268" t="s">
        <v>4755</v>
      </c>
      <c r="I268" t="s">
        <v>4755</v>
      </c>
      <c r="J268" t="s">
        <v>4720</v>
      </c>
      <c r="L268" t="s">
        <v>264</v>
      </c>
      <c r="M268" t="s">
        <v>1915</v>
      </c>
      <c r="N268" t="s">
        <v>4537</v>
      </c>
      <c r="O268" t="s">
        <v>4843</v>
      </c>
      <c r="Q268">
        <v>0</v>
      </c>
      <c r="R268">
        <v>254</v>
      </c>
      <c r="S268">
        <v>0</v>
      </c>
      <c r="U268" t="s">
        <v>5127</v>
      </c>
      <c r="V268" t="s">
        <v>4543</v>
      </c>
      <c r="W268" t="s">
        <v>5126</v>
      </c>
      <c r="X268" t="s">
        <v>5126</v>
      </c>
      <c r="Z268" t="s">
        <v>4737</v>
      </c>
      <c r="AA268" t="s">
        <v>4738</v>
      </c>
      <c r="AB268" t="s">
        <v>4831</v>
      </c>
      <c r="AF268">
        <v>1</v>
      </c>
      <c r="AG268">
        <v>1</v>
      </c>
      <c r="AH268">
        <v>0</v>
      </c>
    </row>
    <row r="269" spans="1:34" x14ac:dyDescent="0.3">
      <c r="A269">
        <v>381</v>
      </c>
      <c r="B269" t="s">
        <v>1925</v>
      </c>
      <c r="C269" t="s">
        <v>4712</v>
      </c>
      <c r="D269" t="s">
        <v>1915</v>
      </c>
      <c r="E269" t="s">
        <v>21</v>
      </c>
      <c r="F269" t="s">
        <v>22</v>
      </c>
      <c r="G269" t="s">
        <v>3607</v>
      </c>
      <c r="H269" t="s">
        <v>4729</v>
      </c>
      <c r="I269" t="s">
        <v>4730</v>
      </c>
      <c r="J269" t="s">
        <v>4720</v>
      </c>
      <c r="L269" t="s">
        <v>203</v>
      </c>
      <c r="M269" t="s">
        <v>1915</v>
      </c>
      <c r="N269" t="s">
        <v>4541</v>
      </c>
      <c r="O269" t="s">
        <v>4722</v>
      </c>
      <c r="Q269">
        <v>0</v>
      </c>
      <c r="R269">
        <v>135</v>
      </c>
      <c r="S269">
        <v>0</v>
      </c>
      <c r="U269" t="s">
        <v>5128</v>
      </c>
      <c r="V269" t="s">
        <v>4543</v>
      </c>
      <c r="W269" t="s">
        <v>5129</v>
      </c>
      <c r="X269" t="s">
        <v>5129</v>
      </c>
      <c r="Z269" t="s">
        <v>4737</v>
      </c>
      <c r="AA269" t="s">
        <v>4724</v>
      </c>
      <c r="AB269" t="s">
        <v>4725</v>
      </c>
      <c r="AF269">
        <v>1</v>
      </c>
      <c r="AG269">
        <v>1</v>
      </c>
      <c r="AH269">
        <v>1</v>
      </c>
    </row>
    <row r="270" spans="1:34" x14ac:dyDescent="0.3">
      <c r="A270">
        <v>382</v>
      </c>
      <c r="B270" t="s">
        <v>1930</v>
      </c>
      <c r="C270" t="s">
        <v>4712</v>
      </c>
      <c r="D270" t="s">
        <v>1915</v>
      </c>
      <c r="E270" t="s">
        <v>21</v>
      </c>
      <c r="F270" t="s">
        <v>22</v>
      </c>
      <c r="G270" t="s">
        <v>3607</v>
      </c>
      <c r="H270" t="s">
        <v>4729</v>
      </c>
      <c r="I270" t="s">
        <v>4730</v>
      </c>
      <c r="J270" t="s">
        <v>4720</v>
      </c>
      <c r="L270" t="s">
        <v>203</v>
      </c>
      <c r="M270" t="s">
        <v>1915</v>
      </c>
      <c r="N270" t="s">
        <v>4541</v>
      </c>
      <c r="O270" t="s">
        <v>4722</v>
      </c>
      <c r="Q270">
        <v>0</v>
      </c>
      <c r="R270">
        <v>136</v>
      </c>
      <c r="S270">
        <v>0</v>
      </c>
      <c r="U270" t="s">
        <v>5130</v>
      </c>
      <c r="V270" t="s">
        <v>4543</v>
      </c>
      <c r="W270" t="s">
        <v>5129</v>
      </c>
      <c r="X270" t="s">
        <v>5129</v>
      </c>
      <c r="Z270" t="s">
        <v>4737</v>
      </c>
      <c r="AA270" t="s">
        <v>4724</v>
      </c>
      <c r="AB270" t="s">
        <v>4725</v>
      </c>
      <c r="AF270">
        <v>1</v>
      </c>
      <c r="AG270">
        <v>1</v>
      </c>
      <c r="AH270">
        <v>1</v>
      </c>
    </row>
    <row r="271" spans="1:34" x14ac:dyDescent="0.3">
      <c r="A271">
        <v>383</v>
      </c>
      <c r="B271" t="s">
        <v>1935</v>
      </c>
      <c r="C271" t="s">
        <v>4728</v>
      </c>
      <c r="D271" t="s">
        <v>1915</v>
      </c>
      <c r="E271" t="s">
        <v>21</v>
      </c>
      <c r="F271" t="s">
        <v>22</v>
      </c>
      <c r="G271" t="s">
        <v>3607</v>
      </c>
      <c r="H271" t="s">
        <v>4729</v>
      </c>
      <c r="I271" t="s">
        <v>4730</v>
      </c>
      <c r="J271" t="s">
        <v>4720</v>
      </c>
      <c r="L271" t="s">
        <v>203</v>
      </c>
      <c r="M271" t="s">
        <v>1915</v>
      </c>
      <c r="N271" t="s">
        <v>4541</v>
      </c>
      <c r="O271" t="s">
        <v>4722</v>
      </c>
      <c r="Q271">
        <v>0</v>
      </c>
      <c r="R271">
        <v>137</v>
      </c>
      <c r="S271">
        <v>0</v>
      </c>
      <c r="U271" t="s">
        <v>5131</v>
      </c>
      <c r="V271" t="s">
        <v>4543</v>
      </c>
      <c r="W271" t="s">
        <v>5129</v>
      </c>
      <c r="X271" t="s">
        <v>5129</v>
      </c>
      <c r="Z271" t="s">
        <v>4737</v>
      </c>
      <c r="AA271" t="s">
        <v>4724</v>
      </c>
      <c r="AB271" t="s">
        <v>4725</v>
      </c>
      <c r="AF271">
        <v>1</v>
      </c>
      <c r="AG271">
        <v>1</v>
      </c>
      <c r="AH271">
        <v>1</v>
      </c>
    </row>
    <row r="272" spans="1:34" x14ac:dyDescent="0.3">
      <c r="A272">
        <v>384</v>
      </c>
      <c r="B272" t="s">
        <v>1940</v>
      </c>
      <c r="C272" t="s">
        <v>4728</v>
      </c>
      <c r="D272" t="s">
        <v>1915</v>
      </c>
      <c r="E272" t="s">
        <v>21</v>
      </c>
      <c r="F272" t="s">
        <v>22</v>
      </c>
      <c r="G272" t="s">
        <v>3607</v>
      </c>
      <c r="H272" t="s">
        <v>4729</v>
      </c>
      <c r="I272" t="s">
        <v>4730</v>
      </c>
      <c r="J272" t="s">
        <v>4720</v>
      </c>
      <c r="L272" t="s">
        <v>203</v>
      </c>
      <c r="M272" t="s">
        <v>1915</v>
      </c>
      <c r="N272" t="s">
        <v>4541</v>
      </c>
      <c r="O272" t="s">
        <v>4722</v>
      </c>
      <c r="Q272">
        <v>0</v>
      </c>
      <c r="R272">
        <v>138</v>
      </c>
      <c r="S272">
        <v>0</v>
      </c>
      <c r="U272" t="s">
        <v>5132</v>
      </c>
      <c r="V272" t="s">
        <v>4543</v>
      </c>
      <c r="W272" t="s">
        <v>5129</v>
      </c>
      <c r="X272" t="s">
        <v>5129</v>
      </c>
      <c r="Z272" t="s">
        <v>4737</v>
      </c>
      <c r="AA272" t="s">
        <v>4724</v>
      </c>
      <c r="AB272" t="s">
        <v>4725</v>
      </c>
      <c r="AF272">
        <v>1</v>
      </c>
      <c r="AG272">
        <v>1</v>
      </c>
      <c r="AH272">
        <v>1</v>
      </c>
    </row>
    <row r="273" spans="1:34" x14ac:dyDescent="0.3">
      <c r="A273">
        <v>385</v>
      </c>
      <c r="B273" t="s">
        <v>1945</v>
      </c>
      <c r="C273" t="s">
        <v>4712</v>
      </c>
      <c r="D273" t="s">
        <v>1946</v>
      </c>
      <c r="E273" t="s">
        <v>21</v>
      </c>
      <c r="F273" t="s">
        <v>22</v>
      </c>
      <c r="G273" t="s">
        <v>3607</v>
      </c>
      <c r="H273" t="s">
        <v>4729</v>
      </c>
      <c r="I273" t="s">
        <v>4730</v>
      </c>
      <c r="J273" t="s">
        <v>4480</v>
      </c>
      <c r="L273" t="s">
        <v>264</v>
      </c>
      <c r="M273" t="s">
        <v>1946</v>
      </c>
      <c r="N273" t="s">
        <v>4714</v>
      </c>
      <c r="O273" t="s">
        <v>5105</v>
      </c>
      <c r="P273" t="s">
        <v>5133</v>
      </c>
      <c r="Q273">
        <v>0</v>
      </c>
      <c r="R273">
        <v>77</v>
      </c>
      <c r="S273">
        <v>0</v>
      </c>
      <c r="U273" t="s">
        <v>5134</v>
      </c>
      <c r="V273" t="s">
        <v>4543</v>
      </c>
      <c r="W273" t="s">
        <v>5129</v>
      </c>
      <c r="X273" t="s">
        <v>5129</v>
      </c>
      <c r="Z273" t="s">
        <v>4737</v>
      </c>
      <c r="AA273" t="s">
        <v>4738</v>
      </c>
      <c r="AB273" t="s">
        <v>4831</v>
      </c>
      <c r="AC273">
        <v>1</v>
      </c>
      <c r="AD273">
        <v>1</v>
      </c>
      <c r="AF273">
        <v>1</v>
      </c>
      <c r="AG273">
        <v>1</v>
      </c>
      <c r="AH273">
        <v>1</v>
      </c>
    </row>
    <row r="274" spans="1:34" x14ac:dyDescent="0.3">
      <c r="A274">
        <v>386</v>
      </c>
      <c r="B274" t="s">
        <v>1951</v>
      </c>
      <c r="C274" t="s">
        <v>4712</v>
      </c>
      <c r="D274" t="s">
        <v>1946</v>
      </c>
      <c r="E274" t="s">
        <v>21</v>
      </c>
      <c r="F274" t="s">
        <v>22</v>
      </c>
      <c r="G274" t="s">
        <v>3608</v>
      </c>
      <c r="H274" t="s">
        <v>4729</v>
      </c>
      <c r="I274" t="s">
        <v>4730</v>
      </c>
      <c r="J274" t="s">
        <v>4720</v>
      </c>
      <c r="L274" t="s">
        <v>25</v>
      </c>
      <c r="M274" t="s">
        <v>1946</v>
      </c>
      <c r="N274" t="s">
        <v>4714</v>
      </c>
      <c r="O274" t="s">
        <v>5105</v>
      </c>
      <c r="Q274">
        <v>0</v>
      </c>
      <c r="R274">
        <v>451</v>
      </c>
      <c r="S274">
        <v>0</v>
      </c>
      <c r="U274" t="s">
        <v>5135</v>
      </c>
      <c r="V274" t="s">
        <v>4543</v>
      </c>
      <c r="W274" t="s">
        <v>5129</v>
      </c>
      <c r="X274" t="s">
        <v>5129</v>
      </c>
      <c r="Z274" t="s">
        <v>4737</v>
      </c>
      <c r="AA274" t="s">
        <v>4738</v>
      </c>
      <c r="AB274" t="s">
        <v>4831</v>
      </c>
      <c r="AF274">
        <v>0</v>
      </c>
      <c r="AG274">
        <v>1</v>
      </c>
      <c r="AH274">
        <v>1</v>
      </c>
    </row>
    <row r="275" spans="1:34" x14ac:dyDescent="0.3">
      <c r="A275" t="s">
        <v>3583</v>
      </c>
      <c r="B275" t="s">
        <v>5136</v>
      </c>
      <c r="C275" t="s">
        <v>4712</v>
      </c>
      <c r="D275" t="s">
        <v>1946</v>
      </c>
      <c r="E275" t="s">
        <v>21</v>
      </c>
      <c r="F275" t="s">
        <v>22</v>
      </c>
      <c r="I275" t="s">
        <v>4713</v>
      </c>
      <c r="J275" t="s">
        <v>4720</v>
      </c>
      <c r="L275" t="s">
        <v>264</v>
      </c>
      <c r="M275" t="s">
        <v>1946</v>
      </c>
      <c r="N275" t="s">
        <v>4714</v>
      </c>
      <c r="O275" t="s">
        <v>5105</v>
      </c>
      <c r="P275" t="s">
        <v>5133</v>
      </c>
      <c r="Q275">
        <v>0</v>
      </c>
      <c r="R275">
        <v>78</v>
      </c>
      <c r="S275">
        <v>0</v>
      </c>
      <c r="V275" t="s">
        <v>4543</v>
      </c>
      <c r="AA275" t="s">
        <v>4738</v>
      </c>
      <c r="AB275" t="s">
        <v>4831</v>
      </c>
      <c r="AC275">
        <v>1</v>
      </c>
      <c r="AD275">
        <v>1</v>
      </c>
      <c r="AG275">
        <v>1</v>
      </c>
      <c r="AH275">
        <v>0</v>
      </c>
    </row>
    <row r="276" spans="1:34" x14ac:dyDescent="0.3">
      <c r="A276" t="s">
        <v>3585</v>
      </c>
      <c r="B276" t="s">
        <v>3586</v>
      </c>
      <c r="C276" t="s">
        <v>4712</v>
      </c>
      <c r="D276" t="s">
        <v>1946</v>
      </c>
      <c r="E276" t="s">
        <v>21</v>
      </c>
      <c r="F276" t="s">
        <v>22</v>
      </c>
      <c r="I276" t="s">
        <v>4713</v>
      </c>
      <c r="J276" t="s">
        <v>4720</v>
      </c>
      <c r="L276" t="s">
        <v>264</v>
      </c>
      <c r="M276" t="s">
        <v>1946</v>
      </c>
      <c r="N276" t="s">
        <v>4714</v>
      </c>
      <c r="O276" t="s">
        <v>5105</v>
      </c>
      <c r="P276" t="s">
        <v>5133</v>
      </c>
      <c r="Q276">
        <v>0</v>
      </c>
      <c r="R276">
        <v>79</v>
      </c>
      <c r="S276">
        <v>0</v>
      </c>
      <c r="V276" t="s">
        <v>4543</v>
      </c>
      <c r="AA276" t="s">
        <v>4738</v>
      </c>
      <c r="AB276" t="s">
        <v>4831</v>
      </c>
      <c r="AC276">
        <v>1</v>
      </c>
      <c r="AD276">
        <v>1</v>
      </c>
      <c r="AG276">
        <v>1</v>
      </c>
      <c r="AH276">
        <v>0</v>
      </c>
    </row>
    <row r="277" spans="1:34" x14ac:dyDescent="0.3">
      <c r="A277" t="s">
        <v>3587</v>
      </c>
      <c r="B277" t="s">
        <v>3588</v>
      </c>
      <c r="C277" t="s">
        <v>4712</v>
      </c>
      <c r="D277" t="s">
        <v>1946</v>
      </c>
      <c r="E277" t="s">
        <v>21</v>
      </c>
      <c r="F277" t="s">
        <v>22</v>
      </c>
      <c r="I277" t="s">
        <v>4713</v>
      </c>
      <c r="J277" t="s">
        <v>4720</v>
      </c>
      <c r="L277" t="s">
        <v>264</v>
      </c>
      <c r="M277" t="s">
        <v>1946</v>
      </c>
      <c r="N277" t="s">
        <v>4714</v>
      </c>
      <c r="O277" t="s">
        <v>5105</v>
      </c>
      <c r="P277" t="s">
        <v>5133</v>
      </c>
      <c r="Q277">
        <v>0</v>
      </c>
      <c r="R277">
        <v>80</v>
      </c>
      <c r="S277">
        <v>0</v>
      </c>
      <c r="V277" t="s">
        <v>4543</v>
      </c>
      <c r="AA277" t="s">
        <v>4738</v>
      </c>
      <c r="AB277" t="s">
        <v>4831</v>
      </c>
      <c r="AC277">
        <v>1</v>
      </c>
      <c r="AD277">
        <v>1</v>
      </c>
      <c r="AG277">
        <v>1</v>
      </c>
      <c r="AH277">
        <v>0</v>
      </c>
    </row>
    <row r="278" spans="1:34" x14ac:dyDescent="0.3">
      <c r="A278">
        <v>387</v>
      </c>
      <c r="B278" t="s">
        <v>1958</v>
      </c>
      <c r="C278" t="s">
        <v>4712</v>
      </c>
      <c r="D278" t="s">
        <v>1234</v>
      </c>
      <c r="E278" t="s">
        <v>21</v>
      </c>
      <c r="F278" t="s">
        <v>22</v>
      </c>
      <c r="H278" t="s">
        <v>4755</v>
      </c>
      <c r="I278" t="s">
        <v>4755</v>
      </c>
      <c r="J278" t="s">
        <v>4731</v>
      </c>
      <c r="L278" t="s">
        <v>203</v>
      </c>
      <c r="M278" t="s">
        <v>1234</v>
      </c>
      <c r="N278" t="s">
        <v>4542</v>
      </c>
      <c r="O278" t="s">
        <v>4863</v>
      </c>
      <c r="P278" t="s">
        <v>4948</v>
      </c>
      <c r="Q278">
        <v>0</v>
      </c>
      <c r="R278">
        <v>120</v>
      </c>
      <c r="S278">
        <v>0</v>
      </c>
      <c r="V278" t="s">
        <v>4546</v>
      </c>
      <c r="AA278" t="s">
        <v>4718</v>
      </c>
      <c r="AB278" t="s">
        <v>4719</v>
      </c>
      <c r="AF278">
        <v>0</v>
      </c>
      <c r="AG278">
        <v>0</v>
      </c>
      <c r="AH278">
        <v>0</v>
      </c>
    </row>
    <row r="279" spans="1:34" x14ac:dyDescent="0.3">
      <c r="A279">
        <v>388</v>
      </c>
      <c r="B279" t="s">
        <v>1961</v>
      </c>
      <c r="C279" t="s">
        <v>4712</v>
      </c>
      <c r="D279" t="s">
        <v>1234</v>
      </c>
      <c r="E279" t="s">
        <v>21</v>
      </c>
      <c r="F279" t="s">
        <v>22</v>
      </c>
      <c r="H279" t="s">
        <v>4755</v>
      </c>
      <c r="I279" t="s">
        <v>4755</v>
      </c>
      <c r="J279" t="s">
        <v>4731</v>
      </c>
      <c r="L279" t="s">
        <v>203</v>
      </c>
      <c r="M279" t="s">
        <v>1234</v>
      </c>
      <c r="N279" t="s">
        <v>4542</v>
      </c>
      <c r="O279" t="s">
        <v>4863</v>
      </c>
      <c r="Q279">
        <v>0</v>
      </c>
      <c r="R279">
        <v>121</v>
      </c>
      <c r="S279">
        <v>0</v>
      </c>
      <c r="V279" t="s">
        <v>4546</v>
      </c>
      <c r="AA279" t="s">
        <v>4718</v>
      </c>
      <c r="AB279" t="s">
        <v>4719</v>
      </c>
      <c r="AF279">
        <v>0</v>
      </c>
      <c r="AG279">
        <v>0</v>
      </c>
      <c r="AH279">
        <v>0</v>
      </c>
    </row>
    <row r="280" spans="1:34" x14ac:dyDescent="0.3">
      <c r="A280">
        <v>389</v>
      </c>
      <c r="B280" t="s">
        <v>1964</v>
      </c>
      <c r="C280" t="s">
        <v>4712</v>
      </c>
      <c r="D280" t="s">
        <v>1969</v>
      </c>
      <c r="E280" t="s">
        <v>21</v>
      </c>
      <c r="F280" t="s">
        <v>22</v>
      </c>
      <c r="G280" t="s">
        <v>3608</v>
      </c>
      <c r="H280" t="s">
        <v>4729</v>
      </c>
      <c r="I280" t="s">
        <v>4730</v>
      </c>
      <c r="J280" t="s">
        <v>4731</v>
      </c>
      <c r="L280" t="s">
        <v>25</v>
      </c>
      <c r="M280" t="s">
        <v>1208</v>
      </c>
      <c r="N280" t="s">
        <v>4538</v>
      </c>
      <c r="O280" t="s">
        <v>4765</v>
      </c>
      <c r="Q280">
        <v>0</v>
      </c>
      <c r="R280">
        <v>187</v>
      </c>
      <c r="S280">
        <v>0</v>
      </c>
      <c r="U280" t="s">
        <v>5137</v>
      </c>
      <c r="V280" t="s">
        <v>4546</v>
      </c>
      <c r="W280" t="s">
        <v>4599</v>
      </c>
      <c r="X280" t="s">
        <v>5138</v>
      </c>
      <c r="AA280" t="s">
        <v>4724</v>
      </c>
      <c r="AB280" t="s">
        <v>4725</v>
      </c>
      <c r="AF280">
        <v>0</v>
      </c>
      <c r="AG280">
        <v>0</v>
      </c>
      <c r="AH280">
        <v>1</v>
      </c>
    </row>
    <row r="281" spans="1:34" x14ac:dyDescent="0.3">
      <c r="A281">
        <v>390</v>
      </c>
      <c r="B281" t="s">
        <v>1970</v>
      </c>
      <c r="C281" t="s">
        <v>4712</v>
      </c>
      <c r="D281" t="s">
        <v>1263</v>
      </c>
      <c r="E281" t="s">
        <v>39</v>
      </c>
      <c r="F281" t="s">
        <v>22</v>
      </c>
      <c r="G281" t="s">
        <v>3608</v>
      </c>
      <c r="H281" t="s">
        <v>4729</v>
      </c>
      <c r="I281" t="s">
        <v>4730</v>
      </c>
      <c r="J281" t="s">
        <v>4480</v>
      </c>
      <c r="K281" t="s">
        <v>5139</v>
      </c>
      <c r="L281" t="s">
        <v>25</v>
      </c>
      <c r="M281" t="s">
        <v>2801</v>
      </c>
      <c r="N281" t="s">
        <v>4732</v>
      </c>
      <c r="O281" t="s">
        <v>4733</v>
      </c>
      <c r="Q281">
        <v>0</v>
      </c>
      <c r="R281">
        <v>353</v>
      </c>
      <c r="S281">
        <v>1</v>
      </c>
      <c r="U281" t="s">
        <v>5140</v>
      </c>
      <c r="V281" t="s">
        <v>4758</v>
      </c>
      <c r="W281" t="s">
        <v>4954</v>
      </c>
      <c r="X281" t="s">
        <v>4954</v>
      </c>
      <c r="Z281" t="s">
        <v>4737</v>
      </c>
      <c r="AA281" t="s">
        <v>4760</v>
      </c>
      <c r="AB281" t="s">
        <v>4928</v>
      </c>
      <c r="AF281">
        <v>0</v>
      </c>
      <c r="AG281">
        <v>0</v>
      </c>
      <c r="AH281">
        <v>1</v>
      </c>
    </row>
    <row r="282" spans="1:34" x14ac:dyDescent="0.3">
      <c r="A282" t="s">
        <v>2795</v>
      </c>
      <c r="B282" t="s">
        <v>2800</v>
      </c>
      <c r="D282" t="s">
        <v>2801</v>
      </c>
      <c r="E282" t="s">
        <v>39</v>
      </c>
      <c r="F282" t="s">
        <v>22</v>
      </c>
      <c r="H282" t="s">
        <v>4755</v>
      </c>
      <c r="I282" t="s">
        <v>4755</v>
      </c>
      <c r="J282" t="s">
        <v>4480</v>
      </c>
      <c r="K282" t="s">
        <v>5139</v>
      </c>
      <c r="L282" t="s">
        <v>25</v>
      </c>
      <c r="M282" t="s">
        <v>2801</v>
      </c>
      <c r="N282" t="s">
        <v>4732</v>
      </c>
      <c r="O282" t="s">
        <v>4733</v>
      </c>
      <c r="Q282">
        <v>0</v>
      </c>
      <c r="R282">
        <v>388</v>
      </c>
      <c r="S282">
        <v>1</v>
      </c>
      <c r="V282" t="s">
        <v>4546</v>
      </c>
      <c r="AA282" t="s">
        <v>4760</v>
      </c>
      <c r="AB282" t="s">
        <v>4928</v>
      </c>
      <c r="AF282">
        <v>1</v>
      </c>
      <c r="AG282">
        <v>1</v>
      </c>
      <c r="AH282">
        <v>0</v>
      </c>
    </row>
    <row r="283" spans="1:34" x14ac:dyDescent="0.3">
      <c r="A283" t="s">
        <v>2805</v>
      </c>
      <c r="B283" t="s">
        <v>2810</v>
      </c>
      <c r="D283" t="s">
        <v>2801</v>
      </c>
      <c r="E283" t="s">
        <v>39</v>
      </c>
      <c r="F283" t="s">
        <v>22</v>
      </c>
      <c r="H283" t="s">
        <v>4755</v>
      </c>
      <c r="I283" t="s">
        <v>4755</v>
      </c>
      <c r="J283" t="s">
        <v>4480</v>
      </c>
      <c r="K283" t="s">
        <v>5139</v>
      </c>
      <c r="L283" t="s">
        <v>25</v>
      </c>
      <c r="M283" t="s">
        <v>2801</v>
      </c>
      <c r="N283" t="s">
        <v>4732</v>
      </c>
      <c r="O283" t="s">
        <v>4733</v>
      </c>
      <c r="Q283">
        <v>0</v>
      </c>
      <c r="R283">
        <v>397</v>
      </c>
      <c r="S283">
        <v>1</v>
      </c>
      <c r="V283" t="s">
        <v>4546</v>
      </c>
      <c r="AA283" t="s">
        <v>4760</v>
      </c>
      <c r="AB283" t="s">
        <v>4928</v>
      </c>
      <c r="AF283">
        <v>1</v>
      </c>
      <c r="AG283">
        <v>1</v>
      </c>
      <c r="AH283">
        <v>0</v>
      </c>
    </row>
    <row r="284" spans="1:34" x14ac:dyDescent="0.3">
      <c r="A284" t="s">
        <v>2814</v>
      </c>
      <c r="B284" t="s">
        <v>5141</v>
      </c>
      <c r="D284" t="s">
        <v>2801</v>
      </c>
      <c r="E284" t="s">
        <v>39</v>
      </c>
      <c r="F284" t="s">
        <v>22</v>
      </c>
      <c r="H284" t="s">
        <v>4755</v>
      </c>
      <c r="I284" t="s">
        <v>4755</v>
      </c>
      <c r="J284" t="s">
        <v>4480</v>
      </c>
      <c r="K284" t="s">
        <v>5139</v>
      </c>
      <c r="L284" t="s">
        <v>25</v>
      </c>
      <c r="M284" t="s">
        <v>2801</v>
      </c>
      <c r="N284" t="s">
        <v>4732</v>
      </c>
      <c r="O284" t="s">
        <v>4733</v>
      </c>
      <c r="Q284">
        <v>0</v>
      </c>
      <c r="R284">
        <v>398</v>
      </c>
      <c r="S284">
        <v>1</v>
      </c>
      <c r="V284" t="s">
        <v>4546</v>
      </c>
      <c r="AA284" t="s">
        <v>4760</v>
      </c>
      <c r="AB284" t="s">
        <v>4928</v>
      </c>
      <c r="AF284">
        <v>1</v>
      </c>
      <c r="AG284">
        <v>1</v>
      </c>
      <c r="AH284">
        <v>0</v>
      </c>
    </row>
    <row r="285" spans="1:34" x14ac:dyDescent="0.3">
      <c r="A285" t="s">
        <v>2823</v>
      </c>
      <c r="B285" t="s">
        <v>2828</v>
      </c>
      <c r="D285" t="s">
        <v>2801</v>
      </c>
      <c r="E285" t="s">
        <v>39</v>
      </c>
      <c r="F285" t="s">
        <v>22</v>
      </c>
      <c r="H285" t="s">
        <v>4755</v>
      </c>
      <c r="I285" t="s">
        <v>4755</v>
      </c>
      <c r="J285" t="s">
        <v>4480</v>
      </c>
      <c r="K285" t="s">
        <v>5139</v>
      </c>
      <c r="L285" t="s">
        <v>25</v>
      </c>
      <c r="M285" t="s">
        <v>2801</v>
      </c>
      <c r="N285" t="s">
        <v>4732</v>
      </c>
      <c r="O285" t="s">
        <v>4733</v>
      </c>
      <c r="Q285">
        <v>0</v>
      </c>
      <c r="R285">
        <v>399</v>
      </c>
      <c r="S285">
        <v>1</v>
      </c>
      <c r="V285" t="s">
        <v>4546</v>
      </c>
      <c r="AA285" t="s">
        <v>4760</v>
      </c>
      <c r="AB285" t="s">
        <v>4928</v>
      </c>
      <c r="AF285">
        <v>1</v>
      </c>
      <c r="AG285">
        <v>1</v>
      </c>
      <c r="AH285">
        <v>0</v>
      </c>
    </row>
    <row r="286" spans="1:34" x14ac:dyDescent="0.3">
      <c r="A286" t="s">
        <v>2832</v>
      </c>
      <c r="B286" t="s">
        <v>2837</v>
      </c>
      <c r="D286" t="s">
        <v>2801</v>
      </c>
      <c r="E286" t="s">
        <v>39</v>
      </c>
      <c r="F286" t="s">
        <v>22</v>
      </c>
      <c r="H286" t="s">
        <v>4755</v>
      </c>
      <c r="I286" t="s">
        <v>4755</v>
      </c>
      <c r="J286" t="s">
        <v>4480</v>
      </c>
      <c r="K286" t="s">
        <v>5139</v>
      </c>
      <c r="L286" t="s">
        <v>25</v>
      </c>
      <c r="M286" t="s">
        <v>2801</v>
      </c>
      <c r="N286" t="s">
        <v>4732</v>
      </c>
      <c r="O286" t="s">
        <v>4733</v>
      </c>
      <c r="Q286">
        <v>0</v>
      </c>
      <c r="R286">
        <v>389</v>
      </c>
      <c r="S286">
        <v>1</v>
      </c>
      <c r="V286" t="s">
        <v>4546</v>
      </c>
      <c r="AA286" t="s">
        <v>4760</v>
      </c>
      <c r="AB286" t="s">
        <v>4928</v>
      </c>
      <c r="AF286">
        <v>1</v>
      </c>
      <c r="AG286">
        <v>1</v>
      </c>
      <c r="AH286">
        <v>0</v>
      </c>
    </row>
    <row r="287" spans="1:34" x14ac:dyDescent="0.3">
      <c r="A287" t="s">
        <v>2841</v>
      </c>
      <c r="B287" t="s">
        <v>2846</v>
      </c>
      <c r="D287" t="s">
        <v>2801</v>
      </c>
      <c r="E287" t="s">
        <v>39</v>
      </c>
      <c r="F287" t="s">
        <v>22</v>
      </c>
      <c r="H287" t="s">
        <v>4755</v>
      </c>
      <c r="I287" t="s">
        <v>4755</v>
      </c>
      <c r="J287" t="s">
        <v>4480</v>
      </c>
      <c r="K287" t="s">
        <v>5139</v>
      </c>
      <c r="L287" t="s">
        <v>25</v>
      </c>
      <c r="M287" t="s">
        <v>2801</v>
      </c>
      <c r="N287" t="s">
        <v>4732</v>
      </c>
      <c r="O287" t="s">
        <v>4733</v>
      </c>
      <c r="Q287">
        <v>0</v>
      </c>
      <c r="R287">
        <v>390</v>
      </c>
      <c r="S287">
        <v>1</v>
      </c>
      <c r="V287" t="s">
        <v>4546</v>
      </c>
      <c r="AA287" t="s">
        <v>4760</v>
      </c>
      <c r="AB287" t="s">
        <v>4928</v>
      </c>
      <c r="AF287">
        <v>1</v>
      </c>
      <c r="AG287">
        <v>1</v>
      </c>
      <c r="AH287">
        <v>0</v>
      </c>
    </row>
    <row r="288" spans="1:34" x14ac:dyDescent="0.3">
      <c r="A288" t="s">
        <v>2850</v>
      </c>
      <c r="B288" t="s">
        <v>2855</v>
      </c>
      <c r="D288" t="s">
        <v>2801</v>
      </c>
      <c r="E288" t="s">
        <v>39</v>
      </c>
      <c r="F288" t="s">
        <v>22</v>
      </c>
      <c r="H288" t="s">
        <v>4755</v>
      </c>
      <c r="I288" t="s">
        <v>4755</v>
      </c>
      <c r="J288" t="s">
        <v>4480</v>
      </c>
      <c r="K288" t="s">
        <v>5139</v>
      </c>
      <c r="L288" t="s">
        <v>25</v>
      </c>
      <c r="M288" t="s">
        <v>2801</v>
      </c>
      <c r="N288" t="s">
        <v>4732</v>
      </c>
      <c r="O288" t="s">
        <v>4733</v>
      </c>
      <c r="Q288">
        <v>0</v>
      </c>
      <c r="R288">
        <v>391</v>
      </c>
      <c r="S288">
        <v>1</v>
      </c>
      <c r="V288" t="s">
        <v>4546</v>
      </c>
      <c r="AA288" t="s">
        <v>4760</v>
      </c>
      <c r="AB288" t="s">
        <v>4928</v>
      </c>
      <c r="AF288">
        <v>1</v>
      </c>
      <c r="AG288">
        <v>1</v>
      </c>
      <c r="AH288">
        <v>0</v>
      </c>
    </row>
    <row r="289" spans="1:34" x14ac:dyDescent="0.3">
      <c r="A289" t="s">
        <v>2859</v>
      </c>
      <c r="B289" t="s">
        <v>2864</v>
      </c>
      <c r="D289" t="s">
        <v>2801</v>
      </c>
      <c r="E289" t="s">
        <v>39</v>
      </c>
      <c r="F289" t="s">
        <v>22</v>
      </c>
      <c r="H289" t="s">
        <v>4755</v>
      </c>
      <c r="I289" t="s">
        <v>4755</v>
      </c>
      <c r="J289" t="s">
        <v>4480</v>
      </c>
      <c r="K289" t="s">
        <v>5139</v>
      </c>
      <c r="L289" t="s">
        <v>25</v>
      </c>
      <c r="M289" t="s">
        <v>2801</v>
      </c>
      <c r="N289" t="s">
        <v>4732</v>
      </c>
      <c r="O289" t="s">
        <v>4733</v>
      </c>
      <c r="Q289">
        <v>0</v>
      </c>
      <c r="R289">
        <v>392</v>
      </c>
      <c r="S289">
        <v>1</v>
      </c>
      <c r="V289" t="s">
        <v>4546</v>
      </c>
      <c r="AA289" t="s">
        <v>4760</v>
      </c>
      <c r="AB289" t="s">
        <v>4928</v>
      </c>
      <c r="AF289">
        <v>1</v>
      </c>
      <c r="AG289">
        <v>1</v>
      </c>
      <c r="AH289">
        <v>0</v>
      </c>
    </row>
    <row r="290" spans="1:34" x14ac:dyDescent="0.3">
      <c r="A290" t="s">
        <v>2868</v>
      </c>
      <c r="B290" t="s">
        <v>2873</v>
      </c>
      <c r="D290" t="s">
        <v>2801</v>
      </c>
      <c r="E290" t="s">
        <v>39</v>
      </c>
      <c r="F290" t="s">
        <v>22</v>
      </c>
      <c r="H290" t="s">
        <v>4755</v>
      </c>
      <c r="I290" t="s">
        <v>4755</v>
      </c>
      <c r="J290" t="s">
        <v>4480</v>
      </c>
      <c r="K290" t="s">
        <v>5139</v>
      </c>
      <c r="L290" t="s">
        <v>25</v>
      </c>
      <c r="M290" t="s">
        <v>2801</v>
      </c>
      <c r="N290" t="s">
        <v>4732</v>
      </c>
      <c r="O290" t="s">
        <v>4733</v>
      </c>
      <c r="Q290">
        <v>0</v>
      </c>
      <c r="R290">
        <v>393</v>
      </c>
      <c r="S290">
        <v>1</v>
      </c>
      <c r="V290" t="s">
        <v>4546</v>
      </c>
      <c r="AA290" t="s">
        <v>4760</v>
      </c>
      <c r="AB290" t="s">
        <v>4928</v>
      </c>
      <c r="AF290">
        <v>1</v>
      </c>
      <c r="AG290">
        <v>1</v>
      </c>
      <c r="AH290">
        <v>0</v>
      </c>
    </row>
    <row r="291" spans="1:34" x14ac:dyDescent="0.3">
      <c r="A291" t="s">
        <v>2877</v>
      </c>
      <c r="B291" t="s">
        <v>2882</v>
      </c>
      <c r="D291" t="s">
        <v>2801</v>
      </c>
      <c r="E291" t="s">
        <v>39</v>
      </c>
      <c r="F291" t="s">
        <v>22</v>
      </c>
      <c r="H291" t="s">
        <v>4755</v>
      </c>
      <c r="I291" t="s">
        <v>4755</v>
      </c>
      <c r="J291" t="s">
        <v>4480</v>
      </c>
      <c r="K291" t="s">
        <v>5139</v>
      </c>
      <c r="L291" t="s">
        <v>25</v>
      </c>
      <c r="M291" t="s">
        <v>2801</v>
      </c>
      <c r="N291" t="s">
        <v>4732</v>
      </c>
      <c r="O291" t="s">
        <v>4733</v>
      </c>
      <c r="Q291">
        <v>0</v>
      </c>
      <c r="R291">
        <v>394</v>
      </c>
      <c r="S291">
        <v>1</v>
      </c>
      <c r="V291" t="s">
        <v>4546</v>
      </c>
      <c r="AA291" t="s">
        <v>4760</v>
      </c>
      <c r="AB291" t="s">
        <v>4928</v>
      </c>
      <c r="AF291">
        <v>1</v>
      </c>
      <c r="AG291">
        <v>1</v>
      </c>
      <c r="AH291">
        <v>0</v>
      </c>
    </row>
    <row r="292" spans="1:34" x14ac:dyDescent="0.3">
      <c r="A292" t="s">
        <v>2886</v>
      </c>
      <c r="B292" t="s">
        <v>2891</v>
      </c>
      <c r="D292" t="s">
        <v>2801</v>
      </c>
      <c r="E292" t="s">
        <v>39</v>
      </c>
      <c r="F292" t="s">
        <v>22</v>
      </c>
      <c r="H292" t="s">
        <v>4755</v>
      </c>
      <c r="I292" t="s">
        <v>4755</v>
      </c>
      <c r="J292" t="s">
        <v>4480</v>
      </c>
      <c r="K292" t="s">
        <v>5139</v>
      </c>
      <c r="L292" t="s">
        <v>25</v>
      </c>
      <c r="M292" t="s">
        <v>2801</v>
      </c>
      <c r="N292" t="s">
        <v>4732</v>
      </c>
      <c r="O292" t="s">
        <v>4733</v>
      </c>
      <c r="Q292">
        <v>0</v>
      </c>
      <c r="R292">
        <v>395</v>
      </c>
      <c r="S292">
        <v>1</v>
      </c>
      <c r="V292" t="s">
        <v>4546</v>
      </c>
      <c r="AA292" t="s">
        <v>4760</v>
      </c>
      <c r="AB292" t="s">
        <v>4928</v>
      </c>
      <c r="AF292">
        <v>1</v>
      </c>
      <c r="AG292">
        <v>1</v>
      </c>
      <c r="AH292">
        <v>0</v>
      </c>
    </row>
    <row r="293" spans="1:34" x14ac:dyDescent="0.3">
      <c r="A293" t="s">
        <v>2895</v>
      </c>
      <c r="B293" t="s">
        <v>2900</v>
      </c>
      <c r="D293" t="s">
        <v>2801</v>
      </c>
      <c r="E293" t="s">
        <v>39</v>
      </c>
      <c r="F293" t="s">
        <v>22</v>
      </c>
      <c r="H293" t="s">
        <v>4755</v>
      </c>
      <c r="I293" t="s">
        <v>4755</v>
      </c>
      <c r="J293" t="s">
        <v>4480</v>
      </c>
      <c r="K293" t="s">
        <v>5139</v>
      </c>
      <c r="L293" t="s">
        <v>25</v>
      </c>
      <c r="M293" t="s">
        <v>2801</v>
      </c>
      <c r="N293" t="s">
        <v>4732</v>
      </c>
      <c r="O293" t="s">
        <v>4733</v>
      </c>
      <c r="Q293">
        <v>0</v>
      </c>
      <c r="R293">
        <v>396</v>
      </c>
      <c r="S293">
        <v>1</v>
      </c>
      <c r="V293" t="s">
        <v>4546</v>
      </c>
      <c r="AA293" t="s">
        <v>4760</v>
      </c>
      <c r="AB293" t="s">
        <v>4928</v>
      </c>
      <c r="AF293">
        <v>1</v>
      </c>
      <c r="AG293">
        <v>1</v>
      </c>
      <c r="AH293">
        <v>0</v>
      </c>
    </row>
    <row r="294" spans="1:34" x14ac:dyDescent="0.3">
      <c r="A294">
        <v>391</v>
      </c>
      <c r="B294" t="s">
        <v>1983</v>
      </c>
      <c r="C294" t="s">
        <v>4712</v>
      </c>
      <c r="D294" t="s">
        <v>1984</v>
      </c>
      <c r="E294" t="s">
        <v>21</v>
      </c>
      <c r="F294" t="s">
        <v>22</v>
      </c>
      <c r="H294" t="s">
        <v>4755</v>
      </c>
      <c r="I294" t="s">
        <v>4755</v>
      </c>
      <c r="J294" t="s">
        <v>4731</v>
      </c>
      <c r="L294" t="s">
        <v>25</v>
      </c>
      <c r="M294" t="s">
        <v>1984</v>
      </c>
      <c r="N294" t="s">
        <v>4541</v>
      </c>
      <c r="O294" t="s">
        <v>4722</v>
      </c>
      <c r="Q294">
        <v>0</v>
      </c>
      <c r="R294">
        <v>139</v>
      </c>
      <c r="S294">
        <v>0</v>
      </c>
      <c r="U294" t="s">
        <v>5142</v>
      </c>
      <c r="V294" t="s">
        <v>4546</v>
      </c>
      <c r="W294" t="s">
        <v>4619</v>
      </c>
      <c r="X294" t="s">
        <v>4619</v>
      </c>
      <c r="Z294" t="s">
        <v>4737</v>
      </c>
      <c r="AA294" t="s">
        <v>4856</v>
      </c>
      <c r="AB294" t="s">
        <v>4857</v>
      </c>
      <c r="AF294">
        <v>1</v>
      </c>
      <c r="AG294">
        <v>1</v>
      </c>
      <c r="AH294">
        <v>0</v>
      </c>
    </row>
    <row r="295" spans="1:34" x14ac:dyDescent="0.3">
      <c r="A295">
        <v>392</v>
      </c>
      <c r="B295" t="s">
        <v>1989</v>
      </c>
      <c r="C295" t="s">
        <v>4712</v>
      </c>
      <c r="D295" t="s">
        <v>1984</v>
      </c>
      <c r="E295" t="s">
        <v>139</v>
      </c>
      <c r="F295" t="s">
        <v>22</v>
      </c>
      <c r="G295" t="s">
        <v>3607</v>
      </c>
      <c r="H295" t="s">
        <v>4729</v>
      </c>
      <c r="I295" t="s">
        <v>4730</v>
      </c>
      <c r="J295" t="s">
        <v>4480</v>
      </c>
      <c r="L295" t="s">
        <v>264</v>
      </c>
      <c r="M295" t="s">
        <v>1984</v>
      </c>
      <c r="N295" t="s">
        <v>4541</v>
      </c>
      <c r="O295" t="s">
        <v>4722</v>
      </c>
      <c r="Q295">
        <v>0</v>
      </c>
      <c r="R295">
        <v>140</v>
      </c>
      <c r="S295">
        <v>0</v>
      </c>
      <c r="U295" t="s">
        <v>5143</v>
      </c>
      <c r="V295" t="s">
        <v>4546</v>
      </c>
      <c r="W295" t="s">
        <v>4619</v>
      </c>
      <c r="X295" t="s">
        <v>4619</v>
      </c>
      <c r="Z295" t="s">
        <v>4737</v>
      </c>
      <c r="AA295" t="s">
        <v>4738</v>
      </c>
      <c r="AB295" t="s">
        <v>4831</v>
      </c>
      <c r="AF295">
        <v>1</v>
      </c>
      <c r="AG295">
        <v>1</v>
      </c>
      <c r="AH295">
        <v>1</v>
      </c>
    </row>
    <row r="296" spans="1:34" x14ac:dyDescent="0.3">
      <c r="A296">
        <v>393</v>
      </c>
      <c r="B296" t="s">
        <v>1994</v>
      </c>
      <c r="C296" t="s">
        <v>4728</v>
      </c>
      <c r="D296" t="s">
        <v>1984</v>
      </c>
      <c r="E296" t="s">
        <v>139</v>
      </c>
      <c r="F296" t="s">
        <v>56</v>
      </c>
      <c r="G296" t="s">
        <v>3607</v>
      </c>
      <c r="H296" t="s">
        <v>4729</v>
      </c>
      <c r="I296" t="s">
        <v>4730</v>
      </c>
      <c r="J296" t="s">
        <v>4480</v>
      </c>
      <c r="L296" t="s">
        <v>197</v>
      </c>
      <c r="M296" t="s">
        <v>1984</v>
      </c>
      <c r="N296" t="s">
        <v>4541</v>
      </c>
      <c r="O296" t="s">
        <v>4722</v>
      </c>
      <c r="Q296">
        <v>0</v>
      </c>
      <c r="R296">
        <v>141</v>
      </c>
      <c r="S296">
        <v>0</v>
      </c>
      <c r="U296" t="s">
        <v>5144</v>
      </c>
      <c r="V296" t="s">
        <v>4546</v>
      </c>
      <c r="W296" t="s">
        <v>5145</v>
      </c>
      <c r="X296" t="s">
        <v>5145</v>
      </c>
      <c r="Z296" t="s">
        <v>4737</v>
      </c>
      <c r="AA296" t="s">
        <v>4766</v>
      </c>
      <c r="AB296" t="s">
        <v>4761</v>
      </c>
      <c r="AF296">
        <v>1</v>
      </c>
      <c r="AG296">
        <v>1</v>
      </c>
      <c r="AH296">
        <v>1</v>
      </c>
    </row>
    <row r="297" spans="1:34" x14ac:dyDescent="0.3">
      <c r="A297">
        <v>394</v>
      </c>
      <c r="B297" t="s">
        <v>1997</v>
      </c>
      <c r="C297" t="s">
        <v>4712</v>
      </c>
      <c r="D297" t="s">
        <v>1998</v>
      </c>
      <c r="E297" t="s">
        <v>39</v>
      </c>
      <c r="F297" t="s">
        <v>22</v>
      </c>
      <c r="G297" t="s">
        <v>3607</v>
      </c>
      <c r="H297" t="s">
        <v>4729</v>
      </c>
      <c r="I297" t="s">
        <v>4730</v>
      </c>
      <c r="J297" t="s">
        <v>4731</v>
      </c>
      <c r="L297" t="s">
        <v>203</v>
      </c>
      <c r="M297" t="s">
        <v>1998</v>
      </c>
      <c r="N297" t="s">
        <v>4541</v>
      </c>
      <c r="O297" t="s">
        <v>4722</v>
      </c>
      <c r="Q297">
        <v>0</v>
      </c>
      <c r="R297">
        <v>142</v>
      </c>
      <c r="S297">
        <v>0</v>
      </c>
      <c r="U297" t="s">
        <v>5146</v>
      </c>
      <c r="V297" t="s">
        <v>4744</v>
      </c>
      <c r="W297" t="s">
        <v>5147</v>
      </c>
      <c r="X297" t="s">
        <v>5147</v>
      </c>
      <c r="Z297" t="s">
        <v>4737</v>
      </c>
      <c r="AA297" t="s">
        <v>4856</v>
      </c>
      <c r="AB297" t="s">
        <v>4857</v>
      </c>
      <c r="AF297">
        <v>1</v>
      </c>
      <c r="AG297">
        <v>1</v>
      </c>
      <c r="AH297">
        <v>1</v>
      </c>
    </row>
    <row r="298" spans="1:34" x14ac:dyDescent="0.3">
      <c r="A298">
        <v>395</v>
      </c>
      <c r="B298" t="s">
        <v>2007</v>
      </c>
      <c r="C298" t="s">
        <v>4728</v>
      </c>
      <c r="D298" t="s">
        <v>1998</v>
      </c>
      <c r="E298" t="s">
        <v>39</v>
      </c>
      <c r="F298" t="s">
        <v>22</v>
      </c>
      <c r="G298" t="s">
        <v>3607</v>
      </c>
      <c r="H298" t="s">
        <v>4729</v>
      </c>
      <c r="I298" t="s">
        <v>4730</v>
      </c>
      <c r="J298" t="s">
        <v>4731</v>
      </c>
      <c r="L298" t="s">
        <v>203</v>
      </c>
      <c r="M298" t="s">
        <v>1998</v>
      </c>
      <c r="N298" t="s">
        <v>4541</v>
      </c>
      <c r="O298" t="s">
        <v>4722</v>
      </c>
      <c r="Q298">
        <v>0</v>
      </c>
      <c r="R298">
        <v>143</v>
      </c>
      <c r="S298">
        <v>0</v>
      </c>
      <c r="U298" t="s">
        <v>2007</v>
      </c>
      <c r="V298" t="s">
        <v>4744</v>
      </c>
      <c r="W298" t="s">
        <v>5148</v>
      </c>
      <c r="X298" t="s">
        <v>5149</v>
      </c>
      <c r="Z298" t="s">
        <v>4737</v>
      </c>
      <c r="AA298" t="s">
        <v>4856</v>
      </c>
      <c r="AB298" t="s">
        <v>4857</v>
      </c>
      <c r="AF298">
        <v>1</v>
      </c>
      <c r="AG298">
        <v>1</v>
      </c>
      <c r="AH298">
        <v>1</v>
      </c>
    </row>
    <row r="299" spans="1:34" x14ac:dyDescent="0.3">
      <c r="A299">
        <v>396</v>
      </c>
      <c r="B299" t="s">
        <v>2016</v>
      </c>
      <c r="C299" t="s">
        <v>4728</v>
      </c>
      <c r="D299" t="s">
        <v>2018</v>
      </c>
      <c r="E299" t="s">
        <v>21</v>
      </c>
      <c r="F299" t="s">
        <v>22</v>
      </c>
      <c r="H299" t="s">
        <v>4755</v>
      </c>
      <c r="I299" t="s">
        <v>4755</v>
      </c>
      <c r="J299" t="s">
        <v>4720</v>
      </c>
      <c r="L299" t="s">
        <v>197</v>
      </c>
      <c r="M299" t="s">
        <v>2018</v>
      </c>
      <c r="N299" t="s">
        <v>4541</v>
      </c>
      <c r="O299" t="s">
        <v>4722</v>
      </c>
      <c r="Q299">
        <v>0</v>
      </c>
      <c r="R299">
        <v>144</v>
      </c>
      <c r="S299">
        <v>0</v>
      </c>
      <c r="U299" t="s">
        <v>5150</v>
      </c>
      <c r="V299" t="s">
        <v>4717</v>
      </c>
      <c r="W299" t="s">
        <v>5151</v>
      </c>
      <c r="X299" t="s">
        <v>5151</v>
      </c>
      <c r="Z299" t="s">
        <v>4737</v>
      </c>
      <c r="AA299" t="s">
        <v>4856</v>
      </c>
      <c r="AB299" t="s">
        <v>4857</v>
      </c>
      <c r="AF299">
        <v>1</v>
      </c>
      <c r="AG299">
        <v>1</v>
      </c>
      <c r="AH299">
        <v>0</v>
      </c>
    </row>
    <row r="300" spans="1:34" x14ac:dyDescent="0.3">
      <c r="A300">
        <v>397</v>
      </c>
      <c r="B300" t="s">
        <v>2025</v>
      </c>
      <c r="C300" t="s">
        <v>4728</v>
      </c>
      <c r="D300" t="s">
        <v>2018</v>
      </c>
      <c r="E300" t="s">
        <v>21</v>
      </c>
      <c r="F300" t="s">
        <v>22</v>
      </c>
      <c r="G300" t="s">
        <v>3607</v>
      </c>
      <c r="H300" t="s">
        <v>4729</v>
      </c>
      <c r="I300" t="s">
        <v>4730</v>
      </c>
      <c r="J300" t="s">
        <v>4731</v>
      </c>
      <c r="L300" t="s">
        <v>25</v>
      </c>
      <c r="M300" t="s">
        <v>2018</v>
      </c>
      <c r="N300" t="s">
        <v>4541</v>
      </c>
      <c r="O300" t="s">
        <v>4722</v>
      </c>
      <c r="Q300">
        <v>0</v>
      </c>
      <c r="R300">
        <v>145</v>
      </c>
      <c r="S300">
        <v>0</v>
      </c>
      <c r="U300" t="s">
        <v>5152</v>
      </c>
      <c r="V300" t="s">
        <v>4717</v>
      </c>
      <c r="W300" t="s">
        <v>5153</v>
      </c>
      <c r="X300" t="s">
        <v>5154</v>
      </c>
      <c r="Z300" t="s">
        <v>4737</v>
      </c>
      <c r="AA300" t="s">
        <v>4766</v>
      </c>
      <c r="AB300" t="s">
        <v>4761</v>
      </c>
      <c r="AF300">
        <v>1</v>
      </c>
      <c r="AG300">
        <v>1</v>
      </c>
      <c r="AH300">
        <v>1</v>
      </c>
    </row>
    <row r="301" spans="1:34" x14ac:dyDescent="0.3">
      <c r="A301">
        <v>398</v>
      </c>
      <c r="B301" t="s">
        <v>2026</v>
      </c>
      <c r="C301" t="s">
        <v>4728</v>
      </c>
      <c r="D301" t="s">
        <v>2027</v>
      </c>
      <c r="E301" t="s">
        <v>21</v>
      </c>
      <c r="F301" t="s">
        <v>22</v>
      </c>
      <c r="G301" t="s">
        <v>3607</v>
      </c>
      <c r="H301" t="s">
        <v>4729</v>
      </c>
      <c r="I301" t="s">
        <v>4730</v>
      </c>
      <c r="J301" t="s">
        <v>4720</v>
      </c>
      <c r="L301" t="s">
        <v>203</v>
      </c>
      <c r="M301" t="s">
        <v>2027</v>
      </c>
      <c r="N301" t="s">
        <v>4538</v>
      </c>
      <c r="O301" t="s">
        <v>4765</v>
      </c>
      <c r="Q301">
        <v>0</v>
      </c>
      <c r="R301">
        <v>188</v>
      </c>
      <c r="S301">
        <v>0</v>
      </c>
      <c r="U301" t="s">
        <v>5155</v>
      </c>
      <c r="V301" t="s">
        <v>4546</v>
      </c>
      <c r="W301" t="s">
        <v>5156</v>
      </c>
      <c r="X301" t="s">
        <v>5156</v>
      </c>
      <c r="Z301" t="s">
        <v>4771</v>
      </c>
      <c r="AA301" t="s">
        <v>4856</v>
      </c>
      <c r="AB301" t="s">
        <v>4857</v>
      </c>
      <c r="AF301">
        <v>1</v>
      </c>
      <c r="AG301">
        <v>1</v>
      </c>
      <c r="AH301">
        <v>1</v>
      </c>
    </row>
    <row r="302" spans="1:34" x14ac:dyDescent="0.3">
      <c r="A302">
        <v>399</v>
      </c>
      <c r="B302" t="s">
        <v>2035</v>
      </c>
      <c r="C302" t="s">
        <v>4728</v>
      </c>
      <c r="D302" t="s">
        <v>2027</v>
      </c>
      <c r="E302" t="s">
        <v>21</v>
      </c>
      <c r="F302" t="s">
        <v>22</v>
      </c>
      <c r="G302" t="s">
        <v>3607</v>
      </c>
      <c r="H302" t="s">
        <v>4729</v>
      </c>
      <c r="I302" t="s">
        <v>4730</v>
      </c>
      <c r="J302" t="s">
        <v>4720</v>
      </c>
      <c r="L302" t="s">
        <v>203</v>
      </c>
      <c r="M302" t="s">
        <v>2027</v>
      </c>
      <c r="N302" t="s">
        <v>4538</v>
      </c>
      <c r="O302" t="s">
        <v>4765</v>
      </c>
      <c r="Q302">
        <v>0</v>
      </c>
      <c r="R302">
        <v>189</v>
      </c>
      <c r="S302">
        <v>0</v>
      </c>
      <c r="U302" t="s">
        <v>5157</v>
      </c>
      <c r="V302" t="s">
        <v>4546</v>
      </c>
      <c r="W302" t="s">
        <v>5156</v>
      </c>
      <c r="X302" t="s">
        <v>5156</v>
      </c>
      <c r="Z302" t="s">
        <v>4737</v>
      </c>
      <c r="AA302" t="s">
        <v>4792</v>
      </c>
      <c r="AB302" t="s">
        <v>4793</v>
      </c>
      <c r="AF302">
        <v>1</v>
      </c>
      <c r="AG302">
        <v>1</v>
      </c>
      <c r="AH302">
        <v>1</v>
      </c>
    </row>
    <row r="303" spans="1:34" x14ac:dyDescent="0.3">
      <c r="A303">
        <v>400</v>
      </c>
      <c r="B303" t="s">
        <v>2038</v>
      </c>
      <c r="C303" t="s">
        <v>4728</v>
      </c>
      <c r="D303" t="s">
        <v>2027</v>
      </c>
      <c r="E303" t="s">
        <v>21</v>
      </c>
      <c r="F303" t="s">
        <v>22</v>
      </c>
      <c r="G303" t="s">
        <v>3607</v>
      </c>
      <c r="H303" t="s">
        <v>4729</v>
      </c>
      <c r="I303" t="s">
        <v>4730</v>
      </c>
      <c r="J303" t="s">
        <v>4720</v>
      </c>
      <c r="L303" t="s">
        <v>203</v>
      </c>
      <c r="M303" t="s">
        <v>2027</v>
      </c>
      <c r="N303" t="s">
        <v>4538</v>
      </c>
      <c r="O303" t="s">
        <v>4765</v>
      </c>
      <c r="Q303">
        <v>0</v>
      </c>
      <c r="R303">
        <v>190</v>
      </c>
      <c r="S303">
        <v>0</v>
      </c>
      <c r="U303" t="s">
        <v>5158</v>
      </c>
      <c r="V303" t="s">
        <v>4546</v>
      </c>
      <c r="W303" t="s">
        <v>5156</v>
      </c>
      <c r="X303" t="s">
        <v>5156</v>
      </c>
      <c r="Z303" t="s">
        <v>4737</v>
      </c>
      <c r="AA303" t="s">
        <v>4792</v>
      </c>
      <c r="AB303" t="s">
        <v>4793</v>
      </c>
      <c r="AF303">
        <v>1</v>
      </c>
      <c r="AG303">
        <v>1</v>
      </c>
      <c r="AH303">
        <v>1</v>
      </c>
    </row>
    <row r="304" spans="1:34" x14ac:dyDescent="0.3">
      <c r="A304">
        <v>401</v>
      </c>
      <c r="B304" t="s">
        <v>2043</v>
      </c>
      <c r="C304" t="s">
        <v>4728</v>
      </c>
      <c r="D304" t="s">
        <v>2044</v>
      </c>
      <c r="E304" t="s">
        <v>21</v>
      </c>
      <c r="F304" t="s">
        <v>22</v>
      </c>
      <c r="G304" t="s">
        <v>3607</v>
      </c>
      <c r="H304" t="s">
        <v>4729</v>
      </c>
      <c r="I304" t="s">
        <v>4730</v>
      </c>
      <c r="J304" t="s">
        <v>4720</v>
      </c>
      <c r="L304" t="s">
        <v>203</v>
      </c>
      <c r="M304" t="s">
        <v>2044</v>
      </c>
      <c r="N304" t="s">
        <v>4542</v>
      </c>
      <c r="O304" t="s">
        <v>4863</v>
      </c>
      <c r="Q304">
        <v>0</v>
      </c>
      <c r="R304">
        <v>122</v>
      </c>
      <c r="S304">
        <v>0</v>
      </c>
      <c r="U304" t="s">
        <v>5159</v>
      </c>
      <c r="V304" t="s">
        <v>4546</v>
      </c>
      <c r="W304" t="s">
        <v>5160</v>
      </c>
      <c r="X304" t="s">
        <v>5161</v>
      </c>
      <c r="Z304">
        <v>1</v>
      </c>
      <c r="AA304" t="s">
        <v>4792</v>
      </c>
      <c r="AB304" t="s">
        <v>4793</v>
      </c>
      <c r="AF304">
        <v>1</v>
      </c>
      <c r="AG304">
        <v>1</v>
      </c>
      <c r="AH304">
        <v>1</v>
      </c>
    </row>
    <row r="305" spans="1:34" x14ac:dyDescent="0.3">
      <c r="A305">
        <v>402</v>
      </c>
      <c r="B305" t="s">
        <v>2049</v>
      </c>
      <c r="C305" t="s">
        <v>4712</v>
      </c>
      <c r="D305" t="s">
        <v>2044</v>
      </c>
      <c r="E305" t="s">
        <v>139</v>
      </c>
      <c r="F305" t="s">
        <v>22</v>
      </c>
      <c r="G305" t="s">
        <v>3607</v>
      </c>
      <c r="H305" t="s">
        <v>4729</v>
      </c>
      <c r="I305" t="s">
        <v>4730</v>
      </c>
      <c r="J305" t="s">
        <v>4480</v>
      </c>
      <c r="L305" t="s">
        <v>203</v>
      </c>
      <c r="M305" t="s">
        <v>2044</v>
      </c>
      <c r="N305" t="s">
        <v>4542</v>
      </c>
      <c r="O305" t="s">
        <v>4863</v>
      </c>
      <c r="Q305">
        <v>0</v>
      </c>
      <c r="R305">
        <v>123</v>
      </c>
      <c r="S305">
        <v>0</v>
      </c>
      <c r="U305" t="s">
        <v>5162</v>
      </c>
      <c r="V305" t="s">
        <v>4546</v>
      </c>
      <c r="W305" t="s">
        <v>5160</v>
      </c>
      <c r="X305" t="s">
        <v>5161</v>
      </c>
      <c r="Z305" t="s">
        <v>4737</v>
      </c>
      <c r="AA305" t="s">
        <v>4792</v>
      </c>
      <c r="AB305" t="s">
        <v>4793</v>
      </c>
      <c r="AF305">
        <v>1</v>
      </c>
      <c r="AG305">
        <v>1</v>
      </c>
      <c r="AH305">
        <v>1</v>
      </c>
    </row>
    <row r="306" spans="1:34" x14ac:dyDescent="0.3">
      <c r="A306">
        <v>403</v>
      </c>
      <c r="B306" t="s">
        <v>2057</v>
      </c>
      <c r="C306" t="s">
        <v>4712</v>
      </c>
      <c r="D306" t="s">
        <v>2044</v>
      </c>
      <c r="E306" t="s">
        <v>21</v>
      </c>
      <c r="F306" t="s">
        <v>22</v>
      </c>
      <c r="G306" t="s">
        <v>3607</v>
      </c>
      <c r="H306" t="s">
        <v>4729</v>
      </c>
      <c r="I306" t="s">
        <v>4730</v>
      </c>
      <c r="J306" t="s">
        <v>4720</v>
      </c>
      <c r="L306" t="s">
        <v>203</v>
      </c>
      <c r="M306" t="s">
        <v>2044</v>
      </c>
      <c r="N306" t="s">
        <v>4542</v>
      </c>
      <c r="O306" t="s">
        <v>4863</v>
      </c>
      <c r="Q306">
        <v>0</v>
      </c>
      <c r="R306">
        <v>124</v>
      </c>
      <c r="S306">
        <v>0</v>
      </c>
      <c r="U306" t="s">
        <v>5163</v>
      </c>
      <c r="V306" t="s">
        <v>4546</v>
      </c>
      <c r="W306" t="s">
        <v>5164</v>
      </c>
      <c r="X306" t="s">
        <v>5164</v>
      </c>
      <c r="Z306" t="s">
        <v>4737</v>
      </c>
      <c r="AA306" t="s">
        <v>4724</v>
      </c>
      <c r="AB306" t="s">
        <v>4725</v>
      </c>
      <c r="AF306">
        <v>1</v>
      </c>
      <c r="AG306">
        <v>1</v>
      </c>
      <c r="AH306">
        <v>1</v>
      </c>
    </row>
    <row r="307" spans="1:34" x14ac:dyDescent="0.3">
      <c r="A307">
        <v>404</v>
      </c>
      <c r="B307" t="s">
        <v>2058</v>
      </c>
      <c r="C307" t="s">
        <v>4712</v>
      </c>
      <c r="D307" t="s">
        <v>2044</v>
      </c>
      <c r="E307" t="s">
        <v>21</v>
      </c>
      <c r="F307" t="s">
        <v>56</v>
      </c>
      <c r="H307" t="s">
        <v>4755</v>
      </c>
      <c r="I307" t="s">
        <v>4755</v>
      </c>
      <c r="J307" t="s">
        <v>4731</v>
      </c>
      <c r="L307" t="s">
        <v>25</v>
      </c>
      <c r="M307" t="s">
        <v>2044</v>
      </c>
      <c r="N307" t="s">
        <v>4542</v>
      </c>
      <c r="O307" t="s">
        <v>4863</v>
      </c>
      <c r="Q307">
        <v>0</v>
      </c>
      <c r="R307">
        <v>125</v>
      </c>
      <c r="S307">
        <v>0</v>
      </c>
      <c r="U307" t="s">
        <v>5165</v>
      </c>
      <c r="V307" t="s">
        <v>4546</v>
      </c>
      <c r="W307" t="s">
        <v>5166</v>
      </c>
      <c r="X307" t="s">
        <v>5166</v>
      </c>
      <c r="Z307" t="s">
        <v>4737</v>
      </c>
      <c r="AA307" t="s">
        <v>4766</v>
      </c>
      <c r="AB307" t="s">
        <v>4761</v>
      </c>
      <c r="AF307">
        <v>1</v>
      </c>
      <c r="AG307">
        <v>1</v>
      </c>
      <c r="AH307">
        <v>0</v>
      </c>
    </row>
    <row r="308" spans="1:34" x14ac:dyDescent="0.3">
      <c r="A308">
        <v>405</v>
      </c>
      <c r="B308" t="s">
        <v>2066</v>
      </c>
      <c r="C308" t="s">
        <v>4712</v>
      </c>
      <c r="D308" t="s">
        <v>2044</v>
      </c>
      <c r="E308" t="s">
        <v>21</v>
      </c>
      <c r="F308" t="s">
        <v>22</v>
      </c>
      <c r="H308" t="s">
        <v>4755</v>
      </c>
      <c r="I308" t="s">
        <v>4755</v>
      </c>
      <c r="J308" t="s">
        <v>4480</v>
      </c>
      <c r="L308" t="s">
        <v>25</v>
      </c>
      <c r="M308" t="s">
        <v>2044</v>
      </c>
      <c r="N308" t="s">
        <v>4542</v>
      </c>
      <c r="O308" t="s">
        <v>4863</v>
      </c>
      <c r="Q308">
        <v>0</v>
      </c>
      <c r="R308">
        <v>126</v>
      </c>
      <c r="S308">
        <v>0</v>
      </c>
      <c r="U308" t="s">
        <v>5167</v>
      </c>
      <c r="V308" t="s">
        <v>4546</v>
      </c>
      <c r="W308" t="s">
        <v>5166</v>
      </c>
      <c r="X308" t="s">
        <v>5166</v>
      </c>
      <c r="Z308" t="s">
        <v>4737</v>
      </c>
      <c r="AA308" t="s">
        <v>4766</v>
      </c>
      <c r="AB308" t="s">
        <v>5079</v>
      </c>
      <c r="AF308">
        <v>1</v>
      </c>
      <c r="AG308">
        <v>1</v>
      </c>
      <c r="AH308">
        <v>0</v>
      </c>
    </row>
    <row r="309" spans="1:34" x14ac:dyDescent="0.3">
      <c r="A309">
        <v>406</v>
      </c>
      <c r="B309" t="s">
        <v>2069</v>
      </c>
      <c r="C309" t="s">
        <v>4712</v>
      </c>
      <c r="D309" t="s">
        <v>1364</v>
      </c>
      <c r="E309" t="s">
        <v>21</v>
      </c>
      <c r="F309" t="s">
        <v>22</v>
      </c>
      <c r="H309" t="s">
        <v>4755</v>
      </c>
      <c r="I309" t="s">
        <v>4755</v>
      </c>
      <c r="J309" t="s">
        <v>4720</v>
      </c>
      <c r="L309" t="s">
        <v>203</v>
      </c>
      <c r="M309" t="s">
        <v>1627</v>
      </c>
      <c r="N309" t="s">
        <v>4542</v>
      </c>
      <c r="O309" t="s">
        <v>4790</v>
      </c>
      <c r="Q309">
        <v>0</v>
      </c>
      <c r="R309">
        <v>127</v>
      </c>
      <c r="S309">
        <v>0</v>
      </c>
      <c r="U309" t="s">
        <v>2069</v>
      </c>
      <c r="V309" t="s">
        <v>4546</v>
      </c>
      <c r="W309" t="s">
        <v>5168</v>
      </c>
      <c r="X309" t="s">
        <v>5169</v>
      </c>
      <c r="Z309" t="s">
        <v>4737</v>
      </c>
      <c r="AA309" t="s">
        <v>4718</v>
      </c>
      <c r="AB309" t="s">
        <v>4719</v>
      </c>
      <c r="AF309">
        <v>1</v>
      </c>
      <c r="AG309">
        <v>1</v>
      </c>
      <c r="AH309">
        <v>0</v>
      </c>
    </row>
    <row r="310" spans="1:34" x14ac:dyDescent="0.3">
      <c r="A310">
        <v>407</v>
      </c>
      <c r="B310" t="s">
        <v>2072</v>
      </c>
      <c r="C310" t="s">
        <v>4712</v>
      </c>
      <c r="D310" t="s">
        <v>1364</v>
      </c>
      <c r="E310" t="s">
        <v>21</v>
      </c>
      <c r="F310" t="s">
        <v>22</v>
      </c>
      <c r="H310" t="s">
        <v>4755</v>
      </c>
      <c r="I310" t="s">
        <v>4755</v>
      </c>
      <c r="J310" t="s">
        <v>4720</v>
      </c>
      <c r="L310" t="s">
        <v>203</v>
      </c>
      <c r="M310" t="s">
        <v>1627</v>
      </c>
      <c r="N310" t="s">
        <v>4542</v>
      </c>
      <c r="O310" t="s">
        <v>4790</v>
      </c>
      <c r="Q310">
        <v>0</v>
      </c>
      <c r="R310">
        <v>128</v>
      </c>
      <c r="S310">
        <v>0</v>
      </c>
      <c r="U310" t="s">
        <v>2072</v>
      </c>
      <c r="V310" t="s">
        <v>4546</v>
      </c>
      <c r="W310" t="s">
        <v>5168</v>
      </c>
      <c r="X310" t="s">
        <v>5169</v>
      </c>
      <c r="Z310" t="s">
        <v>4737</v>
      </c>
      <c r="AA310" t="s">
        <v>4718</v>
      </c>
      <c r="AB310" t="s">
        <v>4719</v>
      </c>
      <c r="AF310">
        <v>1</v>
      </c>
      <c r="AG310">
        <v>1</v>
      </c>
      <c r="AH310">
        <v>0</v>
      </c>
    </row>
    <row r="311" spans="1:34" x14ac:dyDescent="0.3">
      <c r="A311">
        <v>408</v>
      </c>
      <c r="B311" t="s">
        <v>2074</v>
      </c>
      <c r="C311" t="s">
        <v>4712</v>
      </c>
      <c r="D311" t="s">
        <v>1627</v>
      </c>
      <c r="E311" t="s">
        <v>21</v>
      </c>
      <c r="F311" t="s">
        <v>22</v>
      </c>
      <c r="G311" t="s">
        <v>3608</v>
      </c>
      <c r="H311" t="s">
        <v>4729</v>
      </c>
      <c r="I311" t="s">
        <v>4730</v>
      </c>
      <c r="J311" t="s">
        <v>4720</v>
      </c>
      <c r="L311" t="s">
        <v>203</v>
      </c>
      <c r="M311" t="s">
        <v>1627</v>
      </c>
      <c r="N311" t="s">
        <v>4542</v>
      </c>
      <c r="O311" t="s">
        <v>4790</v>
      </c>
      <c r="Q311">
        <v>0</v>
      </c>
      <c r="R311">
        <v>129</v>
      </c>
      <c r="S311">
        <v>0</v>
      </c>
      <c r="U311" t="s">
        <v>2074</v>
      </c>
      <c r="V311" t="s">
        <v>4546</v>
      </c>
      <c r="W311" t="s">
        <v>5168</v>
      </c>
      <c r="X311" t="s">
        <v>5169</v>
      </c>
      <c r="AA311" t="s">
        <v>4718</v>
      </c>
      <c r="AB311" t="s">
        <v>4719</v>
      </c>
      <c r="AF311">
        <v>1</v>
      </c>
      <c r="AG311">
        <v>1</v>
      </c>
      <c r="AH311">
        <v>1</v>
      </c>
    </row>
    <row r="312" spans="1:34" x14ac:dyDescent="0.3">
      <c r="A312">
        <v>409</v>
      </c>
      <c r="B312" t="s">
        <v>2081</v>
      </c>
      <c r="C312" t="s">
        <v>4728</v>
      </c>
      <c r="D312" t="s">
        <v>1303</v>
      </c>
      <c r="E312" t="s">
        <v>39</v>
      </c>
      <c r="F312" t="s">
        <v>22</v>
      </c>
      <c r="G312" t="s">
        <v>3608</v>
      </c>
      <c r="H312" t="s">
        <v>4729</v>
      </c>
      <c r="I312" t="s">
        <v>4730</v>
      </c>
      <c r="J312" t="s">
        <v>4720</v>
      </c>
      <c r="L312" t="s">
        <v>25</v>
      </c>
      <c r="M312" t="s">
        <v>1303</v>
      </c>
      <c r="N312" t="s">
        <v>4732</v>
      </c>
      <c r="O312" t="s">
        <v>4733</v>
      </c>
      <c r="Q312">
        <v>0</v>
      </c>
      <c r="R312">
        <v>354</v>
      </c>
      <c r="S312">
        <v>0</v>
      </c>
      <c r="U312" t="s">
        <v>5170</v>
      </c>
      <c r="V312" t="s">
        <v>4717</v>
      </c>
      <c r="W312" t="s">
        <v>4963</v>
      </c>
      <c r="X312" t="s">
        <v>4963</v>
      </c>
      <c r="Z312" t="s">
        <v>4737</v>
      </c>
      <c r="AA312" t="s">
        <v>4766</v>
      </c>
      <c r="AB312" t="s">
        <v>4761</v>
      </c>
      <c r="AF312">
        <v>1</v>
      </c>
      <c r="AG312">
        <v>1</v>
      </c>
      <c r="AH312">
        <v>1</v>
      </c>
    </row>
    <row r="313" spans="1:34" x14ac:dyDescent="0.3">
      <c r="A313">
        <v>410</v>
      </c>
      <c r="B313" t="s">
        <v>2091</v>
      </c>
      <c r="C313" t="s">
        <v>4728</v>
      </c>
      <c r="D313" t="s">
        <v>1303</v>
      </c>
      <c r="E313" t="s">
        <v>39</v>
      </c>
      <c r="F313" t="s">
        <v>22</v>
      </c>
      <c r="H313" t="s">
        <v>4755</v>
      </c>
      <c r="I313" t="s">
        <v>4755</v>
      </c>
      <c r="J313" t="s">
        <v>4720</v>
      </c>
      <c r="L313" t="s">
        <v>25</v>
      </c>
      <c r="M313" t="s">
        <v>1303</v>
      </c>
      <c r="N313" t="s">
        <v>4732</v>
      </c>
      <c r="O313" t="s">
        <v>4733</v>
      </c>
      <c r="Q313">
        <v>0</v>
      </c>
      <c r="R313">
        <v>355</v>
      </c>
      <c r="S313">
        <v>0</v>
      </c>
      <c r="V313" t="s">
        <v>4717</v>
      </c>
      <c r="AA313" t="s">
        <v>4766</v>
      </c>
      <c r="AB313" t="s">
        <v>4761</v>
      </c>
      <c r="AF313">
        <v>0</v>
      </c>
      <c r="AG313">
        <v>0</v>
      </c>
      <c r="AH313">
        <v>0</v>
      </c>
    </row>
    <row r="314" spans="1:34" x14ac:dyDescent="0.3">
      <c r="A314">
        <v>411</v>
      </c>
      <c r="B314" t="s">
        <v>2093</v>
      </c>
      <c r="C314" t="s">
        <v>4728</v>
      </c>
      <c r="D314" t="s">
        <v>1998</v>
      </c>
      <c r="E314" t="s">
        <v>21</v>
      </c>
      <c r="F314" t="s">
        <v>22</v>
      </c>
      <c r="H314" t="s">
        <v>4755</v>
      </c>
      <c r="I314" t="s">
        <v>4755</v>
      </c>
      <c r="J314" t="s">
        <v>4731</v>
      </c>
      <c r="L314" t="s">
        <v>25</v>
      </c>
      <c r="M314" t="s">
        <v>1998</v>
      </c>
      <c r="N314" t="s">
        <v>4541</v>
      </c>
      <c r="O314" t="s">
        <v>4722</v>
      </c>
      <c r="Q314">
        <v>0</v>
      </c>
      <c r="R314">
        <v>146</v>
      </c>
      <c r="S314">
        <v>0</v>
      </c>
      <c r="V314" t="s">
        <v>4744</v>
      </c>
      <c r="AA314" t="s">
        <v>4856</v>
      </c>
      <c r="AB314" t="s">
        <v>4857</v>
      </c>
      <c r="AF314">
        <v>1</v>
      </c>
      <c r="AG314">
        <v>1</v>
      </c>
      <c r="AH314">
        <v>0</v>
      </c>
    </row>
    <row r="315" spans="1:34" x14ac:dyDescent="0.3">
      <c r="A315">
        <v>412</v>
      </c>
      <c r="B315" t="s">
        <v>2097</v>
      </c>
      <c r="C315" t="s">
        <v>4728</v>
      </c>
      <c r="D315" t="s">
        <v>1998</v>
      </c>
      <c r="E315" t="s">
        <v>139</v>
      </c>
      <c r="F315" t="s">
        <v>22</v>
      </c>
      <c r="H315" t="s">
        <v>4755</v>
      </c>
      <c r="I315" t="s">
        <v>4755</v>
      </c>
      <c r="J315" t="s">
        <v>4480</v>
      </c>
      <c r="L315" t="s">
        <v>25</v>
      </c>
      <c r="M315" t="s">
        <v>1998</v>
      </c>
      <c r="N315" t="s">
        <v>4541</v>
      </c>
      <c r="O315" t="s">
        <v>4722</v>
      </c>
      <c r="Q315">
        <v>0</v>
      </c>
      <c r="R315">
        <v>147</v>
      </c>
      <c r="S315">
        <v>0</v>
      </c>
      <c r="U315" t="s">
        <v>5171</v>
      </c>
      <c r="V315" t="s">
        <v>4744</v>
      </c>
      <c r="W315" t="s">
        <v>5172</v>
      </c>
      <c r="X315" t="s">
        <v>5172</v>
      </c>
      <c r="Z315" t="s">
        <v>4737</v>
      </c>
      <c r="AA315" t="s">
        <v>4856</v>
      </c>
      <c r="AB315" t="s">
        <v>4857</v>
      </c>
      <c r="AF315">
        <v>1</v>
      </c>
      <c r="AG315">
        <v>1</v>
      </c>
      <c r="AH315">
        <v>0</v>
      </c>
    </row>
    <row r="316" spans="1:34" x14ac:dyDescent="0.3">
      <c r="A316">
        <v>413</v>
      </c>
      <c r="B316" t="s">
        <v>2101</v>
      </c>
      <c r="C316" t="s">
        <v>4728</v>
      </c>
      <c r="D316" t="s">
        <v>1998</v>
      </c>
      <c r="E316" t="s">
        <v>139</v>
      </c>
      <c r="F316" t="s">
        <v>22</v>
      </c>
      <c r="G316" t="s">
        <v>3607</v>
      </c>
      <c r="H316" t="s">
        <v>4729</v>
      </c>
      <c r="I316" t="s">
        <v>4730</v>
      </c>
      <c r="J316" t="s">
        <v>4480</v>
      </c>
      <c r="L316" t="s">
        <v>203</v>
      </c>
      <c r="M316" t="s">
        <v>1998</v>
      </c>
      <c r="N316" t="s">
        <v>4541</v>
      </c>
      <c r="O316" t="s">
        <v>4722</v>
      </c>
      <c r="Q316">
        <v>0</v>
      </c>
      <c r="R316">
        <v>148</v>
      </c>
      <c r="S316">
        <v>0</v>
      </c>
      <c r="U316" t="s">
        <v>5173</v>
      </c>
      <c r="V316" t="s">
        <v>4744</v>
      </c>
      <c r="W316" t="s">
        <v>5174</v>
      </c>
      <c r="X316" t="s">
        <v>5174</v>
      </c>
      <c r="Z316" t="s">
        <v>4737</v>
      </c>
      <c r="AA316" t="s">
        <v>4856</v>
      </c>
      <c r="AB316" t="s">
        <v>4857</v>
      </c>
      <c r="AF316">
        <v>1</v>
      </c>
      <c r="AG316">
        <v>1</v>
      </c>
      <c r="AH316">
        <v>1</v>
      </c>
    </row>
    <row r="317" spans="1:34" x14ac:dyDescent="0.3">
      <c r="A317">
        <v>414</v>
      </c>
      <c r="B317" t="s">
        <v>2103</v>
      </c>
      <c r="C317" t="s">
        <v>4712</v>
      </c>
      <c r="D317" t="s">
        <v>1263</v>
      </c>
      <c r="E317" t="s">
        <v>39</v>
      </c>
      <c r="F317" t="s">
        <v>22</v>
      </c>
      <c r="G317" t="s">
        <v>3608</v>
      </c>
      <c r="H317" t="s">
        <v>4729</v>
      </c>
      <c r="I317" t="s">
        <v>4730</v>
      </c>
      <c r="J317" t="s">
        <v>4480</v>
      </c>
      <c r="K317" t="s">
        <v>5139</v>
      </c>
      <c r="L317" t="s">
        <v>203</v>
      </c>
      <c r="M317" t="s">
        <v>1263</v>
      </c>
      <c r="N317" t="s">
        <v>4732</v>
      </c>
      <c r="O317" t="s">
        <v>4733</v>
      </c>
      <c r="Q317">
        <v>0</v>
      </c>
      <c r="R317">
        <v>380</v>
      </c>
      <c r="S317">
        <v>1</v>
      </c>
      <c r="U317" t="s">
        <v>5175</v>
      </c>
      <c r="V317" t="s">
        <v>4758</v>
      </c>
      <c r="W317" t="s">
        <v>4954</v>
      </c>
      <c r="X317" t="s">
        <v>4954</v>
      </c>
      <c r="Z317" t="s">
        <v>4737</v>
      </c>
      <c r="AA317" t="s">
        <v>4760</v>
      </c>
      <c r="AB317" t="s">
        <v>4928</v>
      </c>
      <c r="AF317">
        <v>0</v>
      </c>
      <c r="AG317">
        <v>0</v>
      </c>
      <c r="AH317">
        <v>1</v>
      </c>
    </row>
    <row r="318" spans="1:34" x14ac:dyDescent="0.3">
      <c r="A318" t="s">
        <v>2904</v>
      </c>
      <c r="B318" t="s">
        <v>5176</v>
      </c>
      <c r="D318" t="s">
        <v>2801</v>
      </c>
      <c r="E318" t="s">
        <v>39</v>
      </c>
      <c r="F318" t="s">
        <v>22</v>
      </c>
      <c r="H318" t="s">
        <v>4755</v>
      </c>
      <c r="I318" t="s">
        <v>4755</v>
      </c>
      <c r="J318" t="s">
        <v>4480</v>
      </c>
      <c r="K318" t="s">
        <v>5139</v>
      </c>
      <c r="L318" t="s">
        <v>25</v>
      </c>
      <c r="M318" t="s">
        <v>2801</v>
      </c>
      <c r="N318" t="s">
        <v>4732</v>
      </c>
      <c r="O318" t="s">
        <v>4733</v>
      </c>
      <c r="Q318">
        <v>0</v>
      </c>
      <c r="R318">
        <v>400</v>
      </c>
      <c r="S318">
        <v>1</v>
      </c>
      <c r="V318" t="s">
        <v>4546</v>
      </c>
      <c r="AA318" t="s">
        <v>4760</v>
      </c>
      <c r="AB318" t="s">
        <v>4928</v>
      </c>
      <c r="AF318">
        <v>0</v>
      </c>
      <c r="AG318">
        <v>1</v>
      </c>
      <c r="AH318">
        <v>0</v>
      </c>
    </row>
    <row r="319" spans="1:34" x14ac:dyDescent="0.3">
      <c r="A319" t="s">
        <v>2913</v>
      </c>
      <c r="B319" t="s">
        <v>5177</v>
      </c>
      <c r="D319" t="s">
        <v>2801</v>
      </c>
      <c r="E319" t="s">
        <v>39</v>
      </c>
      <c r="F319" t="s">
        <v>22</v>
      </c>
      <c r="H319" t="s">
        <v>4755</v>
      </c>
      <c r="I319" t="s">
        <v>4755</v>
      </c>
      <c r="J319" t="s">
        <v>4480</v>
      </c>
      <c r="K319" t="s">
        <v>5139</v>
      </c>
      <c r="L319" t="s">
        <v>25</v>
      </c>
      <c r="M319" t="s">
        <v>2801</v>
      </c>
      <c r="N319" t="s">
        <v>4732</v>
      </c>
      <c r="O319" t="s">
        <v>4733</v>
      </c>
      <c r="Q319">
        <v>0</v>
      </c>
      <c r="R319">
        <v>401</v>
      </c>
      <c r="S319">
        <v>1</v>
      </c>
      <c r="V319" t="s">
        <v>4546</v>
      </c>
      <c r="AA319" t="s">
        <v>4760</v>
      </c>
      <c r="AB319" t="s">
        <v>4928</v>
      </c>
      <c r="AF319">
        <v>0</v>
      </c>
      <c r="AG319">
        <v>1</v>
      </c>
      <c r="AH319">
        <v>0</v>
      </c>
    </row>
    <row r="320" spans="1:34" x14ac:dyDescent="0.3">
      <c r="A320" t="s">
        <v>2922</v>
      </c>
      <c r="B320" t="s">
        <v>5178</v>
      </c>
      <c r="D320" t="s">
        <v>2801</v>
      </c>
      <c r="E320" t="s">
        <v>39</v>
      </c>
      <c r="F320" t="s">
        <v>22</v>
      </c>
      <c r="H320" t="s">
        <v>4755</v>
      </c>
      <c r="I320" t="s">
        <v>4755</v>
      </c>
      <c r="J320" t="s">
        <v>4480</v>
      </c>
      <c r="K320" t="s">
        <v>5139</v>
      </c>
      <c r="L320" t="s">
        <v>25</v>
      </c>
      <c r="M320" t="s">
        <v>2801</v>
      </c>
      <c r="N320" t="s">
        <v>4732</v>
      </c>
      <c r="O320" t="s">
        <v>4733</v>
      </c>
      <c r="Q320">
        <v>0</v>
      </c>
      <c r="R320">
        <v>402</v>
      </c>
      <c r="S320">
        <v>1</v>
      </c>
      <c r="V320" t="s">
        <v>4546</v>
      </c>
      <c r="AA320" t="s">
        <v>4760</v>
      </c>
      <c r="AB320" t="s">
        <v>4928</v>
      </c>
      <c r="AF320">
        <v>0</v>
      </c>
      <c r="AG320">
        <v>1</v>
      </c>
      <c r="AH320">
        <v>0</v>
      </c>
    </row>
    <row r="321" spans="1:34" x14ac:dyDescent="0.3">
      <c r="A321" t="s">
        <v>2931</v>
      </c>
      <c r="B321" t="s">
        <v>5179</v>
      </c>
      <c r="D321" t="s">
        <v>2801</v>
      </c>
      <c r="E321" t="s">
        <v>39</v>
      </c>
      <c r="F321" t="s">
        <v>22</v>
      </c>
      <c r="H321" t="s">
        <v>4755</v>
      </c>
      <c r="I321" t="s">
        <v>4755</v>
      </c>
      <c r="J321" t="s">
        <v>4480</v>
      </c>
      <c r="K321" t="s">
        <v>5139</v>
      </c>
      <c r="L321" t="s">
        <v>25</v>
      </c>
      <c r="M321" t="s">
        <v>2801</v>
      </c>
      <c r="N321" t="s">
        <v>4732</v>
      </c>
      <c r="O321" t="s">
        <v>4733</v>
      </c>
      <c r="Q321">
        <v>0</v>
      </c>
      <c r="R321">
        <v>403</v>
      </c>
      <c r="S321">
        <v>1</v>
      </c>
      <c r="V321" t="s">
        <v>4546</v>
      </c>
      <c r="AA321" t="s">
        <v>4760</v>
      </c>
      <c r="AB321" t="s">
        <v>4928</v>
      </c>
      <c r="AF321">
        <v>0</v>
      </c>
      <c r="AG321">
        <v>1</v>
      </c>
      <c r="AH321">
        <v>0</v>
      </c>
    </row>
    <row r="322" spans="1:34" x14ac:dyDescent="0.3">
      <c r="A322" t="s">
        <v>2940</v>
      </c>
      <c r="B322" t="s">
        <v>5180</v>
      </c>
      <c r="D322" t="s">
        <v>1263</v>
      </c>
      <c r="E322" t="s">
        <v>39</v>
      </c>
      <c r="F322" t="s">
        <v>22</v>
      </c>
      <c r="H322" t="s">
        <v>4755</v>
      </c>
      <c r="I322" t="s">
        <v>4755</v>
      </c>
      <c r="J322" t="s">
        <v>4480</v>
      </c>
      <c r="K322" t="s">
        <v>5139</v>
      </c>
      <c r="L322" t="s">
        <v>25</v>
      </c>
      <c r="N322" t="s">
        <v>4732</v>
      </c>
      <c r="O322" t="s">
        <v>4733</v>
      </c>
      <c r="Q322">
        <v>0</v>
      </c>
      <c r="R322">
        <v>404</v>
      </c>
      <c r="S322">
        <v>1</v>
      </c>
      <c r="V322" t="s">
        <v>4717</v>
      </c>
      <c r="AA322" t="s">
        <v>4760</v>
      </c>
      <c r="AB322" t="s">
        <v>4928</v>
      </c>
      <c r="AF322">
        <v>1</v>
      </c>
      <c r="AG322">
        <v>1</v>
      </c>
      <c r="AH322">
        <v>0</v>
      </c>
    </row>
    <row r="323" spans="1:34" x14ac:dyDescent="0.3">
      <c r="A323" t="s">
        <v>2949</v>
      </c>
      <c r="B323" t="s">
        <v>5181</v>
      </c>
      <c r="D323" t="s">
        <v>5182</v>
      </c>
      <c r="E323" t="s">
        <v>39</v>
      </c>
      <c r="F323" t="s">
        <v>22</v>
      </c>
      <c r="H323" t="s">
        <v>4755</v>
      </c>
      <c r="I323" t="s">
        <v>4755</v>
      </c>
      <c r="J323" t="s">
        <v>4480</v>
      </c>
      <c r="K323" t="s">
        <v>5139</v>
      </c>
      <c r="L323" t="s">
        <v>25</v>
      </c>
      <c r="M323" t="s">
        <v>5182</v>
      </c>
      <c r="N323" t="s">
        <v>4732</v>
      </c>
      <c r="O323" t="s">
        <v>4733</v>
      </c>
      <c r="Q323">
        <v>0</v>
      </c>
      <c r="R323">
        <v>405</v>
      </c>
      <c r="S323">
        <v>1</v>
      </c>
      <c r="V323" t="s">
        <v>4744</v>
      </c>
      <c r="AA323" t="s">
        <v>4760</v>
      </c>
      <c r="AB323" t="s">
        <v>4928</v>
      </c>
      <c r="AF323">
        <v>1</v>
      </c>
      <c r="AG323">
        <v>1</v>
      </c>
      <c r="AH323">
        <v>0</v>
      </c>
    </row>
    <row r="324" spans="1:34" x14ac:dyDescent="0.3">
      <c r="A324" t="s">
        <v>2958</v>
      </c>
      <c r="B324" t="s">
        <v>5183</v>
      </c>
      <c r="D324" t="s">
        <v>1263</v>
      </c>
      <c r="E324" t="s">
        <v>39</v>
      </c>
      <c r="F324" t="s">
        <v>22</v>
      </c>
      <c r="H324" t="s">
        <v>4755</v>
      </c>
      <c r="I324" t="s">
        <v>4755</v>
      </c>
      <c r="J324" t="s">
        <v>4480</v>
      </c>
      <c r="K324" t="s">
        <v>5139</v>
      </c>
      <c r="L324" t="s">
        <v>25</v>
      </c>
      <c r="N324" t="s">
        <v>4732</v>
      </c>
      <c r="O324" t="s">
        <v>4733</v>
      </c>
      <c r="Q324">
        <v>0</v>
      </c>
      <c r="R324">
        <v>406</v>
      </c>
      <c r="S324">
        <v>1</v>
      </c>
      <c r="V324" t="s">
        <v>4717</v>
      </c>
      <c r="AA324" t="s">
        <v>4760</v>
      </c>
      <c r="AB324" t="s">
        <v>4928</v>
      </c>
      <c r="AF324">
        <v>1</v>
      </c>
      <c r="AG324">
        <v>1</v>
      </c>
      <c r="AH324">
        <v>0</v>
      </c>
    </row>
    <row r="325" spans="1:34" x14ac:dyDescent="0.3">
      <c r="A325" t="s">
        <v>2967</v>
      </c>
      <c r="B325" t="s">
        <v>2968</v>
      </c>
      <c r="D325" t="s">
        <v>1303</v>
      </c>
      <c r="E325" t="s">
        <v>39</v>
      </c>
      <c r="F325" t="s">
        <v>22</v>
      </c>
      <c r="H325" t="s">
        <v>4755</v>
      </c>
      <c r="I325" t="s">
        <v>4755</v>
      </c>
      <c r="J325" t="s">
        <v>4480</v>
      </c>
      <c r="K325" t="s">
        <v>5139</v>
      </c>
      <c r="L325" t="s">
        <v>25</v>
      </c>
      <c r="M325" t="s">
        <v>1303</v>
      </c>
      <c r="N325" t="s">
        <v>4732</v>
      </c>
      <c r="O325" t="s">
        <v>4733</v>
      </c>
      <c r="Q325">
        <v>0</v>
      </c>
      <c r="R325">
        <v>407</v>
      </c>
      <c r="S325">
        <v>1</v>
      </c>
      <c r="V325" t="s">
        <v>4717</v>
      </c>
      <c r="AA325" t="s">
        <v>4760</v>
      </c>
      <c r="AB325" t="s">
        <v>4928</v>
      </c>
      <c r="AF325">
        <v>1</v>
      </c>
      <c r="AG325">
        <v>1</v>
      </c>
      <c r="AH325">
        <v>0</v>
      </c>
    </row>
    <row r="326" spans="1:34" x14ac:dyDescent="0.3">
      <c r="A326" t="s">
        <v>2976</v>
      </c>
      <c r="B326" t="s">
        <v>5184</v>
      </c>
      <c r="D326" t="s">
        <v>2018</v>
      </c>
      <c r="E326" t="s">
        <v>39</v>
      </c>
      <c r="F326" t="s">
        <v>22</v>
      </c>
      <c r="H326" t="s">
        <v>4755</v>
      </c>
      <c r="I326" t="s">
        <v>4755</v>
      </c>
      <c r="J326" t="s">
        <v>4480</v>
      </c>
      <c r="K326" t="s">
        <v>5139</v>
      </c>
      <c r="L326" t="s">
        <v>25</v>
      </c>
      <c r="M326" t="s">
        <v>2018</v>
      </c>
      <c r="N326" t="s">
        <v>4732</v>
      </c>
      <c r="O326" t="s">
        <v>4733</v>
      </c>
      <c r="Q326">
        <v>0</v>
      </c>
      <c r="R326">
        <v>407</v>
      </c>
      <c r="S326">
        <v>1</v>
      </c>
      <c r="V326" t="s">
        <v>4717</v>
      </c>
      <c r="AA326" t="s">
        <v>4760</v>
      </c>
      <c r="AB326" t="s">
        <v>4928</v>
      </c>
      <c r="AF326">
        <v>1</v>
      </c>
      <c r="AG326">
        <v>1</v>
      </c>
      <c r="AH326">
        <v>0</v>
      </c>
    </row>
    <row r="327" spans="1:34" x14ac:dyDescent="0.3">
      <c r="A327">
        <v>415</v>
      </c>
      <c r="B327" t="s">
        <v>2116</v>
      </c>
      <c r="C327" t="s">
        <v>4712</v>
      </c>
      <c r="D327" t="s">
        <v>1263</v>
      </c>
      <c r="E327" t="s">
        <v>39</v>
      </c>
      <c r="F327" t="s">
        <v>22</v>
      </c>
      <c r="G327" t="s">
        <v>3608</v>
      </c>
      <c r="H327" t="s">
        <v>4729</v>
      </c>
      <c r="I327" t="s">
        <v>4730</v>
      </c>
      <c r="J327" t="s">
        <v>4480</v>
      </c>
      <c r="K327" t="s">
        <v>5139</v>
      </c>
      <c r="L327" t="s">
        <v>25</v>
      </c>
      <c r="M327" t="s">
        <v>1263</v>
      </c>
      <c r="N327" t="s">
        <v>4732</v>
      </c>
      <c r="O327" t="s">
        <v>4733</v>
      </c>
      <c r="Q327">
        <v>0</v>
      </c>
      <c r="R327">
        <v>381</v>
      </c>
      <c r="S327">
        <v>1</v>
      </c>
      <c r="U327" t="s">
        <v>5185</v>
      </c>
      <c r="V327" t="s">
        <v>4758</v>
      </c>
      <c r="W327" t="s">
        <v>4954</v>
      </c>
      <c r="X327" t="s">
        <v>4954</v>
      </c>
      <c r="Z327" t="s">
        <v>4737</v>
      </c>
      <c r="AA327" t="s">
        <v>4760</v>
      </c>
      <c r="AB327" t="s">
        <v>4928</v>
      </c>
      <c r="AF327">
        <v>0</v>
      </c>
      <c r="AG327">
        <v>0</v>
      </c>
      <c r="AH327">
        <v>1</v>
      </c>
    </row>
    <row r="328" spans="1:34" x14ac:dyDescent="0.3">
      <c r="A328" t="s">
        <v>2994</v>
      </c>
      <c r="B328" t="s">
        <v>2995</v>
      </c>
      <c r="C328" t="s">
        <v>4712</v>
      </c>
      <c r="D328" t="s">
        <v>94</v>
      </c>
      <c r="E328" t="s">
        <v>39</v>
      </c>
      <c r="F328" t="s">
        <v>22</v>
      </c>
      <c r="H328" t="s">
        <v>4755</v>
      </c>
      <c r="I328" t="s">
        <v>4755</v>
      </c>
      <c r="J328" t="s">
        <v>4480</v>
      </c>
      <c r="K328" t="s">
        <v>5139</v>
      </c>
      <c r="L328" t="s">
        <v>25</v>
      </c>
      <c r="M328" t="s">
        <v>94</v>
      </c>
      <c r="N328" t="s">
        <v>4732</v>
      </c>
      <c r="O328" t="s">
        <v>4733</v>
      </c>
      <c r="Q328">
        <v>0</v>
      </c>
      <c r="R328">
        <v>410</v>
      </c>
      <c r="S328">
        <v>1</v>
      </c>
      <c r="V328" t="s">
        <v>4544</v>
      </c>
      <c r="AA328" t="s">
        <v>4760</v>
      </c>
      <c r="AB328" t="s">
        <v>4928</v>
      </c>
      <c r="AF328">
        <v>1</v>
      </c>
      <c r="AG328">
        <v>1</v>
      </c>
      <c r="AH328">
        <v>0</v>
      </c>
    </row>
    <row r="329" spans="1:34" x14ac:dyDescent="0.3">
      <c r="A329" t="s">
        <v>2985</v>
      </c>
      <c r="B329" t="s">
        <v>5186</v>
      </c>
      <c r="C329" t="s">
        <v>4712</v>
      </c>
      <c r="D329" t="s">
        <v>1801</v>
      </c>
      <c r="E329" t="s">
        <v>39</v>
      </c>
      <c r="F329" t="s">
        <v>22</v>
      </c>
      <c r="H329" t="s">
        <v>4755</v>
      </c>
      <c r="I329" t="s">
        <v>4755</v>
      </c>
      <c r="J329" t="s">
        <v>4480</v>
      </c>
      <c r="K329" t="s">
        <v>5139</v>
      </c>
      <c r="L329" t="s">
        <v>25</v>
      </c>
      <c r="M329" t="s">
        <v>1801</v>
      </c>
      <c r="N329" t="s">
        <v>4732</v>
      </c>
      <c r="O329" t="s">
        <v>4733</v>
      </c>
      <c r="Q329">
        <v>0</v>
      </c>
      <c r="R329">
        <v>408</v>
      </c>
      <c r="S329">
        <v>1</v>
      </c>
      <c r="V329" t="s">
        <v>4544</v>
      </c>
      <c r="AA329" t="s">
        <v>4760</v>
      </c>
      <c r="AB329" t="s">
        <v>4928</v>
      </c>
      <c r="AF329">
        <v>1</v>
      </c>
      <c r="AG329">
        <v>1</v>
      </c>
      <c r="AH329">
        <v>0</v>
      </c>
    </row>
    <row r="330" spans="1:34" x14ac:dyDescent="0.3">
      <c r="A330" t="s">
        <v>3003</v>
      </c>
      <c r="B330" t="s">
        <v>5187</v>
      </c>
      <c r="C330" t="s">
        <v>4712</v>
      </c>
      <c r="D330" t="s">
        <v>1801</v>
      </c>
      <c r="E330" t="s">
        <v>39</v>
      </c>
      <c r="F330" t="s">
        <v>22</v>
      </c>
      <c r="H330" t="s">
        <v>4755</v>
      </c>
      <c r="I330" t="s">
        <v>4755</v>
      </c>
      <c r="J330" t="s">
        <v>4480</v>
      </c>
      <c r="K330" t="s">
        <v>5139</v>
      </c>
      <c r="L330" t="s">
        <v>25</v>
      </c>
      <c r="M330" t="s">
        <v>1801</v>
      </c>
      <c r="N330" t="s">
        <v>4732</v>
      </c>
      <c r="O330" t="s">
        <v>4733</v>
      </c>
      <c r="Q330">
        <v>0</v>
      </c>
      <c r="R330">
        <v>410</v>
      </c>
      <c r="S330">
        <v>1</v>
      </c>
      <c r="V330" t="s">
        <v>4544</v>
      </c>
      <c r="AA330" t="s">
        <v>4760</v>
      </c>
      <c r="AB330" t="s">
        <v>4928</v>
      </c>
      <c r="AF330">
        <v>1</v>
      </c>
      <c r="AG330">
        <v>1</v>
      </c>
      <c r="AH330">
        <v>0</v>
      </c>
    </row>
    <row r="331" spans="1:34" x14ac:dyDescent="0.3">
      <c r="A331" t="s">
        <v>3009</v>
      </c>
      <c r="B331" t="s">
        <v>5188</v>
      </c>
      <c r="C331" t="s">
        <v>4712</v>
      </c>
      <c r="D331" t="s">
        <v>1208</v>
      </c>
      <c r="E331" t="s">
        <v>39</v>
      </c>
      <c r="F331" t="s">
        <v>22</v>
      </c>
      <c r="H331" t="s">
        <v>4755</v>
      </c>
      <c r="I331" t="s">
        <v>4755</v>
      </c>
      <c r="J331" t="s">
        <v>4480</v>
      </c>
      <c r="K331" t="s">
        <v>5139</v>
      </c>
      <c r="L331" t="s">
        <v>25</v>
      </c>
      <c r="M331" t="s">
        <v>1208</v>
      </c>
      <c r="N331" t="s">
        <v>4732</v>
      </c>
      <c r="O331" t="s">
        <v>4733</v>
      </c>
      <c r="Q331">
        <v>0</v>
      </c>
      <c r="R331">
        <v>410</v>
      </c>
      <c r="S331">
        <v>1</v>
      </c>
      <c r="V331" t="s">
        <v>4544</v>
      </c>
      <c r="AA331" t="s">
        <v>4760</v>
      </c>
      <c r="AB331" t="s">
        <v>4928</v>
      </c>
      <c r="AF331">
        <v>1</v>
      </c>
      <c r="AG331">
        <v>1</v>
      </c>
      <c r="AH331">
        <v>0</v>
      </c>
    </row>
    <row r="332" spans="1:34" x14ac:dyDescent="0.3">
      <c r="A332" t="s">
        <v>3015</v>
      </c>
      <c r="B332" t="s">
        <v>5189</v>
      </c>
      <c r="C332" t="s">
        <v>4712</v>
      </c>
      <c r="D332" t="s">
        <v>625</v>
      </c>
      <c r="E332" t="s">
        <v>39</v>
      </c>
      <c r="F332" t="s">
        <v>22</v>
      </c>
      <c r="H332" t="s">
        <v>4755</v>
      </c>
      <c r="I332" t="s">
        <v>4755</v>
      </c>
      <c r="J332" t="s">
        <v>4480</v>
      </c>
      <c r="K332" t="s">
        <v>5139</v>
      </c>
      <c r="L332" t="s">
        <v>25</v>
      </c>
      <c r="M332" t="s">
        <v>625</v>
      </c>
      <c r="N332" t="s">
        <v>4732</v>
      </c>
      <c r="O332" t="s">
        <v>4733</v>
      </c>
      <c r="Q332">
        <v>0</v>
      </c>
      <c r="R332">
        <v>410</v>
      </c>
      <c r="S332">
        <v>1</v>
      </c>
      <c r="V332" t="s">
        <v>4544</v>
      </c>
      <c r="AA332" t="s">
        <v>4760</v>
      </c>
      <c r="AB332" t="s">
        <v>4928</v>
      </c>
      <c r="AF332">
        <v>1</v>
      </c>
      <c r="AG332">
        <v>1</v>
      </c>
      <c r="AH332">
        <v>0</v>
      </c>
    </row>
    <row r="333" spans="1:34" x14ac:dyDescent="0.3">
      <c r="A333" t="s">
        <v>3021</v>
      </c>
      <c r="B333" t="s">
        <v>5190</v>
      </c>
      <c r="C333" t="s">
        <v>4712</v>
      </c>
      <c r="D333" t="s">
        <v>94</v>
      </c>
      <c r="E333" t="s">
        <v>39</v>
      </c>
      <c r="F333" t="s">
        <v>22</v>
      </c>
      <c r="H333" t="s">
        <v>4755</v>
      </c>
      <c r="I333" t="s">
        <v>4755</v>
      </c>
      <c r="J333" t="s">
        <v>4480</v>
      </c>
      <c r="K333" t="s">
        <v>5139</v>
      </c>
      <c r="L333" t="s">
        <v>25</v>
      </c>
      <c r="M333" t="s">
        <v>94</v>
      </c>
      <c r="N333" t="s">
        <v>4732</v>
      </c>
      <c r="O333" t="s">
        <v>4733</v>
      </c>
      <c r="Q333">
        <v>0</v>
      </c>
      <c r="R333">
        <v>410</v>
      </c>
      <c r="S333">
        <v>1</v>
      </c>
      <c r="V333" t="s">
        <v>4544</v>
      </c>
      <c r="AA333" t="s">
        <v>4760</v>
      </c>
      <c r="AB333" t="s">
        <v>4928</v>
      </c>
      <c r="AF333">
        <v>1</v>
      </c>
      <c r="AG333">
        <v>1</v>
      </c>
      <c r="AH333">
        <v>0</v>
      </c>
    </row>
    <row r="334" spans="1:34" x14ac:dyDescent="0.3">
      <c r="A334" t="s">
        <v>3030</v>
      </c>
      <c r="B334" t="s">
        <v>5191</v>
      </c>
      <c r="C334" t="s">
        <v>4712</v>
      </c>
      <c r="D334" t="s">
        <v>625</v>
      </c>
      <c r="E334" t="s">
        <v>39</v>
      </c>
      <c r="F334" t="s">
        <v>22</v>
      </c>
      <c r="H334" t="s">
        <v>4755</v>
      </c>
      <c r="I334" t="s">
        <v>4755</v>
      </c>
      <c r="J334" t="s">
        <v>4480</v>
      </c>
      <c r="K334" t="s">
        <v>5139</v>
      </c>
      <c r="L334" t="s">
        <v>25</v>
      </c>
      <c r="M334" t="s">
        <v>625</v>
      </c>
      <c r="N334" t="s">
        <v>4732</v>
      </c>
      <c r="O334" t="s">
        <v>4733</v>
      </c>
      <c r="Q334">
        <v>0</v>
      </c>
      <c r="R334">
        <v>409</v>
      </c>
      <c r="S334">
        <v>1</v>
      </c>
      <c r="V334" t="s">
        <v>4544</v>
      </c>
      <c r="AA334" t="s">
        <v>4760</v>
      </c>
      <c r="AB334" t="s">
        <v>4928</v>
      </c>
      <c r="AF334">
        <v>1</v>
      </c>
      <c r="AG334">
        <v>1</v>
      </c>
      <c r="AH334">
        <v>0</v>
      </c>
    </row>
    <row r="335" spans="1:34" x14ac:dyDescent="0.3">
      <c r="A335" t="s">
        <v>3039</v>
      </c>
      <c r="B335" t="s">
        <v>3044</v>
      </c>
      <c r="C335" t="s">
        <v>4712</v>
      </c>
      <c r="D335" t="s">
        <v>1758</v>
      </c>
      <c r="E335" t="s">
        <v>39</v>
      </c>
      <c r="F335" t="s">
        <v>22</v>
      </c>
      <c r="H335" t="s">
        <v>4755</v>
      </c>
      <c r="I335" t="s">
        <v>4755</v>
      </c>
      <c r="J335" t="s">
        <v>4480</v>
      </c>
      <c r="K335" t="s">
        <v>5139</v>
      </c>
      <c r="L335" t="s">
        <v>25</v>
      </c>
      <c r="M335" t="s">
        <v>1758</v>
      </c>
      <c r="N335" t="s">
        <v>4732</v>
      </c>
      <c r="O335" t="s">
        <v>4733</v>
      </c>
      <c r="Q335">
        <v>0</v>
      </c>
      <c r="R335">
        <v>411</v>
      </c>
      <c r="S335">
        <v>1</v>
      </c>
      <c r="V335" t="s">
        <v>4544</v>
      </c>
      <c r="AA335" t="s">
        <v>4760</v>
      </c>
      <c r="AB335" t="s">
        <v>4928</v>
      </c>
      <c r="AF335">
        <v>1</v>
      </c>
      <c r="AG335">
        <v>1</v>
      </c>
      <c r="AH335">
        <v>0</v>
      </c>
    </row>
    <row r="336" spans="1:34" x14ac:dyDescent="0.3">
      <c r="A336" t="s">
        <v>3048</v>
      </c>
      <c r="B336" t="s">
        <v>5192</v>
      </c>
      <c r="C336" t="s">
        <v>4712</v>
      </c>
      <c r="D336" t="s">
        <v>1215</v>
      </c>
      <c r="E336" t="s">
        <v>39</v>
      </c>
      <c r="F336" t="s">
        <v>22</v>
      </c>
      <c r="H336" t="s">
        <v>4755</v>
      </c>
      <c r="I336" t="s">
        <v>4755</v>
      </c>
      <c r="J336" t="s">
        <v>4480</v>
      </c>
      <c r="K336" t="s">
        <v>5139</v>
      </c>
      <c r="L336" t="s">
        <v>25</v>
      </c>
      <c r="M336" t="s">
        <v>1215</v>
      </c>
      <c r="N336" t="s">
        <v>4732</v>
      </c>
      <c r="O336" t="s">
        <v>4733</v>
      </c>
      <c r="Q336">
        <v>0</v>
      </c>
      <c r="R336">
        <v>412</v>
      </c>
      <c r="S336">
        <v>1</v>
      </c>
      <c r="V336" t="s">
        <v>4544</v>
      </c>
      <c r="AA336" t="s">
        <v>4760</v>
      </c>
      <c r="AB336" t="s">
        <v>4928</v>
      </c>
      <c r="AF336">
        <v>1</v>
      </c>
      <c r="AG336">
        <v>1</v>
      </c>
      <c r="AH336">
        <v>0</v>
      </c>
    </row>
    <row r="337" spans="1:34" x14ac:dyDescent="0.3">
      <c r="A337" t="s">
        <v>3057</v>
      </c>
      <c r="B337" t="s">
        <v>5193</v>
      </c>
      <c r="C337" t="s">
        <v>4712</v>
      </c>
      <c r="D337" t="s">
        <v>1792</v>
      </c>
      <c r="E337" t="s">
        <v>39</v>
      </c>
      <c r="F337" t="s">
        <v>22</v>
      </c>
      <c r="H337" t="s">
        <v>4755</v>
      </c>
      <c r="I337" t="s">
        <v>4755</v>
      </c>
      <c r="J337" t="s">
        <v>4480</v>
      </c>
      <c r="K337" t="s">
        <v>5139</v>
      </c>
      <c r="L337" t="s">
        <v>25</v>
      </c>
      <c r="M337" t="s">
        <v>1792</v>
      </c>
      <c r="N337" t="s">
        <v>4732</v>
      </c>
      <c r="O337" t="s">
        <v>4733</v>
      </c>
      <c r="Q337">
        <v>0</v>
      </c>
      <c r="R337">
        <v>413</v>
      </c>
      <c r="S337">
        <v>1</v>
      </c>
      <c r="V337" t="s">
        <v>4544</v>
      </c>
      <c r="AA337" t="s">
        <v>4760</v>
      </c>
      <c r="AB337" t="s">
        <v>4928</v>
      </c>
      <c r="AF337">
        <v>1</v>
      </c>
      <c r="AG337">
        <v>1</v>
      </c>
      <c r="AH337">
        <v>0</v>
      </c>
    </row>
    <row r="338" spans="1:34" x14ac:dyDescent="0.3">
      <c r="A338" t="s">
        <v>3066</v>
      </c>
      <c r="B338" t="s">
        <v>5194</v>
      </c>
      <c r="C338" t="s">
        <v>4712</v>
      </c>
      <c r="D338" t="s">
        <v>1796</v>
      </c>
      <c r="E338" t="s">
        <v>39</v>
      </c>
      <c r="F338" t="s">
        <v>22</v>
      </c>
      <c r="H338" t="s">
        <v>4755</v>
      </c>
      <c r="I338" t="s">
        <v>4755</v>
      </c>
      <c r="J338" t="s">
        <v>4480</v>
      </c>
      <c r="K338" t="s">
        <v>5139</v>
      </c>
      <c r="L338" t="s">
        <v>25</v>
      </c>
      <c r="M338" t="s">
        <v>1796</v>
      </c>
      <c r="N338" t="s">
        <v>4732</v>
      </c>
      <c r="O338" t="s">
        <v>4733</v>
      </c>
      <c r="Q338">
        <v>0</v>
      </c>
      <c r="R338">
        <v>414</v>
      </c>
      <c r="S338">
        <v>1</v>
      </c>
      <c r="V338" t="s">
        <v>4544</v>
      </c>
      <c r="AA338" t="s">
        <v>4760</v>
      </c>
      <c r="AB338" t="s">
        <v>4928</v>
      </c>
      <c r="AF338">
        <v>1</v>
      </c>
      <c r="AG338">
        <v>1</v>
      </c>
      <c r="AH338">
        <v>0</v>
      </c>
    </row>
    <row r="339" spans="1:34" x14ac:dyDescent="0.3">
      <c r="A339" t="s">
        <v>3075</v>
      </c>
      <c r="B339" t="s">
        <v>5195</v>
      </c>
      <c r="C339" t="s">
        <v>4712</v>
      </c>
      <c r="D339" t="s">
        <v>94</v>
      </c>
      <c r="E339" t="s">
        <v>39</v>
      </c>
      <c r="F339" t="s">
        <v>22</v>
      </c>
      <c r="H339" t="s">
        <v>4755</v>
      </c>
      <c r="I339" t="s">
        <v>4755</v>
      </c>
      <c r="J339" t="s">
        <v>4480</v>
      </c>
      <c r="K339" t="s">
        <v>5139</v>
      </c>
      <c r="L339" t="s">
        <v>25</v>
      </c>
      <c r="M339" t="s">
        <v>94</v>
      </c>
      <c r="N339" t="s">
        <v>4732</v>
      </c>
      <c r="O339" t="s">
        <v>4733</v>
      </c>
      <c r="Q339">
        <v>0</v>
      </c>
      <c r="R339">
        <v>410</v>
      </c>
      <c r="S339">
        <v>1</v>
      </c>
      <c r="V339" t="s">
        <v>4544</v>
      </c>
      <c r="AA339" t="s">
        <v>4760</v>
      </c>
      <c r="AB339" t="s">
        <v>4928</v>
      </c>
      <c r="AF339">
        <v>1</v>
      </c>
      <c r="AG339">
        <v>1</v>
      </c>
      <c r="AH339">
        <v>0</v>
      </c>
    </row>
    <row r="340" spans="1:34" x14ac:dyDescent="0.3">
      <c r="A340" t="s">
        <v>3082</v>
      </c>
      <c r="B340" t="s">
        <v>5196</v>
      </c>
      <c r="C340" t="s">
        <v>4712</v>
      </c>
      <c r="D340" t="s">
        <v>1263</v>
      </c>
      <c r="E340" t="s">
        <v>39</v>
      </c>
      <c r="F340" t="s">
        <v>22</v>
      </c>
      <c r="H340" t="s">
        <v>4755</v>
      </c>
      <c r="I340" t="s">
        <v>4755</v>
      </c>
      <c r="J340" t="s">
        <v>4480</v>
      </c>
      <c r="K340" t="s">
        <v>5139</v>
      </c>
      <c r="L340" t="s">
        <v>25</v>
      </c>
      <c r="N340" t="s">
        <v>4732</v>
      </c>
      <c r="O340" t="s">
        <v>4733</v>
      </c>
      <c r="Q340">
        <v>0</v>
      </c>
      <c r="R340">
        <v>410</v>
      </c>
      <c r="S340">
        <v>1</v>
      </c>
      <c r="V340" t="s">
        <v>4544</v>
      </c>
      <c r="AA340" t="s">
        <v>4760</v>
      </c>
      <c r="AB340" t="s">
        <v>4928</v>
      </c>
      <c r="AF340">
        <v>0</v>
      </c>
      <c r="AG340">
        <v>0</v>
      </c>
      <c r="AH340">
        <v>0</v>
      </c>
    </row>
    <row r="341" spans="1:34" x14ac:dyDescent="0.3">
      <c r="A341" t="s">
        <v>3088</v>
      </c>
      <c r="B341" t="s">
        <v>5197</v>
      </c>
      <c r="C341" t="s">
        <v>4712</v>
      </c>
      <c r="D341" t="s">
        <v>94</v>
      </c>
      <c r="E341" t="s">
        <v>39</v>
      </c>
      <c r="F341" t="s">
        <v>22</v>
      </c>
      <c r="H341" t="s">
        <v>4755</v>
      </c>
      <c r="I341" t="s">
        <v>4755</v>
      </c>
      <c r="J341" t="s">
        <v>4480</v>
      </c>
      <c r="K341" t="s">
        <v>5139</v>
      </c>
      <c r="L341" t="s">
        <v>25</v>
      </c>
      <c r="M341" t="s">
        <v>94</v>
      </c>
      <c r="N341" t="s">
        <v>4732</v>
      </c>
      <c r="O341" t="s">
        <v>4733</v>
      </c>
      <c r="Q341">
        <v>0</v>
      </c>
      <c r="R341">
        <v>410</v>
      </c>
      <c r="S341">
        <v>1</v>
      </c>
      <c r="V341" t="s">
        <v>4544</v>
      </c>
      <c r="AA341" t="s">
        <v>4760</v>
      </c>
      <c r="AB341" t="s">
        <v>4928</v>
      </c>
      <c r="AF341">
        <v>1</v>
      </c>
      <c r="AG341">
        <v>1</v>
      </c>
      <c r="AH341">
        <v>0</v>
      </c>
    </row>
    <row r="342" spans="1:34" x14ac:dyDescent="0.3">
      <c r="A342">
        <v>416</v>
      </c>
      <c r="B342" t="s">
        <v>2129</v>
      </c>
      <c r="C342" t="s">
        <v>4712</v>
      </c>
      <c r="D342" t="s">
        <v>1263</v>
      </c>
      <c r="E342" t="s">
        <v>39</v>
      </c>
      <c r="F342" t="s">
        <v>22</v>
      </c>
      <c r="G342" t="s">
        <v>3608</v>
      </c>
      <c r="H342" t="s">
        <v>4729</v>
      </c>
      <c r="I342" t="s">
        <v>4730</v>
      </c>
      <c r="J342" t="s">
        <v>4480</v>
      </c>
      <c r="K342" t="s">
        <v>5139</v>
      </c>
      <c r="L342" t="s">
        <v>25</v>
      </c>
      <c r="M342" t="s">
        <v>1263</v>
      </c>
      <c r="N342" t="s">
        <v>4732</v>
      </c>
      <c r="O342" t="s">
        <v>4733</v>
      </c>
      <c r="Q342">
        <v>0</v>
      </c>
      <c r="R342">
        <v>382</v>
      </c>
      <c r="S342">
        <v>1</v>
      </c>
      <c r="U342" t="s">
        <v>5185</v>
      </c>
      <c r="V342" t="s">
        <v>4758</v>
      </c>
      <c r="W342" t="s">
        <v>4954</v>
      </c>
      <c r="X342" t="s">
        <v>4954</v>
      </c>
      <c r="Z342" t="s">
        <v>4737</v>
      </c>
      <c r="AA342" t="s">
        <v>4760</v>
      </c>
      <c r="AB342" t="s">
        <v>4928</v>
      </c>
      <c r="AF342">
        <v>0</v>
      </c>
      <c r="AG342">
        <v>0</v>
      </c>
      <c r="AH342">
        <v>1</v>
      </c>
    </row>
    <row r="343" spans="1:34" x14ac:dyDescent="0.3">
      <c r="A343" t="s">
        <v>3094</v>
      </c>
      <c r="B343" t="s">
        <v>5198</v>
      </c>
      <c r="D343" t="s">
        <v>1915</v>
      </c>
      <c r="E343" t="s">
        <v>39</v>
      </c>
      <c r="F343" t="s">
        <v>22</v>
      </c>
      <c r="H343" t="s">
        <v>4755</v>
      </c>
      <c r="I343" t="s">
        <v>4755</v>
      </c>
      <c r="J343" t="s">
        <v>4480</v>
      </c>
      <c r="K343" t="s">
        <v>5139</v>
      </c>
      <c r="L343" t="s">
        <v>25</v>
      </c>
      <c r="M343" t="s">
        <v>1915</v>
      </c>
      <c r="N343" t="s">
        <v>4732</v>
      </c>
      <c r="O343" t="s">
        <v>4733</v>
      </c>
      <c r="Q343">
        <v>0</v>
      </c>
      <c r="R343">
        <v>415</v>
      </c>
      <c r="S343">
        <v>1</v>
      </c>
      <c r="V343" t="s">
        <v>4543</v>
      </c>
      <c r="AA343" t="s">
        <v>4760</v>
      </c>
      <c r="AB343" t="s">
        <v>4928</v>
      </c>
      <c r="AF343">
        <v>1</v>
      </c>
      <c r="AG343">
        <v>1</v>
      </c>
      <c r="AH343">
        <v>0</v>
      </c>
    </row>
    <row r="344" spans="1:34" x14ac:dyDescent="0.3">
      <c r="A344" t="s">
        <v>3103</v>
      </c>
      <c r="B344" t="s">
        <v>5199</v>
      </c>
      <c r="D344" t="s">
        <v>2186</v>
      </c>
      <c r="E344" t="s">
        <v>39</v>
      </c>
      <c r="F344" t="s">
        <v>22</v>
      </c>
      <c r="H344" t="s">
        <v>4755</v>
      </c>
      <c r="I344" t="s">
        <v>4755</v>
      </c>
      <c r="J344" t="s">
        <v>4480</v>
      </c>
      <c r="K344" t="s">
        <v>5139</v>
      </c>
      <c r="L344" t="s">
        <v>25</v>
      </c>
      <c r="M344" t="s">
        <v>2186</v>
      </c>
      <c r="N344" t="s">
        <v>4732</v>
      </c>
      <c r="O344" t="s">
        <v>4733</v>
      </c>
      <c r="Q344">
        <v>0</v>
      </c>
      <c r="R344">
        <v>416</v>
      </c>
      <c r="S344">
        <v>1</v>
      </c>
      <c r="V344" t="s">
        <v>4543</v>
      </c>
      <c r="AA344" t="s">
        <v>4760</v>
      </c>
      <c r="AB344" t="s">
        <v>4928</v>
      </c>
      <c r="AF344">
        <v>1</v>
      </c>
      <c r="AG344">
        <v>1</v>
      </c>
      <c r="AH344">
        <v>0</v>
      </c>
    </row>
    <row r="345" spans="1:34" x14ac:dyDescent="0.3">
      <c r="A345" t="s">
        <v>3112</v>
      </c>
      <c r="B345" t="s">
        <v>5200</v>
      </c>
      <c r="D345" t="s">
        <v>2186</v>
      </c>
      <c r="E345" t="s">
        <v>39</v>
      </c>
      <c r="F345" t="s">
        <v>22</v>
      </c>
      <c r="H345" t="s">
        <v>4755</v>
      </c>
      <c r="I345" t="s">
        <v>4755</v>
      </c>
      <c r="J345" t="s">
        <v>4480</v>
      </c>
      <c r="K345" t="s">
        <v>5139</v>
      </c>
      <c r="L345" t="s">
        <v>25</v>
      </c>
      <c r="M345" t="s">
        <v>2186</v>
      </c>
      <c r="N345" t="s">
        <v>4732</v>
      </c>
      <c r="O345" t="s">
        <v>4733</v>
      </c>
      <c r="Q345">
        <v>0</v>
      </c>
      <c r="R345">
        <v>416</v>
      </c>
      <c r="S345">
        <v>1</v>
      </c>
      <c r="V345" t="s">
        <v>4543</v>
      </c>
      <c r="AA345" t="s">
        <v>4760</v>
      </c>
      <c r="AB345" t="s">
        <v>4928</v>
      </c>
      <c r="AF345">
        <v>1</v>
      </c>
      <c r="AG345">
        <v>1</v>
      </c>
      <c r="AH345">
        <v>1</v>
      </c>
    </row>
    <row r="346" spans="1:34" x14ac:dyDescent="0.3">
      <c r="A346" t="s">
        <v>3118</v>
      </c>
      <c r="B346" t="s">
        <v>5201</v>
      </c>
      <c r="D346" t="s">
        <v>2186</v>
      </c>
      <c r="E346" t="s">
        <v>39</v>
      </c>
      <c r="F346" t="s">
        <v>22</v>
      </c>
      <c r="H346" t="s">
        <v>4755</v>
      </c>
      <c r="I346" t="s">
        <v>4755</v>
      </c>
      <c r="J346" t="s">
        <v>4480</v>
      </c>
      <c r="K346" t="s">
        <v>5139</v>
      </c>
      <c r="L346" t="s">
        <v>25</v>
      </c>
      <c r="M346" t="s">
        <v>2186</v>
      </c>
      <c r="N346" t="s">
        <v>4732</v>
      </c>
      <c r="O346" t="s">
        <v>4733</v>
      </c>
      <c r="Q346">
        <v>0</v>
      </c>
      <c r="R346">
        <v>416</v>
      </c>
      <c r="S346">
        <v>1</v>
      </c>
      <c r="V346" t="s">
        <v>4543</v>
      </c>
      <c r="AA346" t="s">
        <v>4760</v>
      </c>
      <c r="AB346" t="s">
        <v>4928</v>
      </c>
      <c r="AF346">
        <v>1</v>
      </c>
      <c r="AG346">
        <v>1</v>
      </c>
      <c r="AH346">
        <v>1</v>
      </c>
    </row>
    <row r="347" spans="1:34" x14ac:dyDescent="0.3">
      <c r="A347" t="s">
        <v>3124</v>
      </c>
      <c r="B347" t="s">
        <v>5202</v>
      </c>
      <c r="D347" t="s">
        <v>2186</v>
      </c>
      <c r="E347" t="s">
        <v>39</v>
      </c>
      <c r="F347" t="s">
        <v>22</v>
      </c>
      <c r="H347" t="s">
        <v>4755</v>
      </c>
      <c r="I347" t="s">
        <v>4755</v>
      </c>
      <c r="J347" t="s">
        <v>4480</v>
      </c>
      <c r="K347" t="s">
        <v>5139</v>
      </c>
      <c r="L347" t="s">
        <v>25</v>
      </c>
      <c r="M347" t="s">
        <v>2186</v>
      </c>
      <c r="N347" t="s">
        <v>4732</v>
      </c>
      <c r="O347" t="s">
        <v>4733</v>
      </c>
      <c r="Q347">
        <v>0</v>
      </c>
      <c r="R347">
        <v>416</v>
      </c>
      <c r="S347">
        <v>1</v>
      </c>
      <c r="V347" t="s">
        <v>4543</v>
      </c>
      <c r="AA347" t="s">
        <v>4760</v>
      </c>
      <c r="AB347" t="s">
        <v>4928</v>
      </c>
      <c r="AF347">
        <v>1</v>
      </c>
      <c r="AG347">
        <v>1</v>
      </c>
      <c r="AH347">
        <v>1</v>
      </c>
    </row>
    <row r="348" spans="1:34" x14ac:dyDescent="0.3">
      <c r="A348" t="s">
        <v>3130</v>
      </c>
      <c r="B348" t="s">
        <v>5203</v>
      </c>
      <c r="D348" t="s">
        <v>2186</v>
      </c>
      <c r="E348" t="s">
        <v>39</v>
      </c>
      <c r="F348" t="s">
        <v>22</v>
      </c>
      <c r="H348" t="s">
        <v>4755</v>
      </c>
      <c r="I348" t="s">
        <v>4755</v>
      </c>
      <c r="J348" t="s">
        <v>4480</v>
      </c>
      <c r="K348" t="s">
        <v>5139</v>
      </c>
      <c r="L348" t="s">
        <v>25</v>
      </c>
      <c r="M348" t="s">
        <v>2186</v>
      </c>
      <c r="N348" t="s">
        <v>4732</v>
      </c>
      <c r="O348" t="s">
        <v>4733</v>
      </c>
      <c r="Q348">
        <v>0</v>
      </c>
      <c r="R348">
        <v>416</v>
      </c>
      <c r="S348">
        <v>1</v>
      </c>
      <c r="V348" t="s">
        <v>4543</v>
      </c>
      <c r="AA348" t="s">
        <v>4760</v>
      </c>
      <c r="AB348" t="s">
        <v>4928</v>
      </c>
      <c r="AF348">
        <v>1</v>
      </c>
      <c r="AG348">
        <v>1</v>
      </c>
      <c r="AH348">
        <v>1</v>
      </c>
    </row>
    <row r="349" spans="1:34" x14ac:dyDescent="0.3">
      <c r="A349" t="s">
        <v>5204</v>
      </c>
      <c r="B349" t="s">
        <v>5205</v>
      </c>
      <c r="D349" t="s">
        <v>1946</v>
      </c>
      <c r="E349" t="s">
        <v>39</v>
      </c>
      <c r="F349" t="s">
        <v>22</v>
      </c>
      <c r="I349" t="s">
        <v>4713</v>
      </c>
      <c r="J349" t="s">
        <v>4480</v>
      </c>
      <c r="K349" t="s">
        <v>5139</v>
      </c>
      <c r="L349" t="s">
        <v>25</v>
      </c>
      <c r="M349" t="s">
        <v>1946</v>
      </c>
      <c r="V349" t="s">
        <v>4543</v>
      </c>
    </row>
    <row r="350" spans="1:34" x14ac:dyDescent="0.3">
      <c r="A350" t="s">
        <v>5206</v>
      </c>
      <c r="B350" t="s">
        <v>5207</v>
      </c>
      <c r="D350" t="s">
        <v>2457</v>
      </c>
      <c r="E350" t="s">
        <v>39</v>
      </c>
      <c r="F350" t="s">
        <v>22</v>
      </c>
      <c r="I350" t="s">
        <v>4713</v>
      </c>
      <c r="J350" t="s">
        <v>4480</v>
      </c>
      <c r="K350" t="s">
        <v>5139</v>
      </c>
      <c r="L350" t="s">
        <v>25</v>
      </c>
      <c r="M350" t="s">
        <v>2457</v>
      </c>
      <c r="V350" t="s">
        <v>2457</v>
      </c>
    </row>
    <row r="351" spans="1:34" x14ac:dyDescent="0.3">
      <c r="A351">
        <v>417</v>
      </c>
      <c r="B351" t="s">
        <v>2142</v>
      </c>
      <c r="C351" t="s">
        <v>4712</v>
      </c>
      <c r="D351" t="s">
        <v>1263</v>
      </c>
      <c r="E351" t="s">
        <v>39</v>
      </c>
      <c r="F351" t="s">
        <v>22</v>
      </c>
      <c r="G351" t="s">
        <v>3608</v>
      </c>
      <c r="H351" t="s">
        <v>4729</v>
      </c>
      <c r="I351" t="s">
        <v>4730</v>
      </c>
      <c r="J351" t="s">
        <v>4480</v>
      </c>
      <c r="K351" t="s">
        <v>5139</v>
      </c>
      <c r="L351" t="s">
        <v>25</v>
      </c>
      <c r="M351" t="s">
        <v>1263</v>
      </c>
      <c r="N351" t="s">
        <v>4732</v>
      </c>
      <c r="O351" t="s">
        <v>4733</v>
      </c>
      <c r="Q351">
        <v>0</v>
      </c>
      <c r="R351">
        <v>383</v>
      </c>
      <c r="S351">
        <v>1</v>
      </c>
      <c r="U351" t="s">
        <v>5185</v>
      </c>
      <c r="V351" t="s">
        <v>4758</v>
      </c>
      <c r="W351" t="s">
        <v>4954</v>
      </c>
      <c r="X351" t="s">
        <v>4954</v>
      </c>
      <c r="Z351" t="s">
        <v>4737</v>
      </c>
      <c r="AA351" t="s">
        <v>4760</v>
      </c>
      <c r="AB351" t="s">
        <v>4928</v>
      </c>
      <c r="AF351">
        <v>0</v>
      </c>
      <c r="AG351">
        <v>0</v>
      </c>
      <c r="AH351">
        <v>1</v>
      </c>
    </row>
    <row r="352" spans="1:34" x14ac:dyDescent="0.3">
      <c r="A352" t="s">
        <v>3136</v>
      </c>
      <c r="B352" t="s">
        <v>5208</v>
      </c>
      <c r="D352" t="s">
        <v>1721</v>
      </c>
      <c r="E352" t="s">
        <v>39</v>
      </c>
      <c r="F352" t="s">
        <v>22</v>
      </c>
      <c r="H352" t="s">
        <v>4755</v>
      </c>
      <c r="I352" t="s">
        <v>4755</v>
      </c>
      <c r="J352" t="s">
        <v>4480</v>
      </c>
      <c r="K352" t="s">
        <v>5139</v>
      </c>
      <c r="L352" t="s">
        <v>25</v>
      </c>
      <c r="M352" t="s">
        <v>1721</v>
      </c>
      <c r="N352" t="s">
        <v>4732</v>
      </c>
      <c r="O352" t="s">
        <v>4733</v>
      </c>
      <c r="Q352">
        <v>0</v>
      </c>
      <c r="R352">
        <v>417</v>
      </c>
      <c r="S352">
        <v>1</v>
      </c>
      <c r="V352" t="s">
        <v>4735</v>
      </c>
      <c r="AA352" t="s">
        <v>4760</v>
      </c>
      <c r="AB352" t="s">
        <v>4928</v>
      </c>
      <c r="AF352">
        <v>1</v>
      </c>
      <c r="AG352">
        <v>1</v>
      </c>
      <c r="AH352">
        <v>0</v>
      </c>
    </row>
    <row r="353" spans="1:34" x14ac:dyDescent="0.3">
      <c r="A353" t="s">
        <v>3145</v>
      </c>
      <c r="B353" t="s">
        <v>5209</v>
      </c>
      <c r="D353" t="s">
        <v>224</v>
      </c>
      <c r="E353" t="s">
        <v>39</v>
      </c>
      <c r="F353" t="s">
        <v>22</v>
      </c>
      <c r="H353" t="s">
        <v>4755</v>
      </c>
      <c r="I353" t="s">
        <v>4755</v>
      </c>
      <c r="J353" t="s">
        <v>4480</v>
      </c>
      <c r="K353" t="s">
        <v>5139</v>
      </c>
      <c r="L353" t="s">
        <v>25</v>
      </c>
      <c r="M353" t="s">
        <v>224</v>
      </c>
      <c r="N353" t="s">
        <v>4732</v>
      </c>
      <c r="O353" t="s">
        <v>4733</v>
      </c>
      <c r="Q353">
        <v>0</v>
      </c>
      <c r="R353">
        <v>418</v>
      </c>
      <c r="S353">
        <v>1</v>
      </c>
      <c r="V353" t="s">
        <v>4735</v>
      </c>
      <c r="AA353" t="s">
        <v>4760</v>
      </c>
      <c r="AB353" t="s">
        <v>4928</v>
      </c>
      <c r="AF353">
        <v>1</v>
      </c>
      <c r="AG353">
        <v>1</v>
      </c>
      <c r="AH353">
        <v>0</v>
      </c>
    </row>
    <row r="354" spans="1:34" x14ac:dyDescent="0.3">
      <c r="A354" t="s">
        <v>3154</v>
      </c>
      <c r="B354" t="s">
        <v>5210</v>
      </c>
      <c r="D354" t="s">
        <v>210</v>
      </c>
      <c r="E354" t="s">
        <v>39</v>
      </c>
      <c r="F354" t="s">
        <v>22</v>
      </c>
      <c r="H354" t="s">
        <v>4755</v>
      </c>
      <c r="I354" t="s">
        <v>4755</v>
      </c>
      <c r="J354" t="s">
        <v>4480</v>
      </c>
      <c r="K354" t="s">
        <v>5139</v>
      </c>
      <c r="L354" t="s">
        <v>25</v>
      </c>
      <c r="M354" t="s">
        <v>210</v>
      </c>
      <c r="N354" t="s">
        <v>4732</v>
      </c>
      <c r="O354" t="s">
        <v>4733</v>
      </c>
      <c r="Q354">
        <v>0</v>
      </c>
      <c r="R354">
        <v>419</v>
      </c>
      <c r="S354">
        <v>1</v>
      </c>
      <c r="V354" t="s">
        <v>4735</v>
      </c>
      <c r="AA354" t="s">
        <v>4760</v>
      </c>
      <c r="AB354" t="s">
        <v>4928</v>
      </c>
      <c r="AF354">
        <v>1</v>
      </c>
      <c r="AG354">
        <v>1</v>
      </c>
      <c r="AH354">
        <v>0</v>
      </c>
    </row>
    <row r="355" spans="1:34" x14ac:dyDescent="0.3">
      <c r="A355" t="s">
        <v>3163</v>
      </c>
      <c r="B355" t="s">
        <v>5211</v>
      </c>
      <c r="D355" t="s">
        <v>1501</v>
      </c>
      <c r="E355" t="s">
        <v>39</v>
      </c>
      <c r="F355" t="s">
        <v>22</v>
      </c>
      <c r="H355" t="s">
        <v>4755</v>
      </c>
      <c r="I355" t="s">
        <v>4755</v>
      </c>
      <c r="J355" t="s">
        <v>4480</v>
      </c>
      <c r="K355" t="s">
        <v>5139</v>
      </c>
      <c r="L355" t="s">
        <v>25</v>
      </c>
      <c r="M355" t="s">
        <v>1501</v>
      </c>
      <c r="N355" t="s">
        <v>4732</v>
      </c>
      <c r="O355" t="s">
        <v>4733</v>
      </c>
      <c r="Q355">
        <v>0</v>
      </c>
      <c r="R355">
        <v>420</v>
      </c>
      <c r="S355">
        <v>1</v>
      </c>
      <c r="V355" t="s">
        <v>4735</v>
      </c>
      <c r="AA355" t="s">
        <v>4760</v>
      </c>
      <c r="AB355" t="s">
        <v>4928</v>
      </c>
      <c r="AF355">
        <v>1</v>
      </c>
      <c r="AG355">
        <v>1</v>
      </c>
      <c r="AH355">
        <v>0</v>
      </c>
    </row>
    <row r="356" spans="1:34" x14ac:dyDescent="0.3">
      <c r="A356" t="s">
        <v>3172</v>
      </c>
      <c r="B356" t="s">
        <v>5212</v>
      </c>
      <c r="D356" t="s">
        <v>1501</v>
      </c>
      <c r="E356" t="s">
        <v>39</v>
      </c>
      <c r="F356" t="s">
        <v>22</v>
      </c>
      <c r="H356" t="s">
        <v>4755</v>
      </c>
      <c r="I356" t="s">
        <v>4755</v>
      </c>
      <c r="J356" t="s">
        <v>4480</v>
      </c>
      <c r="K356" t="s">
        <v>5139</v>
      </c>
      <c r="L356" t="s">
        <v>25</v>
      </c>
      <c r="M356" t="s">
        <v>1501</v>
      </c>
      <c r="N356" t="s">
        <v>4732</v>
      </c>
      <c r="O356" t="s">
        <v>4733</v>
      </c>
      <c r="Q356">
        <v>0</v>
      </c>
      <c r="R356">
        <v>421</v>
      </c>
      <c r="S356">
        <v>1</v>
      </c>
      <c r="V356" t="s">
        <v>4735</v>
      </c>
      <c r="AA356" t="s">
        <v>4760</v>
      </c>
      <c r="AB356" t="s">
        <v>4928</v>
      </c>
      <c r="AF356">
        <v>1</v>
      </c>
      <c r="AG356">
        <v>1</v>
      </c>
      <c r="AH356">
        <v>0</v>
      </c>
    </row>
    <row r="357" spans="1:34" x14ac:dyDescent="0.3">
      <c r="A357" t="s">
        <v>3181</v>
      </c>
      <c r="B357" t="s">
        <v>5213</v>
      </c>
      <c r="D357" t="s">
        <v>20</v>
      </c>
      <c r="E357" t="s">
        <v>39</v>
      </c>
      <c r="F357" t="s">
        <v>22</v>
      </c>
      <c r="H357" t="s">
        <v>4755</v>
      </c>
      <c r="I357" t="s">
        <v>4755</v>
      </c>
      <c r="J357" t="s">
        <v>4480</v>
      </c>
      <c r="K357" t="s">
        <v>5139</v>
      </c>
      <c r="L357" t="s">
        <v>25</v>
      </c>
      <c r="M357" t="s">
        <v>20</v>
      </c>
      <c r="N357" t="s">
        <v>4732</v>
      </c>
      <c r="O357" t="s">
        <v>4733</v>
      </c>
      <c r="Q357">
        <v>0</v>
      </c>
      <c r="R357">
        <v>422</v>
      </c>
      <c r="S357">
        <v>1</v>
      </c>
      <c r="V357" t="s">
        <v>4735</v>
      </c>
      <c r="AA357" t="s">
        <v>4760</v>
      </c>
      <c r="AB357" t="s">
        <v>4928</v>
      </c>
      <c r="AF357">
        <v>1</v>
      </c>
      <c r="AG357">
        <v>1</v>
      </c>
      <c r="AH357">
        <v>0</v>
      </c>
    </row>
    <row r="358" spans="1:34" x14ac:dyDescent="0.3">
      <c r="A358">
        <v>418</v>
      </c>
      <c r="B358" t="s">
        <v>2155</v>
      </c>
      <c r="C358" t="s">
        <v>4712</v>
      </c>
      <c r="D358" t="s">
        <v>1263</v>
      </c>
      <c r="E358" t="s">
        <v>39</v>
      </c>
      <c r="F358" t="s">
        <v>22</v>
      </c>
      <c r="G358" t="s">
        <v>3608</v>
      </c>
      <c r="H358" t="s">
        <v>4729</v>
      </c>
      <c r="I358" t="s">
        <v>4730</v>
      </c>
      <c r="J358" t="s">
        <v>4480</v>
      </c>
      <c r="K358" t="s">
        <v>5139</v>
      </c>
      <c r="L358" t="s">
        <v>25</v>
      </c>
      <c r="M358" t="s">
        <v>1263</v>
      </c>
      <c r="N358" t="s">
        <v>4732</v>
      </c>
      <c r="O358" t="s">
        <v>4733</v>
      </c>
      <c r="Q358">
        <v>0</v>
      </c>
      <c r="R358">
        <v>384</v>
      </c>
      <c r="S358">
        <v>1</v>
      </c>
      <c r="U358" t="s">
        <v>5185</v>
      </c>
      <c r="V358" t="s">
        <v>4758</v>
      </c>
      <c r="W358" t="s">
        <v>4954</v>
      </c>
      <c r="X358" t="s">
        <v>4954</v>
      </c>
      <c r="Z358" t="s">
        <v>4737</v>
      </c>
      <c r="AA358" t="s">
        <v>4760</v>
      </c>
      <c r="AB358" t="s">
        <v>4928</v>
      </c>
      <c r="AF358">
        <v>0</v>
      </c>
      <c r="AG358">
        <v>0</v>
      </c>
      <c r="AH358">
        <v>1</v>
      </c>
    </row>
    <row r="359" spans="1:34" x14ac:dyDescent="0.3">
      <c r="A359" t="s">
        <v>3190</v>
      </c>
      <c r="B359" t="s">
        <v>5214</v>
      </c>
      <c r="C359" t="s">
        <v>4712</v>
      </c>
      <c r="D359" t="s">
        <v>1627</v>
      </c>
      <c r="E359" t="s">
        <v>39</v>
      </c>
      <c r="F359" t="s">
        <v>22</v>
      </c>
      <c r="H359" t="s">
        <v>4755</v>
      </c>
      <c r="I359" t="s">
        <v>4755</v>
      </c>
      <c r="J359" t="s">
        <v>4480</v>
      </c>
      <c r="K359" t="s">
        <v>5139</v>
      </c>
      <c r="L359" t="s">
        <v>25</v>
      </c>
      <c r="M359" t="s">
        <v>1627</v>
      </c>
      <c r="N359" t="s">
        <v>4732</v>
      </c>
      <c r="O359" t="s">
        <v>4733</v>
      </c>
      <c r="Q359">
        <v>0</v>
      </c>
      <c r="R359">
        <v>423</v>
      </c>
      <c r="S359">
        <v>1</v>
      </c>
      <c r="V359" t="s">
        <v>4546</v>
      </c>
      <c r="AA359" t="s">
        <v>4760</v>
      </c>
      <c r="AB359" t="s">
        <v>4928</v>
      </c>
      <c r="AF359">
        <v>1</v>
      </c>
      <c r="AG359">
        <v>1</v>
      </c>
      <c r="AH359">
        <v>0</v>
      </c>
    </row>
    <row r="360" spans="1:34" x14ac:dyDescent="0.3">
      <c r="A360" t="s">
        <v>3199</v>
      </c>
      <c r="B360" t="s">
        <v>5215</v>
      </c>
      <c r="C360" t="s">
        <v>4712</v>
      </c>
      <c r="D360" t="s">
        <v>190</v>
      </c>
      <c r="E360" t="s">
        <v>39</v>
      </c>
      <c r="F360" t="s">
        <v>22</v>
      </c>
      <c r="H360" t="s">
        <v>4755</v>
      </c>
      <c r="I360" t="s">
        <v>4755</v>
      </c>
      <c r="J360" t="s">
        <v>4480</v>
      </c>
      <c r="K360" t="s">
        <v>5139</v>
      </c>
      <c r="L360" t="s">
        <v>25</v>
      </c>
      <c r="M360" t="s">
        <v>190</v>
      </c>
      <c r="N360" t="s">
        <v>4732</v>
      </c>
      <c r="O360" t="s">
        <v>4733</v>
      </c>
      <c r="Q360">
        <v>0</v>
      </c>
      <c r="R360">
        <v>424</v>
      </c>
      <c r="S360">
        <v>1</v>
      </c>
      <c r="V360" t="s">
        <v>4546</v>
      </c>
      <c r="AA360" t="s">
        <v>4760</v>
      </c>
      <c r="AB360" t="s">
        <v>4928</v>
      </c>
      <c r="AF360">
        <v>1</v>
      </c>
      <c r="AG360">
        <v>1</v>
      </c>
      <c r="AH360">
        <v>0</v>
      </c>
    </row>
    <row r="361" spans="1:34" x14ac:dyDescent="0.3">
      <c r="A361" t="s">
        <v>3208</v>
      </c>
      <c r="B361" t="s">
        <v>5216</v>
      </c>
      <c r="C361" t="s">
        <v>4712</v>
      </c>
      <c r="D361" t="s">
        <v>454</v>
      </c>
      <c r="E361" t="s">
        <v>39</v>
      </c>
      <c r="F361" t="s">
        <v>22</v>
      </c>
      <c r="H361" t="s">
        <v>4755</v>
      </c>
      <c r="I361" t="s">
        <v>4755</v>
      </c>
      <c r="J361" t="s">
        <v>4480</v>
      </c>
      <c r="K361" t="s">
        <v>5139</v>
      </c>
      <c r="L361" t="s">
        <v>25</v>
      </c>
      <c r="M361" t="s">
        <v>454</v>
      </c>
      <c r="N361" t="s">
        <v>4732</v>
      </c>
      <c r="O361" t="s">
        <v>4733</v>
      </c>
      <c r="Q361">
        <v>0</v>
      </c>
      <c r="R361">
        <v>425</v>
      </c>
      <c r="S361">
        <v>1</v>
      </c>
      <c r="V361" t="s">
        <v>4546</v>
      </c>
      <c r="AA361" t="s">
        <v>4760</v>
      </c>
      <c r="AB361" t="s">
        <v>4928</v>
      </c>
      <c r="AF361">
        <v>1</v>
      </c>
      <c r="AG361">
        <v>1</v>
      </c>
      <c r="AH361">
        <v>0</v>
      </c>
    </row>
    <row r="362" spans="1:34" x14ac:dyDescent="0.3">
      <c r="A362" t="s">
        <v>3217</v>
      </c>
      <c r="B362" t="s">
        <v>5217</v>
      </c>
      <c r="C362" t="s">
        <v>4712</v>
      </c>
      <c r="D362" t="s">
        <v>546</v>
      </c>
      <c r="E362" t="s">
        <v>39</v>
      </c>
      <c r="F362" t="s">
        <v>22</v>
      </c>
      <c r="H362" t="s">
        <v>4755</v>
      </c>
      <c r="I362" t="s">
        <v>4755</v>
      </c>
      <c r="J362" t="s">
        <v>4480</v>
      </c>
      <c r="K362" t="s">
        <v>5139</v>
      </c>
      <c r="L362" t="s">
        <v>25</v>
      </c>
      <c r="M362" t="s">
        <v>546</v>
      </c>
      <c r="N362" t="s">
        <v>4732</v>
      </c>
      <c r="O362" t="s">
        <v>4733</v>
      </c>
      <c r="Q362">
        <v>0</v>
      </c>
      <c r="R362">
        <v>426</v>
      </c>
      <c r="S362">
        <v>1</v>
      </c>
      <c r="V362" t="s">
        <v>4546</v>
      </c>
      <c r="AA362" t="s">
        <v>4760</v>
      </c>
      <c r="AB362" t="s">
        <v>4928</v>
      </c>
      <c r="AF362">
        <v>1</v>
      </c>
      <c r="AG362">
        <v>1</v>
      </c>
      <c r="AH362">
        <v>0</v>
      </c>
    </row>
    <row r="363" spans="1:34" x14ac:dyDescent="0.3">
      <c r="A363" t="s">
        <v>3226</v>
      </c>
      <c r="B363" t="s">
        <v>5218</v>
      </c>
      <c r="C363" t="s">
        <v>4712</v>
      </c>
      <c r="D363" t="s">
        <v>1383</v>
      </c>
      <c r="E363" t="s">
        <v>39</v>
      </c>
      <c r="F363" t="s">
        <v>22</v>
      </c>
      <c r="H363" t="s">
        <v>4755</v>
      </c>
      <c r="I363" t="s">
        <v>4755</v>
      </c>
      <c r="J363" t="s">
        <v>4480</v>
      </c>
      <c r="K363" t="s">
        <v>5139</v>
      </c>
      <c r="L363" t="s">
        <v>25</v>
      </c>
      <c r="M363" t="s">
        <v>1383</v>
      </c>
      <c r="N363" t="s">
        <v>4732</v>
      </c>
      <c r="O363" t="s">
        <v>4733</v>
      </c>
      <c r="Q363">
        <v>0</v>
      </c>
      <c r="R363">
        <v>427</v>
      </c>
      <c r="S363">
        <v>1</v>
      </c>
      <c r="V363" t="s">
        <v>4546</v>
      </c>
      <c r="AA363" t="s">
        <v>4760</v>
      </c>
      <c r="AB363" t="s">
        <v>4928</v>
      </c>
      <c r="AF363">
        <v>1</v>
      </c>
      <c r="AG363">
        <v>1</v>
      </c>
      <c r="AH363">
        <v>0</v>
      </c>
    </row>
    <row r="364" spans="1:34" x14ac:dyDescent="0.3">
      <c r="A364" t="s">
        <v>3235</v>
      </c>
      <c r="B364" t="s">
        <v>5219</v>
      </c>
      <c r="C364" t="s">
        <v>4712</v>
      </c>
      <c r="D364" t="s">
        <v>1234</v>
      </c>
      <c r="E364" t="s">
        <v>39</v>
      </c>
      <c r="F364" t="s">
        <v>22</v>
      </c>
      <c r="H364" t="s">
        <v>4755</v>
      </c>
      <c r="I364" t="s">
        <v>4755</v>
      </c>
      <c r="J364" t="s">
        <v>4480</v>
      </c>
      <c r="K364" t="s">
        <v>5139</v>
      </c>
      <c r="L364" t="s">
        <v>25</v>
      </c>
      <c r="M364" t="s">
        <v>1234</v>
      </c>
      <c r="N364" t="s">
        <v>4732</v>
      </c>
      <c r="O364" t="s">
        <v>4733</v>
      </c>
      <c r="Q364">
        <v>0</v>
      </c>
      <c r="R364">
        <v>428</v>
      </c>
      <c r="S364">
        <v>1</v>
      </c>
      <c r="V364" t="s">
        <v>4546</v>
      </c>
      <c r="AA364" t="s">
        <v>4760</v>
      </c>
      <c r="AB364" t="s">
        <v>4928</v>
      </c>
      <c r="AF364">
        <v>1</v>
      </c>
      <c r="AG364">
        <v>1</v>
      </c>
      <c r="AH364">
        <v>0</v>
      </c>
    </row>
    <row r="365" spans="1:34" x14ac:dyDescent="0.3">
      <c r="A365" t="s">
        <v>3244</v>
      </c>
      <c r="B365" t="s">
        <v>5220</v>
      </c>
      <c r="C365" t="s">
        <v>4712</v>
      </c>
      <c r="D365" t="s">
        <v>2801</v>
      </c>
      <c r="E365" t="s">
        <v>39</v>
      </c>
      <c r="F365" t="s">
        <v>22</v>
      </c>
      <c r="H365" t="s">
        <v>4755</v>
      </c>
      <c r="I365" t="s">
        <v>4755</v>
      </c>
      <c r="J365" t="s">
        <v>4480</v>
      </c>
      <c r="K365" t="s">
        <v>5139</v>
      </c>
      <c r="L365" t="s">
        <v>25</v>
      </c>
      <c r="M365" t="s">
        <v>2801</v>
      </c>
      <c r="N365" t="s">
        <v>4732</v>
      </c>
      <c r="O365" t="s">
        <v>4733</v>
      </c>
      <c r="Q365">
        <v>0</v>
      </c>
      <c r="R365">
        <v>429</v>
      </c>
      <c r="S365">
        <v>1</v>
      </c>
      <c r="V365" t="s">
        <v>4546</v>
      </c>
      <c r="AA365" t="s">
        <v>4760</v>
      </c>
      <c r="AB365" t="s">
        <v>4928</v>
      </c>
      <c r="AF365">
        <v>1</v>
      </c>
      <c r="AG365">
        <v>1</v>
      </c>
      <c r="AH365">
        <v>0</v>
      </c>
    </row>
    <row r="366" spans="1:34" x14ac:dyDescent="0.3">
      <c r="A366" t="s">
        <v>3253</v>
      </c>
      <c r="B366" t="s">
        <v>5221</v>
      </c>
      <c r="C366" t="s">
        <v>4712</v>
      </c>
      <c r="D366" t="s">
        <v>2801</v>
      </c>
      <c r="E366" t="s">
        <v>39</v>
      </c>
      <c r="F366" t="s">
        <v>22</v>
      </c>
      <c r="H366" t="s">
        <v>4755</v>
      </c>
      <c r="I366" t="s">
        <v>4755</v>
      </c>
      <c r="J366" t="s">
        <v>4480</v>
      </c>
      <c r="K366" t="s">
        <v>5139</v>
      </c>
      <c r="L366" t="s">
        <v>25</v>
      </c>
      <c r="M366" t="s">
        <v>2801</v>
      </c>
      <c r="N366" t="s">
        <v>4732</v>
      </c>
      <c r="O366" t="s">
        <v>4733</v>
      </c>
      <c r="Q366">
        <v>0</v>
      </c>
      <c r="R366">
        <v>430</v>
      </c>
      <c r="S366">
        <v>1</v>
      </c>
      <c r="V366" t="s">
        <v>4546</v>
      </c>
      <c r="AA366" t="s">
        <v>4760</v>
      </c>
      <c r="AB366" t="s">
        <v>4928</v>
      </c>
      <c r="AF366">
        <v>1</v>
      </c>
      <c r="AG366">
        <v>1</v>
      </c>
      <c r="AH366">
        <v>0</v>
      </c>
    </row>
    <row r="367" spans="1:34" x14ac:dyDescent="0.3">
      <c r="A367" t="s">
        <v>3262</v>
      </c>
      <c r="B367" t="s">
        <v>5222</v>
      </c>
      <c r="C367" t="s">
        <v>4712</v>
      </c>
      <c r="D367" t="s">
        <v>2801</v>
      </c>
      <c r="E367" t="s">
        <v>39</v>
      </c>
      <c r="F367" t="s">
        <v>22</v>
      </c>
      <c r="H367" t="s">
        <v>4755</v>
      </c>
      <c r="I367" t="s">
        <v>4755</v>
      </c>
      <c r="J367" t="s">
        <v>4480</v>
      </c>
      <c r="K367" t="s">
        <v>5139</v>
      </c>
      <c r="L367" t="s">
        <v>25</v>
      </c>
      <c r="M367" t="s">
        <v>2801</v>
      </c>
      <c r="N367" t="s">
        <v>4732</v>
      </c>
      <c r="O367" t="s">
        <v>4733</v>
      </c>
      <c r="Q367">
        <v>0</v>
      </c>
      <c r="R367">
        <v>431</v>
      </c>
      <c r="S367">
        <v>1</v>
      </c>
      <c r="V367" t="s">
        <v>4546</v>
      </c>
      <c r="AA367" t="s">
        <v>4760</v>
      </c>
      <c r="AB367" t="s">
        <v>4928</v>
      </c>
      <c r="AF367">
        <v>1</v>
      </c>
      <c r="AG367">
        <v>1</v>
      </c>
      <c r="AH367">
        <v>0</v>
      </c>
    </row>
    <row r="368" spans="1:34" x14ac:dyDescent="0.3">
      <c r="A368">
        <v>419</v>
      </c>
      <c r="B368" t="s">
        <v>2168</v>
      </c>
      <c r="C368" t="s">
        <v>4712</v>
      </c>
      <c r="D368" t="s">
        <v>1263</v>
      </c>
      <c r="E368" t="s">
        <v>39</v>
      </c>
      <c r="F368" t="s">
        <v>22</v>
      </c>
      <c r="H368" t="s">
        <v>4755</v>
      </c>
      <c r="I368" t="s">
        <v>4755</v>
      </c>
      <c r="J368" t="s">
        <v>4480</v>
      </c>
      <c r="K368" t="s">
        <v>5139</v>
      </c>
      <c r="L368" t="s">
        <v>25</v>
      </c>
      <c r="M368" t="s">
        <v>2457</v>
      </c>
      <c r="V368" t="s">
        <v>2457</v>
      </c>
    </row>
    <row r="369" spans="1:34" x14ac:dyDescent="0.3">
      <c r="A369">
        <v>420</v>
      </c>
      <c r="B369" t="s">
        <v>2172</v>
      </c>
      <c r="C369" t="s">
        <v>4712</v>
      </c>
      <c r="D369" t="s">
        <v>1263</v>
      </c>
      <c r="E369" t="s">
        <v>39</v>
      </c>
      <c r="F369" t="s">
        <v>22</v>
      </c>
      <c r="G369" t="s">
        <v>3608</v>
      </c>
      <c r="H369" t="s">
        <v>4729</v>
      </c>
      <c r="I369" t="s">
        <v>4730</v>
      </c>
      <c r="J369" t="s">
        <v>4480</v>
      </c>
      <c r="K369" t="s">
        <v>5139</v>
      </c>
      <c r="L369" t="s">
        <v>25</v>
      </c>
      <c r="M369" t="s">
        <v>4547</v>
      </c>
      <c r="N369" t="s">
        <v>4732</v>
      </c>
      <c r="O369" t="s">
        <v>4733</v>
      </c>
      <c r="Q369">
        <v>0</v>
      </c>
      <c r="R369">
        <v>386</v>
      </c>
      <c r="S369">
        <v>1</v>
      </c>
      <c r="U369" t="s">
        <v>5223</v>
      </c>
      <c r="V369" t="s">
        <v>4758</v>
      </c>
      <c r="W369" t="s">
        <v>4954</v>
      </c>
      <c r="X369" t="s">
        <v>4954</v>
      </c>
      <c r="Z369" t="s">
        <v>4737</v>
      </c>
      <c r="AA369" t="s">
        <v>4760</v>
      </c>
      <c r="AB369" t="s">
        <v>4928</v>
      </c>
      <c r="AF369">
        <v>0</v>
      </c>
      <c r="AG369">
        <v>1</v>
      </c>
      <c r="AH369">
        <v>1</v>
      </c>
    </row>
    <row r="370" spans="1:34" x14ac:dyDescent="0.3">
      <c r="A370" t="s">
        <v>3271</v>
      </c>
      <c r="B370" t="s">
        <v>5224</v>
      </c>
      <c r="C370" t="s">
        <v>4712</v>
      </c>
      <c r="D370" t="s">
        <v>258</v>
      </c>
      <c r="E370" t="s">
        <v>39</v>
      </c>
      <c r="F370" t="s">
        <v>22</v>
      </c>
      <c r="H370" t="s">
        <v>4755</v>
      </c>
      <c r="I370" t="s">
        <v>4755</v>
      </c>
      <c r="J370" t="s">
        <v>4480</v>
      </c>
      <c r="K370" t="s">
        <v>5139</v>
      </c>
      <c r="L370" t="s">
        <v>25</v>
      </c>
      <c r="M370" t="s">
        <v>258</v>
      </c>
      <c r="N370" t="s">
        <v>4732</v>
      </c>
      <c r="O370" t="s">
        <v>4733</v>
      </c>
      <c r="Q370">
        <v>0</v>
      </c>
      <c r="R370">
        <v>386</v>
      </c>
      <c r="S370">
        <v>1</v>
      </c>
      <c r="V370" t="s">
        <v>4762</v>
      </c>
      <c r="AA370" t="s">
        <v>4760</v>
      </c>
      <c r="AB370" t="s">
        <v>4928</v>
      </c>
      <c r="AF370">
        <v>1</v>
      </c>
      <c r="AG370">
        <v>1</v>
      </c>
      <c r="AH370">
        <v>0</v>
      </c>
    </row>
    <row r="371" spans="1:34" x14ac:dyDescent="0.3">
      <c r="A371" t="s">
        <v>3280</v>
      </c>
      <c r="B371" t="s">
        <v>5225</v>
      </c>
      <c r="C371" t="s">
        <v>4712</v>
      </c>
      <c r="D371" t="s">
        <v>251</v>
      </c>
      <c r="E371" t="s">
        <v>39</v>
      </c>
      <c r="F371" t="s">
        <v>22</v>
      </c>
      <c r="H371" t="s">
        <v>4755</v>
      </c>
      <c r="I371" t="s">
        <v>4755</v>
      </c>
      <c r="J371" t="s">
        <v>4480</v>
      </c>
      <c r="K371" t="s">
        <v>5139</v>
      </c>
      <c r="L371" t="s">
        <v>25</v>
      </c>
      <c r="M371" t="s">
        <v>251</v>
      </c>
      <c r="N371" t="s">
        <v>4732</v>
      </c>
      <c r="O371" t="s">
        <v>4733</v>
      </c>
      <c r="Q371">
        <v>0</v>
      </c>
      <c r="R371">
        <v>386</v>
      </c>
      <c r="S371">
        <v>1</v>
      </c>
      <c r="V371" t="s">
        <v>4762</v>
      </c>
      <c r="AA371" t="s">
        <v>4760</v>
      </c>
      <c r="AB371" t="s">
        <v>4928</v>
      </c>
      <c r="AF371">
        <v>1</v>
      </c>
      <c r="AG371">
        <v>1</v>
      </c>
      <c r="AH371">
        <v>0</v>
      </c>
    </row>
    <row r="372" spans="1:34" x14ac:dyDescent="0.3">
      <c r="A372" t="s">
        <v>3289</v>
      </c>
      <c r="B372" t="s">
        <v>5226</v>
      </c>
      <c r="C372" t="s">
        <v>4712</v>
      </c>
      <c r="D372" t="s">
        <v>1490</v>
      </c>
      <c r="E372" t="s">
        <v>39</v>
      </c>
      <c r="F372" t="s">
        <v>22</v>
      </c>
      <c r="H372" t="s">
        <v>4755</v>
      </c>
      <c r="I372" t="s">
        <v>4755</v>
      </c>
      <c r="J372" t="s">
        <v>4480</v>
      </c>
      <c r="K372" t="s">
        <v>5139</v>
      </c>
      <c r="L372" t="s">
        <v>25</v>
      </c>
      <c r="M372" t="s">
        <v>1490</v>
      </c>
      <c r="N372" t="s">
        <v>4732</v>
      </c>
      <c r="O372" t="s">
        <v>4733</v>
      </c>
      <c r="Q372">
        <v>0</v>
      </c>
      <c r="R372">
        <v>386</v>
      </c>
      <c r="S372">
        <v>1</v>
      </c>
      <c r="V372" t="s">
        <v>4762</v>
      </c>
      <c r="AA372" t="s">
        <v>4760</v>
      </c>
      <c r="AB372" t="s">
        <v>4928</v>
      </c>
      <c r="AF372">
        <v>1</v>
      </c>
      <c r="AG372">
        <v>1</v>
      </c>
      <c r="AH372">
        <v>0</v>
      </c>
    </row>
    <row r="373" spans="1:34" x14ac:dyDescent="0.3">
      <c r="A373" t="s">
        <v>3298</v>
      </c>
      <c r="B373" t="s">
        <v>5227</v>
      </c>
      <c r="C373" t="s">
        <v>4712</v>
      </c>
      <c r="D373" t="s">
        <v>120</v>
      </c>
      <c r="E373" t="s">
        <v>39</v>
      </c>
      <c r="F373" t="s">
        <v>22</v>
      </c>
      <c r="H373" t="s">
        <v>4755</v>
      </c>
      <c r="I373" t="s">
        <v>4755</v>
      </c>
      <c r="J373" t="s">
        <v>4480</v>
      </c>
      <c r="K373" t="s">
        <v>5139</v>
      </c>
      <c r="L373" t="s">
        <v>25</v>
      </c>
      <c r="M373" t="s">
        <v>120</v>
      </c>
      <c r="N373" t="s">
        <v>4732</v>
      </c>
      <c r="O373" t="s">
        <v>4733</v>
      </c>
      <c r="Q373">
        <v>0</v>
      </c>
      <c r="R373">
        <v>386</v>
      </c>
      <c r="S373">
        <v>1</v>
      </c>
      <c r="V373" t="s">
        <v>4762</v>
      </c>
      <c r="AA373" t="s">
        <v>4760</v>
      </c>
      <c r="AB373" t="s">
        <v>4928</v>
      </c>
      <c r="AF373">
        <v>1</v>
      </c>
      <c r="AG373">
        <v>1</v>
      </c>
      <c r="AH373">
        <v>0</v>
      </c>
    </row>
    <row r="374" spans="1:34" x14ac:dyDescent="0.3">
      <c r="A374" t="s">
        <v>3307</v>
      </c>
      <c r="B374" t="s">
        <v>5228</v>
      </c>
      <c r="C374" t="s">
        <v>4712</v>
      </c>
      <c r="D374" t="s">
        <v>1263</v>
      </c>
      <c r="E374" t="s">
        <v>39</v>
      </c>
      <c r="F374" t="s">
        <v>22</v>
      </c>
      <c r="H374" t="s">
        <v>4755</v>
      </c>
      <c r="I374" t="s">
        <v>4755</v>
      </c>
      <c r="J374" t="s">
        <v>4480</v>
      </c>
      <c r="K374" t="s">
        <v>5139</v>
      </c>
      <c r="L374" t="s">
        <v>25</v>
      </c>
      <c r="M374" t="s">
        <v>1263</v>
      </c>
      <c r="N374" t="s">
        <v>4732</v>
      </c>
      <c r="O374" t="s">
        <v>4733</v>
      </c>
      <c r="Q374">
        <v>0</v>
      </c>
      <c r="R374">
        <v>386</v>
      </c>
      <c r="S374">
        <v>1</v>
      </c>
      <c r="V374" t="s">
        <v>4762</v>
      </c>
      <c r="AA374" t="s">
        <v>4760</v>
      </c>
      <c r="AB374" t="s">
        <v>4928</v>
      </c>
      <c r="AF374">
        <v>1</v>
      </c>
      <c r="AG374">
        <v>1</v>
      </c>
      <c r="AH374">
        <v>0</v>
      </c>
    </row>
    <row r="375" spans="1:34" x14ac:dyDescent="0.3">
      <c r="A375" t="s">
        <v>3316</v>
      </c>
      <c r="B375" t="s">
        <v>5229</v>
      </c>
      <c r="D375" t="s">
        <v>2703</v>
      </c>
      <c r="E375" t="s">
        <v>39</v>
      </c>
      <c r="F375" t="s">
        <v>22</v>
      </c>
      <c r="H375" t="s">
        <v>4755</v>
      </c>
      <c r="I375" t="s">
        <v>4755</v>
      </c>
      <c r="J375" t="s">
        <v>4480</v>
      </c>
      <c r="K375" t="s">
        <v>5139</v>
      </c>
      <c r="L375" t="s">
        <v>25</v>
      </c>
      <c r="M375" t="s">
        <v>2703</v>
      </c>
      <c r="V375" t="s">
        <v>4758</v>
      </c>
    </row>
    <row r="376" spans="1:34" x14ac:dyDescent="0.3">
      <c r="A376">
        <v>421</v>
      </c>
      <c r="B376" t="s">
        <v>2185</v>
      </c>
      <c r="C376" t="s">
        <v>4728</v>
      </c>
      <c r="D376" t="s">
        <v>2186</v>
      </c>
      <c r="E376" t="s">
        <v>21</v>
      </c>
      <c r="F376" t="s">
        <v>22</v>
      </c>
      <c r="H376" t="s">
        <v>4755</v>
      </c>
      <c r="I376" t="s">
        <v>4755</v>
      </c>
      <c r="J376" t="s">
        <v>4720</v>
      </c>
      <c r="L376" t="s">
        <v>203</v>
      </c>
      <c r="M376" t="s">
        <v>2186</v>
      </c>
      <c r="N376" t="s">
        <v>4541</v>
      </c>
      <c r="O376" t="s">
        <v>4722</v>
      </c>
      <c r="Q376">
        <v>0</v>
      </c>
      <c r="R376">
        <v>149</v>
      </c>
      <c r="S376">
        <v>0</v>
      </c>
      <c r="U376" t="s">
        <v>5230</v>
      </c>
      <c r="V376" t="s">
        <v>4543</v>
      </c>
      <c r="W376" t="s">
        <v>5231</v>
      </c>
      <c r="X376" t="s">
        <v>5231</v>
      </c>
      <c r="Z376" t="s">
        <v>4737</v>
      </c>
      <c r="AA376" t="s">
        <v>4856</v>
      </c>
      <c r="AB376" t="s">
        <v>4857</v>
      </c>
      <c r="AF376">
        <v>1</v>
      </c>
      <c r="AG376">
        <v>1</v>
      </c>
      <c r="AH376">
        <v>0</v>
      </c>
    </row>
    <row r="377" spans="1:34" x14ac:dyDescent="0.3">
      <c r="A377">
        <v>422</v>
      </c>
      <c r="B377" t="s">
        <v>2191</v>
      </c>
      <c r="C377" t="s">
        <v>4712</v>
      </c>
      <c r="D377" t="s">
        <v>2186</v>
      </c>
      <c r="E377" t="s">
        <v>21</v>
      </c>
      <c r="F377" t="s">
        <v>22</v>
      </c>
      <c r="G377" t="s">
        <v>3607</v>
      </c>
      <c r="H377" t="s">
        <v>4729</v>
      </c>
      <c r="I377" t="s">
        <v>4730</v>
      </c>
      <c r="J377" t="s">
        <v>4480</v>
      </c>
      <c r="L377" t="s">
        <v>25</v>
      </c>
      <c r="M377" t="s">
        <v>2186</v>
      </c>
      <c r="N377" t="s">
        <v>4541</v>
      </c>
      <c r="O377" t="s">
        <v>4722</v>
      </c>
      <c r="Q377">
        <v>0</v>
      </c>
      <c r="R377">
        <v>150</v>
      </c>
      <c r="S377">
        <v>0</v>
      </c>
      <c r="U377" t="s">
        <v>5232</v>
      </c>
      <c r="V377" t="s">
        <v>4543</v>
      </c>
      <c r="W377" t="s">
        <v>5233</v>
      </c>
      <c r="X377" t="s">
        <v>5233</v>
      </c>
      <c r="Z377" t="s">
        <v>4737</v>
      </c>
      <c r="AA377" t="s">
        <v>4856</v>
      </c>
      <c r="AB377" t="s">
        <v>4857</v>
      </c>
      <c r="AF377">
        <v>1</v>
      </c>
      <c r="AG377">
        <v>1</v>
      </c>
      <c r="AH377">
        <v>1</v>
      </c>
    </row>
    <row r="378" spans="1:34" x14ac:dyDescent="0.3">
      <c r="A378">
        <v>423</v>
      </c>
      <c r="B378" t="s">
        <v>2196</v>
      </c>
      <c r="C378" t="s">
        <v>4712</v>
      </c>
      <c r="D378" t="s">
        <v>2186</v>
      </c>
      <c r="E378" t="s">
        <v>139</v>
      </c>
      <c r="F378" t="s">
        <v>22</v>
      </c>
      <c r="G378" t="s">
        <v>3607</v>
      </c>
      <c r="H378" t="s">
        <v>4729</v>
      </c>
      <c r="I378" t="s">
        <v>4730</v>
      </c>
      <c r="J378" t="s">
        <v>4480</v>
      </c>
      <c r="L378" t="s">
        <v>197</v>
      </c>
      <c r="M378" t="s">
        <v>2186</v>
      </c>
      <c r="N378" t="s">
        <v>4541</v>
      </c>
      <c r="O378" t="s">
        <v>4722</v>
      </c>
      <c r="P378" t="s">
        <v>5234</v>
      </c>
      <c r="Q378">
        <v>0</v>
      </c>
      <c r="R378">
        <v>30</v>
      </c>
      <c r="S378">
        <v>0</v>
      </c>
      <c r="U378" t="s">
        <v>5235</v>
      </c>
      <c r="V378" t="s">
        <v>4543</v>
      </c>
      <c r="W378" t="s">
        <v>5236</v>
      </c>
      <c r="X378" t="s">
        <v>5236</v>
      </c>
      <c r="Z378" t="s">
        <v>4737</v>
      </c>
      <c r="AA378" t="s">
        <v>4856</v>
      </c>
      <c r="AB378" t="s">
        <v>4857</v>
      </c>
      <c r="AD378">
        <v>1</v>
      </c>
      <c r="AF378">
        <v>0</v>
      </c>
      <c r="AG378">
        <v>1</v>
      </c>
      <c r="AH378">
        <v>1</v>
      </c>
    </row>
    <row r="379" spans="1:34" x14ac:dyDescent="0.3">
      <c r="A379">
        <v>424</v>
      </c>
      <c r="B379" t="s">
        <v>2202</v>
      </c>
      <c r="C379" t="s">
        <v>4712</v>
      </c>
      <c r="D379" t="s">
        <v>2186</v>
      </c>
      <c r="E379" t="s">
        <v>139</v>
      </c>
      <c r="F379" t="s">
        <v>22</v>
      </c>
      <c r="G379" t="s">
        <v>3607</v>
      </c>
      <c r="H379" t="s">
        <v>4729</v>
      </c>
      <c r="I379" t="s">
        <v>4730</v>
      </c>
      <c r="J379" t="s">
        <v>4480</v>
      </c>
      <c r="L379" t="s">
        <v>203</v>
      </c>
      <c r="M379" t="s">
        <v>2186</v>
      </c>
      <c r="N379" t="s">
        <v>4541</v>
      </c>
      <c r="O379" t="s">
        <v>4722</v>
      </c>
      <c r="P379" t="s">
        <v>5234</v>
      </c>
      <c r="Q379">
        <v>0</v>
      </c>
      <c r="R379">
        <v>31</v>
      </c>
      <c r="S379">
        <v>0</v>
      </c>
      <c r="U379" t="s">
        <v>5237</v>
      </c>
      <c r="V379" t="s">
        <v>4543</v>
      </c>
      <c r="W379" t="s">
        <v>5236</v>
      </c>
      <c r="X379" t="s">
        <v>5236</v>
      </c>
      <c r="Z379" t="s">
        <v>4737</v>
      </c>
      <c r="AA379" t="s">
        <v>4856</v>
      </c>
      <c r="AB379" t="s">
        <v>4857</v>
      </c>
      <c r="AD379">
        <v>1</v>
      </c>
      <c r="AF379">
        <v>0</v>
      </c>
      <c r="AG379">
        <v>1</v>
      </c>
      <c r="AH379">
        <v>1</v>
      </c>
    </row>
    <row r="380" spans="1:34" x14ac:dyDescent="0.3">
      <c r="A380">
        <v>425</v>
      </c>
      <c r="B380" t="s">
        <v>2203</v>
      </c>
      <c r="C380" t="s">
        <v>4728</v>
      </c>
      <c r="D380" t="s">
        <v>1946</v>
      </c>
      <c r="E380" t="s">
        <v>21</v>
      </c>
      <c r="F380" t="s">
        <v>22</v>
      </c>
      <c r="H380" t="s">
        <v>4755</v>
      </c>
      <c r="I380" t="s">
        <v>4755</v>
      </c>
      <c r="J380" t="s">
        <v>4720</v>
      </c>
      <c r="L380" t="s">
        <v>203</v>
      </c>
      <c r="M380" t="s">
        <v>1946</v>
      </c>
      <c r="N380" t="s">
        <v>4714</v>
      </c>
      <c r="O380" t="s">
        <v>5105</v>
      </c>
      <c r="Q380">
        <v>0</v>
      </c>
      <c r="R380">
        <v>452</v>
      </c>
      <c r="S380">
        <v>0</v>
      </c>
      <c r="U380" t="s">
        <v>5238</v>
      </c>
      <c r="V380" t="s">
        <v>4543</v>
      </c>
      <c r="W380" t="s">
        <v>5239</v>
      </c>
      <c r="X380" t="s">
        <v>5239</v>
      </c>
      <c r="Z380" t="s">
        <v>4737</v>
      </c>
      <c r="AA380" t="s">
        <v>4856</v>
      </c>
      <c r="AB380" t="s">
        <v>4857</v>
      </c>
      <c r="AF380">
        <v>0</v>
      </c>
      <c r="AG380">
        <v>1</v>
      </c>
      <c r="AH380">
        <v>0</v>
      </c>
    </row>
    <row r="381" spans="1:34" x14ac:dyDescent="0.3">
      <c r="A381">
        <v>426</v>
      </c>
      <c r="B381" t="s">
        <v>2207</v>
      </c>
      <c r="C381" t="s">
        <v>4728</v>
      </c>
      <c r="D381" t="s">
        <v>207</v>
      </c>
      <c r="E381" t="s">
        <v>21</v>
      </c>
      <c r="F381" t="s">
        <v>22</v>
      </c>
      <c r="G381" t="s">
        <v>3607</v>
      </c>
      <c r="H381" t="s">
        <v>4729</v>
      </c>
      <c r="I381" t="s">
        <v>4730</v>
      </c>
      <c r="J381" t="s">
        <v>4731</v>
      </c>
      <c r="L381" t="s">
        <v>25</v>
      </c>
      <c r="M381" t="s">
        <v>207</v>
      </c>
      <c r="N381" t="s">
        <v>4732</v>
      </c>
      <c r="O381" t="s">
        <v>4733</v>
      </c>
      <c r="Q381">
        <v>0</v>
      </c>
      <c r="R381">
        <v>387</v>
      </c>
      <c r="S381">
        <v>0</v>
      </c>
      <c r="U381" t="s">
        <v>5240</v>
      </c>
      <c r="V381" t="s">
        <v>4744</v>
      </c>
      <c r="W381" t="s">
        <v>5241</v>
      </c>
      <c r="X381" t="s">
        <v>5241</v>
      </c>
      <c r="Z381" t="s">
        <v>4737</v>
      </c>
      <c r="AA381" t="s">
        <v>4766</v>
      </c>
      <c r="AB381" t="s">
        <v>4761</v>
      </c>
      <c r="AF381">
        <v>1</v>
      </c>
      <c r="AG381">
        <v>1</v>
      </c>
      <c r="AH381">
        <v>1</v>
      </c>
    </row>
    <row r="382" spans="1:34" x14ac:dyDescent="0.3">
      <c r="A382">
        <v>427</v>
      </c>
      <c r="B382" t="s">
        <v>2212</v>
      </c>
      <c r="C382" t="s">
        <v>4728</v>
      </c>
      <c r="D382" t="s">
        <v>251</v>
      </c>
      <c r="E382" t="s">
        <v>21</v>
      </c>
      <c r="F382" t="s">
        <v>56</v>
      </c>
      <c r="G382" t="s">
        <v>3608</v>
      </c>
      <c r="H382" t="s">
        <v>4729</v>
      </c>
      <c r="I382" t="s">
        <v>4730</v>
      </c>
      <c r="J382" t="s">
        <v>4731</v>
      </c>
      <c r="L382" t="s">
        <v>197</v>
      </c>
      <c r="M382" t="s">
        <v>251</v>
      </c>
      <c r="N382" t="s">
        <v>4537</v>
      </c>
      <c r="O382" t="s">
        <v>4924</v>
      </c>
      <c r="Q382">
        <v>0</v>
      </c>
      <c r="R382">
        <v>256</v>
      </c>
      <c r="S382">
        <v>0</v>
      </c>
      <c r="U382" t="s">
        <v>2212</v>
      </c>
      <c r="V382" t="s">
        <v>4758</v>
      </c>
      <c r="W382" t="s">
        <v>4839</v>
      </c>
      <c r="X382" t="s">
        <v>4839</v>
      </c>
      <c r="AA382" t="s">
        <v>4840</v>
      </c>
      <c r="AB382" t="s">
        <v>4841</v>
      </c>
      <c r="AF382">
        <v>1</v>
      </c>
      <c r="AG382">
        <v>1</v>
      </c>
      <c r="AH382">
        <v>1</v>
      </c>
    </row>
    <row r="383" spans="1:34" x14ac:dyDescent="0.3">
      <c r="A383">
        <v>428</v>
      </c>
      <c r="B383" t="s">
        <v>2219</v>
      </c>
      <c r="C383" t="s">
        <v>4728</v>
      </c>
      <c r="D383" t="s">
        <v>251</v>
      </c>
      <c r="E383" t="s">
        <v>21</v>
      </c>
      <c r="F383" t="s">
        <v>56</v>
      </c>
      <c r="G383" t="s">
        <v>3608</v>
      </c>
      <c r="H383" t="s">
        <v>4729</v>
      </c>
      <c r="I383" t="s">
        <v>4730</v>
      </c>
      <c r="J383" t="s">
        <v>4731</v>
      </c>
      <c r="L383" t="s">
        <v>889</v>
      </c>
      <c r="M383" t="s">
        <v>251</v>
      </c>
      <c r="N383" t="s">
        <v>4537</v>
      </c>
      <c r="O383" t="s">
        <v>4924</v>
      </c>
      <c r="Q383">
        <v>0</v>
      </c>
      <c r="R383">
        <v>257</v>
      </c>
      <c r="S383">
        <v>0</v>
      </c>
      <c r="U383" t="s">
        <v>2219</v>
      </c>
      <c r="V383" t="s">
        <v>4758</v>
      </c>
      <c r="W383" t="s">
        <v>4839</v>
      </c>
      <c r="X383" t="s">
        <v>4839</v>
      </c>
      <c r="AA383" t="s">
        <v>4840</v>
      </c>
      <c r="AB383" t="s">
        <v>4841</v>
      </c>
      <c r="AF383">
        <v>1</v>
      </c>
      <c r="AG383">
        <v>1</v>
      </c>
      <c r="AH383">
        <v>1</v>
      </c>
    </row>
    <row r="384" spans="1:34" x14ac:dyDescent="0.3">
      <c r="A384">
        <v>429</v>
      </c>
      <c r="B384" t="s">
        <v>2226</v>
      </c>
      <c r="C384" t="s">
        <v>4728</v>
      </c>
      <c r="D384" t="s">
        <v>251</v>
      </c>
      <c r="E384" t="s">
        <v>21</v>
      </c>
      <c r="F384" t="s">
        <v>56</v>
      </c>
      <c r="G384" t="s">
        <v>3608</v>
      </c>
      <c r="H384" t="s">
        <v>4729</v>
      </c>
      <c r="I384" t="s">
        <v>4730</v>
      </c>
      <c r="J384" t="s">
        <v>4731</v>
      </c>
      <c r="L384" t="s">
        <v>197</v>
      </c>
      <c r="M384" t="s">
        <v>251</v>
      </c>
      <c r="N384" t="s">
        <v>4537</v>
      </c>
      <c r="O384" t="s">
        <v>4924</v>
      </c>
      <c r="Q384">
        <v>0</v>
      </c>
      <c r="R384">
        <v>258</v>
      </c>
      <c r="S384">
        <v>0</v>
      </c>
      <c r="U384" t="s">
        <v>2226</v>
      </c>
      <c r="V384" t="s">
        <v>4758</v>
      </c>
      <c r="W384" t="s">
        <v>4839</v>
      </c>
      <c r="X384" t="s">
        <v>4839</v>
      </c>
      <c r="AA384" t="s">
        <v>4840</v>
      </c>
      <c r="AB384" t="s">
        <v>4841</v>
      </c>
      <c r="AF384">
        <v>1</v>
      </c>
      <c r="AG384">
        <v>1</v>
      </c>
      <c r="AH384">
        <v>1</v>
      </c>
    </row>
    <row r="385" spans="1:34" x14ac:dyDescent="0.3">
      <c r="A385">
        <v>430</v>
      </c>
      <c r="B385" t="s">
        <v>2233</v>
      </c>
      <c r="C385" t="s">
        <v>4712</v>
      </c>
      <c r="D385" t="s">
        <v>210</v>
      </c>
      <c r="E385" t="s">
        <v>21</v>
      </c>
      <c r="F385" t="s">
        <v>22</v>
      </c>
      <c r="G385" t="s">
        <v>3608</v>
      </c>
      <c r="H385" t="s">
        <v>4729</v>
      </c>
      <c r="I385" t="s">
        <v>4730</v>
      </c>
      <c r="J385" t="s">
        <v>4480</v>
      </c>
      <c r="L385" t="s">
        <v>25</v>
      </c>
      <c r="M385" t="s">
        <v>210</v>
      </c>
      <c r="N385" t="s">
        <v>4537</v>
      </c>
      <c r="O385" t="s">
        <v>4843</v>
      </c>
      <c r="Q385">
        <v>0</v>
      </c>
      <c r="R385">
        <v>259</v>
      </c>
      <c r="S385">
        <v>0</v>
      </c>
      <c r="U385" t="s">
        <v>5242</v>
      </c>
      <c r="V385" t="s">
        <v>4735</v>
      </c>
      <c r="W385" t="s">
        <v>4914</v>
      </c>
      <c r="X385" t="s">
        <v>4914</v>
      </c>
      <c r="Z385" t="s">
        <v>4737</v>
      </c>
      <c r="AA385" t="s">
        <v>4738</v>
      </c>
      <c r="AB385" t="s">
        <v>4831</v>
      </c>
      <c r="AF385">
        <v>1</v>
      </c>
      <c r="AG385">
        <v>1</v>
      </c>
      <c r="AH385">
        <v>1</v>
      </c>
    </row>
    <row r="386" spans="1:34" x14ac:dyDescent="0.3">
      <c r="A386">
        <v>431</v>
      </c>
      <c r="B386" t="s">
        <v>2240</v>
      </c>
      <c r="C386" t="s">
        <v>4728</v>
      </c>
      <c r="D386" t="s">
        <v>138</v>
      </c>
      <c r="E386" t="s">
        <v>39</v>
      </c>
      <c r="F386" t="s">
        <v>22</v>
      </c>
      <c r="G386" t="s">
        <v>3607</v>
      </c>
      <c r="H386" t="s">
        <v>4729</v>
      </c>
      <c r="I386" t="s">
        <v>4730</v>
      </c>
      <c r="J386" t="s">
        <v>4731</v>
      </c>
      <c r="L386" t="s">
        <v>25</v>
      </c>
      <c r="M386" t="s">
        <v>138</v>
      </c>
      <c r="N386" t="s">
        <v>4732</v>
      </c>
      <c r="O386" t="s">
        <v>4742</v>
      </c>
      <c r="Q386">
        <v>0</v>
      </c>
      <c r="R386">
        <v>356</v>
      </c>
      <c r="S386">
        <v>0</v>
      </c>
      <c r="U386" t="s">
        <v>5243</v>
      </c>
      <c r="V386" t="s">
        <v>4744</v>
      </c>
      <c r="W386" t="s">
        <v>4774</v>
      </c>
      <c r="X386" t="s">
        <v>4775</v>
      </c>
      <c r="AA386" t="s">
        <v>4724</v>
      </c>
      <c r="AB386" t="s">
        <v>4725</v>
      </c>
      <c r="AF386">
        <v>1</v>
      </c>
      <c r="AG386">
        <v>1</v>
      </c>
      <c r="AH386">
        <v>1</v>
      </c>
    </row>
    <row r="387" spans="1:34" x14ac:dyDescent="0.3">
      <c r="A387">
        <v>432</v>
      </c>
      <c r="B387" t="s">
        <v>2247</v>
      </c>
      <c r="C387" t="s">
        <v>4728</v>
      </c>
      <c r="D387" t="s">
        <v>138</v>
      </c>
      <c r="E387" t="s">
        <v>39</v>
      </c>
      <c r="F387" t="s">
        <v>22</v>
      </c>
      <c r="G387" t="s">
        <v>3608</v>
      </c>
      <c r="H387" t="s">
        <v>4729</v>
      </c>
      <c r="I387" t="s">
        <v>4730</v>
      </c>
      <c r="J387" t="s">
        <v>4731</v>
      </c>
      <c r="L387" t="s">
        <v>25</v>
      </c>
      <c r="M387" t="s">
        <v>138</v>
      </c>
      <c r="N387" t="s">
        <v>4732</v>
      </c>
      <c r="O387" t="s">
        <v>4742</v>
      </c>
      <c r="Q387">
        <v>0</v>
      </c>
      <c r="R387">
        <v>357</v>
      </c>
      <c r="S387">
        <v>0</v>
      </c>
      <c r="U387" t="s">
        <v>5244</v>
      </c>
      <c r="V387" t="s">
        <v>4744</v>
      </c>
      <c r="W387" t="s">
        <v>4774</v>
      </c>
      <c r="X387" t="s">
        <v>4775</v>
      </c>
      <c r="AA387" t="s">
        <v>4804</v>
      </c>
      <c r="AB387" t="s">
        <v>5245</v>
      </c>
      <c r="AF387">
        <v>1</v>
      </c>
      <c r="AG387">
        <v>1</v>
      </c>
      <c r="AH387">
        <v>1</v>
      </c>
    </row>
    <row r="388" spans="1:34" x14ac:dyDescent="0.3">
      <c r="A388">
        <v>433</v>
      </c>
      <c r="B388" t="s">
        <v>2260</v>
      </c>
      <c r="C388" t="s">
        <v>4728</v>
      </c>
      <c r="D388" t="s">
        <v>251</v>
      </c>
      <c r="E388" t="s">
        <v>21</v>
      </c>
      <c r="F388" t="s">
        <v>56</v>
      </c>
      <c r="G388" t="s">
        <v>3608</v>
      </c>
      <c r="H388" t="s">
        <v>4729</v>
      </c>
      <c r="I388" t="s">
        <v>4730</v>
      </c>
      <c r="J388" t="s">
        <v>4731</v>
      </c>
      <c r="L388" t="s">
        <v>197</v>
      </c>
      <c r="M388" t="s">
        <v>251</v>
      </c>
      <c r="N388" t="s">
        <v>4537</v>
      </c>
      <c r="O388" t="s">
        <v>4924</v>
      </c>
      <c r="Q388">
        <v>0</v>
      </c>
      <c r="R388">
        <v>260</v>
      </c>
      <c r="S388">
        <v>0</v>
      </c>
      <c r="U388" t="s">
        <v>2260</v>
      </c>
      <c r="V388" t="s">
        <v>4758</v>
      </c>
      <c r="W388" t="s">
        <v>4839</v>
      </c>
      <c r="X388" t="s">
        <v>4839</v>
      </c>
      <c r="AA388" t="s">
        <v>4840</v>
      </c>
      <c r="AB388" t="s">
        <v>4841</v>
      </c>
      <c r="AF388">
        <v>1</v>
      </c>
      <c r="AG388">
        <v>1</v>
      </c>
      <c r="AH388">
        <v>1</v>
      </c>
    </row>
    <row r="389" spans="1:34" x14ac:dyDescent="0.3">
      <c r="A389">
        <v>434</v>
      </c>
      <c r="B389" t="s">
        <v>2267</v>
      </c>
      <c r="C389" t="s">
        <v>4728</v>
      </c>
      <c r="D389" t="s">
        <v>251</v>
      </c>
      <c r="E389" t="s">
        <v>73</v>
      </c>
      <c r="F389" t="s">
        <v>56</v>
      </c>
      <c r="G389" t="s">
        <v>3608</v>
      </c>
      <c r="H389" t="s">
        <v>4729</v>
      </c>
      <c r="I389" t="s">
        <v>4730</v>
      </c>
      <c r="J389" t="s">
        <v>4720</v>
      </c>
      <c r="L389" t="s">
        <v>775</v>
      </c>
      <c r="M389" t="s">
        <v>251</v>
      </c>
      <c r="N389" t="s">
        <v>4537</v>
      </c>
      <c r="O389" t="s">
        <v>4924</v>
      </c>
      <c r="Q389">
        <v>0</v>
      </c>
      <c r="R389">
        <v>261</v>
      </c>
      <c r="S389">
        <v>0</v>
      </c>
      <c r="U389" t="s">
        <v>2267</v>
      </c>
      <c r="V389" t="s">
        <v>4758</v>
      </c>
      <c r="W389" t="s">
        <v>4839</v>
      </c>
      <c r="X389" t="s">
        <v>4839</v>
      </c>
      <c r="AA389" t="s">
        <v>4840</v>
      </c>
      <c r="AB389" t="s">
        <v>4841</v>
      </c>
      <c r="AF389">
        <v>1</v>
      </c>
      <c r="AG389">
        <v>1</v>
      </c>
      <c r="AH389">
        <v>1</v>
      </c>
    </row>
    <row r="390" spans="1:34" x14ac:dyDescent="0.3">
      <c r="A390">
        <v>435</v>
      </c>
      <c r="B390" t="s">
        <v>2304</v>
      </c>
      <c r="C390" t="s">
        <v>4728</v>
      </c>
      <c r="D390" t="s">
        <v>251</v>
      </c>
      <c r="E390" t="s">
        <v>21</v>
      </c>
      <c r="F390" t="s">
        <v>22</v>
      </c>
      <c r="G390" t="s">
        <v>3608</v>
      </c>
      <c r="H390" t="s">
        <v>4729</v>
      </c>
      <c r="I390" t="s">
        <v>4730</v>
      </c>
      <c r="J390" t="s">
        <v>4731</v>
      </c>
      <c r="L390" t="s">
        <v>25</v>
      </c>
      <c r="M390" t="s">
        <v>251</v>
      </c>
      <c r="N390" t="s">
        <v>4537</v>
      </c>
      <c r="O390" t="s">
        <v>4924</v>
      </c>
      <c r="Q390">
        <v>0</v>
      </c>
      <c r="R390">
        <v>262</v>
      </c>
      <c r="S390">
        <v>0</v>
      </c>
      <c r="U390" t="s">
        <v>2304</v>
      </c>
      <c r="V390" t="s">
        <v>4758</v>
      </c>
      <c r="W390" t="s">
        <v>4839</v>
      </c>
      <c r="X390" t="s">
        <v>4935</v>
      </c>
      <c r="Z390" t="s">
        <v>4737</v>
      </c>
      <c r="AA390" t="s">
        <v>4840</v>
      </c>
      <c r="AB390" t="s">
        <v>4841</v>
      </c>
      <c r="AF390">
        <v>1</v>
      </c>
      <c r="AG390">
        <v>1</v>
      </c>
      <c r="AH390">
        <v>1</v>
      </c>
    </row>
    <row r="391" spans="1:34" x14ac:dyDescent="0.3">
      <c r="A391">
        <v>436</v>
      </c>
      <c r="B391" t="s">
        <v>2311</v>
      </c>
      <c r="C391" t="s">
        <v>4728</v>
      </c>
      <c r="D391" t="s">
        <v>258</v>
      </c>
      <c r="E391" t="s">
        <v>73</v>
      </c>
      <c r="F391" t="s">
        <v>56</v>
      </c>
      <c r="G391" t="s">
        <v>3608</v>
      </c>
      <c r="H391" t="s">
        <v>4729</v>
      </c>
      <c r="I391" t="s">
        <v>4730</v>
      </c>
      <c r="J391" t="s">
        <v>4731</v>
      </c>
      <c r="L391" t="s">
        <v>57</v>
      </c>
      <c r="M391" t="s">
        <v>258</v>
      </c>
      <c r="N391" t="s">
        <v>4732</v>
      </c>
      <c r="O391" t="s">
        <v>4733</v>
      </c>
      <c r="Q391">
        <v>0</v>
      </c>
      <c r="R391">
        <v>358</v>
      </c>
      <c r="S391">
        <v>0</v>
      </c>
      <c r="U391" t="s">
        <v>5246</v>
      </c>
      <c r="V391" t="s">
        <v>4758</v>
      </c>
      <c r="W391" t="s">
        <v>5247</v>
      </c>
      <c r="X391" t="s">
        <v>5247</v>
      </c>
      <c r="Z391" t="s">
        <v>4737</v>
      </c>
      <c r="AA391" t="s">
        <v>4766</v>
      </c>
      <c r="AB391" t="s">
        <v>4761</v>
      </c>
      <c r="AF391">
        <v>1</v>
      </c>
      <c r="AG391">
        <v>1</v>
      </c>
      <c r="AH391">
        <v>1</v>
      </c>
    </row>
    <row r="392" spans="1:34" x14ac:dyDescent="0.3">
      <c r="A392">
        <v>437</v>
      </c>
      <c r="B392" t="s">
        <v>2349</v>
      </c>
      <c r="C392" t="s">
        <v>4712</v>
      </c>
      <c r="D392" t="s">
        <v>1490</v>
      </c>
      <c r="E392" t="s">
        <v>139</v>
      </c>
      <c r="F392" t="s">
        <v>22</v>
      </c>
      <c r="G392" t="s">
        <v>3607</v>
      </c>
      <c r="H392" t="s">
        <v>4729</v>
      </c>
      <c r="I392" t="s">
        <v>4730</v>
      </c>
      <c r="J392" t="s">
        <v>4480</v>
      </c>
      <c r="L392" t="s">
        <v>25</v>
      </c>
      <c r="M392" t="s">
        <v>1490</v>
      </c>
      <c r="N392" t="s">
        <v>4538</v>
      </c>
      <c r="O392" t="s">
        <v>4765</v>
      </c>
      <c r="Q392">
        <v>0</v>
      </c>
      <c r="R392">
        <v>202</v>
      </c>
      <c r="S392">
        <v>0</v>
      </c>
      <c r="U392" t="s">
        <v>5248</v>
      </c>
      <c r="V392" t="s">
        <v>4758</v>
      </c>
      <c r="W392" t="s">
        <v>5249</v>
      </c>
      <c r="X392" t="s">
        <v>5249</v>
      </c>
      <c r="Z392" t="s">
        <v>4737</v>
      </c>
      <c r="AA392" t="s">
        <v>4804</v>
      </c>
      <c r="AB392" t="s">
        <v>4807</v>
      </c>
      <c r="AF392">
        <v>1</v>
      </c>
      <c r="AG392">
        <v>1</v>
      </c>
      <c r="AH392">
        <v>1</v>
      </c>
    </row>
    <row r="393" spans="1:34" x14ac:dyDescent="0.3">
      <c r="A393">
        <v>438</v>
      </c>
      <c r="B393" t="s">
        <v>2352</v>
      </c>
      <c r="C393" t="s">
        <v>4712</v>
      </c>
      <c r="D393" t="s">
        <v>3529</v>
      </c>
      <c r="E393" t="s">
        <v>21</v>
      </c>
      <c r="F393" t="s">
        <v>22</v>
      </c>
      <c r="H393" t="s">
        <v>4755</v>
      </c>
      <c r="I393" t="s">
        <v>4755</v>
      </c>
      <c r="J393" t="s">
        <v>4731</v>
      </c>
      <c r="L393" t="s">
        <v>203</v>
      </c>
      <c r="M393" t="s">
        <v>1801</v>
      </c>
      <c r="N393" t="s">
        <v>4732</v>
      </c>
      <c r="O393" t="s">
        <v>4733</v>
      </c>
      <c r="Q393">
        <v>0</v>
      </c>
      <c r="R393">
        <v>359</v>
      </c>
      <c r="S393">
        <v>0</v>
      </c>
      <c r="V393" t="s">
        <v>4544</v>
      </c>
      <c r="AA393" t="s">
        <v>4718</v>
      </c>
      <c r="AB393" t="s">
        <v>4727</v>
      </c>
      <c r="AF393">
        <v>1</v>
      </c>
      <c r="AG393">
        <v>1</v>
      </c>
      <c r="AH393">
        <v>0</v>
      </c>
    </row>
    <row r="394" spans="1:34" x14ac:dyDescent="0.3">
      <c r="A394">
        <v>439</v>
      </c>
      <c r="B394" t="s">
        <v>2354</v>
      </c>
      <c r="C394" t="s">
        <v>4728</v>
      </c>
      <c r="D394" t="s">
        <v>1801</v>
      </c>
      <c r="E394" t="s">
        <v>21</v>
      </c>
      <c r="F394" t="s">
        <v>22</v>
      </c>
      <c r="G394" t="s">
        <v>3608</v>
      </c>
      <c r="H394" t="s">
        <v>4729</v>
      </c>
      <c r="I394" t="s">
        <v>4730</v>
      </c>
      <c r="J394" t="s">
        <v>4731</v>
      </c>
      <c r="L394" t="s">
        <v>25</v>
      </c>
      <c r="M394" t="s">
        <v>1801</v>
      </c>
      <c r="N394" t="s">
        <v>4732</v>
      </c>
      <c r="O394" t="s">
        <v>4733</v>
      </c>
      <c r="Q394">
        <v>0</v>
      </c>
      <c r="R394">
        <v>360</v>
      </c>
      <c r="S394">
        <v>0</v>
      </c>
      <c r="U394" t="s">
        <v>5250</v>
      </c>
      <c r="V394" t="s">
        <v>4544</v>
      </c>
      <c r="W394" t="s">
        <v>5118</v>
      </c>
      <c r="X394" t="s">
        <v>5251</v>
      </c>
      <c r="Z394" t="s">
        <v>4737</v>
      </c>
      <c r="AA394" t="s">
        <v>4718</v>
      </c>
      <c r="AB394" t="s">
        <v>4727</v>
      </c>
      <c r="AF394">
        <v>1</v>
      </c>
      <c r="AG394">
        <v>1</v>
      </c>
      <c r="AH394">
        <v>1</v>
      </c>
    </row>
    <row r="395" spans="1:34" x14ac:dyDescent="0.3">
      <c r="A395">
        <v>440</v>
      </c>
      <c r="B395" t="s">
        <v>2361</v>
      </c>
      <c r="C395" t="s">
        <v>4728</v>
      </c>
      <c r="D395" t="s">
        <v>1801</v>
      </c>
      <c r="E395" t="s">
        <v>21</v>
      </c>
      <c r="F395" t="s">
        <v>22</v>
      </c>
      <c r="G395" t="s">
        <v>3608</v>
      </c>
      <c r="H395" t="s">
        <v>4729</v>
      </c>
      <c r="I395" t="s">
        <v>4730</v>
      </c>
      <c r="J395" t="s">
        <v>4720</v>
      </c>
      <c r="L395" t="s">
        <v>25</v>
      </c>
      <c r="M395" t="s">
        <v>1801</v>
      </c>
      <c r="N395" t="s">
        <v>4732</v>
      </c>
      <c r="O395" t="s">
        <v>4733</v>
      </c>
      <c r="Q395">
        <v>0</v>
      </c>
      <c r="R395">
        <v>361</v>
      </c>
      <c r="S395">
        <v>0</v>
      </c>
      <c r="U395" t="s">
        <v>5252</v>
      </c>
      <c r="V395" t="s">
        <v>4544</v>
      </c>
      <c r="W395" t="s">
        <v>5091</v>
      </c>
      <c r="X395" t="s">
        <v>5253</v>
      </c>
      <c r="Z395" t="s">
        <v>4737</v>
      </c>
      <c r="AA395" t="s">
        <v>4718</v>
      </c>
      <c r="AB395" t="s">
        <v>4727</v>
      </c>
      <c r="AF395">
        <v>1</v>
      </c>
      <c r="AG395">
        <v>1</v>
      </c>
      <c r="AH395">
        <v>1</v>
      </c>
    </row>
    <row r="396" spans="1:34" x14ac:dyDescent="0.3">
      <c r="A396">
        <v>441</v>
      </c>
      <c r="B396" t="s">
        <v>2368</v>
      </c>
      <c r="C396" t="s">
        <v>4712</v>
      </c>
      <c r="D396" t="s">
        <v>1096</v>
      </c>
      <c r="E396" t="s">
        <v>73</v>
      </c>
      <c r="F396" t="s">
        <v>22</v>
      </c>
      <c r="H396" t="s">
        <v>4755</v>
      </c>
      <c r="I396" t="s">
        <v>4755</v>
      </c>
      <c r="J396" t="s">
        <v>4480</v>
      </c>
      <c r="L396" t="s">
        <v>25</v>
      </c>
      <c r="M396" t="s">
        <v>1096</v>
      </c>
      <c r="N396" t="s">
        <v>4732</v>
      </c>
      <c r="O396" t="s">
        <v>4733</v>
      </c>
      <c r="Q396">
        <v>0</v>
      </c>
      <c r="R396">
        <v>362</v>
      </c>
      <c r="S396">
        <v>0</v>
      </c>
      <c r="U396" t="s">
        <v>5254</v>
      </c>
      <c r="V396" t="s">
        <v>4758</v>
      </c>
      <c r="W396" t="s">
        <v>5255</v>
      </c>
      <c r="X396" t="s">
        <v>4940</v>
      </c>
      <c r="Z396" t="s">
        <v>4737</v>
      </c>
      <c r="AA396" t="s">
        <v>4766</v>
      </c>
      <c r="AB396" t="s">
        <v>4761</v>
      </c>
      <c r="AF396">
        <v>1</v>
      </c>
      <c r="AG396">
        <v>1</v>
      </c>
      <c r="AH396">
        <v>0</v>
      </c>
    </row>
    <row r="397" spans="1:34" x14ac:dyDescent="0.3">
      <c r="A397">
        <v>442</v>
      </c>
      <c r="B397" t="s">
        <v>2381</v>
      </c>
      <c r="C397" t="s">
        <v>4712</v>
      </c>
      <c r="D397" t="s">
        <v>454</v>
      </c>
      <c r="E397" t="s">
        <v>21</v>
      </c>
      <c r="F397" t="s">
        <v>22</v>
      </c>
      <c r="H397" t="s">
        <v>4755</v>
      </c>
      <c r="I397" t="s">
        <v>4755</v>
      </c>
      <c r="J397" t="s">
        <v>4720</v>
      </c>
      <c r="L397" t="s">
        <v>203</v>
      </c>
      <c r="M397" t="s">
        <v>454</v>
      </c>
      <c r="N397" t="s">
        <v>4538</v>
      </c>
      <c r="O397" t="s">
        <v>4765</v>
      </c>
      <c r="Q397">
        <v>0</v>
      </c>
      <c r="R397">
        <v>210</v>
      </c>
      <c r="S397">
        <v>0</v>
      </c>
      <c r="U397" t="s">
        <v>2381</v>
      </c>
      <c r="V397" t="s">
        <v>4546</v>
      </c>
      <c r="W397" t="s">
        <v>5021</v>
      </c>
      <c r="X397" t="s">
        <v>5021</v>
      </c>
      <c r="Z397" t="s">
        <v>4737</v>
      </c>
      <c r="AA397" t="s">
        <v>4718</v>
      </c>
      <c r="AB397" t="s">
        <v>4807</v>
      </c>
      <c r="AF397">
        <v>1</v>
      </c>
      <c r="AG397">
        <v>1</v>
      </c>
      <c r="AH397">
        <v>0</v>
      </c>
    </row>
    <row r="398" spans="1:34" x14ac:dyDescent="0.3">
      <c r="A398">
        <v>443</v>
      </c>
      <c r="B398" t="s">
        <v>2384</v>
      </c>
      <c r="C398" t="s">
        <v>4712</v>
      </c>
      <c r="D398" t="s">
        <v>454</v>
      </c>
      <c r="E398" t="s">
        <v>21</v>
      </c>
      <c r="F398" t="s">
        <v>22</v>
      </c>
      <c r="H398" t="s">
        <v>4755</v>
      </c>
      <c r="I398" t="s">
        <v>4755</v>
      </c>
      <c r="J398" t="s">
        <v>4720</v>
      </c>
      <c r="L398" t="s">
        <v>203</v>
      </c>
      <c r="M398" t="s">
        <v>454</v>
      </c>
      <c r="N398" t="s">
        <v>4538</v>
      </c>
      <c r="O398" t="s">
        <v>4765</v>
      </c>
      <c r="Q398">
        <v>0</v>
      </c>
      <c r="R398">
        <v>211</v>
      </c>
      <c r="S398">
        <v>0</v>
      </c>
      <c r="U398" t="s">
        <v>2384</v>
      </c>
      <c r="V398" t="s">
        <v>4546</v>
      </c>
      <c r="W398" t="s">
        <v>5021</v>
      </c>
      <c r="X398" t="s">
        <v>5021</v>
      </c>
      <c r="Z398" t="s">
        <v>4737</v>
      </c>
      <c r="AA398" t="s">
        <v>4718</v>
      </c>
      <c r="AB398" t="s">
        <v>4807</v>
      </c>
      <c r="AF398">
        <v>1</v>
      </c>
      <c r="AG398">
        <v>1</v>
      </c>
      <c r="AH398">
        <v>0</v>
      </c>
    </row>
    <row r="399" spans="1:34" x14ac:dyDescent="0.3">
      <c r="A399">
        <v>444</v>
      </c>
      <c r="B399" t="s">
        <v>2387</v>
      </c>
      <c r="C399" t="s">
        <v>4728</v>
      </c>
      <c r="D399" t="s">
        <v>1215</v>
      </c>
      <c r="E399" t="s">
        <v>21</v>
      </c>
      <c r="F399" t="s">
        <v>56</v>
      </c>
      <c r="G399" t="s">
        <v>3607</v>
      </c>
      <c r="H399" t="s">
        <v>4729</v>
      </c>
      <c r="I399" t="s">
        <v>4730</v>
      </c>
      <c r="J399" t="s">
        <v>4731</v>
      </c>
      <c r="L399" t="s">
        <v>197</v>
      </c>
      <c r="M399" t="s">
        <v>1215</v>
      </c>
      <c r="N399" t="s">
        <v>4732</v>
      </c>
      <c r="O399" t="s">
        <v>4733</v>
      </c>
      <c r="Q399">
        <v>0</v>
      </c>
      <c r="R399">
        <v>363</v>
      </c>
      <c r="S399">
        <v>0</v>
      </c>
      <c r="U399" t="s">
        <v>5256</v>
      </c>
      <c r="V399" t="s">
        <v>4544</v>
      </c>
      <c r="W399" t="s">
        <v>5257</v>
      </c>
      <c r="X399" t="s">
        <v>5257</v>
      </c>
      <c r="Z399" t="s">
        <v>4737</v>
      </c>
      <c r="AA399" t="s">
        <v>4718</v>
      </c>
      <c r="AB399" t="s">
        <v>4727</v>
      </c>
      <c r="AF399">
        <v>1</v>
      </c>
      <c r="AG399">
        <v>1</v>
      </c>
      <c r="AH399">
        <v>1</v>
      </c>
    </row>
    <row r="400" spans="1:34" x14ac:dyDescent="0.3">
      <c r="A400">
        <v>445</v>
      </c>
      <c r="B400" t="s">
        <v>2389</v>
      </c>
      <c r="C400" t="s">
        <v>4728</v>
      </c>
      <c r="D400" t="s">
        <v>1215</v>
      </c>
      <c r="E400" t="s">
        <v>21</v>
      </c>
      <c r="F400" t="s">
        <v>22</v>
      </c>
      <c r="G400" t="s">
        <v>3607</v>
      </c>
      <c r="H400" t="s">
        <v>4729</v>
      </c>
      <c r="I400" t="s">
        <v>4730</v>
      </c>
      <c r="J400" t="s">
        <v>4731</v>
      </c>
      <c r="L400" t="s">
        <v>25</v>
      </c>
      <c r="M400" t="s">
        <v>1215</v>
      </c>
      <c r="N400" t="s">
        <v>4732</v>
      </c>
      <c r="O400" t="s">
        <v>4733</v>
      </c>
      <c r="Q400">
        <v>0</v>
      </c>
      <c r="R400">
        <v>364</v>
      </c>
      <c r="S400">
        <v>0</v>
      </c>
      <c r="U400" t="s">
        <v>5258</v>
      </c>
      <c r="V400" t="s">
        <v>4544</v>
      </c>
      <c r="W400" t="s">
        <v>4947</v>
      </c>
      <c r="X400" t="s">
        <v>4947</v>
      </c>
      <c r="Z400" t="s">
        <v>4737</v>
      </c>
      <c r="AA400" t="s">
        <v>4766</v>
      </c>
      <c r="AB400" t="s">
        <v>4761</v>
      </c>
      <c r="AF400">
        <v>1</v>
      </c>
      <c r="AG400">
        <v>1</v>
      </c>
      <c r="AH400">
        <v>1</v>
      </c>
    </row>
    <row r="401" spans="1:34" x14ac:dyDescent="0.3">
      <c r="A401" t="s">
        <v>5259</v>
      </c>
      <c r="B401" t="s">
        <v>5260</v>
      </c>
      <c r="D401" t="s">
        <v>1215</v>
      </c>
      <c r="I401" t="s">
        <v>4713</v>
      </c>
      <c r="L401" t="s">
        <v>25</v>
      </c>
      <c r="M401" t="s">
        <v>1215</v>
      </c>
      <c r="N401" t="s">
        <v>4732</v>
      </c>
      <c r="O401" t="s">
        <v>4733</v>
      </c>
      <c r="Q401">
        <v>0</v>
      </c>
      <c r="R401">
        <v>365</v>
      </c>
      <c r="S401">
        <v>0</v>
      </c>
      <c r="V401" t="s">
        <v>4544</v>
      </c>
      <c r="AA401" t="s">
        <v>4766</v>
      </c>
      <c r="AB401" t="s">
        <v>4761</v>
      </c>
      <c r="AF401">
        <v>1</v>
      </c>
      <c r="AG401">
        <v>1</v>
      </c>
      <c r="AH401">
        <v>0</v>
      </c>
    </row>
    <row r="402" spans="1:34" x14ac:dyDescent="0.3">
      <c r="A402">
        <v>447</v>
      </c>
      <c r="B402" t="s">
        <v>1481</v>
      </c>
      <c r="C402" t="s">
        <v>4728</v>
      </c>
      <c r="D402" t="s">
        <v>461</v>
      </c>
      <c r="E402" t="s">
        <v>21</v>
      </c>
      <c r="F402" t="s">
        <v>22</v>
      </c>
      <c r="G402" t="s">
        <v>3607</v>
      </c>
      <c r="H402" t="s">
        <v>4729</v>
      </c>
      <c r="I402" t="s">
        <v>4730</v>
      </c>
      <c r="J402" t="s">
        <v>4480</v>
      </c>
      <c r="L402" t="s">
        <v>25</v>
      </c>
      <c r="M402" t="s">
        <v>461</v>
      </c>
      <c r="N402" t="s">
        <v>4538</v>
      </c>
      <c r="O402" t="s">
        <v>4765</v>
      </c>
      <c r="Q402">
        <v>0</v>
      </c>
      <c r="R402">
        <v>212</v>
      </c>
      <c r="S402">
        <v>0</v>
      </c>
      <c r="U402" t="s">
        <v>5261</v>
      </c>
      <c r="V402" t="s">
        <v>4546</v>
      </c>
      <c r="W402" t="s">
        <v>5262</v>
      </c>
      <c r="X402" t="s">
        <v>5262</v>
      </c>
      <c r="Z402" t="s">
        <v>4737</v>
      </c>
      <c r="AA402" t="s">
        <v>4724</v>
      </c>
      <c r="AB402" t="s">
        <v>4725</v>
      </c>
      <c r="AF402">
        <v>1</v>
      </c>
      <c r="AG402">
        <v>1</v>
      </c>
      <c r="AH402">
        <v>1</v>
      </c>
    </row>
    <row r="403" spans="1:34" x14ac:dyDescent="0.3">
      <c r="A403">
        <v>448</v>
      </c>
      <c r="B403" t="s">
        <v>2394</v>
      </c>
      <c r="C403" t="s">
        <v>4728</v>
      </c>
      <c r="D403" t="s">
        <v>461</v>
      </c>
      <c r="E403" t="s">
        <v>21</v>
      </c>
      <c r="F403" t="s">
        <v>22</v>
      </c>
      <c r="G403" t="s">
        <v>3607</v>
      </c>
      <c r="H403" t="s">
        <v>4729</v>
      </c>
      <c r="I403" t="s">
        <v>4730</v>
      </c>
      <c r="J403" t="s">
        <v>4480</v>
      </c>
      <c r="L403" t="s">
        <v>25</v>
      </c>
      <c r="M403" t="s">
        <v>461</v>
      </c>
      <c r="N403" t="s">
        <v>4538</v>
      </c>
      <c r="O403" t="s">
        <v>4765</v>
      </c>
      <c r="Q403">
        <v>0</v>
      </c>
      <c r="R403">
        <v>213</v>
      </c>
      <c r="S403">
        <v>0</v>
      </c>
      <c r="U403" t="s">
        <v>5263</v>
      </c>
      <c r="V403" t="s">
        <v>4546</v>
      </c>
      <c r="W403" t="s">
        <v>5264</v>
      </c>
      <c r="X403" t="s">
        <v>5264</v>
      </c>
      <c r="Z403" t="s">
        <v>4737</v>
      </c>
      <c r="AA403" t="s">
        <v>4724</v>
      </c>
      <c r="AB403" t="s">
        <v>4725</v>
      </c>
      <c r="AF403">
        <v>1</v>
      </c>
      <c r="AG403">
        <v>1</v>
      </c>
      <c r="AH403">
        <v>1</v>
      </c>
    </row>
    <row r="404" spans="1:34" x14ac:dyDescent="0.3">
      <c r="A404">
        <v>449</v>
      </c>
      <c r="B404" t="s">
        <v>2397</v>
      </c>
      <c r="C404" t="s">
        <v>4728</v>
      </c>
      <c r="D404" t="s">
        <v>1490</v>
      </c>
      <c r="E404" t="s">
        <v>39</v>
      </c>
      <c r="F404" t="s">
        <v>22</v>
      </c>
      <c r="H404" t="s">
        <v>4755</v>
      </c>
      <c r="I404" t="s">
        <v>4755</v>
      </c>
      <c r="J404" t="s">
        <v>4731</v>
      </c>
      <c r="L404" t="s">
        <v>25</v>
      </c>
      <c r="M404" t="s">
        <v>1490</v>
      </c>
      <c r="N404" t="s">
        <v>4732</v>
      </c>
      <c r="O404" t="s">
        <v>4733</v>
      </c>
      <c r="Q404">
        <v>0</v>
      </c>
      <c r="R404">
        <v>366</v>
      </c>
      <c r="S404">
        <v>0</v>
      </c>
      <c r="U404" t="s">
        <v>5265</v>
      </c>
      <c r="V404" t="s">
        <v>4758</v>
      </c>
      <c r="W404" t="s">
        <v>5266</v>
      </c>
      <c r="X404" t="s">
        <v>5266</v>
      </c>
      <c r="Z404" t="s">
        <v>4737</v>
      </c>
      <c r="AA404" t="s">
        <v>4804</v>
      </c>
      <c r="AB404" t="s">
        <v>5245</v>
      </c>
      <c r="AF404">
        <v>1</v>
      </c>
      <c r="AG404">
        <v>1</v>
      </c>
      <c r="AH404">
        <v>0</v>
      </c>
    </row>
    <row r="405" spans="1:34" x14ac:dyDescent="0.3">
      <c r="A405" t="s">
        <v>5267</v>
      </c>
      <c r="B405" t="s">
        <v>5268</v>
      </c>
      <c r="C405" t="s">
        <v>4728</v>
      </c>
      <c r="D405" t="s">
        <v>1490</v>
      </c>
      <c r="E405" t="s">
        <v>39</v>
      </c>
      <c r="F405" t="s">
        <v>56</v>
      </c>
      <c r="I405" t="s">
        <v>4713</v>
      </c>
      <c r="J405" t="s">
        <v>4731</v>
      </c>
      <c r="L405" t="s">
        <v>203</v>
      </c>
      <c r="M405" t="s">
        <v>1490</v>
      </c>
      <c r="N405" t="s">
        <v>4732</v>
      </c>
      <c r="O405" t="s">
        <v>4733</v>
      </c>
      <c r="Q405">
        <v>0</v>
      </c>
      <c r="R405">
        <v>367</v>
      </c>
      <c r="S405">
        <v>0</v>
      </c>
      <c r="V405" t="s">
        <v>4762</v>
      </c>
      <c r="AA405" t="s">
        <v>4804</v>
      </c>
      <c r="AB405" t="s">
        <v>5245</v>
      </c>
      <c r="AF405">
        <v>1</v>
      </c>
      <c r="AG405">
        <v>1</v>
      </c>
      <c r="AH405">
        <v>0</v>
      </c>
    </row>
    <row r="406" spans="1:34" x14ac:dyDescent="0.3">
      <c r="A406">
        <v>451</v>
      </c>
      <c r="B406" t="s">
        <v>2404</v>
      </c>
      <c r="C406" t="s">
        <v>4728</v>
      </c>
      <c r="D406" t="s">
        <v>1998</v>
      </c>
      <c r="E406" t="s">
        <v>21</v>
      </c>
      <c r="F406" t="s">
        <v>22</v>
      </c>
      <c r="G406" t="s">
        <v>3607</v>
      </c>
      <c r="H406" t="s">
        <v>4729</v>
      </c>
      <c r="I406" t="s">
        <v>4730</v>
      </c>
      <c r="J406" t="s">
        <v>4731</v>
      </c>
      <c r="L406" t="s">
        <v>25</v>
      </c>
      <c r="M406" t="s">
        <v>1998</v>
      </c>
      <c r="N406" t="s">
        <v>4732</v>
      </c>
      <c r="O406" t="s">
        <v>4733</v>
      </c>
      <c r="Q406">
        <v>0</v>
      </c>
      <c r="R406">
        <v>368</v>
      </c>
      <c r="S406">
        <v>0</v>
      </c>
      <c r="U406" t="s">
        <v>5269</v>
      </c>
      <c r="V406" t="s">
        <v>4744</v>
      </c>
      <c r="W406" t="s">
        <v>5270</v>
      </c>
      <c r="X406" t="s">
        <v>5270</v>
      </c>
      <c r="Z406" t="s">
        <v>4737</v>
      </c>
      <c r="AA406" t="s">
        <v>4792</v>
      </c>
      <c r="AB406" t="s">
        <v>4793</v>
      </c>
      <c r="AF406">
        <v>1</v>
      </c>
      <c r="AG406">
        <v>1</v>
      </c>
      <c r="AH406">
        <v>1</v>
      </c>
    </row>
    <row r="407" spans="1:34" x14ac:dyDescent="0.3">
      <c r="A407">
        <v>452</v>
      </c>
      <c r="B407" t="s">
        <v>2405</v>
      </c>
      <c r="C407" t="s">
        <v>4728</v>
      </c>
      <c r="D407" t="s">
        <v>1998</v>
      </c>
      <c r="E407" t="s">
        <v>21</v>
      </c>
      <c r="F407" t="s">
        <v>22</v>
      </c>
      <c r="G407" t="s">
        <v>3607</v>
      </c>
      <c r="H407" t="s">
        <v>4729</v>
      </c>
      <c r="I407" t="s">
        <v>4730</v>
      </c>
      <c r="J407" t="s">
        <v>4731</v>
      </c>
      <c r="L407" t="s">
        <v>25</v>
      </c>
      <c r="M407" t="s">
        <v>1998</v>
      </c>
      <c r="N407" t="s">
        <v>4732</v>
      </c>
      <c r="O407" t="s">
        <v>4733</v>
      </c>
      <c r="Q407">
        <v>0</v>
      </c>
      <c r="R407">
        <v>369</v>
      </c>
      <c r="S407">
        <v>0</v>
      </c>
      <c r="U407" t="s">
        <v>2405</v>
      </c>
      <c r="V407" t="s">
        <v>4744</v>
      </c>
      <c r="W407" t="s">
        <v>5172</v>
      </c>
      <c r="X407" t="s">
        <v>5174</v>
      </c>
      <c r="Z407" t="s">
        <v>4737</v>
      </c>
      <c r="AA407" t="s">
        <v>4738</v>
      </c>
      <c r="AB407" t="s">
        <v>4739</v>
      </c>
      <c r="AF407">
        <v>1</v>
      </c>
      <c r="AG407">
        <v>1</v>
      </c>
      <c r="AH407">
        <v>1</v>
      </c>
    </row>
    <row r="408" spans="1:34" x14ac:dyDescent="0.3">
      <c r="A408">
        <v>453</v>
      </c>
      <c r="B408" t="s">
        <v>2408</v>
      </c>
      <c r="C408" t="s">
        <v>4728</v>
      </c>
      <c r="D408" t="s">
        <v>2018</v>
      </c>
      <c r="E408" t="s">
        <v>39</v>
      </c>
      <c r="F408" t="s">
        <v>22</v>
      </c>
      <c r="G408" t="s">
        <v>3607</v>
      </c>
      <c r="H408" t="s">
        <v>4729</v>
      </c>
      <c r="I408" t="s">
        <v>4730</v>
      </c>
      <c r="J408" t="s">
        <v>4720</v>
      </c>
      <c r="L408" t="s">
        <v>25</v>
      </c>
      <c r="M408" t="s">
        <v>2018</v>
      </c>
      <c r="N408" t="s">
        <v>4542</v>
      </c>
      <c r="O408" t="s">
        <v>4863</v>
      </c>
      <c r="Q408">
        <v>0</v>
      </c>
      <c r="R408">
        <v>132</v>
      </c>
      <c r="S408">
        <v>0</v>
      </c>
      <c r="U408" t="s">
        <v>5271</v>
      </c>
      <c r="V408" t="s">
        <v>4717</v>
      </c>
      <c r="W408" t="s">
        <v>5272</v>
      </c>
      <c r="X408" t="s">
        <v>5272</v>
      </c>
      <c r="Z408" t="s">
        <v>4737</v>
      </c>
      <c r="AA408" t="s">
        <v>4718</v>
      </c>
      <c r="AB408" t="s">
        <v>4719</v>
      </c>
      <c r="AF408">
        <v>1</v>
      </c>
      <c r="AG408">
        <v>1</v>
      </c>
      <c r="AH408">
        <v>1</v>
      </c>
    </row>
    <row r="409" spans="1:34" x14ac:dyDescent="0.3">
      <c r="A409">
        <v>454</v>
      </c>
      <c r="B409" t="s">
        <v>2413</v>
      </c>
      <c r="C409" t="s">
        <v>4712</v>
      </c>
      <c r="D409" t="s">
        <v>2018</v>
      </c>
      <c r="E409" t="s">
        <v>39</v>
      </c>
      <c r="F409" t="s">
        <v>22</v>
      </c>
      <c r="H409" t="s">
        <v>4755</v>
      </c>
      <c r="I409" t="s">
        <v>4755</v>
      </c>
      <c r="J409" t="s">
        <v>4731</v>
      </c>
      <c r="L409" t="s">
        <v>25</v>
      </c>
      <c r="M409" t="s">
        <v>2018</v>
      </c>
      <c r="N409" t="s">
        <v>4542</v>
      </c>
      <c r="O409" t="s">
        <v>4863</v>
      </c>
      <c r="Q409">
        <v>0</v>
      </c>
      <c r="R409">
        <v>133</v>
      </c>
      <c r="S409">
        <v>0</v>
      </c>
      <c r="U409" t="s">
        <v>5273</v>
      </c>
      <c r="V409" t="s">
        <v>4717</v>
      </c>
      <c r="W409" t="s">
        <v>5274</v>
      </c>
      <c r="X409" t="s">
        <v>5274</v>
      </c>
      <c r="Z409" t="s">
        <v>4737</v>
      </c>
      <c r="AA409" t="s">
        <v>4718</v>
      </c>
      <c r="AB409" t="s">
        <v>4807</v>
      </c>
      <c r="AF409">
        <v>1</v>
      </c>
      <c r="AG409">
        <v>1</v>
      </c>
      <c r="AH409">
        <v>0</v>
      </c>
    </row>
    <row r="410" spans="1:34" x14ac:dyDescent="0.3">
      <c r="A410">
        <v>455</v>
      </c>
      <c r="B410" t="s">
        <v>2416</v>
      </c>
      <c r="C410" t="s">
        <v>4712</v>
      </c>
      <c r="D410" t="s">
        <v>2018</v>
      </c>
      <c r="E410" t="s">
        <v>39</v>
      </c>
      <c r="F410" t="s">
        <v>22</v>
      </c>
      <c r="G410" t="s">
        <v>3607</v>
      </c>
      <c r="H410" t="s">
        <v>4729</v>
      </c>
      <c r="I410" t="s">
        <v>4730</v>
      </c>
      <c r="J410" t="s">
        <v>4731</v>
      </c>
      <c r="L410" t="s">
        <v>25</v>
      </c>
      <c r="M410" t="s">
        <v>2018</v>
      </c>
      <c r="N410" t="s">
        <v>4732</v>
      </c>
      <c r="O410" t="s">
        <v>4733</v>
      </c>
      <c r="Q410">
        <v>0</v>
      </c>
      <c r="R410">
        <v>370</v>
      </c>
      <c r="S410">
        <v>0</v>
      </c>
      <c r="U410" t="s">
        <v>5275</v>
      </c>
      <c r="V410" t="s">
        <v>4717</v>
      </c>
      <c r="W410" t="s">
        <v>5274</v>
      </c>
      <c r="X410" t="s">
        <v>5274</v>
      </c>
      <c r="Z410" t="s">
        <v>4737</v>
      </c>
      <c r="AA410" t="s">
        <v>4766</v>
      </c>
      <c r="AB410" t="s">
        <v>4761</v>
      </c>
      <c r="AF410">
        <v>1</v>
      </c>
      <c r="AG410">
        <v>1</v>
      </c>
      <c r="AH410">
        <v>1</v>
      </c>
    </row>
    <row r="411" spans="1:34" x14ac:dyDescent="0.3">
      <c r="A411">
        <v>456</v>
      </c>
      <c r="B411" t="s">
        <v>2419</v>
      </c>
      <c r="C411" t="s">
        <v>4728</v>
      </c>
      <c r="D411" t="s">
        <v>207</v>
      </c>
      <c r="E411" t="s">
        <v>39</v>
      </c>
      <c r="F411" t="s">
        <v>22</v>
      </c>
      <c r="G411" t="s">
        <v>3608</v>
      </c>
      <c r="H411" t="s">
        <v>4729</v>
      </c>
      <c r="I411" t="s">
        <v>4730</v>
      </c>
      <c r="J411" t="s">
        <v>4731</v>
      </c>
      <c r="L411" t="s">
        <v>25</v>
      </c>
      <c r="M411" t="s">
        <v>207</v>
      </c>
      <c r="N411" t="s">
        <v>4538</v>
      </c>
      <c r="O411" t="s">
        <v>4765</v>
      </c>
      <c r="Q411">
        <v>0</v>
      </c>
      <c r="R411">
        <v>214</v>
      </c>
      <c r="S411">
        <v>0</v>
      </c>
      <c r="U411" t="s">
        <v>5276</v>
      </c>
      <c r="V411" t="s">
        <v>4744</v>
      </c>
      <c r="W411" t="s">
        <v>5241</v>
      </c>
      <c r="X411" t="s">
        <v>5241</v>
      </c>
      <c r="Z411">
        <v>1</v>
      </c>
      <c r="AA411" t="s">
        <v>4738</v>
      </c>
      <c r="AB411" t="s">
        <v>4807</v>
      </c>
      <c r="AF411">
        <v>1</v>
      </c>
      <c r="AG411">
        <v>1</v>
      </c>
      <c r="AH411">
        <v>1</v>
      </c>
    </row>
    <row r="412" spans="1:34" x14ac:dyDescent="0.3">
      <c r="A412">
        <v>457</v>
      </c>
      <c r="B412" t="s">
        <v>2426</v>
      </c>
      <c r="C412" t="s">
        <v>4728</v>
      </c>
      <c r="D412" t="s">
        <v>207</v>
      </c>
      <c r="E412" t="s">
        <v>39</v>
      </c>
      <c r="F412" t="s">
        <v>22</v>
      </c>
      <c r="G412" t="s">
        <v>3608</v>
      </c>
      <c r="H412" t="s">
        <v>4729</v>
      </c>
      <c r="I412" t="s">
        <v>4730</v>
      </c>
      <c r="J412" t="s">
        <v>4731</v>
      </c>
      <c r="L412" t="s">
        <v>25</v>
      </c>
      <c r="M412" t="s">
        <v>207</v>
      </c>
      <c r="N412" t="s">
        <v>4538</v>
      </c>
      <c r="O412" t="s">
        <v>4765</v>
      </c>
      <c r="Q412">
        <v>0</v>
      </c>
      <c r="R412">
        <v>215</v>
      </c>
      <c r="S412">
        <v>0</v>
      </c>
      <c r="U412" t="s">
        <v>5277</v>
      </c>
      <c r="V412" t="s">
        <v>4744</v>
      </c>
      <c r="W412" t="s">
        <v>5241</v>
      </c>
      <c r="X412" t="s">
        <v>5241</v>
      </c>
      <c r="Z412">
        <v>1</v>
      </c>
      <c r="AA412" t="s">
        <v>4738</v>
      </c>
      <c r="AB412" t="s">
        <v>4807</v>
      </c>
      <c r="AF412">
        <v>1</v>
      </c>
      <c r="AG412">
        <v>1</v>
      </c>
      <c r="AH412">
        <v>1</v>
      </c>
    </row>
    <row r="413" spans="1:34" x14ac:dyDescent="0.3">
      <c r="A413" t="s">
        <v>5278</v>
      </c>
      <c r="B413" t="s">
        <v>5279</v>
      </c>
      <c r="C413" t="s">
        <v>4728</v>
      </c>
      <c r="D413" t="s">
        <v>207</v>
      </c>
      <c r="E413" t="s">
        <v>21</v>
      </c>
      <c r="F413" t="s">
        <v>22</v>
      </c>
      <c r="I413" t="s">
        <v>4713</v>
      </c>
      <c r="J413" t="s">
        <v>4720</v>
      </c>
      <c r="L413" t="s">
        <v>25</v>
      </c>
      <c r="M413" t="s">
        <v>207</v>
      </c>
      <c r="N413" t="s">
        <v>4538</v>
      </c>
      <c r="O413" t="s">
        <v>4765</v>
      </c>
      <c r="Q413">
        <v>0</v>
      </c>
      <c r="R413">
        <v>216</v>
      </c>
      <c r="S413">
        <v>0</v>
      </c>
      <c r="V413" t="s">
        <v>4744</v>
      </c>
      <c r="AA413" t="s">
        <v>4738</v>
      </c>
      <c r="AB413" t="s">
        <v>4807</v>
      </c>
      <c r="AF413">
        <v>1</v>
      </c>
      <c r="AG413">
        <v>1</v>
      </c>
      <c r="AH413">
        <v>0</v>
      </c>
    </row>
    <row r="414" spans="1:34" x14ac:dyDescent="0.3">
      <c r="A414">
        <v>459</v>
      </c>
      <c r="B414" t="s">
        <v>2433</v>
      </c>
      <c r="C414" t="s">
        <v>4728</v>
      </c>
      <c r="D414" t="s">
        <v>1998</v>
      </c>
      <c r="E414" t="s">
        <v>39</v>
      </c>
      <c r="F414" t="s">
        <v>22</v>
      </c>
      <c r="H414" t="s">
        <v>4755</v>
      </c>
      <c r="I414" t="s">
        <v>4755</v>
      </c>
      <c r="J414" t="s">
        <v>4731</v>
      </c>
      <c r="L414" t="s">
        <v>25</v>
      </c>
      <c r="M414" t="s">
        <v>1998</v>
      </c>
      <c r="N414" t="s">
        <v>4538</v>
      </c>
      <c r="O414" t="s">
        <v>4765</v>
      </c>
      <c r="Q414">
        <v>0</v>
      </c>
      <c r="R414">
        <v>217</v>
      </c>
      <c r="S414">
        <v>0</v>
      </c>
      <c r="U414" t="s">
        <v>2433</v>
      </c>
      <c r="V414" t="s">
        <v>4744</v>
      </c>
      <c r="W414" t="s">
        <v>5280</v>
      </c>
      <c r="X414" t="s">
        <v>5280</v>
      </c>
      <c r="Z414" t="s">
        <v>4737</v>
      </c>
      <c r="AA414" t="s">
        <v>4738</v>
      </c>
      <c r="AB414" t="s">
        <v>4807</v>
      </c>
      <c r="AF414">
        <v>1</v>
      </c>
      <c r="AG414">
        <v>1</v>
      </c>
      <c r="AH414">
        <v>0</v>
      </c>
    </row>
    <row r="415" spans="1:34" x14ac:dyDescent="0.3">
      <c r="A415">
        <v>460</v>
      </c>
      <c r="B415" t="s">
        <v>2436</v>
      </c>
      <c r="C415" t="s">
        <v>4728</v>
      </c>
      <c r="D415" t="s">
        <v>55</v>
      </c>
      <c r="E415" t="s">
        <v>139</v>
      </c>
      <c r="F415" t="s">
        <v>22</v>
      </c>
      <c r="G415" t="s">
        <v>3607</v>
      </c>
      <c r="H415" t="s">
        <v>4729</v>
      </c>
      <c r="I415" t="s">
        <v>4730</v>
      </c>
      <c r="J415" t="s">
        <v>4480</v>
      </c>
      <c r="L415" t="s">
        <v>25</v>
      </c>
      <c r="M415" t="s">
        <v>55</v>
      </c>
      <c r="N415" t="s">
        <v>4542</v>
      </c>
      <c r="O415" t="s">
        <v>4863</v>
      </c>
      <c r="P415" t="s">
        <v>4864</v>
      </c>
      <c r="Q415">
        <v>0</v>
      </c>
      <c r="R415">
        <v>371</v>
      </c>
      <c r="S415">
        <v>0</v>
      </c>
      <c r="U415" t="s">
        <v>5281</v>
      </c>
      <c r="V415" t="s">
        <v>4744</v>
      </c>
      <c r="W415" t="s">
        <v>4906</v>
      </c>
      <c r="X415" t="s">
        <v>4906</v>
      </c>
      <c r="Z415">
        <v>1</v>
      </c>
      <c r="AA415" t="s">
        <v>4782</v>
      </c>
      <c r="AB415" t="s">
        <v>4783</v>
      </c>
      <c r="AD415">
        <v>1</v>
      </c>
      <c r="AF415">
        <v>1</v>
      </c>
      <c r="AG415">
        <v>1</v>
      </c>
      <c r="AH415">
        <v>1</v>
      </c>
    </row>
    <row r="416" spans="1:34" x14ac:dyDescent="0.3">
      <c r="A416">
        <v>462</v>
      </c>
      <c r="B416" t="s">
        <v>2438</v>
      </c>
      <c r="C416" t="s">
        <v>4728</v>
      </c>
      <c r="D416" t="s">
        <v>546</v>
      </c>
      <c r="E416" t="s">
        <v>21</v>
      </c>
      <c r="F416" t="s">
        <v>22</v>
      </c>
      <c r="H416" t="s">
        <v>4755</v>
      </c>
      <c r="I416" t="s">
        <v>4755</v>
      </c>
      <c r="J416" t="s">
        <v>4731</v>
      </c>
      <c r="L416" t="s">
        <v>25</v>
      </c>
      <c r="M416" t="s">
        <v>546</v>
      </c>
      <c r="N416" t="s">
        <v>4732</v>
      </c>
      <c r="O416" t="s">
        <v>4733</v>
      </c>
      <c r="Q416">
        <v>0</v>
      </c>
      <c r="R416">
        <v>372</v>
      </c>
      <c r="S416">
        <v>0</v>
      </c>
      <c r="V416" t="s">
        <v>4546</v>
      </c>
      <c r="AA416" t="s">
        <v>4792</v>
      </c>
      <c r="AB416" t="s">
        <v>4793</v>
      </c>
      <c r="AF416">
        <v>1</v>
      </c>
      <c r="AG416">
        <v>1</v>
      </c>
      <c r="AH416">
        <v>0</v>
      </c>
    </row>
    <row r="417" spans="1:34" x14ac:dyDescent="0.3">
      <c r="A417">
        <v>463</v>
      </c>
      <c r="B417" t="s">
        <v>2441</v>
      </c>
      <c r="C417" t="s">
        <v>4712</v>
      </c>
      <c r="D417" t="s">
        <v>55</v>
      </c>
      <c r="E417" t="s">
        <v>21</v>
      </c>
      <c r="F417" t="s">
        <v>22</v>
      </c>
      <c r="H417" t="s">
        <v>4755</v>
      </c>
      <c r="I417" t="s">
        <v>4755</v>
      </c>
      <c r="J417" t="s">
        <v>4480</v>
      </c>
      <c r="L417" t="s">
        <v>25</v>
      </c>
      <c r="M417" t="s">
        <v>55</v>
      </c>
      <c r="N417" t="s">
        <v>4732</v>
      </c>
      <c r="O417" t="s">
        <v>4742</v>
      </c>
      <c r="P417" t="s">
        <v>4909</v>
      </c>
      <c r="Q417">
        <v>0</v>
      </c>
      <c r="R417">
        <v>373</v>
      </c>
      <c r="S417">
        <v>0</v>
      </c>
      <c r="U417" t="s">
        <v>5282</v>
      </c>
      <c r="V417" t="s">
        <v>4744</v>
      </c>
      <c r="W417" t="s">
        <v>4884</v>
      </c>
      <c r="X417" t="s">
        <v>4884</v>
      </c>
      <c r="Z417" t="s">
        <v>4737</v>
      </c>
      <c r="AA417" t="s">
        <v>4738</v>
      </c>
      <c r="AB417" t="s">
        <v>4739</v>
      </c>
      <c r="AD417">
        <v>1</v>
      </c>
      <c r="AE417">
        <v>1</v>
      </c>
      <c r="AF417">
        <v>1</v>
      </c>
      <c r="AG417">
        <v>1</v>
      </c>
      <c r="AH417">
        <v>0</v>
      </c>
    </row>
    <row r="418" spans="1:34" x14ac:dyDescent="0.3">
      <c r="A418" t="s">
        <v>5283</v>
      </c>
      <c r="B418" t="s">
        <v>5284</v>
      </c>
      <c r="D418" t="s">
        <v>207</v>
      </c>
      <c r="I418" t="s">
        <v>4713</v>
      </c>
      <c r="L418" t="s">
        <v>25</v>
      </c>
      <c r="M418" t="s">
        <v>207</v>
      </c>
      <c r="N418" t="s">
        <v>4538</v>
      </c>
      <c r="O418" t="s">
        <v>4765</v>
      </c>
      <c r="Q418">
        <v>0</v>
      </c>
      <c r="R418">
        <v>218</v>
      </c>
      <c r="S418">
        <v>0</v>
      </c>
      <c r="V418" t="s">
        <v>4744</v>
      </c>
      <c r="AA418" t="s">
        <v>4738</v>
      </c>
      <c r="AB418" t="s">
        <v>4807</v>
      </c>
      <c r="AF418">
        <v>0</v>
      </c>
      <c r="AG418">
        <v>1</v>
      </c>
      <c r="AH418">
        <v>0</v>
      </c>
    </row>
    <row r="419" spans="1:34" x14ac:dyDescent="0.3">
      <c r="A419">
        <v>465</v>
      </c>
      <c r="B419" t="s">
        <v>2444</v>
      </c>
      <c r="C419" t="s">
        <v>4712</v>
      </c>
      <c r="D419" t="s">
        <v>1758</v>
      </c>
      <c r="E419" t="s">
        <v>21</v>
      </c>
      <c r="F419" t="s">
        <v>22</v>
      </c>
      <c r="H419" t="s">
        <v>4755</v>
      </c>
      <c r="I419" t="s">
        <v>4755</v>
      </c>
      <c r="J419" t="s">
        <v>4480</v>
      </c>
      <c r="L419" t="s">
        <v>25</v>
      </c>
      <c r="M419" t="s">
        <v>1758</v>
      </c>
      <c r="N419" t="s">
        <v>4732</v>
      </c>
      <c r="O419" t="s">
        <v>4733</v>
      </c>
      <c r="P419" t="s">
        <v>5285</v>
      </c>
      <c r="Q419">
        <v>0</v>
      </c>
      <c r="R419">
        <v>374</v>
      </c>
      <c r="S419">
        <v>0</v>
      </c>
      <c r="U419" t="s">
        <v>5286</v>
      </c>
      <c r="V419" t="s">
        <v>4544</v>
      </c>
      <c r="W419" t="s">
        <v>5287</v>
      </c>
      <c r="X419" t="s">
        <v>5287</v>
      </c>
      <c r="Z419" t="s">
        <v>4737</v>
      </c>
      <c r="AA419" t="s">
        <v>4718</v>
      </c>
      <c r="AB419" t="s">
        <v>4727</v>
      </c>
      <c r="AD419">
        <v>1</v>
      </c>
      <c r="AF419">
        <v>1</v>
      </c>
      <c r="AG419">
        <v>1</v>
      </c>
      <c r="AH419">
        <v>0</v>
      </c>
    </row>
    <row r="420" spans="1:34" x14ac:dyDescent="0.3">
      <c r="A420">
        <v>466</v>
      </c>
      <c r="B420" t="s">
        <v>2447</v>
      </c>
      <c r="C420" t="s">
        <v>4712</v>
      </c>
      <c r="D420" t="s">
        <v>1376</v>
      </c>
      <c r="E420" t="s">
        <v>21</v>
      </c>
      <c r="F420" t="s">
        <v>22</v>
      </c>
      <c r="G420" t="s">
        <v>3607</v>
      </c>
      <c r="H420" t="s">
        <v>4729</v>
      </c>
      <c r="I420" t="s">
        <v>4730</v>
      </c>
      <c r="J420" t="s">
        <v>4731</v>
      </c>
      <c r="L420" t="s">
        <v>197</v>
      </c>
      <c r="M420" t="s">
        <v>1376</v>
      </c>
      <c r="N420" t="s">
        <v>4538</v>
      </c>
      <c r="O420" t="s">
        <v>4765</v>
      </c>
      <c r="P420" t="s">
        <v>4892</v>
      </c>
      <c r="Q420">
        <v>0</v>
      </c>
      <c r="R420">
        <v>35</v>
      </c>
      <c r="S420">
        <v>0</v>
      </c>
      <c r="U420" t="s">
        <v>5288</v>
      </c>
      <c r="V420" t="s">
        <v>4544</v>
      </c>
      <c r="W420" t="s">
        <v>4901</v>
      </c>
      <c r="X420" t="s">
        <v>4901</v>
      </c>
      <c r="Z420" t="s">
        <v>4737</v>
      </c>
      <c r="AA420" t="s">
        <v>4724</v>
      </c>
      <c r="AB420" t="s">
        <v>4807</v>
      </c>
      <c r="AC420">
        <v>1</v>
      </c>
      <c r="AD420">
        <v>1</v>
      </c>
      <c r="AF420">
        <v>1</v>
      </c>
      <c r="AG420">
        <v>1</v>
      </c>
      <c r="AH420">
        <v>1</v>
      </c>
    </row>
    <row r="421" spans="1:34" x14ac:dyDescent="0.3">
      <c r="A421">
        <v>467</v>
      </c>
      <c r="B421" t="s">
        <v>2450</v>
      </c>
      <c r="C421" t="s">
        <v>4712</v>
      </c>
      <c r="D421" t="s">
        <v>1376</v>
      </c>
      <c r="E421" t="s">
        <v>21</v>
      </c>
      <c r="F421" t="s">
        <v>22</v>
      </c>
      <c r="G421" t="s">
        <v>3607</v>
      </c>
      <c r="H421" t="s">
        <v>4729</v>
      </c>
      <c r="I421" t="s">
        <v>4730</v>
      </c>
      <c r="J421" t="s">
        <v>4731</v>
      </c>
      <c r="L421" t="s">
        <v>197</v>
      </c>
      <c r="M421" t="s">
        <v>1376</v>
      </c>
      <c r="N421" t="s">
        <v>4538</v>
      </c>
      <c r="O421" t="s">
        <v>4765</v>
      </c>
      <c r="Q421">
        <v>0</v>
      </c>
      <c r="R421">
        <v>220</v>
      </c>
      <c r="S421">
        <v>0</v>
      </c>
      <c r="U421" t="s">
        <v>5289</v>
      </c>
      <c r="V421" t="s">
        <v>4544</v>
      </c>
      <c r="W421" t="s">
        <v>4901</v>
      </c>
      <c r="X421" t="s">
        <v>4901</v>
      </c>
      <c r="Z421" t="s">
        <v>4737</v>
      </c>
      <c r="AA421" t="s">
        <v>4724</v>
      </c>
      <c r="AB421" t="s">
        <v>4807</v>
      </c>
      <c r="AF421">
        <v>1</v>
      </c>
      <c r="AG421">
        <v>1</v>
      </c>
      <c r="AH421">
        <v>1</v>
      </c>
    </row>
    <row r="422" spans="1:34" x14ac:dyDescent="0.3">
      <c r="A422">
        <v>468</v>
      </c>
      <c r="B422" t="s">
        <v>2453</v>
      </c>
      <c r="C422" t="s">
        <v>4712</v>
      </c>
      <c r="D422" t="s">
        <v>1376</v>
      </c>
      <c r="E422" t="s">
        <v>21</v>
      </c>
      <c r="F422" t="s">
        <v>56</v>
      </c>
      <c r="G422" t="s">
        <v>3607</v>
      </c>
      <c r="H422" t="s">
        <v>4729</v>
      </c>
      <c r="I422" t="s">
        <v>4730</v>
      </c>
      <c r="J422" t="s">
        <v>4731</v>
      </c>
      <c r="L422" t="s">
        <v>197</v>
      </c>
      <c r="M422" t="s">
        <v>1376</v>
      </c>
      <c r="N422" t="s">
        <v>4732</v>
      </c>
      <c r="O422" t="s">
        <v>4733</v>
      </c>
      <c r="Q422">
        <v>0</v>
      </c>
      <c r="R422">
        <v>375</v>
      </c>
      <c r="S422">
        <v>0</v>
      </c>
      <c r="U422" t="s">
        <v>5290</v>
      </c>
      <c r="V422" t="s">
        <v>4544</v>
      </c>
      <c r="W422" t="s">
        <v>4901</v>
      </c>
      <c r="X422" t="s">
        <v>4901</v>
      </c>
      <c r="Z422" t="s">
        <v>4737</v>
      </c>
      <c r="AA422" t="s">
        <v>4718</v>
      </c>
      <c r="AB422" t="s">
        <v>4727</v>
      </c>
      <c r="AF422">
        <v>1</v>
      </c>
      <c r="AG422">
        <v>1</v>
      </c>
      <c r="AH422">
        <v>1</v>
      </c>
    </row>
    <row r="423" spans="1:34" x14ac:dyDescent="0.3">
      <c r="A423">
        <v>469</v>
      </c>
      <c r="B423" t="s">
        <v>2168</v>
      </c>
      <c r="C423" t="s">
        <v>4712</v>
      </c>
      <c r="D423" t="s">
        <v>1263</v>
      </c>
      <c r="E423" t="s">
        <v>39</v>
      </c>
      <c r="F423" t="s">
        <v>22</v>
      </c>
      <c r="G423" t="s">
        <v>3608</v>
      </c>
      <c r="H423" t="s">
        <v>4729</v>
      </c>
      <c r="I423" t="s">
        <v>4730</v>
      </c>
      <c r="J423" t="s">
        <v>4480</v>
      </c>
      <c r="K423" t="s">
        <v>5139</v>
      </c>
      <c r="L423" t="s">
        <v>25</v>
      </c>
      <c r="M423" t="s">
        <v>2457</v>
      </c>
      <c r="N423" t="s">
        <v>4732</v>
      </c>
      <c r="O423" t="s">
        <v>4733</v>
      </c>
      <c r="Q423">
        <v>0</v>
      </c>
      <c r="R423">
        <v>385</v>
      </c>
      <c r="S423">
        <v>1</v>
      </c>
      <c r="U423" t="s">
        <v>5291</v>
      </c>
      <c r="V423" t="s">
        <v>4758</v>
      </c>
      <c r="W423" t="s">
        <v>4954</v>
      </c>
      <c r="X423" t="s">
        <v>4954</v>
      </c>
      <c r="Z423" t="s">
        <v>4737</v>
      </c>
      <c r="AA423" t="s">
        <v>4760</v>
      </c>
      <c r="AB423" t="s">
        <v>4928</v>
      </c>
      <c r="AF423">
        <v>0</v>
      </c>
      <c r="AG423">
        <v>0</v>
      </c>
      <c r="AH423">
        <v>0</v>
      </c>
    </row>
    <row r="424" spans="1:34" x14ac:dyDescent="0.3">
      <c r="A424" t="s">
        <v>3322</v>
      </c>
      <c r="B424" t="s">
        <v>5292</v>
      </c>
      <c r="D424" t="s">
        <v>1915</v>
      </c>
      <c r="E424" t="s">
        <v>39</v>
      </c>
      <c r="F424" t="s">
        <v>22</v>
      </c>
      <c r="H424" t="s">
        <v>4755</v>
      </c>
      <c r="I424" t="s">
        <v>4755</v>
      </c>
      <c r="J424" t="s">
        <v>4480</v>
      </c>
      <c r="K424" t="s">
        <v>5139</v>
      </c>
      <c r="L424" t="s">
        <v>25</v>
      </c>
      <c r="M424" t="s">
        <v>1915</v>
      </c>
      <c r="N424" t="s">
        <v>4732</v>
      </c>
      <c r="O424" t="s">
        <v>4733</v>
      </c>
      <c r="Q424">
        <v>0</v>
      </c>
      <c r="R424">
        <v>440</v>
      </c>
      <c r="S424">
        <v>1</v>
      </c>
      <c r="V424" t="s">
        <v>4543</v>
      </c>
      <c r="AA424" t="s">
        <v>4760</v>
      </c>
      <c r="AB424" t="s">
        <v>4928</v>
      </c>
      <c r="AF424">
        <v>1</v>
      </c>
      <c r="AG424">
        <v>1</v>
      </c>
      <c r="AH424">
        <v>0</v>
      </c>
    </row>
    <row r="425" spans="1:34" x14ac:dyDescent="0.3">
      <c r="A425" t="s">
        <v>5293</v>
      </c>
      <c r="B425" t="s">
        <v>5294</v>
      </c>
      <c r="D425" t="s">
        <v>2801</v>
      </c>
      <c r="E425" t="s">
        <v>39</v>
      </c>
      <c r="F425" t="s">
        <v>22</v>
      </c>
      <c r="I425" t="s">
        <v>4713</v>
      </c>
      <c r="J425" t="s">
        <v>4480</v>
      </c>
      <c r="K425" t="s">
        <v>5139</v>
      </c>
      <c r="L425" t="s">
        <v>25</v>
      </c>
      <c r="M425" t="s">
        <v>2801</v>
      </c>
      <c r="N425" t="s">
        <v>4732</v>
      </c>
      <c r="O425" t="s">
        <v>4733</v>
      </c>
      <c r="Q425">
        <v>0</v>
      </c>
      <c r="R425">
        <v>433</v>
      </c>
      <c r="S425">
        <v>1</v>
      </c>
      <c r="V425" t="s">
        <v>4546</v>
      </c>
      <c r="AA425" t="s">
        <v>4760</v>
      </c>
      <c r="AB425" t="s">
        <v>4928</v>
      </c>
      <c r="AF425">
        <v>1</v>
      </c>
      <c r="AG425">
        <v>1</v>
      </c>
      <c r="AH425">
        <v>0</v>
      </c>
    </row>
    <row r="426" spans="1:34" x14ac:dyDescent="0.3">
      <c r="A426" t="s">
        <v>3328</v>
      </c>
      <c r="B426" t="s">
        <v>5295</v>
      </c>
      <c r="D426" t="s">
        <v>2801</v>
      </c>
      <c r="E426" t="s">
        <v>39</v>
      </c>
      <c r="F426" t="s">
        <v>22</v>
      </c>
      <c r="H426" t="s">
        <v>4755</v>
      </c>
      <c r="I426" t="s">
        <v>4755</v>
      </c>
      <c r="J426" t="s">
        <v>4480</v>
      </c>
      <c r="K426" t="s">
        <v>5139</v>
      </c>
      <c r="L426" t="s">
        <v>25</v>
      </c>
      <c r="M426" t="s">
        <v>2801</v>
      </c>
      <c r="N426" t="s">
        <v>4732</v>
      </c>
      <c r="O426" t="s">
        <v>4733</v>
      </c>
      <c r="Q426">
        <v>0</v>
      </c>
      <c r="R426">
        <v>434</v>
      </c>
      <c r="S426">
        <v>1</v>
      </c>
      <c r="V426" t="s">
        <v>4546</v>
      </c>
      <c r="AA426" t="s">
        <v>4760</v>
      </c>
      <c r="AB426" t="s">
        <v>4928</v>
      </c>
      <c r="AF426">
        <v>1</v>
      </c>
      <c r="AG426">
        <v>1</v>
      </c>
      <c r="AH426">
        <v>0</v>
      </c>
    </row>
    <row r="427" spans="1:34" x14ac:dyDescent="0.3">
      <c r="A427" t="s">
        <v>3334</v>
      </c>
      <c r="B427" t="s">
        <v>5296</v>
      </c>
      <c r="D427" t="s">
        <v>2801</v>
      </c>
      <c r="E427" t="s">
        <v>39</v>
      </c>
      <c r="F427" t="s">
        <v>22</v>
      </c>
      <c r="H427" t="s">
        <v>4755</v>
      </c>
      <c r="I427" t="s">
        <v>4755</v>
      </c>
      <c r="J427" t="s">
        <v>4480</v>
      </c>
      <c r="K427" t="s">
        <v>5139</v>
      </c>
      <c r="L427" t="s">
        <v>25</v>
      </c>
      <c r="M427" t="s">
        <v>2801</v>
      </c>
      <c r="N427" t="s">
        <v>4732</v>
      </c>
      <c r="O427" t="s">
        <v>4733</v>
      </c>
      <c r="Q427">
        <v>0</v>
      </c>
      <c r="R427">
        <v>435</v>
      </c>
      <c r="S427">
        <v>1</v>
      </c>
      <c r="V427" t="s">
        <v>4546</v>
      </c>
      <c r="AA427" t="s">
        <v>4760</v>
      </c>
      <c r="AB427" t="s">
        <v>4928</v>
      </c>
      <c r="AF427">
        <v>1</v>
      </c>
      <c r="AG427">
        <v>1</v>
      </c>
      <c r="AH427">
        <v>0</v>
      </c>
    </row>
    <row r="428" spans="1:34" x14ac:dyDescent="0.3">
      <c r="A428" t="s">
        <v>3340</v>
      </c>
      <c r="B428" t="s">
        <v>5297</v>
      </c>
      <c r="D428" t="s">
        <v>2801</v>
      </c>
      <c r="E428" t="s">
        <v>39</v>
      </c>
      <c r="F428" t="s">
        <v>22</v>
      </c>
      <c r="H428" t="s">
        <v>4755</v>
      </c>
      <c r="I428" t="s">
        <v>4755</v>
      </c>
      <c r="J428" t="s">
        <v>4480</v>
      </c>
      <c r="K428" t="s">
        <v>5139</v>
      </c>
      <c r="L428" t="s">
        <v>25</v>
      </c>
      <c r="M428" t="s">
        <v>2801</v>
      </c>
      <c r="N428" t="s">
        <v>4732</v>
      </c>
      <c r="O428" t="s">
        <v>4733</v>
      </c>
      <c r="Q428">
        <v>0</v>
      </c>
      <c r="R428">
        <v>436</v>
      </c>
      <c r="S428">
        <v>1</v>
      </c>
      <c r="V428" t="s">
        <v>4546</v>
      </c>
      <c r="AA428" t="s">
        <v>4760</v>
      </c>
      <c r="AB428" t="s">
        <v>4928</v>
      </c>
      <c r="AF428">
        <v>1</v>
      </c>
      <c r="AG428">
        <v>1</v>
      </c>
      <c r="AH428">
        <v>0</v>
      </c>
    </row>
    <row r="429" spans="1:34" x14ac:dyDescent="0.3">
      <c r="A429" t="s">
        <v>3346</v>
      </c>
      <c r="B429" t="s">
        <v>5298</v>
      </c>
      <c r="D429" t="s">
        <v>2801</v>
      </c>
      <c r="E429" t="s">
        <v>39</v>
      </c>
      <c r="F429" t="s">
        <v>22</v>
      </c>
      <c r="H429" t="s">
        <v>4755</v>
      </c>
      <c r="I429" t="s">
        <v>4755</v>
      </c>
      <c r="J429" t="s">
        <v>4480</v>
      </c>
      <c r="K429" t="s">
        <v>5139</v>
      </c>
      <c r="L429" t="s">
        <v>25</v>
      </c>
      <c r="M429" t="s">
        <v>2801</v>
      </c>
      <c r="N429" t="s">
        <v>4732</v>
      </c>
      <c r="O429" t="s">
        <v>4733</v>
      </c>
      <c r="Q429">
        <v>0</v>
      </c>
      <c r="R429">
        <v>437</v>
      </c>
      <c r="S429">
        <v>1</v>
      </c>
      <c r="V429" t="s">
        <v>4546</v>
      </c>
      <c r="AA429" t="s">
        <v>4760</v>
      </c>
      <c r="AB429" t="s">
        <v>4928</v>
      </c>
      <c r="AF429">
        <v>1</v>
      </c>
      <c r="AG429">
        <v>1</v>
      </c>
      <c r="AH429">
        <v>0</v>
      </c>
    </row>
    <row r="430" spans="1:34" x14ac:dyDescent="0.3">
      <c r="A430" t="s">
        <v>3352</v>
      </c>
      <c r="B430" t="s">
        <v>5299</v>
      </c>
      <c r="D430" t="s">
        <v>2801</v>
      </c>
      <c r="E430" t="s">
        <v>39</v>
      </c>
      <c r="F430" t="s">
        <v>22</v>
      </c>
      <c r="H430" t="s">
        <v>4755</v>
      </c>
      <c r="I430" t="s">
        <v>4755</v>
      </c>
      <c r="J430" t="s">
        <v>4480</v>
      </c>
      <c r="K430" t="s">
        <v>5139</v>
      </c>
      <c r="L430" t="s">
        <v>25</v>
      </c>
      <c r="M430" t="s">
        <v>2801</v>
      </c>
      <c r="N430" t="s">
        <v>4732</v>
      </c>
      <c r="O430" t="s">
        <v>4733</v>
      </c>
      <c r="Q430">
        <v>0</v>
      </c>
      <c r="R430">
        <v>438</v>
      </c>
      <c r="S430">
        <v>1</v>
      </c>
      <c r="V430" t="s">
        <v>4546</v>
      </c>
      <c r="AA430" t="s">
        <v>4760</v>
      </c>
      <c r="AB430" t="s">
        <v>4928</v>
      </c>
      <c r="AF430">
        <v>1</v>
      </c>
      <c r="AG430">
        <v>1</v>
      </c>
      <c r="AH430">
        <v>0</v>
      </c>
    </row>
    <row r="431" spans="1:34" x14ac:dyDescent="0.3">
      <c r="A431" t="s">
        <v>3358</v>
      </c>
      <c r="B431" t="s">
        <v>5300</v>
      </c>
      <c r="D431" t="s">
        <v>2801</v>
      </c>
      <c r="E431" t="s">
        <v>39</v>
      </c>
      <c r="F431" t="s">
        <v>22</v>
      </c>
      <c r="H431" t="s">
        <v>4755</v>
      </c>
      <c r="I431" t="s">
        <v>4755</v>
      </c>
      <c r="J431" t="s">
        <v>4480</v>
      </c>
      <c r="K431" t="s">
        <v>5139</v>
      </c>
      <c r="L431" t="s">
        <v>25</v>
      </c>
      <c r="M431" t="s">
        <v>2801</v>
      </c>
      <c r="N431" t="s">
        <v>4732</v>
      </c>
      <c r="O431" t="s">
        <v>4733</v>
      </c>
      <c r="Q431">
        <v>0</v>
      </c>
      <c r="R431">
        <v>439</v>
      </c>
      <c r="S431">
        <v>1</v>
      </c>
      <c r="V431" t="s">
        <v>4546</v>
      </c>
      <c r="AA431" t="s">
        <v>4760</v>
      </c>
      <c r="AB431" t="s">
        <v>4928</v>
      </c>
      <c r="AF431">
        <v>1</v>
      </c>
      <c r="AG431">
        <v>1</v>
      </c>
      <c r="AH431">
        <v>0</v>
      </c>
    </row>
    <row r="432" spans="1:34" x14ac:dyDescent="0.3">
      <c r="A432" t="s">
        <v>3364</v>
      </c>
      <c r="B432" t="s">
        <v>5301</v>
      </c>
      <c r="D432" t="s">
        <v>2801</v>
      </c>
      <c r="E432" t="s">
        <v>39</v>
      </c>
      <c r="F432" t="s">
        <v>22</v>
      </c>
      <c r="H432" t="s">
        <v>4755</v>
      </c>
      <c r="I432" t="s">
        <v>4755</v>
      </c>
      <c r="J432" t="s">
        <v>4480</v>
      </c>
      <c r="K432" t="s">
        <v>5139</v>
      </c>
      <c r="L432" t="s">
        <v>25</v>
      </c>
      <c r="M432" t="s">
        <v>2801</v>
      </c>
      <c r="N432" t="s">
        <v>4732</v>
      </c>
      <c r="O432" t="s">
        <v>4733</v>
      </c>
      <c r="Q432">
        <v>0</v>
      </c>
      <c r="R432">
        <v>439</v>
      </c>
      <c r="S432">
        <v>1</v>
      </c>
      <c r="V432" t="s">
        <v>4546</v>
      </c>
      <c r="AA432" t="s">
        <v>4760</v>
      </c>
      <c r="AB432" t="s">
        <v>4928</v>
      </c>
      <c r="AF432">
        <v>1</v>
      </c>
      <c r="AG432">
        <v>1</v>
      </c>
      <c r="AH432">
        <v>0</v>
      </c>
    </row>
    <row r="433" spans="1:34" x14ac:dyDescent="0.3">
      <c r="A433" t="s">
        <v>3370</v>
      </c>
      <c r="B433" t="s">
        <v>5302</v>
      </c>
      <c r="D433" t="s">
        <v>2801</v>
      </c>
      <c r="E433" t="s">
        <v>39</v>
      </c>
      <c r="F433" t="s">
        <v>22</v>
      </c>
      <c r="H433" t="s">
        <v>4755</v>
      </c>
      <c r="I433" t="s">
        <v>4755</v>
      </c>
      <c r="J433" t="s">
        <v>4480</v>
      </c>
      <c r="K433" t="s">
        <v>5139</v>
      </c>
      <c r="L433" t="s">
        <v>25</v>
      </c>
      <c r="M433" t="s">
        <v>2801</v>
      </c>
      <c r="N433" t="s">
        <v>4732</v>
      </c>
      <c r="O433" t="s">
        <v>4733</v>
      </c>
      <c r="Q433">
        <v>0</v>
      </c>
      <c r="R433">
        <v>432</v>
      </c>
      <c r="S433">
        <v>1</v>
      </c>
      <c r="V433" t="s">
        <v>4546</v>
      </c>
      <c r="AA433" t="s">
        <v>4760</v>
      </c>
      <c r="AB433" t="s">
        <v>4928</v>
      </c>
      <c r="AF433">
        <v>1</v>
      </c>
      <c r="AG433">
        <v>1</v>
      </c>
      <c r="AH433">
        <v>0</v>
      </c>
    </row>
    <row r="434" spans="1:34" x14ac:dyDescent="0.3">
      <c r="A434">
        <v>470</v>
      </c>
      <c r="B434" t="s">
        <v>2465</v>
      </c>
      <c r="C434" t="s">
        <v>4712</v>
      </c>
      <c r="D434" t="s">
        <v>1263</v>
      </c>
      <c r="E434" t="s">
        <v>39</v>
      </c>
      <c r="F434" t="s">
        <v>22</v>
      </c>
      <c r="G434" t="s">
        <v>3608</v>
      </c>
      <c r="H434" t="s">
        <v>4729</v>
      </c>
      <c r="I434" t="s">
        <v>4730</v>
      </c>
      <c r="J434" t="s">
        <v>4480</v>
      </c>
      <c r="K434" t="s">
        <v>5139</v>
      </c>
      <c r="L434" t="s">
        <v>25</v>
      </c>
      <c r="M434" t="s">
        <v>1263</v>
      </c>
      <c r="N434" t="s">
        <v>4732</v>
      </c>
      <c r="O434" t="s">
        <v>4733</v>
      </c>
      <c r="Q434">
        <v>0</v>
      </c>
      <c r="R434">
        <v>377</v>
      </c>
      <c r="S434">
        <v>1</v>
      </c>
      <c r="U434" t="s">
        <v>5303</v>
      </c>
      <c r="V434" t="s">
        <v>4758</v>
      </c>
      <c r="W434" t="s">
        <v>4954</v>
      </c>
      <c r="X434" t="s">
        <v>4954</v>
      </c>
      <c r="Z434" t="s">
        <v>4737</v>
      </c>
      <c r="AA434" t="s">
        <v>4760</v>
      </c>
      <c r="AB434" t="s">
        <v>4928</v>
      </c>
      <c r="AF434">
        <v>0</v>
      </c>
      <c r="AG434">
        <v>1</v>
      </c>
      <c r="AH434">
        <v>0</v>
      </c>
    </row>
    <row r="435" spans="1:34" x14ac:dyDescent="0.3">
      <c r="A435" t="s">
        <v>3376</v>
      </c>
      <c r="B435" t="s">
        <v>5304</v>
      </c>
      <c r="D435" t="s">
        <v>461</v>
      </c>
      <c r="E435" t="s">
        <v>39</v>
      </c>
      <c r="F435" t="s">
        <v>22</v>
      </c>
      <c r="H435" t="s">
        <v>4755</v>
      </c>
      <c r="I435" t="s">
        <v>4755</v>
      </c>
      <c r="J435" t="s">
        <v>4480</v>
      </c>
      <c r="K435" t="s">
        <v>5139</v>
      </c>
      <c r="L435" t="s">
        <v>25</v>
      </c>
      <c r="M435" t="s">
        <v>461</v>
      </c>
      <c r="N435" t="s">
        <v>4732</v>
      </c>
      <c r="O435" t="s">
        <v>4733</v>
      </c>
      <c r="Q435">
        <v>0</v>
      </c>
      <c r="R435">
        <v>377</v>
      </c>
      <c r="S435">
        <v>1</v>
      </c>
      <c r="V435" t="s">
        <v>4546</v>
      </c>
      <c r="AA435" t="s">
        <v>4760</v>
      </c>
      <c r="AB435" t="s">
        <v>4928</v>
      </c>
      <c r="AF435">
        <v>0</v>
      </c>
      <c r="AG435">
        <v>1</v>
      </c>
      <c r="AH435">
        <v>0</v>
      </c>
    </row>
    <row r="436" spans="1:34" x14ac:dyDescent="0.3">
      <c r="A436" t="s">
        <v>3382</v>
      </c>
      <c r="B436" t="s">
        <v>5305</v>
      </c>
      <c r="D436" t="s">
        <v>546</v>
      </c>
      <c r="E436" t="s">
        <v>39</v>
      </c>
      <c r="F436" t="s">
        <v>22</v>
      </c>
      <c r="H436" t="s">
        <v>4755</v>
      </c>
      <c r="I436" t="s">
        <v>4755</v>
      </c>
      <c r="J436" t="s">
        <v>4480</v>
      </c>
      <c r="K436" t="s">
        <v>5139</v>
      </c>
      <c r="L436" t="s">
        <v>25</v>
      </c>
      <c r="M436" t="s">
        <v>546</v>
      </c>
      <c r="N436" t="s">
        <v>4732</v>
      </c>
      <c r="O436" t="s">
        <v>4733</v>
      </c>
      <c r="Q436">
        <v>0</v>
      </c>
      <c r="R436">
        <v>377</v>
      </c>
      <c r="S436">
        <v>1</v>
      </c>
      <c r="V436" t="s">
        <v>4546</v>
      </c>
      <c r="AA436" t="s">
        <v>4760</v>
      </c>
      <c r="AB436" t="s">
        <v>4928</v>
      </c>
      <c r="AF436">
        <v>0</v>
      </c>
      <c r="AG436">
        <v>1</v>
      </c>
      <c r="AH436">
        <v>0</v>
      </c>
    </row>
    <row r="437" spans="1:34" x14ac:dyDescent="0.3">
      <c r="A437" t="s">
        <v>3388</v>
      </c>
      <c r="B437" t="s">
        <v>5306</v>
      </c>
      <c r="D437" t="s">
        <v>1336</v>
      </c>
      <c r="E437" t="s">
        <v>39</v>
      </c>
      <c r="F437" t="s">
        <v>22</v>
      </c>
      <c r="H437" t="s">
        <v>4755</v>
      </c>
      <c r="I437" t="s">
        <v>4755</v>
      </c>
      <c r="J437" t="s">
        <v>4480</v>
      </c>
      <c r="K437" t="s">
        <v>5139</v>
      </c>
      <c r="L437" t="s">
        <v>25</v>
      </c>
      <c r="M437" t="s">
        <v>1336</v>
      </c>
      <c r="N437" t="s">
        <v>4732</v>
      </c>
      <c r="O437" t="s">
        <v>4733</v>
      </c>
      <c r="Q437">
        <v>0</v>
      </c>
      <c r="R437">
        <v>377</v>
      </c>
      <c r="S437">
        <v>1</v>
      </c>
      <c r="V437" t="s">
        <v>4546</v>
      </c>
      <c r="AA437" t="s">
        <v>4760</v>
      </c>
      <c r="AB437" t="s">
        <v>4928</v>
      </c>
      <c r="AF437">
        <v>0</v>
      </c>
      <c r="AG437">
        <v>1</v>
      </c>
      <c r="AH437">
        <v>0</v>
      </c>
    </row>
    <row r="438" spans="1:34" x14ac:dyDescent="0.3">
      <c r="A438" t="s">
        <v>3394</v>
      </c>
      <c r="B438" t="s">
        <v>5307</v>
      </c>
      <c r="D438" t="s">
        <v>2801</v>
      </c>
      <c r="E438" t="s">
        <v>39</v>
      </c>
      <c r="F438" t="s">
        <v>22</v>
      </c>
      <c r="H438" t="s">
        <v>4755</v>
      </c>
      <c r="I438" t="s">
        <v>4755</v>
      </c>
      <c r="J438" t="s">
        <v>4480</v>
      </c>
      <c r="K438" t="s">
        <v>5139</v>
      </c>
      <c r="L438" t="s">
        <v>25</v>
      </c>
      <c r="M438" t="s">
        <v>2801</v>
      </c>
      <c r="N438" t="s">
        <v>4732</v>
      </c>
      <c r="O438" t="s">
        <v>4733</v>
      </c>
      <c r="Q438">
        <v>0</v>
      </c>
      <c r="R438">
        <v>377</v>
      </c>
      <c r="S438">
        <v>1</v>
      </c>
      <c r="V438" t="s">
        <v>4546</v>
      </c>
      <c r="AA438" t="s">
        <v>4760</v>
      </c>
      <c r="AB438" t="s">
        <v>4928</v>
      </c>
      <c r="AF438">
        <v>0</v>
      </c>
      <c r="AG438">
        <v>1</v>
      </c>
      <c r="AH438">
        <v>0</v>
      </c>
    </row>
    <row r="439" spans="1:34" x14ac:dyDescent="0.3">
      <c r="A439" t="s">
        <v>3400</v>
      </c>
      <c r="B439" t="s">
        <v>5308</v>
      </c>
      <c r="D439" t="s">
        <v>1654</v>
      </c>
      <c r="E439" t="s">
        <v>39</v>
      </c>
      <c r="F439" t="s">
        <v>22</v>
      </c>
      <c r="H439" t="s">
        <v>4755</v>
      </c>
      <c r="I439" t="s">
        <v>4755</v>
      </c>
      <c r="J439" t="s">
        <v>4480</v>
      </c>
      <c r="K439" t="s">
        <v>5139</v>
      </c>
      <c r="L439" t="s">
        <v>25</v>
      </c>
      <c r="M439" t="s">
        <v>1654</v>
      </c>
      <c r="N439" t="s">
        <v>4732</v>
      </c>
      <c r="O439" t="s">
        <v>4733</v>
      </c>
      <c r="Q439">
        <v>0</v>
      </c>
      <c r="R439">
        <v>377</v>
      </c>
      <c r="S439">
        <v>1</v>
      </c>
      <c r="V439" t="s">
        <v>4546</v>
      </c>
      <c r="AA439" t="s">
        <v>4760</v>
      </c>
      <c r="AB439" t="s">
        <v>4928</v>
      </c>
      <c r="AF439">
        <v>0</v>
      </c>
      <c r="AG439">
        <v>1</v>
      </c>
      <c r="AH439">
        <v>0</v>
      </c>
    </row>
    <row r="440" spans="1:34" x14ac:dyDescent="0.3">
      <c r="A440">
        <v>471</v>
      </c>
      <c r="B440" t="s">
        <v>2474</v>
      </c>
      <c r="C440" t="s">
        <v>4712</v>
      </c>
      <c r="D440" t="s">
        <v>1263</v>
      </c>
      <c r="E440" t="s">
        <v>39</v>
      </c>
      <c r="F440" t="s">
        <v>22</v>
      </c>
      <c r="G440" t="s">
        <v>3608</v>
      </c>
      <c r="H440" t="s">
        <v>4729</v>
      </c>
      <c r="I440" t="s">
        <v>4730</v>
      </c>
      <c r="J440" t="s">
        <v>4480</v>
      </c>
      <c r="K440" t="s">
        <v>5139</v>
      </c>
      <c r="L440" t="s">
        <v>25</v>
      </c>
      <c r="M440" t="s">
        <v>55</v>
      </c>
      <c r="N440" t="s">
        <v>4732</v>
      </c>
      <c r="O440" t="s">
        <v>4733</v>
      </c>
      <c r="Q440">
        <v>0</v>
      </c>
      <c r="R440">
        <v>378</v>
      </c>
      <c r="S440">
        <v>1</v>
      </c>
      <c r="U440" t="s">
        <v>5309</v>
      </c>
      <c r="V440" t="s">
        <v>4758</v>
      </c>
      <c r="W440" t="s">
        <v>4954</v>
      </c>
      <c r="X440" t="s">
        <v>4954</v>
      </c>
      <c r="Z440" t="s">
        <v>4737</v>
      </c>
      <c r="AA440" t="s">
        <v>4760</v>
      </c>
      <c r="AB440" t="s">
        <v>4928</v>
      </c>
      <c r="AF440">
        <v>1</v>
      </c>
      <c r="AG440">
        <v>1</v>
      </c>
      <c r="AH440">
        <v>1</v>
      </c>
    </row>
    <row r="441" spans="1:34" x14ac:dyDescent="0.3">
      <c r="A441" t="s">
        <v>3406</v>
      </c>
      <c r="B441" t="s">
        <v>5310</v>
      </c>
      <c r="D441" t="s">
        <v>55</v>
      </c>
      <c r="E441" t="s">
        <v>39</v>
      </c>
      <c r="F441" t="s">
        <v>22</v>
      </c>
      <c r="H441" t="s">
        <v>4755</v>
      </c>
      <c r="I441" t="s">
        <v>4755</v>
      </c>
      <c r="L441" t="s">
        <v>25</v>
      </c>
      <c r="M441" t="s">
        <v>55</v>
      </c>
      <c r="N441" t="s">
        <v>4732</v>
      </c>
      <c r="O441" t="s">
        <v>4733</v>
      </c>
      <c r="Q441">
        <v>0</v>
      </c>
      <c r="R441">
        <v>378</v>
      </c>
      <c r="S441">
        <v>1</v>
      </c>
      <c r="V441" t="s">
        <v>4744</v>
      </c>
      <c r="AA441" t="s">
        <v>4760</v>
      </c>
      <c r="AB441" t="s">
        <v>4928</v>
      </c>
      <c r="AF441">
        <v>1</v>
      </c>
      <c r="AG441">
        <v>1</v>
      </c>
      <c r="AH441">
        <v>1</v>
      </c>
    </row>
    <row r="442" spans="1:34" x14ac:dyDescent="0.3">
      <c r="A442" t="s">
        <v>3412</v>
      </c>
      <c r="B442" t="s">
        <v>5311</v>
      </c>
      <c r="D442" t="s">
        <v>55</v>
      </c>
      <c r="E442" t="s">
        <v>39</v>
      </c>
      <c r="F442" t="s">
        <v>22</v>
      </c>
      <c r="H442" t="s">
        <v>4755</v>
      </c>
      <c r="I442" t="s">
        <v>4755</v>
      </c>
      <c r="L442" t="s">
        <v>25</v>
      </c>
      <c r="M442" t="s">
        <v>55</v>
      </c>
      <c r="N442" t="s">
        <v>4732</v>
      </c>
      <c r="O442" t="s">
        <v>4733</v>
      </c>
      <c r="Q442">
        <v>0</v>
      </c>
      <c r="R442">
        <v>378</v>
      </c>
      <c r="S442">
        <v>1</v>
      </c>
      <c r="V442" t="s">
        <v>4744</v>
      </c>
      <c r="AA442" t="s">
        <v>4760</v>
      </c>
      <c r="AB442" t="s">
        <v>4928</v>
      </c>
      <c r="AF442">
        <v>1</v>
      </c>
      <c r="AG442">
        <v>1</v>
      </c>
      <c r="AH442">
        <v>1</v>
      </c>
    </row>
    <row r="443" spans="1:34" x14ac:dyDescent="0.3">
      <c r="A443" t="s">
        <v>3418</v>
      </c>
      <c r="B443" t="s">
        <v>5312</v>
      </c>
      <c r="D443" t="s">
        <v>55</v>
      </c>
      <c r="E443" t="s">
        <v>39</v>
      </c>
      <c r="F443" t="s">
        <v>22</v>
      </c>
      <c r="H443" t="s">
        <v>4755</v>
      </c>
      <c r="I443" t="s">
        <v>4755</v>
      </c>
      <c r="L443" t="s">
        <v>25</v>
      </c>
      <c r="M443" t="s">
        <v>55</v>
      </c>
      <c r="N443" t="s">
        <v>4732</v>
      </c>
      <c r="O443" t="s">
        <v>4733</v>
      </c>
      <c r="Q443">
        <v>0</v>
      </c>
      <c r="R443">
        <v>378</v>
      </c>
      <c r="S443">
        <v>1</v>
      </c>
      <c r="V443" t="s">
        <v>4744</v>
      </c>
      <c r="AA443" t="s">
        <v>4760</v>
      </c>
      <c r="AB443" t="s">
        <v>4928</v>
      </c>
      <c r="AF443">
        <v>1</v>
      </c>
      <c r="AG443">
        <v>1</v>
      </c>
      <c r="AH443">
        <v>1</v>
      </c>
    </row>
    <row r="444" spans="1:34" x14ac:dyDescent="0.3">
      <c r="A444" t="s">
        <v>3424</v>
      </c>
      <c r="B444" t="s">
        <v>5313</v>
      </c>
      <c r="D444" t="s">
        <v>55</v>
      </c>
      <c r="E444" t="s">
        <v>39</v>
      </c>
      <c r="F444" t="s">
        <v>22</v>
      </c>
      <c r="H444" t="s">
        <v>4755</v>
      </c>
      <c r="I444" t="s">
        <v>4755</v>
      </c>
      <c r="L444" t="s">
        <v>25</v>
      </c>
      <c r="M444" t="s">
        <v>55</v>
      </c>
      <c r="N444" t="s">
        <v>4732</v>
      </c>
      <c r="O444" t="s">
        <v>4733</v>
      </c>
      <c r="Q444">
        <v>0</v>
      </c>
      <c r="R444">
        <v>378</v>
      </c>
      <c r="S444">
        <v>1</v>
      </c>
      <c r="V444" t="s">
        <v>4744</v>
      </c>
      <c r="AA444" t="s">
        <v>4760</v>
      </c>
      <c r="AB444" t="s">
        <v>4928</v>
      </c>
      <c r="AF444">
        <v>1</v>
      </c>
      <c r="AG444">
        <v>1</v>
      </c>
      <c r="AH444">
        <v>1</v>
      </c>
    </row>
    <row r="445" spans="1:34" x14ac:dyDescent="0.3">
      <c r="A445" t="s">
        <v>3430</v>
      </c>
      <c r="B445" t="s">
        <v>5314</v>
      </c>
      <c r="D445" t="s">
        <v>55</v>
      </c>
      <c r="E445" t="s">
        <v>39</v>
      </c>
      <c r="F445" t="s">
        <v>22</v>
      </c>
      <c r="H445" t="s">
        <v>4755</v>
      </c>
      <c r="I445" t="s">
        <v>4755</v>
      </c>
      <c r="L445" t="s">
        <v>25</v>
      </c>
      <c r="M445" t="s">
        <v>55</v>
      </c>
      <c r="N445" t="s">
        <v>4732</v>
      </c>
      <c r="O445" t="s">
        <v>4733</v>
      </c>
      <c r="Q445">
        <v>0</v>
      </c>
      <c r="R445">
        <v>378</v>
      </c>
      <c r="S445">
        <v>1</v>
      </c>
      <c r="V445" t="s">
        <v>4744</v>
      </c>
      <c r="AA445" t="s">
        <v>4760</v>
      </c>
      <c r="AB445" t="s">
        <v>4928</v>
      </c>
      <c r="AF445">
        <v>1</v>
      </c>
      <c r="AG445">
        <v>1</v>
      </c>
      <c r="AH445">
        <v>1</v>
      </c>
    </row>
    <row r="446" spans="1:34" x14ac:dyDescent="0.3">
      <c r="A446" t="s">
        <v>3436</v>
      </c>
      <c r="B446" t="s">
        <v>5315</v>
      </c>
      <c r="D446" t="s">
        <v>55</v>
      </c>
      <c r="E446" t="s">
        <v>39</v>
      </c>
      <c r="F446" t="s">
        <v>22</v>
      </c>
      <c r="H446" t="s">
        <v>4755</v>
      </c>
      <c r="I446" t="s">
        <v>4755</v>
      </c>
      <c r="L446" t="s">
        <v>25</v>
      </c>
      <c r="M446" t="s">
        <v>55</v>
      </c>
      <c r="N446" t="s">
        <v>4732</v>
      </c>
      <c r="O446" t="s">
        <v>4733</v>
      </c>
      <c r="Q446">
        <v>0</v>
      </c>
      <c r="R446">
        <v>378</v>
      </c>
      <c r="S446">
        <v>1</v>
      </c>
      <c r="V446" t="s">
        <v>4744</v>
      </c>
      <c r="AA446" t="s">
        <v>4760</v>
      </c>
      <c r="AB446" t="s">
        <v>4928</v>
      </c>
      <c r="AF446">
        <v>1</v>
      </c>
      <c r="AG446">
        <v>1</v>
      </c>
      <c r="AH446">
        <v>1</v>
      </c>
    </row>
    <row r="447" spans="1:34" x14ac:dyDescent="0.3">
      <c r="A447" t="s">
        <v>3442</v>
      </c>
      <c r="B447" t="s">
        <v>5316</v>
      </c>
      <c r="D447" t="s">
        <v>55</v>
      </c>
      <c r="E447" t="s">
        <v>39</v>
      </c>
      <c r="F447" t="s">
        <v>22</v>
      </c>
      <c r="H447" t="s">
        <v>4755</v>
      </c>
      <c r="I447" t="s">
        <v>4755</v>
      </c>
      <c r="L447" t="s">
        <v>25</v>
      </c>
      <c r="M447" t="s">
        <v>55</v>
      </c>
      <c r="N447" t="s">
        <v>4732</v>
      </c>
      <c r="O447" t="s">
        <v>4733</v>
      </c>
      <c r="Q447">
        <v>0</v>
      </c>
      <c r="R447">
        <v>378</v>
      </c>
      <c r="S447">
        <v>1</v>
      </c>
      <c r="V447" t="s">
        <v>4744</v>
      </c>
      <c r="AA447" t="s">
        <v>4760</v>
      </c>
      <c r="AB447" t="s">
        <v>4928</v>
      </c>
      <c r="AF447">
        <v>1</v>
      </c>
      <c r="AG447">
        <v>1</v>
      </c>
      <c r="AH447">
        <v>1</v>
      </c>
    </row>
    <row r="448" spans="1:34" x14ac:dyDescent="0.3">
      <c r="A448">
        <v>472</v>
      </c>
      <c r="B448" t="s">
        <v>2483</v>
      </c>
      <c r="C448" t="s">
        <v>4712</v>
      </c>
      <c r="D448" t="s">
        <v>1758</v>
      </c>
      <c r="E448" t="s">
        <v>21</v>
      </c>
      <c r="F448" t="s">
        <v>22</v>
      </c>
      <c r="H448" t="s">
        <v>4755</v>
      </c>
      <c r="I448" t="s">
        <v>4755</v>
      </c>
      <c r="J448" t="s">
        <v>4480</v>
      </c>
      <c r="L448" t="s">
        <v>25</v>
      </c>
      <c r="M448" t="s">
        <v>1758</v>
      </c>
      <c r="N448" t="s">
        <v>4732</v>
      </c>
      <c r="O448" t="s">
        <v>4733</v>
      </c>
      <c r="Q448">
        <v>0</v>
      </c>
      <c r="R448">
        <v>379</v>
      </c>
      <c r="S448">
        <v>0</v>
      </c>
      <c r="U448" t="s">
        <v>5317</v>
      </c>
      <c r="V448" t="s">
        <v>4544</v>
      </c>
      <c r="W448" t="s">
        <v>5287</v>
      </c>
      <c r="X448" t="s">
        <v>5287</v>
      </c>
      <c r="Z448" t="s">
        <v>4737</v>
      </c>
      <c r="AA448" t="s">
        <v>4766</v>
      </c>
      <c r="AB448" t="s">
        <v>4761</v>
      </c>
      <c r="AD448">
        <v>1</v>
      </c>
      <c r="AF448">
        <v>1</v>
      </c>
      <c r="AG448">
        <v>1</v>
      </c>
      <c r="AH448">
        <v>0</v>
      </c>
    </row>
    <row r="449" spans="1:34" x14ac:dyDescent="0.3">
      <c r="A449">
        <v>473</v>
      </c>
      <c r="B449" t="s">
        <v>2488</v>
      </c>
      <c r="C449" t="s">
        <v>4712</v>
      </c>
      <c r="D449" t="s">
        <v>1234</v>
      </c>
      <c r="E449" t="s">
        <v>21</v>
      </c>
      <c r="F449" t="s">
        <v>22</v>
      </c>
      <c r="G449" t="s">
        <v>3608</v>
      </c>
      <c r="H449" t="s">
        <v>4729</v>
      </c>
      <c r="I449" t="s">
        <v>4730</v>
      </c>
      <c r="J449" t="s">
        <v>4731</v>
      </c>
      <c r="L449" t="s">
        <v>203</v>
      </c>
      <c r="M449" t="s">
        <v>1234</v>
      </c>
      <c r="N449" t="s">
        <v>4542</v>
      </c>
      <c r="O449" t="s">
        <v>4863</v>
      </c>
      <c r="P449" t="s">
        <v>4948</v>
      </c>
      <c r="Q449">
        <v>0</v>
      </c>
      <c r="R449">
        <v>18</v>
      </c>
      <c r="S449">
        <v>0</v>
      </c>
      <c r="U449" t="s">
        <v>5318</v>
      </c>
      <c r="V449" t="s">
        <v>4546</v>
      </c>
      <c r="W449" t="s">
        <v>5319</v>
      </c>
      <c r="X449" t="s">
        <v>5319</v>
      </c>
      <c r="Z449" t="s">
        <v>4771</v>
      </c>
      <c r="AA449" t="s">
        <v>4718</v>
      </c>
      <c r="AB449" t="s">
        <v>4719</v>
      </c>
      <c r="AE449">
        <v>1</v>
      </c>
      <c r="AF449">
        <v>1</v>
      </c>
      <c r="AG449">
        <v>1</v>
      </c>
      <c r="AH449">
        <v>1</v>
      </c>
    </row>
    <row r="450" spans="1:34" x14ac:dyDescent="0.3">
      <c r="A450">
        <v>474</v>
      </c>
      <c r="B450" t="s">
        <v>2494</v>
      </c>
      <c r="C450" t="s">
        <v>4712</v>
      </c>
      <c r="D450" t="s">
        <v>1969</v>
      </c>
      <c r="E450" t="s">
        <v>21</v>
      </c>
      <c r="F450" t="s">
        <v>22</v>
      </c>
      <c r="G450" t="s">
        <v>3608</v>
      </c>
      <c r="H450" t="s">
        <v>4729</v>
      </c>
      <c r="I450" t="s">
        <v>4730</v>
      </c>
      <c r="J450" t="s">
        <v>4731</v>
      </c>
      <c r="L450" t="s">
        <v>203</v>
      </c>
      <c r="M450" t="s">
        <v>1234</v>
      </c>
      <c r="N450" t="s">
        <v>4542</v>
      </c>
      <c r="O450" t="s">
        <v>4863</v>
      </c>
      <c r="P450" t="s">
        <v>4948</v>
      </c>
      <c r="Q450">
        <v>0</v>
      </c>
      <c r="R450">
        <v>18</v>
      </c>
      <c r="S450">
        <v>0</v>
      </c>
      <c r="U450" t="s">
        <v>5320</v>
      </c>
      <c r="V450" t="s">
        <v>4546</v>
      </c>
      <c r="W450" t="s">
        <v>5321</v>
      </c>
      <c r="X450" t="s">
        <v>5321</v>
      </c>
      <c r="Z450" t="s">
        <v>4737</v>
      </c>
      <c r="AA450" t="s">
        <v>4718</v>
      </c>
      <c r="AB450" t="s">
        <v>4719</v>
      </c>
      <c r="AE450">
        <v>1</v>
      </c>
      <c r="AF450">
        <v>1</v>
      </c>
      <c r="AG450">
        <v>1</v>
      </c>
      <c r="AH450">
        <v>1</v>
      </c>
    </row>
    <row r="451" spans="1:34" x14ac:dyDescent="0.3">
      <c r="A451">
        <v>475</v>
      </c>
      <c r="B451" t="s">
        <v>2496</v>
      </c>
      <c r="C451" t="s">
        <v>4712</v>
      </c>
      <c r="D451" t="s">
        <v>1627</v>
      </c>
      <c r="E451" t="s">
        <v>21</v>
      </c>
      <c r="F451" t="s">
        <v>22</v>
      </c>
      <c r="G451" t="s">
        <v>3607</v>
      </c>
      <c r="H451" t="s">
        <v>4729</v>
      </c>
      <c r="I451" t="s">
        <v>4730</v>
      </c>
      <c r="J451" t="s">
        <v>4720</v>
      </c>
      <c r="L451" t="s">
        <v>203</v>
      </c>
      <c r="M451" t="s">
        <v>1627</v>
      </c>
      <c r="N451" t="s">
        <v>4732</v>
      </c>
      <c r="O451" t="s">
        <v>4733</v>
      </c>
      <c r="Q451">
        <v>0</v>
      </c>
      <c r="S451">
        <v>0</v>
      </c>
      <c r="U451" t="s">
        <v>5322</v>
      </c>
      <c r="V451" t="s">
        <v>4546</v>
      </c>
      <c r="W451" t="s">
        <v>5037</v>
      </c>
      <c r="X451" t="s">
        <v>5038</v>
      </c>
      <c r="Z451" t="s">
        <v>4737</v>
      </c>
      <c r="AF451">
        <v>1</v>
      </c>
      <c r="AG451">
        <v>1</v>
      </c>
      <c r="AH451">
        <v>1</v>
      </c>
    </row>
    <row r="452" spans="1:34" x14ac:dyDescent="0.3">
      <c r="A452">
        <v>476</v>
      </c>
      <c r="B452" t="s">
        <v>2499</v>
      </c>
      <c r="C452" t="s">
        <v>4712</v>
      </c>
      <c r="D452" t="s">
        <v>1234</v>
      </c>
      <c r="E452" t="s">
        <v>21</v>
      </c>
      <c r="F452" t="s">
        <v>22</v>
      </c>
      <c r="G452" t="s">
        <v>3608</v>
      </c>
      <c r="H452" t="s">
        <v>4729</v>
      </c>
      <c r="I452" t="s">
        <v>4730</v>
      </c>
      <c r="J452" t="s">
        <v>4731</v>
      </c>
      <c r="L452" t="s">
        <v>203</v>
      </c>
      <c r="M452" t="s">
        <v>1234</v>
      </c>
      <c r="N452" t="s">
        <v>4542</v>
      </c>
      <c r="O452" t="s">
        <v>4863</v>
      </c>
      <c r="P452" t="s">
        <v>4948</v>
      </c>
      <c r="Q452">
        <v>0</v>
      </c>
      <c r="R452">
        <v>18</v>
      </c>
      <c r="S452">
        <v>0</v>
      </c>
      <c r="U452" t="s">
        <v>5323</v>
      </c>
      <c r="V452" t="s">
        <v>4546</v>
      </c>
      <c r="W452" t="s">
        <v>5324</v>
      </c>
      <c r="X452" t="s">
        <v>5324</v>
      </c>
      <c r="Z452" t="s">
        <v>4771</v>
      </c>
      <c r="AA452" t="s">
        <v>4718</v>
      </c>
      <c r="AB452" t="s">
        <v>4719</v>
      </c>
      <c r="AD452">
        <v>1</v>
      </c>
      <c r="AE452">
        <v>1</v>
      </c>
      <c r="AF452">
        <v>1</v>
      </c>
      <c r="AG452">
        <v>1</v>
      </c>
      <c r="AH452">
        <v>1</v>
      </c>
    </row>
    <row r="453" spans="1:34" x14ac:dyDescent="0.3">
      <c r="A453">
        <v>477</v>
      </c>
      <c r="B453" t="s">
        <v>2504</v>
      </c>
      <c r="C453" t="s">
        <v>4712</v>
      </c>
      <c r="D453" t="s">
        <v>1969</v>
      </c>
      <c r="E453" t="s">
        <v>21</v>
      </c>
      <c r="F453" t="s">
        <v>22</v>
      </c>
      <c r="G453" t="s">
        <v>3608</v>
      </c>
      <c r="H453" t="s">
        <v>4729</v>
      </c>
      <c r="I453" t="s">
        <v>4730</v>
      </c>
      <c r="J453" t="s">
        <v>4720</v>
      </c>
      <c r="L453" t="s">
        <v>203</v>
      </c>
      <c r="M453" t="s">
        <v>1969</v>
      </c>
      <c r="N453" t="s">
        <v>4542</v>
      </c>
      <c r="O453" t="s">
        <v>4863</v>
      </c>
      <c r="Q453">
        <v>0</v>
      </c>
      <c r="S453">
        <v>0</v>
      </c>
      <c r="U453" t="s">
        <v>5325</v>
      </c>
      <c r="V453" t="s">
        <v>4546</v>
      </c>
      <c r="W453" t="s">
        <v>5326</v>
      </c>
      <c r="X453" t="s">
        <v>5326</v>
      </c>
      <c r="Z453" t="s">
        <v>4737</v>
      </c>
      <c r="AF453">
        <v>1</v>
      </c>
      <c r="AG453">
        <v>1</v>
      </c>
      <c r="AH453">
        <v>1</v>
      </c>
    </row>
    <row r="454" spans="1:34" x14ac:dyDescent="0.3">
      <c r="A454">
        <v>478</v>
      </c>
      <c r="B454" t="s">
        <v>2507</v>
      </c>
      <c r="C454" t="s">
        <v>4712</v>
      </c>
      <c r="D454" t="s">
        <v>1969</v>
      </c>
      <c r="E454" t="s">
        <v>21</v>
      </c>
      <c r="F454" t="s">
        <v>22</v>
      </c>
      <c r="G454" t="s">
        <v>3608</v>
      </c>
      <c r="H454" t="s">
        <v>4729</v>
      </c>
      <c r="I454" t="s">
        <v>4730</v>
      </c>
      <c r="J454" t="s">
        <v>4720</v>
      </c>
      <c r="L454" t="s">
        <v>203</v>
      </c>
      <c r="M454" t="s">
        <v>1969</v>
      </c>
      <c r="N454" t="s">
        <v>4542</v>
      </c>
      <c r="O454" t="s">
        <v>4863</v>
      </c>
      <c r="Q454">
        <v>0</v>
      </c>
      <c r="S454">
        <v>0</v>
      </c>
      <c r="U454" t="s">
        <v>5327</v>
      </c>
      <c r="V454" t="s">
        <v>4546</v>
      </c>
      <c r="W454" t="s">
        <v>5326</v>
      </c>
      <c r="X454" t="s">
        <v>5326</v>
      </c>
      <c r="Z454" t="s">
        <v>4737</v>
      </c>
      <c r="AF454">
        <v>1</v>
      </c>
      <c r="AG454">
        <v>1</v>
      </c>
      <c r="AH454">
        <v>1</v>
      </c>
    </row>
    <row r="455" spans="1:34" x14ac:dyDescent="0.3">
      <c r="A455">
        <v>479</v>
      </c>
      <c r="B455" t="s">
        <v>2510</v>
      </c>
      <c r="C455" t="s">
        <v>4712</v>
      </c>
      <c r="D455" t="s">
        <v>1969</v>
      </c>
      <c r="E455" t="s">
        <v>21</v>
      </c>
      <c r="F455" t="s">
        <v>22</v>
      </c>
      <c r="G455" t="s">
        <v>3608</v>
      </c>
      <c r="H455" t="s">
        <v>4729</v>
      </c>
      <c r="I455" t="s">
        <v>4730</v>
      </c>
      <c r="J455" t="s">
        <v>4720</v>
      </c>
      <c r="L455" t="s">
        <v>203</v>
      </c>
      <c r="M455" t="s">
        <v>1969</v>
      </c>
      <c r="N455" t="s">
        <v>4542</v>
      </c>
      <c r="O455" t="s">
        <v>4863</v>
      </c>
      <c r="Q455">
        <v>0</v>
      </c>
      <c r="S455">
        <v>0</v>
      </c>
      <c r="U455" t="s">
        <v>5328</v>
      </c>
      <c r="V455" t="s">
        <v>4546</v>
      </c>
      <c r="W455" t="s">
        <v>5329</v>
      </c>
      <c r="X455" t="s">
        <v>5329</v>
      </c>
      <c r="Z455" t="s">
        <v>4737</v>
      </c>
      <c r="AF455">
        <v>1</v>
      </c>
      <c r="AG455">
        <v>1</v>
      </c>
      <c r="AH455">
        <v>1</v>
      </c>
    </row>
    <row r="456" spans="1:34" x14ac:dyDescent="0.3">
      <c r="A456">
        <v>480</v>
      </c>
      <c r="B456" t="s">
        <v>2513</v>
      </c>
      <c r="C456" t="s">
        <v>4712</v>
      </c>
      <c r="D456" t="s">
        <v>1969</v>
      </c>
      <c r="E456" t="s">
        <v>21</v>
      </c>
      <c r="F456" t="s">
        <v>22</v>
      </c>
      <c r="G456" t="s">
        <v>3608</v>
      </c>
      <c r="H456" t="s">
        <v>4729</v>
      </c>
      <c r="I456" t="s">
        <v>4730</v>
      </c>
      <c r="J456" t="s">
        <v>4720</v>
      </c>
      <c r="L456" t="s">
        <v>203</v>
      </c>
      <c r="M456" t="s">
        <v>1969</v>
      </c>
      <c r="N456" t="s">
        <v>4542</v>
      </c>
      <c r="O456" t="s">
        <v>4863</v>
      </c>
      <c r="Q456">
        <v>0</v>
      </c>
      <c r="S456">
        <v>0</v>
      </c>
      <c r="U456" t="s">
        <v>5330</v>
      </c>
      <c r="V456" t="s">
        <v>4546</v>
      </c>
      <c r="W456" t="s">
        <v>5329</v>
      </c>
      <c r="X456" t="s">
        <v>5329</v>
      </c>
      <c r="Z456" t="s">
        <v>4737</v>
      </c>
      <c r="AF456">
        <v>1</v>
      </c>
      <c r="AG456">
        <v>1</v>
      </c>
      <c r="AH456">
        <v>1</v>
      </c>
    </row>
    <row r="457" spans="1:34" x14ac:dyDescent="0.3">
      <c r="A457">
        <v>481</v>
      </c>
      <c r="B457" t="s">
        <v>2516</v>
      </c>
      <c r="C457" t="s">
        <v>4728</v>
      </c>
      <c r="D457" t="s">
        <v>1234</v>
      </c>
      <c r="E457" t="s">
        <v>21</v>
      </c>
      <c r="F457" t="s">
        <v>22</v>
      </c>
      <c r="G457" t="s">
        <v>3608</v>
      </c>
      <c r="H457" t="s">
        <v>4729</v>
      </c>
      <c r="I457" t="s">
        <v>4730</v>
      </c>
      <c r="J457" t="s">
        <v>4720</v>
      </c>
      <c r="L457" t="s">
        <v>25</v>
      </c>
      <c r="M457" t="s">
        <v>1234</v>
      </c>
      <c r="N457" t="s">
        <v>4732</v>
      </c>
      <c r="O457" t="s">
        <v>4733</v>
      </c>
      <c r="Q457">
        <v>0</v>
      </c>
      <c r="S457">
        <v>0</v>
      </c>
      <c r="U457" t="s">
        <v>5331</v>
      </c>
      <c r="V457" t="s">
        <v>4546</v>
      </c>
      <c r="W457" t="s">
        <v>5332</v>
      </c>
      <c r="X457" t="s">
        <v>5332</v>
      </c>
      <c r="Z457" t="s">
        <v>4771</v>
      </c>
      <c r="AF457">
        <v>1</v>
      </c>
      <c r="AG457">
        <v>1</v>
      </c>
      <c r="AH457">
        <v>1</v>
      </c>
    </row>
    <row r="458" spans="1:34" x14ac:dyDescent="0.3">
      <c r="A458">
        <v>483</v>
      </c>
      <c r="B458" t="s">
        <v>2519</v>
      </c>
      <c r="C458" t="s">
        <v>4728</v>
      </c>
      <c r="D458" t="s">
        <v>1984</v>
      </c>
      <c r="E458" t="s">
        <v>139</v>
      </c>
      <c r="F458" t="s">
        <v>22</v>
      </c>
      <c r="H458" t="s">
        <v>4755</v>
      </c>
      <c r="I458" t="s">
        <v>4755</v>
      </c>
      <c r="J458" t="s">
        <v>4480</v>
      </c>
      <c r="L458" t="s">
        <v>203</v>
      </c>
      <c r="M458" t="s">
        <v>1984</v>
      </c>
      <c r="N458" t="s">
        <v>4732</v>
      </c>
      <c r="O458" t="s">
        <v>4733</v>
      </c>
      <c r="V458" t="s">
        <v>4546</v>
      </c>
    </row>
    <row r="459" spans="1:34" x14ac:dyDescent="0.3">
      <c r="A459">
        <v>484</v>
      </c>
      <c r="B459" t="s">
        <v>2521</v>
      </c>
      <c r="C459" t="s">
        <v>4728</v>
      </c>
      <c r="D459" t="s">
        <v>138</v>
      </c>
      <c r="E459" t="s">
        <v>39</v>
      </c>
      <c r="F459" t="s">
        <v>22</v>
      </c>
      <c r="G459" t="s">
        <v>3607</v>
      </c>
      <c r="H459" t="s">
        <v>4729</v>
      </c>
      <c r="I459" t="s">
        <v>4730</v>
      </c>
      <c r="J459" t="s">
        <v>4731</v>
      </c>
      <c r="L459" t="s">
        <v>25</v>
      </c>
      <c r="M459" t="s">
        <v>138</v>
      </c>
      <c r="N459" t="s">
        <v>4732</v>
      </c>
      <c r="O459" t="s">
        <v>4742</v>
      </c>
      <c r="Q459">
        <v>0</v>
      </c>
      <c r="R459">
        <v>357</v>
      </c>
      <c r="S459">
        <v>0</v>
      </c>
      <c r="U459" t="s">
        <v>5333</v>
      </c>
      <c r="V459" t="s">
        <v>4744</v>
      </c>
      <c r="W459" t="s">
        <v>4774</v>
      </c>
      <c r="X459" t="s">
        <v>4775</v>
      </c>
      <c r="AA459" t="s">
        <v>4804</v>
      </c>
      <c r="AB459" t="s">
        <v>5245</v>
      </c>
      <c r="AF459">
        <v>1</v>
      </c>
      <c r="AG459">
        <v>1</v>
      </c>
      <c r="AH459">
        <v>1</v>
      </c>
    </row>
    <row r="460" spans="1:34" x14ac:dyDescent="0.3">
      <c r="A460">
        <v>485</v>
      </c>
      <c r="B460" t="s">
        <v>2525</v>
      </c>
      <c r="C460" t="s">
        <v>4728</v>
      </c>
      <c r="D460" t="s">
        <v>258</v>
      </c>
      <c r="E460" t="s">
        <v>73</v>
      </c>
      <c r="F460" t="s">
        <v>22</v>
      </c>
      <c r="G460" t="s">
        <v>3608</v>
      </c>
      <c r="H460" t="s">
        <v>4729</v>
      </c>
      <c r="I460" t="s">
        <v>4730</v>
      </c>
      <c r="J460" t="s">
        <v>4731</v>
      </c>
      <c r="L460" t="s">
        <v>25</v>
      </c>
      <c r="M460" t="s">
        <v>258</v>
      </c>
      <c r="N460" t="s">
        <v>4732</v>
      </c>
      <c r="O460" t="s">
        <v>4733</v>
      </c>
      <c r="Q460">
        <v>0</v>
      </c>
      <c r="S460">
        <v>0</v>
      </c>
      <c r="U460" t="s">
        <v>5334</v>
      </c>
      <c r="V460" t="s">
        <v>4758</v>
      </c>
      <c r="W460" t="s">
        <v>4842</v>
      </c>
      <c r="X460" t="s">
        <v>4842</v>
      </c>
      <c r="Z460" t="s">
        <v>4737</v>
      </c>
      <c r="AF460">
        <v>1</v>
      </c>
      <c r="AG460">
        <v>1</v>
      </c>
      <c r="AH460">
        <v>1</v>
      </c>
    </row>
    <row r="461" spans="1:34" x14ac:dyDescent="0.3">
      <c r="A461">
        <v>486</v>
      </c>
      <c r="B461" t="s">
        <v>2549</v>
      </c>
      <c r="C461" t="s">
        <v>4728</v>
      </c>
      <c r="D461" t="s">
        <v>207</v>
      </c>
      <c r="E461" t="s">
        <v>21</v>
      </c>
      <c r="F461" t="s">
        <v>22</v>
      </c>
      <c r="G461" t="s">
        <v>3607</v>
      </c>
      <c r="H461" t="s">
        <v>4729</v>
      </c>
      <c r="I461" t="s">
        <v>4730</v>
      </c>
      <c r="J461" t="s">
        <v>4720</v>
      </c>
      <c r="L461" t="s">
        <v>25</v>
      </c>
      <c r="M461" t="s">
        <v>207</v>
      </c>
      <c r="N461" t="s">
        <v>4732</v>
      </c>
      <c r="O461" t="s">
        <v>4733</v>
      </c>
      <c r="Q461">
        <v>0</v>
      </c>
      <c r="S461">
        <v>0</v>
      </c>
      <c r="U461" t="s">
        <v>5335</v>
      </c>
      <c r="V461" t="s">
        <v>4744</v>
      </c>
      <c r="W461" t="s">
        <v>5336</v>
      </c>
      <c r="X461" t="s">
        <v>5336</v>
      </c>
      <c r="Z461" t="s">
        <v>4737</v>
      </c>
      <c r="AF461">
        <v>1</v>
      </c>
      <c r="AG461">
        <v>1</v>
      </c>
      <c r="AH461">
        <v>1</v>
      </c>
    </row>
    <row r="462" spans="1:34" x14ac:dyDescent="0.3">
      <c r="A462">
        <v>487</v>
      </c>
      <c r="B462" t="s">
        <v>2554</v>
      </c>
      <c r="C462" t="s">
        <v>4728</v>
      </c>
      <c r="D462" t="s">
        <v>1336</v>
      </c>
      <c r="E462" t="s">
        <v>139</v>
      </c>
      <c r="F462" t="s">
        <v>22</v>
      </c>
      <c r="G462" t="s">
        <v>3607</v>
      </c>
      <c r="H462" t="s">
        <v>4729</v>
      </c>
      <c r="I462" t="s">
        <v>4730</v>
      </c>
      <c r="J462" t="s">
        <v>4480</v>
      </c>
      <c r="L462" t="s">
        <v>25</v>
      </c>
      <c r="M462" t="s">
        <v>1336</v>
      </c>
      <c r="N462" t="s">
        <v>4538</v>
      </c>
      <c r="O462" t="s">
        <v>4765</v>
      </c>
      <c r="Q462">
        <v>0</v>
      </c>
      <c r="S462">
        <v>0</v>
      </c>
      <c r="U462" t="s">
        <v>5337</v>
      </c>
      <c r="V462" t="s">
        <v>4546</v>
      </c>
      <c r="W462" t="s">
        <v>4972</v>
      </c>
      <c r="X462" t="s">
        <v>4972</v>
      </c>
      <c r="AF462">
        <v>1</v>
      </c>
      <c r="AG462">
        <v>1</v>
      </c>
      <c r="AH462">
        <v>1</v>
      </c>
    </row>
    <row r="463" spans="1:34" x14ac:dyDescent="0.3">
      <c r="A463">
        <v>488</v>
      </c>
      <c r="B463" t="s">
        <v>2555</v>
      </c>
      <c r="C463" t="s">
        <v>4728</v>
      </c>
      <c r="D463" t="s">
        <v>258</v>
      </c>
      <c r="E463" t="s">
        <v>73</v>
      </c>
      <c r="F463" t="s">
        <v>22</v>
      </c>
      <c r="G463" t="s">
        <v>3608</v>
      </c>
      <c r="H463" t="s">
        <v>4729</v>
      </c>
      <c r="I463" t="s">
        <v>4730</v>
      </c>
      <c r="J463" t="s">
        <v>4731</v>
      </c>
      <c r="L463" t="s">
        <v>25</v>
      </c>
      <c r="M463" t="s">
        <v>258</v>
      </c>
      <c r="N463" t="s">
        <v>4732</v>
      </c>
      <c r="O463" t="s">
        <v>4733</v>
      </c>
      <c r="Q463">
        <v>0</v>
      </c>
      <c r="S463">
        <v>0</v>
      </c>
      <c r="U463" t="s">
        <v>5338</v>
      </c>
      <c r="V463" t="s">
        <v>4758</v>
      </c>
      <c r="W463" t="s">
        <v>4842</v>
      </c>
      <c r="X463" t="s">
        <v>5339</v>
      </c>
      <c r="Z463" t="s">
        <v>4737</v>
      </c>
      <c r="AF463">
        <v>1</v>
      </c>
      <c r="AG463">
        <v>1</v>
      </c>
      <c r="AH463">
        <v>1</v>
      </c>
    </row>
    <row r="464" spans="1:34" x14ac:dyDescent="0.3">
      <c r="A464">
        <v>489</v>
      </c>
      <c r="B464" t="s">
        <v>2580</v>
      </c>
      <c r="C464" t="s">
        <v>4728</v>
      </c>
      <c r="D464" t="s">
        <v>258</v>
      </c>
      <c r="E464" t="s">
        <v>73</v>
      </c>
      <c r="F464" t="s">
        <v>22</v>
      </c>
      <c r="H464" t="s">
        <v>4755</v>
      </c>
      <c r="I464" t="s">
        <v>4755</v>
      </c>
      <c r="J464" t="s">
        <v>4731</v>
      </c>
      <c r="L464" t="s">
        <v>25</v>
      </c>
      <c r="M464" t="s">
        <v>258</v>
      </c>
      <c r="N464" t="s">
        <v>4732</v>
      </c>
      <c r="O464" t="s">
        <v>4733</v>
      </c>
      <c r="U464" t="s">
        <v>5340</v>
      </c>
      <c r="V464" t="s">
        <v>4758</v>
      </c>
      <c r="W464" t="s">
        <v>4802</v>
      </c>
      <c r="X464" t="s">
        <v>4889</v>
      </c>
      <c r="Z464" t="s">
        <v>4737</v>
      </c>
    </row>
    <row r="465" spans="1:34" x14ac:dyDescent="0.3">
      <c r="A465">
        <v>490</v>
      </c>
      <c r="B465" t="s">
        <v>2584</v>
      </c>
      <c r="C465" t="s">
        <v>4712</v>
      </c>
      <c r="D465" t="s">
        <v>1263</v>
      </c>
      <c r="E465" t="s">
        <v>139</v>
      </c>
      <c r="F465" t="s">
        <v>22</v>
      </c>
      <c r="G465" t="s">
        <v>3607</v>
      </c>
      <c r="H465" t="s">
        <v>4729</v>
      </c>
      <c r="I465" t="s">
        <v>4730</v>
      </c>
      <c r="J465" t="s">
        <v>4480</v>
      </c>
      <c r="L465" t="s">
        <v>25</v>
      </c>
      <c r="M465" t="s">
        <v>1263</v>
      </c>
      <c r="N465" t="s">
        <v>4538</v>
      </c>
      <c r="O465" t="s">
        <v>4765</v>
      </c>
      <c r="Q465">
        <v>0</v>
      </c>
      <c r="S465">
        <v>0</v>
      </c>
      <c r="U465" t="s">
        <v>4801</v>
      </c>
      <c r="V465" t="s">
        <v>4758</v>
      </c>
      <c r="W465" t="s">
        <v>4954</v>
      </c>
      <c r="X465" t="s">
        <v>4954</v>
      </c>
      <c r="Z465" t="s">
        <v>4737</v>
      </c>
      <c r="AF465">
        <v>1</v>
      </c>
      <c r="AG465">
        <v>1</v>
      </c>
      <c r="AH465">
        <v>1</v>
      </c>
    </row>
    <row r="466" spans="1:34" x14ac:dyDescent="0.3">
      <c r="A466">
        <v>491</v>
      </c>
      <c r="B466" t="s">
        <v>2586</v>
      </c>
      <c r="C466" t="s">
        <v>4712</v>
      </c>
      <c r="D466" t="s">
        <v>1096</v>
      </c>
      <c r="E466" t="s">
        <v>139</v>
      </c>
      <c r="F466" t="s">
        <v>22</v>
      </c>
      <c r="G466" t="s">
        <v>3607</v>
      </c>
      <c r="H466" t="s">
        <v>4729</v>
      </c>
      <c r="I466" t="s">
        <v>4730</v>
      </c>
      <c r="J466" t="s">
        <v>4480</v>
      </c>
      <c r="L466" t="s">
        <v>25</v>
      </c>
      <c r="M466" t="s">
        <v>1096</v>
      </c>
      <c r="N466" t="s">
        <v>4538</v>
      </c>
      <c r="O466" t="s">
        <v>4765</v>
      </c>
      <c r="Q466">
        <v>0</v>
      </c>
      <c r="S466">
        <v>0</v>
      </c>
      <c r="U466" t="s">
        <v>4801</v>
      </c>
      <c r="V466" t="s">
        <v>4758</v>
      </c>
      <c r="W466" t="s">
        <v>5341</v>
      </c>
      <c r="X466" t="s">
        <v>5341</v>
      </c>
      <c r="Z466" t="s">
        <v>4737</v>
      </c>
      <c r="AF466">
        <v>1</v>
      </c>
      <c r="AG466">
        <v>1</v>
      </c>
      <c r="AH466">
        <v>1</v>
      </c>
    </row>
    <row r="467" spans="1:34" x14ac:dyDescent="0.3">
      <c r="A467">
        <v>492</v>
      </c>
      <c r="B467" t="s">
        <v>2588</v>
      </c>
      <c r="C467" t="s">
        <v>4712</v>
      </c>
      <c r="D467" t="s">
        <v>1241</v>
      </c>
      <c r="E467" t="s">
        <v>139</v>
      </c>
      <c r="F467" t="s">
        <v>22</v>
      </c>
      <c r="G467" t="s">
        <v>3607</v>
      </c>
      <c r="H467" t="s">
        <v>4729</v>
      </c>
      <c r="I467" t="s">
        <v>4730</v>
      </c>
      <c r="J467" t="s">
        <v>4480</v>
      </c>
      <c r="L467" t="s">
        <v>25</v>
      </c>
      <c r="M467" t="s">
        <v>1241</v>
      </c>
      <c r="N467" t="s">
        <v>4538</v>
      </c>
      <c r="O467" t="s">
        <v>4765</v>
      </c>
      <c r="Q467">
        <v>0</v>
      </c>
      <c r="S467">
        <v>0</v>
      </c>
      <c r="U467" t="s">
        <v>4801</v>
      </c>
      <c r="V467" t="s">
        <v>4758</v>
      </c>
      <c r="W467" t="s">
        <v>4802</v>
      </c>
      <c r="X467" t="s">
        <v>4951</v>
      </c>
      <c r="Z467" t="s">
        <v>4737</v>
      </c>
      <c r="AF467">
        <v>1</v>
      </c>
      <c r="AG467">
        <v>1</v>
      </c>
      <c r="AH467">
        <v>1</v>
      </c>
    </row>
    <row r="468" spans="1:34" x14ac:dyDescent="0.3">
      <c r="A468">
        <v>493</v>
      </c>
      <c r="B468" t="s">
        <v>2590</v>
      </c>
      <c r="C468" t="s">
        <v>4712</v>
      </c>
      <c r="D468" t="s">
        <v>1303</v>
      </c>
      <c r="E468" t="s">
        <v>139</v>
      </c>
      <c r="F468" t="s">
        <v>22</v>
      </c>
      <c r="G468" t="s">
        <v>3607</v>
      </c>
      <c r="H468" t="s">
        <v>4729</v>
      </c>
      <c r="I468" t="s">
        <v>4730</v>
      </c>
      <c r="J468" t="s">
        <v>4480</v>
      </c>
      <c r="L468" t="s">
        <v>25</v>
      </c>
      <c r="M468" t="s">
        <v>1303</v>
      </c>
      <c r="N468" t="s">
        <v>4538</v>
      </c>
      <c r="O468" t="s">
        <v>4765</v>
      </c>
      <c r="Q468">
        <v>0</v>
      </c>
      <c r="S468">
        <v>0</v>
      </c>
      <c r="U468" t="s">
        <v>4801</v>
      </c>
      <c r="V468" t="s">
        <v>4717</v>
      </c>
      <c r="W468" t="s">
        <v>5342</v>
      </c>
      <c r="X468" t="s">
        <v>5342</v>
      </c>
      <c r="Z468" t="s">
        <v>4737</v>
      </c>
      <c r="AF468">
        <v>1</v>
      </c>
      <c r="AG468">
        <v>1</v>
      </c>
      <c r="AH468">
        <v>1</v>
      </c>
    </row>
    <row r="469" spans="1:34" x14ac:dyDescent="0.3">
      <c r="A469">
        <v>494</v>
      </c>
      <c r="B469" t="s">
        <v>2592</v>
      </c>
      <c r="C469" t="s">
        <v>4712</v>
      </c>
      <c r="D469" t="s">
        <v>1501</v>
      </c>
      <c r="E469" t="s">
        <v>139</v>
      </c>
      <c r="F469" t="s">
        <v>22</v>
      </c>
      <c r="G469" t="s">
        <v>3607</v>
      </c>
      <c r="H469" t="s">
        <v>4729</v>
      </c>
      <c r="I469" t="s">
        <v>4730</v>
      </c>
      <c r="J469" t="s">
        <v>4480</v>
      </c>
      <c r="L469" t="s">
        <v>25</v>
      </c>
      <c r="M469" t="s">
        <v>1501</v>
      </c>
      <c r="N469" t="s">
        <v>4538</v>
      </c>
      <c r="O469" t="s">
        <v>4765</v>
      </c>
      <c r="Q469">
        <v>0</v>
      </c>
      <c r="S469">
        <v>0</v>
      </c>
      <c r="U469" t="s">
        <v>4801</v>
      </c>
      <c r="V469" t="s">
        <v>4735</v>
      </c>
      <c r="W469" t="s">
        <v>4802</v>
      </c>
      <c r="X469" t="s">
        <v>5343</v>
      </c>
      <c r="Z469" t="s">
        <v>4737</v>
      </c>
      <c r="AF469">
        <v>1</v>
      </c>
      <c r="AG469">
        <v>1</v>
      </c>
      <c r="AH469">
        <v>1</v>
      </c>
    </row>
    <row r="470" spans="1:34" x14ac:dyDescent="0.3">
      <c r="A470">
        <v>495</v>
      </c>
      <c r="B470" t="s">
        <v>2594</v>
      </c>
      <c r="C470" t="s">
        <v>4712</v>
      </c>
      <c r="D470" t="s">
        <v>1721</v>
      </c>
      <c r="E470" t="s">
        <v>139</v>
      </c>
      <c r="F470" t="s">
        <v>22</v>
      </c>
      <c r="G470" t="s">
        <v>3607</v>
      </c>
      <c r="H470" t="s">
        <v>4729</v>
      </c>
      <c r="I470" t="s">
        <v>4730</v>
      </c>
      <c r="J470" t="s">
        <v>4480</v>
      </c>
      <c r="L470" t="s">
        <v>25</v>
      </c>
      <c r="M470" t="s">
        <v>1721</v>
      </c>
      <c r="N470" t="s">
        <v>4538</v>
      </c>
      <c r="O470" t="s">
        <v>4765</v>
      </c>
      <c r="Q470">
        <v>0</v>
      </c>
      <c r="S470">
        <v>0</v>
      </c>
      <c r="U470" t="s">
        <v>4801</v>
      </c>
      <c r="V470" t="s">
        <v>4735</v>
      </c>
      <c r="W470" t="s">
        <v>5071</v>
      </c>
      <c r="X470" t="s">
        <v>5071</v>
      </c>
      <c r="Z470" t="s">
        <v>4737</v>
      </c>
      <c r="AF470">
        <v>1</v>
      </c>
      <c r="AG470">
        <v>1</v>
      </c>
      <c r="AH470">
        <v>1</v>
      </c>
    </row>
    <row r="471" spans="1:34" x14ac:dyDescent="0.3">
      <c r="A471">
        <v>496</v>
      </c>
      <c r="B471" t="s">
        <v>2596</v>
      </c>
      <c r="C471" t="s">
        <v>4712</v>
      </c>
      <c r="D471" t="s">
        <v>210</v>
      </c>
      <c r="E471" t="s">
        <v>139</v>
      </c>
      <c r="F471" t="s">
        <v>22</v>
      </c>
      <c r="G471" t="s">
        <v>3607</v>
      </c>
      <c r="H471" t="s">
        <v>4729</v>
      </c>
      <c r="I471" t="s">
        <v>4730</v>
      </c>
      <c r="J471" t="s">
        <v>4480</v>
      </c>
      <c r="L471" t="s">
        <v>25</v>
      </c>
      <c r="M471" t="s">
        <v>210</v>
      </c>
      <c r="N471" t="s">
        <v>4538</v>
      </c>
      <c r="O471" t="s">
        <v>4765</v>
      </c>
      <c r="Q471">
        <v>0</v>
      </c>
      <c r="S471">
        <v>0</v>
      </c>
      <c r="U471" t="s">
        <v>4801</v>
      </c>
      <c r="V471" t="s">
        <v>4735</v>
      </c>
      <c r="W471" t="s">
        <v>4802</v>
      </c>
      <c r="X471" t="s">
        <v>5344</v>
      </c>
      <c r="Z471" t="s">
        <v>4737</v>
      </c>
      <c r="AF471">
        <v>1</v>
      </c>
      <c r="AG471">
        <v>1</v>
      </c>
      <c r="AH471">
        <v>1</v>
      </c>
    </row>
    <row r="472" spans="1:34" x14ac:dyDescent="0.3">
      <c r="A472">
        <v>497</v>
      </c>
      <c r="B472" t="s">
        <v>2598</v>
      </c>
      <c r="C472" t="s">
        <v>4712</v>
      </c>
      <c r="D472" t="s">
        <v>1765</v>
      </c>
      <c r="E472" t="s">
        <v>139</v>
      </c>
      <c r="F472" t="s">
        <v>22</v>
      </c>
      <c r="G472" t="s">
        <v>3607</v>
      </c>
      <c r="H472" t="s">
        <v>4729</v>
      </c>
      <c r="I472" t="s">
        <v>4730</v>
      </c>
      <c r="J472" t="s">
        <v>4480</v>
      </c>
      <c r="L472" t="s">
        <v>25</v>
      </c>
      <c r="M472" t="s">
        <v>1765</v>
      </c>
      <c r="N472" t="s">
        <v>4538</v>
      </c>
      <c r="O472" t="s">
        <v>4765</v>
      </c>
      <c r="U472" t="s">
        <v>4801</v>
      </c>
      <c r="V472" t="s">
        <v>4735</v>
      </c>
      <c r="W472" t="s">
        <v>4802</v>
      </c>
      <c r="X472" t="s">
        <v>5344</v>
      </c>
      <c r="Z472" t="s">
        <v>4737</v>
      </c>
    </row>
    <row r="473" spans="1:34" x14ac:dyDescent="0.3">
      <c r="A473">
        <v>498</v>
      </c>
      <c r="B473" t="s">
        <v>2600</v>
      </c>
      <c r="C473" t="s">
        <v>4712</v>
      </c>
      <c r="D473" t="s">
        <v>1336</v>
      </c>
      <c r="E473" t="s">
        <v>139</v>
      </c>
      <c r="F473" t="s">
        <v>22</v>
      </c>
      <c r="G473" t="s">
        <v>3607</v>
      </c>
      <c r="H473" t="s">
        <v>4729</v>
      </c>
      <c r="I473" t="s">
        <v>4730</v>
      </c>
      <c r="J473" t="s">
        <v>4480</v>
      </c>
      <c r="L473" t="s">
        <v>25</v>
      </c>
      <c r="M473" t="s">
        <v>1336</v>
      </c>
      <c r="N473" t="s">
        <v>4538</v>
      </c>
      <c r="O473" t="s">
        <v>4765</v>
      </c>
      <c r="Q473">
        <v>0</v>
      </c>
      <c r="S473">
        <v>0</v>
      </c>
      <c r="U473" t="s">
        <v>4801</v>
      </c>
      <c r="V473" t="s">
        <v>4546</v>
      </c>
      <c r="W473" t="s">
        <v>4802</v>
      </c>
      <c r="X473" t="s">
        <v>5345</v>
      </c>
      <c r="Z473" t="s">
        <v>4737</v>
      </c>
      <c r="AF473">
        <v>1</v>
      </c>
      <c r="AG473">
        <v>1</v>
      </c>
      <c r="AH473">
        <v>1</v>
      </c>
    </row>
    <row r="474" spans="1:34" x14ac:dyDescent="0.3">
      <c r="A474">
        <v>499</v>
      </c>
      <c r="B474" t="s">
        <v>2602</v>
      </c>
      <c r="C474" t="s">
        <v>4712</v>
      </c>
      <c r="D474" t="s">
        <v>1758</v>
      </c>
      <c r="E474" t="s">
        <v>139</v>
      </c>
      <c r="F474" t="s">
        <v>22</v>
      </c>
      <c r="G474" t="s">
        <v>3607</v>
      </c>
      <c r="H474" t="s">
        <v>4729</v>
      </c>
      <c r="I474" t="s">
        <v>4730</v>
      </c>
      <c r="J474" t="s">
        <v>4480</v>
      </c>
      <c r="L474" t="s">
        <v>25</v>
      </c>
      <c r="M474" t="s">
        <v>1758</v>
      </c>
      <c r="N474" t="s">
        <v>4538</v>
      </c>
      <c r="O474" t="s">
        <v>4765</v>
      </c>
      <c r="Q474">
        <v>0</v>
      </c>
      <c r="S474">
        <v>0</v>
      </c>
      <c r="U474" t="s">
        <v>4801</v>
      </c>
      <c r="V474" t="s">
        <v>4544</v>
      </c>
      <c r="W474" t="s">
        <v>5346</v>
      </c>
      <c r="X474" t="s">
        <v>5346</v>
      </c>
      <c r="Z474" t="s">
        <v>4737</v>
      </c>
      <c r="AF474">
        <v>1</v>
      </c>
      <c r="AG474">
        <v>1</v>
      </c>
      <c r="AH474">
        <v>1</v>
      </c>
    </row>
    <row r="475" spans="1:34" x14ac:dyDescent="0.3">
      <c r="A475">
        <v>500</v>
      </c>
      <c r="B475" t="s">
        <v>2604</v>
      </c>
      <c r="C475" t="s">
        <v>4712</v>
      </c>
      <c r="D475" t="s">
        <v>1528</v>
      </c>
      <c r="E475" t="s">
        <v>139</v>
      </c>
      <c r="F475" t="s">
        <v>22</v>
      </c>
      <c r="G475" t="s">
        <v>3607</v>
      </c>
      <c r="H475" t="s">
        <v>4729</v>
      </c>
      <c r="I475" t="s">
        <v>4730</v>
      </c>
      <c r="J475" t="s">
        <v>4480</v>
      </c>
      <c r="L475" t="s">
        <v>25</v>
      </c>
      <c r="M475" t="s">
        <v>1528</v>
      </c>
      <c r="N475" t="s">
        <v>4538</v>
      </c>
      <c r="O475" t="s">
        <v>4765</v>
      </c>
      <c r="Q475">
        <v>0</v>
      </c>
      <c r="S475">
        <v>0</v>
      </c>
      <c r="U475" t="s">
        <v>4801</v>
      </c>
      <c r="V475" t="s">
        <v>4544</v>
      </c>
      <c r="W475" t="s">
        <v>5347</v>
      </c>
      <c r="X475" t="s">
        <v>5016</v>
      </c>
      <c r="Z475" t="s">
        <v>4737</v>
      </c>
      <c r="AF475">
        <v>1</v>
      </c>
      <c r="AG475">
        <v>1</v>
      </c>
      <c r="AH475">
        <v>1</v>
      </c>
    </row>
    <row r="476" spans="1:34" x14ac:dyDescent="0.3">
      <c r="A476">
        <v>501</v>
      </c>
      <c r="B476" t="s">
        <v>2606</v>
      </c>
      <c r="C476" t="s">
        <v>4712</v>
      </c>
      <c r="D476" t="s">
        <v>1234</v>
      </c>
      <c r="E476" t="s">
        <v>139</v>
      </c>
      <c r="F476" t="s">
        <v>22</v>
      </c>
      <c r="G476" t="s">
        <v>3607</v>
      </c>
      <c r="H476" t="s">
        <v>4729</v>
      </c>
      <c r="I476" t="s">
        <v>4730</v>
      </c>
      <c r="J476" t="s">
        <v>4480</v>
      </c>
      <c r="L476" t="s">
        <v>25</v>
      </c>
      <c r="M476" t="s">
        <v>1234</v>
      </c>
      <c r="N476" t="s">
        <v>4538</v>
      </c>
      <c r="O476" t="s">
        <v>4765</v>
      </c>
      <c r="Q476">
        <v>0</v>
      </c>
      <c r="S476">
        <v>0</v>
      </c>
      <c r="U476" t="s">
        <v>4801</v>
      </c>
      <c r="V476" t="s">
        <v>4546</v>
      </c>
      <c r="W476" t="s">
        <v>4802</v>
      </c>
      <c r="X476" t="s">
        <v>5329</v>
      </c>
      <c r="Z476" t="s">
        <v>4737</v>
      </c>
      <c r="AF476">
        <v>1</v>
      </c>
      <c r="AG476">
        <v>1</v>
      </c>
      <c r="AH476">
        <v>1</v>
      </c>
    </row>
    <row r="477" spans="1:34" x14ac:dyDescent="0.3">
      <c r="A477">
        <v>502</v>
      </c>
      <c r="B477" t="s">
        <v>2608</v>
      </c>
      <c r="C477" t="s">
        <v>4712</v>
      </c>
      <c r="D477" t="s">
        <v>509</v>
      </c>
      <c r="E477" t="s">
        <v>139</v>
      </c>
      <c r="F477" t="s">
        <v>22</v>
      </c>
      <c r="G477" t="s">
        <v>3607</v>
      </c>
      <c r="H477" t="s">
        <v>4729</v>
      </c>
      <c r="I477" t="s">
        <v>4730</v>
      </c>
      <c r="J477" t="s">
        <v>4480</v>
      </c>
      <c r="L477" t="s">
        <v>25</v>
      </c>
      <c r="M477" t="s">
        <v>509</v>
      </c>
      <c r="N477" t="s">
        <v>4538</v>
      </c>
      <c r="O477" t="s">
        <v>4765</v>
      </c>
      <c r="Q477">
        <v>0</v>
      </c>
      <c r="S477">
        <v>0</v>
      </c>
      <c r="U477" t="s">
        <v>4801</v>
      </c>
      <c r="V477" t="s">
        <v>4546</v>
      </c>
      <c r="W477" t="s">
        <v>5348</v>
      </c>
      <c r="X477" t="s">
        <v>5349</v>
      </c>
      <c r="Z477" t="s">
        <v>4737</v>
      </c>
      <c r="AF477">
        <v>1</v>
      </c>
      <c r="AG477">
        <v>1</v>
      </c>
      <c r="AH477">
        <v>1</v>
      </c>
    </row>
    <row r="478" spans="1:34" x14ac:dyDescent="0.3">
      <c r="A478">
        <v>503</v>
      </c>
      <c r="B478" t="s">
        <v>2610</v>
      </c>
      <c r="C478" t="s">
        <v>4712</v>
      </c>
      <c r="D478" t="s">
        <v>1969</v>
      </c>
      <c r="E478" t="s">
        <v>139</v>
      </c>
      <c r="F478" t="s">
        <v>22</v>
      </c>
      <c r="G478" t="s">
        <v>3607</v>
      </c>
      <c r="H478" t="s">
        <v>4729</v>
      </c>
      <c r="I478" t="s">
        <v>4730</v>
      </c>
      <c r="J478" t="s">
        <v>4480</v>
      </c>
      <c r="L478" t="s">
        <v>25</v>
      </c>
      <c r="M478" t="s">
        <v>1969</v>
      </c>
      <c r="N478" t="s">
        <v>4538</v>
      </c>
      <c r="O478" t="s">
        <v>4765</v>
      </c>
      <c r="Q478">
        <v>0</v>
      </c>
      <c r="S478">
        <v>0</v>
      </c>
      <c r="U478" t="s">
        <v>4801</v>
      </c>
      <c r="V478" t="s">
        <v>4546</v>
      </c>
      <c r="W478" t="s">
        <v>4802</v>
      </c>
      <c r="X478" t="s">
        <v>5350</v>
      </c>
      <c r="AF478">
        <v>1</v>
      </c>
      <c r="AG478">
        <v>1</v>
      </c>
      <c r="AH478">
        <v>1</v>
      </c>
    </row>
    <row r="479" spans="1:34" x14ac:dyDescent="0.3">
      <c r="A479">
        <v>504</v>
      </c>
      <c r="B479" t="s">
        <v>2612</v>
      </c>
      <c r="C479" t="s">
        <v>4712</v>
      </c>
      <c r="D479" t="s">
        <v>2044</v>
      </c>
      <c r="E479" t="s">
        <v>139</v>
      </c>
      <c r="F479" t="s">
        <v>22</v>
      </c>
      <c r="G479" t="s">
        <v>3607</v>
      </c>
      <c r="H479" t="s">
        <v>4729</v>
      </c>
      <c r="I479" t="s">
        <v>4730</v>
      </c>
      <c r="J479" t="s">
        <v>4480</v>
      </c>
      <c r="L479" t="s">
        <v>25</v>
      </c>
      <c r="M479" t="s">
        <v>2044</v>
      </c>
      <c r="N479" t="s">
        <v>4538</v>
      </c>
      <c r="O479" t="s">
        <v>4765</v>
      </c>
      <c r="Q479">
        <v>0</v>
      </c>
      <c r="S479">
        <v>0</v>
      </c>
      <c r="U479" t="s">
        <v>4801</v>
      </c>
      <c r="V479" t="s">
        <v>4546</v>
      </c>
      <c r="W479" t="s">
        <v>5161</v>
      </c>
      <c r="X479" t="s">
        <v>5161</v>
      </c>
      <c r="Z479" t="s">
        <v>4737</v>
      </c>
      <c r="AF479">
        <v>1</v>
      </c>
      <c r="AG479">
        <v>1</v>
      </c>
      <c r="AH479">
        <v>1</v>
      </c>
    </row>
    <row r="480" spans="1:34" x14ac:dyDescent="0.3">
      <c r="A480">
        <v>505</v>
      </c>
      <c r="B480" t="s">
        <v>2614</v>
      </c>
      <c r="C480" t="s">
        <v>4712</v>
      </c>
      <c r="D480" t="s">
        <v>2186</v>
      </c>
      <c r="E480" t="s">
        <v>139</v>
      </c>
      <c r="F480" t="s">
        <v>22</v>
      </c>
      <c r="G480" t="s">
        <v>3607</v>
      </c>
      <c r="H480" t="s">
        <v>4729</v>
      </c>
      <c r="I480" t="s">
        <v>4730</v>
      </c>
      <c r="J480" t="s">
        <v>4480</v>
      </c>
      <c r="L480" t="s">
        <v>25</v>
      </c>
      <c r="M480" t="s">
        <v>2186</v>
      </c>
      <c r="N480" t="s">
        <v>4538</v>
      </c>
      <c r="O480" t="s">
        <v>4765</v>
      </c>
      <c r="Q480">
        <v>0</v>
      </c>
      <c r="S480">
        <v>0</v>
      </c>
      <c r="U480" t="s">
        <v>4801</v>
      </c>
      <c r="V480" t="s">
        <v>4543</v>
      </c>
      <c r="W480" t="s">
        <v>4802</v>
      </c>
      <c r="X480" t="s">
        <v>5239</v>
      </c>
      <c r="Z480" t="s">
        <v>4737</v>
      </c>
      <c r="AF480">
        <v>1</v>
      </c>
      <c r="AG480">
        <v>1</v>
      </c>
      <c r="AH480">
        <v>1</v>
      </c>
    </row>
    <row r="481" spans="1:34" x14ac:dyDescent="0.3">
      <c r="A481">
        <v>506</v>
      </c>
      <c r="B481" t="s">
        <v>2616</v>
      </c>
      <c r="C481" t="s">
        <v>4712</v>
      </c>
      <c r="D481" t="s">
        <v>1781</v>
      </c>
      <c r="E481" t="s">
        <v>21</v>
      </c>
      <c r="F481" t="s">
        <v>22</v>
      </c>
      <c r="G481" t="s">
        <v>3607</v>
      </c>
      <c r="H481" t="s">
        <v>4729</v>
      </c>
      <c r="I481" t="s">
        <v>4730</v>
      </c>
      <c r="J481" t="s">
        <v>4480</v>
      </c>
      <c r="L481" t="s">
        <v>25</v>
      </c>
      <c r="M481" t="s">
        <v>1781</v>
      </c>
      <c r="N481" t="s">
        <v>4732</v>
      </c>
      <c r="O481" t="s">
        <v>4733</v>
      </c>
      <c r="Q481">
        <v>0</v>
      </c>
      <c r="S481">
        <v>0</v>
      </c>
      <c r="U481" t="s">
        <v>4801</v>
      </c>
      <c r="V481" t="s">
        <v>4546</v>
      </c>
      <c r="W481" t="s">
        <v>5085</v>
      </c>
      <c r="X481" t="s">
        <v>5085</v>
      </c>
      <c r="Z481" t="s">
        <v>4737</v>
      </c>
      <c r="AF481">
        <v>1</v>
      </c>
      <c r="AG481">
        <v>1</v>
      </c>
      <c r="AH481">
        <v>1</v>
      </c>
    </row>
    <row r="482" spans="1:34" x14ac:dyDescent="0.3">
      <c r="A482">
        <v>507</v>
      </c>
      <c r="B482" t="s">
        <v>2618</v>
      </c>
      <c r="C482" t="s">
        <v>4712</v>
      </c>
      <c r="D482" t="s">
        <v>1460</v>
      </c>
      <c r="E482" t="s">
        <v>21</v>
      </c>
      <c r="F482" t="s">
        <v>22</v>
      </c>
      <c r="G482" t="s">
        <v>3607</v>
      </c>
      <c r="H482" t="s">
        <v>4729</v>
      </c>
      <c r="I482" t="s">
        <v>4730</v>
      </c>
      <c r="J482" t="s">
        <v>4480</v>
      </c>
      <c r="L482" t="s">
        <v>25</v>
      </c>
      <c r="M482" t="s">
        <v>1460</v>
      </c>
      <c r="N482" t="s">
        <v>4732</v>
      </c>
      <c r="O482" t="s">
        <v>4733</v>
      </c>
      <c r="Q482">
        <v>0</v>
      </c>
      <c r="S482">
        <v>0</v>
      </c>
      <c r="U482" t="s">
        <v>4801</v>
      </c>
      <c r="V482" t="s">
        <v>4544</v>
      </c>
      <c r="W482" t="s">
        <v>4802</v>
      </c>
      <c r="X482" t="s">
        <v>5006</v>
      </c>
      <c r="Z482" t="s">
        <v>4737</v>
      </c>
      <c r="AF482">
        <v>1</v>
      </c>
      <c r="AG482">
        <v>1</v>
      </c>
      <c r="AH482">
        <v>1</v>
      </c>
    </row>
    <row r="483" spans="1:34" x14ac:dyDescent="0.3">
      <c r="A483">
        <v>508</v>
      </c>
      <c r="B483" t="s">
        <v>2620</v>
      </c>
      <c r="C483" t="s">
        <v>4712</v>
      </c>
      <c r="D483" t="s">
        <v>2018</v>
      </c>
      <c r="E483" t="s">
        <v>139</v>
      </c>
      <c r="F483" t="s">
        <v>22</v>
      </c>
      <c r="G483" t="s">
        <v>3607</v>
      </c>
      <c r="H483" t="s">
        <v>4729</v>
      </c>
      <c r="I483" t="s">
        <v>4730</v>
      </c>
      <c r="J483" t="s">
        <v>4480</v>
      </c>
      <c r="L483" t="s">
        <v>25</v>
      </c>
      <c r="M483" t="s">
        <v>2018</v>
      </c>
      <c r="N483" t="s">
        <v>4538</v>
      </c>
      <c r="O483" t="s">
        <v>4765</v>
      </c>
      <c r="Q483">
        <v>0</v>
      </c>
      <c r="S483">
        <v>0</v>
      </c>
      <c r="U483" t="s">
        <v>4801</v>
      </c>
      <c r="V483" t="s">
        <v>4717</v>
      </c>
      <c r="W483" t="s">
        <v>4802</v>
      </c>
      <c r="X483" t="s">
        <v>5274</v>
      </c>
      <c r="Z483" t="s">
        <v>4737</v>
      </c>
      <c r="AF483">
        <v>1</v>
      </c>
      <c r="AG483">
        <v>1</v>
      </c>
      <c r="AH483">
        <v>1</v>
      </c>
    </row>
    <row r="484" spans="1:34" x14ac:dyDescent="0.3">
      <c r="A484">
        <v>509</v>
      </c>
      <c r="B484" t="s">
        <v>2622</v>
      </c>
      <c r="C484" t="s">
        <v>4712</v>
      </c>
      <c r="D484" t="s">
        <v>1096</v>
      </c>
      <c r="E484" t="s">
        <v>73</v>
      </c>
      <c r="F484" t="s">
        <v>22</v>
      </c>
      <c r="G484" t="s">
        <v>3608</v>
      </c>
      <c r="H484" t="s">
        <v>4729</v>
      </c>
      <c r="I484" t="s">
        <v>4730</v>
      </c>
      <c r="J484" t="s">
        <v>4480</v>
      </c>
      <c r="L484" t="s">
        <v>25</v>
      </c>
      <c r="M484" t="s">
        <v>1096</v>
      </c>
      <c r="N484" t="s">
        <v>4732</v>
      </c>
      <c r="O484" t="s">
        <v>4733</v>
      </c>
      <c r="Q484">
        <v>0</v>
      </c>
      <c r="S484">
        <v>0</v>
      </c>
      <c r="U484" t="s">
        <v>5351</v>
      </c>
      <c r="V484" t="s">
        <v>4758</v>
      </c>
      <c r="W484" t="s">
        <v>5352</v>
      </c>
      <c r="X484" t="s">
        <v>5352</v>
      </c>
      <c r="Z484" t="s">
        <v>4737</v>
      </c>
      <c r="AF484">
        <v>1</v>
      </c>
      <c r="AG484">
        <v>1</v>
      </c>
      <c r="AH484">
        <v>1</v>
      </c>
    </row>
    <row r="485" spans="1:34" x14ac:dyDescent="0.3">
      <c r="A485">
        <v>510</v>
      </c>
      <c r="B485" t="s">
        <v>2634</v>
      </c>
      <c r="C485" t="s">
        <v>4728</v>
      </c>
      <c r="D485" t="s">
        <v>1490</v>
      </c>
      <c r="E485" t="s">
        <v>39</v>
      </c>
      <c r="F485" t="s">
        <v>22</v>
      </c>
      <c r="G485" t="s">
        <v>3608</v>
      </c>
      <c r="H485" t="s">
        <v>4729</v>
      </c>
      <c r="I485" t="s">
        <v>4730</v>
      </c>
      <c r="J485" t="s">
        <v>4720</v>
      </c>
      <c r="L485" t="s">
        <v>25</v>
      </c>
      <c r="M485" t="s">
        <v>1490</v>
      </c>
      <c r="N485" t="s">
        <v>4732</v>
      </c>
      <c r="O485" t="s">
        <v>4733</v>
      </c>
      <c r="Q485">
        <v>0</v>
      </c>
      <c r="S485">
        <v>0</v>
      </c>
      <c r="U485" t="s">
        <v>5353</v>
      </c>
      <c r="V485" t="s">
        <v>4758</v>
      </c>
      <c r="W485" t="s">
        <v>5266</v>
      </c>
      <c r="X485" t="s">
        <v>5266</v>
      </c>
      <c r="Z485" t="s">
        <v>4737</v>
      </c>
      <c r="AF485">
        <v>1</v>
      </c>
      <c r="AG485">
        <v>1</v>
      </c>
      <c r="AH485">
        <v>1</v>
      </c>
    </row>
    <row r="486" spans="1:34" x14ac:dyDescent="0.3">
      <c r="A486">
        <v>511</v>
      </c>
      <c r="B486" t="s">
        <v>2639</v>
      </c>
      <c r="C486" t="s">
        <v>4728</v>
      </c>
      <c r="D486" t="s">
        <v>1490</v>
      </c>
      <c r="E486" t="s">
        <v>39</v>
      </c>
      <c r="F486" t="s">
        <v>22</v>
      </c>
      <c r="G486" t="s">
        <v>3608</v>
      </c>
      <c r="H486" t="s">
        <v>4729</v>
      </c>
      <c r="I486" t="s">
        <v>4730</v>
      </c>
      <c r="J486" t="s">
        <v>4720</v>
      </c>
      <c r="L486" t="s">
        <v>25</v>
      </c>
      <c r="M486" t="s">
        <v>1490</v>
      </c>
      <c r="N486" t="s">
        <v>4732</v>
      </c>
      <c r="O486" t="s">
        <v>4733</v>
      </c>
      <c r="Q486">
        <v>0</v>
      </c>
      <c r="S486">
        <v>0</v>
      </c>
      <c r="U486" t="s">
        <v>5354</v>
      </c>
      <c r="V486" t="s">
        <v>4758</v>
      </c>
      <c r="W486" t="s">
        <v>5266</v>
      </c>
      <c r="X486" t="s">
        <v>5266</v>
      </c>
      <c r="Z486" t="s">
        <v>4737</v>
      </c>
      <c r="AF486">
        <v>1</v>
      </c>
      <c r="AG486">
        <v>1</v>
      </c>
      <c r="AH486">
        <v>1</v>
      </c>
    </row>
    <row r="487" spans="1:34" x14ac:dyDescent="0.3">
      <c r="A487">
        <v>513</v>
      </c>
      <c r="B487" t="s">
        <v>2644</v>
      </c>
      <c r="C487" t="s">
        <v>4728</v>
      </c>
      <c r="D487" t="s">
        <v>1490</v>
      </c>
      <c r="E487" t="s">
        <v>39</v>
      </c>
      <c r="F487" t="s">
        <v>22</v>
      </c>
      <c r="G487" t="s">
        <v>3607</v>
      </c>
      <c r="H487" t="s">
        <v>4729</v>
      </c>
      <c r="I487" t="s">
        <v>4730</v>
      </c>
      <c r="J487" t="s">
        <v>4731</v>
      </c>
      <c r="L487" t="s">
        <v>25</v>
      </c>
      <c r="M487" t="s">
        <v>1490</v>
      </c>
      <c r="N487" t="s">
        <v>4732</v>
      </c>
      <c r="O487" t="s">
        <v>4733</v>
      </c>
      <c r="Q487">
        <v>0</v>
      </c>
      <c r="S487">
        <v>0</v>
      </c>
      <c r="U487" t="s">
        <v>5355</v>
      </c>
      <c r="V487" t="s">
        <v>4758</v>
      </c>
      <c r="W487" t="s">
        <v>5266</v>
      </c>
      <c r="X487" t="s">
        <v>5266</v>
      </c>
      <c r="Z487" t="s">
        <v>4737</v>
      </c>
      <c r="AF487">
        <v>1</v>
      </c>
      <c r="AG487">
        <v>1</v>
      </c>
      <c r="AH487">
        <v>1</v>
      </c>
    </row>
    <row r="488" spans="1:34" x14ac:dyDescent="0.3">
      <c r="A488">
        <v>514</v>
      </c>
      <c r="B488" t="s">
        <v>2645</v>
      </c>
      <c r="C488" t="s">
        <v>4728</v>
      </c>
      <c r="D488" t="s">
        <v>1490</v>
      </c>
      <c r="E488" t="s">
        <v>21</v>
      </c>
      <c r="F488" t="s">
        <v>22</v>
      </c>
      <c r="G488" t="s">
        <v>3607</v>
      </c>
      <c r="H488" t="s">
        <v>4729</v>
      </c>
      <c r="I488" t="s">
        <v>4730</v>
      </c>
      <c r="J488" t="s">
        <v>4731</v>
      </c>
      <c r="L488" t="s">
        <v>25</v>
      </c>
      <c r="M488" t="s">
        <v>1490</v>
      </c>
      <c r="N488" t="s">
        <v>4732</v>
      </c>
      <c r="O488" t="s">
        <v>4733</v>
      </c>
      <c r="Q488">
        <v>0</v>
      </c>
      <c r="S488">
        <v>0</v>
      </c>
      <c r="U488" t="s">
        <v>5356</v>
      </c>
      <c r="V488" t="s">
        <v>4758</v>
      </c>
      <c r="W488" t="s">
        <v>5266</v>
      </c>
      <c r="X488" t="s">
        <v>5266</v>
      </c>
      <c r="Z488" t="s">
        <v>4737</v>
      </c>
      <c r="AF488">
        <v>1</v>
      </c>
      <c r="AG488">
        <v>1</v>
      </c>
      <c r="AH488">
        <v>1</v>
      </c>
    </row>
    <row r="489" spans="1:34" x14ac:dyDescent="0.3">
      <c r="A489">
        <v>515</v>
      </c>
      <c r="B489" t="s">
        <v>2646</v>
      </c>
      <c r="C489" t="s">
        <v>4712</v>
      </c>
      <c r="D489" t="s">
        <v>72</v>
      </c>
      <c r="E489" t="s">
        <v>21</v>
      </c>
      <c r="F489" t="s">
        <v>22</v>
      </c>
      <c r="G489" t="s">
        <v>3607</v>
      </c>
      <c r="H489" t="s">
        <v>4729</v>
      </c>
      <c r="I489" t="s">
        <v>4730</v>
      </c>
      <c r="J489" t="s">
        <v>4731</v>
      </c>
      <c r="L489" t="s">
        <v>25</v>
      </c>
      <c r="M489" t="s">
        <v>72</v>
      </c>
      <c r="N489" t="s">
        <v>4732</v>
      </c>
      <c r="O489" t="s">
        <v>4733</v>
      </c>
      <c r="Q489">
        <v>0</v>
      </c>
      <c r="S489">
        <v>0</v>
      </c>
      <c r="U489" t="s">
        <v>5357</v>
      </c>
      <c r="V489" t="s">
        <v>4544</v>
      </c>
      <c r="W489" t="s">
        <v>5358</v>
      </c>
      <c r="X489" t="s">
        <v>5358</v>
      </c>
      <c r="Z489" t="s">
        <v>4737</v>
      </c>
      <c r="AF489">
        <v>1</v>
      </c>
      <c r="AG489">
        <v>1</v>
      </c>
      <c r="AH489">
        <v>1</v>
      </c>
    </row>
    <row r="490" spans="1:34" x14ac:dyDescent="0.3">
      <c r="A490">
        <v>516</v>
      </c>
      <c r="B490" t="s">
        <v>2647</v>
      </c>
      <c r="C490" t="s">
        <v>4728</v>
      </c>
      <c r="D490" t="s">
        <v>72</v>
      </c>
      <c r="E490" t="s">
        <v>21</v>
      </c>
      <c r="F490" t="s">
        <v>22</v>
      </c>
      <c r="G490" t="s">
        <v>3607</v>
      </c>
      <c r="H490" t="s">
        <v>4729</v>
      </c>
      <c r="I490" t="s">
        <v>4730</v>
      </c>
      <c r="J490" t="s">
        <v>4731</v>
      </c>
      <c r="L490" t="s">
        <v>25</v>
      </c>
      <c r="M490" t="s">
        <v>72</v>
      </c>
      <c r="N490" t="s">
        <v>4732</v>
      </c>
      <c r="O490" t="s">
        <v>4733</v>
      </c>
      <c r="Q490">
        <v>0</v>
      </c>
      <c r="S490">
        <v>0</v>
      </c>
      <c r="U490" t="s">
        <v>5359</v>
      </c>
      <c r="V490" t="s">
        <v>4544</v>
      </c>
      <c r="W490" t="s">
        <v>5358</v>
      </c>
      <c r="X490" t="s">
        <v>5358</v>
      </c>
      <c r="Z490" t="s">
        <v>4737</v>
      </c>
      <c r="AF490">
        <v>1</v>
      </c>
      <c r="AG490">
        <v>1</v>
      </c>
      <c r="AH490">
        <v>1</v>
      </c>
    </row>
    <row r="491" spans="1:34" x14ac:dyDescent="0.3">
      <c r="A491">
        <v>518</v>
      </c>
      <c r="B491" t="s">
        <v>119</v>
      </c>
      <c r="C491" t="s">
        <v>4712</v>
      </c>
      <c r="D491" t="s">
        <v>120</v>
      </c>
      <c r="E491" t="s">
        <v>39</v>
      </c>
      <c r="F491" t="s">
        <v>22</v>
      </c>
      <c r="G491" t="s">
        <v>3607</v>
      </c>
      <c r="H491" t="s">
        <v>4729</v>
      </c>
      <c r="I491" t="s">
        <v>4730</v>
      </c>
      <c r="J491" t="s">
        <v>4480</v>
      </c>
      <c r="L491" t="s">
        <v>25</v>
      </c>
      <c r="M491" t="s">
        <v>120</v>
      </c>
      <c r="N491" t="s">
        <v>4732</v>
      </c>
      <c r="O491" t="s">
        <v>4733</v>
      </c>
      <c r="Q491">
        <v>0</v>
      </c>
      <c r="S491">
        <v>0</v>
      </c>
      <c r="U491" t="s">
        <v>4757</v>
      </c>
      <c r="V491" t="s">
        <v>4758</v>
      </c>
      <c r="W491" t="s">
        <v>5360</v>
      </c>
      <c r="X491" t="s">
        <v>5360</v>
      </c>
      <c r="Z491" t="s">
        <v>4737</v>
      </c>
      <c r="AF491">
        <v>1</v>
      </c>
      <c r="AG491">
        <v>1</v>
      </c>
      <c r="AH491">
        <v>1</v>
      </c>
    </row>
    <row r="492" spans="1:34" x14ac:dyDescent="0.3">
      <c r="A492">
        <v>519</v>
      </c>
      <c r="B492" t="s">
        <v>2648</v>
      </c>
      <c r="C492" t="s">
        <v>4728</v>
      </c>
      <c r="D492" t="s">
        <v>1998</v>
      </c>
      <c r="E492" t="s">
        <v>21</v>
      </c>
      <c r="F492" t="s">
        <v>22</v>
      </c>
      <c r="G492" t="s">
        <v>3608</v>
      </c>
      <c r="H492" t="s">
        <v>4729</v>
      </c>
      <c r="I492" t="s">
        <v>4730</v>
      </c>
      <c r="J492" t="s">
        <v>4731</v>
      </c>
      <c r="L492" t="s">
        <v>25</v>
      </c>
      <c r="M492" t="s">
        <v>1998</v>
      </c>
      <c r="N492" t="s">
        <v>4732</v>
      </c>
      <c r="O492" t="s">
        <v>4733</v>
      </c>
      <c r="Q492">
        <v>0</v>
      </c>
      <c r="S492">
        <v>0</v>
      </c>
      <c r="V492" t="s">
        <v>4744</v>
      </c>
      <c r="AF492">
        <v>1</v>
      </c>
      <c r="AG492">
        <v>1</v>
      </c>
      <c r="AH492">
        <v>1</v>
      </c>
    </row>
    <row r="493" spans="1:34" x14ac:dyDescent="0.3">
      <c r="A493" t="s">
        <v>5361</v>
      </c>
      <c r="B493" t="s">
        <v>5362</v>
      </c>
      <c r="I493" t="s">
        <v>4713</v>
      </c>
      <c r="L493" t="s">
        <v>25</v>
      </c>
      <c r="U493" t="s">
        <v>5363</v>
      </c>
      <c r="V493" t="s">
        <v>4544</v>
      </c>
    </row>
    <row r="494" spans="1:34" x14ac:dyDescent="0.3">
      <c r="A494" t="s">
        <v>5364</v>
      </c>
      <c r="B494" t="s">
        <v>2604</v>
      </c>
      <c r="D494" t="s">
        <v>1528</v>
      </c>
      <c r="I494" t="s">
        <v>4713</v>
      </c>
      <c r="L494" t="s">
        <v>25</v>
      </c>
      <c r="M494" t="s">
        <v>1528</v>
      </c>
      <c r="N494" t="s">
        <v>5365</v>
      </c>
      <c r="O494" t="s">
        <v>5365</v>
      </c>
      <c r="U494" t="s">
        <v>4801</v>
      </c>
      <c r="V494" t="s">
        <v>4544</v>
      </c>
      <c r="Z494" t="s">
        <v>4737</v>
      </c>
    </row>
    <row r="495" spans="1:34" x14ac:dyDescent="0.3">
      <c r="A495">
        <v>522</v>
      </c>
      <c r="B495" t="s">
        <v>2651</v>
      </c>
      <c r="C495" t="s">
        <v>4712</v>
      </c>
      <c r="D495" t="s">
        <v>1234</v>
      </c>
      <c r="E495" t="s">
        <v>139</v>
      </c>
      <c r="F495" t="s">
        <v>22</v>
      </c>
      <c r="G495" t="s">
        <v>3607</v>
      </c>
      <c r="H495" t="s">
        <v>4729</v>
      </c>
      <c r="I495" t="s">
        <v>4730</v>
      </c>
      <c r="J495" t="s">
        <v>4480</v>
      </c>
      <c r="L495" t="s">
        <v>203</v>
      </c>
      <c r="M495" t="s">
        <v>1234</v>
      </c>
      <c r="N495" t="s">
        <v>4542</v>
      </c>
      <c r="O495" t="s">
        <v>4863</v>
      </c>
      <c r="Q495">
        <v>0</v>
      </c>
      <c r="S495">
        <v>0</v>
      </c>
      <c r="U495" t="s">
        <v>5366</v>
      </c>
      <c r="V495" t="s">
        <v>4546</v>
      </c>
      <c r="W495" t="s">
        <v>5332</v>
      </c>
      <c r="X495" t="s">
        <v>5332</v>
      </c>
      <c r="Z495" t="s">
        <v>4771</v>
      </c>
      <c r="AF495">
        <v>1</v>
      </c>
      <c r="AG495">
        <v>1</v>
      </c>
      <c r="AH495">
        <v>1</v>
      </c>
    </row>
    <row r="496" spans="1:34" x14ac:dyDescent="0.3">
      <c r="A496">
        <v>523</v>
      </c>
      <c r="B496" t="s">
        <v>1945</v>
      </c>
      <c r="C496" t="s">
        <v>4712</v>
      </c>
      <c r="D496" t="s">
        <v>210</v>
      </c>
      <c r="E496" t="s">
        <v>21</v>
      </c>
      <c r="F496" t="s">
        <v>22</v>
      </c>
      <c r="G496" t="s">
        <v>3608</v>
      </c>
      <c r="H496" t="s">
        <v>4729</v>
      </c>
      <c r="I496" t="s">
        <v>4730</v>
      </c>
      <c r="J496" t="s">
        <v>4480</v>
      </c>
      <c r="L496" t="s">
        <v>197</v>
      </c>
      <c r="M496" t="s">
        <v>210</v>
      </c>
      <c r="N496" t="s">
        <v>4714</v>
      </c>
      <c r="O496" t="s">
        <v>5105</v>
      </c>
      <c r="Q496">
        <v>0</v>
      </c>
      <c r="S496">
        <v>0</v>
      </c>
      <c r="U496" t="s">
        <v>5367</v>
      </c>
      <c r="V496" t="s">
        <v>4544</v>
      </c>
      <c r="W496" t="s">
        <v>4945</v>
      </c>
      <c r="X496" t="s">
        <v>4945</v>
      </c>
      <c r="Z496" t="s">
        <v>4737</v>
      </c>
      <c r="AF496">
        <v>1</v>
      </c>
      <c r="AG496">
        <v>1</v>
      </c>
      <c r="AH496">
        <v>1</v>
      </c>
    </row>
    <row r="497" spans="1:34" x14ac:dyDescent="0.3">
      <c r="A497">
        <v>524</v>
      </c>
      <c r="B497" t="s">
        <v>2185</v>
      </c>
      <c r="C497" t="s">
        <v>4728</v>
      </c>
      <c r="D497" t="s">
        <v>2186</v>
      </c>
      <c r="E497" t="s">
        <v>21</v>
      </c>
      <c r="F497" t="s">
        <v>22</v>
      </c>
      <c r="G497" t="s">
        <v>3608</v>
      </c>
      <c r="H497" t="s">
        <v>4729</v>
      </c>
      <c r="I497" t="s">
        <v>4730</v>
      </c>
      <c r="J497" t="s">
        <v>4720</v>
      </c>
      <c r="L497" t="s">
        <v>203</v>
      </c>
      <c r="M497" t="s">
        <v>2186</v>
      </c>
      <c r="N497" t="s">
        <v>4541</v>
      </c>
      <c r="O497" t="s">
        <v>4722</v>
      </c>
      <c r="Q497">
        <v>0</v>
      </c>
      <c r="S497">
        <v>0</v>
      </c>
      <c r="U497" t="s">
        <v>5230</v>
      </c>
      <c r="V497" t="s">
        <v>4543</v>
      </c>
      <c r="W497" t="s">
        <v>5368</v>
      </c>
      <c r="X497" t="s">
        <v>5231</v>
      </c>
      <c r="Z497">
        <v>1</v>
      </c>
      <c r="AF497">
        <v>1</v>
      </c>
      <c r="AG497">
        <v>1</v>
      </c>
      <c r="AH497">
        <v>1</v>
      </c>
    </row>
    <row r="498" spans="1:34" x14ac:dyDescent="0.3">
      <c r="A498" t="s">
        <v>5369</v>
      </c>
      <c r="B498" t="s">
        <v>1945</v>
      </c>
      <c r="D498" t="s">
        <v>1946</v>
      </c>
      <c r="I498" t="s">
        <v>4713</v>
      </c>
      <c r="L498" t="s">
        <v>25</v>
      </c>
      <c r="M498" t="s">
        <v>1946</v>
      </c>
      <c r="N498" t="s">
        <v>4714</v>
      </c>
      <c r="O498" t="s">
        <v>5105</v>
      </c>
      <c r="P498" t="s">
        <v>5133</v>
      </c>
      <c r="Q498">
        <v>0</v>
      </c>
      <c r="R498">
        <v>200</v>
      </c>
      <c r="S498">
        <v>0</v>
      </c>
      <c r="U498" t="s">
        <v>5370</v>
      </c>
      <c r="V498" t="s">
        <v>4735</v>
      </c>
      <c r="W498" t="s">
        <v>4923</v>
      </c>
      <c r="X498" t="s">
        <v>4923</v>
      </c>
      <c r="Z498" t="s">
        <v>4737</v>
      </c>
      <c r="AH498">
        <v>0</v>
      </c>
    </row>
    <row r="499" spans="1:34" x14ac:dyDescent="0.3">
      <c r="A499" t="s">
        <v>5371</v>
      </c>
      <c r="B499" t="s">
        <v>5372</v>
      </c>
      <c r="D499" t="s">
        <v>1946</v>
      </c>
      <c r="I499" t="s">
        <v>4713</v>
      </c>
      <c r="L499" t="s">
        <v>25</v>
      </c>
      <c r="M499" t="s">
        <v>1946</v>
      </c>
      <c r="N499" t="s">
        <v>4714</v>
      </c>
      <c r="O499" t="s">
        <v>5105</v>
      </c>
      <c r="P499" t="s">
        <v>5133</v>
      </c>
      <c r="Q499">
        <v>0</v>
      </c>
      <c r="R499">
        <v>201</v>
      </c>
      <c r="S499">
        <v>0</v>
      </c>
      <c r="V499" t="s">
        <v>4543</v>
      </c>
      <c r="AH499">
        <v>0</v>
      </c>
    </row>
    <row r="500" spans="1:34" x14ac:dyDescent="0.3">
      <c r="A500" t="s">
        <v>5373</v>
      </c>
      <c r="B500" t="s">
        <v>3586</v>
      </c>
      <c r="D500" t="s">
        <v>1946</v>
      </c>
      <c r="I500" t="s">
        <v>4713</v>
      </c>
      <c r="L500" t="s">
        <v>25</v>
      </c>
      <c r="M500" t="s">
        <v>1946</v>
      </c>
      <c r="N500" t="s">
        <v>4714</v>
      </c>
      <c r="O500" t="s">
        <v>5105</v>
      </c>
      <c r="P500" t="s">
        <v>5133</v>
      </c>
      <c r="Q500">
        <v>0</v>
      </c>
      <c r="R500">
        <v>202</v>
      </c>
      <c r="S500">
        <v>0</v>
      </c>
      <c r="V500" t="s">
        <v>4543</v>
      </c>
      <c r="AH500">
        <v>0</v>
      </c>
    </row>
    <row r="501" spans="1:34" x14ac:dyDescent="0.3">
      <c r="A501" t="s">
        <v>5374</v>
      </c>
      <c r="B501" t="s">
        <v>5375</v>
      </c>
      <c r="D501" t="s">
        <v>1946</v>
      </c>
      <c r="I501" t="s">
        <v>4713</v>
      </c>
      <c r="L501" t="s">
        <v>25</v>
      </c>
      <c r="M501" t="s">
        <v>1946</v>
      </c>
      <c r="N501" t="s">
        <v>4714</v>
      </c>
      <c r="O501" t="s">
        <v>5105</v>
      </c>
      <c r="P501" t="s">
        <v>5133</v>
      </c>
      <c r="Q501">
        <v>0</v>
      </c>
      <c r="R501">
        <v>203</v>
      </c>
      <c r="S501">
        <v>0</v>
      </c>
      <c r="V501" t="s">
        <v>4543</v>
      </c>
      <c r="AH501">
        <v>0</v>
      </c>
    </row>
    <row r="502" spans="1:34" x14ac:dyDescent="0.3">
      <c r="A502">
        <v>526</v>
      </c>
      <c r="B502" t="s">
        <v>2656</v>
      </c>
      <c r="C502" t="s">
        <v>4728</v>
      </c>
      <c r="D502" t="s">
        <v>1448</v>
      </c>
      <c r="E502" t="s">
        <v>39</v>
      </c>
      <c r="F502" t="s">
        <v>22</v>
      </c>
      <c r="G502" t="s">
        <v>3607</v>
      </c>
      <c r="H502" t="s">
        <v>4729</v>
      </c>
      <c r="I502" t="s">
        <v>4730</v>
      </c>
      <c r="J502" t="s">
        <v>4731</v>
      </c>
      <c r="L502" t="s">
        <v>25</v>
      </c>
      <c r="M502" t="s">
        <v>1448</v>
      </c>
      <c r="N502" t="s">
        <v>4732</v>
      </c>
      <c r="O502" t="s">
        <v>4733</v>
      </c>
      <c r="Q502">
        <v>0</v>
      </c>
      <c r="S502">
        <v>0</v>
      </c>
      <c r="U502" t="s">
        <v>5376</v>
      </c>
      <c r="V502" t="s">
        <v>4735</v>
      </c>
      <c r="W502" t="s">
        <v>5121</v>
      </c>
      <c r="X502" t="s">
        <v>5121</v>
      </c>
      <c r="Z502" t="s">
        <v>4737</v>
      </c>
      <c r="AF502">
        <v>1</v>
      </c>
      <c r="AG502">
        <v>1</v>
      </c>
      <c r="AH502">
        <v>1</v>
      </c>
    </row>
    <row r="503" spans="1:34" x14ac:dyDescent="0.3">
      <c r="A503">
        <v>527</v>
      </c>
      <c r="B503" t="s">
        <v>2657</v>
      </c>
      <c r="C503" t="s">
        <v>4712</v>
      </c>
      <c r="D503" t="s">
        <v>1263</v>
      </c>
      <c r="E503" t="s">
        <v>139</v>
      </c>
      <c r="F503" t="s">
        <v>22</v>
      </c>
      <c r="G503" t="s">
        <v>3607</v>
      </c>
      <c r="H503" t="s">
        <v>4729</v>
      </c>
      <c r="I503" t="s">
        <v>4730</v>
      </c>
      <c r="L503" t="s">
        <v>25</v>
      </c>
      <c r="M503" t="s">
        <v>1263</v>
      </c>
      <c r="N503" t="s">
        <v>4732</v>
      </c>
      <c r="O503" t="s">
        <v>4733</v>
      </c>
      <c r="Q503">
        <v>0</v>
      </c>
      <c r="S503">
        <v>0</v>
      </c>
      <c r="U503" t="s">
        <v>5377</v>
      </c>
      <c r="V503" t="s">
        <v>4758</v>
      </c>
      <c r="W503" t="s">
        <v>4954</v>
      </c>
      <c r="X503" t="s">
        <v>4954</v>
      </c>
      <c r="Z503" t="s">
        <v>4737</v>
      </c>
      <c r="AF503">
        <v>1</v>
      </c>
      <c r="AG503">
        <v>1</v>
      </c>
      <c r="AH503">
        <v>1</v>
      </c>
    </row>
    <row r="504" spans="1:34" x14ac:dyDescent="0.3">
      <c r="A504">
        <v>528</v>
      </c>
      <c r="B504" t="s">
        <v>2658</v>
      </c>
      <c r="C504" t="s">
        <v>4712</v>
      </c>
      <c r="D504" t="s">
        <v>1263</v>
      </c>
      <c r="E504" t="s">
        <v>139</v>
      </c>
      <c r="F504" t="s">
        <v>22</v>
      </c>
      <c r="G504" t="s">
        <v>3607</v>
      </c>
      <c r="H504" t="s">
        <v>4729</v>
      </c>
      <c r="I504" t="s">
        <v>4730</v>
      </c>
      <c r="J504" t="s">
        <v>4480</v>
      </c>
      <c r="L504" t="s">
        <v>203</v>
      </c>
      <c r="M504" t="s">
        <v>1263</v>
      </c>
      <c r="N504" t="s">
        <v>4732</v>
      </c>
      <c r="O504" t="s">
        <v>4733</v>
      </c>
      <c r="Q504">
        <v>0</v>
      </c>
      <c r="S504">
        <v>0</v>
      </c>
      <c r="U504" t="s">
        <v>5378</v>
      </c>
      <c r="V504" t="s">
        <v>4758</v>
      </c>
      <c r="W504" t="s">
        <v>4954</v>
      </c>
      <c r="X504" t="s">
        <v>4954</v>
      </c>
      <c r="Z504">
        <v>1</v>
      </c>
      <c r="AF504">
        <v>1</v>
      </c>
      <c r="AG504">
        <v>1</v>
      </c>
      <c r="AH504">
        <v>1</v>
      </c>
    </row>
    <row r="505" spans="1:34" x14ac:dyDescent="0.3">
      <c r="A505">
        <v>529</v>
      </c>
      <c r="B505" t="s">
        <v>2659</v>
      </c>
      <c r="C505" t="s">
        <v>4728</v>
      </c>
      <c r="D505" t="s">
        <v>224</v>
      </c>
      <c r="E505" t="s">
        <v>39</v>
      </c>
      <c r="F505" t="s">
        <v>22</v>
      </c>
      <c r="G505" t="s">
        <v>3608</v>
      </c>
      <c r="H505" t="s">
        <v>4729</v>
      </c>
      <c r="I505" t="s">
        <v>4730</v>
      </c>
      <c r="J505" t="s">
        <v>4720</v>
      </c>
      <c r="L505" t="s">
        <v>25</v>
      </c>
      <c r="M505" t="s">
        <v>224</v>
      </c>
      <c r="N505" t="s">
        <v>4732</v>
      </c>
      <c r="O505" t="s">
        <v>4733</v>
      </c>
      <c r="Q505">
        <v>0</v>
      </c>
      <c r="S505">
        <v>0</v>
      </c>
      <c r="U505" t="s">
        <v>5379</v>
      </c>
      <c r="V505" t="s">
        <v>4735</v>
      </c>
      <c r="W505" t="s">
        <v>4904</v>
      </c>
      <c r="X505" t="s">
        <v>4904</v>
      </c>
      <c r="Z505" t="s">
        <v>4737</v>
      </c>
      <c r="AF505">
        <v>1</v>
      </c>
      <c r="AG505">
        <v>1</v>
      </c>
      <c r="AH505">
        <v>1</v>
      </c>
    </row>
    <row r="506" spans="1:34" x14ac:dyDescent="0.3">
      <c r="A506">
        <v>530</v>
      </c>
      <c r="B506" t="s">
        <v>2662</v>
      </c>
      <c r="C506" t="s">
        <v>4712</v>
      </c>
      <c r="D506" t="s">
        <v>72</v>
      </c>
      <c r="E506" t="s">
        <v>21</v>
      </c>
      <c r="F506" t="s">
        <v>22</v>
      </c>
      <c r="G506" t="s">
        <v>3607</v>
      </c>
      <c r="H506" t="s">
        <v>4729</v>
      </c>
      <c r="I506" t="s">
        <v>4730</v>
      </c>
      <c r="J506" t="s">
        <v>4731</v>
      </c>
      <c r="L506" t="s">
        <v>25</v>
      </c>
      <c r="M506" t="s">
        <v>72</v>
      </c>
      <c r="N506" t="s">
        <v>4732</v>
      </c>
      <c r="O506" t="s">
        <v>4733</v>
      </c>
      <c r="Q506">
        <v>0</v>
      </c>
      <c r="S506">
        <v>0</v>
      </c>
      <c r="U506" t="s">
        <v>5380</v>
      </c>
      <c r="V506" t="s">
        <v>4544</v>
      </c>
      <c r="W506" t="s">
        <v>5381</v>
      </c>
      <c r="X506" t="s">
        <v>5382</v>
      </c>
      <c r="Z506" t="s">
        <v>4737</v>
      </c>
      <c r="AF506">
        <v>1</v>
      </c>
      <c r="AG506">
        <v>1</v>
      </c>
      <c r="AH506">
        <v>1</v>
      </c>
    </row>
    <row r="507" spans="1:34" x14ac:dyDescent="0.3">
      <c r="A507">
        <v>531</v>
      </c>
      <c r="B507" t="s">
        <v>2663</v>
      </c>
      <c r="C507" t="s">
        <v>4712</v>
      </c>
      <c r="D507" t="s">
        <v>72</v>
      </c>
      <c r="E507" t="s">
        <v>21</v>
      </c>
      <c r="F507" t="s">
        <v>22</v>
      </c>
      <c r="G507" t="s">
        <v>3607</v>
      </c>
      <c r="H507" t="s">
        <v>4729</v>
      </c>
      <c r="I507" t="s">
        <v>4730</v>
      </c>
      <c r="J507" t="s">
        <v>4731</v>
      </c>
      <c r="L507" t="s">
        <v>25</v>
      </c>
      <c r="M507" t="s">
        <v>72</v>
      </c>
      <c r="N507" t="s">
        <v>4732</v>
      </c>
      <c r="O507" t="s">
        <v>4733</v>
      </c>
      <c r="Q507">
        <v>0</v>
      </c>
      <c r="S507">
        <v>0</v>
      </c>
      <c r="U507" t="s">
        <v>5383</v>
      </c>
      <c r="V507" t="s">
        <v>4544</v>
      </c>
      <c r="W507" t="s">
        <v>5381</v>
      </c>
      <c r="X507" t="s">
        <v>5382</v>
      </c>
      <c r="Z507" t="s">
        <v>4737</v>
      </c>
      <c r="AF507">
        <v>1</v>
      </c>
      <c r="AG507">
        <v>1</v>
      </c>
      <c r="AH507">
        <v>1</v>
      </c>
    </row>
    <row r="508" spans="1:34" x14ac:dyDescent="0.3">
      <c r="A508">
        <v>532</v>
      </c>
      <c r="B508" t="s">
        <v>2664</v>
      </c>
      <c r="C508" t="s">
        <v>4712</v>
      </c>
      <c r="D508" t="s">
        <v>454</v>
      </c>
      <c r="E508" t="s">
        <v>21</v>
      </c>
      <c r="F508" t="s">
        <v>22</v>
      </c>
      <c r="G508" t="s">
        <v>3608</v>
      </c>
      <c r="H508" t="s">
        <v>4729</v>
      </c>
      <c r="I508" t="s">
        <v>4730</v>
      </c>
      <c r="J508" t="s">
        <v>4720</v>
      </c>
      <c r="L508" t="s">
        <v>25</v>
      </c>
      <c r="M508" t="s">
        <v>454</v>
      </c>
      <c r="N508" t="s">
        <v>4542</v>
      </c>
      <c r="O508" t="s">
        <v>4790</v>
      </c>
      <c r="Q508">
        <v>0</v>
      </c>
      <c r="S508">
        <v>0</v>
      </c>
      <c r="U508" t="s">
        <v>5384</v>
      </c>
      <c r="V508" t="s">
        <v>4546</v>
      </c>
      <c r="W508" t="s">
        <v>5021</v>
      </c>
      <c r="X508" t="s">
        <v>5021</v>
      </c>
      <c r="Z508">
        <v>1</v>
      </c>
      <c r="AF508">
        <v>1</v>
      </c>
      <c r="AG508">
        <v>1</v>
      </c>
      <c r="AH508">
        <v>1</v>
      </c>
    </row>
    <row r="509" spans="1:34" x14ac:dyDescent="0.3">
      <c r="A509">
        <v>533</v>
      </c>
      <c r="B509" t="s">
        <v>2667</v>
      </c>
      <c r="C509" t="s">
        <v>4712</v>
      </c>
      <c r="D509" t="s">
        <v>454</v>
      </c>
      <c r="E509" t="s">
        <v>21</v>
      </c>
      <c r="F509" t="s">
        <v>22</v>
      </c>
      <c r="G509" t="s">
        <v>3608</v>
      </c>
      <c r="H509" t="s">
        <v>4729</v>
      </c>
      <c r="I509" t="s">
        <v>4730</v>
      </c>
      <c r="J509" t="s">
        <v>4720</v>
      </c>
      <c r="L509" t="s">
        <v>25</v>
      </c>
      <c r="M509" t="s">
        <v>454</v>
      </c>
      <c r="N509" t="s">
        <v>4542</v>
      </c>
      <c r="O509" t="s">
        <v>4790</v>
      </c>
      <c r="Q509">
        <v>0</v>
      </c>
      <c r="S509">
        <v>0</v>
      </c>
      <c r="U509" t="s">
        <v>5385</v>
      </c>
      <c r="V509" t="s">
        <v>4546</v>
      </c>
      <c r="W509" t="s">
        <v>5021</v>
      </c>
      <c r="X509" t="s">
        <v>5021</v>
      </c>
      <c r="Z509">
        <v>1</v>
      </c>
      <c r="AF509">
        <v>1</v>
      </c>
      <c r="AG509">
        <v>1</v>
      </c>
      <c r="AH509">
        <v>1</v>
      </c>
    </row>
    <row r="510" spans="1:34" x14ac:dyDescent="0.3">
      <c r="A510">
        <v>534</v>
      </c>
      <c r="B510" t="s">
        <v>2670</v>
      </c>
      <c r="C510" t="s">
        <v>4712</v>
      </c>
      <c r="D510" t="s">
        <v>454</v>
      </c>
      <c r="E510" t="s">
        <v>21</v>
      </c>
      <c r="F510" t="s">
        <v>22</v>
      </c>
      <c r="G510" t="s">
        <v>3608</v>
      </c>
      <c r="H510" t="s">
        <v>4729</v>
      </c>
      <c r="I510" t="s">
        <v>4730</v>
      </c>
      <c r="J510" t="s">
        <v>4720</v>
      </c>
      <c r="L510" t="s">
        <v>25</v>
      </c>
      <c r="M510" t="s">
        <v>454</v>
      </c>
      <c r="N510" t="s">
        <v>4542</v>
      </c>
      <c r="O510" t="s">
        <v>4790</v>
      </c>
      <c r="Q510">
        <v>0</v>
      </c>
      <c r="S510">
        <v>0</v>
      </c>
      <c r="U510" t="s">
        <v>5386</v>
      </c>
      <c r="V510" t="s">
        <v>4546</v>
      </c>
      <c r="W510" t="s">
        <v>5021</v>
      </c>
      <c r="X510" t="s">
        <v>5021</v>
      </c>
      <c r="Z510">
        <v>1</v>
      </c>
      <c r="AF510">
        <v>1</v>
      </c>
      <c r="AG510">
        <v>1</v>
      </c>
      <c r="AH510">
        <v>1</v>
      </c>
    </row>
    <row r="511" spans="1:34" x14ac:dyDescent="0.3">
      <c r="A511">
        <v>535</v>
      </c>
      <c r="B511" t="s">
        <v>2673</v>
      </c>
      <c r="C511" t="s">
        <v>4712</v>
      </c>
      <c r="D511" t="s">
        <v>454</v>
      </c>
      <c r="E511" t="s">
        <v>21</v>
      </c>
      <c r="F511" t="s">
        <v>22</v>
      </c>
      <c r="G511" t="s">
        <v>3608</v>
      </c>
      <c r="H511" t="s">
        <v>4729</v>
      </c>
      <c r="I511" t="s">
        <v>4730</v>
      </c>
      <c r="J511" t="s">
        <v>4720</v>
      </c>
      <c r="L511" t="s">
        <v>25</v>
      </c>
      <c r="M511" t="s">
        <v>454</v>
      </c>
      <c r="N511" t="s">
        <v>4542</v>
      </c>
      <c r="O511" t="s">
        <v>4790</v>
      </c>
      <c r="Q511">
        <v>0</v>
      </c>
      <c r="S511">
        <v>0</v>
      </c>
      <c r="U511" t="s">
        <v>5387</v>
      </c>
      <c r="V511" t="s">
        <v>4546</v>
      </c>
      <c r="W511" t="s">
        <v>5021</v>
      </c>
      <c r="X511" t="s">
        <v>5021</v>
      </c>
      <c r="Z511">
        <v>1</v>
      </c>
      <c r="AF511">
        <v>1</v>
      </c>
      <c r="AG511">
        <v>1</v>
      </c>
      <c r="AH511">
        <v>1</v>
      </c>
    </row>
    <row r="512" spans="1:34" x14ac:dyDescent="0.3">
      <c r="A512">
        <v>536</v>
      </c>
      <c r="B512" t="s">
        <v>2676</v>
      </c>
      <c r="C512" t="s">
        <v>4712</v>
      </c>
      <c r="D512" t="s">
        <v>454</v>
      </c>
      <c r="E512" t="s">
        <v>21</v>
      </c>
      <c r="F512" t="s">
        <v>22</v>
      </c>
      <c r="G512" t="s">
        <v>3608</v>
      </c>
      <c r="H512" t="s">
        <v>4729</v>
      </c>
      <c r="I512" t="s">
        <v>4730</v>
      </c>
      <c r="J512" t="s">
        <v>4720</v>
      </c>
      <c r="L512" t="s">
        <v>25</v>
      </c>
      <c r="M512" t="s">
        <v>454</v>
      </c>
      <c r="N512" t="s">
        <v>4542</v>
      </c>
      <c r="O512" t="s">
        <v>4790</v>
      </c>
      <c r="Q512">
        <v>0</v>
      </c>
      <c r="S512">
        <v>0</v>
      </c>
      <c r="U512" t="s">
        <v>5388</v>
      </c>
      <c r="V512" t="s">
        <v>4546</v>
      </c>
      <c r="W512" t="s">
        <v>5021</v>
      </c>
      <c r="X512" t="s">
        <v>5021</v>
      </c>
      <c r="Z512">
        <v>1</v>
      </c>
      <c r="AF512">
        <v>1</v>
      </c>
      <c r="AG512">
        <v>1</v>
      </c>
      <c r="AH512">
        <v>1</v>
      </c>
    </row>
    <row r="513" spans="1:34" x14ac:dyDescent="0.3">
      <c r="A513">
        <v>537</v>
      </c>
      <c r="B513" t="s">
        <v>2679</v>
      </c>
      <c r="C513" t="s">
        <v>4712</v>
      </c>
      <c r="D513" t="s">
        <v>625</v>
      </c>
      <c r="E513" t="s">
        <v>21</v>
      </c>
      <c r="F513" t="s">
        <v>22</v>
      </c>
      <c r="G513" t="s">
        <v>3607</v>
      </c>
      <c r="H513" t="s">
        <v>4729</v>
      </c>
      <c r="I513" t="s">
        <v>4730</v>
      </c>
      <c r="J513" t="s">
        <v>4480</v>
      </c>
      <c r="L513" t="s">
        <v>203</v>
      </c>
      <c r="M513" t="s">
        <v>625</v>
      </c>
      <c r="N513" t="s">
        <v>4538</v>
      </c>
      <c r="O513" t="s">
        <v>4765</v>
      </c>
      <c r="Q513">
        <v>0</v>
      </c>
      <c r="S513">
        <v>0</v>
      </c>
      <c r="U513" t="s">
        <v>5389</v>
      </c>
      <c r="V513" t="s">
        <v>4544</v>
      </c>
      <c r="W513" t="s">
        <v>4602</v>
      </c>
      <c r="X513" t="s">
        <v>4602</v>
      </c>
      <c r="Z513" t="s">
        <v>4737</v>
      </c>
      <c r="AF513">
        <v>1</v>
      </c>
      <c r="AG513">
        <v>1</v>
      </c>
      <c r="AH513">
        <v>1</v>
      </c>
    </row>
    <row r="514" spans="1:34" x14ac:dyDescent="0.3">
      <c r="A514">
        <v>538</v>
      </c>
      <c r="B514" t="s">
        <v>2680</v>
      </c>
      <c r="C514" t="s">
        <v>4728</v>
      </c>
      <c r="D514" t="s">
        <v>1215</v>
      </c>
      <c r="E514" t="s">
        <v>21</v>
      </c>
      <c r="F514" t="s">
        <v>22</v>
      </c>
      <c r="G514" t="s">
        <v>3607</v>
      </c>
      <c r="H514" t="s">
        <v>4729</v>
      </c>
      <c r="I514" t="s">
        <v>4730</v>
      </c>
      <c r="J514" t="s">
        <v>4731</v>
      </c>
      <c r="L514" t="s">
        <v>25</v>
      </c>
      <c r="M514" t="s">
        <v>1215</v>
      </c>
      <c r="N514" t="s">
        <v>4732</v>
      </c>
      <c r="O514" t="s">
        <v>4733</v>
      </c>
      <c r="Q514">
        <v>0</v>
      </c>
      <c r="S514">
        <v>0</v>
      </c>
      <c r="U514" t="s">
        <v>5390</v>
      </c>
      <c r="V514" t="s">
        <v>4544</v>
      </c>
      <c r="W514" t="s">
        <v>5257</v>
      </c>
      <c r="X514" t="s">
        <v>5257</v>
      </c>
      <c r="Z514" t="s">
        <v>4737</v>
      </c>
      <c r="AF514">
        <v>1</v>
      </c>
      <c r="AG514">
        <v>1</v>
      </c>
      <c r="AH514">
        <v>1</v>
      </c>
    </row>
    <row r="515" spans="1:34" x14ac:dyDescent="0.3">
      <c r="A515">
        <v>539</v>
      </c>
      <c r="B515" t="s">
        <v>2681</v>
      </c>
      <c r="C515" t="s">
        <v>4728</v>
      </c>
      <c r="D515" t="s">
        <v>1215</v>
      </c>
      <c r="E515" t="s">
        <v>21</v>
      </c>
      <c r="F515" t="s">
        <v>56</v>
      </c>
      <c r="G515" t="s">
        <v>3607</v>
      </c>
      <c r="H515" t="s">
        <v>4729</v>
      </c>
      <c r="I515" t="s">
        <v>4730</v>
      </c>
      <c r="J515" t="s">
        <v>4731</v>
      </c>
      <c r="L515" t="s">
        <v>197</v>
      </c>
      <c r="M515" t="s">
        <v>1215</v>
      </c>
      <c r="N515" t="s">
        <v>4732</v>
      </c>
      <c r="O515" t="s">
        <v>4733</v>
      </c>
      <c r="Q515">
        <v>0</v>
      </c>
      <c r="S515">
        <v>0</v>
      </c>
      <c r="U515" t="s">
        <v>5391</v>
      </c>
      <c r="V515" t="s">
        <v>4544</v>
      </c>
      <c r="W515" t="s">
        <v>5257</v>
      </c>
      <c r="X515" t="s">
        <v>5257</v>
      </c>
      <c r="Z515" t="s">
        <v>4737</v>
      </c>
      <c r="AF515">
        <v>1</v>
      </c>
      <c r="AG515">
        <v>1</v>
      </c>
      <c r="AH515">
        <v>1</v>
      </c>
    </row>
    <row r="516" spans="1:34" x14ac:dyDescent="0.3">
      <c r="A516">
        <v>540</v>
      </c>
      <c r="B516" t="s">
        <v>2682</v>
      </c>
      <c r="C516" t="s">
        <v>4712</v>
      </c>
      <c r="D516" t="s">
        <v>1758</v>
      </c>
      <c r="E516" t="s">
        <v>21</v>
      </c>
      <c r="F516" t="s">
        <v>22</v>
      </c>
      <c r="G516" t="s">
        <v>3607</v>
      </c>
      <c r="H516" t="s">
        <v>4729</v>
      </c>
      <c r="I516" t="s">
        <v>4730</v>
      </c>
      <c r="J516" t="s">
        <v>4731</v>
      </c>
      <c r="L516" t="s">
        <v>25</v>
      </c>
      <c r="M516" t="s">
        <v>1758</v>
      </c>
      <c r="N516" t="s">
        <v>4732</v>
      </c>
      <c r="O516" t="s">
        <v>4733</v>
      </c>
      <c r="Q516">
        <v>0</v>
      </c>
      <c r="S516">
        <v>0</v>
      </c>
      <c r="U516" t="s">
        <v>5392</v>
      </c>
      <c r="V516" t="s">
        <v>4544</v>
      </c>
      <c r="W516" t="s">
        <v>5393</v>
      </c>
      <c r="X516" t="s">
        <v>5394</v>
      </c>
      <c r="Z516" t="s">
        <v>4737</v>
      </c>
      <c r="AF516">
        <v>1</v>
      </c>
      <c r="AG516">
        <v>1</v>
      </c>
      <c r="AH516">
        <v>1</v>
      </c>
    </row>
    <row r="517" spans="1:34" x14ac:dyDescent="0.3">
      <c r="A517">
        <v>541</v>
      </c>
      <c r="B517" t="s">
        <v>2683</v>
      </c>
      <c r="C517" t="s">
        <v>4728</v>
      </c>
      <c r="D517" t="s">
        <v>1654</v>
      </c>
      <c r="E517" t="s">
        <v>139</v>
      </c>
      <c r="F517" t="s">
        <v>22</v>
      </c>
      <c r="G517" t="s">
        <v>3607</v>
      </c>
      <c r="H517" t="s">
        <v>4729</v>
      </c>
      <c r="I517" t="s">
        <v>4730</v>
      </c>
      <c r="J517" t="s">
        <v>4480</v>
      </c>
      <c r="L517" t="s">
        <v>25</v>
      </c>
      <c r="M517" t="s">
        <v>1654</v>
      </c>
      <c r="N517" t="s">
        <v>4732</v>
      </c>
      <c r="O517" t="s">
        <v>4733</v>
      </c>
      <c r="Q517">
        <v>0</v>
      </c>
      <c r="S517">
        <v>0</v>
      </c>
      <c r="U517" t="s">
        <v>5395</v>
      </c>
      <c r="V517" t="s">
        <v>4546</v>
      </c>
      <c r="W517" t="s">
        <v>5045</v>
      </c>
      <c r="X517" t="s">
        <v>5045</v>
      </c>
      <c r="Z517">
        <v>1</v>
      </c>
      <c r="AF517">
        <v>1</v>
      </c>
      <c r="AG517">
        <v>1</v>
      </c>
      <c r="AH517">
        <v>1</v>
      </c>
    </row>
    <row r="518" spans="1:34" x14ac:dyDescent="0.3">
      <c r="A518">
        <v>542</v>
      </c>
      <c r="B518" t="s">
        <v>2684</v>
      </c>
      <c r="C518" t="s">
        <v>4712</v>
      </c>
      <c r="D518" t="s">
        <v>1654</v>
      </c>
      <c r="E518" t="s">
        <v>139</v>
      </c>
      <c r="F518" t="s">
        <v>22</v>
      </c>
      <c r="G518" t="s">
        <v>3608</v>
      </c>
      <c r="H518" t="s">
        <v>4729</v>
      </c>
      <c r="I518" t="s">
        <v>4730</v>
      </c>
      <c r="J518" t="s">
        <v>4731</v>
      </c>
      <c r="L518" t="s">
        <v>25</v>
      </c>
      <c r="M518" t="s">
        <v>1654</v>
      </c>
      <c r="N518" t="s">
        <v>4732</v>
      </c>
      <c r="O518" t="s">
        <v>4733</v>
      </c>
      <c r="Q518">
        <v>0</v>
      </c>
      <c r="S518">
        <v>0</v>
      </c>
      <c r="U518" t="s">
        <v>5396</v>
      </c>
      <c r="V518" t="s">
        <v>4546</v>
      </c>
      <c r="W518" t="s">
        <v>5397</v>
      </c>
      <c r="X518" t="s">
        <v>5397</v>
      </c>
      <c r="Z518">
        <v>1</v>
      </c>
      <c r="AF518">
        <v>1</v>
      </c>
      <c r="AG518">
        <v>1</v>
      </c>
      <c r="AH518">
        <v>1</v>
      </c>
    </row>
    <row r="519" spans="1:34" x14ac:dyDescent="0.3">
      <c r="A519">
        <v>543</v>
      </c>
      <c r="B519" t="s">
        <v>2686</v>
      </c>
      <c r="C519" t="s">
        <v>4728</v>
      </c>
      <c r="D519" t="s">
        <v>546</v>
      </c>
      <c r="E519" t="s">
        <v>21</v>
      </c>
      <c r="F519" t="s">
        <v>22</v>
      </c>
      <c r="G519" t="s">
        <v>3608</v>
      </c>
      <c r="H519" t="s">
        <v>4729</v>
      </c>
      <c r="I519" t="s">
        <v>4730</v>
      </c>
      <c r="J519" t="s">
        <v>4720</v>
      </c>
      <c r="L519" t="s">
        <v>203</v>
      </c>
      <c r="M519" t="s">
        <v>546</v>
      </c>
      <c r="N519" t="s">
        <v>4732</v>
      </c>
      <c r="O519" t="s">
        <v>4733</v>
      </c>
      <c r="Q519">
        <v>0</v>
      </c>
      <c r="S519">
        <v>0</v>
      </c>
      <c r="U519" t="s">
        <v>5398</v>
      </c>
      <c r="V519" t="s">
        <v>4546</v>
      </c>
      <c r="AF519">
        <v>1</v>
      </c>
      <c r="AG519">
        <v>1</v>
      </c>
      <c r="AH519">
        <v>1</v>
      </c>
    </row>
    <row r="520" spans="1:34" x14ac:dyDescent="0.3">
      <c r="A520">
        <v>544</v>
      </c>
      <c r="B520" t="s">
        <v>2688</v>
      </c>
      <c r="C520" t="s">
        <v>4728</v>
      </c>
      <c r="D520" t="s">
        <v>2044</v>
      </c>
      <c r="E520" t="s">
        <v>21</v>
      </c>
      <c r="F520" t="s">
        <v>22</v>
      </c>
      <c r="G520" t="s">
        <v>3608</v>
      </c>
      <c r="H520" t="s">
        <v>4729</v>
      </c>
      <c r="I520" t="s">
        <v>4730</v>
      </c>
      <c r="J520" t="s">
        <v>4731</v>
      </c>
      <c r="L520" t="s">
        <v>203</v>
      </c>
      <c r="M520" t="s">
        <v>2044</v>
      </c>
      <c r="N520" t="s">
        <v>4542</v>
      </c>
      <c r="O520" t="s">
        <v>4790</v>
      </c>
      <c r="Q520">
        <v>0</v>
      </c>
      <c r="S520">
        <v>0</v>
      </c>
      <c r="U520" t="s">
        <v>5399</v>
      </c>
      <c r="V520" t="s">
        <v>4546</v>
      </c>
      <c r="W520" t="s">
        <v>5164</v>
      </c>
      <c r="X520" t="s">
        <v>5164</v>
      </c>
      <c r="Z520">
        <v>1</v>
      </c>
      <c r="AF520">
        <v>1</v>
      </c>
      <c r="AG520">
        <v>1</v>
      </c>
      <c r="AH520">
        <v>1</v>
      </c>
    </row>
    <row r="521" spans="1:34" x14ac:dyDescent="0.3">
      <c r="A521">
        <v>546</v>
      </c>
      <c r="B521" t="s">
        <v>2691</v>
      </c>
      <c r="C521" t="s">
        <v>4712</v>
      </c>
      <c r="D521" t="s">
        <v>1654</v>
      </c>
      <c r="E521" t="s">
        <v>139</v>
      </c>
      <c r="F521" t="s">
        <v>22</v>
      </c>
      <c r="G521" t="s">
        <v>3608</v>
      </c>
      <c r="H521" t="s">
        <v>4729</v>
      </c>
      <c r="I521" t="s">
        <v>4730</v>
      </c>
      <c r="J521" t="s">
        <v>4731</v>
      </c>
      <c r="L521" t="s">
        <v>203</v>
      </c>
      <c r="M521" t="s">
        <v>1654</v>
      </c>
      <c r="N521" t="s">
        <v>4732</v>
      </c>
      <c r="O521" t="s">
        <v>4733</v>
      </c>
      <c r="Q521">
        <v>0</v>
      </c>
      <c r="S521">
        <v>0</v>
      </c>
      <c r="U521" t="s">
        <v>5400</v>
      </c>
      <c r="V521" t="s">
        <v>4546</v>
      </c>
      <c r="W521" t="s">
        <v>5401</v>
      </c>
      <c r="X521" t="s">
        <v>5401</v>
      </c>
      <c r="Z521">
        <v>1</v>
      </c>
      <c r="AF521">
        <v>1</v>
      </c>
      <c r="AG521">
        <v>1</v>
      </c>
      <c r="AH521">
        <v>1</v>
      </c>
    </row>
    <row r="522" spans="1:34" x14ac:dyDescent="0.3">
      <c r="A522">
        <v>547</v>
      </c>
      <c r="B522" t="s">
        <v>2693</v>
      </c>
      <c r="C522" t="s">
        <v>4712</v>
      </c>
      <c r="D522" t="s">
        <v>1654</v>
      </c>
      <c r="E522" t="s">
        <v>139</v>
      </c>
      <c r="F522" t="s">
        <v>22</v>
      </c>
      <c r="G522" t="s">
        <v>3607</v>
      </c>
      <c r="H522" t="s">
        <v>4729</v>
      </c>
      <c r="I522" t="s">
        <v>4730</v>
      </c>
      <c r="J522" t="s">
        <v>4480</v>
      </c>
      <c r="L522" t="s">
        <v>25</v>
      </c>
      <c r="M522" t="s">
        <v>1654</v>
      </c>
      <c r="N522" t="s">
        <v>4538</v>
      </c>
      <c r="O522" t="s">
        <v>4765</v>
      </c>
      <c r="Q522">
        <v>0</v>
      </c>
      <c r="S522">
        <v>0</v>
      </c>
      <c r="U522" t="s">
        <v>5402</v>
      </c>
      <c r="V522" t="s">
        <v>4546</v>
      </c>
      <c r="W522" t="s">
        <v>5397</v>
      </c>
      <c r="X522" t="s">
        <v>5397</v>
      </c>
      <c r="Z522">
        <v>1</v>
      </c>
      <c r="AF522">
        <v>1</v>
      </c>
      <c r="AG522">
        <v>1</v>
      </c>
      <c r="AH522">
        <v>1</v>
      </c>
    </row>
    <row r="523" spans="1:34" x14ac:dyDescent="0.3">
      <c r="A523" t="s">
        <v>5403</v>
      </c>
      <c r="B523" t="s">
        <v>5404</v>
      </c>
      <c r="D523" t="s">
        <v>1801</v>
      </c>
      <c r="I523" t="s">
        <v>4713</v>
      </c>
      <c r="L523" t="s">
        <v>25</v>
      </c>
      <c r="M523" t="s">
        <v>1801</v>
      </c>
      <c r="N523" t="s">
        <v>4538</v>
      </c>
      <c r="O523" t="s">
        <v>4765</v>
      </c>
      <c r="Q523">
        <v>0</v>
      </c>
      <c r="S523">
        <v>0</v>
      </c>
      <c r="U523" t="s">
        <v>5405</v>
      </c>
      <c r="V523" t="s">
        <v>4544</v>
      </c>
      <c r="W523" t="s">
        <v>5099</v>
      </c>
      <c r="X523" t="s">
        <v>5100</v>
      </c>
      <c r="Z523" t="s">
        <v>4737</v>
      </c>
      <c r="AF523">
        <v>1</v>
      </c>
      <c r="AG523">
        <v>1</v>
      </c>
      <c r="AH523">
        <v>1</v>
      </c>
    </row>
    <row r="524" spans="1:34" x14ac:dyDescent="0.3">
      <c r="A524">
        <v>550</v>
      </c>
      <c r="B524" t="s">
        <v>2694</v>
      </c>
      <c r="C524" t="s">
        <v>4728</v>
      </c>
      <c r="D524" t="s">
        <v>2027</v>
      </c>
      <c r="E524" t="s">
        <v>21</v>
      </c>
      <c r="F524" t="s">
        <v>22</v>
      </c>
      <c r="G524" t="s">
        <v>3607</v>
      </c>
      <c r="H524" t="s">
        <v>4729</v>
      </c>
      <c r="I524" t="s">
        <v>4730</v>
      </c>
      <c r="J524" t="s">
        <v>4480</v>
      </c>
      <c r="L524" t="s">
        <v>25</v>
      </c>
      <c r="M524" t="s">
        <v>2027</v>
      </c>
      <c r="N524" t="s">
        <v>4538</v>
      </c>
      <c r="O524" t="s">
        <v>4765</v>
      </c>
      <c r="Q524">
        <v>0</v>
      </c>
      <c r="S524">
        <v>0</v>
      </c>
      <c r="U524" t="s">
        <v>5406</v>
      </c>
      <c r="V524" t="s">
        <v>4546</v>
      </c>
      <c r="W524" t="s">
        <v>5156</v>
      </c>
      <c r="X524" t="s">
        <v>5156</v>
      </c>
      <c r="Z524" t="s">
        <v>4737</v>
      </c>
      <c r="AF524">
        <v>1</v>
      </c>
      <c r="AG524">
        <v>1</v>
      </c>
      <c r="AH524">
        <v>1</v>
      </c>
    </row>
    <row r="525" spans="1:34" x14ac:dyDescent="0.3">
      <c r="A525">
        <v>551</v>
      </c>
      <c r="B525" t="s">
        <v>2695</v>
      </c>
      <c r="C525" t="s">
        <v>4728</v>
      </c>
      <c r="D525" t="s">
        <v>2027</v>
      </c>
      <c r="E525" t="s">
        <v>21</v>
      </c>
      <c r="F525" t="s">
        <v>22</v>
      </c>
      <c r="G525" t="s">
        <v>3607</v>
      </c>
      <c r="H525" t="s">
        <v>4729</v>
      </c>
      <c r="I525" t="s">
        <v>4730</v>
      </c>
      <c r="J525" t="s">
        <v>4731</v>
      </c>
      <c r="L525" t="s">
        <v>197</v>
      </c>
      <c r="M525" t="s">
        <v>2027</v>
      </c>
      <c r="N525" t="s">
        <v>4732</v>
      </c>
      <c r="O525" t="s">
        <v>4733</v>
      </c>
      <c r="Q525">
        <v>0</v>
      </c>
      <c r="S525">
        <v>0</v>
      </c>
      <c r="U525" t="s">
        <v>5407</v>
      </c>
      <c r="V525" t="s">
        <v>4546</v>
      </c>
      <c r="W525" t="s">
        <v>5156</v>
      </c>
      <c r="X525" t="s">
        <v>5156</v>
      </c>
      <c r="Z525" t="s">
        <v>4737</v>
      </c>
      <c r="AF525">
        <v>1</v>
      </c>
      <c r="AG525">
        <v>1</v>
      </c>
      <c r="AH525">
        <v>1</v>
      </c>
    </row>
    <row r="526" spans="1:34" x14ac:dyDescent="0.3">
      <c r="A526">
        <v>552</v>
      </c>
      <c r="B526" t="s">
        <v>2696</v>
      </c>
      <c r="C526" t="s">
        <v>4712</v>
      </c>
      <c r="D526" t="s">
        <v>1796</v>
      </c>
      <c r="E526" t="s">
        <v>139</v>
      </c>
      <c r="F526" t="s">
        <v>22</v>
      </c>
      <c r="G526" t="s">
        <v>3607</v>
      </c>
      <c r="H526" t="s">
        <v>4729</v>
      </c>
      <c r="I526" t="s">
        <v>4730</v>
      </c>
      <c r="J526" t="s">
        <v>4480</v>
      </c>
      <c r="L526" t="s">
        <v>25</v>
      </c>
      <c r="M526" t="s">
        <v>1796</v>
      </c>
      <c r="N526" t="s">
        <v>4538</v>
      </c>
      <c r="O526" t="s">
        <v>4765</v>
      </c>
      <c r="Q526">
        <v>0</v>
      </c>
      <c r="S526">
        <v>0</v>
      </c>
      <c r="U526" t="s">
        <v>5408</v>
      </c>
      <c r="V526" t="s">
        <v>4544</v>
      </c>
      <c r="W526" t="s">
        <v>5409</v>
      </c>
      <c r="X526" t="s">
        <v>5409</v>
      </c>
      <c r="Z526" t="s">
        <v>4737</v>
      </c>
      <c r="AF526">
        <v>1</v>
      </c>
      <c r="AG526">
        <v>1</v>
      </c>
      <c r="AH526">
        <v>1</v>
      </c>
    </row>
    <row r="527" spans="1:34" x14ac:dyDescent="0.3">
      <c r="A527">
        <v>553</v>
      </c>
      <c r="B527" t="s">
        <v>2697</v>
      </c>
      <c r="C527" t="s">
        <v>4712</v>
      </c>
      <c r="D527" t="s">
        <v>1915</v>
      </c>
      <c r="E527" t="s">
        <v>139</v>
      </c>
      <c r="F527" t="s">
        <v>22</v>
      </c>
      <c r="G527" t="s">
        <v>3607</v>
      </c>
      <c r="H527" t="s">
        <v>4729</v>
      </c>
      <c r="I527" t="s">
        <v>4730</v>
      </c>
      <c r="J527" t="s">
        <v>4480</v>
      </c>
      <c r="L527" t="s">
        <v>25</v>
      </c>
      <c r="M527" t="s">
        <v>1915</v>
      </c>
      <c r="N527" t="s">
        <v>4538</v>
      </c>
      <c r="O527" t="s">
        <v>4765</v>
      </c>
      <c r="Q527">
        <v>0</v>
      </c>
      <c r="S527">
        <v>0</v>
      </c>
      <c r="U527" t="s">
        <v>5408</v>
      </c>
      <c r="V527" t="s">
        <v>4543</v>
      </c>
      <c r="W527" t="s">
        <v>5126</v>
      </c>
      <c r="X527" t="s">
        <v>5126</v>
      </c>
      <c r="Z527" t="s">
        <v>4737</v>
      </c>
      <c r="AF527">
        <v>1</v>
      </c>
      <c r="AG527">
        <v>1</v>
      </c>
      <c r="AH527">
        <v>1</v>
      </c>
    </row>
    <row r="528" spans="1:34" x14ac:dyDescent="0.3">
      <c r="A528">
        <v>554</v>
      </c>
      <c r="B528" t="s">
        <v>2698</v>
      </c>
      <c r="C528" t="s">
        <v>4712</v>
      </c>
      <c r="D528" t="s">
        <v>1208</v>
      </c>
      <c r="E528" t="s">
        <v>21</v>
      </c>
      <c r="F528" t="s">
        <v>22</v>
      </c>
      <c r="G528" t="s">
        <v>3607</v>
      </c>
      <c r="H528" t="s">
        <v>4729</v>
      </c>
      <c r="I528" t="s">
        <v>4730</v>
      </c>
      <c r="J528" t="s">
        <v>4480</v>
      </c>
      <c r="L528" t="s">
        <v>25</v>
      </c>
      <c r="M528" t="s">
        <v>1208</v>
      </c>
      <c r="N528" t="s">
        <v>4538</v>
      </c>
      <c r="O528" t="s">
        <v>4765</v>
      </c>
      <c r="Q528">
        <v>0</v>
      </c>
      <c r="S528">
        <v>0</v>
      </c>
      <c r="U528" t="s">
        <v>5408</v>
      </c>
      <c r="V528" t="s">
        <v>4544</v>
      </c>
      <c r="W528" t="s">
        <v>5410</v>
      </c>
      <c r="X528" t="s">
        <v>5410</v>
      </c>
      <c r="Z528" t="s">
        <v>4737</v>
      </c>
      <c r="AF528">
        <v>1</v>
      </c>
      <c r="AG528">
        <v>1</v>
      </c>
      <c r="AH528">
        <v>1</v>
      </c>
    </row>
    <row r="529" spans="1:34" x14ac:dyDescent="0.3">
      <c r="A529">
        <v>555</v>
      </c>
      <c r="B529" t="s">
        <v>2699</v>
      </c>
      <c r="C529" t="s">
        <v>4712</v>
      </c>
      <c r="D529" t="s">
        <v>1946</v>
      </c>
      <c r="E529" t="s">
        <v>21</v>
      </c>
      <c r="F529" t="s">
        <v>22</v>
      </c>
      <c r="G529" t="s">
        <v>3607</v>
      </c>
      <c r="H529" t="s">
        <v>4729</v>
      </c>
      <c r="I529" t="s">
        <v>4730</v>
      </c>
      <c r="J529" t="s">
        <v>4480</v>
      </c>
      <c r="L529" t="s">
        <v>25</v>
      </c>
      <c r="M529" t="s">
        <v>1946</v>
      </c>
      <c r="N529" t="s">
        <v>4538</v>
      </c>
      <c r="O529" t="s">
        <v>4765</v>
      </c>
      <c r="Q529">
        <v>0</v>
      </c>
      <c r="S529">
        <v>0</v>
      </c>
      <c r="U529" t="s">
        <v>5408</v>
      </c>
      <c r="V529" t="s">
        <v>4543</v>
      </c>
      <c r="W529" t="s">
        <v>5411</v>
      </c>
      <c r="X529" t="s">
        <v>5411</v>
      </c>
      <c r="Z529" t="s">
        <v>4737</v>
      </c>
      <c r="AF529">
        <v>1</v>
      </c>
      <c r="AG529">
        <v>1</v>
      </c>
      <c r="AH529">
        <v>1</v>
      </c>
    </row>
    <row r="530" spans="1:34" x14ac:dyDescent="0.3">
      <c r="A530">
        <v>556</v>
      </c>
      <c r="B530" t="s">
        <v>2700</v>
      </c>
      <c r="C530" t="s">
        <v>4712</v>
      </c>
      <c r="D530" t="s">
        <v>55</v>
      </c>
      <c r="E530" t="s">
        <v>139</v>
      </c>
      <c r="F530" t="s">
        <v>22</v>
      </c>
      <c r="G530" t="s">
        <v>3607</v>
      </c>
      <c r="H530" t="s">
        <v>4729</v>
      </c>
      <c r="I530" t="s">
        <v>4730</v>
      </c>
      <c r="J530" t="s">
        <v>4480</v>
      </c>
      <c r="L530" t="s">
        <v>25</v>
      </c>
      <c r="M530" t="s">
        <v>55</v>
      </c>
      <c r="N530" t="s">
        <v>4732</v>
      </c>
      <c r="O530" t="s">
        <v>4733</v>
      </c>
      <c r="Q530">
        <v>0</v>
      </c>
      <c r="S530">
        <v>0</v>
      </c>
      <c r="U530" t="s">
        <v>5412</v>
      </c>
      <c r="V530" t="s">
        <v>4744</v>
      </c>
      <c r="W530" t="s">
        <v>5413</v>
      </c>
      <c r="X530" t="s">
        <v>5413</v>
      </c>
      <c r="Z530" t="s">
        <v>4737</v>
      </c>
      <c r="AF530">
        <v>1</v>
      </c>
      <c r="AG530">
        <v>1</v>
      </c>
      <c r="AH530">
        <v>1</v>
      </c>
    </row>
    <row r="531" spans="1:34" x14ac:dyDescent="0.3">
      <c r="A531">
        <v>557</v>
      </c>
      <c r="B531" t="s">
        <v>2701</v>
      </c>
      <c r="C531" t="s">
        <v>4728</v>
      </c>
      <c r="D531" t="s">
        <v>1263</v>
      </c>
      <c r="E531" t="s">
        <v>39</v>
      </c>
      <c r="F531" t="s">
        <v>22</v>
      </c>
      <c r="G531" t="s">
        <v>3608</v>
      </c>
      <c r="H531" t="s">
        <v>4729</v>
      </c>
      <c r="I531" t="s">
        <v>4730</v>
      </c>
      <c r="L531" t="s">
        <v>25</v>
      </c>
      <c r="M531" t="s">
        <v>1263</v>
      </c>
      <c r="N531" t="s">
        <v>4732</v>
      </c>
      <c r="O531" t="s">
        <v>4742</v>
      </c>
      <c r="Q531">
        <v>0</v>
      </c>
      <c r="S531">
        <v>0</v>
      </c>
      <c r="U531" t="s">
        <v>5414</v>
      </c>
      <c r="V531" t="s">
        <v>4758</v>
      </c>
      <c r="W531" t="s">
        <v>4951</v>
      </c>
      <c r="X531" t="s">
        <v>4951</v>
      </c>
      <c r="AF531">
        <v>1</v>
      </c>
      <c r="AG531">
        <v>1</v>
      </c>
      <c r="AH531">
        <v>1</v>
      </c>
    </row>
    <row r="532" spans="1:34" x14ac:dyDescent="0.3">
      <c r="A532" t="s">
        <v>5415</v>
      </c>
      <c r="B532" t="s">
        <v>5416</v>
      </c>
      <c r="D532" t="s">
        <v>1263</v>
      </c>
      <c r="I532" t="s">
        <v>4713</v>
      </c>
      <c r="L532" t="s">
        <v>25</v>
      </c>
      <c r="M532" t="s">
        <v>1263</v>
      </c>
      <c r="N532" t="s">
        <v>4732</v>
      </c>
      <c r="O532" t="s">
        <v>4742</v>
      </c>
      <c r="Q532">
        <v>0</v>
      </c>
      <c r="S532">
        <v>0</v>
      </c>
      <c r="U532" t="s">
        <v>5417</v>
      </c>
      <c r="V532" t="s">
        <v>4758</v>
      </c>
      <c r="W532" t="s">
        <v>4954</v>
      </c>
      <c r="X532" t="s">
        <v>4954</v>
      </c>
      <c r="AF532">
        <v>1</v>
      </c>
      <c r="AG532">
        <v>1</v>
      </c>
      <c r="AH532">
        <v>1</v>
      </c>
    </row>
    <row r="533" spans="1:34" x14ac:dyDescent="0.3">
      <c r="A533" t="s">
        <v>5418</v>
      </c>
      <c r="B533" t="s">
        <v>5419</v>
      </c>
      <c r="D533" t="s">
        <v>1263</v>
      </c>
      <c r="I533" t="s">
        <v>4713</v>
      </c>
      <c r="L533" t="s">
        <v>25</v>
      </c>
      <c r="M533" t="s">
        <v>1263</v>
      </c>
      <c r="N533" t="s">
        <v>4732</v>
      </c>
      <c r="O533" t="s">
        <v>4742</v>
      </c>
      <c r="Q533">
        <v>0</v>
      </c>
      <c r="S533">
        <v>0</v>
      </c>
      <c r="U533" t="s">
        <v>5420</v>
      </c>
      <c r="V533" t="s">
        <v>4758</v>
      </c>
      <c r="W533" t="s">
        <v>4954</v>
      </c>
      <c r="X533" t="s">
        <v>4954</v>
      </c>
      <c r="AF533">
        <v>1</v>
      </c>
      <c r="AG533">
        <v>1</v>
      </c>
      <c r="AH533">
        <v>1</v>
      </c>
    </row>
    <row r="534" spans="1:34" x14ac:dyDescent="0.3">
      <c r="A534">
        <v>560</v>
      </c>
      <c r="B534" t="s">
        <v>2702</v>
      </c>
      <c r="C534" t="s">
        <v>4712</v>
      </c>
      <c r="D534" t="s">
        <v>2703</v>
      </c>
      <c r="E534" t="s">
        <v>39</v>
      </c>
      <c r="F534" t="s">
        <v>22</v>
      </c>
      <c r="G534" t="s">
        <v>3607</v>
      </c>
      <c r="H534" t="s">
        <v>4729</v>
      </c>
      <c r="I534" t="s">
        <v>4730</v>
      </c>
      <c r="L534" t="s">
        <v>25</v>
      </c>
      <c r="M534" t="s">
        <v>2703</v>
      </c>
      <c r="N534" t="s">
        <v>4538</v>
      </c>
      <c r="O534" t="s">
        <v>4765</v>
      </c>
      <c r="Q534">
        <v>0</v>
      </c>
      <c r="S534">
        <v>0</v>
      </c>
      <c r="U534" t="s">
        <v>5421</v>
      </c>
      <c r="V534" t="s">
        <v>4758</v>
      </c>
      <c r="W534" t="s">
        <v>5422</v>
      </c>
      <c r="X534" t="s">
        <v>5422</v>
      </c>
      <c r="Z534" t="s">
        <v>4737</v>
      </c>
      <c r="AF534">
        <v>1</v>
      </c>
      <c r="AG534">
        <v>1</v>
      </c>
      <c r="AH534">
        <v>1</v>
      </c>
    </row>
    <row r="535" spans="1:34" x14ac:dyDescent="0.3">
      <c r="A535">
        <v>561</v>
      </c>
      <c r="B535" t="s">
        <v>2704</v>
      </c>
      <c r="C535" t="s">
        <v>4728</v>
      </c>
      <c r="D535" t="s">
        <v>1834</v>
      </c>
      <c r="E535" t="s">
        <v>2705</v>
      </c>
      <c r="F535" t="s">
        <v>56</v>
      </c>
      <c r="G535" t="s">
        <v>3608</v>
      </c>
      <c r="H535" t="s">
        <v>4729</v>
      </c>
      <c r="I535" t="s">
        <v>4730</v>
      </c>
      <c r="L535" t="s">
        <v>25</v>
      </c>
      <c r="M535" t="s">
        <v>1834</v>
      </c>
      <c r="N535" t="s">
        <v>4732</v>
      </c>
      <c r="O535" t="s">
        <v>4742</v>
      </c>
      <c r="Q535">
        <v>0</v>
      </c>
      <c r="S535">
        <v>0</v>
      </c>
      <c r="U535" t="s">
        <v>5423</v>
      </c>
      <c r="V535" t="s">
        <v>4544</v>
      </c>
      <c r="W535" t="s">
        <v>5424</v>
      </c>
      <c r="X535" t="s">
        <v>5424</v>
      </c>
      <c r="Z535" t="s">
        <v>4737</v>
      </c>
      <c r="AF535">
        <v>1</v>
      </c>
      <c r="AG535">
        <v>1</v>
      </c>
      <c r="AH535">
        <v>1</v>
      </c>
    </row>
    <row r="536" spans="1:34" x14ac:dyDescent="0.3">
      <c r="A536">
        <v>562</v>
      </c>
      <c r="B536" t="s">
        <v>2706</v>
      </c>
      <c r="C536" t="s">
        <v>4728</v>
      </c>
      <c r="D536" t="s">
        <v>1834</v>
      </c>
      <c r="E536" t="s">
        <v>73</v>
      </c>
      <c r="F536" t="s">
        <v>22</v>
      </c>
      <c r="G536" t="s">
        <v>3607</v>
      </c>
      <c r="H536" t="s">
        <v>4729</v>
      </c>
      <c r="I536" t="s">
        <v>4730</v>
      </c>
      <c r="L536" t="s">
        <v>25</v>
      </c>
      <c r="M536" t="s">
        <v>1834</v>
      </c>
      <c r="N536" t="s">
        <v>4732</v>
      </c>
      <c r="O536" t="s">
        <v>4742</v>
      </c>
      <c r="Q536">
        <v>0</v>
      </c>
      <c r="S536">
        <v>0</v>
      </c>
      <c r="U536" t="s">
        <v>5425</v>
      </c>
      <c r="V536" t="s">
        <v>4544</v>
      </c>
      <c r="W536" t="s">
        <v>5426</v>
      </c>
      <c r="X536" t="s">
        <v>5426</v>
      </c>
      <c r="Z536" t="s">
        <v>4737</v>
      </c>
      <c r="AF536">
        <v>1</v>
      </c>
      <c r="AG536">
        <v>1</v>
      </c>
      <c r="AH536">
        <v>1</v>
      </c>
    </row>
    <row r="537" spans="1:34" x14ac:dyDescent="0.3">
      <c r="A537" t="s">
        <v>5427</v>
      </c>
      <c r="B537" t="s">
        <v>5428</v>
      </c>
      <c r="D537" t="s">
        <v>1096</v>
      </c>
      <c r="I537" t="s">
        <v>4713</v>
      </c>
      <c r="L537" t="s">
        <v>25</v>
      </c>
      <c r="M537" t="s">
        <v>1096</v>
      </c>
      <c r="N537" t="s">
        <v>4732</v>
      </c>
      <c r="O537" t="s">
        <v>4742</v>
      </c>
      <c r="Q537">
        <v>0</v>
      </c>
      <c r="S537">
        <v>0</v>
      </c>
      <c r="U537" t="s">
        <v>5429</v>
      </c>
      <c r="V537" t="s">
        <v>4758</v>
      </c>
      <c r="W537" t="s">
        <v>5430</v>
      </c>
      <c r="X537" t="s">
        <v>5430</v>
      </c>
      <c r="Z537" t="s">
        <v>4737</v>
      </c>
      <c r="AF537">
        <v>1</v>
      </c>
      <c r="AG537">
        <v>1</v>
      </c>
      <c r="AH537">
        <v>1</v>
      </c>
    </row>
    <row r="538" spans="1:34" x14ac:dyDescent="0.3">
      <c r="A538" t="s">
        <v>5431</v>
      </c>
      <c r="B538" t="s">
        <v>5432</v>
      </c>
      <c r="D538" t="s">
        <v>1801</v>
      </c>
      <c r="I538" t="s">
        <v>4713</v>
      </c>
      <c r="L538" t="s">
        <v>25</v>
      </c>
      <c r="M538" t="s">
        <v>1801</v>
      </c>
      <c r="N538" t="s">
        <v>4732</v>
      </c>
      <c r="O538" t="s">
        <v>4742</v>
      </c>
      <c r="Q538">
        <v>0</v>
      </c>
      <c r="S538">
        <v>0</v>
      </c>
      <c r="U538" t="s">
        <v>5433</v>
      </c>
      <c r="V538" t="s">
        <v>4544</v>
      </c>
      <c r="W538" t="s">
        <v>5434</v>
      </c>
      <c r="X538" t="s">
        <v>5434</v>
      </c>
      <c r="Z538" t="s">
        <v>4737</v>
      </c>
      <c r="AF538">
        <v>1</v>
      </c>
      <c r="AG538">
        <v>1</v>
      </c>
      <c r="AH538">
        <v>1</v>
      </c>
    </row>
    <row r="539" spans="1:34" x14ac:dyDescent="0.3">
      <c r="A539" t="s">
        <v>5435</v>
      </c>
      <c r="B539" t="s">
        <v>5436</v>
      </c>
      <c r="D539" t="s">
        <v>1801</v>
      </c>
      <c r="I539" t="s">
        <v>4713</v>
      </c>
      <c r="L539" t="s">
        <v>25</v>
      </c>
      <c r="M539" t="s">
        <v>1801</v>
      </c>
      <c r="N539" t="s">
        <v>4732</v>
      </c>
      <c r="O539" t="s">
        <v>4742</v>
      </c>
      <c r="Q539">
        <v>0</v>
      </c>
      <c r="S539">
        <v>0</v>
      </c>
      <c r="U539" t="s">
        <v>5437</v>
      </c>
      <c r="V539" t="s">
        <v>4544</v>
      </c>
      <c r="W539" t="s">
        <v>5438</v>
      </c>
      <c r="X539" t="s">
        <v>5438</v>
      </c>
      <c r="Z539" t="s">
        <v>4737</v>
      </c>
      <c r="AF539">
        <v>1</v>
      </c>
      <c r="AG539">
        <v>1</v>
      </c>
      <c r="AH539">
        <v>1</v>
      </c>
    </row>
    <row r="540" spans="1:34" x14ac:dyDescent="0.3">
      <c r="A540" t="s">
        <v>5439</v>
      </c>
      <c r="B540" t="s">
        <v>5440</v>
      </c>
      <c r="D540" t="s">
        <v>1490</v>
      </c>
      <c r="I540" t="s">
        <v>4713</v>
      </c>
      <c r="L540" t="s">
        <v>25</v>
      </c>
      <c r="M540" t="s">
        <v>1490</v>
      </c>
      <c r="N540" t="s">
        <v>4732</v>
      </c>
      <c r="O540" t="s">
        <v>4742</v>
      </c>
      <c r="Q540">
        <v>0</v>
      </c>
      <c r="S540">
        <v>0</v>
      </c>
      <c r="U540" t="s">
        <v>5441</v>
      </c>
      <c r="V540" t="s">
        <v>4758</v>
      </c>
      <c r="W540" t="s">
        <v>5442</v>
      </c>
      <c r="X540" t="s">
        <v>5442</v>
      </c>
      <c r="AF540">
        <v>1</v>
      </c>
      <c r="AG540">
        <v>1</v>
      </c>
      <c r="AH540">
        <v>1</v>
      </c>
    </row>
    <row r="541" spans="1:34" x14ac:dyDescent="0.3">
      <c r="A541" t="s">
        <v>5443</v>
      </c>
      <c r="B541" t="s">
        <v>5444</v>
      </c>
      <c r="D541" t="s">
        <v>1215</v>
      </c>
      <c r="I541" t="s">
        <v>4713</v>
      </c>
      <c r="L541" t="s">
        <v>25</v>
      </c>
      <c r="M541" t="s">
        <v>1215</v>
      </c>
      <c r="N541" t="s">
        <v>4732</v>
      </c>
      <c r="O541" t="s">
        <v>4742</v>
      </c>
      <c r="Q541">
        <v>0</v>
      </c>
      <c r="S541">
        <v>0</v>
      </c>
      <c r="U541" t="s">
        <v>5445</v>
      </c>
      <c r="V541" t="s">
        <v>4544</v>
      </c>
      <c r="W541" t="s">
        <v>5446</v>
      </c>
      <c r="X541" t="s">
        <v>5446</v>
      </c>
      <c r="Z541" t="s">
        <v>4737</v>
      </c>
      <c r="AF541">
        <v>1</v>
      </c>
      <c r="AG541">
        <v>1</v>
      </c>
      <c r="AH541">
        <v>1</v>
      </c>
    </row>
    <row r="542" spans="1:34" x14ac:dyDescent="0.3">
      <c r="A542">
        <v>568</v>
      </c>
      <c r="B542" t="s">
        <v>2707</v>
      </c>
      <c r="C542" t="s">
        <v>4712</v>
      </c>
      <c r="D542" t="s">
        <v>1796</v>
      </c>
      <c r="E542" t="s">
        <v>39</v>
      </c>
      <c r="F542" t="s">
        <v>22</v>
      </c>
      <c r="G542" t="s">
        <v>3607</v>
      </c>
      <c r="H542" t="s">
        <v>4729</v>
      </c>
      <c r="I542" t="s">
        <v>4730</v>
      </c>
      <c r="L542" t="s">
        <v>25</v>
      </c>
      <c r="M542" t="s">
        <v>1796</v>
      </c>
      <c r="N542" t="s">
        <v>4538</v>
      </c>
      <c r="O542" t="s">
        <v>4765</v>
      </c>
      <c r="Q542">
        <v>0</v>
      </c>
      <c r="S542">
        <v>0</v>
      </c>
      <c r="U542" t="s">
        <v>5447</v>
      </c>
      <c r="V542" t="s">
        <v>4544</v>
      </c>
      <c r="W542" t="s">
        <v>5448</v>
      </c>
      <c r="X542" t="s">
        <v>5448</v>
      </c>
      <c r="Z542" t="s">
        <v>4771</v>
      </c>
      <c r="AF542">
        <v>1</v>
      </c>
      <c r="AG542">
        <v>1</v>
      </c>
      <c r="AH542">
        <v>1</v>
      </c>
    </row>
    <row r="543" spans="1:34" x14ac:dyDescent="0.3">
      <c r="A543">
        <v>569</v>
      </c>
      <c r="B543" t="s">
        <v>2708</v>
      </c>
      <c r="C543" t="s">
        <v>4712</v>
      </c>
      <c r="D543" t="s">
        <v>1796</v>
      </c>
      <c r="E543" t="s">
        <v>39</v>
      </c>
      <c r="F543" t="s">
        <v>22</v>
      </c>
      <c r="G543" t="s">
        <v>3607</v>
      </c>
      <c r="H543" t="s">
        <v>4729</v>
      </c>
      <c r="I543" t="s">
        <v>4730</v>
      </c>
      <c r="L543" t="s">
        <v>25</v>
      </c>
      <c r="M543" t="s">
        <v>1796</v>
      </c>
      <c r="N543" t="s">
        <v>4538</v>
      </c>
      <c r="O543" t="s">
        <v>4765</v>
      </c>
      <c r="Q543">
        <v>0</v>
      </c>
      <c r="S543">
        <v>0</v>
      </c>
      <c r="U543" t="s">
        <v>5449</v>
      </c>
      <c r="V543" t="s">
        <v>4544</v>
      </c>
      <c r="W543" t="s">
        <v>5450</v>
      </c>
      <c r="X543" t="s">
        <v>5450</v>
      </c>
      <c r="Z543" t="s">
        <v>4737</v>
      </c>
      <c r="AF543">
        <v>1</v>
      </c>
      <c r="AG543">
        <v>1</v>
      </c>
      <c r="AH543">
        <v>1</v>
      </c>
    </row>
    <row r="544" spans="1:34" x14ac:dyDescent="0.3">
      <c r="A544">
        <v>570</v>
      </c>
      <c r="B544" t="s">
        <v>2709</v>
      </c>
      <c r="C544" t="s">
        <v>4712</v>
      </c>
      <c r="D544" t="s">
        <v>1796</v>
      </c>
      <c r="E544" t="s">
        <v>39</v>
      </c>
      <c r="F544" t="s">
        <v>22</v>
      </c>
      <c r="G544" t="s">
        <v>3607</v>
      </c>
      <c r="H544" t="s">
        <v>4729</v>
      </c>
      <c r="I544" t="s">
        <v>4730</v>
      </c>
      <c r="L544" t="s">
        <v>25</v>
      </c>
      <c r="M544" t="s">
        <v>1796</v>
      </c>
      <c r="N544" t="s">
        <v>4538</v>
      </c>
      <c r="O544" t="s">
        <v>4765</v>
      </c>
      <c r="Q544">
        <v>0</v>
      </c>
      <c r="S544">
        <v>0</v>
      </c>
      <c r="U544" t="s">
        <v>5451</v>
      </c>
      <c r="V544" t="s">
        <v>4544</v>
      </c>
      <c r="W544" t="s">
        <v>5452</v>
      </c>
      <c r="X544" t="s">
        <v>5452</v>
      </c>
      <c r="Z544" t="s">
        <v>4737</v>
      </c>
      <c r="AF544">
        <v>1</v>
      </c>
      <c r="AG544">
        <v>1</v>
      </c>
      <c r="AH544">
        <v>1</v>
      </c>
    </row>
    <row r="545" spans="1:34" x14ac:dyDescent="0.3">
      <c r="A545">
        <v>571</v>
      </c>
      <c r="B545" t="s">
        <v>2710</v>
      </c>
      <c r="C545" t="s">
        <v>4712</v>
      </c>
      <c r="D545" t="s">
        <v>1796</v>
      </c>
      <c r="E545" t="s">
        <v>39</v>
      </c>
      <c r="F545" t="s">
        <v>22</v>
      </c>
      <c r="G545" t="s">
        <v>3607</v>
      </c>
      <c r="H545" t="s">
        <v>4729</v>
      </c>
      <c r="I545" t="s">
        <v>4730</v>
      </c>
      <c r="L545" t="s">
        <v>25</v>
      </c>
      <c r="M545" t="s">
        <v>1796</v>
      </c>
      <c r="N545" t="s">
        <v>4538</v>
      </c>
      <c r="O545" t="s">
        <v>4765</v>
      </c>
      <c r="Q545">
        <v>0</v>
      </c>
      <c r="S545">
        <v>0</v>
      </c>
      <c r="U545" t="s">
        <v>5453</v>
      </c>
      <c r="V545" t="s">
        <v>4544</v>
      </c>
      <c r="W545" t="s">
        <v>5454</v>
      </c>
      <c r="X545" t="s">
        <v>5454</v>
      </c>
      <c r="Z545" t="s">
        <v>4737</v>
      </c>
      <c r="AF545">
        <v>1</v>
      </c>
      <c r="AG545">
        <v>1</v>
      </c>
      <c r="AH545">
        <v>1</v>
      </c>
    </row>
    <row r="546" spans="1:34" x14ac:dyDescent="0.3">
      <c r="A546">
        <v>572</v>
      </c>
      <c r="B546" t="s">
        <v>2711</v>
      </c>
      <c r="C546" t="s">
        <v>4728</v>
      </c>
      <c r="D546" t="s">
        <v>1796</v>
      </c>
      <c r="E546" t="s">
        <v>39</v>
      </c>
      <c r="F546" t="s">
        <v>22</v>
      </c>
      <c r="G546" t="s">
        <v>3607</v>
      </c>
      <c r="H546" t="s">
        <v>4729</v>
      </c>
      <c r="I546" t="s">
        <v>4730</v>
      </c>
      <c r="L546" t="s">
        <v>25</v>
      </c>
      <c r="M546" t="s">
        <v>1796</v>
      </c>
      <c r="N546" t="s">
        <v>4538</v>
      </c>
      <c r="O546" t="s">
        <v>4765</v>
      </c>
      <c r="Q546">
        <v>0</v>
      </c>
      <c r="S546">
        <v>0</v>
      </c>
      <c r="U546" t="s">
        <v>5455</v>
      </c>
      <c r="V546" t="s">
        <v>4544</v>
      </c>
      <c r="W546" t="s">
        <v>4901</v>
      </c>
      <c r="X546" t="s">
        <v>4901</v>
      </c>
      <c r="Z546" t="s">
        <v>4737</v>
      </c>
      <c r="AF546">
        <v>1</v>
      </c>
      <c r="AG546">
        <v>1</v>
      </c>
      <c r="AH546">
        <v>1</v>
      </c>
    </row>
    <row r="547" spans="1:34" x14ac:dyDescent="0.3">
      <c r="A547">
        <v>573</v>
      </c>
      <c r="B547" t="s">
        <v>2712</v>
      </c>
      <c r="C547" t="s">
        <v>4712</v>
      </c>
      <c r="D547" t="s">
        <v>1383</v>
      </c>
      <c r="E547" t="s">
        <v>39</v>
      </c>
      <c r="F547" t="s">
        <v>56</v>
      </c>
      <c r="G547" t="s">
        <v>3607</v>
      </c>
      <c r="H547" t="s">
        <v>4729</v>
      </c>
      <c r="I547" t="s">
        <v>4730</v>
      </c>
      <c r="L547" t="s">
        <v>25</v>
      </c>
      <c r="M547" t="s">
        <v>1383</v>
      </c>
      <c r="N547" t="s">
        <v>4542</v>
      </c>
      <c r="O547" t="s">
        <v>4790</v>
      </c>
      <c r="Q547">
        <v>0</v>
      </c>
      <c r="S547">
        <v>0</v>
      </c>
      <c r="U547" t="s">
        <v>5456</v>
      </c>
      <c r="V547" t="s">
        <v>4546</v>
      </c>
      <c r="W547" t="s">
        <v>4983</v>
      </c>
      <c r="X547" t="s">
        <v>4983</v>
      </c>
      <c r="Z547">
        <v>1</v>
      </c>
      <c r="AF547">
        <v>1</v>
      </c>
      <c r="AG547">
        <v>1</v>
      </c>
      <c r="AH547">
        <v>1</v>
      </c>
    </row>
    <row r="548" spans="1:34" x14ac:dyDescent="0.3">
      <c r="A548" t="s">
        <v>5457</v>
      </c>
      <c r="B548" t="s">
        <v>5458</v>
      </c>
      <c r="D548" t="s">
        <v>1383</v>
      </c>
      <c r="I548" t="s">
        <v>4713</v>
      </c>
      <c r="L548" t="s">
        <v>25</v>
      </c>
      <c r="M548" t="s">
        <v>1383</v>
      </c>
      <c r="N548" t="s">
        <v>4542</v>
      </c>
      <c r="O548" t="s">
        <v>4790</v>
      </c>
      <c r="Q548">
        <v>0</v>
      </c>
      <c r="S548">
        <v>0</v>
      </c>
      <c r="U548" t="s">
        <v>5459</v>
      </c>
      <c r="V548" t="s">
        <v>4546</v>
      </c>
      <c r="Z548">
        <v>1</v>
      </c>
      <c r="AF548">
        <v>1</v>
      </c>
      <c r="AG548">
        <v>1</v>
      </c>
      <c r="AH548">
        <v>1</v>
      </c>
    </row>
    <row r="549" spans="1:34" x14ac:dyDescent="0.3">
      <c r="A549">
        <v>575</v>
      </c>
      <c r="B549" t="s">
        <v>2713</v>
      </c>
      <c r="C549" t="s">
        <v>4712</v>
      </c>
      <c r="D549" t="s">
        <v>1383</v>
      </c>
      <c r="E549" t="s">
        <v>39</v>
      </c>
      <c r="F549" t="s">
        <v>22</v>
      </c>
      <c r="G549" t="s">
        <v>3607</v>
      </c>
      <c r="H549" t="s">
        <v>4729</v>
      </c>
      <c r="I549" t="s">
        <v>4730</v>
      </c>
      <c r="L549" t="s">
        <v>25</v>
      </c>
      <c r="M549" t="s">
        <v>1383</v>
      </c>
      <c r="N549" t="s">
        <v>4538</v>
      </c>
      <c r="O549" t="s">
        <v>4765</v>
      </c>
      <c r="Q549">
        <v>0</v>
      </c>
      <c r="S549">
        <v>0</v>
      </c>
      <c r="U549" t="s">
        <v>5460</v>
      </c>
      <c r="V549" t="s">
        <v>4546</v>
      </c>
      <c r="W549" t="s">
        <v>4983</v>
      </c>
      <c r="X549" t="s">
        <v>4983</v>
      </c>
      <c r="Z549" t="s">
        <v>4737</v>
      </c>
      <c r="AF549">
        <v>1</v>
      </c>
      <c r="AG549">
        <v>1</v>
      </c>
      <c r="AH549">
        <v>1</v>
      </c>
    </row>
    <row r="550" spans="1:34" x14ac:dyDescent="0.3">
      <c r="A550" t="s">
        <v>5461</v>
      </c>
      <c r="B550" t="s">
        <v>5462</v>
      </c>
      <c r="D550" t="s">
        <v>1383</v>
      </c>
      <c r="I550" t="s">
        <v>4713</v>
      </c>
      <c r="L550" t="s">
        <v>25</v>
      </c>
      <c r="M550" t="s">
        <v>1383</v>
      </c>
      <c r="N550" t="s">
        <v>4538</v>
      </c>
      <c r="O550" t="s">
        <v>4765</v>
      </c>
      <c r="Q550">
        <v>0</v>
      </c>
      <c r="S550">
        <v>0</v>
      </c>
      <c r="U550" t="s">
        <v>5463</v>
      </c>
      <c r="V550" t="s">
        <v>4546</v>
      </c>
      <c r="W550" t="s">
        <v>5464</v>
      </c>
      <c r="X550" t="s">
        <v>5465</v>
      </c>
      <c r="Z550" t="s">
        <v>4737</v>
      </c>
      <c r="AF550">
        <v>1</v>
      </c>
      <c r="AG550">
        <v>1</v>
      </c>
      <c r="AH550">
        <v>1</v>
      </c>
    </row>
    <row r="551" spans="1:34" x14ac:dyDescent="0.3">
      <c r="A551" t="s">
        <v>5466</v>
      </c>
      <c r="B551" t="s">
        <v>5467</v>
      </c>
      <c r="D551" t="s">
        <v>1383</v>
      </c>
      <c r="I551" t="s">
        <v>4713</v>
      </c>
      <c r="L551" t="s">
        <v>25</v>
      </c>
      <c r="M551" t="s">
        <v>1383</v>
      </c>
      <c r="N551" t="s">
        <v>4537</v>
      </c>
      <c r="O551" t="s">
        <v>4843</v>
      </c>
      <c r="Q551">
        <v>0</v>
      </c>
      <c r="S551">
        <v>0</v>
      </c>
      <c r="U551" t="s">
        <v>5468</v>
      </c>
      <c r="V551" t="s">
        <v>4546</v>
      </c>
      <c r="W551" t="s">
        <v>4983</v>
      </c>
      <c r="X551" t="s">
        <v>4983</v>
      </c>
      <c r="Z551" t="s">
        <v>4737</v>
      </c>
      <c r="AF551">
        <v>1</v>
      </c>
      <c r="AG551">
        <v>1</v>
      </c>
      <c r="AH551">
        <v>1</v>
      </c>
    </row>
    <row r="552" spans="1:34" x14ac:dyDescent="0.3">
      <c r="A552">
        <v>578</v>
      </c>
      <c r="B552" t="s">
        <v>2714</v>
      </c>
      <c r="C552" t="s">
        <v>4728</v>
      </c>
      <c r="D552" t="s">
        <v>1801</v>
      </c>
      <c r="E552" t="s">
        <v>39</v>
      </c>
      <c r="F552" t="s">
        <v>22</v>
      </c>
      <c r="G552" t="s">
        <v>3607</v>
      </c>
      <c r="H552" t="s">
        <v>4729</v>
      </c>
      <c r="I552" t="s">
        <v>4730</v>
      </c>
      <c r="L552" t="s">
        <v>25</v>
      </c>
      <c r="M552" t="s">
        <v>1801</v>
      </c>
      <c r="N552" t="s">
        <v>4732</v>
      </c>
      <c r="O552" t="s">
        <v>4742</v>
      </c>
      <c r="Q552">
        <v>0</v>
      </c>
      <c r="S552">
        <v>0</v>
      </c>
      <c r="U552" t="s">
        <v>5469</v>
      </c>
      <c r="V552" t="s">
        <v>4544</v>
      </c>
      <c r="W552" t="s">
        <v>5470</v>
      </c>
      <c r="X552" t="s">
        <v>5470</v>
      </c>
      <c r="Z552" t="s">
        <v>4737</v>
      </c>
      <c r="AF552">
        <v>1</v>
      </c>
      <c r="AG552">
        <v>1</v>
      </c>
      <c r="AH552">
        <v>1</v>
      </c>
    </row>
    <row r="553" spans="1:34" x14ac:dyDescent="0.3">
      <c r="A553" t="s">
        <v>5471</v>
      </c>
      <c r="B553" t="s">
        <v>5472</v>
      </c>
      <c r="D553" t="s">
        <v>2703</v>
      </c>
      <c r="I553" t="s">
        <v>4713</v>
      </c>
      <c r="L553" t="s">
        <v>25</v>
      </c>
      <c r="M553" t="s">
        <v>2703</v>
      </c>
      <c r="N553" t="s">
        <v>4732</v>
      </c>
      <c r="O553" t="s">
        <v>4742</v>
      </c>
      <c r="Q553">
        <v>0</v>
      </c>
      <c r="S553">
        <v>0</v>
      </c>
      <c r="U553" t="s">
        <v>5473</v>
      </c>
      <c r="V553" t="s">
        <v>4758</v>
      </c>
      <c r="W553" t="s">
        <v>5474</v>
      </c>
      <c r="X553" t="s">
        <v>5474</v>
      </c>
      <c r="Z553" t="s">
        <v>4737</v>
      </c>
      <c r="AF553">
        <v>1</v>
      </c>
      <c r="AG553">
        <v>1</v>
      </c>
      <c r="AH553">
        <v>1</v>
      </c>
    </row>
    <row r="554" spans="1:34" x14ac:dyDescent="0.3">
      <c r="A554">
        <v>580</v>
      </c>
      <c r="B554" t="s">
        <v>2715</v>
      </c>
      <c r="C554" t="s">
        <v>4712</v>
      </c>
      <c r="D554" t="s">
        <v>2703</v>
      </c>
      <c r="E554" t="s">
        <v>21</v>
      </c>
      <c r="F554" t="s">
        <v>22</v>
      </c>
      <c r="G554" t="s">
        <v>3608</v>
      </c>
      <c r="H554" t="s">
        <v>4729</v>
      </c>
      <c r="I554" t="s">
        <v>4730</v>
      </c>
      <c r="L554" t="s">
        <v>25</v>
      </c>
      <c r="M554" t="s">
        <v>2703</v>
      </c>
      <c r="N554" t="s">
        <v>4732</v>
      </c>
      <c r="O554" t="s">
        <v>4742</v>
      </c>
      <c r="Q554">
        <v>0</v>
      </c>
      <c r="S554">
        <v>0</v>
      </c>
      <c r="U554" t="s">
        <v>5475</v>
      </c>
      <c r="V554" t="s">
        <v>4758</v>
      </c>
      <c r="W554" t="s">
        <v>5474</v>
      </c>
      <c r="X554" t="s">
        <v>5474</v>
      </c>
      <c r="Z554" t="s">
        <v>4737</v>
      </c>
      <c r="AF554">
        <v>1</v>
      </c>
      <c r="AG554">
        <v>1</v>
      </c>
      <c r="AH554">
        <v>1</v>
      </c>
    </row>
    <row r="555" spans="1:34" x14ac:dyDescent="0.3">
      <c r="A555">
        <v>581</v>
      </c>
      <c r="B555" t="s">
        <v>2716</v>
      </c>
      <c r="C555" t="s">
        <v>4712</v>
      </c>
      <c r="D555" t="s">
        <v>1292</v>
      </c>
      <c r="E555" t="s">
        <v>39</v>
      </c>
      <c r="F555" t="s">
        <v>22</v>
      </c>
      <c r="G555" t="s">
        <v>3607</v>
      </c>
      <c r="H555" t="s">
        <v>4729</v>
      </c>
      <c r="I555" t="s">
        <v>4730</v>
      </c>
      <c r="L555" t="s">
        <v>25</v>
      </c>
      <c r="M555" t="s">
        <v>1292</v>
      </c>
      <c r="N555" t="s">
        <v>4541</v>
      </c>
      <c r="O555" t="s">
        <v>4722</v>
      </c>
      <c r="Q555">
        <v>0</v>
      </c>
      <c r="S555">
        <v>0</v>
      </c>
      <c r="U555" t="s">
        <v>5476</v>
      </c>
      <c r="V555" t="s">
        <v>4544</v>
      </c>
      <c r="W555" t="s">
        <v>5477</v>
      </c>
      <c r="X555" t="s">
        <v>5477</v>
      </c>
      <c r="AF555">
        <v>1</v>
      </c>
      <c r="AG555">
        <v>1</v>
      </c>
      <c r="AH555">
        <v>1</v>
      </c>
    </row>
    <row r="556" spans="1:34" x14ac:dyDescent="0.3">
      <c r="A556" t="s">
        <v>5478</v>
      </c>
      <c r="B556" t="s">
        <v>5479</v>
      </c>
      <c r="D556" t="s">
        <v>625</v>
      </c>
      <c r="I556" t="s">
        <v>4713</v>
      </c>
      <c r="L556" t="s">
        <v>25</v>
      </c>
      <c r="M556" t="s">
        <v>625</v>
      </c>
      <c r="N556" t="s">
        <v>4538</v>
      </c>
      <c r="O556" t="s">
        <v>4765</v>
      </c>
      <c r="Q556">
        <v>0</v>
      </c>
      <c r="S556">
        <v>0</v>
      </c>
      <c r="U556" t="s">
        <v>5479</v>
      </c>
      <c r="V556" t="s">
        <v>4544</v>
      </c>
      <c r="W556" t="s">
        <v>5480</v>
      </c>
      <c r="X556" t="s">
        <v>5480</v>
      </c>
      <c r="Z556" t="s">
        <v>4737</v>
      </c>
      <c r="AF556">
        <v>1</v>
      </c>
      <c r="AG556">
        <v>1</v>
      </c>
      <c r="AH556">
        <v>1</v>
      </c>
    </row>
    <row r="557" spans="1:34" x14ac:dyDescent="0.3">
      <c r="A557" t="s">
        <v>5481</v>
      </c>
      <c r="B557" t="s">
        <v>5482</v>
      </c>
      <c r="D557" t="s">
        <v>1208</v>
      </c>
      <c r="I557" t="s">
        <v>4713</v>
      </c>
      <c r="L557" t="s">
        <v>25</v>
      </c>
      <c r="M557" t="s">
        <v>1208</v>
      </c>
      <c r="N557" t="s">
        <v>4538</v>
      </c>
      <c r="O557" t="s">
        <v>4765</v>
      </c>
      <c r="Q557">
        <v>0</v>
      </c>
      <c r="S557">
        <v>0</v>
      </c>
      <c r="V557" t="s">
        <v>4544</v>
      </c>
      <c r="AF557">
        <v>1</v>
      </c>
      <c r="AG557">
        <v>1</v>
      </c>
      <c r="AH557">
        <v>1</v>
      </c>
    </row>
    <row r="558" spans="1:34" x14ac:dyDescent="0.3">
      <c r="A558" t="s">
        <v>5483</v>
      </c>
      <c r="B558" t="s">
        <v>5484</v>
      </c>
      <c r="D558" t="s">
        <v>1208</v>
      </c>
      <c r="I558" t="s">
        <v>4713</v>
      </c>
      <c r="L558" t="s">
        <v>25</v>
      </c>
      <c r="M558" t="s">
        <v>1208</v>
      </c>
      <c r="N558" t="s">
        <v>4538</v>
      </c>
      <c r="O558" t="s">
        <v>4765</v>
      </c>
      <c r="Q558">
        <v>0</v>
      </c>
      <c r="S558">
        <v>0</v>
      </c>
      <c r="U558" t="s">
        <v>5485</v>
      </c>
      <c r="V558" t="s">
        <v>4544</v>
      </c>
      <c r="W558" t="s">
        <v>5486</v>
      </c>
      <c r="X558" t="s">
        <v>5486</v>
      </c>
      <c r="Z558">
        <v>1</v>
      </c>
      <c r="AF558">
        <v>1</v>
      </c>
      <c r="AG558">
        <v>1</v>
      </c>
      <c r="AH558">
        <v>1</v>
      </c>
    </row>
    <row r="559" spans="1:34" x14ac:dyDescent="0.3">
      <c r="A559">
        <v>586</v>
      </c>
      <c r="B559" t="s">
        <v>2717</v>
      </c>
      <c r="C559" t="s">
        <v>4728</v>
      </c>
      <c r="D559" t="s">
        <v>2027</v>
      </c>
      <c r="E559" t="s">
        <v>39</v>
      </c>
      <c r="F559" t="s">
        <v>22</v>
      </c>
      <c r="G559" t="s">
        <v>3607</v>
      </c>
      <c r="H559" t="s">
        <v>4729</v>
      </c>
      <c r="I559" t="s">
        <v>4730</v>
      </c>
      <c r="L559" t="s">
        <v>25</v>
      </c>
      <c r="M559" t="s">
        <v>2027</v>
      </c>
      <c r="N559" t="s">
        <v>4537</v>
      </c>
      <c r="O559" t="s">
        <v>4924</v>
      </c>
      <c r="Q559">
        <v>0</v>
      </c>
      <c r="S559">
        <v>0</v>
      </c>
      <c r="U559" t="s">
        <v>5487</v>
      </c>
      <c r="V559" t="s">
        <v>4546</v>
      </c>
      <c r="W559" t="s">
        <v>5488</v>
      </c>
      <c r="X559" t="s">
        <v>5488</v>
      </c>
      <c r="Z559" t="s">
        <v>4737</v>
      </c>
      <c r="AF559">
        <v>1</v>
      </c>
      <c r="AG559">
        <v>1</v>
      </c>
      <c r="AH559">
        <v>1</v>
      </c>
    </row>
    <row r="560" spans="1:34" x14ac:dyDescent="0.3">
      <c r="A560">
        <v>587</v>
      </c>
      <c r="B560" t="s">
        <v>2718</v>
      </c>
      <c r="C560" t="s">
        <v>4712</v>
      </c>
      <c r="D560" t="s">
        <v>461</v>
      </c>
      <c r="E560" t="s">
        <v>39</v>
      </c>
      <c r="F560" t="s">
        <v>22</v>
      </c>
      <c r="G560" t="s">
        <v>3607</v>
      </c>
      <c r="H560" t="s">
        <v>4729</v>
      </c>
      <c r="I560" t="s">
        <v>4730</v>
      </c>
      <c r="L560" t="s">
        <v>25</v>
      </c>
      <c r="M560" t="s">
        <v>461</v>
      </c>
      <c r="N560" t="s">
        <v>4538</v>
      </c>
      <c r="O560" t="s">
        <v>4765</v>
      </c>
      <c r="Q560">
        <v>0</v>
      </c>
      <c r="S560">
        <v>0</v>
      </c>
      <c r="V560" t="s">
        <v>4546</v>
      </c>
      <c r="AF560">
        <v>1</v>
      </c>
      <c r="AG560">
        <v>1</v>
      </c>
      <c r="AH560">
        <v>1</v>
      </c>
    </row>
    <row r="561" spans="1:34" x14ac:dyDescent="0.3">
      <c r="A561">
        <v>588</v>
      </c>
      <c r="B561" t="s">
        <v>2719</v>
      </c>
      <c r="C561" t="s">
        <v>4728</v>
      </c>
      <c r="D561" t="s">
        <v>461</v>
      </c>
      <c r="E561" t="s">
        <v>39</v>
      </c>
      <c r="F561" t="s">
        <v>56</v>
      </c>
      <c r="G561" t="s">
        <v>3607</v>
      </c>
      <c r="H561" t="s">
        <v>4729</v>
      </c>
      <c r="I561" t="s">
        <v>4730</v>
      </c>
      <c r="L561" t="s">
        <v>25</v>
      </c>
      <c r="M561" t="s">
        <v>461</v>
      </c>
      <c r="N561" t="s">
        <v>4538</v>
      </c>
      <c r="O561" t="s">
        <v>4765</v>
      </c>
      <c r="Q561">
        <v>0</v>
      </c>
      <c r="S561">
        <v>0</v>
      </c>
      <c r="U561" t="s">
        <v>5489</v>
      </c>
      <c r="V561" t="s">
        <v>4546</v>
      </c>
      <c r="W561" t="s">
        <v>5490</v>
      </c>
      <c r="X561" t="s">
        <v>5490</v>
      </c>
      <c r="Z561" t="s">
        <v>4737</v>
      </c>
      <c r="AF561">
        <v>1</v>
      </c>
      <c r="AG561">
        <v>1</v>
      </c>
      <c r="AH561">
        <v>1</v>
      </c>
    </row>
    <row r="562" spans="1:34" x14ac:dyDescent="0.3">
      <c r="A562" t="s">
        <v>5491</v>
      </c>
      <c r="B562" t="s">
        <v>5492</v>
      </c>
      <c r="D562" t="s">
        <v>1998</v>
      </c>
      <c r="I562" t="s">
        <v>4713</v>
      </c>
      <c r="L562" t="s">
        <v>25</v>
      </c>
      <c r="M562" t="s">
        <v>1998</v>
      </c>
      <c r="N562" t="s">
        <v>4732</v>
      </c>
      <c r="O562" t="s">
        <v>4742</v>
      </c>
      <c r="Q562">
        <v>0</v>
      </c>
      <c r="S562">
        <v>0</v>
      </c>
      <c r="U562" t="s">
        <v>5493</v>
      </c>
      <c r="V562" t="s">
        <v>4744</v>
      </c>
      <c r="W562" t="s">
        <v>5494</v>
      </c>
      <c r="X562" t="s">
        <v>5494</v>
      </c>
      <c r="AF562">
        <v>1</v>
      </c>
      <c r="AG562">
        <v>1</v>
      </c>
      <c r="AH562">
        <v>1</v>
      </c>
    </row>
    <row r="563" spans="1:34" x14ac:dyDescent="0.3">
      <c r="A563" t="s">
        <v>5495</v>
      </c>
      <c r="B563" t="s">
        <v>5496</v>
      </c>
      <c r="D563" t="s">
        <v>1998</v>
      </c>
      <c r="I563" t="s">
        <v>4713</v>
      </c>
      <c r="L563" t="s">
        <v>25</v>
      </c>
      <c r="M563" t="s">
        <v>1998</v>
      </c>
      <c r="N563" t="s">
        <v>4732</v>
      </c>
      <c r="O563" t="s">
        <v>4742</v>
      </c>
      <c r="Q563">
        <v>0</v>
      </c>
      <c r="S563">
        <v>0</v>
      </c>
      <c r="U563" t="s">
        <v>5497</v>
      </c>
      <c r="V563" t="s">
        <v>4744</v>
      </c>
      <c r="W563" t="s">
        <v>5498</v>
      </c>
      <c r="X563" t="s">
        <v>5498</v>
      </c>
      <c r="AF563">
        <v>1</v>
      </c>
      <c r="AG563">
        <v>1</v>
      </c>
      <c r="AH563">
        <v>1</v>
      </c>
    </row>
    <row r="564" spans="1:34" x14ac:dyDescent="0.3">
      <c r="A564" t="s">
        <v>5499</v>
      </c>
      <c r="B564" t="s">
        <v>5500</v>
      </c>
      <c r="D564" t="s">
        <v>1998</v>
      </c>
      <c r="I564" t="s">
        <v>4713</v>
      </c>
      <c r="L564" t="s">
        <v>25</v>
      </c>
      <c r="M564" t="s">
        <v>1998</v>
      </c>
      <c r="N564" t="s">
        <v>4732</v>
      </c>
      <c r="O564" t="s">
        <v>4742</v>
      </c>
      <c r="Q564">
        <v>0</v>
      </c>
      <c r="S564">
        <v>0</v>
      </c>
      <c r="U564" t="s">
        <v>5501</v>
      </c>
      <c r="V564" t="s">
        <v>4744</v>
      </c>
      <c r="W564" t="s">
        <v>5498</v>
      </c>
      <c r="X564" t="s">
        <v>5498</v>
      </c>
      <c r="AF564">
        <v>1</v>
      </c>
      <c r="AG564">
        <v>1</v>
      </c>
      <c r="AH564">
        <v>1</v>
      </c>
    </row>
    <row r="565" spans="1:34" x14ac:dyDescent="0.3">
      <c r="A565" t="s">
        <v>5502</v>
      </c>
      <c r="B565" t="s">
        <v>5503</v>
      </c>
      <c r="D565" t="s">
        <v>1998</v>
      </c>
      <c r="I565" t="s">
        <v>4713</v>
      </c>
      <c r="L565" t="s">
        <v>25</v>
      </c>
      <c r="M565" t="s">
        <v>1998</v>
      </c>
      <c r="N565" t="s">
        <v>4732</v>
      </c>
      <c r="O565" t="s">
        <v>4742</v>
      </c>
      <c r="Q565">
        <v>0</v>
      </c>
      <c r="S565">
        <v>0</v>
      </c>
      <c r="U565" t="s">
        <v>5504</v>
      </c>
      <c r="V565" t="s">
        <v>4744</v>
      </c>
      <c r="W565" t="s">
        <v>5498</v>
      </c>
      <c r="X565" t="s">
        <v>5498</v>
      </c>
      <c r="AF565">
        <v>1</v>
      </c>
      <c r="AG565">
        <v>1</v>
      </c>
      <c r="AH565">
        <v>1</v>
      </c>
    </row>
    <row r="566" spans="1:34" x14ac:dyDescent="0.3">
      <c r="A566" t="s">
        <v>5505</v>
      </c>
      <c r="B566" t="s">
        <v>5506</v>
      </c>
      <c r="D566" t="s">
        <v>1998</v>
      </c>
      <c r="I566" t="s">
        <v>4713</v>
      </c>
      <c r="L566" t="s">
        <v>25</v>
      </c>
      <c r="M566" t="s">
        <v>1998</v>
      </c>
      <c r="N566" t="s">
        <v>4538</v>
      </c>
      <c r="O566" t="s">
        <v>4765</v>
      </c>
      <c r="Q566">
        <v>0</v>
      </c>
      <c r="S566">
        <v>0</v>
      </c>
      <c r="U566" t="s">
        <v>5507</v>
      </c>
      <c r="V566" t="s">
        <v>4744</v>
      </c>
      <c r="W566" t="s">
        <v>5508</v>
      </c>
      <c r="X566" t="s">
        <v>5508</v>
      </c>
      <c r="AF566">
        <v>1</v>
      </c>
      <c r="AG566">
        <v>1</v>
      </c>
      <c r="AH566">
        <v>1</v>
      </c>
    </row>
    <row r="567" spans="1:34" x14ac:dyDescent="0.3">
      <c r="A567" t="s">
        <v>5509</v>
      </c>
      <c r="B567" t="s">
        <v>5510</v>
      </c>
      <c r="D567" t="s">
        <v>1998</v>
      </c>
      <c r="I567" t="s">
        <v>4713</v>
      </c>
      <c r="L567" t="s">
        <v>25</v>
      </c>
      <c r="M567" t="s">
        <v>1998</v>
      </c>
      <c r="N567" t="s">
        <v>4538</v>
      </c>
      <c r="O567" t="s">
        <v>4765</v>
      </c>
      <c r="Q567">
        <v>0</v>
      </c>
      <c r="S567">
        <v>0</v>
      </c>
      <c r="U567" t="s">
        <v>5510</v>
      </c>
      <c r="V567" t="s">
        <v>4744</v>
      </c>
      <c r="AF567">
        <v>1</v>
      </c>
      <c r="AG567">
        <v>1</v>
      </c>
      <c r="AH567">
        <v>1</v>
      </c>
    </row>
    <row r="568" spans="1:34" x14ac:dyDescent="0.3">
      <c r="A568" t="s">
        <v>5511</v>
      </c>
      <c r="B568" t="s">
        <v>5512</v>
      </c>
      <c r="D568" t="s">
        <v>546</v>
      </c>
      <c r="I568" t="s">
        <v>4713</v>
      </c>
      <c r="L568" t="s">
        <v>25</v>
      </c>
      <c r="M568" t="s">
        <v>546</v>
      </c>
      <c r="N568" t="s">
        <v>4732</v>
      </c>
      <c r="O568" t="s">
        <v>4733</v>
      </c>
      <c r="Q568">
        <v>0</v>
      </c>
      <c r="S568">
        <v>0</v>
      </c>
      <c r="U568" t="s">
        <v>5513</v>
      </c>
      <c r="V568" t="s">
        <v>4546</v>
      </c>
      <c r="W568" t="s">
        <v>5514</v>
      </c>
      <c r="X568" t="s">
        <v>5514</v>
      </c>
      <c r="Z568" t="s">
        <v>4737</v>
      </c>
      <c r="AF568">
        <v>1</v>
      </c>
      <c r="AG568">
        <v>1</v>
      </c>
      <c r="AH568">
        <v>1</v>
      </c>
    </row>
    <row r="569" spans="1:34" x14ac:dyDescent="0.3">
      <c r="A569" t="s">
        <v>5515</v>
      </c>
      <c r="B569" t="s">
        <v>5516</v>
      </c>
      <c r="D569" t="s">
        <v>1303</v>
      </c>
      <c r="I569" t="s">
        <v>4713</v>
      </c>
      <c r="L569" t="s">
        <v>25</v>
      </c>
      <c r="M569" t="s">
        <v>1303</v>
      </c>
      <c r="N569" t="s">
        <v>4732</v>
      </c>
      <c r="O569" t="s">
        <v>4733</v>
      </c>
      <c r="Q569">
        <v>0</v>
      </c>
      <c r="S569">
        <v>0</v>
      </c>
      <c r="U569" t="s">
        <v>5517</v>
      </c>
      <c r="V569" t="s">
        <v>4717</v>
      </c>
      <c r="W569" t="s">
        <v>5518</v>
      </c>
      <c r="X569" t="s">
        <v>5518</v>
      </c>
      <c r="Z569" t="s">
        <v>4737</v>
      </c>
      <c r="AF569">
        <v>1</v>
      </c>
      <c r="AG569">
        <v>1</v>
      </c>
      <c r="AH569">
        <v>1</v>
      </c>
    </row>
    <row r="570" spans="1:34" x14ac:dyDescent="0.3">
      <c r="A570">
        <v>597</v>
      </c>
      <c r="B570" t="s">
        <v>2720</v>
      </c>
      <c r="C570" t="s">
        <v>4712</v>
      </c>
      <c r="D570" t="s">
        <v>1796</v>
      </c>
      <c r="E570" t="s">
        <v>39</v>
      </c>
      <c r="F570" t="s">
        <v>22</v>
      </c>
      <c r="G570" t="s">
        <v>3607</v>
      </c>
      <c r="H570" t="s">
        <v>4729</v>
      </c>
      <c r="I570" t="s">
        <v>4730</v>
      </c>
      <c r="L570" t="s">
        <v>25</v>
      </c>
      <c r="M570" t="s">
        <v>1796</v>
      </c>
      <c r="N570" t="s">
        <v>4732</v>
      </c>
      <c r="O570" t="s">
        <v>4733</v>
      </c>
      <c r="Q570">
        <v>0</v>
      </c>
      <c r="S570">
        <v>0</v>
      </c>
      <c r="U570" t="s">
        <v>5519</v>
      </c>
      <c r="V570" t="s">
        <v>4544</v>
      </c>
      <c r="Z570" t="s">
        <v>4737</v>
      </c>
      <c r="AF570">
        <v>1</v>
      </c>
      <c r="AG570">
        <v>1</v>
      </c>
      <c r="AH570">
        <v>1</v>
      </c>
    </row>
    <row r="571" spans="1:34" x14ac:dyDescent="0.3">
      <c r="A571">
        <v>598</v>
      </c>
      <c r="B571" t="s">
        <v>5520</v>
      </c>
      <c r="C571" t="s">
        <v>4728</v>
      </c>
      <c r="D571" t="s">
        <v>55</v>
      </c>
      <c r="E571" t="s">
        <v>39</v>
      </c>
      <c r="F571" t="s">
        <v>22</v>
      </c>
      <c r="G571" t="s">
        <v>3607</v>
      </c>
      <c r="H571" t="s">
        <v>4729</v>
      </c>
      <c r="I571" t="s">
        <v>4730</v>
      </c>
      <c r="L571" t="s">
        <v>25</v>
      </c>
      <c r="M571" t="s">
        <v>55</v>
      </c>
      <c r="N571" t="s">
        <v>4732</v>
      </c>
      <c r="O571" t="s">
        <v>4742</v>
      </c>
      <c r="U571" t="s">
        <v>5521</v>
      </c>
      <c r="V571" t="s">
        <v>4744</v>
      </c>
      <c r="W571" t="s">
        <v>4884</v>
      </c>
      <c r="X571" t="s">
        <v>4884</v>
      </c>
      <c r="Z571" t="s">
        <v>4737</v>
      </c>
    </row>
    <row r="572" spans="1:34" x14ac:dyDescent="0.3">
      <c r="A572" t="s">
        <v>5522</v>
      </c>
      <c r="B572" t="s">
        <v>5523</v>
      </c>
      <c r="D572" t="s">
        <v>55</v>
      </c>
      <c r="I572" t="s">
        <v>4713</v>
      </c>
      <c r="L572" t="s">
        <v>25</v>
      </c>
      <c r="M572" t="s">
        <v>55</v>
      </c>
      <c r="N572" t="s">
        <v>4732</v>
      </c>
      <c r="O572" t="s">
        <v>4742</v>
      </c>
      <c r="U572" t="s">
        <v>5524</v>
      </c>
      <c r="V572" t="s">
        <v>4744</v>
      </c>
      <c r="W572" t="s">
        <v>4884</v>
      </c>
      <c r="X572" t="s">
        <v>4884</v>
      </c>
      <c r="Z572" t="s">
        <v>4737</v>
      </c>
    </row>
    <row r="573" spans="1:34" x14ac:dyDescent="0.3">
      <c r="A573" t="s">
        <v>5525</v>
      </c>
      <c r="B573" t="s">
        <v>5526</v>
      </c>
      <c r="D573" t="s">
        <v>55</v>
      </c>
      <c r="I573" t="s">
        <v>4713</v>
      </c>
      <c r="L573" t="s">
        <v>25</v>
      </c>
      <c r="M573" t="s">
        <v>55</v>
      </c>
      <c r="N573" t="s">
        <v>4732</v>
      </c>
      <c r="O573" t="s">
        <v>4742</v>
      </c>
      <c r="U573" t="s">
        <v>5527</v>
      </c>
      <c r="V573" t="s">
        <v>4744</v>
      </c>
      <c r="W573" t="s">
        <v>4884</v>
      </c>
      <c r="X573" t="s">
        <v>4884</v>
      </c>
      <c r="Z573" t="s">
        <v>4737</v>
      </c>
    </row>
    <row r="574" spans="1:34" x14ac:dyDescent="0.3">
      <c r="A574" t="s">
        <v>5528</v>
      </c>
      <c r="B574" t="s">
        <v>5529</v>
      </c>
      <c r="D574" t="s">
        <v>55</v>
      </c>
      <c r="I574" t="s">
        <v>4713</v>
      </c>
      <c r="L574" t="s">
        <v>25</v>
      </c>
      <c r="M574" t="s">
        <v>55</v>
      </c>
      <c r="N574" t="s">
        <v>4732</v>
      </c>
      <c r="O574" t="s">
        <v>4742</v>
      </c>
      <c r="U574" t="s">
        <v>5530</v>
      </c>
      <c r="V574" t="s">
        <v>4744</v>
      </c>
      <c r="W574" t="s">
        <v>5531</v>
      </c>
      <c r="X574" t="s">
        <v>5531</v>
      </c>
      <c r="Z574" t="s">
        <v>4737</v>
      </c>
    </row>
    <row r="575" spans="1:34" x14ac:dyDescent="0.3">
      <c r="A575" t="s">
        <v>5532</v>
      </c>
      <c r="B575" t="s">
        <v>5533</v>
      </c>
      <c r="D575" t="s">
        <v>55</v>
      </c>
      <c r="I575" t="s">
        <v>4713</v>
      </c>
      <c r="L575" t="s">
        <v>25</v>
      </c>
      <c r="M575" t="s">
        <v>55</v>
      </c>
      <c r="N575" t="s">
        <v>4732</v>
      </c>
      <c r="O575" t="s">
        <v>4742</v>
      </c>
      <c r="U575" t="s">
        <v>5534</v>
      </c>
      <c r="V575" t="s">
        <v>4744</v>
      </c>
      <c r="W575" t="s">
        <v>5535</v>
      </c>
      <c r="X575" t="s">
        <v>5535</v>
      </c>
      <c r="Z575" t="s">
        <v>4737</v>
      </c>
    </row>
    <row r="576" spans="1:34" x14ac:dyDescent="0.3">
      <c r="A576">
        <v>603</v>
      </c>
      <c r="B576" t="s">
        <v>2721</v>
      </c>
      <c r="C576" t="s">
        <v>4712</v>
      </c>
      <c r="D576" t="s">
        <v>1096</v>
      </c>
      <c r="E576" t="s">
        <v>73</v>
      </c>
      <c r="F576" t="s">
        <v>22</v>
      </c>
      <c r="G576" t="s">
        <v>3608</v>
      </c>
      <c r="H576" t="s">
        <v>4729</v>
      </c>
      <c r="I576" t="s">
        <v>4730</v>
      </c>
      <c r="L576" t="s">
        <v>25</v>
      </c>
      <c r="M576" t="s">
        <v>1096</v>
      </c>
      <c r="N576" t="s">
        <v>4732</v>
      </c>
      <c r="O576" t="s">
        <v>4733</v>
      </c>
      <c r="Q576">
        <v>0</v>
      </c>
      <c r="S576">
        <v>0</v>
      </c>
      <c r="U576" t="s">
        <v>5536</v>
      </c>
      <c r="V576" t="s">
        <v>4758</v>
      </c>
      <c r="W576" t="s">
        <v>5537</v>
      </c>
      <c r="X576" t="s">
        <v>5537</v>
      </c>
      <c r="Z576" t="s">
        <v>4737</v>
      </c>
      <c r="AF576">
        <v>1</v>
      </c>
      <c r="AG576">
        <v>1</v>
      </c>
      <c r="AH576">
        <v>1</v>
      </c>
    </row>
    <row r="577" spans="1:34" x14ac:dyDescent="0.3">
      <c r="A577" t="s">
        <v>5538</v>
      </c>
      <c r="B577" t="s">
        <v>5539</v>
      </c>
      <c r="D577" t="s">
        <v>1096</v>
      </c>
      <c r="I577" t="s">
        <v>4713</v>
      </c>
      <c r="L577" t="s">
        <v>25</v>
      </c>
      <c r="M577" t="s">
        <v>1096</v>
      </c>
      <c r="N577" t="s">
        <v>4732</v>
      </c>
      <c r="O577" t="s">
        <v>4733</v>
      </c>
      <c r="U577" t="s">
        <v>5540</v>
      </c>
      <c r="V577" t="s">
        <v>4758</v>
      </c>
      <c r="W577" t="s">
        <v>5537</v>
      </c>
      <c r="X577" t="s">
        <v>5537</v>
      </c>
      <c r="Z577" t="s">
        <v>4737</v>
      </c>
    </row>
    <row r="578" spans="1:34" x14ac:dyDescent="0.3">
      <c r="A578" t="s">
        <v>5541</v>
      </c>
      <c r="B578" t="s">
        <v>5542</v>
      </c>
      <c r="D578" t="s">
        <v>1096</v>
      </c>
      <c r="I578" t="s">
        <v>4713</v>
      </c>
      <c r="L578" t="s">
        <v>25</v>
      </c>
      <c r="M578" t="s">
        <v>1096</v>
      </c>
      <c r="N578" t="s">
        <v>5365</v>
      </c>
      <c r="O578" t="s">
        <v>5365</v>
      </c>
      <c r="U578" t="s">
        <v>5543</v>
      </c>
      <c r="V578" t="s">
        <v>4758</v>
      </c>
      <c r="W578" t="s">
        <v>5537</v>
      </c>
      <c r="X578" t="s">
        <v>5537</v>
      </c>
      <c r="Z578" t="s">
        <v>4737</v>
      </c>
    </row>
    <row r="579" spans="1:34" x14ac:dyDescent="0.3">
      <c r="A579" t="s">
        <v>5544</v>
      </c>
      <c r="B579" t="s">
        <v>5545</v>
      </c>
      <c r="D579" t="s">
        <v>1096</v>
      </c>
      <c r="I579" t="s">
        <v>4713</v>
      </c>
      <c r="L579" t="s">
        <v>25</v>
      </c>
      <c r="M579" t="s">
        <v>1096</v>
      </c>
      <c r="N579" t="s">
        <v>4732</v>
      </c>
      <c r="O579" t="s">
        <v>4733</v>
      </c>
      <c r="U579" t="s">
        <v>5546</v>
      </c>
      <c r="V579" t="s">
        <v>4758</v>
      </c>
      <c r="W579" t="s">
        <v>5537</v>
      </c>
      <c r="X579" t="s">
        <v>5537</v>
      </c>
      <c r="Z579" t="s">
        <v>4737</v>
      </c>
    </row>
    <row r="580" spans="1:34" x14ac:dyDescent="0.3">
      <c r="A580" t="s">
        <v>5547</v>
      </c>
      <c r="B580" t="s">
        <v>5548</v>
      </c>
      <c r="D580" t="s">
        <v>1241</v>
      </c>
      <c r="I580" t="s">
        <v>4713</v>
      </c>
      <c r="L580" t="s">
        <v>25</v>
      </c>
      <c r="M580" t="s">
        <v>1241</v>
      </c>
      <c r="N580" t="s">
        <v>4732</v>
      </c>
      <c r="O580" t="s">
        <v>4733</v>
      </c>
      <c r="P580" t="s">
        <v>4756</v>
      </c>
      <c r="Q580">
        <v>0</v>
      </c>
      <c r="S580">
        <v>0</v>
      </c>
      <c r="U580" t="s">
        <v>5549</v>
      </c>
      <c r="V580" t="s">
        <v>4544</v>
      </c>
      <c r="Z580" t="s">
        <v>4737</v>
      </c>
      <c r="AA580" t="s">
        <v>4738</v>
      </c>
      <c r="AB580" t="s">
        <v>4739</v>
      </c>
      <c r="AF580">
        <v>1</v>
      </c>
      <c r="AG580">
        <v>1</v>
      </c>
      <c r="AH580">
        <v>1</v>
      </c>
    </row>
    <row r="581" spans="1:34" x14ac:dyDescent="0.3">
      <c r="A581" t="s">
        <v>5550</v>
      </c>
      <c r="B581" t="s">
        <v>5551</v>
      </c>
      <c r="D581" t="s">
        <v>1241</v>
      </c>
      <c r="I581" t="s">
        <v>4713</v>
      </c>
      <c r="L581" t="s">
        <v>25</v>
      </c>
      <c r="M581" t="s">
        <v>1241</v>
      </c>
      <c r="N581" t="s">
        <v>4732</v>
      </c>
      <c r="O581" t="s">
        <v>4733</v>
      </c>
      <c r="U581" t="s">
        <v>5552</v>
      </c>
      <c r="V581" t="s">
        <v>4758</v>
      </c>
      <c r="W581" t="s">
        <v>4951</v>
      </c>
      <c r="X581" t="s">
        <v>4951</v>
      </c>
      <c r="Z581" t="s">
        <v>4737</v>
      </c>
    </row>
    <row r="582" spans="1:34" x14ac:dyDescent="0.3">
      <c r="A582">
        <v>609</v>
      </c>
      <c r="B582" t="s">
        <v>257</v>
      </c>
      <c r="C582" t="s">
        <v>4712</v>
      </c>
      <c r="D582" t="s">
        <v>258</v>
      </c>
      <c r="E582" t="s">
        <v>21</v>
      </c>
      <c r="F582" t="s">
        <v>22</v>
      </c>
      <c r="G582" t="s">
        <v>3607</v>
      </c>
      <c r="H582" t="s">
        <v>4729</v>
      </c>
      <c r="I582" t="s">
        <v>4730</v>
      </c>
      <c r="L582" t="s">
        <v>25</v>
      </c>
      <c r="M582" t="s">
        <v>258</v>
      </c>
      <c r="N582" t="s">
        <v>4538</v>
      </c>
      <c r="O582" t="s">
        <v>4765</v>
      </c>
      <c r="U582" t="s">
        <v>4801</v>
      </c>
      <c r="V582" t="s">
        <v>4758</v>
      </c>
      <c r="W582" t="s">
        <v>4842</v>
      </c>
      <c r="X582" t="s">
        <v>4842</v>
      </c>
      <c r="Z582" t="s">
        <v>4737</v>
      </c>
    </row>
    <row r="583" spans="1:34" x14ac:dyDescent="0.3">
      <c r="A583" t="s">
        <v>5553</v>
      </c>
      <c r="B583" t="s">
        <v>5554</v>
      </c>
      <c r="D583" t="s">
        <v>1984</v>
      </c>
      <c r="I583" t="s">
        <v>4713</v>
      </c>
      <c r="L583" t="s">
        <v>25</v>
      </c>
      <c r="M583" t="s">
        <v>1984</v>
      </c>
      <c r="N583" t="s">
        <v>4732</v>
      </c>
      <c r="O583" t="s">
        <v>4733</v>
      </c>
      <c r="U583" t="s">
        <v>5555</v>
      </c>
      <c r="V583" t="s">
        <v>4546</v>
      </c>
      <c r="W583" t="s">
        <v>5556</v>
      </c>
      <c r="X583" t="s">
        <v>5557</v>
      </c>
      <c r="Z583" t="s">
        <v>4737</v>
      </c>
    </row>
    <row r="584" spans="1:34" x14ac:dyDescent="0.3">
      <c r="A584">
        <v>611</v>
      </c>
      <c r="B584" t="s">
        <v>2722</v>
      </c>
      <c r="C584" t="s">
        <v>4728</v>
      </c>
      <c r="D584" t="s">
        <v>1984</v>
      </c>
      <c r="E584" t="s">
        <v>39</v>
      </c>
      <c r="F584" t="s">
        <v>22</v>
      </c>
      <c r="G584" t="s">
        <v>3607</v>
      </c>
      <c r="H584" t="s">
        <v>4729</v>
      </c>
      <c r="I584" t="s">
        <v>4730</v>
      </c>
      <c r="L584" t="s">
        <v>25</v>
      </c>
      <c r="M584" t="s">
        <v>1984</v>
      </c>
      <c r="N584" t="s">
        <v>4538</v>
      </c>
      <c r="O584" t="s">
        <v>4765</v>
      </c>
      <c r="U584" t="s">
        <v>5558</v>
      </c>
      <c r="V584" t="s">
        <v>4546</v>
      </c>
      <c r="W584" t="s">
        <v>5559</v>
      </c>
      <c r="X584" t="s">
        <v>5560</v>
      </c>
      <c r="Z584" t="s">
        <v>4737</v>
      </c>
    </row>
    <row r="585" spans="1:34" x14ac:dyDescent="0.3">
      <c r="A585" t="s">
        <v>5561</v>
      </c>
      <c r="B585" t="s">
        <v>5562</v>
      </c>
      <c r="D585" t="s">
        <v>2018</v>
      </c>
      <c r="I585" t="s">
        <v>4713</v>
      </c>
      <c r="L585" t="s">
        <v>25</v>
      </c>
      <c r="M585" t="s">
        <v>2018</v>
      </c>
      <c r="N585" t="s">
        <v>4732</v>
      </c>
      <c r="O585" t="s">
        <v>4733</v>
      </c>
      <c r="U585" t="s">
        <v>5563</v>
      </c>
      <c r="V585" t="s">
        <v>4717</v>
      </c>
      <c r="W585" t="s">
        <v>5564</v>
      </c>
      <c r="X585" t="s">
        <v>5565</v>
      </c>
      <c r="Z585" t="s">
        <v>4737</v>
      </c>
    </row>
    <row r="586" spans="1:34" x14ac:dyDescent="0.3">
      <c r="A586" t="s">
        <v>5566</v>
      </c>
      <c r="B586" t="s">
        <v>5567</v>
      </c>
      <c r="D586" t="s">
        <v>2044</v>
      </c>
      <c r="I586" t="s">
        <v>4713</v>
      </c>
      <c r="L586" t="s">
        <v>25</v>
      </c>
      <c r="M586" t="s">
        <v>2044</v>
      </c>
      <c r="N586" t="s">
        <v>4538</v>
      </c>
      <c r="O586" t="s">
        <v>4765</v>
      </c>
      <c r="U586" t="s">
        <v>5568</v>
      </c>
      <c r="V586" t="s">
        <v>4546</v>
      </c>
      <c r="W586" t="s">
        <v>5569</v>
      </c>
      <c r="X586" t="s">
        <v>5569</v>
      </c>
      <c r="Z586" t="s">
        <v>4737</v>
      </c>
    </row>
    <row r="587" spans="1:34" x14ac:dyDescent="0.3">
      <c r="A587" t="s">
        <v>5570</v>
      </c>
      <c r="B587" t="s">
        <v>5571</v>
      </c>
      <c r="D587" t="s">
        <v>2044</v>
      </c>
      <c r="I587" t="s">
        <v>4713</v>
      </c>
      <c r="L587" t="s">
        <v>25</v>
      </c>
      <c r="M587" t="s">
        <v>2044</v>
      </c>
      <c r="N587" t="s">
        <v>4538</v>
      </c>
      <c r="O587" t="s">
        <v>4765</v>
      </c>
      <c r="U587" t="s">
        <v>5572</v>
      </c>
      <c r="V587" t="s">
        <v>4546</v>
      </c>
      <c r="W587" t="s">
        <v>5569</v>
      </c>
      <c r="X587" t="s">
        <v>5569</v>
      </c>
      <c r="Z587" t="s">
        <v>4737</v>
      </c>
    </row>
    <row r="588" spans="1:34" x14ac:dyDescent="0.3">
      <c r="A588" t="s">
        <v>5573</v>
      </c>
      <c r="B588" t="s">
        <v>5574</v>
      </c>
      <c r="D588" t="s">
        <v>207</v>
      </c>
      <c r="I588" t="s">
        <v>4713</v>
      </c>
      <c r="L588" t="s">
        <v>25</v>
      </c>
      <c r="M588" t="s">
        <v>207</v>
      </c>
      <c r="N588" t="s">
        <v>4732</v>
      </c>
      <c r="O588" t="s">
        <v>4742</v>
      </c>
      <c r="U588" t="s">
        <v>5575</v>
      </c>
      <c r="V588" t="s">
        <v>4744</v>
      </c>
      <c r="W588" t="s">
        <v>5336</v>
      </c>
      <c r="X588" t="s">
        <v>5336</v>
      </c>
      <c r="Z588" t="s">
        <v>4737</v>
      </c>
    </row>
    <row r="589" spans="1:34" x14ac:dyDescent="0.3">
      <c r="A589" t="s">
        <v>5576</v>
      </c>
      <c r="B589" t="s">
        <v>5577</v>
      </c>
      <c r="D589" t="s">
        <v>2018</v>
      </c>
      <c r="I589" t="s">
        <v>4713</v>
      </c>
      <c r="L589" t="s">
        <v>25</v>
      </c>
      <c r="M589" t="s">
        <v>2018</v>
      </c>
      <c r="N589" t="s">
        <v>4732</v>
      </c>
      <c r="O589" t="s">
        <v>4733</v>
      </c>
      <c r="U589" t="s">
        <v>5578</v>
      </c>
      <c r="V589" t="s">
        <v>4717</v>
      </c>
      <c r="W589" t="s">
        <v>5579</v>
      </c>
      <c r="X589" t="s">
        <v>5579</v>
      </c>
      <c r="Z589" t="s">
        <v>4737</v>
      </c>
    </row>
    <row r="590" spans="1:34" x14ac:dyDescent="0.3">
      <c r="A590" t="s">
        <v>5580</v>
      </c>
      <c r="B590" t="s">
        <v>5581</v>
      </c>
      <c r="D590" t="s">
        <v>2018</v>
      </c>
      <c r="I590" t="s">
        <v>4713</v>
      </c>
      <c r="L590" t="s">
        <v>25</v>
      </c>
      <c r="M590" t="s">
        <v>2018</v>
      </c>
      <c r="N590" t="s">
        <v>4732</v>
      </c>
      <c r="O590" t="s">
        <v>4733</v>
      </c>
      <c r="U590" t="s">
        <v>5582</v>
      </c>
      <c r="V590" t="s">
        <v>4717</v>
      </c>
      <c r="W590" t="s">
        <v>5583</v>
      </c>
      <c r="X590" t="s">
        <v>5565</v>
      </c>
      <c r="Z590" t="s">
        <v>4737</v>
      </c>
    </row>
    <row r="591" spans="1:34" x14ac:dyDescent="0.3">
      <c r="A591" t="s">
        <v>5584</v>
      </c>
      <c r="B591" t="s">
        <v>5585</v>
      </c>
      <c r="D591" t="s">
        <v>2018</v>
      </c>
      <c r="I591" t="s">
        <v>4713</v>
      </c>
      <c r="L591" t="s">
        <v>25</v>
      </c>
      <c r="M591" t="s">
        <v>2018</v>
      </c>
      <c r="N591" t="s">
        <v>4542</v>
      </c>
      <c r="O591" t="s">
        <v>5586</v>
      </c>
      <c r="U591" t="s">
        <v>5587</v>
      </c>
      <c r="V591" t="s">
        <v>4717</v>
      </c>
      <c r="W591" t="s">
        <v>5588</v>
      </c>
      <c r="X591" t="s">
        <v>5588</v>
      </c>
      <c r="Z591" t="s">
        <v>4737</v>
      </c>
    </row>
    <row r="592" spans="1:34" x14ac:dyDescent="0.3">
      <c r="A592">
        <v>619</v>
      </c>
      <c r="B592" t="s">
        <v>2723</v>
      </c>
      <c r="C592" t="s">
        <v>4712</v>
      </c>
      <c r="D592" t="s">
        <v>72</v>
      </c>
      <c r="E592" t="s">
        <v>39</v>
      </c>
      <c r="F592" t="s">
        <v>22</v>
      </c>
      <c r="G592" t="s">
        <v>3607</v>
      </c>
      <c r="H592" t="s">
        <v>4729</v>
      </c>
      <c r="I592" t="s">
        <v>4730</v>
      </c>
      <c r="L592" t="s">
        <v>25</v>
      </c>
    </row>
    <row r="593" spans="1:34" x14ac:dyDescent="0.3">
      <c r="A593">
        <v>620</v>
      </c>
      <c r="B593" t="s">
        <v>2724</v>
      </c>
      <c r="C593" t="s">
        <v>4728</v>
      </c>
      <c r="D593" t="s">
        <v>1946</v>
      </c>
      <c r="E593" t="s">
        <v>39</v>
      </c>
      <c r="F593" t="s">
        <v>56</v>
      </c>
      <c r="G593" t="s">
        <v>3607</v>
      </c>
      <c r="H593" t="s">
        <v>4729</v>
      </c>
      <c r="I593" t="s">
        <v>4730</v>
      </c>
      <c r="L593" t="s">
        <v>25</v>
      </c>
    </row>
    <row r="594" spans="1:34" x14ac:dyDescent="0.3">
      <c r="A594">
        <v>621</v>
      </c>
      <c r="B594" t="s">
        <v>2725</v>
      </c>
      <c r="C594" t="s">
        <v>4728</v>
      </c>
      <c r="D594" t="s">
        <v>1946</v>
      </c>
      <c r="E594" t="s">
        <v>39</v>
      </c>
      <c r="F594" t="s">
        <v>22</v>
      </c>
      <c r="G594" t="s">
        <v>3607</v>
      </c>
      <c r="H594" t="s">
        <v>4729</v>
      </c>
      <c r="I594" t="s">
        <v>4730</v>
      </c>
      <c r="L594" t="s">
        <v>25</v>
      </c>
    </row>
    <row r="595" spans="1:34" x14ac:dyDescent="0.3">
      <c r="A595" t="s">
        <v>5589</v>
      </c>
      <c r="B595" t="s">
        <v>5590</v>
      </c>
      <c r="I595" t="s">
        <v>4713</v>
      </c>
      <c r="L595" t="s">
        <v>25</v>
      </c>
      <c r="N595" t="s">
        <v>4542</v>
      </c>
      <c r="O595" t="s">
        <v>4790</v>
      </c>
      <c r="U595" t="s">
        <v>5591</v>
      </c>
      <c r="V595" t="s">
        <v>4546</v>
      </c>
      <c r="Z595" t="s">
        <v>4737</v>
      </c>
    </row>
    <row r="596" spans="1:34" x14ac:dyDescent="0.3">
      <c r="A596" t="s">
        <v>5592</v>
      </c>
      <c r="B596" t="s">
        <v>5593</v>
      </c>
      <c r="D596" t="s">
        <v>2703</v>
      </c>
      <c r="I596" t="s">
        <v>4713</v>
      </c>
      <c r="L596" t="s">
        <v>25</v>
      </c>
      <c r="M596" t="s">
        <v>2703</v>
      </c>
      <c r="N596" t="s">
        <v>4732</v>
      </c>
      <c r="O596" t="s">
        <v>4733</v>
      </c>
      <c r="Q596">
        <v>0</v>
      </c>
      <c r="S596">
        <v>0</v>
      </c>
      <c r="V596" t="s">
        <v>4762</v>
      </c>
      <c r="AF596">
        <v>1</v>
      </c>
      <c r="AG596">
        <v>1</v>
      </c>
      <c r="AH596">
        <v>1</v>
      </c>
    </row>
    <row r="597" spans="1:34" x14ac:dyDescent="0.3">
      <c r="A597" t="s">
        <v>5594</v>
      </c>
      <c r="B597" t="s">
        <v>5595</v>
      </c>
      <c r="D597" t="s">
        <v>1263</v>
      </c>
      <c r="I597" t="s">
        <v>4713</v>
      </c>
      <c r="L597" t="s">
        <v>25</v>
      </c>
      <c r="M597" t="s">
        <v>1263</v>
      </c>
      <c r="N597" t="s">
        <v>4732</v>
      </c>
      <c r="O597" t="s">
        <v>4733</v>
      </c>
      <c r="Q597">
        <v>0</v>
      </c>
      <c r="S597">
        <v>0</v>
      </c>
      <c r="U597" t="s">
        <v>5596</v>
      </c>
      <c r="V597" t="s">
        <v>4758</v>
      </c>
      <c r="W597" t="s">
        <v>5597</v>
      </c>
      <c r="X597" t="s">
        <v>5597</v>
      </c>
      <c r="Z597">
        <v>1</v>
      </c>
      <c r="AF597">
        <v>1</v>
      </c>
      <c r="AG597">
        <v>1</v>
      </c>
      <c r="AH597">
        <v>1</v>
      </c>
    </row>
    <row r="598" spans="1:34" x14ac:dyDescent="0.3">
      <c r="A598" t="s">
        <v>5598</v>
      </c>
      <c r="B598" t="s">
        <v>5599</v>
      </c>
      <c r="I598" t="s">
        <v>4713</v>
      </c>
      <c r="L598" t="s">
        <v>25</v>
      </c>
      <c r="N598" t="s">
        <v>4542</v>
      </c>
      <c r="O598" t="s">
        <v>4790</v>
      </c>
      <c r="U598" t="s">
        <v>5600</v>
      </c>
      <c r="V598" t="s">
        <v>4546</v>
      </c>
      <c r="W598" t="s">
        <v>5601</v>
      </c>
      <c r="X598" t="s">
        <v>5601</v>
      </c>
    </row>
    <row r="599" spans="1:34" x14ac:dyDescent="0.3">
      <c r="A599" t="s">
        <v>5602</v>
      </c>
      <c r="B599" t="s">
        <v>5428</v>
      </c>
      <c r="D599" t="s">
        <v>1096</v>
      </c>
      <c r="I599" t="s">
        <v>4713</v>
      </c>
      <c r="L599" t="s">
        <v>25</v>
      </c>
      <c r="M599" t="s">
        <v>1096</v>
      </c>
      <c r="N599" t="s">
        <v>4732</v>
      </c>
      <c r="O599" t="s">
        <v>4733</v>
      </c>
      <c r="Q599">
        <v>0</v>
      </c>
      <c r="S599">
        <v>0</v>
      </c>
      <c r="V599" t="s">
        <v>4762</v>
      </c>
      <c r="AF599">
        <v>1</v>
      </c>
      <c r="AG599">
        <v>1</v>
      </c>
      <c r="AH599">
        <v>1</v>
      </c>
    </row>
    <row r="600" spans="1:34" x14ac:dyDescent="0.3">
      <c r="A600" t="s">
        <v>5603</v>
      </c>
      <c r="B600" t="s">
        <v>5604</v>
      </c>
      <c r="D600" t="s">
        <v>1096</v>
      </c>
      <c r="I600" t="s">
        <v>4713</v>
      </c>
      <c r="L600" t="s">
        <v>25</v>
      </c>
      <c r="M600" t="s">
        <v>1096</v>
      </c>
      <c r="N600" t="s">
        <v>4732</v>
      </c>
      <c r="O600" t="s">
        <v>4733</v>
      </c>
      <c r="Q600">
        <v>0</v>
      </c>
      <c r="S600">
        <v>0</v>
      </c>
      <c r="V600" t="s">
        <v>4762</v>
      </c>
      <c r="AF600">
        <v>1</v>
      </c>
      <c r="AG600">
        <v>1</v>
      </c>
      <c r="AH600">
        <v>1</v>
      </c>
    </row>
    <row r="601" spans="1:34" x14ac:dyDescent="0.3">
      <c r="A601" t="s">
        <v>5605</v>
      </c>
      <c r="B601" t="s">
        <v>5542</v>
      </c>
      <c r="D601" t="s">
        <v>1096</v>
      </c>
      <c r="I601" t="s">
        <v>4713</v>
      </c>
      <c r="L601" t="s">
        <v>25</v>
      </c>
      <c r="M601" t="s">
        <v>1096</v>
      </c>
      <c r="N601" t="s">
        <v>4732</v>
      </c>
      <c r="O601" t="s">
        <v>4733</v>
      </c>
      <c r="Q601">
        <v>0</v>
      </c>
      <c r="S601">
        <v>0</v>
      </c>
      <c r="V601" t="s">
        <v>4762</v>
      </c>
      <c r="AF601">
        <v>1</v>
      </c>
      <c r="AG601">
        <v>1</v>
      </c>
      <c r="AH601">
        <v>1</v>
      </c>
    </row>
    <row r="602" spans="1:34" x14ac:dyDescent="0.3">
      <c r="A602" t="s">
        <v>5606</v>
      </c>
      <c r="B602" t="s">
        <v>5545</v>
      </c>
      <c r="D602" t="s">
        <v>1096</v>
      </c>
      <c r="I602" t="s">
        <v>4713</v>
      </c>
      <c r="L602" t="s">
        <v>25</v>
      </c>
      <c r="M602" t="s">
        <v>1096</v>
      </c>
      <c r="N602" t="s">
        <v>4732</v>
      </c>
      <c r="O602" t="s">
        <v>4733</v>
      </c>
      <c r="Q602">
        <v>0</v>
      </c>
      <c r="S602">
        <v>0</v>
      </c>
      <c r="V602" t="s">
        <v>4762</v>
      </c>
      <c r="AF602">
        <v>1</v>
      </c>
      <c r="AG602">
        <v>1</v>
      </c>
      <c r="AH602">
        <v>1</v>
      </c>
    </row>
    <row r="603" spans="1:34" x14ac:dyDescent="0.3">
      <c r="A603" t="s">
        <v>5607</v>
      </c>
      <c r="B603" t="s">
        <v>5608</v>
      </c>
      <c r="D603" t="s">
        <v>2703</v>
      </c>
      <c r="I603" t="s">
        <v>4713</v>
      </c>
      <c r="L603" t="s">
        <v>25</v>
      </c>
      <c r="M603" t="s">
        <v>2703</v>
      </c>
      <c r="N603" t="s">
        <v>4732</v>
      </c>
      <c r="O603" t="s">
        <v>4733</v>
      </c>
      <c r="Q603">
        <v>0</v>
      </c>
      <c r="S603">
        <v>0</v>
      </c>
      <c r="V603" t="s">
        <v>4762</v>
      </c>
      <c r="AF603">
        <v>1</v>
      </c>
      <c r="AG603">
        <v>1</v>
      </c>
      <c r="AH603">
        <v>1</v>
      </c>
    </row>
    <row r="604" spans="1:34" x14ac:dyDescent="0.3">
      <c r="A604" t="s">
        <v>5609</v>
      </c>
      <c r="B604" t="s">
        <v>5610</v>
      </c>
      <c r="D604" t="s">
        <v>2703</v>
      </c>
      <c r="I604" t="s">
        <v>4713</v>
      </c>
      <c r="L604" t="s">
        <v>25</v>
      </c>
      <c r="M604" t="s">
        <v>2703</v>
      </c>
      <c r="N604" t="s">
        <v>4732</v>
      </c>
      <c r="O604" t="s">
        <v>4733</v>
      </c>
      <c r="Q604">
        <v>0</v>
      </c>
      <c r="S604">
        <v>0</v>
      </c>
      <c r="V604" t="s">
        <v>4762</v>
      </c>
      <c r="AF604">
        <v>1</v>
      </c>
      <c r="AG604">
        <v>1</v>
      </c>
      <c r="AH604">
        <v>1</v>
      </c>
    </row>
    <row r="605" spans="1:34" x14ac:dyDescent="0.3">
      <c r="A605" t="s">
        <v>5611</v>
      </c>
      <c r="B605" t="s">
        <v>5414</v>
      </c>
      <c r="D605" t="s">
        <v>1263</v>
      </c>
      <c r="I605" t="s">
        <v>4713</v>
      </c>
      <c r="L605" t="s">
        <v>25</v>
      </c>
      <c r="M605" t="s">
        <v>1263</v>
      </c>
      <c r="N605" t="s">
        <v>4732</v>
      </c>
      <c r="O605" t="s">
        <v>4733</v>
      </c>
      <c r="Q605">
        <v>0</v>
      </c>
      <c r="S605">
        <v>0</v>
      </c>
      <c r="V605" t="s">
        <v>4762</v>
      </c>
      <c r="Z605">
        <v>1</v>
      </c>
      <c r="AF605">
        <v>1</v>
      </c>
      <c r="AG605">
        <v>1</v>
      </c>
      <c r="AH605">
        <v>1</v>
      </c>
    </row>
    <row r="606" spans="1:34" x14ac:dyDescent="0.3">
      <c r="A606" t="s">
        <v>5612</v>
      </c>
      <c r="B606" t="s">
        <v>5551</v>
      </c>
      <c r="D606" t="s">
        <v>1241</v>
      </c>
      <c r="I606" t="s">
        <v>4713</v>
      </c>
      <c r="L606" t="s">
        <v>25</v>
      </c>
      <c r="M606" t="s">
        <v>1241</v>
      </c>
      <c r="N606" t="s">
        <v>4732</v>
      </c>
      <c r="O606" t="s">
        <v>4733</v>
      </c>
      <c r="P606" t="s">
        <v>4756</v>
      </c>
      <c r="Q606">
        <v>0</v>
      </c>
      <c r="R606">
        <v>313</v>
      </c>
      <c r="S606">
        <v>0</v>
      </c>
      <c r="V606" t="s">
        <v>4762</v>
      </c>
      <c r="AA606" t="s">
        <v>4738</v>
      </c>
      <c r="AB606" t="s">
        <v>4739</v>
      </c>
      <c r="AF606">
        <v>1</v>
      </c>
      <c r="AG606">
        <v>1</v>
      </c>
      <c r="AH606">
        <v>1</v>
      </c>
    </row>
    <row r="607" spans="1:34" x14ac:dyDescent="0.3">
      <c r="A607" t="s">
        <v>5613</v>
      </c>
      <c r="B607" t="s">
        <v>5419</v>
      </c>
      <c r="D607" t="s">
        <v>1263</v>
      </c>
      <c r="I607" t="s">
        <v>4713</v>
      </c>
      <c r="L607" t="s">
        <v>25</v>
      </c>
      <c r="M607" t="s">
        <v>1263</v>
      </c>
      <c r="N607" t="s">
        <v>4732</v>
      </c>
      <c r="O607" t="s">
        <v>4733</v>
      </c>
      <c r="Q607">
        <v>0</v>
      </c>
      <c r="S607">
        <v>0</v>
      </c>
      <c r="V607" t="s">
        <v>4762</v>
      </c>
      <c r="Z607">
        <v>1</v>
      </c>
      <c r="AF607">
        <v>1</v>
      </c>
      <c r="AG607">
        <v>1</v>
      </c>
      <c r="AH607">
        <v>1</v>
      </c>
    </row>
    <row r="608" spans="1:34" x14ac:dyDescent="0.3">
      <c r="A608" t="s">
        <v>5614</v>
      </c>
      <c r="B608" t="s">
        <v>5615</v>
      </c>
      <c r="D608" t="s">
        <v>1241</v>
      </c>
      <c r="I608" t="s">
        <v>4713</v>
      </c>
      <c r="L608" t="s">
        <v>25</v>
      </c>
      <c r="M608" t="s">
        <v>1241</v>
      </c>
      <c r="N608" t="s">
        <v>4732</v>
      </c>
      <c r="O608" t="s">
        <v>4733</v>
      </c>
      <c r="P608" t="s">
        <v>4756</v>
      </c>
      <c r="Q608">
        <v>0</v>
      </c>
      <c r="R608">
        <v>313</v>
      </c>
      <c r="S608">
        <v>0</v>
      </c>
      <c r="U608" t="s">
        <v>5616</v>
      </c>
      <c r="V608" t="s">
        <v>4758</v>
      </c>
      <c r="AA608" t="s">
        <v>4738</v>
      </c>
      <c r="AB608" t="s">
        <v>4739</v>
      </c>
      <c r="AF608">
        <v>1</v>
      </c>
      <c r="AG608">
        <v>1</v>
      </c>
      <c r="AH608">
        <v>1</v>
      </c>
    </row>
    <row r="609" spans="1:34" x14ac:dyDescent="0.3">
      <c r="A609" t="s">
        <v>5617</v>
      </c>
      <c r="B609" t="s">
        <v>5618</v>
      </c>
      <c r="D609" t="s">
        <v>1627</v>
      </c>
      <c r="I609" t="s">
        <v>4713</v>
      </c>
      <c r="L609" t="s">
        <v>25</v>
      </c>
      <c r="M609" t="s">
        <v>1627</v>
      </c>
      <c r="N609" t="s">
        <v>4542</v>
      </c>
      <c r="O609" t="s">
        <v>4863</v>
      </c>
      <c r="Q609">
        <v>0</v>
      </c>
      <c r="R609">
        <v>131</v>
      </c>
      <c r="S609">
        <v>0</v>
      </c>
      <c r="V609" t="s">
        <v>4546</v>
      </c>
      <c r="AA609" t="s">
        <v>4718</v>
      </c>
      <c r="AB609" t="s">
        <v>4719</v>
      </c>
      <c r="AF609">
        <v>0</v>
      </c>
      <c r="AG609">
        <v>1</v>
      </c>
      <c r="AH609">
        <v>0</v>
      </c>
    </row>
    <row r="610" spans="1:34" x14ac:dyDescent="0.3">
      <c r="A610" t="s">
        <v>5619</v>
      </c>
      <c r="B610" t="s">
        <v>5620</v>
      </c>
      <c r="D610" t="s">
        <v>2801</v>
      </c>
      <c r="I610" t="s">
        <v>4713</v>
      </c>
      <c r="L610" t="s">
        <v>25</v>
      </c>
      <c r="M610" t="s">
        <v>2801</v>
      </c>
      <c r="N610" t="s">
        <v>4537</v>
      </c>
      <c r="O610" t="s">
        <v>4843</v>
      </c>
      <c r="Q610">
        <v>0</v>
      </c>
      <c r="R610">
        <v>263</v>
      </c>
      <c r="S610">
        <v>0</v>
      </c>
      <c r="V610" t="s">
        <v>4546</v>
      </c>
      <c r="AA610" t="s">
        <v>4738</v>
      </c>
      <c r="AB610" t="s">
        <v>4831</v>
      </c>
      <c r="AF610">
        <v>1</v>
      </c>
      <c r="AG610">
        <v>1</v>
      </c>
      <c r="AH610">
        <v>0</v>
      </c>
    </row>
    <row r="611" spans="1:34" x14ac:dyDescent="0.3">
      <c r="A611" t="s">
        <v>5621</v>
      </c>
      <c r="B611" t="s">
        <v>5622</v>
      </c>
      <c r="D611" t="s">
        <v>1758</v>
      </c>
      <c r="I611" t="s">
        <v>4713</v>
      </c>
      <c r="L611" t="s">
        <v>25</v>
      </c>
      <c r="M611" t="s">
        <v>1758</v>
      </c>
      <c r="N611" t="s">
        <v>5365</v>
      </c>
      <c r="O611" t="s">
        <v>5365</v>
      </c>
      <c r="U611" t="s">
        <v>5623</v>
      </c>
      <c r="V611" t="s">
        <v>4544</v>
      </c>
    </row>
    <row r="612" spans="1:34" x14ac:dyDescent="0.3">
      <c r="A612" t="s">
        <v>5624</v>
      </c>
      <c r="B612" t="s">
        <v>5625</v>
      </c>
      <c r="D612" t="s">
        <v>1758</v>
      </c>
      <c r="I612" t="s">
        <v>4713</v>
      </c>
      <c r="L612" t="s">
        <v>25</v>
      </c>
      <c r="M612" t="s">
        <v>1758</v>
      </c>
      <c r="N612" t="s">
        <v>5365</v>
      </c>
      <c r="O612" t="s">
        <v>5365</v>
      </c>
      <c r="U612" t="s">
        <v>5626</v>
      </c>
      <c r="V612" t="s">
        <v>4544</v>
      </c>
      <c r="W612" t="s">
        <v>5627</v>
      </c>
      <c r="X612" t="s">
        <v>5627</v>
      </c>
      <c r="Z612" t="s">
        <v>4737</v>
      </c>
    </row>
    <row r="613" spans="1:34" x14ac:dyDescent="0.3">
      <c r="A613" t="s">
        <v>5628</v>
      </c>
      <c r="B613" t="s">
        <v>5629</v>
      </c>
      <c r="C613" t="s">
        <v>4712</v>
      </c>
      <c r="D613" t="s">
        <v>2457</v>
      </c>
      <c r="E613" t="s">
        <v>21</v>
      </c>
      <c r="F613" t="s">
        <v>22</v>
      </c>
      <c r="I613" t="s">
        <v>4713</v>
      </c>
      <c r="J613" t="s">
        <v>4480</v>
      </c>
      <c r="L613" t="s">
        <v>203</v>
      </c>
      <c r="M613" t="s">
        <v>2457</v>
      </c>
      <c r="N613" t="s">
        <v>4541</v>
      </c>
      <c r="O613" t="s">
        <v>4722</v>
      </c>
      <c r="P613" t="s">
        <v>4723</v>
      </c>
      <c r="Q613">
        <v>0</v>
      </c>
      <c r="R613">
        <v>456</v>
      </c>
      <c r="S613">
        <v>0</v>
      </c>
      <c r="V613" t="s">
        <v>2457</v>
      </c>
      <c r="AA613" t="s">
        <v>4718</v>
      </c>
      <c r="AB613" t="s">
        <v>4727</v>
      </c>
      <c r="AF613">
        <v>1</v>
      </c>
      <c r="AG613">
        <v>1</v>
      </c>
      <c r="AH613">
        <v>0</v>
      </c>
    </row>
    <row r="614" spans="1:34" x14ac:dyDescent="0.3">
      <c r="A614" t="s">
        <v>5630</v>
      </c>
      <c r="B614" t="s">
        <v>5631</v>
      </c>
      <c r="C614" t="s">
        <v>4712</v>
      </c>
      <c r="D614" t="s">
        <v>2457</v>
      </c>
      <c r="E614" t="s">
        <v>21</v>
      </c>
      <c r="F614" t="s">
        <v>22</v>
      </c>
      <c r="I614" t="s">
        <v>4713</v>
      </c>
      <c r="J614" t="s">
        <v>4480</v>
      </c>
      <c r="L614" t="s">
        <v>203</v>
      </c>
      <c r="M614" t="s">
        <v>2457</v>
      </c>
      <c r="N614" t="s">
        <v>4541</v>
      </c>
      <c r="O614" t="s">
        <v>4722</v>
      </c>
      <c r="P614" t="s">
        <v>4723</v>
      </c>
      <c r="Q614">
        <v>0</v>
      </c>
      <c r="R614">
        <v>457</v>
      </c>
      <c r="S614">
        <v>0</v>
      </c>
      <c r="V614" t="s">
        <v>2457</v>
      </c>
      <c r="AA614" t="s">
        <v>4718</v>
      </c>
      <c r="AB614" t="s">
        <v>4727</v>
      </c>
      <c r="AF614">
        <v>1</v>
      </c>
      <c r="AG614">
        <v>1</v>
      </c>
      <c r="AH614">
        <v>0</v>
      </c>
    </row>
    <row r="615" spans="1:34" x14ac:dyDescent="0.3">
      <c r="A615" t="s">
        <v>5632</v>
      </c>
      <c r="B615" t="s">
        <v>5633</v>
      </c>
      <c r="C615" t="s">
        <v>4712</v>
      </c>
      <c r="D615" t="s">
        <v>2457</v>
      </c>
      <c r="E615" t="s">
        <v>21</v>
      </c>
      <c r="F615" t="s">
        <v>22</v>
      </c>
      <c r="I615" t="s">
        <v>4713</v>
      </c>
      <c r="J615" t="s">
        <v>4480</v>
      </c>
      <c r="L615" t="s">
        <v>203</v>
      </c>
      <c r="M615" t="s">
        <v>2457</v>
      </c>
      <c r="N615" t="s">
        <v>4541</v>
      </c>
      <c r="O615" t="s">
        <v>4722</v>
      </c>
      <c r="P615" t="s">
        <v>4723</v>
      </c>
      <c r="Q615">
        <v>0</v>
      </c>
      <c r="R615">
        <v>458</v>
      </c>
      <c r="S615">
        <v>0</v>
      </c>
      <c r="V615" t="s">
        <v>2457</v>
      </c>
      <c r="AA615" t="s">
        <v>4718</v>
      </c>
      <c r="AB615" t="s">
        <v>4727</v>
      </c>
      <c r="AF615">
        <v>1</v>
      </c>
      <c r="AG615">
        <v>1</v>
      </c>
      <c r="AH615">
        <v>0</v>
      </c>
    </row>
    <row r="616" spans="1:34" x14ac:dyDescent="0.3">
      <c r="A616" t="s">
        <v>5634</v>
      </c>
      <c r="B616" t="s">
        <v>5635</v>
      </c>
      <c r="C616" t="s">
        <v>4712</v>
      </c>
      <c r="D616" t="s">
        <v>2457</v>
      </c>
      <c r="E616" t="s">
        <v>21</v>
      </c>
      <c r="F616" t="s">
        <v>22</v>
      </c>
      <c r="I616" t="s">
        <v>4713</v>
      </c>
      <c r="J616" t="s">
        <v>4480</v>
      </c>
      <c r="L616" t="s">
        <v>203</v>
      </c>
      <c r="M616" t="s">
        <v>2457</v>
      </c>
      <c r="N616" t="s">
        <v>4541</v>
      </c>
      <c r="O616" t="s">
        <v>4722</v>
      </c>
      <c r="P616" t="s">
        <v>4723</v>
      </c>
      <c r="Q616">
        <v>0</v>
      </c>
      <c r="R616">
        <v>459</v>
      </c>
      <c r="S616">
        <v>0</v>
      </c>
      <c r="V616" t="s">
        <v>2457</v>
      </c>
      <c r="AA616" t="s">
        <v>4718</v>
      </c>
      <c r="AB616" t="s">
        <v>4727</v>
      </c>
      <c r="AF616">
        <v>1</v>
      </c>
      <c r="AG616">
        <v>1</v>
      </c>
      <c r="AH616">
        <v>0</v>
      </c>
    </row>
    <row r="617" spans="1:34" x14ac:dyDescent="0.3">
      <c r="A617" t="s">
        <v>5636</v>
      </c>
      <c r="B617" t="s">
        <v>5637</v>
      </c>
      <c r="C617" t="s">
        <v>4712</v>
      </c>
      <c r="D617" t="s">
        <v>2457</v>
      </c>
      <c r="E617" t="s">
        <v>21</v>
      </c>
      <c r="F617" t="s">
        <v>22</v>
      </c>
      <c r="I617" t="s">
        <v>4713</v>
      </c>
      <c r="J617" t="s">
        <v>4480</v>
      </c>
      <c r="L617" t="s">
        <v>203</v>
      </c>
      <c r="M617" t="s">
        <v>2457</v>
      </c>
      <c r="N617" t="s">
        <v>4541</v>
      </c>
      <c r="O617" t="s">
        <v>4722</v>
      </c>
      <c r="P617" t="s">
        <v>4723</v>
      </c>
      <c r="Q617">
        <v>0</v>
      </c>
      <c r="R617">
        <v>460</v>
      </c>
      <c r="S617">
        <v>0</v>
      </c>
      <c r="V617" t="s">
        <v>2457</v>
      </c>
      <c r="AA617" t="s">
        <v>4718</v>
      </c>
      <c r="AB617" t="s">
        <v>4727</v>
      </c>
      <c r="AF617">
        <v>1</v>
      </c>
      <c r="AG617">
        <v>1</v>
      </c>
      <c r="AH617">
        <v>0</v>
      </c>
    </row>
    <row r="618" spans="1:34" x14ac:dyDescent="0.3">
      <c r="A618" t="s">
        <v>5638</v>
      </c>
      <c r="B618" t="s">
        <v>5639</v>
      </c>
      <c r="C618" t="s">
        <v>4712</v>
      </c>
      <c r="D618" t="s">
        <v>2457</v>
      </c>
      <c r="E618" t="s">
        <v>21</v>
      </c>
      <c r="F618" t="s">
        <v>22</v>
      </c>
      <c r="I618" t="s">
        <v>4713</v>
      </c>
      <c r="J618" t="s">
        <v>4480</v>
      </c>
      <c r="L618" t="s">
        <v>25</v>
      </c>
      <c r="M618" t="s">
        <v>2457</v>
      </c>
      <c r="N618" t="s">
        <v>4537</v>
      </c>
      <c r="O618" t="s">
        <v>4843</v>
      </c>
      <c r="P618" t="s">
        <v>4912</v>
      </c>
      <c r="Q618">
        <v>0</v>
      </c>
      <c r="R618">
        <v>472</v>
      </c>
      <c r="S618">
        <v>0</v>
      </c>
      <c r="V618" t="s">
        <v>2457</v>
      </c>
      <c r="AA618" t="s">
        <v>4738</v>
      </c>
      <c r="AB618" t="s">
        <v>4831</v>
      </c>
      <c r="AF618">
        <v>1</v>
      </c>
      <c r="AG618">
        <v>1</v>
      </c>
      <c r="AH618">
        <v>0</v>
      </c>
    </row>
    <row r="619" spans="1:34" x14ac:dyDescent="0.3">
      <c r="A619" t="s">
        <v>5640</v>
      </c>
      <c r="B619" t="s">
        <v>5641</v>
      </c>
      <c r="C619" t="s">
        <v>4712</v>
      </c>
      <c r="D619" t="s">
        <v>2457</v>
      </c>
      <c r="E619" t="s">
        <v>21</v>
      </c>
      <c r="F619" t="s">
        <v>22</v>
      </c>
      <c r="I619" t="s">
        <v>4713</v>
      </c>
      <c r="J619" t="s">
        <v>4480</v>
      </c>
      <c r="L619" t="s">
        <v>25</v>
      </c>
      <c r="M619" t="s">
        <v>2457</v>
      </c>
      <c r="N619" t="s">
        <v>4537</v>
      </c>
      <c r="O619" t="s">
        <v>4843</v>
      </c>
      <c r="P619" t="s">
        <v>4912</v>
      </c>
      <c r="Q619">
        <v>0</v>
      </c>
      <c r="R619">
        <v>473</v>
      </c>
      <c r="S619">
        <v>0</v>
      </c>
      <c r="V619" t="s">
        <v>2457</v>
      </c>
      <c r="AA619" t="s">
        <v>4738</v>
      </c>
      <c r="AB619" t="s">
        <v>4831</v>
      </c>
      <c r="AF619">
        <v>1</v>
      </c>
      <c r="AG619">
        <v>1</v>
      </c>
      <c r="AH619">
        <v>0</v>
      </c>
    </row>
    <row r="620" spans="1:34" x14ac:dyDescent="0.3">
      <c r="A620" t="s">
        <v>5642</v>
      </c>
      <c r="B620" t="s">
        <v>5643</v>
      </c>
      <c r="C620" t="s">
        <v>4712</v>
      </c>
      <c r="D620" t="s">
        <v>2457</v>
      </c>
      <c r="E620" t="s">
        <v>21</v>
      </c>
      <c r="F620" t="s">
        <v>22</v>
      </c>
      <c r="I620" t="s">
        <v>4713</v>
      </c>
      <c r="J620" t="s">
        <v>4480</v>
      </c>
      <c r="L620" t="s">
        <v>264</v>
      </c>
      <c r="M620" t="s">
        <v>2457</v>
      </c>
      <c r="N620" t="s">
        <v>4537</v>
      </c>
      <c r="O620" t="s">
        <v>4843</v>
      </c>
      <c r="P620" t="s">
        <v>4912</v>
      </c>
      <c r="Q620">
        <v>0</v>
      </c>
      <c r="R620">
        <v>475</v>
      </c>
      <c r="S620">
        <v>0</v>
      </c>
      <c r="V620" t="s">
        <v>2457</v>
      </c>
      <c r="AA620" t="s">
        <v>4738</v>
      </c>
      <c r="AB620" t="s">
        <v>4831</v>
      </c>
      <c r="AF620">
        <v>1</v>
      </c>
      <c r="AG620">
        <v>1</v>
      </c>
      <c r="AH620">
        <v>0</v>
      </c>
    </row>
    <row r="621" spans="1:34" x14ac:dyDescent="0.3">
      <c r="A621" t="s">
        <v>5644</v>
      </c>
      <c r="B621" t="s">
        <v>5645</v>
      </c>
      <c r="D621" t="s">
        <v>2457</v>
      </c>
      <c r="I621" t="s">
        <v>4713</v>
      </c>
      <c r="L621" t="s">
        <v>25</v>
      </c>
      <c r="M621" t="s">
        <v>2457</v>
      </c>
      <c r="N621" t="s">
        <v>4537</v>
      </c>
      <c r="O621" t="s">
        <v>4843</v>
      </c>
      <c r="P621" t="s">
        <v>4912</v>
      </c>
      <c r="Q621">
        <v>0</v>
      </c>
      <c r="R621">
        <v>476</v>
      </c>
      <c r="S621">
        <v>0</v>
      </c>
      <c r="V621" t="s">
        <v>2457</v>
      </c>
      <c r="AA621" t="s">
        <v>4738</v>
      </c>
      <c r="AB621" t="s">
        <v>4831</v>
      </c>
      <c r="AF621">
        <v>0</v>
      </c>
      <c r="AG621">
        <v>0</v>
      </c>
      <c r="AH621">
        <v>0</v>
      </c>
    </row>
    <row r="622" spans="1:34" x14ac:dyDescent="0.3">
      <c r="A622" t="s">
        <v>5646</v>
      </c>
      <c r="B622" t="s">
        <v>5647</v>
      </c>
      <c r="C622" t="s">
        <v>4728</v>
      </c>
      <c r="D622" t="s">
        <v>2457</v>
      </c>
      <c r="E622" t="s">
        <v>21</v>
      </c>
      <c r="F622" t="s">
        <v>22</v>
      </c>
      <c r="I622" t="s">
        <v>4713</v>
      </c>
      <c r="J622" t="s">
        <v>4480</v>
      </c>
      <c r="L622" t="s">
        <v>25</v>
      </c>
      <c r="M622" t="s">
        <v>2457</v>
      </c>
      <c r="N622" t="s">
        <v>4537</v>
      </c>
      <c r="O622" t="s">
        <v>4924</v>
      </c>
      <c r="P622" t="s">
        <v>4931</v>
      </c>
      <c r="Q622">
        <v>0</v>
      </c>
      <c r="R622">
        <v>477</v>
      </c>
      <c r="S622">
        <v>0</v>
      </c>
      <c r="V622" t="s">
        <v>2457</v>
      </c>
      <c r="AA622" t="s">
        <v>4766</v>
      </c>
      <c r="AB622" t="s">
        <v>4761</v>
      </c>
      <c r="AF622">
        <v>1</v>
      </c>
      <c r="AG622">
        <v>1</v>
      </c>
      <c r="AH622">
        <v>0</v>
      </c>
    </row>
    <row r="623" spans="1:34" x14ac:dyDescent="0.3">
      <c r="A623" t="s">
        <v>5648</v>
      </c>
      <c r="B623" t="s">
        <v>5649</v>
      </c>
      <c r="C623" t="s">
        <v>4712</v>
      </c>
      <c r="D623" t="s">
        <v>2457</v>
      </c>
      <c r="E623" t="s">
        <v>21</v>
      </c>
      <c r="F623" t="s">
        <v>22</v>
      </c>
      <c r="I623" t="s">
        <v>4713</v>
      </c>
      <c r="J623" t="s">
        <v>4480</v>
      </c>
      <c r="L623" t="s">
        <v>25</v>
      </c>
      <c r="M623" t="s">
        <v>2457</v>
      </c>
      <c r="N623" t="s">
        <v>4732</v>
      </c>
      <c r="O623" t="s">
        <v>4733</v>
      </c>
      <c r="P623" t="s">
        <v>5078</v>
      </c>
      <c r="Q623">
        <v>0</v>
      </c>
      <c r="R623">
        <v>478</v>
      </c>
      <c r="S623">
        <v>0</v>
      </c>
      <c r="V623" t="s">
        <v>2457</v>
      </c>
      <c r="AA623" t="s">
        <v>4760</v>
      </c>
      <c r="AB623" t="s">
        <v>4928</v>
      </c>
      <c r="AF623">
        <v>1</v>
      </c>
      <c r="AG623">
        <v>1</v>
      </c>
      <c r="AH623">
        <v>0</v>
      </c>
    </row>
    <row r="624" spans="1:34" x14ac:dyDescent="0.3">
      <c r="A624" t="s">
        <v>5650</v>
      </c>
      <c r="B624" t="s">
        <v>5651</v>
      </c>
      <c r="C624" t="s">
        <v>4728</v>
      </c>
      <c r="D624" t="s">
        <v>2457</v>
      </c>
      <c r="E624" t="s">
        <v>139</v>
      </c>
      <c r="F624" t="s">
        <v>22</v>
      </c>
      <c r="I624" t="s">
        <v>4713</v>
      </c>
      <c r="J624" t="s">
        <v>4480</v>
      </c>
      <c r="L624" t="s">
        <v>203</v>
      </c>
      <c r="M624" t="s">
        <v>2457</v>
      </c>
      <c r="N624" t="s">
        <v>4537</v>
      </c>
      <c r="O624" t="s">
        <v>4843</v>
      </c>
      <c r="P624" t="s">
        <v>4912</v>
      </c>
      <c r="Q624">
        <v>0</v>
      </c>
      <c r="R624">
        <v>479</v>
      </c>
      <c r="S624">
        <v>0</v>
      </c>
      <c r="V624" t="s">
        <v>2457</v>
      </c>
      <c r="AA624" t="s">
        <v>4738</v>
      </c>
      <c r="AB624" t="s">
        <v>4831</v>
      </c>
      <c r="AG624">
        <v>1</v>
      </c>
      <c r="AH624">
        <v>0</v>
      </c>
    </row>
    <row r="625" spans="1:34" x14ac:dyDescent="0.3">
      <c r="A625" t="s">
        <v>5652</v>
      </c>
      <c r="B625" t="s">
        <v>5653</v>
      </c>
      <c r="C625" t="s">
        <v>4728</v>
      </c>
      <c r="D625" t="s">
        <v>2457</v>
      </c>
      <c r="E625" t="s">
        <v>21</v>
      </c>
      <c r="F625" t="s">
        <v>22</v>
      </c>
      <c r="I625" t="s">
        <v>4713</v>
      </c>
      <c r="J625" t="s">
        <v>4480</v>
      </c>
      <c r="L625" t="s">
        <v>203</v>
      </c>
      <c r="M625" t="s">
        <v>2457</v>
      </c>
      <c r="N625" t="s">
        <v>4732</v>
      </c>
      <c r="O625" t="s">
        <v>4742</v>
      </c>
      <c r="P625" t="s">
        <v>4909</v>
      </c>
      <c r="Q625">
        <v>0</v>
      </c>
      <c r="R625">
        <v>480</v>
      </c>
      <c r="S625">
        <v>0</v>
      </c>
      <c r="V625" t="s">
        <v>2457</v>
      </c>
      <c r="AA625" t="s">
        <v>4724</v>
      </c>
      <c r="AB625" t="s">
        <v>4725</v>
      </c>
      <c r="AF625">
        <v>1</v>
      </c>
      <c r="AG625">
        <v>1</v>
      </c>
      <c r="AH625">
        <v>0</v>
      </c>
    </row>
    <row r="626" spans="1:34" x14ac:dyDescent="0.3">
      <c r="A626" t="s">
        <v>5654</v>
      </c>
      <c r="B626" t="s">
        <v>5655</v>
      </c>
      <c r="C626" t="s">
        <v>4712</v>
      </c>
      <c r="D626" t="s">
        <v>2457</v>
      </c>
      <c r="E626" t="s">
        <v>21</v>
      </c>
      <c r="F626" t="s">
        <v>22</v>
      </c>
      <c r="I626" t="s">
        <v>4713</v>
      </c>
      <c r="J626" t="s">
        <v>4480</v>
      </c>
      <c r="L626" t="s">
        <v>203</v>
      </c>
      <c r="M626" t="s">
        <v>2457</v>
      </c>
      <c r="N626" t="s">
        <v>4541</v>
      </c>
      <c r="O626" t="s">
        <v>4722</v>
      </c>
      <c r="P626" t="s">
        <v>4723</v>
      </c>
      <c r="Q626">
        <v>0</v>
      </c>
      <c r="R626">
        <v>461</v>
      </c>
      <c r="S626">
        <v>0</v>
      </c>
      <c r="V626" t="s">
        <v>2457</v>
      </c>
      <c r="AA626" t="s">
        <v>4718</v>
      </c>
      <c r="AB626" t="s">
        <v>4727</v>
      </c>
      <c r="AF626">
        <v>1</v>
      </c>
      <c r="AG626">
        <v>1</v>
      </c>
      <c r="AH626">
        <v>0</v>
      </c>
    </row>
    <row r="627" spans="1:34" x14ac:dyDescent="0.3">
      <c r="A627" t="s">
        <v>5656</v>
      </c>
      <c r="B627" t="s">
        <v>5657</v>
      </c>
      <c r="C627" t="s">
        <v>4712</v>
      </c>
      <c r="D627" t="s">
        <v>2457</v>
      </c>
      <c r="E627" t="s">
        <v>21</v>
      </c>
      <c r="F627" t="s">
        <v>22</v>
      </c>
      <c r="I627" t="s">
        <v>4713</v>
      </c>
      <c r="J627" t="s">
        <v>4480</v>
      </c>
      <c r="L627" t="s">
        <v>203</v>
      </c>
      <c r="M627" t="s">
        <v>2457</v>
      </c>
      <c r="N627" t="s">
        <v>4541</v>
      </c>
      <c r="O627" t="s">
        <v>4722</v>
      </c>
      <c r="P627" t="s">
        <v>4723</v>
      </c>
      <c r="Q627">
        <v>0</v>
      </c>
      <c r="R627">
        <v>464</v>
      </c>
      <c r="S627">
        <v>0</v>
      </c>
      <c r="V627" t="s">
        <v>2457</v>
      </c>
      <c r="AA627" t="s">
        <v>4718</v>
      </c>
      <c r="AB627" t="s">
        <v>4727</v>
      </c>
      <c r="AF627">
        <v>1</v>
      </c>
      <c r="AG627">
        <v>1</v>
      </c>
      <c r="AH627">
        <v>0</v>
      </c>
    </row>
    <row r="628" spans="1:34" x14ac:dyDescent="0.3">
      <c r="A628" t="s">
        <v>5658</v>
      </c>
      <c r="B628" t="s">
        <v>5659</v>
      </c>
      <c r="C628" t="s">
        <v>4712</v>
      </c>
      <c r="D628" t="s">
        <v>2457</v>
      </c>
      <c r="E628" t="s">
        <v>21</v>
      </c>
      <c r="F628" t="s">
        <v>22</v>
      </c>
      <c r="I628" t="s">
        <v>4713</v>
      </c>
      <c r="J628" t="s">
        <v>4480</v>
      </c>
      <c r="L628" t="s">
        <v>203</v>
      </c>
      <c r="M628" t="s">
        <v>2457</v>
      </c>
      <c r="N628" t="s">
        <v>4541</v>
      </c>
      <c r="O628" t="s">
        <v>4722</v>
      </c>
      <c r="P628" t="s">
        <v>4723</v>
      </c>
      <c r="Q628">
        <v>0</v>
      </c>
      <c r="R628">
        <v>466</v>
      </c>
      <c r="S628">
        <v>0</v>
      </c>
      <c r="V628" t="s">
        <v>2457</v>
      </c>
      <c r="AA628" t="s">
        <v>4718</v>
      </c>
      <c r="AB628" t="s">
        <v>4727</v>
      </c>
      <c r="AF628">
        <v>1</v>
      </c>
      <c r="AG628">
        <v>1</v>
      </c>
      <c r="AH628">
        <v>0</v>
      </c>
    </row>
    <row r="629" spans="1:34" x14ac:dyDescent="0.3">
      <c r="A629" t="s">
        <v>5660</v>
      </c>
      <c r="B629" t="s">
        <v>5661</v>
      </c>
      <c r="C629" t="s">
        <v>4712</v>
      </c>
      <c r="D629" t="s">
        <v>2457</v>
      </c>
      <c r="E629" t="s">
        <v>21</v>
      </c>
      <c r="F629" t="s">
        <v>22</v>
      </c>
      <c r="I629" t="s">
        <v>4713</v>
      </c>
      <c r="J629" t="s">
        <v>4480</v>
      </c>
      <c r="L629" t="s">
        <v>203</v>
      </c>
      <c r="M629" t="s">
        <v>2457</v>
      </c>
      <c r="N629" t="s">
        <v>4541</v>
      </c>
      <c r="O629" t="s">
        <v>4722</v>
      </c>
      <c r="P629" t="s">
        <v>4723</v>
      </c>
      <c r="Q629">
        <v>0</v>
      </c>
      <c r="R629">
        <v>462</v>
      </c>
      <c r="S629">
        <v>0</v>
      </c>
      <c r="V629" t="s">
        <v>2457</v>
      </c>
      <c r="AA629" t="s">
        <v>4718</v>
      </c>
      <c r="AB629" t="s">
        <v>4727</v>
      </c>
      <c r="AF629">
        <v>1</v>
      </c>
      <c r="AG629">
        <v>1</v>
      </c>
      <c r="AH629">
        <v>0</v>
      </c>
    </row>
    <row r="630" spans="1:34" x14ac:dyDescent="0.3">
      <c r="A630" t="s">
        <v>5662</v>
      </c>
      <c r="B630" t="s">
        <v>5663</v>
      </c>
      <c r="C630" t="s">
        <v>4712</v>
      </c>
      <c r="D630" t="s">
        <v>2457</v>
      </c>
      <c r="E630" t="s">
        <v>21</v>
      </c>
      <c r="F630" t="s">
        <v>22</v>
      </c>
      <c r="I630" t="s">
        <v>4713</v>
      </c>
      <c r="J630" t="s">
        <v>4480</v>
      </c>
      <c r="L630" t="s">
        <v>203</v>
      </c>
      <c r="M630" t="s">
        <v>2457</v>
      </c>
      <c r="N630" t="s">
        <v>4541</v>
      </c>
      <c r="O630" t="s">
        <v>4722</v>
      </c>
      <c r="P630" t="s">
        <v>4723</v>
      </c>
      <c r="Q630">
        <v>0</v>
      </c>
      <c r="R630">
        <v>463</v>
      </c>
      <c r="S630">
        <v>0</v>
      </c>
      <c r="V630" t="s">
        <v>2457</v>
      </c>
      <c r="AA630" t="s">
        <v>4718</v>
      </c>
      <c r="AB630" t="s">
        <v>4727</v>
      </c>
      <c r="AF630">
        <v>1</v>
      </c>
      <c r="AG630">
        <v>1</v>
      </c>
      <c r="AH630">
        <v>0</v>
      </c>
    </row>
    <row r="631" spans="1:34" x14ac:dyDescent="0.3">
      <c r="A631" t="s">
        <v>5664</v>
      </c>
      <c r="B631" t="s">
        <v>5665</v>
      </c>
      <c r="C631" t="s">
        <v>4712</v>
      </c>
      <c r="D631" t="s">
        <v>2457</v>
      </c>
      <c r="E631" t="s">
        <v>21</v>
      </c>
      <c r="F631" t="s">
        <v>22</v>
      </c>
      <c r="I631" t="s">
        <v>4713</v>
      </c>
      <c r="J631" t="s">
        <v>4480</v>
      </c>
      <c r="L631" t="s">
        <v>203</v>
      </c>
      <c r="M631" t="s">
        <v>2457</v>
      </c>
      <c r="N631" t="s">
        <v>4541</v>
      </c>
      <c r="O631" t="s">
        <v>4722</v>
      </c>
      <c r="P631" t="s">
        <v>4723</v>
      </c>
      <c r="Q631">
        <v>0</v>
      </c>
      <c r="R631">
        <v>465</v>
      </c>
      <c r="S631">
        <v>0</v>
      </c>
      <c r="V631" t="s">
        <v>2457</v>
      </c>
      <c r="AA631" t="s">
        <v>4718</v>
      </c>
      <c r="AB631" t="s">
        <v>4727</v>
      </c>
      <c r="AF631">
        <v>1</v>
      </c>
      <c r="AG631">
        <v>1</v>
      </c>
      <c r="AH631">
        <v>0</v>
      </c>
    </row>
    <row r="632" spans="1:34" x14ac:dyDescent="0.3">
      <c r="A632" t="s">
        <v>5666</v>
      </c>
      <c r="B632" t="s">
        <v>5667</v>
      </c>
      <c r="C632" t="s">
        <v>4712</v>
      </c>
      <c r="D632" t="s">
        <v>2457</v>
      </c>
      <c r="E632" t="s">
        <v>21</v>
      </c>
      <c r="F632" t="s">
        <v>22</v>
      </c>
      <c r="I632" t="s">
        <v>4713</v>
      </c>
      <c r="J632" t="s">
        <v>4480</v>
      </c>
      <c r="L632" t="s">
        <v>203</v>
      </c>
      <c r="M632" t="s">
        <v>2457</v>
      </c>
      <c r="N632" t="s">
        <v>4541</v>
      </c>
      <c r="O632" t="s">
        <v>4722</v>
      </c>
      <c r="P632" t="s">
        <v>4723</v>
      </c>
      <c r="Q632">
        <v>0</v>
      </c>
      <c r="R632">
        <v>467</v>
      </c>
      <c r="S632">
        <v>0</v>
      </c>
      <c r="V632" t="s">
        <v>2457</v>
      </c>
      <c r="AA632" t="s">
        <v>4718</v>
      </c>
      <c r="AB632" t="s">
        <v>4727</v>
      </c>
      <c r="AF632">
        <v>1</v>
      </c>
      <c r="AG632">
        <v>1</v>
      </c>
      <c r="AH632">
        <v>0</v>
      </c>
    </row>
    <row r="633" spans="1:34" x14ac:dyDescent="0.3">
      <c r="A633" t="s">
        <v>5668</v>
      </c>
      <c r="B633" t="s">
        <v>5669</v>
      </c>
      <c r="C633" t="s">
        <v>4712</v>
      </c>
      <c r="D633" t="s">
        <v>2457</v>
      </c>
      <c r="E633" t="s">
        <v>21</v>
      </c>
      <c r="F633" t="s">
        <v>22</v>
      </c>
      <c r="I633" t="s">
        <v>4713</v>
      </c>
      <c r="J633" t="s">
        <v>4480</v>
      </c>
      <c r="L633" t="s">
        <v>203</v>
      </c>
      <c r="M633" t="s">
        <v>2457</v>
      </c>
      <c r="N633" t="s">
        <v>4541</v>
      </c>
      <c r="O633" t="s">
        <v>4722</v>
      </c>
      <c r="P633" t="s">
        <v>4723</v>
      </c>
      <c r="Q633">
        <v>0</v>
      </c>
      <c r="R633">
        <v>468</v>
      </c>
      <c r="S633">
        <v>0</v>
      </c>
      <c r="V633" t="s">
        <v>2457</v>
      </c>
      <c r="AA633" t="s">
        <v>4718</v>
      </c>
      <c r="AB633" t="s">
        <v>4727</v>
      </c>
      <c r="AF633">
        <v>1</v>
      </c>
      <c r="AG633">
        <v>1</v>
      </c>
      <c r="AH633">
        <v>0</v>
      </c>
    </row>
    <row r="634" spans="1:34" x14ac:dyDescent="0.3">
      <c r="A634" t="s">
        <v>5670</v>
      </c>
      <c r="B634" t="s">
        <v>5671</v>
      </c>
      <c r="C634" t="s">
        <v>4712</v>
      </c>
      <c r="D634" t="s">
        <v>2457</v>
      </c>
      <c r="E634" t="s">
        <v>21</v>
      </c>
      <c r="F634" t="s">
        <v>22</v>
      </c>
      <c r="I634" t="s">
        <v>4713</v>
      </c>
      <c r="J634" t="s">
        <v>4480</v>
      </c>
      <c r="L634" t="s">
        <v>25</v>
      </c>
      <c r="M634" t="s">
        <v>2457</v>
      </c>
      <c r="N634" t="s">
        <v>4714</v>
      </c>
      <c r="O634" t="s">
        <v>5105</v>
      </c>
      <c r="P634" t="s">
        <v>5133</v>
      </c>
      <c r="Q634">
        <v>0</v>
      </c>
      <c r="R634">
        <v>474</v>
      </c>
      <c r="S634">
        <v>0</v>
      </c>
      <c r="V634" t="s">
        <v>2457</v>
      </c>
      <c r="AA634" t="s">
        <v>4738</v>
      </c>
      <c r="AB634" t="s">
        <v>4831</v>
      </c>
      <c r="AF634">
        <v>1</v>
      </c>
      <c r="AG634">
        <v>1</v>
      </c>
      <c r="AH634">
        <v>0</v>
      </c>
    </row>
    <row r="635" spans="1:34" x14ac:dyDescent="0.3">
      <c r="A635" t="s">
        <v>5672</v>
      </c>
      <c r="B635" t="s">
        <v>5673</v>
      </c>
      <c r="C635" t="s">
        <v>4712</v>
      </c>
      <c r="D635" t="s">
        <v>2457</v>
      </c>
      <c r="E635" t="s">
        <v>21</v>
      </c>
      <c r="F635" t="s">
        <v>22</v>
      </c>
      <c r="I635" t="s">
        <v>4713</v>
      </c>
      <c r="J635" t="s">
        <v>4731</v>
      </c>
      <c r="L635" t="s">
        <v>25</v>
      </c>
      <c r="M635" t="s">
        <v>2457</v>
      </c>
      <c r="N635" t="s">
        <v>4538</v>
      </c>
      <c r="O635" t="s">
        <v>4765</v>
      </c>
      <c r="P635" t="s">
        <v>4899</v>
      </c>
      <c r="Q635">
        <v>0</v>
      </c>
      <c r="R635">
        <v>469</v>
      </c>
      <c r="S635">
        <v>0</v>
      </c>
      <c r="V635" t="s">
        <v>2457</v>
      </c>
      <c r="AA635" t="s">
        <v>4738</v>
      </c>
      <c r="AB635" t="s">
        <v>4807</v>
      </c>
      <c r="AF635">
        <v>1</v>
      </c>
      <c r="AG635">
        <v>1</v>
      </c>
      <c r="AH635">
        <v>0</v>
      </c>
    </row>
    <row r="636" spans="1:34" x14ac:dyDescent="0.3">
      <c r="A636" t="s">
        <v>5674</v>
      </c>
      <c r="B636" t="s">
        <v>5675</v>
      </c>
      <c r="C636" t="s">
        <v>4712</v>
      </c>
      <c r="D636" t="s">
        <v>2457</v>
      </c>
      <c r="E636" t="s">
        <v>21</v>
      </c>
      <c r="F636" t="s">
        <v>22</v>
      </c>
      <c r="I636" t="s">
        <v>4713</v>
      </c>
      <c r="J636" t="s">
        <v>4480</v>
      </c>
      <c r="L636" t="s">
        <v>25</v>
      </c>
      <c r="M636" t="s">
        <v>2457</v>
      </c>
      <c r="N636" t="s">
        <v>4538</v>
      </c>
      <c r="O636" t="s">
        <v>4765</v>
      </c>
      <c r="P636" t="s">
        <v>4896</v>
      </c>
      <c r="Q636">
        <v>0</v>
      </c>
      <c r="R636">
        <v>470</v>
      </c>
      <c r="S636">
        <v>0</v>
      </c>
      <c r="V636" t="s">
        <v>2457</v>
      </c>
      <c r="AA636" t="s">
        <v>4718</v>
      </c>
      <c r="AB636" t="s">
        <v>4727</v>
      </c>
      <c r="AF636">
        <v>1</v>
      </c>
      <c r="AG636">
        <v>1</v>
      </c>
      <c r="AH636">
        <v>0</v>
      </c>
    </row>
    <row r="637" spans="1:34" x14ac:dyDescent="0.3">
      <c r="A637" t="s">
        <v>5676</v>
      </c>
      <c r="B637" t="s">
        <v>5677</v>
      </c>
      <c r="C637" t="s">
        <v>4712</v>
      </c>
      <c r="D637" t="s">
        <v>2457</v>
      </c>
      <c r="E637" t="s">
        <v>21</v>
      </c>
      <c r="F637" t="s">
        <v>22</v>
      </c>
      <c r="I637" t="s">
        <v>4713</v>
      </c>
      <c r="J637" t="s">
        <v>4731</v>
      </c>
      <c r="L637" t="s">
        <v>25</v>
      </c>
      <c r="M637" t="s">
        <v>2457</v>
      </c>
      <c r="N637" t="s">
        <v>4538</v>
      </c>
      <c r="O637" t="s">
        <v>4765</v>
      </c>
      <c r="P637" t="s">
        <v>4892</v>
      </c>
      <c r="Q637">
        <v>0</v>
      </c>
      <c r="R637">
        <v>471</v>
      </c>
      <c r="S637">
        <v>0</v>
      </c>
      <c r="V637" t="s">
        <v>2457</v>
      </c>
      <c r="AA637" t="s">
        <v>4738</v>
      </c>
      <c r="AB637" t="s">
        <v>4807</v>
      </c>
      <c r="AF637">
        <v>1</v>
      </c>
      <c r="AG637">
        <v>1</v>
      </c>
      <c r="AH637">
        <v>0</v>
      </c>
    </row>
    <row r="638" spans="1:34" x14ac:dyDescent="0.3">
      <c r="A638" t="s">
        <v>5678</v>
      </c>
      <c r="B638" t="s">
        <v>3550</v>
      </c>
      <c r="C638" t="s">
        <v>4712</v>
      </c>
      <c r="D638" t="s">
        <v>1234</v>
      </c>
      <c r="E638" t="s">
        <v>73</v>
      </c>
      <c r="F638" t="s">
        <v>22</v>
      </c>
      <c r="I638" t="s">
        <v>4713</v>
      </c>
      <c r="J638" t="s">
        <v>4480</v>
      </c>
      <c r="K638" t="s">
        <v>4654</v>
      </c>
      <c r="L638" t="s">
        <v>25</v>
      </c>
      <c r="M638" t="s">
        <v>1234</v>
      </c>
      <c r="N638" t="s">
        <v>4542</v>
      </c>
      <c r="O638" t="s">
        <v>4863</v>
      </c>
      <c r="P638" t="s">
        <v>4948</v>
      </c>
      <c r="Q638">
        <v>1</v>
      </c>
      <c r="R638">
        <v>11</v>
      </c>
      <c r="S638">
        <v>0</v>
      </c>
      <c r="V638" t="s">
        <v>4546</v>
      </c>
      <c r="AA638" t="s">
        <v>4718</v>
      </c>
      <c r="AB638" t="s">
        <v>4719</v>
      </c>
      <c r="AD638">
        <v>1</v>
      </c>
      <c r="AF638">
        <v>1</v>
      </c>
      <c r="AG638">
        <v>1</v>
      </c>
      <c r="AH638">
        <v>0</v>
      </c>
    </row>
    <row r="639" spans="1:34" x14ac:dyDescent="0.3">
      <c r="A639" t="s">
        <v>5679</v>
      </c>
      <c r="B639" t="s">
        <v>3560</v>
      </c>
      <c r="C639" t="s">
        <v>4712</v>
      </c>
      <c r="D639" t="s">
        <v>1627</v>
      </c>
      <c r="E639" t="s">
        <v>73</v>
      </c>
      <c r="F639" t="s">
        <v>22</v>
      </c>
      <c r="I639" t="s">
        <v>4713</v>
      </c>
      <c r="J639" t="s">
        <v>4480</v>
      </c>
      <c r="K639" t="s">
        <v>4654</v>
      </c>
      <c r="L639" t="s">
        <v>25</v>
      </c>
      <c r="M639" t="s">
        <v>1627</v>
      </c>
      <c r="N639" t="s">
        <v>4542</v>
      </c>
      <c r="O639" t="s">
        <v>4790</v>
      </c>
      <c r="P639" t="s">
        <v>4791</v>
      </c>
      <c r="Q639">
        <v>1</v>
      </c>
      <c r="R639">
        <v>1</v>
      </c>
      <c r="S639">
        <v>0</v>
      </c>
      <c r="V639" t="s">
        <v>4546</v>
      </c>
      <c r="AA639" t="s">
        <v>4718</v>
      </c>
      <c r="AB639" t="s">
        <v>4719</v>
      </c>
      <c r="AC639">
        <v>1</v>
      </c>
      <c r="AD639">
        <v>1</v>
      </c>
      <c r="AF639">
        <v>1</v>
      </c>
      <c r="AG639">
        <v>1</v>
      </c>
      <c r="AH639">
        <v>0</v>
      </c>
    </row>
    <row r="640" spans="1:34" x14ac:dyDescent="0.3">
      <c r="A640" t="s">
        <v>5680</v>
      </c>
      <c r="B640" t="s">
        <v>5681</v>
      </c>
      <c r="C640" t="s">
        <v>4712</v>
      </c>
      <c r="D640" t="s">
        <v>1627</v>
      </c>
      <c r="E640" t="s">
        <v>73</v>
      </c>
      <c r="F640" t="s">
        <v>22</v>
      </c>
      <c r="I640" t="s">
        <v>4713</v>
      </c>
      <c r="J640" t="s">
        <v>4480</v>
      </c>
      <c r="K640" t="s">
        <v>4654</v>
      </c>
      <c r="L640" t="s">
        <v>25</v>
      </c>
      <c r="M640" t="s">
        <v>1627</v>
      </c>
      <c r="N640" t="s">
        <v>4542</v>
      </c>
      <c r="O640" t="s">
        <v>4790</v>
      </c>
      <c r="P640" t="s">
        <v>4791</v>
      </c>
      <c r="Q640">
        <v>1</v>
      </c>
      <c r="R640">
        <v>12</v>
      </c>
      <c r="S640">
        <v>0</v>
      </c>
      <c r="V640" t="s">
        <v>4546</v>
      </c>
      <c r="AA640" t="s">
        <v>4718</v>
      </c>
      <c r="AB640" t="s">
        <v>4719</v>
      </c>
      <c r="AD640">
        <v>1</v>
      </c>
      <c r="AF640">
        <v>1</v>
      </c>
      <c r="AG640">
        <v>1</v>
      </c>
      <c r="AH640">
        <v>0</v>
      </c>
    </row>
    <row r="641" spans="1:34" x14ac:dyDescent="0.3">
      <c r="A641" t="s">
        <v>5682</v>
      </c>
      <c r="B641" t="s">
        <v>3561</v>
      </c>
      <c r="C641" t="s">
        <v>4712</v>
      </c>
      <c r="D641" t="s">
        <v>1303</v>
      </c>
      <c r="E641" t="s">
        <v>73</v>
      </c>
      <c r="F641" t="s">
        <v>22</v>
      </c>
      <c r="I641" t="s">
        <v>4713</v>
      </c>
      <c r="J641" t="s">
        <v>4480</v>
      </c>
      <c r="K641" t="s">
        <v>4654</v>
      </c>
      <c r="L641" t="s">
        <v>25</v>
      </c>
      <c r="M641" t="s">
        <v>1303</v>
      </c>
      <c r="N641" t="s">
        <v>4714</v>
      </c>
      <c r="O641" t="s">
        <v>4715</v>
      </c>
      <c r="P641" t="s">
        <v>4716</v>
      </c>
      <c r="Q641">
        <v>1</v>
      </c>
      <c r="R641">
        <v>81</v>
      </c>
      <c r="S641">
        <v>0</v>
      </c>
      <c r="V641" t="s">
        <v>4717</v>
      </c>
      <c r="AA641" t="s">
        <v>4718</v>
      </c>
      <c r="AB641" t="s">
        <v>4719</v>
      </c>
      <c r="AC641">
        <v>1</v>
      </c>
      <c r="AD641">
        <v>1</v>
      </c>
      <c r="AE641">
        <v>1</v>
      </c>
      <c r="AF641">
        <v>1</v>
      </c>
      <c r="AG641">
        <v>1</v>
      </c>
      <c r="AH641">
        <v>0</v>
      </c>
    </row>
    <row r="642" spans="1:34" x14ac:dyDescent="0.3">
      <c r="A642" t="s">
        <v>5683</v>
      </c>
      <c r="B642" t="s">
        <v>3562</v>
      </c>
      <c r="C642" t="s">
        <v>4712</v>
      </c>
      <c r="D642" t="s">
        <v>1303</v>
      </c>
      <c r="E642" t="s">
        <v>73</v>
      </c>
      <c r="F642" t="s">
        <v>22</v>
      </c>
      <c r="I642" t="s">
        <v>4713</v>
      </c>
      <c r="J642" t="s">
        <v>4480</v>
      </c>
      <c r="K642" t="s">
        <v>4654</v>
      </c>
      <c r="L642" t="s">
        <v>25</v>
      </c>
      <c r="M642" t="s">
        <v>1303</v>
      </c>
      <c r="N642" t="s">
        <v>4714</v>
      </c>
      <c r="O642" t="s">
        <v>4715</v>
      </c>
      <c r="P642" t="s">
        <v>5684</v>
      </c>
      <c r="Q642">
        <v>1</v>
      </c>
      <c r="R642">
        <v>82</v>
      </c>
      <c r="S642">
        <v>0</v>
      </c>
      <c r="V642" t="s">
        <v>4717</v>
      </c>
      <c r="AA642" t="s">
        <v>4718</v>
      </c>
      <c r="AB642" t="s">
        <v>4719</v>
      </c>
      <c r="AD642">
        <v>1</v>
      </c>
      <c r="AF642">
        <v>1</v>
      </c>
      <c r="AG642">
        <v>1</v>
      </c>
      <c r="AH642">
        <v>0</v>
      </c>
    </row>
    <row r="643" spans="1:34" x14ac:dyDescent="0.3">
      <c r="A643" t="s">
        <v>5685</v>
      </c>
      <c r="B643" t="s">
        <v>3563</v>
      </c>
      <c r="C643" t="s">
        <v>4712</v>
      </c>
      <c r="D643" t="s">
        <v>1376</v>
      </c>
      <c r="E643" t="s">
        <v>73</v>
      </c>
      <c r="F643" t="s">
        <v>22</v>
      </c>
      <c r="I643" t="s">
        <v>4713</v>
      </c>
      <c r="J643" t="s">
        <v>4480</v>
      </c>
      <c r="K643" t="s">
        <v>4654</v>
      </c>
      <c r="L643" t="s">
        <v>25</v>
      </c>
      <c r="M643" t="s">
        <v>1376</v>
      </c>
      <c r="N643" t="s">
        <v>4538</v>
      </c>
      <c r="O643" t="s">
        <v>4765</v>
      </c>
      <c r="P643" t="s">
        <v>5686</v>
      </c>
      <c r="Q643">
        <v>1</v>
      </c>
      <c r="R643">
        <v>38</v>
      </c>
      <c r="S643">
        <v>0</v>
      </c>
      <c r="V643" t="s">
        <v>4544</v>
      </c>
      <c r="AA643" t="s">
        <v>4718</v>
      </c>
      <c r="AB643" t="s">
        <v>4719</v>
      </c>
      <c r="AC643">
        <v>1</v>
      </c>
      <c r="AD643">
        <v>1</v>
      </c>
      <c r="AF643">
        <v>1</v>
      </c>
      <c r="AG643">
        <v>1</v>
      </c>
      <c r="AH643">
        <v>0</v>
      </c>
    </row>
    <row r="644" spans="1:34" x14ac:dyDescent="0.3">
      <c r="A644" t="s">
        <v>5687</v>
      </c>
      <c r="B644" t="s">
        <v>3582</v>
      </c>
      <c r="C644" t="s">
        <v>4712</v>
      </c>
      <c r="D644" t="s">
        <v>1096</v>
      </c>
      <c r="E644" t="s">
        <v>73</v>
      </c>
      <c r="F644" t="s">
        <v>22</v>
      </c>
      <c r="I644" t="s">
        <v>4713</v>
      </c>
      <c r="J644" t="s">
        <v>4480</v>
      </c>
      <c r="K644" t="s">
        <v>4654</v>
      </c>
      <c r="L644" t="s">
        <v>25</v>
      </c>
      <c r="M644" t="s">
        <v>1096</v>
      </c>
      <c r="N644" t="s">
        <v>4538</v>
      </c>
      <c r="O644" t="s">
        <v>4765</v>
      </c>
      <c r="P644" t="s">
        <v>5686</v>
      </c>
      <c r="Q644">
        <v>1</v>
      </c>
      <c r="R644">
        <v>37</v>
      </c>
      <c r="S644">
        <v>0</v>
      </c>
      <c r="V644" t="s">
        <v>4762</v>
      </c>
      <c r="AA644" t="s">
        <v>4738</v>
      </c>
      <c r="AB644" t="s">
        <v>4739</v>
      </c>
      <c r="AD644">
        <v>1</v>
      </c>
      <c r="AF644">
        <v>1</v>
      </c>
      <c r="AG644">
        <v>1</v>
      </c>
      <c r="AH644">
        <v>0</v>
      </c>
    </row>
    <row r="645" spans="1:34" x14ac:dyDescent="0.3">
      <c r="A645" t="s">
        <v>5688</v>
      </c>
      <c r="B645" t="s">
        <v>3568</v>
      </c>
      <c r="C645" t="s">
        <v>4712</v>
      </c>
      <c r="D645" t="s">
        <v>1376</v>
      </c>
      <c r="E645" t="s">
        <v>73</v>
      </c>
      <c r="F645" t="s">
        <v>22</v>
      </c>
      <c r="I645" t="s">
        <v>4713</v>
      </c>
      <c r="J645" t="s">
        <v>4480</v>
      </c>
      <c r="K645" t="s">
        <v>4654</v>
      </c>
      <c r="L645" t="s">
        <v>25</v>
      </c>
      <c r="M645" t="s">
        <v>1376</v>
      </c>
      <c r="N645" t="s">
        <v>4538</v>
      </c>
      <c r="O645" t="s">
        <v>4765</v>
      </c>
      <c r="P645" t="s">
        <v>5686</v>
      </c>
      <c r="Q645">
        <v>1</v>
      </c>
      <c r="R645">
        <v>39</v>
      </c>
      <c r="S645">
        <v>0</v>
      </c>
      <c r="V645" t="s">
        <v>4544</v>
      </c>
      <c r="AA645" t="s">
        <v>4738</v>
      </c>
      <c r="AB645" t="s">
        <v>5689</v>
      </c>
      <c r="AC645">
        <v>1</v>
      </c>
      <c r="AD645">
        <v>1</v>
      </c>
      <c r="AF645">
        <v>1</v>
      </c>
      <c r="AG645">
        <v>1</v>
      </c>
      <c r="AH645">
        <v>0</v>
      </c>
    </row>
    <row r="646" spans="1:34" x14ac:dyDescent="0.3">
      <c r="A646" t="s">
        <v>5690</v>
      </c>
      <c r="B646" t="s">
        <v>3569</v>
      </c>
      <c r="C646" t="s">
        <v>4712</v>
      </c>
      <c r="D646" t="s">
        <v>2801</v>
      </c>
      <c r="E646" t="s">
        <v>73</v>
      </c>
      <c r="F646" t="s">
        <v>22</v>
      </c>
      <c r="I646" t="s">
        <v>4713</v>
      </c>
      <c r="J646" t="s">
        <v>4480</v>
      </c>
      <c r="K646" t="s">
        <v>4654</v>
      </c>
      <c r="L646" t="s">
        <v>25</v>
      </c>
      <c r="M646" t="s">
        <v>2801</v>
      </c>
      <c r="N646" t="s">
        <v>4714</v>
      </c>
      <c r="O646" t="s">
        <v>5105</v>
      </c>
      <c r="P646" t="s">
        <v>5691</v>
      </c>
      <c r="Q646">
        <v>1</v>
      </c>
      <c r="R646">
        <v>83</v>
      </c>
      <c r="S646">
        <v>0</v>
      </c>
      <c r="V646" t="s">
        <v>4546</v>
      </c>
      <c r="AA646" t="s">
        <v>4718</v>
      </c>
      <c r="AB646" t="s">
        <v>4719</v>
      </c>
      <c r="AC646">
        <v>1</v>
      </c>
      <c r="AD646">
        <v>1</v>
      </c>
      <c r="AE646">
        <v>1</v>
      </c>
      <c r="AF646">
        <v>1</v>
      </c>
      <c r="AG646">
        <v>1</v>
      </c>
      <c r="AH646">
        <v>0</v>
      </c>
    </row>
    <row r="647" spans="1:34" x14ac:dyDescent="0.3">
      <c r="A647" t="s">
        <v>5692</v>
      </c>
      <c r="B647" t="s">
        <v>3570</v>
      </c>
      <c r="C647" t="s">
        <v>4712</v>
      </c>
      <c r="D647" t="s">
        <v>461</v>
      </c>
      <c r="E647" t="s">
        <v>73</v>
      </c>
      <c r="F647" t="s">
        <v>22</v>
      </c>
      <c r="I647" t="s">
        <v>4713</v>
      </c>
      <c r="J647" t="s">
        <v>4480</v>
      </c>
      <c r="K647" t="s">
        <v>4654</v>
      </c>
      <c r="L647" t="s">
        <v>25</v>
      </c>
      <c r="M647" t="s">
        <v>461</v>
      </c>
      <c r="N647" t="s">
        <v>4542</v>
      </c>
      <c r="O647" t="s">
        <v>4790</v>
      </c>
      <c r="P647" t="s">
        <v>4791</v>
      </c>
      <c r="Q647">
        <v>1</v>
      </c>
      <c r="R647">
        <v>13</v>
      </c>
      <c r="S647">
        <v>0</v>
      </c>
      <c r="V647" t="s">
        <v>4546</v>
      </c>
      <c r="AA647" t="s">
        <v>4792</v>
      </c>
      <c r="AB647" t="s">
        <v>4793</v>
      </c>
      <c r="AC647">
        <v>1</v>
      </c>
      <c r="AD647">
        <v>1</v>
      </c>
      <c r="AE647">
        <v>1</v>
      </c>
      <c r="AF647">
        <v>1</v>
      </c>
      <c r="AG647">
        <v>1</v>
      </c>
      <c r="AH647">
        <v>0</v>
      </c>
    </row>
    <row r="648" spans="1:34" x14ac:dyDescent="0.3">
      <c r="A648" t="s">
        <v>5693</v>
      </c>
      <c r="B648" t="s">
        <v>3571</v>
      </c>
      <c r="C648" t="s">
        <v>4712</v>
      </c>
      <c r="D648" t="s">
        <v>224</v>
      </c>
      <c r="E648" t="s">
        <v>73</v>
      </c>
      <c r="F648" t="s">
        <v>22</v>
      </c>
      <c r="I648" t="s">
        <v>4713</v>
      </c>
      <c r="J648" t="s">
        <v>4480</v>
      </c>
      <c r="K648" t="s">
        <v>4654</v>
      </c>
      <c r="L648" t="s">
        <v>25</v>
      </c>
      <c r="M648" t="s">
        <v>224</v>
      </c>
      <c r="N648" t="s">
        <v>4538</v>
      </c>
      <c r="O648" t="s">
        <v>4765</v>
      </c>
      <c r="P648" t="s">
        <v>4899</v>
      </c>
      <c r="Q648">
        <v>1</v>
      </c>
      <c r="R648">
        <v>40</v>
      </c>
      <c r="S648">
        <v>0</v>
      </c>
      <c r="V648" t="s">
        <v>4735</v>
      </c>
      <c r="AA648" t="s">
        <v>4766</v>
      </c>
      <c r="AB648" t="s">
        <v>4761</v>
      </c>
      <c r="AC648">
        <v>1</v>
      </c>
      <c r="AD648">
        <v>1</v>
      </c>
      <c r="AE648">
        <v>1</v>
      </c>
      <c r="AF648">
        <v>1</v>
      </c>
      <c r="AG648">
        <v>1</v>
      </c>
      <c r="AH648">
        <v>0</v>
      </c>
    </row>
    <row r="649" spans="1:34" x14ac:dyDescent="0.3">
      <c r="A649" t="s">
        <v>5694</v>
      </c>
      <c r="B649" t="s">
        <v>3552</v>
      </c>
      <c r="C649" t="s">
        <v>4712</v>
      </c>
      <c r="D649" t="s">
        <v>55</v>
      </c>
      <c r="E649" t="s">
        <v>73</v>
      </c>
      <c r="F649" t="s">
        <v>22</v>
      </c>
      <c r="I649" t="s">
        <v>4713</v>
      </c>
      <c r="J649" t="s">
        <v>4480</v>
      </c>
      <c r="K649" t="s">
        <v>4654</v>
      </c>
      <c r="L649" t="s">
        <v>25</v>
      </c>
      <c r="M649" t="s">
        <v>55</v>
      </c>
      <c r="N649" t="s">
        <v>4732</v>
      </c>
      <c r="O649" t="s">
        <v>4742</v>
      </c>
      <c r="P649" t="s">
        <v>4907</v>
      </c>
      <c r="Q649">
        <v>1</v>
      </c>
      <c r="R649">
        <v>64</v>
      </c>
      <c r="S649">
        <v>0</v>
      </c>
      <c r="V649" t="s">
        <v>4744</v>
      </c>
      <c r="AA649" t="s">
        <v>4782</v>
      </c>
      <c r="AB649" t="s">
        <v>4988</v>
      </c>
      <c r="AC649">
        <v>1</v>
      </c>
      <c r="AD649">
        <v>1</v>
      </c>
      <c r="AF649">
        <v>1</v>
      </c>
      <c r="AG649">
        <v>1</v>
      </c>
      <c r="AH649">
        <v>0</v>
      </c>
    </row>
    <row r="650" spans="1:34" x14ac:dyDescent="0.3">
      <c r="A650" t="s">
        <v>5695</v>
      </c>
      <c r="B650" t="s">
        <v>3572</v>
      </c>
      <c r="C650" t="s">
        <v>4712</v>
      </c>
      <c r="D650" t="s">
        <v>1654</v>
      </c>
      <c r="E650" t="s">
        <v>73</v>
      </c>
      <c r="F650" t="s">
        <v>22</v>
      </c>
      <c r="I650" t="s">
        <v>4713</v>
      </c>
      <c r="J650" t="s">
        <v>4480</v>
      </c>
      <c r="K650" t="s">
        <v>4654</v>
      </c>
      <c r="L650" t="s">
        <v>25</v>
      </c>
      <c r="M650" t="s">
        <v>1654</v>
      </c>
      <c r="N650" t="s">
        <v>4537</v>
      </c>
      <c r="O650" t="s">
        <v>4924</v>
      </c>
      <c r="P650" t="s">
        <v>5696</v>
      </c>
      <c r="Q650">
        <v>1</v>
      </c>
      <c r="R650">
        <v>14</v>
      </c>
      <c r="S650">
        <v>0</v>
      </c>
      <c r="V650" t="s">
        <v>4546</v>
      </c>
      <c r="AA650" t="s">
        <v>4792</v>
      </c>
      <c r="AB650" t="s">
        <v>4793</v>
      </c>
      <c r="AC650">
        <v>1</v>
      </c>
      <c r="AD650">
        <v>1</v>
      </c>
      <c r="AE650">
        <v>1</v>
      </c>
      <c r="AF650">
        <v>1</v>
      </c>
      <c r="AG650">
        <v>1</v>
      </c>
      <c r="AH650">
        <v>0</v>
      </c>
    </row>
    <row r="651" spans="1:34" x14ac:dyDescent="0.3">
      <c r="A651" t="s">
        <v>5697</v>
      </c>
      <c r="B651" t="s">
        <v>3573</v>
      </c>
      <c r="C651" t="s">
        <v>4712</v>
      </c>
      <c r="D651" t="s">
        <v>2801</v>
      </c>
      <c r="E651" t="s">
        <v>73</v>
      </c>
      <c r="F651" t="s">
        <v>22</v>
      </c>
      <c r="I651" t="s">
        <v>4713</v>
      </c>
      <c r="J651" t="s">
        <v>4480</v>
      </c>
      <c r="K651" t="s">
        <v>4654</v>
      </c>
      <c r="L651" t="s">
        <v>25</v>
      </c>
      <c r="M651" t="s">
        <v>2801</v>
      </c>
      <c r="N651" t="s">
        <v>4542</v>
      </c>
      <c r="O651" t="s">
        <v>4863</v>
      </c>
      <c r="P651" t="s">
        <v>4864</v>
      </c>
      <c r="Q651">
        <v>1</v>
      </c>
      <c r="R651">
        <v>15</v>
      </c>
      <c r="S651">
        <v>0</v>
      </c>
      <c r="V651" t="s">
        <v>4546</v>
      </c>
      <c r="AA651" t="s">
        <v>4718</v>
      </c>
      <c r="AB651" t="s">
        <v>4719</v>
      </c>
      <c r="AC651">
        <v>1</v>
      </c>
      <c r="AD651">
        <v>1</v>
      </c>
      <c r="AE651">
        <v>1</v>
      </c>
      <c r="AF651">
        <v>1</v>
      </c>
      <c r="AG651">
        <v>1</v>
      </c>
      <c r="AH651">
        <v>0</v>
      </c>
    </row>
    <row r="652" spans="1:34" x14ac:dyDescent="0.3">
      <c r="A652" t="s">
        <v>5698</v>
      </c>
      <c r="B652" t="s">
        <v>3574</v>
      </c>
      <c r="C652" t="s">
        <v>4712</v>
      </c>
      <c r="D652" t="s">
        <v>2801</v>
      </c>
      <c r="E652" t="s">
        <v>73</v>
      </c>
      <c r="F652" t="s">
        <v>22</v>
      </c>
      <c r="I652" t="s">
        <v>4713</v>
      </c>
      <c r="J652" t="s">
        <v>4480</v>
      </c>
      <c r="K652" t="s">
        <v>4654</v>
      </c>
      <c r="L652" t="s">
        <v>25</v>
      </c>
      <c r="M652" t="s">
        <v>2801</v>
      </c>
      <c r="N652" t="s">
        <v>4542</v>
      </c>
      <c r="O652" t="s">
        <v>4790</v>
      </c>
      <c r="P652" t="s">
        <v>4791</v>
      </c>
      <c r="Q652">
        <v>1</v>
      </c>
      <c r="R652">
        <v>16</v>
      </c>
      <c r="S652">
        <v>0</v>
      </c>
      <c r="V652" t="s">
        <v>4546</v>
      </c>
      <c r="AA652" t="s">
        <v>4792</v>
      </c>
      <c r="AB652" t="s">
        <v>4793</v>
      </c>
      <c r="AC652">
        <v>1</v>
      </c>
      <c r="AD652">
        <v>1</v>
      </c>
      <c r="AE652">
        <v>1</v>
      </c>
      <c r="AF652">
        <v>1</v>
      </c>
      <c r="AG652">
        <v>1</v>
      </c>
      <c r="AH652">
        <v>0</v>
      </c>
    </row>
    <row r="653" spans="1:34" x14ac:dyDescent="0.3">
      <c r="A653" t="s">
        <v>5699</v>
      </c>
      <c r="B653" t="s">
        <v>3575</v>
      </c>
      <c r="C653" t="s">
        <v>4712</v>
      </c>
      <c r="D653" t="s">
        <v>2801</v>
      </c>
      <c r="E653" t="s">
        <v>73</v>
      </c>
      <c r="F653" t="s">
        <v>22</v>
      </c>
      <c r="I653" t="s">
        <v>4713</v>
      </c>
      <c r="J653" t="s">
        <v>4480</v>
      </c>
      <c r="K653" t="s">
        <v>4654</v>
      </c>
      <c r="L653" t="s">
        <v>25</v>
      </c>
      <c r="M653" t="s">
        <v>2801</v>
      </c>
      <c r="N653" t="s">
        <v>4542</v>
      </c>
      <c r="O653" t="s">
        <v>4863</v>
      </c>
      <c r="P653" t="s">
        <v>4864</v>
      </c>
      <c r="Q653">
        <v>1</v>
      </c>
      <c r="R653">
        <v>17</v>
      </c>
      <c r="S653">
        <v>0</v>
      </c>
      <c r="V653" t="s">
        <v>4546</v>
      </c>
      <c r="AA653" t="s">
        <v>4718</v>
      </c>
      <c r="AB653" t="s">
        <v>4727</v>
      </c>
      <c r="AC653">
        <v>1</v>
      </c>
      <c r="AD653">
        <v>1</v>
      </c>
      <c r="AE653">
        <v>1</v>
      </c>
      <c r="AF653">
        <v>1</v>
      </c>
      <c r="AG653">
        <v>1</v>
      </c>
      <c r="AH653">
        <v>0</v>
      </c>
    </row>
    <row r="654" spans="1:34" x14ac:dyDescent="0.3">
      <c r="A654" t="s">
        <v>5700</v>
      </c>
      <c r="B654" t="s">
        <v>3576</v>
      </c>
      <c r="C654" t="s">
        <v>4712</v>
      </c>
      <c r="D654" t="s">
        <v>2186</v>
      </c>
      <c r="E654" t="s">
        <v>73</v>
      </c>
      <c r="F654" t="s">
        <v>22</v>
      </c>
      <c r="I654" t="s">
        <v>4713</v>
      </c>
      <c r="J654" t="s">
        <v>4480</v>
      </c>
      <c r="K654" t="s">
        <v>4654</v>
      </c>
      <c r="L654" t="s">
        <v>25</v>
      </c>
      <c r="M654" t="s">
        <v>2186</v>
      </c>
      <c r="N654" t="s">
        <v>4541</v>
      </c>
      <c r="O654" t="s">
        <v>4722</v>
      </c>
      <c r="P654" t="s">
        <v>4795</v>
      </c>
      <c r="Q654">
        <v>1</v>
      </c>
      <c r="R654">
        <v>32</v>
      </c>
      <c r="S654">
        <v>0</v>
      </c>
      <c r="V654" t="s">
        <v>4543</v>
      </c>
      <c r="AA654" t="s">
        <v>4738</v>
      </c>
      <c r="AB654" t="s">
        <v>5689</v>
      </c>
      <c r="AC654">
        <v>1</v>
      </c>
      <c r="AD654">
        <v>1</v>
      </c>
      <c r="AE654">
        <v>1</v>
      </c>
      <c r="AF654">
        <v>1</v>
      </c>
      <c r="AG654">
        <v>1</v>
      </c>
      <c r="AH654">
        <v>0</v>
      </c>
    </row>
    <row r="655" spans="1:34" x14ac:dyDescent="0.3">
      <c r="A655" t="s">
        <v>3448</v>
      </c>
      <c r="B655" t="s">
        <v>3594</v>
      </c>
      <c r="D655" t="s">
        <v>1691</v>
      </c>
      <c r="I655" t="s">
        <v>4713</v>
      </c>
      <c r="L655" t="s">
        <v>25</v>
      </c>
      <c r="M655" t="s">
        <v>1691</v>
      </c>
      <c r="N655" t="s">
        <v>4542</v>
      </c>
      <c r="O655" t="s">
        <v>4790</v>
      </c>
      <c r="P655" t="s">
        <v>4791</v>
      </c>
      <c r="Q655">
        <v>1</v>
      </c>
      <c r="R655">
        <v>84</v>
      </c>
      <c r="S655">
        <v>0</v>
      </c>
      <c r="V655" t="s">
        <v>4546</v>
      </c>
      <c r="AA655" t="s">
        <v>4718</v>
      </c>
      <c r="AB655" t="s">
        <v>4719</v>
      </c>
      <c r="AC655">
        <v>1</v>
      </c>
      <c r="AD655">
        <v>1</v>
      </c>
      <c r="AE655">
        <v>1</v>
      </c>
      <c r="AF655">
        <v>1</v>
      </c>
      <c r="AG655">
        <v>1</v>
      </c>
      <c r="AH655">
        <v>0</v>
      </c>
    </row>
    <row r="656" spans="1:34" x14ac:dyDescent="0.3">
      <c r="A656" t="s">
        <v>3450</v>
      </c>
      <c r="B656" t="s">
        <v>3595</v>
      </c>
      <c r="D656" t="s">
        <v>190</v>
      </c>
      <c r="I656" t="s">
        <v>4713</v>
      </c>
      <c r="L656" t="s">
        <v>25</v>
      </c>
      <c r="M656" t="s">
        <v>190</v>
      </c>
      <c r="N656" t="s">
        <v>4542</v>
      </c>
      <c r="O656" t="s">
        <v>4790</v>
      </c>
      <c r="P656" t="s">
        <v>4791</v>
      </c>
      <c r="Q656">
        <v>1</v>
      </c>
      <c r="R656">
        <v>85</v>
      </c>
      <c r="S656">
        <v>0</v>
      </c>
      <c r="V656" t="s">
        <v>4546</v>
      </c>
      <c r="AA656" t="s">
        <v>4718</v>
      </c>
      <c r="AB656" t="s">
        <v>4719</v>
      </c>
      <c r="AC656">
        <v>1</v>
      </c>
      <c r="AD656">
        <v>1</v>
      </c>
      <c r="AE656">
        <v>1</v>
      </c>
      <c r="AF656">
        <v>1</v>
      </c>
      <c r="AG656">
        <v>1</v>
      </c>
      <c r="AH656">
        <v>0</v>
      </c>
    </row>
    <row r="657" spans="1:34" x14ac:dyDescent="0.3">
      <c r="A657" t="s">
        <v>3452</v>
      </c>
      <c r="B657" t="s">
        <v>3453</v>
      </c>
      <c r="D657" t="s">
        <v>1383</v>
      </c>
      <c r="I657" t="s">
        <v>4713</v>
      </c>
      <c r="L657" t="s">
        <v>25</v>
      </c>
      <c r="M657" t="s">
        <v>1383</v>
      </c>
      <c r="N657" t="s">
        <v>4542</v>
      </c>
      <c r="O657" t="s">
        <v>4790</v>
      </c>
      <c r="P657" t="s">
        <v>4791</v>
      </c>
      <c r="Q657">
        <v>1</v>
      </c>
      <c r="R657">
        <v>86</v>
      </c>
      <c r="S657">
        <v>0</v>
      </c>
      <c r="V657" t="s">
        <v>4546</v>
      </c>
      <c r="AA657" t="s">
        <v>4718</v>
      </c>
      <c r="AB657" t="s">
        <v>4719</v>
      </c>
      <c r="AC657">
        <v>1</v>
      </c>
      <c r="AD657">
        <v>1</v>
      </c>
      <c r="AE657">
        <v>1</v>
      </c>
      <c r="AF657">
        <v>1</v>
      </c>
      <c r="AG657">
        <v>1</v>
      </c>
      <c r="AH657">
        <v>0</v>
      </c>
    </row>
    <row r="658" spans="1:34" x14ac:dyDescent="0.3">
      <c r="A658" t="s">
        <v>3454</v>
      </c>
      <c r="B658" t="s">
        <v>3596</v>
      </c>
      <c r="D658" t="s">
        <v>1234</v>
      </c>
      <c r="I658" t="s">
        <v>4713</v>
      </c>
      <c r="L658" t="s">
        <v>25</v>
      </c>
      <c r="M658" t="s">
        <v>1234</v>
      </c>
      <c r="N658" t="s">
        <v>4542</v>
      </c>
      <c r="O658" t="s">
        <v>4863</v>
      </c>
      <c r="P658" t="s">
        <v>5032</v>
      </c>
      <c r="Q658">
        <v>1</v>
      </c>
      <c r="R658">
        <v>87</v>
      </c>
      <c r="S658">
        <v>0</v>
      </c>
      <c r="V658" t="s">
        <v>4546</v>
      </c>
      <c r="AA658" t="s">
        <v>4718</v>
      </c>
      <c r="AB658" t="s">
        <v>4719</v>
      </c>
      <c r="AC658">
        <v>1</v>
      </c>
      <c r="AD658">
        <v>1</v>
      </c>
      <c r="AE658">
        <v>1</v>
      </c>
      <c r="AF658">
        <v>1</v>
      </c>
      <c r="AG658">
        <v>1</v>
      </c>
      <c r="AH658">
        <v>0</v>
      </c>
    </row>
    <row r="659" spans="1:34" x14ac:dyDescent="0.3">
      <c r="A659" t="s">
        <v>3456</v>
      </c>
      <c r="B659" t="s">
        <v>3597</v>
      </c>
      <c r="D659" t="s">
        <v>1303</v>
      </c>
      <c r="I659" t="s">
        <v>4713</v>
      </c>
      <c r="L659" t="s">
        <v>25</v>
      </c>
      <c r="M659" t="s">
        <v>1303</v>
      </c>
      <c r="N659" t="s">
        <v>4732</v>
      </c>
      <c r="O659" t="s">
        <v>4733</v>
      </c>
      <c r="P659" t="s">
        <v>4756</v>
      </c>
      <c r="Q659">
        <v>1</v>
      </c>
      <c r="R659">
        <v>88</v>
      </c>
      <c r="S659">
        <v>0</v>
      </c>
      <c r="V659" t="s">
        <v>4717</v>
      </c>
      <c r="AC659">
        <v>1</v>
      </c>
      <c r="AD659">
        <v>1</v>
      </c>
      <c r="AE659">
        <v>1</v>
      </c>
      <c r="AF659">
        <v>1</v>
      </c>
      <c r="AG659">
        <v>1</v>
      </c>
      <c r="AH659">
        <v>0</v>
      </c>
    </row>
    <row r="660" spans="1:34" x14ac:dyDescent="0.3">
      <c r="A660" t="s">
        <v>5701</v>
      </c>
      <c r="B660" t="s">
        <v>3553</v>
      </c>
      <c r="C660" t="s">
        <v>4712</v>
      </c>
      <c r="D660" t="s">
        <v>258</v>
      </c>
      <c r="E660" t="s">
        <v>73</v>
      </c>
      <c r="F660" t="s">
        <v>22</v>
      </c>
      <c r="I660" t="s">
        <v>4713</v>
      </c>
      <c r="J660" t="s">
        <v>4480</v>
      </c>
      <c r="K660" t="s">
        <v>4654</v>
      </c>
      <c r="L660" t="s">
        <v>25</v>
      </c>
      <c r="M660" t="s">
        <v>258</v>
      </c>
      <c r="N660" t="s">
        <v>4732</v>
      </c>
      <c r="O660" t="s">
        <v>4733</v>
      </c>
      <c r="P660" t="s">
        <v>4887</v>
      </c>
      <c r="Q660">
        <v>1</v>
      </c>
      <c r="R660">
        <v>65</v>
      </c>
      <c r="S660">
        <v>0</v>
      </c>
      <c r="V660" t="s">
        <v>4762</v>
      </c>
      <c r="AA660" t="s">
        <v>4766</v>
      </c>
      <c r="AB660" t="s">
        <v>5079</v>
      </c>
      <c r="AC660">
        <v>1</v>
      </c>
      <c r="AD660">
        <v>1</v>
      </c>
      <c r="AF660">
        <v>1</v>
      </c>
      <c r="AG660">
        <v>1</v>
      </c>
      <c r="AH660">
        <v>0</v>
      </c>
    </row>
    <row r="661" spans="1:34" x14ac:dyDescent="0.3">
      <c r="A661" t="s">
        <v>3458</v>
      </c>
      <c r="B661" t="s">
        <v>3598</v>
      </c>
      <c r="D661" t="s">
        <v>55</v>
      </c>
      <c r="I661" t="s">
        <v>4713</v>
      </c>
      <c r="L661" t="s">
        <v>25</v>
      </c>
      <c r="M661" t="s">
        <v>55</v>
      </c>
      <c r="N661" t="s">
        <v>4732</v>
      </c>
      <c r="O661" t="s">
        <v>4742</v>
      </c>
      <c r="P661" t="s">
        <v>5050</v>
      </c>
      <c r="Q661">
        <v>1</v>
      </c>
      <c r="R661">
        <v>89</v>
      </c>
      <c r="S661">
        <v>0</v>
      </c>
      <c r="V661" t="s">
        <v>4744</v>
      </c>
      <c r="AC661">
        <v>1</v>
      </c>
      <c r="AD661">
        <v>1</v>
      </c>
      <c r="AE661">
        <v>1</v>
      </c>
      <c r="AF661">
        <v>1</v>
      </c>
      <c r="AG661">
        <v>1</v>
      </c>
      <c r="AH661">
        <v>0</v>
      </c>
    </row>
    <row r="662" spans="1:34" x14ac:dyDescent="0.3">
      <c r="A662" t="s">
        <v>3460</v>
      </c>
      <c r="B662" t="s">
        <v>3461</v>
      </c>
      <c r="D662" t="s">
        <v>1758</v>
      </c>
      <c r="I662" t="s">
        <v>4713</v>
      </c>
      <c r="L662" t="s">
        <v>25</v>
      </c>
      <c r="M662" t="s">
        <v>1758</v>
      </c>
      <c r="N662" t="s">
        <v>4732</v>
      </c>
      <c r="O662" t="s">
        <v>4733</v>
      </c>
      <c r="P662" t="s">
        <v>5285</v>
      </c>
      <c r="Q662">
        <v>1</v>
      </c>
      <c r="R662">
        <v>90</v>
      </c>
      <c r="S662">
        <v>0</v>
      </c>
      <c r="V662" t="s">
        <v>4544</v>
      </c>
      <c r="AC662">
        <v>1</v>
      </c>
      <c r="AD662">
        <v>1</v>
      </c>
      <c r="AE662">
        <v>1</v>
      </c>
      <c r="AF662">
        <v>1</v>
      </c>
      <c r="AG662">
        <v>1</v>
      </c>
      <c r="AH662">
        <v>0</v>
      </c>
    </row>
    <row r="663" spans="1:34" x14ac:dyDescent="0.3">
      <c r="A663" t="s">
        <v>3462</v>
      </c>
      <c r="B663" t="s">
        <v>3463</v>
      </c>
      <c r="D663" t="s">
        <v>258</v>
      </c>
      <c r="I663" t="s">
        <v>4713</v>
      </c>
      <c r="L663" t="s">
        <v>25</v>
      </c>
      <c r="M663" t="s">
        <v>258</v>
      </c>
      <c r="N663" t="s">
        <v>4732</v>
      </c>
      <c r="O663" t="s">
        <v>4733</v>
      </c>
      <c r="P663" t="s">
        <v>4756</v>
      </c>
      <c r="Q663">
        <v>1</v>
      </c>
      <c r="R663">
        <v>91</v>
      </c>
      <c r="S663">
        <v>0</v>
      </c>
      <c r="V663" t="s">
        <v>4762</v>
      </c>
      <c r="AC663">
        <v>1</v>
      </c>
      <c r="AD663">
        <v>1</v>
      </c>
      <c r="AE663">
        <v>1</v>
      </c>
      <c r="AF663">
        <v>1</v>
      </c>
      <c r="AG663">
        <v>1</v>
      </c>
      <c r="AH663">
        <v>0</v>
      </c>
    </row>
    <row r="664" spans="1:34" x14ac:dyDescent="0.3">
      <c r="A664" t="s">
        <v>5702</v>
      </c>
      <c r="B664" t="s">
        <v>5703</v>
      </c>
      <c r="D664" t="s">
        <v>625</v>
      </c>
      <c r="I664" t="s">
        <v>4713</v>
      </c>
      <c r="L664" t="s">
        <v>25</v>
      </c>
      <c r="M664" t="s">
        <v>625</v>
      </c>
      <c r="N664" t="s">
        <v>4732</v>
      </c>
      <c r="O664" t="s">
        <v>4733</v>
      </c>
      <c r="P664" t="s">
        <v>4756</v>
      </c>
      <c r="Q664">
        <v>1</v>
      </c>
      <c r="R664">
        <v>92</v>
      </c>
      <c r="S664">
        <v>0</v>
      </c>
      <c r="V664" t="s">
        <v>4544</v>
      </c>
      <c r="AC664">
        <v>1</v>
      </c>
      <c r="AD664">
        <v>1</v>
      </c>
      <c r="AE664">
        <v>1</v>
      </c>
      <c r="AF664">
        <v>1</v>
      </c>
      <c r="AG664">
        <v>1</v>
      </c>
      <c r="AH664">
        <v>0</v>
      </c>
    </row>
    <row r="665" spans="1:34" x14ac:dyDescent="0.3">
      <c r="A665" t="s">
        <v>3464</v>
      </c>
      <c r="B665" t="s">
        <v>5704</v>
      </c>
      <c r="D665" t="s">
        <v>94</v>
      </c>
      <c r="I665" t="s">
        <v>4713</v>
      </c>
      <c r="L665" t="s">
        <v>25</v>
      </c>
      <c r="M665" t="s">
        <v>94</v>
      </c>
      <c r="N665" t="s">
        <v>4732</v>
      </c>
      <c r="O665" t="s">
        <v>4733</v>
      </c>
      <c r="P665" t="s">
        <v>5285</v>
      </c>
      <c r="Q665">
        <v>1</v>
      </c>
      <c r="R665">
        <v>93</v>
      </c>
      <c r="S665">
        <v>0</v>
      </c>
      <c r="V665" t="s">
        <v>4544</v>
      </c>
      <c r="AC665">
        <v>1</v>
      </c>
      <c r="AD665">
        <v>1</v>
      </c>
      <c r="AE665">
        <v>1</v>
      </c>
      <c r="AF665">
        <v>1</v>
      </c>
      <c r="AG665">
        <v>1</v>
      </c>
      <c r="AH665">
        <v>0</v>
      </c>
    </row>
    <row r="666" spans="1:34" x14ac:dyDescent="0.3">
      <c r="A666" t="s">
        <v>3466</v>
      </c>
      <c r="B666" t="s">
        <v>3601</v>
      </c>
      <c r="D666" t="s">
        <v>1801</v>
      </c>
      <c r="I666" t="s">
        <v>4713</v>
      </c>
      <c r="L666" t="s">
        <v>25</v>
      </c>
      <c r="M666" t="s">
        <v>1801</v>
      </c>
      <c r="N666" t="s">
        <v>4732</v>
      </c>
      <c r="O666" t="s">
        <v>4733</v>
      </c>
      <c r="P666" t="s">
        <v>4756</v>
      </c>
      <c r="Q666">
        <v>1</v>
      </c>
      <c r="R666">
        <v>94</v>
      </c>
      <c r="S666">
        <v>0</v>
      </c>
      <c r="V666" t="s">
        <v>4544</v>
      </c>
      <c r="AC666">
        <v>1</v>
      </c>
      <c r="AD666">
        <v>1</v>
      </c>
      <c r="AE666">
        <v>1</v>
      </c>
      <c r="AF666">
        <v>1</v>
      </c>
      <c r="AG666">
        <v>1</v>
      </c>
      <c r="AH666">
        <v>0</v>
      </c>
    </row>
    <row r="667" spans="1:34" x14ac:dyDescent="0.3">
      <c r="A667" t="s">
        <v>3468</v>
      </c>
      <c r="B667" t="s">
        <v>3603</v>
      </c>
      <c r="D667" t="s">
        <v>94</v>
      </c>
      <c r="I667" t="s">
        <v>4713</v>
      </c>
      <c r="L667" t="s">
        <v>25</v>
      </c>
      <c r="M667" t="s">
        <v>94</v>
      </c>
      <c r="N667" t="s">
        <v>4732</v>
      </c>
      <c r="O667" t="s">
        <v>4733</v>
      </c>
      <c r="P667" t="s">
        <v>4756</v>
      </c>
      <c r="Q667">
        <v>1</v>
      </c>
      <c r="R667">
        <v>83</v>
      </c>
      <c r="S667">
        <v>0</v>
      </c>
      <c r="V667" t="s">
        <v>4544</v>
      </c>
      <c r="AC667">
        <v>1</v>
      </c>
      <c r="AD667">
        <v>1</v>
      </c>
      <c r="AE667">
        <v>1</v>
      </c>
      <c r="AF667">
        <v>1</v>
      </c>
      <c r="AG667">
        <v>1</v>
      </c>
      <c r="AH667">
        <v>0</v>
      </c>
    </row>
    <row r="668" spans="1:34" x14ac:dyDescent="0.3">
      <c r="A668" t="s">
        <v>5705</v>
      </c>
      <c r="B668" t="s">
        <v>3602</v>
      </c>
      <c r="D668" t="s">
        <v>94</v>
      </c>
      <c r="I668" t="s">
        <v>4713</v>
      </c>
      <c r="L668" t="s">
        <v>25</v>
      </c>
      <c r="M668" t="s">
        <v>94</v>
      </c>
      <c r="N668" t="s">
        <v>4732</v>
      </c>
      <c r="O668" t="s">
        <v>4733</v>
      </c>
      <c r="P668" t="s">
        <v>4756</v>
      </c>
      <c r="Q668">
        <v>1</v>
      </c>
      <c r="R668">
        <v>82</v>
      </c>
      <c r="S668">
        <v>0</v>
      </c>
      <c r="V668" t="s">
        <v>4544</v>
      </c>
      <c r="AC668">
        <v>1</v>
      </c>
      <c r="AD668">
        <v>1</v>
      </c>
      <c r="AE668">
        <v>1</v>
      </c>
      <c r="AF668">
        <v>1</v>
      </c>
      <c r="AG668">
        <v>1</v>
      </c>
      <c r="AH668">
        <v>0</v>
      </c>
    </row>
    <row r="669" spans="1:34" x14ac:dyDescent="0.3">
      <c r="A669" t="s">
        <v>3469</v>
      </c>
      <c r="B669" t="s">
        <v>3604</v>
      </c>
      <c r="D669" t="s">
        <v>1208</v>
      </c>
      <c r="I669" t="s">
        <v>4713</v>
      </c>
      <c r="L669" t="s">
        <v>25</v>
      </c>
      <c r="M669" t="s">
        <v>1208</v>
      </c>
      <c r="N669" t="s">
        <v>4538</v>
      </c>
      <c r="O669" t="s">
        <v>4765</v>
      </c>
      <c r="P669" t="s">
        <v>4896</v>
      </c>
      <c r="Q669">
        <v>1</v>
      </c>
      <c r="R669">
        <v>95</v>
      </c>
      <c r="S669">
        <v>0</v>
      </c>
      <c r="V669" t="s">
        <v>4544</v>
      </c>
      <c r="AC669">
        <v>1</v>
      </c>
      <c r="AD669">
        <v>1</v>
      </c>
      <c r="AE669">
        <v>1</v>
      </c>
      <c r="AF669">
        <v>1</v>
      </c>
      <c r="AG669">
        <v>1</v>
      </c>
      <c r="AH669">
        <v>0</v>
      </c>
    </row>
    <row r="670" spans="1:34" x14ac:dyDescent="0.3">
      <c r="A670" t="s">
        <v>5706</v>
      </c>
      <c r="B670" t="s">
        <v>3606</v>
      </c>
      <c r="D670" t="s">
        <v>2801</v>
      </c>
      <c r="I670" t="s">
        <v>4713</v>
      </c>
      <c r="L670" t="s">
        <v>25</v>
      </c>
      <c r="M670" t="s">
        <v>2801</v>
      </c>
      <c r="N670" t="s">
        <v>4538</v>
      </c>
      <c r="O670" t="s">
        <v>4765</v>
      </c>
      <c r="P670" t="s">
        <v>5686</v>
      </c>
      <c r="Q670">
        <v>1</v>
      </c>
      <c r="R670">
        <v>96</v>
      </c>
      <c r="S670">
        <v>0</v>
      </c>
      <c r="V670" t="s">
        <v>4546</v>
      </c>
      <c r="AA670" t="s">
        <v>4718</v>
      </c>
      <c r="AB670" t="s">
        <v>4719</v>
      </c>
      <c r="AC670">
        <v>1</v>
      </c>
      <c r="AD670">
        <v>1</v>
      </c>
      <c r="AE670">
        <v>1</v>
      </c>
      <c r="AF670">
        <v>1</v>
      </c>
      <c r="AG670">
        <v>1</v>
      </c>
      <c r="AH670">
        <v>0</v>
      </c>
    </row>
    <row r="671" spans="1:34" x14ac:dyDescent="0.3">
      <c r="A671" t="s">
        <v>5707</v>
      </c>
      <c r="B671" t="s">
        <v>3554</v>
      </c>
      <c r="C671" t="s">
        <v>4712</v>
      </c>
      <c r="D671" t="s">
        <v>251</v>
      </c>
      <c r="E671" t="s">
        <v>73</v>
      </c>
      <c r="F671" t="s">
        <v>22</v>
      </c>
      <c r="I671" t="s">
        <v>4713</v>
      </c>
      <c r="J671" t="s">
        <v>4480</v>
      </c>
      <c r="K671" t="s">
        <v>4654</v>
      </c>
      <c r="L671" t="s">
        <v>25</v>
      </c>
      <c r="M671" t="s">
        <v>251</v>
      </c>
      <c r="N671" t="s">
        <v>4537</v>
      </c>
      <c r="O671" t="s">
        <v>4924</v>
      </c>
      <c r="P671" t="s">
        <v>4931</v>
      </c>
      <c r="Q671">
        <v>1</v>
      </c>
      <c r="R671">
        <v>56</v>
      </c>
      <c r="S671">
        <v>0</v>
      </c>
      <c r="V671" t="s">
        <v>4762</v>
      </c>
      <c r="AA671" t="s">
        <v>4766</v>
      </c>
      <c r="AB671" t="s">
        <v>4761</v>
      </c>
      <c r="AC671">
        <v>1</v>
      </c>
      <c r="AD671">
        <v>1</v>
      </c>
      <c r="AF671">
        <v>1</v>
      </c>
      <c r="AG671">
        <v>1</v>
      </c>
      <c r="AH671">
        <v>0</v>
      </c>
    </row>
    <row r="672" spans="1:34" x14ac:dyDescent="0.3">
      <c r="A672" t="s">
        <v>3471</v>
      </c>
      <c r="B672" t="s">
        <v>3472</v>
      </c>
      <c r="D672" t="s">
        <v>1654</v>
      </c>
      <c r="I672" t="s">
        <v>4713</v>
      </c>
      <c r="L672" t="s">
        <v>25</v>
      </c>
      <c r="M672" t="s">
        <v>1654</v>
      </c>
      <c r="N672" t="s">
        <v>4542</v>
      </c>
      <c r="O672" t="s">
        <v>4924</v>
      </c>
      <c r="P672" t="s">
        <v>5096</v>
      </c>
      <c r="Q672">
        <v>1</v>
      </c>
      <c r="R672">
        <v>97</v>
      </c>
      <c r="S672">
        <v>0</v>
      </c>
      <c r="V672" t="s">
        <v>4546</v>
      </c>
      <c r="AA672" t="s">
        <v>5046</v>
      </c>
      <c r="AB672" t="s">
        <v>5047</v>
      </c>
      <c r="AC672">
        <v>1</v>
      </c>
      <c r="AD672">
        <v>1</v>
      </c>
      <c r="AE672">
        <v>1</v>
      </c>
      <c r="AF672">
        <v>1</v>
      </c>
      <c r="AG672">
        <v>1</v>
      </c>
      <c r="AH672">
        <v>0</v>
      </c>
    </row>
    <row r="673" spans="1:34" x14ac:dyDescent="0.3">
      <c r="A673" t="s">
        <v>5708</v>
      </c>
      <c r="B673" t="s">
        <v>3605</v>
      </c>
      <c r="D673" t="s">
        <v>210</v>
      </c>
      <c r="I673" t="s">
        <v>4713</v>
      </c>
      <c r="L673" t="s">
        <v>25</v>
      </c>
      <c r="M673" t="s">
        <v>210</v>
      </c>
      <c r="N673" t="s">
        <v>4541</v>
      </c>
      <c r="O673" t="s">
        <v>4722</v>
      </c>
      <c r="P673" t="s">
        <v>4795</v>
      </c>
      <c r="Q673">
        <v>1</v>
      </c>
      <c r="R673">
        <v>98</v>
      </c>
      <c r="S673">
        <v>0</v>
      </c>
      <c r="V673" t="s">
        <v>4735</v>
      </c>
      <c r="AA673" t="s">
        <v>4738</v>
      </c>
      <c r="AB673" t="s">
        <v>5689</v>
      </c>
      <c r="AC673">
        <v>1</v>
      </c>
      <c r="AD673">
        <v>1</v>
      </c>
      <c r="AE673">
        <v>1</v>
      </c>
      <c r="AF673">
        <v>1</v>
      </c>
      <c r="AG673">
        <v>1</v>
      </c>
      <c r="AH673">
        <v>0</v>
      </c>
    </row>
    <row r="674" spans="1:34" x14ac:dyDescent="0.3">
      <c r="A674" t="s">
        <v>3473</v>
      </c>
      <c r="B674" t="s">
        <v>3474</v>
      </c>
      <c r="D674" t="s">
        <v>1215</v>
      </c>
      <c r="I674" t="s">
        <v>4713</v>
      </c>
      <c r="L674" t="s">
        <v>25</v>
      </c>
      <c r="M674" t="s">
        <v>1215</v>
      </c>
      <c r="N674" t="s">
        <v>4732</v>
      </c>
      <c r="O674" t="s">
        <v>4733</v>
      </c>
      <c r="P674" t="s">
        <v>4756</v>
      </c>
      <c r="Q674">
        <v>1</v>
      </c>
      <c r="R674">
        <v>82</v>
      </c>
      <c r="S674">
        <v>0</v>
      </c>
      <c r="V674" t="s">
        <v>4544</v>
      </c>
      <c r="AC674">
        <v>1</v>
      </c>
      <c r="AD674">
        <v>1</v>
      </c>
      <c r="AE674">
        <v>1</v>
      </c>
      <c r="AF674">
        <v>1</v>
      </c>
      <c r="AG674">
        <v>1</v>
      </c>
      <c r="AH674">
        <v>0</v>
      </c>
    </row>
    <row r="675" spans="1:34" x14ac:dyDescent="0.3">
      <c r="A675" t="s">
        <v>3475</v>
      </c>
      <c r="B675" t="s">
        <v>3476</v>
      </c>
      <c r="D675" t="s">
        <v>1234</v>
      </c>
      <c r="I675" t="s">
        <v>4713</v>
      </c>
      <c r="L675" t="s">
        <v>25</v>
      </c>
      <c r="M675" t="s">
        <v>1234</v>
      </c>
      <c r="N675" t="s">
        <v>4542</v>
      </c>
      <c r="O675" t="s">
        <v>4863</v>
      </c>
      <c r="P675" t="s">
        <v>5032</v>
      </c>
      <c r="Q675">
        <v>1</v>
      </c>
      <c r="R675">
        <v>86</v>
      </c>
      <c r="S675">
        <v>0</v>
      </c>
      <c r="V675" t="s">
        <v>4546</v>
      </c>
      <c r="AA675" t="s">
        <v>4718</v>
      </c>
      <c r="AB675" t="s">
        <v>4719</v>
      </c>
      <c r="AC675">
        <v>1</v>
      </c>
      <c r="AD675">
        <v>1</v>
      </c>
      <c r="AE675">
        <v>1</v>
      </c>
      <c r="AF675">
        <v>1</v>
      </c>
      <c r="AG675">
        <v>1</v>
      </c>
      <c r="AH675">
        <v>0</v>
      </c>
    </row>
    <row r="676" spans="1:34" x14ac:dyDescent="0.3">
      <c r="A676" t="s">
        <v>5709</v>
      </c>
      <c r="B676" t="s">
        <v>5710</v>
      </c>
      <c r="D676" t="s">
        <v>454</v>
      </c>
      <c r="I676" t="s">
        <v>4713</v>
      </c>
      <c r="L676" t="s">
        <v>25</v>
      </c>
      <c r="M676" t="s">
        <v>454</v>
      </c>
      <c r="N676" t="s">
        <v>4542</v>
      </c>
      <c r="O676" t="s">
        <v>4790</v>
      </c>
      <c r="P676" t="s">
        <v>4791</v>
      </c>
      <c r="Q676">
        <v>1</v>
      </c>
      <c r="S676">
        <v>0</v>
      </c>
      <c r="V676" t="s">
        <v>4546</v>
      </c>
      <c r="AA676" t="s">
        <v>4856</v>
      </c>
      <c r="AB676" t="s">
        <v>4857</v>
      </c>
      <c r="AC676">
        <v>1</v>
      </c>
      <c r="AD676">
        <v>1</v>
      </c>
      <c r="AE676">
        <v>1</v>
      </c>
      <c r="AF676">
        <v>1</v>
      </c>
      <c r="AG676">
        <v>1</v>
      </c>
      <c r="AH676">
        <v>0</v>
      </c>
    </row>
    <row r="677" spans="1:34" x14ac:dyDescent="0.3">
      <c r="A677" t="s">
        <v>5711</v>
      </c>
      <c r="B677" t="s">
        <v>5712</v>
      </c>
      <c r="D677" t="s">
        <v>55</v>
      </c>
      <c r="I677" t="s">
        <v>4713</v>
      </c>
      <c r="L677" t="s">
        <v>25</v>
      </c>
      <c r="M677" t="s">
        <v>55</v>
      </c>
      <c r="N677" t="s">
        <v>4732</v>
      </c>
      <c r="O677" t="s">
        <v>4742</v>
      </c>
      <c r="Q677">
        <v>1</v>
      </c>
      <c r="R677">
        <v>481</v>
      </c>
      <c r="S677">
        <v>0</v>
      </c>
      <c r="V677" t="s">
        <v>4744</v>
      </c>
      <c r="AC677">
        <v>1</v>
      </c>
      <c r="AD677">
        <v>1</v>
      </c>
      <c r="AE677">
        <v>1</v>
      </c>
      <c r="AF677">
        <v>1</v>
      </c>
      <c r="AG677">
        <v>1</v>
      </c>
      <c r="AH677">
        <v>1</v>
      </c>
    </row>
    <row r="678" spans="1:34" x14ac:dyDescent="0.3">
      <c r="A678" t="s">
        <v>5713</v>
      </c>
      <c r="B678" t="s">
        <v>5714</v>
      </c>
      <c r="D678" t="s">
        <v>625</v>
      </c>
      <c r="I678" t="s">
        <v>4713</v>
      </c>
      <c r="L678" t="s">
        <v>25</v>
      </c>
      <c r="M678" t="s">
        <v>625</v>
      </c>
      <c r="N678" t="s">
        <v>4732</v>
      </c>
      <c r="O678" t="s">
        <v>4733</v>
      </c>
      <c r="Q678">
        <v>1</v>
      </c>
      <c r="R678">
        <v>482</v>
      </c>
      <c r="S678">
        <v>0</v>
      </c>
      <c r="V678" t="s">
        <v>4544</v>
      </c>
      <c r="AC678">
        <v>1</v>
      </c>
      <c r="AD678">
        <v>1</v>
      </c>
      <c r="AE678">
        <v>1</v>
      </c>
      <c r="AF678">
        <v>1</v>
      </c>
      <c r="AG678">
        <v>1</v>
      </c>
      <c r="AH678">
        <v>1</v>
      </c>
    </row>
    <row r="679" spans="1:34" x14ac:dyDescent="0.3">
      <c r="A679" t="s">
        <v>5715</v>
      </c>
      <c r="B679" t="s">
        <v>5716</v>
      </c>
      <c r="D679" t="s">
        <v>1215</v>
      </c>
      <c r="I679" t="s">
        <v>4713</v>
      </c>
      <c r="L679" t="s">
        <v>25</v>
      </c>
      <c r="M679" t="s">
        <v>1215</v>
      </c>
      <c r="N679" t="s">
        <v>4732</v>
      </c>
      <c r="O679" t="s">
        <v>4733</v>
      </c>
      <c r="Q679">
        <v>1</v>
      </c>
      <c r="R679">
        <v>483</v>
      </c>
      <c r="S679">
        <v>0</v>
      </c>
      <c r="V679" t="s">
        <v>4544</v>
      </c>
      <c r="AC679">
        <v>1</v>
      </c>
      <c r="AD679">
        <v>1</v>
      </c>
      <c r="AE679">
        <v>1</v>
      </c>
      <c r="AF679">
        <v>1</v>
      </c>
      <c r="AG679">
        <v>1</v>
      </c>
      <c r="AH679">
        <v>1</v>
      </c>
    </row>
    <row r="680" spans="1:34" x14ac:dyDescent="0.3">
      <c r="A680" t="s">
        <v>5717</v>
      </c>
      <c r="B680" t="s">
        <v>5718</v>
      </c>
      <c r="D680" t="s">
        <v>1208</v>
      </c>
      <c r="I680" t="s">
        <v>4713</v>
      </c>
      <c r="L680" t="s">
        <v>25</v>
      </c>
      <c r="M680" t="s">
        <v>1208</v>
      </c>
      <c r="N680" t="s">
        <v>4732</v>
      </c>
      <c r="O680" t="s">
        <v>4733</v>
      </c>
      <c r="Q680">
        <v>1</v>
      </c>
      <c r="R680">
        <v>484</v>
      </c>
      <c r="S680">
        <v>0</v>
      </c>
      <c r="V680" t="s">
        <v>4544</v>
      </c>
      <c r="AC680">
        <v>1</v>
      </c>
      <c r="AD680">
        <v>1</v>
      </c>
      <c r="AE680">
        <v>1</v>
      </c>
      <c r="AF680">
        <v>1</v>
      </c>
      <c r="AG680">
        <v>1</v>
      </c>
      <c r="AH680">
        <v>1</v>
      </c>
    </row>
    <row r="681" spans="1:34" x14ac:dyDescent="0.3">
      <c r="A681" t="s">
        <v>5719</v>
      </c>
      <c r="B681" t="s">
        <v>5720</v>
      </c>
      <c r="D681" t="s">
        <v>625</v>
      </c>
      <c r="I681" t="s">
        <v>4713</v>
      </c>
      <c r="L681" t="s">
        <v>25</v>
      </c>
      <c r="M681" t="s">
        <v>625</v>
      </c>
      <c r="N681" t="s">
        <v>4541</v>
      </c>
      <c r="O681" t="s">
        <v>4765</v>
      </c>
      <c r="Q681">
        <v>1</v>
      </c>
      <c r="R681">
        <v>485</v>
      </c>
      <c r="S681">
        <v>0</v>
      </c>
      <c r="V681" t="s">
        <v>4544</v>
      </c>
      <c r="AC681">
        <v>1</v>
      </c>
      <c r="AD681">
        <v>1</v>
      </c>
      <c r="AE681">
        <v>1</v>
      </c>
      <c r="AF681">
        <v>1</v>
      </c>
      <c r="AG681">
        <v>1</v>
      </c>
      <c r="AH681">
        <v>1</v>
      </c>
    </row>
    <row r="682" spans="1:34" x14ac:dyDescent="0.3">
      <c r="A682" t="s">
        <v>5721</v>
      </c>
      <c r="B682" t="s">
        <v>3556</v>
      </c>
      <c r="C682" t="s">
        <v>4712</v>
      </c>
      <c r="D682" t="s">
        <v>1796</v>
      </c>
      <c r="E682" t="s">
        <v>73</v>
      </c>
      <c r="F682" t="s">
        <v>22</v>
      </c>
      <c r="I682" t="s">
        <v>4713</v>
      </c>
      <c r="J682" t="s">
        <v>4480</v>
      </c>
      <c r="K682" t="s">
        <v>4654</v>
      </c>
      <c r="L682" t="s">
        <v>25</v>
      </c>
      <c r="M682" t="s">
        <v>1796</v>
      </c>
      <c r="N682" t="s">
        <v>4537</v>
      </c>
      <c r="O682" t="s">
        <v>4924</v>
      </c>
      <c r="Q682">
        <v>1</v>
      </c>
      <c r="R682">
        <v>255</v>
      </c>
      <c r="S682">
        <v>0</v>
      </c>
      <c r="V682" t="s">
        <v>4544</v>
      </c>
      <c r="AA682" t="s">
        <v>4724</v>
      </c>
      <c r="AB682" t="s">
        <v>4885</v>
      </c>
      <c r="AD682">
        <v>1</v>
      </c>
      <c r="AF682">
        <v>1</v>
      </c>
      <c r="AG682">
        <v>1</v>
      </c>
      <c r="AH682">
        <v>0</v>
      </c>
    </row>
    <row r="683" spans="1:34" x14ac:dyDescent="0.3">
      <c r="A683" t="s">
        <v>5722</v>
      </c>
      <c r="B683" t="s">
        <v>5723</v>
      </c>
      <c r="D683" t="s">
        <v>625</v>
      </c>
      <c r="I683" t="s">
        <v>4713</v>
      </c>
      <c r="L683" t="s">
        <v>25</v>
      </c>
      <c r="M683" t="s">
        <v>625</v>
      </c>
      <c r="N683" t="s">
        <v>4541</v>
      </c>
      <c r="O683" t="s">
        <v>4765</v>
      </c>
      <c r="Q683">
        <v>1</v>
      </c>
      <c r="R683">
        <v>486</v>
      </c>
      <c r="S683">
        <v>0</v>
      </c>
      <c r="V683" t="s">
        <v>4544</v>
      </c>
      <c r="AC683">
        <v>1</v>
      </c>
      <c r="AD683">
        <v>1</v>
      </c>
      <c r="AE683">
        <v>1</v>
      </c>
      <c r="AF683">
        <v>1</v>
      </c>
      <c r="AG683">
        <v>1</v>
      </c>
      <c r="AH683">
        <v>1</v>
      </c>
    </row>
    <row r="684" spans="1:34" x14ac:dyDescent="0.3">
      <c r="A684" t="s">
        <v>3477</v>
      </c>
      <c r="B684" t="s">
        <v>3478</v>
      </c>
      <c r="D684" t="s">
        <v>224</v>
      </c>
      <c r="I684" t="s">
        <v>4713</v>
      </c>
      <c r="L684" t="s">
        <v>25</v>
      </c>
      <c r="M684" t="s">
        <v>224</v>
      </c>
      <c r="N684" t="s">
        <v>4541</v>
      </c>
      <c r="O684" t="s">
        <v>4765</v>
      </c>
      <c r="Q684">
        <v>1</v>
      </c>
      <c r="R684">
        <v>487</v>
      </c>
      <c r="S684">
        <v>0</v>
      </c>
      <c r="V684" t="s">
        <v>4735</v>
      </c>
      <c r="AC684">
        <v>1</v>
      </c>
      <c r="AD684">
        <v>1</v>
      </c>
      <c r="AE684">
        <v>1</v>
      </c>
      <c r="AF684">
        <v>1</v>
      </c>
      <c r="AG684">
        <v>1</v>
      </c>
      <c r="AH684">
        <v>1</v>
      </c>
    </row>
    <row r="685" spans="1:34" x14ac:dyDescent="0.3">
      <c r="A685" t="s">
        <v>3479</v>
      </c>
      <c r="B685" t="s">
        <v>3480</v>
      </c>
      <c r="D685" t="s">
        <v>1234</v>
      </c>
      <c r="I685" t="s">
        <v>4713</v>
      </c>
      <c r="L685" t="s">
        <v>25</v>
      </c>
      <c r="M685" t="s">
        <v>1234</v>
      </c>
      <c r="N685" t="s">
        <v>4542</v>
      </c>
      <c r="O685" t="s">
        <v>4863</v>
      </c>
      <c r="Q685">
        <v>1</v>
      </c>
      <c r="R685">
        <v>488</v>
      </c>
      <c r="S685">
        <v>0</v>
      </c>
      <c r="V685" t="s">
        <v>4546</v>
      </c>
      <c r="AC685">
        <v>1</v>
      </c>
      <c r="AD685">
        <v>1</v>
      </c>
      <c r="AE685">
        <v>1</v>
      </c>
      <c r="AF685">
        <v>1</v>
      </c>
      <c r="AG685">
        <v>1</v>
      </c>
      <c r="AH685">
        <v>1</v>
      </c>
    </row>
    <row r="686" spans="1:34" x14ac:dyDescent="0.3">
      <c r="A686" t="s">
        <v>3481</v>
      </c>
      <c r="B686" t="s">
        <v>3482</v>
      </c>
      <c r="D686" t="s">
        <v>625</v>
      </c>
      <c r="I686" t="s">
        <v>4713</v>
      </c>
      <c r="L686" t="s">
        <v>25</v>
      </c>
      <c r="M686" t="s">
        <v>625</v>
      </c>
      <c r="N686" t="s">
        <v>4541</v>
      </c>
      <c r="O686" t="s">
        <v>4765</v>
      </c>
      <c r="Q686">
        <v>1</v>
      </c>
      <c r="R686">
        <v>489</v>
      </c>
      <c r="S686">
        <v>0</v>
      </c>
      <c r="V686" t="s">
        <v>4544</v>
      </c>
      <c r="AC686">
        <v>1</v>
      </c>
      <c r="AD686">
        <v>1</v>
      </c>
      <c r="AE686">
        <v>1</v>
      </c>
      <c r="AF686">
        <v>1</v>
      </c>
      <c r="AG686">
        <v>1</v>
      </c>
      <c r="AH686">
        <v>1</v>
      </c>
    </row>
    <row r="687" spans="1:34" x14ac:dyDescent="0.3">
      <c r="A687" t="s">
        <v>3483</v>
      </c>
      <c r="B687" t="s">
        <v>3484</v>
      </c>
      <c r="D687" t="s">
        <v>454</v>
      </c>
      <c r="I687" t="s">
        <v>4713</v>
      </c>
      <c r="L687" t="s">
        <v>25</v>
      </c>
      <c r="M687" t="s">
        <v>454</v>
      </c>
      <c r="N687" t="s">
        <v>4732</v>
      </c>
      <c r="O687" t="s">
        <v>4733</v>
      </c>
      <c r="Q687">
        <v>1</v>
      </c>
      <c r="R687">
        <v>490</v>
      </c>
      <c r="S687">
        <v>0</v>
      </c>
      <c r="V687" t="s">
        <v>4546</v>
      </c>
      <c r="AC687">
        <v>1</v>
      </c>
      <c r="AD687">
        <v>1</v>
      </c>
      <c r="AE687">
        <v>1</v>
      </c>
      <c r="AF687">
        <v>1</v>
      </c>
      <c r="AG687">
        <v>1</v>
      </c>
      <c r="AH687">
        <v>1</v>
      </c>
    </row>
    <row r="688" spans="1:34" x14ac:dyDescent="0.3">
      <c r="A688" t="s">
        <v>5724</v>
      </c>
      <c r="B688" t="s">
        <v>3557</v>
      </c>
      <c r="C688" t="s">
        <v>4712</v>
      </c>
      <c r="D688" t="s">
        <v>72</v>
      </c>
      <c r="E688" t="s">
        <v>73</v>
      </c>
      <c r="F688" t="s">
        <v>22</v>
      </c>
      <c r="I688" t="s">
        <v>4713</v>
      </c>
      <c r="J688" t="s">
        <v>4480</v>
      </c>
      <c r="K688" t="s">
        <v>4654</v>
      </c>
      <c r="L688" t="s">
        <v>25</v>
      </c>
      <c r="M688" t="s">
        <v>72</v>
      </c>
      <c r="N688" t="s">
        <v>4732</v>
      </c>
      <c r="O688" t="s">
        <v>4749</v>
      </c>
      <c r="P688" t="s">
        <v>4750</v>
      </c>
      <c r="Q688">
        <v>1</v>
      </c>
      <c r="R688">
        <v>59</v>
      </c>
      <c r="S688">
        <v>0</v>
      </c>
      <c r="V688" t="s">
        <v>4544</v>
      </c>
      <c r="AA688" t="s">
        <v>4766</v>
      </c>
      <c r="AB688" t="s">
        <v>4761</v>
      </c>
      <c r="AC688">
        <v>1</v>
      </c>
      <c r="AD688">
        <v>1</v>
      </c>
      <c r="AF688">
        <v>1</v>
      </c>
      <c r="AG688">
        <v>1</v>
      </c>
      <c r="AH688">
        <v>0</v>
      </c>
    </row>
    <row r="689" spans="1:34" x14ac:dyDescent="0.3">
      <c r="A689" t="s">
        <v>5725</v>
      </c>
      <c r="B689" t="s">
        <v>3558</v>
      </c>
      <c r="C689" t="s">
        <v>4712</v>
      </c>
      <c r="D689" t="s">
        <v>72</v>
      </c>
      <c r="E689" t="s">
        <v>73</v>
      </c>
      <c r="F689" t="s">
        <v>22</v>
      </c>
      <c r="I689" t="s">
        <v>4713</v>
      </c>
      <c r="J689" t="s">
        <v>4480</v>
      </c>
      <c r="K689" t="s">
        <v>4654</v>
      </c>
      <c r="L689" t="s">
        <v>25</v>
      </c>
      <c r="M689" t="s">
        <v>72</v>
      </c>
      <c r="N689" t="s">
        <v>4732</v>
      </c>
      <c r="O689" t="s">
        <v>4749</v>
      </c>
      <c r="P689" t="s">
        <v>4750</v>
      </c>
      <c r="Q689">
        <v>1</v>
      </c>
      <c r="R689">
        <v>60</v>
      </c>
      <c r="S689">
        <v>0</v>
      </c>
      <c r="V689" t="s">
        <v>4544</v>
      </c>
      <c r="AA689" t="s">
        <v>4766</v>
      </c>
      <c r="AB689" t="s">
        <v>4761</v>
      </c>
      <c r="AC689">
        <v>1</v>
      </c>
      <c r="AD689">
        <v>1</v>
      </c>
      <c r="AF689">
        <v>1</v>
      </c>
      <c r="AG689">
        <v>1</v>
      </c>
      <c r="AH689">
        <v>0</v>
      </c>
    </row>
    <row r="690" spans="1:34" x14ac:dyDescent="0.3">
      <c r="A690" t="s">
        <v>5726</v>
      </c>
      <c r="B690" t="s">
        <v>3593</v>
      </c>
      <c r="C690" t="s">
        <v>4712</v>
      </c>
      <c r="D690" t="s">
        <v>1234</v>
      </c>
      <c r="E690" t="s">
        <v>73</v>
      </c>
      <c r="F690" t="s">
        <v>22</v>
      </c>
      <c r="I690" t="s">
        <v>4713</v>
      </c>
      <c r="J690" t="s">
        <v>4480</v>
      </c>
      <c r="K690" t="s">
        <v>4654</v>
      </c>
      <c r="L690" t="s">
        <v>25</v>
      </c>
      <c r="M690" t="s">
        <v>1234</v>
      </c>
      <c r="N690" t="s">
        <v>4542</v>
      </c>
      <c r="O690" t="s">
        <v>4790</v>
      </c>
      <c r="Q690">
        <v>1</v>
      </c>
      <c r="R690">
        <v>130</v>
      </c>
      <c r="S690">
        <v>0</v>
      </c>
      <c r="V690" t="s">
        <v>4546</v>
      </c>
      <c r="AA690" t="s">
        <v>4766</v>
      </c>
      <c r="AB690" t="s">
        <v>4761</v>
      </c>
      <c r="AD690">
        <v>1</v>
      </c>
      <c r="AF690">
        <v>1</v>
      </c>
      <c r="AG690">
        <v>1</v>
      </c>
      <c r="AH690">
        <v>0</v>
      </c>
    </row>
    <row r="691" spans="1:34" x14ac:dyDescent="0.3">
      <c r="A691" t="s">
        <v>5727</v>
      </c>
      <c r="B691" t="s">
        <v>5728</v>
      </c>
      <c r="C691" t="s">
        <v>4712</v>
      </c>
      <c r="D691" t="s">
        <v>72</v>
      </c>
      <c r="E691" t="s">
        <v>73</v>
      </c>
      <c r="F691" t="s">
        <v>22</v>
      </c>
      <c r="I691" t="s">
        <v>4713</v>
      </c>
      <c r="J691" t="s">
        <v>4480</v>
      </c>
      <c r="K691" t="s">
        <v>4654</v>
      </c>
      <c r="L691" t="s">
        <v>25</v>
      </c>
      <c r="M691" t="s">
        <v>72</v>
      </c>
      <c r="N691" t="s">
        <v>4732</v>
      </c>
      <c r="O691" t="s">
        <v>4749</v>
      </c>
      <c r="P691" t="s">
        <v>4750</v>
      </c>
      <c r="Q691">
        <v>1</v>
      </c>
      <c r="R691">
        <v>61</v>
      </c>
      <c r="S691">
        <v>0</v>
      </c>
      <c r="V691" t="s">
        <v>4544</v>
      </c>
      <c r="AA691" t="s">
        <v>4766</v>
      </c>
      <c r="AB691" t="s">
        <v>4761</v>
      </c>
      <c r="AC691">
        <v>1</v>
      </c>
      <c r="AD691">
        <v>1</v>
      </c>
      <c r="AF691">
        <v>1</v>
      </c>
      <c r="AG691">
        <v>1</v>
      </c>
      <c r="AH691">
        <v>0</v>
      </c>
    </row>
    <row r="692" spans="1:34" x14ac:dyDescent="0.3">
      <c r="A692" t="s">
        <v>3589</v>
      </c>
      <c r="B692" t="s">
        <v>5729</v>
      </c>
      <c r="D692" t="s">
        <v>2801</v>
      </c>
      <c r="I692" t="s">
        <v>4713</v>
      </c>
      <c r="L692" t="s">
        <v>25</v>
      </c>
      <c r="M692" t="s">
        <v>2801</v>
      </c>
      <c r="N692" t="s">
        <v>4542</v>
      </c>
      <c r="O692" t="s">
        <v>4790</v>
      </c>
      <c r="P692" t="s">
        <v>4791</v>
      </c>
      <c r="Q692">
        <v>0</v>
      </c>
      <c r="R692">
        <v>19</v>
      </c>
      <c r="S692">
        <v>3</v>
      </c>
      <c r="V692" t="s">
        <v>4546</v>
      </c>
      <c r="AA692" t="s">
        <v>4718</v>
      </c>
      <c r="AB692" t="s">
        <v>4719</v>
      </c>
      <c r="AE692">
        <v>1</v>
      </c>
      <c r="AF692">
        <v>1</v>
      </c>
      <c r="AG692">
        <v>1</v>
      </c>
      <c r="AH692">
        <v>0</v>
      </c>
    </row>
    <row r="693" spans="1:34" x14ac:dyDescent="0.3">
      <c r="A693" t="s">
        <v>5730</v>
      </c>
      <c r="B693" t="s">
        <v>5731</v>
      </c>
      <c r="D693" t="s">
        <v>1303</v>
      </c>
      <c r="I693" t="s">
        <v>4713</v>
      </c>
      <c r="L693" t="s">
        <v>25</v>
      </c>
      <c r="M693" t="s">
        <v>1303</v>
      </c>
      <c r="N693" t="s">
        <v>4732</v>
      </c>
      <c r="O693" t="s">
        <v>4749</v>
      </c>
      <c r="P693" t="s">
        <v>4750</v>
      </c>
      <c r="Q693">
        <v>0</v>
      </c>
      <c r="R693">
        <v>70</v>
      </c>
      <c r="S693">
        <v>3</v>
      </c>
      <c r="V693" t="s">
        <v>4717</v>
      </c>
      <c r="AA693" t="s">
        <v>4766</v>
      </c>
      <c r="AB693" t="s">
        <v>4761</v>
      </c>
      <c r="AE693">
        <v>1</v>
      </c>
      <c r="AF693">
        <v>1</v>
      </c>
      <c r="AG693">
        <v>1</v>
      </c>
      <c r="AH693">
        <v>0</v>
      </c>
    </row>
    <row r="694" spans="1:34" x14ac:dyDescent="0.3">
      <c r="A694" t="s">
        <v>5732</v>
      </c>
      <c r="B694" t="s">
        <v>5733</v>
      </c>
      <c r="D694" t="s">
        <v>94</v>
      </c>
      <c r="I694" t="s">
        <v>4713</v>
      </c>
      <c r="L694" t="s">
        <v>25</v>
      </c>
      <c r="M694" t="s">
        <v>94</v>
      </c>
      <c r="N694" t="s">
        <v>4732</v>
      </c>
      <c r="O694" t="s">
        <v>4749</v>
      </c>
      <c r="P694" t="s">
        <v>4750</v>
      </c>
      <c r="Q694">
        <v>0</v>
      </c>
      <c r="R694">
        <v>71</v>
      </c>
      <c r="S694">
        <v>3</v>
      </c>
      <c r="V694" t="s">
        <v>4544</v>
      </c>
      <c r="AA694" t="s">
        <v>4766</v>
      </c>
      <c r="AB694" t="s">
        <v>4761</v>
      </c>
      <c r="AE694">
        <v>1</v>
      </c>
      <c r="AF694">
        <v>1</v>
      </c>
      <c r="AG694">
        <v>1</v>
      </c>
      <c r="AH694">
        <v>0</v>
      </c>
    </row>
    <row r="695" spans="1:34" x14ac:dyDescent="0.3">
      <c r="A695" t="s">
        <v>5734</v>
      </c>
      <c r="B695" t="s">
        <v>5735</v>
      </c>
      <c r="D695" t="s">
        <v>94</v>
      </c>
      <c r="I695" t="s">
        <v>4713</v>
      </c>
      <c r="L695" t="s">
        <v>25</v>
      </c>
      <c r="M695" t="s">
        <v>94</v>
      </c>
      <c r="N695" t="s">
        <v>4732</v>
      </c>
      <c r="O695" t="s">
        <v>4749</v>
      </c>
      <c r="P695" t="s">
        <v>4750</v>
      </c>
      <c r="Q695">
        <v>0</v>
      </c>
      <c r="R695">
        <v>72</v>
      </c>
      <c r="S695">
        <v>3</v>
      </c>
      <c r="V695" t="s">
        <v>4544</v>
      </c>
      <c r="AA695" t="s">
        <v>4766</v>
      </c>
      <c r="AB695" t="s">
        <v>4761</v>
      </c>
      <c r="AE695">
        <v>1</v>
      </c>
      <c r="AF695">
        <v>1</v>
      </c>
      <c r="AG695">
        <v>1</v>
      </c>
      <c r="AH695">
        <v>0</v>
      </c>
    </row>
    <row r="696" spans="1:34" x14ac:dyDescent="0.3">
      <c r="A696" t="s">
        <v>5736</v>
      </c>
      <c r="B696" t="s">
        <v>5737</v>
      </c>
      <c r="D696" t="s">
        <v>625</v>
      </c>
      <c r="I696" t="s">
        <v>4713</v>
      </c>
      <c r="L696" t="s">
        <v>25</v>
      </c>
      <c r="M696" t="s">
        <v>625</v>
      </c>
      <c r="N696" t="s">
        <v>4732</v>
      </c>
      <c r="O696" t="s">
        <v>4733</v>
      </c>
      <c r="P696" t="s">
        <v>4756</v>
      </c>
      <c r="Q696">
        <v>0</v>
      </c>
      <c r="R696">
        <v>73</v>
      </c>
      <c r="S696">
        <v>3</v>
      </c>
      <c r="V696" t="s">
        <v>4544</v>
      </c>
      <c r="AA696" t="s">
        <v>4718</v>
      </c>
      <c r="AB696" t="s">
        <v>4727</v>
      </c>
      <c r="AE696">
        <v>1</v>
      </c>
      <c r="AF696">
        <v>1</v>
      </c>
      <c r="AG696">
        <v>1</v>
      </c>
      <c r="AH696">
        <v>0</v>
      </c>
    </row>
    <row r="697" spans="1:34" x14ac:dyDescent="0.3">
      <c r="A697" t="s">
        <v>5738</v>
      </c>
      <c r="B697" t="s">
        <v>5739</v>
      </c>
      <c r="D697" t="s">
        <v>1758</v>
      </c>
      <c r="I697" t="s">
        <v>4713</v>
      </c>
      <c r="L697" t="s">
        <v>25</v>
      </c>
      <c r="M697" t="s">
        <v>1758</v>
      </c>
      <c r="N697" t="s">
        <v>4732</v>
      </c>
      <c r="O697" t="s">
        <v>4733</v>
      </c>
      <c r="P697" t="s">
        <v>5078</v>
      </c>
      <c r="Q697">
        <v>0</v>
      </c>
      <c r="R697">
        <v>74</v>
      </c>
      <c r="S697">
        <v>3</v>
      </c>
      <c r="V697" t="s">
        <v>4544</v>
      </c>
      <c r="AA697" t="s">
        <v>4766</v>
      </c>
      <c r="AB697" t="s">
        <v>4761</v>
      </c>
      <c r="AE697">
        <v>1</v>
      </c>
      <c r="AF697">
        <v>0</v>
      </c>
      <c r="AG697">
        <v>1</v>
      </c>
      <c r="AH697">
        <v>0</v>
      </c>
    </row>
    <row r="698" spans="1:34" x14ac:dyDescent="0.3">
      <c r="A698" t="s">
        <v>5740</v>
      </c>
      <c r="B698" t="s">
        <v>5741</v>
      </c>
      <c r="D698" t="s">
        <v>1758</v>
      </c>
      <c r="I698" t="s">
        <v>4713</v>
      </c>
      <c r="L698" t="s">
        <v>25</v>
      </c>
      <c r="M698" t="s">
        <v>1758</v>
      </c>
      <c r="N698" t="s">
        <v>4732</v>
      </c>
      <c r="O698" t="s">
        <v>4733</v>
      </c>
      <c r="P698" t="s">
        <v>5078</v>
      </c>
      <c r="Q698">
        <v>0</v>
      </c>
      <c r="R698">
        <v>75</v>
      </c>
      <c r="S698">
        <v>3</v>
      </c>
      <c r="V698" t="s">
        <v>4544</v>
      </c>
      <c r="AA698" t="s">
        <v>4766</v>
      </c>
      <c r="AB698" t="s">
        <v>4761</v>
      </c>
      <c r="AE698">
        <v>1</v>
      </c>
      <c r="AF698">
        <v>0</v>
      </c>
      <c r="AG698">
        <v>1</v>
      </c>
      <c r="AH698">
        <v>0</v>
      </c>
    </row>
    <row r="699" spans="1:34" x14ac:dyDescent="0.3">
      <c r="A699" t="s">
        <v>5742</v>
      </c>
      <c r="B699" t="s">
        <v>5743</v>
      </c>
      <c r="D699" t="s">
        <v>1758</v>
      </c>
      <c r="I699" t="s">
        <v>4713</v>
      </c>
      <c r="L699" t="s">
        <v>25</v>
      </c>
      <c r="M699" t="s">
        <v>1758</v>
      </c>
      <c r="N699" t="s">
        <v>4732</v>
      </c>
      <c r="O699" t="s">
        <v>4733</v>
      </c>
      <c r="P699" t="s">
        <v>5078</v>
      </c>
      <c r="Q699">
        <v>0</v>
      </c>
      <c r="R699">
        <v>76</v>
      </c>
      <c r="S699">
        <v>3</v>
      </c>
      <c r="V699" t="s">
        <v>4544</v>
      </c>
      <c r="AA699" t="s">
        <v>4766</v>
      </c>
      <c r="AB699" t="s">
        <v>4761</v>
      </c>
      <c r="AE699">
        <v>1</v>
      </c>
      <c r="AF699">
        <v>0</v>
      </c>
      <c r="AG699">
        <v>1</v>
      </c>
      <c r="AH699">
        <v>0</v>
      </c>
    </row>
    <row r="700" spans="1:34" x14ac:dyDescent="0.3">
      <c r="A700" t="s">
        <v>3591</v>
      </c>
      <c r="B700" t="s">
        <v>3592</v>
      </c>
      <c r="D700" t="s">
        <v>2801</v>
      </c>
      <c r="I700" t="s">
        <v>4713</v>
      </c>
      <c r="L700" t="s">
        <v>25</v>
      </c>
      <c r="M700" t="s">
        <v>2801</v>
      </c>
      <c r="N700" t="s">
        <v>4542</v>
      </c>
      <c r="O700" t="s">
        <v>4790</v>
      </c>
      <c r="P700" t="s">
        <v>4791</v>
      </c>
      <c r="Q700">
        <v>0</v>
      </c>
      <c r="R700">
        <v>20</v>
      </c>
      <c r="S700">
        <v>3</v>
      </c>
      <c r="V700" t="s">
        <v>4546</v>
      </c>
      <c r="AA700" t="s">
        <v>4718</v>
      </c>
      <c r="AB700" t="s">
        <v>4719</v>
      </c>
      <c r="AE700">
        <v>1</v>
      </c>
      <c r="AF700">
        <v>1</v>
      </c>
      <c r="AG700">
        <v>1</v>
      </c>
      <c r="AH700">
        <v>0</v>
      </c>
    </row>
    <row r="701" spans="1:34" x14ac:dyDescent="0.3">
      <c r="A701" t="s">
        <v>5744</v>
      </c>
      <c r="B701" t="s">
        <v>5745</v>
      </c>
      <c r="D701" t="s">
        <v>2018</v>
      </c>
      <c r="I701" t="s">
        <v>4713</v>
      </c>
      <c r="L701" t="s">
        <v>25</v>
      </c>
      <c r="M701" t="s">
        <v>2018</v>
      </c>
      <c r="N701" t="s">
        <v>4542</v>
      </c>
      <c r="O701" t="s">
        <v>4863</v>
      </c>
      <c r="P701" t="s">
        <v>5746</v>
      </c>
      <c r="Q701">
        <v>0</v>
      </c>
      <c r="R701">
        <v>21</v>
      </c>
      <c r="S701">
        <v>3</v>
      </c>
      <c r="V701" t="s">
        <v>4717</v>
      </c>
      <c r="AA701" t="s">
        <v>4718</v>
      </c>
      <c r="AB701" t="s">
        <v>4719</v>
      </c>
      <c r="AE701">
        <v>1</v>
      </c>
      <c r="AF701">
        <v>0</v>
      </c>
      <c r="AG701">
        <v>1</v>
      </c>
      <c r="AH701">
        <v>0</v>
      </c>
    </row>
    <row r="702" spans="1:34" x14ac:dyDescent="0.3">
      <c r="A702" t="s">
        <v>5747</v>
      </c>
      <c r="B702" t="s">
        <v>5748</v>
      </c>
      <c r="D702" t="s">
        <v>1627</v>
      </c>
      <c r="I702" t="s">
        <v>4713</v>
      </c>
      <c r="L702" t="s">
        <v>25</v>
      </c>
      <c r="M702" t="s">
        <v>1627</v>
      </c>
      <c r="N702" t="s">
        <v>4542</v>
      </c>
      <c r="O702" t="s">
        <v>4863</v>
      </c>
      <c r="P702" t="s">
        <v>5032</v>
      </c>
      <c r="Q702">
        <v>0</v>
      </c>
      <c r="R702">
        <v>22</v>
      </c>
      <c r="S702">
        <v>3</v>
      </c>
      <c r="V702" t="s">
        <v>4546</v>
      </c>
      <c r="AA702" t="s">
        <v>4718</v>
      </c>
      <c r="AB702" t="s">
        <v>4719</v>
      </c>
      <c r="AE702">
        <v>1</v>
      </c>
      <c r="AF702">
        <v>0</v>
      </c>
      <c r="AG702">
        <v>1</v>
      </c>
      <c r="AH702">
        <v>0</v>
      </c>
    </row>
    <row r="703" spans="1:34" x14ac:dyDescent="0.3">
      <c r="A703" t="s">
        <v>5749</v>
      </c>
      <c r="B703" t="s">
        <v>5750</v>
      </c>
      <c r="D703" t="s">
        <v>2186</v>
      </c>
      <c r="I703" t="s">
        <v>4713</v>
      </c>
      <c r="L703" t="s">
        <v>25</v>
      </c>
      <c r="M703" t="s">
        <v>2186</v>
      </c>
      <c r="N703" t="s">
        <v>4714</v>
      </c>
      <c r="O703" t="s">
        <v>5105</v>
      </c>
      <c r="P703" t="s">
        <v>5691</v>
      </c>
      <c r="Q703">
        <v>0</v>
      </c>
      <c r="R703">
        <v>453</v>
      </c>
      <c r="S703">
        <v>3</v>
      </c>
      <c r="V703" t="s">
        <v>4543</v>
      </c>
      <c r="AA703" t="s">
        <v>4718</v>
      </c>
      <c r="AB703" t="s">
        <v>4719</v>
      </c>
      <c r="AE703">
        <v>1</v>
      </c>
      <c r="AF703">
        <v>1</v>
      </c>
      <c r="AG703">
        <v>1</v>
      </c>
      <c r="AH703">
        <v>0</v>
      </c>
    </row>
    <row r="704" spans="1:34" x14ac:dyDescent="0.3">
      <c r="A704" t="s">
        <v>5751</v>
      </c>
      <c r="B704" t="s">
        <v>5752</v>
      </c>
      <c r="D704" t="s">
        <v>1303</v>
      </c>
      <c r="I704" t="s">
        <v>4713</v>
      </c>
      <c r="L704" t="s">
        <v>25</v>
      </c>
      <c r="M704" t="s">
        <v>1303</v>
      </c>
      <c r="N704" t="s">
        <v>4714</v>
      </c>
      <c r="O704" t="s">
        <v>4715</v>
      </c>
      <c r="P704" t="s">
        <v>4716</v>
      </c>
      <c r="Q704">
        <v>0</v>
      </c>
      <c r="R704">
        <v>455</v>
      </c>
      <c r="S704">
        <v>3</v>
      </c>
      <c r="V704" t="s">
        <v>4717</v>
      </c>
      <c r="AA704" t="s">
        <v>4724</v>
      </c>
      <c r="AB704" t="s">
        <v>4727</v>
      </c>
      <c r="AE704">
        <v>1</v>
      </c>
      <c r="AF704">
        <v>1</v>
      </c>
      <c r="AG704">
        <v>1</v>
      </c>
      <c r="AH704">
        <v>0</v>
      </c>
    </row>
    <row r="705" spans="1:34" x14ac:dyDescent="0.3">
      <c r="A705" t="s">
        <v>5753</v>
      </c>
      <c r="B705" t="s">
        <v>5754</v>
      </c>
      <c r="D705" t="s">
        <v>1792</v>
      </c>
      <c r="I705" t="s">
        <v>4713</v>
      </c>
      <c r="L705" t="s">
        <v>25</v>
      </c>
      <c r="M705" t="s">
        <v>1792</v>
      </c>
      <c r="N705" t="s">
        <v>4538</v>
      </c>
      <c r="O705" t="s">
        <v>4765</v>
      </c>
      <c r="P705" t="s">
        <v>4899</v>
      </c>
      <c r="Q705">
        <v>0</v>
      </c>
      <c r="R705">
        <v>41</v>
      </c>
      <c r="S705">
        <v>3</v>
      </c>
      <c r="V705" t="s">
        <v>4544</v>
      </c>
      <c r="AA705" t="s">
        <v>4724</v>
      </c>
      <c r="AB705" t="s">
        <v>4807</v>
      </c>
      <c r="AE705">
        <v>1</v>
      </c>
      <c r="AF705">
        <v>1</v>
      </c>
      <c r="AG705">
        <v>1</v>
      </c>
      <c r="AH705">
        <v>0</v>
      </c>
    </row>
    <row r="706" spans="1:34" x14ac:dyDescent="0.3">
      <c r="A706" t="s">
        <v>5755</v>
      </c>
      <c r="B706" t="s">
        <v>5756</v>
      </c>
      <c r="D706" t="s">
        <v>1792</v>
      </c>
      <c r="I706" t="s">
        <v>4713</v>
      </c>
      <c r="L706" t="s">
        <v>25</v>
      </c>
      <c r="M706" t="s">
        <v>1792</v>
      </c>
      <c r="N706" t="s">
        <v>4538</v>
      </c>
      <c r="O706" t="s">
        <v>4765</v>
      </c>
      <c r="P706" t="s">
        <v>4899</v>
      </c>
      <c r="Q706">
        <v>0</v>
      </c>
      <c r="R706">
        <v>42</v>
      </c>
      <c r="S706">
        <v>3</v>
      </c>
      <c r="V706" t="s">
        <v>4544</v>
      </c>
      <c r="AA706" t="s">
        <v>4724</v>
      </c>
      <c r="AB706" t="s">
        <v>4807</v>
      </c>
      <c r="AE706">
        <v>1</v>
      </c>
      <c r="AF706">
        <v>1</v>
      </c>
      <c r="AG706">
        <v>1</v>
      </c>
      <c r="AH70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Consolidado Historico</vt:lpstr>
      <vt:lpstr>Consolidado Semestral</vt:lpstr>
      <vt:lpstr>Consolidado Cierres</vt:lpstr>
      <vt:lpstr>Cierre PDI</vt:lpstr>
      <vt:lpstr>Logica</vt:lpstr>
      <vt:lpstr>Variables</vt:lpstr>
      <vt:lpstr>Desglose Series</vt:lpstr>
      <vt:lpstr>Catalogo Indicadores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Licec Ximena Silva Goyeneche</dc:creator>
  <cp:lastModifiedBy>Ximena Silva</cp:lastModifiedBy>
  <dcterms:created xsi:type="dcterms:W3CDTF">2023-08-01T19:57:41Z</dcterms:created>
  <dcterms:modified xsi:type="dcterms:W3CDTF">2026-07-25T22:10:48Z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0x0101004B3553A73F55864994CAF6806DB2233B</vt:lpwstr>
  </property>
  <property fmtid="{D5CDD505-2E9C-101B-9397-08002B2CF9AE}" pid="3" name="MediaServiceImageTags">
    <vt:lpwstr/>
  </property>
</Properties>
</file>